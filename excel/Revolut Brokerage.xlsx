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Investavimas 2026.08.08\Revolut\Brokerage Account\"/>
    </mc:Choice>
  </mc:AlternateContent>
  <xr:revisionPtr revIDLastSave="0" documentId="13_ncr:1_{8DA5FD8C-5136-41C1-8B0B-BA0553D7D67B}" xr6:coauthVersionLast="47" xr6:coauthVersionMax="47" xr10:uidLastSave="{00000000-0000-0000-0000-000000000000}"/>
  <bookViews>
    <workbookView xWindow="-120" yWindow="-120" windowWidth="29040" windowHeight="17520" activeTab="11" xr2:uid="{00000000-000D-0000-FFFF-FFFF00000000}"/>
  </bookViews>
  <sheets>
    <sheet name="Apžvalga" sheetId="81" r:id="rId1"/>
    <sheet name="NADQ" sheetId="35" state="hidden" r:id="rId2"/>
    <sheet name="QDVE" sheetId="46" state="hidden" r:id="rId3"/>
    <sheet name="VWCE" sheetId="48" state="hidden" r:id="rId4"/>
    <sheet name="XDEQ" sheetId="83" state="hidden" r:id="rId5"/>
    <sheet name="VUAA" sheetId="84" state="hidden" r:id="rId6"/>
    <sheet name="XDWT" sheetId="86" state="hidden" r:id="rId7"/>
    <sheet name="XAIX" sheetId="87" state="hidden" r:id="rId8"/>
    <sheet name="JEQP" sheetId="92" state="hidden" r:id="rId9"/>
    <sheet name="JGPI" sheetId="93" state="hidden" r:id="rId10"/>
    <sheet name="SPYL" sheetId="90" r:id="rId11"/>
    <sheet name="EXUS" sheetId="100" r:id="rId12"/>
    <sheet name="IS3N" sheetId="101" r:id="rId13"/>
    <sheet name="VGLA" sheetId="106" r:id="rId14"/>
    <sheet name="2026.09" sheetId="105" r:id="rId15"/>
    <sheet name="2026.08" sheetId="104" r:id="rId16"/>
    <sheet name="2026.07" sheetId="103" r:id="rId17"/>
    <sheet name="2026.06" sheetId="102" r:id="rId18"/>
    <sheet name="2026.05" sheetId="99" r:id="rId19"/>
    <sheet name="2026.04" sheetId="98" r:id="rId20"/>
    <sheet name="2026.03" sheetId="97" r:id="rId21"/>
    <sheet name="2026.02" sheetId="96" r:id="rId22"/>
    <sheet name="2026.01" sheetId="95" r:id="rId23"/>
    <sheet name="2025.12" sheetId="94" r:id="rId24"/>
    <sheet name="2025.11" sheetId="91" r:id="rId25"/>
    <sheet name="2025.10" sheetId="89" r:id="rId26"/>
    <sheet name="2025.09" sheetId="88" r:id="rId27"/>
    <sheet name="2025.08" sheetId="85" r:id="rId28"/>
    <sheet name="2025.07" sheetId="82" r:id="rId29"/>
    <sheet name="2025.06" sheetId="80" r:id="rId30"/>
    <sheet name="2025.05" sheetId="64" r:id="rId31"/>
    <sheet name="2025.04" sheetId="71" r:id="rId32"/>
    <sheet name="2025.03" sheetId="63" r:id="rId33"/>
    <sheet name="2025.02" sheetId="56" r:id="rId34"/>
    <sheet name="2025.01" sheetId="70" r:id="rId35"/>
    <sheet name="2024.12" sheetId="69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81" l="1"/>
  <c r="P5" i="106"/>
  <c r="Q5" i="106"/>
  <c r="V5" i="106"/>
  <c r="W5" i="106"/>
  <c r="X5" i="106"/>
  <c r="AG18" i="90"/>
  <c r="AF18" i="90"/>
  <c r="AG17" i="90"/>
  <c r="AF17" i="90"/>
  <c r="AG10" i="100"/>
  <c r="AF10" i="100"/>
  <c r="AE16" i="90"/>
  <c r="AE15" i="90"/>
  <c r="AE14" i="90"/>
  <c r="AD16" i="90"/>
  <c r="AD15" i="90"/>
  <c r="AD14" i="90"/>
  <c r="AC16" i="90"/>
  <c r="AC15" i="90"/>
  <c r="AC14" i="90"/>
  <c r="AF200" i="106"/>
  <c r="AE9" i="100"/>
  <c r="AE8" i="100"/>
  <c r="AE7" i="100"/>
  <c r="AD9" i="100"/>
  <c r="AD8" i="100"/>
  <c r="AD7" i="100"/>
  <c r="AC9" i="100"/>
  <c r="AC8" i="100"/>
  <c r="AC7" i="100"/>
  <c r="AE9" i="101"/>
  <c r="AE8" i="101"/>
  <c r="AD9" i="101"/>
  <c r="AD8" i="101"/>
  <c r="AC9" i="101"/>
  <c r="AC8" i="101"/>
  <c r="AE7" i="101"/>
  <c r="AD7" i="101"/>
  <c r="AC7" i="101"/>
  <c r="AF200" i="101"/>
  <c r="AF200" i="100"/>
  <c r="AF200" i="90"/>
  <c r="AG5" i="106"/>
  <c r="AF5" i="106"/>
  <c r="AE5" i="106"/>
  <c r="AD5" i="106"/>
  <c r="AC5" i="106"/>
  <c r="Q23" i="81"/>
  <c r="Q22" i="81"/>
  <c r="Q21" i="81"/>
  <c r="Q20" i="81"/>
  <c r="M5" i="106"/>
  <c r="L5" i="106"/>
  <c r="K5" i="106"/>
  <c r="E5" i="106"/>
  <c r="C5" i="106"/>
  <c r="B5" i="106"/>
  <c r="A5" i="106"/>
  <c r="W5" i="105"/>
  <c r="V5" i="105"/>
  <c r="U5" i="105"/>
  <c r="T5" i="105"/>
  <c r="S5" i="105"/>
  <c r="O139" i="105"/>
  <c r="L139" i="105"/>
  <c r="J139" i="105"/>
  <c r="I139" i="105"/>
  <c r="F139" i="105"/>
  <c r="D139" i="105"/>
  <c r="C139" i="105"/>
  <c r="B139" i="105"/>
  <c r="C135" i="105"/>
  <c r="E135" i="105" s="1"/>
  <c r="Y5" i="106" a="1"/>
  <c r="D5" i="106"/>
  <c r="AG10" i="101"/>
  <c r="AF10" i="101"/>
  <c r="AG9" i="101"/>
  <c r="AF9" i="101"/>
  <c r="AG8" i="101"/>
  <c r="AF8" i="101"/>
  <c r="AG9" i="100"/>
  <c r="AF9" i="100"/>
  <c r="AG8" i="100"/>
  <c r="AF8" i="100"/>
  <c r="AG20" i="90"/>
  <c r="AF20" i="90"/>
  <c r="AG19" i="90"/>
  <c r="AF19" i="90"/>
  <c r="AG16" i="90"/>
  <c r="AF16" i="90"/>
  <c r="AG15" i="90"/>
  <c r="AF15" i="90"/>
  <c r="S5" i="106" l="1"/>
  <c r="E139" i="105"/>
  <c r="T5" i="106"/>
  <c r="F5" i="106"/>
  <c r="X24" i="81"/>
  <c r="W24" i="81"/>
  <c r="V24" i="81"/>
  <c r="C24" i="81"/>
  <c r="P24" i="81"/>
  <c r="M9" i="101"/>
  <c r="L9" i="101"/>
  <c r="K9" i="101"/>
  <c r="E9" i="101"/>
  <c r="B9" i="101"/>
  <c r="A9" i="101"/>
  <c r="F9" i="101"/>
  <c r="H9" i="101" s="1"/>
  <c r="M9" i="100"/>
  <c r="L9" i="100"/>
  <c r="K9" i="100"/>
  <c r="E9" i="100"/>
  <c r="C9" i="100"/>
  <c r="B9" i="100"/>
  <c r="A9" i="100"/>
  <c r="D9" i="100"/>
  <c r="F9" i="100"/>
  <c r="H9" i="100"/>
  <c r="AG200" i="100" s="1" a="1"/>
  <c r="U5" i="100" s="1"/>
  <c r="M16" i="90"/>
  <c r="L16" i="90"/>
  <c r="K16" i="90"/>
  <c r="E16" i="90"/>
  <c r="C16" i="90"/>
  <c r="B16" i="90"/>
  <c r="A16" i="90"/>
  <c r="D16" i="90"/>
  <c r="F16" i="90"/>
  <c r="H16" i="90"/>
  <c r="J16" i="90" s="1"/>
  <c r="O129" i="105"/>
  <c r="L129" i="105"/>
  <c r="J129" i="105"/>
  <c r="I129" i="105"/>
  <c r="F129" i="105"/>
  <c r="D129" i="105"/>
  <c r="B129" i="105"/>
  <c r="C125" i="105"/>
  <c r="C129" i="105" s="1"/>
  <c r="C9" i="101" s="1"/>
  <c r="D9" i="101" s="1"/>
  <c r="O119" i="105"/>
  <c r="L119" i="105"/>
  <c r="J119" i="105"/>
  <c r="I119" i="105"/>
  <c r="F119" i="105"/>
  <c r="D119" i="105"/>
  <c r="B119" i="105"/>
  <c r="C115" i="105"/>
  <c r="E115" i="105" s="1"/>
  <c r="O109" i="105"/>
  <c r="L109" i="105"/>
  <c r="J109" i="105"/>
  <c r="I109" i="105"/>
  <c r="F109" i="105"/>
  <c r="D109" i="105"/>
  <c r="C109" i="105"/>
  <c r="B109" i="105"/>
  <c r="E109" i="105" s="1"/>
  <c r="O99" i="105"/>
  <c r="L99" i="105"/>
  <c r="J99" i="105"/>
  <c r="I99" i="105"/>
  <c r="F99" i="105"/>
  <c r="D99" i="105"/>
  <c r="C99" i="105"/>
  <c r="B99" i="105"/>
  <c r="E99" i="105" s="1"/>
  <c r="O89" i="105"/>
  <c r="L89" i="105"/>
  <c r="J89" i="105"/>
  <c r="I89" i="105"/>
  <c r="F89" i="105"/>
  <c r="D89" i="105"/>
  <c r="B89" i="105"/>
  <c r="C85" i="105"/>
  <c r="E85" i="105" s="1"/>
  <c r="O79" i="105"/>
  <c r="L79" i="105"/>
  <c r="J79" i="105"/>
  <c r="I79" i="105"/>
  <c r="F79" i="105"/>
  <c r="E79" i="105"/>
  <c r="D79" i="105"/>
  <c r="C79" i="105"/>
  <c r="B79" i="105"/>
  <c r="O69" i="105"/>
  <c r="L69" i="105"/>
  <c r="J69" i="105"/>
  <c r="I69" i="105"/>
  <c r="F69" i="105"/>
  <c r="D69" i="105"/>
  <c r="C69" i="105"/>
  <c r="B69" i="105"/>
  <c r="E69" i="105" s="1"/>
  <c r="O59" i="105"/>
  <c r="L59" i="105"/>
  <c r="J59" i="105"/>
  <c r="I59" i="105"/>
  <c r="F59" i="105"/>
  <c r="D59" i="105"/>
  <c r="C59" i="105"/>
  <c r="B59" i="105"/>
  <c r="E59" i="105" s="1"/>
  <c r="O49" i="105"/>
  <c r="L49" i="105"/>
  <c r="J49" i="105"/>
  <c r="I49" i="105"/>
  <c r="F49" i="105"/>
  <c r="E49" i="105"/>
  <c r="D49" i="105"/>
  <c r="C49" i="105"/>
  <c r="B49" i="105"/>
  <c r="O39" i="105"/>
  <c r="L39" i="105"/>
  <c r="J39" i="105"/>
  <c r="I39" i="105"/>
  <c r="F39" i="105"/>
  <c r="E39" i="105"/>
  <c r="D39" i="105"/>
  <c r="C39" i="105"/>
  <c r="B39" i="105"/>
  <c r="O29" i="105"/>
  <c r="L29" i="105"/>
  <c r="J29" i="105"/>
  <c r="I29" i="105"/>
  <c r="F29" i="105"/>
  <c r="D29" i="105"/>
  <c r="C29" i="105"/>
  <c r="B29" i="105"/>
  <c r="E29" i="105" s="1"/>
  <c r="O19" i="105"/>
  <c r="L19" i="105"/>
  <c r="J19" i="105"/>
  <c r="I19" i="105"/>
  <c r="F19" i="105"/>
  <c r="D19" i="105"/>
  <c r="C19" i="105"/>
  <c r="B19" i="105"/>
  <c r="E19" i="105" s="1"/>
  <c r="X23" i="81"/>
  <c r="W23" i="81"/>
  <c r="V23" i="81"/>
  <c r="X22" i="81"/>
  <c r="W22" i="81"/>
  <c r="V22" i="81"/>
  <c r="C23" i="81"/>
  <c r="A23" i="81"/>
  <c r="M8" i="101"/>
  <c r="L8" i="101"/>
  <c r="K8" i="101"/>
  <c r="M7" i="101"/>
  <c r="L7" i="101"/>
  <c r="K7" i="101"/>
  <c r="E8" i="101"/>
  <c r="C8" i="101"/>
  <c r="B8" i="101"/>
  <c r="A8" i="101"/>
  <c r="D8" i="101"/>
  <c r="F8" i="101"/>
  <c r="H8" i="101" s="1"/>
  <c r="M8" i="100"/>
  <c r="L8" i="100"/>
  <c r="M7" i="100"/>
  <c r="L7" i="100"/>
  <c r="K8" i="100"/>
  <c r="K7" i="100"/>
  <c r="E8" i="100"/>
  <c r="C8" i="100"/>
  <c r="B8" i="100"/>
  <c r="A8" i="100"/>
  <c r="D8" i="100"/>
  <c r="F8" i="100"/>
  <c r="H8" i="100" s="1"/>
  <c r="P23" i="81" s="1"/>
  <c r="M15" i="90"/>
  <c r="M14" i="90"/>
  <c r="L14" i="90"/>
  <c r="L15" i="90"/>
  <c r="K14" i="90"/>
  <c r="K15" i="90"/>
  <c r="E15" i="90"/>
  <c r="C15" i="90"/>
  <c r="B15" i="90"/>
  <c r="A15" i="90"/>
  <c r="D15" i="90"/>
  <c r="F15" i="90"/>
  <c r="H15" i="90" s="1"/>
  <c r="M23" i="81" s="1"/>
  <c r="O129" i="104"/>
  <c r="L129" i="104"/>
  <c r="J129" i="104"/>
  <c r="I129" i="104"/>
  <c r="F129" i="104"/>
  <c r="D129" i="104"/>
  <c r="B129" i="104"/>
  <c r="C125" i="104"/>
  <c r="C129" i="104" s="1"/>
  <c r="O119" i="104"/>
  <c r="L119" i="104"/>
  <c r="J119" i="104"/>
  <c r="I119" i="104"/>
  <c r="F119" i="104"/>
  <c r="D119" i="104"/>
  <c r="B119" i="104"/>
  <c r="C115" i="104"/>
  <c r="C119" i="104" s="1"/>
  <c r="O109" i="104"/>
  <c r="L109" i="104"/>
  <c r="J109" i="104"/>
  <c r="I109" i="104"/>
  <c r="F109" i="104"/>
  <c r="D109" i="104"/>
  <c r="C109" i="104"/>
  <c r="B109" i="104"/>
  <c r="E109" i="104" s="1"/>
  <c r="O99" i="104"/>
  <c r="L99" i="104"/>
  <c r="J99" i="104"/>
  <c r="I99" i="104"/>
  <c r="F99" i="104"/>
  <c r="D99" i="104"/>
  <c r="C99" i="104"/>
  <c r="B99" i="104"/>
  <c r="E99" i="104" s="1"/>
  <c r="O89" i="104"/>
  <c r="L89" i="104"/>
  <c r="J89" i="104"/>
  <c r="I89" i="104"/>
  <c r="F89" i="104"/>
  <c r="D89" i="104"/>
  <c r="B89" i="104"/>
  <c r="C85" i="104"/>
  <c r="E85" i="104" s="1"/>
  <c r="O79" i="104"/>
  <c r="L79" i="104"/>
  <c r="J79" i="104"/>
  <c r="I79" i="104"/>
  <c r="F79" i="104"/>
  <c r="D79" i="104"/>
  <c r="C79" i="104"/>
  <c r="B79" i="104"/>
  <c r="E79" i="104" s="1"/>
  <c r="O69" i="104"/>
  <c r="L69" i="104"/>
  <c r="J69" i="104"/>
  <c r="I69" i="104"/>
  <c r="F69" i="104"/>
  <c r="D69" i="104"/>
  <c r="C69" i="104"/>
  <c r="B69" i="104"/>
  <c r="E69" i="104" s="1"/>
  <c r="O59" i="104"/>
  <c r="L59" i="104"/>
  <c r="J59" i="104"/>
  <c r="I59" i="104"/>
  <c r="F59" i="104"/>
  <c r="E59" i="104"/>
  <c r="D59" i="104"/>
  <c r="C59" i="104"/>
  <c r="B59" i="104"/>
  <c r="O49" i="104"/>
  <c r="L49" i="104"/>
  <c r="J49" i="104"/>
  <c r="I49" i="104"/>
  <c r="F49" i="104"/>
  <c r="E49" i="104"/>
  <c r="D49" i="104"/>
  <c r="C49" i="104"/>
  <c r="B49" i="104"/>
  <c r="O39" i="104"/>
  <c r="L39" i="104"/>
  <c r="J39" i="104"/>
  <c r="I39" i="104"/>
  <c r="F39" i="104"/>
  <c r="D39" i="104"/>
  <c r="U5" i="104" s="1"/>
  <c r="C39" i="104"/>
  <c r="B39" i="104"/>
  <c r="E39" i="104" s="1"/>
  <c r="O29" i="104"/>
  <c r="L29" i="104"/>
  <c r="J29" i="104"/>
  <c r="I29" i="104"/>
  <c r="F29" i="104"/>
  <c r="D29" i="104"/>
  <c r="C29" i="104"/>
  <c r="B29" i="104"/>
  <c r="E29" i="104" s="1"/>
  <c r="O19" i="104"/>
  <c r="W5" i="104" s="1"/>
  <c r="L19" i="104"/>
  <c r="J19" i="104"/>
  <c r="V5" i="104" s="1"/>
  <c r="I19" i="104"/>
  <c r="F19" i="104"/>
  <c r="E19" i="104"/>
  <c r="D19" i="104"/>
  <c r="C19" i="104"/>
  <c r="B19" i="104"/>
  <c r="T5" i="104"/>
  <c r="C22" i="81"/>
  <c r="A22" i="81"/>
  <c r="M22" i="81"/>
  <c r="E7" i="101"/>
  <c r="C7" i="101"/>
  <c r="D7" i="101" s="1"/>
  <c r="B7" i="101"/>
  <c r="A7" i="101"/>
  <c r="F7" i="101"/>
  <c r="H7" i="101" s="1"/>
  <c r="E7" i="100"/>
  <c r="F7" i="100" s="1"/>
  <c r="H7" i="100" s="1"/>
  <c r="P22" i="81" s="1"/>
  <c r="D7" i="100"/>
  <c r="D6" i="100"/>
  <c r="C7" i="100"/>
  <c r="B7" i="100"/>
  <c r="A7" i="100"/>
  <c r="E14" i="90"/>
  <c r="C14" i="90"/>
  <c r="D14" i="90" s="1"/>
  <c r="B14" i="90"/>
  <c r="A14" i="90"/>
  <c r="F14" i="90"/>
  <c r="H14" i="90" s="1"/>
  <c r="Q24" i="81" l="1"/>
  <c r="AG200" i="101" a="1"/>
  <c r="U5" i="101" s="1"/>
  <c r="I16" i="90"/>
  <c r="AG200" i="90" a="1"/>
  <c r="M24" i="81"/>
  <c r="H5" i="106"/>
  <c r="J9" i="101"/>
  <c r="I9" i="101"/>
  <c r="I9" i="100"/>
  <c r="J9" i="100"/>
  <c r="E129" i="105"/>
  <c r="E89" i="105"/>
  <c r="C89" i="105"/>
  <c r="E125" i="105"/>
  <c r="E119" i="105"/>
  <c r="C119" i="105"/>
  <c r="I8" i="101"/>
  <c r="J8" i="101"/>
  <c r="I8" i="100"/>
  <c r="J8" i="100"/>
  <c r="J15" i="90"/>
  <c r="I15" i="90"/>
  <c r="E89" i="104"/>
  <c r="C89" i="104"/>
  <c r="S5" i="104"/>
  <c r="X5" i="104" s="1"/>
  <c r="E125" i="104"/>
  <c r="E129" i="104" s="1"/>
  <c r="E115" i="104"/>
  <c r="E119" i="104" s="1"/>
  <c r="I7" i="101"/>
  <c r="J7" i="101"/>
  <c r="I7" i="100"/>
  <c r="J7" i="100"/>
  <c r="I14" i="90"/>
  <c r="J14" i="90"/>
  <c r="O129" i="103"/>
  <c r="L129" i="103"/>
  <c r="J129" i="103"/>
  <c r="I129" i="103"/>
  <c r="F129" i="103"/>
  <c r="D129" i="103"/>
  <c r="B129" i="103"/>
  <c r="E125" i="103"/>
  <c r="C125" i="103"/>
  <c r="C129" i="103" s="1"/>
  <c r="O119" i="103"/>
  <c r="L119" i="103"/>
  <c r="J119" i="103"/>
  <c r="I119" i="103"/>
  <c r="F119" i="103"/>
  <c r="D119" i="103"/>
  <c r="B119" i="103"/>
  <c r="C115" i="103"/>
  <c r="C119" i="103" s="1"/>
  <c r="O109" i="103"/>
  <c r="L109" i="103"/>
  <c r="J109" i="103"/>
  <c r="I109" i="103"/>
  <c r="F109" i="103"/>
  <c r="E109" i="103"/>
  <c r="D109" i="103"/>
  <c r="C109" i="103"/>
  <c r="B109" i="103"/>
  <c r="O99" i="103"/>
  <c r="L99" i="103"/>
  <c r="J99" i="103"/>
  <c r="I99" i="103"/>
  <c r="F99" i="103"/>
  <c r="D99" i="103"/>
  <c r="C99" i="103"/>
  <c r="B99" i="103"/>
  <c r="E99" i="103" s="1"/>
  <c r="O89" i="103"/>
  <c r="L89" i="103"/>
  <c r="J89" i="103"/>
  <c r="I89" i="103"/>
  <c r="F89" i="103"/>
  <c r="D89" i="103"/>
  <c r="B89" i="103"/>
  <c r="E85" i="103"/>
  <c r="E89" i="103" s="1"/>
  <c r="C85" i="103"/>
  <c r="C89" i="103" s="1"/>
  <c r="O79" i="103"/>
  <c r="L79" i="103"/>
  <c r="J79" i="103"/>
  <c r="I79" i="103"/>
  <c r="F79" i="103"/>
  <c r="D79" i="103"/>
  <c r="C79" i="103"/>
  <c r="B79" i="103"/>
  <c r="E79" i="103" s="1"/>
  <c r="O69" i="103"/>
  <c r="L69" i="103"/>
  <c r="J69" i="103"/>
  <c r="I69" i="103"/>
  <c r="F69" i="103"/>
  <c r="E69" i="103"/>
  <c r="D69" i="103"/>
  <c r="C69" i="103"/>
  <c r="B69" i="103"/>
  <c r="O59" i="103"/>
  <c r="L59" i="103"/>
  <c r="J59" i="103"/>
  <c r="I59" i="103"/>
  <c r="F59" i="103"/>
  <c r="D59" i="103"/>
  <c r="C59" i="103"/>
  <c r="B59" i="103"/>
  <c r="E59" i="103" s="1"/>
  <c r="O49" i="103"/>
  <c r="L49" i="103"/>
  <c r="J49" i="103"/>
  <c r="I49" i="103"/>
  <c r="F49" i="103"/>
  <c r="E49" i="103"/>
  <c r="D49" i="103"/>
  <c r="C49" i="103"/>
  <c r="B49" i="103"/>
  <c r="O39" i="103"/>
  <c r="L39" i="103"/>
  <c r="J39" i="103"/>
  <c r="I39" i="103"/>
  <c r="F39" i="103"/>
  <c r="D39" i="103"/>
  <c r="C39" i="103"/>
  <c r="B39" i="103"/>
  <c r="E39" i="103" s="1"/>
  <c r="O29" i="103"/>
  <c r="L29" i="103"/>
  <c r="J29" i="103"/>
  <c r="I29" i="103"/>
  <c r="T5" i="103" s="1"/>
  <c r="F29" i="103"/>
  <c r="E29" i="103"/>
  <c r="D29" i="103"/>
  <c r="C29" i="103"/>
  <c r="B29" i="103"/>
  <c r="O19" i="103"/>
  <c r="L19" i="103"/>
  <c r="J19" i="103"/>
  <c r="V5" i="103" s="1"/>
  <c r="I19" i="103"/>
  <c r="F19" i="103"/>
  <c r="D19" i="103"/>
  <c r="C19" i="103"/>
  <c r="B19" i="103"/>
  <c r="E19" i="103" s="1"/>
  <c r="W5" i="103"/>
  <c r="AC3" i="81"/>
  <c r="AG7" i="101"/>
  <c r="AF7" i="101"/>
  <c r="U5" i="90" l="1"/>
  <c r="AG200" i="106" a="1"/>
  <c r="AS2" i="81" s="1"/>
  <c r="R24" i="81"/>
  <c r="J5" i="106"/>
  <c r="I5" i="106"/>
  <c r="X5" i="105"/>
  <c r="E129" i="103"/>
  <c r="U5" i="103"/>
  <c r="S5" i="103"/>
  <c r="E115" i="103"/>
  <c r="E119" i="103" s="1"/>
  <c r="E126" i="102"/>
  <c r="C126" i="102"/>
  <c r="AG7" i="100"/>
  <c r="AF7" i="100"/>
  <c r="AF6" i="100"/>
  <c r="E119" i="102"/>
  <c r="E116" i="102"/>
  <c r="C116" i="102"/>
  <c r="E86" i="102"/>
  <c r="C86" i="102"/>
  <c r="AF6" i="101"/>
  <c r="AG6" i="101"/>
  <c r="AG5" i="101"/>
  <c r="AF5" i="101"/>
  <c r="A6" i="101"/>
  <c r="AG5" i="100"/>
  <c r="AG6" i="100"/>
  <c r="AF5" i="100"/>
  <c r="A6" i="100"/>
  <c r="AG14" i="90"/>
  <c r="AF14" i="90"/>
  <c r="AG13" i="90"/>
  <c r="AF13" i="90"/>
  <c r="AG12" i="90"/>
  <c r="AF12" i="90"/>
  <c r="AG11" i="90"/>
  <c r="AF11" i="90"/>
  <c r="AG10" i="90"/>
  <c r="AF10" i="90"/>
  <c r="AG8" i="90"/>
  <c r="AG9" i="90"/>
  <c r="AG7" i="90"/>
  <c r="AF9" i="90"/>
  <c r="AF8" i="90"/>
  <c r="AF7" i="90"/>
  <c r="AG6" i="90"/>
  <c r="AF6" i="90"/>
  <c r="AG5" i="90"/>
  <c r="AF5" i="90"/>
  <c r="A13" i="90"/>
  <c r="U5" i="93"/>
  <c r="AG19" i="93"/>
  <c r="AF19" i="93"/>
  <c r="AG18" i="93"/>
  <c r="AF18" i="93"/>
  <c r="AG17" i="93"/>
  <c r="AF17" i="93"/>
  <c r="AG16" i="93"/>
  <c r="AF16" i="93"/>
  <c r="AG15" i="93"/>
  <c r="AF15" i="93"/>
  <c r="AG14" i="93"/>
  <c r="AF14" i="93"/>
  <c r="AG13" i="93"/>
  <c r="AF13" i="93"/>
  <c r="AG12" i="93"/>
  <c r="AF12" i="93"/>
  <c r="AG11" i="93"/>
  <c r="AF11" i="93"/>
  <c r="AG10" i="93"/>
  <c r="AF10" i="93"/>
  <c r="AG9" i="93"/>
  <c r="AF9" i="93"/>
  <c r="AG8" i="93"/>
  <c r="AF8" i="93"/>
  <c r="AG7" i="93"/>
  <c r="AF7" i="93"/>
  <c r="AG6" i="93"/>
  <c r="AF6" i="93"/>
  <c r="AG5" i="93"/>
  <c r="AF5" i="93"/>
  <c r="AE10" i="93"/>
  <c r="AE9" i="93"/>
  <c r="AE8" i="93"/>
  <c r="AE7" i="93"/>
  <c r="AE6" i="93"/>
  <c r="AE5" i="93"/>
  <c r="AD10" i="93"/>
  <c r="AD9" i="93"/>
  <c r="AD8" i="93"/>
  <c r="AD7" i="93"/>
  <c r="AD6" i="93"/>
  <c r="AD5" i="93"/>
  <c r="AC10" i="93"/>
  <c r="AC9" i="93"/>
  <c r="AC8" i="93"/>
  <c r="AC7" i="93"/>
  <c r="AC6" i="93"/>
  <c r="AC5" i="93"/>
  <c r="AG19" i="92"/>
  <c r="AF19" i="92"/>
  <c r="AG20" i="92"/>
  <c r="AF20" i="92"/>
  <c r="AG17" i="92"/>
  <c r="AF17" i="92"/>
  <c r="AF18" i="92"/>
  <c r="AG18" i="92"/>
  <c r="U5" i="92" s="1"/>
  <c r="AG15" i="92"/>
  <c r="AF15" i="92"/>
  <c r="AF16" i="92"/>
  <c r="AG16" i="92"/>
  <c r="AG13" i="92"/>
  <c r="AF13" i="92"/>
  <c r="AF14" i="92"/>
  <c r="AG14" i="92"/>
  <c r="AG11" i="92"/>
  <c r="AF11" i="92"/>
  <c r="AF12" i="92"/>
  <c r="AG12" i="92"/>
  <c r="AG9" i="92"/>
  <c r="AF9" i="92"/>
  <c r="AF10" i="92"/>
  <c r="AG10" i="92"/>
  <c r="AG8" i="92"/>
  <c r="AF8" i="92"/>
  <c r="AG7" i="92"/>
  <c r="AF7" i="92"/>
  <c r="AG6" i="92"/>
  <c r="AF6" i="92"/>
  <c r="AG5" i="92"/>
  <c r="AF5" i="92"/>
  <c r="AE10" i="92"/>
  <c r="AE9" i="92"/>
  <c r="AE8" i="92"/>
  <c r="AD10" i="92"/>
  <c r="AD9" i="92"/>
  <c r="AD8" i="92"/>
  <c r="AC10" i="92"/>
  <c r="AC9" i="92"/>
  <c r="AC8" i="92"/>
  <c r="AE7" i="92"/>
  <c r="AD7" i="92"/>
  <c r="AC7" i="92"/>
  <c r="AE6" i="92"/>
  <c r="AD6" i="92"/>
  <c r="AC6" i="92"/>
  <c r="AE5" i="92"/>
  <c r="AD5" i="92"/>
  <c r="AC5" i="92"/>
  <c r="AF5" i="87"/>
  <c r="AF6" i="87"/>
  <c r="AF7" i="87"/>
  <c r="AF8" i="87"/>
  <c r="AG8" i="87"/>
  <c r="AG7" i="87"/>
  <c r="AG6" i="87"/>
  <c r="AG5" i="87"/>
  <c r="U5" i="87" s="1"/>
  <c r="AE8" i="87"/>
  <c r="AE7" i="87"/>
  <c r="AE6" i="87"/>
  <c r="AE5" i="87"/>
  <c r="AD8" i="87"/>
  <c r="AD7" i="87"/>
  <c r="AD6" i="87"/>
  <c r="AD5" i="87"/>
  <c r="AC8" i="87"/>
  <c r="AC7" i="87"/>
  <c r="AC6" i="87"/>
  <c r="AC5" i="87"/>
  <c r="U5" i="86"/>
  <c r="AG8" i="86"/>
  <c r="AG7" i="84"/>
  <c r="AG7" i="86"/>
  <c r="AG6" i="86"/>
  <c r="AG5" i="86"/>
  <c r="AF8" i="86"/>
  <c r="AF7" i="86"/>
  <c r="AF6" i="86"/>
  <c r="AF5" i="86"/>
  <c r="AE8" i="86"/>
  <c r="AE7" i="86"/>
  <c r="AE6" i="86"/>
  <c r="AD8" i="86"/>
  <c r="AD7" i="86"/>
  <c r="AD6" i="86"/>
  <c r="AC8" i="86"/>
  <c r="AC7" i="86"/>
  <c r="AC6" i="86"/>
  <c r="AE5" i="86"/>
  <c r="AD5" i="86"/>
  <c r="AC5" i="86"/>
  <c r="AD3" i="81" l="1"/>
  <c r="AB3" i="81"/>
  <c r="U5" i="106"/>
  <c r="X5" i="103"/>
  <c r="Y5" i="87" a="1"/>
  <c r="Y5" i="86" a="1"/>
  <c r="AF7" i="84"/>
  <c r="AF6" i="84"/>
  <c r="AF5" i="84"/>
  <c r="AG6" i="84"/>
  <c r="AG5" i="84"/>
  <c r="AE9" i="84"/>
  <c r="AE8" i="84"/>
  <c r="AE7" i="84"/>
  <c r="AE6" i="84"/>
  <c r="AE5" i="84"/>
  <c r="AD9" i="84"/>
  <c r="AD8" i="84"/>
  <c r="AD7" i="84"/>
  <c r="AD6" i="84"/>
  <c r="AD5" i="84"/>
  <c r="AC9" i="84"/>
  <c r="AC8" i="84"/>
  <c r="AC7" i="84"/>
  <c r="AC6" i="84"/>
  <c r="AC5" i="84"/>
  <c r="X5" i="84"/>
  <c r="T5" i="84"/>
  <c r="S5" i="84"/>
  <c r="AG7" i="83"/>
  <c r="AF7" i="83"/>
  <c r="AG6" i="83"/>
  <c r="AF6" i="83"/>
  <c r="U5" i="83" s="1"/>
  <c r="AG5" i="83"/>
  <c r="AF5" i="83"/>
  <c r="AE9" i="83"/>
  <c r="Y5" i="83" s="1" a="1"/>
  <c r="AE8" i="83"/>
  <c r="AE7" i="83"/>
  <c r="AE6" i="83"/>
  <c r="AD9" i="83"/>
  <c r="AD8" i="83"/>
  <c r="AD7" i="83"/>
  <c r="AD6" i="83"/>
  <c r="AG11" i="48"/>
  <c r="U5" i="48" s="1"/>
  <c r="AG13" i="46"/>
  <c r="AG7" i="35"/>
  <c r="AC9" i="83"/>
  <c r="AC8" i="83"/>
  <c r="AC7" i="83"/>
  <c r="AC6" i="83"/>
  <c r="AE5" i="83"/>
  <c r="AD5" i="83"/>
  <c r="AC5" i="83"/>
  <c r="AF11" i="48"/>
  <c r="AG10" i="48"/>
  <c r="AF10" i="48"/>
  <c r="AG9" i="48"/>
  <c r="AF9" i="48"/>
  <c r="AG8" i="48"/>
  <c r="AF8" i="48"/>
  <c r="AG7" i="48"/>
  <c r="AF7" i="48"/>
  <c r="AG6" i="48"/>
  <c r="AF6" i="48"/>
  <c r="AE10" i="48"/>
  <c r="AE9" i="48"/>
  <c r="AE8" i="48"/>
  <c r="AE7" i="48"/>
  <c r="AE6" i="48"/>
  <c r="AD10" i="48"/>
  <c r="AD9" i="48"/>
  <c r="AD8" i="48"/>
  <c r="AD7" i="48"/>
  <c r="AD6" i="48"/>
  <c r="AC10" i="48"/>
  <c r="AC9" i="48"/>
  <c r="AC8" i="48"/>
  <c r="AC7" i="48"/>
  <c r="AC6" i="48"/>
  <c r="AG5" i="48"/>
  <c r="AF5" i="48"/>
  <c r="AE5" i="48"/>
  <c r="AD5" i="48"/>
  <c r="AC5" i="48"/>
  <c r="U5" i="46"/>
  <c r="AF13" i="46"/>
  <c r="AG12" i="46"/>
  <c r="AF12" i="46"/>
  <c r="AG11" i="46"/>
  <c r="AF11" i="46"/>
  <c r="AG10" i="46"/>
  <c r="AG9" i="46"/>
  <c r="AG8" i="46"/>
  <c r="AG7" i="46"/>
  <c r="AG6" i="46"/>
  <c r="AG5" i="46"/>
  <c r="AF10" i="46"/>
  <c r="AF9" i="46"/>
  <c r="AF8" i="46"/>
  <c r="AF7" i="46"/>
  <c r="AF6" i="46"/>
  <c r="AF5" i="46"/>
  <c r="AE12" i="46"/>
  <c r="AE11" i="46"/>
  <c r="AE10" i="46"/>
  <c r="AE9" i="46"/>
  <c r="AE8" i="46"/>
  <c r="AE7" i="46"/>
  <c r="AE6" i="46"/>
  <c r="AE5" i="46"/>
  <c r="AD12" i="46"/>
  <c r="AD11" i="46"/>
  <c r="AD10" i="46"/>
  <c r="AD9" i="46"/>
  <c r="AD8" i="46"/>
  <c r="AD7" i="46"/>
  <c r="AD6" i="46"/>
  <c r="AC12" i="46"/>
  <c r="AC11" i="46"/>
  <c r="AC10" i="46"/>
  <c r="AC9" i="46"/>
  <c r="AC8" i="46"/>
  <c r="AC7" i="46"/>
  <c r="AC6" i="46"/>
  <c r="AD5" i="46"/>
  <c r="AC5" i="46"/>
  <c r="C21" i="81"/>
  <c r="A21" i="81"/>
  <c r="U5" i="84" l="1"/>
  <c r="Y5" i="84" a="1"/>
  <c r="Y5" i="48" a="1"/>
  <c r="Y5" i="46" a="1"/>
  <c r="O79" i="102"/>
  <c r="L79" i="102"/>
  <c r="J79" i="102"/>
  <c r="I79" i="102"/>
  <c r="F79" i="102"/>
  <c r="D79" i="102"/>
  <c r="C79" i="102"/>
  <c r="B79" i="102"/>
  <c r="E79" i="102" s="1"/>
  <c r="O69" i="102"/>
  <c r="L69" i="102"/>
  <c r="J69" i="102"/>
  <c r="I69" i="102"/>
  <c r="F69" i="102"/>
  <c r="D69" i="102"/>
  <c r="C69" i="102"/>
  <c r="B69" i="102"/>
  <c r="E69" i="102" s="1"/>
  <c r="O59" i="102"/>
  <c r="L59" i="102"/>
  <c r="J59" i="102"/>
  <c r="I59" i="102"/>
  <c r="F59" i="102"/>
  <c r="D59" i="102"/>
  <c r="C59" i="102"/>
  <c r="B59" i="102"/>
  <c r="E59" i="102" s="1"/>
  <c r="O49" i="102"/>
  <c r="L49" i="102"/>
  <c r="J49" i="102"/>
  <c r="I49" i="102"/>
  <c r="F49" i="102"/>
  <c r="D49" i="102"/>
  <c r="C49" i="102"/>
  <c r="B49" i="102"/>
  <c r="E49" i="102" s="1"/>
  <c r="O39" i="102"/>
  <c r="L39" i="102"/>
  <c r="J39" i="102"/>
  <c r="I39" i="102"/>
  <c r="F39" i="102"/>
  <c r="D39" i="102"/>
  <c r="C39" i="102"/>
  <c r="B39" i="102"/>
  <c r="E39" i="102" s="1"/>
  <c r="O29" i="102"/>
  <c r="L29" i="102"/>
  <c r="J29" i="102"/>
  <c r="I29" i="102"/>
  <c r="F29" i="102"/>
  <c r="E29" i="102"/>
  <c r="D29" i="102"/>
  <c r="C29" i="102"/>
  <c r="B29" i="102"/>
  <c r="O19" i="102"/>
  <c r="L19" i="102"/>
  <c r="J19" i="102"/>
  <c r="I19" i="102"/>
  <c r="F19" i="102"/>
  <c r="D19" i="102"/>
  <c r="C19" i="102"/>
  <c r="B19" i="102"/>
  <c r="E19" i="102" s="1"/>
  <c r="O79" i="99"/>
  <c r="L79" i="99"/>
  <c r="J79" i="99"/>
  <c r="I79" i="99"/>
  <c r="F79" i="99"/>
  <c r="D79" i="99"/>
  <c r="C79" i="99"/>
  <c r="B79" i="99"/>
  <c r="E79" i="99" s="1"/>
  <c r="O69" i="99"/>
  <c r="L69" i="99"/>
  <c r="J69" i="99"/>
  <c r="I69" i="99"/>
  <c r="F69" i="99"/>
  <c r="D69" i="99"/>
  <c r="C69" i="99"/>
  <c r="B69" i="99"/>
  <c r="E69" i="99" s="1"/>
  <c r="O59" i="99"/>
  <c r="L59" i="99"/>
  <c r="J59" i="99"/>
  <c r="I59" i="99"/>
  <c r="F59" i="99"/>
  <c r="D59" i="99"/>
  <c r="C59" i="99"/>
  <c r="B59" i="99"/>
  <c r="E59" i="99" s="1"/>
  <c r="O49" i="99"/>
  <c r="L49" i="99"/>
  <c r="J49" i="99"/>
  <c r="I49" i="99"/>
  <c r="F49" i="99"/>
  <c r="D49" i="99"/>
  <c r="C49" i="99"/>
  <c r="B49" i="99"/>
  <c r="E49" i="99" s="1"/>
  <c r="O39" i="99"/>
  <c r="L39" i="99"/>
  <c r="J39" i="99"/>
  <c r="I39" i="99"/>
  <c r="F39" i="99"/>
  <c r="D39" i="99"/>
  <c r="C39" i="99"/>
  <c r="B39" i="99"/>
  <c r="E39" i="99" s="1"/>
  <c r="O29" i="99"/>
  <c r="L29" i="99"/>
  <c r="J29" i="99"/>
  <c r="I29" i="99"/>
  <c r="F29" i="99"/>
  <c r="D29" i="99"/>
  <c r="C29" i="99"/>
  <c r="B29" i="99"/>
  <c r="E29" i="99" s="1"/>
  <c r="O19" i="99"/>
  <c r="L19" i="99"/>
  <c r="J19" i="99"/>
  <c r="I19" i="99"/>
  <c r="F19" i="99"/>
  <c r="D19" i="99"/>
  <c r="C19" i="99"/>
  <c r="B19" i="99"/>
  <c r="E19" i="99" s="1"/>
  <c r="E89" i="98"/>
  <c r="E99" i="98"/>
  <c r="E109" i="98"/>
  <c r="O79" i="98"/>
  <c r="L79" i="98"/>
  <c r="J79" i="98"/>
  <c r="I79" i="98"/>
  <c r="F79" i="98"/>
  <c r="D79" i="98"/>
  <c r="C79" i="98"/>
  <c r="B79" i="98"/>
  <c r="E79" i="98" s="1"/>
  <c r="O69" i="98"/>
  <c r="L69" i="98"/>
  <c r="J69" i="98"/>
  <c r="I69" i="98"/>
  <c r="F69" i="98"/>
  <c r="D69" i="98"/>
  <c r="C69" i="98"/>
  <c r="B69" i="98"/>
  <c r="E69" i="98" s="1"/>
  <c r="O59" i="98"/>
  <c r="L59" i="98"/>
  <c r="J59" i="98"/>
  <c r="I59" i="98"/>
  <c r="F59" i="98"/>
  <c r="E59" i="98"/>
  <c r="D59" i="98"/>
  <c r="C59" i="98"/>
  <c r="B59" i="98"/>
  <c r="O49" i="98"/>
  <c r="L49" i="98"/>
  <c r="J49" i="98"/>
  <c r="I49" i="98"/>
  <c r="F49" i="98"/>
  <c r="D49" i="98"/>
  <c r="C49" i="98"/>
  <c r="B49" i="98"/>
  <c r="E49" i="98" s="1"/>
  <c r="O39" i="98"/>
  <c r="L39" i="98"/>
  <c r="J39" i="98"/>
  <c r="I39" i="98"/>
  <c r="F39" i="98"/>
  <c r="D39" i="98"/>
  <c r="C39" i="98"/>
  <c r="B39" i="98"/>
  <c r="E39" i="98" s="1"/>
  <c r="O29" i="98"/>
  <c r="L29" i="98"/>
  <c r="J29" i="98"/>
  <c r="I29" i="98"/>
  <c r="F29" i="98"/>
  <c r="D29" i="98"/>
  <c r="C29" i="98"/>
  <c r="B29" i="98"/>
  <c r="E29" i="98" s="1"/>
  <c r="O19" i="98"/>
  <c r="L19" i="98"/>
  <c r="J19" i="98"/>
  <c r="I19" i="98"/>
  <c r="F19" i="98"/>
  <c r="E19" i="98"/>
  <c r="D19" i="98"/>
  <c r="C19" i="98"/>
  <c r="B19" i="98"/>
  <c r="E109" i="97"/>
  <c r="E99" i="97"/>
  <c r="E89" i="97"/>
  <c r="O79" i="97"/>
  <c r="L79" i="97"/>
  <c r="J79" i="97"/>
  <c r="I79" i="97"/>
  <c r="F79" i="97"/>
  <c r="E79" i="97"/>
  <c r="D79" i="97"/>
  <c r="C79" i="97"/>
  <c r="B79" i="97"/>
  <c r="O69" i="97"/>
  <c r="L69" i="97"/>
  <c r="J69" i="97"/>
  <c r="I69" i="97"/>
  <c r="F69" i="97"/>
  <c r="D69" i="97"/>
  <c r="C69" i="97"/>
  <c r="B69" i="97"/>
  <c r="E69" i="97" s="1"/>
  <c r="O59" i="97"/>
  <c r="L59" i="97"/>
  <c r="J59" i="97"/>
  <c r="I59" i="97"/>
  <c r="F59" i="97"/>
  <c r="E59" i="97"/>
  <c r="D59" i="97"/>
  <c r="C59" i="97"/>
  <c r="B59" i="97"/>
  <c r="O49" i="97"/>
  <c r="L49" i="97"/>
  <c r="J49" i="97"/>
  <c r="I49" i="97"/>
  <c r="F49" i="97"/>
  <c r="D49" i="97"/>
  <c r="C49" i="97"/>
  <c r="B49" i="97"/>
  <c r="E49" i="97" s="1"/>
  <c r="O39" i="97"/>
  <c r="L39" i="97"/>
  <c r="J39" i="97"/>
  <c r="I39" i="97"/>
  <c r="F39" i="97"/>
  <c r="D39" i="97"/>
  <c r="C39" i="97"/>
  <c r="B39" i="97"/>
  <c r="E39" i="97" s="1"/>
  <c r="O29" i="97"/>
  <c r="L29" i="97"/>
  <c r="J29" i="97"/>
  <c r="I29" i="97"/>
  <c r="F29" i="97"/>
  <c r="D29" i="97"/>
  <c r="C29" i="97"/>
  <c r="B29" i="97"/>
  <c r="E29" i="97" s="1"/>
  <c r="O19" i="97"/>
  <c r="L19" i="97"/>
  <c r="J19" i="97"/>
  <c r="I19" i="97"/>
  <c r="F19" i="97"/>
  <c r="E19" i="97"/>
  <c r="D19" i="97"/>
  <c r="C19" i="97"/>
  <c r="B19" i="97"/>
  <c r="E109" i="96"/>
  <c r="E99" i="96"/>
  <c r="E89" i="96"/>
  <c r="E89" i="95"/>
  <c r="O79" i="96"/>
  <c r="L79" i="96"/>
  <c r="J79" i="96"/>
  <c r="I79" i="96"/>
  <c r="F79" i="96"/>
  <c r="D79" i="96"/>
  <c r="C79" i="96"/>
  <c r="B79" i="96"/>
  <c r="E79" i="96" s="1"/>
  <c r="O69" i="96"/>
  <c r="L69" i="96"/>
  <c r="J69" i="96"/>
  <c r="I69" i="96"/>
  <c r="F69" i="96"/>
  <c r="E69" i="96"/>
  <c r="D69" i="96"/>
  <c r="C69" i="96"/>
  <c r="B69" i="96"/>
  <c r="O59" i="96"/>
  <c r="L59" i="96"/>
  <c r="J59" i="96"/>
  <c r="I59" i="96"/>
  <c r="F59" i="96"/>
  <c r="E59" i="96"/>
  <c r="D59" i="96"/>
  <c r="C59" i="96"/>
  <c r="B59" i="96"/>
  <c r="O49" i="96"/>
  <c r="L49" i="96"/>
  <c r="J49" i="96"/>
  <c r="I49" i="96"/>
  <c r="F49" i="96"/>
  <c r="D49" i="96"/>
  <c r="C49" i="96"/>
  <c r="B49" i="96"/>
  <c r="E49" i="96" s="1"/>
  <c r="O39" i="96"/>
  <c r="L39" i="96"/>
  <c r="J39" i="96"/>
  <c r="I39" i="96"/>
  <c r="F39" i="96"/>
  <c r="D39" i="96"/>
  <c r="C39" i="96"/>
  <c r="B39" i="96"/>
  <c r="E39" i="96" s="1"/>
  <c r="O29" i="96"/>
  <c r="L29" i="96"/>
  <c r="J29" i="96"/>
  <c r="I29" i="96"/>
  <c r="F29" i="96"/>
  <c r="D29" i="96"/>
  <c r="C29" i="96"/>
  <c r="B29" i="96"/>
  <c r="E29" i="96" s="1"/>
  <c r="O19" i="96"/>
  <c r="L19" i="96"/>
  <c r="J19" i="96"/>
  <c r="I19" i="96"/>
  <c r="F19" i="96"/>
  <c r="E19" i="96"/>
  <c r="D19" i="96"/>
  <c r="C19" i="96"/>
  <c r="B19" i="96"/>
  <c r="E99" i="95"/>
  <c r="E109" i="95"/>
  <c r="O79" i="95"/>
  <c r="L79" i="95"/>
  <c r="J79" i="95"/>
  <c r="I79" i="95"/>
  <c r="F79" i="95"/>
  <c r="D79" i="95"/>
  <c r="C79" i="95"/>
  <c r="B79" i="95"/>
  <c r="E79" i="95" s="1"/>
  <c r="O69" i="95"/>
  <c r="L69" i="95"/>
  <c r="J69" i="95"/>
  <c r="I69" i="95"/>
  <c r="F69" i="95"/>
  <c r="D69" i="95"/>
  <c r="C69" i="95"/>
  <c r="B69" i="95"/>
  <c r="E69" i="95" s="1"/>
  <c r="O59" i="95"/>
  <c r="L59" i="95"/>
  <c r="J59" i="95"/>
  <c r="I59" i="95"/>
  <c r="F59" i="95"/>
  <c r="D59" i="95"/>
  <c r="C59" i="95"/>
  <c r="B59" i="95"/>
  <c r="E59" i="95" s="1"/>
  <c r="O49" i="95"/>
  <c r="L49" i="95"/>
  <c r="J49" i="95"/>
  <c r="I49" i="95"/>
  <c r="F49" i="95"/>
  <c r="D49" i="95"/>
  <c r="C49" i="95"/>
  <c r="B49" i="95"/>
  <c r="E49" i="95" s="1"/>
  <c r="O39" i="95"/>
  <c r="L39" i="95"/>
  <c r="J39" i="95"/>
  <c r="I39" i="95"/>
  <c r="F39" i="95"/>
  <c r="D39" i="95"/>
  <c r="C39" i="95"/>
  <c r="B39" i="95"/>
  <c r="E39" i="95" s="1"/>
  <c r="O29" i="95"/>
  <c r="L29" i="95"/>
  <c r="J29" i="95"/>
  <c r="I29" i="95"/>
  <c r="F29" i="95"/>
  <c r="D29" i="95"/>
  <c r="C29" i="95"/>
  <c r="B29" i="95"/>
  <c r="E29" i="95" s="1"/>
  <c r="O19" i="95"/>
  <c r="L19" i="95"/>
  <c r="J19" i="95"/>
  <c r="I19" i="95"/>
  <c r="F19" i="95"/>
  <c r="E19" i="95"/>
  <c r="D19" i="95"/>
  <c r="C19" i="95"/>
  <c r="B19" i="95"/>
  <c r="E89" i="94"/>
  <c r="E99" i="94"/>
  <c r="E109" i="94"/>
  <c r="E109" i="91"/>
  <c r="E99" i="91"/>
  <c r="E89" i="91"/>
  <c r="E79" i="91"/>
  <c r="E79" i="89"/>
  <c r="E69" i="91"/>
  <c r="E69" i="89"/>
  <c r="E59" i="91"/>
  <c r="E59" i="89"/>
  <c r="E49" i="91"/>
  <c r="E49" i="89"/>
  <c r="E39" i="91"/>
  <c r="E39" i="89"/>
  <c r="E29" i="91"/>
  <c r="E29" i="89"/>
  <c r="E19" i="91"/>
  <c r="E19" i="89"/>
  <c r="E79" i="88"/>
  <c r="E79" i="85"/>
  <c r="E69" i="88"/>
  <c r="E59" i="88"/>
  <c r="E69" i="85"/>
  <c r="E59" i="85"/>
  <c r="E49" i="88"/>
  <c r="E49" i="85"/>
  <c r="E39" i="88"/>
  <c r="E39" i="85"/>
  <c r="E29" i="88"/>
  <c r="E29" i="85"/>
  <c r="E19" i="88"/>
  <c r="E19" i="85"/>
  <c r="E19" i="82"/>
  <c r="U5" i="35" l="1"/>
  <c r="AF5" i="35"/>
  <c r="AG5" i="35"/>
  <c r="AF6" i="35"/>
  <c r="AG6" i="35"/>
  <c r="AF7" i="35"/>
  <c r="AE5" i="35"/>
  <c r="AD5" i="35"/>
  <c r="AC5" i="35"/>
  <c r="AE6" i="35"/>
  <c r="AD6" i="35"/>
  <c r="AC6" i="35"/>
  <c r="E59" i="82"/>
  <c r="E39" i="80"/>
  <c r="E29" i="80"/>
  <c r="E29" i="64"/>
  <c r="E19" i="80"/>
  <c r="E19" i="64"/>
  <c r="E29" i="71"/>
  <c r="E19" i="71"/>
  <c r="E19" i="63"/>
  <c r="E19" i="56"/>
  <c r="E19" i="69"/>
  <c r="E19" i="70"/>
  <c r="O129" i="102" l="1"/>
  <c r="M6" i="101" s="1"/>
  <c r="L129" i="102"/>
  <c r="J129" i="102"/>
  <c r="L6" i="101" s="1"/>
  <c r="I129" i="102"/>
  <c r="F129" i="102"/>
  <c r="D129" i="102"/>
  <c r="K6" i="101" s="1"/>
  <c r="B129" i="102"/>
  <c r="C125" i="102"/>
  <c r="C129" i="102" s="1"/>
  <c r="O119" i="102"/>
  <c r="M6" i="100" s="1"/>
  <c r="L119" i="102"/>
  <c r="J119" i="102"/>
  <c r="L6" i="100" s="1"/>
  <c r="I119" i="102"/>
  <c r="F119" i="102"/>
  <c r="D119" i="102"/>
  <c r="K6" i="100" s="1"/>
  <c r="B119" i="102"/>
  <c r="B6" i="100" s="1"/>
  <c r="C115" i="102"/>
  <c r="C119" i="102" s="1"/>
  <c r="O109" i="102"/>
  <c r="L109" i="102"/>
  <c r="J109" i="102"/>
  <c r="I109" i="102"/>
  <c r="F109" i="102"/>
  <c r="D109" i="102"/>
  <c r="B109" i="102"/>
  <c r="E109" i="102" s="1"/>
  <c r="C109" i="102"/>
  <c r="O99" i="102"/>
  <c r="L99" i="102"/>
  <c r="J99" i="102"/>
  <c r="V5" i="102" s="1"/>
  <c r="I99" i="102"/>
  <c r="T5" i="102" s="1"/>
  <c r="F99" i="102"/>
  <c r="D99" i="102"/>
  <c r="B99" i="102"/>
  <c r="E99" i="102" s="1"/>
  <c r="C99" i="102"/>
  <c r="O89" i="102"/>
  <c r="M13" i="90" s="1"/>
  <c r="L89" i="102"/>
  <c r="J89" i="102"/>
  <c r="L13" i="90" s="1"/>
  <c r="I89" i="102"/>
  <c r="F89" i="102"/>
  <c r="AE13" i="35" s="1"/>
  <c r="D89" i="102"/>
  <c r="K13" i="90" s="1"/>
  <c r="B89" i="102"/>
  <c r="C85" i="102"/>
  <c r="C89" i="102" s="1"/>
  <c r="AC13" i="35" s="1"/>
  <c r="A5" i="101"/>
  <c r="A5" i="100"/>
  <c r="A12" i="90"/>
  <c r="C20" i="81"/>
  <c r="A20" i="81"/>
  <c r="O129" i="99"/>
  <c r="M5" i="101" s="1"/>
  <c r="L129" i="99"/>
  <c r="J129" i="99"/>
  <c r="L5" i="101" s="1"/>
  <c r="I129" i="99"/>
  <c r="F129" i="99"/>
  <c r="AE5" i="101" s="1"/>
  <c r="D129" i="99"/>
  <c r="K5" i="101" s="1"/>
  <c r="B129" i="99"/>
  <c r="C125" i="99"/>
  <c r="C129" i="99" s="1"/>
  <c r="AC5" i="101" s="1"/>
  <c r="O119" i="99"/>
  <c r="M5" i="100" s="1"/>
  <c r="L119" i="99"/>
  <c r="J119" i="99"/>
  <c r="L5" i="100" s="1"/>
  <c r="I119" i="99"/>
  <c r="F119" i="99"/>
  <c r="AE5" i="100" s="1"/>
  <c r="D119" i="99"/>
  <c r="K5" i="100" s="1"/>
  <c r="B119" i="99"/>
  <c r="C115" i="99"/>
  <c r="E115" i="99" s="1"/>
  <c r="A11" i="93"/>
  <c r="A11" i="92"/>
  <c r="O109" i="99"/>
  <c r="M11" i="93" s="1"/>
  <c r="L109" i="99"/>
  <c r="J109" i="99"/>
  <c r="I109" i="99"/>
  <c r="F109" i="99"/>
  <c r="D109" i="99"/>
  <c r="K11" i="93" s="1"/>
  <c r="B109" i="99"/>
  <c r="C105" i="99"/>
  <c r="E105" i="99" s="1"/>
  <c r="O99" i="99"/>
  <c r="M11" i="92" s="1"/>
  <c r="L99" i="99"/>
  <c r="J99" i="99"/>
  <c r="L11" i="92" s="1"/>
  <c r="I99" i="99"/>
  <c r="F99" i="99"/>
  <c r="D99" i="99"/>
  <c r="K11" i="92" s="1"/>
  <c r="B99" i="99"/>
  <c r="C95" i="99"/>
  <c r="C99" i="99" s="1"/>
  <c r="O89" i="99"/>
  <c r="L89" i="99"/>
  <c r="J89" i="99"/>
  <c r="I89" i="99"/>
  <c r="T5" i="99" s="1"/>
  <c r="F89" i="99"/>
  <c r="D89" i="99"/>
  <c r="B89" i="99"/>
  <c r="C85" i="99"/>
  <c r="E85" i="99" s="1"/>
  <c r="C19" i="81"/>
  <c r="A19" i="81"/>
  <c r="A10" i="93"/>
  <c r="A10" i="92"/>
  <c r="A11" i="90"/>
  <c r="O179" i="98"/>
  <c r="L179" i="98"/>
  <c r="J179" i="98"/>
  <c r="I179" i="98"/>
  <c r="F179" i="98"/>
  <c r="D179" i="98"/>
  <c r="C179" i="98"/>
  <c r="B179" i="98"/>
  <c r="O169" i="98"/>
  <c r="L169" i="98"/>
  <c r="J169" i="98"/>
  <c r="I169" i="98"/>
  <c r="F169" i="98"/>
  <c r="D169" i="98"/>
  <c r="C169" i="98"/>
  <c r="B169" i="98"/>
  <c r="O159" i="98"/>
  <c r="L159" i="98"/>
  <c r="J159" i="98"/>
  <c r="I159" i="98"/>
  <c r="F159" i="98"/>
  <c r="D159" i="98"/>
  <c r="C159" i="98"/>
  <c r="B159" i="98"/>
  <c r="O149" i="98"/>
  <c r="L149" i="98"/>
  <c r="J149" i="98"/>
  <c r="I149" i="98"/>
  <c r="F149" i="98"/>
  <c r="D149" i="98"/>
  <c r="C149" i="98"/>
  <c r="B149" i="98"/>
  <c r="O139" i="98"/>
  <c r="L139" i="98"/>
  <c r="J139" i="98"/>
  <c r="I139" i="98"/>
  <c r="F139" i="98"/>
  <c r="D139" i="98"/>
  <c r="C139" i="98"/>
  <c r="B139" i="98"/>
  <c r="O129" i="98"/>
  <c r="L129" i="98"/>
  <c r="J129" i="98"/>
  <c r="I129" i="98"/>
  <c r="F129" i="98"/>
  <c r="D129" i="98"/>
  <c r="C129" i="98"/>
  <c r="B129" i="98"/>
  <c r="O119" i="98"/>
  <c r="L119" i="98"/>
  <c r="J119" i="98"/>
  <c r="I119" i="98"/>
  <c r="F119" i="98"/>
  <c r="D119" i="98"/>
  <c r="C119" i="98"/>
  <c r="B119" i="98"/>
  <c r="O109" i="98"/>
  <c r="M10" i="93" s="1"/>
  <c r="L109" i="98"/>
  <c r="J109" i="98"/>
  <c r="L10" i="93" s="1"/>
  <c r="I109" i="98"/>
  <c r="F109" i="98"/>
  <c r="E10" i="93" s="1"/>
  <c r="D109" i="98"/>
  <c r="B109" i="98"/>
  <c r="B10" i="93" s="1"/>
  <c r="C105" i="98"/>
  <c r="E105" i="98" s="1"/>
  <c r="O99" i="98"/>
  <c r="M10" i="92" s="1"/>
  <c r="L99" i="98"/>
  <c r="J99" i="98"/>
  <c r="L10" i="92" s="1"/>
  <c r="I99" i="98"/>
  <c r="F99" i="98"/>
  <c r="E10" i="92" s="1"/>
  <c r="D99" i="98"/>
  <c r="K10" i="92" s="1"/>
  <c r="B99" i="98"/>
  <c r="B10" i="92" s="1"/>
  <c r="C95" i="98"/>
  <c r="C99" i="98" s="1"/>
  <c r="C10" i="92" s="1"/>
  <c r="O89" i="98"/>
  <c r="M11" i="90" s="1"/>
  <c r="L89" i="98"/>
  <c r="J89" i="98"/>
  <c r="V5" i="98" s="1"/>
  <c r="X19" i="81" s="1"/>
  <c r="I89" i="98"/>
  <c r="T5" i="98" s="1"/>
  <c r="F89" i="98"/>
  <c r="D89" i="98"/>
  <c r="K11" i="90" s="1"/>
  <c r="B89" i="98"/>
  <c r="B11" i="90" s="1"/>
  <c r="C85" i="98"/>
  <c r="C89" i="98" s="1"/>
  <c r="C18" i="81"/>
  <c r="A18" i="81"/>
  <c r="A9" i="93"/>
  <c r="A9" i="92"/>
  <c r="A10" i="90"/>
  <c r="O179" i="97"/>
  <c r="L179" i="97"/>
  <c r="J179" i="97"/>
  <c r="I179" i="97"/>
  <c r="F179" i="97"/>
  <c r="D179" i="97"/>
  <c r="C179" i="97"/>
  <c r="B179" i="97"/>
  <c r="O169" i="97"/>
  <c r="L169" i="97"/>
  <c r="J169" i="97"/>
  <c r="I169" i="97"/>
  <c r="F169" i="97"/>
  <c r="D169" i="97"/>
  <c r="C169" i="97"/>
  <c r="B169" i="97"/>
  <c r="O159" i="97"/>
  <c r="L159" i="97"/>
  <c r="J159" i="97"/>
  <c r="I159" i="97"/>
  <c r="F159" i="97"/>
  <c r="D159" i="97"/>
  <c r="C159" i="97"/>
  <c r="B159" i="97"/>
  <c r="O149" i="97"/>
  <c r="L149" i="97"/>
  <c r="J149" i="97"/>
  <c r="I149" i="97"/>
  <c r="F149" i="97"/>
  <c r="D149" i="97"/>
  <c r="C149" i="97"/>
  <c r="B149" i="97"/>
  <c r="O139" i="97"/>
  <c r="L139" i="97"/>
  <c r="J139" i="97"/>
  <c r="I139" i="97"/>
  <c r="F139" i="97"/>
  <c r="D139" i="97"/>
  <c r="C139" i="97"/>
  <c r="B139" i="97"/>
  <c r="O129" i="97"/>
  <c r="L129" i="97"/>
  <c r="J129" i="97"/>
  <c r="I129" i="97"/>
  <c r="F129" i="97"/>
  <c r="D129" i="97"/>
  <c r="C129" i="97"/>
  <c r="B129" i="97"/>
  <c r="O119" i="97"/>
  <c r="L119" i="97"/>
  <c r="J119" i="97"/>
  <c r="I119" i="97"/>
  <c r="F119" i="97"/>
  <c r="D119" i="97"/>
  <c r="C119" i="97"/>
  <c r="B119" i="97"/>
  <c r="O109" i="97"/>
  <c r="M9" i="93" s="1"/>
  <c r="L109" i="97"/>
  <c r="J109" i="97"/>
  <c r="L9" i="93" s="1"/>
  <c r="I109" i="97"/>
  <c r="F109" i="97"/>
  <c r="E9" i="93" s="1"/>
  <c r="D109" i="97"/>
  <c r="K9" i="93" s="1"/>
  <c r="B109" i="97"/>
  <c r="B9" i="93" s="1"/>
  <c r="C105" i="97"/>
  <c r="E105" i="97" s="1"/>
  <c r="O99" i="97"/>
  <c r="M9" i="92" s="1"/>
  <c r="L99" i="97"/>
  <c r="J99" i="97"/>
  <c r="L9" i="92" s="1"/>
  <c r="I99" i="97"/>
  <c r="F99" i="97"/>
  <c r="E9" i="92" s="1"/>
  <c r="D99" i="97"/>
  <c r="K9" i="92" s="1"/>
  <c r="B99" i="97"/>
  <c r="B9" i="92" s="1"/>
  <c r="C95" i="97"/>
  <c r="C99" i="97" s="1"/>
  <c r="C9" i="92" s="1"/>
  <c r="O89" i="97"/>
  <c r="M10" i="90" s="1"/>
  <c r="L89" i="97"/>
  <c r="J89" i="97"/>
  <c r="I89" i="97"/>
  <c r="F89" i="97"/>
  <c r="D89" i="97"/>
  <c r="K10" i="90" s="1"/>
  <c r="B89" i="97"/>
  <c r="B10" i="90" s="1"/>
  <c r="C85" i="97"/>
  <c r="C89" i="97" s="1"/>
  <c r="B6" i="101" l="1"/>
  <c r="E129" i="102"/>
  <c r="AD6" i="101" s="1"/>
  <c r="E11" i="92"/>
  <c r="AE11" i="92"/>
  <c r="B5" i="100"/>
  <c r="E119" i="99"/>
  <c r="AD5" i="100" s="1"/>
  <c r="C11" i="92"/>
  <c r="AC11" i="92"/>
  <c r="M12" i="90"/>
  <c r="W5" i="99"/>
  <c r="V20" i="81" s="1"/>
  <c r="V5" i="99"/>
  <c r="B11" i="92"/>
  <c r="B11" i="93"/>
  <c r="E109" i="99"/>
  <c r="AD11" i="93" s="1"/>
  <c r="Y5" i="93" s="1" a="1"/>
  <c r="E11" i="93"/>
  <c r="AE11" i="93"/>
  <c r="B5" i="101"/>
  <c r="E129" i="99"/>
  <c r="B12" i="90"/>
  <c r="E89" i="99"/>
  <c r="K12" i="90"/>
  <c r="U5" i="99"/>
  <c r="W20" i="81" s="1"/>
  <c r="S5" i="102"/>
  <c r="U5" i="102"/>
  <c r="W21" i="81" s="1"/>
  <c r="W5" i="102"/>
  <c r="V21" i="81" s="1"/>
  <c r="X21" i="81"/>
  <c r="V5" i="100"/>
  <c r="V5" i="101"/>
  <c r="B13" i="90"/>
  <c r="X5" i="100"/>
  <c r="X5" i="101"/>
  <c r="AE6" i="100"/>
  <c r="E6" i="100"/>
  <c r="P5" i="100"/>
  <c r="W5" i="100"/>
  <c r="P5" i="101"/>
  <c r="W5" i="101"/>
  <c r="C6" i="100"/>
  <c r="AC6" i="100"/>
  <c r="R5" i="92"/>
  <c r="R5" i="93"/>
  <c r="X20" i="81"/>
  <c r="L12" i="90"/>
  <c r="AD12" i="35"/>
  <c r="AD12" i="90"/>
  <c r="AE12" i="35"/>
  <c r="AE12" i="90"/>
  <c r="C89" i="99"/>
  <c r="E5" i="100"/>
  <c r="F5" i="100" s="1"/>
  <c r="C5" i="101"/>
  <c r="D5" i="101" s="1"/>
  <c r="E12" i="90"/>
  <c r="E5" i="101"/>
  <c r="F5" i="101" s="1"/>
  <c r="H5" i="101" s="1"/>
  <c r="L11" i="90"/>
  <c r="U5" i="98"/>
  <c r="W19" i="81" s="1"/>
  <c r="AC11" i="35"/>
  <c r="AC11" i="90"/>
  <c r="AE11" i="35"/>
  <c r="AE11" i="90"/>
  <c r="K10" i="93"/>
  <c r="C11" i="90"/>
  <c r="E85" i="98"/>
  <c r="E11" i="90"/>
  <c r="C109" i="98"/>
  <c r="C10" i="93" s="1"/>
  <c r="C109" i="97"/>
  <c r="C9" i="93" s="1"/>
  <c r="V5" i="97"/>
  <c r="X18" i="81" s="1"/>
  <c r="T5" i="97"/>
  <c r="AC10" i="35"/>
  <c r="AC10" i="90"/>
  <c r="L10" i="90"/>
  <c r="AE10" i="35"/>
  <c r="AE10" i="90"/>
  <c r="C10" i="90"/>
  <c r="E10" i="90"/>
  <c r="AE6" i="101"/>
  <c r="E6" i="101"/>
  <c r="C6" i="101"/>
  <c r="AC6" i="101"/>
  <c r="AE13" i="90"/>
  <c r="E13" i="90"/>
  <c r="AC13" i="90"/>
  <c r="C13" i="90"/>
  <c r="E85" i="102"/>
  <c r="E89" i="102" s="1"/>
  <c r="E125" i="102"/>
  <c r="E115" i="102"/>
  <c r="AD6" i="100" s="1"/>
  <c r="E125" i="99"/>
  <c r="L11" i="93"/>
  <c r="C119" i="99"/>
  <c r="E95" i="99"/>
  <c r="E99" i="99" s="1"/>
  <c r="AD11" i="92" s="1"/>
  <c r="Y5" i="92" s="1" a="1"/>
  <c r="C109" i="99"/>
  <c r="W5" i="98"/>
  <c r="E95" i="98"/>
  <c r="W5" i="97"/>
  <c r="V18" i="81" s="1"/>
  <c r="U5" i="97"/>
  <c r="W18" i="81" s="1"/>
  <c r="S5" i="97"/>
  <c r="E85" i="97"/>
  <c r="E95" i="97"/>
  <c r="C17" i="81"/>
  <c r="A17" i="81"/>
  <c r="S5" i="99" l="1"/>
  <c r="X5" i="99" s="1"/>
  <c r="AD5" i="101"/>
  <c r="Y5" i="101" s="1" a="1"/>
  <c r="C11" i="93"/>
  <c r="AC11" i="93"/>
  <c r="S5" i="100"/>
  <c r="T5" i="100"/>
  <c r="X5" i="102"/>
  <c r="T5" i="101"/>
  <c r="S5" i="101"/>
  <c r="AD13" i="35"/>
  <c r="F6" i="100"/>
  <c r="H6" i="100" s="1"/>
  <c r="I6" i="100" s="1"/>
  <c r="Y5" i="100" a="1"/>
  <c r="D6" i="101"/>
  <c r="H5" i="100"/>
  <c r="P20" i="81" s="1"/>
  <c r="Q5" i="100"/>
  <c r="J5" i="101"/>
  <c r="I5" i="101"/>
  <c r="AC5" i="100"/>
  <c r="C5" i="100"/>
  <c r="D5" i="100" s="1"/>
  <c r="F6" i="101"/>
  <c r="H6" i="101" s="1"/>
  <c r="Q5" i="101"/>
  <c r="AC12" i="35"/>
  <c r="AC12" i="90"/>
  <c r="C12" i="90"/>
  <c r="AD11" i="35"/>
  <c r="AD11" i="90"/>
  <c r="S5" i="98"/>
  <c r="X5" i="98" s="1"/>
  <c r="E19" i="81" s="1"/>
  <c r="AD10" i="35"/>
  <c r="AD10" i="90"/>
  <c r="AD13" i="90"/>
  <c r="V19" i="81"/>
  <c r="X5" i="97"/>
  <c r="A8" i="93"/>
  <c r="A8" i="92"/>
  <c r="A9" i="90"/>
  <c r="P21" i="81" l="1"/>
  <c r="I6" i="101"/>
  <c r="J6" i="100"/>
  <c r="J5" i="100"/>
  <c r="J6" i="101"/>
  <c r="I5" i="100"/>
  <c r="E20" i="81"/>
  <c r="E21" i="81" s="1"/>
  <c r="E22" i="81" s="1"/>
  <c r="O179" i="96"/>
  <c r="L179" i="96"/>
  <c r="J179" i="96"/>
  <c r="I179" i="96"/>
  <c r="F179" i="96"/>
  <c r="D179" i="96"/>
  <c r="C179" i="96"/>
  <c r="B179" i="96"/>
  <c r="O169" i="96"/>
  <c r="L169" i="96"/>
  <c r="J169" i="96"/>
  <c r="I169" i="96"/>
  <c r="F169" i="96"/>
  <c r="D169" i="96"/>
  <c r="C169" i="96"/>
  <c r="B169" i="96"/>
  <c r="O159" i="96"/>
  <c r="L159" i="96"/>
  <c r="J159" i="96"/>
  <c r="I159" i="96"/>
  <c r="F159" i="96"/>
  <c r="D159" i="96"/>
  <c r="C159" i="96"/>
  <c r="B159" i="96"/>
  <c r="O149" i="96"/>
  <c r="L149" i="96"/>
  <c r="J149" i="96"/>
  <c r="I149" i="96"/>
  <c r="F149" i="96"/>
  <c r="D149" i="96"/>
  <c r="C149" i="96"/>
  <c r="B149" i="96"/>
  <c r="O139" i="96"/>
  <c r="L139" i="96"/>
  <c r="J139" i="96"/>
  <c r="I139" i="96"/>
  <c r="F139" i="96"/>
  <c r="D139" i="96"/>
  <c r="C139" i="96"/>
  <c r="B139" i="96"/>
  <c r="O129" i="96"/>
  <c r="L129" i="96"/>
  <c r="J129" i="96"/>
  <c r="I129" i="96"/>
  <c r="F129" i="96"/>
  <c r="D129" i="96"/>
  <c r="C129" i="96"/>
  <c r="B129" i="96"/>
  <c r="O119" i="96"/>
  <c r="L119" i="96"/>
  <c r="J119" i="96"/>
  <c r="I119" i="96"/>
  <c r="F119" i="96"/>
  <c r="D119" i="96"/>
  <c r="C119" i="96"/>
  <c r="B119" i="96"/>
  <c r="O109" i="96"/>
  <c r="M8" i="93" s="1"/>
  <c r="L109" i="96"/>
  <c r="J109" i="96"/>
  <c r="L8" i="93" s="1"/>
  <c r="I109" i="96"/>
  <c r="F109" i="96"/>
  <c r="E8" i="93" s="1"/>
  <c r="D109" i="96"/>
  <c r="K8" i="93" s="1"/>
  <c r="B109" i="96"/>
  <c r="B8" i="93" s="1"/>
  <c r="C105" i="96"/>
  <c r="E105" i="96" s="1"/>
  <c r="O99" i="96"/>
  <c r="L99" i="96"/>
  <c r="J99" i="96"/>
  <c r="L8" i="92" s="1"/>
  <c r="I99" i="96"/>
  <c r="F99" i="96"/>
  <c r="E8" i="92" s="1"/>
  <c r="D99" i="96"/>
  <c r="K8" i="92" s="1"/>
  <c r="B99" i="96"/>
  <c r="B8" i="92" s="1"/>
  <c r="C95" i="96"/>
  <c r="C99" i="96" s="1"/>
  <c r="C8" i="92" s="1"/>
  <c r="O89" i="96"/>
  <c r="M9" i="90" s="1"/>
  <c r="L89" i="96"/>
  <c r="J89" i="96"/>
  <c r="I89" i="96"/>
  <c r="T5" i="96" s="1"/>
  <c r="F89" i="96"/>
  <c r="D89" i="96"/>
  <c r="B89" i="96"/>
  <c r="B9" i="90" s="1"/>
  <c r="C85" i="96"/>
  <c r="C89" i="96" s="1"/>
  <c r="E23" i="81" l="1"/>
  <c r="S22" i="81"/>
  <c r="E9" i="90"/>
  <c r="AE9" i="35"/>
  <c r="AE9" i="90"/>
  <c r="AC9" i="35"/>
  <c r="AC9" i="90"/>
  <c r="L9" i="90"/>
  <c r="V5" i="96"/>
  <c r="X17" i="81" s="1"/>
  <c r="K9" i="90"/>
  <c r="U5" i="96"/>
  <c r="W17" i="81" s="1"/>
  <c r="C9" i="90"/>
  <c r="W5" i="96"/>
  <c r="V17" i="81" s="1"/>
  <c r="M8" i="92"/>
  <c r="E85" i="96"/>
  <c r="E95" i="96"/>
  <c r="C109" i="96"/>
  <c r="S5" i="96" s="1"/>
  <c r="S23" i="81" l="1"/>
  <c r="E24" i="81"/>
  <c r="S24" i="81" s="1"/>
  <c r="AD9" i="35"/>
  <c r="AD9" i="90"/>
  <c r="X5" i="96"/>
  <c r="C8" i="93"/>
  <c r="C16" i="81"/>
  <c r="A16" i="81"/>
  <c r="A7" i="93"/>
  <c r="A7" i="92"/>
  <c r="A8" i="90"/>
  <c r="O179" i="95"/>
  <c r="L179" i="95"/>
  <c r="J179" i="95"/>
  <c r="I179" i="95"/>
  <c r="F179" i="95"/>
  <c r="D179" i="95"/>
  <c r="C179" i="95"/>
  <c r="B179" i="95"/>
  <c r="O169" i="95"/>
  <c r="L169" i="95"/>
  <c r="J169" i="95"/>
  <c r="I169" i="95"/>
  <c r="F169" i="95"/>
  <c r="D169" i="95"/>
  <c r="C169" i="95"/>
  <c r="B169" i="95"/>
  <c r="O159" i="95"/>
  <c r="L159" i="95"/>
  <c r="J159" i="95"/>
  <c r="I159" i="95"/>
  <c r="F159" i="95"/>
  <c r="D159" i="95"/>
  <c r="C159" i="95"/>
  <c r="B159" i="95"/>
  <c r="O149" i="95"/>
  <c r="L149" i="95"/>
  <c r="J149" i="95"/>
  <c r="I149" i="95"/>
  <c r="F149" i="95"/>
  <c r="D149" i="95"/>
  <c r="C149" i="95"/>
  <c r="B149" i="95"/>
  <c r="O139" i="95"/>
  <c r="L139" i="95"/>
  <c r="J139" i="95"/>
  <c r="I139" i="95"/>
  <c r="F139" i="95"/>
  <c r="D139" i="95"/>
  <c r="C139" i="95"/>
  <c r="B139" i="95"/>
  <c r="O129" i="95"/>
  <c r="L129" i="95"/>
  <c r="J129" i="95"/>
  <c r="I129" i="95"/>
  <c r="F129" i="95"/>
  <c r="D129" i="95"/>
  <c r="C129" i="95"/>
  <c r="B129" i="95"/>
  <c r="O119" i="95"/>
  <c r="L119" i="95"/>
  <c r="J119" i="95"/>
  <c r="I119" i="95"/>
  <c r="F119" i="95"/>
  <c r="D119" i="95"/>
  <c r="C119" i="95"/>
  <c r="B119" i="95"/>
  <c r="O109" i="95"/>
  <c r="M7" i="93" s="1"/>
  <c r="L109" i="95"/>
  <c r="J109" i="95"/>
  <c r="L7" i="93" s="1"/>
  <c r="I109" i="95"/>
  <c r="F109" i="95"/>
  <c r="E7" i="93" s="1"/>
  <c r="D109" i="95"/>
  <c r="K7" i="93" s="1"/>
  <c r="B109" i="95"/>
  <c r="B7" i="93" s="1"/>
  <c r="C105" i="95"/>
  <c r="E105" i="95" s="1"/>
  <c r="O99" i="95"/>
  <c r="M7" i="92" s="1"/>
  <c r="L99" i="95"/>
  <c r="J99" i="95"/>
  <c r="L7" i="92" s="1"/>
  <c r="I99" i="95"/>
  <c r="F99" i="95"/>
  <c r="E7" i="92" s="1"/>
  <c r="D99" i="95"/>
  <c r="K7" i="92" s="1"/>
  <c r="B99" i="95"/>
  <c r="B7" i="92" s="1"/>
  <c r="C95" i="95"/>
  <c r="C99" i="95" s="1"/>
  <c r="C7" i="92" s="1"/>
  <c r="O89" i="95"/>
  <c r="L89" i="95"/>
  <c r="J89" i="95"/>
  <c r="I89" i="95"/>
  <c r="T5" i="95" s="1"/>
  <c r="F89" i="95"/>
  <c r="D89" i="95"/>
  <c r="U5" i="95" s="1"/>
  <c r="B89" i="95"/>
  <c r="B8" i="90" s="1"/>
  <c r="C85" i="95"/>
  <c r="E85" i="95" s="1"/>
  <c r="AD8" i="35" l="1"/>
  <c r="AD8" i="90"/>
  <c r="E8" i="90"/>
  <c r="AE8" i="35"/>
  <c r="AE8" i="90"/>
  <c r="K8" i="90"/>
  <c r="M8" i="90"/>
  <c r="W5" i="95"/>
  <c r="V16" i="81" s="1"/>
  <c r="L8" i="90"/>
  <c r="V5" i="95"/>
  <c r="X16" i="81" s="1"/>
  <c r="C89" i="95"/>
  <c r="E95" i="95"/>
  <c r="C109" i="95"/>
  <c r="C7" i="93" s="1"/>
  <c r="W16" i="81"/>
  <c r="AC8" i="35" l="1"/>
  <c r="AC8" i="90"/>
  <c r="C8" i="90"/>
  <c r="S5" i="95"/>
  <c r="X5" i="95" s="1"/>
  <c r="C15" i="81"/>
  <c r="A15" i="81"/>
  <c r="A6" i="93"/>
  <c r="A6" i="92"/>
  <c r="A7" i="90"/>
  <c r="O109" i="94" l="1"/>
  <c r="M6" i="93" s="1"/>
  <c r="L109" i="94"/>
  <c r="J109" i="94"/>
  <c r="L6" i="93" s="1"/>
  <c r="I109" i="94"/>
  <c r="F109" i="94"/>
  <c r="E6" i="93" s="1"/>
  <c r="D109" i="94"/>
  <c r="K6" i="93" s="1"/>
  <c r="B109" i="94"/>
  <c r="B6" i="93" s="1"/>
  <c r="C105" i="94"/>
  <c r="E105" i="94" s="1"/>
  <c r="O99" i="94"/>
  <c r="M6" i="92" s="1"/>
  <c r="L99" i="94"/>
  <c r="J99" i="94"/>
  <c r="L6" i="92" s="1"/>
  <c r="I99" i="94"/>
  <c r="F99" i="94"/>
  <c r="E6" i="92" s="1"/>
  <c r="D99" i="94"/>
  <c r="K6" i="92" s="1"/>
  <c r="B99" i="94"/>
  <c r="B6" i="92" s="1"/>
  <c r="C95" i="94"/>
  <c r="C99" i="94" s="1"/>
  <c r="C6" i="92" s="1"/>
  <c r="O89" i="94"/>
  <c r="M7" i="90" s="1"/>
  <c r="L89" i="94"/>
  <c r="J89" i="94"/>
  <c r="L7" i="90" s="1"/>
  <c r="I89" i="94"/>
  <c r="F89" i="94"/>
  <c r="D89" i="94"/>
  <c r="K7" i="90" s="1"/>
  <c r="B89" i="94"/>
  <c r="B7" i="90" s="1"/>
  <c r="C85" i="94"/>
  <c r="C89" i="94" s="1"/>
  <c r="O79" i="94"/>
  <c r="L79" i="94"/>
  <c r="J79" i="94"/>
  <c r="I79" i="94"/>
  <c r="F79" i="94"/>
  <c r="D79" i="94"/>
  <c r="C79" i="94"/>
  <c r="B79" i="94"/>
  <c r="E79" i="94" s="1"/>
  <c r="O69" i="94"/>
  <c r="L69" i="94"/>
  <c r="J69" i="94"/>
  <c r="I69" i="94"/>
  <c r="F69" i="94"/>
  <c r="D69" i="94"/>
  <c r="C69" i="94"/>
  <c r="B69" i="94"/>
  <c r="E69" i="94" s="1"/>
  <c r="O59" i="94"/>
  <c r="L59" i="94"/>
  <c r="J59" i="94"/>
  <c r="I59" i="94"/>
  <c r="F59" i="94"/>
  <c r="D59" i="94"/>
  <c r="C59" i="94"/>
  <c r="B59" i="94"/>
  <c r="E59" i="94" s="1"/>
  <c r="O49" i="94"/>
  <c r="L49" i="94"/>
  <c r="J49" i="94"/>
  <c r="I49" i="94"/>
  <c r="F49" i="94"/>
  <c r="D49" i="94"/>
  <c r="C49" i="94"/>
  <c r="B49" i="94"/>
  <c r="E49" i="94" s="1"/>
  <c r="O39" i="94"/>
  <c r="L39" i="94"/>
  <c r="J39" i="94"/>
  <c r="I39" i="94"/>
  <c r="F39" i="94"/>
  <c r="D39" i="94"/>
  <c r="B39" i="94"/>
  <c r="E39" i="94" s="1"/>
  <c r="C39" i="94"/>
  <c r="O29" i="94"/>
  <c r="L29" i="94"/>
  <c r="J29" i="94"/>
  <c r="I29" i="94"/>
  <c r="F29" i="94"/>
  <c r="D29" i="94"/>
  <c r="B29" i="94"/>
  <c r="E29" i="94" s="1"/>
  <c r="O19" i="94"/>
  <c r="L19" i="94"/>
  <c r="J19" i="94"/>
  <c r="I19" i="94"/>
  <c r="F19" i="94"/>
  <c r="D19" i="94"/>
  <c r="C19" i="94"/>
  <c r="B19" i="94"/>
  <c r="E19" i="94" s="1"/>
  <c r="U5" i="94" l="1"/>
  <c r="W5" i="94"/>
  <c r="C7" i="90"/>
  <c r="AC7" i="35"/>
  <c r="AC7" i="90"/>
  <c r="E7" i="90"/>
  <c r="AE7" i="35"/>
  <c r="AE7" i="90"/>
  <c r="T5" i="94"/>
  <c r="V5" i="94"/>
  <c r="X15" i="81" s="1"/>
  <c r="V15" i="81"/>
  <c r="W15" i="81"/>
  <c r="E85" i="94"/>
  <c r="E95" i="94"/>
  <c r="C109" i="94"/>
  <c r="C6" i="93" s="1"/>
  <c r="C29" i="94"/>
  <c r="O19" i="70"/>
  <c r="W5" i="70" s="1"/>
  <c r="O19" i="69"/>
  <c r="C88" i="91"/>
  <c r="E88" i="91" s="1"/>
  <c r="K35" i="91"/>
  <c r="K25" i="91"/>
  <c r="A5" i="93"/>
  <c r="A5" i="92"/>
  <c r="O109" i="91"/>
  <c r="M5" i="93" s="1"/>
  <c r="X5" i="93" s="1"/>
  <c r="L109" i="91"/>
  <c r="J109" i="91"/>
  <c r="L5" i="93" s="1"/>
  <c r="W5" i="93" s="1"/>
  <c r="I109" i="91"/>
  <c r="F109" i="91"/>
  <c r="E5" i="93" s="1"/>
  <c r="F5" i="93" s="1"/>
  <c r="D109" i="91"/>
  <c r="K5" i="93" s="1"/>
  <c r="V5" i="93" s="1"/>
  <c r="B109" i="91"/>
  <c r="B5" i="93" s="1"/>
  <c r="P5" i="93" s="1"/>
  <c r="C105" i="91"/>
  <c r="E105" i="91" s="1"/>
  <c r="C95" i="91"/>
  <c r="E95" i="91" s="1"/>
  <c r="O99" i="91"/>
  <c r="M5" i="92" s="1"/>
  <c r="X5" i="92" s="1"/>
  <c r="L99" i="91"/>
  <c r="J99" i="91"/>
  <c r="L5" i="92" s="1"/>
  <c r="W5" i="92" s="1"/>
  <c r="I99" i="91"/>
  <c r="F99" i="91"/>
  <c r="E5" i="92" s="1"/>
  <c r="D99" i="91"/>
  <c r="K5" i="92" s="1"/>
  <c r="V5" i="92" s="1"/>
  <c r="B99" i="91"/>
  <c r="B5" i="92" s="1"/>
  <c r="P5" i="92" s="1"/>
  <c r="C87" i="91"/>
  <c r="E87" i="91" s="1"/>
  <c r="C37" i="91"/>
  <c r="E37" i="91" s="1"/>
  <c r="C36" i="91"/>
  <c r="E36" i="91" s="1"/>
  <c r="K75" i="91"/>
  <c r="K65" i="91"/>
  <c r="K15" i="91"/>
  <c r="C86" i="91"/>
  <c r="E86" i="91" s="1"/>
  <c r="C85" i="91"/>
  <c r="E85" i="91" s="1"/>
  <c r="C14" i="81"/>
  <c r="A14" i="81"/>
  <c r="A6" i="90"/>
  <c r="A8" i="87"/>
  <c r="A8" i="86"/>
  <c r="A9" i="84"/>
  <c r="K55" i="91"/>
  <c r="K45" i="91"/>
  <c r="A9" i="83"/>
  <c r="A10" i="48"/>
  <c r="C35" i="91"/>
  <c r="E35" i="91" s="1"/>
  <c r="A12" i="46"/>
  <c r="A16" i="35"/>
  <c r="C25" i="91"/>
  <c r="C29" i="91" s="1"/>
  <c r="C12" i="46" s="1"/>
  <c r="O89" i="91"/>
  <c r="M6" i="90" s="1"/>
  <c r="L89" i="91"/>
  <c r="J89" i="91"/>
  <c r="L6" i="90" s="1"/>
  <c r="I89" i="91"/>
  <c r="F89" i="91"/>
  <c r="B89" i="91"/>
  <c r="B6" i="90" s="1"/>
  <c r="D89" i="91"/>
  <c r="K6" i="90" s="1"/>
  <c r="O79" i="91"/>
  <c r="M8" i="87" s="1"/>
  <c r="L79" i="91"/>
  <c r="J79" i="91"/>
  <c r="L8" i="87" s="1"/>
  <c r="I79" i="91"/>
  <c r="F79" i="91"/>
  <c r="E8" i="87" s="1"/>
  <c r="C79" i="91"/>
  <c r="C8" i="87" s="1"/>
  <c r="B79" i="91"/>
  <c r="B8" i="87" s="1"/>
  <c r="D79" i="91"/>
  <c r="K8" i="87" s="1"/>
  <c r="O69" i="91"/>
  <c r="M8" i="86" s="1"/>
  <c r="L69" i="91"/>
  <c r="J69" i="91"/>
  <c r="L8" i="86" s="1"/>
  <c r="I69" i="91"/>
  <c r="F69" i="91"/>
  <c r="E8" i="86" s="1"/>
  <c r="C69" i="91"/>
  <c r="C8" i="86" s="1"/>
  <c r="B69" i="91"/>
  <c r="B8" i="86" s="1"/>
  <c r="D69" i="91"/>
  <c r="K8" i="86" s="1"/>
  <c r="O59" i="91"/>
  <c r="M9" i="84" s="1"/>
  <c r="L59" i="91"/>
  <c r="J59" i="91"/>
  <c r="L9" i="84" s="1"/>
  <c r="I59" i="91"/>
  <c r="F59" i="91"/>
  <c r="E9" i="84" s="1"/>
  <c r="D59" i="91"/>
  <c r="K9" i="84" s="1"/>
  <c r="C59" i="91"/>
  <c r="C9" i="84" s="1"/>
  <c r="B59" i="91"/>
  <c r="B9" i="84" s="1"/>
  <c r="O49" i="91"/>
  <c r="M9" i="83" s="1"/>
  <c r="L49" i="91"/>
  <c r="J49" i="91"/>
  <c r="L9" i="83" s="1"/>
  <c r="I49" i="91"/>
  <c r="F49" i="91"/>
  <c r="E9" i="83" s="1"/>
  <c r="D49" i="91"/>
  <c r="K9" i="83" s="1"/>
  <c r="C49" i="91"/>
  <c r="C9" i="83" s="1"/>
  <c r="B49" i="91"/>
  <c r="B9" i="83" s="1"/>
  <c r="O39" i="91"/>
  <c r="M10" i="48" s="1"/>
  <c r="L39" i="91"/>
  <c r="J39" i="91"/>
  <c r="L10" i="48" s="1"/>
  <c r="I39" i="91"/>
  <c r="F39" i="91"/>
  <c r="E10" i="48" s="1"/>
  <c r="D39" i="91"/>
  <c r="B39" i="91"/>
  <c r="B10" i="48" s="1"/>
  <c r="O29" i="91"/>
  <c r="M12" i="46" s="1"/>
  <c r="L29" i="91"/>
  <c r="J29" i="91"/>
  <c r="L12" i="46" s="1"/>
  <c r="I29" i="91"/>
  <c r="F29" i="91"/>
  <c r="E12" i="46" s="1"/>
  <c r="D29" i="91"/>
  <c r="K12" i="46" s="1"/>
  <c r="B29" i="91"/>
  <c r="B12" i="46" s="1"/>
  <c r="O19" i="91"/>
  <c r="L19" i="91"/>
  <c r="J19" i="91"/>
  <c r="I19" i="91"/>
  <c r="F19" i="91"/>
  <c r="E16" i="35" s="1"/>
  <c r="D19" i="91"/>
  <c r="C19" i="91"/>
  <c r="B19" i="91"/>
  <c r="B16" i="35" s="1"/>
  <c r="E15" i="82"/>
  <c r="C13" i="81"/>
  <c r="A13" i="81"/>
  <c r="C12" i="81"/>
  <c r="A12" i="81"/>
  <c r="C11" i="81"/>
  <c r="A11" i="81"/>
  <c r="C10" i="81"/>
  <c r="A10" i="81"/>
  <c r="C9" i="81"/>
  <c r="A9" i="81"/>
  <c r="C8" i="81"/>
  <c r="A8" i="81"/>
  <c r="C7" i="81"/>
  <c r="C6" i="81"/>
  <c r="C5" i="81"/>
  <c r="C4" i="81"/>
  <c r="C3" i="81"/>
  <c r="A5" i="90"/>
  <c r="A7" i="87"/>
  <c r="A7" i="86"/>
  <c r="A8" i="84"/>
  <c r="A8" i="83"/>
  <c r="A9" i="48"/>
  <c r="A11" i="46"/>
  <c r="A15" i="35"/>
  <c r="E85" i="89"/>
  <c r="E89" i="89" s="1"/>
  <c r="AD5" i="90" s="1"/>
  <c r="D85" i="89"/>
  <c r="D89" i="89" s="1"/>
  <c r="K5" i="90" s="1"/>
  <c r="O89" i="89"/>
  <c r="M5" i="90" s="1"/>
  <c r="L89" i="89"/>
  <c r="J89" i="89"/>
  <c r="L5" i="90" s="1"/>
  <c r="I89" i="89"/>
  <c r="F89" i="89"/>
  <c r="C89" i="89"/>
  <c r="B89" i="89"/>
  <c r="B5" i="90" s="1"/>
  <c r="E75" i="89"/>
  <c r="D75" i="89"/>
  <c r="D79" i="89" s="1"/>
  <c r="K7" i="87" s="1"/>
  <c r="E65" i="89"/>
  <c r="D65" i="89"/>
  <c r="D69" i="89" s="1"/>
  <c r="K7" i="86" s="1"/>
  <c r="C35" i="89"/>
  <c r="E35" i="89" s="1"/>
  <c r="C25" i="89"/>
  <c r="E25" i="89" s="1"/>
  <c r="O79" i="89"/>
  <c r="M7" i="87" s="1"/>
  <c r="L79" i="89"/>
  <c r="J79" i="89"/>
  <c r="I79" i="89"/>
  <c r="F79" i="89"/>
  <c r="E7" i="87" s="1"/>
  <c r="C79" i="89"/>
  <c r="C7" i="87" s="1"/>
  <c r="B79" i="89"/>
  <c r="B7" i="87" s="1"/>
  <c r="O69" i="89"/>
  <c r="M7" i="86" s="1"/>
  <c r="L69" i="89"/>
  <c r="J69" i="89"/>
  <c r="L7" i="86" s="1"/>
  <c r="I69" i="89"/>
  <c r="F69" i="89"/>
  <c r="E7" i="86" s="1"/>
  <c r="C69" i="89"/>
  <c r="C7" i="86" s="1"/>
  <c r="B69" i="89"/>
  <c r="B7" i="86" s="1"/>
  <c r="O59" i="89"/>
  <c r="M8" i="84" s="1"/>
  <c r="L59" i="89"/>
  <c r="J59" i="89"/>
  <c r="L8" i="84" s="1"/>
  <c r="I59" i="89"/>
  <c r="F59" i="89"/>
  <c r="E8" i="84" s="1"/>
  <c r="D59" i="89"/>
  <c r="K8" i="84" s="1"/>
  <c r="C59" i="89"/>
  <c r="C8" i="84" s="1"/>
  <c r="B59" i="89"/>
  <c r="B8" i="84" s="1"/>
  <c r="O49" i="89"/>
  <c r="M8" i="83" s="1"/>
  <c r="L49" i="89"/>
  <c r="J49" i="89"/>
  <c r="L8" i="83" s="1"/>
  <c r="I49" i="89"/>
  <c r="F49" i="89"/>
  <c r="E8" i="83" s="1"/>
  <c r="D49" i="89"/>
  <c r="K8" i="83" s="1"/>
  <c r="C49" i="89"/>
  <c r="C8" i="83" s="1"/>
  <c r="B49" i="89"/>
  <c r="B8" i="83" s="1"/>
  <c r="O39" i="89"/>
  <c r="M9" i="48" s="1"/>
  <c r="L39" i="89"/>
  <c r="J39" i="89"/>
  <c r="L9" i="48" s="1"/>
  <c r="I39" i="89"/>
  <c r="F39" i="89"/>
  <c r="E9" i="48" s="1"/>
  <c r="D39" i="89"/>
  <c r="K9" i="48" s="1"/>
  <c r="B39" i="89"/>
  <c r="B9" i="48" s="1"/>
  <c r="O29" i="89"/>
  <c r="M11" i="46" s="1"/>
  <c r="L29" i="89"/>
  <c r="J29" i="89"/>
  <c r="L11" i="46" s="1"/>
  <c r="I29" i="89"/>
  <c r="F29" i="89"/>
  <c r="E11" i="46" s="1"/>
  <c r="D29" i="89"/>
  <c r="K11" i="46" s="1"/>
  <c r="B29" i="89"/>
  <c r="B11" i="46" s="1"/>
  <c r="O19" i="89"/>
  <c r="L19" i="89"/>
  <c r="J19" i="89"/>
  <c r="I19" i="89"/>
  <c r="F19" i="89"/>
  <c r="E15" i="35" s="1"/>
  <c r="D19" i="89"/>
  <c r="C19" i="89"/>
  <c r="B19" i="89"/>
  <c r="B15" i="35" s="1"/>
  <c r="A6" i="87"/>
  <c r="A6" i="86"/>
  <c r="T5" i="92" l="1"/>
  <c r="S5" i="92"/>
  <c r="S5" i="93"/>
  <c r="T5" i="93"/>
  <c r="AD7" i="35"/>
  <c r="Y5" i="35" s="1" a="1"/>
  <c r="AD7" i="90"/>
  <c r="S5" i="94"/>
  <c r="X5" i="94" s="1"/>
  <c r="X5" i="90"/>
  <c r="P5" i="90"/>
  <c r="E5" i="90"/>
  <c r="AE5" i="90"/>
  <c r="T5" i="89"/>
  <c r="C5" i="90"/>
  <c r="AC5" i="90"/>
  <c r="V5" i="90"/>
  <c r="W5" i="90"/>
  <c r="AD6" i="90"/>
  <c r="E6" i="90"/>
  <c r="AE6" i="90"/>
  <c r="V5" i="91"/>
  <c r="X14" i="81" s="1"/>
  <c r="K16" i="35"/>
  <c r="U5" i="91"/>
  <c r="W14" i="81" s="1"/>
  <c r="M16" i="35"/>
  <c r="W5" i="91"/>
  <c r="V14" i="81" s="1"/>
  <c r="T5" i="91"/>
  <c r="C16" i="35"/>
  <c r="U5" i="89"/>
  <c r="W13" i="81" s="1"/>
  <c r="C15" i="35"/>
  <c r="L15" i="35"/>
  <c r="V5" i="89"/>
  <c r="X13" i="81" s="1"/>
  <c r="W5" i="89"/>
  <c r="V13" i="81" s="1"/>
  <c r="L7" i="87"/>
  <c r="L16" i="35"/>
  <c r="K15" i="35"/>
  <c r="R5" i="48"/>
  <c r="M15" i="35"/>
  <c r="H5" i="93"/>
  <c r="F6" i="93"/>
  <c r="C39" i="89"/>
  <c r="C9" i="48" s="1"/>
  <c r="R5" i="46"/>
  <c r="R5" i="35"/>
  <c r="Q5" i="92"/>
  <c r="F5" i="92"/>
  <c r="Q5" i="93"/>
  <c r="C39" i="91"/>
  <c r="C10" i="48" s="1"/>
  <c r="R5" i="83"/>
  <c r="R5" i="84"/>
  <c r="R5" i="86"/>
  <c r="R5" i="87"/>
  <c r="C109" i="91"/>
  <c r="C5" i="93" s="1"/>
  <c r="D5" i="93" s="1"/>
  <c r="D6" i="93" s="1"/>
  <c r="C99" i="91"/>
  <c r="C5" i="92" s="1"/>
  <c r="D5" i="92" s="1"/>
  <c r="D6" i="92" s="1"/>
  <c r="D7" i="92" s="1"/>
  <c r="D8" i="92" s="1"/>
  <c r="D9" i="92" s="1"/>
  <c r="D10" i="92" s="1"/>
  <c r="D11" i="92" s="1"/>
  <c r="C89" i="91"/>
  <c r="K10" i="48"/>
  <c r="E25" i="91"/>
  <c r="C29" i="89"/>
  <c r="C11" i="46" s="1"/>
  <c r="A7" i="84"/>
  <c r="A7" i="83"/>
  <c r="A8" i="48"/>
  <c r="A10" i="46"/>
  <c r="A14" i="35"/>
  <c r="E55" i="88"/>
  <c r="E45" i="88"/>
  <c r="E25" i="88"/>
  <c r="O79" i="88"/>
  <c r="M6" i="87" s="1"/>
  <c r="L79" i="88"/>
  <c r="J79" i="88"/>
  <c r="L6" i="87" s="1"/>
  <c r="I79" i="88"/>
  <c r="F79" i="88"/>
  <c r="E6" i="87" s="1"/>
  <c r="D79" i="88"/>
  <c r="K6" i="87" s="1"/>
  <c r="C79" i="88"/>
  <c r="C6" i="87" s="1"/>
  <c r="B79" i="88"/>
  <c r="B6" i="87" s="1"/>
  <c r="O69" i="88"/>
  <c r="M6" i="86" s="1"/>
  <c r="L69" i="88"/>
  <c r="J69" i="88"/>
  <c r="L6" i="86" s="1"/>
  <c r="I69" i="88"/>
  <c r="F69" i="88"/>
  <c r="E6" i="86" s="1"/>
  <c r="D69" i="88"/>
  <c r="K6" i="86" s="1"/>
  <c r="C69" i="88"/>
  <c r="C6" i="86" s="1"/>
  <c r="B69" i="88"/>
  <c r="B6" i="86" s="1"/>
  <c r="O59" i="88"/>
  <c r="M7" i="84" s="1"/>
  <c r="L59" i="88"/>
  <c r="J59" i="88"/>
  <c r="L7" i="84" s="1"/>
  <c r="I59" i="88"/>
  <c r="F59" i="88"/>
  <c r="E7" i="84" s="1"/>
  <c r="D59" i="88"/>
  <c r="K7" i="84" s="1"/>
  <c r="C59" i="88"/>
  <c r="C7" i="84" s="1"/>
  <c r="B59" i="88"/>
  <c r="B7" i="84" s="1"/>
  <c r="O49" i="88"/>
  <c r="M7" i="83" s="1"/>
  <c r="L49" i="88"/>
  <c r="J49" i="88"/>
  <c r="L7" i="83" s="1"/>
  <c r="I49" i="88"/>
  <c r="F49" i="88"/>
  <c r="E7" i="83" s="1"/>
  <c r="D49" i="88"/>
  <c r="K7" i="83" s="1"/>
  <c r="C49" i="88"/>
  <c r="C7" i="83" s="1"/>
  <c r="B49" i="88"/>
  <c r="B7" i="83" s="1"/>
  <c r="O39" i="88"/>
  <c r="M8" i="48" s="1"/>
  <c r="L39" i="88"/>
  <c r="J39" i="88"/>
  <c r="L8" i="48" s="1"/>
  <c r="I39" i="88"/>
  <c r="F39" i="88"/>
  <c r="E8" i="48" s="1"/>
  <c r="D39" i="88"/>
  <c r="K8" i="48" s="1"/>
  <c r="C39" i="88"/>
  <c r="C8" i="48" s="1"/>
  <c r="B39" i="88"/>
  <c r="B8" i="48" s="1"/>
  <c r="O29" i="88"/>
  <c r="M10" i="46" s="1"/>
  <c r="L29" i="88"/>
  <c r="J29" i="88"/>
  <c r="L10" i="46" s="1"/>
  <c r="I29" i="88"/>
  <c r="F29" i="88"/>
  <c r="E10" i="46" s="1"/>
  <c r="D29" i="88"/>
  <c r="K10" i="46" s="1"/>
  <c r="C29" i="88"/>
  <c r="C10" i="46" s="1"/>
  <c r="B29" i="88"/>
  <c r="B10" i="46" s="1"/>
  <c r="O19" i="88"/>
  <c r="L19" i="88"/>
  <c r="J19" i="88"/>
  <c r="I19" i="88"/>
  <c r="T5" i="88" s="1"/>
  <c r="F19" i="88"/>
  <c r="E14" i="35" s="1"/>
  <c r="D19" i="88"/>
  <c r="C19" i="88"/>
  <c r="B19" i="88"/>
  <c r="B14" i="35" s="1"/>
  <c r="A5" i="87"/>
  <c r="A5" i="86"/>
  <c r="A6" i="84"/>
  <c r="A5" i="84"/>
  <c r="A6" i="83"/>
  <c r="A7" i="48"/>
  <c r="A9" i="46"/>
  <c r="A13" i="35"/>
  <c r="O79" i="85"/>
  <c r="M5" i="87" s="1"/>
  <c r="X5" i="87" s="1"/>
  <c r="L79" i="85"/>
  <c r="J79" i="85"/>
  <c r="L5" i="87" s="1"/>
  <c r="I79" i="85"/>
  <c r="O69" i="85"/>
  <c r="M5" i="86" s="1"/>
  <c r="X5" i="86" s="1"/>
  <c r="L69" i="85"/>
  <c r="J69" i="85"/>
  <c r="L5" i="86" s="1"/>
  <c r="W5" i="86" s="1"/>
  <c r="I69" i="85"/>
  <c r="E25" i="85"/>
  <c r="O59" i="85"/>
  <c r="M6" i="84" s="1"/>
  <c r="L59" i="85"/>
  <c r="J59" i="85"/>
  <c r="L6" i="84" s="1"/>
  <c r="I59" i="85"/>
  <c r="F59" i="85"/>
  <c r="E6" i="84" s="1"/>
  <c r="D59" i="85"/>
  <c r="K6" i="84" s="1"/>
  <c r="C59" i="85"/>
  <c r="C6" i="84" s="1"/>
  <c r="B59" i="85"/>
  <c r="B6" i="84" s="1"/>
  <c r="O49" i="85"/>
  <c r="M6" i="83" s="1"/>
  <c r="L49" i="85"/>
  <c r="J49" i="85"/>
  <c r="L6" i="83" s="1"/>
  <c r="I49" i="85"/>
  <c r="F49" i="85"/>
  <c r="E6" i="83" s="1"/>
  <c r="D49" i="85"/>
  <c r="K6" i="83" s="1"/>
  <c r="C49" i="85"/>
  <c r="C6" i="83" s="1"/>
  <c r="B49" i="85"/>
  <c r="B6" i="83" s="1"/>
  <c r="O39" i="85"/>
  <c r="M7" i="48" s="1"/>
  <c r="L39" i="85"/>
  <c r="J39" i="85"/>
  <c r="L7" i="48" s="1"/>
  <c r="I39" i="85"/>
  <c r="F39" i="85"/>
  <c r="E7" i="48" s="1"/>
  <c r="D39" i="85"/>
  <c r="K7" i="48" s="1"/>
  <c r="C39" i="85"/>
  <c r="C7" i="48" s="1"/>
  <c r="B39" i="85"/>
  <c r="B7" i="48" s="1"/>
  <c r="O29" i="85"/>
  <c r="M9" i="46" s="1"/>
  <c r="L29" i="85"/>
  <c r="J29" i="85"/>
  <c r="L9" i="46" s="1"/>
  <c r="I29" i="85"/>
  <c r="F29" i="85"/>
  <c r="E9" i="46" s="1"/>
  <c r="D29" i="85"/>
  <c r="K9" i="46" s="1"/>
  <c r="C29" i="85"/>
  <c r="C9" i="46" s="1"/>
  <c r="B29" i="85"/>
  <c r="B9" i="46" s="1"/>
  <c r="O19" i="85"/>
  <c r="L19" i="85"/>
  <c r="J19" i="85"/>
  <c r="V5" i="85" s="1"/>
  <c r="I19" i="85"/>
  <c r="F19" i="85"/>
  <c r="E13" i="35" s="1"/>
  <c r="D19" i="85"/>
  <c r="C19" i="85"/>
  <c r="B19" i="85"/>
  <c r="B13" i="35" s="1"/>
  <c r="A5" i="83"/>
  <c r="A6" i="48"/>
  <c r="A5" i="48"/>
  <c r="A8" i="46"/>
  <c r="A12" i="35"/>
  <c r="O59" i="82"/>
  <c r="M5" i="84" s="1"/>
  <c r="L59" i="82"/>
  <c r="J59" i="82"/>
  <c r="L5" i="84" s="1"/>
  <c r="I59" i="82"/>
  <c r="O49" i="82"/>
  <c r="M5" i="83" s="1"/>
  <c r="L49" i="82"/>
  <c r="J49" i="82"/>
  <c r="L5" i="83" s="1"/>
  <c r="I49" i="82"/>
  <c r="E35" i="82"/>
  <c r="E25" i="82"/>
  <c r="O39" i="82"/>
  <c r="M6" i="48" s="1"/>
  <c r="L39" i="82"/>
  <c r="J39" i="82"/>
  <c r="L6" i="48" s="1"/>
  <c r="I39" i="82"/>
  <c r="F39" i="82"/>
  <c r="E6" i="48" s="1"/>
  <c r="D39" i="82"/>
  <c r="K6" i="48" s="1"/>
  <c r="C39" i="82"/>
  <c r="C6" i="48" s="1"/>
  <c r="B39" i="82"/>
  <c r="O29" i="82"/>
  <c r="M8" i="46" s="1"/>
  <c r="L29" i="82"/>
  <c r="J29" i="82"/>
  <c r="L8" i="46" s="1"/>
  <c r="I29" i="82"/>
  <c r="F29" i="82"/>
  <c r="E8" i="46" s="1"/>
  <c r="D29" i="82"/>
  <c r="K8" i="46" s="1"/>
  <c r="C29" i="82"/>
  <c r="C8" i="46" s="1"/>
  <c r="B29" i="82"/>
  <c r="O19" i="82"/>
  <c r="L19" i="82"/>
  <c r="J19" i="82"/>
  <c r="I19" i="82"/>
  <c r="F19" i="82"/>
  <c r="E12" i="35" s="1"/>
  <c r="D19" i="82"/>
  <c r="C19" i="82"/>
  <c r="B19" i="82"/>
  <c r="A7" i="46"/>
  <c r="A11" i="35"/>
  <c r="O39" i="80"/>
  <c r="M5" i="48" s="1"/>
  <c r="L39" i="80"/>
  <c r="J39" i="80"/>
  <c r="L5" i="48" s="1"/>
  <c r="I39" i="80"/>
  <c r="O29" i="80"/>
  <c r="M7" i="46" s="1"/>
  <c r="L29" i="80"/>
  <c r="J29" i="80"/>
  <c r="L7" i="46" s="1"/>
  <c r="I29" i="80"/>
  <c r="F29" i="80"/>
  <c r="E7" i="46" s="1"/>
  <c r="D29" i="80"/>
  <c r="K7" i="46" s="1"/>
  <c r="C29" i="80"/>
  <c r="C7" i="46" s="1"/>
  <c r="B29" i="80"/>
  <c r="B7" i="46" s="1"/>
  <c r="O19" i="80"/>
  <c r="L19" i="80"/>
  <c r="J19" i="80"/>
  <c r="V5" i="80" s="1"/>
  <c r="I19" i="80"/>
  <c r="F19" i="80"/>
  <c r="E11" i="35" s="1"/>
  <c r="D19" i="80"/>
  <c r="C19" i="80"/>
  <c r="B19" i="80"/>
  <c r="B11" i="35" s="1"/>
  <c r="A6" i="46"/>
  <c r="A5" i="46"/>
  <c r="A10" i="35"/>
  <c r="A9" i="35"/>
  <c r="A8" i="35"/>
  <c r="A7" i="35"/>
  <c r="A6" i="35"/>
  <c r="A5" i="35"/>
  <c r="A7" i="81"/>
  <c r="A6" i="81"/>
  <c r="A5" i="81"/>
  <c r="A4" i="81"/>
  <c r="A3" i="81"/>
  <c r="O29" i="64"/>
  <c r="M6" i="46" s="1"/>
  <c r="O19" i="64"/>
  <c r="O29" i="71"/>
  <c r="M5" i="46" s="1"/>
  <c r="O19" i="71"/>
  <c r="O19" i="63"/>
  <c r="O19" i="56"/>
  <c r="L19" i="63"/>
  <c r="J19" i="63"/>
  <c r="I19" i="63"/>
  <c r="F19" i="63"/>
  <c r="D19" i="63"/>
  <c r="C19" i="63"/>
  <c r="S5" i="63" s="1"/>
  <c r="B19" i="63"/>
  <c r="B8" i="35" s="1"/>
  <c r="L19" i="56"/>
  <c r="J19" i="56"/>
  <c r="I19" i="56"/>
  <c r="F19" i="56"/>
  <c r="D19" i="56"/>
  <c r="C19" i="56"/>
  <c r="S5" i="56" s="1"/>
  <c r="B19" i="56"/>
  <c r="B7" i="35" s="1"/>
  <c r="L19" i="70"/>
  <c r="J19" i="70"/>
  <c r="V5" i="70" s="1"/>
  <c r="I19" i="70"/>
  <c r="F19" i="70"/>
  <c r="D19" i="70"/>
  <c r="C19" i="70"/>
  <c r="S5" i="70" s="1"/>
  <c r="B19" i="70"/>
  <c r="B6" i="35" s="1"/>
  <c r="T5" i="90" l="1"/>
  <c r="S5" i="90"/>
  <c r="X5" i="83"/>
  <c r="X5" i="48"/>
  <c r="Q5" i="90"/>
  <c r="W5" i="85"/>
  <c r="Y5" i="90" a="1"/>
  <c r="C6" i="90"/>
  <c r="AC6" i="90"/>
  <c r="B12" i="35"/>
  <c r="B8" i="46"/>
  <c r="E29" i="82"/>
  <c r="B6" i="48"/>
  <c r="E39" i="82"/>
  <c r="W5" i="64"/>
  <c r="T5" i="70"/>
  <c r="T5" i="80"/>
  <c r="T5" i="82"/>
  <c r="S5" i="91"/>
  <c r="X5" i="91" s="1"/>
  <c r="S5" i="89"/>
  <c r="X5" i="89" s="1"/>
  <c r="C14" i="35"/>
  <c r="S5" i="88"/>
  <c r="V5" i="88"/>
  <c r="X12" i="81" s="1"/>
  <c r="U5" i="88"/>
  <c r="W12" i="81" s="1"/>
  <c r="M14" i="35"/>
  <c r="W5" i="88"/>
  <c r="V12" i="81" s="1"/>
  <c r="C13" i="35"/>
  <c r="K13" i="35"/>
  <c r="T5" i="85"/>
  <c r="L12" i="35"/>
  <c r="V5" i="82"/>
  <c r="X10" i="81" s="1"/>
  <c r="K12" i="35"/>
  <c r="C12" i="35"/>
  <c r="M12" i="35"/>
  <c r="W5" i="82"/>
  <c r="V10" i="81" s="1"/>
  <c r="C11" i="35"/>
  <c r="K11" i="35"/>
  <c r="W5" i="80"/>
  <c r="V9" i="81" s="1"/>
  <c r="V8" i="81"/>
  <c r="W5" i="71"/>
  <c r="V7" i="81" s="1"/>
  <c r="V5" i="63"/>
  <c r="X6" i="81" s="1"/>
  <c r="K8" i="35"/>
  <c r="U5" i="63"/>
  <c r="X5" i="63" s="1"/>
  <c r="M8" i="35"/>
  <c r="W5" i="63"/>
  <c r="V5" i="56"/>
  <c r="X5" i="81" s="1"/>
  <c r="K7" i="35"/>
  <c r="U5" i="56"/>
  <c r="W5" i="81" s="1"/>
  <c r="W5" i="56"/>
  <c r="V5" i="81" s="1"/>
  <c r="K6" i="35"/>
  <c r="U5" i="70"/>
  <c r="W4" i="81" s="1"/>
  <c r="D7" i="93"/>
  <c r="D8" i="93" s="1"/>
  <c r="D9" i="93" s="1"/>
  <c r="D10" i="93" s="1"/>
  <c r="D11" i="93" s="1"/>
  <c r="O14" i="81"/>
  <c r="J5" i="93"/>
  <c r="M9" i="35"/>
  <c r="W5" i="87"/>
  <c r="V11" i="81"/>
  <c r="H6" i="93"/>
  <c r="J6" i="93" s="1"/>
  <c r="F7" i="93"/>
  <c r="M7" i="35"/>
  <c r="M10" i="35"/>
  <c r="W5" i="84"/>
  <c r="L11" i="35"/>
  <c r="H5" i="92"/>
  <c r="I5" i="92" s="1"/>
  <c r="F6" i="92"/>
  <c r="X9" i="81"/>
  <c r="X11" i="81"/>
  <c r="L7" i="35"/>
  <c r="X4" i="81"/>
  <c r="L6" i="35"/>
  <c r="L8" i="35"/>
  <c r="M11" i="35"/>
  <c r="L13" i="35"/>
  <c r="K14" i="35"/>
  <c r="V6" i="81"/>
  <c r="M13" i="35"/>
  <c r="L14" i="35"/>
  <c r="I5" i="93"/>
  <c r="W5" i="83"/>
  <c r="E26" i="64"/>
  <c r="L29" i="64"/>
  <c r="J29" i="64"/>
  <c r="L6" i="46" s="1"/>
  <c r="I29" i="64"/>
  <c r="F29" i="64"/>
  <c r="E6" i="46" s="1"/>
  <c r="D29" i="64"/>
  <c r="K6" i="46" s="1"/>
  <c r="C29" i="64"/>
  <c r="C6" i="46" s="1"/>
  <c r="B29" i="64"/>
  <c r="B6" i="46" s="1"/>
  <c r="E25" i="64"/>
  <c r="L19" i="64"/>
  <c r="J19" i="64"/>
  <c r="I19" i="64"/>
  <c r="T5" i="64" s="1"/>
  <c r="F19" i="64"/>
  <c r="E10" i="35" s="1"/>
  <c r="D19" i="64"/>
  <c r="U5" i="64" s="1"/>
  <c r="C19" i="64"/>
  <c r="S5" i="64" s="1"/>
  <c r="B19" i="64"/>
  <c r="L29" i="71"/>
  <c r="J29" i="71"/>
  <c r="L5" i="46" s="1"/>
  <c r="I29" i="71"/>
  <c r="L19" i="71"/>
  <c r="J19" i="71"/>
  <c r="I19" i="71"/>
  <c r="F19" i="71"/>
  <c r="E9" i="35" s="1"/>
  <c r="D19" i="71"/>
  <c r="C19" i="71"/>
  <c r="B19" i="71"/>
  <c r="B9" i="35" s="1"/>
  <c r="E8" i="35"/>
  <c r="C8" i="35"/>
  <c r="E7" i="35"/>
  <c r="C7" i="35"/>
  <c r="E6" i="35"/>
  <c r="C6" i="35"/>
  <c r="L19" i="69"/>
  <c r="J19" i="69"/>
  <c r="V5" i="69" s="1"/>
  <c r="X3" i="81" s="1"/>
  <c r="I19" i="69"/>
  <c r="O15" i="81" l="1"/>
  <c r="V5" i="64"/>
  <c r="X8" i="81" s="1"/>
  <c r="V5" i="71"/>
  <c r="X7" i="81" s="1"/>
  <c r="X5" i="56"/>
  <c r="W6" i="81"/>
  <c r="T5" i="63"/>
  <c r="X5" i="70"/>
  <c r="I6" i="93"/>
  <c r="X5" i="88"/>
  <c r="C10" i="35"/>
  <c r="X5" i="64"/>
  <c r="C9" i="35"/>
  <c r="K9" i="35"/>
  <c r="U5" i="71"/>
  <c r="T5" i="71"/>
  <c r="T5" i="56"/>
  <c r="H6" i="92"/>
  <c r="J6" i="92" s="1"/>
  <c r="F7" i="92"/>
  <c r="H7" i="93"/>
  <c r="F8" i="93"/>
  <c r="N14" i="81"/>
  <c r="J5" i="92"/>
  <c r="T5" i="69"/>
  <c r="B10" i="35"/>
  <c r="L5" i="35"/>
  <c r="L10" i="35"/>
  <c r="L9" i="35"/>
  <c r="W8" i="81"/>
  <c r="K10" i="35"/>
  <c r="W5" i="48"/>
  <c r="W5" i="46"/>
  <c r="H8" i="93" l="1"/>
  <c r="O17" i="81" s="1"/>
  <c r="F9" i="93"/>
  <c r="I6" i="92"/>
  <c r="N15" i="81"/>
  <c r="O16" i="81"/>
  <c r="J7" i="93"/>
  <c r="I7" i="93"/>
  <c r="H7" i="92"/>
  <c r="F8" i="92"/>
  <c r="W5" i="35"/>
  <c r="D5" i="90"/>
  <c r="J8" i="93" l="1"/>
  <c r="I8" i="93"/>
  <c r="H9" i="93"/>
  <c r="F10" i="93"/>
  <c r="H8" i="92"/>
  <c r="N17" i="81" s="1"/>
  <c r="F9" i="92"/>
  <c r="N16" i="81"/>
  <c r="I7" i="92"/>
  <c r="J7" i="92"/>
  <c r="F5" i="90"/>
  <c r="D6" i="90"/>
  <c r="D7" i="90" s="1"/>
  <c r="D8" i="90" s="1"/>
  <c r="D9" i="90" s="1"/>
  <c r="D10" i="90" s="1"/>
  <c r="D11" i="90" s="1"/>
  <c r="D12" i="90" s="1"/>
  <c r="D13" i="90" s="1"/>
  <c r="I8" i="92" l="1"/>
  <c r="J8" i="92"/>
  <c r="H9" i="92"/>
  <c r="F10" i="92"/>
  <c r="O18" i="81"/>
  <c r="J9" i="93"/>
  <c r="I9" i="93"/>
  <c r="H10" i="93"/>
  <c r="F11" i="93"/>
  <c r="H11" i="93" s="1"/>
  <c r="H5" i="90"/>
  <c r="J5" i="90" s="1"/>
  <c r="F6" i="90"/>
  <c r="N18" i="81" l="1"/>
  <c r="I9" i="92"/>
  <c r="J9" i="92"/>
  <c r="I11" i="93"/>
  <c r="J11" i="93"/>
  <c r="O19" i="81"/>
  <c r="J10" i="93"/>
  <c r="I10" i="93"/>
  <c r="H10" i="92"/>
  <c r="F11" i="92"/>
  <c r="H11" i="92" s="1"/>
  <c r="H6" i="90"/>
  <c r="J6" i="90" s="1"/>
  <c r="F7" i="90"/>
  <c r="M13" i="81"/>
  <c r="I5" i="90"/>
  <c r="I6" i="90"/>
  <c r="M14" i="81" l="1"/>
  <c r="J11" i="92"/>
  <c r="I11" i="92"/>
  <c r="N19" i="81"/>
  <c r="J10" i="92"/>
  <c r="I10" i="92"/>
  <c r="H7" i="90"/>
  <c r="J7" i="90" s="1"/>
  <c r="F8" i="90"/>
  <c r="F79" i="85"/>
  <c r="E5" i="87" s="1"/>
  <c r="Q5" i="87" s="1"/>
  <c r="D79" i="85"/>
  <c r="K5" i="87" s="1"/>
  <c r="V5" i="87" s="1"/>
  <c r="C79" i="85"/>
  <c r="C5" i="87" s="1"/>
  <c r="D5" i="87" s="1"/>
  <c r="D6" i="87" s="1"/>
  <c r="D7" i="87" s="1"/>
  <c r="D8" i="87" s="1"/>
  <c r="B79" i="85"/>
  <c r="B5" i="87" s="1"/>
  <c r="P5" i="87" s="1"/>
  <c r="E76" i="85"/>
  <c r="E75" i="85"/>
  <c r="E66" i="85"/>
  <c r="E65" i="85"/>
  <c r="F69" i="85"/>
  <c r="E5" i="86" s="1"/>
  <c r="Q5" i="86" s="1"/>
  <c r="D69" i="85"/>
  <c r="U5" i="85" s="1"/>
  <c r="C69" i="85"/>
  <c r="S5" i="85" s="1"/>
  <c r="B69" i="85"/>
  <c r="F59" i="82"/>
  <c r="E5" i="84" s="1"/>
  <c r="Q5" i="84" s="1"/>
  <c r="D59" i="82"/>
  <c r="K5" i="84" s="1"/>
  <c r="V5" i="84" s="1"/>
  <c r="C59" i="82"/>
  <c r="C5" i="84" s="1"/>
  <c r="D5" i="84" s="1"/>
  <c r="B59" i="82"/>
  <c r="B5" i="84" s="1"/>
  <c r="P5" i="84" s="1"/>
  <c r="E55" i="82"/>
  <c r="S5" i="87" l="1"/>
  <c r="T5" i="87"/>
  <c r="X5" i="85"/>
  <c r="I7" i="90"/>
  <c r="M15" i="81"/>
  <c r="H8" i="90"/>
  <c r="F9" i="90"/>
  <c r="B5" i="86"/>
  <c r="P5" i="86" s="1"/>
  <c r="C5" i="86"/>
  <c r="D5" i="86" s="1"/>
  <c r="D6" i="86" s="1"/>
  <c r="D7" i="86" s="1"/>
  <c r="D8" i="86" s="1"/>
  <c r="K5" i="86"/>
  <c r="V5" i="86" s="1"/>
  <c r="W11" i="81"/>
  <c r="D6" i="84"/>
  <c r="D7" i="84" s="1"/>
  <c r="D8" i="84" s="1"/>
  <c r="D9" i="84" s="1"/>
  <c r="F5" i="87"/>
  <c r="F5" i="86"/>
  <c r="F5" i="84"/>
  <c r="F49" i="82"/>
  <c r="E5" i="83" s="1"/>
  <c r="Q5" i="83" s="1"/>
  <c r="D49" i="82"/>
  <c r="U5" i="82" s="1"/>
  <c r="C49" i="82"/>
  <c r="S5" i="82" s="1"/>
  <c r="B49" i="82"/>
  <c r="E45" i="82"/>
  <c r="S5" i="86" l="1"/>
  <c r="T5" i="86"/>
  <c r="H9" i="90"/>
  <c r="M17" i="81" s="1"/>
  <c r="F10" i="90"/>
  <c r="E49" i="82"/>
  <c r="X5" i="82"/>
  <c r="M16" i="81"/>
  <c r="I8" i="90"/>
  <c r="J8" i="90"/>
  <c r="B5" i="83"/>
  <c r="P5" i="83" s="1"/>
  <c r="C5" i="83"/>
  <c r="D5" i="83" s="1"/>
  <c r="D6" i="83" s="1"/>
  <c r="D7" i="83" s="1"/>
  <c r="D8" i="83" s="1"/>
  <c r="D9" i="83" s="1"/>
  <c r="K5" i="83"/>
  <c r="V5" i="83" s="1"/>
  <c r="W10" i="81"/>
  <c r="H5" i="86"/>
  <c r="F6" i="86"/>
  <c r="H5" i="84"/>
  <c r="F6" i="84"/>
  <c r="H5" i="87"/>
  <c r="J5" i="87" s="1"/>
  <c r="F6" i="87"/>
  <c r="F5" i="83"/>
  <c r="F6" i="83" s="1"/>
  <c r="K11" i="81" l="1"/>
  <c r="J5" i="86"/>
  <c r="I9" i="90"/>
  <c r="J9" i="90"/>
  <c r="H10" i="90"/>
  <c r="F11" i="90"/>
  <c r="J10" i="81"/>
  <c r="J5" i="84"/>
  <c r="S5" i="83"/>
  <c r="T5" i="83"/>
  <c r="H5" i="83"/>
  <c r="I5" i="83" s="1"/>
  <c r="I5" i="86"/>
  <c r="I5" i="84"/>
  <c r="F7" i="84"/>
  <c r="H6" i="84"/>
  <c r="J6" i="84" s="1"/>
  <c r="F7" i="87"/>
  <c r="H6" i="87"/>
  <c r="J6" i="87" s="1"/>
  <c r="F7" i="86"/>
  <c r="H6" i="86"/>
  <c r="J6" i="86" s="1"/>
  <c r="H6" i="83"/>
  <c r="J6" i="83" s="1"/>
  <c r="F7" i="83"/>
  <c r="L11" i="81"/>
  <c r="I5" i="87"/>
  <c r="M18" i="81" l="1"/>
  <c r="S18" i="81" s="1"/>
  <c r="J10" i="90"/>
  <c r="I10" i="90"/>
  <c r="H11" i="90"/>
  <c r="F12" i="90"/>
  <c r="I10" i="81"/>
  <c r="J5" i="83"/>
  <c r="H7" i="87"/>
  <c r="F8" i="87"/>
  <c r="H8" i="87" s="1"/>
  <c r="J8" i="87" s="1"/>
  <c r="H7" i="86"/>
  <c r="F8" i="86"/>
  <c r="H8" i="86" s="1"/>
  <c r="J8" i="86" s="1"/>
  <c r="H7" i="83"/>
  <c r="J7" i="83" s="1"/>
  <c r="F8" i="83"/>
  <c r="K12" i="81"/>
  <c r="I6" i="86"/>
  <c r="J11" i="81"/>
  <c r="I6" i="84"/>
  <c r="L12" i="81"/>
  <c r="I6" i="87"/>
  <c r="I11" i="81"/>
  <c r="I6" i="83"/>
  <c r="H7" i="84"/>
  <c r="J7" i="84" s="1"/>
  <c r="F8" i="84"/>
  <c r="E35" i="80"/>
  <c r="F39" i="80"/>
  <c r="E5" i="48" s="1"/>
  <c r="D39" i="80"/>
  <c r="C39" i="80"/>
  <c r="S5" i="80" s="1"/>
  <c r="B39" i="80"/>
  <c r="E25" i="71"/>
  <c r="F29" i="71"/>
  <c r="E5" i="46" s="1"/>
  <c r="F5" i="46" s="1"/>
  <c r="D29" i="71"/>
  <c r="C29" i="71"/>
  <c r="S5" i="71" s="1"/>
  <c r="X5" i="71" s="1"/>
  <c r="B29" i="71"/>
  <c r="E15" i="69"/>
  <c r="L13" i="81" l="1"/>
  <c r="J7" i="87"/>
  <c r="K13" i="81"/>
  <c r="J7" i="86"/>
  <c r="H12" i="90"/>
  <c r="F13" i="90"/>
  <c r="H13" i="90" s="1"/>
  <c r="M19" i="81"/>
  <c r="S19" i="81" s="1"/>
  <c r="J11" i="90"/>
  <c r="I11" i="90"/>
  <c r="U5" i="80"/>
  <c r="W9" i="81" s="1"/>
  <c r="B5" i="48"/>
  <c r="P5" i="48" s="1"/>
  <c r="C5" i="48"/>
  <c r="D5" i="48" s="1"/>
  <c r="D6" i="48" s="1"/>
  <c r="D7" i="48" s="1"/>
  <c r="D8" i="48" s="1"/>
  <c r="D9" i="48" s="1"/>
  <c r="D10" i="48" s="1"/>
  <c r="K5" i="48"/>
  <c r="V5" i="48" s="1"/>
  <c r="F5" i="48"/>
  <c r="H5" i="48" s="1"/>
  <c r="Q5" i="48"/>
  <c r="K5" i="46"/>
  <c r="V5" i="46" s="1"/>
  <c r="W7" i="81"/>
  <c r="Q5" i="46"/>
  <c r="H5" i="46"/>
  <c r="I7" i="87"/>
  <c r="I8" i="87"/>
  <c r="I8" i="86"/>
  <c r="I7" i="86"/>
  <c r="H8" i="83"/>
  <c r="F9" i="83"/>
  <c r="H9" i="83" s="1"/>
  <c r="J9" i="83" s="1"/>
  <c r="H8" i="84"/>
  <c r="F9" i="84"/>
  <c r="H9" i="84" s="1"/>
  <c r="J9" i="84" s="1"/>
  <c r="J12" i="81"/>
  <c r="I7" i="84"/>
  <c r="I12" i="81"/>
  <c r="I7" i="83"/>
  <c r="B5" i="46"/>
  <c r="P5" i="46" s="1"/>
  <c r="C5" i="46"/>
  <c r="D5" i="46" s="1"/>
  <c r="D6" i="46" s="1"/>
  <c r="D7" i="46" s="1"/>
  <c r="D8" i="46" s="1"/>
  <c r="D9" i="46" s="1"/>
  <c r="D10" i="46" s="1"/>
  <c r="D11" i="46" s="1"/>
  <c r="D12" i="46" s="1"/>
  <c r="F6" i="46"/>
  <c r="T5" i="46" l="1"/>
  <c r="S5" i="46"/>
  <c r="M21" i="81"/>
  <c r="S21" i="81" s="1"/>
  <c r="J13" i="90"/>
  <c r="I13" i="90"/>
  <c r="M20" i="81"/>
  <c r="S20" i="81" s="1"/>
  <c r="J12" i="90"/>
  <c r="I12" i="90"/>
  <c r="I13" i="81"/>
  <c r="J8" i="83"/>
  <c r="J13" i="81"/>
  <c r="J8" i="84"/>
  <c r="X5" i="80"/>
  <c r="H9" i="81"/>
  <c r="J5" i="48"/>
  <c r="G7" i="81"/>
  <c r="J5" i="46"/>
  <c r="F6" i="48"/>
  <c r="F7" i="48" s="1"/>
  <c r="F8" i="48" s="1"/>
  <c r="T5" i="48"/>
  <c r="S5" i="48"/>
  <c r="I8" i="83"/>
  <c r="I9" i="83"/>
  <c r="I9" i="84"/>
  <c r="I8" i="84"/>
  <c r="I5" i="46"/>
  <c r="I5" i="48"/>
  <c r="H6" i="46"/>
  <c r="F7" i="46"/>
  <c r="H7" i="48" l="1"/>
  <c r="J7" i="48" s="1"/>
  <c r="G8" i="81"/>
  <c r="J6" i="46"/>
  <c r="H6" i="48"/>
  <c r="H8" i="48"/>
  <c r="J8" i="48" s="1"/>
  <c r="F9" i="48"/>
  <c r="F8" i="46"/>
  <c r="H7" i="46"/>
  <c r="I6" i="46"/>
  <c r="H11" i="81" l="1"/>
  <c r="I7" i="48"/>
  <c r="H10" i="81"/>
  <c r="J6" i="48"/>
  <c r="G9" i="81"/>
  <c r="J7" i="46"/>
  <c r="I6" i="48"/>
  <c r="H9" i="48"/>
  <c r="F10" i="48"/>
  <c r="H10" i="48" s="1"/>
  <c r="J10" i="48" s="1"/>
  <c r="H8" i="46"/>
  <c r="F9" i="46"/>
  <c r="H12" i="81"/>
  <c r="I8" i="48"/>
  <c r="I7" i="46"/>
  <c r="H13" i="81" l="1"/>
  <c r="J9" i="48"/>
  <c r="G10" i="81"/>
  <c r="J8" i="46"/>
  <c r="I9" i="48"/>
  <c r="I8" i="46"/>
  <c r="I10" i="48"/>
  <c r="H9" i="46"/>
  <c r="J9" i="46" s="1"/>
  <c r="F10" i="46"/>
  <c r="F19" i="69"/>
  <c r="D19" i="69"/>
  <c r="C19" i="69"/>
  <c r="S5" i="69" s="1"/>
  <c r="B19" i="69"/>
  <c r="D3" i="81" l="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U5" i="69"/>
  <c r="W3" i="81" s="1"/>
  <c r="K5" i="35"/>
  <c r="V5" i="35" s="1"/>
  <c r="E5" i="35"/>
  <c r="F5" i="35" s="1"/>
  <c r="H10" i="46"/>
  <c r="J10" i="46" s="1"/>
  <c r="F11" i="46"/>
  <c r="G11" i="81"/>
  <c r="I9" i="46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5" i="35"/>
  <c r="P5" i="35" s="1"/>
  <c r="T5" i="35" s="1"/>
  <c r="C5" i="35"/>
  <c r="D5" i="35" s="1"/>
  <c r="D6" i="35" s="1"/>
  <c r="D7" i="35" s="1"/>
  <c r="D8" i="35" s="1"/>
  <c r="D9" i="35" s="1"/>
  <c r="D10" i="35" s="1"/>
  <c r="D11" i="35" s="1"/>
  <c r="D12" i="35" s="1"/>
  <c r="D13" i="35" s="1"/>
  <c r="D14" i="35" s="1"/>
  <c r="D15" i="35" s="1"/>
  <c r="D16" i="35" s="1"/>
  <c r="D14" i="81" l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X5" i="69"/>
  <c r="E3" i="81" s="1"/>
  <c r="B16" i="81"/>
  <c r="Q5" i="35"/>
  <c r="H5" i="35"/>
  <c r="J5" i="35" s="1"/>
  <c r="F6" i="35"/>
  <c r="F7" i="35" s="1"/>
  <c r="H11" i="46"/>
  <c r="F12" i="46"/>
  <c r="S5" i="35"/>
  <c r="G12" i="81"/>
  <c r="I10" i="46"/>
  <c r="G13" i="81" l="1"/>
  <c r="J11" i="46"/>
  <c r="B17" i="81"/>
  <c r="B18" i="81" s="1"/>
  <c r="E4" i="81"/>
  <c r="F3" i="81"/>
  <c r="S3" i="81" s="1"/>
  <c r="I5" i="35"/>
  <c r="H6" i="35"/>
  <c r="I6" i="35" s="1"/>
  <c r="I11" i="46"/>
  <c r="H12" i="46"/>
  <c r="J12" i="46" s="1"/>
  <c r="H7" i="35"/>
  <c r="F8" i="35"/>
  <c r="B19" i="81" l="1"/>
  <c r="B20" i="81" s="1"/>
  <c r="T18" i="81"/>
  <c r="U18" i="81" s="1"/>
  <c r="E5" i="81"/>
  <c r="T3" i="81"/>
  <c r="U3" i="81" s="1"/>
  <c r="F4" i="81"/>
  <c r="S4" i="81" s="1"/>
  <c r="J6" i="35"/>
  <c r="I7" i="35"/>
  <c r="J7" i="35"/>
  <c r="I12" i="46"/>
  <c r="H8" i="35"/>
  <c r="F9" i="35"/>
  <c r="F5" i="81"/>
  <c r="B21" i="81" l="1"/>
  <c r="T20" i="81"/>
  <c r="U20" i="81" s="1"/>
  <c r="T19" i="81"/>
  <c r="U19" i="81" s="1"/>
  <c r="S5" i="81"/>
  <c r="T5" i="81" s="1"/>
  <c r="U5" i="81" s="1"/>
  <c r="E6" i="81"/>
  <c r="T4" i="81"/>
  <c r="U4" i="81" s="1"/>
  <c r="I8" i="35"/>
  <c r="J8" i="35"/>
  <c r="H9" i="35"/>
  <c r="F10" i="35"/>
  <c r="F6" i="81"/>
  <c r="T21" i="81" l="1"/>
  <c r="U21" i="81" s="1"/>
  <c r="B22" i="81"/>
  <c r="S6" i="81"/>
  <c r="T6" i="81" s="1"/>
  <c r="U6" i="81" s="1"/>
  <c r="E7" i="81"/>
  <c r="I9" i="35"/>
  <c r="J9" i="35"/>
  <c r="H10" i="35"/>
  <c r="F11" i="35"/>
  <c r="F7" i="81"/>
  <c r="B23" i="81" l="1"/>
  <c r="T22" i="81"/>
  <c r="U22" i="81" s="1"/>
  <c r="E8" i="81"/>
  <c r="S7" i="81"/>
  <c r="T7" i="81" s="1"/>
  <c r="U7" i="81" s="1"/>
  <c r="I10" i="35"/>
  <c r="J10" i="35"/>
  <c r="H11" i="35"/>
  <c r="F12" i="35"/>
  <c r="F8" i="81"/>
  <c r="B24" i="81" l="1"/>
  <c r="T24" i="81" s="1"/>
  <c r="U24" i="81" s="1"/>
  <c r="T23" i="81"/>
  <c r="U23" i="81" s="1"/>
  <c r="S8" i="81"/>
  <c r="T8" i="81" s="1"/>
  <c r="U8" i="81" s="1"/>
  <c r="E9" i="81"/>
  <c r="I11" i="35"/>
  <c r="J11" i="35"/>
  <c r="H12" i="35"/>
  <c r="F13" i="35"/>
  <c r="F9" i="81"/>
  <c r="S9" i="81" l="1"/>
  <c r="T9" i="81" s="1"/>
  <c r="U9" i="81" s="1"/>
  <c r="E10" i="81"/>
  <c r="F10" i="81"/>
  <c r="I12" i="35"/>
  <c r="J12" i="35"/>
  <c r="H13" i="35"/>
  <c r="F14" i="35"/>
  <c r="S10" i="81" l="1"/>
  <c r="T10" i="81" s="1"/>
  <c r="U10" i="81" s="1"/>
  <c r="E11" i="81"/>
  <c r="I13" i="35"/>
  <c r="J13" i="35"/>
  <c r="H14" i="35"/>
  <c r="F15" i="35"/>
  <c r="F11" i="81"/>
  <c r="S11" i="81" l="1"/>
  <c r="T11" i="81" s="1"/>
  <c r="U11" i="81" s="1"/>
  <c r="E12" i="81"/>
  <c r="I14" i="35"/>
  <c r="J14" i="35"/>
  <c r="H15" i="35"/>
  <c r="F16" i="35"/>
  <c r="H16" i="35" s="1"/>
  <c r="F12" i="81"/>
  <c r="E13" i="81" l="1"/>
  <c r="S12" i="81"/>
  <c r="T12" i="81" s="1"/>
  <c r="U12" i="81" s="1"/>
  <c r="I16" i="35"/>
  <c r="J16" i="35"/>
  <c r="F13" i="81"/>
  <c r="I15" i="35"/>
  <c r="J15" i="35"/>
  <c r="X5" i="46"/>
  <c r="S13" i="81" l="1"/>
  <c r="T13" i="81" s="1"/>
  <c r="U13" i="81" s="1"/>
  <c r="E14" i="81"/>
  <c r="S14" i="81" l="1"/>
  <c r="T14" i="81" s="1"/>
  <c r="U14" i="81" s="1"/>
  <c r="E15" i="81"/>
  <c r="M5" i="35"/>
  <c r="W5" i="69"/>
  <c r="V3" i="81" s="1"/>
  <c r="M6" i="35"/>
  <c r="V4" i="81"/>
  <c r="E16" i="81" l="1"/>
  <c r="S15" i="81"/>
  <c r="T15" i="81" s="1"/>
  <c r="U15" i="81" s="1"/>
  <c r="X5" i="35"/>
  <c r="S16" i="81" l="1"/>
  <c r="T16" i="81" s="1"/>
  <c r="U16" i="81" s="1"/>
  <c r="E17" i="81"/>
  <c r="S17" i="81" s="1"/>
  <c r="T17" i="81" s="1"/>
  <c r="U17" i="8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<sst xmlns="http://schemas.openxmlformats.org/spreadsheetml/2006/main" count="4479" uniqueCount="78">
  <si>
    <t>Kaina</t>
  </si>
  <si>
    <t>Kiekis</t>
  </si>
  <si>
    <t>Viso:</t>
  </si>
  <si>
    <t>Suma, EUR</t>
  </si>
  <si>
    <t>Vertė gale</t>
  </si>
  <si>
    <t>%</t>
  </si>
  <si>
    <t>Pelnas</t>
  </si>
  <si>
    <t>Mokestis</t>
  </si>
  <si>
    <t>Invest.</t>
  </si>
  <si>
    <t>2024.12</t>
  </si>
  <si>
    <t>Investuota</t>
  </si>
  <si>
    <t>Inešta</t>
  </si>
  <si>
    <t>Vertė</t>
  </si>
  <si>
    <t>Įnešta</t>
  </si>
  <si>
    <t>Pirkimas</t>
  </si>
  <si>
    <t>NADQ</t>
  </si>
  <si>
    <t>NADQ Amundi Nasdaq-100 UCITS ETF (Dist)</t>
  </si>
  <si>
    <t>QDVE iShares S&amp;P 500 Inf. Tech. Sector UCITS ETF (Acc)</t>
  </si>
  <si>
    <t>VWCE Vanguard FTSE All-World UCITS ETF (Acc)</t>
  </si>
  <si>
    <t>NADQ Amundi Nasdaq-100 II UCITS ETF (Dist)</t>
  </si>
  <si>
    <t>QDVE</t>
  </si>
  <si>
    <t>iShares S&amp;P 500 Information Technology Sector UCITS ETF (Acc)</t>
  </si>
  <si>
    <t>Vanguard FTSE All-World UCITS ETF (Acc)</t>
  </si>
  <si>
    <t>VWCE</t>
  </si>
  <si>
    <t>XDEQ Xtarckers MSCI World Quality UCITS ETF (Acc)</t>
  </si>
  <si>
    <t>XDEQ</t>
  </si>
  <si>
    <t>VUAA Vanguard S&amp;P 500 UCITS ETF (Acc)</t>
  </si>
  <si>
    <t>VUAA</t>
  </si>
  <si>
    <t>XDWT Xtrackers MSCI World Information Tech. ETF (Acc)</t>
  </si>
  <si>
    <t>XAIX Xtrackers Artificial Intell. and Big Data ETF (Acc)</t>
  </si>
  <si>
    <t>XDWT Xtrackers MSCI World Information Technology ETF (Acc)</t>
  </si>
  <si>
    <t>XDWT</t>
  </si>
  <si>
    <t>XAIX Xtrackers Artificial Intelligence and Big Data ETF (Acc)</t>
  </si>
  <si>
    <t>XAIX</t>
  </si>
  <si>
    <t>2025.10</t>
  </si>
  <si>
    <t>SPYL SPDR S&amp;P 500 UCITS (Acc)</t>
  </si>
  <si>
    <t>SPYL</t>
  </si>
  <si>
    <t>Pardavimas</t>
  </si>
  <si>
    <t>Suma,EUR</t>
  </si>
  <si>
    <t>Mokesčiai</t>
  </si>
  <si>
    <t>Parduota</t>
  </si>
  <si>
    <t>2025.11</t>
  </si>
  <si>
    <t>Data</t>
  </si>
  <si>
    <t>Išvesta</t>
  </si>
  <si>
    <t>Viso</t>
  </si>
  <si>
    <t>Mėnesio</t>
  </si>
  <si>
    <t>Mėnesio gale</t>
  </si>
  <si>
    <t>Viso Inv.</t>
  </si>
  <si>
    <t>Mėn. Inv.</t>
  </si>
  <si>
    <t>Dividendai</t>
  </si>
  <si>
    <t>JEQP JPM Nasdaq Equity Premium Income Active UCITS ETF - USD (Dist)</t>
  </si>
  <si>
    <t>JGPI JPM Global Equity Premium Income Active UCITS ETF - USD (Dist)</t>
  </si>
  <si>
    <t>JEQP</t>
  </si>
  <si>
    <t>JGPI</t>
  </si>
  <si>
    <t>2025.12</t>
  </si>
  <si>
    <t>2026.01</t>
  </si>
  <si>
    <t>Gryni</t>
  </si>
  <si>
    <t>2026.02</t>
  </si>
  <si>
    <t>2026.03</t>
  </si>
  <si>
    <t>2026.04</t>
  </si>
  <si>
    <t>2026.05</t>
  </si>
  <si>
    <t>EXUS Xtrackers MSCI World ex USA UCITS ETF 1C 1C</t>
  </si>
  <si>
    <t>EXUS</t>
  </si>
  <si>
    <t>IS3N iShares Core MSCI Emerging Markets IMI Acc ETF</t>
  </si>
  <si>
    <t>IS3N</t>
  </si>
  <si>
    <t>2026.06</t>
  </si>
  <si>
    <t>Vid. Kaina</t>
  </si>
  <si>
    <t>Suma</t>
  </si>
  <si>
    <t>XIRR</t>
  </si>
  <si>
    <t>Eur.</t>
  </si>
  <si>
    <t>Pirkimas/pardavimas</t>
  </si>
  <si>
    <t>2026.07</t>
  </si>
  <si>
    <t>2026.08</t>
  </si>
  <si>
    <t>2026.09</t>
  </si>
  <si>
    <t>VGLA  Vanguard FTSE Global All-Cap UCITS ETF (Acc)</t>
  </si>
  <si>
    <t>VGLA</t>
  </si>
  <si>
    <t>Aktyvūs</t>
  </si>
  <si>
    <t>Parduoti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</si>
</sst>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"/>
    <numFmt numFmtId="167" formatCode="yyyy\.mm\.dd;@"/>
    <numFmt numFmtId="168" formatCode="0.0000000"/>
  </numFmts>
  <fonts count="6" x14ac:knownFonts="1">
    <font>
      <sz val="11"/>
      <color theme="1"/>
      <name val="Calibri"/>
      <family val="2"/>
      <charset val="186"/>
      <scheme val="minor"/>
    </font>
    <font>
      <b/>
      <i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/>
    <xf numFmtId="164" fontId="0" fillId="0" borderId="0" xfId="0" applyNumberFormat="1" applyAlignment="1">
      <alignment horizontal="center"/>
    </xf>
    <xf numFmtId="0" fontId="3" fillId="0" borderId="0" xfId="0" applyFont="1"/>
    <xf numFmtId="2" fontId="4" fillId="0" borderId="1" xfId="0" applyNumberFormat="1" applyFont="1" applyBorder="1" applyAlignment="1">
      <alignment horizontal="center"/>
    </xf>
    <xf numFmtId="0" fontId="2" fillId="0" borderId="1" xfId="0" applyFont="1" applyBorder="1"/>
    <xf numFmtId="166" fontId="0" fillId="0" borderId="1" xfId="0" applyNumberForma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left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6" fontId="0" fillId="0" borderId="2" xfId="0" applyNumberFormat="1" applyBorder="1" applyAlignment="1">
      <alignment horizontal="center"/>
    </xf>
    <xf numFmtId="0" fontId="0" fillId="0" borderId="4" xfId="0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6" xfId="0" applyFill="1" applyBorder="1"/>
    <xf numFmtId="166" fontId="0" fillId="2" borderId="7" xfId="0" applyNumberForma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67" fontId="4" fillId="0" borderId="1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4" xfId="0" applyNumberFormat="1" applyBorder="1"/>
    <xf numFmtId="14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5" fillId="0" borderId="1" xfId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5" fillId="3" borderId="5" xfId="1" applyFill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5" fillId="3" borderId="1" xfId="1" applyFill="1" applyBorder="1" applyAlignment="1">
      <alignment horizontal="center"/>
    </xf>
    <xf numFmtId="0" fontId="5" fillId="0" borderId="0" xfId="1" applyFill="1" applyAlignment="1">
      <alignment horizontal="center"/>
    </xf>
    <xf numFmtId="2" fontId="5" fillId="3" borderId="1" xfId="1" applyNumberFormat="1" applyFill="1" applyBorder="1" applyAlignment="1">
      <alignment horizontal="center"/>
    </xf>
    <xf numFmtId="167" fontId="4" fillId="0" borderId="1" xfId="0" applyNumberFormat="1" applyFont="1" applyBorder="1"/>
    <xf numFmtId="167" fontId="3" fillId="0" borderId="1" xfId="0" applyNumberFormat="1" applyFont="1" applyBorder="1"/>
    <xf numFmtId="167" fontId="1" fillId="0" borderId="1" xfId="0" applyNumberFormat="1" applyFont="1" applyBorder="1"/>
    <xf numFmtId="167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0" fillId="0" borderId="1" xfId="0" applyNumberFormat="1" applyBorder="1"/>
    <xf numFmtId="168" fontId="0" fillId="0" borderId="1" xfId="0" applyNumberFormat="1" applyBorder="1" applyAlignment="1">
      <alignment horizontal="center"/>
    </xf>
    <xf numFmtId="0" fontId="5" fillId="0" borderId="1" xfId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1" applyBorder="1" applyAlignment="1">
      <alignment horizontal="center"/>
    </xf>
    <xf numFmtId="0" fontId="5" fillId="0" borderId="3" xfId="1" applyBorder="1" applyAlignment="1">
      <alignment horizontal="center"/>
    </xf>
    <xf numFmtId="0" fontId="5" fillId="0" borderId="4" xfId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1" xfId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5" fillId="0" borderId="4" xfId="1" applyBorder="1" applyAlignment="1">
      <alignment horizontal="center" vertical="center"/>
    </xf>
    <xf numFmtId="0" fontId="3" fillId="0" borderId="2" xfId="0" quotePrefix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9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0233E1-3095-4396-BCAC-A6B0A31DC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6B1B85-5525-40EA-92D3-0A2CE7079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AD91D4-981A-4427-B7B9-D0C6B1BB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9CCDF-F3EA-43E8-BC8A-CD590C13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FF9E2-971D-4933-93ED-61EAB23B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7282AB-360E-4CD7-9FCD-36998B3A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2D497-03B5-47AF-95E4-5CEE11AFE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5BD30B-B5A2-4F2D-84BC-9DA32823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B6DDC-6417-4CB7-8D39-524BE37C1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9CC904-EB9C-4A4D-8DAC-E95B95A00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3D4767-D7A9-4CD5-A4BE-CF93C7AB7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37E4BA-DAAF-4541-A2B2-65750846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</xdr:row>
      <xdr:rowOff>0</xdr:rowOff>
    </xdr:from>
    <xdr:to>
      <xdr:col>15</xdr:col>
      <xdr:colOff>200025</xdr:colOff>
      <xdr:row>10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931FF0-9485-441C-B1D9-3ADF2406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267950" y="11430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6B93C-DF4F-4771-8A0E-D002A80D9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C02F02-A030-401F-87A7-0B933C84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551145-7365-40C5-948F-3EA9A181D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88519-838F-4C36-B919-0CFCE12B9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549D6-85AB-45F5-8D81-A89551C41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7093AA-9A12-463B-AB93-FA91488F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940B1-F7C6-4445-A167-84209780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AC5E63-B3E2-4D13-ADB4-84E97698E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A3916-E591-4946-848B-099D8699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E4B3ED-DB56-4A31-97EE-426A0B22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B1E209-ACAF-44F4-B231-60CF0D415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93B411-498C-441E-B68B-9BC0990C0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C5795B-A9E1-4FA2-B228-CD55621B1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EDBEB4-E3B1-46F6-89AF-580E73D6C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B9CFB5-954C-47A0-BFD3-0E257FE92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C705B-B257-4A71-A17E-9DFDE396E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5ED07-B5EE-4E8B-BAF4-6E9AE7AB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C7758-B300-4137-A4A7-CC95078A7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8FC289-7FD1-43C9-AA65-08667A879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68A4AD-6BD2-41C9-A4D1-01AE8FB1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69597-24AF-4652-84F0-182DBB49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26</xdr:col>
      <xdr:colOff>304800</xdr:colOff>
      <xdr:row>5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13C889-8A60-49A1-925D-8169951B3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621125" y="190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"/>
  <sheetViews>
    <sheetView workbookViewId="0">
      <pane ySplit="2" topLeftCell="A3" activePane="bottomLeft" state="frozen"/>
      <selection pane="bottomLeft" activeCell="T35" sqref="T35"/>
    </sheetView>
  </sheetViews>
  <sheetFormatPr defaultRowHeight="15" x14ac:dyDescent="0.25"/>
  <cols>
    <col min="1" max="1" width="15.7109375" customWidth="1"/>
    <col min="2" max="5" width="10.7109375" customWidth="1"/>
    <col min="6" max="12" width="10.7109375" hidden="1" customWidth="1"/>
    <col min="13" max="13" width="10.7109375" customWidth="1"/>
    <col min="14" max="15" width="10.7109375" hidden="1" customWidth="1"/>
    <col min="16" max="25" width="10.7109375" customWidth="1"/>
    <col min="28" max="30" width="10.7109375" customWidth="1"/>
  </cols>
  <sheetData>
    <row r="1" spans="1:45" x14ac:dyDescent="0.25">
      <c r="A1" s="66" t="s">
        <v>42</v>
      </c>
      <c r="B1" s="73" t="s">
        <v>2</v>
      </c>
      <c r="C1" s="74"/>
      <c r="D1" s="74"/>
      <c r="E1" s="75"/>
      <c r="F1" s="73" t="s">
        <v>46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5"/>
      <c r="V1" s="66" t="s">
        <v>49</v>
      </c>
      <c r="W1" s="69" t="s">
        <v>39</v>
      </c>
      <c r="X1" s="70"/>
      <c r="AB1" s="3" t="s">
        <v>68</v>
      </c>
      <c r="AC1" s="3" t="s">
        <v>68</v>
      </c>
      <c r="AD1" s="3" t="s">
        <v>68</v>
      </c>
      <c r="AS1" s="6" t="s">
        <v>68</v>
      </c>
    </row>
    <row r="2" spans="1:45" x14ac:dyDescent="0.25">
      <c r="A2" s="67"/>
      <c r="B2" s="27" t="s">
        <v>11</v>
      </c>
      <c r="C2" s="27" t="s">
        <v>43</v>
      </c>
      <c r="D2" s="27" t="s">
        <v>10</v>
      </c>
      <c r="E2" s="27" t="s">
        <v>56</v>
      </c>
      <c r="F2" s="49" t="s">
        <v>15</v>
      </c>
      <c r="G2" s="49" t="s">
        <v>20</v>
      </c>
      <c r="H2" s="49" t="s">
        <v>23</v>
      </c>
      <c r="I2" s="49" t="s">
        <v>25</v>
      </c>
      <c r="J2" s="49" t="s">
        <v>27</v>
      </c>
      <c r="K2" s="49" t="s">
        <v>31</v>
      </c>
      <c r="L2" s="49" t="s">
        <v>33</v>
      </c>
      <c r="M2" s="50" t="s">
        <v>36</v>
      </c>
      <c r="N2" s="49" t="s">
        <v>52</v>
      </c>
      <c r="O2" s="49" t="s">
        <v>53</v>
      </c>
      <c r="P2" s="50" t="s">
        <v>62</v>
      </c>
      <c r="Q2" s="52" t="s">
        <v>64</v>
      </c>
      <c r="R2" s="52" t="s">
        <v>75</v>
      </c>
      <c r="S2" s="27" t="s">
        <v>12</v>
      </c>
      <c r="T2" s="27" t="s">
        <v>6</v>
      </c>
      <c r="U2" s="27" t="s">
        <v>5</v>
      </c>
      <c r="V2" s="67"/>
      <c r="W2" s="3" t="s">
        <v>14</v>
      </c>
      <c r="X2" s="3" t="s">
        <v>37</v>
      </c>
      <c r="AB2" s="3" t="s">
        <v>76</v>
      </c>
      <c r="AC2" s="3" t="s">
        <v>77</v>
      </c>
      <c r="AD2" s="3" t="s">
        <v>44</v>
      </c>
      <c r="AS2" s="25">
        <f ca="1">XIRR(_xlfn.VSTACK(SPYL!AG5:AG200,EXUS!AG5:AG200,IS3N!AG5:AG200,VGLA!AG5:AG200,NADQ!AG5:AG200,QDVE!AG5:AG200,VWCE!AG5:AG200,XDEQ!AG5:AG200,VUAA!AG5:AG200,XDWT!AG5:AG200,XAIX!AG5:AG200,JEQP!AG5:AG200,JGPI!AG5:AG200),_xlfn.VSTACK(SPYL!AF5:AF200,EXUS!AF5:AF200,IS3N!AF5:AF200,VGLA!AF5:AF200,NADQ!AF5:AF200,QDVE!AF5:AF200,VWCE!AF5:AF200,XDEQ!AF5:AF200,VUAA!AF5:AF200,XDWT!AF5:AF200,XAIX!AF5:AF200,JEQP!AF5:AF200,JGPI!AF5:AF200))</f>
        <v>0.18461092114448552</v>
      </c>
    </row>
    <row r="3" spans="1:45" x14ac:dyDescent="0.25">
      <c r="A3" s="46" t="str">
        <f>'2024.12'!Q2</f>
        <v>2024.12</v>
      </c>
      <c r="B3" s="5">
        <f>'2024.12'!Q5</f>
        <v>10</v>
      </c>
      <c r="C3" s="5">
        <f>'2024.12'!R5</f>
        <v>0</v>
      </c>
      <c r="D3" s="5">
        <f>'2024.12'!S5</f>
        <v>10</v>
      </c>
      <c r="E3" s="5">
        <f>'2024.12'!X5</f>
        <v>0</v>
      </c>
      <c r="F3" s="18">
        <f>NADQ!H5</f>
        <v>9.9700310875000007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5">
        <v>0</v>
      </c>
      <c r="N3" s="18">
        <v>0</v>
      </c>
      <c r="O3" s="18">
        <v>0</v>
      </c>
      <c r="P3" s="5">
        <v>0</v>
      </c>
      <c r="Q3" s="5">
        <v>0</v>
      </c>
      <c r="R3" s="5">
        <v>0</v>
      </c>
      <c r="S3" s="5">
        <f t="shared" ref="S3:S17" si="0">SUM(F3:O3)+E3</f>
        <v>9.9700310875000007</v>
      </c>
      <c r="T3" s="5">
        <f t="shared" ref="T3:T14" si="1">S3-B3</f>
        <v>-2.9968912499999334E-2</v>
      </c>
      <c r="U3" s="25">
        <f>T3/B3</f>
        <v>-2.9968912499999333E-3</v>
      </c>
      <c r="V3" s="5">
        <f>'2024.12'!W5</f>
        <v>0</v>
      </c>
      <c r="W3" s="5">
        <f>'2024.12'!U5</f>
        <v>0</v>
      </c>
      <c r="X3" s="5">
        <f>'2024.12'!V5</f>
        <v>0</v>
      </c>
      <c r="AB3" s="25">
        <f ca="1">XIRR(_xlfn.VSTACK(SPYL!AG5:AG200,EXUS!AG5:AG200,IS3N!AG5:AG200,VGLA!AG5:AG200),_xlfn.VSTACK(SPYL!AF5:AF200,EXUS!AF5:AF200,IS3N!AF5:AF200,VGLA!AF5:AF200))</f>
        <v>0.17977148890495304</v>
      </c>
      <c r="AC3" s="25">
        <f>XIRR(_xlfn.VSTACK(NADQ!AG5:AG200,QDVE!AG5:AG200,VWCE!AG5:AG200,XDEQ!AG5:AG200,VUAA!AG5:AG200,XDWT!AG5:AG200,XAIX!AG5:AG200,JEQP!AG5:AG200,JGPI!AG5:AG200),_xlfn.VSTACK(NADQ!AF5:AF200,QDVE!AF5:AF200,VWCE!AF5:AF200,XDEQ!AF5:AF200,VUAA!AF5:AF200,XDWT!AF5:AF200,XAIX!AF5:AF200,JEQP!AF5:AF200,JGPI!AF5:AF200))</f>
        <v>0.20060512423515323</v>
      </c>
      <c r="AD3" s="25">
        <f ca="1">XIRR(_xlfn.VSTACK(SPYL!AG5:AG200,EXUS!AG5:AG200,IS3N!AG5:AG200,VGLA!AG5:AG200,NADQ!AG5:AG200,QDVE!AG5:AG200,VWCE!AG5:AG200,XDEQ!AG5:AG200,VUAA!AG5:AG200,XDWT!AG5:AG200,XAIX!AG5:AG200,JEQP!AG5:AG200,JGPI!AG5:AG200),_xlfn.VSTACK(SPYL!AF5:AF200,EXUS!AF5:AF200,IS3N!AF5:AF200,VGLA!AF5:AF200,NADQ!AF5:AF200,QDVE!AF5:AF200,VWCE!AF5:AF200,XDEQ!AF5:AF200,VUAA!AF5:AF200,XDWT!AF5:AF200,XAIX!AF5:AF200,JEQP!AF5:AF200,JGPI!AF5:AF200))</f>
        <v>0.18461092114448552</v>
      </c>
    </row>
    <row r="4" spans="1:45" x14ac:dyDescent="0.25">
      <c r="A4" s="46">
        <f>'2025.01'!Q2</f>
        <v>2025.01</v>
      </c>
      <c r="B4" s="5">
        <f>B3+'2025.01'!Q5</f>
        <v>10</v>
      </c>
      <c r="C4" s="5">
        <f>'2025.01'!R5</f>
        <v>0</v>
      </c>
      <c r="D4" s="5">
        <f>D3+'2025.01'!S5</f>
        <v>10</v>
      </c>
      <c r="E4" s="5">
        <f>E3+'2025.01'!X5</f>
        <v>0</v>
      </c>
      <c r="F4" s="18">
        <f>NADQ!H6</f>
        <v>10.089901981500001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5">
        <v>0</v>
      </c>
      <c r="N4" s="18">
        <v>0</v>
      </c>
      <c r="O4" s="18">
        <v>0</v>
      </c>
      <c r="P4" s="5">
        <v>0</v>
      </c>
      <c r="Q4" s="5">
        <v>0</v>
      </c>
      <c r="R4" s="5">
        <v>0</v>
      </c>
      <c r="S4" s="5">
        <f t="shared" si="0"/>
        <v>10.089901981500001</v>
      </c>
      <c r="T4" s="5">
        <f t="shared" si="1"/>
        <v>8.9901981500000616E-2</v>
      </c>
      <c r="U4" s="25">
        <f t="shared" ref="U4:U16" si="2">T4/B4</f>
        <v>8.9901981500000623E-3</v>
      </c>
      <c r="V4" s="5">
        <f>'2025.01'!W5</f>
        <v>0</v>
      </c>
      <c r="W4" s="5">
        <f>'2025.01'!U5</f>
        <v>0</v>
      </c>
      <c r="X4" s="5">
        <f>'2025.01'!V5</f>
        <v>0</v>
      </c>
    </row>
    <row r="5" spans="1:45" x14ac:dyDescent="0.25">
      <c r="A5" s="46">
        <f>'2025.02'!Q2</f>
        <v>2025.02</v>
      </c>
      <c r="B5" s="5">
        <f>B4+'2025.02'!Q5</f>
        <v>10</v>
      </c>
      <c r="C5" s="5">
        <f>'2025.02'!R5</f>
        <v>0</v>
      </c>
      <c r="D5" s="5">
        <f>D4+'2025.02'!S5</f>
        <v>10</v>
      </c>
      <c r="E5" s="5">
        <f>E4+'2025.02'!X5</f>
        <v>0</v>
      </c>
      <c r="F5" s="18">
        <f>NADQ!H7</f>
        <v>9.6800357324000004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5">
        <v>0</v>
      </c>
      <c r="N5" s="18">
        <v>0</v>
      </c>
      <c r="O5" s="18">
        <v>0</v>
      </c>
      <c r="P5" s="5">
        <v>0</v>
      </c>
      <c r="Q5" s="5">
        <v>0</v>
      </c>
      <c r="R5" s="5">
        <v>0</v>
      </c>
      <c r="S5" s="5">
        <f t="shared" si="0"/>
        <v>9.6800357324000004</v>
      </c>
      <c r="T5" s="5">
        <f t="shared" si="1"/>
        <v>-0.31996426759999963</v>
      </c>
      <c r="U5" s="25">
        <f t="shared" si="2"/>
        <v>-3.199642675999996E-2</v>
      </c>
      <c r="V5" s="5">
        <f>'2025.02'!W5</f>
        <v>0</v>
      </c>
      <c r="W5" s="5">
        <f>'2025.02'!U5</f>
        <v>0</v>
      </c>
      <c r="X5" s="5">
        <f>'2025.02'!V5</f>
        <v>0</v>
      </c>
    </row>
    <row r="6" spans="1:45" x14ac:dyDescent="0.25">
      <c r="A6" s="46">
        <f>'2025.03'!Q2</f>
        <v>2025.03</v>
      </c>
      <c r="B6" s="5">
        <f>B5+'2025.03'!Q5</f>
        <v>10</v>
      </c>
      <c r="C6" s="5">
        <f>'2025.03'!R5</f>
        <v>0</v>
      </c>
      <c r="D6" s="5">
        <f>D5+'2025.03'!S5</f>
        <v>10</v>
      </c>
      <c r="E6" s="5">
        <f>E5+'2025.03'!X5</f>
        <v>0</v>
      </c>
      <c r="F6" s="18">
        <f>NADQ!H8</f>
        <v>8.6698929295000013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5">
        <v>0</v>
      </c>
      <c r="N6" s="18">
        <v>0</v>
      </c>
      <c r="O6" s="18">
        <v>0</v>
      </c>
      <c r="P6" s="5">
        <v>0</v>
      </c>
      <c r="Q6" s="5">
        <v>0</v>
      </c>
      <c r="R6" s="5">
        <v>0</v>
      </c>
      <c r="S6" s="5">
        <f t="shared" si="0"/>
        <v>8.6698929295000013</v>
      </c>
      <c r="T6" s="5">
        <f t="shared" si="1"/>
        <v>-1.3301070704999987</v>
      </c>
      <c r="U6" s="25">
        <f t="shared" si="2"/>
        <v>-0.13301070704999987</v>
      </c>
      <c r="V6" s="5">
        <f>'2025.03'!W5</f>
        <v>0</v>
      </c>
      <c r="W6" s="5">
        <f>'2025.03'!U5</f>
        <v>0</v>
      </c>
      <c r="X6" s="5">
        <f>'2025.03'!V5</f>
        <v>0</v>
      </c>
    </row>
    <row r="7" spans="1:45" x14ac:dyDescent="0.25">
      <c r="A7" s="46">
        <f>'2025.04'!Q2</f>
        <v>2025.04</v>
      </c>
      <c r="B7" s="5">
        <f>B6+'2025.04'!Q5</f>
        <v>20</v>
      </c>
      <c r="C7" s="5">
        <f>'2025.04'!R5</f>
        <v>0</v>
      </c>
      <c r="D7" s="5">
        <f>D6+'2025.04'!S5</f>
        <v>20</v>
      </c>
      <c r="E7" s="5">
        <f>E6+'2025.04'!X5</f>
        <v>0</v>
      </c>
      <c r="F7" s="18">
        <f>NADQ!H9</f>
        <v>8.4301511414999997</v>
      </c>
      <c r="G7" s="18">
        <f>QDVE!H5</f>
        <v>11.391488963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5">
        <v>0</v>
      </c>
      <c r="N7" s="18">
        <v>0</v>
      </c>
      <c r="O7" s="18">
        <v>0</v>
      </c>
      <c r="P7" s="5">
        <v>0</v>
      </c>
      <c r="Q7" s="5">
        <v>0</v>
      </c>
      <c r="R7" s="5">
        <v>0</v>
      </c>
      <c r="S7" s="5">
        <f t="shared" si="0"/>
        <v>19.821640104499998</v>
      </c>
      <c r="T7" s="5">
        <f t="shared" si="1"/>
        <v>-0.17835989550000164</v>
      </c>
      <c r="U7" s="25">
        <f t="shared" si="2"/>
        <v>-8.9179947750000817E-3</v>
      </c>
      <c r="V7" s="5">
        <f>'2025.04'!W5</f>
        <v>0</v>
      </c>
      <c r="W7" s="5">
        <f>'2025.04'!U5</f>
        <v>0</v>
      </c>
      <c r="X7" s="5">
        <f>'2025.04'!V5</f>
        <v>0</v>
      </c>
    </row>
    <row r="8" spans="1:45" x14ac:dyDescent="0.25">
      <c r="A8" s="46">
        <f>'2025.05'!Q2</f>
        <v>2025.05</v>
      </c>
      <c r="B8" s="5">
        <f>B7+'2025.05'!Q5</f>
        <v>40.07</v>
      </c>
      <c r="C8" s="5">
        <f>'2025.05'!R5</f>
        <v>0</v>
      </c>
      <c r="D8" s="5">
        <f>D7+'2025.05'!S5</f>
        <v>40.06</v>
      </c>
      <c r="E8" s="5">
        <f>E7+'2025.05'!X5</f>
        <v>-1.9897278269453977E-15</v>
      </c>
      <c r="F8" s="18">
        <f>NADQ!H10</f>
        <v>9.1401556675000002</v>
      </c>
      <c r="G8" s="18">
        <f>QDVE!H6</f>
        <v>32.931463792500004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5">
        <v>0</v>
      </c>
      <c r="N8" s="18">
        <v>0</v>
      </c>
      <c r="O8" s="18">
        <v>0</v>
      </c>
      <c r="P8" s="5">
        <v>0</v>
      </c>
      <c r="Q8" s="5">
        <v>0</v>
      </c>
      <c r="R8" s="5">
        <v>0</v>
      </c>
      <c r="S8" s="5">
        <f t="shared" si="0"/>
        <v>42.071619460000008</v>
      </c>
      <c r="T8" s="5">
        <f t="shared" si="1"/>
        <v>2.0016194600000077</v>
      </c>
      <c r="U8" s="25">
        <f t="shared" si="2"/>
        <v>4.9953068629897873E-2</v>
      </c>
      <c r="V8" s="5">
        <f>'2025.05'!W5</f>
        <v>0</v>
      </c>
      <c r="W8" s="5">
        <f>'2025.05'!U5</f>
        <v>0.01</v>
      </c>
      <c r="X8" s="5">
        <f>'2025.05'!V5</f>
        <v>0</v>
      </c>
    </row>
    <row r="9" spans="1:45" x14ac:dyDescent="0.25">
      <c r="A9" s="46">
        <f>'2025.06'!Q2</f>
        <v>2025.06</v>
      </c>
      <c r="B9" s="5">
        <f>B8+'2025.06'!Q5</f>
        <v>50.07</v>
      </c>
      <c r="C9" s="5">
        <f>'2025.06'!R5</f>
        <v>0</v>
      </c>
      <c r="D9" s="5">
        <f>D8+'2025.06'!S5</f>
        <v>50.06</v>
      </c>
      <c r="E9" s="5">
        <f>E8+'2025.06'!X5</f>
        <v>-1.9897278269453977E-15</v>
      </c>
      <c r="F9" s="18">
        <f>NADQ!H11</f>
        <v>9.3702155756000014</v>
      </c>
      <c r="G9" s="18">
        <f>QDVE!H7</f>
        <v>34.845429209500004</v>
      </c>
      <c r="H9" s="18">
        <f>VWCE!H5</f>
        <v>10.010033163900001</v>
      </c>
      <c r="I9" s="18">
        <v>0</v>
      </c>
      <c r="J9" s="18">
        <v>0</v>
      </c>
      <c r="K9" s="18">
        <v>0</v>
      </c>
      <c r="L9" s="18">
        <v>0</v>
      </c>
      <c r="M9" s="5">
        <v>0</v>
      </c>
      <c r="N9" s="18">
        <v>0</v>
      </c>
      <c r="O9" s="18">
        <v>0</v>
      </c>
      <c r="P9" s="5">
        <v>0</v>
      </c>
      <c r="Q9" s="5">
        <v>0</v>
      </c>
      <c r="R9" s="5">
        <v>0</v>
      </c>
      <c r="S9" s="5">
        <f t="shared" si="0"/>
        <v>54.225677949000001</v>
      </c>
      <c r="T9" s="5">
        <f t="shared" si="1"/>
        <v>4.1556779490000011</v>
      </c>
      <c r="U9" s="25">
        <f t="shared" si="2"/>
        <v>8.2997362672258865E-2</v>
      </c>
      <c r="V9" s="5">
        <f>'2025.06'!W5</f>
        <v>0</v>
      </c>
      <c r="W9" s="5">
        <f>'2025.06'!U5</f>
        <v>0</v>
      </c>
      <c r="X9" s="5">
        <f>'2025.06'!V5</f>
        <v>0</v>
      </c>
    </row>
    <row r="10" spans="1:45" x14ac:dyDescent="0.25">
      <c r="A10" s="46">
        <f>'2025.07'!Q2</f>
        <v>2025.07</v>
      </c>
      <c r="B10" s="5">
        <f>B9+'2025.07'!Q5</f>
        <v>100.07</v>
      </c>
      <c r="C10" s="5">
        <f>'2025.07'!R5</f>
        <v>0</v>
      </c>
      <c r="D10" s="5">
        <f>D9+'2025.07'!S5</f>
        <v>100.02000000000001</v>
      </c>
      <c r="E10" s="5">
        <f>E9+'2025.07'!X5</f>
        <v>-2.8432117771259868E-15</v>
      </c>
      <c r="F10" s="18">
        <f>NADQ!H12</f>
        <v>20.6102753696</v>
      </c>
      <c r="G10" s="18">
        <f>QDVE!H8</f>
        <v>48.716605493399996</v>
      </c>
      <c r="H10" s="18">
        <f>VWCE!H6</f>
        <v>20.8799240986</v>
      </c>
      <c r="I10" s="18">
        <f>XDEQ!H5</f>
        <v>10.030745475</v>
      </c>
      <c r="J10" s="18">
        <f>VUAA!H5</f>
        <v>10.119835936000001</v>
      </c>
      <c r="K10" s="18">
        <v>0</v>
      </c>
      <c r="L10" s="18">
        <v>0</v>
      </c>
      <c r="M10" s="5">
        <v>0</v>
      </c>
      <c r="N10" s="18">
        <v>0</v>
      </c>
      <c r="O10" s="18">
        <v>0</v>
      </c>
      <c r="P10" s="5">
        <v>0</v>
      </c>
      <c r="Q10" s="5">
        <v>0</v>
      </c>
      <c r="R10" s="5">
        <v>0</v>
      </c>
      <c r="S10" s="5">
        <f t="shared" si="0"/>
        <v>110.3573863726</v>
      </c>
      <c r="T10" s="5">
        <f t="shared" si="1"/>
        <v>10.287386372600011</v>
      </c>
      <c r="U10" s="25">
        <f t="shared" si="2"/>
        <v>0.10280190239432409</v>
      </c>
      <c r="V10" s="5">
        <f>'2025.07'!W5</f>
        <v>0</v>
      </c>
      <c r="W10" s="5">
        <f>'2025.07'!U5</f>
        <v>0.04</v>
      </c>
      <c r="X10" s="5">
        <f>'2025.07'!V5</f>
        <v>0</v>
      </c>
    </row>
    <row r="11" spans="1:45" x14ac:dyDescent="0.25">
      <c r="A11" s="46">
        <f>'2025.08'!Q2</f>
        <v>2025.08</v>
      </c>
      <c r="B11" s="5">
        <f>B10+'2025.08'!Q5</f>
        <v>150.07</v>
      </c>
      <c r="C11" s="5">
        <f>'2025.08'!R5</f>
        <v>0</v>
      </c>
      <c r="D11" s="5">
        <f>D10+'2025.08'!S5</f>
        <v>149.98000000000002</v>
      </c>
      <c r="E11" s="5">
        <f>E10+'2025.08'!X5</f>
        <v>-1.0802123084907578E-14</v>
      </c>
      <c r="F11" s="18">
        <f>NADQ!H13</f>
        <v>20.239841756000001</v>
      </c>
      <c r="G11" s="18">
        <f>QDVE!H9</f>
        <v>57.628722356999994</v>
      </c>
      <c r="H11" s="18">
        <f>VWCE!H7</f>
        <v>20.920024410799996</v>
      </c>
      <c r="I11" s="18">
        <f>XDEQ!H6</f>
        <v>10.039969149000001</v>
      </c>
      <c r="J11" s="18">
        <f>VUAA!H6</f>
        <v>10.0599158548</v>
      </c>
      <c r="K11" s="18">
        <f>XDWT!H5</f>
        <v>19.9005665398</v>
      </c>
      <c r="L11" s="18">
        <f>XAIX!H5</f>
        <v>19.960142391000002</v>
      </c>
      <c r="M11" s="5">
        <v>0</v>
      </c>
      <c r="N11" s="18">
        <v>0</v>
      </c>
      <c r="O11" s="18">
        <v>0</v>
      </c>
      <c r="P11" s="5">
        <v>0</v>
      </c>
      <c r="Q11" s="5">
        <v>0</v>
      </c>
      <c r="R11" s="5">
        <v>0</v>
      </c>
      <c r="S11" s="5">
        <f t="shared" si="0"/>
        <v>158.74918245839999</v>
      </c>
      <c r="T11" s="5">
        <f t="shared" si="1"/>
        <v>8.6791824583999926</v>
      </c>
      <c r="U11" s="25">
        <f t="shared" si="2"/>
        <v>5.7834227083361049E-2</v>
      </c>
      <c r="V11" s="5">
        <f>'2025.08'!W5</f>
        <v>0</v>
      </c>
      <c r="W11" s="5">
        <f>'2025.08'!U5</f>
        <v>0.04</v>
      </c>
      <c r="X11" s="5">
        <f>'2025.08'!V5</f>
        <v>0</v>
      </c>
    </row>
    <row r="12" spans="1:45" x14ac:dyDescent="0.25">
      <c r="A12" s="46">
        <f>'2025.09'!Q2</f>
        <v>2025.09</v>
      </c>
      <c r="B12" s="5">
        <f>B11+'2025.09'!Q5</f>
        <v>180.07</v>
      </c>
      <c r="C12" s="5">
        <f>'2025.09'!R5</f>
        <v>0</v>
      </c>
      <c r="D12" s="5">
        <f>D11+'2025.09'!S5</f>
        <v>179.96000000000004</v>
      </c>
      <c r="E12" s="5">
        <f>E11+'2025.09'!X5</f>
        <v>-1.4781578738798373E-14</v>
      </c>
      <c r="F12" s="18">
        <f>NADQ!H14</f>
        <v>21.24968016</v>
      </c>
      <c r="G12" s="18">
        <f>QDVE!H10</f>
        <v>72.294238046699988</v>
      </c>
      <c r="H12" s="18">
        <f>VWCE!H8</f>
        <v>21.589391160599998</v>
      </c>
      <c r="I12" s="18">
        <f>XDEQ!H7</f>
        <v>20.498724940399999</v>
      </c>
      <c r="J12" s="18">
        <f>VUAA!H7</f>
        <v>20.6091366285</v>
      </c>
      <c r="K12" s="18">
        <f>XDWT!H6</f>
        <v>21.190618492999999</v>
      </c>
      <c r="L12" s="18">
        <f>XAIX!H6</f>
        <v>21.2800457745</v>
      </c>
      <c r="M12" s="5">
        <v>0</v>
      </c>
      <c r="N12" s="18">
        <v>0</v>
      </c>
      <c r="O12" s="18">
        <v>0</v>
      </c>
      <c r="P12" s="5">
        <v>0</v>
      </c>
      <c r="Q12" s="5">
        <v>0</v>
      </c>
      <c r="R12" s="5">
        <v>0</v>
      </c>
      <c r="S12" s="5">
        <f t="shared" si="0"/>
        <v>198.71183520369996</v>
      </c>
      <c r="T12" s="5">
        <f t="shared" si="1"/>
        <v>18.641835203699969</v>
      </c>
      <c r="U12" s="25">
        <f t="shared" si="2"/>
        <v>0.10352549121841489</v>
      </c>
      <c r="V12" s="5">
        <f>'2025.09'!W5</f>
        <v>0</v>
      </c>
      <c r="W12" s="5">
        <f>'2025.09'!U5</f>
        <v>0.02</v>
      </c>
      <c r="X12" s="5">
        <f>'2025.09'!V5</f>
        <v>0</v>
      </c>
    </row>
    <row r="13" spans="1:45" x14ac:dyDescent="0.25">
      <c r="A13" s="46" t="str">
        <f>'2025.10'!Q2</f>
        <v>2025.10</v>
      </c>
      <c r="B13" s="5">
        <f>B12+'2025.10'!Q5</f>
        <v>230.07</v>
      </c>
      <c r="C13" s="5">
        <f>'2025.10'!R5</f>
        <v>0</v>
      </c>
      <c r="D13" s="5">
        <f>D12+'2025.10'!S5</f>
        <v>229.92000000000004</v>
      </c>
      <c r="E13" s="5">
        <f>E12+'2025.10'!X5</f>
        <v>-1.5211790160840621E-14</v>
      </c>
      <c r="F13" s="18">
        <f>NADQ!H15</f>
        <v>22.670154275200002</v>
      </c>
      <c r="G13" s="18">
        <f>QDVE!H11</f>
        <v>89.0900927653</v>
      </c>
      <c r="H13" s="18">
        <f>VWCE!H9</f>
        <v>32.709698691999996</v>
      </c>
      <c r="I13" s="18">
        <f>XDEQ!H8</f>
        <v>21.068474318599996</v>
      </c>
      <c r="J13" s="18">
        <f>VUAA!H8</f>
        <v>21.519504405000003</v>
      </c>
      <c r="K13" s="18">
        <f>XDWT!H7</f>
        <v>33.790251181499997</v>
      </c>
      <c r="L13" s="18">
        <f>XAIX!H7</f>
        <v>33.710689019200004</v>
      </c>
      <c r="M13" s="5">
        <f>SPYL!H5</f>
        <v>10.340850228800001</v>
      </c>
      <c r="N13" s="18">
        <v>0</v>
      </c>
      <c r="O13" s="18">
        <v>0</v>
      </c>
      <c r="P13" s="5">
        <v>0</v>
      </c>
      <c r="Q13" s="5">
        <v>0</v>
      </c>
      <c r="R13" s="5">
        <v>0</v>
      </c>
      <c r="S13" s="5">
        <f t="shared" si="0"/>
        <v>264.89971488559996</v>
      </c>
      <c r="T13" s="5">
        <f t="shared" si="1"/>
        <v>34.829714885599969</v>
      </c>
      <c r="U13" s="25">
        <f t="shared" si="2"/>
        <v>0.15138746853392432</v>
      </c>
      <c r="V13" s="5">
        <f>'2025.10'!W5</f>
        <v>0</v>
      </c>
      <c r="W13" s="5">
        <f>'2025.10'!U5</f>
        <v>3.9999999999999578E-2</v>
      </c>
      <c r="X13" s="5">
        <f>'2025.10'!V5</f>
        <v>0</v>
      </c>
    </row>
    <row r="14" spans="1:45" x14ac:dyDescent="0.25">
      <c r="A14" s="46" t="str">
        <f>'2025.11'!Q2</f>
        <v>2025.11</v>
      </c>
      <c r="B14" s="5">
        <f>B13+'2025.11'!Q5</f>
        <v>336.46</v>
      </c>
      <c r="C14" s="5">
        <f>'2025.11'!R5</f>
        <v>0</v>
      </c>
      <c r="D14" s="5">
        <f>D13+'2025.11'!S5-'2025.11'!T5-'2025.11'!U5-'2025.11'!V5</f>
        <v>327.01000000000005</v>
      </c>
      <c r="E14" s="5">
        <f>E13+'2025.11'!X5</f>
        <v>7.7999999999999892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5">
        <f>SPYL!H6</f>
        <v>172.85058417690001</v>
      </c>
      <c r="N14" s="18">
        <f>JEQP!H5</f>
        <v>91.2</v>
      </c>
      <c r="O14" s="18">
        <f>JGPI!H5</f>
        <v>92.96</v>
      </c>
      <c r="P14" s="5">
        <v>0</v>
      </c>
      <c r="Q14" s="5">
        <v>0</v>
      </c>
      <c r="R14" s="5">
        <v>0</v>
      </c>
      <c r="S14" s="5">
        <f t="shared" si="0"/>
        <v>364.81058417690002</v>
      </c>
      <c r="T14" s="5">
        <f t="shared" si="1"/>
        <v>28.350584176900043</v>
      </c>
      <c r="U14" s="25">
        <f t="shared" si="2"/>
        <v>8.4261380778993172E-2</v>
      </c>
      <c r="V14" s="5">
        <f>'2025.11'!W5</f>
        <v>0</v>
      </c>
      <c r="W14" s="5">
        <f>'2025.11'!U5</f>
        <v>0.43000000000000005</v>
      </c>
      <c r="X14" s="5">
        <f>'2025.11'!V5</f>
        <v>0.32000000000000006</v>
      </c>
    </row>
    <row r="15" spans="1:45" x14ac:dyDescent="0.25">
      <c r="A15" s="46" t="str">
        <f>'2025.12'!Q2</f>
        <v>2025.12</v>
      </c>
      <c r="B15" s="5">
        <f>B14+'2025.12'!Q5</f>
        <v>499.53999999999996</v>
      </c>
      <c r="C15" s="5">
        <f>'2025.12'!R5</f>
        <v>0</v>
      </c>
      <c r="D15" s="5">
        <f>D14+'2025.12'!S5-'2025.12'!T5-'2025.12'!U5-'2025.12'!V5</f>
        <v>388.30000000000007</v>
      </c>
      <c r="E15" s="5">
        <f>E14+'2025.12'!X5</f>
        <v>110.59999999999998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5">
        <f>SPYL!H7</f>
        <v>187.72</v>
      </c>
      <c r="N15" s="18">
        <f>JEQP!H6</f>
        <v>113.45</v>
      </c>
      <c r="O15" s="18">
        <f>JGPI!H6</f>
        <v>114.75</v>
      </c>
      <c r="P15" s="5">
        <v>0</v>
      </c>
      <c r="Q15" s="5">
        <v>0</v>
      </c>
      <c r="R15" s="5">
        <v>0</v>
      </c>
      <c r="S15" s="5">
        <f t="shared" si="0"/>
        <v>526.52</v>
      </c>
      <c r="T15" s="5">
        <f t="shared" ref="T15" si="3">S15-B15</f>
        <v>26.980000000000018</v>
      </c>
      <c r="U15" s="25">
        <f t="shared" si="2"/>
        <v>5.4009688913800737E-2</v>
      </c>
      <c r="V15" s="5">
        <f>'2025.12'!W5</f>
        <v>1.1299999999999999</v>
      </c>
      <c r="W15" s="5">
        <f>'2025.12'!U5</f>
        <v>0.06</v>
      </c>
      <c r="X15" s="5">
        <f>'2025.12'!V5</f>
        <v>0</v>
      </c>
    </row>
    <row r="16" spans="1:45" x14ac:dyDescent="0.25">
      <c r="A16" s="46" t="str">
        <f>'2026.01'!Q2</f>
        <v>2026.01</v>
      </c>
      <c r="B16" s="5">
        <f>B15+'2026.01'!Q5</f>
        <v>499.53999999999996</v>
      </c>
      <c r="C16" s="5">
        <f>'2026.01'!R5</f>
        <v>0</v>
      </c>
      <c r="D16" s="5">
        <f>D15+'2026.01'!S5-'2026.01'!T5-'2026.01'!V5</f>
        <v>477.7600000000001</v>
      </c>
      <c r="E16" s="5">
        <f>E15+'2026.01'!X5</f>
        <v>22.649999999999963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5">
        <f>SPYL!H8</f>
        <v>230.4</v>
      </c>
      <c r="N16" s="18">
        <f>JEQP!H7</f>
        <v>135.72</v>
      </c>
      <c r="O16" s="18">
        <f>JGPI!H7</f>
        <v>136.92000000000002</v>
      </c>
      <c r="P16" s="5">
        <v>0</v>
      </c>
      <c r="Q16" s="5">
        <v>0</v>
      </c>
      <c r="R16" s="5">
        <v>0</v>
      </c>
      <c r="S16" s="5">
        <f t="shared" si="0"/>
        <v>525.68999999999994</v>
      </c>
      <c r="T16" s="5">
        <f t="shared" ref="T16" si="4">S16-B16</f>
        <v>26.149999999999977</v>
      </c>
      <c r="U16" s="25">
        <f t="shared" si="2"/>
        <v>5.2348160307482842E-2</v>
      </c>
      <c r="V16" s="5">
        <f>'2026.01'!W5</f>
        <v>1.57</v>
      </c>
      <c r="W16" s="5">
        <f>'2026.01'!U5</f>
        <v>0.06</v>
      </c>
      <c r="X16" s="5">
        <f>'2026.01'!V5</f>
        <v>0</v>
      </c>
    </row>
    <row r="17" spans="1:24" x14ac:dyDescent="0.25">
      <c r="A17" s="46" t="str">
        <f>'2026.02'!Q2</f>
        <v>2026.02</v>
      </c>
      <c r="B17" s="5">
        <f>B16+'2026.02'!Q5</f>
        <v>619.54</v>
      </c>
      <c r="C17" s="5">
        <f>'2026.02'!R5</f>
        <v>0</v>
      </c>
      <c r="D17" s="5">
        <f>D16+'2026.02'!S5-'2026.02'!T5-'2026.02'!U5-'2026.02'!V5</f>
        <v>580.11</v>
      </c>
      <c r="E17" s="5">
        <f>E16+'2026.02'!X5</f>
        <v>42.339999999999975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5">
        <f>SPYL!H9</f>
        <v>286.60000000000002</v>
      </c>
      <c r="N17" s="18">
        <f>JEQP!H8</f>
        <v>154.28</v>
      </c>
      <c r="O17" s="18">
        <f>JGPI!H8</f>
        <v>167.23000000000002</v>
      </c>
      <c r="P17" s="5">
        <v>0</v>
      </c>
      <c r="Q17" s="5">
        <v>0</v>
      </c>
      <c r="R17" s="5">
        <v>0</v>
      </c>
      <c r="S17" s="5">
        <f t="shared" si="0"/>
        <v>650.45000000000005</v>
      </c>
      <c r="T17" s="5">
        <f t="shared" ref="T17" si="5">S17-B17</f>
        <v>30.910000000000082</v>
      </c>
      <c r="U17" s="25">
        <f t="shared" ref="U17" si="6">T17/B17</f>
        <v>4.9891855247441788E-2</v>
      </c>
      <c r="V17" s="5">
        <f>'2026.02'!W5</f>
        <v>2.2000000000000002</v>
      </c>
      <c r="W17" s="5">
        <f>'2026.02'!U5</f>
        <v>0.08</v>
      </c>
      <c r="X17" s="5">
        <f>'2026.02'!V5</f>
        <v>0</v>
      </c>
    </row>
    <row r="18" spans="1:24" x14ac:dyDescent="0.25">
      <c r="A18" s="46" t="str">
        <f>'2026.03'!Q2</f>
        <v>2026.03</v>
      </c>
      <c r="B18" s="5">
        <f>B17+'2026.03'!Q5</f>
        <v>749.54</v>
      </c>
      <c r="C18" s="5">
        <f>'2026.03'!R5</f>
        <v>0</v>
      </c>
      <c r="D18" s="5">
        <f>D17+'2026.03'!S5-'2026.03'!T5-'2026.03'!U5-'2026.03'!V5</f>
        <v>697.11000000000013</v>
      </c>
      <c r="E18" s="45">
        <v>56.88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5">
        <f>SPYL!H10</f>
        <v>348.25</v>
      </c>
      <c r="N18" s="18">
        <f>JEQP!H9</f>
        <v>173.44</v>
      </c>
      <c r="O18" s="18">
        <f>JGPI!H9</f>
        <v>185.76</v>
      </c>
      <c r="P18" s="5">
        <v>0</v>
      </c>
      <c r="Q18" s="5">
        <v>0</v>
      </c>
      <c r="R18" s="5">
        <v>0</v>
      </c>
      <c r="S18" s="5">
        <f t="shared" ref="S18" si="7">SUM(F18:O18)+E18</f>
        <v>764.33</v>
      </c>
      <c r="T18" s="5">
        <f t="shared" ref="T18" si="8">S18-B18</f>
        <v>14.790000000000077</v>
      </c>
      <c r="U18" s="25">
        <f t="shared" ref="U18" si="9">T18/B18</f>
        <v>1.9732102356111853E-2</v>
      </c>
      <c r="V18" s="5">
        <f>'2026.03'!W5</f>
        <v>2.31</v>
      </c>
      <c r="W18" s="5">
        <f>'2026.03'!U5</f>
        <v>0.04</v>
      </c>
      <c r="X18" s="5">
        <f>'2026.03'!V5</f>
        <v>0</v>
      </c>
    </row>
    <row r="19" spans="1:24" x14ac:dyDescent="0.25">
      <c r="A19" s="46" t="str">
        <f>'2026.04'!Q2</f>
        <v>2026.04</v>
      </c>
      <c r="B19" s="5">
        <f>B18+'2026.04'!Q5</f>
        <v>829.54</v>
      </c>
      <c r="C19" s="5">
        <f>'2026.04'!R5</f>
        <v>0</v>
      </c>
      <c r="D19" s="5">
        <f>D18+'2026.04'!S5-'2026.04'!T5-'2026.04'!U5-'2026.04'!V5</f>
        <v>826.79000000000019</v>
      </c>
      <c r="E19" s="5">
        <f>E18+'2026.04'!X5</f>
        <v>9.2800000000000082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5">
        <f>SPYL!H11</f>
        <v>469.96</v>
      </c>
      <c r="N19" s="18">
        <f>JEQP!H10</f>
        <v>205.92</v>
      </c>
      <c r="O19" s="18">
        <f>JGPI!H10</f>
        <v>200.70000000000002</v>
      </c>
      <c r="P19" s="5">
        <v>0</v>
      </c>
      <c r="Q19" s="5">
        <v>0</v>
      </c>
      <c r="R19" s="5">
        <v>0</v>
      </c>
      <c r="S19" s="5">
        <f t="shared" ref="S19" si="10">SUM(F19:O19)+E19</f>
        <v>885.86</v>
      </c>
      <c r="T19" s="5">
        <f t="shared" ref="T19" si="11">S19-B19</f>
        <v>56.32000000000005</v>
      </c>
      <c r="U19" s="25">
        <f t="shared" ref="U19" si="12">T19/B19</f>
        <v>6.7893049159775357E-2</v>
      </c>
      <c r="V19" s="5">
        <f>'2026.04'!W5</f>
        <v>2.16</v>
      </c>
      <c r="W19" s="5">
        <f>'2026.04'!U5</f>
        <v>0.04</v>
      </c>
      <c r="X19" s="5">
        <f>'2026.04'!V5</f>
        <v>0</v>
      </c>
    </row>
    <row r="20" spans="1:24" x14ac:dyDescent="0.25">
      <c r="A20" s="46" t="str">
        <f>'2026.05'!$Q$2</f>
        <v>2026.05</v>
      </c>
      <c r="B20" s="5">
        <f>B19+'2026.05'!$Q$5</f>
        <v>949.54</v>
      </c>
      <c r="C20" s="5">
        <f>'2026.05'!$R$5</f>
        <v>0</v>
      </c>
      <c r="D20" s="5">
        <f>D19+'2026.05'!$S$5-'2026.05'!$T$5-W20-X20</f>
        <v>940.43000000000018</v>
      </c>
      <c r="E20" s="5">
        <f>E19+'2026.05'!$X$5</f>
        <v>18.22000000000001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5">
        <f>SPYL!H12</f>
        <v>577.72799999999995</v>
      </c>
      <c r="N20" s="18">
        <v>0</v>
      </c>
      <c r="O20" s="18">
        <v>0</v>
      </c>
      <c r="P20" s="5">
        <f>EXUS!H5</f>
        <v>231.17400000000004</v>
      </c>
      <c r="Q20" s="5">
        <f>IS3N!H5</f>
        <v>239.65</v>
      </c>
      <c r="R20" s="5">
        <v>0</v>
      </c>
      <c r="S20" s="5">
        <f t="shared" ref="S20:S24" si="13">SUM(F20:R20)+E20</f>
        <v>1066.7720000000002</v>
      </c>
      <c r="T20" s="5">
        <f t="shared" ref="T20" si="14">S20-B20</f>
        <v>117.2320000000002</v>
      </c>
      <c r="U20" s="25">
        <f t="shared" ref="U20" si="15">T20/B20</f>
        <v>0.12346188680834952</v>
      </c>
      <c r="V20" s="5">
        <f>'2026.05'!$W$5</f>
        <v>3.0999999999999996</v>
      </c>
      <c r="W20" s="5">
        <f>'2026.05'!$U$5</f>
        <v>0.04</v>
      </c>
      <c r="X20" s="5">
        <f>'2026.05'!$V$5</f>
        <v>0.22</v>
      </c>
    </row>
    <row r="21" spans="1:24" x14ac:dyDescent="0.25">
      <c r="A21" s="46" t="str">
        <f>'2026.06'!$Q$2</f>
        <v>2026.06</v>
      </c>
      <c r="B21" s="5">
        <f>B20+'2026.06'!$Q$5</f>
        <v>1530</v>
      </c>
      <c r="C21" s="5">
        <f>'2026.06'!$R$5</f>
        <v>0</v>
      </c>
      <c r="D21" s="5">
        <f>D20+'2026.06'!$S$5-'2026.06'!$T$5-W21-X21</f>
        <v>1534.0400000000002</v>
      </c>
      <c r="E21" s="5">
        <f>E20+'2026.06'!$X$5</f>
        <v>5.0300000000000509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5">
        <f>SPYL!H13</f>
        <v>874.84320000000002</v>
      </c>
      <c r="N21" s="18">
        <v>0</v>
      </c>
      <c r="O21" s="18">
        <v>0</v>
      </c>
      <c r="P21" s="5">
        <f>EXUS!H6</f>
        <v>394.32499999999999</v>
      </c>
      <c r="Q21" s="5">
        <f>IS3N!H6</f>
        <v>391.59199999999998</v>
      </c>
      <c r="R21" s="5">
        <v>0</v>
      </c>
      <c r="S21" s="5">
        <f t="shared" si="13"/>
        <v>1665.7902000000001</v>
      </c>
      <c r="T21" s="5">
        <f t="shared" ref="T21" si="16">S21-B21</f>
        <v>135.79020000000014</v>
      </c>
      <c r="U21" s="25">
        <f t="shared" ref="U21" si="17">T21/B21</f>
        <v>8.8751764705882447E-2</v>
      </c>
      <c r="V21" s="5">
        <f>'2026.06'!$W$5</f>
        <v>0</v>
      </c>
      <c r="W21" s="5">
        <f>'2026.06'!$U$5</f>
        <v>0.02</v>
      </c>
      <c r="X21" s="5">
        <f>'2026.06'!$V$5</f>
        <v>0</v>
      </c>
    </row>
    <row r="22" spans="1:24" x14ac:dyDescent="0.25">
      <c r="A22" s="46" t="str">
        <f>'2026.07'!$Q$2</f>
        <v>2026.07</v>
      </c>
      <c r="B22" s="5">
        <f>B21+'2026.07'!$Q$5</f>
        <v>1670</v>
      </c>
      <c r="C22" s="5">
        <f>'2026.07'!$R$5</f>
        <v>0</v>
      </c>
      <c r="D22" s="5">
        <f>D21+'2026.07'!$S$5-'2026.07'!$T$5-W22-X22</f>
        <v>1668.9900000000002</v>
      </c>
      <c r="E22" s="5">
        <f>E21+'2026.07'!$X$5</f>
        <v>9.9800000000000502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5">
        <f>SPYL!H14</f>
        <v>915.58245000000011</v>
      </c>
      <c r="N22" s="18">
        <v>0</v>
      </c>
      <c r="O22" s="18">
        <v>0</v>
      </c>
      <c r="P22" s="5">
        <f>EXUS!H7</f>
        <v>438.60299999999995</v>
      </c>
      <c r="Q22" s="5">
        <f>IS3N!H7</f>
        <v>409.66200000000003</v>
      </c>
      <c r="R22" s="5">
        <v>0</v>
      </c>
      <c r="S22" s="5">
        <f t="shared" si="13"/>
        <v>1773.82745</v>
      </c>
      <c r="T22" s="5">
        <f t="shared" ref="T22" si="18">S22-B22</f>
        <v>103.82745</v>
      </c>
      <c r="U22" s="25">
        <f t="shared" ref="U22" si="19">T22/B22</f>
        <v>6.217212574850299E-2</v>
      </c>
      <c r="V22" s="5">
        <f>'2026.07'!$W$5</f>
        <v>0</v>
      </c>
      <c r="W22" s="5">
        <f>'2026.07'!$U$5</f>
        <v>0.05</v>
      </c>
      <c r="X22" s="5">
        <f>'2026.07'!$V$5</f>
        <v>0</v>
      </c>
    </row>
    <row r="23" spans="1:24" x14ac:dyDescent="0.25">
      <c r="A23" s="46" t="str">
        <f>'2026.08'!$Q$2</f>
        <v>2026.08</v>
      </c>
      <c r="B23" s="5">
        <f>B22+'2026.08'!$Q$5</f>
        <v>1820</v>
      </c>
      <c r="C23" s="5">
        <f>'2026.08'!$R$5</f>
        <v>0</v>
      </c>
      <c r="D23" s="5">
        <f>D22+'2026.08'!$S$5-'2026.08'!$T$5-W23-X23</f>
        <v>1819.88</v>
      </c>
      <c r="E23" s="5">
        <f>E22+'2026.08'!$X$5</f>
        <v>9.0900000000000638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5">
        <f>SPYL!H15</f>
        <v>999.86930000000007</v>
      </c>
      <c r="N23" s="18">
        <v>0</v>
      </c>
      <c r="O23" s="18">
        <v>0</v>
      </c>
      <c r="P23" s="5">
        <f>EXUS!H8</f>
        <v>484.53</v>
      </c>
      <c r="Q23" s="5">
        <f>IS3N!H8</f>
        <v>473.52</v>
      </c>
      <c r="R23" s="5">
        <v>0</v>
      </c>
      <c r="S23" s="5">
        <f t="shared" si="13"/>
        <v>1967.0093000000002</v>
      </c>
      <c r="T23" s="5">
        <f t="shared" ref="T23" si="20">S23-B23</f>
        <v>147.00930000000017</v>
      </c>
      <c r="U23" s="25">
        <f t="shared" ref="U23" si="21">T23/B23</f>
        <v>8.0774340659340749E-2</v>
      </c>
      <c r="V23" s="5">
        <f>'2026.08'!$W$5</f>
        <v>0</v>
      </c>
      <c r="W23" s="5">
        <f>'2026.08'!$U$5</f>
        <v>0</v>
      </c>
      <c r="X23" s="5">
        <f>'2026.08'!$V$5</f>
        <v>0</v>
      </c>
    </row>
    <row r="24" spans="1:24" x14ac:dyDescent="0.25">
      <c r="A24" s="46" t="str">
        <f>'2026.09'!$Q$2</f>
        <v>2026.09</v>
      </c>
      <c r="B24" s="5">
        <f>B23+'2026.09'!$Q$5</f>
        <v>1975</v>
      </c>
      <c r="C24" s="5">
        <f>'2026.09'!$R$5</f>
        <v>0</v>
      </c>
      <c r="D24" s="5">
        <f>D23+'2026.09'!$S$5-'2026.09'!$T$5-W24-X24</f>
        <v>1981.2600000000002</v>
      </c>
      <c r="E24" s="5">
        <f>E23+'2026.09'!$X$5</f>
        <v>2.7100000000000684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5">
        <f>SPYL!H16</f>
        <v>1087.8919999999998</v>
      </c>
      <c r="N24" s="18">
        <v>0</v>
      </c>
      <c r="O24" s="18">
        <v>0</v>
      </c>
      <c r="P24" s="5">
        <f>EXUS!H9</f>
        <v>517.10750000000007</v>
      </c>
      <c r="Q24" s="5">
        <f>IS3N!H9</f>
        <v>531.63</v>
      </c>
      <c r="R24" s="5">
        <f>VGLA!H5</f>
        <v>8.6859999999999999</v>
      </c>
      <c r="S24" s="5">
        <f t="shared" si="13"/>
        <v>2148.0255000000002</v>
      </c>
      <c r="T24" s="5">
        <f t="shared" ref="T24" si="22">S24-B24</f>
        <v>173.02550000000019</v>
      </c>
      <c r="U24" s="25">
        <f t="shared" ref="U24" si="23">T24/B24</f>
        <v>8.7607848101265914E-2</v>
      </c>
      <c r="V24" s="5">
        <f>'2026.09'!$W$5</f>
        <v>0</v>
      </c>
      <c r="W24" s="5">
        <f>'2026.09'!$U$5</f>
        <v>0</v>
      </c>
      <c r="X24" s="5">
        <f>'2026.09'!$V$5</f>
        <v>0</v>
      </c>
    </row>
  </sheetData>
  <mergeCells count="5">
    <mergeCell ref="F1:U1"/>
    <mergeCell ref="B1:E1"/>
    <mergeCell ref="W1:X1"/>
    <mergeCell ref="A1:A2"/>
    <mergeCell ref="V1:V2"/>
  </mergeCells>
  <hyperlinks>
    <hyperlink ref="A20" location="'2026.05'!A1" display="'2026.05'!A1" xr:uid="{A1E3D282-0322-43FC-87F1-41880FB50150}"/>
    <hyperlink ref="A3" location="'2024.12'!A1" display="'2024.12'!A1" xr:uid="{BD8345D6-4989-4A40-85E9-AF047B72EDE2}"/>
    <hyperlink ref="A4" location="'2025.01'!A1" display="'2025.01'!A1" xr:uid="{6658FB74-F5DB-4BAD-9638-49FE1F6025F8}"/>
    <hyperlink ref="A5" location="'2025.02'!A1" display="'2025.02'!A1" xr:uid="{E125947A-C946-492D-A2CD-ECB2CDFA387A}"/>
    <hyperlink ref="A6" location="'2025.03'!A1" display="'2025.03'!A1" xr:uid="{25E4633A-470B-438F-9EC6-B92E7B325484}"/>
    <hyperlink ref="A7" location="'2026.04'!A1" display="'2026.04'!A1" xr:uid="{FB2E2480-C7DB-4435-89CA-2F87FE56D93C}"/>
    <hyperlink ref="A8" location="'2025.05'!A1" display="'2025.05'!A1" xr:uid="{1B83E4A2-512C-4EA8-95C7-FBF75D081001}"/>
    <hyperlink ref="A9" location="'2025.06'!A1" display="'2025.06'!A1" xr:uid="{00977DEA-FD49-46C1-A523-B179B2AE9543}"/>
    <hyperlink ref="A10" location="'2025.07'!A1" display="'2025.07'!A1" xr:uid="{F7224FD4-4D65-4337-8E9E-73627A90EA27}"/>
    <hyperlink ref="A11" location="'2025.08'!A1" display="'2025.08'!A1" xr:uid="{ABDF1587-718A-46BC-B0D2-B369B9D80C7D}"/>
    <hyperlink ref="A12" location="'2025.09'!A1" display="'2025.09'!A1" xr:uid="{75CDC892-47F4-4E78-9C8F-39E9D5E7D6F7}"/>
    <hyperlink ref="A13" location="'2025.10'!A1" display="'2025.10'!A1" xr:uid="{8267A371-1AE6-4485-B280-53B076EB1120}"/>
    <hyperlink ref="A14" location="'2025.11'!A1" display="'2025.11'!A1" xr:uid="{A9817F4C-3CFD-46A7-BF6A-4B62A03F47B7}"/>
    <hyperlink ref="A15" location="'2025.12'!A1" display="'2025.12'!A1" xr:uid="{709A372F-3B61-49EF-A9AD-327DE42DA467}"/>
    <hyperlink ref="A16" location="'2026.01'!A1" display="'2026.01'!A1" xr:uid="{4F0CA065-9E44-4E30-B923-DCE4AF036AEF}"/>
    <hyperlink ref="A17" location="'2026.02'!A1" display="'2026.02'!A1" xr:uid="{3705685C-360D-43FB-86A9-F2005FD7E65F}"/>
    <hyperlink ref="A18" location="'2026.03'!A1" display="'2026.03'!A1" xr:uid="{6562A9EA-82FB-45D3-A9D9-196DDDAAEE1D}"/>
    <hyperlink ref="A19" location="'2026.04'!A1" display="'2026.04'!A1" xr:uid="{5EC675BC-ACBD-449F-B4FA-BD36876CD6AA}"/>
    <hyperlink ref="F2" location="NADQ!A1" display="NADQ" xr:uid="{AA9E3C0C-E9F3-44DC-86D1-4C5F9DCC9FA6}"/>
    <hyperlink ref="G2" location="QDVE!A1" display="QDVE" xr:uid="{57ECCEEF-6620-45FA-8CC8-5CDFE2480C0A}"/>
    <hyperlink ref="H2" location="VWCE!A1" display="VWCE" xr:uid="{C2324881-D60B-4094-A4F0-523C218BB630}"/>
    <hyperlink ref="I2" location="XDEQ!A1" display="XDEQ" xr:uid="{0CCF7CDA-D7A1-4BA3-BA5C-D808524185F8}"/>
    <hyperlink ref="J2" location="VUAA!A1" display="VUAA" xr:uid="{AB51B257-B84B-4C81-8F81-CA6439C7CFFD}"/>
    <hyperlink ref="K2" location="XDWT!A1" display="XDWT" xr:uid="{14763A41-D44C-4053-8418-6E159CEA2E06}"/>
    <hyperlink ref="L2" location="XAIX!A1" display="XAIX" xr:uid="{68A013B7-3907-4548-A32D-43FBC75FA37D}"/>
    <hyperlink ref="M2" location="SPYL!A1" display="SPYL" xr:uid="{9A66C4B2-476C-4CD9-A9D7-DA1EAFAED70A}"/>
    <hyperlink ref="N2" location="JEQP!A1" display="JEQP" xr:uid="{0CF2F4DC-2A2C-425F-B1FD-62A0CF7612BD}"/>
    <hyperlink ref="O2" location="JGPI!A1" display="JGPI" xr:uid="{A214A47D-04ED-491A-8118-4CA10513E76B}"/>
    <hyperlink ref="P2" location="EXUS!A1" display="EXUS" xr:uid="{F3D0CE15-B32D-45C7-8297-10B90FE5B57D}"/>
    <hyperlink ref="R2" location="VGLA!A1" display="VGLA" xr:uid="{71C740A5-2A07-4EFF-B10C-DE71B2D1B67A}"/>
    <hyperlink ref="A21" location="'2026.06'!A1" display="'2026.06'!A1" xr:uid="{BDE26AC8-CC49-49D8-AF70-CDA17F93A416}"/>
    <hyperlink ref="A22" location="'2026.07'!A1" display="'2026.07'!A1" xr:uid="{BCDCA746-52FC-47AD-94AB-BF133D4A68C8}"/>
    <hyperlink ref="A23" location="'2026.08'!A1" display="'2026.08'!A1" xr:uid="{306DD39A-0B4E-4D4C-BA32-783EEB16526D}"/>
    <hyperlink ref="A24" location="'2026.08'!A1" display="'2026.08'!A1" xr:uid="{C2E08242-71D9-4A7D-ACF7-7CBD6483B5E5}"/>
    <hyperlink ref="Q2" location="IS3N!A1" display="IS3N" xr:uid="{8245B90B-51DE-4A64-A320-FA6A086F0842}"/>
  </hyperlinks>
  <pageMargins left="0.7" right="0.7" top="0.75" bottom="0.75" header="0.3" footer="0.3"/>
  <pageSetup orientation="portrait" r:id="rId1"/>
  <ignoredErrors>
    <ignoredError sqref="K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19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15</v>
      </c>
      <c r="P3" s="66" t="s">
        <v>13</v>
      </c>
      <c r="Q3" s="66" t="s">
        <v>1</v>
      </c>
      <c r="R3" s="66" t="s">
        <v>40</v>
      </c>
      <c r="S3" s="73" t="s">
        <v>6</v>
      </c>
      <c r="T3" s="74"/>
      <c r="U3" s="75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'2024.12'!Q2</f>
        <v>2024.12</v>
      </c>
      <c r="B5" s="5">
        <f>'2024.12'!B19</f>
        <v>10</v>
      </c>
      <c r="C5" s="5">
        <f>'2024.12'!C19</f>
        <v>10</v>
      </c>
      <c r="D5" s="5">
        <f>C5</f>
        <v>10</v>
      </c>
      <c r="E5" s="15">
        <f>'2024.12'!F19</f>
        <v>4.6104190000000003E-2</v>
      </c>
      <c r="F5" s="15">
        <f>E5</f>
        <v>4.6104190000000003E-2</v>
      </c>
      <c r="G5" s="5">
        <v>216.25</v>
      </c>
      <c r="H5" s="5">
        <f t="shared" ref="H5:H16" si="0">F5*G5</f>
        <v>9.9700310875000007</v>
      </c>
      <c r="I5" s="5">
        <f>H5-D5</f>
        <v>-2.9968912499999334E-2</v>
      </c>
      <c r="J5" s="25">
        <f>(H5-D5)/H5</f>
        <v>-3.0058996042222051E-3</v>
      </c>
      <c r="K5" s="5">
        <f>'2024.12'!D19</f>
        <v>0</v>
      </c>
      <c r="L5" s="5">
        <f>'2024.12'!J19</f>
        <v>0</v>
      </c>
      <c r="M5" s="5">
        <f>'2024.12'!O19</f>
        <v>0</v>
      </c>
      <c r="O5" s="3" t="s">
        <v>2</v>
      </c>
      <c r="P5" s="5">
        <f>SUM(B5:B61)</f>
        <v>20</v>
      </c>
      <c r="Q5" s="15">
        <f>SUM(E5:E61)</f>
        <v>9.5719280000000004E-2</v>
      </c>
      <c r="R5" s="5">
        <f>'2025.11'!I19-'2025.11'!J19</f>
        <v>22.13</v>
      </c>
      <c r="S5" s="5">
        <f>R5-P5</f>
        <v>2.129999999999999</v>
      </c>
      <c r="T5" s="25">
        <f>(R5-P5)/P5</f>
        <v>0.10649999999999996</v>
      </c>
      <c r="U5" s="25">
        <f>XIRR(AG5:AG7,AF5:AF7)</f>
        <v>0.17580165266990663</v>
      </c>
      <c r="V5" s="5">
        <f>SUM(K5:K16)</f>
        <v>0.01</v>
      </c>
      <c r="W5" s="5">
        <f>SUM(L5:L16)</f>
        <v>0</v>
      </c>
      <c r="X5" s="5">
        <f>SUM(M5:M16)</f>
        <v>0</v>
      </c>
      <c r="Y5" s="5" cm="1">
        <f t="array" ref="Y5">SUMPRODUCT(IFERROR(AD5:AD200,0),IFERROR(AE5:AE200,0))/SUM(IFERROR(AE5:AE200,0))</f>
        <v>15.171400292550828</v>
      </c>
      <c r="AC5" s="5">
        <f>'2024.12'!$C$19</f>
        <v>10</v>
      </c>
      <c r="AD5" s="5">
        <f>'2024.12'!$E$19</f>
        <v>216.90002578941306</v>
      </c>
      <c r="AE5" s="6">
        <f>'2024.12'!$F$19</f>
        <v>4.6104190000000003E-2</v>
      </c>
      <c r="AF5" s="41">
        <f>'2024.12'!$A$15</f>
        <v>45645</v>
      </c>
      <c r="AG5" s="5">
        <f>'2024.12'!$B$15*-1</f>
        <v>-10</v>
      </c>
    </row>
    <row r="6" spans="1:33" x14ac:dyDescent="0.25">
      <c r="A6" s="46">
        <f>'2025.01'!Q2</f>
        <v>2025.01</v>
      </c>
      <c r="B6" s="5">
        <f>'2025.01'!B19</f>
        <v>0</v>
      </c>
      <c r="C6" s="5">
        <f>'2025.01'!C18</f>
        <v>0</v>
      </c>
      <c r="D6" s="5">
        <f>D5+C6</f>
        <v>10</v>
      </c>
      <c r="E6" s="15">
        <f>'2025.01'!F18</f>
        <v>0</v>
      </c>
      <c r="F6" s="15">
        <f t="shared" ref="F6:F12" si="1">F5+E6</f>
        <v>4.6104190000000003E-2</v>
      </c>
      <c r="G6" s="5">
        <v>218.85</v>
      </c>
      <c r="H6" s="5">
        <f t="shared" si="0"/>
        <v>10.089901981500001</v>
      </c>
      <c r="I6" s="5">
        <f t="shared" ref="I6:I16" si="2">H6-D6</f>
        <v>8.9901981500000616E-2</v>
      </c>
      <c r="J6" s="25">
        <f t="shared" ref="J6:J16" si="3">(H6-D6)/H6</f>
        <v>8.9100946337077758E-3</v>
      </c>
      <c r="K6" s="5">
        <f>'2025.01'!D19</f>
        <v>0</v>
      </c>
      <c r="L6" s="5">
        <f>'2025.01'!J19</f>
        <v>0</v>
      </c>
      <c r="M6" s="5">
        <f>'2025.01'!O19</f>
        <v>0</v>
      </c>
      <c r="AC6" s="5">
        <f>'2025.11'!$C$89</f>
        <v>163.15</v>
      </c>
      <c r="AD6" s="5">
        <f>'2025.11'!$E$89</f>
        <v>14.542639669316401</v>
      </c>
      <c r="AE6" s="6">
        <f>'2025.11'!$F$89</f>
        <v>11.21873358</v>
      </c>
      <c r="AF6" s="41">
        <f>'2025.07'!$A$15</f>
        <v>45839</v>
      </c>
      <c r="AG6" s="5">
        <f>'2025.07'!$B$15*-1</f>
        <v>-10</v>
      </c>
    </row>
    <row r="7" spans="1:33" x14ac:dyDescent="0.25">
      <c r="A7" s="46">
        <f>'2025.02'!Q2</f>
        <v>2025.02</v>
      </c>
      <c r="B7" s="5">
        <f>'2025.02'!B19</f>
        <v>0</v>
      </c>
      <c r="C7" s="5">
        <f>'2025.02'!C18</f>
        <v>0</v>
      </c>
      <c r="D7" s="5">
        <f t="shared" ref="D7:D16" si="4">D6+C7</f>
        <v>10</v>
      </c>
      <c r="E7" s="15">
        <f>'2025.02'!F18</f>
        <v>0</v>
      </c>
      <c r="F7" s="15">
        <f t="shared" si="1"/>
        <v>4.6104190000000003E-2</v>
      </c>
      <c r="G7" s="5">
        <v>209.96</v>
      </c>
      <c r="H7" s="5">
        <f t="shared" si="0"/>
        <v>9.6800357324000004</v>
      </c>
      <c r="I7" s="5">
        <f t="shared" si="2"/>
        <v>-0.31996426759999963</v>
      </c>
      <c r="J7" s="25">
        <f t="shared" si="3"/>
        <v>-3.3054037861559624E-2</v>
      </c>
      <c r="K7" s="5">
        <f>'2025.02'!D19</f>
        <v>0</v>
      </c>
      <c r="L7" s="5">
        <f>'2025.02'!J19</f>
        <v>0</v>
      </c>
      <c r="M7" s="5">
        <f>'2025.02'!O19</f>
        <v>0</v>
      </c>
      <c r="AC7" s="5">
        <f>'2025.12'!$C$89</f>
        <v>15.450000000000001</v>
      </c>
      <c r="AD7" s="5">
        <f>'2025.12'!$E$89</f>
        <v>14.425188586465875</v>
      </c>
      <c r="AE7" s="6">
        <f>'2025.12'!$F$89</f>
        <v>1.0710431899999999</v>
      </c>
      <c r="AF7" s="41">
        <f>'2025.11'!$H$15</f>
        <v>45968</v>
      </c>
      <c r="AG7" s="5">
        <f>'2025.11'!$I$15-'2025.11'!J15</f>
        <v>22.13</v>
      </c>
    </row>
    <row r="8" spans="1:33" x14ac:dyDescent="0.25">
      <c r="A8" s="46">
        <f>'2025.03'!Q2</f>
        <v>2025.03</v>
      </c>
      <c r="B8" s="5">
        <f>'2025.03'!B19</f>
        <v>0</v>
      </c>
      <c r="C8" s="5">
        <f>'2025.03'!C18</f>
        <v>0</v>
      </c>
      <c r="D8" s="5">
        <f t="shared" si="4"/>
        <v>10</v>
      </c>
      <c r="E8" s="15">
        <f>'2025.03'!F18</f>
        <v>0</v>
      </c>
      <c r="F8" s="15">
        <f t="shared" si="1"/>
        <v>4.6104190000000003E-2</v>
      </c>
      <c r="G8" s="5">
        <v>188.05</v>
      </c>
      <c r="H8" s="5">
        <f t="shared" si="0"/>
        <v>8.6698929295000013</v>
      </c>
      <c r="I8" s="5">
        <f t="shared" si="2"/>
        <v>-1.3301070704999987</v>
      </c>
      <c r="J8" s="25">
        <f t="shared" si="3"/>
        <v>-0.15341678165069414</v>
      </c>
      <c r="K8" s="5">
        <f>'2025.03'!D19</f>
        <v>0</v>
      </c>
      <c r="L8" s="5">
        <f>'2025.03'!J19</f>
        <v>0</v>
      </c>
      <c r="M8" s="5">
        <f>'2025.03'!O19</f>
        <v>0</v>
      </c>
      <c r="AC8" s="5">
        <f>'2026.01'!$C$89</f>
        <v>43.38</v>
      </c>
      <c r="AD8" s="5">
        <f>'2026.01'!$E$89</f>
        <v>14.46</v>
      </c>
      <c r="AE8" s="15">
        <f>'2026.01'!$F$89</f>
        <v>3</v>
      </c>
      <c r="AF8" s="6"/>
      <c r="AG8" s="6"/>
    </row>
    <row r="9" spans="1:33" x14ac:dyDescent="0.25">
      <c r="A9" s="46">
        <f>'2025.04'!Q2</f>
        <v>2025.04</v>
      </c>
      <c r="B9" s="5">
        <f>'2025.04'!B19</f>
        <v>0</v>
      </c>
      <c r="C9" s="5">
        <f>'2025.04'!C19</f>
        <v>0</v>
      </c>
      <c r="D9" s="5">
        <f t="shared" si="4"/>
        <v>10</v>
      </c>
      <c r="E9" s="15">
        <f>'2025.04'!F19</f>
        <v>0</v>
      </c>
      <c r="F9" s="15">
        <f t="shared" si="1"/>
        <v>4.6104190000000003E-2</v>
      </c>
      <c r="G9" s="5">
        <v>182.85</v>
      </c>
      <c r="H9" s="5">
        <f t="shared" si="0"/>
        <v>8.4301511414999997</v>
      </c>
      <c r="I9" s="5">
        <f t="shared" si="2"/>
        <v>-1.5698488585000003</v>
      </c>
      <c r="J9" s="25">
        <f t="shared" si="3"/>
        <v>-0.18621835269025472</v>
      </c>
      <c r="K9" s="5">
        <f>'2025.04'!D19</f>
        <v>0</v>
      </c>
      <c r="L9" s="5">
        <f>'2025.04'!J19</f>
        <v>0</v>
      </c>
      <c r="M9" s="5">
        <f>'2025.04'!O19</f>
        <v>0</v>
      </c>
      <c r="AC9" s="5">
        <f>'2026.02'!$C$89</f>
        <v>57.129999999999995</v>
      </c>
      <c r="AD9" s="5">
        <f>'2026.02'!$E$89</f>
        <v>14.282499999999999</v>
      </c>
      <c r="AE9" s="15">
        <f>'2026.02'!$F$89</f>
        <v>4</v>
      </c>
      <c r="AF9" s="6"/>
      <c r="AG9" s="6"/>
    </row>
    <row r="10" spans="1:33" x14ac:dyDescent="0.25">
      <c r="A10" s="46">
        <f>'2025.05'!Q2</f>
        <v>2025.05</v>
      </c>
      <c r="B10" s="5">
        <f>'2025.05'!B19</f>
        <v>0</v>
      </c>
      <c r="C10" s="5">
        <f>'2025.05'!C19</f>
        <v>0</v>
      </c>
      <c r="D10" s="5">
        <f t="shared" si="4"/>
        <v>10</v>
      </c>
      <c r="E10" s="15">
        <f>'2025.05'!F19</f>
        <v>0</v>
      </c>
      <c r="F10" s="15">
        <f t="shared" si="1"/>
        <v>4.6104190000000003E-2</v>
      </c>
      <c r="G10" s="5">
        <v>198.25</v>
      </c>
      <c r="H10" s="5">
        <f t="shared" si="0"/>
        <v>9.1401556675000002</v>
      </c>
      <c r="I10" s="5">
        <f t="shared" si="2"/>
        <v>-0.85984433249999981</v>
      </c>
      <c r="J10" s="25">
        <f t="shared" si="3"/>
        <v>-9.4073270060091113E-2</v>
      </c>
      <c r="K10" s="5">
        <f>'2025.05'!D19</f>
        <v>0</v>
      </c>
      <c r="L10" s="5">
        <f>'2025.05'!J19</f>
        <v>0</v>
      </c>
      <c r="M10" s="5">
        <f>'2025.05'!O19</f>
        <v>0</v>
      </c>
      <c r="AC10" s="5">
        <f>'2026.03'!$C$89</f>
        <v>71.06</v>
      </c>
      <c r="AD10" s="5">
        <f>'2026.03'!$E$89</f>
        <v>14.212</v>
      </c>
      <c r="AE10" s="15">
        <f>'2026.03'!$F$89</f>
        <v>5</v>
      </c>
      <c r="AF10" s="25"/>
      <c r="AG10" s="6"/>
    </row>
    <row r="11" spans="1:33" x14ac:dyDescent="0.25">
      <c r="A11" s="46">
        <f>'2025.06'!Q2</f>
        <v>2025.06</v>
      </c>
      <c r="B11" s="5">
        <f>'2025.06'!B19</f>
        <v>0</v>
      </c>
      <c r="C11" s="5">
        <f>'2025.06'!C19</f>
        <v>0</v>
      </c>
      <c r="D11" s="5">
        <f t="shared" si="4"/>
        <v>10</v>
      </c>
      <c r="E11" s="15">
        <f>'2025.06'!F19</f>
        <v>0</v>
      </c>
      <c r="F11" s="15">
        <f t="shared" si="1"/>
        <v>4.6104190000000003E-2</v>
      </c>
      <c r="G11" s="5">
        <v>203.24</v>
      </c>
      <c r="H11" s="5">
        <f t="shared" si="0"/>
        <v>9.3702155756000014</v>
      </c>
      <c r="I11" s="5">
        <f t="shared" si="2"/>
        <v>-0.6297844243999986</v>
      </c>
      <c r="J11" s="25">
        <f t="shared" si="3"/>
        <v>-6.721130579321509E-2</v>
      </c>
      <c r="K11" s="5">
        <f>'2025.06'!D19</f>
        <v>0</v>
      </c>
      <c r="L11" s="5">
        <f>'2025.06'!J19</f>
        <v>0</v>
      </c>
      <c r="M11" s="5">
        <f>'2025.06'!O19</f>
        <v>0</v>
      </c>
      <c r="AC11" s="5">
        <f>'2026.04'!$C$89</f>
        <v>84.26</v>
      </c>
      <c r="AD11" s="5">
        <f>'2026.04'!$E$89</f>
        <v>14.043333333333335</v>
      </c>
      <c r="AE11" s="15">
        <f>'2026.04'!$F$89</f>
        <v>6</v>
      </c>
      <c r="AF11" s="6"/>
      <c r="AG11" s="6"/>
    </row>
    <row r="12" spans="1:33" x14ac:dyDescent="0.25">
      <c r="A12" s="46">
        <f>'2025.07'!Q2</f>
        <v>2025.07</v>
      </c>
      <c r="B12" s="5">
        <f>'2025.07'!B19</f>
        <v>10</v>
      </c>
      <c r="C12" s="5">
        <f>'2025.07'!C19</f>
        <v>9.99</v>
      </c>
      <c r="D12" s="5">
        <f t="shared" si="4"/>
        <v>19.990000000000002</v>
      </c>
      <c r="E12" s="15">
        <f>'2025.07'!F19</f>
        <v>4.9615090000000001E-2</v>
      </c>
      <c r="F12" s="15">
        <f t="shared" si="1"/>
        <v>9.5719280000000004E-2</v>
      </c>
      <c r="G12" s="5">
        <v>215.32</v>
      </c>
      <c r="H12" s="5">
        <f t="shared" si="0"/>
        <v>20.6102753696</v>
      </c>
      <c r="I12" s="5">
        <f t="shared" si="2"/>
        <v>0.62027536959999807</v>
      </c>
      <c r="J12" s="25">
        <f t="shared" si="3"/>
        <v>3.0095443097033995E-2</v>
      </c>
      <c r="K12" s="5">
        <f>'2025.07'!D19</f>
        <v>0.01</v>
      </c>
      <c r="L12" s="5">
        <f>'2025.07'!J19</f>
        <v>0</v>
      </c>
      <c r="M12" s="5">
        <f>'2025.07'!O19</f>
        <v>0</v>
      </c>
      <c r="AC12" s="5">
        <f>'2026.05'!$C$89</f>
        <v>76.459999999999994</v>
      </c>
      <c r="AD12" s="5">
        <f>'2026.05'!$E$89</f>
        <v>15.291999999999998</v>
      </c>
      <c r="AE12" s="15">
        <f>'2026.05'!$F$89</f>
        <v>5</v>
      </c>
      <c r="AF12" s="6"/>
      <c r="AG12" s="6"/>
    </row>
    <row r="13" spans="1:33" x14ac:dyDescent="0.25">
      <c r="A13" s="46">
        <f>'2025.08'!Q2</f>
        <v>2025.08</v>
      </c>
      <c r="B13" s="5">
        <f>'2025.08'!B19</f>
        <v>0</v>
      </c>
      <c r="C13" s="5">
        <f>'2025.08'!C19</f>
        <v>0</v>
      </c>
      <c r="D13" s="5">
        <f t="shared" si="4"/>
        <v>19.990000000000002</v>
      </c>
      <c r="E13" s="15">
        <f>'2025.08'!F19</f>
        <v>0</v>
      </c>
      <c r="F13" s="15">
        <f t="shared" ref="F13" si="5">F12+E13</f>
        <v>9.5719280000000004E-2</v>
      </c>
      <c r="G13" s="5">
        <v>211.45</v>
      </c>
      <c r="H13" s="5">
        <f t="shared" si="0"/>
        <v>20.239841756000001</v>
      </c>
      <c r="I13" s="5">
        <f t="shared" si="2"/>
        <v>0.24984175599999858</v>
      </c>
      <c r="J13" s="25">
        <f t="shared" si="3"/>
        <v>1.2344056787199645E-2</v>
      </c>
      <c r="K13" s="5">
        <f>'2025.08'!D19</f>
        <v>0</v>
      </c>
      <c r="L13" s="5">
        <f>'2025.08'!J19</f>
        <v>0</v>
      </c>
      <c r="M13" s="5">
        <f>'2025.08'!O19</f>
        <v>0</v>
      </c>
      <c r="AC13" s="5">
        <f>'2026.06'!$C$89</f>
        <v>288.29000000000002</v>
      </c>
      <c r="AD13" s="5">
        <f>'2026.06'!$E$89</f>
        <v>16.016111111111112</v>
      </c>
      <c r="AE13" s="15">
        <f>'2026.06'!$F$89</f>
        <v>18</v>
      </c>
      <c r="AF13" s="6"/>
      <c r="AG13" s="6"/>
    </row>
    <row r="14" spans="1:33" x14ac:dyDescent="0.25">
      <c r="A14" s="46">
        <f>'2025.09'!Q2</f>
        <v>2025.09</v>
      </c>
      <c r="B14" s="5">
        <f>'2025.09'!B19</f>
        <v>0</v>
      </c>
      <c r="C14" s="5">
        <f>'2025.09'!C19</f>
        <v>0</v>
      </c>
      <c r="D14" s="5">
        <f t="shared" si="4"/>
        <v>19.990000000000002</v>
      </c>
      <c r="E14" s="15">
        <f>'2025.09'!F19</f>
        <v>0</v>
      </c>
      <c r="F14" s="15">
        <f t="shared" ref="F14" si="6">F13+E14</f>
        <v>9.5719280000000004E-2</v>
      </c>
      <c r="G14" s="5">
        <v>222</v>
      </c>
      <c r="H14" s="5">
        <f t="shared" si="0"/>
        <v>21.24968016</v>
      </c>
      <c r="I14" s="5">
        <f t="shared" si="2"/>
        <v>1.2596801599999985</v>
      </c>
      <c r="J14" s="25">
        <f t="shared" si="3"/>
        <v>5.9279958593033172E-2</v>
      </c>
      <c r="K14" s="5">
        <f>'2025.09'!D19</f>
        <v>0</v>
      </c>
      <c r="L14" s="5">
        <f>'2025.09'!J19</f>
        <v>0</v>
      </c>
      <c r="M14" s="5">
        <f>'2025.09'!O19</f>
        <v>0</v>
      </c>
      <c r="AC14" s="5"/>
      <c r="AD14" s="5"/>
      <c r="AE14" s="6"/>
      <c r="AF14" s="6"/>
      <c r="AG14" s="6"/>
    </row>
    <row r="15" spans="1:33" x14ac:dyDescent="0.25">
      <c r="A15" s="46" t="str">
        <f>'2025.10'!Q2</f>
        <v>2025.10</v>
      </c>
      <c r="B15" s="5">
        <f>'2025.10'!B19</f>
        <v>0</v>
      </c>
      <c r="C15" s="5">
        <f>'2025.10'!C19</f>
        <v>0</v>
      </c>
      <c r="D15" s="5">
        <f t="shared" si="4"/>
        <v>19.990000000000002</v>
      </c>
      <c r="E15" s="15">
        <f>'2025.10'!F19</f>
        <v>0</v>
      </c>
      <c r="F15" s="15">
        <f t="shared" ref="F15" si="7">F14+E15</f>
        <v>9.5719280000000004E-2</v>
      </c>
      <c r="G15" s="5">
        <v>236.84</v>
      </c>
      <c r="H15" s="5">
        <f t="shared" si="0"/>
        <v>22.670154275200002</v>
      </c>
      <c r="I15" s="5">
        <f t="shared" si="2"/>
        <v>2.6801542751999996</v>
      </c>
      <c r="J15" s="25">
        <f t="shared" si="3"/>
        <v>0.1182239098448462</v>
      </c>
      <c r="K15" s="5">
        <f>'2025.10'!D19</f>
        <v>0</v>
      </c>
      <c r="L15" s="5">
        <f>'2025.10'!J19</f>
        <v>0</v>
      </c>
      <c r="M15" s="5">
        <f>'2025.10'!O19</f>
        <v>0</v>
      </c>
      <c r="AC15" s="5"/>
      <c r="AD15" s="5"/>
      <c r="AE15" s="6"/>
      <c r="AF15" s="6"/>
      <c r="AG15" s="6"/>
    </row>
    <row r="16" spans="1:33" x14ac:dyDescent="0.25">
      <c r="A16" s="51" t="str">
        <f>'2025.11'!Q2</f>
        <v>2025.11</v>
      </c>
      <c r="B16" s="18">
        <f>'2025.11'!B19</f>
        <v>0</v>
      </c>
      <c r="C16" s="18">
        <f>'2025.11'!C19</f>
        <v>0</v>
      </c>
      <c r="D16" s="18">
        <f t="shared" si="4"/>
        <v>19.990000000000002</v>
      </c>
      <c r="E16" s="19">
        <f>'2025.11'!F19</f>
        <v>0</v>
      </c>
      <c r="F16" s="19">
        <f t="shared" ref="F16" si="8">F15+E16</f>
        <v>9.5719280000000004E-2</v>
      </c>
      <c r="G16" s="18">
        <v>231.2</v>
      </c>
      <c r="H16" s="18">
        <f t="shared" si="0"/>
        <v>22.130297536</v>
      </c>
      <c r="I16" s="18">
        <f t="shared" si="2"/>
        <v>2.1402975359999985</v>
      </c>
      <c r="J16" s="26">
        <f t="shared" si="3"/>
        <v>9.6713455050403824E-2</v>
      </c>
      <c r="K16" s="18">
        <f>'2025.11'!D19</f>
        <v>0</v>
      </c>
      <c r="L16" s="18">
        <f>'2025.11'!J19</f>
        <v>0</v>
      </c>
      <c r="M16" s="18">
        <f>'2025.11'!O19</f>
        <v>0</v>
      </c>
      <c r="AC16" s="6"/>
      <c r="AD16" s="6"/>
      <c r="AE16" s="6"/>
      <c r="AF16" s="6"/>
      <c r="AG16" s="6"/>
    </row>
    <row r="17" spans="29:33" x14ac:dyDescent="0.25">
      <c r="AC17" s="6"/>
      <c r="AD17" s="6"/>
      <c r="AE17" s="6"/>
      <c r="AF17" s="6"/>
      <c r="AG17" s="6"/>
    </row>
    <row r="18" spans="29:33" x14ac:dyDescent="0.25">
      <c r="AC18" s="6"/>
      <c r="AD18" s="6"/>
      <c r="AE18" s="6"/>
      <c r="AF18" s="6"/>
      <c r="AG18" s="6"/>
    </row>
    <row r="19" spans="29:33" x14ac:dyDescent="0.25">
      <c r="AC19" s="6"/>
      <c r="AD19" s="6"/>
      <c r="AE19" s="6"/>
      <c r="AF19" s="6"/>
      <c r="AG19" s="6"/>
    </row>
    <row r="20" spans="29:33" x14ac:dyDescent="0.25">
      <c r="AC20" s="6"/>
      <c r="AD20" s="6"/>
      <c r="AE20" s="6"/>
      <c r="AF20" s="6"/>
      <c r="AG20" s="6"/>
    </row>
    <row r="21" spans="29:33" x14ac:dyDescent="0.25">
      <c r="AC21" s="6"/>
      <c r="AD21" s="6"/>
      <c r="AE21" s="6"/>
      <c r="AF21" s="6"/>
      <c r="AG21" s="6"/>
    </row>
  </sheetData>
  <mergeCells count="18">
    <mergeCell ref="X3:X4"/>
    <mergeCell ref="A3:A4"/>
    <mergeCell ref="E3:F3"/>
    <mergeCell ref="B3:D3"/>
    <mergeCell ref="G3:J3"/>
    <mergeCell ref="M3:M4"/>
    <mergeCell ref="V3:W3"/>
    <mergeCell ref="K3:L3"/>
    <mergeCell ref="O3:O4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4.12'!A1" display="'2024.12'!A1" xr:uid="{8A8E7E1C-DBDA-4806-B5F5-BA4216A640A3}"/>
    <hyperlink ref="A6" location="'2025.01'!A1" display="'2025.01'!A1" xr:uid="{B3DB8AC0-B37E-4390-8528-BC4725F7A83D}"/>
    <hyperlink ref="A7" location="'2025.02'!A1" display="'2025.02'!A1" xr:uid="{3341299D-BABE-408C-AC26-9E5D4A4AA7F4}"/>
    <hyperlink ref="A8" location="'2025.03'!A1" display="'2025.03'!A1" xr:uid="{3EA22C71-74F4-4C07-BCC2-5488D9CCDCFE}"/>
    <hyperlink ref="A9" location="'2025.04'!A1" display="'2025.04'!A1" xr:uid="{6C7A6F85-4DBD-4F49-A306-2BB11D54E2CA}"/>
    <hyperlink ref="A10" location="'2025.05'!A1" display="'2025.05'!A1" xr:uid="{9614070F-BF74-4A0C-B007-AF3C5A3686A7}"/>
    <hyperlink ref="A11" location="'2025.06'!A1" display="'2025.06'!A1" xr:uid="{BC2FE51E-B6DC-4B59-8B33-2A2AAD2B6389}"/>
    <hyperlink ref="A12" location="'2025.07'!A1" display="'2025.07'!A1" xr:uid="{72969F2C-F3A2-43C1-988A-A84D3C743088}"/>
    <hyperlink ref="A13" location="'2025.08'!A1" display="'2025.08'!A1" xr:uid="{E95B812D-8F1F-4782-94FF-83E9F6C4697A}"/>
    <hyperlink ref="A14" location="'2025.09'!A1" display="'2025.09'!A1" xr:uid="{AEBF5FC1-0B8E-4986-ABB0-105CC4367C8C}"/>
    <hyperlink ref="A15" location="'2025.10'!A1" display="'2025.10'!A1" xr:uid="{84DCCBB9-4D97-415B-9C73-2F52452810DE}"/>
    <hyperlink ref="A16" location="'2025.11'!A1" display="'2025.11'!A1" xr:uid="{104FB27D-A0F6-4F73-9786-AC9BBB94062D}"/>
  </hyperlinks>
  <pageMargins left="0.7" right="0.7" top="0.75" bottom="0.75" header="0.3" footer="0.3"/>
  <pageSetup orientation="portrait" r:id="rId1"/>
  <ignoredErrors>
    <ignoredError sqref="E5:E16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21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20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'2025.04'!Q2</f>
        <v>2025.04</v>
      </c>
      <c r="B5" s="5">
        <f>'2025.04'!B29</f>
        <v>10</v>
      </c>
      <c r="C5" s="5">
        <f>'2025.04'!C29</f>
        <v>10</v>
      </c>
      <c r="D5" s="5">
        <f>C5</f>
        <v>10</v>
      </c>
      <c r="E5" s="15">
        <f>'2025.04'!F29</f>
        <v>0.42553190000000002</v>
      </c>
      <c r="F5" s="15">
        <f>E5</f>
        <v>0.42553190000000002</v>
      </c>
      <c r="G5" s="5">
        <v>26.77</v>
      </c>
      <c r="H5" s="5">
        <f t="shared" ref="H5:H10" si="0">F5*G5</f>
        <v>11.391488963</v>
      </c>
      <c r="I5" s="5">
        <f t="shared" ref="I5:I12" si="1">H5-D5</f>
        <v>1.3914889630000005</v>
      </c>
      <c r="J5" s="25">
        <f>(H5-D5)/D5</f>
        <v>0.13914889630000005</v>
      </c>
      <c r="K5" s="5">
        <f>'2025.04'!D29</f>
        <v>0</v>
      </c>
      <c r="L5" s="5">
        <f>'2025.04'!J29</f>
        <v>0</v>
      </c>
      <c r="M5" s="5">
        <f>'2025.04'!O29</f>
        <v>0</v>
      </c>
      <c r="O5" s="3" t="s">
        <v>2</v>
      </c>
      <c r="P5" s="5">
        <f>SUM(B5:B55)</f>
        <v>90.86999999999999</v>
      </c>
      <c r="Q5" s="15">
        <f>SUM(E5:E55)</f>
        <v>2.8973028999999997</v>
      </c>
      <c r="R5" s="5">
        <f>'2025.11'!I29-'2025.11'!J29</f>
        <v>107.22</v>
      </c>
      <c r="S5" s="5">
        <f>R5-P5</f>
        <v>16.350000000000009</v>
      </c>
      <c r="T5" s="25">
        <f>(R5-P5)/P5</f>
        <v>0.1799273687685706</v>
      </c>
      <c r="U5" s="25">
        <f>XIRR(AG5:AG13,AF5:AF13)</f>
        <v>0.79188798666000371</v>
      </c>
      <c r="V5" s="5">
        <f>SUM(K5:K12)</f>
        <v>0.06</v>
      </c>
      <c r="W5" s="5">
        <f>SUM(L5:L12)</f>
        <v>0.11</v>
      </c>
      <c r="X5" s="5">
        <f>SUM(M5:M12)</f>
        <v>0</v>
      </c>
      <c r="Y5" s="5" cm="1">
        <f t="array" ref="Y5">SUMPRODUCT(IFERROR(AD5:AD200,0),IFERROR(AE5:AE200,0))/SUM(IFERROR(AE5:AE200,0))</f>
        <v>31.34294312134227</v>
      </c>
      <c r="AC5" s="5">
        <f>'2025.04'!$C$29</f>
        <v>10</v>
      </c>
      <c r="AD5" s="5">
        <f>'2025.04'!$E$29</f>
        <v>23.500000822500027</v>
      </c>
      <c r="AE5" s="6">
        <f>'2025.04'!$F$29</f>
        <v>0.42553190000000002</v>
      </c>
      <c r="AF5" s="41">
        <f>'2025.04'!$A$25</f>
        <v>45769</v>
      </c>
      <c r="AG5" s="5">
        <f>'2025.04'!$B$25*-1</f>
        <v>-10</v>
      </c>
    </row>
    <row r="6" spans="1:33" x14ac:dyDescent="0.25">
      <c r="A6" s="46">
        <f>'2025.05'!Q2</f>
        <v>2025.05</v>
      </c>
      <c r="B6" s="5">
        <f>'2025.05'!B29</f>
        <v>20.07</v>
      </c>
      <c r="C6" s="5">
        <f>'2025.05'!C29</f>
        <v>20.060000000000002</v>
      </c>
      <c r="D6" s="5">
        <f t="shared" ref="D6:D12" si="2">D5+C6</f>
        <v>30.060000000000002</v>
      </c>
      <c r="E6" s="15">
        <f>'2025.05'!F29</f>
        <v>0.70033011000000001</v>
      </c>
      <c r="F6" s="15">
        <f t="shared" ref="F6:F11" si="3">F5+E6</f>
        <v>1.1258620100000001</v>
      </c>
      <c r="G6" s="5">
        <v>29.25</v>
      </c>
      <c r="H6" s="5">
        <f t="shared" si="0"/>
        <v>32.931463792500004</v>
      </c>
      <c r="I6" s="5">
        <f t="shared" si="1"/>
        <v>2.8714637925000019</v>
      </c>
      <c r="J6" s="25">
        <f t="shared" ref="J6:J12" si="4">(H6-D6)/D6</f>
        <v>9.5524410928143774E-2</v>
      </c>
      <c r="K6" s="5">
        <f>'2025.05'!D29</f>
        <v>0.01</v>
      </c>
      <c r="L6" s="5">
        <f>'2025.05'!J29</f>
        <v>0</v>
      </c>
      <c r="M6" s="5">
        <f>'2025.05'!O29</f>
        <v>0</v>
      </c>
      <c r="AC6" s="5">
        <f>'2025.05'!$C$29</f>
        <v>20.060000000000002</v>
      </c>
      <c r="AD6" s="5">
        <f>'2025.05'!$E$29</f>
        <v>28.643634928105552</v>
      </c>
      <c r="AE6" s="6">
        <f>'2025.05'!$F$29</f>
        <v>0.70033011000000001</v>
      </c>
      <c r="AF6" s="41">
        <f>'2025.05'!$A$25</f>
        <v>45782</v>
      </c>
      <c r="AG6" s="5">
        <f>'2025.05'!$B$25*-1</f>
        <v>-10</v>
      </c>
    </row>
    <row r="7" spans="1:33" x14ac:dyDescent="0.25">
      <c r="A7" s="46">
        <f>'2025.06'!Q2</f>
        <v>2025.06</v>
      </c>
      <c r="B7" s="5">
        <f>'2025.06'!B29</f>
        <v>0</v>
      </c>
      <c r="C7" s="5">
        <f>'2025.06'!C29</f>
        <v>0</v>
      </c>
      <c r="D7" s="5">
        <f t="shared" si="2"/>
        <v>30.060000000000002</v>
      </c>
      <c r="E7" s="15">
        <f>'2025.06'!F29</f>
        <v>0</v>
      </c>
      <c r="F7" s="15">
        <f t="shared" si="3"/>
        <v>1.1258620100000001</v>
      </c>
      <c r="G7" s="5">
        <v>30.95</v>
      </c>
      <c r="H7" s="5">
        <f t="shared" si="0"/>
        <v>34.845429209500004</v>
      </c>
      <c r="I7" s="5">
        <f t="shared" si="1"/>
        <v>4.7854292095000019</v>
      </c>
      <c r="J7" s="25">
        <f t="shared" si="4"/>
        <v>0.15919591515302733</v>
      </c>
      <c r="K7" s="5">
        <f>'2025.06'!D29</f>
        <v>0</v>
      </c>
      <c r="L7" s="5">
        <f>'2025.06'!J29</f>
        <v>0</v>
      </c>
      <c r="M7" s="5">
        <f>'2025.06'!O29</f>
        <v>0</v>
      </c>
      <c r="AC7" s="5">
        <f>'2025.06'!$C$29</f>
        <v>0</v>
      </c>
      <c r="AD7" s="5" t="str">
        <f>'2025.06'!$E$29</f>
        <v>0.00</v>
      </c>
      <c r="AE7" s="15">
        <f>'2025.06'!$F$29</f>
        <v>0</v>
      </c>
      <c r="AF7" s="41">
        <f>'2025.05'!$A$26</f>
        <v>45806</v>
      </c>
      <c r="AG7" s="5">
        <f>'2025.05'!$B$26*-1</f>
        <v>-10.07</v>
      </c>
    </row>
    <row r="8" spans="1:33" x14ac:dyDescent="0.25">
      <c r="A8" s="46">
        <f>'2025.07'!Q2</f>
        <v>2025.07</v>
      </c>
      <c r="B8" s="5">
        <f>'2025.07'!B29</f>
        <v>10</v>
      </c>
      <c r="C8" s="5">
        <f>'2025.07'!C29</f>
        <v>9.99</v>
      </c>
      <c r="D8" s="5">
        <f t="shared" si="2"/>
        <v>40.050000000000004</v>
      </c>
      <c r="E8" s="15">
        <f>'2025.07'!F29</f>
        <v>0.3266307</v>
      </c>
      <c r="F8" s="15">
        <f t="shared" si="3"/>
        <v>1.45249271</v>
      </c>
      <c r="G8" s="5">
        <v>33.54</v>
      </c>
      <c r="H8" s="5">
        <f t="shared" si="0"/>
        <v>48.716605493399996</v>
      </c>
      <c r="I8" s="5">
        <f t="shared" si="1"/>
        <v>8.6666054933999916</v>
      </c>
      <c r="J8" s="25">
        <f t="shared" si="4"/>
        <v>0.21639464402996231</v>
      </c>
      <c r="K8" s="5">
        <f>'2025.07'!D29</f>
        <v>0.01</v>
      </c>
      <c r="L8" s="5">
        <f>'2025.07'!J29</f>
        <v>0</v>
      </c>
      <c r="M8" s="5">
        <f>'2025.07'!O29</f>
        <v>0</v>
      </c>
      <c r="AC8" s="5">
        <f>'2025.07'!$C$29</f>
        <v>9.99</v>
      </c>
      <c r="AD8" s="5">
        <f>'2025.07'!$E$29</f>
        <v>30.585000123993243</v>
      </c>
      <c r="AE8" s="6">
        <f>'2025.07'!$F$29</f>
        <v>0.3266307</v>
      </c>
      <c r="AF8" s="41">
        <f>'2025.07'!$A$25</f>
        <v>45839</v>
      </c>
      <c r="AG8" s="5">
        <f>'2025.07'!$B$25*-1</f>
        <v>-10</v>
      </c>
    </row>
    <row r="9" spans="1:33" x14ac:dyDescent="0.25">
      <c r="A9" s="46">
        <f>'2025.08'!Q2</f>
        <v>2025.08</v>
      </c>
      <c r="B9" s="5">
        <f>'2025.08'!B29</f>
        <v>10</v>
      </c>
      <c r="C9" s="5">
        <f>'2025.08'!C29</f>
        <v>9.99</v>
      </c>
      <c r="D9" s="5">
        <f t="shared" si="2"/>
        <v>50.040000000000006</v>
      </c>
      <c r="E9" s="15">
        <f>'2025.08'!F29</f>
        <v>0.30823819000000002</v>
      </c>
      <c r="F9" s="15">
        <f t="shared" si="3"/>
        <v>1.7607309</v>
      </c>
      <c r="G9" s="5">
        <v>32.729999999999997</v>
      </c>
      <c r="H9" s="5">
        <f t="shared" si="0"/>
        <v>57.628722356999994</v>
      </c>
      <c r="I9" s="5">
        <f t="shared" si="1"/>
        <v>7.5887223569999875</v>
      </c>
      <c r="J9" s="25">
        <f t="shared" si="4"/>
        <v>0.15165312464028749</v>
      </c>
      <c r="K9" s="5">
        <f>'2025.08'!D29</f>
        <v>0.01</v>
      </c>
      <c r="L9" s="5">
        <f>'2025.08'!J29</f>
        <v>0</v>
      </c>
      <c r="M9" s="5">
        <f>'2025.08'!O29</f>
        <v>0</v>
      </c>
      <c r="AC9" s="5">
        <f>'2025.08'!$C$29</f>
        <v>9.99</v>
      </c>
      <c r="AD9" s="5">
        <f>'2025.08'!$E$29</f>
        <v>32.410000850316436</v>
      </c>
      <c r="AE9" s="6">
        <f>'2025.08'!$F$29</f>
        <v>0.30823819000000002</v>
      </c>
      <c r="AF9" s="41">
        <f>'2025.08'!$A$25</f>
        <v>45889</v>
      </c>
      <c r="AG9" s="5">
        <f>'2025.08'!$B$25*-1</f>
        <v>-10</v>
      </c>
    </row>
    <row r="10" spans="1:33" x14ac:dyDescent="0.25">
      <c r="A10" s="46">
        <f>'2025.09'!Q2</f>
        <v>2025.09</v>
      </c>
      <c r="B10" s="5">
        <f>'2025.09'!B29</f>
        <v>10</v>
      </c>
      <c r="C10" s="5">
        <f>'2025.09'!C29</f>
        <v>10</v>
      </c>
      <c r="D10" s="5">
        <f t="shared" si="2"/>
        <v>60.040000000000006</v>
      </c>
      <c r="E10" s="15">
        <f>'2025.09'!F29</f>
        <v>0.30422876999999998</v>
      </c>
      <c r="F10" s="15">
        <f t="shared" si="3"/>
        <v>2.0649596699999999</v>
      </c>
      <c r="G10" s="5">
        <v>35.01</v>
      </c>
      <c r="H10" s="5">
        <f t="shared" si="0"/>
        <v>72.294238046699988</v>
      </c>
      <c r="I10" s="5">
        <f t="shared" si="1"/>
        <v>12.254238046699982</v>
      </c>
      <c r="J10" s="25">
        <f t="shared" si="4"/>
        <v>0.20410123328947335</v>
      </c>
      <c r="K10" s="5">
        <f>'2025.09'!D29</f>
        <v>0</v>
      </c>
      <c r="L10" s="5">
        <f>'2025.09'!J29</f>
        <v>0</v>
      </c>
      <c r="M10" s="5">
        <f>'2025.09'!O29</f>
        <v>0</v>
      </c>
      <c r="AC10" s="5">
        <f>'2025.09'!$C$29</f>
        <v>10</v>
      </c>
      <c r="AD10" s="5">
        <f>'2025.09'!$E$29</f>
        <v>32.870001085038737</v>
      </c>
      <c r="AE10" s="6">
        <f>'2025.09'!$F$29</f>
        <v>0.30422876999999998</v>
      </c>
      <c r="AF10" s="41">
        <f>'2025.09'!$A$25</f>
        <v>45908</v>
      </c>
      <c r="AG10" s="5">
        <f>'2025.09'!$B$25*-1</f>
        <v>-10</v>
      </c>
    </row>
    <row r="11" spans="1:33" x14ac:dyDescent="0.25">
      <c r="A11" s="46" t="str">
        <f>'2025.10'!Q2</f>
        <v>2025.10</v>
      </c>
      <c r="B11" s="5">
        <f>'2025.10'!B29</f>
        <v>10</v>
      </c>
      <c r="C11" s="5">
        <f>'2025.10'!C29</f>
        <v>9.99</v>
      </c>
      <c r="D11" s="5">
        <f t="shared" si="2"/>
        <v>70.03</v>
      </c>
      <c r="E11" s="15">
        <f>'2025.10'!F29</f>
        <v>0.28136882000000002</v>
      </c>
      <c r="F11" s="15">
        <f t="shared" si="3"/>
        <v>2.3463284899999999</v>
      </c>
      <c r="G11" s="5">
        <v>37.97</v>
      </c>
      <c r="H11" s="5">
        <f t="shared" ref="H11" si="5">F11*G11</f>
        <v>89.0900927653</v>
      </c>
      <c r="I11" s="5">
        <f t="shared" si="1"/>
        <v>19.060092765299999</v>
      </c>
      <c r="J11" s="25">
        <f t="shared" si="4"/>
        <v>0.2721703950492646</v>
      </c>
      <c r="K11" s="5">
        <f>'2025.10'!D29</f>
        <v>0.01</v>
      </c>
      <c r="L11" s="5">
        <f>'2025.10'!J29</f>
        <v>0</v>
      </c>
      <c r="M11" s="5">
        <f>'2025.10'!O29</f>
        <v>0</v>
      </c>
      <c r="AC11" s="5">
        <f>'2025.10'!$C$29</f>
        <v>9.99</v>
      </c>
      <c r="AD11" s="5">
        <f>'2025.10'!$E$29</f>
        <v>35.505000163131079</v>
      </c>
      <c r="AE11" s="6">
        <f>'2025.10'!$F$29</f>
        <v>0.28136882000000002</v>
      </c>
      <c r="AF11" s="41">
        <f>'2025.10'!$A$25</f>
        <v>45933</v>
      </c>
      <c r="AG11" s="5">
        <f>'2025.10'!$B$25*-1</f>
        <v>-10</v>
      </c>
    </row>
    <row r="12" spans="1:33" x14ac:dyDescent="0.25">
      <c r="A12" s="51" t="str">
        <f>'2025.11'!Q2</f>
        <v>2025.11</v>
      </c>
      <c r="B12" s="18">
        <f>'2025.11'!B29</f>
        <v>20.8</v>
      </c>
      <c r="C12" s="18">
        <f>'2025.11'!C29</f>
        <v>20.78</v>
      </c>
      <c r="D12" s="18">
        <f t="shared" si="2"/>
        <v>90.81</v>
      </c>
      <c r="E12" s="19">
        <f>'2025.11'!F29</f>
        <v>0.55097441000000003</v>
      </c>
      <c r="F12" s="19">
        <f t="shared" ref="F12" si="6">F11+E12</f>
        <v>2.8973028999999997</v>
      </c>
      <c r="G12" s="18">
        <v>37.04</v>
      </c>
      <c r="H12" s="18">
        <f t="shared" ref="H12" si="7">F12*G12</f>
        <v>107.31609941599999</v>
      </c>
      <c r="I12" s="18">
        <f t="shared" si="1"/>
        <v>16.506099415999984</v>
      </c>
      <c r="J12" s="26">
        <f t="shared" si="4"/>
        <v>0.18176521766325276</v>
      </c>
      <c r="K12" s="18">
        <f>'2025.11'!D29</f>
        <v>0.02</v>
      </c>
      <c r="L12" s="18">
        <f>'2025.11'!J29</f>
        <v>0.11</v>
      </c>
      <c r="M12" s="18">
        <f>'2025.11'!O29</f>
        <v>0</v>
      </c>
      <c r="AC12" s="5">
        <f>'2025.11'!$C$29</f>
        <v>20.78</v>
      </c>
      <c r="AD12" s="5">
        <f>'2025.11'!$E$29</f>
        <v>37.715000230228476</v>
      </c>
      <c r="AE12" s="6">
        <f>'2025.11'!$F$29</f>
        <v>0.55097441000000003</v>
      </c>
      <c r="AF12" s="41">
        <f>'2025.11'!$A$25</f>
        <v>45965</v>
      </c>
      <c r="AG12" s="5">
        <f>'2025.11'!$B$25*-1</f>
        <v>-20.8</v>
      </c>
    </row>
    <row r="13" spans="1:33" x14ac:dyDescent="0.25">
      <c r="AC13" s="5"/>
      <c r="AD13" s="5"/>
      <c r="AE13" s="15"/>
      <c r="AF13" s="41">
        <f>'2025.11'!$H$25</f>
        <v>45973</v>
      </c>
      <c r="AG13" s="5">
        <f>'2025.11'!$I$25-'2025.11'!J25</f>
        <v>107.22</v>
      </c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X3:X4"/>
    <mergeCell ref="V3:W3"/>
    <mergeCell ref="A3:A4"/>
    <mergeCell ref="B3:D3"/>
    <mergeCell ref="E3:F3"/>
    <mergeCell ref="G3:J3"/>
    <mergeCell ref="K3:L3"/>
    <mergeCell ref="O3:O4"/>
    <mergeCell ref="M3:M4"/>
    <mergeCell ref="P3:P4"/>
    <mergeCell ref="Q3:Q4"/>
    <mergeCell ref="R3:R4"/>
    <mergeCell ref="S3:U3"/>
    <mergeCell ref="Y3:Y4"/>
    <mergeCell ref="AC3:AC4"/>
    <mergeCell ref="AD3:AD4"/>
    <mergeCell ref="AE3:AE4"/>
    <mergeCell ref="AF3:AG3"/>
  </mergeCells>
  <hyperlinks>
    <hyperlink ref="A5" location="'2025.04'!A1" display="'2025.04'!A1" xr:uid="{6F13DA39-E0B8-42C8-89A9-3D3D6B9E9337}"/>
    <hyperlink ref="A6" location="'2025.05'!A1" display="'2025.05'!A1" xr:uid="{9C20E9A4-D1DB-43D0-B893-8A8A50FDD13D}"/>
    <hyperlink ref="A7" location="'2025.06'!A1" display="'2025.06'!A1" xr:uid="{E04ADFDA-79D3-4FDF-8EA0-4D4D64120E8F}"/>
    <hyperlink ref="A8" location="'2025.07'!A1" display="'2025.07'!A1" xr:uid="{C8914205-A42A-417F-96A6-662FEDE51A38}"/>
    <hyperlink ref="A9" location="'2025.08'!A1" display="'2025.08'!A1" xr:uid="{C5C0FDCE-3F16-4081-B71D-B9261E7A1EA8}"/>
    <hyperlink ref="A10" location="'2025.09'!A1" display="'2025.09'!A1" xr:uid="{81B91994-88CC-4808-B12B-E4077C7A6432}"/>
    <hyperlink ref="A11" location="'2025.10'!A1" display="'2025.10'!A1" xr:uid="{9B900A25-75B9-4884-8717-A034D299CD0E}"/>
    <hyperlink ref="A12" location="'2025.11'!A1" display="'2025.11'!A1" xr:uid="{3EE57829-F2E5-41ED-B360-6F090FA1315E}"/>
  </hyperlinks>
  <pageMargins left="0.7" right="0.7" top="0.75" bottom="0.75" header="0.3" footer="0.3"/>
  <pageSetup orientation="portrait" r:id="rId1"/>
  <ignoredErrors>
    <ignoredError sqref="E5:E1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G21"/>
  <sheetViews>
    <sheetView workbookViewId="0">
      <pane xSplit="1" ySplit="5" topLeftCell="L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22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23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'2025.06'!Q2</f>
        <v>2025.06</v>
      </c>
      <c r="B5" s="5">
        <f>'2025.06'!B39</f>
        <v>10</v>
      </c>
      <c r="C5" s="5">
        <f>'2025.06'!C39</f>
        <v>10</v>
      </c>
      <c r="D5" s="5">
        <f>C5</f>
        <v>10</v>
      </c>
      <c r="E5" s="15">
        <f>'2025.06'!F39</f>
        <v>7.7184310000000006E-2</v>
      </c>
      <c r="F5" s="15">
        <f>E5</f>
        <v>7.7184310000000006E-2</v>
      </c>
      <c r="G5" s="5">
        <v>129.69</v>
      </c>
      <c r="H5" s="5">
        <f t="shared" ref="H5:H10" si="0">F5*G5</f>
        <v>10.010033163900001</v>
      </c>
      <c r="I5" s="5">
        <f t="shared" ref="I5:I10" si="1">H5-D5</f>
        <v>1.0033163900001085E-2</v>
      </c>
      <c r="J5" s="25">
        <f>(H5-D5)/D5</f>
        <v>1.0033163900001086E-3</v>
      </c>
      <c r="K5" s="5">
        <f>'2025.06'!D39</f>
        <v>0</v>
      </c>
      <c r="L5" s="5">
        <f>'2025.06'!J39</f>
        <v>0</v>
      </c>
      <c r="M5" s="5">
        <f>'2025.06'!O39</f>
        <v>0</v>
      </c>
      <c r="O5" s="3" t="s">
        <v>2</v>
      </c>
      <c r="P5" s="5">
        <f>SUM(B5:B43)</f>
        <v>102.52000000000001</v>
      </c>
      <c r="Q5" s="15">
        <f>SUM(E5:E43)</f>
        <v>0.72812535999999994</v>
      </c>
      <c r="R5" s="5">
        <f>'2025.11'!I39-'2025.11'!J39</f>
        <v>106.12</v>
      </c>
      <c r="S5" s="5">
        <f>R5-P5</f>
        <v>3.5999999999999943</v>
      </c>
      <c r="T5" s="25">
        <f>(R5-P5)/P5</f>
        <v>3.511509949278184E-2</v>
      </c>
      <c r="U5" s="25">
        <f>XIRR(AG5:AG11,AF5:AF11)</f>
        <v>0.42217914462089545</v>
      </c>
      <c r="V5" s="5">
        <f>SUM(K5:K10)</f>
        <v>9.0000000000000011E-2</v>
      </c>
      <c r="W5" s="5">
        <f>SUM(L5:L10)</f>
        <v>0.11</v>
      </c>
      <c r="X5" s="5">
        <f>SUM(M5:M12)</f>
        <v>0</v>
      </c>
      <c r="Y5" s="5" cm="1">
        <f t="array" ref="Y5">SUMPRODUCT(IFERROR(AD5:AD200,0),IFERROR(AE5:AE200,0))/SUM(IFERROR(AE5:AE200,0))</f>
        <v>140.67632529651215</v>
      </c>
      <c r="AC5" s="5">
        <f>'2025.06'!$C$39</f>
        <v>10</v>
      </c>
      <c r="AD5" s="5">
        <f>'2025.06'!$E$39</f>
        <v>129.56001031815921</v>
      </c>
      <c r="AE5" s="6">
        <f>'2025.06'!$F$39</f>
        <v>7.7184310000000006E-2</v>
      </c>
      <c r="AF5" s="41">
        <f>'2025.06'!$A$35</f>
        <v>45833</v>
      </c>
      <c r="AG5" s="5">
        <f>'2025.06'!$B$35*-1</f>
        <v>-10</v>
      </c>
    </row>
    <row r="6" spans="1:33" x14ac:dyDescent="0.25">
      <c r="A6" s="46">
        <f>'2025.07'!Q2</f>
        <v>2025.07</v>
      </c>
      <c r="B6" s="5">
        <f>'2025.07'!B39</f>
        <v>10</v>
      </c>
      <c r="C6" s="5">
        <f>'2025.07'!C39</f>
        <v>9.99</v>
      </c>
      <c r="D6" s="5">
        <f>D5+C6</f>
        <v>19.990000000000002</v>
      </c>
      <c r="E6" s="15">
        <f>'2025.07'!F39</f>
        <v>7.7047660000000004E-2</v>
      </c>
      <c r="F6" s="15">
        <f>F5+E6</f>
        <v>0.15423197</v>
      </c>
      <c r="G6" s="5">
        <v>135.38</v>
      </c>
      <c r="H6" s="5">
        <f t="shared" si="0"/>
        <v>20.8799240986</v>
      </c>
      <c r="I6" s="5">
        <f t="shared" si="1"/>
        <v>0.8899240985999981</v>
      </c>
      <c r="J6" s="25">
        <f t="shared" ref="J6:J10" si="2">(H6-D6)/D6</f>
        <v>4.451846416208094E-2</v>
      </c>
      <c r="K6" s="5">
        <f>'2025.07'!D39</f>
        <v>0.01</v>
      </c>
      <c r="L6" s="5">
        <f>'2025.07'!J39</f>
        <v>0</v>
      </c>
      <c r="M6" s="5">
        <f>'2025.07'!O39</f>
        <v>0</v>
      </c>
      <c r="AC6" s="5">
        <f>'2025.07'!$C$39</f>
        <v>9.99</v>
      </c>
      <c r="AD6" s="5">
        <f>'2025.07'!$E$39</f>
        <v>129.66000524869932</v>
      </c>
      <c r="AE6" s="6">
        <f>'2025.07'!$F$39</f>
        <v>7.7047660000000004E-2</v>
      </c>
      <c r="AF6" s="41">
        <f>'2025.07'!$A$35</f>
        <v>45839</v>
      </c>
      <c r="AG6" s="5">
        <f>'2025.07'!$B$35*-1</f>
        <v>-10</v>
      </c>
    </row>
    <row r="7" spans="1:33" x14ac:dyDescent="0.25">
      <c r="A7" s="46">
        <f>'2025.08'!Q2</f>
        <v>2025.08</v>
      </c>
      <c r="B7" s="5">
        <f>'2025.08'!B39</f>
        <v>0</v>
      </c>
      <c r="C7" s="5">
        <f>'2025.08'!C39</f>
        <v>0</v>
      </c>
      <c r="D7" s="5">
        <f>D6+C7</f>
        <v>19.990000000000002</v>
      </c>
      <c r="E7" s="15">
        <f>'2025.08'!F39</f>
        <v>0</v>
      </c>
      <c r="F7" s="15">
        <f>F6+E7</f>
        <v>0.15423197</v>
      </c>
      <c r="G7" s="5">
        <v>135.63999999999999</v>
      </c>
      <c r="H7" s="5">
        <f t="shared" si="0"/>
        <v>20.920024410799996</v>
      </c>
      <c r="I7" s="5">
        <f t="shared" si="1"/>
        <v>0.93002441079999443</v>
      </c>
      <c r="J7" s="25">
        <f t="shared" si="2"/>
        <v>4.652448278139041E-2</v>
      </c>
      <c r="K7" s="5">
        <f>'2025.08'!D39</f>
        <v>0</v>
      </c>
      <c r="L7" s="5">
        <f>'2025.08'!J39</f>
        <v>0</v>
      </c>
      <c r="M7" s="5">
        <f>'2025.08'!O39</f>
        <v>0</v>
      </c>
      <c r="AC7" s="5">
        <f>'2025.08'!$C$39</f>
        <v>0</v>
      </c>
      <c r="AD7" s="5" t="str">
        <f>'2025.08'!$E$39</f>
        <v>0.00</v>
      </c>
      <c r="AE7" s="15">
        <f>'2025.08'!$F$39</f>
        <v>0</v>
      </c>
      <c r="AF7" s="41">
        <f>'2025.10'!$A$35</f>
        <v>45933</v>
      </c>
      <c r="AG7" s="5">
        <f>'2025.10'!$B$35*-1</f>
        <v>-10</v>
      </c>
    </row>
    <row r="8" spans="1:33" x14ac:dyDescent="0.25">
      <c r="A8" s="46">
        <f>'2025.09'!Q2</f>
        <v>2025.09</v>
      </c>
      <c r="B8" s="5">
        <f>'2025.09'!B39</f>
        <v>0</v>
      </c>
      <c r="C8" s="5">
        <f>'2025.09'!C39</f>
        <v>0</v>
      </c>
      <c r="D8" s="5">
        <f>D7+C8</f>
        <v>19.990000000000002</v>
      </c>
      <c r="E8" s="15">
        <f>'2025.09'!F39</f>
        <v>0</v>
      </c>
      <c r="F8" s="15">
        <f>F7+E8</f>
        <v>0.15423197</v>
      </c>
      <c r="G8" s="5">
        <v>139.97999999999999</v>
      </c>
      <c r="H8" s="5">
        <f t="shared" si="0"/>
        <v>21.589391160599998</v>
      </c>
      <c r="I8" s="5">
        <f t="shared" si="1"/>
        <v>1.5993911605999962</v>
      </c>
      <c r="J8" s="25">
        <f t="shared" si="2"/>
        <v>8.0009562811405505E-2</v>
      </c>
      <c r="K8" s="5">
        <f>'2025.09'!D39</f>
        <v>0</v>
      </c>
      <c r="L8" s="5">
        <f>'2025.09'!J39</f>
        <v>0</v>
      </c>
      <c r="M8" s="5">
        <f>'2025.09'!O39</f>
        <v>0</v>
      </c>
      <c r="AC8" s="5">
        <f>'2025.09'!$C$39</f>
        <v>0</v>
      </c>
      <c r="AD8" s="5" t="str">
        <f>'2025.09'!$E$39</f>
        <v>0.00</v>
      </c>
      <c r="AE8" s="15">
        <f>'2025.09'!$F$39</f>
        <v>0</v>
      </c>
      <c r="AF8" s="41">
        <f>'2025.11'!$A$35</f>
        <v>45965</v>
      </c>
      <c r="AG8" s="5">
        <f>'2025.11'!$B$35*-1</f>
        <v>-10</v>
      </c>
    </row>
    <row r="9" spans="1:33" x14ac:dyDescent="0.25">
      <c r="A9" s="46" t="str">
        <f>'2025.10'!Q2</f>
        <v>2025.10</v>
      </c>
      <c r="B9" s="5">
        <f>'2025.10'!B39</f>
        <v>10</v>
      </c>
      <c r="C9" s="5">
        <f>'2025.10'!C39</f>
        <v>9.99</v>
      </c>
      <c r="D9" s="5">
        <f>D8+C9</f>
        <v>29.980000000000004</v>
      </c>
      <c r="E9" s="15">
        <f>'2025.10'!F39</f>
        <v>7.070063E-2</v>
      </c>
      <c r="F9" s="15">
        <f>F8+E9</f>
        <v>0.22493259999999998</v>
      </c>
      <c r="G9" s="5">
        <v>145.41999999999999</v>
      </c>
      <c r="H9" s="5">
        <f t="shared" si="0"/>
        <v>32.709698691999996</v>
      </c>
      <c r="I9" s="5">
        <f t="shared" si="1"/>
        <v>2.7296986919999924</v>
      </c>
      <c r="J9" s="25">
        <f t="shared" si="2"/>
        <v>9.1050656837891666E-2</v>
      </c>
      <c r="K9" s="5">
        <f>'2025.10'!D39</f>
        <v>0.01</v>
      </c>
      <c r="L9" s="5">
        <f>'2025.10'!J39</f>
        <v>0</v>
      </c>
      <c r="M9" s="5">
        <f>'2025.10'!O39</f>
        <v>0</v>
      </c>
      <c r="AC9" s="5">
        <f>'2025.10'!$C$39</f>
        <v>9.99</v>
      </c>
      <c r="AD9" s="5">
        <f>'2025.10'!$E$39</f>
        <v>141.30001387540676</v>
      </c>
      <c r="AE9" s="6">
        <f>'2025.10'!$F$39</f>
        <v>7.070063E-2</v>
      </c>
      <c r="AF9" s="41">
        <f>'2025.11'!$A$36</f>
        <v>45968</v>
      </c>
      <c r="AG9" s="5">
        <f>'2025.11'!$B$36*-1</f>
        <v>-30</v>
      </c>
    </row>
    <row r="10" spans="1:33" x14ac:dyDescent="0.25">
      <c r="A10" s="51" t="str">
        <f>'2025.11'!Q2</f>
        <v>2025.11</v>
      </c>
      <c r="B10" s="18">
        <f>'2025.11'!B39</f>
        <v>72.52000000000001</v>
      </c>
      <c r="C10" s="18">
        <f>'2025.11'!C39</f>
        <v>72.45</v>
      </c>
      <c r="D10" s="18">
        <f>D9+C10</f>
        <v>102.43</v>
      </c>
      <c r="E10" s="19">
        <f>'2025.11'!F39</f>
        <v>0.50319276000000002</v>
      </c>
      <c r="F10" s="19">
        <f>F9+E10</f>
        <v>0.72812535999999994</v>
      </c>
      <c r="G10" s="18">
        <v>145.9</v>
      </c>
      <c r="H10" s="18">
        <f t="shared" si="0"/>
        <v>106.23349002399999</v>
      </c>
      <c r="I10" s="18">
        <f t="shared" si="1"/>
        <v>3.8034900239999843</v>
      </c>
      <c r="J10" s="26">
        <f t="shared" si="2"/>
        <v>3.713257858049384E-2</v>
      </c>
      <c r="K10" s="18">
        <f>'2025.11'!D39</f>
        <v>7.0000000000000007E-2</v>
      </c>
      <c r="L10" s="18">
        <f>'2025.11'!J39</f>
        <v>0.11</v>
      </c>
      <c r="M10" s="18">
        <f>'2025.11'!O39</f>
        <v>0</v>
      </c>
      <c r="AC10" s="5">
        <f>'2025.11'!$C$39</f>
        <v>72.45</v>
      </c>
      <c r="AD10" s="5">
        <f>'2025.11'!$E$39</f>
        <v>143.98060894198875</v>
      </c>
      <c r="AE10" s="6">
        <f>'2025.11'!$F$39</f>
        <v>0.50319276000000002</v>
      </c>
      <c r="AF10" s="41">
        <f>'2025.11'!$A$37</f>
        <v>45968</v>
      </c>
      <c r="AG10" s="5">
        <f>'2025.11'!$B$37*-1</f>
        <v>-32.520000000000003</v>
      </c>
    </row>
    <row r="11" spans="1:33" x14ac:dyDescent="0.25">
      <c r="AC11" s="5"/>
      <c r="AD11" s="5"/>
      <c r="AE11" s="6"/>
      <c r="AF11" s="41">
        <f>'2025.11'!$H$35</f>
        <v>45973</v>
      </c>
      <c r="AG11" s="5">
        <f>'2025.11'!$I$35-'2025.11'!J35</f>
        <v>106.12</v>
      </c>
    </row>
    <row r="12" spans="1:33" x14ac:dyDescent="0.25">
      <c r="AC12" s="5"/>
      <c r="AD12" s="5"/>
      <c r="AE12" s="6"/>
      <c r="AF12" s="41"/>
      <c r="AG12" s="5"/>
    </row>
    <row r="13" spans="1:33" x14ac:dyDescent="0.25">
      <c r="AC13" s="5"/>
      <c r="AD13" s="5"/>
      <c r="AE13" s="15"/>
      <c r="AF13" s="41"/>
      <c r="AG13" s="5"/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S3:U3"/>
    <mergeCell ref="Y3:Y4"/>
    <mergeCell ref="AE3:AE4"/>
    <mergeCell ref="AF3:AG3"/>
    <mergeCell ref="X3:X4"/>
    <mergeCell ref="AC3:AC4"/>
    <mergeCell ref="AD3:AD4"/>
    <mergeCell ref="V3:W3"/>
    <mergeCell ref="A3:A4"/>
    <mergeCell ref="B3:D3"/>
    <mergeCell ref="E3:F3"/>
    <mergeCell ref="G3:J3"/>
    <mergeCell ref="K3:L3"/>
    <mergeCell ref="O3:O4"/>
    <mergeCell ref="M3:M4"/>
    <mergeCell ref="P3:P4"/>
    <mergeCell ref="Q3:Q4"/>
    <mergeCell ref="R3:R4"/>
  </mergeCells>
  <hyperlinks>
    <hyperlink ref="A5" location="'2025.06'!A1" display="'2025.06'!A1" xr:uid="{99B7ECEA-9693-4F93-951B-89C8226D5168}"/>
    <hyperlink ref="A6" location="'2025.07'!A1" display="'2025.07'!A1" xr:uid="{B86FA67C-036E-4C60-BC0B-427B253EB4DB}"/>
    <hyperlink ref="A7" location="'2025.08'!A1" display="'2025.08'!A1" xr:uid="{D37C53B6-DDA5-4055-BB04-3CE33D7D8C90}"/>
    <hyperlink ref="A8" location="'2025.09'!A1" display="'2025.09'!A1" xr:uid="{D9657AFB-9B06-419C-82DC-BE622E22E298}"/>
    <hyperlink ref="A9" location="'2025.10'!A1" display="'2025.10'!A1" xr:uid="{BE645546-1BEF-40FA-9CB3-9F33B909FDE3}"/>
    <hyperlink ref="A10" location="'2025.11'!A1" display="'2025.11'!A1" xr:uid="{99360114-57C9-4183-BD2E-94FC2A57492B}"/>
  </hyperlinks>
  <pageMargins left="0.7" right="0.7" top="0.75" bottom="0.75" header="0.3" footer="0.3"/>
  <pageSetup orientation="portrait" r:id="rId1"/>
  <ignoredErrors>
    <ignoredError sqref="E5:E10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24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25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'2025.07'!Q2</f>
        <v>2025.07</v>
      </c>
      <c r="B5" s="5">
        <f>'2025.07'!B49</f>
        <v>10</v>
      </c>
      <c r="C5" s="5">
        <f>'2025.07'!C49</f>
        <v>10</v>
      </c>
      <c r="D5" s="5">
        <f>C5</f>
        <v>10</v>
      </c>
      <c r="E5" s="15">
        <f>'2025.07'!F49</f>
        <v>0.1537279</v>
      </c>
      <c r="F5" s="15">
        <f>E5</f>
        <v>0.1537279</v>
      </c>
      <c r="G5" s="5">
        <v>65.25</v>
      </c>
      <c r="H5" s="5">
        <f>F5*G5</f>
        <v>10.030745475</v>
      </c>
      <c r="I5" s="5">
        <f>H5-D5</f>
        <v>3.07454749999998E-2</v>
      </c>
      <c r="J5" s="25">
        <f>(H5-D5)/D5</f>
        <v>3.0745474999999802E-3</v>
      </c>
      <c r="K5" s="5">
        <f>'2025.07'!D49</f>
        <v>0</v>
      </c>
      <c r="L5" s="5">
        <f>'2025.07'!J49</f>
        <v>0</v>
      </c>
      <c r="M5" s="5">
        <f>'2025.07'!O49</f>
        <v>0</v>
      </c>
      <c r="O5" s="3" t="s">
        <v>2</v>
      </c>
      <c r="P5" s="5">
        <f>SUM(B5:B46)</f>
        <v>20</v>
      </c>
      <c r="Q5" s="15">
        <f>SUM(E5:E46)</f>
        <v>0.30631686999999996</v>
      </c>
      <c r="R5" s="5">
        <f>'2025.11'!I49-'2025.11'!J49</f>
        <v>20.8</v>
      </c>
      <c r="S5" s="5">
        <f>R5-P5</f>
        <v>0.80000000000000071</v>
      </c>
      <c r="T5" s="25">
        <f>(R5-P5)/P5</f>
        <v>4.0000000000000036E-2</v>
      </c>
      <c r="U5" s="25">
        <f>XIRR(AG5:AG7,AF5:AF7)</f>
        <v>0.20114189982414243</v>
      </c>
      <c r="V5" s="5">
        <f>SUM(K5:K9)</f>
        <v>0.01</v>
      </c>
      <c r="W5" s="5">
        <f>SUM(L5:L9)</f>
        <v>0.02</v>
      </c>
      <c r="X5" s="5">
        <f>SUM(M5:M12)</f>
        <v>0</v>
      </c>
      <c r="Y5" s="5" cm="1">
        <f t="array" ref="Y5">SUMPRODUCT(IFERROR(AD5:AD200,0),IFERROR(AE5:AE200,0))/SUM(IFERROR(AE5:AE200,0))</f>
        <v>65.259219970483514</v>
      </c>
      <c r="AC5" s="5">
        <f>'2025.07'!$C$49</f>
        <v>10</v>
      </c>
      <c r="AD5" s="5">
        <f>'2025.07'!$E$49</f>
        <v>65.050000683025004</v>
      </c>
      <c r="AE5" s="6">
        <f>'2025.07'!$F$49</f>
        <v>0.1537279</v>
      </c>
      <c r="AF5" s="41">
        <f>'2025.07'!$A$45</f>
        <v>45866</v>
      </c>
      <c r="AG5" s="5">
        <f>'2025.07'!$B$45*-1</f>
        <v>-10</v>
      </c>
    </row>
    <row r="6" spans="1:33" x14ac:dyDescent="0.25">
      <c r="A6" s="46">
        <f>'2025.08'!Q2</f>
        <v>2025.08</v>
      </c>
      <c r="B6" s="5">
        <f>'2025.08'!B49</f>
        <v>0</v>
      </c>
      <c r="C6" s="5">
        <f>'2025.08'!C49</f>
        <v>0</v>
      </c>
      <c r="D6" s="5">
        <f>D5+C6</f>
        <v>10</v>
      </c>
      <c r="E6" s="15">
        <f>'2025.08'!F49</f>
        <v>0</v>
      </c>
      <c r="F6" s="15">
        <f>F5+E6</f>
        <v>0.1537279</v>
      </c>
      <c r="G6" s="5">
        <v>65.31</v>
      </c>
      <c r="H6" s="5">
        <f>F6*G6</f>
        <v>10.039969149000001</v>
      </c>
      <c r="I6" s="5">
        <f>H6-D6</f>
        <v>3.9969149000000925E-2</v>
      </c>
      <c r="J6" s="25">
        <f t="shared" ref="J6:J9" si="0">(H6-D6)/D6</f>
        <v>3.9969149000000925E-3</v>
      </c>
      <c r="K6" s="5">
        <f>'2025.08'!D49</f>
        <v>0</v>
      </c>
      <c r="L6" s="5">
        <f>'2025.08'!J49</f>
        <v>0</v>
      </c>
      <c r="M6" s="5">
        <f>'2025.08'!O49</f>
        <v>0</v>
      </c>
      <c r="AC6" s="5">
        <f>'2025.08'!$C$49</f>
        <v>0</v>
      </c>
      <c r="AD6" s="5" t="str">
        <f>'2025.08'!$E$49</f>
        <v>0.00</v>
      </c>
      <c r="AE6" s="15">
        <f>'2025.08'!$F$49</f>
        <v>0</v>
      </c>
      <c r="AF6" s="41">
        <f>'2025.09'!$A$45</f>
        <v>45908</v>
      </c>
      <c r="AG6" s="5">
        <f>'2025.09'!$B$45*-1</f>
        <v>-10</v>
      </c>
    </row>
    <row r="7" spans="1:33" x14ac:dyDescent="0.25">
      <c r="A7" s="46">
        <f>'2025.09'!Q2</f>
        <v>2025.09</v>
      </c>
      <c r="B7" s="5">
        <f>'2025.09'!B49</f>
        <v>10</v>
      </c>
      <c r="C7" s="5">
        <f>'2025.09'!C49</f>
        <v>9.99</v>
      </c>
      <c r="D7" s="5">
        <f>D6+C7</f>
        <v>19.990000000000002</v>
      </c>
      <c r="E7" s="15">
        <f>'2025.09'!F49</f>
        <v>0.15258896999999999</v>
      </c>
      <c r="F7" s="15">
        <f>F6+E7</f>
        <v>0.30631686999999996</v>
      </c>
      <c r="G7" s="5">
        <v>66.92</v>
      </c>
      <c r="H7" s="5">
        <f>F7*G7</f>
        <v>20.498724940399999</v>
      </c>
      <c r="I7" s="5">
        <f>H7-D7</f>
        <v>0.50872494039999694</v>
      </c>
      <c r="J7" s="25">
        <f t="shared" si="0"/>
        <v>2.5448971505752722E-2</v>
      </c>
      <c r="K7" s="5">
        <f>'2025.09'!D49</f>
        <v>0.01</v>
      </c>
      <c r="L7" s="5">
        <f>'2025.09'!J49</f>
        <v>0</v>
      </c>
      <c r="M7" s="5">
        <f>'2025.09'!O49</f>
        <v>0</v>
      </c>
      <c r="AC7" s="5">
        <f>'2025.09'!$C$49</f>
        <v>9.99</v>
      </c>
      <c r="AD7" s="5">
        <f>'2025.09'!$E$49</f>
        <v>65.470000878831556</v>
      </c>
      <c r="AE7" s="6">
        <f>'2025.09'!$F$49</f>
        <v>0.15258896999999999</v>
      </c>
      <c r="AF7" s="41">
        <f>'2025.11'!$H$45</f>
        <v>45965</v>
      </c>
      <c r="AG7" s="5">
        <f>'2025.11'!$I$45-'2025.11'!J45</f>
        <v>20.8</v>
      </c>
    </row>
    <row r="8" spans="1:33" x14ac:dyDescent="0.25">
      <c r="A8" s="46" t="str">
        <f>'2025.10'!Q2</f>
        <v>2025.10</v>
      </c>
      <c r="B8" s="5">
        <f>'2025.10'!B49</f>
        <v>0</v>
      </c>
      <c r="C8" s="5">
        <f>'2025.10'!C49</f>
        <v>0</v>
      </c>
      <c r="D8" s="5">
        <f>D7+C8</f>
        <v>19.990000000000002</v>
      </c>
      <c r="E8" s="15">
        <f>'2025.10'!F49</f>
        <v>0</v>
      </c>
      <c r="F8" s="15">
        <f>F7+E8</f>
        <v>0.30631686999999996</v>
      </c>
      <c r="G8" s="5">
        <v>68.78</v>
      </c>
      <c r="H8" s="5">
        <f>F8*G8</f>
        <v>21.068474318599996</v>
      </c>
      <c r="I8" s="5">
        <f>H8-D8</f>
        <v>1.0784743185999943</v>
      </c>
      <c r="J8" s="25">
        <f t="shared" si="0"/>
        <v>5.3950691275637529E-2</v>
      </c>
      <c r="K8" s="5">
        <f>'2025.10'!D49</f>
        <v>0</v>
      </c>
      <c r="L8" s="5">
        <f>'2025.10'!J49</f>
        <v>0</v>
      </c>
      <c r="M8" s="5">
        <f>'2025.10'!O49</f>
        <v>0</v>
      </c>
      <c r="AC8" s="5">
        <f>'2025.10'!$C$49</f>
        <v>0</v>
      </c>
      <c r="AD8" s="5" t="str">
        <f>'2025.10'!$E$49</f>
        <v>0.00</v>
      </c>
      <c r="AE8" s="15">
        <f>'2025.10'!$F$49</f>
        <v>0</v>
      </c>
      <c r="AF8" s="41"/>
      <c r="AG8" s="5"/>
    </row>
    <row r="9" spans="1:33" x14ac:dyDescent="0.25">
      <c r="A9" s="51" t="str">
        <f>'2025.11'!Q2</f>
        <v>2025.11</v>
      </c>
      <c r="B9" s="18">
        <f>'2025.11'!B49</f>
        <v>0</v>
      </c>
      <c r="C9" s="18">
        <f>'2025.11'!C49</f>
        <v>0</v>
      </c>
      <c r="D9" s="18">
        <f>D8+C9</f>
        <v>19.990000000000002</v>
      </c>
      <c r="E9" s="19">
        <f>'2025.11'!F49</f>
        <v>0</v>
      </c>
      <c r="F9" s="19">
        <f>F8+E9</f>
        <v>0.30631686999999996</v>
      </c>
      <c r="G9" s="18">
        <v>67.97</v>
      </c>
      <c r="H9" s="18">
        <f>F9*G9</f>
        <v>20.820357653899997</v>
      </c>
      <c r="I9" s="18">
        <f>H9-D9</f>
        <v>0.83035765389999483</v>
      </c>
      <c r="J9" s="26">
        <f t="shared" si="0"/>
        <v>4.1538652021010244E-2</v>
      </c>
      <c r="K9" s="18">
        <f>'2025.11'!D49</f>
        <v>0</v>
      </c>
      <c r="L9" s="18">
        <f>'2025.11'!J49</f>
        <v>0.02</v>
      </c>
      <c r="M9" s="18">
        <f>'2025.11'!O49</f>
        <v>0</v>
      </c>
      <c r="AC9" s="5">
        <f>'2025.11'!$C$49</f>
        <v>0</v>
      </c>
      <c r="AD9" s="5" t="str">
        <f>'2025.11'!$E$49</f>
        <v>0.00</v>
      </c>
      <c r="AE9" s="15">
        <f>'2025.11'!$F$49</f>
        <v>0</v>
      </c>
      <c r="AF9" s="41"/>
      <c r="AG9" s="5"/>
    </row>
    <row r="10" spans="1:33" x14ac:dyDescent="0.25">
      <c r="AC10" s="5"/>
      <c r="AD10" s="5"/>
      <c r="AE10" s="6"/>
      <c r="AF10" s="41"/>
      <c r="AG10" s="5"/>
    </row>
    <row r="11" spans="1:33" x14ac:dyDescent="0.25">
      <c r="AC11" s="5"/>
      <c r="AD11" s="5"/>
      <c r="AE11" s="6"/>
      <c r="AF11" s="41"/>
      <c r="AG11" s="5"/>
    </row>
    <row r="12" spans="1:33" x14ac:dyDescent="0.25">
      <c r="AC12" s="5"/>
      <c r="AD12" s="5"/>
      <c r="AE12" s="6"/>
      <c r="AF12" s="41"/>
      <c r="AG12" s="5"/>
    </row>
    <row r="13" spans="1:33" x14ac:dyDescent="0.25">
      <c r="AC13" s="5"/>
      <c r="AD13" s="5"/>
      <c r="AE13" s="15"/>
      <c r="AF13" s="41"/>
      <c r="AG13" s="5"/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AF3:AG3"/>
    <mergeCell ref="X3:X4"/>
    <mergeCell ref="Y3:Y4"/>
    <mergeCell ref="AC3:AC4"/>
    <mergeCell ref="AD3:AD4"/>
    <mergeCell ref="AE3:AE4"/>
    <mergeCell ref="M3:M4"/>
    <mergeCell ref="A3:A4"/>
    <mergeCell ref="B3:D3"/>
    <mergeCell ref="E3:F3"/>
    <mergeCell ref="G3:J3"/>
    <mergeCell ref="K3:L3"/>
    <mergeCell ref="V3:W3"/>
    <mergeCell ref="O3:O4"/>
    <mergeCell ref="P3:P4"/>
    <mergeCell ref="Q3:Q4"/>
    <mergeCell ref="R3:R4"/>
    <mergeCell ref="S3:U3"/>
  </mergeCells>
  <hyperlinks>
    <hyperlink ref="A5" location="'2025.07'!A1" display="'2025.07'!A1" xr:uid="{0574E83B-3F03-42E9-9E20-8F8F01CF915A}"/>
    <hyperlink ref="A6" location="'2025.08'!A1" display="'2025.08'!A1" xr:uid="{25D089F1-4DA8-47D0-BA88-1C708FA7E064}"/>
    <hyperlink ref="A7" location="'2025.09'!A1" display="'2025.09'!A1" xr:uid="{F65C839F-46AD-4405-A3B7-A0FA825A5E17}"/>
    <hyperlink ref="A8" location="'2025.10'!A1" display="'2025.10'!A1" xr:uid="{13933835-D86B-40A0-9641-9BEA7236B52D}"/>
    <hyperlink ref="A9" location="'2025.11'!A1" display="'2025.11'!A1" xr:uid="{DED5A8D4-B841-4448-B248-06867AAB47C4}"/>
  </hyperlinks>
  <pageMargins left="0.7" right="0.7" top="0.75" bottom="0.75" header="0.3" footer="0.3"/>
  <pageSetup orientation="portrait" r:id="rId1"/>
  <ignoredErrors>
    <ignoredError sqref="E5:E9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G21"/>
  <sheetViews>
    <sheetView workbookViewId="0">
      <pane xSplit="1" ySplit="5" topLeftCell="L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26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27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'2025.07'!Q2</f>
        <v>2025.07</v>
      </c>
      <c r="B5" s="5">
        <f>'2025.07'!B59</f>
        <v>10</v>
      </c>
      <c r="C5" s="5">
        <f>'2025.07'!C59</f>
        <v>9.99</v>
      </c>
      <c r="D5" s="5">
        <f>C5</f>
        <v>9.99</v>
      </c>
      <c r="E5" s="15">
        <f>'2025.07'!F59</f>
        <v>9.511124E-2</v>
      </c>
      <c r="F5" s="15">
        <f>E5</f>
        <v>9.511124E-2</v>
      </c>
      <c r="G5" s="5">
        <v>106.4</v>
      </c>
      <c r="H5" s="5">
        <f>F5*G5</f>
        <v>10.119835936000001</v>
      </c>
      <c r="I5" s="5">
        <f>H5-D5</f>
        <v>0.12983593600000098</v>
      </c>
      <c r="J5" s="25">
        <f>(H5-D5)/D5</f>
        <v>1.2996590190190288E-2</v>
      </c>
      <c r="K5" s="5">
        <f>'2025.07'!D59</f>
        <v>0.01</v>
      </c>
      <c r="L5" s="5">
        <f>'2025.07'!J59</f>
        <v>0</v>
      </c>
      <c r="M5" s="5">
        <f>'2025.07'!O59</f>
        <v>0</v>
      </c>
      <c r="O5" s="3" t="s">
        <v>2</v>
      </c>
      <c r="P5" s="5">
        <f>SUM(B5:B46)</f>
        <v>20</v>
      </c>
      <c r="Q5" s="15">
        <f>SUM(E5:E46)</f>
        <v>0.18926565000000001</v>
      </c>
      <c r="R5" s="5">
        <f>'2025.11'!I59-'2025.11'!J59</f>
        <v>21.35</v>
      </c>
      <c r="S5" s="5">
        <f>R5-P5</f>
        <v>1.3500000000000014</v>
      </c>
      <c r="T5" s="25">
        <f>(R5-P5)/P5</f>
        <v>6.7500000000000074E-2</v>
      </c>
      <c r="U5" s="25">
        <f>XIRR(AG5:AG7,AF5:AF7)</f>
        <v>0.35654556155204786</v>
      </c>
      <c r="V5" s="5">
        <f>SUM(K5:K9)</f>
        <v>0.02</v>
      </c>
      <c r="W5" s="5">
        <f>SUM(L5:L9)</f>
        <v>0.02</v>
      </c>
      <c r="X5" s="5">
        <f>SUM(M5:M12)</f>
        <v>0</v>
      </c>
      <c r="Y5" s="5" cm="1">
        <f t="array" ref="Y5">SUMPRODUCT(IFERROR(AD5:AD200,0),IFERROR(AE5:AE200,0))/SUM(IFERROR(AE5:AE200,0))</f>
        <v>105.56590696727061</v>
      </c>
      <c r="AC5" s="5">
        <f>'2025.07'!$C$59</f>
        <v>9.99</v>
      </c>
      <c r="AD5" s="5">
        <f>'2025.07'!$E$59</f>
        <v>105.034904391952</v>
      </c>
      <c r="AE5" s="6">
        <f>'2025.07'!$F$59</f>
        <v>9.511124E-2</v>
      </c>
      <c r="AF5" s="41">
        <f>'2025.07'!$A$55</f>
        <v>45866</v>
      </c>
      <c r="AG5" s="5">
        <f>'2025.07'!$B$55*-1</f>
        <v>-10</v>
      </c>
    </row>
    <row r="6" spans="1:33" x14ac:dyDescent="0.25">
      <c r="A6" s="46">
        <f>'2025.08'!Q2</f>
        <v>2025.08</v>
      </c>
      <c r="B6" s="5">
        <f>'2025.08'!B59</f>
        <v>0</v>
      </c>
      <c r="C6" s="5">
        <f>'2025.08'!C59</f>
        <v>0</v>
      </c>
      <c r="D6" s="5">
        <f>D5+C6</f>
        <v>9.99</v>
      </c>
      <c r="E6" s="15">
        <f>'2025.08'!F59</f>
        <v>0</v>
      </c>
      <c r="F6" s="15">
        <f>F5+E6</f>
        <v>9.511124E-2</v>
      </c>
      <c r="G6" s="5">
        <v>105.77</v>
      </c>
      <c r="H6" s="5">
        <f>F6*G6</f>
        <v>10.0599158548</v>
      </c>
      <c r="I6" s="5">
        <f>H6-D6</f>
        <v>6.9915854799999622E-2</v>
      </c>
      <c r="J6" s="25">
        <f t="shared" ref="J6:J9" si="0">(H6-D6)/D6</f>
        <v>6.9985840640640262E-3</v>
      </c>
      <c r="K6" s="5">
        <f>'2025.08'!D59</f>
        <v>0</v>
      </c>
      <c r="L6" s="5">
        <f>'2025.08'!J59</f>
        <v>0</v>
      </c>
      <c r="M6" s="5">
        <f>'2025.08'!O59</f>
        <v>0</v>
      </c>
      <c r="AC6" s="5">
        <f>'2025.08'!$C$59</f>
        <v>0</v>
      </c>
      <c r="AD6" s="5" t="str">
        <f>'2025.08'!$E$59</f>
        <v>0.00</v>
      </c>
      <c r="AE6" s="15">
        <f>'2025.08'!$F$59</f>
        <v>0</v>
      </c>
      <c r="AF6" s="41">
        <f>'2025.09'!$A$55</f>
        <v>45908</v>
      </c>
      <c r="AG6" s="5">
        <f>'2025.09'!$B$55*-1</f>
        <v>-10</v>
      </c>
    </row>
    <row r="7" spans="1:33" x14ac:dyDescent="0.25">
      <c r="A7" s="46">
        <f>'2025.09'!Q2</f>
        <v>2025.09</v>
      </c>
      <c r="B7" s="5">
        <f>'2025.09'!B59</f>
        <v>10</v>
      </c>
      <c r="C7" s="5">
        <f>'2025.09'!C59</f>
        <v>9.99</v>
      </c>
      <c r="D7" s="5">
        <f>D6+C7</f>
        <v>19.98</v>
      </c>
      <c r="E7" s="15">
        <f>'2025.09'!F59</f>
        <v>9.4154409999999994E-2</v>
      </c>
      <c r="F7" s="15">
        <f>F6+E7</f>
        <v>0.18926565000000001</v>
      </c>
      <c r="G7" s="5">
        <v>108.89</v>
      </c>
      <c r="H7" s="5">
        <f>F7*G7</f>
        <v>20.6091366285</v>
      </c>
      <c r="I7" s="5">
        <f>H7-D7</f>
        <v>0.62913662849999952</v>
      </c>
      <c r="J7" s="25">
        <f t="shared" si="0"/>
        <v>3.1488319744744718E-2</v>
      </c>
      <c r="K7" s="5">
        <f>'2025.09'!D59</f>
        <v>0.01</v>
      </c>
      <c r="L7" s="5">
        <f>'2025.09'!J59</f>
        <v>0</v>
      </c>
      <c r="M7" s="5">
        <f>'2025.09'!O59</f>
        <v>0</v>
      </c>
      <c r="AC7" s="5">
        <f>'2025.09'!$C$59</f>
        <v>9.99</v>
      </c>
      <c r="AD7" s="5">
        <f>'2025.09'!$E$59</f>
        <v>106.1023057762244</v>
      </c>
      <c r="AE7" s="6">
        <f>'2025.09'!$F$59</f>
        <v>9.4154409999999994E-2</v>
      </c>
      <c r="AF7" s="41">
        <f>'2025.11'!$H$55</f>
        <v>45965</v>
      </c>
      <c r="AG7" s="5">
        <f>'2025.11'!$I$55-'2025.11'!$J$55</f>
        <v>21.35</v>
      </c>
    </row>
    <row r="8" spans="1:33" x14ac:dyDescent="0.25">
      <c r="A8" s="46" t="str">
        <f>'2025.10'!Q2</f>
        <v>2025.10</v>
      </c>
      <c r="B8" s="5">
        <f>'2025.10'!B59</f>
        <v>0</v>
      </c>
      <c r="C8" s="5">
        <f>'2025.10'!C59</f>
        <v>0</v>
      </c>
      <c r="D8" s="5">
        <f>D7+C8</f>
        <v>19.98</v>
      </c>
      <c r="E8" s="15">
        <f>'2025.10'!F59</f>
        <v>0</v>
      </c>
      <c r="F8" s="15">
        <f>F7+E8</f>
        <v>0.18926565000000001</v>
      </c>
      <c r="G8" s="5">
        <v>113.7</v>
      </c>
      <c r="H8" s="5">
        <f>F8*G8</f>
        <v>21.519504405000003</v>
      </c>
      <c r="I8" s="5">
        <f>H8-D8</f>
        <v>1.5395044050000024</v>
      </c>
      <c r="J8" s="25">
        <f t="shared" si="0"/>
        <v>7.7052272522522641E-2</v>
      </c>
      <c r="K8" s="5">
        <f>'2025.10'!D59</f>
        <v>0</v>
      </c>
      <c r="L8" s="5">
        <f>'2025.10'!J59</f>
        <v>0</v>
      </c>
      <c r="M8" s="5">
        <f>'2025.10'!O59</f>
        <v>0</v>
      </c>
      <c r="AC8" s="5">
        <f>'2025.10'!$C$59</f>
        <v>0</v>
      </c>
      <c r="AD8" s="5" t="str">
        <f>'2025.10'!$E$59</f>
        <v>0.00</v>
      </c>
      <c r="AE8" s="15">
        <f>'2025.10'!$F$59</f>
        <v>0</v>
      </c>
      <c r="AF8" s="41"/>
      <c r="AG8" s="5"/>
    </row>
    <row r="9" spans="1:33" x14ac:dyDescent="0.25">
      <c r="A9" s="53" t="str">
        <f>'2025.11'!Q2</f>
        <v>2025.11</v>
      </c>
      <c r="B9" s="18">
        <f>'2025.11'!B59</f>
        <v>0</v>
      </c>
      <c r="C9" s="18">
        <f>'2025.11'!C59</f>
        <v>0</v>
      </c>
      <c r="D9" s="18">
        <f>D8+C9</f>
        <v>19.98</v>
      </c>
      <c r="E9" s="19">
        <f>'2025.11'!F59</f>
        <v>0</v>
      </c>
      <c r="F9" s="19">
        <f>F8+E9</f>
        <v>0.18926565000000001</v>
      </c>
      <c r="G9" s="18">
        <v>112.91</v>
      </c>
      <c r="H9" s="18">
        <f>F9*G9</f>
        <v>21.369984541499999</v>
      </c>
      <c r="I9" s="18">
        <f>H9-D9</f>
        <v>1.3899845414999987</v>
      </c>
      <c r="J9" s="26">
        <f t="shared" si="0"/>
        <v>6.9568795870870809E-2</v>
      </c>
      <c r="K9" s="18">
        <f>'2025.11'!D59</f>
        <v>0</v>
      </c>
      <c r="L9" s="18">
        <f>'2025.11'!J59</f>
        <v>0.02</v>
      </c>
      <c r="M9" s="18">
        <f>'2025.11'!O59</f>
        <v>0</v>
      </c>
      <c r="AC9" s="5">
        <f>'2025.11'!$C$59</f>
        <v>0</v>
      </c>
      <c r="AD9" s="5" t="str">
        <f>'2025.11'!$E$59</f>
        <v>0.00</v>
      </c>
      <c r="AE9" s="15">
        <f>'2025.11'!$F$59</f>
        <v>0</v>
      </c>
      <c r="AF9" s="41"/>
      <c r="AG9" s="5"/>
    </row>
    <row r="10" spans="1:33" x14ac:dyDescent="0.25">
      <c r="AC10" s="5"/>
      <c r="AD10" s="5"/>
      <c r="AE10" s="6"/>
      <c r="AF10" s="41"/>
      <c r="AG10" s="5"/>
    </row>
    <row r="11" spans="1:33" x14ac:dyDescent="0.25">
      <c r="AC11" s="5"/>
      <c r="AD11" s="5"/>
      <c r="AE11" s="6"/>
      <c r="AF11" s="41"/>
      <c r="AG11" s="5"/>
    </row>
    <row r="12" spans="1:33" x14ac:dyDescent="0.25">
      <c r="AC12" s="5"/>
      <c r="AD12" s="5"/>
      <c r="AE12" s="6"/>
      <c r="AF12" s="41"/>
      <c r="AG12" s="5"/>
    </row>
    <row r="13" spans="1:33" x14ac:dyDescent="0.25">
      <c r="AC13" s="5"/>
      <c r="AD13" s="5"/>
      <c r="AE13" s="15"/>
      <c r="AF13" s="41"/>
      <c r="AG13" s="5"/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M3:M4"/>
    <mergeCell ref="A3:A4"/>
    <mergeCell ref="B3:D3"/>
    <mergeCell ref="E3:F3"/>
    <mergeCell ref="G3:J3"/>
    <mergeCell ref="K3:L3"/>
    <mergeCell ref="V3:W3"/>
    <mergeCell ref="O3:O4"/>
    <mergeCell ref="P3:P4"/>
    <mergeCell ref="Q3:Q4"/>
    <mergeCell ref="R3:R4"/>
    <mergeCell ref="S3:U3"/>
    <mergeCell ref="AF3:AG3"/>
    <mergeCell ref="X3:X4"/>
    <mergeCell ref="Y3:Y4"/>
    <mergeCell ref="AC3:AC4"/>
    <mergeCell ref="AD3:AD4"/>
    <mergeCell ref="AE3:AE4"/>
  </mergeCells>
  <hyperlinks>
    <hyperlink ref="A5" location="'2025.07'!A1" display="'2025.07'!A1" xr:uid="{435187D5-1C7E-43CD-952B-326FE33AFA24}"/>
    <hyperlink ref="A6" location="'2025.08'!A1" display="'2025.08'!A1" xr:uid="{663C758E-E61B-4014-8C2D-97219FA61522}"/>
    <hyperlink ref="A7" location="'2025.09'!A1" display="'2025.09'!A1" xr:uid="{CEA7A58E-3346-4247-8B0B-E5C622E1C92A}"/>
    <hyperlink ref="A8" location="'2025.10'!A1" display="'2025.10'!A1" xr:uid="{1E60683D-6374-436E-A26F-346C320C57AA}"/>
    <hyperlink ref="A9" location="'2025.11'!A1" display="'2025.11'!A1" xr:uid="{D5463A75-6213-4DA4-9273-567A066F50B5}"/>
  </hyperlinks>
  <pageMargins left="0.7" right="0.7" top="0.75" bottom="0.75" header="0.3" footer="0.3"/>
  <pageSetup orientation="portrait" r:id="rId1"/>
  <ignoredErrors>
    <ignoredError sqref="E5:E9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30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31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'2025.08'!Q2</f>
        <v>2025.08</v>
      </c>
      <c r="B5" s="5">
        <f>'2025.08'!B69</f>
        <v>20</v>
      </c>
      <c r="C5" s="5">
        <f>'2025.08'!C69</f>
        <v>19.990000000000002</v>
      </c>
      <c r="D5" s="5">
        <f>C5</f>
        <v>19.990000000000002</v>
      </c>
      <c r="E5" s="15">
        <f>'2025.08'!F69</f>
        <v>0.21645166999999998</v>
      </c>
      <c r="F5" s="15">
        <f>E5</f>
        <v>0.21645166999999998</v>
      </c>
      <c r="G5" s="5">
        <v>91.94</v>
      </c>
      <c r="H5" s="5">
        <f>F5*G5</f>
        <v>19.9005665398</v>
      </c>
      <c r="I5" s="5">
        <f>H5-D5</f>
        <v>-8.9433460200002202E-2</v>
      </c>
      <c r="J5" s="25">
        <f>(H5-D5)/D5</f>
        <v>-4.4739099649826006E-3</v>
      </c>
      <c r="K5" s="5">
        <f>'2025.08'!D69</f>
        <v>0.01</v>
      </c>
      <c r="L5" s="5">
        <f>'2025.08'!J69</f>
        <v>0</v>
      </c>
      <c r="M5" s="5">
        <f>'2025.08'!O69</f>
        <v>0</v>
      </c>
      <c r="O5" s="3" t="s">
        <v>2</v>
      </c>
      <c r="P5" s="5">
        <f>SUM(B5:B44)</f>
        <v>30</v>
      </c>
      <c r="Q5" s="15">
        <f>SUM(E5:E44)</f>
        <v>0.31683310999999997</v>
      </c>
      <c r="R5" s="5">
        <f>'2025.11'!I69-'2025.11'!J69</f>
        <v>32.519999999999996</v>
      </c>
      <c r="S5" s="5">
        <f>R5-P5</f>
        <v>2.519999999999996</v>
      </c>
      <c r="T5" s="25">
        <f>(R5-P5)/P5</f>
        <v>8.3999999999999866E-2</v>
      </c>
      <c r="U5" s="25">
        <f>XIRR(AG5:AG8,AF5:AF8)</f>
        <v>0.59511161446571348</v>
      </c>
      <c r="V5" s="5">
        <f>SUM(K5:K8)</f>
        <v>0.01</v>
      </c>
      <c r="W5" s="5">
        <f>SUM(L5:L8)</f>
        <v>0.03</v>
      </c>
      <c r="X5" s="5">
        <f>SUM(M5:M12)</f>
        <v>0</v>
      </c>
      <c r="Y5" s="5" cm="1">
        <f t="array" ref="Y5">SUMPRODUCT(IFERROR(AD5:AD200,0),IFERROR(AE5:AE200,0))/SUM(IFERROR(AE5:AE200,0))</f>
        <v>94.655511224821183</v>
      </c>
      <c r="AC5" s="5">
        <f>'2025.08'!$C$69</f>
        <v>19.990000000000002</v>
      </c>
      <c r="AD5" s="5">
        <f>'2025.08'!$E$69</f>
        <v>92.353179811456314</v>
      </c>
      <c r="AE5" s="6">
        <f>'2025.08'!$F$69</f>
        <v>0.21645166999999998</v>
      </c>
      <c r="AF5" s="41">
        <f>'2025.08'!$A$65</f>
        <v>45887</v>
      </c>
      <c r="AG5" s="5">
        <f>'2025.08'!$B$65*-1</f>
        <v>-10</v>
      </c>
    </row>
    <row r="6" spans="1:33" x14ac:dyDescent="0.25">
      <c r="A6" s="46">
        <f>'2025.09'!Q2</f>
        <v>2025.09</v>
      </c>
      <c r="B6" s="5">
        <f>'2025.09'!B69</f>
        <v>0</v>
      </c>
      <c r="C6" s="5">
        <f>'2025.09'!C69</f>
        <v>0</v>
      </c>
      <c r="D6" s="5">
        <f>D5+C6</f>
        <v>19.990000000000002</v>
      </c>
      <c r="E6" s="15">
        <f>'2025.09'!F69</f>
        <v>0</v>
      </c>
      <c r="F6" s="15">
        <f>F5+E6</f>
        <v>0.21645166999999998</v>
      </c>
      <c r="G6" s="5">
        <v>97.9</v>
      </c>
      <c r="H6" s="5">
        <f>F6*G6</f>
        <v>21.190618492999999</v>
      </c>
      <c r="I6" s="5">
        <f>H6-D6</f>
        <v>1.2006184929999968</v>
      </c>
      <c r="J6" s="25">
        <f t="shared" ref="J6:J8" si="0">(H6-D6)/D6</f>
        <v>6.0060955127563619E-2</v>
      </c>
      <c r="K6" s="5">
        <f>'2025.09'!D69</f>
        <v>0</v>
      </c>
      <c r="L6" s="5">
        <f>'2025.09'!J69</f>
        <v>0</v>
      </c>
      <c r="M6" s="5">
        <f>'2025.09'!O69</f>
        <v>0</v>
      </c>
      <c r="AC6" s="5">
        <f>'2025.09'!$C$69</f>
        <v>0</v>
      </c>
      <c r="AD6" s="5" t="str">
        <f>'2025.09'!$E$69</f>
        <v>0.00</v>
      </c>
      <c r="AE6" s="15">
        <f>'2025.09'!$F$69</f>
        <v>0</v>
      </c>
      <c r="AF6" s="41">
        <f>'2025.08'!$A$66</f>
        <v>45889</v>
      </c>
      <c r="AG6" s="5">
        <f>'2025.08'!$B$66*-1</f>
        <v>-10</v>
      </c>
    </row>
    <row r="7" spans="1:33" x14ac:dyDescent="0.25">
      <c r="A7" s="46" t="str">
        <f>'2025.10'!Q2</f>
        <v>2025.10</v>
      </c>
      <c r="B7" s="5">
        <f>'2025.10'!B69</f>
        <v>10</v>
      </c>
      <c r="C7" s="5">
        <f>'2025.10'!C69</f>
        <v>10</v>
      </c>
      <c r="D7" s="5">
        <f>D6+C7</f>
        <v>29.990000000000002</v>
      </c>
      <c r="E7" s="15">
        <f>'2025.10'!F69</f>
        <v>0.10038144</v>
      </c>
      <c r="F7" s="15">
        <f>F6+E7</f>
        <v>0.31683310999999997</v>
      </c>
      <c r="G7" s="5">
        <v>106.65</v>
      </c>
      <c r="H7" s="5">
        <f>F7*G7</f>
        <v>33.790251181499997</v>
      </c>
      <c r="I7" s="5">
        <f>H7-D7</f>
        <v>3.8002511814999949</v>
      </c>
      <c r="J7" s="25">
        <f t="shared" si="0"/>
        <v>0.12671727847615855</v>
      </c>
      <c r="K7" s="5">
        <f>'2025.10'!D69</f>
        <v>0</v>
      </c>
      <c r="L7" s="5">
        <f>'2025.10'!J69</f>
        <v>0</v>
      </c>
      <c r="M7" s="5">
        <f>'2025.10'!O69</f>
        <v>0</v>
      </c>
      <c r="AC7" s="5">
        <f>'2025.10'!$C$69</f>
        <v>10</v>
      </c>
      <c r="AD7" s="5">
        <f>'2025.10'!$E$69</f>
        <v>99.620009436007294</v>
      </c>
      <c r="AE7" s="6">
        <f>'2025.10'!$F$69</f>
        <v>0.10038144</v>
      </c>
      <c r="AF7" s="41">
        <f>'2025.10'!$A$65</f>
        <v>45940</v>
      </c>
      <c r="AG7" s="5">
        <f>'2025.10'!$B$65*-1</f>
        <v>-10</v>
      </c>
    </row>
    <row r="8" spans="1:33" x14ac:dyDescent="0.25">
      <c r="A8" s="51" t="str">
        <f>'2025.11'!Q2</f>
        <v>2025.11</v>
      </c>
      <c r="B8" s="18">
        <f>'2025.11'!B69</f>
        <v>0</v>
      </c>
      <c r="C8" s="18">
        <f>'2025.11'!C69</f>
        <v>0</v>
      </c>
      <c r="D8" s="18">
        <f>D7+C8</f>
        <v>29.990000000000002</v>
      </c>
      <c r="E8" s="19">
        <f>'2025.11'!F69</f>
        <v>0</v>
      </c>
      <c r="F8" s="19">
        <f>F7+E8</f>
        <v>0.31683310999999997</v>
      </c>
      <c r="G8" s="18">
        <v>102.74</v>
      </c>
      <c r="H8" s="18">
        <f>F8*G8</f>
        <v>32.551433721399995</v>
      </c>
      <c r="I8" s="18">
        <f>H8-D8</f>
        <v>2.5614337213999931</v>
      </c>
      <c r="J8" s="26">
        <f t="shared" si="0"/>
        <v>8.5409593911303539E-2</v>
      </c>
      <c r="K8" s="18">
        <f>'2025.11'!D69</f>
        <v>0</v>
      </c>
      <c r="L8" s="18">
        <f>'2025.11'!J69</f>
        <v>0.03</v>
      </c>
      <c r="M8" s="18">
        <f>'2025.11'!O69</f>
        <v>0</v>
      </c>
      <c r="AC8" s="5">
        <f>'2025.11'!$C$69</f>
        <v>0</v>
      </c>
      <c r="AD8" s="5" t="str">
        <f>'2025.11'!$E$69</f>
        <v>0.00</v>
      </c>
      <c r="AE8" s="15">
        <f>'2025.11'!$F$69</f>
        <v>0</v>
      </c>
      <c r="AF8" s="41">
        <f>'2025.11'!$H$65</f>
        <v>45968</v>
      </c>
      <c r="AG8" s="5">
        <f>'2025.11'!$I$65-'2025.11'!$J$65</f>
        <v>32.519999999999996</v>
      </c>
    </row>
    <row r="9" spans="1:33" x14ac:dyDescent="0.25">
      <c r="AC9" s="5"/>
      <c r="AD9" s="5"/>
      <c r="AE9" s="15"/>
      <c r="AF9" s="41"/>
      <c r="AG9" s="5"/>
    </row>
    <row r="10" spans="1:33" x14ac:dyDescent="0.25">
      <c r="AC10" s="5"/>
      <c r="AD10" s="5"/>
      <c r="AE10" s="6"/>
      <c r="AF10" s="41"/>
      <c r="AG10" s="5"/>
    </row>
    <row r="11" spans="1:33" x14ac:dyDescent="0.25">
      <c r="AC11" s="5"/>
      <c r="AD11" s="5"/>
      <c r="AE11" s="6"/>
      <c r="AF11" s="41"/>
      <c r="AG11" s="5"/>
    </row>
    <row r="12" spans="1:33" x14ac:dyDescent="0.25">
      <c r="AC12" s="5"/>
      <c r="AD12" s="5"/>
      <c r="AE12" s="6"/>
      <c r="AF12" s="41"/>
      <c r="AG12" s="5"/>
    </row>
    <row r="13" spans="1:33" x14ac:dyDescent="0.25">
      <c r="AC13" s="5"/>
      <c r="AD13" s="5"/>
      <c r="AE13" s="15"/>
      <c r="AF13" s="41"/>
      <c r="AG13" s="5"/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Y3:Y4"/>
    <mergeCell ref="AC3:AC4"/>
    <mergeCell ref="AD3:AD4"/>
    <mergeCell ref="AE3:AE4"/>
    <mergeCell ref="AF3:AG3"/>
    <mergeCell ref="X3:X4"/>
    <mergeCell ref="A3:A4"/>
    <mergeCell ref="B3:D3"/>
    <mergeCell ref="E3:F3"/>
    <mergeCell ref="G3:J3"/>
    <mergeCell ref="V3:W3"/>
    <mergeCell ref="K3:L3"/>
    <mergeCell ref="M3:M4"/>
    <mergeCell ref="O3:O4"/>
    <mergeCell ref="P3:P4"/>
    <mergeCell ref="Q3:Q4"/>
    <mergeCell ref="R3:R4"/>
    <mergeCell ref="S3:U3"/>
  </mergeCells>
  <hyperlinks>
    <hyperlink ref="A5" location="'2025.08'!A1" display="'2025.08'!A1" xr:uid="{DAD92E8C-68B0-4A14-A82B-64EF6B476543}"/>
    <hyperlink ref="A6" location="'2025.09'!A1" display="'2025.09'!A1" xr:uid="{B1AD157C-3B3E-4B4D-B1D6-2B846C5482CF}"/>
    <hyperlink ref="A7" location="'2025.10'!A1" display="'2025.10'!A1" xr:uid="{350BA8C5-B8D0-45F5-B6D1-C89F631E98BE}"/>
    <hyperlink ref="A8" location="'2025.11'!A1" display="'2025.11'!A1" xr:uid="{77D407FC-12B0-4172-9D27-23B062EFF204}"/>
  </hyperlinks>
  <pageMargins left="0.7" right="0.7" top="0.75" bottom="0.75" header="0.3" footer="0.3"/>
  <pageSetup orientation="portrait" r:id="rId1"/>
  <ignoredErrors>
    <ignoredError sqref="E5:E8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32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33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>
        <f>'2025.08'!Q2</f>
        <v>2025.08</v>
      </c>
      <c r="B5" s="5">
        <f>'2025.08'!B79</f>
        <v>20</v>
      </c>
      <c r="C5" s="5">
        <f>'2025.08'!C79</f>
        <v>19.98</v>
      </c>
      <c r="D5" s="5">
        <f>C5</f>
        <v>19.98</v>
      </c>
      <c r="E5" s="15">
        <f>'2025.08'!F79</f>
        <v>0.14300145</v>
      </c>
      <c r="F5" s="15">
        <f>E5</f>
        <v>0.14300145</v>
      </c>
      <c r="G5" s="5">
        <v>139.58000000000001</v>
      </c>
      <c r="H5" s="5">
        <f>F5*G5</f>
        <v>19.960142391000002</v>
      </c>
      <c r="I5" s="5">
        <f>H5-D5</f>
        <v>-1.9857608999998888E-2</v>
      </c>
      <c r="J5" s="25">
        <f>(H5-D5)/D5</f>
        <v>-9.9387432432426867E-4</v>
      </c>
      <c r="K5" s="5">
        <f>'2025.08'!D79</f>
        <v>0.02</v>
      </c>
      <c r="L5" s="5">
        <f>'2025.08'!J79</f>
        <v>0</v>
      </c>
      <c r="M5" s="5">
        <f>'2025.08'!O79</f>
        <v>0</v>
      </c>
      <c r="O5" s="3" t="s">
        <v>2</v>
      </c>
      <c r="P5" s="5">
        <f>SUM(B5:B45)</f>
        <v>30</v>
      </c>
      <c r="Q5" s="15">
        <f>SUM(E5:E45)</f>
        <v>0.20953934000000002</v>
      </c>
      <c r="R5" s="5">
        <f>'2025.11'!I79-'2025.11'!J79</f>
        <v>32.61</v>
      </c>
      <c r="S5" s="5">
        <f>R5-P5</f>
        <v>2.6099999999999994</v>
      </c>
      <c r="T5" s="25">
        <f>(R5-P5)/P5</f>
        <v>8.699999999999998E-2</v>
      </c>
      <c r="U5" s="25">
        <f>XIRR(AG5:AG8,AF5:AF8)</f>
        <v>0.62067788243293787</v>
      </c>
      <c r="V5" s="5">
        <f>SUM(K5:K8)</f>
        <v>2.9999999999999787E-2</v>
      </c>
      <c r="W5" s="5">
        <f>SUM(L5:L8)</f>
        <v>0.03</v>
      </c>
      <c r="X5" s="5">
        <f>SUM(M5:M12)</f>
        <v>0</v>
      </c>
      <c r="Y5" s="5" cm="1">
        <f t="array" ref="Y5">SUMPRODUCT(IFERROR(AD5:AD200,0),IFERROR(AE5:AE200,0))/SUM(IFERROR(AE5:AE200,0))</f>
        <v>143.02803473562528</v>
      </c>
      <c r="AC5" s="5">
        <f>'2025.08'!$C$79</f>
        <v>19.98</v>
      </c>
      <c r="AD5" s="5">
        <f>'2025.08'!$E$79</f>
        <v>139.71886299055009</v>
      </c>
      <c r="AE5" s="6">
        <f>'2025.08'!$F$79</f>
        <v>0.14300145</v>
      </c>
      <c r="AF5" s="41">
        <f>'2025.08'!$A$75</f>
        <v>45887</v>
      </c>
      <c r="AG5" s="5">
        <f>'2025.08'!$B$75*-1</f>
        <v>-10</v>
      </c>
    </row>
    <row r="6" spans="1:33" x14ac:dyDescent="0.25">
      <c r="A6" s="46">
        <f>'2025.09'!Q2</f>
        <v>2025.09</v>
      </c>
      <c r="B6" s="5">
        <f>'2025.09'!B79</f>
        <v>0</v>
      </c>
      <c r="C6" s="5">
        <f>'2025.09'!C79</f>
        <v>0</v>
      </c>
      <c r="D6" s="5">
        <f>D5+C6</f>
        <v>19.98</v>
      </c>
      <c r="E6" s="15">
        <f>'2025.09'!F79</f>
        <v>0</v>
      </c>
      <c r="F6" s="15">
        <f>F5+E6</f>
        <v>0.14300145</v>
      </c>
      <c r="G6" s="5">
        <v>148.81</v>
      </c>
      <c r="H6" s="5">
        <f>F6*G6</f>
        <v>21.2800457745</v>
      </c>
      <c r="I6" s="5">
        <f>H6-D6</f>
        <v>1.3000457744999991</v>
      </c>
      <c r="J6" s="25">
        <f t="shared" ref="J6:J8" si="0">(H6-D6)/D6</f>
        <v>6.5067356081081038E-2</v>
      </c>
      <c r="K6" s="5">
        <f>'2025.09'!D79</f>
        <v>0</v>
      </c>
      <c r="L6" s="5">
        <f>'2025.09'!J79</f>
        <v>0</v>
      </c>
      <c r="M6" s="5">
        <f>'2025.09'!O79</f>
        <v>0</v>
      </c>
      <c r="AC6" s="5">
        <f>'2025.09'!$C$79</f>
        <v>0</v>
      </c>
      <c r="AD6" s="5" t="str">
        <f>'2025.09'!$E$79</f>
        <v>0.00</v>
      </c>
      <c r="AE6" s="15">
        <f>'2025.09'!$F$79</f>
        <v>0</v>
      </c>
      <c r="AF6" s="41">
        <f>'2025.08'!$A$76</f>
        <v>45889</v>
      </c>
      <c r="AG6" s="5">
        <f>'2025.08'!$B$76*-1</f>
        <v>-10</v>
      </c>
    </row>
    <row r="7" spans="1:33" x14ac:dyDescent="0.25">
      <c r="A7" s="46" t="str">
        <f>'2025.10'!Q2</f>
        <v>2025.10</v>
      </c>
      <c r="B7" s="5">
        <f>'2025.10'!B79</f>
        <v>10</v>
      </c>
      <c r="C7" s="5">
        <f>'2025.10'!C79</f>
        <v>9.99</v>
      </c>
      <c r="D7" s="5">
        <f>D6+C7</f>
        <v>29.97</v>
      </c>
      <c r="E7" s="15">
        <f>'2025.10'!F79</f>
        <v>6.6537890000000002E-2</v>
      </c>
      <c r="F7" s="15">
        <f>F6+E7</f>
        <v>0.20953934000000002</v>
      </c>
      <c r="G7" s="5">
        <v>160.88</v>
      </c>
      <c r="H7" s="5">
        <f>F7*G7</f>
        <v>33.710689019200004</v>
      </c>
      <c r="I7" s="5">
        <f>H7-D7</f>
        <v>3.7406890192000049</v>
      </c>
      <c r="J7" s="25">
        <f t="shared" si="0"/>
        <v>0.12481444842175525</v>
      </c>
      <c r="K7" s="5">
        <f>'2025.10'!D79</f>
        <v>9.9999999999997868E-3</v>
      </c>
      <c r="L7" s="5">
        <f>'2025.10'!J79</f>
        <v>0</v>
      </c>
      <c r="M7" s="5">
        <f>'2025.10'!O79</f>
        <v>0</v>
      </c>
      <c r="AC7" s="5">
        <f>'2025.10'!$C$79</f>
        <v>9.99</v>
      </c>
      <c r="AD7" s="5">
        <f>'2025.10'!$E$79</f>
        <v>150.14001796570344</v>
      </c>
      <c r="AE7" s="6">
        <f>'2025.10'!$F$79</f>
        <v>6.6537890000000002E-2</v>
      </c>
      <c r="AF7" s="41">
        <f>'2025.10'!$A$75</f>
        <v>45940</v>
      </c>
      <c r="AG7" s="5">
        <f>'2025.10'!$B$75*-1</f>
        <v>-10</v>
      </c>
    </row>
    <row r="8" spans="1:33" x14ac:dyDescent="0.25">
      <c r="A8" s="51" t="str">
        <f>'2025.11'!Q2</f>
        <v>2025.11</v>
      </c>
      <c r="B8" s="18">
        <f>'2025.11'!B79</f>
        <v>0</v>
      </c>
      <c r="C8" s="18">
        <f>'2025.11'!C79</f>
        <v>0</v>
      </c>
      <c r="D8" s="18">
        <f>D7+C8</f>
        <v>29.97</v>
      </c>
      <c r="E8" s="19">
        <f>'2025.11'!F79</f>
        <v>0</v>
      </c>
      <c r="F8" s="19">
        <f>F7+E8</f>
        <v>0.20953934000000002</v>
      </c>
      <c r="G8" s="18">
        <v>155.77000000000001</v>
      </c>
      <c r="H8" s="18">
        <f>F8*G8</f>
        <v>32.639942991800005</v>
      </c>
      <c r="I8" s="18">
        <f>H8-D8</f>
        <v>2.6699429918000064</v>
      </c>
      <c r="J8" s="26">
        <f t="shared" si="0"/>
        <v>8.908718691358046E-2</v>
      </c>
      <c r="K8" s="18">
        <f>'2025.11'!D79</f>
        <v>0</v>
      </c>
      <c r="L8" s="18">
        <f>'2025.11'!J79</f>
        <v>0.03</v>
      </c>
      <c r="M8" s="18">
        <f>'2025.11'!O79</f>
        <v>0</v>
      </c>
      <c r="AC8" s="5">
        <f>'2025.11'!$C$79</f>
        <v>0</v>
      </c>
      <c r="AD8" s="5" t="str">
        <f>'2025.11'!$E$79</f>
        <v>0.00</v>
      </c>
      <c r="AE8" s="15">
        <f>'2025.11'!$F$79</f>
        <v>0</v>
      </c>
      <c r="AF8" s="41">
        <f>'2025.11'!$H$75</f>
        <v>45968</v>
      </c>
      <c r="AG8" s="5">
        <f>'2025.11'!$I$75-'2025.11'!$J$75</f>
        <v>32.61</v>
      </c>
    </row>
    <row r="9" spans="1:33" x14ac:dyDescent="0.25">
      <c r="AC9" s="5"/>
      <c r="AD9" s="5"/>
      <c r="AE9" s="15"/>
      <c r="AF9" s="41"/>
      <c r="AG9" s="5"/>
    </row>
    <row r="10" spans="1:33" x14ac:dyDescent="0.25">
      <c r="AC10" s="5"/>
      <c r="AD10" s="5"/>
      <c r="AE10" s="6"/>
      <c r="AF10" s="41"/>
      <c r="AG10" s="5"/>
    </row>
    <row r="11" spans="1:33" x14ac:dyDescent="0.25">
      <c r="AC11" s="5"/>
      <c r="AD11" s="5"/>
      <c r="AE11" s="6"/>
      <c r="AF11" s="41"/>
      <c r="AG11" s="5"/>
    </row>
    <row r="12" spans="1:33" x14ac:dyDescent="0.25">
      <c r="AC12" s="5"/>
      <c r="AD12" s="5"/>
      <c r="AE12" s="6"/>
      <c r="AF12" s="41"/>
      <c r="AG12" s="5"/>
    </row>
    <row r="13" spans="1:33" x14ac:dyDescent="0.25">
      <c r="AC13" s="5"/>
      <c r="AD13" s="5"/>
      <c r="AE13" s="15"/>
      <c r="AF13" s="41"/>
      <c r="AG13" s="5"/>
    </row>
    <row r="14" spans="1:33" x14ac:dyDescent="0.25">
      <c r="AC14" s="5"/>
      <c r="AD14" s="5"/>
      <c r="AE14" s="6"/>
      <c r="AF14" s="41"/>
      <c r="AG14" s="5"/>
    </row>
    <row r="15" spans="1:33" x14ac:dyDescent="0.25">
      <c r="AC15" s="5"/>
      <c r="AD15" s="5"/>
      <c r="AE15" s="6"/>
      <c r="AF15" s="41"/>
      <c r="AG15" s="5"/>
    </row>
    <row r="16" spans="1:33" x14ac:dyDescent="0.25">
      <c r="AC16" s="6"/>
      <c r="AD16" s="6"/>
      <c r="AE16" s="6"/>
      <c r="AF16" s="41"/>
      <c r="AG16" s="5"/>
    </row>
    <row r="17" spans="29:33" x14ac:dyDescent="0.25">
      <c r="AC17" s="6"/>
      <c r="AD17" s="6"/>
      <c r="AE17" s="6"/>
      <c r="AF17" s="41"/>
      <c r="AG17" s="5"/>
    </row>
    <row r="18" spans="29:33" x14ac:dyDescent="0.25">
      <c r="AC18" s="6"/>
      <c r="AD18" s="6"/>
      <c r="AE18" s="6"/>
      <c r="AF18" s="41"/>
      <c r="AG18" s="5"/>
    </row>
    <row r="19" spans="29:33" x14ac:dyDescent="0.25">
      <c r="AC19" s="6"/>
      <c r="AD19" s="6"/>
      <c r="AE19" s="6"/>
      <c r="AF19" s="41"/>
      <c r="AG19" s="5"/>
    </row>
    <row r="20" spans="29:33" x14ac:dyDescent="0.25">
      <c r="AC20" s="6"/>
      <c r="AD20" s="6"/>
      <c r="AE20" s="6"/>
      <c r="AF20" s="41"/>
      <c r="AG20" s="5"/>
    </row>
    <row r="21" spans="29:33" x14ac:dyDescent="0.25">
      <c r="AC21" s="6"/>
      <c r="AD21" s="6"/>
      <c r="AE21" s="6"/>
      <c r="AF21" s="41"/>
      <c r="AG21" s="5"/>
    </row>
  </sheetData>
  <mergeCells count="18">
    <mergeCell ref="AD3:AD4"/>
    <mergeCell ref="AE3:AE4"/>
    <mergeCell ref="A3:A4"/>
    <mergeCell ref="B3:D3"/>
    <mergeCell ref="E3:F3"/>
    <mergeCell ref="G3:J3"/>
    <mergeCell ref="AF3:AG3"/>
    <mergeCell ref="V3:W3"/>
    <mergeCell ref="K3:L3"/>
    <mergeCell ref="M3:M4"/>
    <mergeCell ref="O3:O4"/>
    <mergeCell ref="P3:P4"/>
    <mergeCell ref="Q3:Q4"/>
    <mergeCell ref="R3:R4"/>
    <mergeCell ref="S3:U3"/>
    <mergeCell ref="X3:X4"/>
    <mergeCell ref="Y3:Y4"/>
    <mergeCell ref="AC3:AC4"/>
  </mergeCells>
  <hyperlinks>
    <hyperlink ref="A5" location="'2025.08'!A1" display="'2025.08'!A1" xr:uid="{A54B171B-4D10-4ED8-BF7C-3314FAA3DB96}"/>
    <hyperlink ref="A6" location="'2025.09'!A1" display="'2025.09'!A1" xr:uid="{72EC2194-BEEA-443B-BBE2-1F6BC99EC23A}"/>
    <hyperlink ref="A7" location="'2025.10'!A1" display="'2025.10'!A1" xr:uid="{787E3537-316C-4A15-B0F5-7F2211C97955}"/>
    <hyperlink ref="A8" location="'2025.11'!A1" display="'2025.11'!A1" xr:uid="{241D4413-B582-40F3-88AE-BD3F61939A39}"/>
  </hyperlinks>
  <pageMargins left="0.7" right="0.7" top="0.75" bottom="0.75" header="0.3" footer="0.3"/>
  <pageSetup orientation="portrait" r:id="rId1"/>
  <ignoredErrors>
    <ignoredError sqref="E5:E8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50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36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'2025.11'!Q2</f>
        <v>2025.11</v>
      </c>
      <c r="B5" s="5">
        <f>'2025.11'!B99</f>
        <v>91.990000000000009</v>
      </c>
      <c r="C5" s="5">
        <f>'2025.11'!C99</f>
        <v>91.9</v>
      </c>
      <c r="D5" s="5">
        <f>C5</f>
        <v>91.9</v>
      </c>
      <c r="E5" s="15">
        <f>'2025.11'!F99</f>
        <v>4</v>
      </c>
      <c r="F5" s="15">
        <f>E5</f>
        <v>4</v>
      </c>
      <c r="G5" s="5">
        <v>22.8</v>
      </c>
      <c r="H5" s="5">
        <f t="shared" ref="H5:H10" si="0">F5*G5</f>
        <v>91.2</v>
      </c>
      <c r="I5" s="5">
        <f t="shared" ref="I5:I10" si="1">H5-D5</f>
        <v>-0.70000000000000284</v>
      </c>
      <c r="J5" s="25">
        <f t="shared" ref="J5:J10" si="2">(H5-D5)/D5</f>
        <v>-7.6169749727965485E-3</v>
      </c>
      <c r="K5" s="5">
        <f>'2025.11'!D99</f>
        <v>9.0000000000000011E-2</v>
      </c>
      <c r="L5" s="5">
        <f>'2025.11'!J99</f>
        <v>0</v>
      </c>
      <c r="M5" s="5">
        <f>'2025.11'!O99</f>
        <v>0</v>
      </c>
      <c r="O5" s="3" t="s">
        <v>2</v>
      </c>
      <c r="P5" s="5">
        <f>SUM(B5:B45)</f>
        <v>227.48</v>
      </c>
      <c r="Q5" s="15">
        <f>SUM(E5:E45)</f>
        <v>10</v>
      </c>
      <c r="R5" s="5">
        <f>'2026.05'!I99-'2026.05'!J99</f>
        <v>234.6</v>
      </c>
      <c r="S5" s="5">
        <f>R5-P5+X5</f>
        <v>14.240000000000006</v>
      </c>
      <c r="T5" s="25">
        <f>(R5-P5+X5)/P5</f>
        <v>6.259890979426766E-2</v>
      </c>
      <c r="U5" s="25">
        <f>XIRR(AG5:AG20,AF5:AF20)</f>
        <v>0.19327208399772647</v>
      </c>
      <c r="V5" s="5">
        <f>SUM(K5:K45)</f>
        <v>0.16999999999999998</v>
      </c>
      <c r="W5" s="5">
        <f>SUM(L5:L45)</f>
        <v>0</v>
      </c>
      <c r="X5" s="5">
        <f>SUM(M5:M45)</f>
        <v>7.12</v>
      </c>
      <c r="Y5" s="5" cm="1">
        <f t="array" ref="Y5">SUMPRODUCT(IFERROR(AD5:AD200,0),IFERROR(AE5:AE200,0))/SUM(IFERROR(AE5:AE200,0))</f>
        <v>22.732000000000003</v>
      </c>
      <c r="AC5" s="5">
        <f>'2025.11'!$C$99</f>
        <v>91.9</v>
      </c>
      <c r="AD5" s="5">
        <f>'2025.11'!$E$99</f>
        <v>22.977500000000003</v>
      </c>
      <c r="AE5" s="6">
        <f>'2025.11'!$F$99</f>
        <v>4</v>
      </c>
      <c r="AF5" s="41">
        <f>'2025.11'!$A$95</f>
        <v>45972</v>
      </c>
      <c r="AG5" s="5">
        <f>'2025.11'!$B$95*-1</f>
        <v>-23.14</v>
      </c>
    </row>
    <row r="6" spans="1:33" x14ac:dyDescent="0.25">
      <c r="A6" s="46" t="str">
        <f>'2025.12'!Q2</f>
        <v>2025.12</v>
      </c>
      <c r="B6" s="5">
        <f>'2025.12'!B99</f>
        <v>22.73</v>
      </c>
      <c r="C6" s="5">
        <f>'2025.12'!C99</f>
        <v>22.71</v>
      </c>
      <c r="D6" s="5">
        <f t="shared" ref="D6:D11" si="3">C6+D5</f>
        <v>114.61000000000001</v>
      </c>
      <c r="E6" s="15">
        <f>'2025.12'!F99</f>
        <v>1</v>
      </c>
      <c r="F6" s="15">
        <f t="shared" ref="F6:F11" si="4">F5+E6</f>
        <v>5</v>
      </c>
      <c r="G6" s="5">
        <v>22.69</v>
      </c>
      <c r="H6" s="5">
        <f t="shared" si="0"/>
        <v>113.45</v>
      </c>
      <c r="I6" s="5">
        <f t="shared" si="1"/>
        <v>-1.1600000000000108</v>
      </c>
      <c r="J6" s="25">
        <f t="shared" si="2"/>
        <v>-1.0121280865544112E-2</v>
      </c>
      <c r="K6" s="5">
        <f>'2025.12'!D99</f>
        <v>0.02</v>
      </c>
      <c r="L6" s="5">
        <f>'2025.12'!J99</f>
        <v>0</v>
      </c>
      <c r="M6" s="5">
        <f>'2025.12'!O99</f>
        <v>0.59</v>
      </c>
      <c r="AC6" s="5">
        <f>'2025.12'!$C$99</f>
        <v>22.71</v>
      </c>
      <c r="AD6" s="5">
        <f>'2025.12'!$E$99</f>
        <v>22.71</v>
      </c>
      <c r="AE6" s="6">
        <f>'2025.12'!$F$99</f>
        <v>1</v>
      </c>
      <c r="AF6" s="41">
        <f>'2025.11'!$A$96</f>
        <v>45973</v>
      </c>
      <c r="AG6" s="5">
        <f>'2025.11'!$B$96*-1</f>
        <v>-46.6</v>
      </c>
    </row>
    <row r="7" spans="1:33" x14ac:dyDescent="0.25">
      <c r="A7" s="46" t="str">
        <f>'2026.01'!Q2</f>
        <v>2026.01</v>
      </c>
      <c r="B7" s="5">
        <f>'2026.01'!B99</f>
        <v>22.99</v>
      </c>
      <c r="C7" s="5">
        <f>'2026.01'!C99</f>
        <v>22.99</v>
      </c>
      <c r="D7" s="5">
        <f t="shared" si="3"/>
        <v>137.60000000000002</v>
      </c>
      <c r="E7" s="15">
        <f>'2026.01'!F99</f>
        <v>1</v>
      </c>
      <c r="F7" s="15">
        <f t="shared" si="4"/>
        <v>6</v>
      </c>
      <c r="G7" s="5">
        <v>22.62</v>
      </c>
      <c r="H7" s="5">
        <f t="shared" si="0"/>
        <v>135.72</v>
      </c>
      <c r="I7" s="5">
        <f t="shared" si="1"/>
        <v>-1.8800000000000239</v>
      </c>
      <c r="J7" s="25">
        <f t="shared" si="2"/>
        <v>-1.3662790697674589E-2</v>
      </c>
      <c r="K7" s="5">
        <f>'2026.01'!D99</f>
        <v>0</v>
      </c>
      <c r="L7" s="5">
        <f>'2026.01'!J99</f>
        <v>0</v>
      </c>
      <c r="M7" s="5">
        <f>'2026.01'!O99</f>
        <v>0.9</v>
      </c>
      <c r="AC7" s="5">
        <f>'2026.01'!$C$99</f>
        <v>22.99</v>
      </c>
      <c r="AD7" s="5">
        <f>'2026.01'!$E$99</f>
        <v>22.99</v>
      </c>
      <c r="AE7" s="6">
        <f>'2026.01'!$F$99</f>
        <v>1</v>
      </c>
      <c r="AF7" s="41">
        <f>'2025.11'!$A$97</f>
        <v>45979</v>
      </c>
      <c r="AG7" s="5">
        <f>'2025.11'!$B$97*-1</f>
        <v>-22.25</v>
      </c>
    </row>
    <row r="8" spans="1:33" x14ac:dyDescent="0.25">
      <c r="A8" s="46" t="str">
        <f>'2026.02'!Q2</f>
        <v>2026.02</v>
      </c>
      <c r="B8" s="5">
        <f>'2026.02'!B99</f>
        <v>22.5</v>
      </c>
      <c r="C8" s="5">
        <f>'2026.02'!C99</f>
        <v>22.5</v>
      </c>
      <c r="D8" s="5">
        <f t="shared" si="3"/>
        <v>160.10000000000002</v>
      </c>
      <c r="E8" s="15">
        <f>'2026.02'!F99</f>
        <v>1</v>
      </c>
      <c r="F8" s="15">
        <f t="shared" si="4"/>
        <v>7</v>
      </c>
      <c r="G8" s="5">
        <v>22.04</v>
      </c>
      <c r="H8" s="5">
        <f t="shared" si="0"/>
        <v>154.28</v>
      </c>
      <c r="I8" s="5">
        <f t="shared" si="1"/>
        <v>-5.8200000000000216</v>
      </c>
      <c r="J8" s="25">
        <f t="shared" si="2"/>
        <v>-3.6352279825109433E-2</v>
      </c>
      <c r="K8" s="5">
        <f>'2026.02'!D99</f>
        <v>0</v>
      </c>
      <c r="L8" s="5">
        <f>'2026.02'!J99</f>
        <v>0</v>
      </c>
      <c r="M8" s="5">
        <f>'2026.02'!O99</f>
        <v>1.39</v>
      </c>
      <c r="AC8" s="5">
        <f>'2026.02'!$C$99</f>
        <v>22.5</v>
      </c>
      <c r="AD8" s="5">
        <f>'2026.02'!$E$99</f>
        <v>22.5</v>
      </c>
      <c r="AE8" s="6">
        <f>'2026.02'!$F$99</f>
        <v>1</v>
      </c>
      <c r="AF8" s="41">
        <f>'2025.12'!$A$95</f>
        <v>45992</v>
      </c>
      <c r="AG8" s="5">
        <f>'2025.12'!$B$95*-1</f>
        <v>-22.73</v>
      </c>
    </row>
    <row r="9" spans="1:33" x14ac:dyDescent="0.25">
      <c r="A9" s="46" t="str">
        <f>'2026.03'!Q2</f>
        <v>2026.03</v>
      </c>
      <c r="B9" s="5">
        <f>'2026.03'!B99</f>
        <v>22.01</v>
      </c>
      <c r="C9" s="5">
        <f>'2026.03'!C99</f>
        <v>21.990000000000002</v>
      </c>
      <c r="D9" s="5">
        <f t="shared" si="3"/>
        <v>182.09000000000003</v>
      </c>
      <c r="E9" s="15">
        <f>'2026.03'!F99</f>
        <v>1</v>
      </c>
      <c r="F9" s="15">
        <f t="shared" si="4"/>
        <v>8</v>
      </c>
      <c r="G9" s="5">
        <v>21.68</v>
      </c>
      <c r="H9" s="5">
        <f t="shared" si="0"/>
        <v>173.44</v>
      </c>
      <c r="I9" s="5">
        <f t="shared" si="1"/>
        <v>-8.6500000000000341</v>
      </c>
      <c r="J9" s="25">
        <f t="shared" si="2"/>
        <v>-4.7503981547586539E-2</v>
      </c>
      <c r="K9" s="5">
        <f>'2026.03'!D99</f>
        <v>0.02</v>
      </c>
      <c r="L9" s="5">
        <f>'2026.03'!J99</f>
        <v>0</v>
      </c>
      <c r="M9" s="5">
        <f>'2026.03'!O99</f>
        <v>1.36</v>
      </c>
      <c r="AC9" s="5">
        <f>'2026.03'!$C$99</f>
        <v>21.990000000000002</v>
      </c>
      <c r="AD9" s="5">
        <f>'2026.03'!$E$99</f>
        <v>21.990000000000002</v>
      </c>
      <c r="AE9" s="6">
        <f>'2026.03'!$F$99</f>
        <v>1</v>
      </c>
      <c r="AF9" s="41">
        <f>'2025.12'!$N$95</f>
        <v>46000</v>
      </c>
      <c r="AG9" s="5">
        <f>'2025.12'!$O$95</f>
        <v>0.59</v>
      </c>
    </row>
    <row r="10" spans="1:33" x14ac:dyDescent="0.25">
      <c r="A10" s="46" t="str">
        <f>'2026.04'!Q2</f>
        <v>2026.04</v>
      </c>
      <c r="B10" s="5">
        <f>'2026.04'!B99</f>
        <v>22</v>
      </c>
      <c r="C10" s="5">
        <f>'2026.04'!C99</f>
        <v>21.98</v>
      </c>
      <c r="D10" s="5">
        <f t="shared" si="3"/>
        <v>204.07000000000002</v>
      </c>
      <c r="E10" s="15">
        <f>'2026.04'!F99</f>
        <v>1</v>
      </c>
      <c r="F10" s="15">
        <f t="shared" si="4"/>
        <v>9</v>
      </c>
      <c r="G10" s="5">
        <v>22.88</v>
      </c>
      <c r="H10" s="5">
        <f t="shared" si="0"/>
        <v>205.92</v>
      </c>
      <c r="I10" s="5">
        <f t="shared" si="1"/>
        <v>1.8499999999999659</v>
      </c>
      <c r="J10" s="25">
        <f t="shared" si="2"/>
        <v>9.0655167344536949E-3</v>
      </c>
      <c r="K10" s="5">
        <f>'2026.04'!D99</f>
        <v>0.02</v>
      </c>
      <c r="L10" s="5">
        <f>'2026.04'!J99</f>
        <v>0</v>
      </c>
      <c r="M10" s="5">
        <f>'2026.04'!O99</f>
        <v>1.24</v>
      </c>
      <c r="AC10" s="5">
        <f>'2026.04'!$C$99</f>
        <v>21.98</v>
      </c>
      <c r="AD10" s="5">
        <f>'2026.04'!$E$99</f>
        <v>21.98</v>
      </c>
      <c r="AE10" s="6">
        <f>'2026.04'!$F$99</f>
        <v>1</v>
      </c>
      <c r="AF10" s="41">
        <f>'2026.01'!$A$95</f>
        <v>46024</v>
      </c>
      <c r="AG10" s="5">
        <f>'2026.01'!$B$95*-1</f>
        <v>-22.99</v>
      </c>
    </row>
    <row r="11" spans="1:33" x14ac:dyDescent="0.25">
      <c r="A11" s="51" t="str">
        <f>'2026.05'!Q2</f>
        <v>2026.05</v>
      </c>
      <c r="B11" s="18">
        <f>'2026.05'!B99</f>
        <v>23.26</v>
      </c>
      <c r="C11" s="18">
        <f>'2026.05'!C99</f>
        <v>23.240000000000002</v>
      </c>
      <c r="D11" s="18">
        <f t="shared" si="3"/>
        <v>227.31000000000003</v>
      </c>
      <c r="E11" s="19">
        <f>'2026.05'!F99</f>
        <v>1</v>
      </c>
      <c r="F11" s="19">
        <f t="shared" si="4"/>
        <v>10</v>
      </c>
      <c r="G11" s="18">
        <v>23.46</v>
      </c>
      <c r="H11" s="18">
        <f t="shared" ref="H11" si="5">F11*G11</f>
        <v>234.60000000000002</v>
      </c>
      <c r="I11" s="18">
        <f t="shared" ref="I11" si="6">H11-D11</f>
        <v>7.289999999999992</v>
      </c>
      <c r="J11" s="26">
        <f t="shared" ref="J11" si="7">(H11-D11)/D11</f>
        <v>3.2070740398574597E-2</v>
      </c>
      <c r="K11" s="18">
        <f>'2026.05'!D99</f>
        <v>0.02</v>
      </c>
      <c r="L11" s="18">
        <f>'2026.05'!J99</f>
        <v>0</v>
      </c>
      <c r="M11" s="18">
        <f>'2026.05'!O99</f>
        <v>1.64</v>
      </c>
      <c r="AC11" s="5">
        <f>'2026.05'!$C$99</f>
        <v>23.240000000000002</v>
      </c>
      <c r="AD11" s="5">
        <f>'2026.05'!$E$99</f>
        <v>23.240000000000002</v>
      </c>
      <c r="AE11" s="6">
        <f>'2026.05'!$F$99</f>
        <v>1</v>
      </c>
      <c r="AF11" s="41">
        <f>'2026.01'!$N$95</f>
        <v>46042</v>
      </c>
      <c r="AG11" s="5">
        <f>'2026.01'!$O$95</f>
        <v>0.9</v>
      </c>
    </row>
    <row r="12" spans="1:33" x14ac:dyDescent="0.25">
      <c r="A12" s="2"/>
      <c r="B12" s="5"/>
      <c r="C12" s="5"/>
      <c r="D12" s="5"/>
      <c r="E12" s="8"/>
      <c r="F12" s="8"/>
      <c r="G12" s="7"/>
      <c r="H12" s="5"/>
      <c r="I12" s="5"/>
      <c r="J12" s="5"/>
      <c r="K12" s="2"/>
      <c r="L12" s="2"/>
      <c r="M12" s="2"/>
      <c r="AC12" s="5"/>
      <c r="AD12" s="5"/>
      <c r="AE12" s="6"/>
      <c r="AF12" s="41">
        <f>'2026.02'!$A$95</f>
        <v>46055</v>
      </c>
      <c r="AG12" s="5">
        <f>'2026.02'!$B$95*-1</f>
        <v>-22.5</v>
      </c>
    </row>
    <row r="13" spans="1:33" x14ac:dyDescent="0.25">
      <c r="A13" s="2"/>
      <c r="B13" s="5"/>
      <c r="C13" s="5"/>
      <c r="D13" s="5"/>
      <c r="E13" s="8"/>
      <c r="F13" s="8"/>
      <c r="G13" s="7"/>
      <c r="H13" s="5"/>
      <c r="I13" s="5"/>
      <c r="J13" s="5"/>
      <c r="K13" s="2"/>
      <c r="L13" s="2"/>
      <c r="M13" s="2"/>
      <c r="AC13" s="5"/>
      <c r="AD13" s="5"/>
      <c r="AE13" s="15"/>
      <c r="AF13" s="41">
        <f>'2026.02'!$N$95</f>
        <v>46063</v>
      </c>
      <c r="AG13" s="5">
        <f>'2026.02'!$O$95</f>
        <v>1.39</v>
      </c>
    </row>
    <row r="14" spans="1:33" x14ac:dyDescent="0.25">
      <c r="A14" s="2"/>
      <c r="B14" s="5"/>
      <c r="C14" s="5"/>
      <c r="D14" s="5"/>
      <c r="E14" s="8"/>
      <c r="F14" s="8"/>
      <c r="G14" s="7"/>
      <c r="H14" s="5"/>
      <c r="I14" s="5"/>
      <c r="J14" s="5"/>
      <c r="K14" s="2"/>
      <c r="L14" s="2"/>
      <c r="M14" s="2"/>
      <c r="AC14" s="5"/>
      <c r="AD14" s="5"/>
      <c r="AE14" s="6"/>
      <c r="AF14" s="41">
        <f>'2026.03'!$A$95</f>
        <v>46083</v>
      </c>
      <c r="AG14" s="5">
        <f>'2026.03'!$B$95*-1</f>
        <v>-22.01</v>
      </c>
    </row>
    <row r="15" spans="1:33" x14ac:dyDescent="0.25">
      <c r="A15" s="2"/>
      <c r="B15" s="5"/>
      <c r="C15" s="5"/>
      <c r="D15" s="5"/>
      <c r="E15" s="8"/>
      <c r="F15" s="8"/>
      <c r="G15" s="7"/>
      <c r="H15" s="5"/>
      <c r="I15" s="5"/>
      <c r="J15" s="5"/>
      <c r="K15" s="2"/>
      <c r="L15" s="2"/>
      <c r="M15" s="2"/>
      <c r="AC15" s="5"/>
      <c r="AD15" s="5"/>
      <c r="AE15" s="6"/>
      <c r="AF15" s="41">
        <f>'2026.03'!$N$95</f>
        <v>46091</v>
      </c>
      <c r="AG15" s="5">
        <f>'2026.03'!$O$95</f>
        <v>1.36</v>
      </c>
    </row>
    <row r="16" spans="1:33" x14ac:dyDescent="0.25">
      <c r="A16" s="2"/>
      <c r="B16" s="5"/>
      <c r="C16" s="5"/>
      <c r="D16" s="5"/>
      <c r="E16" s="8"/>
      <c r="F16" s="8"/>
      <c r="G16" s="7"/>
      <c r="H16" s="5"/>
      <c r="I16" s="5"/>
      <c r="J16" s="5"/>
      <c r="K16" s="2"/>
      <c r="L16" s="2"/>
      <c r="M16" s="2"/>
      <c r="AC16" s="6"/>
      <c r="AD16" s="6"/>
      <c r="AE16" s="6"/>
      <c r="AF16" s="41">
        <f>'2026.04'!$A$95</f>
        <v>46113</v>
      </c>
      <c r="AG16" s="5">
        <f>'2026.04'!$B$95*-1</f>
        <v>-22</v>
      </c>
    </row>
    <row r="17" spans="1:33" x14ac:dyDescent="0.25">
      <c r="A17" s="2"/>
      <c r="B17" s="5"/>
      <c r="C17" s="5"/>
      <c r="D17" s="5"/>
      <c r="E17" s="8"/>
      <c r="F17" s="8"/>
      <c r="G17" s="7"/>
      <c r="H17" s="5"/>
      <c r="I17" s="5"/>
      <c r="J17" s="5"/>
      <c r="K17" s="2"/>
      <c r="L17" s="2"/>
      <c r="M17" s="2"/>
      <c r="AC17" s="6"/>
      <c r="AD17" s="6"/>
      <c r="AE17" s="6"/>
      <c r="AF17" s="41">
        <f>'2026.04'!$N$95</f>
        <v>46121</v>
      </c>
      <c r="AG17" s="5">
        <f>'2026.04'!$O$95</f>
        <v>1.24</v>
      </c>
    </row>
    <row r="18" spans="1:33" x14ac:dyDescent="0.25">
      <c r="A18" s="2"/>
      <c r="B18" s="5"/>
      <c r="C18" s="5"/>
      <c r="D18" s="5"/>
      <c r="E18" s="8"/>
      <c r="F18" s="8"/>
      <c r="G18" s="7"/>
      <c r="H18" s="5"/>
      <c r="I18" s="5"/>
      <c r="J18" s="5"/>
      <c r="K18" s="2"/>
      <c r="L18" s="2"/>
      <c r="M18" s="2"/>
      <c r="AC18" s="6"/>
      <c r="AD18" s="6"/>
      <c r="AE18" s="6"/>
      <c r="AF18" s="41">
        <f>'2026.05'!$A$95</f>
        <v>46146</v>
      </c>
      <c r="AG18" s="5">
        <f>'2026.05'!$B$95*-1</f>
        <v>-23.26</v>
      </c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6"/>
      <c r="AD19" s="6"/>
      <c r="AE19" s="6"/>
      <c r="AF19" s="41">
        <f>'2026.05'!$N$95</f>
        <v>46155</v>
      </c>
      <c r="AG19" s="5">
        <f>'2026.05'!$O$95</f>
        <v>1.64</v>
      </c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6"/>
      <c r="AD20" s="6"/>
      <c r="AE20" s="6"/>
      <c r="AF20" s="41">
        <f>'2026.05'!$H$95</f>
        <v>46157</v>
      </c>
      <c r="AG20" s="5">
        <f>'2026.05'!$I$95-'2026.05'!$J$95</f>
        <v>234.6</v>
      </c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6"/>
      <c r="AD21" s="6"/>
      <c r="AE21" s="6"/>
      <c r="AF21" s="41"/>
      <c r="AG21" s="5"/>
    </row>
  </sheetData>
  <mergeCells count="18">
    <mergeCell ref="O3:O4"/>
    <mergeCell ref="P3:P4"/>
    <mergeCell ref="Q3:Q4"/>
    <mergeCell ref="R3:R4"/>
    <mergeCell ref="M3:M4"/>
    <mergeCell ref="A3:A4"/>
    <mergeCell ref="B3:D3"/>
    <mergeCell ref="E3:F3"/>
    <mergeCell ref="G3:J3"/>
    <mergeCell ref="K3:L3"/>
    <mergeCell ref="AC3:AC4"/>
    <mergeCell ref="AF3:AG3"/>
    <mergeCell ref="S3:U3"/>
    <mergeCell ref="Y3:Y4"/>
    <mergeCell ref="AD3:AD4"/>
    <mergeCell ref="AE3:AE4"/>
    <mergeCell ref="X3:X4"/>
    <mergeCell ref="V3:W3"/>
  </mergeCells>
  <hyperlinks>
    <hyperlink ref="A5" location="'2025.11'!A1" display="'2025.11'!A1" xr:uid="{B3EB3CD9-9C9E-4A74-AF70-040AB4F1C0F6}"/>
    <hyperlink ref="A6" location="'2025.12'!A1" display="'2025.12'!A1" xr:uid="{01978C4A-3613-4C6D-BE72-0068DB9794F2}"/>
    <hyperlink ref="A7" location="'2026.01'!A1" display="'2026.01'!A1" xr:uid="{E64F89B8-0A92-4640-9D73-96B1F16056E8}"/>
    <hyperlink ref="A8" location="'2026.02'!A1" display="'2026.02'!A1" xr:uid="{898382AF-D5BA-4C2B-841A-927F91E34902}"/>
    <hyperlink ref="A9" location="'2026.03'!A1" display="'2026.03'!A1" xr:uid="{8411755C-F522-4A1F-A2D7-704707A50B80}"/>
    <hyperlink ref="A10" location="'2026.04'!A1" display="'2026.04'!A1" xr:uid="{83974DAF-CB43-41BC-931A-C09DDE26A8E9}"/>
    <hyperlink ref="A11" location="'2026.05'!A1" display="'2026.05'!A1" xr:uid="{F6B7BE37-BEE8-4F37-B91C-231D83FFF3B0}"/>
  </hyperlinks>
  <pageMargins left="0.7" right="0.7" top="0.75" bottom="0.75" header="0.3" footer="0.3"/>
  <pageSetup orientation="portrait" r:id="rId1"/>
  <ignoredErrors>
    <ignoredError sqref="E5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AG21"/>
  <sheetViews>
    <sheetView workbookViewId="0">
      <pane xSplit="1" ySplit="5" topLeftCell="K6" activePane="bottomRight" state="frozen"/>
      <selection activeCell="AG7" sqref="AG7"/>
      <selection pane="topRight" activeCell="AG7" sqref="AG7"/>
      <selection pane="bottomLeft" activeCell="AG7" sqref="AG7"/>
      <selection pane="bottomRight" activeCell="AG7" sqref="AG7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51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53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'2025.11'!Q2</f>
        <v>2025.11</v>
      </c>
      <c r="B5" s="5">
        <f>'2025.11'!B109</f>
        <v>92.72</v>
      </c>
      <c r="C5" s="5">
        <f>'2025.11'!C109</f>
        <v>92.63</v>
      </c>
      <c r="D5" s="5">
        <f>C5</f>
        <v>92.63</v>
      </c>
      <c r="E5" s="15">
        <f>'2025.11'!F109</f>
        <v>4</v>
      </c>
      <c r="F5" s="15">
        <f>E5</f>
        <v>4</v>
      </c>
      <c r="G5" s="5">
        <v>23.24</v>
      </c>
      <c r="H5" s="5">
        <f t="shared" ref="H5:H10" si="0">F5*G5</f>
        <v>92.96</v>
      </c>
      <c r="I5" s="5">
        <f t="shared" ref="I5:I10" si="1">H5-D5</f>
        <v>0.32999999999999829</v>
      </c>
      <c r="J5" s="25">
        <f t="shared" ref="J5:J10" si="2">(H5-D5)/D5</f>
        <v>3.5625607254668929E-3</v>
      </c>
      <c r="K5" s="5">
        <f>'2025.11'!D109</f>
        <v>9.0000000000000011E-2</v>
      </c>
      <c r="L5" s="5">
        <f>'2025.11'!J109</f>
        <v>0</v>
      </c>
      <c r="M5" s="5">
        <f>'2025.11'!O109</f>
        <v>0</v>
      </c>
      <c r="O5" s="3" t="s">
        <v>2</v>
      </c>
      <c r="P5" s="5">
        <f>SUM(B5:B45)</f>
        <v>231.86</v>
      </c>
      <c r="Q5" s="15">
        <f>SUM(E5:E45)</f>
        <v>10</v>
      </c>
      <c r="R5" s="5">
        <f>'2026.05'!I109-'2026.05'!J109</f>
        <v>224.06</v>
      </c>
      <c r="S5" s="5">
        <f>R5-P5+X5</f>
        <v>-2.4500000000000117</v>
      </c>
      <c r="T5" s="25">
        <f>(R5-P5+X5)/P5</f>
        <v>-1.0566721297334648E-2</v>
      </c>
      <c r="U5" s="25">
        <f>XIRR(AG5:AG19,AF5:AF19)</f>
        <v>-2.9616495966911315E-2</v>
      </c>
      <c r="V5" s="5">
        <f>SUM(K5:K45)</f>
        <v>0.20999999999999996</v>
      </c>
      <c r="W5" s="5">
        <f>SUM(L5:L45)</f>
        <v>0.22</v>
      </c>
      <c r="X5" s="5">
        <f>SUM(M5:M45)</f>
        <v>5.35</v>
      </c>
      <c r="Y5" s="5" cm="1">
        <f t="array" ref="Y5">SUMPRODUCT(IFERROR(AD5:AD200,0),IFERROR(AE5:AE200,0))/SUM(IFERROR(AE5:AE200,0))</f>
        <v>23.166</v>
      </c>
      <c r="AC5" s="5">
        <f>'2025.11'!$C$109</f>
        <v>92.63</v>
      </c>
      <c r="AD5" s="5">
        <f>'2025.11'!$E$109</f>
        <v>23.159999999999997</v>
      </c>
      <c r="AE5" s="6">
        <f>'2025.11'!$F$109</f>
        <v>4</v>
      </c>
      <c r="AF5" s="41">
        <f>'2025.11'!$A$105</f>
        <v>45972</v>
      </c>
      <c r="AG5" s="5">
        <f>'2025.11'!$B$105*-1</f>
        <v>-23.12</v>
      </c>
    </row>
    <row r="6" spans="1:33" x14ac:dyDescent="0.25">
      <c r="A6" s="46" t="str">
        <f>'2025.12'!Q2</f>
        <v>2025.12</v>
      </c>
      <c r="B6" s="5">
        <f>'2025.12'!B109</f>
        <v>23.21</v>
      </c>
      <c r="C6" s="5">
        <f>'2025.12'!C109</f>
        <v>23.19</v>
      </c>
      <c r="D6" s="5">
        <f t="shared" ref="D6:D11" si="3">C6+D5</f>
        <v>115.82</v>
      </c>
      <c r="E6" s="15">
        <f>'2025.12'!F109</f>
        <v>1</v>
      </c>
      <c r="F6" s="15">
        <f t="shared" ref="F6:F11" si="4">F5+E6</f>
        <v>5</v>
      </c>
      <c r="G6" s="5">
        <v>22.95</v>
      </c>
      <c r="H6" s="5">
        <f t="shared" si="0"/>
        <v>114.75</v>
      </c>
      <c r="I6" s="5">
        <f t="shared" si="1"/>
        <v>-1.0699999999999932</v>
      </c>
      <c r="J6" s="25">
        <f t="shared" si="2"/>
        <v>-9.2384734933516951E-3</v>
      </c>
      <c r="K6" s="5">
        <f>'2025.12'!D109</f>
        <v>0.02</v>
      </c>
      <c r="L6" s="5">
        <f>'2025.12'!J109</f>
        <v>0</v>
      </c>
      <c r="M6" s="5">
        <f>'2025.12'!O109</f>
        <v>0.54</v>
      </c>
      <c r="AC6" s="5">
        <f>'2025.12'!$C$109</f>
        <v>23.19</v>
      </c>
      <c r="AD6" s="5">
        <f>'2025.12'!$E$109</f>
        <v>23.19</v>
      </c>
      <c r="AE6" s="6">
        <f>'2025.12'!$F$109</f>
        <v>1</v>
      </c>
      <c r="AF6" s="41">
        <f>'2025.11'!$A$106</f>
        <v>45973</v>
      </c>
      <c r="AG6" s="5">
        <f>'2025.11'!$B$106*-1</f>
        <v>-69.599999999999994</v>
      </c>
    </row>
    <row r="7" spans="1:33" x14ac:dyDescent="0.25">
      <c r="A7" s="46" t="str">
        <f>'2026.01'!Q2</f>
        <v>2026.01</v>
      </c>
      <c r="B7" s="5">
        <f>'2026.01'!B109</f>
        <v>23.11</v>
      </c>
      <c r="C7" s="5">
        <f>'2026.01'!C109</f>
        <v>23.09</v>
      </c>
      <c r="D7" s="5">
        <f t="shared" si="3"/>
        <v>138.91</v>
      </c>
      <c r="E7" s="15">
        <f>'2026.01'!F109</f>
        <v>1</v>
      </c>
      <c r="F7" s="15">
        <f t="shared" si="4"/>
        <v>6</v>
      </c>
      <c r="G7" s="5">
        <v>22.82</v>
      </c>
      <c r="H7" s="5">
        <f t="shared" si="0"/>
        <v>136.92000000000002</v>
      </c>
      <c r="I7" s="5">
        <f t="shared" si="1"/>
        <v>-1.9899999999999807</v>
      </c>
      <c r="J7" s="25">
        <f t="shared" si="2"/>
        <v>-1.4325822474983664E-2</v>
      </c>
      <c r="K7" s="5">
        <f>'2026.01'!D109</f>
        <v>0.02</v>
      </c>
      <c r="L7" s="5">
        <f>'2026.01'!J109</f>
        <v>0</v>
      </c>
      <c r="M7" s="5">
        <f>'2026.01'!O109</f>
        <v>0.67</v>
      </c>
      <c r="AC7" s="5">
        <f>'2026.01'!$C$109</f>
        <v>23.09</v>
      </c>
      <c r="AD7" s="5">
        <f>'2026.01'!$E$109</f>
        <v>23.09</v>
      </c>
      <c r="AE7" s="6">
        <f>'2026.01'!$F$109</f>
        <v>1</v>
      </c>
      <c r="AF7" s="41">
        <f>'2025.12'!$A$105</f>
        <v>45992</v>
      </c>
      <c r="AG7" s="5">
        <f>'2025.12'!$B$105*-1</f>
        <v>-23.21</v>
      </c>
    </row>
    <row r="8" spans="1:33" x14ac:dyDescent="0.25">
      <c r="A8" s="46" t="str">
        <f>'2026.02'!Q2</f>
        <v>2026.02</v>
      </c>
      <c r="B8" s="5">
        <f>'2026.02'!B109</f>
        <v>22.82</v>
      </c>
      <c r="C8" s="5">
        <f>'2026.02'!C109</f>
        <v>22.8</v>
      </c>
      <c r="D8" s="5">
        <f t="shared" si="3"/>
        <v>161.71</v>
      </c>
      <c r="E8" s="15">
        <f>'2026.02'!F109</f>
        <v>1</v>
      </c>
      <c r="F8" s="15">
        <f t="shared" si="4"/>
        <v>7</v>
      </c>
      <c r="G8" s="5">
        <v>23.89</v>
      </c>
      <c r="H8" s="5">
        <f t="shared" si="0"/>
        <v>167.23000000000002</v>
      </c>
      <c r="I8" s="5">
        <f t="shared" si="1"/>
        <v>5.5200000000000102</v>
      </c>
      <c r="J8" s="25">
        <f t="shared" si="2"/>
        <v>3.4135180260961039E-2</v>
      </c>
      <c r="K8" s="5">
        <f>'2026.02'!D109</f>
        <v>0.02</v>
      </c>
      <c r="L8" s="5">
        <f>'2026.02'!J109</f>
        <v>0</v>
      </c>
      <c r="M8" s="5">
        <f>'2026.02'!O109</f>
        <v>0.81</v>
      </c>
      <c r="AC8" s="5">
        <f>'2026.02'!$C$109</f>
        <v>22.8</v>
      </c>
      <c r="AD8" s="5">
        <f>'2026.02'!$E$109</f>
        <v>22.8</v>
      </c>
      <c r="AE8" s="6">
        <f>'2026.02'!$F$109</f>
        <v>1</v>
      </c>
      <c r="AF8" s="41">
        <f>'2025.12'!$N$105</f>
        <v>46000</v>
      </c>
      <c r="AG8" s="5">
        <f>'2025.12'!$O$105</f>
        <v>0.54</v>
      </c>
    </row>
    <row r="9" spans="1:33" x14ac:dyDescent="0.25">
      <c r="A9" s="46" t="str">
        <f>'2026.03'!Q2</f>
        <v>2026.03</v>
      </c>
      <c r="B9" s="5">
        <f>'2026.03'!B109</f>
        <v>24.01</v>
      </c>
      <c r="C9" s="5">
        <f>'2026.03'!C109</f>
        <v>23.990000000000002</v>
      </c>
      <c r="D9" s="5">
        <f t="shared" si="3"/>
        <v>185.70000000000002</v>
      </c>
      <c r="E9" s="15">
        <f>'2026.03'!F109</f>
        <v>1</v>
      </c>
      <c r="F9" s="15">
        <f t="shared" si="4"/>
        <v>8</v>
      </c>
      <c r="G9" s="5">
        <v>23.22</v>
      </c>
      <c r="H9" s="5">
        <f t="shared" si="0"/>
        <v>185.76</v>
      </c>
      <c r="I9" s="5">
        <f t="shared" si="1"/>
        <v>5.9999999999973852E-2</v>
      </c>
      <c r="J9" s="25">
        <f t="shared" si="2"/>
        <v>3.2310177705963301E-4</v>
      </c>
      <c r="K9" s="5">
        <f>'2026.03'!D109</f>
        <v>0.02</v>
      </c>
      <c r="L9" s="5">
        <f>'2026.03'!J109</f>
        <v>0</v>
      </c>
      <c r="M9" s="5">
        <f>'2026.03'!O109</f>
        <v>0.95</v>
      </c>
      <c r="AC9" s="5">
        <f>'2026.03'!$C$109</f>
        <v>23.990000000000002</v>
      </c>
      <c r="AD9" s="5">
        <f>'2026.03'!$E$109</f>
        <v>23.990000000000002</v>
      </c>
      <c r="AE9" s="6">
        <f>'2026.03'!$F$109</f>
        <v>1</v>
      </c>
      <c r="AF9" s="41">
        <f>'2026.01'!$A$105</f>
        <v>46024</v>
      </c>
      <c r="AG9" s="5">
        <f>'2026.01'!$B$105*-1</f>
        <v>-23.11</v>
      </c>
    </row>
    <row r="10" spans="1:33" x14ac:dyDescent="0.25">
      <c r="A10" s="46" t="str">
        <f>'2026.04'!Q2</f>
        <v>2026.04</v>
      </c>
      <c r="B10" s="5">
        <f>'2026.04'!B109</f>
        <v>23.5</v>
      </c>
      <c r="C10" s="5">
        <f>'2026.04'!C109</f>
        <v>23.48</v>
      </c>
      <c r="D10" s="5">
        <f t="shared" si="3"/>
        <v>209.18</v>
      </c>
      <c r="E10" s="15">
        <f>'2026.04'!F109</f>
        <v>1</v>
      </c>
      <c r="F10" s="15">
        <f t="shared" si="4"/>
        <v>9</v>
      </c>
      <c r="G10" s="5">
        <v>22.3</v>
      </c>
      <c r="H10" s="5">
        <f t="shared" si="0"/>
        <v>200.70000000000002</v>
      </c>
      <c r="I10" s="5">
        <f t="shared" si="1"/>
        <v>-8.4799999999999898</v>
      </c>
      <c r="J10" s="25">
        <f t="shared" si="2"/>
        <v>-4.0539248494119849E-2</v>
      </c>
      <c r="K10" s="5">
        <f>'2026.04'!D109</f>
        <v>0.02</v>
      </c>
      <c r="L10" s="5">
        <f>'2026.04'!J109</f>
        <v>0</v>
      </c>
      <c r="M10" s="5">
        <f>'2026.04'!O109</f>
        <v>0.92</v>
      </c>
      <c r="AC10" s="5">
        <f>'2026.04'!$C$109</f>
        <v>23.48</v>
      </c>
      <c r="AD10" s="5">
        <f>'2026.04'!$E$109</f>
        <v>23.48</v>
      </c>
      <c r="AE10" s="6">
        <f>'2026.04'!$F$109</f>
        <v>1</v>
      </c>
      <c r="AF10" s="41">
        <f>'2026.01'!$N$105</f>
        <v>46042</v>
      </c>
      <c r="AG10" s="5">
        <f>'2026.01'!$O$105</f>
        <v>0.67</v>
      </c>
    </row>
    <row r="11" spans="1:33" x14ac:dyDescent="0.25">
      <c r="A11" s="51" t="str">
        <f>'2026.05'!Q2</f>
        <v>2026.05</v>
      </c>
      <c r="B11" s="18">
        <f>'2026.05'!B109</f>
        <v>22.49</v>
      </c>
      <c r="C11" s="18">
        <f>'2026.05'!C109</f>
        <v>22.47</v>
      </c>
      <c r="D11" s="18">
        <f t="shared" si="3"/>
        <v>231.65</v>
      </c>
      <c r="E11" s="19">
        <f>'2026.05'!F109</f>
        <v>1</v>
      </c>
      <c r="F11" s="19">
        <f t="shared" si="4"/>
        <v>10</v>
      </c>
      <c r="G11" s="18">
        <v>22.43</v>
      </c>
      <c r="H11" s="18">
        <f t="shared" ref="H11" si="5">F11*G11</f>
        <v>224.3</v>
      </c>
      <c r="I11" s="18">
        <f t="shared" ref="I11" si="6">H11-D11</f>
        <v>-7.3499999999999943</v>
      </c>
      <c r="J11" s="26">
        <f t="shared" ref="J11" si="7">(H11-D11)/D11</f>
        <v>-3.1728901359810033E-2</v>
      </c>
      <c r="K11" s="18">
        <f>'2026.05'!D109</f>
        <v>0.02</v>
      </c>
      <c r="L11" s="18">
        <f>'2026.05'!J109</f>
        <v>0.22</v>
      </c>
      <c r="M11" s="18">
        <f>'2026.05'!O109</f>
        <v>1.46</v>
      </c>
      <c r="AC11" s="5">
        <f>'2026.05'!$C$109</f>
        <v>22.47</v>
      </c>
      <c r="AD11" s="5">
        <f>'2026.05'!$E$109</f>
        <v>22.47</v>
      </c>
      <c r="AE11" s="6">
        <f>'2026.05'!$F$109</f>
        <v>1</v>
      </c>
      <c r="AF11" s="41">
        <f>'2026.02'!$A$105</f>
        <v>46055</v>
      </c>
      <c r="AG11" s="5">
        <f>'2026.02'!$B$105*-1</f>
        <v>-22.82</v>
      </c>
    </row>
    <row r="12" spans="1:33" x14ac:dyDescent="0.25">
      <c r="A12" s="2"/>
      <c r="B12" s="5"/>
      <c r="C12" s="5"/>
      <c r="D12" s="5"/>
      <c r="E12" s="8"/>
      <c r="F12" s="8"/>
      <c r="G12" s="7"/>
      <c r="H12" s="5"/>
      <c r="I12" s="5"/>
      <c r="J12" s="5"/>
      <c r="K12" s="2"/>
      <c r="L12" s="2"/>
      <c r="M12" s="2"/>
      <c r="AC12" s="5"/>
      <c r="AD12" s="5"/>
      <c r="AE12" s="6"/>
      <c r="AF12" s="41">
        <f>'2026.02'!$N$105</f>
        <v>46063</v>
      </c>
      <c r="AG12" s="5">
        <f>'2026.02'!$O$105</f>
        <v>0.81</v>
      </c>
    </row>
    <row r="13" spans="1:33" x14ac:dyDescent="0.25">
      <c r="A13" s="2"/>
      <c r="B13" s="5"/>
      <c r="C13" s="5"/>
      <c r="D13" s="5"/>
      <c r="E13" s="8"/>
      <c r="F13" s="8"/>
      <c r="G13" s="7"/>
      <c r="H13" s="5"/>
      <c r="I13" s="5"/>
      <c r="J13" s="5"/>
      <c r="K13" s="2"/>
      <c r="L13" s="2"/>
      <c r="M13" s="2"/>
      <c r="AC13" s="5"/>
      <c r="AD13" s="5"/>
      <c r="AE13" s="15"/>
      <c r="AF13" s="41">
        <f>'2026.03'!$A$105</f>
        <v>46083</v>
      </c>
      <c r="AG13" s="5">
        <f>'2026.03'!$B$105*-1</f>
        <v>-24.01</v>
      </c>
    </row>
    <row r="14" spans="1:33" x14ac:dyDescent="0.25">
      <c r="A14" s="2"/>
      <c r="B14" s="5"/>
      <c r="C14" s="5"/>
      <c r="D14" s="5"/>
      <c r="E14" s="8"/>
      <c r="F14" s="8"/>
      <c r="G14" s="7"/>
      <c r="H14" s="5"/>
      <c r="I14" s="5"/>
      <c r="J14" s="5"/>
      <c r="K14" s="2"/>
      <c r="L14" s="2"/>
      <c r="M14" s="2"/>
      <c r="AC14" s="5"/>
      <c r="AD14" s="5"/>
      <c r="AE14" s="6"/>
      <c r="AF14" s="41">
        <f>'2026.03'!$N$105</f>
        <v>46091</v>
      </c>
      <c r="AG14" s="5">
        <f>'2026.03'!$O$105</f>
        <v>0.95</v>
      </c>
    </row>
    <row r="15" spans="1:33" x14ac:dyDescent="0.25">
      <c r="A15" s="2"/>
      <c r="B15" s="5"/>
      <c r="C15" s="5"/>
      <c r="D15" s="5"/>
      <c r="E15" s="8"/>
      <c r="F15" s="8"/>
      <c r="G15" s="7"/>
      <c r="H15" s="5"/>
      <c r="I15" s="5"/>
      <c r="J15" s="5"/>
      <c r="K15" s="2"/>
      <c r="L15" s="2"/>
      <c r="M15" s="2"/>
      <c r="AC15" s="5"/>
      <c r="AD15" s="5"/>
      <c r="AE15" s="6"/>
      <c r="AF15" s="41">
        <f>'2026.04'!$A$105</f>
        <v>46113</v>
      </c>
      <c r="AG15" s="5">
        <f>'2026.04'!$B$105*-1</f>
        <v>-23.5</v>
      </c>
    </row>
    <row r="16" spans="1:33" x14ac:dyDescent="0.25">
      <c r="A16" s="2"/>
      <c r="B16" s="5"/>
      <c r="C16" s="5"/>
      <c r="D16" s="5"/>
      <c r="E16" s="8"/>
      <c r="F16" s="8"/>
      <c r="G16" s="7"/>
      <c r="H16" s="5"/>
      <c r="I16" s="5"/>
      <c r="J16" s="5"/>
      <c r="K16" s="2"/>
      <c r="L16" s="2"/>
      <c r="M16" s="2"/>
      <c r="AC16" s="6"/>
      <c r="AD16" s="6"/>
      <c r="AE16" s="6"/>
      <c r="AF16" s="41">
        <f>'2026.04'!$N$105</f>
        <v>46121</v>
      </c>
      <c r="AG16" s="5">
        <f>'2026.04'!$O$105</f>
        <v>0.92</v>
      </c>
    </row>
    <row r="17" spans="1:33" x14ac:dyDescent="0.25">
      <c r="A17" s="2"/>
      <c r="B17" s="5"/>
      <c r="C17" s="5"/>
      <c r="D17" s="5"/>
      <c r="E17" s="8"/>
      <c r="F17" s="8"/>
      <c r="G17" s="7"/>
      <c r="H17" s="5"/>
      <c r="I17" s="5"/>
      <c r="J17" s="5"/>
      <c r="K17" s="2"/>
      <c r="L17" s="2"/>
      <c r="M17" s="2"/>
      <c r="AC17" s="6"/>
      <c r="AD17" s="6"/>
      <c r="AE17" s="6"/>
      <c r="AF17" s="41">
        <f>'2026.05'!$A$105</f>
        <v>46146</v>
      </c>
      <c r="AG17" s="5">
        <f>'2026.05'!$B$105*-1</f>
        <v>-22.49</v>
      </c>
    </row>
    <row r="18" spans="1:33" x14ac:dyDescent="0.25">
      <c r="A18" s="2"/>
      <c r="B18" s="5"/>
      <c r="C18" s="5"/>
      <c r="D18" s="5"/>
      <c r="E18" s="8"/>
      <c r="F18" s="8"/>
      <c r="G18" s="7"/>
      <c r="H18" s="5"/>
      <c r="I18" s="5"/>
      <c r="J18" s="5"/>
      <c r="K18" s="2"/>
      <c r="L18" s="2"/>
      <c r="M18" s="2"/>
      <c r="AC18" s="6"/>
      <c r="AD18" s="6"/>
      <c r="AE18" s="6"/>
      <c r="AF18" s="41">
        <f>'2026.05'!$N$105</f>
        <v>46155</v>
      </c>
      <c r="AG18" s="5">
        <f>'2026.05'!$O$105</f>
        <v>1.46</v>
      </c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6"/>
      <c r="AD19" s="6"/>
      <c r="AE19" s="6"/>
      <c r="AF19" s="41">
        <f>'2026.05'!$H$105</f>
        <v>46161</v>
      </c>
      <c r="AG19" s="5">
        <f>'2026.05'!$I$105-'2026.05'!$J$105</f>
        <v>224.06</v>
      </c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6"/>
      <c r="AD20" s="6"/>
      <c r="AE20" s="6"/>
      <c r="AF20" s="41"/>
      <c r="AG20" s="5"/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6"/>
      <c r="AD21" s="6"/>
      <c r="AE21" s="6"/>
      <c r="AF21" s="41"/>
      <c r="AG21" s="5"/>
    </row>
  </sheetData>
  <mergeCells count="18">
    <mergeCell ref="X3:X4"/>
    <mergeCell ref="M3:M4"/>
    <mergeCell ref="A3:A4"/>
    <mergeCell ref="B3:D3"/>
    <mergeCell ref="E3:F3"/>
    <mergeCell ref="G3:J3"/>
    <mergeCell ref="K3:L3"/>
    <mergeCell ref="V3:W3"/>
    <mergeCell ref="O3:O4"/>
    <mergeCell ref="P3:P4"/>
    <mergeCell ref="Q3:Q4"/>
    <mergeCell ref="R3:R4"/>
    <mergeCell ref="S3:U3"/>
    <mergeCell ref="Y3:Y4"/>
    <mergeCell ref="AC3:AC4"/>
    <mergeCell ref="AD3:AD4"/>
    <mergeCell ref="AE3:AE4"/>
    <mergeCell ref="AF3:AG3"/>
  </mergeCells>
  <hyperlinks>
    <hyperlink ref="A5" location="'2025.11'!A1" display="'2025.11'!A1" xr:uid="{5EDD2034-44F9-4326-AC57-E1A5C905E428}"/>
    <hyperlink ref="A6" location="'2025.12'!A1" display="'2025.12'!A1" xr:uid="{6E4CAEE4-D8D4-4147-AC20-5071D1606E1E}"/>
    <hyperlink ref="A7" location="'2026.01'!A1" display="'2026.01'!A1" xr:uid="{A9A6EF93-2D41-4F07-9B99-65C0EC6B3B79}"/>
    <hyperlink ref="A8" location="'2026.02'!A1" display="'2026.02'!A1" xr:uid="{EED5F9C2-AD6E-4D91-8629-B08A452A28BB}"/>
    <hyperlink ref="A9" location="'2026.03'!A1" display="'2026.03'!A1" xr:uid="{B3173ADA-9AC7-4227-AF0B-ABC2E0D0F5A7}"/>
    <hyperlink ref="A10" location="'2026.04'!A1" display="'2026.04'!A1" xr:uid="{75A69434-DEBB-439E-A7A6-7567697E10E7}"/>
    <hyperlink ref="A11" location="'2026.05'!A1" display="'2026.05'!A1" xr:uid="{A0A13516-CC06-4EE4-B22B-8EEF243D72F0}"/>
  </hyperlinks>
  <pageMargins left="0.7" right="0.7" top="0.75" bottom="0.75" header="0.3" footer="0.3"/>
  <pageSetup orientation="portrait" r:id="rId1"/>
  <ignoredErrors>
    <ignoredError sqref="E5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00"/>
  <sheetViews>
    <sheetView workbookViewId="0">
      <pane xSplit="1" ySplit="5" topLeftCell="K6" activePane="bottomRight" state="frozen"/>
      <selection pane="topRight" activeCell="B1" sqref="B1"/>
      <selection pane="bottomLeft" activeCell="A6" sqref="A6"/>
      <selection pane="bottomRight" activeCell="AF20" sqref="AF20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35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36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'2025.10'!Q2</f>
        <v>2025.10</v>
      </c>
      <c r="B5" s="5">
        <f>'2025.10'!B89</f>
        <v>10</v>
      </c>
      <c r="C5" s="5">
        <f>'2025.10'!C89</f>
        <v>9.99</v>
      </c>
      <c r="D5" s="5">
        <f>C5</f>
        <v>9.99</v>
      </c>
      <c r="E5" s="15">
        <f>'2025.10'!F89</f>
        <v>0.71022322999999998</v>
      </c>
      <c r="F5" s="15">
        <f>E5</f>
        <v>0.71022322999999998</v>
      </c>
      <c r="G5" s="5">
        <v>14.56</v>
      </c>
      <c r="H5" s="5">
        <f t="shared" ref="H5:H10" si="0">F5*G5</f>
        <v>10.340850228800001</v>
      </c>
      <c r="I5" s="5">
        <f t="shared" ref="I5:I10" si="1">H5-D5</f>
        <v>0.35085022880000061</v>
      </c>
      <c r="J5" s="25">
        <f>(H5-D5)/D5</f>
        <v>3.5120143023023083E-2</v>
      </c>
      <c r="K5" s="5">
        <f>'2025.10'!D89</f>
        <v>9.9999999999997868E-3</v>
      </c>
      <c r="L5" s="5">
        <f>'2025.10'!J89</f>
        <v>0</v>
      </c>
      <c r="M5" s="5">
        <f>'2025.10'!O89</f>
        <v>0</v>
      </c>
      <c r="O5" s="3" t="s">
        <v>2</v>
      </c>
      <c r="P5" s="5">
        <f>SUM(B5:B200)</f>
        <v>988.28</v>
      </c>
      <c r="Q5" s="15">
        <f>SUM(E5:E200)</f>
        <v>65</v>
      </c>
      <c r="R5" s="5">
        <v>0</v>
      </c>
      <c r="S5" s="5">
        <f>R5-P5+X5</f>
        <v>-988.28</v>
      </c>
      <c r="T5" s="25">
        <f>(R5-P5+X5)/P5</f>
        <v>-1</v>
      </c>
      <c r="U5" s="25">
        <f ca="1">XIRR(AG5:AG200,AF5:AF200)</f>
        <v>0.22250761389732363</v>
      </c>
      <c r="V5" s="5">
        <f>SUM(K5:K200)</f>
        <v>0.35999999999999982</v>
      </c>
      <c r="W5" s="5">
        <f>SUM(L5:L200)</f>
        <v>0</v>
      </c>
      <c r="X5" s="5">
        <f>SUM(M5:M200)</f>
        <v>0</v>
      </c>
      <c r="Y5" s="5" cm="1">
        <f t="array" ref="Y5">SUMPRODUCT(IFERROR(AD5:AD200,0),IFERROR(AE5:AE200,0))/SUM(IFERROR(AE5:AE200,0))</f>
        <v>15.198769230769232</v>
      </c>
      <c r="AC5" s="5">
        <f>'2025.10'!$C$89</f>
        <v>9.99</v>
      </c>
      <c r="AD5" s="5">
        <f>'2025.10'!$E$89</f>
        <v>14.066000065922935</v>
      </c>
      <c r="AE5" s="6">
        <f>'2025.10'!$F$89</f>
        <v>0.71022322999999998</v>
      </c>
      <c r="AF5" s="41">
        <f>'2025.10'!$A$85</f>
        <v>45943</v>
      </c>
      <c r="AG5" s="5">
        <f>'2025.10'!$B$85*-1</f>
        <v>-10</v>
      </c>
    </row>
    <row r="6" spans="1:33" x14ac:dyDescent="0.25">
      <c r="A6" s="46" t="str">
        <f>'2025.11'!Q2</f>
        <v>2025.11</v>
      </c>
      <c r="B6" s="5">
        <f>'2025.11'!B89</f>
        <v>163.31</v>
      </c>
      <c r="C6" s="5">
        <f>'2025.11'!C89</f>
        <v>163.15</v>
      </c>
      <c r="D6" s="5">
        <f t="shared" ref="D6:D11" si="2">C6+D5</f>
        <v>173.14000000000001</v>
      </c>
      <c r="E6" s="15">
        <f>'2025.11'!F89</f>
        <v>11.21873358</v>
      </c>
      <c r="F6" s="15">
        <f t="shared" ref="F6:F11" si="3">F5+E6</f>
        <v>11.928956810000001</v>
      </c>
      <c r="G6" s="5">
        <v>14.49</v>
      </c>
      <c r="H6" s="5">
        <f t="shared" si="0"/>
        <v>172.85058417690001</v>
      </c>
      <c r="I6" s="5">
        <f t="shared" si="1"/>
        <v>-0.28941582310000058</v>
      </c>
      <c r="J6" s="25">
        <f t="shared" ref="J6:J7" si="4">(H6-D6)/D6</f>
        <v>-1.6715711164375681E-3</v>
      </c>
      <c r="K6" s="5">
        <f>'2025.11'!D89</f>
        <v>0.16</v>
      </c>
      <c r="L6" s="5">
        <f>'2025.11'!J89</f>
        <v>0</v>
      </c>
      <c r="M6" s="5">
        <f>'2025.11'!O89</f>
        <v>0</v>
      </c>
      <c r="AC6" s="5">
        <f>'2025.11'!$C$89</f>
        <v>163.15</v>
      </c>
      <c r="AD6" s="5">
        <f>'2025.11'!$E$89</f>
        <v>14.542639669316401</v>
      </c>
      <c r="AE6" s="6">
        <f>'2025.11'!$F$89</f>
        <v>11.21873358</v>
      </c>
      <c r="AF6" s="41">
        <f>'2025.11'!$A$85</f>
        <v>45965</v>
      </c>
      <c r="AG6" s="5">
        <f>'2025.11'!$B$85*-1</f>
        <v>-10</v>
      </c>
    </row>
    <row r="7" spans="1:33" x14ac:dyDescent="0.25">
      <c r="A7" s="46" t="str">
        <f>'2025.12'!Q2</f>
        <v>2025.12</v>
      </c>
      <c r="B7" s="5">
        <f>'2025.12'!B89</f>
        <v>15.47</v>
      </c>
      <c r="C7" s="5">
        <f>'2025.12'!C89</f>
        <v>15.450000000000001</v>
      </c>
      <c r="D7" s="5">
        <f t="shared" si="2"/>
        <v>188.59</v>
      </c>
      <c r="E7" s="15">
        <f>'2025.12'!F89</f>
        <v>1.0710431899999999</v>
      </c>
      <c r="F7" s="61">
        <f t="shared" si="3"/>
        <v>13</v>
      </c>
      <c r="G7" s="5">
        <v>14.44</v>
      </c>
      <c r="H7" s="5">
        <f t="shared" si="0"/>
        <v>187.72</v>
      </c>
      <c r="I7" s="5">
        <f t="shared" si="1"/>
        <v>-0.87000000000000455</v>
      </c>
      <c r="J7" s="25">
        <f t="shared" si="4"/>
        <v>-4.6131820351026278E-3</v>
      </c>
      <c r="K7" s="5">
        <f>'2025.12'!D89</f>
        <v>0.02</v>
      </c>
      <c r="L7" s="5">
        <f>'2025.12'!J89</f>
        <v>0</v>
      </c>
      <c r="M7" s="5">
        <f>'2025.12'!O89</f>
        <v>0</v>
      </c>
      <c r="AC7" s="5">
        <f>'2025.12'!$C$89</f>
        <v>15.450000000000001</v>
      </c>
      <c r="AD7" s="5">
        <f>'2025.12'!$E$89</f>
        <v>14.425188586465875</v>
      </c>
      <c r="AE7" s="6">
        <f>'2025.12'!$F$89</f>
        <v>1.0710431899999999</v>
      </c>
      <c r="AF7" s="41">
        <f>'2025.11'!$A$86</f>
        <v>45965</v>
      </c>
      <c r="AG7" s="5">
        <f>'2025.11'!$B$86*-1</f>
        <v>-21.35</v>
      </c>
    </row>
    <row r="8" spans="1:33" x14ac:dyDescent="0.25">
      <c r="A8" s="46" t="str">
        <f>'2026.01'!Q2</f>
        <v>2026.01</v>
      </c>
      <c r="B8" s="5">
        <f>'2026.01'!B89</f>
        <v>43.42</v>
      </c>
      <c r="C8" s="5">
        <f>'2026.01'!C89</f>
        <v>43.38</v>
      </c>
      <c r="D8" s="5">
        <f t="shared" si="2"/>
        <v>231.97</v>
      </c>
      <c r="E8" s="15">
        <f>'2026.01'!F89</f>
        <v>3</v>
      </c>
      <c r="F8" s="61">
        <f t="shared" si="3"/>
        <v>16</v>
      </c>
      <c r="G8" s="5">
        <v>14.4</v>
      </c>
      <c r="H8" s="5">
        <f t="shared" si="0"/>
        <v>230.4</v>
      </c>
      <c r="I8" s="5">
        <f t="shared" si="1"/>
        <v>-1.5699999999999932</v>
      </c>
      <c r="J8" s="25">
        <f t="shared" ref="J8" si="5">(H8-D8)/D8</f>
        <v>-6.7681165667974009E-3</v>
      </c>
      <c r="K8" s="5">
        <f>'2026.01'!D89</f>
        <v>0.04</v>
      </c>
      <c r="L8" s="5">
        <f>'2026.01'!J89</f>
        <v>0</v>
      </c>
      <c r="M8" s="5">
        <f>'2026.01'!O89</f>
        <v>0</v>
      </c>
      <c r="AC8" s="5">
        <f>'2026.01'!$C$89</f>
        <v>43.38</v>
      </c>
      <c r="AD8" s="5">
        <f>'2026.01'!$E$89</f>
        <v>14.46</v>
      </c>
      <c r="AE8" s="15">
        <f>'2026.01'!$F$89</f>
        <v>3</v>
      </c>
      <c r="AF8" s="41">
        <f>'2025.11'!$A$87</f>
        <v>45968</v>
      </c>
      <c r="AG8" s="5">
        <f>'2025.11'!$B$87*-1</f>
        <v>-24.74</v>
      </c>
    </row>
    <row r="9" spans="1:33" x14ac:dyDescent="0.25">
      <c r="A9" s="46" t="str">
        <f>'2026.02'!Q2</f>
        <v>2026.02</v>
      </c>
      <c r="B9" s="5">
        <f>'2026.02'!B89</f>
        <v>57.19</v>
      </c>
      <c r="C9" s="5">
        <f>'2026.02'!C89</f>
        <v>57.129999999999995</v>
      </c>
      <c r="D9" s="5">
        <f t="shared" si="2"/>
        <v>289.10000000000002</v>
      </c>
      <c r="E9" s="15">
        <f>'2026.02'!F89</f>
        <v>4</v>
      </c>
      <c r="F9" s="61">
        <f t="shared" si="3"/>
        <v>20</v>
      </c>
      <c r="G9" s="5">
        <v>14.33</v>
      </c>
      <c r="H9" s="5">
        <f t="shared" si="0"/>
        <v>286.60000000000002</v>
      </c>
      <c r="I9" s="5">
        <f t="shared" si="1"/>
        <v>-2.5</v>
      </c>
      <c r="J9" s="25">
        <f t="shared" ref="J9" si="6">(H9-D9)/D9</f>
        <v>-8.6475268073331023E-3</v>
      </c>
      <c r="K9" s="5">
        <f>'2026.02'!D89</f>
        <v>0.06</v>
      </c>
      <c r="L9" s="5">
        <f>'2026.02'!J89</f>
        <v>0</v>
      </c>
      <c r="M9" s="5">
        <f>'2026.02'!O89</f>
        <v>0</v>
      </c>
      <c r="AC9" s="5">
        <f>'2026.02'!$C$89</f>
        <v>57.129999999999995</v>
      </c>
      <c r="AD9" s="5">
        <f>'2026.02'!$E$89</f>
        <v>14.282499999999999</v>
      </c>
      <c r="AE9" s="15">
        <f>'2026.02'!$F$89</f>
        <v>4</v>
      </c>
      <c r="AF9" s="41">
        <f>'2025.11'!$A$88</f>
        <v>45973</v>
      </c>
      <c r="AG9" s="5">
        <f>'2025.11'!$B$88*-1</f>
        <v>-107.22</v>
      </c>
    </row>
    <row r="10" spans="1:33" x14ac:dyDescent="0.25">
      <c r="A10" s="46" t="str">
        <f>'2026.03'!Q2</f>
        <v>2026.03</v>
      </c>
      <c r="B10" s="5">
        <f>'2026.03'!B89</f>
        <v>71.06</v>
      </c>
      <c r="C10" s="5">
        <f>'2026.03'!C89</f>
        <v>71.06</v>
      </c>
      <c r="D10" s="5">
        <f t="shared" si="2"/>
        <v>360.16</v>
      </c>
      <c r="E10" s="15">
        <f>'2026.03'!F89</f>
        <v>5</v>
      </c>
      <c r="F10" s="61">
        <f t="shared" si="3"/>
        <v>25</v>
      </c>
      <c r="G10" s="5">
        <v>13.93</v>
      </c>
      <c r="H10" s="5">
        <f t="shared" si="0"/>
        <v>348.25</v>
      </c>
      <c r="I10" s="5">
        <f t="shared" si="1"/>
        <v>-11.910000000000025</v>
      </c>
      <c r="J10" s="25">
        <f t="shared" ref="J10" si="7">(H10-D10)/D10</f>
        <v>-3.3068636161705973E-2</v>
      </c>
      <c r="K10" s="5">
        <f>'2026.03'!D89</f>
        <v>0</v>
      </c>
      <c r="L10" s="5">
        <f>'2026.03'!J89</f>
        <v>0</v>
      </c>
      <c r="M10" s="5">
        <f>'2026.03'!O89</f>
        <v>0</v>
      </c>
      <c r="AC10" s="5">
        <f>'2026.03'!$C$89</f>
        <v>71.06</v>
      </c>
      <c r="AD10" s="5">
        <f>'2026.03'!$E$89</f>
        <v>14.212</v>
      </c>
      <c r="AE10" s="15">
        <f>'2026.03'!$F$89</f>
        <v>5</v>
      </c>
      <c r="AF10" s="41">
        <f>'2025.12'!$A$85</f>
        <v>45992</v>
      </c>
      <c r="AG10" s="5">
        <f>'2025.12'!$B$85*-1</f>
        <v>-15.47</v>
      </c>
    </row>
    <row r="11" spans="1:33" x14ac:dyDescent="0.25">
      <c r="A11" s="46" t="str">
        <f>'2026.04'!Q2</f>
        <v>2026.04</v>
      </c>
      <c r="B11" s="5">
        <f>'2026.04'!B89</f>
        <v>84.26</v>
      </c>
      <c r="C11" s="5">
        <f>'2026.04'!C89</f>
        <v>84.26</v>
      </c>
      <c r="D11" s="5">
        <f t="shared" si="2"/>
        <v>444.42</v>
      </c>
      <c r="E11" s="15">
        <f>'2026.04'!F89</f>
        <v>6</v>
      </c>
      <c r="F11" s="61">
        <f t="shared" si="3"/>
        <v>31</v>
      </c>
      <c r="G11" s="5">
        <v>15.16</v>
      </c>
      <c r="H11" s="5">
        <f t="shared" ref="H11" si="8">F11*G11</f>
        <v>469.96</v>
      </c>
      <c r="I11" s="5">
        <f t="shared" ref="I11" si="9">H11-D11</f>
        <v>25.539999999999964</v>
      </c>
      <c r="J11" s="25">
        <f t="shared" ref="J11" si="10">(H11-D11)/D11</f>
        <v>5.7468160748841104E-2</v>
      </c>
      <c r="K11" s="5">
        <f>'2026.04'!D89</f>
        <v>0</v>
      </c>
      <c r="L11" s="5">
        <f>'2026.04'!J89</f>
        <v>0</v>
      </c>
      <c r="M11" s="5">
        <f>'2026.04'!O89</f>
        <v>0</v>
      </c>
      <c r="AC11" s="5">
        <f>'2026.04'!$C$89</f>
        <v>84.26</v>
      </c>
      <c r="AD11" s="5">
        <f>'2026.04'!$E$89</f>
        <v>14.043333333333335</v>
      </c>
      <c r="AE11" s="15">
        <f>'2026.04'!$F$89</f>
        <v>6</v>
      </c>
      <c r="AF11" s="41">
        <f>'2026.01'!$A$85</f>
        <v>46024</v>
      </c>
      <c r="AG11" s="5">
        <f>'2026.01'!$B$85*-1</f>
        <v>-43.42</v>
      </c>
    </row>
    <row r="12" spans="1:33" x14ac:dyDescent="0.25">
      <c r="A12" s="46" t="str">
        <f>'2026.05'!$Q$2</f>
        <v>2026.05</v>
      </c>
      <c r="B12" s="5">
        <f>'2026.05'!$B$89</f>
        <v>76.459999999999994</v>
      </c>
      <c r="C12" s="5">
        <f>'2026.05'!$C$89</f>
        <v>76.459999999999994</v>
      </c>
      <c r="D12" s="5">
        <f t="shared" ref="D12" si="11">C12+D11</f>
        <v>520.88</v>
      </c>
      <c r="E12" s="15">
        <f>'2026.05'!$F$89</f>
        <v>5</v>
      </c>
      <c r="F12" s="61">
        <f t="shared" ref="F12" si="12">F11+E12</f>
        <v>36</v>
      </c>
      <c r="G12" s="7">
        <v>16.047999999999998</v>
      </c>
      <c r="H12" s="5">
        <f t="shared" ref="H12" si="13">F12*G12</f>
        <v>577.72799999999995</v>
      </c>
      <c r="I12" s="5">
        <f t="shared" ref="I12" si="14">H12-D12</f>
        <v>56.847999999999956</v>
      </c>
      <c r="J12" s="25">
        <f t="shared" ref="J12" si="15">(H12-D12)/D12</f>
        <v>0.1091383812010443</v>
      </c>
      <c r="K12" s="5">
        <f>'2026.05'!$D$89</f>
        <v>0</v>
      </c>
      <c r="L12" s="5">
        <f>'2026.05'!$J$89</f>
        <v>0</v>
      </c>
      <c r="M12" s="5">
        <f>'2026.05'!$O$89</f>
        <v>0</v>
      </c>
      <c r="AC12" s="5">
        <f>'2026.05'!$C$89</f>
        <v>76.459999999999994</v>
      </c>
      <c r="AD12" s="5">
        <f>'2026.05'!$E$89</f>
        <v>15.291999999999998</v>
      </c>
      <c r="AE12" s="15">
        <f>'2026.05'!$F$89</f>
        <v>5</v>
      </c>
      <c r="AF12" s="41">
        <f>'2026.02'!$A$85</f>
        <v>46055</v>
      </c>
      <c r="AG12" s="5">
        <f>'2026.02'!$B$85*-1</f>
        <v>-57.19</v>
      </c>
    </row>
    <row r="13" spans="1:33" x14ac:dyDescent="0.25">
      <c r="A13" s="46" t="str">
        <f>'2026.06'!$Q$2</f>
        <v>2026.06</v>
      </c>
      <c r="B13" s="5">
        <f>'2026.06'!$B$89</f>
        <v>288.31</v>
      </c>
      <c r="C13" s="5">
        <f>'2026.06'!$C$89</f>
        <v>288.29000000000002</v>
      </c>
      <c r="D13" s="5">
        <f t="shared" ref="D13" si="16">C13+D12</f>
        <v>809.17000000000007</v>
      </c>
      <c r="E13" s="15">
        <f>'2026.06'!$F$89</f>
        <v>18</v>
      </c>
      <c r="F13" s="61">
        <f t="shared" ref="F13" si="17">F12+E13</f>
        <v>54</v>
      </c>
      <c r="G13" s="7">
        <v>16.200800000000001</v>
      </c>
      <c r="H13" s="5">
        <f t="shared" ref="H13" si="18">F13*G13</f>
        <v>874.84320000000002</v>
      </c>
      <c r="I13" s="5">
        <f t="shared" ref="I13" si="19">H13-D13</f>
        <v>65.673199999999952</v>
      </c>
      <c r="J13" s="25">
        <f t="shared" ref="J13" si="20">(H13-D13)/D13</f>
        <v>8.1161189861215746E-2</v>
      </c>
      <c r="K13" s="5">
        <f>'2026.06'!$D$89</f>
        <v>0.02</v>
      </c>
      <c r="L13" s="5">
        <f>'2026.06'!$J$89</f>
        <v>0</v>
      </c>
      <c r="M13" s="5">
        <f>'2026.06'!$O$89</f>
        <v>0</v>
      </c>
      <c r="AC13" s="5">
        <f>'2026.06'!$C$89</f>
        <v>288.29000000000002</v>
      </c>
      <c r="AD13" s="5">
        <f>'2026.06'!$E$89</f>
        <v>16.016111111111112</v>
      </c>
      <c r="AE13" s="15">
        <f>'2026.06'!$F$89</f>
        <v>18</v>
      </c>
      <c r="AF13" s="41">
        <f>'2026.03'!$A$85</f>
        <v>46083</v>
      </c>
      <c r="AG13" s="5">
        <f>'2026.03'!$B$85*-1</f>
        <v>-71.06</v>
      </c>
    </row>
    <row r="14" spans="1:33" x14ac:dyDescent="0.25">
      <c r="A14" s="46" t="str">
        <f>'2026.07'!$Q$2</f>
        <v>2026.07</v>
      </c>
      <c r="B14" s="5">
        <f>'2026.07'!$B$89</f>
        <v>48.65</v>
      </c>
      <c r="C14" s="5">
        <f>'2026.07'!$C$89</f>
        <v>48.6</v>
      </c>
      <c r="D14" s="5">
        <f t="shared" ref="D14" si="21">C14+D13</f>
        <v>857.7700000000001</v>
      </c>
      <c r="E14" s="15">
        <f>'2026.07'!$F$89</f>
        <v>3</v>
      </c>
      <c r="F14" s="61">
        <f t="shared" ref="F14" si="22">F13+E14</f>
        <v>57</v>
      </c>
      <c r="G14" s="7">
        <v>16.062850000000001</v>
      </c>
      <c r="H14" s="5">
        <f t="shared" ref="H14" si="23">F14*G14</f>
        <v>915.58245000000011</v>
      </c>
      <c r="I14" s="5">
        <f t="shared" ref="I14" si="24">H14-D14</f>
        <v>57.812450000000013</v>
      </c>
      <c r="J14" s="25">
        <f t="shared" ref="J14" si="25">(H14-D14)/D14</f>
        <v>6.739854506452779E-2</v>
      </c>
      <c r="K14" s="5">
        <f>'2026.07'!$D$89</f>
        <v>0.05</v>
      </c>
      <c r="L14" s="5">
        <f>'2026.07'!$J$89</f>
        <v>0</v>
      </c>
      <c r="M14" s="5">
        <f>'2026.07'!$O$89</f>
        <v>0</v>
      </c>
      <c r="AC14" s="5">
        <f>'2026.07'!$C$89</f>
        <v>48.6</v>
      </c>
      <c r="AD14" s="5">
        <f>'2026.07'!$E$89</f>
        <v>16.2</v>
      </c>
      <c r="AE14" s="15">
        <f>'2026.07'!$F$89</f>
        <v>3</v>
      </c>
      <c r="AF14" s="41">
        <f>'2026.04'!$A$85</f>
        <v>46113</v>
      </c>
      <c r="AG14" s="5">
        <f>'2026.04'!$B$85*-1</f>
        <v>-84.26</v>
      </c>
    </row>
    <row r="15" spans="1:33" x14ac:dyDescent="0.25">
      <c r="A15" s="46" t="str">
        <f>'2026.08'!$Q$2</f>
        <v>2026.08</v>
      </c>
      <c r="B15" s="5">
        <f>'2026.08'!$B$89</f>
        <v>64.83</v>
      </c>
      <c r="C15" s="5">
        <f>'2026.08'!$C$89</f>
        <v>64.83</v>
      </c>
      <c r="D15" s="5">
        <f t="shared" ref="D15" si="26">C15+D14</f>
        <v>922.60000000000014</v>
      </c>
      <c r="E15" s="15">
        <f>'2026.08'!$F$89</f>
        <v>4</v>
      </c>
      <c r="F15" s="61">
        <f t="shared" ref="F15" si="27">F14+E15</f>
        <v>61</v>
      </c>
      <c r="G15" s="7">
        <v>16.391300000000001</v>
      </c>
      <c r="H15" s="5">
        <f t="shared" ref="H15" si="28">F15*G15</f>
        <v>999.86930000000007</v>
      </c>
      <c r="I15" s="5">
        <f t="shared" ref="I15" si="29">H15-D15</f>
        <v>77.26929999999993</v>
      </c>
      <c r="J15" s="25">
        <f t="shared" ref="J15" si="30">(H15-D15)/D15</f>
        <v>8.37516800346845E-2</v>
      </c>
      <c r="K15" s="5">
        <f>'2026.08'!$D$89</f>
        <v>0</v>
      </c>
      <c r="L15" s="5">
        <f>'2026.08'!$J$89</f>
        <v>0</v>
      </c>
      <c r="M15" s="5">
        <f>'2026.08'!$O$89</f>
        <v>0</v>
      </c>
      <c r="AC15" s="5">
        <f>'2026.08'!$C$89</f>
        <v>64.83</v>
      </c>
      <c r="AD15" s="5">
        <f>'2026.08'!$E$89</f>
        <v>16.2075</v>
      </c>
      <c r="AE15" s="15">
        <f>'2026.08'!$F$89</f>
        <v>4</v>
      </c>
      <c r="AF15" s="41">
        <f>'2026.05'!$A$85</f>
        <v>46146</v>
      </c>
      <c r="AG15" s="5">
        <f>'2026.05'!$B$85*-1</f>
        <v>-76.459999999999994</v>
      </c>
    </row>
    <row r="16" spans="1:33" x14ac:dyDescent="0.25">
      <c r="A16" s="46" t="str">
        <f>'2026.09'!$Q$2</f>
        <v>2026.09</v>
      </c>
      <c r="B16" s="5">
        <f>'2026.09'!$B$89</f>
        <v>65.319999999999993</v>
      </c>
      <c r="C16" s="5">
        <f>'2026.09'!$C$89</f>
        <v>65.319999999999993</v>
      </c>
      <c r="D16" s="5">
        <f t="shared" ref="D16" si="31">C16+D15</f>
        <v>987.92000000000007</v>
      </c>
      <c r="E16" s="15">
        <f>'2026.09'!$F$89</f>
        <v>4</v>
      </c>
      <c r="F16" s="61">
        <f t="shared" ref="F16" si="32">F15+E16</f>
        <v>65</v>
      </c>
      <c r="G16" s="7">
        <v>16.736799999999999</v>
      </c>
      <c r="H16" s="5">
        <f t="shared" ref="H16" si="33">F16*G16</f>
        <v>1087.8919999999998</v>
      </c>
      <c r="I16" s="5">
        <f t="shared" ref="I16" si="34">H16-D16</f>
        <v>99.971999999999753</v>
      </c>
      <c r="J16" s="25">
        <f t="shared" ref="J16" si="35">(H16-D16)/D16</f>
        <v>0.1011944286986798</v>
      </c>
      <c r="K16" s="5">
        <f>'2026.09'!$D$89</f>
        <v>0</v>
      </c>
      <c r="L16" s="5">
        <f>'2026.09'!$J$89</f>
        <v>0</v>
      </c>
      <c r="M16" s="5">
        <f>'2026.09'!$O$89</f>
        <v>0</v>
      </c>
      <c r="AC16" s="5">
        <f>'2026.09'!$C$89</f>
        <v>65.319999999999993</v>
      </c>
      <c r="AD16" s="5">
        <f>'2026.09'!$E$89</f>
        <v>16.329999999999998</v>
      </c>
      <c r="AE16" s="15">
        <f>'2026.09'!$F$89</f>
        <v>4</v>
      </c>
      <c r="AF16" s="41">
        <f>'2026.06'!$A$85</f>
        <v>46175</v>
      </c>
      <c r="AG16" s="5">
        <f>'2026.06'!$B$85*-1</f>
        <v>-16.14</v>
      </c>
    </row>
    <row r="17" spans="1:33" x14ac:dyDescent="0.25">
      <c r="A17" s="46"/>
      <c r="B17" s="5"/>
      <c r="C17" s="5"/>
      <c r="D17" s="5"/>
      <c r="E17" s="15"/>
      <c r="F17" s="61"/>
      <c r="G17" s="63"/>
      <c r="H17" s="5"/>
      <c r="I17" s="5"/>
      <c r="J17" s="25"/>
      <c r="K17" s="5"/>
      <c r="L17" s="5"/>
      <c r="M17" s="5"/>
      <c r="AC17" s="5"/>
      <c r="AD17" s="5"/>
      <c r="AE17" s="15"/>
      <c r="AF17" s="41">
        <f>'2026.06'!$A$86</f>
        <v>46190</v>
      </c>
      <c r="AG17" s="5">
        <f>'2026.06'!$B$86*-1</f>
        <v>-272.17</v>
      </c>
    </row>
    <row r="18" spans="1:33" x14ac:dyDescent="0.25">
      <c r="A18" s="62"/>
      <c r="B18" s="5"/>
      <c r="C18" s="5"/>
      <c r="D18" s="5"/>
      <c r="E18" s="15"/>
      <c r="F18" s="61"/>
      <c r="G18" s="7"/>
      <c r="H18" s="5"/>
      <c r="I18" s="5"/>
      <c r="J18" s="25"/>
      <c r="K18" s="5"/>
      <c r="L18" s="5"/>
      <c r="M18" s="5"/>
      <c r="AC18" s="5"/>
      <c r="AD18" s="5"/>
      <c r="AE18" s="6"/>
      <c r="AF18" s="41">
        <f>'2026.07'!$A$85</f>
        <v>46205</v>
      </c>
      <c r="AG18" s="5">
        <f>'2026.07'!$B$85*-1</f>
        <v>-48.65</v>
      </c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6"/>
      <c r="AD19" s="6"/>
      <c r="AE19" s="6"/>
      <c r="AF19" s="41">
        <f>'2026.08'!$A$85</f>
        <v>46237</v>
      </c>
      <c r="AG19" s="5">
        <f>'2026.08'!$B$85*-1</f>
        <v>-64.83</v>
      </c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6"/>
      <c r="AD20" s="6"/>
      <c r="AE20" s="6"/>
      <c r="AF20" s="41">
        <f>'2026.09'!$A$85</f>
        <v>46267</v>
      </c>
      <c r="AG20" s="5">
        <f>'2026.09'!$B$85*-1</f>
        <v>-65.319999999999993</v>
      </c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6"/>
      <c r="AD21" s="6"/>
      <c r="AE21" s="6"/>
      <c r="AF21" s="41"/>
      <c r="AG21" s="5"/>
    </row>
    <row r="22" spans="1:33" x14ac:dyDescent="0.25">
      <c r="AC22" s="6"/>
      <c r="AD22" s="6"/>
      <c r="AE22" s="6"/>
      <c r="AF22" s="41"/>
      <c r="AG22" s="5"/>
    </row>
    <row r="23" spans="1:33" x14ac:dyDescent="0.25">
      <c r="AC23" s="6"/>
      <c r="AD23" s="6"/>
      <c r="AE23" s="6"/>
      <c r="AF23" s="41"/>
      <c r="AG23" s="5"/>
    </row>
    <row r="24" spans="1:33" x14ac:dyDescent="0.25">
      <c r="AC24" s="6"/>
      <c r="AD24" s="6"/>
      <c r="AE24" s="6"/>
      <c r="AF24" s="41"/>
      <c r="AG24" s="5"/>
    </row>
    <row r="25" spans="1:33" x14ac:dyDescent="0.25">
      <c r="AC25" s="6"/>
      <c r="AD25" s="6"/>
      <c r="AE25" s="6"/>
      <c r="AF25" s="41"/>
      <c r="AG25" s="5"/>
    </row>
    <row r="26" spans="1:33" x14ac:dyDescent="0.25">
      <c r="AC26" s="6"/>
      <c r="AD26" s="6"/>
      <c r="AE26" s="6"/>
      <c r="AF26" s="41"/>
      <c r="AG26" s="5"/>
    </row>
    <row r="27" spans="1:33" x14ac:dyDescent="0.25">
      <c r="AC27" s="6"/>
      <c r="AD27" s="6"/>
      <c r="AE27" s="6"/>
      <c r="AF27" s="41"/>
      <c r="AG27" s="5"/>
    </row>
    <row r="28" spans="1:33" x14ac:dyDescent="0.25">
      <c r="AC28" s="6"/>
      <c r="AD28" s="6"/>
      <c r="AE28" s="6"/>
      <c r="AF28" s="41"/>
      <c r="AG28" s="5"/>
    </row>
    <row r="29" spans="1:33" x14ac:dyDescent="0.25">
      <c r="AC29" s="6"/>
      <c r="AD29" s="6"/>
      <c r="AE29" s="6"/>
      <c r="AF29" s="41"/>
      <c r="AG29" s="5"/>
    </row>
    <row r="30" spans="1:33" x14ac:dyDescent="0.25">
      <c r="AC30" s="6"/>
      <c r="AD30" s="6"/>
      <c r="AE30" s="6"/>
      <c r="AF30" s="41"/>
      <c r="AG30" s="5"/>
    </row>
    <row r="31" spans="1:33" x14ac:dyDescent="0.25">
      <c r="AC31" s="6"/>
      <c r="AD31" s="6"/>
      <c r="AE31" s="6"/>
      <c r="AF31" s="41"/>
      <c r="AG31" s="5"/>
    </row>
    <row r="32" spans="1:33" x14ac:dyDescent="0.25">
      <c r="AC32" s="6"/>
      <c r="AD32" s="6"/>
      <c r="AE32" s="6"/>
      <c r="AF32" s="41"/>
      <c r="AG32" s="5"/>
    </row>
    <row r="33" spans="29:33" x14ac:dyDescent="0.25">
      <c r="AC33" s="6"/>
      <c r="AD33" s="6"/>
      <c r="AE33" s="6"/>
      <c r="AF33" s="41"/>
      <c r="AG33" s="5"/>
    </row>
    <row r="34" spans="29:33" x14ac:dyDescent="0.25">
      <c r="AC34" s="6"/>
      <c r="AD34" s="6"/>
      <c r="AE34" s="6"/>
      <c r="AF34" s="41"/>
      <c r="AG34" s="5"/>
    </row>
    <row r="35" spans="29:33" x14ac:dyDescent="0.25">
      <c r="AC35" s="6"/>
      <c r="AD35" s="6"/>
      <c r="AE35" s="6"/>
      <c r="AF35" s="41"/>
      <c r="AG35" s="5"/>
    </row>
    <row r="36" spans="29:33" x14ac:dyDescent="0.25">
      <c r="AC36" s="6"/>
      <c r="AD36" s="6"/>
      <c r="AE36" s="6"/>
      <c r="AF36" s="41"/>
      <c r="AG36" s="5"/>
    </row>
    <row r="37" spans="29:33" x14ac:dyDescent="0.25">
      <c r="AC37" s="2"/>
      <c r="AD37" s="2"/>
      <c r="AE37" s="2"/>
      <c r="AF37" s="2"/>
      <c r="AG37" s="2"/>
    </row>
    <row r="38" spans="29:33" x14ac:dyDescent="0.25">
      <c r="AC38" s="2"/>
      <c r="AD38" s="2"/>
      <c r="AE38" s="2"/>
      <c r="AF38" s="2"/>
      <c r="AG38" s="2"/>
    </row>
    <row r="39" spans="29:33" x14ac:dyDescent="0.25">
      <c r="AC39" s="2"/>
      <c r="AD39" s="2"/>
      <c r="AE39" s="2"/>
      <c r="AF39" s="2"/>
      <c r="AG39" s="2"/>
    </row>
    <row r="40" spans="29:33" x14ac:dyDescent="0.25">
      <c r="AC40" s="2"/>
      <c r="AD40" s="2"/>
      <c r="AE40" s="2"/>
      <c r="AF40" s="2"/>
      <c r="AG40" s="2"/>
    </row>
    <row r="41" spans="29:33" x14ac:dyDescent="0.25">
      <c r="AC41" s="2"/>
      <c r="AD41" s="2"/>
      <c r="AE41" s="2"/>
      <c r="AF41" s="2"/>
      <c r="AG41" s="2"/>
    </row>
    <row r="42" spans="29:33" x14ac:dyDescent="0.25">
      <c r="AC42" s="2"/>
      <c r="AD42" s="2"/>
      <c r="AE42" s="2"/>
      <c r="AF42" s="2"/>
      <c r="AG42" s="2"/>
    </row>
    <row r="43" spans="29:33" x14ac:dyDescent="0.25">
      <c r="AC43" s="2"/>
      <c r="AD43" s="2"/>
      <c r="AE43" s="2"/>
      <c r="AF43" s="2"/>
      <c r="AG43" s="2"/>
    </row>
    <row r="44" spans="29:33" x14ac:dyDescent="0.25">
      <c r="AC44" s="2"/>
      <c r="AD44" s="2"/>
      <c r="AE44" s="2"/>
      <c r="AF44" s="2"/>
      <c r="AG44" s="2"/>
    </row>
    <row r="45" spans="29:33" x14ac:dyDescent="0.25">
      <c r="AC45" s="2"/>
      <c r="AD45" s="2"/>
      <c r="AE45" s="2"/>
      <c r="AF45" s="2"/>
      <c r="AG45" s="2"/>
    </row>
    <row r="46" spans="29:33" x14ac:dyDescent="0.25">
      <c r="AC46" s="2"/>
      <c r="AD46" s="2"/>
      <c r="AE46" s="2"/>
      <c r="AF46" s="2"/>
      <c r="AG46" s="2"/>
    </row>
    <row r="47" spans="29:33" x14ac:dyDescent="0.25">
      <c r="AC47" s="2"/>
      <c r="AD47" s="2"/>
      <c r="AE47" s="2"/>
      <c r="AF47" s="2"/>
      <c r="AG47" s="2"/>
    </row>
    <row r="48" spans="29:33" x14ac:dyDescent="0.25">
      <c r="AC48" s="2"/>
      <c r="AD48" s="2"/>
      <c r="AE48" s="2"/>
      <c r="AF48" s="2"/>
      <c r="AG48" s="2"/>
    </row>
    <row r="49" spans="29:33" x14ac:dyDescent="0.25">
      <c r="AC49" s="2"/>
      <c r="AD49" s="2"/>
      <c r="AE49" s="2"/>
      <c r="AF49" s="2"/>
      <c r="AG49" s="2"/>
    </row>
    <row r="50" spans="29:33" x14ac:dyDescent="0.25">
      <c r="AC50" s="2"/>
      <c r="AD50" s="2"/>
      <c r="AE50" s="2"/>
      <c r="AF50" s="2"/>
      <c r="AG50" s="2"/>
    </row>
    <row r="51" spans="29:33" x14ac:dyDescent="0.25">
      <c r="AC51" s="2"/>
      <c r="AD51" s="2"/>
      <c r="AE51" s="2"/>
      <c r="AF51" s="2"/>
      <c r="AG51" s="2"/>
    </row>
    <row r="52" spans="29:33" x14ac:dyDescent="0.25">
      <c r="AC52" s="2"/>
      <c r="AD52" s="2"/>
      <c r="AE52" s="2"/>
      <c r="AF52" s="2"/>
      <c r="AG52" s="2"/>
    </row>
    <row r="53" spans="29:33" x14ac:dyDescent="0.25">
      <c r="AC53" s="2"/>
      <c r="AD53" s="2"/>
      <c r="AE53" s="2"/>
      <c r="AF53" s="2"/>
      <c r="AG53" s="2"/>
    </row>
    <row r="54" spans="29:33" x14ac:dyDescent="0.25">
      <c r="AC54" s="2"/>
      <c r="AD54" s="2"/>
      <c r="AE54" s="2"/>
      <c r="AF54" s="2"/>
      <c r="AG54" s="2"/>
    </row>
    <row r="55" spans="29:33" x14ac:dyDescent="0.25">
      <c r="AC55" s="2"/>
      <c r="AD55" s="2"/>
      <c r="AE55" s="2"/>
      <c r="AF55" s="2"/>
      <c r="AG55" s="2"/>
    </row>
    <row r="56" spans="29:33" x14ac:dyDescent="0.25">
      <c r="AC56" s="2"/>
      <c r="AD56" s="2"/>
      <c r="AE56" s="2"/>
      <c r="AF56" s="2"/>
      <c r="AG56" s="2"/>
    </row>
    <row r="57" spans="29:33" x14ac:dyDescent="0.25">
      <c r="AC57" s="2"/>
      <c r="AD57" s="2"/>
      <c r="AE57" s="2"/>
      <c r="AF57" s="2"/>
      <c r="AG57" s="2"/>
    </row>
    <row r="58" spans="29:33" x14ac:dyDescent="0.25">
      <c r="AC58" s="2"/>
      <c r="AD58" s="2"/>
      <c r="AE58" s="2"/>
      <c r="AF58" s="2"/>
      <c r="AG58" s="2"/>
    </row>
    <row r="59" spans="29:33" x14ac:dyDescent="0.25">
      <c r="AC59" s="2"/>
      <c r="AD59" s="2"/>
      <c r="AE59" s="2"/>
      <c r="AF59" s="2"/>
      <c r="AG59" s="2"/>
    </row>
    <row r="60" spans="29:33" x14ac:dyDescent="0.25">
      <c r="AC60" s="2"/>
      <c r="AD60" s="2"/>
      <c r="AE60" s="2"/>
      <c r="AF60" s="2"/>
      <c r="AG60" s="2"/>
    </row>
    <row r="61" spans="29:33" x14ac:dyDescent="0.25">
      <c r="AC61" s="2"/>
      <c r="AD61" s="2"/>
      <c r="AE61" s="2"/>
      <c r="AF61" s="2"/>
      <c r="AG61" s="2"/>
    </row>
    <row r="62" spans="29:33" x14ac:dyDescent="0.25">
      <c r="AC62" s="2"/>
      <c r="AD62" s="2"/>
      <c r="AE62" s="2"/>
      <c r="AF62" s="2"/>
      <c r="AG62" s="2"/>
    </row>
    <row r="63" spans="29:33" x14ac:dyDescent="0.25">
      <c r="AC63" s="2"/>
      <c r="AD63" s="2"/>
      <c r="AE63" s="2"/>
      <c r="AF63" s="2"/>
      <c r="AG63" s="2"/>
    </row>
    <row r="64" spans="29:33" x14ac:dyDescent="0.25">
      <c r="AC64" s="2"/>
      <c r="AD64" s="2"/>
      <c r="AE64" s="2"/>
      <c r="AF64" s="2"/>
      <c r="AG64" s="2"/>
    </row>
    <row r="65" spans="29:33" x14ac:dyDescent="0.25">
      <c r="AC65" s="2"/>
      <c r="AD65" s="2"/>
      <c r="AE65" s="2"/>
      <c r="AF65" s="2"/>
      <c r="AG65" s="2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6"/>
      <c r="AD200" s="6"/>
      <c r="AE200" s="6"/>
      <c r="AF200" s="41">
        <f ca="1">TODAY()</f>
        <v>46296</v>
      </c>
      <c r="AG200" s="5" cm="1">
        <f t="array" ref="AG200">LOOKUP(2,1/(H:H&gt;0),H:H)</f>
        <v>1087.8919999999998</v>
      </c>
    </row>
  </sheetData>
  <mergeCells count="18">
    <mergeCell ref="M3:M4"/>
    <mergeCell ref="X3:X4"/>
    <mergeCell ref="V3:W3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  <mergeCell ref="AF3:AG3"/>
    <mergeCell ref="AC3:AC4"/>
    <mergeCell ref="AD3:AD4"/>
    <mergeCell ref="AE3:AE4"/>
    <mergeCell ref="Y3:Y4"/>
  </mergeCells>
  <hyperlinks>
    <hyperlink ref="A5" location="'2025.10'!A1" display="'2025.10'!A1" xr:uid="{D14590CC-DBA1-4B54-BFE0-D3CEAC2B0290}"/>
    <hyperlink ref="A6" location="'2025.11'!A1" display="'2025.11'!A1" xr:uid="{F4D85C31-2CE9-4A53-979F-A4D5B4C70171}"/>
    <hyperlink ref="A7" location="'2025.12'!A1" display="'2025.12'!A1" xr:uid="{CFFAA503-474B-4C26-9417-58419DC96308}"/>
    <hyperlink ref="A8" location="'2026.01'!A1" display="'2026.01'!A1" xr:uid="{0E96B84C-432C-4A1A-B74C-760632514CE8}"/>
    <hyperlink ref="A9" location="'2026.02'!A1" display="'2026.02'!A1" xr:uid="{CA949742-A3E0-4B61-BEDC-0B058442A012}"/>
    <hyperlink ref="A10" location="'2026.03'!A1" display="'2026.03'!A1" xr:uid="{2528CCA5-5CE1-4ACF-A600-BEB08E23751D}"/>
    <hyperlink ref="A11" location="'2026.04'!A1" display="'2026.04'!A1" xr:uid="{997837CD-F360-47AB-84B0-DD23389B7F7C}"/>
    <hyperlink ref="A12" location="'2026.05'!A1" display="'2026.05'!A1" xr:uid="{3FFC7FEF-2690-4276-AF7F-FFC8CA5E416D}"/>
    <hyperlink ref="A13" location="'2026.05'!A1" display="'2026.05'!A1" xr:uid="{638E6F32-5AD7-40F4-94BE-D9FFE1153405}"/>
    <hyperlink ref="A14" location="'2026.07'!A1" display="'2026.07'!A1" xr:uid="{8E06944D-9B1D-4B29-B2CE-997A317AE8A4}"/>
    <hyperlink ref="A15" location="'2026.08'!A1" display="'2026.08'!A1" xr:uid="{9C1389A1-B26B-4004-8CBA-946A660A8CA1}"/>
    <hyperlink ref="A16" location="'2026.09'!A1" display="'2026.09'!A1" xr:uid="{C217769B-B42A-4166-A2B0-9C9AF5AA8DF3}"/>
  </hyperlinks>
  <pageMargins left="0.7" right="0.7" top="0.75" bottom="0.75" header="0.3" footer="0.3"/>
  <pageSetup orientation="portrait" r:id="rId1"/>
  <ignoredErrors>
    <ignoredError sqref="E5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5E05-32ED-4630-8AE7-077608C1D939}">
  <dimension ref="A1:AG20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F11" sqref="AF11:AG11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61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62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'2026.05'!$Q$2</f>
        <v>2026.05</v>
      </c>
      <c r="B5" s="5">
        <f>'2026.05'!$B$119</f>
        <v>225.27</v>
      </c>
      <c r="C5" s="5">
        <f>'2026.05'!$C$119</f>
        <v>225.27</v>
      </c>
      <c r="D5" s="5">
        <f>C5</f>
        <v>225.27</v>
      </c>
      <c r="E5" s="15">
        <f>'2026.05'!$F$119</f>
        <v>6</v>
      </c>
      <c r="F5" s="15">
        <f>E5</f>
        <v>6</v>
      </c>
      <c r="G5" s="7">
        <v>38.529000000000003</v>
      </c>
      <c r="H5" s="5">
        <f t="shared" ref="H5" si="0">F5*G5</f>
        <v>231.17400000000004</v>
      </c>
      <c r="I5" s="5">
        <f t="shared" ref="I5" si="1">H5-D5</f>
        <v>5.9040000000000248</v>
      </c>
      <c r="J5" s="25">
        <f t="shared" ref="J5" si="2">(H5-D5)/D5</f>
        <v>2.6208549740311733E-2</v>
      </c>
      <c r="K5" s="5">
        <f>'2026.05'!$D$119</f>
        <v>0</v>
      </c>
      <c r="L5" s="5">
        <f>'2026.05'!$J$119</f>
        <v>0</v>
      </c>
      <c r="M5" s="5">
        <f>'2026.05'!$O$119</f>
        <v>0</v>
      </c>
      <c r="O5" s="3" t="s">
        <v>2</v>
      </c>
      <c r="P5" s="5">
        <f>SUM(B5:B200)</f>
        <v>501.51</v>
      </c>
      <c r="Q5" s="15">
        <f>SUM(E5:E200)</f>
        <v>13</v>
      </c>
      <c r="R5" s="5">
        <v>0</v>
      </c>
      <c r="S5" s="5">
        <f>R5-P5+X5</f>
        <v>-501.51</v>
      </c>
      <c r="T5" s="25">
        <f>(R5-P5+X5)/P5</f>
        <v>-1</v>
      </c>
      <c r="U5" s="25">
        <f ca="1">XIRR(AG5:AG200,AF5:AF200)</f>
        <v>0.10631600022315979</v>
      </c>
      <c r="V5" s="5">
        <f>SUM(K5:K200)</f>
        <v>0</v>
      </c>
      <c r="W5" s="5">
        <f>SUM(L5:L200)</f>
        <v>0</v>
      </c>
      <c r="X5" s="5">
        <f>SUM(M5:M200)</f>
        <v>0</v>
      </c>
      <c r="Y5" s="5" cm="1">
        <f t="array" ref="Y5">SUMPRODUCT(IFERROR(AD5:AD200,0),IFERROR(AE5:AE200,0))/SUM(IFERROR(AE5:AE200,0))</f>
        <v>38.57769230769231</v>
      </c>
      <c r="AC5" s="5">
        <f>'2026.05'!$C$119</f>
        <v>225.27</v>
      </c>
      <c r="AD5" s="5">
        <f>'2026.05'!$E$119</f>
        <v>37.545000000000002</v>
      </c>
      <c r="AE5" s="15">
        <f>'2026.05'!$F$119</f>
        <v>6</v>
      </c>
      <c r="AF5" s="41">
        <f>'2026.05'!$A$115</f>
        <v>46157</v>
      </c>
      <c r="AG5" s="5">
        <f>'2026.05'!$B$115*-1</f>
        <v>-225.27</v>
      </c>
    </row>
    <row r="6" spans="1:33" x14ac:dyDescent="0.25">
      <c r="A6" s="46" t="str">
        <f>'2026.06'!$Q$2</f>
        <v>2026.06</v>
      </c>
      <c r="B6" s="5">
        <f>'2026.06'!$B$119</f>
        <v>156.69</v>
      </c>
      <c r="C6" s="5">
        <f>'2026.06'!$C$119</f>
        <v>156.69</v>
      </c>
      <c r="D6" s="5">
        <f>D5+C6</f>
        <v>381.96000000000004</v>
      </c>
      <c r="E6" s="15">
        <f>'2026.06'!$F$119</f>
        <v>4</v>
      </c>
      <c r="F6" s="15">
        <f>F5+E6</f>
        <v>10</v>
      </c>
      <c r="G6" s="7">
        <v>39.432499999999997</v>
      </c>
      <c r="H6" s="5">
        <f t="shared" ref="H6" si="3">F6*G6</f>
        <v>394.32499999999999</v>
      </c>
      <c r="I6" s="5">
        <f t="shared" ref="I6" si="4">H6-D6</f>
        <v>12.364999999999952</v>
      </c>
      <c r="J6" s="25">
        <f t="shared" ref="J6" si="5">(H6-D6)/D6</f>
        <v>3.2372499738192353E-2</v>
      </c>
      <c r="K6" s="5">
        <f>'2026.06'!$D$119</f>
        <v>0</v>
      </c>
      <c r="L6" s="5">
        <f>'2026.06'!$J$119</f>
        <v>0</v>
      </c>
      <c r="M6" s="5">
        <f>'2026.06'!$O$119</f>
        <v>0</v>
      </c>
      <c r="AC6" s="5">
        <f>'2026.06'!$C$119</f>
        <v>156.69</v>
      </c>
      <c r="AD6" s="5">
        <f>'2026.06'!$E$119</f>
        <v>39.172499999999999</v>
      </c>
      <c r="AE6" s="15">
        <f>'2026.06'!$F$119</f>
        <v>4</v>
      </c>
      <c r="AF6" s="41">
        <f>'2026.06'!$A$115</f>
        <v>46174</v>
      </c>
      <c r="AG6" s="5">
        <f>'2026.06'!$B$115*-1</f>
        <v>-38.520000000000003</v>
      </c>
    </row>
    <row r="7" spans="1:33" x14ac:dyDescent="0.25">
      <c r="A7" s="46" t="str">
        <f>'2026.07'!$Q$2</f>
        <v>2026.07</v>
      </c>
      <c r="B7" s="5">
        <f>'2026.07'!$B$119</f>
        <v>39.28</v>
      </c>
      <c r="C7" s="5">
        <f>'2026.07'!$C$119</f>
        <v>39.28</v>
      </c>
      <c r="D7" s="5">
        <f>D6+C7</f>
        <v>421.24</v>
      </c>
      <c r="E7" s="15">
        <f>'2026.07'!$F$119</f>
        <v>1</v>
      </c>
      <c r="F7" s="15">
        <f>F6+E7</f>
        <v>11</v>
      </c>
      <c r="G7" s="7">
        <v>39.872999999999998</v>
      </c>
      <c r="H7" s="5">
        <f t="shared" ref="H7" si="6">F7*G7</f>
        <v>438.60299999999995</v>
      </c>
      <c r="I7" s="5">
        <f t="shared" ref="I7" si="7">H7-D7</f>
        <v>17.362999999999943</v>
      </c>
      <c r="J7" s="25">
        <f t="shared" ref="J7" si="8">(H7-D7)/D7</f>
        <v>4.1218782641724294E-2</v>
      </c>
      <c r="K7" s="5">
        <f>'2026.07'!$D$119</f>
        <v>0</v>
      </c>
      <c r="L7" s="5">
        <f>'2026.07'!$J$119</f>
        <v>0</v>
      </c>
      <c r="M7" s="5">
        <f>'2026.07'!$O$119</f>
        <v>0</v>
      </c>
      <c r="AC7" s="5">
        <f>'2026.07'!$C$119</f>
        <v>39.28</v>
      </c>
      <c r="AD7" s="5">
        <f>'2026.07'!$E$119</f>
        <v>39.28</v>
      </c>
      <c r="AE7" s="15">
        <f>'2026.07'!$F$119</f>
        <v>1</v>
      </c>
      <c r="AF7" s="41">
        <f>'2026.06'!$A$116</f>
        <v>46192</v>
      </c>
      <c r="AG7" s="5">
        <f>'2026.06'!$B$116*-1</f>
        <v>-118.17</v>
      </c>
    </row>
    <row r="8" spans="1:33" x14ac:dyDescent="0.25">
      <c r="A8" s="46" t="str">
        <f>'2026.08'!$Q$2</f>
        <v>2026.08</v>
      </c>
      <c r="B8" s="5">
        <f>'2026.08'!$B$119</f>
        <v>40.159999999999997</v>
      </c>
      <c r="C8" s="5">
        <f>'2026.08'!$C$119</f>
        <v>40.159999999999997</v>
      </c>
      <c r="D8" s="5">
        <f>D7+C8</f>
        <v>461.4</v>
      </c>
      <c r="E8" s="15">
        <f>'2026.08'!$F$119</f>
        <v>1</v>
      </c>
      <c r="F8" s="15">
        <f>F7+E8</f>
        <v>12</v>
      </c>
      <c r="G8" s="7">
        <v>40.377499999999998</v>
      </c>
      <c r="H8" s="5">
        <f t="shared" ref="H8" si="9">F8*G8</f>
        <v>484.53</v>
      </c>
      <c r="I8" s="5">
        <f t="shared" ref="I8" si="10">H8-D8</f>
        <v>23.129999999999995</v>
      </c>
      <c r="J8" s="25">
        <f t="shared" ref="J8" si="11">(H8-D8)/D8</f>
        <v>5.0130039011703501E-2</v>
      </c>
      <c r="K8" s="5">
        <f>'2026.08'!$D$119</f>
        <v>0</v>
      </c>
      <c r="L8" s="5">
        <f>'2026.08'!$J$119</f>
        <v>0</v>
      </c>
      <c r="M8" s="5">
        <f>'2026.08'!$O$119</f>
        <v>0</v>
      </c>
      <c r="AC8" s="5">
        <f>'2026.08'!$C$119</f>
        <v>40.159999999999997</v>
      </c>
      <c r="AD8" s="5">
        <f>'2026.08'!$E$119</f>
        <v>40.159999999999997</v>
      </c>
      <c r="AE8" s="15">
        <f>'2026.08'!$F$119</f>
        <v>1</v>
      </c>
      <c r="AF8" s="41">
        <f>'2026.07'!$A$115</f>
        <v>46205</v>
      </c>
      <c r="AG8" s="5">
        <f>'2026.07'!$B$115*-1</f>
        <v>-39.28</v>
      </c>
    </row>
    <row r="9" spans="1:33" x14ac:dyDescent="0.25">
      <c r="A9" s="46" t="str">
        <f>'2026.09'!$Q$2</f>
        <v>2026.09</v>
      </c>
      <c r="B9" s="5">
        <f>'2026.09'!$B$119</f>
        <v>40.11</v>
      </c>
      <c r="C9" s="5">
        <f>'2026.09'!$C$119</f>
        <v>40.11</v>
      </c>
      <c r="D9" s="5">
        <f>D8+C9</f>
        <v>501.51</v>
      </c>
      <c r="E9" s="15">
        <f>'2026.09'!$F$119</f>
        <v>1</v>
      </c>
      <c r="F9" s="15">
        <f>F8+E9</f>
        <v>13</v>
      </c>
      <c r="G9" s="7">
        <v>39.777500000000003</v>
      </c>
      <c r="H9" s="5">
        <f t="shared" ref="H9" si="12">F9*G9</f>
        <v>517.10750000000007</v>
      </c>
      <c r="I9" s="5">
        <f t="shared" ref="I9" si="13">H9-D9</f>
        <v>15.597500000000082</v>
      </c>
      <c r="J9" s="25">
        <f t="shared" ref="J9" si="14">(H9-D9)/D9</f>
        <v>3.1101074754242352E-2</v>
      </c>
      <c r="K9" s="5">
        <f>'2026.09'!$D$119</f>
        <v>0</v>
      </c>
      <c r="L9" s="5">
        <f>'2026.09'!$J$119</f>
        <v>0</v>
      </c>
      <c r="M9" s="5">
        <f>'2026.09'!$O$119</f>
        <v>0</v>
      </c>
      <c r="AC9" s="5">
        <f>'2026.09'!$C$119</f>
        <v>40.11</v>
      </c>
      <c r="AD9" s="5">
        <f>'2026.09'!$E$119</f>
        <v>40.11</v>
      </c>
      <c r="AE9" s="15">
        <f>'2026.09'!$F$119</f>
        <v>1</v>
      </c>
      <c r="AF9" s="41">
        <f>'2026.08'!$A$115</f>
        <v>46237</v>
      </c>
      <c r="AG9" s="5">
        <f>'2026.08'!$B$115*-1</f>
        <v>-40.159999999999997</v>
      </c>
    </row>
    <row r="10" spans="1:33" x14ac:dyDescent="0.25">
      <c r="A10" s="46"/>
      <c r="B10" s="5"/>
      <c r="C10" s="5"/>
      <c r="D10" s="5"/>
      <c r="E10" s="15"/>
      <c r="F10" s="15"/>
      <c r="G10" s="63"/>
      <c r="H10" s="5"/>
      <c r="I10" s="5"/>
      <c r="J10" s="25"/>
      <c r="K10" s="5"/>
      <c r="L10" s="5"/>
      <c r="M10" s="5"/>
      <c r="AC10" s="5"/>
      <c r="AD10" s="5"/>
      <c r="AE10" s="15"/>
      <c r="AF10" s="41">
        <f>'2026.09'!$A$115</f>
        <v>46267</v>
      </c>
      <c r="AG10" s="5">
        <f>'2026.09'!$B$115*-1</f>
        <v>-40.11</v>
      </c>
    </row>
    <row r="11" spans="1:33" x14ac:dyDescent="0.25">
      <c r="A11" s="6"/>
      <c r="B11" s="5"/>
      <c r="C11" s="5"/>
      <c r="D11" s="5"/>
      <c r="E11" s="15"/>
      <c r="F11" s="15"/>
      <c r="G11" s="5"/>
      <c r="H11" s="5"/>
      <c r="I11" s="5"/>
      <c r="J11" s="25"/>
      <c r="K11" s="5"/>
      <c r="L11" s="5"/>
      <c r="M11" s="5"/>
      <c r="AC11" s="5"/>
      <c r="AD11" s="5"/>
      <c r="AE11" s="15"/>
      <c r="AF11" s="41"/>
      <c r="AG11" s="5"/>
    </row>
    <row r="12" spans="1:33" x14ac:dyDescent="0.25">
      <c r="A12" s="2"/>
      <c r="B12" s="5"/>
      <c r="C12" s="5"/>
      <c r="D12" s="5"/>
      <c r="E12" s="8"/>
      <c r="F12" s="8"/>
      <c r="G12" s="7"/>
      <c r="H12" s="5"/>
      <c r="I12" s="5"/>
      <c r="J12" s="5"/>
      <c r="K12" s="2"/>
      <c r="L12" s="2"/>
      <c r="M12" s="2"/>
      <c r="AC12" s="5"/>
      <c r="AD12" s="5"/>
      <c r="AE12" s="15"/>
      <c r="AF12" s="41"/>
      <c r="AG12" s="5"/>
    </row>
    <row r="13" spans="1:33" x14ac:dyDescent="0.25">
      <c r="A13" s="2"/>
      <c r="B13" s="5"/>
      <c r="C13" s="5"/>
      <c r="D13" s="5"/>
      <c r="E13" s="8"/>
      <c r="F13" s="8"/>
      <c r="G13" s="7"/>
      <c r="H13" s="5"/>
      <c r="I13" s="5"/>
      <c r="J13" s="5"/>
      <c r="K13" s="2"/>
      <c r="L13" s="2"/>
      <c r="M13" s="2"/>
      <c r="AC13" s="5"/>
      <c r="AD13" s="5"/>
      <c r="AE13" s="15"/>
      <c r="AF13" s="41"/>
      <c r="AG13" s="5"/>
    </row>
    <row r="14" spans="1:33" x14ac:dyDescent="0.25">
      <c r="A14" s="2"/>
      <c r="B14" s="5"/>
      <c r="C14" s="5"/>
      <c r="D14" s="5"/>
      <c r="E14" s="8"/>
      <c r="F14" s="8"/>
      <c r="G14" s="7"/>
      <c r="H14" s="5"/>
      <c r="I14" s="5"/>
      <c r="J14" s="5"/>
      <c r="K14" s="2"/>
      <c r="L14" s="2"/>
      <c r="M14" s="2"/>
      <c r="AC14" s="47"/>
      <c r="AD14" s="47"/>
      <c r="AE14" s="48"/>
      <c r="AF14" s="41"/>
      <c r="AG14" s="5"/>
    </row>
    <row r="15" spans="1:33" x14ac:dyDescent="0.25">
      <c r="A15" s="2"/>
      <c r="B15" s="5"/>
      <c r="C15" s="5"/>
      <c r="D15" s="5"/>
      <c r="E15" s="8"/>
      <c r="F15" s="8"/>
      <c r="G15" s="7"/>
      <c r="H15" s="5"/>
      <c r="I15" s="5"/>
      <c r="J15" s="5"/>
      <c r="K15" s="2"/>
      <c r="L15" s="2"/>
      <c r="M15" s="2"/>
      <c r="AC15" s="47"/>
      <c r="AD15" s="47"/>
      <c r="AE15" s="48"/>
      <c r="AF15" s="41"/>
      <c r="AG15" s="5"/>
    </row>
    <row r="16" spans="1:33" x14ac:dyDescent="0.25">
      <c r="A16" s="2"/>
      <c r="B16" s="5"/>
      <c r="C16" s="5"/>
      <c r="D16" s="5"/>
      <c r="E16" s="8"/>
      <c r="F16" s="8"/>
      <c r="G16" s="7"/>
      <c r="H16" s="5"/>
      <c r="I16" s="5"/>
      <c r="J16" s="5"/>
      <c r="K16" s="2"/>
      <c r="L16" s="2"/>
      <c r="M16" s="2"/>
      <c r="AC16" s="2"/>
      <c r="AD16" s="2"/>
      <c r="AE16" s="2"/>
      <c r="AF16" s="41"/>
      <c r="AG16" s="5"/>
    </row>
    <row r="17" spans="1:33" x14ac:dyDescent="0.25">
      <c r="A17" s="2"/>
      <c r="B17" s="5"/>
      <c r="C17" s="5"/>
      <c r="D17" s="5"/>
      <c r="E17" s="8"/>
      <c r="F17" s="8"/>
      <c r="G17" s="7"/>
      <c r="H17" s="5"/>
      <c r="I17" s="5"/>
      <c r="J17" s="5"/>
      <c r="K17" s="2"/>
      <c r="L17" s="2"/>
      <c r="M17" s="2"/>
      <c r="AC17" s="2"/>
      <c r="AD17" s="2"/>
      <c r="AE17" s="2"/>
      <c r="AF17" s="41"/>
      <c r="AG17" s="5"/>
    </row>
    <row r="18" spans="1:33" x14ac:dyDescent="0.25">
      <c r="A18" s="2"/>
      <c r="B18" s="5"/>
      <c r="C18" s="5"/>
      <c r="D18" s="5"/>
      <c r="E18" s="8"/>
      <c r="F18" s="8"/>
      <c r="G18" s="7"/>
      <c r="H18" s="5"/>
      <c r="I18" s="5"/>
      <c r="J18" s="5"/>
      <c r="K18" s="2"/>
      <c r="L18" s="2"/>
      <c r="M18" s="2"/>
      <c r="AC18" s="2"/>
      <c r="AD18" s="2"/>
      <c r="AE18" s="2"/>
      <c r="AF18" s="41"/>
      <c r="AG18" s="5"/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2"/>
      <c r="AD19" s="2"/>
      <c r="AE19" s="2"/>
      <c r="AF19" s="41"/>
      <c r="AG19" s="5"/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2"/>
      <c r="AD20" s="2"/>
      <c r="AE20" s="2"/>
      <c r="AF20" s="41"/>
      <c r="AG20" s="5"/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2"/>
      <c r="AD21" s="2"/>
      <c r="AE21" s="2"/>
      <c r="AF21" s="41"/>
      <c r="AG21" s="5"/>
    </row>
    <row r="22" spans="1:33" x14ac:dyDescent="0.25">
      <c r="AC22" s="2"/>
      <c r="AD22" s="2"/>
      <c r="AE22" s="2"/>
      <c r="AF22" s="41"/>
      <c r="AG22" s="5"/>
    </row>
    <row r="23" spans="1:33" x14ac:dyDescent="0.25">
      <c r="AC23" s="2"/>
      <c r="AD23" s="2"/>
      <c r="AE23" s="2"/>
      <c r="AF23" s="41"/>
      <c r="AG23" s="5"/>
    </row>
    <row r="24" spans="1:33" x14ac:dyDescent="0.25">
      <c r="AC24" s="2"/>
      <c r="AD24" s="2"/>
      <c r="AE24" s="2"/>
      <c r="AF24" s="41"/>
      <c r="AG24" s="5"/>
    </row>
    <row r="25" spans="1:33" x14ac:dyDescent="0.25">
      <c r="AC25" s="2"/>
      <c r="AD25" s="2"/>
      <c r="AE25" s="2"/>
      <c r="AF25" s="41"/>
      <c r="AG25" s="5"/>
    </row>
    <row r="26" spans="1:33" x14ac:dyDescent="0.25">
      <c r="AC26" s="2"/>
      <c r="AD26" s="2"/>
      <c r="AE26" s="2"/>
      <c r="AF26" s="41"/>
      <c r="AG26" s="5"/>
    </row>
    <row r="27" spans="1:33" x14ac:dyDescent="0.25">
      <c r="AC27" s="2"/>
      <c r="AD27" s="2"/>
      <c r="AE27" s="2"/>
      <c r="AF27" s="41"/>
      <c r="AG27" s="5"/>
    </row>
    <row r="28" spans="1:33" x14ac:dyDescent="0.25">
      <c r="AC28" s="2"/>
      <c r="AD28" s="2"/>
      <c r="AE28" s="2"/>
      <c r="AF28" s="41"/>
      <c r="AG28" s="5"/>
    </row>
    <row r="29" spans="1:33" x14ac:dyDescent="0.25">
      <c r="AC29" s="2"/>
      <c r="AD29" s="2"/>
      <c r="AE29" s="2"/>
      <c r="AF29" s="41"/>
      <c r="AG29" s="5"/>
    </row>
    <row r="30" spans="1:33" x14ac:dyDescent="0.25">
      <c r="AC30" s="2"/>
      <c r="AD30" s="2"/>
      <c r="AE30" s="2"/>
      <c r="AF30" s="41"/>
      <c r="AG30" s="5"/>
    </row>
    <row r="31" spans="1:33" x14ac:dyDescent="0.25">
      <c r="AC31" s="2"/>
      <c r="AD31" s="2"/>
      <c r="AE31" s="2"/>
      <c r="AF31" s="41"/>
      <c r="AG31" s="5"/>
    </row>
    <row r="32" spans="1:33" x14ac:dyDescent="0.25">
      <c r="AC32" s="2"/>
      <c r="AD32" s="2"/>
      <c r="AE32" s="2"/>
      <c r="AF32" s="41"/>
      <c r="AG32" s="5"/>
    </row>
    <row r="33" spans="29:33" x14ac:dyDescent="0.25">
      <c r="AC33" s="2"/>
      <c r="AD33" s="2"/>
      <c r="AE33" s="2"/>
      <c r="AF33" s="41"/>
      <c r="AG33" s="5"/>
    </row>
    <row r="34" spans="29:33" x14ac:dyDescent="0.25">
      <c r="AC34" s="2"/>
      <c r="AD34" s="2"/>
      <c r="AE34" s="2"/>
      <c r="AF34" s="41"/>
      <c r="AG34" s="5"/>
    </row>
    <row r="35" spans="29:33" x14ac:dyDescent="0.25">
      <c r="AC35" s="2"/>
      <c r="AD35" s="2"/>
      <c r="AE35" s="2"/>
      <c r="AF35" s="41"/>
      <c r="AG35" s="5"/>
    </row>
    <row r="36" spans="29:33" x14ac:dyDescent="0.25">
      <c r="AC36" s="2"/>
      <c r="AD36" s="2"/>
      <c r="AE36" s="2"/>
      <c r="AF36" s="41"/>
      <c r="AG36" s="5"/>
    </row>
    <row r="37" spans="29:33" x14ac:dyDescent="0.25">
      <c r="AC37" s="2"/>
      <c r="AD37" s="2"/>
      <c r="AE37" s="2"/>
      <c r="AF37" s="2"/>
      <c r="AG37" s="2"/>
    </row>
    <row r="38" spans="29:33" x14ac:dyDescent="0.25">
      <c r="AC38" s="2"/>
      <c r="AD38" s="2"/>
      <c r="AE38" s="2"/>
      <c r="AF38" s="2"/>
      <c r="AG38" s="2"/>
    </row>
    <row r="39" spans="29:33" x14ac:dyDescent="0.25">
      <c r="AC39" s="2"/>
      <c r="AD39" s="2"/>
      <c r="AE39" s="2"/>
      <c r="AF39" s="2"/>
      <c r="AG39" s="2"/>
    </row>
    <row r="40" spans="29:33" x14ac:dyDescent="0.25">
      <c r="AC40" s="2"/>
      <c r="AD40" s="2"/>
      <c r="AE40" s="2"/>
      <c r="AF40" s="2"/>
      <c r="AG40" s="2"/>
    </row>
    <row r="41" spans="29:33" x14ac:dyDescent="0.25">
      <c r="AC41" s="2"/>
      <c r="AD41" s="2"/>
      <c r="AE41" s="2"/>
      <c r="AF41" s="2"/>
      <c r="AG41" s="2"/>
    </row>
    <row r="42" spans="29:33" x14ac:dyDescent="0.25">
      <c r="AC42" s="2"/>
      <c r="AD42" s="2"/>
      <c r="AE42" s="2"/>
      <c r="AF42" s="2"/>
      <c r="AG42" s="2"/>
    </row>
    <row r="43" spans="29:33" x14ac:dyDescent="0.25">
      <c r="AC43" s="2"/>
      <c r="AD43" s="2"/>
      <c r="AE43" s="2"/>
      <c r="AF43" s="2"/>
      <c r="AG43" s="2"/>
    </row>
    <row r="44" spans="29:33" x14ac:dyDescent="0.25">
      <c r="AC44" s="2"/>
      <c r="AD44" s="2"/>
      <c r="AE44" s="2"/>
      <c r="AF44" s="2"/>
      <c r="AG44" s="2"/>
    </row>
    <row r="45" spans="29:33" x14ac:dyDescent="0.25">
      <c r="AC45" s="2"/>
      <c r="AD45" s="2"/>
      <c r="AE45" s="2"/>
      <c r="AF45" s="2"/>
      <c r="AG45" s="2"/>
    </row>
    <row r="46" spans="29:33" x14ac:dyDescent="0.25">
      <c r="AC46" s="2"/>
      <c r="AD46" s="2"/>
      <c r="AE46" s="2"/>
      <c r="AF46" s="2"/>
      <c r="AG46" s="2"/>
    </row>
    <row r="47" spans="29:33" x14ac:dyDescent="0.25">
      <c r="AC47" s="2"/>
      <c r="AD47" s="2"/>
      <c r="AE47" s="2"/>
      <c r="AF47" s="2"/>
      <c r="AG47" s="2"/>
    </row>
    <row r="48" spans="29:33" x14ac:dyDescent="0.25">
      <c r="AC48" s="2"/>
      <c r="AD48" s="2"/>
      <c r="AE48" s="2"/>
      <c r="AF48" s="2"/>
      <c r="AG48" s="2"/>
    </row>
    <row r="49" spans="29:33" x14ac:dyDescent="0.25">
      <c r="AC49" s="2"/>
      <c r="AD49" s="2"/>
      <c r="AE49" s="2"/>
      <c r="AF49" s="2"/>
      <c r="AG49" s="2"/>
    </row>
    <row r="50" spans="29:33" x14ac:dyDescent="0.25">
      <c r="AC50" s="2"/>
      <c r="AD50" s="2"/>
      <c r="AE50" s="2"/>
      <c r="AF50" s="2"/>
      <c r="AG50" s="2"/>
    </row>
    <row r="51" spans="29:33" x14ac:dyDescent="0.25">
      <c r="AC51" s="2"/>
      <c r="AD51" s="2"/>
      <c r="AE51" s="2"/>
      <c r="AF51" s="2"/>
      <c r="AG51" s="2"/>
    </row>
    <row r="52" spans="29:33" x14ac:dyDescent="0.25">
      <c r="AC52" s="2"/>
      <c r="AD52" s="2"/>
      <c r="AE52" s="2"/>
      <c r="AF52" s="2"/>
      <c r="AG52" s="2"/>
    </row>
    <row r="53" spans="29:33" x14ac:dyDescent="0.25">
      <c r="AC53" s="2"/>
      <c r="AD53" s="2"/>
      <c r="AE53" s="2"/>
      <c r="AF53" s="2"/>
      <c r="AG53" s="2"/>
    </row>
    <row r="54" spans="29:33" x14ac:dyDescent="0.25">
      <c r="AC54" s="2"/>
      <c r="AD54" s="2"/>
      <c r="AE54" s="2"/>
      <c r="AF54" s="2"/>
      <c r="AG54" s="2"/>
    </row>
    <row r="55" spans="29:33" x14ac:dyDescent="0.25">
      <c r="AC55" s="2"/>
      <c r="AD55" s="2"/>
      <c r="AE55" s="2"/>
      <c r="AF55" s="2"/>
      <c r="AG55" s="2"/>
    </row>
    <row r="56" spans="29:33" x14ac:dyDescent="0.25">
      <c r="AC56" s="2"/>
      <c r="AD56" s="2"/>
      <c r="AE56" s="2"/>
      <c r="AF56" s="2"/>
      <c r="AG56" s="2"/>
    </row>
    <row r="57" spans="29:33" x14ac:dyDescent="0.25">
      <c r="AC57" s="2"/>
      <c r="AD57" s="2"/>
      <c r="AE57" s="2"/>
      <c r="AF57" s="2"/>
      <c r="AG57" s="2"/>
    </row>
    <row r="58" spans="29:33" x14ac:dyDescent="0.25">
      <c r="AC58" s="2"/>
      <c r="AD58" s="2"/>
      <c r="AE58" s="2"/>
      <c r="AF58" s="2"/>
      <c r="AG58" s="2"/>
    </row>
    <row r="59" spans="29:33" x14ac:dyDescent="0.25">
      <c r="AC59" s="2"/>
      <c r="AD59" s="2"/>
      <c r="AE59" s="2"/>
      <c r="AF59" s="2"/>
      <c r="AG59" s="2"/>
    </row>
    <row r="60" spans="29:33" x14ac:dyDescent="0.25">
      <c r="AC60" s="2"/>
      <c r="AD60" s="2"/>
      <c r="AE60" s="2"/>
      <c r="AF60" s="2"/>
      <c r="AG60" s="2"/>
    </row>
    <row r="61" spans="29:33" x14ac:dyDescent="0.25">
      <c r="AC61" s="2"/>
      <c r="AD61" s="2"/>
      <c r="AE61" s="2"/>
      <c r="AF61" s="2"/>
      <c r="AG61" s="2"/>
    </row>
    <row r="62" spans="29:33" x14ac:dyDescent="0.25">
      <c r="AC62" s="2"/>
      <c r="AD62" s="2"/>
      <c r="AE62" s="2"/>
      <c r="AF62" s="2"/>
      <c r="AG62" s="2"/>
    </row>
    <row r="63" spans="29:33" x14ac:dyDescent="0.25">
      <c r="AC63" s="2"/>
      <c r="AD63" s="2"/>
      <c r="AE63" s="2"/>
      <c r="AF63" s="2"/>
      <c r="AG63" s="2"/>
    </row>
    <row r="64" spans="29:33" x14ac:dyDescent="0.25">
      <c r="AC64" s="2"/>
      <c r="AD64" s="2"/>
      <c r="AE64" s="2"/>
      <c r="AF64" s="2"/>
      <c r="AG64" s="2"/>
    </row>
    <row r="65" spans="29:33" x14ac:dyDescent="0.25">
      <c r="AC65" s="2"/>
      <c r="AD65" s="2"/>
      <c r="AE65" s="2"/>
      <c r="AF65" s="2"/>
      <c r="AG65" s="2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2"/>
      <c r="AD200" s="2"/>
      <c r="AE200" s="2"/>
      <c r="AF200" s="41">
        <f ca="1">TODAY()</f>
        <v>46296</v>
      </c>
      <c r="AG200" s="5" cm="1">
        <f t="array" ref="AG200">LOOKUP(2,1/(H:H&gt;0),H:H)</f>
        <v>517.10750000000007</v>
      </c>
    </row>
  </sheetData>
  <mergeCells count="18"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6.05'!A1" display="'2026.05'!A1" xr:uid="{CFD181BB-0ED2-499F-B69B-C2DBE4F9B69C}"/>
    <hyperlink ref="A6" location="'2026.06'!A1" display="'2026.06'!A1" xr:uid="{CF8C4778-248B-4587-9498-18FD7EB2A335}"/>
    <hyperlink ref="A7" location="'2026.07'!A1" display="'2026.07'!A1" xr:uid="{B4D19D9E-2541-41E4-9CC9-7BF284FEAAA5}"/>
    <hyperlink ref="A8" location="'2026.08'!A1" display="'2026.08'!A1" xr:uid="{CF93ED9D-C918-46C9-BEB0-AA0D4688C18F}"/>
    <hyperlink ref="A9" location="'2026.09'!A1" display="'2026.09'!A1" xr:uid="{26034F8A-213C-4D84-BCC9-D358B060CDCA}"/>
  </hyperlinks>
  <pageMargins left="0.7" right="0.7" top="0.75" bottom="0.75" header="0.3" footer="0.3"/>
  <pageSetup orientation="portrait" r:id="rId1"/>
  <ignoredErrors>
    <ignoredError sqref="E5:E9 D6" 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4D8F-6B59-413B-89C8-0F658FC98F5D}">
  <dimension ref="A1:AG200"/>
  <sheetViews>
    <sheetView workbookViewId="0">
      <pane xSplit="1" ySplit="5" topLeftCell="K6" activePane="bottomRight" state="frozen"/>
      <selection pane="topRight" activeCell="B1" sqref="B1"/>
      <selection pane="bottomLeft" activeCell="A6" sqref="A6"/>
      <selection pane="bottomRight" activeCell="AF11" sqref="AF11:AG11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63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53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'2026.05'!$Q$2</f>
        <v>2026.05</v>
      </c>
      <c r="B5" s="5">
        <f>'2026.05'!$B$129</f>
        <v>225.34</v>
      </c>
      <c r="C5" s="5">
        <f>'2026.05'!$C$129</f>
        <v>225.34</v>
      </c>
      <c r="D5" s="5">
        <f>C5</f>
        <v>225.34</v>
      </c>
      <c r="E5" s="15">
        <f>'2026.05'!$F$129</f>
        <v>5</v>
      </c>
      <c r="F5" s="15">
        <f>E5</f>
        <v>5</v>
      </c>
      <c r="G5" s="7">
        <v>47.93</v>
      </c>
      <c r="H5" s="5">
        <f t="shared" ref="H5" si="0">F5*G5</f>
        <v>239.65</v>
      </c>
      <c r="I5" s="5">
        <f t="shared" ref="I5" si="1">H5-D5</f>
        <v>14.310000000000002</v>
      </c>
      <c r="J5" s="25">
        <f t="shared" ref="J5" si="2">(H5-D5)/D5</f>
        <v>6.3504038342060892E-2</v>
      </c>
      <c r="K5" s="5">
        <f>'2026.05'!$D$129</f>
        <v>0</v>
      </c>
      <c r="L5" s="5">
        <f>'2026.05'!$J$129</f>
        <v>0</v>
      </c>
      <c r="M5" s="5">
        <f>'2026.05'!$O$129</f>
        <v>0</v>
      </c>
      <c r="O5" s="3" t="s">
        <v>2</v>
      </c>
      <c r="P5" s="5">
        <f>SUM(B5:B200)</f>
        <v>514.28</v>
      </c>
      <c r="Q5" s="15">
        <f>SUM(E5:E200)</f>
        <v>11</v>
      </c>
      <c r="R5" s="5">
        <v>0</v>
      </c>
      <c r="S5" s="5">
        <f>R5-P5+X5</f>
        <v>-514.28</v>
      </c>
      <c r="T5" s="25">
        <f>(R5-P5+X5)/P5</f>
        <v>-1</v>
      </c>
      <c r="U5" s="25">
        <f ca="1">XIRR(AG5:AG200,AF5:AF200)</f>
        <v>0.1195053517818451</v>
      </c>
      <c r="V5" s="5">
        <f>SUM(K5:K200)</f>
        <v>0</v>
      </c>
      <c r="W5" s="5">
        <f>SUM(L5:L200)</f>
        <v>0</v>
      </c>
      <c r="X5" s="5">
        <f>SUM(M5:M200)</f>
        <v>0</v>
      </c>
      <c r="Y5" s="5" cm="1">
        <f t="array" ref="Y5">SUMPRODUCT(IFERROR(AD5:AD200,0),IFERROR(AE5:AE200,0))/SUM(IFERROR(AE5:AE200,0))</f>
        <v>46.75272727272727</v>
      </c>
      <c r="AC5" s="5">
        <f>'2026.05'!$C$129</f>
        <v>225.34</v>
      </c>
      <c r="AD5" s="5">
        <f>'2026.05'!$E$129</f>
        <v>45.067999999999998</v>
      </c>
      <c r="AE5" s="15">
        <f>'2026.05'!$F$129</f>
        <v>5</v>
      </c>
      <c r="AF5" s="41">
        <f>'2026.05'!$A$125</f>
        <v>46161</v>
      </c>
      <c r="AG5" s="5">
        <f>'2026.05'!$B$125*-1</f>
        <v>-225.34</v>
      </c>
    </row>
    <row r="6" spans="1:33" x14ac:dyDescent="0.25">
      <c r="A6" s="46" t="str">
        <f>'2026.06'!$Q$2</f>
        <v>2026.06</v>
      </c>
      <c r="B6" s="5">
        <f>'2026.06'!$B$129</f>
        <v>148.65</v>
      </c>
      <c r="C6" s="5">
        <f>'2026.06'!$C$129</f>
        <v>148.65</v>
      </c>
      <c r="D6" s="5">
        <f>D5+C6</f>
        <v>373.99</v>
      </c>
      <c r="E6" s="15">
        <f>'2026.06'!$F$129</f>
        <v>3</v>
      </c>
      <c r="F6" s="15">
        <f>F5+E6</f>
        <v>8</v>
      </c>
      <c r="G6" s="7">
        <v>48.948999999999998</v>
      </c>
      <c r="H6" s="5">
        <f t="shared" ref="H6" si="3">F6*G6</f>
        <v>391.59199999999998</v>
      </c>
      <c r="I6" s="5">
        <f t="shared" ref="I6" si="4">H6-D6</f>
        <v>17.601999999999975</v>
      </c>
      <c r="J6" s="25">
        <f t="shared" ref="J6" si="5">(H6-D6)/D6</f>
        <v>4.7065429556939958E-2</v>
      </c>
      <c r="K6" s="5">
        <f>'2026.06'!$D$129</f>
        <v>0</v>
      </c>
      <c r="L6" s="5">
        <f>'2026.06'!$J$129</f>
        <v>0</v>
      </c>
      <c r="M6" s="5">
        <f>'2026.06'!$O$129</f>
        <v>0</v>
      </c>
      <c r="AC6" s="5">
        <f>'2026.06'!$C$129</f>
        <v>148.65</v>
      </c>
      <c r="AD6" s="5">
        <f>'2026.06'!$E$129</f>
        <v>49.550000000000004</v>
      </c>
      <c r="AE6" s="15">
        <f>'2026.06'!$F$129</f>
        <v>3</v>
      </c>
      <c r="AF6" s="41">
        <f>'2026.06'!$A$125</f>
        <v>46175</v>
      </c>
      <c r="AG6" s="5">
        <f>'2026.06'!$B$125*-1</f>
        <v>-49.06</v>
      </c>
    </row>
    <row r="7" spans="1:33" x14ac:dyDescent="0.25">
      <c r="A7" s="46" t="str">
        <f>'2026.07'!$Q$2</f>
        <v>2026.07</v>
      </c>
      <c r="B7" s="5">
        <f>'2026.07'!$B$129</f>
        <v>47.12</v>
      </c>
      <c r="C7" s="5">
        <f>'2026.07'!$C$129</f>
        <v>47.12</v>
      </c>
      <c r="D7" s="5">
        <f>D6+C7</f>
        <v>421.11</v>
      </c>
      <c r="E7" s="15">
        <f>'2026.07'!$F$129</f>
        <v>1</v>
      </c>
      <c r="F7" s="15">
        <f>F6+E7</f>
        <v>9</v>
      </c>
      <c r="G7" s="7">
        <v>45.518000000000001</v>
      </c>
      <c r="H7" s="5">
        <f t="shared" ref="H7" si="6">F7*G7</f>
        <v>409.66200000000003</v>
      </c>
      <c r="I7" s="5">
        <f t="shared" ref="I7" si="7">H7-D7</f>
        <v>-11.447999999999979</v>
      </c>
      <c r="J7" s="25">
        <f t="shared" ref="J7" si="8">(H7-D7)/D7</f>
        <v>-2.7185296003419485E-2</v>
      </c>
      <c r="K7" s="5">
        <f>'2026.07'!$D$129</f>
        <v>0</v>
      </c>
      <c r="L7" s="5">
        <f>'2026.07'!$J$129</f>
        <v>0</v>
      </c>
      <c r="M7" s="5">
        <f>'2026.07'!$O$129</f>
        <v>0</v>
      </c>
      <c r="AC7" s="5">
        <f>'2026.07'!$C$129</f>
        <v>47.12</v>
      </c>
      <c r="AD7" s="5">
        <f>'2026.07'!$E$129</f>
        <v>47.12</v>
      </c>
      <c r="AE7" s="15">
        <f>'2026.07'!$F$129</f>
        <v>1</v>
      </c>
      <c r="AF7" s="41">
        <f>'2026.06'!$A$126</f>
        <v>46192</v>
      </c>
      <c r="AG7" s="5">
        <f>'2026.06'!$B$126*-1</f>
        <v>-99.59</v>
      </c>
    </row>
    <row r="8" spans="1:33" x14ac:dyDescent="0.25">
      <c r="A8" s="46" t="str">
        <f>'2026.08'!$Q$2</f>
        <v>2026.08</v>
      </c>
      <c r="B8" s="5">
        <f>'2026.08'!$B$129</f>
        <v>45.9</v>
      </c>
      <c r="C8" s="5">
        <f>'2026.08'!$C$129</f>
        <v>45.9</v>
      </c>
      <c r="D8" s="5">
        <f>D7+C8</f>
        <v>467.01</v>
      </c>
      <c r="E8" s="15">
        <f>'2026.08'!$F$129</f>
        <v>1</v>
      </c>
      <c r="F8" s="15">
        <f>F7+E8</f>
        <v>10</v>
      </c>
      <c r="G8" s="7">
        <v>47.351999999999997</v>
      </c>
      <c r="H8" s="5">
        <f t="shared" ref="H8" si="9">F8*G8</f>
        <v>473.52</v>
      </c>
      <c r="I8" s="5">
        <f t="shared" ref="I8" si="10">H8-D8</f>
        <v>6.5099999999999909</v>
      </c>
      <c r="J8" s="25">
        <f t="shared" ref="J8" si="11">(H8-D8)/D8</f>
        <v>1.3939744330956492E-2</v>
      </c>
      <c r="K8" s="5">
        <f>'2026.08'!$D$129</f>
        <v>0</v>
      </c>
      <c r="L8" s="5">
        <f>'2026.08'!$J$129</f>
        <v>0</v>
      </c>
      <c r="M8" s="5">
        <f>'2026.08'!$O$129</f>
        <v>0</v>
      </c>
      <c r="AC8" s="5">
        <f>'2026.08'!$C$129</f>
        <v>45.9</v>
      </c>
      <c r="AD8" s="5">
        <f>'2026.08'!$E$129</f>
        <v>45.9</v>
      </c>
      <c r="AE8" s="15">
        <f>'2026.08'!$F$129</f>
        <v>1</v>
      </c>
      <c r="AF8" s="41">
        <f>'2026.07'!$A$125</f>
        <v>46205</v>
      </c>
      <c r="AG8" s="5">
        <f>'2026.07'!$B$125*-1</f>
        <v>-47.12</v>
      </c>
    </row>
    <row r="9" spans="1:33" x14ac:dyDescent="0.25">
      <c r="A9" s="46" t="str">
        <f>'2026.09'!$Q$2</f>
        <v>2026.09</v>
      </c>
      <c r="B9" s="5">
        <f>'2026.09'!$B$129</f>
        <v>47.27</v>
      </c>
      <c r="C9" s="5">
        <f>'2026.09'!$C$129</f>
        <v>47.27</v>
      </c>
      <c r="D9" s="5">
        <f>D8+C9</f>
        <v>514.28</v>
      </c>
      <c r="E9" s="15">
        <f>'2026.09'!$F$129</f>
        <v>1</v>
      </c>
      <c r="F9" s="15">
        <f>F8+E9</f>
        <v>11</v>
      </c>
      <c r="G9" s="7">
        <v>48.33</v>
      </c>
      <c r="H9" s="5">
        <f t="shared" ref="H9" si="12">F9*G9</f>
        <v>531.63</v>
      </c>
      <c r="I9" s="5">
        <f t="shared" ref="I9" si="13">H9-D9</f>
        <v>17.350000000000023</v>
      </c>
      <c r="J9" s="25">
        <f t="shared" ref="J9" si="14">(H9-D9)/D9</f>
        <v>3.3736485960955166E-2</v>
      </c>
      <c r="K9" s="5">
        <f>'2026.09'!$D$129</f>
        <v>0</v>
      </c>
      <c r="L9" s="5">
        <f>'2026.09'!$J$129</f>
        <v>0</v>
      </c>
      <c r="M9" s="5">
        <f>'2026.09'!$O$129</f>
        <v>0</v>
      </c>
      <c r="AC9" s="5">
        <f>'2026.09'!$C$129</f>
        <v>47.27</v>
      </c>
      <c r="AD9" s="5">
        <f>'2026.09'!$E$129</f>
        <v>47.27</v>
      </c>
      <c r="AE9" s="15">
        <f>'2026.09'!$F$129</f>
        <v>1</v>
      </c>
      <c r="AF9" s="41">
        <f>'2026.08'!$A$125</f>
        <v>46237</v>
      </c>
      <c r="AG9" s="5">
        <f>'2026.08'!$B$125*-1</f>
        <v>-45.9</v>
      </c>
    </row>
    <row r="10" spans="1:33" x14ac:dyDescent="0.25">
      <c r="A10" s="46"/>
      <c r="B10" s="5"/>
      <c r="C10" s="5"/>
      <c r="D10" s="5"/>
      <c r="E10" s="15"/>
      <c r="F10" s="15"/>
      <c r="G10" s="63"/>
      <c r="H10" s="5"/>
      <c r="I10" s="5"/>
      <c r="J10" s="25"/>
      <c r="K10" s="5"/>
      <c r="L10" s="5"/>
      <c r="M10" s="5"/>
      <c r="AC10" s="5"/>
      <c r="AD10" s="5"/>
      <c r="AE10" s="15"/>
      <c r="AF10" s="41">
        <f>'2026.09'!$A$125</f>
        <v>46267</v>
      </c>
      <c r="AG10" s="5">
        <f>'2026.09'!$B$125*-1</f>
        <v>-47.27</v>
      </c>
    </row>
    <row r="11" spans="1:33" x14ac:dyDescent="0.25">
      <c r="A11" s="6"/>
      <c r="B11" s="5"/>
      <c r="C11" s="5"/>
      <c r="D11" s="5"/>
      <c r="E11" s="15"/>
      <c r="F11" s="15"/>
      <c r="G11" s="5"/>
      <c r="H11" s="5"/>
      <c r="I11" s="5"/>
      <c r="J11" s="25"/>
      <c r="K11" s="5"/>
      <c r="L11" s="5"/>
      <c r="M11" s="5"/>
      <c r="AC11" s="5"/>
      <c r="AD11" s="5"/>
      <c r="AE11" s="15"/>
      <c r="AF11" s="41"/>
      <c r="AG11" s="5"/>
    </row>
    <row r="12" spans="1:33" x14ac:dyDescent="0.25">
      <c r="A12" s="2"/>
      <c r="B12" s="5"/>
      <c r="C12" s="5"/>
      <c r="D12" s="5"/>
      <c r="E12" s="8"/>
      <c r="F12" s="8"/>
      <c r="G12" s="7"/>
      <c r="H12" s="5"/>
      <c r="I12" s="5"/>
      <c r="J12" s="5"/>
      <c r="K12" s="2"/>
      <c r="L12" s="2"/>
      <c r="M12" s="2"/>
      <c r="AC12" s="5"/>
      <c r="AD12" s="5"/>
      <c r="AE12" s="15"/>
      <c r="AF12" s="41"/>
      <c r="AG12" s="5"/>
    </row>
    <row r="13" spans="1:33" x14ac:dyDescent="0.25">
      <c r="A13" s="2"/>
      <c r="B13" s="5"/>
      <c r="C13" s="5"/>
      <c r="D13" s="5"/>
      <c r="E13" s="8"/>
      <c r="F13" s="8"/>
      <c r="G13" s="7"/>
      <c r="H13" s="5"/>
      <c r="I13" s="5"/>
      <c r="J13" s="5"/>
      <c r="K13" s="2"/>
      <c r="L13" s="2"/>
      <c r="M13" s="2"/>
      <c r="AC13" s="5"/>
      <c r="AD13" s="5"/>
      <c r="AE13" s="15"/>
      <c r="AF13" s="41"/>
      <c r="AG13" s="5"/>
    </row>
    <row r="14" spans="1:33" x14ac:dyDescent="0.25">
      <c r="A14" s="2"/>
      <c r="B14" s="5"/>
      <c r="C14" s="5"/>
      <c r="D14" s="5"/>
      <c r="E14" s="8"/>
      <c r="F14" s="8"/>
      <c r="G14" s="7"/>
      <c r="H14" s="5"/>
      <c r="I14" s="5"/>
      <c r="J14" s="5"/>
      <c r="K14" s="2"/>
      <c r="L14" s="2"/>
      <c r="M14" s="2"/>
      <c r="AC14" s="47"/>
      <c r="AD14" s="47"/>
      <c r="AE14" s="48"/>
      <c r="AF14" s="41"/>
      <c r="AG14" s="5"/>
    </row>
    <row r="15" spans="1:33" x14ac:dyDescent="0.25">
      <c r="A15" s="2"/>
      <c r="B15" s="5"/>
      <c r="C15" s="5"/>
      <c r="D15" s="5"/>
      <c r="E15" s="8"/>
      <c r="F15" s="8"/>
      <c r="G15" s="7"/>
      <c r="H15" s="5"/>
      <c r="I15" s="5"/>
      <c r="J15" s="5"/>
      <c r="K15" s="2"/>
      <c r="L15" s="2"/>
      <c r="M15" s="2"/>
      <c r="AC15" s="47"/>
      <c r="AD15" s="47"/>
      <c r="AE15" s="48"/>
      <c r="AF15" s="41"/>
      <c r="AG15" s="5"/>
    </row>
    <row r="16" spans="1:33" x14ac:dyDescent="0.25">
      <c r="A16" s="2"/>
      <c r="B16" s="5"/>
      <c r="C16" s="5"/>
      <c r="D16" s="5"/>
      <c r="E16" s="8"/>
      <c r="F16" s="8"/>
      <c r="G16" s="7"/>
      <c r="H16" s="5"/>
      <c r="I16" s="5"/>
      <c r="J16" s="5"/>
      <c r="K16" s="2"/>
      <c r="L16" s="2"/>
      <c r="M16" s="2"/>
      <c r="AC16" s="2"/>
      <c r="AD16" s="2"/>
      <c r="AE16" s="2"/>
      <c r="AF16" s="41"/>
      <c r="AG16" s="5"/>
    </row>
    <row r="17" spans="1:33" x14ac:dyDescent="0.25">
      <c r="A17" s="2"/>
      <c r="B17" s="5"/>
      <c r="C17" s="5"/>
      <c r="D17" s="5"/>
      <c r="E17" s="8"/>
      <c r="F17" s="8"/>
      <c r="G17" s="7"/>
      <c r="H17" s="5"/>
      <c r="I17" s="5"/>
      <c r="J17" s="5"/>
      <c r="K17" s="2"/>
      <c r="L17" s="2"/>
      <c r="M17" s="2"/>
      <c r="AC17" s="2"/>
      <c r="AD17" s="2"/>
      <c r="AE17" s="2"/>
      <c r="AF17" s="41"/>
      <c r="AG17" s="5"/>
    </row>
    <row r="18" spans="1:33" x14ac:dyDescent="0.25">
      <c r="A18" s="2"/>
      <c r="B18" s="5"/>
      <c r="C18" s="5"/>
      <c r="D18" s="5"/>
      <c r="E18" s="8"/>
      <c r="F18" s="8"/>
      <c r="G18" s="7"/>
      <c r="H18" s="5"/>
      <c r="I18" s="5"/>
      <c r="J18" s="5"/>
      <c r="K18" s="2"/>
      <c r="L18" s="2"/>
      <c r="M18" s="2"/>
      <c r="AC18" s="2"/>
      <c r="AD18" s="2"/>
      <c r="AE18" s="2"/>
      <c r="AF18" s="41"/>
      <c r="AG18" s="5"/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2"/>
      <c r="AD19" s="2"/>
      <c r="AE19" s="2"/>
      <c r="AF19" s="41"/>
      <c r="AG19" s="5"/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2"/>
      <c r="AD20" s="2"/>
      <c r="AE20" s="2"/>
      <c r="AF20" s="41"/>
      <c r="AG20" s="5"/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2"/>
      <c r="AD21" s="2"/>
      <c r="AE21" s="2"/>
      <c r="AF21" s="41"/>
      <c r="AG21" s="5"/>
    </row>
    <row r="22" spans="1:33" x14ac:dyDescent="0.25">
      <c r="AC22" s="2"/>
      <c r="AD22" s="2"/>
      <c r="AE22" s="2"/>
      <c r="AF22" s="41"/>
      <c r="AG22" s="5"/>
    </row>
    <row r="23" spans="1:33" x14ac:dyDescent="0.25">
      <c r="AC23" s="2"/>
      <c r="AD23" s="2"/>
      <c r="AE23" s="2"/>
      <c r="AF23" s="41"/>
      <c r="AG23" s="5"/>
    </row>
    <row r="24" spans="1:33" x14ac:dyDescent="0.25">
      <c r="AC24" s="2"/>
      <c r="AD24" s="2"/>
      <c r="AE24" s="2"/>
      <c r="AF24" s="41"/>
      <c r="AG24" s="5"/>
    </row>
    <row r="25" spans="1:33" x14ac:dyDescent="0.25">
      <c r="AC25" s="2"/>
      <c r="AD25" s="2"/>
      <c r="AE25" s="2"/>
      <c r="AF25" s="41"/>
      <c r="AG25" s="5"/>
    </row>
    <row r="26" spans="1:33" x14ac:dyDescent="0.25">
      <c r="AC26" s="2"/>
      <c r="AD26" s="2"/>
      <c r="AE26" s="2"/>
      <c r="AF26" s="41"/>
      <c r="AG26" s="5"/>
    </row>
    <row r="27" spans="1:33" x14ac:dyDescent="0.25">
      <c r="AC27" s="2"/>
      <c r="AD27" s="2"/>
      <c r="AE27" s="2"/>
      <c r="AF27" s="41"/>
      <c r="AG27" s="5"/>
    </row>
    <row r="28" spans="1:33" x14ac:dyDescent="0.25">
      <c r="AC28" s="2"/>
      <c r="AD28" s="2"/>
      <c r="AE28" s="2"/>
      <c r="AF28" s="41"/>
      <c r="AG28" s="5"/>
    </row>
    <row r="29" spans="1:33" x14ac:dyDescent="0.25">
      <c r="AC29" s="2"/>
      <c r="AD29" s="2"/>
      <c r="AE29" s="2"/>
      <c r="AF29" s="41"/>
      <c r="AG29" s="5"/>
    </row>
    <row r="30" spans="1:33" x14ac:dyDescent="0.25">
      <c r="AC30" s="2"/>
      <c r="AD30" s="2"/>
      <c r="AE30" s="2"/>
      <c r="AF30" s="41"/>
      <c r="AG30" s="5"/>
    </row>
    <row r="31" spans="1:33" x14ac:dyDescent="0.25">
      <c r="AC31" s="2"/>
      <c r="AD31" s="2"/>
      <c r="AE31" s="2"/>
      <c r="AF31" s="41"/>
      <c r="AG31" s="5"/>
    </row>
    <row r="32" spans="1:33" x14ac:dyDescent="0.25">
      <c r="AC32" s="2"/>
      <c r="AD32" s="2"/>
      <c r="AE32" s="2"/>
      <c r="AF32" s="41"/>
      <c r="AG32" s="5"/>
    </row>
    <row r="33" spans="29:33" x14ac:dyDescent="0.25">
      <c r="AC33" s="2"/>
      <c r="AD33" s="2"/>
      <c r="AE33" s="2"/>
      <c r="AF33" s="41"/>
      <c r="AG33" s="5"/>
    </row>
    <row r="34" spans="29:33" x14ac:dyDescent="0.25">
      <c r="AC34" s="2"/>
      <c r="AD34" s="2"/>
      <c r="AE34" s="2"/>
      <c r="AF34" s="41"/>
      <c r="AG34" s="5"/>
    </row>
    <row r="35" spans="29:33" x14ac:dyDescent="0.25">
      <c r="AC35" s="2"/>
      <c r="AD35" s="2"/>
      <c r="AE35" s="2"/>
      <c r="AF35" s="41"/>
      <c r="AG35" s="5"/>
    </row>
    <row r="36" spans="29:33" x14ac:dyDescent="0.25">
      <c r="AC36" s="2"/>
      <c r="AD36" s="2"/>
      <c r="AE36" s="2"/>
      <c r="AF36" s="41"/>
      <c r="AG36" s="5"/>
    </row>
    <row r="37" spans="29:33" x14ac:dyDescent="0.25">
      <c r="AC37" s="2"/>
      <c r="AD37" s="2"/>
      <c r="AE37" s="2"/>
      <c r="AF37" s="2"/>
      <c r="AG37" s="2"/>
    </row>
    <row r="38" spans="29:33" x14ac:dyDescent="0.25">
      <c r="AC38" s="2"/>
      <c r="AD38" s="2"/>
      <c r="AE38" s="2"/>
      <c r="AF38" s="2"/>
      <c r="AG38" s="2"/>
    </row>
    <row r="39" spans="29:33" x14ac:dyDescent="0.25">
      <c r="AC39" s="2"/>
      <c r="AD39" s="2"/>
      <c r="AE39" s="2"/>
      <c r="AF39" s="2"/>
      <c r="AG39" s="2"/>
    </row>
    <row r="40" spans="29:33" x14ac:dyDescent="0.25">
      <c r="AC40" s="2"/>
      <c r="AD40" s="2"/>
      <c r="AE40" s="2"/>
      <c r="AF40" s="2"/>
      <c r="AG40" s="2"/>
    </row>
    <row r="41" spans="29:33" x14ac:dyDescent="0.25">
      <c r="AC41" s="2"/>
      <c r="AD41" s="2"/>
      <c r="AE41" s="2"/>
      <c r="AF41" s="2"/>
      <c r="AG41" s="2"/>
    </row>
    <row r="42" spans="29:33" x14ac:dyDescent="0.25">
      <c r="AC42" s="2"/>
      <c r="AD42" s="2"/>
      <c r="AE42" s="2"/>
      <c r="AF42" s="2"/>
      <c r="AG42" s="2"/>
    </row>
    <row r="43" spans="29:33" x14ac:dyDescent="0.25">
      <c r="AC43" s="2"/>
      <c r="AD43" s="2"/>
      <c r="AE43" s="2"/>
      <c r="AF43" s="2"/>
      <c r="AG43" s="2"/>
    </row>
    <row r="44" spans="29:33" x14ac:dyDescent="0.25">
      <c r="AC44" s="2"/>
      <c r="AD44" s="2"/>
      <c r="AE44" s="2"/>
      <c r="AF44" s="2"/>
      <c r="AG44" s="2"/>
    </row>
    <row r="45" spans="29:33" x14ac:dyDescent="0.25">
      <c r="AC45" s="2"/>
      <c r="AD45" s="2"/>
      <c r="AE45" s="2"/>
      <c r="AF45" s="2"/>
      <c r="AG45" s="2"/>
    </row>
    <row r="46" spans="29:33" x14ac:dyDescent="0.25">
      <c r="AC46" s="2"/>
      <c r="AD46" s="2"/>
      <c r="AE46" s="2"/>
      <c r="AF46" s="2"/>
      <c r="AG46" s="2"/>
    </row>
    <row r="47" spans="29:33" x14ac:dyDescent="0.25">
      <c r="AC47" s="2"/>
      <c r="AD47" s="2"/>
      <c r="AE47" s="2"/>
      <c r="AF47" s="2"/>
      <c r="AG47" s="2"/>
    </row>
    <row r="48" spans="29:33" x14ac:dyDescent="0.25">
      <c r="AC48" s="2"/>
      <c r="AD48" s="2"/>
      <c r="AE48" s="2"/>
      <c r="AF48" s="2"/>
      <c r="AG48" s="2"/>
    </row>
    <row r="49" spans="29:33" x14ac:dyDescent="0.25">
      <c r="AC49" s="2"/>
      <c r="AD49" s="2"/>
      <c r="AE49" s="2"/>
      <c r="AF49" s="2"/>
      <c r="AG49" s="2"/>
    </row>
    <row r="50" spans="29:33" x14ac:dyDescent="0.25">
      <c r="AC50" s="2"/>
      <c r="AD50" s="2"/>
      <c r="AE50" s="2"/>
      <c r="AF50" s="2"/>
      <c r="AG50" s="2"/>
    </row>
    <row r="51" spans="29:33" x14ac:dyDescent="0.25">
      <c r="AC51" s="2"/>
      <c r="AD51" s="2"/>
      <c r="AE51" s="2"/>
      <c r="AF51" s="2"/>
      <c r="AG51" s="2"/>
    </row>
    <row r="52" spans="29:33" x14ac:dyDescent="0.25">
      <c r="AC52" s="2"/>
      <c r="AD52" s="2"/>
      <c r="AE52" s="2"/>
      <c r="AF52" s="2"/>
      <c r="AG52" s="2"/>
    </row>
    <row r="53" spans="29:33" x14ac:dyDescent="0.25">
      <c r="AC53" s="2"/>
      <c r="AD53" s="2"/>
      <c r="AE53" s="2"/>
      <c r="AF53" s="2"/>
      <c r="AG53" s="2"/>
    </row>
    <row r="54" spans="29:33" x14ac:dyDescent="0.25">
      <c r="AC54" s="2"/>
      <c r="AD54" s="2"/>
      <c r="AE54" s="2"/>
      <c r="AF54" s="2"/>
      <c r="AG54" s="2"/>
    </row>
    <row r="55" spans="29:33" x14ac:dyDescent="0.25">
      <c r="AC55" s="2"/>
      <c r="AD55" s="2"/>
      <c r="AE55" s="2"/>
      <c r="AF55" s="2"/>
      <c r="AG55" s="2"/>
    </row>
    <row r="56" spans="29:33" x14ac:dyDescent="0.25">
      <c r="AC56" s="2"/>
      <c r="AD56" s="2"/>
      <c r="AE56" s="2"/>
      <c r="AF56" s="2"/>
      <c r="AG56" s="2"/>
    </row>
    <row r="57" spans="29:33" x14ac:dyDescent="0.25">
      <c r="AC57" s="2"/>
      <c r="AD57" s="2"/>
      <c r="AE57" s="2"/>
      <c r="AF57" s="2"/>
      <c r="AG57" s="2"/>
    </row>
    <row r="58" spans="29:33" x14ac:dyDescent="0.25">
      <c r="AC58" s="2"/>
      <c r="AD58" s="2"/>
      <c r="AE58" s="2"/>
      <c r="AF58" s="2"/>
      <c r="AG58" s="2"/>
    </row>
    <row r="59" spans="29:33" x14ac:dyDescent="0.25">
      <c r="AC59" s="2"/>
      <c r="AD59" s="2"/>
      <c r="AE59" s="2"/>
      <c r="AF59" s="2"/>
      <c r="AG59" s="2"/>
    </row>
    <row r="60" spans="29:33" x14ac:dyDescent="0.25">
      <c r="AC60" s="2"/>
      <c r="AD60" s="2"/>
      <c r="AE60" s="2"/>
      <c r="AF60" s="2"/>
      <c r="AG60" s="2"/>
    </row>
    <row r="61" spans="29:33" x14ac:dyDescent="0.25">
      <c r="AC61" s="2"/>
      <c r="AD61" s="2"/>
      <c r="AE61" s="2"/>
      <c r="AF61" s="2"/>
      <c r="AG61" s="2"/>
    </row>
    <row r="62" spans="29:33" x14ac:dyDescent="0.25">
      <c r="AC62" s="2"/>
      <c r="AD62" s="2"/>
      <c r="AE62" s="2"/>
      <c r="AF62" s="2"/>
      <c r="AG62" s="2"/>
    </row>
    <row r="63" spans="29:33" x14ac:dyDescent="0.25">
      <c r="AC63" s="2"/>
      <c r="AD63" s="2"/>
      <c r="AE63" s="2"/>
      <c r="AF63" s="2"/>
      <c r="AG63" s="2"/>
    </row>
    <row r="64" spans="29:33" x14ac:dyDescent="0.25">
      <c r="AC64" s="2"/>
      <c r="AD64" s="2"/>
      <c r="AE64" s="2"/>
      <c r="AF64" s="2"/>
      <c r="AG64" s="2"/>
    </row>
    <row r="65" spans="29:33" x14ac:dyDescent="0.25">
      <c r="AC65" s="2"/>
      <c r="AD65" s="2"/>
      <c r="AE65" s="2"/>
      <c r="AF65" s="2"/>
      <c r="AG65" s="2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2"/>
      <c r="AD200" s="2"/>
      <c r="AE200" s="2"/>
      <c r="AF200" s="41">
        <f ca="1">TODAY()</f>
        <v>46296</v>
      </c>
      <c r="AG200" s="5" cm="1">
        <f t="array" ref="AG200">LOOKUP(2,1/(H:H&gt;0),H:H)</f>
        <v>531.63</v>
      </c>
    </row>
  </sheetData>
  <mergeCells count="18">
    <mergeCell ref="M3:M4"/>
    <mergeCell ref="V3:W3"/>
    <mergeCell ref="X3:X4"/>
    <mergeCell ref="O3:O4"/>
    <mergeCell ref="A3:A4"/>
    <mergeCell ref="B3:D3"/>
    <mergeCell ref="E3:F3"/>
    <mergeCell ref="G3:J3"/>
    <mergeCell ref="K3:L3"/>
    <mergeCell ref="P3:P4"/>
    <mergeCell ref="Q3:Q4"/>
    <mergeCell ref="R3:R4"/>
    <mergeCell ref="S3:U3"/>
    <mergeCell ref="AF3:AG3"/>
    <mergeCell ref="Y3:Y4"/>
    <mergeCell ref="AC3:AC4"/>
    <mergeCell ref="AD3:AD4"/>
    <mergeCell ref="AE3:AE4"/>
  </mergeCells>
  <hyperlinks>
    <hyperlink ref="A5" location="'2026.05'!A1" display="'2026.05'!A1" xr:uid="{FCDD7D68-E6A0-435C-8A3A-136E6FA9E298}"/>
    <hyperlink ref="A6" location="'2026.06'!A1" display="'2026.06'!A1" xr:uid="{EBF77D7B-4309-4920-B6BD-34CC0765632C}"/>
    <hyperlink ref="A7" location="'2026.07'!A1" display="'2026.07'!A1" xr:uid="{5A98163D-F2F6-4496-B6A7-1854FB95FC6A}"/>
    <hyperlink ref="A8" location="'2026.08'!A1" display="'2026.08'!A1" xr:uid="{9AAE20E4-0B7E-4869-A77A-55721B9A489E}"/>
    <hyperlink ref="A9" location="'2026.08'!A1" display="'2026.08'!A1" xr:uid="{4EFE5972-8E58-4C7E-893B-9D74719867C1}"/>
  </hyperlinks>
  <pageMargins left="0.7" right="0.7" top="0.75" bottom="0.75" header="0.3" footer="0.3"/>
  <pageSetup orientation="portrait" r:id="rId1"/>
  <ignoredErrors>
    <ignoredError sqref="E5:E9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630F-2F6A-4504-942E-B335774ACB80}">
  <dimension ref="A1:AG2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:M6"/>
    </sheetView>
  </sheetViews>
  <sheetFormatPr defaultRowHeight="15" x14ac:dyDescent="0.25"/>
  <cols>
    <col min="1" max="1" width="15.7109375" customWidth="1"/>
    <col min="2" max="4" width="10.7109375" customWidth="1"/>
    <col min="5" max="6" width="12.7109375" customWidth="1"/>
    <col min="7" max="13" width="10.7109375" customWidth="1"/>
    <col min="14" max="14" width="5.7109375" customWidth="1"/>
    <col min="15" max="16" width="10.7109375" customWidth="1"/>
    <col min="17" max="17" width="12.7109375" customWidth="1"/>
    <col min="18" max="25" width="10.7109375" customWidth="1"/>
    <col min="29" max="30" width="10.7109375" customWidth="1"/>
    <col min="31" max="32" width="15.7109375" customWidth="1"/>
    <col min="33" max="33" width="10.7109375" customWidth="1"/>
  </cols>
  <sheetData>
    <row r="1" spans="1:33" x14ac:dyDescent="0.25">
      <c r="A1" s="12" t="s">
        <v>74</v>
      </c>
    </row>
    <row r="3" spans="1:33" x14ac:dyDescent="0.25">
      <c r="A3" s="66" t="s">
        <v>42</v>
      </c>
      <c r="B3" s="69" t="s">
        <v>3</v>
      </c>
      <c r="C3" s="71"/>
      <c r="D3" s="70"/>
      <c r="E3" s="69" t="s">
        <v>1</v>
      </c>
      <c r="F3" s="70"/>
      <c r="G3" s="69" t="s">
        <v>46</v>
      </c>
      <c r="H3" s="71"/>
      <c r="I3" s="71"/>
      <c r="J3" s="70"/>
      <c r="K3" s="72" t="s">
        <v>39</v>
      </c>
      <c r="L3" s="72"/>
      <c r="M3" s="66" t="s">
        <v>49</v>
      </c>
      <c r="O3" s="66" t="s">
        <v>53</v>
      </c>
      <c r="P3" s="66" t="s">
        <v>13</v>
      </c>
      <c r="Q3" s="66" t="s">
        <v>1</v>
      </c>
      <c r="R3" s="66" t="s">
        <v>40</v>
      </c>
      <c r="S3" s="68" t="s">
        <v>6</v>
      </c>
      <c r="T3" s="68"/>
      <c r="U3" s="68"/>
      <c r="V3" s="69" t="s">
        <v>39</v>
      </c>
      <c r="W3" s="70"/>
      <c r="X3" s="66" t="s">
        <v>49</v>
      </c>
      <c r="Y3" s="66" t="s">
        <v>66</v>
      </c>
      <c r="AC3" s="68" t="s">
        <v>67</v>
      </c>
      <c r="AD3" s="68" t="s">
        <v>0</v>
      </c>
      <c r="AE3" s="68" t="s">
        <v>1</v>
      </c>
      <c r="AF3" s="64" t="s">
        <v>70</v>
      </c>
      <c r="AG3" s="65"/>
    </row>
    <row r="4" spans="1:33" x14ac:dyDescent="0.25">
      <c r="A4" s="67"/>
      <c r="B4" s="3" t="s">
        <v>13</v>
      </c>
      <c r="C4" s="3" t="s">
        <v>48</v>
      </c>
      <c r="D4" s="3" t="s">
        <v>47</v>
      </c>
      <c r="E4" s="3" t="s">
        <v>45</v>
      </c>
      <c r="F4" s="3" t="s">
        <v>44</v>
      </c>
      <c r="G4" s="3" t="s">
        <v>0</v>
      </c>
      <c r="H4" s="3" t="s">
        <v>4</v>
      </c>
      <c r="I4" s="3" t="s">
        <v>6</v>
      </c>
      <c r="J4" s="3" t="s">
        <v>5</v>
      </c>
      <c r="K4" s="3" t="s">
        <v>14</v>
      </c>
      <c r="L4" s="3" t="s">
        <v>37</v>
      </c>
      <c r="M4" s="67"/>
      <c r="O4" s="67"/>
      <c r="P4" s="67"/>
      <c r="Q4" s="67"/>
      <c r="R4" s="67"/>
      <c r="S4" s="27" t="s">
        <v>69</v>
      </c>
      <c r="T4" s="27" t="s">
        <v>5</v>
      </c>
      <c r="U4" s="27" t="s">
        <v>68</v>
      </c>
      <c r="V4" s="3" t="s">
        <v>14</v>
      </c>
      <c r="W4" s="14" t="s">
        <v>37</v>
      </c>
      <c r="X4" s="67"/>
      <c r="Y4" s="67"/>
      <c r="AC4" s="68"/>
      <c r="AD4" s="68"/>
      <c r="AE4" s="68"/>
      <c r="AF4" s="57" t="s">
        <v>42</v>
      </c>
      <c r="AG4" s="58" t="s">
        <v>67</v>
      </c>
    </row>
    <row r="5" spans="1:33" x14ac:dyDescent="0.25">
      <c r="A5" s="46" t="str">
        <f>'2026.09'!$Q$2</f>
        <v>2026.09</v>
      </c>
      <c r="B5" s="5">
        <f>'2026.09'!$B$139</f>
        <v>8.68</v>
      </c>
      <c r="C5" s="5">
        <f>'2026.09'!$C$139</f>
        <v>8.68</v>
      </c>
      <c r="D5" s="5">
        <f>C5</f>
        <v>8.68</v>
      </c>
      <c r="E5" s="15">
        <f>'2026.09'!$F$139</f>
        <v>2</v>
      </c>
      <c r="F5" s="15">
        <f>E5</f>
        <v>2</v>
      </c>
      <c r="G5" s="7">
        <v>4.343</v>
      </c>
      <c r="H5" s="5">
        <f t="shared" ref="H5" si="0">F5*G5</f>
        <v>8.6859999999999999</v>
      </c>
      <c r="I5" s="5">
        <f t="shared" ref="I5" si="1">H5-D5</f>
        <v>6.0000000000002274E-3</v>
      </c>
      <c r="J5" s="25">
        <f t="shared" ref="J5" si="2">(H5-D5)/D5</f>
        <v>6.9124423963136264E-4</v>
      </c>
      <c r="K5" s="5">
        <f>'2026.09'!$D$139</f>
        <v>0</v>
      </c>
      <c r="L5" s="5">
        <f>'2026.09'!$J$139</f>
        <v>0</v>
      </c>
      <c r="M5" s="5">
        <f>'2026.09'!$O$139</f>
        <v>0</v>
      </c>
      <c r="O5" s="3" t="s">
        <v>2</v>
      </c>
      <c r="P5" s="5">
        <f>SUM(B5:B200)</f>
        <v>8.68</v>
      </c>
      <c r="Q5" s="15">
        <f>SUM(E5:E200)</f>
        <v>2</v>
      </c>
      <c r="R5" s="5">
        <v>0</v>
      </c>
      <c r="S5" s="5">
        <f>R5-P5+X5</f>
        <v>-8.68</v>
      </c>
      <c r="T5" s="25">
        <f>(R5-P5+X5)/P5</f>
        <v>-1</v>
      </c>
      <c r="U5" s="25">
        <f ca="1">XIRR(AG5:AG200,AF5:AF200)</f>
        <v>1.0564455389976503E-2</v>
      </c>
      <c r="V5" s="5">
        <f>SUM(K5:K200)</f>
        <v>0</v>
      </c>
      <c r="W5" s="5">
        <f>SUM(L5:L200)</f>
        <v>0</v>
      </c>
      <c r="X5" s="5">
        <f>SUM(M5:M200)</f>
        <v>0</v>
      </c>
      <c r="Y5" s="5" cm="1">
        <f t="array" ref="Y5">SUMPRODUCT(IFERROR(AD5:AD200,0),IFERROR(AE5:AE200,0))/SUM(IFERROR(AE5:AE200,0))</f>
        <v>4.34</v>
      </c>
      <c r="AC5" s="5">
        <f>'2026.09'!$C$139</f>
        <v>8.68</v>
      </c>
      <c r="AD5" s="5">
        <f>'2026.09'!$E$139</f>
        <v>4.34</v>
      </c>
      <c r="AE5" s="15">
        <f>'2026.09'!$F$139</f>
        <v>2</v>
      </c>
      <c r="AF5" s="41">
        <f>'2026.09'!$A$135</f>
        <v>46272</v>
      </c>
      <c r="AG5" s="5">
        <f>'2026.09'!$B$135*-1</f>
        <v>-8.68</v>
      </c>
    </row>
    <row r="6" spans="1:33" x14ac:dyDescent="0.25">
      <c r="A6" s="46"/>
      <c r="B6" s="5"/>
      <c r="C6" s="5"/>
      <c r="D6" s="5"/>
      <c r="E6" s="15"/>
      <c r="F6" s="15"/>
      <c r="G6" s="63"/>
      <c r="H6" s="5"/>
      <c r="I6" s="5"/>
      <c r="J6" s="25"/>
      <c r="K6" s="5"/>
      <c r="L6" s="5"/>
      <c r="M6" s="5"/>
      <c r="AC6" s="5"/>
      <c r="AD6" s="5"/>
      <c r="AE6" s="15"/>
      <c r="AF6" s="41"/>
      <c r="AG6" s="5"/>
    </row>
    <row r="7" spans="1:33" x14ac:dyDescent="0.25">
      <c r="A7" s="62"/>
      <c r="B7" s="5"/>
      <c r="C7" s="5"/>
      <c r="D7" s="5"/>
      <c r="E7" s="15"/>
      <c r="F7" s="15"/>
      <c r="G7" s="7"/>
      <c r="H7" s="5"/>
      <c r="I7" s="5"/>
      <c r="J7" s="25"/>
      <c r="K7" s="5"/>
      <c r="L7" s="5"/>
      <c r="M7" s="5"/>
      <c r="AC7" s="5"/>
      <c r="AD7" s="5"/>
      <c r="AE7" s="6"/>
      <c r="AF7" s="41"/>
      <c r="AG7" s="5"/>
    </row>
    <row r="8" spans="1:33" x14ac:dyDescent="0.25">
      <c r="A8" s="62"/>
      <c r="B8" s="5"/>
      <c r="C8" s="5"/>
      <c r="D8" s="5"/>
      <c r="E8" s="15"/>
      <c r="F8" s="15"/>
      <c r="G8" s="7"/>
      <c r="H8" s="5"/>
      <c r="I8" s="5"/>
      <c r="J8" s="25"/>
      <c r="K8" s="5"/>
      <c r="L8" s="5"/>
      <c r="M8" s="5"/>
      <c r="AC8" s="5"/>
      <c r="AD8" s="5"/>
      <c r="AE8" s="6"/>
      <c r="AF8" s="41"/>
      <c r="AG8" s="5"/>
    </row>
    <row r="9" spans="1:33" x14ac:dyDescent="0.25">
      <c r="A9" s="62"/>
      <c r="B9" s="5"/>
      <c r="C9" s="5"/>
      <c r="D9" s="5"/>
      <c r="E9" s="15"/>
      <c r="F9" s="15"/>
      <c r="G9" s="7"/>
      <c r="H9" s="5"/>
      <c r="I9" s="5"/>
      <c r="J9" s="25"/>
      <c r="K9" s="5"/>
      <c r="L9" s="5"/>
      <c r="M9" s="5"/>
      <c r="AC9" s="5"/>
      <c r="AD9" s="5"/>
      <c r="AE9" s="6"/>
      <c r="AF9" s="41"/>
      <c r="AG9" s="5"/>
    </row>
    <row r="10" spans="1:33" x14ac:dyDescent="0.25">
      <c r="A10" s="6"/>
      <c r="B10" s="5"/>
      <c r="C10" s="5"/>
      <c r="D10" s="5"/>
      <c r="E10" s="15"/>
      <c r="F10" s="15"/>
      <c r="G10" s="5"/>
      <c r="H10" s="5"/>
      <c r="I10" s="5"/>
      <c r="J10" s="25"/>
      <c r="K10" s="5"/>
      <c r="L10" s="5"/>
      <c r="M10" s="5"/>
      <c r="AC10" s="5"/>
      <c r="AD10" s="5"/>
      <c r="AE10" s="15"/>
      <c r="AF10" s="41"/>
      <c r="AG10" s="5"/>
    </row>
    <row r="11" spans="1:33" x14ac:dyDescent="0.25">
      <c r="A11" s="6"/>
      <c r="B11" s="5"/>
      <c r="C11" s="5"/>
      <c r="D11" s="5"/>
      <c r="E11" s="15"/>
      <c r="F11" s="15"/>
      <c r="G11" s="5"/>
      <c r="H11" s="5"/>
      <c r="I11" s="5"/>
      <c r="J11" s="25"/>
      <c r="K11" s="5"/>
      <c r="L11" s="5"/>
      <c r="M11" s="5"/>
      <c r="AC11" s="5"/>
      <c r="AD11" s="5"/>
      <c r="AE11" s="15"/>
      <c r="AF11" s="41"/>
      <c r="AG11" s="5"/>
    </row>
    <row r="12" spans="1:33" x14ac:dyDescent="0.25">
      <c r="A12" s="2"/>
      <c r="B12" s="5"/>
      <c r="C12" s="5"/>
      <c r="D12" s="5"/>
      <c r="E12" s="8"/>
      <c r="F12" s="8"/>
      <c r="G12" s="7"/>
      <c r="H12" s="5"/>
      <c r="I12" s="5"/>
      <c r="J12" s="5"/>
      <c r="K12" s="2"/>
      <c r="L12" s="2"/>
      <c r="M12" s="2"/>
      <c r="AC12" s="5"/>
      <c r="AD12" s="5"/>
      <c r="AE12" s="15"/>
      <c r="AF12" s="41"/>
      <c r="AG12" s="5"/>
    </row>
    <row r="13" spans="1:33" x14ac:dyDescent="0.25">
      <c r="A13" s="2"/>
      <c r="B13" s="5"/>
      <c r="C13" s="5"/>
      <c r="D13" s="5"/>
      <c r="E13" s="8"/>
      <c r="F13" s="8"/>
      <c r="G13" s="7"/>
      <c r="H13" s="5"/>
      <c r="I13" s="5"/>
      <c r="J13" s="5"/>
      <c r="K13" s="2"/>
      <c r="L13" s="2"/>
      <c r="M13" s="2"/>
      <c r="AC13" s="5"/>
      <c r="AD13" s="5"/>
      <c r="AE13" s="15"/>
      <c r="AF13" s="41"/>
      <c r="AG13" s="5"/>
    </row>
    <row r="14" spans="1:33" x14ac:dyDescent="0.25">
      <c r="A14" s="2"/>
      <c r="B14" s="5"/>
      <c r="C14" s="5"/>
      <c r="D14" s="5"/>
      <c r="E14" s="8"/>
      <c r="F14" s="8"/>
      <c r="G14" s="7"/>
      <c r="H14" s="5"/>
      <c r="I14" s="5"/>
      <c r="J14" s="5"/>
      <c r="K14" s="2"/>
      <c r="L14" s="2"/>
      <c r="M14" s="2"/>
      <c r="AC14" s="47"/>
      <c r="AD14" s="47"/>
      <c r="AE14" s="48"/>
      <c r="AF14" s="41"/>
      <c r="AG14" s="5"/>
    </row>
    <row r="15" spans="1:33" x14ac:dyDescent="0.25">
      <c r="A15" s="2"/>
      <c r="B15" s="5"/>
      <c r="C15" s="5"/>
      <c r="D15" s="5"/>
      <c r="E15" s="8"/>
      <c r="F15" s="8"/>
      <c r="G15" s="7"/>
      <c r="H15" s="5"/>
      <c r="I15" s="5"/>
      <c r="J15" s="5"/>
      <c r="K15" s="2"/>
      <c r="L15" s="2"/>
      <c r="M15" s="2"/>
      <c r="AC15" s="47"/>
      <c r="AD15" s="47"/>
      <c r="AE15" s="48"/>
      <c r="AF15" s="41"/>
      <c r="AG15" s="5"/>
    </row>
    <row r="16" spans="1:33" x14ac:dyDescent="0.25">
      <c r="A16" s="2"/>
      <c r="B16" s="5"/>
      <c r="C16" s="5"/>
      <c r="D16" s="5"/>
      <c r="E16" s="8"/>
      <c r="F16" s="8"/>
      <c r="G16" s="7"/>
      <c r="H16" s="5"/>
      <c r="I16" s="5"/>
      <c r="J16" s="5"/>
      <c r="K16" s="2"/>
      <c r="L16" s="2"/>
      <c r="M16" s="2"/>
      <c r="AC16" s="2"/>
      <c r="AD16" s="2"/>
      <c r="AE16" s="2"/>
      <c r="AF16" s="41"/>
      <c r="AG16" s="5"/>
    </row>
    <row r="17" spans="1:33" x14ac:dyDescent="0.25">
      <c r="A17" s="2"/>
      <c r="B17" s="5"/>
      <c r="C17" s="5"/>
      <c r="D17" s="5"/>
      <c r="E17" s="8"/>
      <c r="F17" s="8"/>
      <c r="G17" s="7"/>
      <c r="H17" s="5"/>
      <c r="I17" s="5"/>
      <c r="J17" s="5"/>
      <c r="K17" s="2"/>
      <c r="L17" s="2"/>
      <c r="M17" s="2"/>
      <c r="AC17" s="2"/>
      <c r="AD17" s="2"/>
      <c r="AE17" s="2"/>
      <c r="AF17" s="41"/>
      <c r="AG17" s="5"/>
    </row>
    <row r="18" spans="1:33" x14ac:dyDescent="0.25">
      <c r="A18" s="2"/>
      <c r="B18" s="5"/>
      <c r="C18" s="5"/>
      <c r="D18" s="5"/>
      <c r="E18" s="8"/>
      <c r="F18" s="8"/>
      <c r="G18" s="7"/>
      <c r="H18" s="5"/>
      <c r="I18" s="5"/>
      <c r="J18" s="5"/>
      <c r="K18" s="2"/>
      <c r="L18" s="2"/>
      <c r="M18" s="2"/>
      <c r="AC18" s="2"/>
      <c r="AD18" s="2"/>
      <c r="AE18" s="2"/>
      <c r="AF18" s="41"/>
      <c r="AG18" s="5"/>
    </row>
    <row r="19" spans="1:33" x14ac:dyDescent="0.25">
      <c r="A19" s="2"/>
      <c r="B19" s="5"/>
      <c r="C19" s="5"/>
      <c r="D19" s="5"/>
      <c r="E19" s="8"/>
      <c r="F19" s="8"/>
      <c r="G19" s="7"/>
      <c r="H19" s="5"/>
      <c r="I19" s="5"/>
      <c r="J19" s="5"/>
      <c r="K19" s="2"/>
      <c r="L19" s="2"/>
      <c r="M19" s="2"/>
      <c r="AC19" s="2"/>
      <c r="AD19" s="2"/>
      <c r="AE19" s="2"/>
      <c r="AF19" s="41"/>
      <c r="AG19" s="5"/>
    </row>
    <row r="20" spans="1:33" x14ac:dyDescent="0.25">
      <c r="A20" s="2"/>
      <c r="B20" s="5"/>
      <c r="C20" s="5"/>
      <c r="D20" s="5"/>
      <c r="E20" s="8"/>
      <c r="F20" s="8"/>
      <c r="G20" s="7"/>
      <c r="H20" s="5"/>
      <c r="I20" s="5"/>
      <c r="J20" s="5"/>
      <c r="K20" s="2"/>
      <c r="L20" s="2"/>
      <c r="M20" s="2"/>
      <c r="AC20" s="2"/>
      <c r="AD20" s="2"/>
      <c r="AE20" s="2"/>
      <c r="AF20" s="41"/>
      <c r="AG20" s="5"/>
    </row>
    <row r="21" spans="1:33" x14ac:dyDescent="0.25">
      <c r="A21" s="2"/>
      <c r="B21" s="5"/>
      <c r="C21" s="5"/>
      <c r="D21" s="5"/>
      <c r="E21" s="8"/>
      <c r="F21" s="8"/>
      <c r="G21" s="7"/>
      <c r="H21" s="5"/>
      <c r="I21" s="5"/>
      <c r="J21" s="5"/>
      <c r="K21" s="2"/>
      <c r="L21" s="2"/>
      <c r="M21" s="2"/>
      <c r="AC21" s="2"/>
      <c r="AD21" s="2"/>
      <c r="AE21" s="2"/>
      <c r="AF21" s="41"/>
      <c r="AG21" s="5"/>
    </row>
    <row r="22" spans="1:33" x14ac:dyDescent="0.25">
      <c r="AC22" s="2"/>
      <c r="AD22" s="2"/>
      <c r="AE22" s="2"/>
      <c r="AF22" s="41"/>
      <c r="AG22" s="5"/>
    </row>
    <row r="23" spans="1:33" x14ac:dyDescent="0.25">
      <c r="AC23" s="2"/>
      <c r="AD23" s="2"/>
      <c r="AE23" s="2"/>
      <c r="AF23" s="41"/>
      <c r="AG23" s="5"/>
    </row>
    <row r="24" spans="1:33" x14ac:dyDescent="0.25">
      <c r="AC24" s="2"/>
      <c r="AD24" s="2"/>
      <c r="AE24" s="2"/>
      <c r="AF24" s="41"/>
      <c r="AG24" s="5"/>
    </row>
    <row r="25" spans="1:33" x14ac:dyDescent="0.25">
      <c r="AC25" s="2"/>
      <c r="AD25" s="2"/>
      <c r="AE25" s="2"/>
      <c r="AF25" s="41"/>
      <c r="AG25" s="5"/>
    </row>
    <row r="26" spans="1:33" x14ac:dyDescent="0.25">
      <c r="AC26" s="2"/>
      <c r="AD26" s="2"/>
      <c r="AE26" s="2"/>
      <c r="AF26" s="41"/>
      <c r="AG26" s="5"/>
    </row>
    <row r="27" spans="1:33" x14ac:dyDescent="0.25">
      <c r="AC27" s="2"/>
      <c r="AD27" s="2"/>
      <c r="AE27" s="2"/>
      <c r="AF27" s="41"/>
      <c r="AG27" s="5"/>
    </row>
    <row r="28" spans="1:33" x14ac:dyDescent="0.25">
      <c r="AC28" s="2"/>
      <c r="AD28" s="2"/>
      <c r="AE28" s="2"/>
      <c r="AF28" s="41"/>
      <c r="AG28" s="5"/>
    </row>
    <row r="29" spans="1:33" x14ac:dyDescent="0.25">
      <c r="AC29" s="2"/>
      <c r="AD29" s="2"/>
      <c r="AE29" s="2"/>
      <c r="AF29" s="41"/>
      <c r="AG29" s="5"/>
    </row>
    <row r="30" spans="1:33" x14ac:dyDescent="0.25">
      <c r="AC30" s="2"/>
      <c r="AD30" s="2"/>
      <c r="AE30" s="2"/>
      <c r="AF30" s="41"/>
      <c r="AG30" s="5"/>
    </row>
    <row r="31" spans="1:33" x14ac:dyDescent="0.25">
      <c r="AC31" s="2"/>
      <c r="AD31" s="2"/>
      <c r="AE31" s="2"/>
      <c r="AF31" s="41"/>
      <c r="AG31" s="5"/>
    </row>
    <row r="32" spans="1:33" x14ac:dyDescent="0.25">
      <c r="AC32" s="2"/>
      <c r="AD32" s="2"/>
      <c r="AE32" s="2"/>
      <c r="AF32" s="41"/>
      <c r="AG32" s="5"/>
    </row>
    <row r="33" spans="29:33" x14ac:dyDescent="0.25">
      <c r="AC33" s="2"/>
      <c r="AD33" s="2"/>
      <c r="AE33" s="2"/>
      <c r="AF33" s="41"/>
      <c r="AG33" s="5"/>
    </row>
    <row r="34" spans="29:33" x14ac:dyDescent="0.25">
      <c r="AC34" s="2"/>
      <c r="AD34" s="2"/>
      <c r="AE34" s="2"/>
      <c r="AF34" s="41"/>
      <c r="AG34" s="5"/>
    </row>
    <row r="35" spans="29:33" x14ac:dyDescent="0.25">
      <c r="AC35" s="2"/>
      <c r="AD35" s="2"/>
      <c r="AE35" s="2"/>
      <c r="AF35" s="41"/>
      <c r="AG35" s="5"/>
    </row>
    <row r="36" spans="29:33" x14ac:dyDescent="0.25">
      <c r="AC36" s="2"/>
      <c r="AD36" s="2"/>
      <c r="AE36" s="2"/>
      <c r="AF36" s="41"/>
      <c r="AG36" s="5"/>
    </row>
    <row r="37" spans="29:33" x14ac:dyDescent="0.25">
      <c r="AC37" s="2"/>
      <c r="AD37" s="2"/>
      <c r="AE37" s="2"/>
      <c r="AF37" s="2"/>
      <c r="AG37" s="2"/>
    </row>
    <row r="38" spans="29:33" x14ac:dyDescent="0.25">
      <c r="AC38" s="2"/>
      <c r="AD38" s="2"/>
      <c r="AE38" s="2"/>
      <c r="AF38" s="2"/>
      <c r="AG38" s="2"/>
    </row>
    <row r="39" spans="29:33" x14ac:dyDescent="0.25">
      <c r="AC39" s="2"/>
      <c r="AD39" s="2"/>
      <c r="AE39" s="2"/>
      <c r="AF39" s="2"/>
      <c r="AG39" s="2"/>
    </row>
    <row r="40" spans="29:33" x14ac:dyDescent="0.25">
      <c r="AC40" s="2"/>
      <c r="AD40" s="2"/>
      <c r="AE40" s="2"/>
      <c r="AF40" s="2"/>
      <c r="AG40" s="2"/>
    </row>
    <row r="41" spans="29:33" x14ac:dyDescent="0.25">
      <c r="AC41" s="2"/>
      <c r="AD41" s="2"/>
      <c r="AE41" s="2"/>
      <c r="AF41" s="2"/>
      <c r="AG41" s="2"/>
    </row>
    <row r="42" spans="29:33" x14ac:dyDescent="0.25">
      <c r="AC42" s="2"/>
      <c r="AD42" s="2"/>
      <c r="AE42" s="2"/>
      <c r="AF42" s="2"/>
      <c r="AG42" s="2"/>
    </row>
    <row r="43" spans="29:33" x14ac:dyDescent="0.25">
      <c r="AC43" s="2"/>
      <c r="AD43" s="2"/>
      <c r="AE43" s="2"/>
      <c r="AF43" s="2"/>
      <c r="AG43" s="2"/>
    </row>
    <row r="44" spans="29:33" x14ac:dyDescent="0.25">
      <c r="AC44" s="2"/>
      <c r="AD44" s="2"/>
      <c r="AE44" s="2"/>
      <c r="AF44" s="2"/>
      <c r="AG44" s="2"/>
    </row>
    <row r="45" spans="29:33" x14ac:dyDescent="0.25">
      <c r="AC45" s="2"/>
      <c r="AD45" s="2"/>
      <c r="AE45" s="2"/>
      <c r="AF45" s="2"/>
      <c r="AG45" s="2"/>
    </row>
    <row r="46" spans="29:33" x14ac:dyDescent="0.25">
      <c r="AC46" s="2"/>
      <c r="AD46" s="2"/>
      <c r="AE46" s="2"/>
      <c r="AF46" s="2"/>
      <c r="AG46" s="2"/>
    </row>
    <row r="47" spans="29:33" x14ac:dyDescent="0.25">
      <c r="AC47" s="2"/>
      <c r="AD47" s="2"/>
      <c r="AE47" s="2"/>
      <c r="AF47" s="2"/>
      <c r="AG47" s="2"/>
    </row>
    <row r="48" spans="29:33" x14ac:dyDescent="0.25">
      <c r="AC48" s="2"/>
      <c r="AD48" s="2"/>
      <c r="AE48" s="2"/>
      <c r="AF48" s="2"/>
      <c r="AG48" s="2"/>
    </row>
    <row r="49" spans="29:33" x14ac:dyDescent="0.25">
      <c r="AC49" s="2"/>
      <c r="AD49" s="2"/>
      <c r="AE49" s="2"/>
      <c r="AF49" s="2"/>
      <c r="AG49" s="2"/>
    </row>
    <row r="50" spans="29:33" x14ac:dyDescent="0.25">
      <c r="AC50" s="2"/>
      <c r="AD50" s="2"/>
      <c r="AE50" s="2"/>
      <c r="AF50" s="2"/>
      <c r="AG50" s="2"/>
    </row>
    <row r="51" spans="29:33" x14ac:dyDescent="0.25">
      <c r="AC51" s="2"/>
      <c r="AD51" s="2"/>
      <c r="AE51" s="2"/>
      <c r="AF51" s="2"/>
      <c r="AG51" s="2"/>
    </row>
    <row r="52" spans="29:33" x14ac:dyDescent="0.25">
      <c r="AC52" s="2"/>
      <c r="AD52" s="2"/>
      <c r="AE52" s="2"/>
      <c r="AF52" s="2"/>
      <c r="AG52" s="2"/>
    </row>
    <row r="53" spans="29:33" x14ac:dyDescent="0.25">
      <c r="AC53" s="2"/>
      <c r="AD53" s="2"/>
      <c r="AE53" s="2"/>
      <c r="AF53" s="2"/>
      <c r="AG53" s="2"/>
    </row>
    <row r="54" spans="29:33" x14ac:dyDescent="0.25">
      <c r="AC54" s="2"/>
      <c r="AD54" s="2"/>
      <c r="AE54" s="2"/>
      <c r="AF54" s="2"/>
      <c r="AG54" s="2"/>
    </row>
    <row r="55" spans="29:33" x14ac:dyDescent="0.25">
      <c r="AC55" s="2"/>
      <c r="AD55" s="2"/>
      <c r="AE55" s="2"/>
      <c r="AF55" s="2"/>
      <c r="AG55" s="2"/>
    </row>
    <row r="56" spans="29:33" x14ac:dyDescent="0.25">
      <c r="AC56" s="2"/>
      <c r="AD56" s="2"/>
      <c r="AE56" s="2"/>
      <c r="AF56" s="2"/>
      <c r="AG56" s="2"/>
    </row>
    <row r="57" spans="29:33" x14ac:dyDescent="0.25">
      <c r="AC57" s="2"/>
      <c r="AD57" s="2"/>
      <c r="AE57" s="2"/>
      <c r="AF57" s="2"/>
      <c r="AG57" s="2"/>
    </row>
    <row r="58" spans="29:33" x14ac:dyDescent="0.25">
      <c r="AC58" s="2"/>
      <c r="AD58" s="2"/>
      <c r="AE58" s="2"/>
      <c r="AF58" s="2"/>
      <c r="AG58" s="2"/>
    </row>
    <row r="59" spans="29:33" x14ac:dyDescent="0.25">
      <c r="AC59" s="2"/>
      <c r="AD59" s="2"/>
      <c r="AE59" s="2"/>
      <c r="AF59" s="2"/>
      <c r="AG59" s="2"/>
    </row>
    <row r="60" spans="29:33" x14ac:dyDescent="0.25">
      <c r="AC60" s="2"/>
      <c r="AD60" s="2"/>
      <c r="AE60" s="2"/>
      <c r="AF60" s="2"/>
      <c r="AG60" s="2"/>
    </row>
    <row r="61" spans="29:33" x14ac:dyDescent="0.25">
      <c r="AC61" s="2"/>
      <c r="AD61" s="2"/>
      <c r="AE61" s="2"/>
      <c r="AF61" s="2"/>
      <c r="AG61" s="2"/>
    </row>
    <row r="62" spans="29:33" x14ac:dyDescent="0.25">
      <c r="AC62" s="2"/>
      <c r="AD62" s="2"/>
      <c r="AE62" s="2"/>
      <c r="AF62" s="2"/>
      <c r="AG62" s="2"/>
    </row>
    <row r="63" spans="29:33" x14ac:dyDescent="0.25">
      <c r="AC63" s="2"/>
      <c r="AD63" s="2"/>
      <c r="AE63" s="2"/>
      <c r="AF63" s="2"/>
      <c r="AG63" s="2"/>
    </row>
    <row r="64" spans="29:33" x14ac:dyDescent="0.25">
      <c r="AC64" s="2"/>
      <c r="AD64" s="2"/>
      <c r="AE64" s="2"/>
      <c r="AF64" s="2"/>
      <c r="AG64" s="2"/>
    </row>
    <row r="65" spans="29:33" x14ac:dyDescent="0.25">
      <c r="AC65" s="2"/>
      <c r="AD65" s="2"/>
      <c r="AE65" s="2"/>
      <c r="AF65" s="2"/>
      <c r="AG65" s="2"/>
    </row>
    <row r="66" spans="29:33" x14ac:dyDescent="0.25">
      <c r="AC66" s="2"/>
      <c r="AD66" s="2"/>
      <c r="AE66" s="2"/>
      <c r="AF66" s="2"/>
      <c r="AG66" s="2"/>
    </row>
    <row r="67" spans="29:33" x14ac:dyDescent="0.25">
      <c r="AC67" s="2"/>
      <c r="AD67" s="2"/>
      <c r="AE67" s="2"/>
      <c r="AF67" s="2"/>
      <c r="AG67" s="2"/>
    </row>
    <row r="68" spans="29:33" x14ac:dyDescent="0.25">
      <c r="AC68" s="2"/>
      <c r="AD68" s="2"/>
      <c r="AE68" s="2"/>
      <c r="AF68" s="2"/>
      <c r="AG68" s="2"/>
    </row>
    <row r="69" spans="29:33" x14ac:dyDescent="0.25">
      <c r="AC69" s="2"/>
      <c r="AD69" s="2"/>
      <c r="AE69" s="2"/>
      <c r="AF69" s="2"/>
      <c r="AG69" s="2"/>
    </row>
    <row r="70" spans="29:33" x14ac:dyDescent="0.25">
      <c r="AC70" s="2"/>
      <c r="AD70" s="2"/>
      <c r="AE70" s="2"/>
      <c r="AF70" s="2"/>
      <c r="AG70" s="2"/>
    </row>
    <row r="71" spans="29:33" x14ac:dyDescent="0.25">
      <c r="AC71" s="2"/>
      <c r="AD71" s="2"/>
      <c r="AE71" s="2"/>
      <c r="AF71" s="2"/>
      <c r="AG71" s="2"/>
    </row>
    <row r="72" spans="29:33" x14ac:dyDescent="0.25">
      <c r="AC72" s="2"/>
      <c r="AD72" s="2"/>
      <c r="AE72" s="2"/>
      <c r="AF72" s="2"/>
      <c r="AG72" s="2"/>
    </row>
    <row r="73" spans="29:33" x14ac:dyDescent="0.25">
      <c r="AC73" s="2"/>
      <c r="AD73" s="2"/>
      <c r="AE73" s="2"/>
      <c r="AF73" s="2"/>
      <c r="AG73" s="2"/>
    </row>
    <row r="74" spans="29:33" x14ac:dyDescent="0.25">
      <c r="AC74" s="2"/>
      <c r="AD74" s="2"/>
      <c r="AE74" s="2"/>
      <c r="AF74" s="2"/>
      <c r="AG74" s="2"/>
    </row>
    <row r="75" spans="29:33" x14ac:dyDescent="0.25">
      <c r="AC75" s="2"/>
      <c r="AD75" s="2"/>
      <c r="AE75" s="2"/>
      <c r="AF75" s="2"/>
      <c r="AG75" s="2"/>
    </row>
    <row r="76" spans="29:33" x14ac:dyDescent="0.25">
      <c r="AC76" s="2"/>
      <c r="AD76" s="2"/>
      <c r="AE76" s="2"/>
      <c r="AF76" s="2"/>
      <c r="AG76" s="2"/>
    </row>
    <row r="77" spans="29:33" x14ac:dyDescent="0.25">
      <c r="AC77" s="2"/>
      <c r="AD77" s="2"/>
      <c r="AE77" s="2"/>
      <c r="AF77" s="2"/>
      <c r="AG77" s="2"/>
    </row>
    <row r="78" spans="29:33" x14ac:dyDescent="0.25">
      <c r="AC78" s="2"/>
      <c r="AD78" s="2"/>
      <c r="AE78" s="2"/>
      <c r="AF78" s="2"/>
      <c r="AG78" s="2"/>
    </row>
    <row r="79" spans="29:33" x14ac:dyDescent="0.25">
      <c r="AC79" s="2"/>
      <c r="AD79" s="2"/>
      <c r="AE79" s="2"/>
      <c r="AF79" s="2"/>
      <c r="AG79" s="2"/>
    </row>
    <row r="80" spans="29:33" x14ac:dyDescent="0.25">
      <c r="AC80" s="2"/>
      <c r="AD80" s="2"/>
      <c r="AE80" s="2"/>
      <c r="AF80" s="2"/>
      <c r="AG80" s="2"/>
    </row>
    <row r="81" spans="29:33" x14ac:dyDescent="0.25">
      <c r="AC81" s="2"/>
      <c r="AD81" s="2"/>
      <c r="AE81" s="2"/>
      <c r="AF81" s="2"/>
      <c r="AG81" s="2"/>
    </row>
    <row r="82" spans="29:33" x14ac:dyDescent="0.25">
      <c r="AC82" s="2"/>
      <c r="AD82" s="2"/>
      <c r="AE82" s="2"/>
      <c r="AF82" s="2"/>
      <c r="AG82" s="2"/>
    </row>
    <row r="83" spans="29:33" x14ac:dyDescent="0.25">
      <c r="AC83" s="2"/>
      <c r="AD83" s="2"/>
      <c r="AE83" s="2"/>
      <c r="AF83" s="2"/>
      <c r="AG83" s="2"/>
    </row>
    <row r="84" spans="29:33" x14ac:dyDescent="0.25">
      <c r="AC84" s="2"/>
      <c r="AD84" s="2"/>
      <c r="AE84" s="2"/>
      <c r="AF84" s="2"/>
      <c r="AG84" s="2"/>
    </row>
    <row r="85" spans="29:33" x14ac:dyDescent="0.25">
      <c r="AC85" s="2"/>
      <c r="AD85" s="2"/>
      <c r="AE85" s="2"/>
      <c r="AF85" s="2"/>
      <c r="AG85" s="2"/>
    </row>
    <row r="86" spans="29:33" x14ac:dyDescent="0.25">
      <c r="AC86" s="2"/>
      <c r="AD86" s="2"/>
      <c r="AE86" s="2"/>
      <c r="AF86" s="2"/>
      <c r="AG86" s="2"/>
    </row>
    <row r="87" spans="29:33" x14ac:dyDescent="0.25">
      <c r="AC87" s="2"/>
      <c r="AD87" s="2"/>
      <c r="AE87" s="2"/>
      <c r="AF87" s="2"/>
      <c r="AG87" s="2"/>
    </row>
    <row r="88" spans="29:33" x14ac:dyDescent="0.25">
      <c r="AC88" s="2"/>
      <c r="AD88" s="2"/>
      <c r="AE88" s="2"/>
      <c r="AF88" s="2"/>
      <c r="AG88" s="2"/>
    </row>
    <row r="89" spans="29:33" x14ac:dyDescent="0.25">
      <c r="AC89" s="2"/>
      <c r="AD89" s="2"/>
      <c r="AE89" s="2"/>
      <c r="AF89" s="2"/>
      <c r="AG89" s="2"/>
    </row>
    <row r="90" spans="29:33" x14ac:dyDescent="0.25">
      <c r="AC90" s="2"/>
      <c r="AD90" s="2"/>
      <c r="AE90" s="2"/>
      <c r="AF90" s="2"/>
      <c r="AG90" s="2"/>
    </row>
    <row r="91" spans="29:33" x14ac:dyDescent="0.25">
      <c r="AC91" s="2"/>
      <c r="AD91" s="2"/>
      <c r="AE91" s="2"/>
      <c r="AF91" s="2"/>
      <c r="AG91" s="2"/>
    </row>
    <row r="92" spans="29:33" x14ac:dyDescent="0.25">
      <c r="AC92" s="2"/>
      <c r="AD92" s="2"/>
      <c r="AE92" s="2"/>
      <c r="AF92" s="2"/>
      <c r="AG92" s="2"/>
    </row>
    <row r="93" spans="29:33" x14ac:dyDescent="0.25">
      <c r="AC93" s="2"/>
      <c r="AD93" s="2"/>
      <c r="AE93" s="2"/>
      <c r="AF93" s="2"/>
      <c r="AG93" s="2"/>
    </row>
    <row r="94" spans="29:33" x14ac:dyDescent="0.25">
      <c r="AC94" s="2"/>
      <c r="AD94" s="2"/>
      <c r="AE94" s="2"/>
      <c r="AF94" s="2"/>
      <c r="AG94" s="2"/>
    </row>
    <row r="95" spans="29:33" x14ac:dyDescent="0.25">
      <c r="AC95" s="2"/>
      <c r="AD95" s="2"/>
      <c r="AE95" s="2"/>
      <c r="AF95" s="2"/>
      <c r="AG95" s="2"/>
    </row>
    <row r="96" spans="29:33" x14ac:dyDescent="0.25">
      <c r="AC96" s="2"/>
      <c r="AD96" s="2"/>
      <c r="AE96" s="2"/>
      <c r="AF96" s="2"/>
      <c r="AG96" s="2"/>
    </row>
    <row r="97" spans="29:33" x14ac:dyDescent="0.25">
      <c r="AC97" s="2"/>
      <c r="AD97" s="2"/>
      <c r="AE97" s="2"/>
      <c r="AF97" s="2"/>
      <c r="AG97" s="2"/>
    </row>
    <row r="98" spans="29:33" x14ac:dyDescent="0.25">
      <c r="AC98" s="2"/>
      <c r="AD98" s="2"/>
      <c r="AE98" s="2"/>
      <c r="AF98" s="2"/>
      <c r="AG98" s="2"/>
    </row>
    <row r="99" spans="29:33" x14ac:dyDescent="0.25">
      <c r="AC99" s="2"/>
      <c r="AD99" s="2"/>
      <c r="AE99" s="2"/>
      <c r="AF99" s="2"/>
      <c r="AG99" s="2"/>
    </row>
    <row r="100" spans="29:33" x14ac:dyDescent="0.25">
      <c r="AC100" s="2"/>
      <c r="AD100" s="2"/>
      <c r="AE100" s="2"/>
      <c r="AF100" s="2"/>
      <c r="AG100" s="2"/>
    </row>
    <row r="101" spans="29:33" x14ac:dyDescent="0.25">
      <c r="AC101" s="2"/>
      <c r="AD101" s="2"/>
      <c r="AE101" s="2"/>
      <c r="AF101" s="2"/>
      <c r="AG101" s="2"/>
    </row>
    <row r="102" spans="29:33" x14ac:dyDescent="0.25">
      <c r="AC102" s="2"/>
      <c r="AD102" s="2"/>
      <c r="AE102" s="2"/>
      <c r="AF102" s="2"/>
      <c r="AG102" s="2"/>
    </row>
    <row r="103" spans="29:33" x14ac:dyDescent="0.25">
      <c r="AC103" s="2"/>
      <c r="AD103" s="2"/>
      <c r="AE103" s="2"/>
      <c r="AF103" s="2"/>
      <c r="AG103" s="2"/>
    </row>
    <row r="104" spans="29:33" x14ac:dyDescent="0.25">
      <c r="AC104" s="2"/>
      <c r="AD104" s="2"/>
      <c r="AE104" s="2"/>
      <c r="AF104" s="2"/>
      <c r="AG104" s="2"/>
    </row>
    <row r="105" spans="29:33" x14ac:dyDescent="0.25">
      <c r="AC105" s="2"/>
      <c r="AD105" s="2"/>
      <c r="AE105" s="2"/>
      <c r="AF105" s="2"/>
      <c r="AG105" s="2"/>
    </row>
    <row r="106" spans="29:33" x14ac:dyDescent="0.25">
      <c r="AC106" s="2"/>
      <c r="AD106" s="2"/>
      <c r="AE106" s="2"/>
      <c r="AF106" s="2"/>
      <c r="AG106" s="2"/>
    </row>
    <row r="107" spans="29:33" x14ac:dyDescent="0.25">
      <c r="AC107" s="2"/>
      <c r="AD107" s="2"/>
      <c r="AE107" s="2"/>
      <c r="AF107" s="2"/>
      <c r="AG107" s="2"/>
    </row>
    <row r="108" spans="29:33" x14ac:dyDescent="0.25">
      <c r="AC108" s="2"/>
      <c r="AD108" s="2"/>
      <c r="AE108" s="2"/>
      <c r="AF108" s="2"/>
      <c r="AG108" s="2"/>
    </row>
    <row r="109" spans="29:33" x14ac:dyDescent="0.25">
      <c r="AC109" s="2"/>
      <c r="AD109" s="2"/>
      <c r="AE109" s="2"/>
      <c r="AF109" s="2"/>
      <c r="AG109" s="2"/>
    </row>
    <row r="110" spans="29:33" x14ac:dyDescent="0.25">
      <c r="AC110" s="2"/>
      <c r="AD110" s="2"/>
      <c r="AE110" s="2"/>
      <c r="AF110" s="2"/>
      <c r="AG110" s="2"/>
    </row>
    <row r="111" spans="29:33" x14ac:dyDescent="0.25">
      <c r="AC111" s="2"/>
      <c r="AD111" s="2"/>
      <c r="AE111" s="2"/>
      <c r="AF111" s="2"/>
      <c r="AG111" s="2"/>
    </row>
    <row r="112" spans="29:33" x14ac:dyDescent="0.25">
      <c r="AC112" s="2"/>
      <c r="AD112" s="2"/>
      <c r="AE112" s="2"/>
      <c r="AF112" s="2"/>
      <c r="AG112" s="2"/>
    </row>
    <row r="113" spans="29:33" x14ac:dyDescent="0.25">
      <c r="AC113" s="2"/>
      <c r="AD113" s="2"/>
      <c r="AE113" s="2"/>
      <c r="AF113" s="2"/>
      <c r="AG113" s="2"/>
    </row>
    <row r="114" spans="29:33" x14ac:dyDescent="0.25">
      <c r="AC114" s="2"/>
      <c r="AD114" s="2"/>
      <c r="AE114" s="2"/>
      <c r="AF114" s="2"/>
      <c r="AG114" s="2"/>
    </row>
    <row r="115" spans="29:33" x14ac:dyDescent="0.25">
      <c r="AC115" s="2"/>
      <c r="AD115" s="2"/>
      <c r="AE115" s="2"/>
      <c r="AF115" s="2"/>
      <c r="AG115" s="2"/>
    </row>
    <row r="116" spans="29:33" x14ac:dyDescent="0.25">
      <c r="AC116" s="2"/>
      <c r="AD116" s="2"/>
      <c r="AE116" s="2"/>
      <c r="AF116" s="2"/>
      <c r="AG116" s="2"/>
    </row>
    <row r="117" spans="29:33" x14ac:dyDescent="0.25">
      <c r="AC117" s="2"/>
      <c r="AD117" s="2"/>
      <c r="AE117" s="2"/>
      <c r="AF117" s="2"/>
      <c r="AG117" s="2"/>
    </row>
    <row r="118" spans="29:33" x14ac:dyDescent="0.25">
      <c r="AC118" s="2"/>
      <c r="AD118" s="2"/>
      <c r="AE118" s="2"/>
      <c r="AF118" s="2"/>
      <c r="AG118" s="2"/>
    </row>
    <row r="119" spans="29:33" x14ac:dyDescent="0.25">
      <c r="AC119" s="2"/>
      <c r="AD119" s="2"/>
      <c r="AE119" s="2"/>
      <c r="AF119" s="2"/>
      <c r="AG119" s="2"/>
    </row>
    <row r="120" spans="29:33" x14ac:dyDescent="0.25">
      <c r="AC120" s="2"/>
      <c r="AD120" s="2"/>
      <c r="AE120" s="2"/>
      <c r="AF120" s="2"/>
      <c r="AG120" s="2"/>
    </row>
    <row r="121" spans="29:33" x14ac:dyDescent="0.25">
      <c r="AC121" s="2"/>
      <c r="AD121" s="2"/>
      <c r="AE121" s="2"/>
      <c r="AF121" s="2"/>
      <c r="AG121" s="2"/>
    </row>
    <row r="122" spans="29:33" x14ac:dyDescent="0.25">
      <c r="AC122" s="2"/>
      <c r="AD122" s="2"/>
      <c r="AE122" s="2"/>
      <c r="AF122" s="2"/>
      <c r="AG122" s="2"/>
    </row>
    <row r="123" spans="29:33" x14ac:dyDescent="0.25">
      <c r="AC123" s="2"/>
      <c r="AD123" s="2"/>
      <c r="AE123" s="2"/>
      <c r="AF123" s="2"/>
      <c r="AG123" s="2"/>
    </row>
    <row r="124" spans="29:33" x14ac:dyDescent="0.25">
      <c r="AC124" s="2"/>
      <c r="AD124" s="2"/>
      <c r="AE124" s="2"/>
      <c r="AF124" s="2"/>
      <c r="AG124" s="2"/>
    </row>
    <row r="125" spans="29:33" x14ac:dyDescent="0.25">
      <c r="AC125" s="2"/>
      <c r="AD125" s="2"/>
      <c r="AE125" s="2"/>
      <c r="AF125" s="2"/>
      <c r="AG125" s="2"/>
    </row>
    <row r="126" spans="29:33" x14ac:dyDescent="0.25">
      <c r="AC126" s="2"/>
      <c r="AD126" s="2"/>
      <c r="AE126" s="2"/>
      <c r="AF126" s="2"/>
      <c r="AG126" s="2"/>
    </row>
    <row r="127" spans="29:33" x14ac:dyDescent="0.25">
      <c r="AC127" s="2"/>
      <c r="AD127" s="2"/>
      <c r="AE127" s="2"/>
      <c r="AF127" s="2"/>
      <c r="AG127" s="2"/>
    </row>
    <row r="128" spans="29:33" x14ac:dyDescent="0.25">
      <c r="AC128" s="2"/>
      <c r="AD128" s="2"/>
      <c r="AE128" s="2"/>
      <c r="AF128" s="2"/>
      <c r="AG128" s="2"/>
    </row>
    <row r="129" spans="29:33" x14ac:dyDescent="0.25">
      <c r="AC129" s="2"/>
      <c r="AD129" s="2"/>
      <c r="AE129" s="2"/>
      <c r="AF129" s="2"/>
      <c r="AG129" s="2"/>
    </row>
    <row r="130" spans="29:33" x14ac:dyDescent="0.25">
      <c r="AC130" s="2"/>
      <c r="AD130" s="2"/>
      <c r="AE130" s="2"/>
      <c r="AF130" s="2"/>
      <c r="AG130" s="2"/>
    </row>
    <row r="131" spans="29:33" x14ac:dyDescent="0.25">
      <c r="AC131" s="2"/>
      <c r="AD131" s="2"/>
      <c r="AE131" s="2"/>
      <c r="AF131" s="2"/>
      <c r="AG131" s="2"/>
    </row>
    <row r="132" spans="29:33" x14ac:dyDescent="0.25">
      <c r="AC132" s="2"/>
      <c r="AD132" s="2"/>
      <c r="AE132" s="2"/>
      <c r="AF132" s="2"/>
      <c r="AG132" s="2"/>
    </row>
    <row r="133" spans="29:33" x14ac:dyDescent="0.25">
      <c r="AC133" s="2"/>
      <c r="AD133" s="2"/>
      <c r="AE133" s="2"/>
      <c r="AF133" s="2"/>
      <c r="AG133" s="2"/>
    </row>
    <row r="134" spans="29:33" x14ac:dyDescent="0.25">
      <c r="AC134" s="2"/>
      <c r="AD134" s="2"/>
      <c r="AE134" s="2"/>
      <c r="AF134" s="2"/>
      <c r="AG134" s="2"/>
    </row>
    <row r="135" spans="29:33" x14ac:dyDescent="0.25">
      <c r="AC135" s="2"/>
      <c r="AD135" s="2"/>
      <c r="AE135" s="2"/>
      <c r="AF135" s="2"/>
      <c r="AG135" s="2"/>
    </row>
    <row r="136" spans="29:33" x14ac:dyDescent="0.25">
      <c r="AC136" s="2"/>
      <c r="AD136" s="2"/>
      <c r="AE136" s="2"/>
      <c r="AF136" s="2"/>
      <c r="AG136" s="2"/>
    </row>
    <row r="137" spans="29:33" x14ac:dyDescent="0.25">
      <c r="AC137" s="2"/>
      <c r="AD137" s="2"/>
      <c r="AE137" s="2"/>
      <c r="AF137" s="2"/>
      <c r="AG137" s="2"/>
    </row>
    <row r="138" spans="29:33" x14ac:dyDescent="0.25">
      <c r="AC138" s="2"/>
      <c r="AD138" s="2"/>
      <c r="AE138" s="2"/>
      <c r="AF138" s="2"/>
      <c r="AG138" s="2"/>
    </row>
    <row r="139" spans="29:33" x14ac:dyDescent="0.25">
      <c r="AC139" s="2"/>
      <c r="AD139" s="2"/>
      <c r="AE139" s="2"/>
      <c r="AF139" s="2"/>
      <c r="AG139" s="2"/>
    </row>
    <row r="140" spans="29:33" x14ac:dyDescent="0.25">
      <c r="AC140" s="2"/>
      <c r="AD140" s="2"/>
      <c r="AE140" s="2"/>
      <c r="AF140" s="2"/>
      <c r="AG140" s="2"/>
    </row>
    <row r="141" spans="29:33" x14ac:dyDescent="0.25">
      <c r="AC141" s="2"/>
      <c r="AD141" s="2"/>
      <c r="AE141" s="2"/>
      <c r="AF141" s="2"/>
      <c r="AG141" s="2"/>
    </row>
    <row r="142" spans="29:33" x14ac:dyDescent="0.25">
      <c r="AC142" s="2"/>
      <c r="AD142" s="2"/>
      <c r="AE142" s="2"/>
      <c r="AF142" s="2"/>
      <c r="AG142" s="2"/>
    </row>
    <row r="143" spans="29:33" x14ac:dyDescent="0.25">
      <c r="AC143" s="2"/>
      <c r="AD143" s="2"/>
      <c r="AE143" s="2"/>
      <c r="AF143" s="2"/>
      <c r="AG143" s="2"/>
    </row>
    <row r="144" spans="29:33" x14ac:dyDescent="0.25">
      <c r="AC144" s="2"/>
      <c r="AD144" s="2"/>
      <c r="AE144" s="2"/>
      <c r="AF144" s="2"/>
      <c r="AG144" s="2"/>
    </row>
    <row r="145" spans="29:33" x14ac:dyDescent="0.25">
      <c r="AC145" s="2"/>
      <c r="AD145" s="2"/>
      <c r="AE145" s="2"/>
      <c r="AF145" s="2"/>
      <c r="AG145" s="2"/>
    </row>
    <row r="146" spans="29:33" x14ac:dyDescent="0.25">
      <c r="AC146" s="2"/>
      <c r="AD146" s="2"/>
      <c r="AE146" s="2"/>
      <c r="AF146" s="2"/>
      <c r="AG146" s="2"/>
    </row>
    <row r="147" spans="29:33" x14ac:dyDescent="0.25">
      <c r="AC147" s="2"/>
      <c r="AD147" s="2"/>
      <c r="AE147" s="2"/>
      <c r="AF147" s="2"/>
      <c r="AG147" s="2"/>
    </row>
    <row r="148" spans="29:33" x14ac:dyDescent="0.25">
      <c r="AC148" s="2"/>
      <c r="AD148" s="2"/>
      <c r="AE148" s="2"/>
      <c r="AF148" s="2"/>
      <c r="AG148" s="2"/>
    </row>
    <row r="149" spans="29:33" x14ac:dyDescent="0.25">
      <c r="AC149" s="2"/>
      <c r="AD149" s="2"/>
      <c r="AE149" s="2"/>
      <c r="AF149" s="2"/>
      <c r="AG149" s="2"/>
    </row>
    <row r="150" spans="29:33" x14ac:dyDescent="0.25">
      <c r="AC150" s="2"/>
      <c r="AD150" s="2"/>
      <c r="AE150" s="2"/>
      <c r="AF150" s="2"/>
      <c r="AG150" s="2"/>
    </row>
    <row r="151" spans="29:33" x14ac:dyDescent="0.25">
      <c r="AC151" s="2"/>
      <c r="AD151" s="2"/>
      <c r="AE151" s="2"/>
      <c r="AF151" s="2"/>
      <c r="AG151" s="2"/>
    </row>
    <row r="152" spans="29:33" x14ac:dyDescent="0.25">
      <c r="AC152" s="2"/>
      <c r="AD152" s="2"/>
      <c r="AE152" s="2"/>
      <c r="AF152" s="2"/>
      <c r="AG152" s="2"/>
    </row>
    <row r="153" spans="29:33" x14ac:dyDescent="0.25">
      <c r="AC153" s="2"/>
      <c r="AD153" s="2"/>
      <c r="AE153" s="2"/>
      <c r="AF153" s="2"/>
      <c r="AG153" s="2"/>
    </row>
    <row r="154" spans="29:33" x14ac:dyDescent="0.25">
      <c r="AC154" s="2"/>
      <c r="AD154" s="2"/>
      <c r="AE154" s="2"/>
      <c r="AF154" s="2"/>
      <c r="AG154" s="2"/>
    </row>
    <row r="155" spans="29:33" x14ac:dyDescent="0.25">
      <c r="AC155" s="2"/>
      <c r="AD155" s="2"/>
      <c r="AE155" s="2"/>
      <c r="AF155" s="2"/>
      <c r="AG155" s="2"/>
    </row>
    <row r="156" spans="29:33" x14ac:dyDescent="0.25">
      <c r="AC156" s="2"/>
      <c r="AD156" s="2"/>
      <c r="AE156" s="2"/>
      <c r="AF156" s="2"/>
      <c r="AG156" s="2"/>
    </row>
    <row r="157" spans="29:33" x14ac:dyDescent="0.25">
      <c r="AC157" s="2"/>
      <c r="AD157" s="2"/>
      <c r="AE157" s="2"/>
      <c r="AF157" s="2"/>
      <c r="AG157" s="2"/>
    </row>
    <row r="158" spans="29:33" x14ac:dyDescent="0.25">
      <c r="AC158" s="2"/>
      <c r="AD158" s="2"/>
      <c r="AE158" s="2"/>
      <c r="AF158" s="2"/>
      <c r="AG158" s="2"/>
    </row>
    <row r="159" spans="29:33" x14ac:dyDescent="0.25">
      <c r="AC159" s="2"/>
      <c r="AD159" s="2"/>
      <c r="AE159" s="2"/>
      <c r="AF159" s="2"/>
      <c r="AG159" s="2"/>
    </row>
    <row r="160" spans="29:33" x14ac:dyDescent="0.25">
      <c r="AC160" s="2"/>
      <c r="AD160" s="2"/>
      <c r="AE160" s="2"/>
      <c r="AF160" s="2"/>
      <c r="AG160" s="2"/>
    </row>
    <row r="161" spans="29:33" x14ac:dyDescent="0.25">
      <c r="AC161" s="2"/>
      <c r="AD161" s="2"/>
      <c r="AE161" s="2"/>
      <c r="AF161" s="2"/>
      <c r="AG161" s="2"/>
    </row>
    <row r="162" spans="29:33" x14ac:dyDescent="0.25">
      <c r="AC162" s="2"/>
      <c r="AD162" s="2"/>
      <c r="AE162" s="2"/>
      <c r="AF162" s="2"/>
      <c r="AG162" s="2"/>
    </row>
    <row r="163" spans="29:33" x14ac:dyDescent="0.25">
      <c r="AC163" s="2"/>
      <c r="AD163" s="2"/>
      <c r="AE163" s="2"/>
      <c r="AF163" s="2"/>
      <c r="AG163" s="2"/>
    </row>
    <row r="164" spans="29:33" x14ac:dyDescent="0.25">
      <c r="AC164" s="2"/>
      <c r="AD164" s="2"/>
      <c r="AE164" s="2"/>
      <c r="AF164" s="2"/>
      <c r="AG164" s="2"/>
    </row>
    <row r="165" spans="29:33" x14ac:dyDescent="0.25">
      <c r="AC165" s="2"/>
      <c r="AD165" s="2"/>
      <c r="AE165" s="2"/>
      <c r="AF165" s="2"/>
      <c r="AG165" s="2"/>
    </row>
    <row r="166" spans="29:33" x14ac:dyDescent="0.25">
      <c r="AC166" s="2"/>
      <c r="AD166" s="2"/>
      <c r="AE166" s="2"/>
      <c r="AF166" s="2"/>
      <c r="AG166" s="2"/>
    </row>
    <row r="167" spans="29:33" x14ac:dyDescent="0.25">
      <c r="AC167" s="2"/>
      <c r="AD167" s="2"/>
      <c r="AE167" s="2"/>
      <c r="AF167" s="2"/>
      <c r="AG167" s="2"/>
    </row>
    <row r="168" spans="29:33" x14ac:dyDescent="0.25">
      <c r="AC168" s="2"/>
      <c r="AD168" s="2"/>
      <c r="AE168" s="2"/>
      <c r="AF168" s="2"/>
      <c r="AG168" s="2"/>
    </row>
    <row r="169" spans="29:33" x14ac:dyDescent="0.25">
      <c r="AC169" s="2"/>
      <c r="AD169" s="2"/>
      <c r="AE169" s="2"/>
      <c r="AF169" s="2"/>
      <c r="AG169" s="2"/>
    </row>
    <row r="170" spans="29:33" x14ac:dyDescent="0.25">
      <c r="AC170" s="2"/>
      <c r="AD170" s="2"/>
      <c r="AE170" s="2"/>
      <c r="AF170" s="2"/>
      <c r="AG170" s="2"/>
    </row>
    <row r="171" spans="29:33" x14ac:dyDescent="0.25">
      <c r="AC171" s="2"/>
      <c r="AD171" s="2"/>
      <c r="AE171" s="2"/>
      <c r="AF171" s="2"/>
      <c r="AG171" s="2"/>
    </row>
    <row r="172" spans="29:33" x14ac:dyDescent="0.25">
      <c r="AC172" s="2"/>
      <c r="AD172" s="2"/>
      <c r="AE172" s="2"/>
      <c r="AF172" s="2"/>
      <c r="AG172" s="2"/>
    </row>
    <row r="173" spans="29:33" x14ac:dyDescent="0.25">
      <c r="AC173" s="2"/>
      <c r="AD173" s="2"/>
      <c r="AE173" s="2"/>
      <c r="AF173" s="2"/>
      <c r="AG173" s="2"/>
    </row>
    <row r="174" spans="29:33" x14ac:dyDescent="0.25">
      <c r="AC174" s="2"/>
      <c r="AD174" s="2"/>
      <c r="AE174" s="2"/>
      <c r="AF174" s="2"/>
      <c r="AG174" s="2"/>
    </row>
    <row r="175" spans="29:33" x14ac:dyDescent="0.25">
      <c r="AC175" s="2"/>
      <c r="AD175" s="2"/>
      <c r="AE175" s="2"/>
      <c r="AF175" s="2"/>
      <c r="AG175" s="2"/>
    </row>
    <row r="176" spans="29:33" x14ac:dyDescent="0.25">
      <c r="AC176" s="2"/>
      <c r="AD176" s="2"/>
      <c r="AE176" s="2"/>
      <c r="AF176" s="2"/>
      <c r="AG176" s="2"/>
    </row>
    <row r="177" spans="29:33" x14ac:dyDescent="0.25">
      <c r="AC177" s="2"/>
      <c r="AD177" s="2"/>
      <c r="AE177" s="2"/>
      <c r="AF177" s="2"/>
      <c r="AG177" s="2"/>
    </row>
    <row r="178" spans="29:33" x14ac:dyDescent="0.25">
      <c r="AC178" s="2"/>
      <c r="AD178" s="2"/>
      <c r="AE178" s="2"/>
      <c r="AF178" s="2"/>
      <c r="AG178" s="2"/>
    </row>
    <row r="179" spans="29:33" x14ac:dyDescent="0.25">
      <c r="AC179" s="2"/>
      <c r="AD179" s="2"/>
      <c r="AE179" s="2"/>
      <c r="AF179" s="2"/>
      <c r="AG179" s="2"/>
    </row>
    <row r="180" spans="29:33" x14ac:dyDescent="0.25">
      <c r="AC180" s="2"/>
      <c r="AD180" s="2"/>
      <c r="AE180" s="2"/>
      <c r="AF180" s="2"/>
      <c r="AG180" s="2"/>
    </row>
    <row r="181" spans="29:33" x14ac:dyDescent="0.25">
      <c r="AC181" s="2"/>
      <c r="AD181" s="2"/>
      <c r="AE181" s="2"/>
      <c r="AF181" s="2"/>
      <c r="AG181" s="2"/>
    </row>
    <row r="182" spans="29:33" x14ac:dyDescent="0.25">
      <c r="AC182" s="2"/>
      <c r="AD182" s="2"/>
      <c r="AE182" s="2"/>
      <c r="AF182" s="2"/>
      <c r="AG182" s="2"/>
    </row>
    <row r="183" spans="29:33" x14ac:dyDescent="0.25">
      <c r="AC183" s="2"/>
      <c r="AD183" s="2"/>
      <c r="AE183" s="2"/>
      <c r="AF183" s="2"/>
      <c r="AG183" s="2"/>
    </row>
    <row r="184" spans="29:33" x14ac:dyDescent="0.25">
      <c r="AC184" s="2"/>
      <c r="AD184" s="2"/>
      <c r="AE184" s="2"/>
      <c r="AF184" s="2"/>
      <c r="AG184" s="2"/>
    </row>
    <row r="185" spans="29:33" x14ac:dyDescent="0.25">
      <c r="AC185" s="2"/>
      <c r="AD185" s="2"/>
      <c r="AE185" s="2"/>
      <c r="AF185" s="2"/>
      <c r="AG185" s="2"/>
    </row>
    <row r="186" spans="29:33" x14ac:dyDescent="0.25">
      <c r="AC186" s="2"/>
      <c r="AD186" s="2"/>
      <c r="AE186" s="2"/>
      <c r="AF186" s="2"/>
      <c r="AG186" s="2"/>
    </row>
    <row r="187" spans="29:33" x14ac:dyDescent="0.25">
      <c r="AC187" s="2"/>
      <c r="AD187" s="2"/>
      <c r="AE187" s="2"/>
      <c r="AF187" s="2"/>
      <c r="AG187" s="2"/>
    </row>
    <row r="188" spans="29:33" x14ac:dyDescent="0.25">
      <c r="AC188" s="2"/>
      <c r="AD188" s="2"/>
      <c r="AE188" s="2"/>
      <c r="AF188" s="2"/>
      <c r="AG188" s="2"/>
    </row>
    <row r="189" spans="29:33" x14ac:dyDescent="0.25">
      <c r="AC189" s="2"/>
      <c r="AD189" s="2"/>
      <c r="AE189" s="2"/>
      <c r="AF189" s="2"/>
      <c r="AG189" s="2"/>
    </row>
    <row r="190" spans="29:33" x14ac:dyDescent="0.25">
      <c r="AC190" s="2"/>
      <c r="AD190" s="2"/>
      <c r="AE190" s="2"/>
      <c r="AF190" s="2"/>
      <c r="AG190" s="2"/>
    </row>
    <row r="191" spans="29:33" x14ac:dyDescent="0.25">
      <c r="AC191" s="2"/>
      <c r="AD191" s="2"/>
      <c r="AE191" s="2"/>
      <c r="AF191" s="2"/>
      <c r="AG191" s="2"/>
    </row>
    <row r="192" spans="29:33" x14ac:dyDescent="0.25">
      <c r="AC192" s="2"/>
      <c r="AD192" s="2"/>
      <c r="AE192" s="2"/>
      <c r="AF192" s="2"/>
      <c r="AG192" s="2"/>
    </row>
    <row r="193" spans="29:33" x14ac:dyDescent="0.25">
      <c r="AC193" s="2"/>
      <c r="AD193" s="2"/>
      <c r="AE193" s="2"/>
      <c r="AF193" s="2"/>
      <c r="AG193" s="2"/>
    </row>
    <row r="194" spans="29:33" x14ac:dyDescent="0.25">
      <c r="AC194" s="2"/>
      <c r="AD194" s="2"/>
      <c r="AE194" s="2"/>
      <c r="AF194" s="2"/>
      <c r="AG194" s="2"/>
    </row>
    <row r="195" spans="29:33" x14ac:dyDescent="0.25">
      <c r="AC195" s="2"/>
      <c r="AD195" s="2"/>
      <c r="AE195" s="2"/>
      <c r="AF195" s="2"/>
      <c r="AG195" s="2"/>
    </row>
    <row r="196" spans="29:33" x14ac:dyDescent="0.25">
      <c r="AC196" s="2"/>
      <c r="AD196" s="2"/>
      <c r="AE196" s="2"/>
      <c r="AF196" s="2"/>
      <c r="AG196" s="2"/>
    </row>
    <row r="197" spans="29:33" x14ac:dyDescent="0.25">
      <c r="AC197" s="2"/>
      <c r="AD197" s="2"/>
      <c r="AE197" s="2"/>
      <c r="AF197" s="2"/>
      <c r="AG197" s="2"/>
    </row>
    <row r="198" spans="29:33" x14ac:dyDescent="0.25">
      <c r="AC198" s="2"/>
      <c r="AD198" s="2"/>
      <c r="AE198" s="2"/>
      <c r="AF198" s="2"/>
      <c r="AG198" s="2"/>
    </row>
    <row r="199" spans="29:33" x14ac:dyDescent="0.25">
      <c r="AC199" s="2"/>
      <c r="AD199" s="2"/>
      <c r="AE199" s="2"/>
      <c r="AF199" s="2"/>
      <c r="AG199" s="2"/>
    </row>
    <row r="200" spans="29:33" x14ac:dyDescent="0.25">
      <c r="AC200" s="2"/>
      <c r="AD200" s="2"/>
      <c r="AE200" s="2"/>
      <c r="AF200" s="41">
        <f ca="1">TODAY()</f>
        <v>46296</v>
      </c>
      <c r="AG200" s="5" cm="1">
        <f t="array" ref="AG200">LOOKUP(2,1/(H:H&gt;0),H:H)</f>
        <v>8.6859999999999999</v>
      </c>
    </row>
  </sheetData>
  <mergeCells count="18">
    <mergeCell ref="AF3:AG3"/>
    <mergeCell ref="O3:O4"/>
    <mergeCell ref="P3:P4"/>
    <mergeCell ref="Q3:Q4"/>
    <mergeCell ref="R3:R4"/>
    <mergeCell ref="S3:U3"/>
    <mergeCell ref="V3:W3"/>
    <mergeCell ref="X3:X4"/>
    <mergeCell ref="Y3:Y4"/>
    <mergeCell ref="AC3:AC4"/>
    <mergeCell ref="AD3:AD4"/>
    <mergeCell ref="AE3:AE4"/>
    <mergeCell ref="M3:M4"/>
    <mergeCell ref="A3:A4"/>
    <mergeCell ref="B3:D3"/>
    <mergeCell ref="E3:F3"/>
    <mergeCell ref="G3:J3"/>
    <mergeCell ref="K3:L3"/>
  </mergeCells>
  <hyperlinks>
    <hyperlink ref="A5" location="'2026.05'!A1" display="'2026.05'!A1" xr:uid="{8CBB3CF2-21F6-43C9-9886-64DD71756CDE}"/>
  </hyperlinks>
  <pageMargins left="0.7" right="0.7" top="0.75" bottom="0.75" header="0.3" footer="0.3"/>
  <pageSetup orientation="portrait" r:id="rId1"/>
  <ignoredErrors>
    <ignoredError sqref="E5" 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13135-2FB6-4824-BB6E-48C7A6222BD4}">
  <dimension ref="A2:X139"/>
  <sheetViews>
    <sheetView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73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155</v>
      </c>
      <c r="R5" s="5">
        <v>0</v>
      </c>
      <c r="S5" s="5">
        <f>C19+C29+C39+C49+C59+C69+C79+C89+C99+C109+C119+C129+C139</f>
        <v>161.38</v>
      </c>
      <c r="T5" s="5">
        <f>I19+I29+I39+I49+I59+I69+I79+I89+I99+I109+I119+I129+I139</f>
        <v>0</v>
      </c>
      <c r="U5" s="5">
        <f>D19+D29+D39+D49+D59+D69+D79+D89+D99+D109+D119+D129+D139</f>
        <v>0</v>
      </c>
      <c r="V5" s="5">
        <f>J19+J29+J39+J49+J59+J69+J79+J89+J99+J109+J119+J129+J139</f>
        <v>0</v>
      </c>
      <c r="W5" s="5">
        <f>O19+O29+O39+O49+O59+O69+O79+O89+O99+O109+O119+O129+O139</f>
        <v>0</v>
      </c>
      <c r="X5" s="5">
        <f>Q5-S5-U5+T5-V5+W5</f>
        <v>-6.3799999999999955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46267</v>
      </c>
      <c r="B85" s="5">
        <v>65.319999999999993</v>
      </c>
      <c r="C85" s="5">
        <f>B85-D85</f>
        <v>65.319999999999993</v>
      </c>
      <c r="D85" s="5">
        <v>0</v>
      </c>
      <c r="E85" s="13">
        <f>C85/F85</f>
        <v>16.329999999999998</v>
      </c>
      <c r="F85" s="15">
        <v>4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5"/>
      <c r="E86" s="13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65.319999999999993</v>
      </c>
      <c r="C89" s="5">
        <f t="shared" ref="C89:D89" si="24">SUM(C85:C88)</f>
        <v>65.319999999999993</v>
      </c>
      <c r="D89" s="5">
        <f t="shared" si="24"/>
        <v>0</v>
      </c>
      <c r="E89" s="5">
        <f>IF(B89&gt;0,SUMPRODUCT(E85:E88,F85:F88)/SUM(F85:F88),"0.00")</f>
        <v>16.329999999999998</v>
      </c>
      <c r="F89" s="15">
        <f t="shared" ref="F89" si="25">SUM(F85:F88)</f>
        <v>4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1" spans="1:18" hidden="1" x14ac:dyDescent="0.25"/>
    <row r="92" spans="1:18" hidden="1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hidden="1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hidden="1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hidden="1" x14ac:dyDescent="0.25">
      <c r="A95" s="40"/>
      <c r="B95" s="5"/>
      <c r="C95" s="5"/>
      <c r="D95" s="5"/>
      <c r="E95" s="13"/>
      <c r="F95" s="15"/>
      <c r="G95" s="80"/>
      <c r="H95" s="44"/>
      <c r="I95" s="5"/>
      <c r="J95" s="5"/>
      <c r="K95" s="5"/>
      <c r="L95" s="6"/>
      <c r="M95" s="23"/>
      <c r="N95" s="42"/>
      <c r="O95" s="5"/>
      <c r="R95" s="1"/>
    </row>
    <row r="96" spans="1:18" hidden="1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hidden="1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hidden="1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hidden="1" x14ac:dyDescent="0.25">
      <c r="A99" s="3" t="s">
        <v>2</v>
      </c>
      <c r="B99" s="5">
        <f>SUM(B95:B98)</f>
        <v>0</v>
      </c>
      <c r="C99" s="5">
        <f t="shared" ref="C99:D99" si="28">SUM(C95:C98)</f>
        <v>0</v>
      </c>
      <c r="D99" s="5">
        <f t="shared" si="28"/>
        <v>0</v>
      </c>
      <c r="E99" s="5" t="str">
        <f>IF(B99&gt;0,SUMPRODUCT(E95:E98,F95:F98)/SUM(F95:F98),"0.00")</f>
        <v>0.00</v>
      </c>
      <c r="F99" s="15">
        <f t="shared" ref="F99" si="29">SUM(F95:F98)</f>
        <v>0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</v>
      </c>
    </row>
    <row r="100" spans="1:15" hidden="1" x14ac:dyDescent="0.25"/>
    <row r="101" spans="1:15" hidden="1" x14ac:dyDescent="0.25"/>
    <row r="102" spans="1:15" hidden="1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hidden="1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hidden="1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hidden="1" x14ac:dyDescent="0.25">
      <c r="A105" s="40"/>
      <c r="B105" s="5"/>
      <c r="C105" s="5"/>
      <c r="D105" s="6"/>
      <c r="E105" s="13"/>
      <c r="F105" s="15"/>
      <c r="G105" s="80"/>
      <c r="H105" s="44"/>
      <c r="I105" s="6"/>
      <c r="J105" s="5"/>
      <c r="K105" s="5"/>
      <c r="L105" s="6"/>
      <c r="M105" s="23"/>
      <c r="N105" s="42"/>
      <c r="O105" s="5"/>
    </row>
    <row r="106" spans="1:15" hidden="1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hidden="1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hidden="1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hidden="1" x14ac:dyDescent="0.25">
      <c r="A109" s="3" t="s">
        <v>2</v>
      </c>
      <c r="B109" s="5">
        <f>SUM(B105:B108)</f>
        <v>0</v>
      </c>
      <c r="C109" s="5">
        <f t="shared" ref="C109:D109" si="32">SUM(C105:C108)</f>
        <v>0</v>
      </c>
      <c r="D109" s="5">
        <f t="shared" si="32"/>
        <v>0</v>
      </c>
      <c r="E109" s="5" t="str">
        <f>IF(B109&gt;0,SUMPRODUCT(E105:E108,F105:F108)/SUM(F105:F108),"0.00")</f>
        <v>0.00</v>
      </c>
      <c r="F109" s="15">
        <f t="shared" ref="F109" si="33">SUM(F105:F108)</f>
        <v>0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</v>
      </c>
    </row>
    <row r="110" spans="1:15" hidden="1" x14ac:dyDescent="0.25">
      <c r="A110" s="39"/>
      <c r="B110" s="9"/>
      <c r="E110" s="1"/>
      <c r="F110" s="11"/>
    </row>
    <row r="112" spans="1:15" x14ac:dyDescent="0.25">
      <c r="A112" s="76" t="s">
        <v>61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8"/>
    </row>
    <row r="113" spans="1:15" x14ac:dyDescent="0.25">
      <c r="A113" s="69" t="s">
        <v>14</v>
      </c>
      <c r="B113" s="71"/>
      <c r="C113" s="71"/>
      <c r="D113" s="71"/>
      <c r="E113" s="71"/>
      <c r="F113" s="70"/>
      <c r="G113" s="79"/>
      <c r="H113" s="72" t="s">
        <v>37</v>
      </c>
      <c r="I113" s="72"/>
      <c r="J113" s="72"/>
      <c r="K113" s="72"/>
      <c r="L113" s="2"/>
      <c r="M113" s="35"/>
      <c r="N113" s="69" t="s">
        <v>49</v>
      </c>
      <c r="O113" s="70"/>
    </row>
    <row r="114" spans="1:15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x14ac:dyDescent="0.25">
      <c r="A115" s="40">
        <v>46267</v>
      </c>
      <c r="B115" s="5">
        <v>40.11</v>
      </c>
      <c r="C115" s="5">
        <f>B115-D115</f>
        <v>40.11</v>
      </c>
      <c r="D115" s="5">
        <v>0</v>
      </c>
      <c r="E115" s="13">
        <f>C115/F115</f>
        <v>40.11</v>
      </c>
      <c r="F115" s="15">
        <v>1</v>
      </c>
      <c r="G115" s="80"/>
      <c r="H115" s="6"/>
      <c r="I115" s="6"/>
      <c r="J115" s="5"/>
      <c r="K115" s="5"/>
      <c r="L115" s="6"/>
      <c r="M115" s="23"/>
      <c r="N115" s="42"/>
      <c r="O115" s="5"/>
    </row>
    <row r="116" spans="1:15" x14ac:dyDescent="0.25">
      <c r="A116" s="40"/>
      <c r="B116" s="5"/>
      <c r="C116" s="5"/>
      <c r="D116" s="5"/>
      <c r="E116" s="13"/>
      <c r="F116" s="15"/>
      <c r="G116" s="80"/>
      <c r="H116" s="6"/>
      <c r="I116" s="2"/>
      <c r="J116" s="2"/>
      <c r="K116" s="2"/>
      <c r="L116" s="2"/>
      <c r="M116" s="37"/>
      <c r="N116" s="43"/>
      <c r="O116" s="2"/>
    </row>
    <row r="117" spans="1:15" x14ac:dyDescent="0.25">
      <c r="A117" s="40"/>
      <c r="B117" s="6"/>
      <c r="C117" s="5"/>
      <c r="D117" s="6"/>
      <c r="E117" s="6"/>
      <c r="F117" s="6"/>
      <c r="G117" s="80"/>
      <c r="H117" s="6"/>
      <c r="I117" s="2"/>
      <c r="J117" s="2"/>
      <c r="K117" s="2"/>
      <c r="L117" s="2"/>
      <c r="M117" s="37"/>
      <c r="N117" s="43"/>
      <c r="O117" s="2"/>
    </row>
    <row r="118" spans="1:15" x14ac:dyDescent="0.25">
      <c r="A118" s="2"/>
      <c r="B118" s="6"/>
      <c r="C118" s="2"/>
      <c r="D118" s="2"/>
      <c r="E118" s="6"/>
      <c r="F118" s="6"/>
      <c r="G118" s="80"/>
      <c r="H118" s="6"/>
      <c r="I118" s="2"/>
      <c r="J118" s="2"/>
      <c r="K118" s="2"/>
      <c r="L118" s="2"/>
      <c r="M118" s="37"/>
      <c r="N118" s="43"/>
      <c r="O118" s="2"/>
    </row>
    <row r="119" spans="1:15" x14ac:dyDescent="0.25">
      <c r="A119" s="3" t="s">
        <v>2</v>
      </c>
      <c r="B119" s="5">
        <f>SUM(B115:B118)</f>
        <v>40.11</v>
      </c>
      <c r="C119" s="5">
        <f t="shared" ref="C119:D119" si="36">SUM(C115:C118)</f>
        <v>40.11</v>
      </c>
      <c r="D119" s="5">
        <f t="shared" si="36"/>
        <v>0</v>
      </c>
      <c r="E119" s="5">
        <f>IF(B119&gt;0,SUMPRODUCT(E115:E118,F115:F118)/SUM(F115:F118),"0.00")</f>
        <v>40.11</v>
      </c>
      <c r="F119" s="15">
        <f t="shared" ref="F119" si="37">SUM(F115:F118)</f>
        <v>1</v>
      </c>
      <c r="G119" s="81"/>
      <c r="H119" s="3" t="s">
        <v>2</v>
      </c>
      <c r="I119" s="5">
        <f>SUM(I115:I118)</f>
        <v>0</v>
      </c>
      <c r="J119" s="5">
        <f t="shared" ref="J119" si="38">SUM(J115:J118)</f>
        <v>0</v>
      </c>
      <c r="K119" s="6"/>
      <c r="L119" s="15">
        <f t="shared" ref="L119" si="39">SUM(L115:L118)</f>
        <v>0</v>
      </c>
      <c r="M119" s="38"/>
      <c r="N119" s="3" t="s">
        <v>2</v>
      </c>
      <c r="O119" s="5">
        <f>SUM(O115:O118)</f>
        <v>0</v>
      </c>
    </row>
    <row r="122" spans="1:15" x14ac:dyDescent="0.25">
      <c r="A122" s="76" t="s">
        <v>63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 x14ac:dyDescent="0.25">
      <c r="A123" s="69" t="s">
        <v>14</v>
      </c>
      <c r="B123" s="71"/>
      <c r="C123" s="71"/>
      <c r="D123" s="71"/>
      <c r="E123" s="71"/>
      <c r="F123" s="70"/>
      <c r="G123" s="79"/>
      <c r="H123" s="72" t="s">
        <v>37</v>
      </c>
      <c r="I123" s="72"/>
      <c r="J123" s="72"/>
      <c r="K123" s="72"/>
      <c r="L123" s="2"/>
      <c r="M123" s="35"/>
      <c r="N123" s="69" t="s">
        <v>49</v>
      </c>
      <c r="O123" s="70"/>
    </row>
    <row r="124" spans="1:15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x14ac:dyDescent="0.25">
      <c r="A125" s="40">
        <v>46267</v>
      </c>
      <c r="B125" s="5">
        <v>47.27</v>
      </c>
      <c r="C125" s="5">
        <f>B125-D125</f>
        <v>47.27</v>
      </c>
      <c r="D125" s="5">
        <v>0</v>
      </c>
      <c r="E125" s="13">
        <f>C125/F125</f>
        <v>47.27</v>
      </c>
      <c r="F125" s="15">
        <v>1</v>
      </c>
      <c r="G125" s="80"/>
      <c r="H125" s="6"/>
      <c r="I125" s="6"/>
      <c r="J125" s="5"/>
      <c r="K125" s="5"/>
      <c r="L125" s="6"/>
      <c r="M125" s="23"/>
      <c r="N125" s="42"/>
      <c r="O125" s="5"/>
    </row>
    <row r="126" spans="1:15" x14ac:dyDescent="0.25">
      <c r="A126" s="40"/>
      <c r="B126" s="5"/>
      <c r="C126" s="5"/>
      <c r="D126" s="5"/>
      <c r="E126" s="13"/>
      <c r="F126" s="15"/>
      <c r="G126" s="80"/>
      <c r="H126" s="6"/>
      <c r="I126" s="2"/>
      <c r="J126" s="2"/>
      <c r="K126" s="2"/>
      <c r="L126" s="2"/>
      <c r="M126" s="37"/>
      <c r="N126" s="43"/>
      <c r="O126" s="2"/>
    </row>
    <row r="127" spans="1:15" x14ac:dyDescent="0.25">
      <c r="A127" s="40"/>
      <c r="B127" s="6"/>
      <c r="C127" s="5"/>
      <c r="D127" s="6"/>
      <c r="E127" s="6"/>
      <c r="F127" s="6"/>
      <c r="G127" s="80"/>
      <c r="H127" s="6"/>
      <c r="I127" s="2"/>
      <c r="J127" s="2"/>
      <c r="K127" s="2"/>
      <c r="L127" s="2"/>
      <c r="M127" s="37"/>
      <c r="N127" s="43"/>
      <c r="O127" s="2"/>
    </row>
    <row r="128" spans="1:15" x14ac:dyDescent="0.25">
      <c r="A128" s="2"/>
      <c r="B128" s="6"/>
      <c r="C128" s="2"/>
      <c r="D128" s="2"/>
      <c r="E128" s="6"/>
      <c r="F128" s="6"/>
      <c r="G128" s="80"/>
      <c r="H128" s="6"/>
      <c r="I128" s="2"/>
      <c r="J128" s="2"/>
      <c r="K128" s="2"/>
      <c r="L128" s="2"/>
      <c r="M128" s="37"/>
      <c r="N128" s="43"/>
      <c r="O128" s="2"/>
    </row>
    <row r="129" spans="1:15" x14ac:dyDescent="0.25">
      <c r="A129" s="3" t="s">
        <v>2</v>
      </c>
      <c r="B129" s="5">
        <f>SUM(B125:B128)</f>
        <v>47.27</v>
      </c>
      <c r="C129" s="5">
        <f t="shared" ref="C129:D129" si="40">SUM(C125:C128)</f>
        <v>47.27</v>
      </c>
      <c r="D129" s="5">
        <f t="shared" si="40"/>
        <v>0</v>
      </c>
      <c r="E129" s="5">
        <f>IF(B129&gt;0,SUMPRODUCT(E125:E128,F125:F128)/SUM(F125:F128),"0.00")</f>
        <v>47.27</v>
      </c>
      <c r="F129" s="15">
        <f t="shared" ref="F129" si="41">SUM(F125:F128)</f>
        <v>1</v>
      </c>
      <c r="G129" s="81"/>
      <c r="H129" s="3" t="s">
        <v>2</v>
      </c>
      <c r="I129" s="5">
        <f>SUM(I125:I128)</f>
        <v>0</v>
      </c>
      <c r="J129" s="5">
        <f t="shared" ref="J129" si="42">SUM(J125:J128)</f>
        <v>0</v>
      </c>
      <c r="K129" s="6"/>
      <c r="L129" s="15">
        <f t="shared" ref="L129" si="43">SUM(L125:L128)</f>
        <v>0</v>
      </c>
      <c r="M129" s="38"/>
      <c r="N129" s="3" t="s">
        <v>2</v>
      </c>
      <c r="O129" s="5">
        <f>SUM(O125:O128)</f>
        <v>0</v>
      </c>
    </row>
    <row r="132" spans="1:15" x14ac:dyDescent="0.25">
      <c r="A132" s="76" t="s">
        <v>74</v>
      </c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8"/>
    </row>
    <row r="133" spans="1:15" x14ac:dyDescent="0.25">
      <c r="A133" s="69" t="s">
        <v>14</v>
      </c>
      <c r="B133" s="71"/>
      <c r="C133" s="71"/>
      <c r="D133" s="71"/>
      <c r="E133" s="71"/>
      <c r="F133" s="70"/>
      <c r="G133" s="79"/>
      <c r="H133" s="72" t="s">
        <v>37</v>
      </c>
      <c r="I133" s="72"/>
      <c r="J133" s="72"/>
      <c r="K133" s="72"/>
      <c r="L133" s="2"/>
      <c r="M133" s="35"/>
      <c r="N133" s="69" t="s">
        <v>49</v>
      </c>
      <c r="O133" s="70"/>
    </row>
    <row r="134" spans="1:15" x14ac:dyDescent="0.25">
      <c r="A134" s="31" t="s">
        <v>42</v>
      </c>
      <c r="B134" s="3" t="s">
        <v>3</v>
      </c>
      <c r="C134" s="3" t="s">
        <v>8</v>
      </c>
      <c r="D134" s="3" t="s">
        <v>7</v>
      </c>
      <c r="E134" s="3" t="s">
        <v>0</v>
      </c>
      <c r="F134" s="3" t="s">
        <v>1</v>
      </c>
      <c r="G134" s="80"/>
      <c r="H134" s="31" t="s">
        <v>42</v>
      </c>
      <c r="I134" s="3" t="s">
        <v>38</v>
      </c>
      <c r="J134" s="3" t="s">
        <v>7</v>
      </c>
      <c r="K134" s="3" t="s">
        <v>0</v>
      </c>
      <c r="L134" s="3" t="s">
        <v>1</v>
      </c>
      <c r="M134" s="36"/>
      <c r="N134" s="22" t="s">
        <v>42</v>
      </c>
      <c r="O134" s="3" t="s">
        <v>38</v>
      </c>
    </row>
    <row r="135" spans="1:15" x14ac:dyDescent="0.25">
      <c r="A135" s="40">
        <v>46272</v>
      </c>
      <c r="B135" s="5">
        <v>8.68</v>
      </c>
      <c r="C135" s="5">
        <f>B135-D135</f>
        <v>8.68</v>
      </c>
      <c r="D135" s="5">
        <v>0</v>
      </c>
      <c r="E135" s="13">
        <f>C135/F135</f>
        <v>4.34</v>
      </c>
      <c r="F135" s="15">
        <v>2</v>
      </c>
      <c r="G135" s="80"/>
      <c r="H135" s="6"/>
      <c r="I135" s="6"/>
      <c r="J135" s="5"/>
      <c r="K135" s="5"/>
      <c r="L135" s="6"/>
      <c r="M135" s="23"/>
      <c r="N135" s="42"/>
      <c r="O135" s="5"/>
    </row>
    <row r="136" spans="1:15" x14ac:dyDescent="0.25">
      <c r="A136" s="40"/>
      <c r="B136" s="5"/>
      <c r="C136" s="5"/>
      <c r="D136" s="5"/>
      <c r="E136" s="13"/>
      <c r="F136" s="15"/>
      <c r="G136" s="80"/>
      <c r="H136" s="6"/>
      <c r="I136" s="2"/>
      <c r="J136" s="2"/>
      <c r="K136" s="2"/>
      <c r="L136" s="2"/>
      <c r="M136" s="37"/>
      <c r="N136" s="43"/>
      <c r="O136" s="2"/>
    </row>
    <row r="137" spans="1:15" x14ac:dyDescent="0.25">
      <c r="A137" s="40"/>
      <c r="B137" s="6"/>
      <c r="C137" s="5"/>
      <c r="D137" s="6"/>
      <c r="E137" s="6"/>
      <c r="F137" s="6"/>
      <c r="G137" s="80"/>
      <c r="H137" s="6"/>
      <c r="I137" s="2"/>
      <c r="J137" s="2"/>
      <c r="K137" s="2"/>
      <c r="L137" s="2"/>
      <c r="M137" s="37"/>
      <c r="N137" s="43"/>
      <c r="O137" s="2"/>
    </row>
    <row r="138" spans="1:15" x14ac:dyDescent="0.25">
      <c r="A138" s="2"/>
      <c r="B138" s="6"/>
      <c r="C138" s="2"/>
      <c r="D138" s="2"/>
      <c r="E138" s="6"/>
      <c r="F138" s="6"/>
      <c r="G138" s="80"/>
      <c r="H138" s="6"/>
      <c r="I138" s="2"/>
      <c r="J138" s="2"/>
      <c r="K138" s="2"/>
      <c r="L138" s="2"/>
      <c r="M138" s="37"/>
      <c r="N138" s="43"/>
      <c r="O138" s="2"/>
    </row>
    <row r="139" spans="1:15" x14ac:dyDescent="0.25">
      <c r="A139" s="3" t="s">
        <v>2</v>
      </c>
      <c r="B139" s="5">
        <f>SUM(B135:B138)</f>
        <v>8.68</v>
      </c>
      <c r="C139" s="5">
        <f t="shared" ref="C139:D139" si="44">SUM(C135:C138)</f>
        <v>8.68</v>
      </c>
      <c r="D139" s="5">
        <f t="shared" si="44"/>
        <v>0</v>
      </c>
      <c r="E139" s="5">
        <f>IF(B139&gt;0,SUMPRODUCT(E135:E138,F135:F138)/SUM(F135:F138),"0.00")</f>
        <v>4.34</v>
      </c>
      <c r="F139" s="15">
        <f t="shared" ref="F139" si="45">SUM(F135:F138)</f>
        <v>2</v>
      </c>
      <c r="G139" s="81"/>
      <c r="H139" s="3" t="s">
        <v>2</v>
      </c>
      <c r="I139" s="5">
        <f>SUM(I135:I138)</f>
        <v>0</v>
      </c>
      <c r="J139" s="5">
        <f t="shared" ref="J139" si="46">SUM(J135:J138)</f>
        <v>0</v>
      </c>
      <c r="K139" s="6"/>
      <c r="L139" s="15">
        <f t="shared" ref="L139" si="47">SUM(L135:L138)</f>
        <v>0</v>
      </c>
      <c r="M139" s="38"/>
      <c r="N139" s="3" t="s">
        <v>2</v>
      </c>
      <c r="O139" s="5">
        <f>SUM(O135:O138)</f>
        <v>0</v>
      </c>
    </row>
  </sheetData>
  <mergeCells count="73">
    <mergeCell ref="A132:O132"/>
    <mergeCell ref="A133:F133"/>
    <mergeCell ref="G133:G139"/>
    <mergeCell ref="H133:K133"/>
    <mergeCell ref="N133:O133"/>
    <mergeCell ref="Q2:X2"/>
    <mergeCell ref="Q3:Q4"/>
    <mergeCell ref="R3:R4"/>
    <mergeCell ref="S3:S4"/>
    <mergeCell ref="T3:T4"/>
    <mergeCell ref="U3:V3"/>
    <mergeCell ref="W3:W4"/>
    <mergeCell ref="X3:X4"/>
    <mergeCell ref="A33:F33"/>
    <mergeCell ref="G33:G39"/>
    <mergeCell ref="H33:K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63:F63"/>
    <mergeCell ref="G63:G69"/>
    <mergeCell ref="H63:K63"/>
    <mergeCell ref="N63:O6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93:F93"/>
    <mergeCell ref="G93:G99"/>
    <mergeCell ref="H93:K93"/>
    <mergeCell ref="N93:O93"/>
    <mergeCell ref="A72:O72"/>
    <mergeCell ref="A73:F73"/>
    <mergeCell ref="G73:G79"/>
    <mergeCell ref="H73:K73"/>
    <mergeCell ref="N73:O73"/>
    <mergeCell ref="A82:O82"/>
    <mergeCell ref="A83:F83"/>
    <mergeCell ref="G83:G89"/>
    <mergeCell ref="H83:K83"/>
    <mergeCell ref="N83:O83"/>
    <mergeCell ref="A92:O92"/>
    <mergeCell ref="A123:F123"/>
    <mergeCell ref="G123:G129"/>
    <mergeCell ref="H123:K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K113"/>
    <mergeCell ref="N113:O113"/>
    <mergeCell ref="A122:O122"/>
  </mergeCells>
  <hyperlinks>
    <hyperlink ref="A12:O12" location="NADQ!A1" display="NADQ Amundi Nasdaq-100 UCITS ETF (Dist)" xr:uid="{9D458B2C-E4E9-4A5F-907B-0FE8EEC94193}"/>
    <hyperlink ref="A22:O22" location="QDVE!A1" display="QDVE iShares S&amp;P 500 Inf. Tech. Sector UCITS ETF (Acc)" xr:uid="{3149DF96-6832-41EA-964F-D7011CACF60C}"/>
    <hyperlink ref="A32:O32" location="VWCE!A1" display="VWCE Vanguard FTSE All-World UCITS ETF (Acc)" xr:uid="{E61FB078-D020-4C66-9818-C7A6C5DA0B64}"/>
    <hyperlink ref="A42:O42" location="XDEQ!A1" display="XDEQ Xtarckers MSCI World Quality UCITS ETF (Acc)" xr:uid="{8FC12720-FCB7-46EF-AD38-5DDB34267472}"/>
    <hyperlink ref="A52:O52" location="VUAA!A1" display="VUAA Vanguard S&amp;P 500 UCITS ETF (Acc)" xr:uid="{D208DFCF-9260-4577-9FD7-5E8FDC3B1E55}"/>
    <hyperlink ref="A62:O62" location="XDWT!A1" display="XDWT Xtrackers MSCI World Information Tech. ETF (Acc)" xr:uid="{95DADFFB-9AF4-425E-8916-9CA43580227C}"/>
    <hyperlink ref="A72:O72" location="XAIX!A1" display="XAIX Xtrackers Artificial Intell. and Big Data ETF (Acc)" xr:uid="{5808D435-18A2-45F9-AE24-E69F928A585E}"/>
    <hyperlink ref="A82:O82" location="SPYL!A1" display="SPYL SPDR S&amp;P 500 UCITS (Acc)" xr:uid="{6034D928-883A-405A-AF44-059588711C41}"/>
    <hyperlink ref="A92:O92" location="JEQP!A1" display="JEQP JPM Nasdaq Equity Premium Income Active UCITS ETF - USD (Dist)" xr:uid="{A0BC68DE-E430-49FE-A56A-88668B806880}"/>
    <hyperlink ref="A102:O102" location="JGPI!A1" display="JGPI JPM Global Equity Premium Income Active UCITS ETF - USD (Dist)" xr:uid="{B86DA006-76F8-47EF-A85C-53C84868D43C}"/>
    <hyperlink ref="A112:O112" location="EXUS!A1" display="EXUS Xtrackers MSCI World ex USA UCITS ETF 1C 1C" xr:uid="{24B4087E-7D87-455A-90FD-04688CB5E9CF}"/>
    <hyperlink ref="A122:O122" location="IS3N!A1" display="IS3N iShares Core MSCI Emerging Markets IMI Acc ETF" xr:uid="{A3495F35-3A4A-4AFC-BC06-C1EFB617972E}"/>
    <hyperlink ref="A132:O132" location="VGLA!A1" display="VGLA  Vanguard FTSE Global All-Cap UCITS ETF (Acc)" xr:uid="{08E32E0E-7786-45FB-A453-0B73A8437618}"/>
  </hyperlinks>
  <pageMargins left="0.7" right="0.7" top="0.75" bottom="0.75" header="0.3" footer="0.3"/>
  <pageSetup orientation="portrait" horizontalDpi="4294967293" r:id="rId1"/>
  <ignoredErrors>
    <ignoredError sqref="E89 E119 E129 E139" formula="1"/>
    <ignoredError sqref="Q2" numberStoredAsText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1FB8-ACEE-48F2-A0D2-15D5096F23F5}">
  <dimension ref="A2:X129"/>
  <sheetViews>
    <sheetView topLeftCell="A4"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72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150</v>
      </c>
      <c r="R5" s="5">
        <v>0</v>
      </c>
      <c r="S5" s="5">
        <f>C19+C29+C39+C49+C59+C69+C79+C89+C99+C109+C119+C129</f>
        <v>150.88999999999999</v>
      </c>
      <c r="T5" s="5">
        <f>I19+I29+I39+I49+I59+I69+I79+I89+I99+I109+I119+I129</f>
        <v>0</v>
      </c>
      <c r="U5" s="5">
        <f>D19+D29+D39+D49+D59+D69+D79+D89+D99+D109+D119+D129</f>
        <v>0</v>
      </c>
      <c r="V5" s="5">
        <f>J19+J29+J39+J49+J59+J69+J79+J89+J99+J109+J119+J129</f>
        <v>0</v>
      </c>
      <c r="W5" s="5">
        <f>O19+O29+O39+O49+O59+O69+O79+O89+O99+O109+O119+O129</f>
        <v>0</v>
      </c>
      <c r="X5" s="5">
        <f>Q5-S5-U5+T5-V5+W5</f>
        <v>-0.88999999999998636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46237</v>
      </c>
      <c r="B85" s="5">
        <v>64.83</v>
      </c>
      <c r="C85" s="5">
        <f>B85-D85</f>
        <v>64.83</v>
      </c>
      <c r="D85" s="5">
        <v>0</v>
      </c>
      <c r="E85" s="13">
        <f>C85/F85</f>
        <v>16.2075</v>
      </c>
      <c r="F85" s="15">
        <v>4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5"/>
      <c r="E86" s="13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64.83</v>
      </c>
      <c r="C89" s="5">
        <f t="shared" ref="C89:D89" si="24">SUM(C85:C88)</f>
        <v>64.83</v>
      </c>
      <c r="D89" s="5">
        <f t="shared" si="24"/>
        <v>0</v>
      </c>
      <c r="E89" s="5">
        <f>IF(B89&gt;0,SUMPRODUCT(E85:E88,F85:F88)/SUM(F85:F88),"0.00")</f>
        <v>16.2075</v>
      </c>
      <c r="F89" s="15">
        <f t="shared" ref="F89" si="25">SUM(F85:F88)</f>
        <v>4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1" spans="1:18" hidden="1" x14ac:dyDescent="0.25"/>
    <row r="92" spans="1:18" hidden="1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hidden="1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hidden="1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hidden="1" x14ac:dyDescent="0.25">
      <c r="A95" s="40"/>
      <c r="B95" s="5"/>
      <c r="C95" s="5"/>
      <c r="D95" s="5"/>
      <c r="E95" s="13"/>
      <c r="F95" s="15"/>
      <c r="G95" s="80"/>
      <c r="H95" s="44"/>
      <c r="I95" s="5"/>
      <c r="J95" s="5"/>
      <c r="K95" s="5"/>
      <c r="L95" s="6"/>
      <c r="M95" s="23"/>
      <c r="N95" s="42"/>
      <c r="O95" s="5"/>
      <c r="R95" s="1"/>
    </row>
    <row r="96" spans="1:18" hidden="1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hidden="1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hidden="1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hidden="1" x14ac:dyDescent="0.25">
      <c r="A99" s="3" t="s">
        <v>2</v>
      </c>
      <c r="B99" s="5">
        <f>SUM(B95:B98)</f>
        <v>0</v>
      </c>
      <c r="C99" s="5">
        <f t="shared" ref="C99:D99" si="28">SUM(C95:C98)</f>
        <v>0</v>
      </c>
      <c r="D99" s="5">
        <f t="shared" si="28"/>
        <v>0</v>
      </c>
      <c r="E99" s="5" t="str">
        <f>IF(B99&gt;0,SUMPRODUCT(E95:E98,F95:F98)/SUM(F95:F98),"0.00")</f>
        <v>0.00</v>
      </c>
      <c r="F99" s="15">
        <f t="shared" ref="F99" si="29">SUM(F95:F98)</f>
        <v>0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</v>
      </c>
    </row>
    <row r="100" spans="1:15" hidden="1" x14ac:dyDescent="0.25"/>
    <row r="101" spans="1:15" hidden="1" x14ac:dyDescent="0.25"/>
    <row r="102" spans="1:15" hidden="1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hidden="1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hidden="1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hidden="1" x14ac:dyDescent="0.25">
      <c r="A105" s="40"/>
      <c r="B105" s="5"/>
      <c r="C105" s="5"/>
      <c r="D105" s="6"/>
      <c r="E105" s="13"/>
      <c r="F105" s="15"/>
      <c r="G105" s="80"/>
      <c r="H105" s="44"/>
      <c r="I105" s="6"/>
      <c r="J105" s="5"/>
      <c r="K105" s="5"/>
      <c r="L105" s="6"/>
      <c r="M105" s="23"/>
      <c r="N105" s="42"/>
      <c r="O105" s="5"/>
    </row>
    <row r="106" spans="1:15" hidden="1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hidden="1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hidden="1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hidden="1" x14ac:dyDescent="0.25">
      <c r="A109" s="3" t="s">
        <v>2</v>
      </c>
      <c r="B109" s="5">
        <f>SUM(B105:B108)</f>
        <v>0</v>
      </c>
      <c r="C109" s="5">
        <f t="shared" ref="C109:D109" si="32">SUM(C105:C108)</f>
        <v>0</v>
      </c>
      <c r="D109" s="5">
        <f t="shared" si="32"/>
        <v>0</v>
      </c>
      <c r="E109" s="5" t="str">
        <f>IF(B109&gt;0,SUMPRODUCT(E105:E108,F105:F108)/SUM(F105:F108),"0.00")</f>
        <v>0.00</v>
      </c>
      <c r="F109" s="15">
        <f t="shared" ref="F109" si="33">SUM(F105:F108)</f>
        <v>0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</v>
      </c>
    </row>
    <row r="110" spans="1:15" hidden="1" x14ac:dyDescent="0.25">
      <c r="A110" s="39"/>
      <c r="B110" s="9"/>
      <c r="E110" s="1"/>
      <c r="F110" s="11"/>
    </row>
    <row r="112" spans="1:15" x14ac:dyDescent="0.25">
      <c r="A112" s="76" t="s">
        <v>61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8"/>
    </row>
    <row r="113" spans="1:15" x14ac:dyDescent="0.25">
      <c r="A113" s="69" t="s">
        <v>14</v>
      </c>
      <c r="B113" s="71"/>
      <c r="C113" s="71"/>
      <c r="D113" s="71"/>
      <c r="E113" s="71"/>
      <c r="F113" s="70"/>
      <c r="G113" s="79"/>
      <c r="H113" s="72" t="s">
        <v>37</v>
      </c>
      <c r="I113" s="72"/>
      <c r="J113" s="72"/>
      <c r="K113" s="72"/>
      <c r="L113" s="2"/>
      <c r="M113" s="35"/>
      <c r="N113" s="69" t="s">
        <v>49</v>
      </c>
      <c r="O113" s="70"/>
    </row>
    <row r="114" spans="1:15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x14ac:dyDescent="0.25">
      <c r="A115" s="40">
        <v>46237</v>
      </c>
      <c r="B115" s="5">
        <v>40.159999999999997</v>
      </c>
      <c r="C115" s="5">
        <f>B115-D115</f>
        <v>40.159999999999997</v>
      </c>
      <c r="D115" s="5">
        <v>0</v>
      </c>
      <c r="E115" s="13">
        <f>C115/F115</f>
        <v>40.159999999999997</v>
      </c>
      <c r="F115" s="15">
        <v>1</v>
      </c>
      <c r="G115" s="80"/>
      <c r="H115" s="6"/>
      <c r="I115" s="6"/>
      <c r="J115" s="5"/>
      <c r="K115" s="5"/>
      <c r="L115" s="6"/>
      <c r="M115" s="23"/>
      <c r="N115" s="42"/>
      <c r="O115" s="5"/>
    </row>
    <row r="116" spans="1:15" x14ac:dyDescent="0.25">
      <c r="A116" s="40"/>
      <c r="B116" s="5"/>
      <c r="C116" s="5"/>
      <c r="D116" s="5"/>
      <c r="E116" s="13"/>
      <c r="F116" s="15"/>
      <c r="G116" s="80"/>
      <c r="H116" s="6"/>
      <c r="I116" s="2"/>
      <c r="J116" s="2"/>
      <c r="K116" s="2"/>
      <c r="L116" s="2"/>
      <c r="M116" s="37"/>
      <c r="N116" s="43"/>
      <c r="O116" s="2"/>
    </row>
    <row r="117" spans="1:15" x14ac:dyDescent="0.25">
      <c r="A117" s="40"/>
      <c r="B117" s="6"/>
      <c r="C117" s="5"/>
      <c r="D117" s="6"/>
      <c r="E117" s="6"/>
      <c r="F117" s="6"/>
      <c r="G117" s="80"/>
      <c r="H117" s="6"/>
      <c r="I117" s="2"/>
      <c r="J117" s="2"/>
      <c r="K117" s="2"/>
      <c r="L117" s="2"/>
      <c r="M117" s="37"/>
      <c r="N117" s="43"/>
      <c r="O117" s="2"/>
    </row>
    <row r="118" spans="1:15" x14ac:dyDescent="0.25">
      <c r="A118" s="2"/>
      <c r="B118" s="6"/>
      <c r="C118" s="2"/>
      <c r="D118" s="2"/>
      <c r="E118" s="6"/>
      <c r="F118" s="6"/>
      <c r="G118" s="80"/>
      <c r="H118" s="6"/>
      <c r="I118" s="2"/>
      <c r="J118" s="2"/>
      <c r="K118" s="2"/>
      <c r="L118" s="2"/>
      <c r="M118" s="37"/>
      <c r="N118" s="43"/>
      <c r="O118" s="2"/>
    </row>
    <row r="119" spans="1:15" x14ac:dyDescent="0.25">
      <c r="A119" s="3" t="s">
        <v>2</v>
      </c>
      <c r="B119" s="5">
        <f>SUM(B115:B118)</f>
        <v>40.159999999999997</v>
      </c>
      <c r="C119" s="5">
        <f t="shared" ref="C119:D119" si="36">SUM(C115:C118)</f>
        <v>40.159999999999997</v>
      </c>
      <c r="D119" s="5">
        <f t="shared" si="36"/>
        <v>0</v>
      </c>
      <c r="E119" s="5">
        <f>IF(B119&gt;0,SUMPRODUCT(E115:E118,F115:F118)/SUM(F115:F118),"0.00")</f>
        <v>40.159999999999997</v>
      </c>
      <c r="F119" s="15">
        <f t="shared" ref="F119" si="37">SUM(F115:F118)</f>
        <v>1</v>
      </c>
      <c r="G119" s="81"/>
      <c r="H119" s="3" t="s">
        <v>2</v>
      </c>
      <c r="I119" s="5">
        <f>SUM(I115:I118)</f>
        <v>0</v>
      </c>
      <c r="J119" s="5">
        <f t="shared" ref="J119" si="38">SUM(J115:J118)</f>
        <v>0</v>
      </c>
      <c r="K119" s="6"/>
      <c r="L119" s="15">
        <f t="shared" ref="L119" si="39">SUM(L115:L118)</f>
        <v>0</v>
      </c>
      <c r="M119" s="38"/>
      <c r="N119" s="3" t="s">
        <v>2</v>
      </c>
      <c r="O119" s="5">
        <f>SUM(O115:O118)</f>
        <v>0</v>
      </c>
    </row>
    <row r="122" spans="1:15" x14ac:dyDescent="0.25">
      <c r="A122" s="76" t="s">
        <v>63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 x14ac:dyDescent="0.25">
      <c r="A123" s="69" t="s">
        <v>14</v>
      </c>
      <c r="B123" s="71"/>
      <c r="C123" s="71"/>
      <c r="D123" s="71"/>
      <c r="E123" s="71"/>
      <c r="F123" s="70"/>
      <c r="G123" s="79"/>
      <c r="H123" s="72" t="s">
        <v>37</v>
      </c>
      <c r="I123" s="72"/>
      <c r="J123" s="72"/>
      <c r="K123" s="72"/>
      <c r="L123" s="2"/>
      <c r="M123" s="35"/>
      <c r="N123" s="69" t="s">
        <v>49</v>
      </c>
      <c r="O123" s="70"/>
    </row>
    <row r="124" spans="1:15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x14ac:dyDescent="0.25">
      <c r="A125" s="40">
        <v>46237</v>
      </c>
      <c r="B125" s="5">
        <v>45.9</v>
      </c>
      <c r="C125" s="5">
        <f>B125-D125</f>
        <v>45.9</v>
      </c>
      <c r="D125" s="5">
        <v>0</v>
      </c>
      <c r="E125" s="13">
        <f>C125/F125</f>
        <v>45.9</v>
      </c>
      <c r="F125" s="15">
        <v>1</v>
      </c>
      <c r="G125" s="80"/>
      <c r="H125" s="6"/>
      <c r="I125" s="6"/>
      <c r="J125" s="5"/>
      <c r="K125" s="5"/>
      <c r="L125" s="6"/>
      <c r="M125" s="23"/>
      <c r="N125" s="42"/>
      <c r="O125" s="5"/>
    </row>
    <row r="126" spans="1:15" x14ac:dyDescent="0.25">
      <c r="A126" s="40"/>
      <c r="B126" s="5"/>
      <c r="C126" s="5"/>
      <c r="D126" s="5"/>
      <c r="E126" s="13"/>
      <c r="F126" s="15"/>
      <c r="G126" s="80"/>
      <c r="H126" s="6"/>
      <c r="I126" s="2"/>
      <c r="J126" s="2"/>
      <c r="K126" s="2"/>
      <c r="L126" s="2"/>
      <c r="M126" s="37"/>
      <c r="N126" s="43"/>
      <c r="O126" s="2"/>
    </row>
    <row r="127" spans="1:15" x14ac:dyDescent="0.25">
      <c r="A127" s="40"/>
      <c r="B127" s="6"/>
      <c r="C127" s="5"/>
      <c r="D127" s="6"/>
      <c r="E127" s="6"/>
      <c r="F127" s="6"/>
      <c r="G127" s="80"/>
      <c r="H127" s="6"/>
      <c r="I127" s="2"/>
      <c r="J127" s="2"/>
      <c r="K127" s="2"/>
      <c r="L127" s="2"/>
      <c r="M127" s="37"/>
      <c r="N127" s="43"/>
      <c r="O127" s="2"/>
    </row>
    <row r="128" spans="1:15" x14ac:dyDescent="0.25">
      <c r="A128" s="2"/>
      <c r="B128" s="6"/>
      <c r="C128" s="2"/>
      <c r="D128" s="2"/>
      <c r="E128" s="6"/>
      <c r="F128" s="6"/>
      <c r="G128" s="80"/>
      <c r="H128" s="6"/>
      <c r="I128" s="2"/>
      <c r="J128" s="2"/>
      <c r="K128" s="2"/>
      <c r="L128" s="2"/>
      <c r="M128" s="37"/>
      <c r="N128" s="43"/>
      <c r="O128" s="2"/>
    </row>
    <row r="129" spans="1:15" x14ac:dyDescent="0.25">
      <c r="A129" s="3" t="s">
        <v>2</v>
      </c>
      <c r="B129" s="5">
        <f>SUM(B125:B128)</f>
        <v>45.9</v>
      </c>
      <c r="C129" s="5">
        <f t="shared" ref="C129:D129" si="40">SUM(C125:C128)</f>
        <v>45.9</v>
      </c>
      <c r="D129" s="5">
        <f t="shared" si="40"/>
        <v>0</v>
      </c>
      <c r="E129" s="5">
        <f>IF(B129&gt;0,SUMPRODUCT(E125:E128,F125:F128)/SUM(F125:F128),"0.00")</f>
        <v>45.9</v>
      </c>
      <c r="F129" s="15">
        <f t="shared" ref="F129" si="41">SUM(F125:F128)</f>
        <v>1</v>
      </c>
      <c r="G129" s="81"/>
      <c r="H129" s="3" t="s">
        <v>2</v>
      </c>
      <c r="I129" s="5">
        <f>SUM(I125:I128)</f>
        <v>0</v>
      </c>
      <c r="J129" s="5">
        <f t="shared" ref="J129" si="42">SUM(J125:J128)</f>
        <v>0</v>
      </c>
      <c r="K129" s="6"/>
      <c r="L129" s="15">
        <f t="shared" ref="L129" si="43">SUM(L125:L128)</f>
        <v>0</v>
      </c>
      <c r="M129" s="38"/>
      <c r="N129" s="3" t="s">
        <v>2</v>
      </c>
      <c r="O129" s="5">
        <f>SUM(O125:O128)</f>
        <v>0</v>
      </c>
    </row>
  </sheetData>
  <mergeCells count="68">
    <mergeCell ref="Q2:X2"/>
    <mergeCell ref="Q3:Q4"/>
    <mergeCell ref="R3:R4"/>
    <mergeCell ref="S3:S4"/>
    <mergeCell ref="T3:T4"/>
    <mergeCell ref="U3:V3"/>
    <mergeCell ref="W3:W4"/>
    <mergeCell ref="X3:X4"/>
    <mergeCell ref="A33:F33"/>
    <mergeCell ref="G33:G39"/>
    <mergeCell ref="H33:K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63:F63"/>
    <mergeCell ref="G63:G69"/>
    <mergeCell ref="H63:K63"/>
    <mergeCell ref="N63:O6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93:F93"/>
    <mergeCell ref="G93:G99"/>
    <mergeCell ref="H93:K93"/>
    <mergeCell ref="N93:O93"/>
    <mergeCell ref="A72:O72"/>
    <mergeCell ref="A73:F73"/>
    <mergeCell ref="G73:G79"/>
    <mergeCell ref="H73:K73"/>
    <mergeCell ref="N73:O73"/>
    <mergeCell ref="A82:O82"/>
    <mergeCell ref="A83:F83"/>
    <mergeCell ref="G83:G89"/>
    <mergeCell ref="H83:K83"/>
    <mergeCell ref="N83:O83"/>
    <mergeCell ref="A92:O92"/>
    <mergeCell ref="A123:F123"/>
    <mergeCell ref="G123:G129"/>
    <mergeCell ref="H123:K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K113"/>
    <mergeCell ref="N113:O113"/>
    <mergeCell ref="A122:O122"/>
  </mergeCells>
  <hyperlinks>
    <hyperlink ref="A12:O12" location="NADQ!A1" display="NADQ Amundi Nasdaq-100 UCITS ETF (Dist)" xr:uid="{373F2ABC-5FB8-4D63-B56E-17C67E2DFC12}"/>
    <hyperlink ref="A22:O22" location="QDVE!A1" display="QDVE iShares S&amp;P 500 Inf. Tech. Sector UCITS ETF (Acc)" xr:uid="{DB3C3E30-B4E7-40CB-B8B9-5541FCBA7427}"/>
    <hyperlink ref="A32:O32" location="VWCE!A1" display="VWCE Vanguard FTSE All-World UCITS ETF (Acc)" xr:uid="{6490B776-C0C9-4844-B762-82C0BEC156C2}"/>
    <hyperlink ref="A42:O42" location="XDEQ!A1" display="XDEQ Xtarckers MSCI World Quality UCITS ETF (Acc)" xr:uid="{06D7F8D6-09EC-4F21-A073-E174EF6B142C}"/>
    <hyperlink ref="A52:O52" location="VUAA!A1" display="VUAA Vanguard S&amp;P 500 UCITS ETF (Acc)" xr:uid="{CF8525B3-7FC8-4346-931E-E10716A98EF5}"/>
    <hyperlink ref="A62:O62" location="XDWT!A1" display="XDWT Xtrackers MSCI World Information Tech. ETF (Acc)" xr:uid="{379E81CD-3D4B-4E73-9999-F2B3630740F9}"/>
    <hyperlink ref="A72:O72" location="XAIX!A1" display="XAIX Xtrackers Artificial Intell. and Big Data ETF (Acc)" xr:uid="{0412ECAE-BEB9-4E1C-AD00-EBCC940C319B}"/>
    <hyperlink ref="A82:O82" location="SPYL!A1" display="SPYL SPDR S&amp;P 500 UCITS (Acc)" xr:uid="{5657CD10-3B56-4D55-B0A4-64FBADC2C1D4}"/>
    <hyperlink ref="A92:O92" location="JEQP!A1" display="JEQP JPM Nasdaq Equity Premium Income Active UCITS ETF - USD (Dist)" xr:uid="{10038355-9B5B-4DEC-BB49-9D802F493D51}"/>
    <hyperlink ref="A102:O102" location="JGPI!A1" display="JGPI JPM Global Equity Premium Income Active UCITS ETF - USD (Dist)" xr:uid="{8837487E-C101-45F8-ABEC-661437D1E01C}"/>
    <hyperlink ref="A112:O112" location="EXUS!A1" display="EXUS Xtrackers MSCI World ex USA UCITS ETF 1C 1C" xr:uid="{56961159-20F6-4515-B7BA-2B6B91B60798}"/>
    <hyperlink ref="A122:O122" location="IS3N!A1" display="IS3N iShares Core MSCI Emerging Markets IMI Acc ETF" xr:uid="{31E396AE-F3F9-4783-8AEF-CDF0A09F91F0}"/>
  </hyperlinks>
  <pageMargins left="0.7" right="0.7" top="0.75" bottom="0.75" header="0.3" footer="0.3"/>
  <pageSetup orientation="portrait" horizontalDpi="4294967293" r:id="rId1"/>
  <ignoredErrors>
    <ignoredError sqref="E89 E119 E129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7EF5-E31F-4A3C-8D0D-53CDBD96ED73}">
  <dimension ref="A2:X129"/>
  <sheetViews>
    <sheetView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71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140</v>
      </c>
      <c r="R5" s="5">
        <v>0</v>
      </c>
      <c r="S5" s="5">
        <f>C19+C29+C39+C49+C59+C69+C79+C89+C99+C109+C119+C129</f>
        <v>135</v>
      </c>
      <c r="T5" s="5">
        <f>I19+I29+I39+I49+I59+I69+I79+I89+I99+I109+I119+I129</f>
        <v>0</v>
      </c>
      <c r="U5" s="5">
        <f>D19+D29+D39+D49+D59+D69+D79+D89+D99+D109+D119+D129</f>
        <v>0.05</v>
      </c>
      <c r="V5" s="5">
        <f>J19+J29+J39+J49+J59+J69+J79+J89+J99+J109+J119+J129</f>
        <v>0</v>
      </c>
      <c r="W5" s="5">
        <f>O19+O29+O39+O49+O59+O69+O79+O89+O99+O109+O119+O129</f>
        <v>0</v>
      </c>
      <c r="X5" s="5">
        <f>Q5-S5-U5+T5-V5+W5</f>
        <v>4.95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46205</v>
      </c>
      <c r="B85" s="5">
        <v>48.65</v>
      </c>
      <c r="C85" s="5">
        <f>B85-D85</f>
        <v>48.6</v>
      </c>
      <c r="D85" s="5">
        <v>0.05</v>
      </c>
      <c r="E85" s="13">
        <f>C85/F85</f>
        <v>16.2</v>
      </c>
      <c r="F85" s="15">
        <v>3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5"/>
      <c r="E86" s="13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48.65</v>
      </c>
      <c r="C89" s="5">
        <f t="shared" ref="C89:D89" si="24">SUM(C85:C88)</f>
        <v>48.6</v>
      </c>
      <c r="D89" s="5">
        <f t="shared" si="24"/>
        <v>0.05</v>
      </c>
      <c r="E89" s="5">
        <f>IF(B89&gt;0,SUMPRODUCT(E85:E88,F85:F88)/SUM(F85:F88),"0.00")</f>
        <v>16.2</v>
      </c>
      <c r="F89" s="15">
        <f t="shared" ref="F89" si="25">SUM(F85:F88)</f>
        <v>3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1" spans="1:18" hidden="1" x14ac:dyDescent="0.25"/>
    <row r="92" spans="1:18" hidden="1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hidden="1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hidden="1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hidden="1" x14ac:dyDescent="0.25">
      <c r="A95" s="40"/>
      <c r="B95" s="5"/>
      <c r="C95" s="5"/>
      <c r="D95" s="5"/>
      <c r="E95" s="13"/>
      <c r="F95" s="15"/>
      <c r="G95" s="80"/>
      <c r="H95" s="44"/>
      <c r="I95" s="5"/>
      <c r="J95" s="5"/>
      <c r="K95" s="5"/>
      <c r="L95" s="6"/>
      <c r="M95" s="23"/>
      <c r="N95" s="42"/>
      <c r="O95" s="5"/>
      <c r="R95" s="1"/>
    </row>
    <row r="96" spans="1:18" hidden="1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hidden="1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hidden="1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hidden="1" x14ac:dyDescent="0.25">
      <c r="A99" s="3" t="s">
        <v>2</v>
      </c>
      <c r="B99" s="5">
        <f>SUM(B95:B98)</f>
        <v>0</v>
      </c>
      <c r="C99" s="5">
        <f t="shared" ref="C99:D99" si="28">SUM(C95:C98)</f>
        <v>0</v>
      </c>
      <c r="D99" s="5">
        <f t="shared" si="28"/>
        <v>0</v>
      </c>
      <c r="E99" s="5" t="str">
        <f>IF(B99&gt;0,SUMPRODUCT(E95:E98,F95:F98)/SUM(F95:F98),"0.00")</f>
        <v>0.00</v>
      </c>
      <c r="F99" s="15">
        <f t="shared" ref="F99" si="29">SUM(F95:F98)</f>
        <v>0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</v>
      </c>
    </row>
    <row r="100" spans="1:15" hidden="1" x14ac:dyDescent="0.25"/>
    <row r="101" spans="1:15" hidden="1" x14ac:dyDescent="0.25"/>
    <row r="102" spans="1:15" hidden="1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hidden="1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hidden="1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hidden="1" x14ac:dyDescent="0.25">
      <c r="A105" s="40"/>
      <c r="B105" s="5"/>
      <c r="C105" s="5"/>
      <c r="D105" s="6"/>
      <c r="E105" s="13"/>
      <c r="F105" s="15"/>
      <c r="G105" s="80"/>
      <c r="H105" s="44"/>
      <c r="I105" s="6"/>
      <c r="J105" s="5"/>
      <c r="K105" s="5"/>
      <c r="L105" s="6"/>
      <c r="M105" s="23"/>
      <c r="N105" s="42"/>
      <c r="O105" s="5"/>
    </row>
    <row r="106" spans="1:15" hidden="1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hidden="1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hidden="1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hidden="1" x14ac:dyDescent="0.25">
      <c r="A109" s="3" t="s">
        <v>2</v>
      </c>
      <c r="B109" s="5">
        <f>SUM(B105:B108)</f>
        <v>0</v>
      </c>
      <c r="C109" s="5">
        <f t="shared" ref="C109:D109" si="32">SUM(C105:C108)</f>
        <v>0</v>
      </c>
      <c r="D109" s="5">
        <f t="shared" si="32"/>
        <v>0</v>
      </c>
      <c r="E109" s="5" t="str">
        <f>IF(B109&gt;0,SUMPRODUCT(E105:E108,F105:F108)/SUM(F105:F108),"0.00")</f>
        <v>0.00</v>
      </c>
      <c r="F109" s="15">
        <f t="shared" ref="F109" si="33">SUM(F105:F108)</f>
        <v>0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</v>
      </c>
    </row>
    <row r="110" spans="1:15" hidden="1" x14ac:dyDescent="0.25">
      <c r="A110" s="39"/>
      <c r="B110" s="9"/>
      <c r="E110" s="1"/>
      <c r="F110" s="11"/>
    </row>
    <row r="112" spans="1:15" x14ac:dyDescent="0.25">
      <c r="A112" s="76" t="s">
        <v>61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8"/>
    </row>
    <row r="113" spans="1:15" x14ac:dyDescent="0.25">
      <c r="A113" s="69" t="s">
        <v>14</v>
      </c>
      <c r="B113" s="71"/>
      <c r="C113" s="71"/>
      <c r="D113" s="71"/>
      <c r="E113" s="71"/>
      <c r="F113" s="70"/>
      <c r="G113" s="79"/>
      <c r="H113" s="72" t="s">
        <v>37</v>
      </c>
      <c r="I113" s="72"/>
      <c r="J113" s="72"/>
      <c r="K113" s="72"/>
      <c r="L113" s="2"/>
      <c r="M113" s="35"/>
      <c r="N113" s="69" t="s">
        <v>49</v>
      </c>
      <c r="O113" s="70"/>
    </row>
    <row r="114" spans="1:15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x14ac:dyDescent="0.25">
      <c r="A115" s="40">
        <v>46205</v>
      </c>
      <c r="B115" s="5">
        <v>39.28</v>
      </c>
      <c r="C115" s="5">
        <f>B115-D115</f>
        <v>39.28</v>
      </c>
      <c r="D115" s="5">
        <v>0</v>
      </c>
      <c r="E115" s="13">
        <f>C115/F115</f>
        <v>39.28</v>
      </c>
      <c r="F115" s="15">
        <v>1</v>
      </c>
      <c r="G115" s="80"/>
      <c r="H115" s="6"/>
      <c r="I115" s="6"/>
      <c r="J115" s="5"/>
      <c r="K115" s="5"/>
      <c r="L115" s="6"/>
      <c r="M115" s="23"/>
      <c r="N115" s="42"/>
      <c r="O115" s="5"/>
    </row>
    <row r="116" spans="1:15" x14ac:dyDescent="0.25">
      <c r="A116" s="40"/>
      <c r="B116" s="5"/>
      <c r="C116" s="5"/>
      <c r="D116" s="5"/>
      <c r="E116" s="13"/>
      <c r="F116" s="15"/>
      <c r="G116" s="80"/>
      <c r="H116" s="6"/>
      <c r="I116" s="2"/>
      <c r="J116" s="2"/>
      <c r="K116" s="2"/>
      <c r="L116" s="2"/>
      <c r="M116" s="37"/>
      <c r="N116" s="43"/>
      <c r="O116" s="2"/>
    </row>
    <row r="117" spans="1:15" x14ac:dyDescent="0.25">
      <c r="A117" s="40"/>
      <c r="B117" s="6"/>
      <c r="C117" s="5"/>
      <c r="D117" s="6"/>
      <c r="E117" s="6"/>
      <c r="F117" s="6"/>
      <c r="G117" s="80"/>
      <c r="H117" s="6"/>
      <c r="I117" s="2"/>
      <c r="J117" s="2"/>
      <c r="K117" s="2"/>
      <c r="L117" s="2"/>
      <c r="M117" s="37"/>
      <c r="N117" s="43"/>
      <c r="O117" s="2"/>
    </row>
    <row r="118" spans="1:15" x14ac:dyDescent="0.25">
      <c r="A118" s="2"/>
      <c r="B118" s="6"/>
      <c r="C118" s="2"/>
      <c r="D118" s="2"/>
      <c r="E118" s="6"/>
      <c r="F118" s="6"/>
      <c r="G118" s="80"/>
      <c r="H118" s="6"/>
      <c r="I118" s="2"/>
      <c r="J118" s="2"/>
      <c r="K118" s="2"/>
      <c r="L118" s="2"/>
      <c r="M118" s="37"/>
      <c r="N118" s="43"/>
      <c r="O118" s="2"/>
    </row>
    <row r="119" spans="1:15" x14ac:dyDescent="0.25">
      <c r="A119" s="3" t="s">
        <v>2</v>
      </c>
      <c r="B119" s="5">
        <f>SUM(B115:B118)</f>
        <v>39.28</v>
      </c>
      <c r="C119" s="5">
        <f t="shared" ref="C119:D119" si="36">SUM(C115:C118)</f>
        <v>39.28</v>
      </c>
      <c r="D119" s="5">
        <f t="shared" si="36"/>
        <v>0</v>
      </c>
      <c r="E119" s="5">
        <f>IF(B119&gt;0,SUMPRODUCT(E115:E118,F115:F118)/SUM(F115:F118),"0.00")</f>
        <v>39.28</v>
      </c>
      <c r="F119" s="15">
        <f t="shared" ref="F119" si="37">SUM(F115:F118)</f>
        <v>1</v>
      </c>
      <c r="G119" s="81"/>
      <c r="H119" s="3" t="s">
        <v>2</v>
      </c>
      <c r="I119" s="5">
        <f>SUM(I115:I118)</f>
        <v>0</v>
      </c>
      <c r="J119" s="5">
        <f t="shared" ref="J119" si="38">SUM(J115:J118)</f>
        <v>0</v>
      </c>
      <c r="K119" s="6"/>
      <c r="L119" s="15">
        <f t="shared" ref="L119" si="39">SUM(L115:L118)</f>
        <v>0</v>
      </c>
      <c r="M119" s="38"/>
      <c r="N119" s="3" t="s">
        <v>2</v>
      </c>
      <c r="O119" s="5">
        <f>SUM(O115:O118)</f>
        <v>0</v>
      </c>
    </row>
    <row r="122" spans="1:15" x14ac:dyDescent="0.25">
      <c r="A122" s="76" t="s">
        <v>63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 x14ac:dyDescent="0.25">
      <c r="A123" s="69" t="s">
        <v>14</v>
      </c>
      <c r="B123" s="71"/>
      <c r="C123" s="71"/>
      <c r="D123" s="71"/>
      <c r="E123" s="71"/>
      <c r="F123" s="70"/>
      <c r="G123" s="79"/>
      <c r="H123" s="72" t="s">
        <v>37</v>
      </c>
      <c r="I123" s="72"/>
      <c r="J123" s="72"/>
      <c r="K123" s="72"/>
      <c r="L123" s="2"/>
      <c r="M123" s="35"/>
      <c r="N123" s="69" t="s">
        <v>49</v>
      </c>
      <c r="O123" s="70"/>
    </row>
    <row r="124" spans="1:15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x14ac:dyDescent="0.25">
      <c r="A125" s="40">
        <v>46205</v>
      </c>
      <c r="B125" s="5">
        <v>47.12</v>
      </c>
      <c r="C125" s="5">
        <f>B125-D125</f>
        <v>47.12</v>
      </c>
      <c r="D125" s="5">
        <v>0</v>
      </c>
      <c r="E125" s="13">
        <f>C125/F125</f>
        <v>47.12</v>
      </c>
      <c r="F125" s="15">
        <v>1</v>
      </c>
      <c r="G125" s="80"/>
      <c r="H125" s="6"/>
      <c r="I125" s="6"/>
      <c r="J125" s="5"/>
      <c r="K125" s="5"/>
      <c r="L125" s="6"/>
      <c r="M125" s="23"/>
      <c r="N125" s="42"/>
      <c r="O125" s="5"/>
    </row>
    <row r="126" spans="1:15" x14ac:dyDescent="0.25">
      <c r="A126" s="40"/>
      <c r="B126" s="5"/>
      <c r="C126" s="5"/>
      <c r="D126" s="5"/>
      <c r="E126" s="13"/>
      <c r="F126" s="15"/>
      <c r="G126" s="80"/>
      <c r="H126" s="6"/>
      <c r="I126" s="2"/>
      <c r="J126" s="2"/>
      <c r="K126" s="2"/>
      <c r="L126" s="2"/>
      <c r="M126" s="37"/>
      <c r="N126" s="43"/>
      <c r="O126" s="2"/>
    </row>
    <row r="127" spans="1:15" x14ac:dyDescent="0.25">
      <c r="A127" s="40"/>
      <c r="B127" s="6"/>
      <c r="C127" s="5"/>
      <c r="D127" s="6"/>
      <c r="E127" s="6"/>
      <c r="F127" s="6"/>
      <c r="G127" s="80"/>
      <c r="H127" s="6"/>
      <c r="I127" s="2"/>
      <c r="J127" s="2"/>
      <c r="K127" s="2"/>
      <c r="L127" s="2"/>
      <c r="M127" s="37"/>
      <c r="N127" s="43"/>
      <c r="O127" s="2"/>
    </row>
    <row r="128" spans="1:15" x14ac:dyDescent="0.25">
      <c r="A128" s="2"/>
      <c r="B128" s="6"/>
      <c r="C128" s="2"/>
      <c r="D128" s="2"/>
      <c r="E128" s="6"/>
      <c r="F128" s="6"/>
      <c r="G128" s="80"/>
      <c r="H128" s="6"/>
      <c r="I128" s="2"/>
      <c r="J128" s="2"/>
      <c r="K128" s="2"/>
      <c r="L128" s="2"/>
      <c r="M128" s="37"/>
      <c r="N128" s="43"/>
      <c r="O128" s="2"/>
    </row>
    <row r="129" spans="1:15" x14ac:dyDescent="0.25">
      <c r="A129" s="3" t="s">
        <v>2</v>
      </c>
      <c r="B129" s="5">
        <f>SUM(B125:B128)</f>
        <v>47.12</v>
      </c>
      <c r="C129" s="5">
        <f t="shared" ref="C129:D129" si="40">SUM(C125:C128)</f>
        <v>47.12</v>
      </c>
      <c r="D129" s="5">
        <f t="shared" si="40"/>
        <v>0</v>
      </c>
      <c r="E129" s="5">
        <f>IF(B129&gt;0,SUMPRODUCT(E125:E128,F125:F128)/SUM(F125:F128),"0.00")</f>
        <v>47.12</v>
      </c>
      <c r="F129" s="15">
        <f t="shared" ref="F129" si="41">SUM(F125:F128)</f>
        <v>1</v>
      </c>
      <c r="G129" s="81"/>
      <c r="H129" s="3" t="s">
        <v>2</v>
      </c>
      <c r="I129" s="5">
        <f>SUM(I125:I128)</f>
        <v>0</v>
      </c>
      <c r="J129" s="5">
        <f t="shared" ref="J129" si="42">SUM(J125:J128)</f>
        <v>0</v>
      </c>
      <c r="K129" s="6"/>
      <c r="L129" s="15">
        <f t="shared" ref="L129" si="43">SUM(L125:L128)</f>
        <v>0</v>
      </c>
      <c r="M129" s="38"/>
      <c r="N129" s="3" t="s">
        <v>2</v>
      </c>
      <c r="O129" s="5">
        <f>SUM(O125:O128)</f>
        <v>0</v>
      </c>
    </row>
  </sheetData>
  <mergeCells count="68">
    <mergeCell ref="A123:F123"/>
    <mergeCell ref="G123:G129"/>
    <mergeCell ref="H123:K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K113"/>
    <mergeCell ref="N113:O113"/>
    <mergeCell ref="A122:O122"/>
    <mergeCell ref="A93:F93"/>
    <mergeCell ref="G93:G99"/>
    <mergeCell ref="H93:K93"/>
    <mergeCell ref="N93:O93"/>
    <mergeCell ref="A72:O72"/>
    <mergeCell ref="A73:F73"/>
    <mergeCell ref="G73:G79"/>
    <mergeCell ref="H73:K73"/>
    <mergeCell ref="N73:O73"/>
    <mergeCell ref="A82:O82"/>
    <mergeCell ref="A83:F83"/>
    <mergeCell ref="G83:G89"/>
    <mergeCell ref="H83:K83"/>
    <mergeCell ref="N83:O83"/>
    <mergeCell ref="A92:O92"/>
    <mergeCell ref="A63:F63"/>
    <mergeCell ref="G63:G69"/>
    <mergeCell ref="H63:K63"/>
    <mergeCell ref="N63:O6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33:F33"/>
    <mergeCell ref="G33:G39"/>
    <mergeCell ref="H33:K33"/>
    <mergeCell ref="N33:O3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Q2:X2"/>
    <mergeCell ref="Q3:Q4"/>
    <mergeCell ref="R3:R4"/>
    <mergeCell ref="S3:S4"/>
    <mergeCell ref="T3:T4"/>
    <mergeCell ref="U3:V3"/>
    <mergeCell ref="W3:W4"/>
    <mergeCell ref="X3:X4"/>
  </mergeCells>
  <hyperlinks>
    <hyperlink ref="A12:O12" location="NADQ!A1" display="NADQ Amundi Nasdaq-100 UCITS ETF (Dist)" xr:uid="{92C6039A-1C7F-4BDD-B575-220F84E0BD55}"/>
    <hyperlink ref="A22:O22" location="QDVE!A1" display="QDVE iShares S&amp;P 500 Inf. Tech. Sector UCITS ETF (Acc)" xr:uid="{055E850C-7E94-46D3-A1E4-237276A7E6F0}"/>
    <hyperlink ref="A32:O32" location="VWCE!A1" display="VWCE Vanguard FTSE All-World UCITS ETF (Acc)" xr:uid="{320B62E4-6AE1-4041-98A6-6C428D496CBA}"/>
    <hyperlink ref="A42:O42" location="XDEQ!A1" display="XDEQ Xtarckers MSCI World Quality UCITS ETF (Acc)" xr:uid="{5CCE5D7C-0371-443D-8E0D-B4CEE9EDB856}"/>
    <hyperlink ref="A52:O52" location="VUAA!A1" display="VUAA Vanguard S&amp;P 500 UCITS ETF (Acc)" xr:uid="{05C50EF2-7A87-491B-B047-1466E323D07A}"/>
    <hyperlink ref="A62:O62" location="XDWT!A1" display="XDWT Xtrackers MSCI World Information Tech. ETF (Acc)" xr:uid="{2127C56E-347B-43AA-9348-C75C199CCBCC}"/>
    <hyperlink ref="A72:O72" location="XAIX!A1" display="XAIX Xtrackers Artificial Intell. and Big Data ETF (Acc)" xr:uid="{1658AF17-ECF4-4376-9AA6-CFF4599D1AE2}"/>
    <hyperlink ref="A82:O82" location="SPYL!A1" display="SPYL SPDR S&amp;P 500 UCITS (Acc)" xr:uid="{363A0A78-7C02-4BE4-A694-88E8773D4BB9}"/>
    <hyperlink ref="A92:O92" location="JEQP!A1" display="JEQP JPM Nasdaq Equity Premium Income Active UCITS ETF - USD (Dist)" xr:uid="{08F8FF80-62CD-4E3B-B6EE-AA509962BE06}"/>
    <hyperlink ref="A102:O102" location="JGPI!A1" display="JGPI JPM Global Equity Premium Income Active UCITS ETF - USD (Dist)" xr:uid="{24E90139-BC5E-44DC-85F3-808D6720F245}"/>
    <hyperlink ref="A112:O112" location="EXUS!A1" display="EXUS Xtrackers MSCI World ex USA UCITS ETF 1C 1C" xr:uid="{496C1BD8-53DA-4FAA-8FAF-42952BB2C4FA}"/>
    <hyperlink ref="A122:O122" location="IS3N!A1" display="IS3N iShares Core MSCI Emerging Markets IMI Acc ETF" xr:uid="{EEE0A321-306A-482E-BE38-7DFDA4A469AF}"/>
  </hyperlinks>
  <pageMargins left="0.7" right="0.7" top="0.75" bottom="0.75" header="0.3" footer="0.3"/>
  <pageSetup orientation="portrait" horizontalDpi="4294967293" r:id="rId1"/>
  <ignoredErrors>
    <ignoredError sqref="Q2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CD78-1DDB-486C-8631-4C19FAB81134}">
  <dimension ref="A2:X129"/>
  <sheetViews>
    <sheetView topLeftCell="A4"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65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580.46</v>
      </c>
      <c r="R5" s="5">
        <v>0</v>
      </c>
      <c r="S5" s="5">
        <f>C19+C29+C39+C49+C59+C69+C79+C89+C99+C109+C119+C129</f>
        <v>593.63</v>
      </c>
      <c r="T5" s="5">
        <f>I19+I29+I39+I49+I59+I69+I79+I89+I99+I109+I119+I129</f>
        <v>0</v>
      </c>
      <c r="U5" s="5">
        <f>D19+D29+D39+D49+D59+D69+D79+D89+D99+D109+D119+D129</f>
        <v>0.02</v>
      </c>
      <c r="V5" s="5">
        <f>J19+J29+J39+J49+J59+J69+J79+J89+J99+J109+J119+J129</f>
        <v>0</v>
      </c>
      <c r="W5" s="5">
        <f>O19+O29+O39+O49+O59+O69+O79+O89+O99+O109+O119+O129</f>
        <v>0</v>
      </c>
      <c r="X5" s="5">
        <f>Q5-S5-U5+T5-V5+W5</f>
        <v>-13.189999999999959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46175</v>
      </c>
      <c r="B85" s="5">
        <v>16.14</v>
      </c>
      <c r="C85" s="5">
        <f>B85-D85</f>
        <v>16.12</v>
      </c>
      <c r="D85" s="5">
        <v>0.02</v>
      </c>
      <c r="E85" s="13">
        <f>C85/F85</f>
        <v>16.12</v>
      </c>
      <c r="F85" s="15">
        <v>1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>
        <v>46190</v>
      </c>
      <c r="B86" s="5">
        <v>272.17</v>
      </c>
      <c r="C86" s="5">
        <f>B86-D86</f>
        <v>272.17</v>
      </c>
      <c r="D86" s="5">
        <v>0</v>
      </c>
      <c r="E86" s="13">
        <f>C86/F86</f>
        <v>16.010000000000002</v>
      </c>
      <c r="F86" s="15">
        <v>17</v>
      </c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288.31</v>
      </c>
      <c r="C89" s="5">
        <f t="shared" ref="C89:D89" si="24">SUM(C85:C88)</f>
        <v>288.29000000000002</v>
      </c>
      <c r="D89" s="5">
        <f t="shared" si="24"/>
        <v>0.02</v>
      </c>
      <c r="E89" s="5">
        <f>IF(B89&gt;0,SUMPRODUCT(E85:E88,F85:F88)/SUM(F85:F88),"0.00")</f>
        <v>16.016111111111112</v>
      </c>
      <c r="F89" s="15">
        <f t="shared" ref="F89" si="25">SUM(F85:F88)</f>
        <v>18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1" spans="1:18" hidden="1" x14ac:dyDescent="0.25"/>
    <row r="92" spans="1:18" hidden="1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hidden="1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hidden="1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hidden="1" x14ac:dyDescent="0.25">
      <c r="A95" s="40"/>
      <c r="B95" s="5"/>
      <c r="C95" s="5"/>
      <c r="D95" s="5"/>
      <c r="E95" s="13"/>
      <c r="F95" s="15"/>
      <c r="G95" s="80"/>
      <c r="H95" s="44"/>
      <c r="I95" s="5"/>
      <c r="J95" s="5"/>
      <c r="K95" s="5"/>
      <c r="L95" s="6"/>
      <c r="M95" s="23"/>
      <c r="N95" s="42"/>
      <c r="O95" s="5"/>
      <c r="R95" s="1"/>
    </row>
    <row r="96" spans="1:18" hidden="1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hidden="1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hidden="1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hidden="1" x14ac:dyDescent="0.25">
      <c r="A99" s="3" t="s">
        <v>2</v>
      </c>
      <c r="B99" s="5">
        <f>SUM(B95:B98)</f>
        <v>0</v>
      </c>
      <c r="C99" s="5">
        <f t="shared" ref="C99:D99" si="28">SUM(C95:C98)</f>
        <v>0</v>
      </c>
      <c r="D99" s="5">
        <f t="shared" si="28"/>
        <v>0</v>
      </c>
      <c r="E99" s="5" t="str">
        <f>IF(B99&gt;0,SUMPRODUCT(E95:E98,F95:F98)/SUM(F95:F98),"0.00")</f>
        <v>0.00</v>
      </c>
      <c r="F99" s="15">
        <f t="shared" ref="F99" si="29">SUM(F95:F98)</f>
        <v>0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</v>
      </c>
    </row>
    <row r="100" spans="1:15" hidden="1" x14ac:dyDescent="0.25"/>
    <row r="101" spans="1:15" hidden="1" x14ac:dyDescent="0.25"/>
    <row r="102" spans="1:15" hidden="1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hidden="1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hidden="1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hidden="1" x14ac:dyDescent="0.25">
      <c r="A105" s="40"/>
      <c r="B105" s="5"/>
      <c r="C105" s="5"/>
      <c r="D105" s="6"/>
      <c r="E105" s="13"/>
      <c r="F105" s="15"/>
      <c r="G105" s="80"/>
      <c r="H105" s="44"/>
      <c r="I105" s="6"/>
      <c r="J105" s="5"/>
      <c r="K105" s="5"/>
      <c r="L105" s="6"/>
      <c r="M105" s="23"/>
      <c r="N105" s="42"/>
      <c r="O105" s="5"/>
    </row>
    <row r="106" spans="1:15" hidden="1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hidden="1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hidden="1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hidden="1" x14ac:dyDescent="0.25">
      <c r="A109" s="3" t="s">
        <v>2</v>
      </c>
      <c r="B109" s="5">
        <f>SUM(B105:B108)</f>
        <v>0</v>
      </c>
      <c r="C109" s="5">
        <f t="shared" ref="C109:D109" si="32">SUM(C105:C108)</f>
        <v>0</v>
      </c>
      <c r="D109" s="5">
        <f t="shared" si="32"/>
        <v>0</v>
      </c>
      <c r="E109" s="5" t="str">
        <f>IF(B109&gt;0,SUMPRODUCT(E105:E108,F105:F108)/SUM(F105:F108),"0.00")</f>
        <v>0.00</v>
      </c>
      <c r="F109" s="15">
        <f t="shared" ref="F109" si="33">SUM(F105:F108)</f>
        <v>0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</v>
      </c>
    </row>
    <row r="110" spans="1:15" hidden="1" x14ac:dyDescent="0.25">
      <c r="A110" s="39"/>
      <c r="B110" s="9"/>
      <c r="E110" s="1"/>
      <c r="F110" s="11"/>
    </row>
    <row r="112" spans="1:15" x14ac:dyDescent="0.25">
      <c r="A112" s="76" t="s">
        <v>61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8"/>
    </row>
    <row r="113" spans="1:15" x14ac:dyDescent="0.25">
      <c r="A113" s="69" t="s">
        <v>14</v>
      </c>
      <c r="B113" s="71"/>
      <c r="C113" s="71"/>
      <c r="D113" s="71"/>
      <c r="E113" s="71"/>
      <c r="F113" s="70"/>
      <c r="G113" s="79"/>
      <c r="H113" s="72" t="s">
        <v>37</v>
      </c>
      <c r="I113" s="72"/>
      <c r="J113" s="72"/>
      <c r="K113" s="72"/>
      <c r="L113" s="2"/>
      <c r="M113" s="35"/>
      <c r="N113" s="69" t="s">
        <v>49</v>
      </c>
      <c r="O113" s="70"/>
    </row>
    <row r="114" spans="1:15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x14ac:dyDescent="0.25">
      <c r="A115" s="40">
        <v>46174</v>
      </c>
      <c r="B115" s="5">
        <v>38.520000000000003</v>
      </c>
      <c r="C115" s="5">
        <f>B115-D115</f>
        <v>38.520000000000003</v>
      </c>
      <c r="D115" s="5">
        <v>0</v>
      </c>
      <c r="E115" s="13">
        <f>C115/F115</f>
        <v>38.520000000000003</v>
      </c>
      <c r="F115" s="15">
        <v>1</v>
      </c>
      <c r="G115" s="80"/>
      <c r="H115" s="6"/>
      <c r="I115" s="6"/>
      <c r="J115" s="5"/>
      <c r="K115" s="5"/>
      <c r="L115" s="6"/>
      <c r="M115" s="23"/>
      <c r="N115" s="42"/>
      <c r="O115" s="5"/>
    </row>
    <row r="116" spans="1:15" x14ac:dyDescent="0.25">
      <c r="A116" s="40">
        <v>46192</v>
      </c>
      <c r="B116" s="5">
        <v>118.17</v>
      </c>
      <c r="C116" s="5">
        <f>B116-D116</f>
        <v>118.17</v>
      </c>
      <c r="D116" s="5">
        <v>0</v>
      </c>
      <c r="E116" s="13">
        <f>C116/F116</f>
        <v>39.39</v>
      </c>
      <c r="F116" s="15">
        <v>3</v>
      </c>
      <c r="G116" s="80"/>
      <c r="H116" s="6"/>
      <c r="I116" s="2"/>
      <c r="J116" s="2"/>
      <c r="K116" s="2"/>
      <c r="L116" s="2"/>
      <c r="M116" s="37"/>
      <c r="N116" s="43"/>
      <c r="O116" s="2"/>
    </row>
    <row r="117" spans="1:15" x14ac:dyDescent="0.25">
      <c r="A117" s="40"/>
      <c r="B117" s="6"/>
      <c r="C117" s="5"/>
      <c r="D117" s="6"/>
      <c r="E117" s="6"/>
      <c r="F117" s="6"/>
      <c r="G117" s="80"/>
      <c r="H117" s="6"/>
      <c r="I117" s="2"/>
      <c r="J117" s="2"/>
      <c r="K117" s="2"/>
      <c r="L117" s="2"/>
      <c r="M117" s="37"/>
      <c r="N117" s="43"/>
      <c r="O117" s="2"/>
    </row>
    <row r="118" spans="1:15" x14ac:dyDescent="0.25">
      <c r="A118" s="2"/>
      <c r="B118" s="6"/>
      <c r="C118" s="2"/>
      <c r="D118" s="2"/>
      <c r="E118" s="6"/>
      <c r="F118" s="6"/>
      <c r="G118" s="80"/>
      <c r="H118" s="6"/>
      <c r="I118" s="2"/>
      <c r="J118" s="2"/>
      <c r="K118" s="2"/>
      <c r="L118" s="2"/>
      <c r="M118" s="37"/>
      <c r="N118" s="43"/>
      <c r="O118" s="2"/>
    </row>
    <row r="119" spans="1:15" x14ac:dyDescent="0.25">
      <c r="A119" s="3" t="s">
        <v>2</v>
      </c>
      <c r="B119" s="5">
        <f>SUM(B115:B118)</f>
        <v>156.69</v>
      </c>
      <c r="C119" s="5">
        <f t="shared" ref="C119:D119" si="36">SUM(C115:C118)</f>
        <v>156.69</v>
      </c>
      <c r="D119" s="5">
        <f t="shared" si="36"/>
        <v>0</v>
      </c>
      <c r="E119" s="5">
        <f>IF(B119&gt;0,SUMPRODUCT(E115:E118,F115:F118)/SUM(F115:F118),"0.00")</f>
        <v>39.172499999999999</v>
      </c>
      <c r="F119" s="15">
        <f t="shared" ref="F119" si="37">SUM(F115:F118)</f>
        <v>4</v>
      </c>
      <c r="G119" s="81"/>
      <c r="H119" s="3" t="s">
        <v>2</v>
      </c>
      <c r="I119" s="5">
        <f>SUM(I115:I118)</f>
        <v>0</v>
      </c>
      <c r="J119" s="5">
        <f t="shared" ref="J119" si="38">SUM(J115:J118)</f>
        <v>0</v>
      </c>
      <c r="K119" s="6"/>
      <c r="L119" s="15">
        <f t="shared" ref="L119" si="39">SUM(L115:L118)</f>
        <v>0</v>
      </c>
      <c r="M119" s="38"/>
      <c r="N119" s="3" t="s">
        <v>2</v>
      </c>
      <c r="O119" s="5">
        <f>SUM(O115:O118)</f>
        <v>0</v>
      </c>
    </row>
    <row r="122" spans="1:15" x14ac:dyDescent="0.25">
      <c r="A122" s="76" t="s">
        <v>63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 x14ac:dyDescent="0.25">
      <c r="A123" s="69" t="s">
        <v>14</v>
      </c>
      <c r="B123" s="71"/>
      <c r="C123" s="71"/>
      <c r="D123" s="71"/>
      <c r="E123" s="71"/>
      <c r="F123" s="70"/>
      <c r="G123" s="79"/>
      <c r="H123" s="72" t="s">
        <v>37</v>
      </c>
      <c r="I123" s="72"/>
      <c r="J123" s="72"/>
      <c r="K123" s="72"/>
      <c r="L123" s="2"/>
      <c r="M123" s="35"/>
      <c r="N123" s="69" t="s">
        <v>49</v>
      </c>
      <c r="O123" s="70"/>
    </row>
    <row r="124" spans="1:15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x14ac:dyDescent="0.25">
      <c r="A125" s="40">
        <v>46175</v>
      </c>
      <c r="B125" s="5">
        <v>49.06</v>
      </c>
      <c r="C125" s="5">
        <f>B125-D125</f>
        <v>49.06</v>
      </c>
      <c r="D125" s="5">
        <v>0</v>
      </c>
      <c r="E125" s="13">
        <f>C125/F125</f>
        <v>49.06</v>
      </c>
      <c r="F125" s="15">
        <v>1</v>
      </c>
      <c r="G125" s="80"/>
      <c r="H125" s="6"/>
      <c r="I125" s="6"/>
      <c r="J125" s="5"/>
      <c r="K125" s="5"/>
      <c r="L125" s="6"/>
      <c r="M125" s="23"/>
      <c r="N125" s="42"/>
      <c r="O125" s="5"/>
    </row>
    <row r="126" spans="1:15" x14ac:dyDescent="0.25">
      <c r="A126" s="40">
        <v>46192</v>
      </c>
      <c r="B126" s="5">
        <v>99.59</v>
      </c>
      <c r="C126" s="5">
        <f>B126-D126</f>
        <v>99.59</v>
      </c>
      <c r="D126" s="5">
        <v>0</v>
      </c>
      <c r="E126" s="13">
        <f>C126/F126</f>
        <v>49.795000000000002</v>
      </c>
      <c r="F126" s="15">
        <v>2</v>
      </c>
      <c r="G126" s="80"/>
      <c r="H126" s="6"/>
      <c r="I126" s="2"/>
      <c r="J126" s="2"/>
      <c r="K126" s="2"/>
      <c r="L126" s="2"/>
      <c r="M126" s="37"/>
      <c r="N126" s="43"/>
      <c r="O126" s="2"/>
    </row>
    <row r="127" spans="1:15" x14ac:dyDescent="0.25">
      <c r="A127" s="40"/>
      <c r="B127" s="6"/>
      <c r="C127" s="5"/>
      <c r="D127" s="6"/>
      <c r="E127" s="6"/>
      <c r="F127" s="6"/>
      <c r="G127" s="80"/>
      <c r="H127" s="6"/>
      <c r="I127" s="2"/>
      <c r="J127" s="2"/>
      <c r="K127" s="2"/>
      <c r="L127" s="2"/>
      <c r="M127" s="37"/>
      <c r="N127" s="43"/>
      <c r="O127" s="2"/>
    </row>
    <row r="128" spans="1:15" x14ac:dyDescent="0.25">
      <c r="A128" s="2"/>
      <c r="B128" s="6"/>
      <c r="C128" s="2"/>
      <c r="D128" s="2"/>
      <c r="E128" s="6"/>
      <c r="F128" s="6"/>
      <c r="G128" s="80"/>
      <c r="H128" s="6"/>
      <c r="I128" s="2"/>
      <c r="J128" s="2"/>
      <c r="K128" s="2"/>
      <c r="L128" s="2"/>
      <c r="M128" s="37"/>
      <c r="N128" s="43"/>
      <c r="O128" s="2"/>
    </row>
    <row r="129" spans="1:15" x14ac:dyDescent="0.25">
      <c r="A129" s="3" t="s">
        <v>2</v>
      </c>
      <c r="B129" s="5">
        <f>SUM(B125:B128)</f>
        <v>148.65</v>
      </c>
      <c r="C129" s="5">
        <f t="shared" ref="C129:D129" si="40">SUM(C125:C128)</f>
        <v>148.65</v>
      </c>
      <c r="D129" s="5">
        <f t="shared" si="40"/>
        <v>0</v>
      </c>
      <c r="E129" s="5">
        <f>IF(B129&gt;0,SUMPRODUCT(E125:E128,F125:F128)/SUM(F125:F128),"0.00")</f>
        <v>49.550000000000004</v>
      </c>
      <c r="F129" s="15">
        <f t="shared" ref="F129" si="41">SUM(F125:F128)</f>
        <v>3</v>
      </c>
      <c r="G129" s="81"/>
      <c r="H129" s="3" t="s">
        <v>2</v>
      </c>
      <c r="I129" s="5">
        <f>SUM(I125:I128)</f>
        <v>0</v>
      </c>
      <c r="J129" s="5">
        <f t="shared" ref="J129" si="42">SUM(J125:J128)</f>
        <v>0</v>
      </c>
      <c r="K129" s="6"/>
      <c r="L129" s="15">
        <f t="shared" ref="L129" si="43">SUM(L125:L128)</f>
        <v>0</v>
      </c>
      <c r="M129" s="38"/>
      <c r="N129" s="3" t="s">
        <v>2</v>
      </c>
      <c r="O129" s="5">
        <f>SUM(O125:O128)</f>
        <v>0</v>
      </c>
    </row>
  </sheetData>
  <mergeCells count="68">
    <mergeCell ref="A82:O82"/>
    <mergeCell ref="A83:F83"/>
    <mergeCell ref="G83:G89"/>
    <mergeCell ref="H83:K83"/>
    <mergeCell ref="N83:O83"/>
    <mergeCell ref="A92:O92"/>
    <mergeCell ref="A93:F93"/>
    <mergeCell ref="G93:G99"/>
    <mergeCell ref="H93:K93"/>
    <mergeCell ref="N93:O93"/>
    <mergeCell ref="A102:O102"/>
    <mergeCell ref="A103:F103"/>
    <mergeCell ref="G103:G109"/>
    <mergeCell ref="H103:K103"/>
    <mergeCell ref="N103:O103"/>
    <mergeCell ref="A113:F113"/>
    <mergeCell ref="G113:G119"/>
    <mergeCell ref="H113:K113"/>
    <mergeCell ref="N113:O113"/>
    <mergeCell ref="A112:O112"/>
    <mergeCell ref="A122:O122"/>
    <mergeCell ref="A123:F123"/>
    <mergeCell ref="G123:G129"/>
    <mergeCell ref="H123:K123"/>
    <mergeCell ref="N123:O12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33:F33"/>
    <mergeCell ref="G33:G39"/>
    <mergeCell ref="H33:K3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  <mergeCell ref="Q2:X2"/>
    <mergeCell ref="Q3:Q4"/>
    <mergeCell ref="R3:R4"/>
    <mergeCell ref="S3:S4"/>
    <mergeCell ref="T3:T4"/>
    <mergeCell ref="U3:V3"/>
    <mergeCell ref="W3:W4"/>
    <mergeCell ref="X3:X4"/>
  </mergeCells>
  <hyperlinks>
    <hyperlink ref="A12:O12" location="NADQ!A1" display="NADQ Amundi Nasdaq-100 UCITS ETF (Dist)" xr:uid="{304B724F-D2F3-4C17-A64F-A6C84EF6BA49}"/>
    <hyperlink ref="A22:O22" location="QDVE!A1" display="QDVE iShares S&amp;P 500 Inf. Tech. Sector UCITS ETF (Acc)" xr:uid="{43017427-3E75-427D-9822-62248C40B646}"/>
    <hyperlink ref="A32:O32" location="VWCE!A1" display="VWCE Vanguard FTSE All-World UCITS ETF (Acc)" xr:uid="{03320159-0B20-4B5B-8C09-5DFEA5F9EEE0}"/>
    <hyperlink ref="A42:O42" location="XDEQ!A1" display="XDEQ Xtarckers MSCI World Quality UCITS ETF (Acc)" xr:uid="{0B74FCD6-05AA-4F8D-AB83-89A4C118C237}"/>
    <hyperlink ref="A52:O52" location="VUAA!A1" display="VUAA Vanguard S&amp;P 500 UCITS ETF (Acc)" xr:uid="{15AEBB7E-E935-4F4F-88C4-C3F0AE298213}"/>
    <hyperlink ref="A62:O62" location="XDWT!A1" display="XDWT Xtrackers MSCI World Information Tech. ETF (Acc)" xr:uid="{524AAC64-D526-4689-B641-5FB76E3B04E5}"/>
    <hyperlink ref="A72:O72" location="XAIX!A1" display="XAIX Xtrackers Artificial Intell. and Big Data ETF (Acc)" xr:uid="{BB15E9D3-3111-44BF-84AE-0881CA8B645E}"/>
    <hyperlink ref="A82:O82" location="SPYL!A1" display="SPYL SPDR S&amp;P 500 UCITS (Acc)" xr:uid="{586B57B9-C682-4346-AC9A-5F338DF261CF}"/>
    <hyperlink ref="A92:O92" location="JEQP!A1" display="JEQP JPM Nasdaq Equity Premium Income Active UCITS ETF - USD (Dist)" xr:uid="{28BC5D9F-2EEF-4FD8-B03A-056302B0E2FD}"/>
    <hyperlink ref="A102:O102" location="JGPI!A1" display="JGPI JPM Global Equity Premium Income Active UCITS ETF - USD (Dist)" xr:uid="{15F3079D-C2C1-4B59-A644-31D4503A7B16}"/>
    <hyperlink ref="A112:O112" location="EXUS!A1" display="EXUS Xtrackers MSCI World ex USA UCITS ETF 1C 1C" xr:uid="{F1193A08-8E15-4E13-BB3F-9C4FF967BD1F}"/>
    <hyperlink ref="A122:O122" location="IS3N!A1" display="IS3N iShares Core MSCI Emerging Markets IMI Acc ETF" xr:uid="{9302EFD3-843B-40D6-8BBB-E031175F7FBA}"/>
  </hyperlinks>
  <pageMargins left="0.7" right="0.7" top="0.75" bottom="0.75" header="0.3" footer="0.3"/>
  <pageSetup orientation="portrait" horizontalDpi="4294967293" r:id="rId1"/>
  <ignoredErrors>
    <ignoredError sqref="E85" evalError="1"/>
    <ignoredError sqref="E19 E39 E89 E119 E129" formula="1"/>
    <ignoredError sqref="Q2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302A-1210-4665-AC0C-CBFE13BADBFF}">
  <dimension ref="A2:X129"/>
  <sheetViews>
    <sheetView topLeftCell="A86"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60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120</v>
      </c>
      <c r="R5" s="5">
        <v>0</v>
      </c>
      <c r="S5" s="5">
        <f>C19+C29+C39+C49+C59+C69+C79+C89+C99+C109+C119+C129</f>
        <v>572.78</v>
      </c>
      <c r="T5" s="5">
        <f>I19+I29+I39+I49+I59+I69+I79+I89+I99+I109+I119+I129</f>
        <v>458.88</v>
      </c>
      <c r="U5" s="5">
        <f>D19+D29+D39+D49+D59+D69+D79+D89+D99+D109+D119+D129</f>
        <v>0.04</v>
      </c>
      <c r="V5" s="5">
        <f>J19+J29+J39+J49+J59+J69+J79+J89+J99+J109+J119+J129</f>
        <v>0.22</v>
      </c>
      <c r="W5" s="5">
        <f>O19+O29+O39+O49+O59+O69+O79+O89+O99+O109+O119+O129</f>
        <v>3.0999999999999996</v>
      </c>
      <c r="X5" s="5">
        <f>Q5-S5-U5+T5-V5+W5</f>
        <v>8.9400000000000013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46146</v>
      </c>
      <c r="B85" s="5">
        <v>76.459999999999994</v>
      </c>
      <c r="C85" s="5">
        <f>B85-D85</f>
        <v>76.459999999999994</v>
      </c>
      <c r="D85" s="5">
        <v>0</v>
      </c>
      <c r="E85" s="13">
        <f>C85/F85</f>
        <v>15.291999999999998</v>
      </c>
      <c r="F85" s="15">
        <v>5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76.459999999999994</v>
      </c>
      <c r="C89" s="5">
        <f t="shared" ref="C89:D89" si="24">SUM(C85:C88)</f>
        <v>76.459999999999994</v>
      </c>
      <c r="D89" s="5">
        <f t="shared" si="24"/>
        <v>0</v>
      </c>
      <c r="E89" s="5">
        <f>IF(B89&gt;0,SUMPRODUCT(E85:E88,F85:F88)/SUM(F85:F88),"0.00")</f>
        <v>15.291999999999998</v>
      </c>
      <c r="F89" s="15">
        <f t="shared" ref="F89" si="25">SUM(F85:F88)</f>
        <v>5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2" spans="1:18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x14ac:dyDescent="0.25">
      <c r="A95" s="40">
        <v>46146</v>
      </c>
      <c r="B95" s="5">
        <v>23.26</v>
      </c>
      <c r="C95" s="5">
        <f>B95-D95</f>
        <v>23.240000000000002</v>
      </c>
      <c r="D95" s="5">
        <v>0.02</v>
      </c>
      <c r="E95" s="13">
        <f>C95/F95</f>
        <v>23.240000000000002</v>
      </c>
      <c r="F95" s="15">
        <v>1</v>
      </c>
      <c r="G95" s="80"/>
      <c r="H95" s="41">
        <v>46157</v>
      </c>
      <c r="I95" s="5">
        <v>234.6</v>
      </c>
      <c r="J95" s="5">
        <v>0</v>
      </c>
      <c r="K95" s="5">
        <v>234.6</v>
      </c>
      <c r="L95" s="6">
        <v>10</v>
      </c>
      <c r="M95" s="23"/>
      <c r="N95" s="42">
        <v>46155</v>
      </c>
      <c r="O95" s="5">
        <v>1.64</v>
      </c>
      <c r="R95" s="1"/>
    </row>
    <row r="96" spans="1:18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23.26</v>
      </c>
      <c r="C99" s="5">
        <f t="shared" ref="C99:D99" si="28">SUM(C95:C98)</f>
        <v>23.240000000000002</v>
      </c>
      <c r="D99" s="5">
        <f t="shared" si="28"/>
        <v>0.02</v>
      </c>
      <c r="E99" s="5">
        <f>IF(B99&gt;0,SUMPRODUCT(E95:E98,F95:F98)/SUM(F95:F98),"0.00")</f>
        <v>23.240000000000002</v>
      </c>
      <c r="F99" s="15">
        <f t="shared" ref="F99" si="29">SUM(F95:F98)</f>
        <v>1</v>
      </c>
      <c r="G99" s="81"/>
      <c r="H99" s="3" t="s">
        <v>2</v>
      </c>
      <c r="I99" s="5">
        <f>SUM(I95:I98)</f>
        <v>234.6</v>
      </c>
      <c r="J99" s="5">
        <f t="shared" ref="J99" si="30">SUM(J95:J98)</f>
        <v>0</v>
      </c>
      <c r="K99" s="6"/>
      <c r="L99" s="15">
        <f t="shared" ref="L99" si="31">SUM(L95:L98)</f>
        <v>10</v>
      </c>
      <c r="M99" s="38"/>
      <c r="N99" s="3" t="s">
        <v>2</v>
      </c>
      <c r="O99" s="5">
        <f>SUM(O95:O98)</f>
        <v>1.64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46146</v>
      </c>
      <c r="B105" s="5">
        <v>22.49</v>
      </c>
      <c r="C105" s="5">
        <f>B105-D105</f>
        <v>22.47</v>
      </c>
      <c r="D105" s="6">
        <v>0.02</v>
      </c>
      <c r="E105" s="13">
        <f>C105/F105</f>
        <v>22.47</v>
      </c>
      <c r="F105" s="15">
        <v>1</v>
      </c>
      <c r="G105" s="80"/>
      <c r="H105" s="41">
        <v>46161</v>
      </c>
      <c r="I105" s="6">
        <v>224.28</v>
      </c>
      <c r="J105" s="5">
        <v>0.22</v>
      </c>
      <c r="K105" s="5">
        <v>22.43</v>
      </c>
      <c r="L105" s="6">
        <v>10</v>
      </c>
      <c r="M105" s="23"/>
      <c r="N105" s="42">
        <v>46155</v>
      </c>
      <c r="O105" s="5">
        <v>1.46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22.49</v>
      </c>
      <c r="C109" s="5">
        <f t="shared" ref="C109:D109" si="32">SUM(C105:C108)</f>
        <v>22.47</v>
      </c>
      <c r="D109" s="5">
        <f t="shared" si="32"/>
        <v>0.02</v>
      </c>
      <c r="E109" s="5">
        <f>IF(B109&gt;0,SUMPRODUCT(E105:E108,F105:F108)/SUM(F105:F108),"0.00")</f>
        <v>22.47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224.28</v>
      </c>
      <c r="J109" s="5">
        <f t="shared" ref="J109" si="34">SUM(J105:J108)</f>
        <v>0.22</v>
      </c>
      <c r="K109" s="6"/>
      <c r="L109" s="15">
        <f t="shared" ref="L109" si="35">SUM(L105:L108)</f>
        <v>10</v>
      </c>
      <c r="M109" s="38"/>
      <c r="N109" s="3" t="s">
        <v>2</v>
      </c>
      <c r="O109" s="5">
        <f>SUM(O105:O108)</f>
        <v>1.46</v>
      </c>
    </row>
    <row r="110" spans="1:15" x14ac:dyDescent="0.25">
      <c r="A110" s="39"/>
      <c r="B110" s="9"/>
      <c r="E110" s="1"/>
      <c r="F110" s="11"/>
    </row>
    <row r="112" spans="1:15" x14ac:dyDescent="0.25">
      <c r="A112" s="76" t="s">
        <v>61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8"/>
    </row>
    <row r="113" spans="1:15" x14ac:dyDescent="0.25">
      <c r="A113" s="69" t="s">
        <v>14</v>
      </c>
      <c r="B113" s="71"/>
      <c r="C113" s="71"/>
      <c r="D113" s="71"/>
      <c r="E113" s="71"/>
      <c r="F113" s="70"/>
      <c r="G113" s="79"/>
      <c r="H113" s="72" t="s">
        <v>37</v>
      </c>
      <c r="I113" s="72"/>
      <c r="J113" s="72"/>
      <c r="K113" s="72"/>
      <c r="L113" s="2"/>
      <c r="M113" s="35"/>
      <c r="N113" s="69" t="s">
        <v>49</v>
      </c>
      <c r="O113" s="70"/>
    </row>
    <row r="114" spans="1:15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x14ac:dyDescent="0.25">
      <c r="A115" s="40">
        <v>46157</v>
      </c>
      <c r="B115" s="5">
        <v>225.27</v>
      </c>
      <c r="C115" s="5">
        <f>B115-D115</f>
        <v>225.27</v>
      </c>
      <c r="D115" s="5">
        <v>0</v>
      </c>
      <c r="E115" s="13">
        <f>C115/F115</f>
        <v>37.545000000000002</v>
      </c>
      <c r="F115" s="15">
        <v>6</v>
      </c>
      <c r="G115" s="80"/>
      <c r="H115" s="6"/>
      <c r="I115" s="6"/>
      <c r="J115" s="5"/>
      <c r="K115" s="5"/>
      <c r="L115" s="6"/>
      <c r="M115" s="23"/>
      <c r="N115" s="42"/>
      <c r="O115" s="5"/>
    </row>
    <row r="116" spans="1:15" x14ac:dyDescent="0.25">
      <c r="A116" s="40"/>
      <c r="B116" s="5"/>
      <c r="C116" s="5"/>
      <c r="D116" s="6"/>
      <c r="E116" s="6"/>
      <c r="F116" s="15"/>
      <c r="G116" s="80"/>
      <c r="H116" s="6"/>
      <c r="I116" s="2"/>
      <c r="J116" s="2"/>
      <c r="K116" s="2"/>
      <c r="L116" s="2"/>
      <c r="M116" s="37"/>
      <c r="N116" s="43"/>
      <c r="O116" s="2"/>
    </row>
    <row r="117" spans="1:15" x14ac:dyDescent="0.25">
      <c r="A117" s="40"/>
      <c r="B117" s="6"/>
      <c r="C117" s="5"/>
      <c r="D117" s="6"/>
      <c r="E117" s="6"/>
      <c r="F117" s="6"/>
      <c r="G117" s="80"/>
      <c r="H117" s="6"/>
      <c r="I117" s="2"/>
      <c r="J117" s="2"/>
      <c r="K117" s="2"/>
      <c r="L117" s="2"/>
      <c r="M117" s="37"/>
      <c r="N117" s="43"/>
      <c r="O117" s="2"/>
    </row>
    <row r="118" spans="1:15" x14ac:dyDescent="0.25">
      <c r="A118" s="2"/>
      <c r="B118" s="6"/>
      <c r="C118" s="2"/>
      <c r="D118" s="2"/>
      <c r="E118" s="6"/>
      <c r="F118" s="6"/>
      <c r="G118" s="80"/>
      <c r="H118" s="6"/>
      <c r="I118" s="2"/>
      <c r="J118" s="2"/>
      <c r="K118" s="2"/>
      <c r="L118" s="2"/>
      <c r="M118" s="37"/>
      <c r="N118" s="43"/>
      <c r="O118" s="2"/>
    </row>
    <row r="119" spans="1:15" x14ac:dyDescent="0.25">
      <c r="A119" s="3" t="s">
        <v>2</v>
      </c>
      <c r="B119" s="5">
        <f>SUM(B115:B118)</f>
        <v>225.27</v>
      </c>
      <c r="C119" s="5">
        <f t="shared" ref="C119:D119" si="36">SUM(C115:C118)</f>
        <v>225.27</v>
      </c>
      <c r="D119" s="5">
        <f t="shared" si="36"/>
        <v>0</v>
      </c>
      <c r="E119" s="5">
        <f>IF(B119&gt;0,SUMPRODUCT(E115:E118,F115:F118)/SUM(F115:F118),"0.00")</f>
        <v>37.545000000000002</v>
      </c>
      <c r="F119" s="15">
        <f t="shared" ref="F119" si="37">SUM(F115:F118)</f>
        <v>6</v>
      </c>
      <c r="G119" s="81"/>
      <c r="H119" s="3" t="s">
        <v>2</v>
      </c>
      <c r="I119" s="5">
        <f>SUM(I115:I118)</f>
        <v>0</v>
      </c>
      <c r="J119" s="5">
        <f t="shared" ref="J119" si="38">SUM(J115:J118)</f>
        <v>0</v>
      </c>
      <c r="K119" s="6"/>
      <c r="L119" s="15">
        <f t="shared" ref="L119" si="39">SUM(L115:L118)</f>
        <v>0</v>
      </c>
      <c r="M119" s="38"/>
      <c r="N119" s="3" t="s">
        <v>2</v>
      </c>
      <c r="O119" s="5">
        <f>SUM(O115:O118)</f>
        <v>0</v>
      </c>
    </row>
    <row r="122" spans="1:15" x14ac:dyDescent="0.25">
      <c r="A122" s="76" t="s">
        <v>63</v>
      </c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8"/>
    </row>
    <row r="123" spans="1:15" x14ac:dyDescent="0.25">
      <c r="A123" s="69" t="s">
        <v>14</v>
      </c>
      <c r="B123" s="71"/>
      <c r="C123" s="71"/>
      <c r="D123" s="71"/>
      <c r="E123" s="71"/>
      <c r="F123" s="70"/>
      <c r="G123" s="79"/>
      <c r="H123" s="72" t="s">
        <v>37</v>
      </c>
      <c r="I123" s="72"/>
      <c r="J123" s="72"/>
      <c r="K123" s="72"/>
      <c r="L123" s="2"/>
      <c r="M123" s="35"/>
      <c r="N123" s="69" t="s">
        <v>49</v>
      </c>
      <c r="O123" s="70"/>
    </row>
    <row r="124" spans="1:15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x14ac:dyDescent="0.25">
      <c r="A125" s="40">
        <v>46161</v>
      </c>
      <c r="B125" s="5">
        <v>225.34</v>
      </c>
      <c r="C125" s="5">
        <f>B125-D125</f>
        <v>225.34</v>
      </c>
      <c r="D125" s="5">
        <v>0</v>
      </c>
      <c r="E125" s="13">
        <f>C125/F125</f>
        <v>45.067999999999998</v>
      </c>
      <c r="F125" s="15">
        <v>5</v>
      </c>
      <c r="G125" s="80"/>
      <c r="H125" s="6"/>
      <c r="I125" s="6"/>
      <c r="J125" s="5"/>
      <c r="K125" s="5"/>
      <c r="L125" s="6"/>
      <c r="M125" s="23"/>
      <c r="N125" s="42"/>
      <c r="O125" s="5"/>
    </row>
    <row r="126" spans="1:15" x14ac:dyDescent="0.25">
      <c r="A126" s="40"/>
      <c r="B126" s="5"/>
      <c r="C126" s="5"/>
      <c r="D126" s="6"/>
      <c r="E126" s="6"/>
      <c r="F126" s="15"/>
      <c r="G126" s="80"/>
      <c r="H126" s="6"/>
      <c r="I126" s="2"/>
      <c r="J126" s="2"/>
      <c r="K126" s="2"/>
      <c r="L126" s="2"/>
      <c r="M126" s="37"/>
      <c r="N126" s="43"/>
      <c r="O126" s="2"/>
    </row>
    <row r="127" spans="1:15" x14ac:dyDescent="0.25">
      <c r="A127" s="40"/>
      <c r="B127" s="6"/>
      <c r="C127" s="5"/>
      <c r="D127" s="6"/>
      <c r="E127" s="6"/>
      <c r="F127" s="6"/>
      <c r="G127" s="80"/>
      <c r="H127" s="6"/>
      <c r="I127" s="2"/>
      <c r="J127" s="2"/>
      <c r="K127" s="2"/>
      <c r="L127" s="2"/>
      <c r="M127" s="37"/>
      <c r="N127" s="43"/>
      <c r="O127" s="2"/>
    </row>
    <row r="128" spans="1:15" x14ac:dyDescent="0.25">
      <c r="A128" s="2"/>
      <c r="B128" s="6"/>
      <c r="C128" s="2"/>
      <c r="D128" s="2"/>
      <c r="E128" s="6"/>
      <c r="F128" s="6"/>
      <c r="G128" s="80"/>
      <c r="H128" s="6"/>
      <c r="I128" s="2"/>
      <c r="J128" s="2"/>
      <c r="K128" s="2"/>
      <c r="L128" s="2"/>
      <c r="M128" s="37"/>
      <c r="N128" s="43"/>
      <c r="O128" s="2"/>
    </row>
    <row r="129" spans="1:15" x14ac:dyDescent="0.25">
      <c r="A129" s="3" t="s">
        <v>2</v>
      </c>
      <c r="B129" s="5">
        <f>SUM(B125:B128)</f>
        <v>225.34</v>
      </c>
      <c r="C129" s="5">
        <f t="shared" ref="C129:D129" si="40">SUM(C125:C128)</f>
        <v>225.34</v>
      </c>
      <c r="D129" s="5">
        <f t="shared" si="40"/>
        <v>0</v>
      </c>
      <c r="E129" s="5">
        <f>IF(B129&gt;0,SUMPRODUCT(E125:E128,F125:F128)/SUM(F125:F128),"0.00")</f>
        <v>45.067999999999998</v>
      </c>
      <c r="F129" s="15">
        <f t="shared" ref="F129" si="41">SUM(F125:F128)</f>
        <v>5</v>
      </c>
      <c r="G129" s="81"/>
      <c r="H129" s="3" t="s">
        <v>2</v>
      </c>
      <c r="I129" s="5">
        <f>SUM(I125:I128)</f>
        <v>0</v>
      </c>
      <c r="J129" s="5">
        <f t="shared" ref="J129" si="42">SUM(J125:J128)</f>
        <v>0</v>
      </c>
      <c r="K129" s="6"/>
      <c r="L129" s="15">
        <f t="shared" ref="L129" si="43">SUM(L125:L128)</f>
        <v>0</v>
      </c>
      <c r="M129" s="38"/>
      <c r="N129" s="3" t="s">
        <v>2</v>
      </c>
      <c r="O129" s="5">
        <f>SUM(O125:O128)</f>
        <v>0</v>
      </c>
    </row>
  </sheetData>
  <mergeCells count="68">
    <mergeCell ref="A102:O102"/>
    <mergeCell ref="A103:F103"/>
    <mergeCell ref="G103:G109"/>
    <mergeCell ref="H103:K103"/>
    <mergeCell ref="N103:O103"/>
    <mergeCell ref="A92:O92"/>
    <mergeCell ref="A93:F93"/>
    <mergeCell ref="G93:G99"/>
    <mergeCell ref="H93:K93"/>
    <mergeCell ref="N93:O93"/>
    <mergeCell ref="A82:O82"/>
    <mergeCell ref="Q2:X2"/>
    <mergeCell ref="A83:F83"/>
    <mergeCell ref="G83:G89"/>
    <mergeCell ref="H83:K83"/>
    <mergeCell ref="N83:O83"/>
    <mergeCell ref="Q3:Q4"/>
    <mergeCell ref="R3:R4"/>
    <mergeCell ref="S3:S4"/>
    <mergeCell ref="T3:T4"/>
    <mergeCell ref="U3:V3"/>
    <mergeCell ref="W3:W4"/>
    <mergeCell ref="X3:X4"/>
    <mergeCell ref="A12:O12"/>
    <mergeCell ref="A13:F13"/>
    <mergeCell ref="G13:G19"/>
    <mergeCell ref="A112:O112"/>
    <mergeCell ref="A113:F113"/>
    <mergeCell ref="G113:G119"/>
    <mergeCell ref="H113:K113"/>
    <mergeCell ref="N113:O113"/>
    <mergeCell ref="A122:O122"/>
    <mergeCell ref="A123:F123"/>
    <mergeCell ref="G123:G129"/>
    <mergeCell ref="H123:K123"/>
    <mergeCell ref="N123:O123"/>
    <mergeCell ref="H13:L13"/>
    <mergeCell ref="N13:O13"/>
    <mergeCell ref="A22:O22"/>
    <mergeCell ref="A23:F23"/>
    <mergeCell ref="G23:G29"/>
    <mergeCell ref="H23:L23"/>
    <mergeCell ref="N23:O23"/>
    <mergeCell ref="A32:O32"/>
    <mergeCell ref="A33:F33"/>
    <mergeCell ref="G33:G39"/>
    <mergeCell ref="H33:K3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</mergeCells>
  <hyperlinks>
    <hyperlink ref="A12:O12" location="NADQ!A1" display="NADQ Amundi Nasdaq-100 UCITS ETF (Dist)" xr:uid="{25EDD730-B0A7-4BF8-9D53-9EDFB35AA175}"/>
    <hyperlink ref="A22:O22" location="QDVE!A1" display="QDVE iShares S&amp;P 500 Inf. Tech. Sector UCITS ETF (Acc)" xr:uid="{5ECF01A7-BA0E-40EC-ADE4-C56BB935C1EE}"/>
    <hyperlink ref="A32:O32" location="VWCE!A1" display="VWCE Vanguard FTSE All-World UCITS ETF (Acc)" xr:uid="{B8F21C74-B0B3-4E43-8A9F-81BA17BDE82E}"/>
    <hyperlink ref="A42:O42" location="XDEQ!A1" display="XDEQ Xtarckers MSCI World Quality UCITS ETF (Acc)" xr:uid="{687C48C1-BF89-4E56-99A6-D75C115A1636}"/>
    <hyperlink ref="A52:O52" location="VUAA!A1" display="VUAA Vanguard S&amp;P 500 UCITS ETF (Acc)" xr:uid="{4C41B7EF-B86F-4A40-ACDD-6DD3924E0E6D}"/>
    <hyperlink ref="A62:O62" location="XDWT!A1" display="XDWT Xtrackers MSCI World Information Tech. ETF (Acc)" xr:uid="{C87769BA-12A7-43CE-9542-8009D9C852C9}"/>
    <hyperlink ref="A72:O72" location="XAIX!A1" display="XAIX Xtrackers Artificial Intell. and Big Data ETF (Acc)" xr:uid="{0071353D-3541-45EC-9350-DBDCC2F44379}"/>
    <hyperlink ref="A82:O82" location="SPYL!A1" display="SPYL SPDR S&amp;P 500 UCITS (Acc)" xr:uid="{B8B26B94-33AF-4C39-B057-6F9DB9A5A306}"/>
    <hyperlink ref="A92:O92" location="JEQP!A1" display="JEQP JPM Nasdaq Equity Premium Income Active UCITS ETF - USD (Dist)" xr:uid="{3ACF4B8E-62BC-413E-A0F9-B94982640E57}"/>
    <hyperlink ref="A102:O102" location="JGPI!A1" display="JGPI JPM Global Equity Premium Income Active UCITS ETF - USD (Dist)" xr:uid="{F46ED927-354B-4DA4-BA3F-86988715176C}"/>
    <hyperlink ref="A112:O112" location="EXUS!A1" display="EXUS Xtrackers MSCI World ex USA UCITS ETF 1C 1C" xr:uid="{49C04C80-65ED-4893-B05C-310ED67AC7DE}"/>
    <hyperlink ref="A122:O122" location="IS3N!A1" display="IS3N iShares Core MSCI Emerging Markets IMI Acc ETF" xr:uid="{05C78EF1-1011-4323-845F-7362AFEA0F46}"/>
  </hyperlinks>
  <pageMargins left="0.7" right="0.7" top="0.75" bottom="0.75" header="0.3" footer="0.3"/>
  <pageSetup orientation="portrait" horizontalDpi="4294967293" r:id="rId1"/>
  <ignoredErrors>
    <ignoredError sqref="E19 E29 E39 E49 E59 E69 E79 E89 E99 E109 E119 E129" formula="1"/>
    <ignoredError sqref="Y2:Z5 Q2" numberStoredAsText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A771-DE6C-4A6C-A0E5-D455C842A1E5}">
  <dimension ref="A2:X179"/>
  <sheetViews>
    <sheetView topLeftCell="A86"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59</v>
      </c>
      <c r="R2" s="92"/>
      <c r="S2" s="92"/>
      <c r="T2" s="92"/>
      <c r="U2" s="92"/>
      <c r="V2" s="92"/>
      <c r="W2" s="92"/>
      <c r="X2" s="93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80</v>
      </c>
      <c r="R5" s="5">
        <v>0</v>
      </c>
      <c r="S5" s="5">
        <f>C89+C99+C109+C119+C129+C139+C149+C159+C169+C179</f>
        <v>129.72</v>
      </c>
      <c r="T5" s="5">
        <f>I89+I99+I109+I119+I129+I139+I149+I159+I169+I179</f>
        <v>0</v>
      </c>
      <c r="U5" s="5">
        <f>D89+D99+D109+D119+D129+D139+D149+D159+D169+D179</f>
        <v>0.04</v>
      </c>
      <c r="V5" s="5">
        <f>J89+J99+J109+J119+J129+J139+J149+J159+J169+J179</f>
        <v>0</v>
      </c>
      <c r="W5" s="5">
        <f>O89+O99+O109+O119+O129+O139+O149+O159+O169+O179</f>
        <v>2.16</v>
      </c>
      <c r="X5" s="5">
        <f>Q5-S5-U5+T5-V5+W5</f>
        <v>-47.599999999999994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46113</v>
      </c>
      <c r="B85" s="5">
        <v>84.26</v>
      </c>
      <c r="C85" s="5">
        <f>B85-D85</f>
        <v>84.26</v>
      </c>
      <c r="D85" s="5">
        <v>0</v>
      </c>
      <c r="E85" s="13">
        <f>C85/F85</f>
        <v>14.043333333333335</v>
      </c>
      <c r="F85" s="15">
        <v>6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84.26</v>
      </c>
      <c r="C89" s="5">
        <f t="shared" ref="C89:D89" si="24">SUM(C85:C88)</f>
        <v>84.26</v>
      </c>
      <c r="D89" s="5">
        <f t="shared" si="24"/>
        <v>0</v>
      </c>
      <c r="E89" s="5">
        <f>IF(B89&gt;0,SUMPRODUCT(E85:E88,F85:F88)/SUM(F85:F88),"0.00")</f>
        <v>14.043333333333335</v>
      </c>
      <c r="F89" s="15">
        <f t="shared" ref="F89" si="25">SUM(F85:F88)</f>
        <v>6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2" spans="1:18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x14ac:dyDescent="0.25">
      <c r="A95" s="40">
        <v>46113</v>
      </c>
      <c r="B95" s="5">
        <v>22</v>
      </c>
      <c r="C95" s="5">
        <f>B95-D95</f>
        <v>21.98</v>
      </c>
      <c r="D95" s="5">
        <v>0.02</v>
      </c>
      <c r="E95" s="13">
        <f>C95/F95</f>
        <v>21.98</v>
      </c>
      <c r="F95" s="15">
        <v>1</v>
      </c>
      <c r="G95" s="80"/>
      <c r="H95" s="44"/>
      <c r="I95" s="6"/>
      <c r="J95" s="5"/>
      <c r="K95" s="5"/>
      <c r="L95" s="6"/>
      <c r="M95" s="23"/>
      <c r="N95" s="42">
        <v>46121</v>
      </c>
      <c r="O95" s="5">
        <v>1.24</v>
      </c>
      <c r="R95" s="1"/>
    </row>
    <row r="96" spans="1:18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22</v>
      </c>
      <c r="C99" s="5">
        <f t="shared" ref="C99:D99" si="28">SUM(C95:C98)</f>
        <v>21.98</v>
      </c>
      <c r="D99" s="5">
        <f t="shared" si="28"/>
        <v>0.02</v>
      </c>
      <c r="E99" s="5">
        <f>IF(B99&gt;0,SUMPRODUCT(E95:E98,F95:F98)/SUM(F95:F98),"0.00")</f>
        <v>21.98</v>
      </c>
      <c r="F99" s="15">
        <f t="shared" ref="F99" si="29">SUM(F95:F98)</f>
        <v>1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1.24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46113</v>
      </c>
      <c r="B105" s="5">
        <v>23.5</v>
      </c>
      <c r="C105" s="5">
        <f>B105-D105</f>
        <v>23.48</v>
      </c>
      <c r="D105" s="6">
        <v>0.02</v>
      </c>
      <c r="E105" s="13">
        <f>C105/F105</f>
        <v>23.48</v>
      </c>
      <c r="F105" s="15">
        <v>1</v>
      </c>
      <c r="G105" s="80"/>
      <c r="H105" s="6"/>
      <c r="I105" s="6"/>
      <c r="J105" s="5"/>
      <c r="K105" s="5"/>
      <c r="L105" s="6"/>
      <c r="M105" s="23"/>
      <c r="N105" s="42">
        <v>46121</v>
      </c>
      <c r="O105" s="5">
        <v>0.92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23.5</v>
      </c>
      <c r="C109" s="5">
        <f t="shared" ref="C109:D109" si="32">SUM(C105:C108)</f>
        <v>23.48</v>
      </c>
      <c r="D109" s="5">
        <f t="shared" si="32"/>
        <v>0.02</v>
      </c>
      <c r="E109" s="5">
        <f>IF(B109&gt;0,SUMPRODUCT(E105:E108,F105:F108)/SUM(F105:F108),"0.00")</f>
        <v>23.48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0.92</v>
      </c>
    </row>
    <row r="110" spans="1:15" x14ac:dyDescent="0.25">
      <c r="A110" s="39"/>
      <c r="B110" s="9"/>
      <c r="E110" s="1"/>
      <c r="F110" s="11"/>
    </row>
    <row r="112" spans="1:15" ht="15" hidden="1" customHeight="1" x14ac:dyDescent="0.25">
      <c r="A112" s="102" t="s">
        <v>16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4"/>
    </row>
    <row r="113" spans="1:15" ht="15" hidden="1" customHeight="1" x14ac:dyDescent="0.25">
      <c r="A113" s="69" t="s">
        <v>14</v>
      </c>
      <c r="B113" s="71"/>
      <c r="C113" s="71"/>
      <c r="D113" s="71"/>
      <c r="E113" s="71"/>
      <c r="F113" s="70"/>
      <c r="G113" s="79"/>
      <c r="H113" s="84" t="s">
        <v>37</v>
      </c>
      <c r="I113" s="85"/>
      <c r="J113" s="85"/>
      <c r="K113" s="85"/>
      <c r="L113" s="86"/>
      <c r="M113" s="35"/>
      <c r="N113" s="69" t="s">
        <v>49</v>
      </c>
      <c r="O113" s="70"/>
    </row>
    <row r="114" spans="1:15" ht="15" hidden="1" customHeight="1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ht="15" hidden="1" customHeight="1" x14ac:dyDescent="0.25">
      <c r="A115" s="10"/>
      <c r="B115" s="13"/>
      <c r="C115" s="5"/>
      <c r="D115" s="5"/>
      <c r="E115" s="13"/>
      <c r="F115" s="15"/>
      <c r="G115" s="80"/>
      <c r="H115" s="41"/>
      <c r="I115" s="6"/>
      <c r="J115" s="5"/>
      <c r="K115" s="5"/>
      <c r="L115" s="6"/>
      <c r="M115" s="23"/>
      <c r="N115" s="30"/>
      <c r="O115" s="5"/>
    </row>
    <row r="116" spans="1:15" ht="15" hidden="1" customHeight="1" x14ac:dyDescent="0.25">
      <c r="A116" s="10"/>
      <c r="B116" s="5"/>
      <c r="C116" s="6"/>
      <c r="D116" s="6"/>
      <c r="E116" s="6"/>
      <c r="F116" s="8"/>
      <c r="G116" s="80"/>
      <c r="H116" s="41"/>
      <c r="I116" s="2"/>
      <c r="J116" s="2"/>
      <c r="K116" s="2"/>
      <c r="L116" s="2"/>
      <c r="M116" s="37"/>
      <c r="N116" s="34"/>
      <c r="O116" s="2"/>
    </row>
    <row r="117" spans="1:15" ht="16.5" hidden="1" customHeight="1" x14ac:dyDescent="0.3">
      <c r="A117" s="4"/>
      <c r="B117" s="5"/>
      <c r="C117" s="6"/>
      <c r="D117" s="6"/>
      <c r="E117" s="6"/>
      <c r="F117" s="8"/>
      <c r="G117" s="80"/>
      <c r="H117" s="41"/>
      <c r="I117" s="2"/>
      <c r="J117" s="2"/>
      <c r="K117" s="2"/>
      <c r="L117" s="2"/>
      <c r="M117" s="37"/>
      <c r="N117" s="34"/>
      <c r="O117" s="2"/>
    </row>
    <row r="118" spans="1:15" ht="16.5" hidden="1" customHeight="1" x14ac:dyDescent="0.3">
      <c r="A118" s="4"/>
      <c r="B118" s="5"/>
      <c r="C118" s="6"/>
      <c r="D118" s="6"/>
      <c r="E118" s="6"/>
      <c r="F118" s="6"/>
      <c r="G118" s="80"/>
      <c r="H118" s="41"/>
      <c r="I118" s="2"/>
      <c r="J118" s="2"/>
      <c r="K118" s="2"/>
      <c r="L118" s="2"/>
      <c r="M118" s="37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/>
      <c r="F119" s="15">
        <f>SUM(F115:F118)</f>
        <v>0</v>
      </c>
      <c r="G119" s="81"/>
      <c r="H119" s="3" t="s">
        <v>2</v>
      </c>
      <c r="I119" s="5">
        <f>SUM(I115:I118)</f>
        <v>0</v>
      </c>
      <c r="J119" s="5">
        <f t="shared" ref="J119" si="36">SUM(J115:J118)</f>
        <v>0</v>
      </c>
      <c r="K119" s="6"/>
      <c r="L119" s="15">
        <f t="shared" ref="L119" si="37">SUM(L115:L118)</f>
        <v>0</v>
      </c>
      <c r="M119" s="38"/>
      <c r="N119" s="3" t="s">
        <v>2</v>
      </c>
      <c r="O119" s="5">
        <f>SUM(O115:O118)</f>
        <v>0</v>
      </c>
    </row>
    <row r="120" spans="1:15" ht="15" hidden="1" customHeight="1" x14ac:dyDescent="0.25">
      <c r="B120" s="9"/>
      <c r="E120" s="1"/>
      <c r="F120" s="11"/>
    </row>
    <row r="121" spans="1:15" ht="15" hidden="1" customHeight="1" x14ac:dyDescent="0.25">
      <c r="B121" s="9"/>
      <c r="E121" s="1"/>
      <c r="F121" s="11"/>
    </row>
    <row r="122" spans="1:15" ht="15" hidden="1" customHeight="1" x14ac:dyDescent="0.25">
      <c r="A122" s="102" t="s">
        <v>17</v>
      </c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4"/>
    </row>
    <row r="123" spans="1:15" ht="15" hidden="1" customHeight="1" x14ac:dyDescent="0.25">
      <c r="A123" s="84" t="s">
        <v>14</v>
      </c>
      <c r="B123" s="85"/>
      <c r="C123" s="85"/>
      <c r="D123" s="85"/>
      <c r="E123" s="85"/>
      <c r="F123" s="86"/>
      <c r="G123" s="79"/>
      <c r="H123" s="69" t="s">
        <v>37</v>
      </c>
      <c r="I123" s="71"/>
      <c r="J123" s="71"/>
      <c r="K123" s="71"/>
      <c r="L123" s="70"/>
      <c r="M123" s="35"/>
      <c r="N123" s="69" t="s">
        <v>49</v>
      </c>
      <c r="O123" s="70"/>
    </row>
    <row r="124" spans="1:15" ht="15" hidden="1" customHeight="1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ht="15" hidden="1" customHeight="1" x14ac:dyDescent="0.25">
      <c r="A125" s="40"/>
      <c r="B125" s="5"/>
      <c r="C125" s="5"/>
      <c r="D125" s="5"/>
      <c r="E125" s="5"/>
      <c r="F125" s="15"/>
      <c r="G125" s="80"/>
      <c r="H125" s="41"/>
      <c r="I125" s="6"/>
      <c r="J125" s="6"/>
      <c r="K125" s="5"/>
      <c r="L125" s="6"/>
      <c r="M125" s="23"/>
      <c r="N125" s="30"/>
      <c r="O125" s="5"/>
    </row>
    <row r="126" spans="1:15" ht="15" hidden="1" customHeight="1" x14ac:dyDescent="0.25">
      <c r="A126" s="28"/>
      <c r="B126" s="5"/>
      <c r="C126" s="5"/>
      <c r="D126" s="5"/>
      <c r="E126" s="13"/>
      <c r="F126" s="15"/>
      <c r="G126" s="80"/>
      <c r="H126" s="41"/>
      <c r="I126" s="2"/>
      <c r="J126" s="2"/>
      <c r="K126" s="2"/>
      <c r="L126" s="2"/>
      <c r="M126" s="37"/>
      <c r="N126" s="34"/>
      <c r="O126" s="2"/>
    </row>
    <row r="127" spans="1:15" ht="15" hidden="1" customHeight="1" x14ac:dyDescent="0.25">
      <c r="A127" s="10"/>
      <c r="B127" s="5"/>
      <c r="C127" s="2"/>
      <c r="D127" s="2"/>
      <c r="E127" s="7"/>
      <c r="F127" s="8"/>
      <c r="G127" s="80"/>
      <c r="H127" s="41"/>
      <c r="I127" s="2"/>
      <c r="J127" s="2"/>
      <c r="K127" s="2"/>
      <c r="L127" s="2"/>
      <c r="M127" s="37"/>
      <c r="N127" s="34"/>
      <c r="O127" s="2"/>
    </row>
    <row r="128" spans="1:15" ht="16.5" hidden="1" customHeight="1" x14ac:dyDescent="0.3">
      <c r="A128" s="4"/>
      <c r="B128" s="5"/>
      <c r="C128" s="2"/>
      <c r="D128" s="2"/>
      <c r="E128" s="6"/>
      <c r="F128" s="6"/>
      <c r="G128" s="80"/>
      <c r="H128" s="41"/>
      <c r="I128" s="2"/>
      <c r="J128" s="2"/>
      <c r="K128" s="2"/>
      <c r="L128" s="2"/>
      <c r="M128" s="37"/>
      <c r="N128" s="34"/>
      <c r="O128" s="2"/>
    </row>
    <row r="129" spans="1:15" ht="15" hidden="1" customHeight="1" x14ac:dyDescent="0.25">
      <c r="A129" s="3" t="s">
        <v>2</v>
      </c>
      <c r="B129" s="5">
        <f>SUM(B125:B128)</f>
        <v>0</v>
      </c>
      <c r="C129" s="5">
        <f t="shared" ref="C129:D129" si="38">SUM(C125:C128)</f>
        <v>0</v>
      </c>
      <c r="D129" s="5">
        <f t="shared" si="38"/>
        <v>0</v>
      </c>
      <c r="E129" s="5"/>
      <c r="F129" s="15">
        <f t="shared" ref="F129" si="39">SUM(F125:F128)</f>
        <v>0</v>
      </c>
      <c r="G129" s="81"/>
      <c r="H129" s="3" t="s">
        <v>2</v>
      </c>
      <c r="I129" s="5">
        <f>SUM(I125:I128)</f>
        <v>0</v>
      </c>
      <c r="J129" s="5">
        <f t="shared" ref="J129" si="40">SUM(J125:J128)</f>
        <v>0</v>
      </c>
      <c r="K129" s="6"/>
      <c r="L129" s="15">
        <f t="shared" ref="L129" si="41">SUM(L125:L128)</f>
        <v>0</v>
      </c>
      <c r="M129" s="38"/>
      <c r="N129" s="3" t="s">
        <v>2</v>
      </c>
      <c r="O129" s="5">
        <f>SUM(O125:O128)</f>
        <v>0</v>
      </c>
    </row>
    <row r="130" spans="1:15" ht="15" hidden="1" customHeight="1" x14ac:dyDescent="0.25">
      <c r="A130" s="12"/>
    </row>
    <row r="131" spans="1:15" ht="15" hidden="1" customHeight="1" x14ac:dyDescent="0.25">
      <c r="A131" s="12"/>
    </row>
    <row r="132" spans="1:15" ht="15" hidden="1" customHeight="1" x14ac:dyDescent="0.25">
      <c r="A132" s="101" t="s">
        <v>18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</row>
    <row r="133" spans="1:15" ht="15" hidden="1" customHeight="1" x14ac:dyDescent="0.25">
      <c r="A133" s="69" t="s">
        <v>14</v>
      </c>
      <c r="B133" s="71"/>
      <c r="C133" s="71"/>
      <c r="D133" s="71"/>
      <c r="E133" s="71"/>
      <c r="F133" s="70"/>
      <c r="G133" s="87"/>
      <c r="H133" s="72" t="s">
        <v>37</v>
      </c>
      <c r="I133" s="72"/>
      <c r="J133" s="72"/>
      <c r="K133" s="72"/>
      <c r="L133" s="2"/>
      <c r="M133" s="35"/>
      <c r="N133" s="69" t="s">
        <v>49</v>
      </c>
      <c r="O133" s="70"/>
    </row>
    <row r="134" spans="1:15" ht="15" hidden="1" customHeight="1" x14ac:dyDescent="0.25">
      <c r="A134" s="31" t="s">
        <v>42</v>
      </c>
      <c r="B134" s="3" t="s">
        <v>3</v>
      </c>
      <c r="C134" s="3" t="s">
        <v>8</v>
      </c>
      <c r="D134" s="3" t="s">
        <v>7</v>
      </c>
      <c r="E134" s="3" t="s">
        <v>0</v>
      </c>
      <c r="F134" s="3" t="s">
        <v>1</v>
      </c>
      <c r="G134" s="87"/>
      <c r="H134" s="31" t="s">
        <v>42</v>
      </c>
      <c r="I134" s="3" t="s">
        <v>38</v>
      </c>
      <c r="J134" s="3" t="s">
        <v>7</v>
      </c>
      <c r="K134" s="3" t="s">
        <v>0</v>
      </c>
      <c r="L134" s="3" t="s">
        <v>1</v>
      </c>
      <c r="M134" s="36"/>
      <c r="N134" s="22" t="s">
        <v>42</v>
      </c>
      <c r="O134" s="3" t="s">
        <v>38</v>
      </c>
    </row>
    <row r="135" spans="1:15" ht="15" hidden="1" customHeight="1" x14ac:dyDescent="0.25">
      <c r="A135" s="40"/>
      <c r="B135" s="5"/>
      <c r="C135" s="5"/>
      <c r="D135" s="6"/>
      <c r="E135" s="5"/>
      <c r="F135" s="15"/>
      <c r="G135" s="87"/>
      <c r="H135" s="41"/>
      <c r="I135" s="6"/>
      <c r="J135" s="6"/>
      <c r="K135" s="5"/>
      <c r="L135" s="6"/>
      <c r="M135" s="23"/>
      <c r="N135" s="30"/>
      <c r="O135" s="5"/>
    </row>
    <row r="136" spans="1:15" ht="15" hidden="1" customHeight="1" x14ac:dyDescent="0.25">
      <c r="A136" s="40"/>
      <c r="B136" s="5"/>
      <c r="C136" s="5"/>
      <c r="D136" s="6"/>
      <c r="E136" s="5"/>
      <c r="F136" s="15"/>
      <c r="G136" s="87"/>
      <c r="H136" s="41"/>
      <c r="I136" s="2"/>
      <c r="J136" s="2"/>
      <c r="K136" s="2"/>
      <c r="L136" s="2"/>
      <c r="M136" s="37"/>
      <c r="N136" s="34"/>
      <c r="O136" s="2"/>
    </row>
    <row r="137" spans="1:15" ht="15" hidden="1" customHeight="1" x14ac:dyDescent="0.25">
      <c r="A137" s="40"/>
      <c r="B137" s="6"/>
      <c r="C137" s="5"/>
      <c r="D137" s="6"/>
      <c r="E137" s="5"/>
      <c r="F137" s="6"/>
      <c r="G137" s="87"/>
      <c r="H137" s="41"/>
      <c r="I137" s="2"/>
      <c r="J137" s="2"/>
      <c r="K137" s="2"/>
      <c r="L137" s="2"/>
      <c r="M137" s="37"/>
      <c r="N137" s="34"/>
      <c r="O137" s="2"/>
    </row>
    <row r="138" spans="1:15" ht="15" hidden="1" customHeight="1" x14ac:dyDescent="0.25">
      <c r="A138" s="2"/>
      <c r="B138" s="6"/>
      <c r="C138" s="2"/>
      <c r="D138" s="2"/>
      <c r="E138" s="6"/>
      <c r="F138" s="6"/>
      <c r="G138" s="87"/>
      <c r="H138" s="41"/>
      <c r="I138" s="2"/>
      <c r="J138" s="2"/>
      <c r="K138" s="2"/>
      <c r="L138" s="2"/>
      <c r="M138" s="37"/>
      <c r="N138" s="34"/>
      <c r="O138" s="2"/>
    </row>
    <row r="139" spans="1:15" ht="15" hidden="1" customHeight="1" x14ac:dyDescent="0.25">
      <c r="A139" s="3" t="s">
        <v>2</v>
      </c>
      <c r="B139" s="5">
        <f>SUM(B135:B138)</f>
        <v>0</v>
      </c>
      <c r="C139" s="5">
        <f t="shared" ref="C139:D139" si="42">SUM(C135:C138)</f>
        <v>0</v>
      </c>
      <c r="D139" s="5">
        <f t="shared" si="42"/>
        <v>0</v>
      </c>
      <c r="E139" s="5"/>
      <c r="F139" s="15">
        <f t="shared" ref="F139" si="43">SUM(F135:F138)</f>
        <v>0</v>
      </c>
      <c r="G139" s="87"/>
      <c r="H139" s="3" t="s">
        <v>2</v>
      </c>
      <c r="I139" s="5">
        <f>SUM(I135:I138)</f>
        <v>0</v>
      </c>
      <c r="J139" s="5">
        <f t="shared" ref="J139" si="44">SUM(J135:J138)</f>
        <v>0</v>
      </c>
      <c r="K139" s="6"/>
      <c r="L139" s="15">
        <f t="shared" ref="L139" si="45">SUM(L135:L138)</f>
        <v>0</v>
      </c>
      <c r="M139" s="38"/>
      <c r="N139" s="3" t="s">
        <v>2</v>
      </c>
      <c r="O139" s="5">
        <f>SUM(O135:O138)</f>
        <v>0</v>
      </c>
    </row>
    <row r="140" spans="1:15" ht="15" hidden="1" customHeight="1" x14ac:dyDescent="0.25">
      <c r="A140" s="39"/>
      <c r="B140" s="9"/>
      <c r="E140" s="1"/>
      <c r="F140" s="11"/>
    </row>
    <row r="141" spans="1:15" ht="15" hidden="1" customHeight="1" x14ac:dyDescent="0.25"/>
    <row r="142" spans="1:15" ht="15" hidden="1" customHeight="1" x14ac:dyDescent="0.25">
      <c r="A142" s="101" t="s">
        <v>24</v>
      </c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</row>
    <row r="143" spans="1:15" ht="15" hidden="1" customHeight="1" x14ac:dyDescent="0.25">
      <c r="A143" s="69" t="s">
        <v>14</v>
      </c>
      <c r="B143" s="71"/>
      <c r="C143" s="71"/>
      <c r="D143" s="71"/>
      <c r="E143" s="71"/>
      <c r="F143" s="70"/>
      <c r="G143" s="79"/>
      <c r="H143" s="72" t="s">
        <v>37</v>
      </c>
      <c r="I143" s="72"/>
      <c r="J143" s="72"/>
      <c r="K143" s="72"/>
      <c r="L143" s="2"/>
      <c r="M143" s="35"/>
      <c r="N143" s="69" t="s">
        <v>49</v>
      </c>
      <c r="O143" s="70"/>
    </row>
    <row r="144" spans="1:15" ht="15" hidden="1" customHeight="1" x14ac:dyDescent="0.25">
      <c r="A144" s="31" t="s">
        <v>42</v>
      </c>
      <c r="B144" s="3" t="s">
        <v>3</v>
      </c>
      <c r="C144" s="3" t="s">
        <v>8</v>
      </c>
      <c r="D144" s="3" t="s">
        <v>7</v>
      </c>
      <c r="E144" s="3" t="s">
        <v>0</v>
      </c>
      <c r="F144" s="3" t="s">
        <v>1</v>
      </c>
      <c r="G144" s="80"/>
      <c r="H144" s="31" t="s">
        <v>42</v>
      </c>
      <c r="I144" s="3" t="s">
        <v>38</v>
      </c>
      <c r="J144" s="3" t="s">
        <v>7</v>
      </c>
      <c r="K144" s="3" t="s">
        <v>0</v>
      </c>
      <c r="L144" s="3" t="s">
        <v>1</v>
      </c>
      <c r="M144" s="36"/>
      <c r="N144" s="22" t="s">
        <v>42</v>
      </c>
      <c r="O144" s="3" t="s">
        <v>38</v>
      </c>
    </row>
    <row r="145" spans="1:15" ht="15" hidden="1" customHeight="1" x14ac:dyDescent="0.25">
      <c r="A145" s="28"/>
      <c r="B145" s="13"/>
      <c r="C145" s="5"/>
      <c r="D145" s="5"/>
      <c r="E145" s="13"/>
      <c r="F145" s="16"/>
      <c r="G145" s="80"/>
      <c r="H145" s="41"/>
      <c r="I145" s="6"/>
      <c r="J145" s="6"/>
      <c r="K145" s="5"/>
      <c r="L145" s="6"/>
      <c r="M145" s="23"/>
      <c r="N145" s="30"/>
      <c r="O145" s="5"/>
    </row>
    <row r="146" spans="1:15" ht="15" hidden="1" customHeight="1" x14ac:dyDescent="0.25">
      <c r="A146" s="10"/>
      <c r="B146" s="5"/>
      <c r="C146" s="2"/>
      <c r="D146" s="2"/>
      <c r="E146" s="6"/>
      <c r="F146" s="8"/>
      <c r="G146" s="80"/>
      <c r="H146" s="41"/>
      <c r="I146" s="2"/>
      <c r="J146" s="2"/>
      <c r="K146" s="2"/>
      <c r="L146" s="2"/>
      <c r="M146" s="37"/>
      <c r="N146" s="34"/>
      <c r="O146" s="2"/>
    </row>
    <row r="147" spans="1:15" ht="16.5" hidden="1" customHeight="1" x14ac:dyDescent="0.3">
      <c r="A147" s="4"/>
      <c r="B147" s="5"/>
      <c r="C147" s="2"/>
      <c r="D147" s="2"/>
      <c r="E147" s="6"/>
      <c r="F147" s="8"/>
      <c r="G147" s="80"/>
      <c r="H147" s="41"/>
      <c r="I147" s="2"/>
      <c r="J147" s="2"/>
      <c r="K147" s="2"/>
      <c r="L147" s="2"/>
      <c r="M147" s="37"/>
      <c r="N147" s="34"/>
      <c r="O147" s="2"/>
    </row>
    <row r="148" spans="1:15" ht="15" hidden="1" customHeight="1" x14ac:dyDescent="0.25">
      <c r="A148" s="2"/>
      <c r="B148" s="6"/>
      <c r="C148" s="2"/>
      <c r="D148" s="2"/>
      <c r="E148" s="6"/>
      <c r="F148" s="6"/>
      <c r="G148" s="80"/>
      <c r="H148" s="41"/>
      <c r="I148" s="2"/>
      <c r="J148" s="2"/>
      <c r="K148" s="2"/>
      <c r="L148" s="2"/>
      <c r="M148" s="37"/>
      <c r="N148" s="34"/>
      <c r="O148" s="2"/>
    </row>
    <row r="149" spans="1:15" ht="15" hidden="1" customHeight="1" x14ac:dyDescent="0.25">
      <c r="A149" s="3" t="s">
        <v>2</v>
      </c>
      <c r="B149" s="5">
        <f>SUM(B145:B148)</f>
        <v>0</v>
      </c>
      <c r="C149" s="5">
        <f t="shared" ref="C149:D149" si="46">SUM(C145:C148)</f>
        <v>0</v>
      </c>
      <c r="D149" s="5">
        <f t="shared" si="46"/>
        <v>0</v>
      </c>
      <c r="E149" s="5"/>
      <c r="F149" s="15">
        <f t="shared" ref="F149" si="47">SUM(F145:F148)</f>
        <v>0</v>
      </c>
      <c r="G149" s="81"/>
      <c r="H149" s="3" t="s">
        <v>2</v>
      </c>
      <c r="I149" s="5">
        <f>SUM(I145:I148)</f>
        <v>0</v>
      </c>
      <c r="J149" s="5">
        <f t="shared" ref="J149" si="48">SUM(J145:J148)</f>
        <v>0</v>
      </c>
      <c r="K149" s="6"/>
      <c r="L149" s="15">
        <f t="shared" ref="L149" si="49">SUM(L145:L148)</f>
        <v>0</v>
      </c>
      <c r="M149" s="38"/>
      <c r="N149" s="3" t="s">
        <v>2</v>
      </c>
      <c r="O149" s="5">
        <f>SUM(O145:O148)</f>
        <v>0</v>
      </c>
    </row>
    <row r="150" spans="1:15" ht="15" hidden="1" customHeight="1" x14ac:dyDescent="0.25"/>
    <row r="151" spans="1:15" ht="15" hidden="1" customHeight="1" x14ac:dyDescent="0.25"/>
    <row r="152" spans="1:15" ht="15" hidden="1" customHeight="1" x14ac:dyDescent="0.25">
      <c r="A152" s="101" t="s">
        <v>26</v>
      </c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</row>
    <row r="153" spans="1:15" ht="15" hidden="1" customHeight="1" x14ac:dyDescent="0.25">
      <c r="A153" s="69" t="s">
        <v>14</v>
      </c>
      <c r="B153" s="71"/>
      <c r="C153" s="71"/>
      <c r="D153" s="71"/>
      <c r="E153" s="71"/>
      <c r="F153" s="70"/>
      <c r="G153" s="79"/>
      <c r="H153" s="72" t="s">
        <v>37</v>
      </c>
      <c r="I153" s="72"/>
      <c r="J153" s="72"/>
      <c r="K153" s="72"/>
      <c r="L153" s="2"/>
      <c r="M153" s="35"/>
      <c r="N153" s="69" t="s">
        <v>49</v>
      </c>
      <c r="O153" s="70"/>
    </row>
    <row r="154" spans="1:15" ht="15" hidden="1" customHeight="1" x14ac:dyDescent="0.25">
      <c r="A154" s="31" t="s">
        <v>42</v>
      </c>
      <c r="B154" s="3" t="s">
        <v>3</v>
      </c>
      <c r="C154" s="3" t="s">
        <v>8</v>
      </c>
      <c r="D154" s="3" t="s">
        <v>7</v>
      </c>
      <c r="E154" s="3" t="s">
        <v>0</v>
      </c>
      <c r="F154" s="3" t="s">
        <v>1</v>
      </c>
      <c r="G154" s="80"/>
      <c r="H154" s="31" t="s">
        <v>42</v>
      </c>
      <c r="I154" s="3" t="s">
        <v>38</v>
      </c>
      <c r="J154" s="3" t="s">
        <v>7</v>
      </c>
      <c r="K154" s="3" t="s">
        <v>0</v>
      </c>
      <c r="L154" s="3" t="s">
        <v>1</v>
      </c>
      <c r="M154" s="36"/>
      <c r="N154" s="22" t="s">
        <v>42</v>
      </c>
      <c r="O154" s="3" t="s">
        <v>38</v>
      </c>
    </row>
    <row r="155" spans="1:15" ht="15" hidden="1" customHeight="1" x14ac:dyDescent="0.25">
      <c r="A155" s="28"/>
      <c r="B155" s="13"/>
      <c r="C155" s="5"/>
      <c r="D155" s="5"/>
      <c r="E155" s="13"/>
      <c r="F155" s="16"/>
      <c r="G155" s="80"/>
      <c r="H155" s="41"/>
      <c r="I155" s="6"/>
      <c r="J155" s="6"/>
      <c r="K155" s="5"/>
      <c r="L155" s="6"/>
      <c r="M155" s="23"/>
      <c r="N155" s="30"/>
      <c r="O155" s="5"/>
    </row>
    <row r="156" spans="1:15" ht="15" hidden="1" customHeight="1" x14ac:dyDescent="0.25">
      <c r="A156" s="10"/>
      <c r="B156" s="5"/>
      <c r="C156" s="2"/>
      <c r="D156" s="2"/>
      <c r="E156" s="6"/>
      <c r="F156" s="8"/>
      <c r="G156" s="80"/>
      <c r="H156" s="41"/>
      <c r="I156" s="2"/>
      <c r="J156" s="2"/>
      <c r="K156" s="2"/>
      <c r="L156" s="2"/>
      <c r="M156" s="37"/>
      <c r="N156" s="34"/>
      <c r="O156" s="2"/>
    </row>
    <row r="157" spans="1:15" ht="16.5" hidden="1" customHeight="1" x14ac:dyDescent="0.3">
      <c r="A157" s="4"/>
      <c r="B157" s="5"/>
      <c r="C157" s="2"/>
      <c r="D157" s="2"/>
      <c r="E157" s="6"/>
      <c r="F157" s="8"/>
      <c r="G157" s="80"/>
      <c r="H157" s="41"/>
      <c r="I157" s="2"/>
      <c r="J157" s="2"/>
      <c r="K157" s="2"/>
      <c r="L157" s="2"/>
      <c r="M157" s="37"/>
      <c r="N157" s="34"/>
      <c r="O157" s="2"/>
    </row>
    <row r="158" spans="1:15" ht="15" hidden="1" customHeight="1" x14ac:dyDescent="0.25">
      <c r="A158" s="2"/>
      <c r="B158" s="6"/>
      <c r="C158" s="2"/>
      <c r="D158" s="2"/>
      <c r="E158" s="6"/>
      <c r="F158" s="6"/>
      <c r="G158" s="80"/>
      <c r="H158" s="41"/>
      <c r="I158" s="2"/>
      <c r="J158" s="2"/>
      <c r="K158" s="2"/>
      <c r="L158" s="2"/>
      <c r="M158" s="37"/>
      <c r="N158" s="34"/>
      <c r="O158" s="2"/>
    </row>
    <row r="159" spans="1:15" ht="15" hidden="1" customHeight="1" x14ac:dyDescent="0.25">
      <c r="A159" s="3" t="s">
        <v>2</v>
      </c>
      <c r="B159" s="5">
        <f>SUM(B155:B158)</f>
        <v>0</v>
      </c>
      <c r="C159" s="5">
        <f t="shared" ref="C159:D159" si="50">SUM(C155:C158)</f>
        <v>0</v>
      </c>
      <c r="D159" s="5">
        <f t="shared" si="50"/>
        <v>0</v>
      </c>
      <c r="E159" s="5"/>
      <c r="F159" s="15">
        <f t="shared" ref="F159" si="51">SUM(F155:F158)</f>
        <v>0</v>
      </c>
      <c r="G159" s="81"/>
      <c r="H159" s="3" t="s">
        <v>2</v>
      </c>
      <c r="I159" s="5">
        <f>SUM(I155:I158)</f>
        <v>0</v>
      </c>
      <c r="J159" s="5">
        <f t="shared" ref="J159" si="52">SUM(J155:J158)</f>
        <v>0</v>
      </c>
      <c r="K159" s="6"/>
      <c r="L159" s="15">
        <f t="shared" ref="L159" si="53">SUM(L155:L158)</f>
        <v>0</v>
      </c>
      <c r="M159" s="38"/>
      <c r="N159" s="3" t="s">
        <v>2</v>
      </c>
      <c r="O159" s="5">
        <f>SUM(O155:O158)</f>
        <v>0</v>
      </c>
    </row>
    <row r="160" spans="1:15" ht="15" hidden="1" customHeight="1" x14ac:dyDescent="0.25">
      <c r="B160" s="9"/>
      <c r="E160" s="1"/>
      <c r="F160" s="11"/>
    </row>
    <row r="161" spans="1:15" ht="15" hidden="1" customHeight="1" x14ac:dyDescent="0.25">
      <c r="B161" s="1"/>
      <c r="E161" s="1"/>
      <c r="F161" s="1"/>
    </row>
    <row r="162" spans="1:15" ht="15" hidden="1" customHeight="1" x14ac:dyDescent="0.25">
      <c r="A162" s="97" t="s">
        <v>28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spans="1:15" ht="15" hidden="1" customHeight="1" x14ac:dyDescent="0.25">
      <c r="A163" s="69" t="s">
        <v>14</v>
      </c>
      <c r="B163" s="71"/>
      <c r="C163" s="71"/>
      <c r="D163" s="71"/>
      <c r="E163" s="71"/>
      <c r="F163" s="70"/>
      <c r="G163" s="79"/>
      <c r="H163" s="72" t="s">
        <v>37</v>
      </c>
      <c r="I163" s="72"/>
      <c r="J163" s="72"/>
      <c r="K163" s="72"/>
      <c r="L163" s="2"/>
      <c r="M163" s="35"/>
      <c r="N163" s="69" t="s">
        <v>49</v>
      </c>
      <c r="O163" s="70"/>
    </row>
    <row r="164" spans="1:15" ht="15" hidden="1" customHeight="1" x14ac:dyDescent="0.25">
      <c r="A164" s="31" t="s">
        <v>42</v>
      </c>
      <c r="B164" s="3" t="s">
        <v>3</v>
      </c>
      <c r="C164" s="3" t="s">
        <v>8</v>
      </c>
      <c r="D164" s="3" t="s">
        <v>7</v>
      </c>
      <c r="E164" s="3" t="s">
        <v>0</v>
      </c>
      <c r="F164" s="3" t="s">
        <v>1</v>
      </c>
      <c r="G164" s="80"/>
      <c r="H164" s="31" t="s">
        <v>42</v>
      </c>
      <c r="I164" s="3" t="s">
        <v>38</v>
      </c>
      <c r="J164" s="3" t="s">
        <v>7</v>
      </c>
      <c r="K164" s="3" t="s">
        <v>0</v>
      </c>
      <c r="L164" s="3" t="s">
        <v>1</v>
      </c>
      <c r="M164" s="36"/>
      <c r="N164" s="22" t="s">
        <v>42</v>
      </c>
      <c r="O164" s="3" t="s">
        <v>38</v>
      </c>
    </row>
    <row r="165" spans="1:15" ht="15" hidden="1" customHeight="1" x14ac:dyDescent="0.25">
      <c r="A165" s="40"/>
      <c r="B165" s="13"/>
      <c r="C165" s="13"/>
      <c r="D165" s="13"/>
      <c r="E165" s="13"/>
      <c r="F165" s="16"/>
      <c r="G165" s="80"/>
      <c r="H165" s="41"/>
      <c r="I165" s="6"/>
      <c r="J165" s="6"/>
      <c r="K165" s="5"/>
      <c r="L165" s="2"/>
      <c r="M165" s="23"/>
      <c r="N165" s="30"/>
      <c r="O165" s="5"/>
    </row>
    <row r="166" spans="1:15" ht="15" hidden="1" customHeight="1" x14ac:dyDescent="0.25">
      <c r="A166" s="40"/>
      <c r="B166" s="5"/>
      <c r="C166" s="6"/>
      <c r="D166" s="6"/>
      <c r="E166" s="13"/>
      <c r="F166" s="15"/>
      <c r="G166" s="80"/>
      <c r="H166" s="41"/>
      <c r="I166" s="2"/>
      <c r="J166" s="2"/>
      <c r="K166" s="2"/>
      <c r="L166" s="2"/>
      <c r="M166" s="37"/>
      <c r="N166" s="34"/>
      <c r="O166" s="2"/>
    </row>
    <row r="167" spans="1:15" ht="15" hidden="1" customHeight="1" x14ac:dyDescent="0.25">
      <c r="A167" s="17"/>
      <c r="B167" s="5"/>
      <c r="C167" s="2"/>
      <c r="D167" s="2"/>
      <c r="E167" s="6"/>
      <c r="F167" s="8"/>
      <c r="G167" s="80"/>
      <c r="H167" s="41"/>
      <c r="I167" s="2"/>
      <c r="J167" s="2"/>
      <c r="K167" s="2"/>
      <c r="L167" s="2"/>
      <c r="M167" s="37"/>
      <c r="N167" s="34"/>
      <c r="O167" s="2"/>
    </row>
    <row r="168" spans="1:15" ht="15" hidden="1" customHeight="1" x14ac:dyDescent="0.25">
      <c r="A168" s="2"/>
      <c r="B168" s="6"/>
      <c r="C168" s="2"/>
      <c r="D168" s="2"/>
      <c r="E168" s="6"/>
      <c r="F168" s="6"/>
      <c r="G168" s="80"/>
      <c r="H168" s="41"/>
      <c r="I168" s="2"/>
      <c r="J168" s="2"/>
      <c r="K168" s="2"/>
      <c r="L168" s="2"/>
      <c r="M168" s="37"/>
      <c r="N168" s="34"/>
      <c r="O168" s="2"/>
    </row>
    <row r="169" spans="1:15" ht="15" hidden="1" customHeight="1" x14ac:dyDescent="0.25">
      <c r="A169" s="3" t="s">
        <v>2</v>
      </c>
      <c r="B169" s="5">
        <f>SUM(B165:B168)</f>
        <v>0</v>
      </c>
      <c r="C169" s="5">
        <f t="shared" ref="C169:D169" si="54">SUM(C165:C168)</f>
        <v>0</v>
      </c>
      <c r="D169" s="5">
        <f t="shared" si="54"/>
        <v>0</v>
      </c>
      <c r="E169" s="5"/>
      <c r="F169" s="15">
        <f t="shared" ref="F169" si="55">SUM(F165:F168)</f>
        <v>0</v>
      </c>
      <c r="G169" s="81"/>
      <c r="H169" s="3" t="s">
        <v>2</v>
      </c>
      <c r="I169" s="5">
        <f>SUM(I165:I168)</f>
        <v>0</v>
      </c>
      <c r="J169" s="5">
        <f t="shared" ref="J169" si="56">SUM(J165:J168)</f>
        <v>0</v>
      </c>
      <c r="K169" s="6"/>
      <c r="L169" s="15">
        <f t="shared" ref="L169" si="57">SUM(L165:L168)</f>
        <v>0</v>
      </c>
      <c r="M169" s="38"/>
      <c r="N169" s="3" t="s">
        <v>2</v>
      </c>
      <c r="O169" s="5">
        <f>SUM(O165:O168)</f>
        <v>0</v>
      </c>
    </row>
    <row r="170" spans="1:15" ht="15" hidden="1" customHeight="1" x14ac:dyDescent="0.25"/>
    <row r="171" spans="1:15" ht="15" hidden="1" customHeight="1" x14ac:dyDescent="0.25"/>
    <row r="172" spans="1:15" ht="15" hidden="1" customHeight="1" x14ac:dyDescent="0.25">
      <c r="A172" s="98" t="s">
        <v>29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100"/>
    </row>
    <row r="173" spans="1:15" ht="15" hidden="1" customHeight="1" x14ac:dyDescent="0.25">
      <c r="A173" s="69" t="s">
        <v>14</v>
      </c>
      <c r="B173" s="71"/>
      <c r="C173" s="71"/>
      <c r="D173" s="71"/>
      <c r="E173" s="71"/>
      <c r="F173" s="70"/>
      <c r="G173" s="79"/>
      <c r="H173" s="72" t="s">
        <v>37</v>
      </c>
      <c r="I173" s="72"/>
      <c r="J173" s="72"/>
      <c r="K173" s="72"/>
      <c r="L173" s="2"/>
      <c r="M173" s="35"/>
      <c r="N173" s="69" t="s">
        <v>49</v>
      </c>
      <c r="O173" s="70"/>
    </row>
    <row r="174" spans="1:15" ht="15" hidden="1" customHeight="1" x14ac:dyDescent="0.25">
      <c r="A174" s="31" t="s">
        <v>42</v>
      </c>
      <c r="B174" s="3" t="s">
        <v>3</v>
      </c>
      <c r="C174" s="3" t="s">
        <v>8</v>
      </c>
      <c r="D174" s="3" t="s">
        <v>7</v>
      </c>
      <c r="E174" s="3" t="s">
        <v>0</v>
      </c>
      <c r="F174" s="3" t="s">
        <v>1</v>
      </c>
      <c r="G174" s="80"/>
      <c r="H174" s="31" t="s">
        <v>42</v>
      </c>
      <c r="I174" s="3" t="s">
        <v>38</v>
      </c>
      <c r="J174" s="3" t="s">
        <v>7</v>
      </c>
      <c r="K174" s="3" t="s">
        <v>0</v>
      </c>
      <c r="L174" s="3" t="s">
        <v>1</v>
      </c>
      <c r="M174" s="36"/>
      <c r="N174" s="22" t="s">
        <v>42</v>
      </c>
      <c r="O174" s="3" t="s">
        <v>38</v>
      </c>
    </row>
    <row r="175" spans="1:15" ht="15" hidden="1" customHeight="1" x14ac:dyDescent="0.25">
      <c r="A175" s="40"/>
      <c r="B175" s="13"/>
      <c r="C175" s="13"/>
      <c r="D175" s="13"/>
      <c r="E175" s="13"/>
      <c r="F175" s="16"/>
      <c r="G175" s="80"/>
      <c r="H175" s="41"/>
      <c r="I175" s="6"/>
      <c r="J175" s="6"/>
      <c r="K175" s="5"/>
      <c r="L175" s="6"/>
      <c r="M175" s="23"/>
      <c r="N175" s="30"/>
      <c r="O175" s="5"/>
    </row>
    <row r="176" spans="1:15" ht="15" hidden="1" customHeight="1" x14ac:dyDescent="0.25">
      <c r="A176" s="40"/>
      <c r="B176" s="5"/>
      <c r="C176" s="6"/>
      <c r="D176" s="6"/>
      <c r="E176" s="13"/>
      <c r="F176" s="15"/>
      <c r="G176" s="80"/>
      <c r="H176" s="41"/>
      <c r="I176" s="2"/>
      <c r="J176" s="2"/>
      <c r="K176" s="2"/>
      <c r="L176" s="2"/>
      <c r="M176" s="37"/>
      <c r="N176" s="34"/>
      <c r="O176" s="2"/>
    </row>
    <row r="177" spans="1:15" ht="15" hidden="1" customHeight="1" x14ac:dyDescent="0.25">
      <c r="A177" s="17"/>
      <c r="B177" s="5"/>
      <c r="C177" s="2"/>
      <c r="D177" s="2"/>
      <c r="E177" s="6"/>
      <c r="F177" s="8"/>
      <c r="G177" s="80"/>
      <c r="H177" s="41"/>
      <c r="I177" s="2"/>
      <c r="J177" s="2"/>
      <c r="K177" s="2"/>
      <c r="L177" s="2"/>
      <c r="M177" s="37"/>
      <c r="N177" s="34"/>
      <c r="O177" s="2"/>
    </row>
    <row r="178" spans="1:15" ht="15" hidden="1" customHeight="1" x14ac:dyDescent="0.25">
      <c r="A178" s="2"/>
      <c r="B178" s="6"/>
      <c r="C178" s="2"/>
      <c r="D178" s="2"/>
      <c r="E178" s="6"/>
      <c r="F178" s="6"/>
      <c r="G178" s="80"/>
      <c r="H178" s="41"/>
      <c r="I178" s="2"/>
      <c r="J178" s="2"/>
      <c r="K178" s="2"/>
      <c r="L178" s="2"/>
      <c r="M178" s="37"/>
      <c r="N178" s="34"/>
      <c r="O178" s="2"/>
    </row>
    <row r="179" spans="1:15" ht="15" hidden="1" customHeight="1" x14ac:dyDescent="0.25">
      <c r="A179" s="3" t="s">
        <v>2</v>
      </c>
      <c r="B179" s="5">
        <f>SUM(B175:B178)</f>
        <v>0</v>
      </c>
      <c r="C179" s="5">
        <f t="shared" ref="C179:D179" si="58">SUM(C175:C178)</f>
        <v>0</v>
      </c>
      <c r="D179" s="5">
        <f t="shared" si="58"/>
        <v>0</v>
      </c>
      <c r="E179" s="5"/>
      <c r="F179" s="15">
        <f t="shared" ref="F179" si="59">SUM(F175:F178)</f>
        <v>0</v>
      </c>
      <c r="G179" s="81"/>
      <c r="H179" s="3" t="s">
        <v>2</v>
      </c>
      <c r="I179" s="5">
        <f>SUM(I175:I178)</f>
        <v>0</v>
      </c>
      <c r="J179" s="5">
        <f t="shared" ref="J179" si="60">SUM(J175:J178)</f>
        <v>0</v>
      </c>
      <c r="K179" s="6"/>
      <c r="L179" s="15">
        <f t="shared" ref="L179" si="61">SUM(L175:L178)</f>
        <v>0</v>
      </c>
      <c r="M179" s="38"/>
      <c r="N179" s="3" t="s">
        <v>2</v>
      </c>
      <c r="O179" s="5">
        <f>SUM(O175:O178)</f>
        <v>0</v>
      </c>
    </row>
  </sheetData>
  <mergeCells count="93">
    <mergeCell ref="N83:O83"/>
    <mergeCell ref="U3:V3"/>
    <mergeCell ref="W3:W4"/>
    <mergeCell ref="X3:X4"/>
    <mergeCell ref="A92:O92"/>
    <mergeCell ref="R3:R4"/>
    <mergeCell ref="S3:S4"/>
    <mergeCell ref="T3:T4"/>
    <mergeCell ref="G23:G29"/>
    <mergeCell ref="H23:L23"/>
    <mergeCell ref="N23:O23"/>
    <mergeCell ref="A32:O32"/>
    <mergeCell ref="A33:F33"/>
    <mergeCell ref="G33:G39"/>
    <mergeCell ref="H33:K33"/>
    <mergeCell ref="N33:O33"/>
    <mergeCell ref="A93:F93"/>
    <mergeCell ref="G93:G99"/>
    <mergeCell ref="H93:K93"/>
    <mergeCell ref="N93:O93"/>
    <mergeCell ref="Q3:Q4"/>
    <mergeCell ref="A82:O82"/>
    <mergeCell ref="A83:F83"/>
    <mergeCell ref="G83:G89"/>
    <mergeCell ref="H83:K83"/>
    <mergeCell ref="A12:O12"/>
    <mergeCell ref="A13:F13"/>
    <mergeCell ref="G13:G19"/>
    <mergeCell ref="H13:L13"/>
    <mergeCell ref="N13:O13"/>
    <mergeCell ref="A22:O22"/>
    <mergeCell ref="A23:F23"/>
    <mergeCell ref="A123:F123"/>
    <mergeCell ref="G123:G129"/>
    <mergeCell ref="H123:L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L113"/>
    <mergeCell ref="N113:O113"/>
    <mergeCell ref="A122:O122"/>
    <mergeCell ref="A153:F153"/>
    <mergeCell ref="G153:G159"/>
    <mergeCell ref="H153:K153"/>
    <mergeCell ref="N153:O153"/>
    <mergeCell ref="A132:O132"/>
    <mergeCell ref="A133:F133"/>
    <mergeCell ref="G133:G139"/>
    <mergeCell ref="H133:K133"/>
    <mergeCell ref="N133:O133"/>
    <mergeCell ref="A142:O142"/>
    <mergeCell ref="A173:F173"/>
    <mergeCell ref="G173:G179"/>
    <mergeCell ref="H173:K173"/>
    <mergeCell ref="N173:O173"/>
    <mergeCell ref="Q2:X2"/>
    <mergeCell ref="A162:O162"/>
    <mergeCell ref="A163:F163"/>
    <mergeCell ref="G163:G169"/>
    <mergeCell ref="H163:K163"/>
    <mergeCell ref="N163:O163"/>
    <mergeCell ref="A172:O172"/>
    <mergeCell ref="A143:F143"/>
    <mergeCell ref="G143:G149"/>
    <mergeCell ref="H143:K143"/>
    <mergeCell ref="N143:O143"/>
    <mergeCell ref="A152:O152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</mergeCells>
  <hyperlinks>
    <hyperlink ref="A12:O12" location="NADQ!A1" display="NADQ Amundi Nasdaq-100 UCITS ETF (Dist)" xr:uid="{C0FB975A-7BDB-4D35-8022-B299555AB55E}"/>
    <hyperlink ref="A22:O22" location="QDVE!A1" display="QDVE iShares S&amp;P 500 Inf. Tech. Sector UCITS ETF (Acc)" xr:uid="{71BFE66A-B201-4ADD-ACEB-C8A241171946}"/>
    <hyperlink ref="A32:O32" location="VWCE!A1" display="VWCE Vanguard FTSE All-World UCITS ETF (Acc)" xr:uid="{65A4778C-0DE9-457C-81F9-B4F98D42ED20}"/>
    <hyperlink ref="A42:O42" location="XDEQ!A1" display="XDEQ Xtarckers MSCI World Quality UCITS ETF (Acc)" xr:uid="{45280204-555F-48F0-B876-CF17E033AEA1}"/>
    <hyperlink ref="A52:O52" location="VUAA!A1" display="VUAA Vanguard S&amp;P 500 UCITS ETF (Acc)" xr:uid="{C4D75999-0DD5-4108-A435-60398496FFD5}"/>
    <hyperlink ref="A62:O62" location="XDWT!A1" display="XDWT Xtrackers MSCI World Information Tech. ETF (Acc)" xr:uid="{A29275B0-978D-46CC-855E-62DC224B8BE6}"/>
    <hyperlink ref="A72:O72" location="XAIX!A1" display="XAIX Xtrackers Artificial Intell. and Big Data ETF (Acc)" xr:uid="{3D848073-D3FD-4DAE-B69F-EEE14B695082}"/>
    <hyperlink ref="A82:O82" location="SPYL!A1" display="SPYL SPDR S&amp;P 500 UCITS (Acc)" xr:uid="{AB490862-DA78-4925-B9BA-FF9B325D6A6C}"/>
    <hyperlink ref="A92:O92" location="JEQP!A1" display="JEQP JPM Nasdaq Equity Premium Income Active UCITS ETF - USD (Dist)" xr:uid="{70988345-1B60-41F2-8578-7AAC9611A298}"/>
    <hyperlink ref="A102:O102" location="JGPI!A1" display="JGPI JPM Global Equity Premium Income Active UCITS ETF - USD (Dist)" xr:uid="{4F87E95A-B463-47B0-B414-A986A990D4F1}"/>
  </hyperlinks>
  <pageMargins left="0.7" right="0.7" top="0.75" bottom="0.75" header="0.3" footer="0.3"/>
  <pageSetup orientation="portrait" horizontalDpi="4294967293" r:id="rId1"/>
  <ignoredErrors>
    <ignoredError sqref="E19 E29 E39 E49 E59 E69 E79 E109 E99 E89" formula="1"/>
    <ignoredError sqref="Q2:Z5" numberStoredAsText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19B1-E4E5-4C5F-BC35-36F483FF08DA}">
  <dimension ref="A2:X179"/>
  <sheetViews>
    <sheetView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58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130</v>
      </c>
      <c r="R5" s="5">
        <v>0</v>
      </c>
      <c r="S5" s="5">
        <f>C89+C99+C109+C119+C129+C139+C149+C159+C169+C179</f>
        <v>117.04000000000002</v>
      </c>
      <c r="T5" s="5">
        <f>I89+I99+I109+I119+I129+I139+I149+I159+I169+I179</f>
        <v>0</v>
      </c>
      <c r="U5" s="5">
        <f>D89+D99+D109+D119+D129+D139+D149+D159+D169+D179</f>
        <v>0.04</v>
      </c>
      <c r="V5" s="5">
        <f>J89+J99+J109+J119+J129+J139+J149+J159+J169+J179</f>
        <v>0</v>
      </c>
      <c r="W5" s="5">
        <f>O89+O99+O109+O119+O129+O139+O149+O159+O169+O179</f>
        <v>2.31</v>
      </c>
      <c r="X5" s="5">
        <f>Q5-S5-U5+T5-V5+W5</f>
        <v>15.229999999999981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46083</v>
      </c>
      <c r="B85" s="5">
        <v>71.06</v>
      </c>
      <c r="C85" s="5">
        <f>B85-D85</f>
        <v>71.06</v>
      </c>
      <c r="D85" s="5">
        <v>0</v>
      </c>
      <c r="E85" s="13">
        <f>C85/F85</f>
        <v>14.212</v>
      </c>
      <c r="F85" s="15">
        <v>5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71.06</v>
      </c>
      <c r="C89" s="5">
        <f t="shared" ref="C89:D89" si="24">SUM(C85:C88)</f>
        <v>71.06</v>
      </c>
      <c r="D89" s="5">
        <f t="shared" si="24"/>
        <v>0</v>
      </c>
      <c r="E89" s="5">
        <f>IF(B89&gt;0,SUMPRODUCT(E85:E88,F85:F88)/SUM(F85:F88),"0.00")</f>
        <v>14.212</v>
      </c>
      <c r="F89" s="15">
        <f t="shared" ref="F89" si="25">SUM(F85:F88)</f>
        <v>5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2" spans="1:18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x14ac:dyDescent="0.25">
      <c r="A95" s="40">
        <v>46083</v>
      </c>
      <c r="B95" s="5">
        <v>22.01</v>
      </c>
      <c r="C95" s="5">
        <f>B95-D95</f>
        <v>21.990000000000002</v>
      </c>
      <c r="D95" s="5">
        <v>0.02</v>
      </c>
      <c r="E95" s="13">
        <f>C95/F95</f>
        <v>21.990000000000002</v>
      </c>
      <c r="F95" s="15">
        <v>1</v>
      </c>
      <c r="G95" s="80"/>
      <c r="H95" s="44"/>
      <c r="I95" s="6"/>
      <c r="J95" s="5"/>
      <c r="K95" s="5"/>
      <c r="L95" s="6"/>
      <c r="M95" s="23"/>
      <c r="N95" s="42">
        <v>46091</v>
      </c>
      <c r="O95" s="5">
        <v>1.36</v>
      </c>
      <c r="R95" s="1"/>
    </row>
    <row r="96" spans="1:18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22.01</v>
      </c>
      <c r="C99" s="5">
        <f t="shared" ref="C99:D99" si="28">SUM(C95:C98)</f>
        <v>21.990000000000002</v>
      </c>
      <c r="D99" s="5">
        <f t="shared" si="28"/>
        <v>0.02</v>
      </c>
      <c r="E99" s="5">
        <f>IF(B99&gt;0,SUMPRODUCT(E95:E98,F95:F98)/SUM(F95:F98),"0.00")</f>
        <v>21.990000000000002</v>
      </c>
      <c r="F99" s="15">
        <f t="shared" ref="F99" si="29">SUM(F95:F98)</f>
        <v>1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1.36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46083</v>
      </c>
      <c r="B105" s="5">
        <v>24.01</v>
      </c>
      <c r="C105" s="5">
        <f>B105-D105</f>
        <v>23.990000000000002</v>
      </c>
      <c r="D105" s="6">
        <v>0.02</v>
      </c>
      <c r="E105" s="13">
        <f>C105/F105</f>
        <v>23.990000000000002</v>
      </c>
      <c r="F105" s="15">
        <v>1</v>
      </c>
      <c r="G105" s="80"/>
      <c r="H105" s="6"/>
      <c r="I105" s="6"/>
      <c r="J105" s="5"/>
      <c r="K105" s="5"/>
      <c r="L105" s="6"/>
      <c r="M105" s="23"/>
      <c r="N105" s="42">
        <v>46091</v>
      </c>
      <c r="O105" s="5">
        <v>0.95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24.01</v>
      </c>
      <c r="C109" s="5">
        <f t="shared" ref="C109:D109" si="32">SUM(C105:C108)</f>
        <v>23.990000000000002</v>
      </c>
      <c r="D109" s="5">
        <f t="shared" si="32"/>
        <v>0.02</v>
      </c>
      <c r="E109" s="5">
        <f>IF(B109&gt;0,SUMPRODUCT(E105:E108,F105:F108)/SUM(F105:F108),"0.00")</f>
        <v>23.990000000000002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0.95</v>
      </c>
    </row>
    <row r="110" spans="1:15" x14ac:dyDescent="0.25">
      <c r="A110" s="39"/>
      <c r="B110" s="9"/>
      <c r="E110" s="1"/>
      <c r="F110" s="11"/>
    </row>
    <row r="112" spans="1:15" ht="15" hidden="1" customHeight="1" x14ac:dyDescent="0.25">
      <c r="A112" s="102" t="s">
        <v>16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4"/>
    </row>
    <row r="113" spans="1:15" ht="15" hidden="1" customHeight="1" x14ac:dyDescent="0.25">
      <c r="A113" s="69" t="s">
        <v>14</v>
      </c>
      <c r="B113" s="71"/>
      <c r="C113" s="71"/>
      <c r="D113" s="71"/>
      <c r="E113" s="71"/>
      <c r="F113" s="70"/>
      <c r="G113" s="79"/>
      <c r="H113" s="84" t="s">
        <v>37</v>
      </c>
      <c r="I113" s="85"/>
      <c r="J113" s="85"/>
      <c r="K113" s="85"/>
      <c r="L113" s="86"/>
      <c r="M113" s="35"/>
      <c r="N113" s="69" t="s">
        <v>49</v>
      </c>
      <c r="O113" s="70"/>
    </row>
    <row r="114" spans="1:15" ht="15" hidden="1" customHeight="1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ht="15" hidden="1" customHeight="1" x14ac:dyDescent="0.25">
      <c r="A115" s="10"/>
      <c r="B115" s="13"/>
      <c r="C115" s="5"/>
      <c r="D115" s="5"/>
      <c r="E115" s="13"/>
      <c r="F115" s="15"/>
      <c r="G115" s="80"/>
      <c r="H115" s="41"/>
      <c r="I115" s="6"/>
      <c r="J115" s="5"/>
      <c r="K115" s="5"/>
      <c r="L115" s="6"/>
      <c r="M115" s="23"/>
      <c r="N115" s="30"/>
      <c r="O115" s="5"/>
    </row>
    <row r="116" spans="1:15" ht="15" hidden="1" customHeight="1" x14ac:dyDescent="0.25">
      <c r="A116" s="10"/>
      <c r="B116" s="5"/>
      <c r="C116" s="6"/>
      <c r="D116" s="6"/>
      <c r="E116" s="6"/>
      <c r="F116" s="8"/>
      <c r="G116" s="80"/>
      <c r="H116" s="41"/>
      <c r="I116" s="2"/>
      <c r="J116" s="2"/>
      <c r="K116" s="2"/>
      <c r="L116" s="2"/>
      <c r="M116" s="37"/>
      <c r="N116" s="34"/>
      <c r="O116" s="2"/>
    </row>
    <row r="117" spans="1:15" ht="16.5" hidden="1" customHeight="1" x14ac:dyDescent="0.3">
      <c r="A117" s="4"/>
      <c r="B117" s="5"/>
      <c r="C117" s="6"/>
      <c r="D117" s="6"/>
      <c r="E117" s="6"/>
      <c r="F117" s="8"/>
      <c r="G117" s="80"/>
      <c r="H117" s="41"/>
      <c r="I117" s="2"/>
      <c r="J117" s="2"/>
      <c r="K117" s="2"/>
      <c r="L117" s="2"/>
      <c r="M117" s="37"/>
      <c r="N117" s="34"/>
      <c r="O117" s="2"/>
    </row>
    <row r="118" spans="1:15" ht="16.5" hidden="1" customHeight="1" x14ac:dyDescent="0.3">
      <c r="A118" s="4"/>
      <c r="B118" s="5"/>
      <c r="C118" s="6"/>
      <c r="D118" s="6"/>
      <c r="E118" s="6"/>
      <c r="F118" s="6"/>
      <c r="G118" s="80"/>
      <c r="H118" s="41"/>
      <c r="I118" s="2"/>
      <c r="J118" s="2"/>
      <c r="K118" s="2"/>
      <c r="L118" s="2"/>
      <c r="M118" s="37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/>
      <c r="F119" s="15">
        <f>SUM(F115:F118)</f>
        <v>0</v>
      </c>
      <c r="G119" s="81"/>
      <c r="H119" s="3" t="s">
        <v>2</v>
      </c>
      <c r="I119" s="5">
        <f>SUM(I115:I118)</f>
        <v>0</v>
      </c>
      <c r="J119" s="5">
        <f t="shared" ref="J119" si="36">SUM(J115:J118)</f>
        <v>0</v>
      </c>
      <c r="K119" s="6"/>
      <c r="L119" s="15">
        <f t="shared" ref="L119" si="37">SUM(L115:L118)</f>
        <v>0</v>
      </c>
      <c r="M119" s="38"/>
      <c r="N119" s="3" t="s">
        <v>2</v>
      </c>
      <c r="O119" s="5">
        <f>SUM(O115:O118)</f>
        <v>0</v>
      </c>
    </row>
    <row r="120" spans="1:15" ht="15" hidden="1" customHeight="1" x14ac:dyDescent="0.25">
      <c r="B120" s="9"/>
      <c r="E120" s="1"/>
      <c r="F120" s="11"/>
    </row>
    <row r="121" spans="1:15" ht="15" hidden="1" customHeight="1" x14ac:dyDescent="0.25">
      <c r="B121" s="9"/>
      <c r="E121" s="1"/>
      <c r="F121" s="11"/>
    </row>
    <row r="122" spans="1:15" ht="15" hidden="1" customHeight="1" x14ac:dyDescent="0.25">
      <c r="A122" s="102" t="s">
        <v>17</v>
      </c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4"/>
    </row>
    <row r="123" spans="1:15" ht="15" hidden="1" customHeight="1" x14ac:dyDescent="0.25">
      <c r="A123" s="84" t="s">
        <v>14</v>
      </c>
      <c r="B123" s="85"/>
      <c r="C123" s="85"/>
      <c r="D123" s="85"/>
      <c r="E123" s="85"/>
      <c r="F123" s="86"/>
      <c r="G123" s="79"/>
      <c r="H123" s="69" t="s">
        <v>37</v>
      </c>
      <c r="I123" s="71"/>
      <c r="J123" s="71"/>
      <c r="K123" s="71"/>
      <c r="L123" s="70"/>
      <c r="M123" s="35"/>
      <c r="N123" s="69" t="s">
        <v>49</v>
      </c>
      <c r="O123" s="70"/>
    </row>
    <row r="124" spans="1:15" ht="15" hidden="1" customHeight="1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ht="15" hidden="1" customHeight="1" x14ac:dyDescent="0.25">
      <c r="A125" s="40"/>
      <c r="B125" s="5"/>
      <c r="C125" s="5"/>
      <c r="D125" s="5"/>
      <c r="E125" s="5"/>
      <c r="F125" s="15"/>
      <c r="G125" s="80"/>
      <c r="H125" s="41"/>
      <c r="I125" s="6"/>
      <c r="J125" s="6"/>
      <c r="K125" s="5"/>
      <c r="L125" s="6"/>
      <c r="M125" s="23"/>
      <c r="N125" s="30"/>
      <c r="O125" s="5"/>
    </row>
    <row r="126" spans="1:15" ht="15" hidden="1" customHeight="1" x14ac:dyDescent="0.25">
      <c r="A126" s="28"/>
      <c r="B126" s="5"/>
      <c r="C126" s="5"/>
      <c r="D126" s="5"/>
      <c r="E126" s="13"/>
      <c r="F126" s="15"/>
      <c r="G126" s="80"/>
      <c r="H126" s="41"/>
      <c r="I126" s="2"/>
      <c r="J126" s="2"/>
      <c r="K126" s="2"/>
      <c r="L126" s="2"/>
      <c r="M126" s="37"/>
      <c r="N126" s="34"/>
      <c r="O126" s="2"/>
    </row>
    <row r="127" spans="1:15" ht="15" hidden="1" customHeight="1" x14ac:dyDescent="0.25">
      <c r="A127" s="10"/>
      <c r="B127" s="5"/>
      <c r="C127" s="2"/>
      <c r="D127" s="2"/>
      <c r="E127" s="7"/>
      <c r="F127" s="8"/>
      <c r="G127" s="80"/>
      <c r="H127" s="41"/>
      <c r="I127" s="2"/>
      <c r="J127" s="2"/>
      <c r="K127" s="2"/>
      <c r="L127" s="2"/>
      <c r="M127" s="37"/>
      <c r="N127" s="34"/>
      <c r="O127" s="2"/>
    </row>
    <row r="128" spans="1:15" ht="16.5" hidden="1" customHeight="1" x14ac:dyDescent="0.3">
      <c r="A128" s="4"/>
      <c r="B128" s="5"/>
      <c r="C128" s="2"/>
      <c r="D128" s="2"/>
      <c r="E128" s="6"/>
      <c r="F128" s="6"/>
      <c r="G128" s="80"/>
      <c r="H128" s="41"/>
      <c r="I128" s="2"/>
      <c r="J128" s="2"/>
      <c r="K128" s="2"/>
      <c r="L128" s="2"/>
      <c r="M128" s="37"/>
      <c r="N128" s="34"/>
      <c r="O128" s="2"/>
    </row>
    <row r="129" spans="1:15" ht="15" hidden="1" customHeight="1" x14ac:dyDescent="0.25">
      <c r="A129" s="3" t="s">
        <v>2</v>
      </c>
      <c r="B129" s="5">
        <f>SUM(B125:B128)</f>
        <v>0</v>
      </c>
      <c r="C129" s="5">
        <f t="shared" ref="C129:D129" si="38">SUM(C125:C128)</f>
        <v>0</v>
      </c>
      <c r="D129" s="5">
        <f t="shared" si="38"/>
        <v>0</v>
      </c>
      <c r="E129" s="5"/>
      <c r="F129" s="15">
        <f t="shared" ref="F129" si="39">SUM(F125:F128)</f>
        <v>0</v>
      </c>
      <c r="G129" s="81"/>
      <c r="H129" s="3" t="s">
        <v>2</v>
      </c>
      <c r="I129" s="5">
        <f>SUM(I125:I128)</f>
        <v>0</v>
      </c>
      <c r="J129" s="5">
        <f t="shared" ref="J129" si="40">SUM(J125:J128)</f>
        <v>0</v>
      </c>
      <c r="K129" s="6"/>
      <c r="L129" s="15">
        <f t="shared" ref="L129" si="41">SUM(L125:L128)</f>
        <v>0</v>
      </c>
      <c r="M129" s="38"/>
      <c r="N129" s="3" t="s">
        <v>2</v>
      </c>
      <c r="O129" s="5">
        <f>SUM(O125:O128)</f>
        <v>0</v>
      </c>
    </row>
    <row r="130" spans="1:15" ht="15" hidden="1" customHeight="1" x14ac:dyDescent="0.25">
      <c r="A130" s="12"/>
    </row>
    <row r="131" spans="1:15" ht="15" hidden="1" customHeight="1" x14ac:dyDescent="0.25">
      <c r="A131" s="12"/>
    </row>
    <row r="132" spans="1:15" ht="15" hidden="1" customHeight="1" x14ac:dyDescent="0.25">
      <c r="A132" s="101" t="s">
        <v>18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</row>
    <row r="133" spans="1:15" ht="15" hidden="1" customHeight="1" x14ac:dyDescent="0.25">
      <c r="A133" s="69" t="s">
        <v>14</v>
      </c>
      <c r="B133" s="71"/>
      <c r="C133" s="71"/>
      <c r="D133" s="71"/>
      <c r="E133" s="71"/>
      <c r="F133" s="70"/>
      <c r="G133" s="87"/>
      <c r="H133" s="72" t="s">
        <v>37</v>
      </c>
      <c r="I133" s="72"/>
      <c r="J133" s="72"/>
      <c r="K133" s="72"/>
      <c r="L133" s="2"/>
      <c r="M133" s="35"/>
      <c r="N133" s="69" t="s">
        <v>49</v>
      </c>
      <c r="O133" s="70"/>
    </row>
    <row r="134" spans="1:15" ht="15" hidden="1" customHeight="1" x14ac:dyDescent="0.25">
      <c r="A134" s="31" t="s">
        <v>42</v>
      </c>
      <c r="B134" s="3" t="s">
        <v>3</v>
      </c>
      <c r="C134" s="3" t="s">
        <v>8</v>
      </c>
      <c r="D134" s="3" t="s">
        <v>7</v>
      </c>
      <c r="E134" s="3" t="s">
        <v>0</v>
      </c>
      <c r="F134" s="3" t="s">
        <v>1</v>
      </c>
      <c r="G134" s="87"/>
      <c r="H134" s="31" t="s">
        <v>42</v>
      </c>
      <c r="I134" s="3" t="s">
        <v>38</v>
      </c>
      <c r="J134" s="3" t="s">
        <v>7</v>
      </c>
      <c r="K134" s="3" t="s">
        <v>0</v>
      </c>
      <c r="L134" s="3" t="s">
        <v>1</v>
      </c>
      <c r="M134" s="36"/>
      <c r="N134" s="22" t="s">
        <v>42</v>
      </c>
      <c r="O134" s="3" t="s">
        <v>38</v>
      </c>
    </row>
    <row r="135" spans="1:15" ht="15" hidden="1" customHeight="1" x14ac:dyDescent="0.25">
      <c r="A135" s="40"/>
      <c r="B135" s="5"/>
      <c r="C135" s="5"/>
      <c r="D135" s="6"/>
      <c r="E135" s="5"/>
      <c r="F135" s="15"/>
      <c r="G135" s="87"/>
      <c r="H135" s="41"/>
      <c r="I135" s="6"/>
      <c r="J135" s="6"/>
      <c r="K135" s="5"/>
      <c r="L135" s="6"/>
      <c r="M135" s="23"/>
      <c r="N135" s="30"/>
      <c r="O135" s="5"/>
    </row>
    <row r="136" spans="1:15" ht="15" hidden="1" customHeight="1" x14ac:dyDescent="0.25">
      <c r="A136" s="40"/>
      <c r="B136" s="5"/>
      <c r="C136" s="5"/>
      <c r="D136" s="6"/>
      <c r="E136" s="5"/>
      <c r="F136" s="15"/>
      <c r="G136" s="87"/>
      <c r="H136" s="41"/>
      <c r="I136" s="2"/>
      <c r="J136" s="2"/>
      <c r="K136" s="2"/>
      <c r="L136" s="2"/>
      <c r="M136" s="37"/>
      <c r="N136" s="34"/>
      <c r="O136" s="2"/>
    </row>
    <row r="137" spans="1:15" ht="15" hidden="1" customHeight="1" x14ac:dyDescent="0.25">
      <c r="A137" s="40"/>
      <c r="B137" s="6"/>
      <c r="C137" s="5"/>
      <c r="D137" s="6"/>
      <c r="E137" s="5"/>
      <c r="F137" s="6"/>
      <c r="G137" s="87"/>
      <c r="H137" s="41"/>
      <c r="I137" s="2"/>
      <c r="J137" s="2"/>
      <c r="K137" s="2"/>
      <c r="L137" s="2"/>
      <c r="M137" s="37"/>
      <c r="N137" s="34"/>
      <c r="O137" s="2"/>
    </row>
    <row r="138" spans="1:15" ht="15" hidden="1" customHeight="1" x14ac:dyDescent="0.25">
      <c r="A138" s="2"/>
      <c r="B138" s="6"/>
      <c r="C138" s="2"/>
      <c r="D138" s="2"/>
      <c r="E138" s="6"/>
      <c r="F138" s="6"/>
      <c r="G138" s="87"/>
      <c r="H138" s="41"/>
      <c r="I138" s="2"/>
      <c r="J138" s="2"/>
      <c r="K138" s="2"/>
      <c r="L138" s="2"/>
      <c r="M138" s="37"/>
      <c r="N138" s="34"/>
      <c r="O138" s="2"/>
    </row>
    <row r="139" spans="1:15" ht="15" hidden="1" customHeight="1" x14ac:dyDescent="0.25">
      <c r="A139" s="3" t="s">
        <v>2</v>
      </c>
      <c r="B139" s="5">
        <f>SUM(B135:B138)</f>
        <v>0</v>
      </c>
      <c r="C139" s="5">
        <f t="shared" ref="C139:D139" si="42">SUM(C135:C138)</f>
        <v>0</v>
      </c>
      <c r="D139" s="5">
        <f t="shared" si="42"/>
        <v>0</v>
      </c>
      <c r="E139" s="5"/>
      <c r="F139" s="15">
        <f t="shared" ref="F139" si="43">SUM(F135:F138)</f>
        <v>0</v>
      </c>
      <c r="G139" s="87"/>
      <c r="H139" s="3" t="s">
        <v>2</v>
      </c>
      <c r="I139" s="5">
        <f>SUM(I135:I138)</f>
        <v>0</v>
      </c>
      <c r="J139" s="5">
        <f t="shared" ref="J139" si="44">SUM(J135:J138)</f>
        <v>0</v>
      </c>
      <c r="K139" s="6"/>
      <c r="L139" s="15">
        <f t="shared" ref="L139" si="45">SUM(L135:L138)</f>
        <v>0</v>
      </c>
      <c r="M139" s="38"/>
      <c r="N139" s="3" t="s">
        <v>2</v>
      </c>
      <c r="O139" s="5">
        <f>SUM(O135:O138)</f>
        <v>0</v>
      </c>
    </row>
    <row r="140" spans="1:15" ht="15" hidden="1" customHeight="1" x14ac:dyDescent="0.25">
      <c r="A140" s="39"/>
      <c r="B140" s="9"/>
      <c r="E140" s="1"/>
      <c r="F140" s="11"/>
    </row>
    <row r="141" spans="1:15" ht="15" hidden="1" customHeight="1" x14ac:dyDescent="0.25"/>
    <row r="142" spans="1:15" ht="15" hidden="1" customHeight="1" x14ac:dyDescent="0.25">
      <c r="A142" s="101" t="s">
        <v>24</v>
      </c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</row>
    <row r="143" spans="1:15" ht="15" hidden="1" customHeight="1" x14ac:dyDescent="0.25">
      <c r="A143" s="69" t="s">
        <v>14</v>
      </c>
      <c r="B143" s="71"/>
      <c r="C143" s="71"/>
      <c r="D143" s="71"/>
      <c r="E143" s="71"/>
      <c r="F143" s="70"/>
      <c r="G143" s="79"/>
      <c r="H143" s="72" t="s">
        <v>37</v>
      </c>
      <c r="I143" s="72"/>
      <c r="J143" s="72"/>
      <c r="K143" s="72"/>
      <c r="L143" s="2"/>
      <c r="M143" s="35"/>
      <c r="N143" s="69" t="s">
        <v>49</v>
      </c>
      <c r="O143" s="70"/>
    </row>
    <row r="144" spans="1:15" ht="15" hidden="1" customHeight="1" x14ac:dyDescent="0.25">
      <c r="A144" s="31" t="s">
        <v>42</v>
      </c>
      <c r="B144" s="3" t="s">
        <v>3</v>
      </c>
      <c r="C144" s="3" t="s">
        <v>8</v>
      </c>
      <c r="D144" s="3" t="s">
        <v>7</v>
      </c>
      <c r="E144" s="3" t="s">
        <v>0</v>
      </c>
      <c r="F144" s="3" t="s">
        <v>1</v>
      </c>
      <c r="G144" s="80"/>
      <c r="H144" s="31" t="s">
        <v>42</v>
      </c>
      <c r="I144" s="3" t="s">
        <v>38</v>
      </c>
      <c r="J144" s="3" t="s">
        <v>7</v>
      </c>
      <c r="K144" s="3" t="s">
        <v>0</v>
      </c>
      <c r="L144" s="3" t="s">
        <v>1</v>
      </c>
      <c r="M144" s="36"/>
      <c r="N144" s="22" t="s">
        <v>42</v>
      </c>
      <c r="O144" s="3" t="s">
        <v>38</v>
      </c>
    </row>
    <row r="145" spans="1:15" ht="15" hidden="1" customHeight="1" x14ac:dyDescent="0.25">
      <c r="A145" s="28"/>
      <c r="B145" s="13"/>
      <c r="C145" s="5"/>
      <c r="D145" s="5"/>
      <c r="E145" s="13"/>
      <c r="F145" s="16"/>
      <c r="G145" s="80"/>
      <c r="H145" s="41"/>
      <c r="I145" s="6"/>
      <c r="J145" s="6"/>
      <c r="K145" s="5"/>
      <c r="L145" s="6"/>
      <c r="M145" s="23"/>
      <c r="N145" s="30"/>
      <c r="O145" s="5"/>
    </row>
    <row r="146" spans="1:15" ht="15" hidden="1" customHeight="1" x14ac:dyDescent="0.25">
      <c r="A146" s="10"/>
      <c r="B146" s="5"/>
      <c r="C146" s="2"/>
      <c r="D146" s="2"/>
      <c r="E146" s="6"/>
      <c r="F146" s="8"/>
      <c r="G146" s="80"/>
      <c r="H146" s="41"/>
      <c r="I146" s="2"/>
      <c r="J146" s="2"/>
      <c r="K146" s="2"/>
      <c r="L146" s="2"/>
      <c r="M146" s="37"/>
      <c r="N146" s="34"/>
      <c r="O146" s="2"/>
    </row>
    <row r="147" spans="1:15" ht="16.5" hidden="1" customHeight="1" x14ac:dyDescent="0.3">
      <c r="A147" s="4"/>
      <c r="B147" s="5"/>
      <c r="C147" s="2"/>
      <c r="D147" s="2"/>
      <c r="E147" s="6"/>
      <c r="F147" s="8"/>
      <c r="G147" s="80"/>
      <c r="H147" s="41"/>
      <c r="I147" s="2"/>
      <c r="J147" s="2"/>
      <c r="K147" s="2"/>
      <c r="L147" s="2"/>
      <c r="M147" s="37"/>
      <c r="N147" s="34"/>
      <c r="O147" s="2"/>
    </row>
    <row r="148" spans="1:15" ht="15" hidden="1" customHeight="1" x14ac:dyDescent="0.25">
      <c r="A148" s="2"/>
      <c r="B148" s="6"/>
      <c r="C148" s="2"/>
      <c r="D148" s="2"/>
      <c r="E148" s="6"/>
      <c r="F148" s="6"/>
      <c r="G148" s="80"/>
      <c r="H148" s="41"/>
      <c r="I148" s="2"/>
      <c r="J148" s="2"/>
      <c r="K148" s="2"/>
      <c r="L148" s="2"/>
      <c r="M148" s="37"/>
      <c r="N148" s="34"/>
      <c r="O148" s="2"/>
    </row>
    <row r="149" spans="1:15" ht="15" hidden="1" customHeight="1" x14ac:dyDescent="0.25">
      <c r="A149" s="3" t="s">
        <v>2</v>
      </c>
      <c r="B149" s="5">
        <f>SUM(B145:B148)</f>
        <v>0</v>
      </c>
      <c r="C149" s="5">
        <f t="shared" ref="C149:D149" si="46">SUM(C145:C148)</f>
        <v>0</v>
      </c>
      <c r="D149" s="5">
        <f t="shared" si="46"/>
        <v>0</v>
      </c>
      <c r="E149" s="5"/>
      <c r="F149" s="15">
        <f t="shared" ref="F149" si="47">SUM(F145:F148)</f>
        <v>0</v>
      </c>
      <c r="G149" s="81"/>
      <c r="H149" s="3" t="s">
        <v>2</v>
      </c>
      <c r="I149" s="5">
        <f>SUM(I145:I148)</f>
        <v>0</v>
      </c>
      <c r="J149" s="5">
        <f t="shared" ref="J149" si="48">SUM(J145:J148)</f>
        <v>0</v>
      </c>
      <c r="K149" s="6"/>
      <c r="L149" s="15">
        <f t="shared" ref="L149" si="49">SUM(L145:L148)</f>
        <v>0</v>
      </c>
      <c r="M149" s="38"/>
      <c r="N149" s="3" t="s">
        <v>2</v>
      </c>
      <c r="O149" s="5">
        <f>SUM(O145:O148)</f>
        <v>0</v>
      </c>
    </row>
    <row r="150" spans="1:15" ht="15" hidden="1" customHeight="1" x14ac:dyDescent="0.25"/>
    <row r="151" spans="1:15" ht="15" hidden="1" customHeight="1" x14ac:dyDescent="0.25"/>
    <row r="152" spans="1:15" ht="15" hidden="1" customHeight="1" x14ac:dyDescent="0.25">
      <c r="A152" s="101" t="s">
        <v>26</v>
      </c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</row>
    <row r="153" spans="1:15" ht="15" hidden="1" customHeight="1" x14ac:dyDescent="0.25">
      <c r="A153" s="69" t="s">
        <v>14</v>
      </c>
      <c r="B153" s="71"/>
      <c r="C153" s="71"/>
      <c r="D153" s="71"/>
      <c r="E153" s="71"/>
      <c r="F153" s="70"/>
      <c r="G153" s="79"/>
      <c r="H153" s="72" t="s">
        <v>37</v>
      </c>
      <c r="I153" s="72"/>
      <c r="J153" s="72"/>
      <c r="K153" s="72"/>
      <c r="L153" s="2"/>
      <c r="M153" s="35"/>
      <c r="N153" s="69" t="s">
        <v>49</v>
      </c>
      <c r="O153" s="70"/>
    </row>
    <row r="154" spans="1:15" ht="15" hidden="1" customHeight="1" x14ac:dyDescent="0.25">
      <c r="A154" s="31" t="s">
        <v>42</v>
      </c>
      <c r="B154" s="3" t="s">
        <v>3</v>
      </c>
      <c r="C154" s="3" t="s">
        <v>8</v>
      </c>
      <c r="D154" s="3" t="s">
        <v>7</v>
      </c>
      <c r="E154" s="3" t="s">
        <v>0</v>
      </c>
      <c r="F154" s="3" t="s">
        <v>1</v>
      </c>
      <c r="G154" s="80"/>
      <c r="H154" s="31" t="s">
        <v>42</v>
      </c>
      <c r="I154" s="3" t="s">
        <v>38</v>
      </c>
      <c r="J154" s="3" t="s">
        <v>7</v>
      </c>
      <c r="K154" s="3" t="s">
        <v>0</v>
      </c>
      <c r="L154" s="3" t="s">
        <v>1</v>
      </c>
      <c r="M154" s="36"/>
      <c r="N154" s="22" t="s">
        <v>42</v>
      </c>
      <c r="O154" s="3" t="s">
        <v>38</v>
      </c>
    </row>
    <row r="155" spans="1:15" ht="15" hidden="1" customHeight="1" x14ac:dyDescent="0.25">
      <c r="A155" s="28"/>
      <c r="B155" s="13"/>
      <c r="C155" s="5"/>
      <c r="D155" s="5"/>
      <c r="E155" s="13"/>
      <c r="F155" s="16"/>
      <c r="G155" s="80"/>
      <c r="H155" s="41"/>
      <c r="I155" s="6"/>
      <c r="J155" s="6"/>
      <c r="K155" s="5"/>
      <c r="L155" s="6"/>
      <c r="M155" s="23"/>
      <c r="N155" s="30"/>
      <c r="O155" s="5"/>
    </row>
    <row r="156" spans="1:15" ht="15" hidden="1" customHeight="1" x14ac:dyDescent="0.25">
      <c r="A156" s="10"/>
      <c r="B156" s="5"/>
      <c r="C156" s="2"/>
      <c r="D156" s="2"/>
      <c r="E156" s="6"/>
      <c r="F156" s="8"/>
      <c r="G156" s="80"/>
      <c r="H156" s="41"/>
      <c r="I156" s="2"/>
      <c r="J156" s="2"/>
      <c r="K156" s="2"/>
      <c r="L156" s="2"/>
      <c r="M156" s="37"/>
      <c r="N156" s="34"/>
      <c r="O156" s="2"/>
    </row>
    <row r="157" spans="1:15" ht="16.5" hidden="1" customHeight="1" x14ac:dyDescent="0.3">
      <c r="A157" s="4"/>
      <c r="B157" s="5"/>
      <c r="C157" s="2"/>
      <c r="D157" s="2"/>
      <c r="E157" s="6"/>
      <c r="F157" s="8"/>
      <c r="G157" s="80"/>
      <c r="H157" s="41"/>
      <c r="I157" s="2"/>
      <c r="J157" s="2"/>
      <c r="K157" s="2"/>
      <c r="L157" s="2"/>
      <c r="M157" s="37"/>
      <c r="N157" s="34"/>
      <c r="O157" s="2"/>
    </row>
    <row r="158" spans="1:15" ht="15" hidden="1" customHeight="1" x14ac:dyDescent="0.25">
      <c r="A158" s="2"/>
      <c r="B158" s="6"/>
      <c r="C158" s="2"/>
      <c r="D158" s="2"/>
      <c r="E158" s="6"/>
      <c r="F158" s="6"/>
      <c r="G158" s="80"/>
      <c r="H158" s="41"/>
      <c r="I158" s="2"/>
      <c r="J158" s="2"/>
      <c r="K158" s="2"/>
      <c r="L158" s="2"/>
      <c r="M158" s="37"/>
      <c r="N158" s="34"/>
      <c r="O158" s="2"/>
    </row>
    <row r="159" spans="1:15" ht="15" hidden="1" customHeight="1" x14ac:dyDescent="0.25">
      <c r="A159" s="3" t="s">
        <v>2</v>
      </c>
      <c r="B159" s="5">
        <f>SUM(B155:B158)</f>
        <v>0</v>
      </c>
      <c r="C159" s="5">
        <f t="shared" ref="C159:D159" si="50">SUM(C155:C158)</f>
        <v>0</v>
      </c>
      <c r="D159" s="5">
        <f t="shared" si="50"/>
        <v>0</v>
      </c>
      <c r="E159" s="5"/>
      <c r="F159" s="15">
        <f t="shared" ref="F159" si="51">SUM(F155:F158)</f>
        <v>0</v>
      </c>
      <c r="G159" s="81"/>
      <c r="H159" s="3" t="s">
        <v>2</v>
      </c>
      <c r="I159" s="5">
        <f>SUM(I155:I158)</f>
        <v>0</v>
      </c>
      <c r="J159" s="5">
        <f t="shared" ref="J159" si="52">SUM(J155:J158)</f>
        <v>0</v>
      </c>
      <c r="K159" s="6"/>
      <c r="L159" s="15">
        <f t="shared" ref="L159" si="53">SUM(L155:L158)</f>
        <v>0</v>
      </c>
      <c r="M159" s="38"/>
      <c r="N159" s="3" t="s">
        <v>2</v>
      </c>
      <c r="O159" s="5">
        <f>SUM(O155:O158)</f>
        <v>0</v>
      </c>
    </row>
    <row r="160" spans="1:15" ht="15" hidden="1" customHeight="1" x14ac:dyDescent="0.25">
      <c r="B160" s="9"/>
      <c r="E160" s="1"/>
      <c r="F160" s="11"/>
    </row>
    <row r="161" spans="1:15" ht="15" hidden="1" customHeight="1" x14ac:dyDescent="0.25">
      <c r="B161" s="1"/>
      <c r="E161" s="1"/>
      <c r="F161" s="1"/>
    </row>
    <row r="162" spans="1:15" ht="15" hidden="1" customHeight="1" x14ac:dyDescent="0.25">
      <c r="A162" s="97" t="s">
        <v>28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spans="1:15" ht="15" hidden="1" customHeight="1" x14ac:dyDescent="0.25">
      <c r="A163" s="69" t="s">
        <v>14</v>
      </c>
      <c r="B163" s="71"/>
      <c r="C163" s="71"/>
      <c r="D163" s="71"/>
      <c r="E163" s="71"/>
      <c r="F163" s="70"/>
      <c r="G163" s="79"/>
      <c r="H163" s="72" t="s">
        <v>37</v>
      </c>
      <c r="I163" s="72"/>
      <c r="J163" s="72"/>
      <c r="K163" s="72"/>
      <c r="L163" s="2"/>
      <c r="M163" s="35"/>
      <c r="N163" s="69" t="s">
        <v>49</v>
      </c>
      <c r="O163" s="70"/>
    </row>
    <row r="164" spans="1:15" ht="15" hidden="1" customHeight="1" x14ac:dyDescent="0.25">
      <c r="A164" s="31" t="s">
        <v>42</v>
      </c>
      <c r="B164" s="3" t="s">
        <v>3</v>
      </c>
      <c r="C164" s="3" t="s">
        <v>8</v>
      </c>
      <c r="D164" s="3" t="s">
        <v>7</v>
      </c>
      <c r="E164" s="3" t="s">
        <v>0</v>
      </c>
      <c r="F164" s="3" t="s">
        <v>1</v>
      </c>
      <c r="G164" s="80"/>
      <c r="H164" s="31" t="s">
        <v>42</v>
      </c>
      <c r="I164" s="3" t="s">
        <v>38</v>
      </c>
      <c r="J164" s="3" t="s">
        <v>7</v>
      </c>
      <c r="K164" s="3" t="s">
        <v>0</v>
      </c>
      <c r="L164" s="3" t="s">
        <v>1</v>
      </c>
      <c r="M164" s="36"/>
      <c r="N164" s="22" t="s">
        <v>42</v>
      </c>
      <c r="O164" s="3" t="s">
        <v>38</v>
      </c>
    </row>
    <row r="165" spans="1:15" ht="15" hidden="1" customHeight="1" x14ac:dyDescent="0.25">
      <c r="A165" s="40"/>
      <c r="B165" s="13"/>
      <c r="C165" s="13"/>
      <c r="D165" s="13"/>
      <c r="E165" s="13"/>
      <c r="F165" s="16"/>
      <c r="G165" s="80"/>
      <c r="H165" s="41"/>
      <c r="I165" s="6"/>
      <c r="J165" s="6"/>
      <c r="K165" s="5"/>
      <c r="L165" s="2"/>
      <c r="M165" s="23"/>
      <c r="N165" s="30"/>
      <c r="O165" s="5"/>
    </row>
    <row r="166" spans="1:15" ht="15" hidden="1" customHeight="1" x14ac:dyDescent="0.25">
      <c r="A166" s="40"/>
      <c r="B166" s="5"/>
      <c r="C166" s="6"/>
      <c r="D166" s="6"/>
      <c r="E166" s="13"/>
      <c r="F166" s="15"/>
      <c r="G166" s="80"/>
      <c r="H166" s="41"/>
      <c r="I166" s="2"/>
      <c r="J166" s="2"/>
      <c r="K166" s="2"/>
      <c r="L166" s="2"/>
      <c r="M166" s="37"/>
      <c r="N166" s="34"/>
      <c r="O166" s="2"/>
    </row>
    <row r="167" spans="1:15" ht="15" hidden="1" customHeight="1" x14ac:dyDescent="0.25">
      <c r="A167" s="17"/>
      <c r="B167" s="5"/>
      <c r="C167" s="2"/>
      <c r="D167" s="2"/>
      <c r="E167" s="6"/>
      <c r="F167" s="8"/>
      <c r="G167" s="80"/>
      <c r="H167" s="41"/>
      <c r="I167" s="2"/>
      <c r="J167" s="2"/>
      <c r="K167" s="2"/>
      <c r="L167" s="2"/>
      <c r="M167" s="37"/>
      <c r="N167" s="34"/>
      <c r="O167" s="2"/>
    </row>
    <row r="168" spans="1:15" ht="15" hidden="1" customHeight="1" x14ac:dyDescent="0.25">
      <c r="A168" s="2"/>
      <c r="B168" s="6"/>
      <c r="C168" s="2"/>
      <c r="D168" s="2"/>
      <c r="E168" s="6"/>
      <c r="F168" s="6"/>
      <c r="G168" s="80"/>
      <c r="H168" s="41"/>
      <c r="I168" s="2"/>
      <c r="J168" s="2"/>
      <c r="K168" s="2"/>
      <c r="L168" s="2"/>
      <c r="M168" s="37"/>
      <c r="N168" s="34"/>
      <c r="O168" s="2"/>
    </row>
    <row r="169" spans="1:15" ht="15" hidden="1" customHeight="1" x14ac:dyDescent="0.25">
      <c r="A169" s="3" t="s">
        <v>2</v>
      </c>
      <c r="B169" s="5">
        <f>SUM(B165:B168)</f>
        <v>0</v>
      </c>
      <c r="C169" s="5">
        <f t="shared" ref="C169:D169" si="54">SUM(C165:C168)</f>
        <v>0</v>
      </c>
      <c r="D169" s="5">
        <f t="shared" si="54"/>
        <v>0</v>
      </c>
      <c r="E169" s="5"/>
      <c r="F169" s="15">
        <f t="shared" ref="F169" si="55">SUM(F165:F168)</f>
        <v>0</v>
      </c>
      <c r="G169" s="81"/>
      <c r="H169" s="3" t="s">
        <v>2</v>
      </c>
      <c r="I169" s="5">
        <f>SUM(I165:I168)</f>
        <v>0</v>
      </c>
      <c r="J169" s="5">
        <f t="shared" ref="J169" si="56">SUM(J165:J168)</f>
        <v>0</v>
      </c>
      <c r="K169" s="6"/>
      <c r="L169" s="15">
        <f t="shared" ref="L169" si="57">SUM(L165:L168)</f>
        <v>0</v>
      </c>
      <c r="M169" s="38"/>
      <c r="N169" s="3" t="s">
        <v>2</v>
      </c>
      <c r="O169" s="5">
        <f>SUM(O165:O168)</f>
        <v>0</v>
      </c>
    </row>
    <row r="170" spans="1:15" ht="15" hidden="1" customHeight="1" x14ac:dyDescent="0.25"/>
    <row r="171" spans="1:15" ht="15" hidden="1" customHeight="1" x14ac:dyDescent="0.25"/>
    <row r="172" spans="1:15" ht="15" hidden="1" customHeight="1" x14ac:dyDescent="0.25">
      <c r="A172" s="98" t="s">
        <v>29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100"/>
    </row>
    <row r="173" spans="1:15" ht="15" hidden="1" customHeight="1" x14ac:dyDescent="0.25">
      <c r="A173" s="69" t="s">
        <v>14</v>
      </c>
      <c r="B173" s="71"/>
      <c r="C173" s="71"/>
      <c r="D173" s="71"/>
      <c r="E173" s="71"/>
      <c r="F173" s="70"/>
      <c r="G173" s="79"/>
      <c r="H173" s="72" t="s">
        <v>37</v>
      </c>
      <c r="I173" s="72"/>
      <c r="J173" s="72"/>
      <c r="K173" s="72"/>
      <c r="L173" s="2"/>
      <c r="M173" s="35"/>
      <c r="N173" s="69" t="s">
        <v>49</v>
      </c>
      <c r="O173" s="70"/>
    </row>
    <row r="174" spans="1:15" ht="15" hidden="1" customHeight="1" x14ac:dyDescent="0.25">
      <c r="A174" s="31" t="s">
        <v>42</v>
      </c>
      <c r="B174" s="3" t="s">
        <v>3</v>
      </c>
      <c r="C174" s="3" t="s">
        <v>8</v>
      </c>
      <c r="D174" s="3" t="s">
        <v>7</v>
      </c>
      <c r="E174" s="3" t="s">
        <v>0</v>
      </c>
      <c r="F174" s="3" t="s">
        <v>1</v>
      </c>
      <c r="G174" s="80"/>
      <c r="H174" s="31" t="s">
        <v>42</v>
      </c>
      <c r="I174" s="3" t="s">
        <v>38</v>
      </c>
      <c r="J174" s="3" t="s">
        <v>7</v>
      </c>
      <c r="K174" s="3" t="s">
        <v>0</v>
      </c>
      <c r="L174" s="3" t="s">
        <v>1</v>
      </c>
      <c r="M174" s="36"/>
      <c r="N174" s="22" t="s">
        <v>42</v>
      </c>
      <c r="O174" s="3" t="s">
        <v>38</v>
      </c>
    </row>
    <row r="175" spans="1:15" ht="15" hidden="1" customHeight="1" x14ac:dyDescent="0.25">
      <c r="A175" s="40"/>
      <c r="B175" s="13"/>
      <c r="C175" s="13"/>
      <c r="D175" s="13"/>
      <c r="E175" s="13"/>
      <c r="F175" s="16"/>
      <c r="G175" s="80"/>
      <c r="H175" s="41"/>
      <c r="I175" s="6"/>
      <c r="J175" s="6"/>
      <c r="K175" s="5"/>
      <c r="L175" s="6"/>
      <c r="M175" s="23"/>
      <c r="N175" s="30"/>
      <c r="O175" s="5"/>
    </row>
    <row r="176" spans="1:15" ht="15" hidden="1" customHeight="1" x14ac:dyDescent="0.25">
      <c r="A176" s="40"/>
      <c r="B176" s="5"/>
      <c r="C176" s="6"/>
      <c r="D176" s="6"/>
      <c r="E176" s="13"/>
      <c r="F176" s="15"/>
      <c r="G176" s="80"/>
      <c r="H176" s="41"/>
      <c r="I176" s="2"/>
      <c r="J176" s="2"/>
      <c r="K176" s="2"/>
      <c r="L176" s="2"/>
      <c r="M176" s="37"/>
      <c r="N176" s="34"/>
      <c r="O176" s="2"/>
    </row>
    <row r="177" spans="1:15" ht="15" hidden="1" customHeight="1" x14ac:dyDescent="0.25">
      <c r="A177" s="17"/>
      <c r="B177" s="5"/>
      <c r="C177" s="2"/>
      <c r="D177" s="2"/>
      <c r="E177" s="6"/>
      <c r="F177" s="8"/>
      <c r="G177" s="80"/>
      <c r="H177" s="41"/>
      <c r="I177" s="2"/>
      <c r="J177" s="2"/>
      <c r="K177" s="2"/>
      <c r="L177" s="2"/>
      <c r="M177" s="37"/>
      <c r="N177" s="34"/>
      <c r="O177" s="2"/>
    </row>
    <row r="178" spans="1:15" ht="15" hidden="1" customHeight="1" x14ac:dyDescent="0.25">
      <c r="A178" s="2"/>
      <c r="B178" s="6"/>
      <c r="C178" s="2"/>
      <c r="D178" s="2"/>
      <c r="E178" s="6"/>
      <c r="F178" s="6"/>
      <c r="G178" s="80"/>
      <c r="H178" s="41"/>
      <c r="I178" s="2"/>
      <c r="J178" s="2"/>
      <c r="K178" s="2"/>
      <c r="L178" s="2"/>
      <c r="M178" s="37"/>
      <c r="N178" s="34"/>
      <c r="O178" s="2"/>
    </row>
    <row r="179" spans="1:15" ht="15" hidden="1" customHeight="1" x14ac:dyDescent="0.25">
      <c r="A179" s="3" t="s">
        <v>2</v>
      </c>
      <c r="B179" s="5">
        <f>SUM(B175:B178)</f>
        <v>0</v>
      </c>
      <c r="C179" s="5">
        <f t="shared" ref="C179:D179" si="58">SUM(C175:C178)</f>
        <v>0</v>
      </c>
      <c r="D179" s="5">
        <f t="shared" si="58"/>
        <v>0</v>
      </c>
      <c r="E179" s="5"/>
      <c r="F179" s="15">
        <f t="shared" ref="F179" si="59">SUM(F175:F178)</f>
        <v>0</v>
      </c>
      <c r="G179" s="81"/>
      <c r="H179" s="3" t="s">
        <v>2</v>
      </c>
      <c r="I179" s="5">
        <f>SUM(I175:I178)</f>
        <v>0</v>
      </c>
      <c r="J179" s="5">
        <f t="shared" ref="J179" si="60">SUM(J175:J178)</f>
        <v>0</v>
      </c>
      <c r="K179" s="6"/>
      <c r="L179" s="15">
        <f t="shared" ref="L179" si="61">SUM(L175:L178)</f>
        <v>0</v>
      </c>
      <c r="M179" s="38"/>
      <c r="N179" s="3" t="s">
        <v>2</v>
      </c>
      <c r="O179" s="5">
        <f>SUM(O175:O178)</f>
        <v>0</v>
      </c>
    </row>
  </sheetData>
  <mergeCells count="93">
    <mergeCell ref="A173:F173"/>
    <mergeCell ref="G173:G179"/>
    <mergeCell ref="H173:K173"/>
    <mergeCell ref="N173:O173"/>
    <mergeCell ref="A162:O162"/>
    <mergeCell ref="A163:F163"/>
    <mergeCell ref="G163:G169"/>
    <mergeCell ref="H163:K163"/>
    <mergeCell ref="N163:O163"/>
    <mergeCell ref="A172:O172"/>
    <mergeCell ref="A153:F153"/>
    <mergeCell ref="G153:G159"/>
    <mergeCell ref="H153:K153"/>
    <mergeCell ref="N153:O153"/>
    <mergeCell ref="A132:O132"/>
    <mergeCell ref="A133:F133"/>
    <mergeCell ref="G133:G139"/>
    <mergeCell ref="H133:K133"/>
    <mergeCell ref="N133:O133"/>
    <mergeCell ref="A142:O142"/>
    <mergeCell ref="A143:F143"/>
    <mergeCell ref="G143:G149"/>
    <mergeCell ref="H143:K143"/>
    <mergeCell ref="N143:O143"/>
    <mergeCell ref="A152:O152"/>
    <mergeCell ref="A123:F123"/>
    <mergeCell ref="G123:G129"/>
    <mergeCell ref="H123:L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L113"/>
    <mergeCell ref="N113:O113"/>
    <mergeCell ref="A122:O122"/>
    <mergeCell ref="X3:X4"/>
    <mergeCell ref="A92:O92"/>
    <mergeCell ref="A93:F93"/>
    <mergeCell ref="G93:G99"/>
    <mergeCell ref="H93:K93"/>
    <mergeCell ref="N93:O93"/>
    <mergeCell ref="A82:O82"/>
    <mergeCell ref="A22:O22"/>
    <mergeCell ref="A23:F23"/>
    <mergeCell ref="G23:G29"/>
    <mergeCell ref="H23:L23"/>
    <mergeCell ref="N23:O23"/>
    <mergeCell ref="A32:O32"/>
    <mergeCell ref="A33:F33"/>
    <mergeCell ref="G33:G39"/>
    <mergeCell ref="H33:K33"/>
    <mergeCell ref="Q2:W2"/>
    <mergeCell ref="A83:F83"/>
    <mergeCell ref="G83:G89"/>
    <mergeCell ref="H83:K83"/>
    <mergeCell ref="N83:O83"/>
    <mergeCell ref="Q3:Q4"/>
    <mergeCell ref="R3:R4"/>
    <mergeCell ref="S3:S4"/>
    <mergeCell ref="T3:T4"/>
    <mergeCell ref="U3:V3"/>
    <mergeCell ref="W3:W4"/>
    <mergeCell ref="A12:O12"/>
    <mergeCell ref="A13:F13"/>
    <mergeCell ref="G13:G19"/>
    <mergeCell ref="H13:L13"/>
    <mergeCell ref="N13:O1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</mergeCells>
  <hyperlinks>
    <hyperlink ref="A12:O12" location="NADQ!A1" display="NADQ Amundi Nasdaq-100 UCITS ETF (Dist)" xr:uid="{250BAD14-7EF2-42AD-ADDE-9D97F886023C}"/>
    <hyperlink ref="A22:O22" location="QDVE!A1" display="QDVE iShares S&amp;P 500 Inf. Tech. Sector UCITS ETF (Acc)" xr:uid="{A081A088-6C5B-4017-A16B-AA1E01C26001}"/>
    <hyperlink ref="A32:O32" location="VWCE!A1" display="VWCE Vanguard FTSE All-World UCITS ETF (Acc)" xr:uid="{30C95135-499F-48A4-A642-C7405FACD341}"/>
    <hyperlink ref="A42:O42" location="XDEQ!A1" display="XDEQ Xtarckers MSCI World Quality UCITS ETF (Acc)" xr:uid="{D7366F6A-5BCB-4FA7-8830-89B577FD9F16}"/>
    <hyperlink ref="A52:O52" location="VUAA!A1" display="VUAA Vanguard S&amp;P 500 UCITS ETF (Acc)" xr:uid="{840772C8-FD2E-4A98-AE14-8350E162679B}"/>
    <hyperlink ref="A62:O62" location="XDWT!A1" display="XDWT Xtrackers MSCI World Information Tech. ETF (Acc)" xr:uid="{C2A8A066-8A59-4FBB-89EE-DC86882D6674}"/>
    <hyperlink ref="A72:O72" location="XAIX!A1" display="XAIX Xtrackers Artificial Intell. and Big Data ETF (Acc)" xr:uid="{691633F9-E312-4CF1-997A-F05EE48C2578}"/>
    <hyperlink ref="A82:O82" location="SPYL!A1" display="SPYL SPDR S&amp;P 500 UCITS (Acc)" xr:uid="{38646DA2-D712-464B-9C7A-4B5B74FE6A55}"/>
    <hyperlink ref="A92:O92" location="JEQP!A1" display="JEQP JPM Nasdaq Equity Premium Income Active UCITS ETF - USD (Dist)" xr:uid="{F1B0F3E0-0C0F-4E69-BF32-F8899C696782}"/>
    <hyperlink ref="A102:O102" location="JGPI!A1" display="JGPI JPM Global Equity Premium Income Active UCITS ETF - USD (Dist)" xr:uid="{B888BC05-D6A8-416D-8B68-3EA684B71D15}"/>
  </hyperlinks>
  <pageMargins left="0.7" right="0.7" top="0.75" bottom="0.75" header="0.3" footer="0.3"/>
  <pageSetup orientation="portrait" horizontalDpi="4294967293" r:id="rId1"/>
  <ignoredErrors>
    <ignoredError sqref="E19 E29 E39 E49 E59 E69 E79 E89 E99 E109" formula="1"/>
    <ignoredError sqref="Q2:Z5" numberStoredAsText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179"/>
  <sheetViews>
    <sheetView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57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120</v>
      </c>
      <c r="R5" s="5">
        <v>0</v>
      </c>
      <c r="S5" s="5">
        <f>C89+C99+C109+C119+C129+C139+C149+C159+C169+C179</f>
        <v>102.42999999999999</v>
      </c>
      <c r="T5" s="5">
        <f>I89+I99+I109+I119+I129+I139+I149+I159+I169+I179</f>
        <v>0</v>
      </c>
      <c r="U5" s="5">
        <f>D89+D99+D109+D119+D129+D139+D149+D159+D169+D179</f>
        <v>0.08</v>
      </c>
      <c r="V5" s="5">
        <f>J89+J99+J109+J119+J129+J139+J149+J159+J169+J179</f>
        <v>0</v>
      </c>
      <c r="W5" s="5">
        <f>O89+O99+O109+O119+O129+O139+O149+O159+O169+O179</f>
        <v>2.2000000000000002</v>
      </c>
      <c r="X5" s="5">
        <f>Q5-S5-U5+T5-V5+W5</f>
        <v>19.690000000000008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46055</v>
      </c>
      <c r="B85" s="5">
        <v>57.19</v>
      </c>
      <c r="C85" s="5">
        <f>B85-D85</f>
        <v>57.129999999999995</v>
      </c>
      <c r="D85" s="6">
        <v>0.06</v>
      </c>
      <c r="E85" s="13">
        <f>C85/F85</f>
        <v>14.282499999999999</v>
      </c>
      <c r="F85" s="15">
        <v>4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57.19</v>
      </c>
      <c r="C89" s="5">
        <f t="shared" ref="C89:D89" si="24">SUM(C85:C88)</f>
        <v>57.129999999999995</v>
      </c>
      <c r="D89" s="5">
        <f t="shared" si="24"/>
        <v>0.06</v>
      </c>
      <c r="E89" s="5">
        <f>IF(B89&gt;0,SUMPRODUCT(E85:E88,F85:F88)/SUM(F85:F88),"0.00")</f>
        <v>14.282499999999999</v>
      </c>
      <c r="F89" s="15">
        <f t="shared" ref="F89" si="25">SUM(F85:F88)</f>
        <v>4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2" spans="1:18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x14ac:dyDescent="0.25">
      <c r="A95" s="40">
        <v>46055</v>
      </c>
      <c r="B95" s="5">
        <v>22.5</v>
      </c>
      <c r="C95" s="5">
        <f>B95-D95</f>
        <v>22.5</v>
      </c>
      <c r="D95" s="5">
        <v>0</v>
      </c>
      <c r="E95" s="13">
        <f>C95/F95</f>
        <v>22.5</v>
      </c>
      <c r="F95" s="15">
        <v>1</v>
      </c>
      <c r="G95" s="80"/>
      <c r="H95" s="6"/>
      <c r="I95" s="6"/>
      <c r="J95" s="5"/>
      <c r="K95" s="5"/>
      <c r="L95" s="6"/>
      <c r="M95" s="23"/>
      <c r="N95" s="42">
        <v>46063</v>
      </c>
      <c r="O95" s="5">
        <v>1.39</v>
      </c>
      <c r="R95" s="1"/>
    </row>
    <row r="96" spans="1:18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22.5</v>
      </c>
      <c r="C99" s="5">
        <f t="shared" ref="C99:D99" si="28">SUM(C95:C98)</f>
        <v>22.5</v>
      </c>
      <c r="D99" s="5">
        <f t="shared" si="28"/>
        <v>0</v>
      </c>
      <c r="E99" s="5">
        <f>IF(B99&gt;0,SUMPRODUCT(E95:E98,F95:F98)/SUM(F95:F98),"0.00")</f>
        <v>22.5</v>
      </c>
      <c r="F99" s="15">
        <f t="shared" ref="F99" si="29">SUM(F95:F98)</f>
        <v>1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1.39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46055</v>
      </c>
      <c r="B105" s="5">
        <v>22.82</v>
      </c>
      <c r="C105" s="5">
        <f>B105-D105</f>
        <v>22.8</v>
      </c>
      <c r="D105" s="6">
        <v>0.02</v>
      </c>
      <c r="E105" s="13">
        <f>C105/F105</f>
        <v>22.8</v>
      </c>
      <c r="F105" s="15">
        <v>1</v>
      </c>
      <c r="G105" s="80"/>
      <c r="H105" s="6"/>
      <c r="I105" s="6"/>
      <c r="J105" s="5"/>
      <c r="K105" s="5"/>
      <c r="L105" s="6"/>
      <c r="M105" s="23"/>
      <c r="N105" s="42">
        <v>46063</v>
      </c>
      <c r="O105" s="5">
        <v>0.81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22.82</v>
      </c>
      <c r="C109" s="5">
        <f t="shared" ref="C109:D109" si="32">SUM(C105:C108)</f>
        <v>22.8</v>
      </c>
      <c r="D109" s="5">
        <f t="shared" si="32"/>
        <v>0.02</v>
      </c>
      <c r="E109" s="5">
        <f>IF(B109&gt;0,SUMPRODUCT(E105:E108,F105:F108)/SUM(F105:F108),"0.00")</f>
        <v>22.8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0.81</v>
      </c>
    </row>
    <row r="110" spans="1:15" x14ac:dyDescent="0.25">
      <c r="A110" s="39"/>
      <c r="B110" s="9"/>
      <c r="E110" s="1"/>
      <c r="F110" s="11"/>
    </row>
    <row r="112" spans="1:15" ht="15" hidden="1" customHeight="1" x14ac:dyDescent="0.25">
      <c r="A112" s="102" t="s">
        <v>16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4"/>
    </row>
    <row r="113" spans="1:15" ht="15" hidden="1" customHeight="1" x14ac:dyDescent="0.25">
      <c r="A113" s="69" t="s">
        <v>14</v>
      </c>
      <c r="B113" s="71"/>
      <c r="C113" s="71"/>
      <c r="D113" s="71"/>
      <c r="E113" s="71"/>
      <c r="F113" s="70"/>
      <c r="G113" s="79"/>
      <c r="H113" s="84" t="s">
        <v>37</v>
      </c>
      <c r="I113" s="85"/>
      <c r="J113" s="85"/>
      <c r="K113" s="85"/>
      <c r="L113" s="86"/>
      <c r="M113" s="35"/>
      <c r="N113" s="69" t="s">
        <v>49</v>
      </c>
      <c r="O113" s="70"/>
    </row>
    <row r="114" spans="1:15" ht="15" hidden="1" customHeight="1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ht="15" hidden="1" customHeight="1" x14ac:dyDescent="0.25">
      <c r="A115" s="10"/>
      <c r="B115" s="13"/>
      <c r="C115" s="5"/>
      <c r="D115" s="5"/>
      <c r="E115" s="13"/>
      <c r="F115" s="15"/>
      <c r="G115" s="80"/>
      <c r="H115" s="41"/>
      <c r="I115" s="6"/>
      <c r="J115" s="5"/>
      <c r="K115" s="5"/>
      <c r="L115" s="6"/>
      <c r="M115" s="23"/>
      <c r="N115" s="30"/>
      <c r="O115" s="5"/>
    </row>
    <row r="116" spans="1:15" ht="15" hidden="1" customHeight="1" x14ac:dyDescent="0.25">
      <c r="A116" s="10"/>
      <c r="B116" s="5"/>
      <c r="C116" s="6"/>
      <c r="D116" s="6"/>
      <c r="E116" s="6"/>
      <c r="F116" s="8"/>
      <c r="G116" s="80"/>
      <c r="H116" s="41"/>
      <c r="I116" s="2"/>
      <c r="J116" s="2"/>
      <c r="K116" s="2"/>
      <c r="L116" s="2"/>
      <c r="M116" s="37"/>
      <c r="N116" s="34"/>
      <c r="O116" s="2"/>
    </row>
    <row r="117" spans="1:15" ht="16.5" hidden="1" customHeight="1" x14ac:dyDescent="0.3">
      <c r="A117" s="4"/>
      <c r="B117" s="5"/>
      <c r="C117" s="6"/>
      <c r="D117" s="6"/>
      <c r="E117" s="6"/>
      <c r="F117" s="8"/>
      <c r="G117" s="80"/>
      <c r="H117" s="41"/>
      <c r="I117" s="2"/>
      <c r="J117" s="2"/>
      <c r="K117" s="2"/>
      <c r="L117" s="2"/>
      <c r="M117" s="37"/>
      <c r="N117" s="34"/>
      <c r="O117" s="2"/>
    </row>
    <row r="118" spans="1:15" ht="16.5" hidden="1" customHeight="1" x14ac:dyDescent="0.3">
      <c r="A118" s="4"/>
      <c r="B118" s="5"/>
      <c r="C118" s="6"/>
      <c r="D118" s="6"/>
      <c r="E118" s="6"/>
      <c r="F118" s="6"/>
      <c r="G118" s="80"/>
      <c r="H118" s="41"/>
      <c r="I118" s="2"/>
      <c r="J118" s="2"/>
      <c r="K118" s="2"/>
      <c r="L118" s="2"/>
      <c r="M118" s="37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/>
      <c r="F119" s="15">
        <f>SUM(F115:F118)</f>
        <v>0</v>
      </c>
      <c r="G119" s="81"/>
      <c r="H119" s="3" t="s">
        <v>2</v>
      </c>
      <c r="I119" s="5">
        <f>SUM(I115:I118)</f>
        <v>0</v>
      </c>
      <c r="J119" s="5">
        <f t="shared" ref="J119" si="36">SUM(J115:J118)</f>
        <v>0</v>
      </c>
      <c r="K119" s="6"/>
      <c r="L119" s="15">
        <f t="shared" ref="L119" si="37">SUM(L115:L118)</f>
        <v>0</v>
      </c>
      <c r="M119" s="38"/>
      <c r="N119" s="3" t="s">
        <v>2</v>
      </c>
      <c r="O119" s="5">
        <f>SUM(O115:O118)</f>
        <v>0</v>
      </c>
    </row>
    <row r="120" spans="1:15" ht="15" hidden="1" customHeight="1" x14ac:dyDescent="0.25">
      <c r="B120" s="9"/>
      <c r="E120" s="1"/>
      <c r="F120" s="11"/>
    </row>
    <row r="121" spans="1:15" ht="15" hidden="1" customHeight="1" x14ac:dyDescent="0.25">
      <c r="B121" s="9"/>
      <c r="E121" s="1"/>
      <c r="F121" s="11"/>
    </row>
    <row r="122" spans="1:15" ht="15" hidden="1" customHeight="1" x14ac:dyDescent="0.25">
      <c r="A122" s="102" t="s">
        <v>17</v>
      </c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4"/>
    </row>
    <row r="123" spans="1:15" ht="15" hidden="1" customHeight="1" x14ac:dyDescent="0.25">
      <c r="A123" s="84" t="s">
        <v>14</v>
      </c>
      <c r="B123" s="85"/>
      <c r="C123" s="85"/>
      <c r="D123" s="85"/>
      <c r="E123" s="85"/>
      <c r="F123" s="86"/>
      <c r="G123" s="79"/>
      <c r="H123" s="69" t="s">
        <v>37</v>
      </c>
      <c r="I123" s="71"/>
      <c r="J123" s="71"/>
      <c r="K123" s="71"/>
      <c r="L123" s="70"/>
      <c r="M123" s="35"/>
      <c r="N123" s="69" t="s">
        <v>49</v>
      </c>
      <c r="O123" s="70"/>
    </row>
    <row r="124" spans="1:15" ht="15" hidden="1" customHeight="1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ht="15" hidden="1" customHeight="1" x14ac:dyDescent="0.25">
      <c r="A125" s="40"/>
      <c r="B125" s="5"/>
      <c r="C125" s="5"/>
      <c r="D125" s="5"/>
      <c r="E125" s="5"/>
      <c r="F125" s="15"/>
      <c r="G125" s="80"/>
      <c r="H125" s="41"/>
      <c r="I125" s="6"/>
      <c r="J125" s="6"/>
      <c r="K125" s="5"/>
      <c r="L125" s="6"/>
      <c r="M125" s="23"/>
      <c r="N125" s="30"/>
      <c r="O125" s="5"/>
    </row>
    <row r="126" spans="1:15" ht="15" hidden="1" customHeight="1" x14ac:dyDescent="0.25">
      <c r="A126" s="28"/>
      <c r="B126" s="5"/>
      <c r="C126" s="5"/>
      <c r="D126" s="5"/>
      <c r="E126" s="13"/>
      <c r="F126" s="15"/>
      <c r="G126" s="80"/>
      <c r="H126" s="41"/>
      <c r="I126" s="2"/>
      <c r="J126" s="2"/>
      <c r="K126" s="2"/>
      <c r="L126" s="2"/>
      <c r="M126" s="37"/>
      <c r="N126" s="34"/>
      <c r="O126" s="2"/>
    </row>
    <row r="127" spans="1:15" ht="15" hidden="1" customHeight="1" x14ac:dyDescent="0.25">
      <c r="A127" s="10"/>
      <c r="B127" s="5"/>
      <c r="C127" s="2"/>
      <c r="D127" s="2"/>
      <c r="E127" s="7"/>
      <c r="F127" s="8"/>
      <c r="G127" s="80"/>
      <c r="H127" s="41"/>
      <c r="I127" s="2"/>
      <c r="J127" s="2"/>
      <c r="K127" s="2"/>
      <c r="L127" s="2"/>
      <c r="M127" s="37"/>
      <c r="N127" s="34"/>
      <c r="O127" s="2"/>
    </row>
    <row r="128" spans="1:15" ht="16.5" hidden="1" customHeight="1" x14ac:dyDescent="0.3">
      <c r="A128" s="4"/>
      <c r="B128" s="5"/>
      <c r="C128" s="2"/>
      <c r="D128" s="2"/>
      <c r="E128" s="6"/>
      <c r="F128" s="6"/>
      <c r="G128" s="80"/>
      <c r="H128" s="41"/>
      <c r="I128" s="2"/>
      <c r="J128" s="2"/>
      <c r="K128" s="2"/>
      <c r="L128" s="2"/>
      <c r="M128" s="37"/>
      <c r="N128" s="34"/>
      <c r="O128" s="2"/>
    </row>
    <row r="129" spans="1:15" ht="15" hidden="1" customHeight="1" x14ac:dyDescent="0.25">
      <c r="A129" s="3" t="s">
        <v>2</v>
      </c>
      <c r="B129" s="5">
        <f>SUM(B125:B128)</f>
        <v>0</v>
      </c>
      <c r="C129" s="5">
        <f t="shared" ref="C129:D129" si="38">SUM(C125:C128)</f>
        <v>0</v>
      </c>
      <c r="D129" s="5">
        <f t="shared" si="38"/>
        <v>0</v>
      </c>
      <c r="E129" s="5"/>
      <c r="F129" s="15">
        <f t="shared" ref="F129" si="39">SUM(F125:F128)</f>
        <v>0</v>
      </c>
      <c r="G129" s="81"/>
      <c r="H129" s="3" t="s">
        <v>2</v>
      </c>
      <c r="I129" s="5">
        <f>SUM(I125:I128)</f>
        <v>0</v>
      </c>
      <c r="J129" s="5">
        <f t="shared" ref="J129" si="40">SUM(J125:J128)</f>
        <v>0</v>
      </c>
      <c r="K129" s="6"/>
      <c r="L129" s="15">
        <f t="shared" ref="L129" si="41">SUM(L125:L128)</f>
        <v>0</v>
      </c>
      <c r="M129" s="38"/>
      <c r="N129" s="3" t="s">
        <v>2</v>
      </c>
      <c r="O129" s="5">
        <f>SUM(O125:O128)</f>
        <v>0</v>
      </c>
    </row>
    <row r="130" spans="1:15" ht="15" hidden="1" customHeight="1" x14ac:dyDescent="0.25">
      <c r="A130" s="12"/>
    </row>
    <row r="131" spans="1:15" ht="15" hidden="1" customHeight="1" x14ac:dyDescent="0.25">
      <c r="A131" s="12"/>
    </row>
    <row r="132" spans="1:15" ht="15" hidden="1" customHeight="1" x14ac:dyDescent="0.25">
      <c r="A132" s="101" t="s">
        <v>18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</row>
    <row r="133" spans="1:15" ht="15" hidden="1" customHeight="1" x14ac:dyDescent="0.25">
      <c r="A133" s="69" t="s">
        <v>14</v>
      </c>
      <c r="B133" s="71"/>
      <c r="C133" s="71"/>
      <c r="D133" s="71"/>
      <c r="E133" s="71"/>
      <c r="F133" s="70"/>
      <c r="G133" s="87"/>
      <c r="H133" s="72" t="s">
        <v>37</v>
      </c>
      <c r="I133" s="72"/>
      <c r="J133" s="72"/>
      <c r="K133" s="72"/>
      <c r="L133" s="2"/>
      <c r="M133" s="35"/>
      <c r="N133" s="69" t="s">
        <v>49</v>
      </c>
      <c r="O133" s="70"/>
    </row>
    <row r="134" spans="1:15" ht="15" hidden="1" customHeight="1" x14ac:dyDescent="0.25">
      <c r="A134" s="31" t="s">
        <v>42</v>
      </c>
      <c r="B134" s="3" t="s">
        <v>3</v>
      </c>
      <c r="C134" s="3" t="s">
        <v>8</v>
      </c>
      <c r="D134" s="3" t="s">
        <v>7</v>
      </c>
      <c r="E134" s="3" t="s">
        <v>0</v>
      </c>
      <c r="F134" s="3" t="s">
        <v>1</v>
      </c>
      <c r="G134" s="87"/>
      <c r="H134" s="31" t="s">
        <v>42</v>
      </c>
      <c r="I134" s="3" t="s">
        <v>38</v>
      </c>
      <c r="J134" s="3" t="s">
        <v>7</v>
      </c>
      <c r="K134" s="3" t="s">
        <v>0</v>
      </c>
      <c r="L134" s="3" t="s">
        <v>1</v>
      </c>
      <c r="M134" s="36"/>
      <c r="N134" s="22" t="s">
        <v>42</v>
      </c>
      <c r="O134" s="3" t="s">
        <v>38</v>
      </c>
    </row>
    <row r="135" spans="1:15" ht="15" hidden="1" customHeight="1" x14ac:dyDescent="0.25">
      <c r="A135" s="40"/>
      <c r="B135" s="5"/>
      <c r="C135" s="5"/>
      <c r="D135" s="6"/>
      <c r="E135" s="5"/>
      <c r="F135" s="15"/>
      <c r="G135" s="87"/>
      <c r="H135" s="41"/>
      <c r="I135" s="6"/>
      <c r="J135" s="6"/>
      <c r="K135" s="5"/>
      <c r="L135" s="6"/>
      <c r="M135" s="23"/>
      <c r="N135" s="30"/>
      <c r="O135" s="5"/>
    </row>
    <row r="136" spans="1:15" ht="15" hidden="1" customHeight="1" x14ac:dyDescent="0.25">
      <c r="A136" s="40"/>
      <c r="B136" s="5"/>
      <c r="C136" s="5"/>
      <c r="D136" s="6"/>
      <c r="E136" s="5"/>
      <c r="F136" s="15"/>
      <c r="G136" s="87"/>
      <c r="H136" s="41"/>
      <c r="I136" s="2"/>
      <c r="J136" s="2"/>
      <c r="K136" s="2"/>
      <c r="L136" s="2"/>
      <c r="M136" s="37"/>
      <c r="N136" s="34"/>
      <c r="O136" s="2"/>
    </row>
    <row r="137" spans="1:15" ht="15" hidden="1" customHeight="1" x14ac:dyDescent="0.25">
      <c r="A137" s="40"/>
      <c r="B137" s="6"/>
      <c r="C137" s="5"/>
      <c r="D137" s="6"/>
      <c r="E137" s="5"/>
      <c r="F137" s="6"/>
      <c r="G137" s="87"/>
      <c r="H137" s="41"/>
      <c r="I137" s="2"/>
      <c r="J137" s="2"/>
      <c r="K137" s="2"/>
      <c r="L137" s="2"/>
      <c r="M137" s="37"/>
      <c r="N137" s="34"/>
      <c r="O137" s="2"/>
    </row>
    <row r="138" spans="1:15" ht="15" hidden="1" customHeight="1" x14ac:dyDescent="0.25">
      <c r="A138" s="2"/>
      <c r="B138" s="6"/>
      <c r="C138" s="2"/>
      <c r="D138" s="2"/>
      <c r="E138" s="6"/>
      <c r="F138" s="6"/>
      <c r="G138" s="87"/>
      <c r="H138" s="41"/>
      <c r="I138" s="2"/>
      <c r="J138" s="2"/>
      <c r="K138" s="2"/>
      <c r="L138" s="2"/>
      <c r="M138" s="37"/>
      <c r="N138" s="34"/>
      <c r="O138" s="2"/>
    </row>
    <row r="139" spans="1:15" ht="15" hidden="1" customHeight="1" x14ac:dyDescent="0.25">
      <c r="A139" s="3" t="s">
        <v>2</v>
      </c>
      <c r="B139" s="5">
        <f>SUM(B135:B138)</f>
        <v>0</v>
      </c>
      <c r="C139" s="5">
        <f t="shared" ref="C139:D139" si="42">SUM(C135:C138)</f>
        <v>0</v>
      </c>
      <c r="D139" s="5">
        <f t="shared" si="42"/>
        <v>0</v>
      </c>
      <c r="E139" s="5"/>
      <c r="F139" s="15">
        <f t="shared" ref="F139" si="43">SUM(F135:F138)</f>
        <v>0</v>
      </c>
      <c r="G139" s="87"/>
      <c r="H139" s="3" t="s">
        <v>2</v>
      </c>
      <c r="I139" s="5">
        <f>SUM(I135:I138)</f>
        <v>0</v>
      </c>
      <c r="J139" s="5">
        <f t="shared" ref="J139" si="44">SUM(J135:J138)</f>
        <v>0</v>
      </c>
      <c r="K139" s="6"/>
      <c r="L139" s="15">
        <f t="shared" ref="L139" si="45">SUM(L135:L138)</f>
        <v>0</v>
      </c>
      <c r="M139" s="38"/>
      <c r="N139" s="3" t="s">
        <v>2</v>
      </c>
      <c r="O139" s="5">
        <f>SUM(O135:O138)</f>
        <v>0</v>
      </c>
    </row>
    <row r="140" spans="1:15" ht="15" hidden="1" customHeight="1" x14ac:dyDescent="0.25">
      <c r="A140" s="39"/>
      <c r="B140" s="9"/>
      <c r="E140" s="1"/>
      <c r="F140" s="11"/>
    </row>
    <row r="141" spans="1:15" ht="15" hidden="1" customHeight="1" x14ac:dyDescent="0.25"/>
    <row r="142" spans="1:15" ht="15" hidden="1" customHeight="1" x14ac:dyDescent="0.25">
      <c r="A142" s="101" t="s">
        <v>24</v>
      </c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</row>
    <row r="143" spans="1:15" ht="15" hidden="1" customHeight="1" x14ac:dyDescent="0.25">
      <c r="A143" s="69" t="s">
        <v>14</v>
      </c>
      <c r="B143" s="71"/>
      <c r="C143" s="71"/>
      <c r="D143" s="71"/>
      <c r="E143" s="71"/>
      <c r="F143" s="70"/>
      <c r="G143" s="79"/>
      <c r="H143" s="72" t="s">
        <v>37</v>
      </c>
      <c r="I143" s="72"/>
      <c r="J143" s="72"/>
      <c r="K143" s="72"/>
      <c r="L143" s="2"/>
      <c r="M143" s="35"/>
      <c r="N143" s="69" t="s">
        <v>49</v>
      </c>
      <c r="O143" s="70"/>
    </row>
    <row r="144" spans="1:15" ht="15" hidden="1" customHeight="1" x14ac:dyDescent="0.25">
      <c r="A144" s="31" t="s">
        <v>42</v>
      </c>
      <c r="B144" s="3" t="s">
        <v>3</v>
      </c>
      <c r="C144" s="3" t="s">
        <v>8</v>
      </c>
      <c r="D144" s="3" t="s">
        <v>7</v>
      </c>
      <c r="E144" s="3" t="s">
        <v>0</v>
      </c>
      <c r="F144" s="3" t="s">
        <v>1</v>
      </c>
      <c r="G144" s="80"/>
      <c r="H144" s="31" t="s">
        <v>42</v>
      </c>
      <c r="I144" s="3" t="s">
        <v>38</v>
      </c>
      <c r="J144" s="3" t="s">
        <v>7</v>
      </c>
      <c r="K144" s="3" t="s">
        <v>0</v>
      </c>
      <c r="L144" s="3" t="s">
        <v>1</v>
      </c>
      <c r="M144" s="36"/>
      <c r="N144" s="22" t="s">
        <v>42</v>
      </c>
      <c r="O144" s="3" t="s">
        <v>38</v>
      </c>
    </row>
    <row r="145" spans="1:15" ht="15" hidden="1" customHeight="1" x14ac:dyDescent="0.25">
      <c r="A145" s="28"/>
      <c r="B145" s="13"/>
      <c r="C145" s="5"/>
      <c r="D145" s="5"/>
      <c r="E145" s="13"/>
      <c r="F145" s="16"/>
      <c r="G145" s="80"/>
      <c r="H145" s="41"/>
      <c r="I145" s="6"/>
      <c r="J145" s="6"/>
      <c r="K145" s="5"/>
      <c r="L145" s="6"/>
      <c r="M145" s="23"/>
      <c r="N145" s="30"/>
      <c r="O145" s="5"/>
    </row>
    <row r="146" spans="1:15" ht="15" hidden="1" customHeight="1" x14ac:dyDescent="0.25">
      <c r="A146" s="10"/>
      <c r="B146" s="5"/>
      <c r="C146" s="2"/>
      <c r="D146" s="2"/>
      <c r="E146" s="6"/>
      <c r="F146" s="8"/>
      <c r="G146" s="80"/>
      <c r="H146" s="41"/>
      <c r="I146" s="2"/>
      <c r="J146" s="2"/>
      <c r="K146" s="2"/>
      <c r="L146" s="2"/>
      <c r="M146" s="37"/>
      <c r="N146" s="34"/>
      <c r="O146" s="2"/>
    </row>
    <row r="147" spans="1:15" ht="16.5" hidden="1" customHeight="1" x14ac:dyDescent="0.3">
      <c r="A147" s="4"/>
      <c r="B147" s="5"/>
      <c r="C147" s="2"/>
      <c r="D147" s="2"/>
      <c r="E147" s="6"/>
      <c r="F147" s="8"/>
      <c r="G147" s="80"/>
      <c r="H147" s="41"/>
      <c r="I147" s="2"/>
      <c r="J147" s="2"/>
      <c r="K147" s="2"/>
      <c r="L147" s="2"/>
      <c r="M147" s="37"/>
      <c r="N147" s="34"/>
      <c r="O147" s="2"/>
    </row>
    <row r="148" spans="1:15" ht="15" hidden="1" customHeight="1" x14ac:dyDescent="0.25">
      <c r="A148" s="2"/>
      <c r="B148" s="6"/>
      <c r="C148" s="2"/>
      <c r="D148" s="2"/>
      <c r="E148" s="6"/>
      <c r="F148" s="6"/>
      <c r="G148" s="80"/>
      <c r="H148" s="41"/>
      <c r="I148" s="2"/>
      <c r="J148" s="2"/>
      <c r="K148" s="2"/>
      <c r="L148" s="2"/>
      <c r="M148" s="37"/>
      <c r="N148" s="34"/>
      <c r="O148" s="2"/>
    </row>
    <row r="149" spans="1:15" ht="15" hidden="1" customHeight="1" x14ac:dyDescent="0.25">
      <c r="A149" s="3" t="s">
        <v>2</v>
      </c>
      <c r="B149" s="5">
        <f>SUM(B145:B148)</f>
        <v>0</v>
      </c>
      <c r="C149" s="5">
        <f t="shared" ref="C149:D149" si="46">SUM(C145:C148)</f>
        <v>0</v>
      </c>
      <c r="D149" s="5">
        <f t="shared" si="46"/>
        <v>0</v>
      </c>
      <c r="E149" s="5"/>
      <c r="F149" s="15">
        <f t="shared" ref="F149" si="47">SUM(F145:F148)</f>
        <v>0</v>
      </c>
      <c r="G149" s="81"/>
      <c r="H149" s="3" t="s">
        <v>2</v>
      </c>
      <c r="I149" s="5">
        <f>SUM(I145:I148)</f>
        <v>0</v>
      </c>
      <c r="J149" s="5">
        <f t="shared" ref="J149" si="48">SUM(J145:J148)</f>
        <v>0</v>
      </c>
      <c r="K149" s="6"/>
      <c r="L149" s="15">
        <f t="shared" ref="L149" si="49">SUM(L145:L148)</f>
        <v>0</v>
      </c>
      <c r="M149" s="38"/>
      <c r="N149" s="3" t="s">
        <v>2</v>
      </c>
      <c r="O149" s="5">
        <f>SUM(O145:O148)</f>
        <v>0</v>
      </c>
    </row>
    <row r="150" spans="1:15" ht="15" hidden="1" customHeight="1" x14ac:dyDescent="0.25"/>
    <row r="151" spans="1:15" ht="15" hidden="1" customHeight="1" x14ac:dyDescent="0.25"/>
    <row r="152" spans="1:15" ht="15" hidden="1" customHeight="1" x14ac:dyDescent="0.25">
      <c r="A152" s="101" t="s">
        <v>26</v>
      </c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</row>
    <row r="153" spans="1:15" ht="15" hidden="1" customHeight="1" x14ac:dyDescent="0.25">
      <c r="A153" s="69" t="s">
        <v>14</v>
      </c>
      <c r="B153" s="71"/>
      <c r="C153" s="71"/>
      <c r="D153" s="71"/>
      <c r="E153" s="71"/>
      <c r="F153" s="70"/>
      <c r="G153" s="79"/>
      <c r="H153" s="72" t="s">
        <v>37</v>
      </c>
      <c r="I153" s="72"/>
      <c r="J153" s="72"/>
      <c r="K153" s="72"/>
      <c r="L153" s="2"/>
      <c r="M153" s="35"/>
      <c r="N153" s="69" t="s">
        <v>49</v>
      </c>
      <c r="O153" s="70"/>
    </row>
    <row r="154" spans="1:15" ht="15" hidden="1" customHeight="1" x14ac:dyDescent="0.25">
      <c r="A154" s="31" t="s">
        <v>42</v>
      </c>
      <c r="B154" s="3" t="s">
        <v>3</v>
      </c>
      <c r="C154" s="3" t="s">
        <v>8</v>
      </c>
      <c r="D154" s="3" t="s">
        <v>7</v>
      </c>
      <c r="E154" s="3" t="s">
        <v>0</v>
      </c>
      <c r="F154" s="3" t="s">
        <v>1</v>
      </c>
      <c r="G154" s="80"/>
      <c r="H154" s="31" t="s">
        <v>42</v>
      </c>
      <c r="I154" s="3" t="s">
        <v>38</v>
      </c>
      <c r="J154" s="3" t="s">
        <v>7</v>
      </c>
      <c r="K154" s="3" t="s">
        <v>0</v>
      </c>
      <c r="L154" s="3" t="s">
        <v>1</v>
      </c>
      <c r="M154" s="36"/>
      <c r="N154" s="22" t="s">
        <v>42</v>
      </c>
      <c r="O154" s="3" t="s">
        <v>38</v>
      </c>
    </row>
    <row r="155" spans="1:15" ht="15" hidden="1" customHeight="1" x14ac:dyDescent="0.25">
      <c r="A155" s="28"/>
      <c r="B155" s="13"/>
      <c r="C155" s="5"/>
      <c r="D155" s="5"/>
      <c r="E155" s="13"/>
      <c r="F155" s="16"/>
      <c r="G155" s="80"/>
      <c r="H155" s="41"/>
      <c r="I155" s="6"/>
      <c r="J155" s="6"/>
      <c r="K155" s="5"/>
      <c r="L155" s="6"/>
      <c r="M155" s="23"/>
      <c r="N155" s="30"/>
      <c r="O155" s="5"/>
    </row>
    <row r="156" spans="1:15" ht="15" hidden="1" customHeight="1" x14ac:dyDescent="0.25">
      <c r="A156" s="10"/>
      <c r="B156" s="5"/>
      <c r="C156" s="2"/>
      <c r="D156" s="2"/>
      <c r="E156" s="6"/>
      <c r="F156" s="8"/>
      <c r="G156" s="80"/>
      <c r="H156" s="41"/>
      <c r="I156" s="2"/>
      <c r="J156" s="2"/>
      <c r="K156" s="2"/>
      <c r="L156" s="2"/>
      <c r="M156" s="37"/>
      <c r="N156" s="34"/>
      <c r="O156" s="2"/>
    </row>
    <row r="157" spans="1:15" ht="16.5" hidden="1" customHeight="1" x14ac:dyDescent="0.3">
      <c r="A157" s="4"/>
      <c r="B157" s="5"/>
      <c r="C157" s="2"/>
      <c r="D157" s="2"/>
      <c r="E157" s="6"/>
      <c r="F157" s="8"/>
      <c r="G157" s="80"/>
      <c r="H157" s="41"/>
      <c r="I157" s="2"/>
      <c r="J157" s="2"/>
      <c r="K157" s="2"/>
      <c r="L157" s="2"/>
      <c r="M157" s="37"/>
      <c r="N157" s="34"/>
      <c r="O157" s="2"/>
    </row>
    <row r="158" spans="1:15" ht="15" hidden="1" customHeight="1" x14ac:dyDescent="0.25">
      <c r="A158" s="2"/>
      <c r="B158" s="6"/>
      <c r="C158" s="2"/>
      <c r="D158" s="2"/>
      <c r="E158" s="6"/>
      <c r="F158" s="6"/>
      <c r="G158" s="80"/>
      <c r="H158" s="41"/>
      <c r="I158" s="2"/>
      <c r="J158" s="2"/>
      <c r="K158" s="2"/>
      <c r="L158" s="2"/>
      <c r="M158" s="37"/>
      <c r="N158" s="34"/>
      <c r="O158" s="2"/>
    </row>
    <row r="159" spans="1:15" ht="15" hidden="1" customHeight="1" x14ac:dyDescent="0.25">
      <c r="A159" s="3" t="s">
        <v>2</v>
      </c>
      <c r="B159" s="5">
        <f>SUM(B155:B158)</f>
        <v>0</v>
      </c>
      <c r="C159" s="5">
        <f t="shared" ref="C159:D159" si="50">SUM(C155:C158)</f>
        <v>0</v>
      </c>
      <c r="D159" s="5">
        <f t="shared" si="50"/>
        <v>0</v>
      </c>
      <c r="E159" s="5"/>
      <c r="F159" s="15">
        <f t="shared" ref="F159" si="51">SUM(F155:F158)</f>
        <v>0</v>
      </c>
      <c r="G159" s="81"/>
      <c r="H159" s="3" t="s">
        <v>2</v>
      </c>
      <c r="I159" s="5">
        <f>SUM(I155:I158)</f>
        <v>0</v>
      </c>
      <c r="J159" s="5">
        <f t="shared" ref="J159" si="52">SUM(J155:J158)</f>
        <v>0</v>
      </c>
      <c r="K159" s="6"/>
      <c r="L159" s="15">
        <f t="shared" ref="L159" si="53">SUM(L155:L158)</f>
        <v>0</v>
      </c>
      <c r="M159" s="38"/>
      <c r="N159" s="3" t="s">
        <v>2</v>
      </c>
      <c r="O159" s="5">
        <f>SUM(O155:O158)</f>
        <v>0</v>
      </c>
    </row>
    <row r="160" spans="1:15" ht="15" hidden="1" customHeight="1" x14ac:dyDescent="0.25">
      <c r="B160" s="9"/>
      <c r="E160" s="1"/>
      <c r="F160" s="11"/>
    </row>
    <row r="161" spans="1:15" ht="15" hidden="1" customHeight="1" x14ac:dyDescent="0.25">
      <c r="B161" s="1"/>
      <c r="E161" s="1"/>
      <c r="F161" s="1"/>
    </row>
    <row r="162" spans="1:15" ht="15" hidden="1" customHeight="1" x14ac:dyDescent="0.25">
      <c r="A162" s="97" t="s">
        <v>28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spans="1:15" ht="15" hidden="1" customHeight="1" x14ac:dyDescent="0.25">
      <c r="A163" s="69" t="s">
        <v>14</v>
      </c>
      <c r="B163" s="71"/>
      <c r="C163" s="71"/>
      <c r="D163" s="71"/>
      <c r="E163" s="71"/>
      <c r="F163" s="70"/>
      <c r="G163" s="79"/>
      <c r="H163" s="72" t="s">
        <v>37</v>
      </c>
      <c r="I163" s="72"/>
      <c r="J163" s="72"/>
      <c r="K163" s="72"/>
      <c r="L163" s="2"/>
      <c r="M163" s="35"/>
      <c r="N163" s="69" t="s">
        <v>49</v>
      </c>
      <c r="O163" s="70"/>
    </row>
    <row r="164" spans="1:15" ht="15" hidden="1" customHeight="1" x14ac:dyDescent="0.25">
      <c r="A164" s="31" t="s">
        <v>42</v>
      </c>
      <c r="B164" s="3" t="s">
        <v>3</v>
      </c>
      <c r="C164" s="3" t="s">
        <v>8</v>
      </c>
      <c r="D164" s="3" t="s">
        <v>7</v>
      </c>
      <c r="E164" s="3" t="s">
        <v>0</v>
      </c>
      <c r="F164" s="3" t="s">
        <v>1</v>
      </c>
      <c r="G164" s="80"/>
      <c r="H164" s="31" t="s">
        <v>42</v>
      </c>
      <c r="I164" s="3" t="s">
        <v>38</v>
      </c>
      <c r="J164" s="3" t="s">
        <v>7</v>
      </c>
      <c r="K164" s="3" t="s">
        <v>0</v>
      </c>
      <c r="L164" s="3" t="s">
        <v>1</v>
      </c>
      <c r="M164" s="36"/>
      <c r="N164" s="22" t="s">
        <v>42</v>
      </c>
      <c r="O164" s="3" t="s">
        <v>38</v>
      </c>
    </row>
    <row r="165" spans="1:15" ht="15" hidden="1" customHeight="1" x14ac:dyDescent="0.25">
      <c r="A165" s="40"/>
      <c r="B165" s="13"/>
      <c r="C165" s="13"/>
      <c r="D165" s="13"/>
      <c r="E165" s="13"/>
      <c r="F165" s="16"/>
      <c r="G165" s="80"/>
      <c r="H165" s="41"/>
      <c r="I165" s="6"/>
      <c r="J165" s="6"/>
      <c r="K165" s="5"/>
      <c r="L165" s="2"/>
      <c r="M165" s="23"/>
      <c r="N165" s="30"/>
      <c r="O165" s="5"/>
    </row>
    <row r="166" spans="1:15" ht="15" hidden="1" customHeight="1" x14ac:dyDescent="0.25">
      <c r="A166" s="40"/>
      <c r="B166" s="5"/>
      <c r="C166" s="6"/>
      <c r="D166" s="6"/>
      <c r="E166" s="13"/>
      <c r="F166" s="15"/>
      <c r="G166" s="80"/>
      <c r="H166" s="41"/>
      <c r="I166" s="2"/>
      <c r="J166" s="2"/>
      <c r="K166" s="2"/>
      <c r="L166" s="2"/>
      <c r="M166" s="37"/>
      <c r="N166" s="34"/>
      <c r="O166" s="2"/>
    </row>
    <row r="167" spans="1:15" ht="15" hidden="1" customHeight="1" x14ac:dyDescent="0.25">
      <c r="A167" s="17"/>
      <c r="B167" s="5"/>
      <c r="C167" s="2"/>
      <c r="D167" s="2"/>
      <c r="E167" s="6"/>
      <c r="F167" s="8"/>
      <c r="G167" s="80"/>
      <c r="H167" s="41"/>
      <c r="I167" s="2"/>
      <c r="J167" s="2"/>
      <c r="K167" s="2"/>
      <c r="L167" s="2"/>
      <c r="M167" s="37"/>
      <c r="N167" s="34"/>
      <c r="O167" s="2"/>
    </row>
    <row r="168" spans="1:15" ht="15" hidden="1" customHeight="1" x14ac:dyDescent="0.25">
      <c r="A168" s="2"/>
      <c r="B168" s="6"/>
      <c r="C168" s="2"/>
      <c r="D168" s="2"/>
      <c r="E168" s="6"/>
      <c r="F168" s="6"/>
      <c r="G168" s="80"/>
      <c r="H168" s="41"/>
      <c r="I168" s="2"/>
      <c r="J168" s="2"/>
      <c r="K168" s="2"/>
      <c r="L168" s="2"/>
      <c r="M168" s="37"/>
      <c r="N168" s="34"/>
      <c r="O168" s="2"/>
    </row>
    <row r="169" spans="1:15" ht="15" hidden="1" customHeight="1" x14ac:dyDescent="0.25">
      <c r="A169" s="3" t="s">
        <v>2</v>
      </c>
      <c r="B169" s="5">
        <f>SUM(B165:B168)</f>
        <v>0</v>
      </c>
      <c r="C169" s="5">
        <f t="shared" ref="C169:D169" si="54">SUM(C165:C168)</f>
        <v>0</v>
      </c>
      <c r="D169" s="5">
        <f t="shared" si="54"/>
        <v>0</v>
      </c>
      <c r="E169" s="5"/>
      <c r="F169" s="15">
        <f t="shared" ref="F169" si="55">SUM(F165:F168)</f>
        <v>0</v>
      </c>
      <c r="G169" s="81"/>
      <c r="H169" s="3" t="s">
        <v>2</v>
      </c>
      <c r="I169" s="5">
        <f>SUM(I165:I168)</f>
        <v>0</v>
      </c>
      <c r="J169" s="5">
        <f t="shared" ref="J169" si="56">SUM(J165:J168)</f>
        <v>0</v>
      </c>
      <c r="K169" s="6"/>
      <c r="L169" s="15">
        <f t="shared" ref="L169" si="57">SUM(L165:L168)</f>
        <v>0</v>
      </c>
      <c r="M169" s="38"/>
      <c r="N169" s="3" t="s">
        <v>2</v>
      </c>
      <c r="O169" s="5">
        <f>SUM(O165:O168)</f>
        <v>0</v>
      </c>
    </row>
    <row r="170" spans="1:15" ht="15" hidden="1" customHeight="1" x14ac:dyDescent="0.25"/>
    <row r="171" spans="1:15" ht="15" hidden="1" customHeight="1" x14ac:dyDescent="0.25"/>
    <row r="172" spans="1:15" ht="15" hidden="1" customHeight="1" x14ac:dyDescent="0.25">
      <c r="A172" s="98" t="s">
        <v>29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100"/>
    </row>
    <row r="173" spans="1:15" ht="15" hidden="1" customHeight="1" x14ac:dyDescent="0.25">
      <c r="A173" s="69" t="s">
        <v>14</v>
      </c>
      <c r="B173" s="71"/>
      <c r="C173" s="71"/>
      <c r="D173" s="71"/>
      <c r="E173" s="71"/>
      <c r="F173" s="70"/>
      <c r="G173" s="79"/>
      <c r="H173" s="72" t="s">
        <v>37</v>
      </c>
      <c r="I173" s="72"/>
      <c r="J173" s="72"/>
      <c r="K173" s="72"/>
      <c r="L173" s="2"/>
      <c r="M173" s="35"/>
      <c r="N173" s="69" t="s">
        <v>49</v>
      </c>
      <c r="O173" s="70"/>
    </row>
    <row r="174" spans="1:15" ht="15" hidden="1" customHeight="1" x14ac:dyDescent="0.25">
      <c r="A174" s="31" t="s">
        <v>42</v>
      </c>
      <c r="B174" s="3" t="s">
        <v>3</v>
      </c>
      <c r="C174" s="3" t="s">
        <v>8</v>
      </c>
      <c r="D174" s="3" t="s">
        <v>7</v>
      </c>
      <c r="E174" s="3" t="s">
        <v>0</v>
      </c>
      <c r="F174" s="3" t="s">
        <v>1</v>
      </c>
      <c r="G174" s="80"/>
      <c r="H174" s="31" t="s">
        <v>42</v>
      </c>
      <c r="I174" s="3" t="s">
        <v>38</v>
      </c>
      <c r="J174" s="3" t="s">
        <v>7</v>
      </c>
      <c r="K174" s="3" t="s">
        <v>0</v>
      </c>
      <c r="L174" s="3" t="s">
        <v>1</v>
      </c>
      <c r="M174" s="36"/>
      <c r="N174" s="22" t="s">
        <v>42</v>
      </c>
      <c r="O174" s="3" t="s">
        <v>38</v>
      </c>
    </row>
    <row r="175" spans="1:15" ht="15" hidden="1" customHeight="1" x14ac:dyDescent="0.25">
      <c r="A175" s="40"/>
      <c r="B175" s="13"/>
      <c r="C175" s="13"/>
      <c r="D175" s="13"/>
      <c r="E175" s="13"/>
      <c r="F175" s="16"/>
      <c r="G175" s="80"/>
      <c r="H175" s="41"/>
      <c r="I175" s="6"/>
      <c r="J175" s="6"/>
      <c r="K175" s="5"/>
      <c r="L175" s="6"/>
      <c r="M175" s="23"/>
      <c r="N175" s="30"/>
      <c r="O175" s="5"/>
    </row>
    <row r="176" spans="1:15" ht="15" hidden="1" customHeight="1" x14ac:dyDescent="0.25">
      <c r="A176" s="40"/>
      <c r="B176" s="5"/>
      <c r="C176" s="6"/>
      <c r="D176" s="6"/>
      <c r="E176" s="13"/>
      <c r="F176" s="15"/>
      <c r="G176" s="80"/>
      <c r="H176" s="41"/>
      <c r="I176" s="2"/>
      <c r="J176" s="2"/>
      <c r="K176" s="2"/>
      <c r="L176" s="2"/>
      <c r="M176" s="37"/>
      <c r="N176" s="34"/>
      <c r="O176" s="2"/>
    </row>
    <row r="177" spans="1:15" ht="15" hidden="1" customHeight="1" x14ac:dyDescent="0.25">
      <c r="A177" s="17"/>
      <c r="B177" s="5"/>
      <c r="C177" s="2"/>
      <c r="D177" s="2"/>
      <c r="E177" s="6"/>
      <c r="F177" s="8"/>
      <c r="G177" s="80"/>
      <c r="H177" s="41"/>
      <c r="I177" s="2"/>
      <c r="J177" s="2"/>
      <c r="K177" s="2"/>
      <c r="L177" s="2"/>
      <c r="M177" s="37"/>
      <c r="N177" s="34"/>
      <c r="O177" s="2"/>
    </row>
    <row r="178" spans="1:15" ht="15" hidden="1" customHeight="1" x14ac:dyDescent="0.25">
      <c r="A178" s="2"/>
      <c r="B178" s="6"/>
      <c r="C178" s="2"/>
      <c r="D178" s="2"/>
      <c r="E178" s="6"/>
      <c r="F178" s="6"/>
      <c r="G178" s="80"/>
      <c r="H178" s="41"/>
      <c r="I178" s="2"/>
      <c r="J178" s="2"/>
      <c r="K178" s="2"/>
      <c r="L178" s="2"/>
      <c r="M178" s="37"/>
      <c r="N178" s="34"/>
      <c r="O178" s="2"/>
    </row>
    <row r="179" spans="1:15" ht="15" hidden="1" customHeight="1" x14ac:dyDescent="0.25">
      <c r="A179" s="3" t="s">
        <v>2</v>
      </c>
      <c r="B179" s="5">
        <f>SUM(B175:B178)</f>
        <v>0</v>
      </c>
      <c r="C179" s="5">
        <f t="shared" ref="C179:D179" si="58">SUM(C175:C178)</f>
        <v>0</v>
      </c>
      <c r="D179" s="5">
        <f t="shared" si="58"/>
        <v>0</v>
      </c>
      <c r="E179" s="5"/>
      <c r="F179" s="15">
        <f t="shared" ref="F179" si="59">SUM(F175:F178)</f>
        <v>0</v>
      </c>
      <c r="G179" s="81"/>
      <c r="H179" s="3" t="s">
        <v>2</v>
      </c>
      <c r="I179" s="5">
        <f>SUM(I175:I178)</f>
        <v>0</v>
      </c>
      <c r="J179" s="5">
        <f t="shared" ref="J179" si="60">SUM(J175:J178)</f>
        <v>0</v>
      </c>
      <c r="K179" s="6"/>
      <c r="L179" s="15">
        <f t="shared" ref="L179" si="61">SUM(L175:L178)</f>
        <v>0</v>
      </c>
      <c r="M179" s="38"/>
      <c r="N179" s="3" t="s">
        <v>2</v>
      </c>
      <c r="O179" s="5">
        <f>SUM(O175:O178)</f>
        <v>0</v>
      </c>
    </row>
  </sheetData>
  <mergeCells count="93">
    <mergeCell ref="A173:F173"/>
    <mergeCell ref="G173:G179"/>
    <mergeCell ref="H173:K173"/>
    <mergeCell ref="N173:O173"/>
    <mergeCell ref="A162:O162"/>
    <mergeCell ref="A163:F163"/>
    <mergeCell ref="G163:G169"/>
    <mergeCell ref="H163:K163"/>
    <mergeCell ref="N163:O163"/>
    <mergeCell ref="A172:O172"/>
    <mergeCell ref="A153:F153"/>
    <mergeCell ref="G153:G159"/>
    <mergeCell ref="H153:K153"/>
    <mergeCell ref="N153:O153"/>
    <mergeCell ref="A132:O132"/>
    <mergeCell ref="A133:F133"/>
    <mergeCell ref="G133:G139"/>
    <mergeCell ref="H133:K133"/>
    <mergeCell ref="N133:O133"/>
    <mergeCell ref="A142:O142"/>
    <mergeCell ref="A143:F143"/>
    <mergeCell ref="G143:G149"/>
    <mergeCell ref="H143:K143"/>
    <mergeCell ref="N143:O143"/>
    <mergeCell ref="A152:O152"/>
    <mergeCell ref="A123:F123"/>
    <mergeCell ref="G123:G129"/>
    <mergeCell ref="H123:L123"/>
    <mergeCell ref="N123:O123"/>
    <mergeCell ref="A102:O102"/>
    <mergeCell ref="A103:F103"/>
    <mergeCell ref="G103:G109"/>
    <mergeCell ref="H103:K103"/>
    <mergeCell ref="N103:O103"/>
    <mergeCell ref="A112:O112"/>
    <mergeCell ref="A113:F113"/>
    <mergeCell ref="G113:G119"/>
    <mergeCell ref="H113:L113"/>
    <mergeCell ref="N113:O113"/>
    <mergeCell ref="A122:O122"/>
    <mergeCell ref="A92:O92"/>
    <mergeCell ref="A93:F93"/>
    <mergeCell ref="G93:G99"/>
    <mergeCell ref="H93:K93"/>
    <mergeCell ref="N93:O93"/>
    <mergeCell ref="X3:X4"/>
    <mergeCell ref="A82:O82"/>
    <mergeCell ref="Q2:W2"/>
    <mergeCell ref="A83:F83"/>
    <mergeCell ref="G83:G89"/>
    <mergeCell ref="H83:K83"/>
    <mergeCell ref="N83:O83"/>
    <mergeCell ref="Q3:Q4"/>
    <mergeCell ref="R3:R4"/>
    <mergeCell ref="S3:S4"/>
    <mergeCell ref="T3:T4"/>
    <mergeCell ref="U3:V3"/>
    <mergeCell ref="W3:W4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33:F33"/>
    <mergeCell ref="G33:G39"/>
    <mergeCell ref="H33:K3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</mergeCells>
  <hyperlinks>
    <hyperlink ref="A82:O82" location="SPYL!A1" display="SPYL SPDR S&amp;P 500 UCITS (Acc)" xr:uid="{7467F9B7-AD7D-4313-88C1-5AA6D935BF5A}"/>
    <hyperlink ref="A92:O92" location="JEQP!A1" display="JEQP JPM Nasdaq Equity Premium Income Active UCITS ETF - USD (Dist)" xr:uid="{78D1BD54-59E0-43FD-A321-91C05CA86FFA}"/>
    <hyperlink ref="A102:O102" location="JGPI!A1" display="JGPI JPM Global Equity Premium Income Active UCITS ETF - USD (Dist)" xr:uid="{6DE53753-7AB1-4BD7-AF5A-94330BC8AC20}"/>
    <hyperlink ref="A12:O12" location="NADQ!A1" display="NADQ Amundi Nasdaq-100 UCITS ETF (Dist)" xr:uid="{8BB6A096-F39F-4E1F-8337-15A6C3AD5E0E}"/>
    <hyperlink ref="A22:O22" location="QDVE!A1" display="QDVE iShares S&amp;P 500 Inf. Tech. Sector UCITS ETF (Acc)" xr:uid="{319A7642-4B33-4B33-9C9A-A8E84934AEC6}"/>
    <hyperlink ref="A32:O32" location="VWCE!A1" display="VWCE Vanguard FTSE All-World UCITS ETF (Acc)" xr:uid="{0CF09918-CC1F-458E-A062-D47CF0215CBE}"/>
    <hyperlink ref="A42:O42" location="XDEQ!A1" display="XDEQ Xtarckers MSCI World Quality UCITS ETF (Acc)" xr:uid="{2AC02676-303F-4A6F-81CD-EBD291C4102D}"/>
    <hyperlink ref="A52:O52" location="VUAA!A1" display="VUAA Vanguard S&amp;P 500 UCITS ETF (Acc)" xr:uid="{6DEFFD4C-BC4D-4C98-AA23-EAC4DC3BDDA7}"/>
    <hyperlink ref="A62:O62" location="XDWT!A1" display="XDWT Xtrackers MSCI World Information Tech. ETF (Acc)" xr:uid="{1729EDF4-6999-4D66-9FC4-28D6257D4A3D}"/>
    <hyperlink ref="A72:O72" location="XAIX!A1" display="XAIX Xtrackers Artificial Intell. and Big Data ETF (Acc)" xr:uid="{5E9091BD-87EF-4F0E-B684-F794825BB450}"/>
  </hyperlinks>
  <pageMargins left="0.7" right="0.7" top="0.75" bottom="0.75" header="0.3" footer="0.3"/>
  <pageSetup orientation="portrait" horizontalDpi="4294967293" r:id="rId1"/>
  <ignoredErrors>
    <ignoredError sqref="E19 E39 E49 E59 E69 E79 E89 E99 E109 E29" formula="1"/>
    <ignoredError sqref="Q2" numberStoredAsText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179"/>
  <sheetViews>
    <sheetView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55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0</v>
      </c>
      <c r="R5" s="5">
        <v>0</v>
      </c>
      <c r="S5" s="5">
        <f>C89+C99+C109+C119+C129+C139+C149+C159+C169+C179</f>
        <v>89.460000000000008</v>
      </c>
      <c r="T5" s="5">
        <f>I89+I99+I109+I119+I129+I139+I149+I159+I169+I179</f>
        <v>0</v>
      </c>
      <c r="U5" s="5">
        <f>D89+D99+D109+D119+D129+D139+D149+D159+D169+D179</f>
        <v>0.06</v>
      </c>
      <c r="V5" s="5">
        <f>J89+J99+J109+J119+J129+J139+J149+J159+J169+J179</f>
        <v>0</v>
      </c>
      <c r="W5" s="5">
        <f>O89+O99+O109+O119+O129+O139+O149+O159+O169+O179</f>
        <v>1.57</v>
      </c>
      <c r="X5" s="5">
        <f>Q5-S5-U5+T5-V5+W5</f>
        <v>-87.950000000000017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</row>
    <row r="16" spans="1:24" hidden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5" ht="16.5" hidden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5" ht="16.5" hidden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5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</row>
    <row r="20" spans="1:15" hidden="1" x14ac:dyDescent="0.25">
      <c r="B20" s="9"/>
      <c r="E20" s="1"/>
      <c r="F20" s="11"/>
    </row>
    <row r="21" spans="1:15" hidden="1" x14ac:dyDescent="0.25">
      <c r="B21" s="9"/>
      <c r="E21" s="1"/>
      <c r="F21" s="11"/>
    </row>
    <row r="22" spans="1:15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5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5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5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</row>
    <row r="26" spans="1:15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5" hidden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5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5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5" hidden="1" x14ac:dyDescent="0.25">
      <c r="A30" s="12"/>
    </row>
    <row r="31" spans="1:15" hidden="1" x14ac:dyDescent="0.25">
      <c r="A31" s="12"/>
    </row>
    <row r="32" spans="1:15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8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8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  <c r="P83" s="24"/>
    </row>
    <row r="84" spans="1:18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  <c r="P84" s="24"/>
    </row>
    <row r="85" spans="1:18" x14ac:dyDescent="0.25">
      <c r="A85" s="40">
        <v>46024</v>
      </c>
      <c r="B85" s="5">
        <v>43.42</v>
      </c>
      <c r="C85" s="5">
        <f>B85-D85</f>
        <v>43.38</v>
      </c>
      <c r="D85" s="6">
        <v>0.04</v>
      </c>
      <c r="E85" s="13">
        <f>C85/F85</f>
        <v>14.46</v>
      </c>
      <c r="F85" s="15">
        <v>3</v>
      </c>
      <c r="G85" s="80"/>
      <c r="H85" s="6"/>
      <c r="I85" s="6"/>
      <c r="J85" s="5"/>
      <c r="K85" s="5"/>
      <c r="L85" s="6"/>
      <c r="M85" s="23"/>
      <c r="N85" s="30"/>
      <c r="O85" s="5"/>
      <c r="P85" s="1"/>
    </row>
    <row r="86" spans="1:18" ht="15" customHeight="1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8" ht="15" customHeight="1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8" ht="15" customHeight="1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8" x14ac:dyDescent="0.25">
      <c r="A89" s="3" t="s">
        <v>2</v>
      </c>
      <c r="B89" s="5">
        <f>SUM(B85:B88)</f>
        <v>43.42</v>
      </c>
      <c r="C89" s="5">
        <f t="shared" ref="C89:D89" si="24">SUM(C85:C88)</f>
        <v>43.38</v>
      </c>
      <c r="D89" s="5">
        <f t="shared" si="24"/>
        <v>0.04</v>
      </c>
      <c r="E89" s="5">
        <f>IF(B89&gt;0,SUMPRODUCT(E85:E88,F85:F88)/SUM(F85:F88),"0.00")</f>
        <v>14.46</v>
      </c>
      <c r="F89" s="15">
        <f t="shared" ref="F89" si="25">SUM(F85:F88)</f>
        <v>3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  <c r="P89" s="1"/>
    </row>
    <row r="92" spans="1:18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8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8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8" x14ac:dyDescent="0.25">
      <c r="A95" s="40">
        <v>46024</v>
      </c>
      <c r="B95" s="5">
        <v>22.99</v>
      </c>
      <c r="C95" s="5">
        <f>B95-D95</f>
        <v>22.99</v>
      </c>
      <c r="D95" s="5">
        <v>0</v>
      </c>
      <c r="E95" s="13">
        <f>C95/F95</f>
        <v>22.99</v>
      </c>
      <c r="F95" s="15">
        <v>1</v>
      </c>
      <c r="G95" s="80"/>
      <c r="H95" s="6"/>
      <c r="I95" s="6"/>
      <c r="J95" s="5"/>
      <c r="K95" s="5"/>
      <c r="L95" s="6"/>
      <c r="M95" s="23"/>
      <c r="N95" s="42">
        <v>46042</v>
      </c>
      <c r="O95" s="5">
        <v>0.9</v>
      </c>
      <c r="R95" s="1"/>
    </row>
    <row r="96" spans="1:18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ht="15" customHeight="1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22.99</v>
      </c>
      <c r="C99" s="5">
        <f t="shared" ref="C99:D99" si="28">SUM(C95:C98)</f>
        <v>22.99</v>
      </c>
      <c r="D99" s="5">
        <f t="shared" si="28"/>
        <v>0</v>
      </c>
      <c r="E99" s="5">
        <f>IF(B99&gt;0,SUMPRODUCT(E95:E98,F95:F98)/SUM(F95:F98),"0.00")</f>
        <v>22.99</v>
      </c>
      <c r="F99" s="15">
        <f t="shared" ref="F99" si="29">SUM(F95:F98)</f>
        <v>1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0.9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46024</v>
      </c>
      <c r="B105" s="5">
        <v>23.11</v>
      </c>
      <c r="C105" s="5">
        <f>B105-D105</f>
        <v>23.09</v>
      </c>
      <c r="D105" s="6">
        <v>0.02</v>
      </c>
      <c r="E105" s="13">
        <f>C105/F105</f>
        <v>23.09</v>
      </c>
      <c r="F105" s="15">
        <v>1</v>
      </c>
      <c r="G105" s="80"/>
      <c r="H105" s="6"/>
      <c r="I105" s="6"/>
      <c r="J105" s="5"/>
      <c r="K105" s="5"/>
      <c r="L105" s="6"/>
      <c r="M105" s="23"/>
      <c r="N105" s="42">
        <v>46042</v>
      </c>
      <c r="O105" s="5">
        <v>0.67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23.11</v>
      </c>
      <c r="C109" s="5">
        <f t="shared" ref="C109:D109" si="32">SUM(C105:C108)</f>
        <v>23.09</v>
      </c>
      <c r="D109" s="5">
        <f t="shared" si="32"/>
        <v>0.02</v>
      </c>
      <c r="E109" s="5">
        <f>IF(B109&gt;0,SUMPRODUCT(E105:E108,F105:F108)/SUM(F105:F108),"0.00")</f>
        <v>23.09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0.67</v>
      </c>
    </row>
    <row r="110" spans="1:15" x14ac:dyDescent="0.25">
      <c r="A110" s="39"/>
      <c r="B110" s="9"/>
      <c r="E110" s="1"/>
      <c r="F110" s="11"/>
    </row>
    <row r="112" spans="1:15" ht="15" hidden="1" customHeight="1" x14ac:dyDescent="0.25">
      <c r="A112" s="102" t="s">
        <v>16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4"/>
    </row>
    <row r="113" spans="1:15" ht="15" hidden="1" customHeight="1" x14ac:dyDescent="0.25">
      <c r="A113" s="69" t="s">
        <v>14</v>
      </c>
      <c r="B113" s="71"/>
      <c r="C113" s="71"/>
      <c r="D113" s="71"/>
      <c r="E113" s="71"/>
      <c r="F113" s="70"/>
      <c r="G113" s="79"/>
      <c r="H113" s="84" t="s">
        <v>37</v>
      </c>
      <c r="I113" s="85"/>
      <c r="J113" s="85"/>
      <c r="K113" s="85"/>
      <c r="L113" s="86"/>
      <c r="M113" s="35"/>
      <c r="N113" s="69" t="s">
        <v>49</v>
      </c>
      <c r="O113" s="70"/>
    </row>
    <row r="114" spans="1:15" ht="15" hidden="1" customHeight="1" x14ac:dyDescent="0.25">
      <c r="A114" s="31" t="s">
        <v>42</v>
      </c>
      <c r="B114" s="3" t="s">
        <v>3</v>
      </c>
      <c r="C114" s="3" t="s">
        <v>8</v>
      </c>
      <c r="D114" s="3" t="s">
        <v>7</v>
      </c>
      <c r="E114" s="3" t="s">
        <v>0</v>
      </c>
      <c r="F114" s="3" t="s">
        <v>1</v>
      </c>
      <c r="G114" s="80"/>
      <c r="H114" s="31" t="s">
        <v>42</v>
      </c>
      <c r="I114" s="3" t="s">
        <v>38</v>
      </c>
      <c r="J114" s="3" t="s">
        <v>7</v>
      </c>
      <c r="K114" s="3" t="s">
        <v>0</v>
      </c>
      <c r="L114" s="3" t="s">
        <v>1</v>
      </c>
      <c r="M114" s="36"/>
      <c r="N114" s="22" t="s">
        <v>42</v>
      </c>
      <c r="O114" s="3" t="s">
        <v>38</v>
      </c>
    </row>
    <row r="115" spans="1:15" ht="15" hidden="1" customHeight="1" x14ac:dyDescent="0.25">
      <c r="A115" s="10"/>
      <c r="B115" s="13"/>
      <c r="C115" s="5"/>
      <c r="D115" s="5"/>
      <c r="E115" s="13"/>
      <c r="F115" s="15"/>
      <c r="G115" s="80"/>
      <c r="H115" s="41"/>
      <c r="I115" s="6"/>
      <c r="J115" s="5"/>
      <c r="K115" s="5"/>
      <c r="L115" s="6"/>
      <c r="M115" s="23"/>
      <c r="N115" s="30"/>
      <c r="O115" s="5"/>
    </row>
    <row r="116" spans="1:15" ht="15" hidden="1" customHeight="1" x14ac:dyDescent="0.25">
      <c r="A116" s="10"/>
      <c r="B116" s="5"/>
      <c r="C116" s="6"/>
      <c r="D116" s="6"/>
      <c r="E116" s="6"/>
      <c r="F116" s="8"/>
      <c r="G116" s="80"/>
      <c r="H116" s="41"/>
      <c r="I116" s="2"/>
      <c r="J116" s="2"/>
      <c r="K116" s="2"/>
      <c r="L116" s="2"/>
      <c r="M116" s="37"/>
      <c r="N116" s="34"/>
      <c r="O116" s="2"/>
    </row>
    <row r="117" spans="1:15" ht="16.5" hidden="1" customHeight="1" x14ac:dyDescent="0.3">
      <c r="A117" s="4"/>
      <c r="B117" s="5"/>
      <c r="C117" s="6"/>
      <c r="D117" s="6"/>
      <c r="E117" s="6"/>
      <c r="F117" s="8"/>
      <c r="G117" s="80"/>
      <c r="H117" s="41"/>
      <c r="I117" s="2"/>
      <c r="J117" s="2"/>
      <c r="K117" s="2"/>
      <c r="L117" s="2"/>
      <c r="M117" s="37"/>
      <c r="N117" s="34"/>
      <c r="O117" s="2"/>
    </row>
    <row r="118" spans="1:15" ht="16.5" hidden="1" customHeight="1" x14ac:dyDescent="0.3">
      <c r="A118" s="4"/>
      <c r="B118" s="5"/>
      <c r="C118" s="6"/>
      <c r="D118" s="6"/>
      <c r="E118" s="6"/>
      <c r="F118" s="6"/>
      <c r="G118" s="80"/>
      <c r="H118" s="41"/>
      <c r="I118" s="2"/>
      <c r="J118" s="2"/>
      <c r="K118" s="2"/>
      <c r="L118" s="2"/>
      <c r="M118" s="37"/>
      <c r="N118" s="34"/>
      <c r="O118" s="2"/>
    </row>
    <row r="119" spans="1:15" ht="15" hidden="1" customHeight="1" x14ac:dyDescent="0.25">
      <c r="A119" s="3" t="s">
        <v>2</v>
      </c>
      <c r="B119" s="5">
        <f>SUM(B115:B118)</f>
        <v>0</v>
      </c>
      <c r="C119" s="5">
        <f>SUM(C115:C118)</f>
        <v>0</v>
      </c>
      <c r="D119" s="5">
        <f>SUM(D115:D118)</f>
        <v>0</v>
      </c>
      <c r="E119" s="6"/>
      <c r="F119" s="15">
        <f>SUM(F115:F118)</f>
        <v>0</v>
      </c>
      <c r="G119" s="81"/>
      <c r="H119" s="3" t="s">
        <v>2</v>
      </c>
      <c r="I119" s="5">
        <f>SUM(I115:I118)</f>
        <v>0</v>
      </c>
      <c r="J119" s="5">
        <f t="shared" ref="J119" si="36">SUM(J115:J118)</f>
        <v>0</v>
      </c>
      <c r="K119" s="6"/>
      <c r="L119" s="15">
        <f t="shared" ref="L119" si="37">SUM(L115:L118)</f>
        <v>0</v>
      </c>
      <c r="M119" s="38"/>
      <c r="N119" s="3" t="s">
        <v>2</v>
      </c>
      <c r="O119" s="5">
        <f>SUM(O115:O118)</f>
        <v>0</v>
      </c>
    </row>
    <row r="120" spans="1:15" ht="15" hidden="1" customHeight="1" x14ac:dyDescent="0.25">
      <c r="B120" s="9"/>
      <c r="E120" s="1"/>
      <c r="F120" s="11"/>
    </row>
    <row r="121" spans="1:15" ht="15" hidden="1" customHeight="1" x14ac:dyDescent="0.25">
      <c r="B121" s="9"/>
      <c r="E121" s="1"/>
      <c r="F121" s="11"/>
    </row>
    <row r="122" spans="1:15" ht="15" hidden="1" customHeight="1" x14ac:dyDescent="0.25">
      <c r="A122" s="102" t="s">
        <v>17</v>
      </c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4"/>
    </row>
    <row r="123" spans="1:15" ht="15" hidden="1" customHeight="1" x14ac:dyDescent="0.25">
      <c r="A123" s="84" t="s">
        <v>14</v>
      </c>
      <c r="B123" s="85"/>
      <c r="C123" s="85"/>
      <c r="D123" s="85"/>
      <c r="E123" s="85"/>
      <c r="F123" s="86"/>
      <c r="G123" s="79"/>
      <c r="H123" s="69" t="s">
        <v>37</v>
      </c>
      <c r="I123" s="71"/>
      <c r="J123" s="71"/>
      <c r="K123" s="71"/>
      <c r="L123" s="70"/>
      <c r="M123" s="35"/>
      <c r="N123" s="69" t="s">
        <v>49</v>
      </c>
      <c r="O123" s="70"/>
    </row>
    <row r="124" spans="1:15" ht="15" hidden="1" customHeight="1" x14ac:dyDescent="0.25">
      <c r="A124" s="31" t="s">
        <v>42</v>
      </c>
      <c r="B124" s="3" t="s">
        <v>3</v>
      </c>
      <c r="C124" s="3" t="s">
        <v>8</v>
      </c>
      <c r="D124" s="3" t="s">
        <v>7</v>
      </c>
      <c r="E124" s="3" t="s">
        <v>0</v>
      </c>
      <c r="F124" s="3" t="s">
        <v>1</v>
      </c>
      <c r="G124" s="80"/>
      <c r="H124" s="31" t="s">
        <v>42</v>
      </c>
      <c r="I124" s="3" t="s">
        <v>38</v>
      </c>
      <c r="J124" s="3" t="s">
        <v>7</v>
      </c>
      <c r="K124" s="3" t="s">
        <v>0</v>
      </c>
      <c r="L124" s="3" t="s">
        <v>1</v>
      </c>
      <c r="M124" s="36"/>
      <c r="N124" s="22" t="s">
        <v>42</v>
      </c>
      <c r="O124" s="3" t="s">
        <v>38</v>
      </c>
    </row>
    <row r="125" spans="1:15" ht="15" hidden="1" customHeight="1" x14ac:dyDescent="0.25">
      <c r="A125" s="40"/>
      <c r="B125" s="5"/>
      <c r="C125" s="5"/>
      <c r="D125" s="5"/>
      <c r="E125" s="5"/>
      <c r="F125" s="15"/>
      <c r="G125" s="80"/>
      <c r="H125" s="41"/>
      <c r="I125" s="6"/>
      <c r="J125" s="6"/>
      <c r="K125" s="5"/>
      <c r="L125" s="6"/>
      <c r="M125" s="23"/>
      <c r="N125" s="30"/>
      <c r="O125" s="5"/>
    </row>
    <row r="126" spans="1:15" ht="15" hidden="1" customHeight="1" x14ac:dyDescent="0.25">
      <c r="A126" s="28"/>
      <c r="B126" s="5"/>
      <c r="C126" s="5"/>
      <c r="D126" s="5"/>
      <c r="E126" s="13"/>
      <c r="F126" s="15"/>
      <c r="G126" s="80"/>
      <c r="H126" s="41"/>
      <c r="I126" s="2"/>
      <c r="J126" s="2"/>
      <c r="K126" s="2"/>
      <c r="L126" s="2"/>
      <c r="M126" s="37"/>
      <c r="N126" s="34"/>
      <c r="O126" s="2"/>
    </row>
    <row r="127" spans="1:15" ht="15" hidden="1" customHeight="1" x14ac:dyDescent="0.25">
      <c r="A127" s="10"/>
      <c r="B127" s="5"/>
      <c r="C127" s="2"/>
      <c r="D127" s="2"/>
      <c r="E127" s="7"/>
      <c r="F127" s="8"/>
      <c r="G127" s="80"/>
      <c r="H127" s="41"/>
      <c r="I127" s="2"/>
      <c r="J127" s="2"/>
      <c r="K127" s="2"/>
      <c r="L127" s="2"/>
      <c r="M127" s="37"/>
      <c r="N127" s="34"/>
      <c r="O127" s="2"/>
    </row>
    <row r="128" spans="1:15" ht="16.5" hidden="1" customHeight="1" x14ac:dyDescent="0.3">
      <c r="A128" s="4"/>
      <c r="B128" s="5"/>
      <c r="C128" s="2"/>
      <c r="D128" s="2"/>
      <c r="E128" s="6"/>
      <c r="F128" s="6"/>
      <c r="G128" s="80"/>
      <c r="H128" s="41"/>
      <c r="I128" s="2"/>
      <c r="J128" s="2"/>
      <c r="K128" s="2"/>
      <c r="L128" s="2"/>
      <c r="M128" s="37"/>
      <c r="N128" s="34"/>
      <c r="O128" s="2"/>
    </row>
    <row r="129" spans="1:15" ht="15" hidden="1" customHeight="1" x14ac:dyDescent="0.25">
      <c r="A129" s="3" t="s">
        <v>2</v>
      </c>
      <c r="B129" s="5">
        <f>SUM(B125:B128)</f>
        <v>0</v>
      </c>
      <c r="C129" s="5">
        <f t="shared" ref="C129:D129" si="38">SUM(C125:C128)</f>
        <v>0</v>
      </c>
      <c r="D129" s="5">
        <f t="shared" si="38"/>
        <v>0</v>
      </c>
      <c r="E129" s="5"/>
      <c r="F129" s="15">
        <f t="shared" ref="F129" si="39">SUM(F125:F128)</f>
        <v>0</v>
      </c>
      <c r="G129" s="81"/>
      <c r="H129" s="3" t="s">
        <v>2</v>
      </c>
      <c r="I129" s="5">
        <f>SUM(I125:I128)</f>
        <v>0</v>
      </c>
      <c r="J129" s="5">
        <f t="shared" ref="J129" si="40">SUM(J125:J128)</f>
        <v>0</v>
      </c>
      <c r="K129" s="6"/>
      <c r="L129" s="15">
        <f t="shared" ref="L129" si="41">SUM(L125:L128)</f>
        <v>0</v>
      </c>
      <c r="M129" s="38"/>
      <c r="N129" s="3" t="s">
        <v>2</v>
      </c>
      <c r="O129" s="5">
        <f>SUM(O125:O128)</f>
        <v>0</v>
      </c>
    </row>
    <row r="130" spans="1:15" ht="15" hidden="1" customHeight="1" x14ac:dyDescent="0.25">
      <c r="A130" s="12"/>
    </row>
    <row r="131" spans="1:15" ht="15" hidden="1" customHeight="1" x14ac:dyDescent="0.25">
      <c r="A131" s="12"/>
    </row>
    <row r="132" spans="1:15" ht="15" hidden="1" customHeight="1" x14ac:dyDescent="0.25">
      <c r="A132" s="101" t="s">
        <v>18</v>
      </c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</row>
    <row r="133" spans="1:15" ht="15" hidden="1" customHeight="1" x14ac:dyDescent="0.25">
      <c r="A133" s="69" t="s">
        <v>14</v>
      </c>
      <c r="B133" s="71"/>
      <c r="C133" s="71"/>
      <c r="D133" s="71"/>
      <c r="E133" s="71"/>
      <c r="F133" s="70"/>
      <c r="G133" s="87"/>
      <c r="H133" s="72" t="s">
        <v>37</v>
      </c>
      <c r="I133" s="72"/>
      <c r="J133" s="72"/>
      <c r="K133" s="72"/>
      <c r="L133" s="2"/>
      <c r="M133" s="35"/>
      <c r="N133" s="69" t="s">
        <v>49</v>
      </c>
      <c r="O133" s="70"/>
    </row>
    <row r="134" spans="1:15" ht="15" hidden="1" customHeight="1" x14ac:dyDescent="0.25">
      <c r="A134" s="31" t="s">
        <v>42</v>
      </c>
      <c r="B134" s="3" t="s">
        <v>3</v>
      </c>
      <c r="C134" s="3" t="s">
        <v>8</v>
      </c>
      <c r="D134" s="3" t="s">
        <v>7</v>
      </c>
      <c r="E134" s="3" t="s">
        <v>0</v>
      </c>
      <c r="F134" s="3" t="s">
        <v>1</v>
      </c>
      <c r="G134" s="87"/>
      <c r="H134" s="31" t="s">
        <v>42</v>
      </c>
      <c r="I134" s="3" t="s">
        <v>38</v>
      </c>
      <c r="J134" s="3" t="s">
        <v>7</v>
      </c>
      <c r="K134" s="3" t="s">
        <v>0</v>
      </c>
      <c r="L134" s="3" t="s">
        <v>1</v>
      </c>
      <c r="M134" s="36"/>
      <c r="N134" s="22" t="s">
        <v>42</v>
      </c>
      <c r="O134" s="3" t="s">
        <v>38</v>
      </c>
    </row>
    <row r="135" spans="1:15" ht="15" hidden="1" customHeight="1" x14ac:dyDescent="0.25">
      <c r="A135" s="40"/>
      <c r="B135" s="5"/>
      <c r="C135" s="5"/>
      <c r="D135" s="6"/>
      <c r="E135" s="5"/>
      <c r="F135" s="15"/>
      <c r="G135" s="87"/>
      <c r="H135" s="41"/>
      <c r="I135" s="6"/>
      <c r="J135" s="6"/>
      <c r="K135" s="5"/>
      <c r="L135" s="6"/>
      <c r="M135" s="23"/>
      <c r="N135" s="30"/>
      <c r="O135" s="5"/>
    </row>
    <row r="136" spans="1:15" ht="15" hidden="1" customHeight="1" x14ac:dyDescent="0.25">
      <c r="A136" s="40"/>
      <c r="B136" s="5"/>
      <c r="C136" s="5"/>
      <c r="D136" s="6"/>
      <c r="E136" s="5"/>
      <c r="F136" s="15"/>
      <c r="G136" s="87"/>
      <c r="H136" s="41"/>
      <c r="I136" s="2"/>
      <c r="J136" s="2"/>
      <c r="K136" s="2"/>
      <c r="L136" s="2"/>
      <c r="M136" s="37"/>
      <c r="N136" s="34"/>
      <c r="O136" s="2"/>
    </row>
    <row r="137" spans="1:15" ht="15" hidden="1" customHeight="1" x14ac:dyDescent="0.25">
      <c r="A137" s="40"/>
      <c r="B137" s="6"/>
      <c r="C137" s="5"/>
      <c r="D137" s="6"/>
      <c r="E137" s="5"/>
      <c r="F137" s="6"/>
      <c r="G137" s="87"/>
      <c r="H137" s="41"/>
      <c r="I137" s="2"/>
      <c r="J137" s="2"/>
      <c r="K137" s="2"/>
      <c r="L137" s="2"/>
      <c r="M137" s="37"/>
      <c r="N137" s="34"/>
      <c r="O137" s="2"/>
    </row>
    <row r="138" spans="1:15" ht="15" hidden="1" customHeight="1" x14ac:dyDescent="0.25">
      <c r="A138" s="2"/>
      <c r="B138" s="6"/>
      <c r="C138" s="2"/>
      <c r="D138" s="2"/>
      <c r="E138" s="6"/>
      <c r="F138" s="6"/>
      <c r="G138" s="87"/>
      <c r="H138" s="41"/>
      <c r="I138" s="2"/>
      <c r="J138" s="2"/>
      <c r="K138" s="2"/>
      <c r="L138" s="2"/>
      <c r="M138" s="37"/>
      <c r="N138" s="34"/>
      <c r="O138" s="2"/>
    </row>
    <row r="139" spans="1:15" ht="15" hidden="1" customHeight="1" x14ac:dyDescent="0.25">
      <c r="A139" s="3" t="s">
        <v>2</v>
      </c>
      <c r="B139" s="5">
        <f>SUM(B135:B138)</f>
        <v>0</v>
      </c>
      <c r="C139" s="5">
        <f t="shared" ref="C139:D139" si="42">SUM(C135:C138)</f>
        <v>0</v>
      </c>
      <c r="D139" s="5">
        <f t="shared" si="42"/>
        <v>0</v>
      </c>
      <c r="E139" s="5"/>
      <c r="F139" s="15">
        <f t="shared" ref="F139" si="43">SUM(F135:F138)</f>
        <v>0</v>
      </c>
      <c r="G139" s="87"/>
      <c r="H139" s="3" t="s">
        <v>2</v>
      </c>
      <c r="I139" s="5">
        <f>SUM(I135:I138)</f>
        <v>0</v>
      </c>
      <c r="J139" s="5">
        <f t="shared" ref="J139" si="44">SUM(J135:J138)</f>
        <v>0</v>
      </c>
      <c r="K139" s="6"/>
      <c r="L139" s="15">
        <f t="shared" ref="L139" si="45">SUM(L135:L138)</f>
        <v>0</v>
      </c>
      <c r="M139" s="38"/>
      <c r="N139" s="3" t="s">
        <v>2</v>
      </c>
      <c r="O139" s="5">
        <f>SUM(O135:O138)</f>
        <v>0</v>
      </c>
    </row>
    <row r="140" spans="1:15" ht="15" hidden="1" customHeight="1" x14ac:dyDescent="0.25">
      <c r="A140" s="39"/>
      <c r="B140" s="9"/>
      <c r="E140" s="1"/>
      <c r="F140" s="11"/>
    </row>
    <row r="141" spans="1:15" ht="15" hidden="1" customHeight="1" x14ac:dyDescent="0.25"/>
    <row r="142" spans="1:15" ht="15" hidden="1" customHeight="1" x14ac:dyDescent="0.25">
      <c r="A142" s="101" t="s">
        <v>24</v>
      </c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</row>
    <row r="143" spans="1:15" ht="15" hidden="1" customHeight="1" x14ac:dyDescent="0.25">
      <c r="A143" s="69" t="s">
        <v>14</v>
      </c>
      <c r="B143" s="71"/>
      <c r="C143" s="71"/>
      <c r="D143" s="71"/>
      <c r="E143" s="71"/>
      <c r="F143" s="70"/>
      <c r="G143" s="79"/>
      <c r="H143" s="72" t="s">
        <v>37</v>
      </c>
      <c r="I143" s="72"/>
      <c r="J143" s="72"/>
      <c r="K143" s="72"/>
      <c r="L143" s="2"/>
      <c r="M143" s="35"/>
      <c r="N143" s="69" t="s">
        <v>49</v>
      </c>
      <c r="O143" s="70"/>
    </row>
    <row r="144" spans="1:15" ht="15" hidden="1" customHeight="1" x14ac:dyDescent="0.25">
      <c r="A144" s="31" t="s">
        <v>42</v>
      </c>
      <c r="B144" s="3" t="s">
        <v>3</v>
      </c>
      <c r="C144" s="3" t="s">
        <v>8</v>
      </c>
      <c r="D144" s="3" t="s">
        <v>7</v>
      </c>
      <c r="E144" s="3" t="s">
        <v>0</v>
      </c>
      <c r="F144" s="3" t="s">
        <v>1</v>
      </c>
      <c r="G144" s="80"/>
      <c r="H144" s="31" t="s">
        <v>42</v>
      </c>
      <c r="I144" s="3" t="s">
        <v>38</v>
      </c>
      <c r="J144" s="3" t="s">
        <v>7</v>
      </c>
      <c r="K144" s="3" t="s">
        <v>0</v>
      </c>
      <c r="L144" s="3" t="s">
        <v>1</v>
      </c>
      <c r="M144" s="36"/>
      <c r="N144" s="22" t="s">
        <v>42</v>
      </c>
      <c r="O144" s="3" t="s">
        <v>38</v>
      </c>
    </row>
    <row r="145" spans="1:15" ht="15" hidden="1" customHeight="1" x14ac:dyDescent="0.25">
      <c r="A145" s="28"/>
      <c r="B145" s="13"/>
      <c r="C145" s="5"/>
      <c r="D145" s="5"/>
      <c r="E145" s="13"/>
      <c r="F145" s="16"/>
      <c r="G145" s="80"/>
      <c r="H145" s="41"/>
      <c r="I145" s="6"/>
      <c r="J145" s="6"/>
      <c r="K145" s="5"/>
      <c r="L145" s="6"/>
      <c r="M145" s="23"/>
      <c r="N145" s="30"/>
      <c r="O145" s="5"/>
    </row>
    <row r="146" spans="1:15" ht="15" hidden="1" customHeight="1" x14ac:dyDescent="0.25">
      <c r="A146" s="10"/>
      <c r="B146" s="5"/>
      <c r="C146" s="2"/>
      <c r="D146" s="2"/>
      <c r="E146" s="6"/>
      <c r="F146" s="8"/>
      <c r="G146" s="80"/>
      <c r="H146" s="41"/>
      <c r="I146" s="2"/>
      <c r="J146" s="2"/>
      <c r="K146" s="2"/>
      <c r="L146" s="2"/>
      <c r="M146" s="37"/>
      <c r="N146" s="34"/>
      <c r="O146" s="2"/>
    </row>
    <row r="147" spans="1:15" ht="16.5" hidden="1" customHeight="1" x14ac:dyDescent="0.3">
      <c r="A147" s="4"/>
      <c r="B147" s="5"/>
      <c r="C147" s="2"/>
      <c r="D147" s="2"/>
      <c r="E147" s="6"/>
      <c r="F147" s="8"/>
      <c r="G147" s="80"/>
      <c r="H147" s="41"/>
      <c r="I147" s="2"/>
      <c r="J147" s="2"/>
      <c r="K147" s="2"/>
      <c r="L147" s="2"/>
      <c r="M147" s="37"/>
      <c r="N147" s="34"/>
      <c r="O147" s="2"/>
    </row>
    <row r="148" spans="1:15" ht="15" hidden="1" customHeight="1" x14ac:dyDescent="0.25">
      <c r="A148" s="2"/>
      <c r="B148" s="6"/>
      <c r="C148" s="2"/>
      <c r="D148" s="2"/>
      <c r="E148" s="6"/>
      <c r="F148" s="6"/>
      <c r="G148" s="80"/>
      <c r="H148" s="41"/>
      <c r="I148" s="2"/>
      <c r="J148" s="2"/>
      <c r="K148" s="2"/>
      <c r="L148" s="2"/>
      <c r="M148" s="37"/>
      <c r="N148" s="34"/>
      <c r="O148" s="2"/>
    </row>
    <row r="149" spans="1:15" ht="15" hidden="1" customHeight="1" x14ac:dyDescent="0.25">
      <c r="A149" s="3" t="s">
        <v>2</v>
      </c>
      <c r="B149" s="5">
        <f>SUM(B145:B148)</f>
        <v>0</v>
      </c>
      <c r="C149" s="5">
        <f t="shared" ref="C149:D149" si="46">SUM(C145:C148)</f>
        <v>0</v>
      </c>
      <c r="D149" s="5">
        <f t="shared" si="46"/>
        <v>0</v>
      </c>
      <c r="E149" s="5"/>
      <c r="F149" s="15">
        <f t="shared" ref="F149" si="47">SUM(F145:F148)</f>
        <v>0</v>
      </c>
      <c r="G149" s="81"/>
      <c r="H149" s="3" t="s">
        <v>2</v>
      </c>
      <c r="I149" s="5">
        <f>SUM(I145:I148)</f>
        <v>0</v>
      </c>
      <c r="J149" s="5">
        <f t="shared" ref="J149" si="48">SUM(J145:J148)</f>
        <v>0</v>
      </c>
      <c r="K149" s="6"/>
      <c r="L149" s="15">
        <f t="shared" ref="L149" si="49">SUM(L145:L148)</f>
        <v>0</v>
      </c>
      <c r="M149" s="38"/>
      <c r="N149" s="3" t="s">
        <v>2</v>
      </c>
      <c r="O149" s="5">
        <f>SUM(O145:O148)</f>
        <v>0</v>
      </c>
    </row>
    <row r="150" spans="1:15" ht="15" hidden="1" customHeight="1" x14ac:dyDescent="0.25"/>
    <row r="151" spans="1:15" ht="15" hidden="1" customHeight="1" x14ac:dyDescent="0.25"/>
    <row r="152" spans="1:15" ht="15" hidden="1" customHeight="1" x14ac:dyDescent="0.25">
      <c r="A152" s="101" t="s">
        <v>26</v>
      </c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</row>
    <row r="153" spans="1:15" ht="15" hidden="1" customHeight="1" x14ac:dyDescent="0.25">
      <c r="A153" s="69" t="s">
        <v>14</v>
      </c>
      <c r="B153" s="71"/>
      <c r="C153" s="71"/>
      <c r="D153" s="71"/>
      <c r="E153" s="71"/>
      <c r="F153" s="70"/>
      <c r="G153" s="79"/>
      <c r="H153" s="72" t="s">
        <v>37</v>
      </c>
      <c r="I153" s="72"/>
      <c r="J153" s="72"/>
      <c r="K153" s="72"/>
      <c r="L153" s="2"/>
      <c r="M153" s="35"/>
      <c r="N153" s="69" t="s">
        <v>49</v>
      </c>
      <c r="O153" s="70"/>
    </row>
    <row r="154" spans="1:15" ht="15" hidden="1" customHeight="1" x14ac:dyDescent="0.25">
      <c r="A154" s="31" t="s">
        <v>42</v>
      </c>
      <c r="B154" s="3" t="s">
        <v>3</v>
      </c>
      <c r="C154" s="3" t="s">
        <v>8</v>
      </c>
      <c r="D154" s="3" t="s">
        <v>7</v>
      </c>
      <c r="E154" s="3" t="s">
        <v>0</v>
      </c>
      <c r="F154" s="3" t="s">
        <v>1</v>
      </c>
      <c r="G154" s="80"/>
      <c r="H154" s="31" t="s">
        <v>42</v>
      </c>
      <c r="I154" s="3" t="s">
        <v>38</v>
      </c>
      <c r="J154" s="3" t="s">
        <v>7</v>
      </c>
      <c r="K154" s="3" t="s">
        <v>0</v>
      </c>
      <c r="L154" s="3" t="s">
        <v>1</v>
      </c>
      <c r="M154" s="36"/>
      <c r="N154" s="22" t="s">
        <v>42</v>
      </c>
      <c r="O154" s="3" t="s">
        <v>38</v>
      </c>
    </row>
    <row r="155" spans="1:15" ht="15" hidden="1" customHeight="1" x14ac:dyDescent="0.25">
      <c r="A155" s="28"/>
      <c r="B155" s="13"/>
      <c r="C155" s="5"/>
      <c r="D155" s="5"/>
      <c r="E155" s="13"/>
      <c r="F155" s="16"/>
      <c r="G155" s="80"/>
      <c r="H155" s="41"/>
      <c r="I155" s="6"/>
      <c r="J155" s="6"/>
      <c r="K155" s="5"/>
      <c r="L155" s="6"/>
      <c r="M155" s="23"/>
      <c r="N155" s="30"/>
      <c r="O155" s="5"/>
    </row>
    <row r="156" spans="1:15" ht="15" hidden="1" customHeight="1" x14ac:dyDescent="0.25">
      <c r="A156" s="10"/>
      <c r="B156" s="5"/>
      <c r="C156" s="2"/>
      <c r="D156" s="2"/>
      <c r="E156" s="6"/>
      <c r="F156" s="8"/>
      <c r="G156" s="80"/>
      <c r="H156" s="41"/>
      <c r="I156" s="2"/>
      <c r="J156" s="2"/>
      <c r="K156" s="2"/>
      <c r="L156" s="2"/>
      <c r="M156" s="37"/>
      <c r="N156" s="34"/>
      <c r="O156" s="2"/>
    </row>
    <row r="157" spans="1:15" ht="16.5" hidden="1" customHeight="1" x14ac:dyDescent="0.3">
      <c r="A157" s="4"/>
      <c r="B157" s="5"/>
      <c r="C157" s="2"/>
      <c r="D157" s="2"/>
      <c r="E157" s="6"/>
      <c r="F157" s="8"/>
      <c r="G157" s="80"/>
      <c r="H157" s="41"/>
      <c r="I157" s="2"/>
      <c r="J157" s="2"/>
      <c r="K157" s="2"/>
      <c r="L157" s="2"/>
      <c r="M157" s="37"/>
      <c r="N157" s="34"/>
      <c r="O157" s="2"/>
    </row>
    <row r="158" spans="1:15" ht="15" hidden="1" customHeight="1" x14ac:dyDescent="0.25">
      <c r="A158" s="2"/>
      <c r="B158" s="6"/>
      <c r="C158" s="2"/>
      <c r="D158" s="2"/>
      <c r="E158" s="6"/>
      <c r="F158" s="6"/>
      <c r="G158" s="80"/>
      <c r="H158" s="41"/>
      <c r="I158" s="2"/>
      <c r="J158" s="2"/>
      <c r="K158" s="2"/>
      <c r="L158" s="2"/>
      <c r="M158" s="37"/>
      <c r="N158" s="34"/>
      <c r="O158" s="2"/>
    </row>
    <row r="159" spans="1:15" ht="15" hidden="1" customHeight="1" x14ac:dyDescent="0.25">
      <c r="A159" s="3" t="s">
        <v>2</v>
      </c>
      <c r="B159" s="5">
        <f>SUM(B155:B158)</f>
        <v>0</v>
      </c>
      <c r="C159" s="5">
        <f t="shared" ref="C159:D159" si="50">SUM(C155:C158)</f>
        <v>0</v>
      </c>
      <c r="D159" s="5">
        <f t="shared" si="50"/>
        <v>0</v>
      </c>
      <c r="E159" s="5"/>
      <c r="F159" s="15">
        <f t="shared" ref="F159" si="51">SUM(F155:F158)</f>
        <v>0</v>
      </c>
      <c r="G159" s="81"/>
      <c r="H159" s="3" t="s">
        <v>2</v>
      </c>
      <c r="I159" s="5">
        <f>SUM(I155:I158)</f>
        <v>0</v>
      </c>
      <c r="J159" s="5">
        <f t="shared" ref="J159" si="52">SUM(J155:J158)</f>
        <v>0</v>
      </c>
      <c r="K159" s="6"/>
      <c r="L159" s="15">
        <f t="shared" ref="L159" si="53">SUM(L155:L158)</f>
        <v>0</v>
      </c>
      <c r="M159" s="38"/>
      <c r="N159" s="3" t="s">
        <v>2</v>
      </c>
      <c r="O159" s="5">
        <f>SUM(O155:O158)</f>
        <v>0</v>
      </c>
    </row>
    <row r="160" spans="1:15" ht="15" hidden="1" customHeight="1" x14ac:dyDescent="0.25">
      <c r="B160" s="9"/>
      <c r="E160" s="1"/>
      <c r="F160" s="11"/>
    </row>
    <row r="161" spans="1:15" ht="15" hidden="1" customHeight="1" x14ac:dyDescent="0.25">
      <c r="B161" s="1"/>
      <c r="E161" s="1"/>
      <c r="F161" s="1"/>
    </row>
    <row r="162" spans="1:15" ht="15" hidden="1" customHeight="1" x14ac:dyDescent="0.25">
      <c r="A162" s="97" t="s">
        <v>28</v>
      </c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</row>
    <row r="163" spans="1:15" ht="15" hidden="1" customHeight="1" x14ac:dyDescent="0.25">
      <c r="A163" s="69" t="s">
        <v>14</v>
      </c>
      <c r="B163" s="71"/>
      <c r="C163" s="71"/>
      <c r="D163" s="71"/>
      <c r="E163" s="71"/>
      <c r="F163" s="70"/>
      <c r="G163" s="79"/>
      <c r="H163" s="72" t="s">
        <v>37</v>
      </c>
      <c r="I163" s="72"/>
      <c r="J163" s="72"/>
      <c r="K163" s="72"/>
      <c r="L163" s="2"/>
      <c r="M163" s="35"/>
      <c r="N163" s="69" t="s">
        <v>49</v>
      </c>
      <c r="O163" s="70"/>
    </row>
    <row r="164" spans="1:15" ht="15" hidden="1" customHeight="1" x14ac:dyDescent="0.25">
      <c r="A164" s="31" t="s">
        <v>42</v>
      </c>
      <c r="B164" s="3" t="s">
        <v>3</v>
      </c>
      <c r="C164" s="3" t="s">
        <v>8</v>
      </c>
      <c r="D164" s="3" t="s">
        <v>7</v>
      </c>
      <c r="E164" s="3" t="s">
        <v>0</v>
      </c>
      <c r="F164" s="3" t="s">
        <v>1</v>
      </c>
      <c r="G164" s="80"/>
      <c r="H164" s="31" t="s">
        <v>42</v>
      </c>
      <c r="I164" s="3" t="s">
        <v>38</v>
      </c>
      <c r="J164" s="3" t="s">
        <v>7</v>
      </c>
      <c r="K164" s="3" t="s">
        <v>0</v>
      </c>
      <c r="L164" s="3" t="s">
        <v>1</v>
      </c>
      <c r="M164" s="36"/>
      <c r="N164" s="22" t="s">
        <v>42</v>
      </c>
      <c r="O164" s="3" t="s">
        <v>38</v>
      </c>
    </row>
    <row r="165" spans="1:15" ht="15" hidden="1" customHeight="1" x14ac:dyDescent="0.25">
      <c r="A165" s="40"/>
      <c r="B165" s="13"/>
      <c r="C165" s="13"/>
      <c r="D165" s="13"/>
      <c r="E165" s="13"/>
      <c r="F165" s="16"/>
      <c r="G165" s="80"/>
      <c r="H165" s="41"/>
      <c r="I165" s="6"/>
      <c r="J165" s="6"/>
      <c r="K165" s="5"/>
      <c r="L165" s="2"/>
      <c r="M165" s="23"/>
      <c r="N165" s="30"/>
      <c r="O165" s="5"/>
    </row>
    <row r="166" spans="1:15" ht="15" hidden="1" customHeight="1" x14ac:dyDescent="0.25">
      <c r="A166" s="40"/>
      <c r="B166" s="5"/>
      <c r="C166" s="6"/>
      <c r="D166" s="6"/>
      <c r="E166" s="13"/>
      <c r="F166" s="15"/>
      <c r="G166" s="80"/>
      <c r="H166" s="41"/>
      <c r="I166" s="2"/>
      <c r="J166" s="2"/>
      <c r="K166" s="2"/>
      <c r="L166" s="2"/>
      <c r="M166" s="37"/>
      <c r="N166" s="34"/>
      <c r="O166" s="2"/>
    </row>
    <row r="167" spans="1:15" ht="15" hidden="1" customHeight="1" x14ac:dyDescent="0.25">
      <c r="A167" s="17"/>
      <c r="B167" s="5"/>
      <c r="C167" s="2"/>
      <c r="D167" s="2"/>
      <c r="E167" s="6"/>
      <c r="F167" s="8"/>
      <c r="G167" s="80"/>
      <c r="H167" s="41"/>
      <c r="I167" s="2"/>
      <c r="J167" s="2"/>
      <c r="K167" s="2"/>
      <c r="L167" s="2"/>
      <c r="M167" s="37"/>
      <c r="N167" s="34"/>
      <c r="O167" s="2"/>
    </row>
    <row r="168" spans="1:15" ht="15" hidden="1" customHeight="1" x14ac:dyDescent="0.25">
      <c r="A168" s="2"/>
      <c r="B168" s="6"/>
      <c r="C168" s="2"/>
      <c r="D168" s="2"/>
      <c r="E168" s="6"/>
      <c r="F168" s="6"/>
      <c r="G168" s="80"/>
      <c r="H168" s="41"/>
      <c r="I168" s="2"/>
      <c r="J168" s="2"/>
      <c r="K168" s="2"/>
      <c r="L168" s="2"/>
      <c r="M168" s="37"/>
      <c r="N168" s="34"/>
      <c r="O168" s="2"/>
    </row>
    <row r="169" spans="1:15" ht="15" hidden="1" customHeight="1" x14ac:dyDescent="0.25">
      <c r="A169" s="3" t="s">
        <v>2</v>
      </c>
      <c r="B169" s="5">
        <f>SUM(B165:B168)</f>
        <v>0</v>
      </c>
      <c r="C169" s="5">
        <f t="shared" ref="C169:D169" si="54">SUM(C165:C168)</f>
        <v>0</v>
      </c>
      <c r="D169" s="5">
        <f t="shared" si="54"/>
        <v>0</v>
      </c>
      <c r="E169" s="5"/>
      <c r="F169" s="15">
        <f t="shared" ref="F169" si="55">SUM(F165:F168)</f>
        <v>0</v>
      </c>
      <c r="G169" s="81"/>
      <c r="H169" s="3" t="s">
        <v>2</v>
      </c>
      <c r="I169" s="5">
        <f>SUM(I165:I168)</f>
        <v>0</v>
      </c>
      <c r="J169" s="5">
        <f t="shared" ref="J169" si="56">SUM(J165:J168)</f>
        <v>0</v>
      </c>
      <c r="K169" s="6"/>
      <c r="L169" s="15">
        <f t="shared" ref="L169" si="57">SUM(L165:L168)</f>
        <v>0</v>
      </c>
      <c r="M169" s="38"/>
      <c r="N169" s="3" t="s">
        <v>2</v>
      </c>
      <c r="O169" s="5">
        <f>SUM(O165:O168)</f>
        <v>0</v>
      </c>
    </row>
    <row r="170" spans="1:15" ht="15" hidden="1" customHeight="1" x14ac:dyDescent="0.25"/>
    <row r="171" spans="1:15" ht="15" hidden="1" customHeight="1" x14ac:dyDescent="0.25"/>
    <row r="172" spans="1:15" ht="15" hidden="1" customHeight="1" x14ac:dyDescent="0.25">
      <c r="A172" s="98" t="s">
        <v>29</v>
      </c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100"/>
    </row>
    <row r="173" spans="1:15" ht="15" hidden="1" customHeight="1" x14ac:dyDescent="0.25">
      <c r="A173" s="69" t="s">
        <v>14</v>
      </c>
      <c r="B173" s="71"/>
      <c r="C173" s="71"/>
      <c r="D173" s="71"/>
      <c r="E173" s="71"/>
      <c r="F173" s="70"/>
      <c r="G173" s="79"/>
      <c r="H173" s="72" t="s">
        <v>37</v>
      </c>
      <c r="I173" s="72"/>
      <c r="J173" s="72"/>
      <c r="K173" s="72"/>
      <c r="L173" s="2"/>
      <c r="M173" s="35"/>
      <c r="N173" s="69" t="s">
        <v>49</v>
      </c>
      <c r="O173" s="70"/>
    </row>
    <row r="174" spans="1:15" ht="15" hidden="1" customHeight="1" x14ac:dyDescent="0.25">
      <c r="A174" s="31" t="s">
        <v>42</v>
      </c>
      <c r="B174" s="3" t="s">
        <v>3</v>
      </c>
      <c r="C174" s="3" t="s">
        <v>8</v>
      </c>
      <c r="D174" s="3" t="s">
        <v>7</v>
      </c>
      <c r="E174" s="3" t="s">
        <v>0</v>
      </c>
      <c r="F174" s="3" t="s">
        <v>1</v>
      </c>
      <c r="G174" s="80"/>
      <c r="H174" s="31" t="s">
        <v>42</v>
      </c>
      <c r="I174" s="3" t="s">
        <v>38</v>
      </c>
      <c r="J174" s="3" t="s">
        <v>7</v>
      </c>
      <c r="K174" s="3" t="s">
        <v>0</v>
      </c>
      <c r="L174" s="3" t="s">
        <v>1</v>
      </c>
      <c r="M174" s="36"/>
      <c r="N174" s="22" t="s">
        <v>42</v>
      </c>
      <c r="O174" s="3" t="s">
        <v>38</v>
      </c>
    </row>
    <row r="175" spans="1:15" ht="15" hidden="1" customHeight="1" x14ac:dyDescent="0.25">
      <c r="A175" s="40"/>
      <c r="B175" s="13"/>
      <c r="C175" s="13"/>
      <c r="D175" s="13"/>
      <c r="E175" s="13"/>
      <c r="F175" s="16"/>
      <c r="G175" s="80"/>
      <c r="H175" s="41"/>
      <c r="I175" s="6"/>
      <c r="J175" s="6"/>
      <c r="K175" s="5"/>
      <c r="L175" s="6"/>
      <c r="M175" s="23"/>
      <c r="N175" s="30"/>
      <c r="O175" s="5"/>
    </row>
    <row r="176" spans="1:15" ht="15" hidden="1" customHeight="1" x14ac:dyDescent="0.25">
      <c r="A176" s="40"/>
      <c r="B176" s="5"/>
      <c r="C176" s="6"/>
      <c r="D176" s="6"/>
      <c r="E176" s="13"/>
      <c r="F176" s="15"/>
      <c r="G176" s="80"/>
      <c r="H176" s="41"/>
      <c r="I176" s="2"/>
      <c r="J176" s="2"/>
      <c r="K176" s="2"/>
      <c r="L176" s="2"/>
      <c r="M176" s="37"/>
      <c r="N176" s="34"/>
      <c r="O176" s="2"/>
    </row>
    <row r="177" spans="1:15" ht="15" hidden="1" customHeight="1" x14ac:dyDescent="0.25">
      <c r="A177" s="17"/>
      <c r="B177" s="5"/>
      <c r="C177" s="2"/>
      <c r="D177" s="2"/>
      <c r="E177" s="6"/>
      <c r="F177" s="8"/>
      <c r="G177" s="80"/>
      <c r="H177" s="41"/>
      <c r="I177" s="2"/>
      <c r="J177" s="2"/>
      <c r="K177" s="2"/>
      <c r="L177" s="2"/>
      <c r="M177" s="37"/>
      <c r="N177" s="34"/>
      <c r="O177" s="2"/>
    </row>
    <row r="178" spans="1:15" ht="15" hidden="1" customHeight="1" x14ac:dyDescent="0.25">
      <c r="A178" s="2"/>
      <c r="B178" s="6"/>
      <c r="C178" s="2"/>
      <c r="D178" s="2"/>
      <c r="E178" s="6"/>
      <c r="F178" s="6"/>
      <c r="G178" s="80"/>
      <c r="H178" s="41"/>
      <c r="I178" s="2"/>
      <c r="J178" s="2"/>
      <c r="K178" s="2"/>
      <c r="L178" s="2"/>
      <c r="M178" s="37"/>
      <c r="N178" s="34"/>
      <c r="O178" s="2"/>
    </row>
    <row r="179" spans="1:15" ht="15" hidden="1" customHeight="1" x14ac:dyDescent="0.25">
      <c r="A179" s="3" t="s">
        <v>2</v>
      </c>
      <c r="B179" s="5">
        <f>SUM(B175:B178)</f>
        <v>0</v>
      </c>
      <c r="C179" s="5">
        <f t="shared" ref="C179:D179" si="58">SUM(C175:C178)</f>
        <v>0</v>
      </c>
      <c r="D179" s="5">
        <f t="shared" si="58"/>
        <v>0</v>
      </c>
      <c r="E179" s="5"/>
      <c r="F179" s="15">
        <f t="shared" ref="F179" si="59">SUM(F175:F178)</f>
        <v>0</v>
      </c>
      <c r="G179" s="81"/>
      <c r="H179" s="3" t="s">
        <v>2</v>
      </c>
      <c r="I179" s="5">
        <f>SUM(I175:I178)</f>
        <v>0</v>
      </c>
      <c r="J179" s="5">
        <f t="shared" ref="J179" si="60">SUM(J175:J178)</f>
        <v>0</v>
      </c>
      <c r="K179" s="6"/>
      <c r="L179" s="15">
        <f t="shared" ref="L179" si="61">SUM(L175:L178)</f>
        <v>0</v>
      </c>
      <c r="M179" s="38"/>
      <c r="N179" s="3" t="s">
        <v>2</v>
      </c>
      <c r="O179" s="5">
        <f>SUM(O175:O178)</f>
        <v>0</v>
      </c>
    </row>
  </sheetData>
  <mergeCells count="93">
    <mergeCell ref="A173:F173"/>
    <mergeCell ref="G173:G179"/>
    <mergeCell ref="H173:K173"/>
    <mergeCell ref="N173:O173"/>
    <mergeCell ref="A162:O162"/>
    <mergeCell ref="A163:F163"/>
    <mergeCell ref="G163:G169"/>
    <mergeCell ref="H163:K163"/>
    <mergeCell ref="N163:O163"/>
    <mergeCell ref="A172:O172"/>
    <mergeCell ref="A153:F153"/>
    <mergeCell ref="G153:G159"/>
    <mergeCell ref="H153:K153"/>
    <mergeCell ref="N153:O153"/>
    <mergeCell ref="A132:O132"/>
    <mergeCell ref="A133:F133"/>
    <mergeCell ref="G133:G139"/>
    <mergeCell ref="H133:K133"/>
    <mergeCell ref="N133:O133"/>
    <mergeCell ref="A142:O142"/>
    <mergeCell ref="A143:F143"/>
    <mergeCell ref="G143:G149"/>
    <mergeCell ref="H143:K143"/>
    <mergeCell ref="N143:O143"/>
    <mergeCell ref="A152:O152"/>
    <mergeCell ref="A123:F123"/>
    <mergeCell ref="G123:G129"/>
    <mergeCell ref="N123:O123"/>
    <mergeCell ref="A102:O102"/>
    <mergeCell ref="A103:F103"/>
    <mergeCell ref="G103:G109"/>
    <mergeCell ref="H103:K103"/>
    <mergeCell ref="N103:O103"/>
    <mergeCell ref="A112:O112"/>
    <mergeCell ref="H113:L113"/>
    <mergeCell ref="H123:L123"/>
    <mergeCell ref="A113:F113"/>
    <mergeCell ref="G113:G119"/>
    <mergeCell ref="N113:O113"/>
    <mergeCell ref="A122:O122"/>
    <mergeCell ref="A92:O92"/>
    <mergeCell ref="A93:F93"/>
    <mergeCell ref="G93:G99"/>
    <mergeCell ref="N93:O93"/>
    <mergeCell ref="H93:K93"/>
    <mergeCell ref="X3:X4"/>
    <mergeCell ref="A82:O82"/>
    <mergeCell ref="Q2:W2"/>
    <mergeCell ref="A83:F83"/>
    <mergeCell ref="G83:G89"/>
    <mergeCell ref="N83:O83"/>
    <mergeCell ref="Q3:Q4"/>
    <mergeCell ref="R3:R4"/>
    <mergeCell ref="S3:S4"/>
    <mergeCell ref="T3:T4"/>
    <mergeCell ref="H83:K83"/>
    <mergeCell ref="U3:V3"/>
    <mergeCell ref="W3:W4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A32:O32"/>
    <mergeCell ref="A33:F33"/>
    <mergeCell ref="G33:G39"/>
    <mergeCell ref="H33:K3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A63:F63"/>
    <mergeCell ref="G63:G69"/>
    <mergeCell ref="H63:K63"/>
    <mergeCell ref="N63:O63"/>
    <mergeCell ref="A72:O72"/>
    <mergeCell ref="A73:F73"/>
    <mergeCell ref="G73:G79"/>
    <mergeCell ref="H73:K73"/>
    <mergeCell ref="N73:O73"/>
  </mergeCells>
  <hyperlinks>
    <hyperlink ref="A12:O12" location="NADQ!A1" display="NADQ Amundi Nasdaq-100 UCITS ETF (Dist)" xr:uid="{00F51B35-F2E0-4856-89DE-8575AC4E968C}"/>
    <hyperlink ref="A22:O22" location="QDVE!A1" display="QDVE iShares S&amp;P 500 Inf. Tech. Sector UCITS ETF (Acc)" xr:uid="{22B660CE-5693-419B-8672-67F153940F14}"/>
    <hyperlink ref="A32:O32" location="VWCE!A1" display="VWCE Vanguard FTSE All-World UCITS ETF (Acc)" xr:uid="{FAE85430-EA7F-450C-8671-3FCFE7BA688F}"/>
    <hyperlink ref="A42:O42" location="XDEQ!A1" display="XDEQ Xtarckers MSCI World Quality UCITS ETF (Acc)" xr:uid="{C621EA23-84FA-4FD4-B883-92520B2295CF}"/>
    <hyperlink ref="A52:O52" location="VUAA!A1" display="VUAA Vanguard S&amp;P 500 UCITS ETF (Acc)" xr:uid="{D90C33D9-EB5C-4FD3-9713-DE851E9E77A5}"/>
    <hyperlink ref="A62:O62" location="XDWT!A1" display="XDWT Xtrackers MSCI World Information Tech. ETF (Acc)" xr:uid="{12EE3D4B-F0D2-4398-BF37-BB0DCD377E58}"/>
    <hyperlink ref="A72:O72" location="XAIX!A1" display="XAIX Xtrackers Artificial Intell. and Big Data ETF (Acc)" xr:uid="{239C0051-8D01-4362-B7CD-947F23AB1FC8}"/>
    <hyperlink ref="A82:O82" location="SPYL!A1" display="SPYL SPDR S&amp;P 500 UCITS (Acc)" xr:uid="{D01AA290-0F8A-4AEB-97E1-BBD0746CB612}"/>
    <hyperlink ref="A92:O92" location="JEQP!A1" display="JEQP JPM Nasdaq Equity Premium Income Active UCITS ETF - USD (Dist)" xr:uid="{96FF8147-090E-4863-9BFC-9822DFD6D9C2}"/>
    <hyperlink ref="A102:O102" location="JGPI!A1" display="JGPI JPM Global Equity Premium Income Active UCITS ETF - USD (Dist)" xr:uid="{1266E56A-88DD-4849-9599-F8A47899E769}"/>
  </hyperlinks>
  <pageMargins left="0.7" right="0.7" top="0.75" bottom="0.75" header="0.3" footer="0.3"/>
  <pageSetup orientation="portrait" horizontalDpi="4294967293" r:id="rId1"/>
  <ignoredErrors>
    <ignoredError sqref="E109 E99 E19 E39 E49 E59 E69 E79 E29 E89" formula="1"/>
    <ignoredError sqref="Q2:AA5" numberStoredAsText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109"/>
  <sheetViews>
    <sheetView topLeftCell="A4" workbookViewId="0">
      <selection activeCell="A82" sqref="A82:O8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54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163.08000000000001</v>
      </c>
      <c r="R5" s="5">
        <v>0</v>
      </c>
      <c r="S5" s="5">
        <f>C19+C29+C39+C49+C59+C69+C79+C89+C99+C109</f>
        <v>61.350000000000009</v>
      </c>
      <c r="T5" s="5">
        <f>I19+I29+I39+I49+I59+I69+I79+I89+I99+I109</f>
        <v>0</v>
      </c>
      <c r="U5" s="5">
        <f>D19+D29+D39+D49+D59+D69+D79+D89+D99+D109</f>
        <v>0.06</v>
      </c>
      <c r="V5" s="5">
        <f>J19+J29+J39+J49+J59+J69+J79+J89+J99+J109</f>
        <v>0</v>
      </c>
      <c r="W5" s="5">
        <f>O19+O29+O39+O49+O59+O69+O79+O89+O99+O109</f>
        <v>1.1299999999999999</v>
      </c>
      <c r="X5" s="5">
        <f>Q5-S5-U5+T5-V5+W5</f>
        <v>102.8</v>
      </c>
    </row>
    <row r="11" spans="1:24" hidden="1" x14ac:dyDescent="0.25"/>
    <row r="12" spans="1:24" hidden="1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hidden="1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hidden="1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hidden="1" x14ac:dyDescent="0.25">
      <c r="A15" s="10"/>
      <c r="B15" s="13"/>
      <c r="C15" s="5"/>
      <c r="D15" s="5"/>
      <c r="E15" s="13"/>
      <c r="F15" s="15"/>
      <c r="G15" s="80"/>
      <c r="H15" s="41"/>
      <c r="I15" s="6"/>
      <c r="J15" s="5"/>
      <c r="K15" s="5"/>
      <c r="L15" s="6"/>
      <c r="M15" s="23"/>
      <c r="N15" s="30"/>
      <c r="O15" s="5"/>
      <c r="P15" s="1"/>
    </row>
    <row r="16" spans="1:24" ht="15" hidden="1" customHeight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8" ht="15" hidden="1" customHeight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8" ht="15" hidden="1" customHeight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8" hidden="1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hidden="1" x14ac:dyDescent="0.25">
      <c r="B20" s="9"/>
      <c r="E20" s="1"/>
      <c r="F20" s="11"/>
    </row>
    <row r="21" spans="1:18" hidden="1" x14ac:dyDescent="0.25">
      <c r="B21" s="9"/>
      <c r="E21" s="1"/>
      <c r="F21" s="11"/>
    </row>
    <row r="22" spans="1:18" hidden="1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hidden="1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hidden="1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hidden="1" x14ac:dyDescent="0.25">
      <c r="A25" s="40"/>
      <c r="B25" s="5"/>
      <c r="C25" s="5"/>
      <c r="D25" s="5"/>
      <c r="E25" s="5"/>
      <c r="F25" s="15"/>
      <c r="G25" s="80"/>
      <c r="H25" s="41"/>
      <c r="I25" s="6"/>
      <c r="J25" s="6"/>
      <c r="K25" s="5"/>
      <c r="L25" s="6"/>
      <c r="M25" s="23"/>
      <c r="N25" s="30"/>
      <c r="O25" s="5"/>
      <c r="R25" s="1"/>
    </row>
    <row r="26" spans="1:18" hidden="1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8" ht="15" hidden="1" customHeight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8" ht="16.5" hidden="1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8" hidden="1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hidden="1" x14ac:dyDescent="0.25">
      <c r="A30" s="12"/>
    </row>
    <row r="31" spans="1:18" hidden="1" x14ac:dyDescent="0.25">
      <c r="A31" s="12"/>
    </row>
    <row r="32" spans="1:18" hidden="1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hidden="1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hidden="1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hidden="1" x14ac:dyDescent="0.25">
      <c r="A35" s="40"/>
      <c r="B35" s="5"/>
      <c r="C35" s="5"/>
      <c r="D35" s="6"/>
      <c r="E35" s="5"/>
      <c r="F35" s="15"/>
      <c r="G35" s="87"/>
      <c r="H35" s="41"/>
      <c r="I35" s="6"/>
      <c r="J35" s="6"/>
      <c r="K35" s="5"/>
      <c r="L35" s="6"/>
      <c r="M35" s="23"/>
      <c r="N35" s="30"/>
      <c r="O35" s="5"/>
    </row>
    <row r="36" spans="1:15" hidden="1" x14ac:dyDescent="0.25">
      <c r="A36" s="40"/>
      <c r="B36" s="5"/>
      <c r="C36" s="5"/>
      <c r="D36" s="6"/>
      <c r="E36" s="5"/>
      <c r="F36" s="15"/>
      <c r="G36" s="87"/>
      <c r="H36" s="41"/>
      <c r="I36" s="2"/>
      <c r="J36" s="2"/>
      <c r="K36" s="2"/>
      <c r="L36" s="2"/>
      <c r="M36" s="37"/>
      <c r="N36" s="34"/>
      <c r="O36" s="2"/>
    </row>
    <row r="37" spans="1:15" hidden="1" x14ac:dyDescent="0.25">
      <c r="A37" s="40"/>
      <c r="B37" s="6"/>
      <c r="C37" s="5"/>
      <c r="D37" s="6"/>
      <c r="E37" s="5"/>
      <c r="F37" s="6"/>
      <c r="G37" s="87"/>
      <c r="H37" s="41"/>
      <c r="I37" s="2"/>
      <c r="J37" s="2"/>
      <c r="K37" s="2"/>
      <c r="L37" s="2"/>
      <c r="M37" s="37"/>
      <c r="N37" s="34"/>
      <c r="O37" s="2"/>
    </row>
    <row r="38" spans="1:15" hidden="1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hidden="1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hidden="1" x14ac:dyDescent="0.25">
      <c r="A40" s="39"/>
      <c r="B40" s="9"/>
      <c r="E40" s="1"/>
      <c r="F40" s="11"/>
    </row>
    <row r="41" spans="1:15" hidden="1" x14ac:dyDescent="0.25"/>
    <row r="42" spans="1:15" hidden="1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hidden="1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hidden="1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hidden="1" x14ac:dyDescent="0.25">
      <c r="A45" s="28"/>
      <c r="B45" s="13"/>
      <c r="C45" s="5"/>
      <c r="D45" s="5"/>
      <c r="E45" s="13"/>
      <c r="F45" s="16"/>
      <c r="G45" s="80"/>
      <c r="H45" s="41"/>
      <c r="I45" s="6"/>
      <c r="J45" s="6"/>
      <c r="K45" s="5"/>
      <c r="L45" s="6"/>
      <c r="M45" s="23"/>
      <c r="N45" s="30"/>
      <c r="O45" s="5"/>
    </row>
    <row r="46" spans="1:15" hidden="1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hidden="1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hidden="1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hidden="1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0" spans="1:15" hidden="1" x14ac:dyDescent="0.25"/>
    <row r="51" spans="1:15" hidden="1" x14ac:dyDescent="0.25"/>
    <row r="52" spans="1:15" hidden="1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hidden="1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hidden="1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hidden="1" x14ac:dyDescent="0.25">
      <c r="A55" s="28"/>
      <c r="B55" s="13"/>
      <c r="C55" s="5"/>
      <c r="D55" s="5"/>
      <c r="E55" s="13"/>
      <c r="F55" s="16"/>
      <c r="G55" s="80"/>
      <c r="H55" s="41"/>
      <c r="I55" s="6"/>
      <c r="J55" s="6"/>
      <c r="K55" s="5"/>
      <c r="L55" s="6"/>
      <c r="M55" s="23"/>
      <c r="N55" s="30"/>
      <c r="O55" s="5"/>
    </row>
    <row r="56" spans="1:15" hidden="1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hidden="1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hidden="1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hidden="1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hidden="1" x14ac:dyDescent="0.25">
      <c r="B60" s="9"/>
      <c r="E60" s="1"/>
      <c r="F60" s="11"/>
    </row>
    <row r="61" spans="1:15" hidden="1" x14ac:dyDescent="0.25">
      <c r="B61" s="1"/>
      <c r="E61" s="1"/>
      <c r="F61" s="1"/>
    </row>
    <row r="62" spans="1:15" hidden="1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hidden="1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hidden="1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hidden="1" x14ac:dyDescent="0.25">
      <c r="A65" s="40"/>
      <c r="B65" s="13"/>
      <c r="C65" s="13"/>
      <c r="D65" s="13"/>
      <c r="E65" s="13"/>
      <c r="F65" s="16"/>
      <c r="G65" s="80"/>
      <c r="H65" s="41"/>
      <c r="I65" s="6"/>
      <c r="J65" s="6"/>
      <c r="K65" s="5"/>
      <c r="L65" s="2"/>
      <c r="M65" s="23"/>
      <c r="N65" s="30"/>
      <c r="O65" s="5"/>
    </row>
    <row r="66" spans="1:15" hidden="1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hidden="1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hidden="1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hidden="1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0" spans="1:15" hidden="1" x14ac:dyDescent="0.25"/>
    <row r="71" spans="1:15" hidden="1" x14ac:dyDescent="0.25"/>
    <row r="72" spans="1:15" hidden="1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hidden="1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hidden="1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hidden="1" x14ac:dyDescent="0.25">
      <c r="A75" s="40"/>
      <c r="B75" s="13"/>
      <c r="C75" s="13"/>
      <c r="D75" s="13"/>
      <c r="E75" s="13"/>
      <c r="F75" s="16"/>
      <c r="G75" s="80"/>
      <c r="H75" s="41"/>
      <c r="I75" s="6"/>
      <c r="J75" s="6"/>
      <c r="K75" s="5"/>
      <c r="L75" s="6"/>
      <c r="M75" s="23"/>
      <c r="N75" s="30"/>
      <c r="O75" s="5"/>
    </row>
    <row r="76" spans="1:15" hidden="1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hidden="1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hidden="1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hidden="1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hidden="1" x14ac:dyDescent="0.25"/>
    <row r="82" spans="1:15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5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</row>
    <row r="84" spans="1:15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</row>
    <row r="85" spans="1:15" x14ac:dyDescent="0.25">
      <c r="A85" s="40">
        <v>45992</v>
      </c>
      <c r="B85" s="5">
        <v>15.47</v>
      </c>
      <c r="C85" s="5">
        <f>B85-D85</f>
        <v>15.450000000000001</v>
      </c>
      <c r="D85" s="6">
        <v>0.02</v>
      </c>
      <c r="E85" s="13">
        <f>C85/F85</f>
        <v>14.425188586465875</v>
      </c>
      <c r="F85" s="15">
        <v>1.0710431899999999</v>
      </c>
      <c r="G85" s="80"/>
      <c r="H85" s="6"/>
      <c r="I85" s="6"/>
      <c r="J85" s="5"/>
      <c r="K85" s="5"/>
      <c r="L85" s="6"/>
      <c r="M85" s="23"/>
      <c r="N85" s="30"/>
      <c r="O85" s="5"/>
    </row>
    <row r="86" spans="1:15" x14ac:dyDescent="0.25">
      <c r="A86" s="40"/>
      <c r="B86" s="5"/>
      <c r="C86" s="5"/>
      <c r="D86" s="6"/>
      <c r="E86" s="6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5" x14ac:dyDescent="0.25">
      <c r="A87" s="40"/>
      <c r="B87" s="6"/>
      <c r="C87" s="5"/>
      <c r="D87" s="6"/>
      <c r="E87" s="6"/>
      <c r="F87" s="6"/>
      <c r="G87" s="80"/>
      <c r="H87" s="6"/>
      <c r="I87" s="2"/>
      <c r="J87" s="2"/>
      <c r="K87" s="2"/>
      <c r="L87" s="2"/>
      <c r="M87" s="37"/>
      <c r="N87" s="34"/>
      <c r="O87" s="2"/>
    </row>
    <row r="88" spans="1:15" x14ac:dyDescent="0.25">
      <c r="A88" s="40"/>
      <c r="B88" s="6"/>
      <c r="C88" s="5"/>
      <c r="D88" s="6"/>
      <c r="E88" s="5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5" x14ac:dyDescent="0.25">
      <c r="A89" s="3" t="s">
        <v>2</v>
      </c>
      <c r="B89" s="5">
        <f>SUM(B85:B88)</f>
        <v>15.47</v>
      </c>
      <c r="C89" s="5">
        <f t="shared" ref="C89:D89" si="24">SUM(C85:C88)</f>
        <v>15.450000000000001</v>
      </c>
      <c r="D89" s="5">
        <f t="shared" si="24"/>
        <v>0.02</v>
      </c>
      <c r="E89" s="5">
        <f>IF(B89&gt;0,SUMPRODUCT(E85:E88,F85:F88)/SUM(F85:F88),"0.00")</f>
        <v>14.425188586465875</v>
      </c>
      <c r="F89" s="15">
        <f t="shared" ref="F89" si="25">SUM(F85:F88)</f>
        <v>1.0710431899999999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</row>
    <row r="92" spans="1:15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5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5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5" x14ac:dyDescent="0.25">
      <c r="A95" s="40">
        <v>45992</v>
      </c>
      <c r="B95" s="5">
        <v>22.73</v>
      </c>
      <c r="C95" s="5">
        <f>B95-D95</f>
        <v>22.71</v>
      </c>
      <c r="D95" s="6">
        <v>0.02</v>
      </c>
      <c r="E95" s="13">
        <f>C95/F95</f>
        <v>22.71</v>
      </c>
      <c r="F95" s="15">
        <v>1</v>
      </c>
      <c r="G95" s="80"/>
      <c r="H95" s="6"/>
      <c r="I95" s="6"/>
      <c r="J95" s="5"/>
      <c r="K95" s="5"/>
      <c r="L95" s="6"/>
      <c r="M95" s="23"/>
      <c r="N95" s="42">
        <v>46000</v>
      </c>
      <c r="O95" s="5">
        <v>0.59</v>
      </c>
    </row>
    <row r="96" spans="1:15" x14ac:dyDescent="0.25">
      <c r="A96" s="40"/>
      <c r="B96" s="5"/>
      <c r="C96" s="5"/>
      <c r="D96" s="6"/>
      <c r="E96" s="6"/>
      <c r="F96" s="15"/>
      <c r="G96" s="80"/>
      <c r="H96" s="6"/>
      <c r="I96" s="2"/>
      <c r="J96" s="2"/>
      <c r="K96" s="2"/>
      <c r="L96" s="2"/>
      <c r="M96" s="37"/>
      <c r="N96" s="43"/>
      <c r="O96" s="2"/>
    </row>
    <row r="97" spans="1:15" x14ac:dyDescent="0.25">
      <c r="A97" s="40"/>
      <c r="B97" s="6"/>
      <c r="C97" s="5"/>
      <c r="D97" s="6"/>
      <c r="E97" s="6"/>
      <c r="F97" s="15"/>
      <c r="G97" s="80"/>
      <c r="H97" s="6"/>
      <c r="I97" s="2"/>
      <c r="J97" s="2"/>
      <c r="K97" s="2"/>
      <c r="L97" s="2"/>
      <c r="M97" s="37"/>
      <c r="N97" s="43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43"/>
      <c r="O98" s="2"/>
    </row>
    <row r="99" spans="1:15" x14ac:dyDescent="0.25">
      <c r="A99" s="3" t="s">
        <v>2</v>
      </c>
      <c r="B99" s="5">
        <f>SUM(B95:B98)</f>
        <v>22.73</v>
      </c>
      <c r="C99" s="5">
        <f t="shared" ref="C99:D99" si="28">SUM(C95:C98)</f>
        <v>22.71</v>
      </c>
      <c r="D99" s="5">
        <f t="shared" si="28"/>
        <v>0.02</v>
      </c>
      <c r="E99" s="5">
        <f>IF(B99&gt;0,SUMPRODUCT(E95:E98,F95:F98)/SUM(F95:F98),"0.00")</f>
        <v>22.71</v>
      </c>
      <c r="F99" s="15">
        <f t="shared" ref="F99" si="29">SUM(F95:F98)</f>
        <v>1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0.59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45992</v>
      </c>
      <c r="B105" s="5">
        <v>23.21</v>
      </c>
      <c r="C105" s="5">
        <f>B105-D105</f>
        <v>23.19</v>
      </c>
      <c r="D105" s="6">
        <v>0.02</v>
      </c>
      <c r="E105" s="13">
        <f>C105/F105</f>
        <v>23.19</v>
      </c>
      <c r="F105" s="15">
        <v>1</v>
      </c>
      <c r="G105" s="80"/>
      <c r="H105" s="6"/>
      <c r="I105" s="6"/>
      <c r="J105" s="5"/>
      <c r="K105" s="5"/>
      <c r="L105" s="6"/>
      <c r="M105" s="23"/>
      <c r="N105" s="42">
        <v>46000</v>
      </c>
      <c r="O105" s="5">
        <v>0.54</v>
      </c>
    </row>
    <row r="106" spans="1:15" x14ac:dyDescent="0.25">
      <c r="A106" s="40"/>
      <c r="B106" s="5"/>
      <c r="C106" s="5"/>
      <c r="D106" s="6"/>
      <c r="E106" s="6"/>
      <c r="F106" s="15"/>
      <c r="G106" s="80"/>
      <c r="H106" s="6"/>
      <c r="I106" s="2"/>
      <c r="J106" s="2"/>
      <c r="K106" s="2"/>
      <c r="L106" s="2"/>
      <c r="M106" s="37"/>
      <c r="N106" s="43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43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43"/>
      <c r="O108" s="2"/>
    </row>
    <row r="109" spans="1:15" x14ac:dyDescent="0.25">
      <c r="A109" s="3" t="s">
        <v>2</v>
      </c>
      <c r="B109" s="5">
        <f>SUM(B105:B108)</f>
        <v>23.21</v>
      </c>
      <c r="C109" s="5">
        <f t="shared" ref="C109:D109" si="32">SUM(C105:C108)</f>
        <v>23.19</v>
      </c>
      <c r="D109" s="5">
        <f t="shared" si="32"/>
        <v>0.02</v>
      </c>
      <c r="E109" s="5">
        <f>IF(B109&gt;0,SUMPRODUCT(E105:E108,F105:F108)/SUM(F105:F108),"0.00")</f>
        <v>23.19</v>
      </c>
      <c r="F109" s="15">
        <f t="shared" ref="F109" si="33">SUM(F105:F108)</f>
        <v>1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0.54</v>
      </c>
    </row>
  </sheetData>
  <mergeCells count="58">
    <mergeCell ref="A12:O12"/>
    <mergeCell ref="Q2:W2"/>
    <mergeCell ref="A13:F13"/>
    <mergeCell ref="G13:G19"/>
    <mergeCell ref="H13:L13"/>
    <mergeCell ref="N13:O13"/>
    <mergeCell ref="Q3:Q4"/>
    <mergeCell ref="R3:R4"/>
    <mergeCell ref="S3:S4"/>
    <mergeCell ref="T3:T4"/>
    <mergeCell ref="U3:V3"/>
    <mergeCell ref="W3:W4"/>
    <mergeCell ref="A22:O22"/>
    <mergeCell ref="A23:F23"/>
    <mergeCell ref="G23:G29"/>
    <mergeCell ref="H23:L23"/>
    <mergeCell ref="N23:O23"/>
    <mergeCell ref="A53:F53"/>
    <mergeCell ref="G53:G59"/>
    <mergeCell ref="H53:K53"/>
    <mergeCell ref="N53:O53"/>
    <mergeCell ref="A32:O32"/>
    <mergeCell ref="A33:F33"/>
    <mergeCell ref="G33:G39"/>
    <mergeCell ref="H33:K33"/>
    <mergeCell ref="N33:O33"/>
    <mergeCell ref="A42:O42"/>
    <mergeCell ref="A43:F43"/>
    <mergeCell ref="G43:G49"/>
    <mergeCell ref="H43:K43"/>
    <mergeCell ref="N43:O43"/>
    <mergeCell ref="A52:O52"/>
    <mergeCell ref="A73:F73"/>
    <mergeCell ref="G73:G79"/>
    <mergeCell ref="H73:K73"/>
    <mergeCell ref="N73:O73"/>
    <mergeCell ref="A82:O82"/>
    <mergeCell ref="A63:F63"/>
    <mergeCell ref="G63:G69"/>
    <mergeCell ref="H63:K63"/>
    <mergeCell ref="N63:O63"/>
    <mergeCell ref="A72:O72"/>
    <mergeCell ref="X3:X4"/>
    <mergeCell ref="A103:F103"/>
    <mergeCell ref="G103:G109"/>
    <mergeCell ref="H103:K103"/>
    <mergeCell ref="N103:O103"/>
    <mergeCell ref="A92:O92"/>
    <mergeCell ref="A93:F93"/>
    <mergeCell ref="G93:G99"/>
    <mergeCell ref="H93:K93"/>
    <mergeCell ref="N93:O93"/>
    <mergeCell ref="A102:O102"/>
    <mergeCell ref="A83:F83"/>
    <mergeCell ref="G83:G89"/>
    <mergeCell ref="H83:K83"/>
    <mergeCell ref="N83:O83"/>
    <mergeCell ref="A62:O62"/>
  </mergeCells>
  <hyperlinks>
    <hyperlink ref="A12:O12" location="NADQ!A1" display="NADQ Amundi Nasdaq-100 UCITS ETF (Dist)" xr:uid="{F65B8075-311A-41DF-9136-E93A2B7E0B73}"/>
    <hyperlink ref="A22:O22" location="QDVE!A1" display="QDVE iShares S&amp;P 500 Inf. Tech. Sector UCITS ETF (Acc)" xr:uid="{C09E896D-9A70-4215-8190-958D456178A6}"/>
    <hyperlink ref="A32:O32" location="VWCE!A1" display="VWCE Vanguard FTSE All-World UCITS ETF (Acc)" xr:uid="{1735BE3F-2223-47A0-A744-6C8169FA7819}"/>
    <hyperlink ref="A42:O42" location="XDEQ!A1" display="XDEQ Xtarckers MSCI World Quality UCITS ETF (Acc)" xr:uid="{43C7843E-8E58-4318-B131-EC6D5EA30705}"/>
    <hyperlink ref="A52:O52" location="VUAA!A1" display="VUAA Vanguard S&amp;P 500 UCITS ETF (Acc)" xr:uid="{3165E415-5E72-4C86-90BB-2C33E7404048}"/>
    <hyperlink ref="A62:O62" location="XDWT!A1" display="XDWT Xtrackers MSCI World Information Tech. ETF (Acc)" xr:uid="{DFE1B9D5-8AE3-44DA-B6F1-165FCD5FF184}"/>
    <hyperlink ref="A72:O72" location="XAIX!A1" display="XAIX Xtrackers Artificial Intell. and Big Data ETF (Acc)" xr:uid="{E4B717B3-8FF6-4DF2-888F-BD132ADBA14C}"/>
    <hyperlink ref="A82:O82" location="SPYL!A1" display="SPYL SPDR S&amp;P 500 UCITS (Acc)" xr:uid="{0B3BC5F4-4E15-4146-A046-9E6C3A769757}"/>
    <hyperlink ref="A92:O92" location="JEQP!A1" display="JEQP JPM Nasdaq Equity Premium Income Active UCITS ETF - USD (Dist)" xr:uid="{112B26B9-DFE5-4307-87F0-ADC243EB792C}"/>
    <hyperlink ref="A102:O102" location="JGPI!A1" display="JGPI JPM Global Equity Premium Income Active UCITS ETF - USD (Dist)" xr:uid="{806B465E-A403-465F-BD5A-52348C7C08DD}"/>
  </hyperlinks>
  <pageMargins left="0.7" right="0.7" top="0.75" bottom="0.75" header="0.3" footer="0.3"/>
  <pageSetup orientation="portrait" horizontalDpi="4294967293" r:id="rId1"/>
  <ignoredErrors>
    <ignoredError sqref="E109 E99 E89 E19 E29 E39 E49 E59 E69 E79" formula="1"/>
    <ignoredError sqref="Q2:Z5" numberStoredAsText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109"/>
  <sheetViews>
    <sheetView topLeftCell="A63" workbookViewId="0">
      <selection activeCell="B85" sqref="B85:B88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41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106.39</v>
      </c>
      <c r="R5" s="5">
        <v>0</v>
      </c>
      <c r="S5" s="5">
        <f>C19+C29+C39+C49+C59+C69+C79+C89+C99+C109</f>
        <v>440.90999999999997</v>
      </c>
      <c r="T5" s="5">
        <f>I19+I29+I39+I49+I59+I69+I79+I89+I99+I109</f>
        <v>343.07</v>
      </c>
      <c r="U5" s="5">
        <f>D19+D29+D39+D49+D59+D69+D79+D89+D99+D109</f>
        <v>0.43000000000000005</v>
      </c>
      <c r="V5" s="5">
        <f>J19+J29+J39+J49+J59+J69+J79+J89+J99+J109</f>
        <v>0.32000000000000006</v>
      </c>
      <c r="W5" s="5">
        <f>O19+O29+O39+O49+O59+O69+O79+O89+O99+O109</f>
        <v>0</v>
      </c>
      <c r="X5" s="5">
        <f>Q5-S5-U5+T5-V5</f>
        <v>7.8000000000000043</v>
      </c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41">
        <v>45968</v>
      </c>
      <c r="I15" s="6">
        <v>22.13</v>
      </c>
      <c r="J15" s="5">
        <v>0</v>
      </c>
      <c r="K15" s="5">
        <f>I15/L15</f>
        <v>231.19689157712008</v>
      </c>
      <c r="L15" s="6">
        <v>9.5719280000000004E-2</v>
      </c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41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41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41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22.13</v>
      </c>
      <c r="J19" s="5">
        <f t="shared" ref="J19:L19" si="0">SUM(J15:J18)</f>
        <v>0</v>
      </c>
      <c r="K19" s="6"/>
      <c r="L19" s="15">
        <f t="shared" si="0"/>
        <v>9.5719280000000004E-2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40">
        <v>45965</v>
      </c>
      <c r="B25" s="5">
        <v>20.8</v>
      </c>
      <c r="C25" s="5">
        <f>B25-D25</f>
        <v>20.78</v>
      </c>
      <c r="D25" s="5">
        <v>0.02</v>
      </c>
      <c r="E25" s="5">
        <f>C25/F25</f>
        <v>37.715000230228476</v>
      </c>
      <c r="F25" s="15">
        <v>0.55097441000000003</v>
      </c>
      <c r="G25" s="80"/>
      <c r="H25" s="41">
        <v>45973</v>
      </c>
      <c r="I25" s="6">
        <v>107.33</v>
      </c>
      <c r="J25" s="6">
        <v>0.11</v>
      </c>
      <c r="K25" s="5">
        <f>I25/L25</f>
        <v>37.044797766916254</v>
      </c>
      <c r="L25" s="6">
        <v>2.8973029000000001</v>
      </c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41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41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41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20.8</v>
      </c>
      <c r="C29" s="5">
        <f t="shared" ref="C29:D29" si="1">SUM(C25:C28)</f>
        <v>20.78</v>
      </c>
      <c r="D29" s="5">
        <f t="shared" si="1"/>
        <v>0.02</v>
      </c>
      <c r="E29" s="5">
        <f>IF(B29&gt;0,SUMPRODUCT(E25:E28,F25:F28)/SUM(F25:F28),"0.00")</f>
        <v>37.715000230228476</v>
      </c>
      <c r="F29" s="15">
        <f t="shared" ref="F29" si="2">SUM(F25:F28)</f>
        <v>0.55097441000000003</v>
      </c>
      <c r="G29" s="81"/>
      <c r="H29" s="3" t="s">
        <v>2</v>
      </c>
      <c r="I29" s="5">
        <f>SUM(I25:I28)</f>
        <v>107.33</v>
      </c>
      <c r="J29" s="5">
        <f t="shared" ref="J29" si="3">SUM(J25:J28)</f>
        <v>0.11</v>
      </c>
      <c r="K29" s="6"/>
      <c r="L29" s="15">
        <f t="shared" ref="L29" si="4">SUM(L25:L28)</f>
        <v>2.8973029000000001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40">
        <v>45965</v>
      </c>
      <c r="B35" s="5">
        <v>10</v>
      </c>
      <c r="C35" s="5">
        <f>B35-D35</f>
        <v>9.99</v>
      </c>
      <c r="D35" s="6">
        <v>0.01</v>
      </c>
      <c r="E35" s="5">
        <f>C35/F35</f>
        <v>144.80004765791361</v>
      </c>
      <c r="F35" s="15">
        <v>6.8991689999999994E-2</v>
      </c>
      <c r="G35" s="87"/>
      <c r="H35" s="41">
        <v>45973</v>
      </c>
      <c r="I35" s="6">
        <v>106.23</v>
      </c>
      <c r="J35" s="6">
        <v>0.11</v>
      </c>
      <c r="K35" s="5">
        <f>I35/L35</f>
        <v>145.89520683636124</v>
      </c>
      <c r="L35" s="6">
        <v>0.72812536000000005</v>
      </c>
      <c r="M35" s="23"/>
      <c r="N35" s="30"/>
      <c r="O35" s="5"/>
    </row>
    <row r="36" spans="1:15" x14ac:dyDescent="0.25">
      <c r="A36" s="40">
        <v>45968</v>
      </c>
      <c r="B36" s="5">
        <v>30</v>
      </c>
      <c r="C36" s="5">
        <f>B36-D36</f>
        <v>29.97</v>
      </c>
      <c r="D36" s="6">
        <v>0.03</v>
      </c>
      <c r="E36" s="5">
        <f>C36/F36</f>
        <v>143.84000499144494</v>
      </c>
      <c r="F36" s="15">
        <v>0.2083565</v>
      </c>
      <c r="G36" s="87"/>
      <c r="H36" s="41"/>
      <c r="I36" s="2"/>
      <c r="J36" s="2"/>
      <c r="K36" s="2"/>
      <c r="L36" s="2"/>
      <c r="M36" s="37"/>
      <c r="N36" s="34"/>
      <c r="O36" s="2"/>
    </row>
    <row r="37" spans="1:15" x14ac:dyDescent="0.25">
      <c r="A37" s="40">
        <v>45968</v>
      </c>
      <c r="B37" s="6">
        <v>32.520000000000003</v>
      </c>
      <c r="C37" s="5">
        <f>B37-D37</f>
        <v>32.49</v>
      </c>
      <c r="D37" s="6">
        <v>0.03</v>
      </c>
      <c r="E37" s="5">
        <f>C37/F37</f>
        <v>143.86000070756629</v>
      </c>
      <c r="F37" s="6">
        <v>0.22584456999999999</v>
      </c>
      <c r="G37" s="87"/>
      <c r="H37" s="41"/>
      <c r="I37" s="2"/>
      <c r="J37" s="2"/>
      <c r="K37" s="2"/>
      <c r="L37" s="2"/>
      <c r="M37" s="37"/>
      <c r="N37" s="34"/>
      <c r="O37" s="2"/>
    </row>
    <row r="38" spans="1:15" x14ac:dyDescent="0.25">
      <c r="A38" s="2"/>
      <c r="B38" s="6"/>
      <c r="C38" s="2"/>
      <c r="D38" s="2"/>
      <c r="E38" s="6"/>
      <c r="F38" s="6"/>
      <c r="G38" s="87"/>
      <c r="H38" s="41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72.52000000000001</v>
      </c>
      <c r="C39" s="5">
        <f t="shared" ref="C39:F39" si="5">SUM(C35:C38)</f>
        <v>72.45</v>
      </c>
      <c r="D39" s="5">
        <f t="shared" si="5"/>
        <v>7.0000000000000007E-2</v>
      </c>
      <c r="E39" s="5">
        <f>IF(B39&gt;0,SUMPRODUCT(E35:E38,F35:F38)/SUM(F35:F38),"0.00")</f>
        <v>143.98060894198875</v>
      </c>
      <c r="F39" s="15">
        <f t="shared" si="5"/>
        <v>0.50319276000000002</v>
      </c>
      <c r="G39" s="87"/>
      <c r="H39" s="3" t="s">
        <v>2</v>
      </c>
      <c r="I39" s="5">
        <f>SUM(I35:I38)</f>
        <v>106.23</v>
      </c>
      <c r="J39" s="5">
        <f t="shared" ref="J39" si="6">SUM(J35:J38)</f>
        <v>0.11</v>
      </c>
      <c r="K39" s="6"/>
      <c r="L39" s="15">
        <f t="shared" ref="L39" si="7">SUM(L35:L38)</f>
        <v>0.72812536000000005</v>
      </c>
      <c r="M39" s="38"/>
      <c r="N39" s="3" t="s">
        <v>2</v>
      </c>
      <c r="O39" s="5">
        <f>SUM(O35:O38)</f>
        <v>0</v>
      </c>
    </row>
    <row r="40" spans="1:15" x14ac:dyDescent="0.25">
      <c r="A40" s="39"/>
      <c r="B40" s="9"/>
      <c r="E40" s="1"/>
      <c r="F40" s="11"/>
    </row>
    <row r="42" spans="1:15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x14ac:dyDescent="0.25">
      <c r="A45" s="28"/>
      <c r="B45" s="13"/>
      <c r="C45" s="5"/>
      <c r="D45" s="5"/>
      <c r="E45" s="13"/>
      <c r="F45" s="16"/>
      <c r="G45" s="80"/>
      <c r="H45" s="41">
        <v>45965</v>
      </c>
      <c r="I45" s="6">
        <v>20.82</v>
      </c>
      <c r="J45" s="6">
        <v>0.02</v>
      </c>
      <c r="K45" s="5">
        <f>I45/L45</f>
        <v>67.968832405476064</v>
      </c>
      <c r="L45" s="6">
        <v>0.30631687000000002</v>
      </c>
      <c r="M45" s="23"/>
      <c r="N45" s="30"/>
      <c r="O45" s="5"/>
    </row>
    <row r="46" spans="1:15" x14ac:dyDescent="0.25">
      <c r="A46" s="10"/>
      <c r="B46" s="5"/>
      <c r="C46" s="2"/>
      <c r="D46" s="2"/>
      <c r="E46" s="6"/>
      <c r="F46" s="8"/>
      <c r="G46" s="80"/>
      <c r="H46" s="41"/>
      <c r="I46" s="2"/>
      <c r="J46" s="2"/>
      <c r="K46" s="2"/>
      <c r="L46" s="2"/>
      <c r="M46" s="37"/>
      <c r="N46" s="34"/>
      <c r="O46" s="2"/>
    </row>
    <row r="47" spans="1:15" ht="16.5" x14ac:dyDescent="0.3">
      <c r="A47" s="4"/>
      <c r="B47" s="5"/>
      <c r="C47" s="2"/>
      <c r="D47" s="2"/>
      <c r="E47" s="6"/>
      <c r="F47" s="8"/>
      <c r="G47" s="80"/>
      <c r="H47" s="41"/>
      <c r="I47" s="2"/>
      <c r="J47" s="2"/>
      <c r="K47" s="2"/>
      <c r="L47" s="2"/>
      <c r="M47" s="37"/>
      <c r="N47" s="34"/>
      <c r="O47" s="2"/>
    </row>
    <row r="48" spans="1:15" x14ac:dyDescent="0.25">
      <c r="A48" s="2"/>
      <c r="B48" s="6"/>
      <c r="C48" s="2"/>
      <c r="D48" s="2"/>
      <c r="E48" s="6"/>
      <c r="F48" s="6"/>
      <c r="G48" s="80"/>
      <c r="H48" s="41"/>
      <c r="I48" s="2"/>
      <c r="J48" s="2"/>
      <c r="K48" s="2"/>
      <c r="L48" s="2"/>
      <c r="M48" s="37"/>
      <c r="N48" s="34"/>
      <c r="O48" s="2"/>
    </row>
    <row r="49" spans="1:15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20.82</v>
      </c>
      <c r="J49" s="5">
        <f t="shared" ref="J49" si="10">SUM(J45:J48)</f>
        <v>0.02</v>
      </c>
      <c r="K49" s="6"/>
      <c r="L49" s="15">
        <f t="shared" ref="L49" si="11">SUM(L45:L48)</f>
        <v>0.30631687000000002</v>
      </c>
      <c r="M49" s="38"/>
      <c r="N49" s="3" t="s">
        <v>2</v>
      </c>
      <c r="O49" s="5">
        <f>SUM(O45:O48)</f>
        <v>0</v>
      </c>
    </row>
    <row r="52" spans="1:15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x14ac:dyDescent="0.25">
      <c r="A55" s="28"/>
      <c r="B55" s="13"/>
      <c r="C55" s="5"/>
      <c r="D55" s="5"/>
      <c r="E55" s="13"/>
      <c r="F55" s="16"/>
      <c r="G55" s="80"/>
      <c r="H55" s="41">
        <v>45965</v>
      </c>
      <c r="I55" s="6">
        <v>21.37</v>
      </c>
      <c r="J55" s="6">
        <v>0.02</v>
      </c>
      <c r="K55" s="5">
        <f>I55/L55</f>
        <v>112.91008167620485</v>
      </c>
      <c r="L55" s="6">
        <v>0.18926565000000001</v>
      </c>
      <c r="M55" s="23"/>
      <c r="N55" s="30"/>
      <c r="O55" s="5"/>
    </row>
    <row r="56" spans="1:15" x14ac:dyDescent="0.25">
      <c r="A56" s="10"/>
      <c r="B56" s="5"/>
      <c r="C56" s="2"/>
      <c r="D56" s="2"/>
      <c r="E56" s="6"/>
      <c r="F56" s="8"/>
      <c r="G56" s="80"/>
      <c r="H56" s="41"/>
      <c r="I56" s="2"/>
      <c r="J56" s="2"/>
      <c r="K56" s="2"/>
      <c r="L56" s="2"/>
      <c r="M56" s="37"/>
      <c r="N56" s="34"/>
      <c r="O56" s="2"/>
    </row>
    <row r="57" spans="1:15" ht="16.5" x14ac:dyDescent="0.3">
      <c r="A57" s="4"/>
      <c r="B57" s="5"/>
      <c r="C57" s="2"/>
      <c r="D57" s="2"/>
      <c r="E57" s="6"/>
      <c r="F57" s="8"/>
      <c r="G57" s="80"/>
      <c r="H57" s="41"/>
      <c r="I57" s="2"/>
      <c r="J57" s="2"/>
      <c r="K57" s="2"/>
      <c r="L57" s="2"/>
      <c r="M57" s="37"/>
      <c r="N57" s="34"/>
      <c r="O57" s="2"/>
    </row>
    <row r="58" spans="1:15" x14ac:dyDescent="0.25">
      <c r="A58" s="2"/>
      <c r="B58" s="6"/>
      <c r="C58" s="2"/>
      <c r="D58" s="2"/>
      <c r="E58" s="6"/>
      <c r="F58" s="6"/>
      <c r="G58" s="80"/>
      <c r="H58" s="41"/>
      <c r="I58" s="2"/>
      <c r="J58" s="2"/>
      <c r="K58" s="2"/>
      <c r="L58" s="2"/>
      <c r="M58" s="37"/>
      <c r="N58" s="34"/>
      <c r="O58" s="2"/>
    </row>
    <row r="59" spans="1:15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21.37</v>
      </c>
      <c r="J59" s="5">
        <f t="shared" ref="J59" si="14">SUM(J55:J58)</f>
        <v>0.02</v>
      </c>
      <c r="K59" s="6"/>
      <c r="L59" s="15">
        <f t="shared" ref="L59" si="15">SUM(L55:L58)</f>
        <v>0.18926565000000001</v>
      </c>
      <c r="M59" s="38"/>
      <c r="N59" s="3" t="s">
        <v>2</v>
      </c>
      <c r="O59" s="5">
        <f>SUM(O55:O58)</f>
        <v>0</v>
      </c>
    </row>
    <row r="60" spans="1:15" x14ac:dyDescent="0.25">
      <c r="B60" s="9"/>
      <c r="E60" s="1"/>
      <c r="F60" s="11"/>
    </row>
    <row r="61" spans="1:15" x14ac:dyDescent="0.25">
      <c r="B61" s="1"/>
      <c r="E61" s="1"/>
      <c r="F61" s="1"/>
    </row>
    <row r="62" spans="1:15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x14ac:dyDescent="0.25">
      <c r="A65" s="40"/>
      <c r="B65" s="13"/>
      <c r="C65" s="13"/>
      <c r="D65" s="13"/>
      <c r="E65" s="13"/>
      <c r="F65" s="16"/>
      <c r="G65" s="80"/>
      <c r="H65" s="41">
        <v>45968</v>
      </c>
      <c r="I65" s="6">
        <v>32.549999999999997</v>
      </c>
      <c r="J65" s="6">
        <v>0.03</v>
      </c>
      <c r="K65" s="5">
        <f>I65/L65</f>
        <v>102.73547483721003</v>
      </c>
      <c r="L65" s="2">
        <v>0.31683310999999997</v>
      </c>
      <c r="M65" s="23"/>
      <c r="N65" s="30"/>
      <c r="O65" s="5"/>
    </row>
    <row r="66" spans="1:15" x14ac:dyDescent="0.25">
      <c r="A66" s="40"/>
      <c r="B66" s="5"/>
      <c r="C66" s="6"/>
      <c r="D66" s="6"/>
      <c r="E66" s="13"/>
      <c r="F66" s="15"/>
      <c r="G66" s="80"/>
      <c r="H66" s="41"/>
      <c r="I66" s="2"/>
      <c r="J66" s="2"/>
      <c r="K66" s="2"/>
      <c r="L66" s="2"/>
      <c r="M66" s="37"/>
      <c r="N66" s="34"/>
      <c r="O66" s="2"/>
    </row>
    <row r="67" spans="1:15" x14ac:dyDescent="0.25">
      <c r="A67" s="17"/>
      <c r="B67" s="5"/>
      <c r="C67" s="2"/>
      <c r="D67" s="2"/>
      <c r="E67" s="6"/>
      <c r="F67" s="8"/>
      <c r="G67" s="80"/>
      <c r="H67" s="41"/>
      <c r="I67" s="2"/>
      <c r="J67" s="2"/>
      <c r="K67" s="2"/>
      <c r="L67" s="2"/>
      <c r="M67" s="37"/>
      <c r="N67" s="34"/>
      <c r="O67" s="2"/>
    </row>
    <row r="68" spans="1:15" x14ac:dyDescent="0.25">
      <c r="A68" s="2"/>
      <c r="B68" s="6"/>
      <c r="C68" s="2"/>
      <c r="D68" s="2"/>
      <c r="E68" s="6"/>
      <c r="F68" s="6"/>
      <c r="G68" s="80"/>
      <c r="H68" s="41"/>
      <c r="I68" s="2"/>
      <c r="J68" s="2"/>
      <c r="K68" s="2"/>
      <c r="L68" s="2"/>
      <c r="M68" s="37"/>
      <c r="N68" s="34"/>
      <c r="O68" s="2"/>
    </row>
    <row r="69" spans="1:15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32.549999999999997</v>
      </c>
      <c r="J69" s="5">
        <f t="shared" ref="J69" si="18">SUM(J65:J68)</f>
        <v>0.03</v>
      </c>
      <c r="K69" s="6"/>
      <c r="L69" s="15">
        <f t="shared" ref="L69" si="19">SUM(L65:L68)</f>
        <v>0.31683310999999997</v>
      </c>
      <c r="M69" s="38"/>
      <c r="N69" s="3" t="s">
        <v>2</v>
      </c>
      <c r="O69" s="5">
        <f>SUM(O65:O68)</f>
        <v>0</v>
      </c>
    </row>
    <row r="72" spans="1:15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x14ac:dyDescent="0.25">
      <c r="A75" s="40"/>
      <c r="B75" s="13"/>
      <c r="C75" s="13"/>
      <c r="D75" s="13"/>
      <c r="E75" s="13"/>
      <c r="F75" s="16"/>
      <c r="G75" s="80"/>
      <c r="H75" s="41">
        <v>45968</v>
      </c>
      <c r="I75" s="6">
        <v>32.64</v>
      </c>
      <c r="J75" s="6">
        <v>0.03</v>
      </c>
      <c r="K75" s="5">
        <f>I75/L75</f>
        <v>155.77027206442477</v>
      </c>
      <c r="L75" s="6">
        <v>0.20953933999999999</v>
      </c>
      <c r="M75" s="23"/>
      <c r="N75" s="30"/>
      <c r="O75" s="5"/>
    </row>
    <row r="76" spans="1:15" x14ac:dyDescent="0.25">
      <c r="A76" s="40"/>
      <c r="B76" s="5"/>
      <c r="C76" s="6"/>
      <c r="D76" s="6"/>
      <c r="E76" s="13"/>
      <c r="F76" s="15"/>
      <c r="G76" s="80"/>
      <c r="H76" s="41"/>
      <c r="I76" s="2"/>
      <c r="J76" s="2"/>
      <c r="K76" s="2"/>
      <c r="L76" s="2"/>
      <c r="M76" s="37"/>
      <c r="N76" s="34"/>
      <c r="O76" s="2"/>
    </row>
    <row r="77" spans="1:15" x14ac:dyDescent="0.25">
      <c r="A77" s="17"/>
      <c r="B77" s="5"/>
      <c r="C77" s="2"/>
      <c r="D77" s="2"/>
      <c r="E77" s="6"/>
      <c r="F77" s="8"/>
      <c r="G77" s="80"/>
      <c r="H77" s="41"/>
      <c r="I77" s="2"/>
      <c r="J77" s="2"/>
      <c r="K77" s="2"/>
      <c r="L77" s="2"/>
      <c r="M77" s="37"/>
      <c r="N77" s="34"/>
      <c r="O77" s="2"/>
    </row>
    <row r="78" spans="1:15" x14ac:dyDescent="0.25">
      <c r="A78" s="2"/>
      <c r="B78" s="6"/>
      <c r="C78" s="2"/>
      <c r="D78" s="2"/>
      <c r="E78" s="6"/>
      <c r="F78" s="6"/>
      <c r="G78" s="80"/>
      <c r="H78" s="41"/>
      <c r="I78" s="2"/>
      <c r="J78" s="2"/>
      <c r="K78" s="2"/>
      <c r="L78" s="2"/>
      <c r="M78" s="37"/>
      <c r="N78" s="34"/>
      <c r="O78" s="2"/>
    </row>
    <row r="79" spans="1:15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32.64</v>
      </c>
      <c r="J79" s="5">
        <f t="shared" ref="J79" si="22">SUM(J75:J78)</f>
        <v>0.03</v>
      </c>
      <c r="K79" s="6"/>
      <c r="L79" s="15">
        <f t="shared" ref="L79" si="23">SUM(L75:L78)</f>
        <v>0.20953933999999999</v>
      </c>
      <c r="M79" s="38"/>
      <c r="N79" s="3" t="s">
        <v>2</v>
      </c>
      <c r="O79" s="5">
        <f>SUM(O75:O78)</f>
        <v>0</v>
      </c>
    </row>
    <row r="82" spans="1:15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5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</row>
    <row r="84" spans="1:15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</row>
    <row r="85" spans="1:15" x14ac:dyDescent="0.25">
      <c r="A85" s="40">
        <v>45965</v>
      </c>
      <c r="B85" s="5">
        <v>10</v>
      </c>
      <c r="C85" s="5">
        <f>B85-D85</f>
        <v>9.99</v>
      </c>
      <c r="D85" s="6">
        <v>0.01</v>
      </c>
      <c r="E85" s="13">
        <f>C85/F85</f>
        <v>14.472000156454055</v>
      </c>
      <c r="F85" s="15">
        <v>0.69029850000000004</v>
      </c>
      <c r="G85" s="80"/>
      <c r="H85" s="6"/>
      <c r="I85" s="6"/>
      <c r="J85" s="5"/>
      <c r="K85" s="5"/>
      <c r="L85" s="6"/>
      <c r="M85" s="23"/>
      <c r="N85" s="30"/>
      <c r="O85" s="5"/>
    </row>
    <row r="86" spans="1:15" x14ac:dyDescent="0.25">
      <c r="A86" s="40">
        <v>45965</v>
      </c>
      <c r="B86" s="5">
        <v>21.35</v>
      </c>
      <c r="C86" s="5">
        <f>B86-D86</f>
        <v>21.330000000000002</v>
      </c>
      <c r="D86" s="6">
        <v>0.02</v>
      </c>
      <c r="E86" s="6">
        <f>C86/F86</f>
        <v>14.470000023268684</v>
      </c>
      <c r="F86" s="15">
        <v>1.4740843100000001</v>
      </c>
      <c r="G86" s="80"/>
      <c r="H86" s="6"/>
      <c r="I86" s="2"/>
      <c r="J86" s="2"/>
      <c r="K86" s="2"/>
      <c r="L86" s="2"/>
      <c r="M86" s="37"/>
      <c r="N86" s="34"/>
      <c r="O86" s="2"/>
    </row>
    <row r="87" spans="1:15" x14ac:dyDescent="0.25">
      <c r="A87" s="40">
        <v>45968</v>
      </c>
      <c r="B87" s="6">
        <v>24.74</v>
      </c>
      <c r="C87" s="5">
        <f>B87-D87</f>
        <v>24.72</v>
      </c>
      <c r="D87" s="6">
        <v>0.02</v>
      </c>
      <c r="E87" s="6">
        <f>C87/F87</f>
        <v>14.380000016753398</v>
      </c>
      <c r="F87" s="6">
        <v>1.71905424</v>
      </c>
      <c r="G87" s="80"/>
      <c r="H87" s="6"/>
      <c r="I87" s="2"/>
      <c r="J87" s="2"/>
      <c r="K87" s="2"/>
      <c r="L87" s="2"/>
      <c r="M87" s="37"/>
      <c r="N87" s="34"/>
      <c r="O87" s="2"/>
    </row>
    <row r="88" spans="1:15" x14ac:dyDescent="0.25">
      <c r="A88" s="40">
        <v>45973</v>
      </c>
      <c r="B88" s="6">
        <v>107.22</v>
      </c>
      <c r="C88" s="5">
        <f>B88-D88</f>
        <v>107.11</v>
      </c>
      <c r="D88" s="6">
        <v>0.11</v>
      </c>
      <c r="E88" s="5">
        <f>C88/F88</f>
        <v>14.602000009398393</v>
      </c>
      <c r="F88" s="6">
        <v>7.3352965299999999</v>
      </c>
      <c r="G88" s="80"/>
      <c r="H88" s="6"/>
      <c r="I88" s="2"/>
      <c r="J88" s="2"/>
      <c r="K88" s="2"/>
      <c r="L88" s="2"/>
      <c r="M88" s="37"/>
      <c r="N88" s="34"/>
      <c r="O88" s="2"/>
    </row>
    <row r="89" spans="1:15" x14ac:dyDescent="0.25">
      <c r="A89" s="3" t="s">
        <v>2</v>
      </c>
      <c r="B89" s="5">
        <f>SUM(B85:B88)</f>
        <v>163.31</v>
      </c>
      <c r="C89" s="5">
        <f t="shared" ref="C89:D89" si="24">SUM(C85:C88)</f>
        <v>163.15</v>
      </c>
      <c r="D89" s="5">
        <f t="shared" si="24"/>
        <v>0.16</v>
      </c>
      <c r="E89" s="5">
        <f>IF(B89&gt;0,SUMPRODUCT(E85:E88,F85:F88)/SUM(F85:F88),"0.00")</f>
        <v>14.542639669316401</v>
      </c>
      <c r="F89" s="15">
        <f t="shared" ref="F89" si="25">SUM(F85:F88)</f>
        <v>11.21873358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</row>
    <row r="92" spans="1:15" x14ac:dyDescent="0.25">
      <c r="A92" s="76" t="s">
        <v>50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8"/>
    </row>
    <row r="93" spans="1:15" x14ac:dyDescent="0.25">
      <c r="A93" s="69" t="s">
        <v>14</v>
      </c>
      <c r="B93" s="71"/>
      <c r="C93" s="71"/>
      <c r="D93" s="71"/>
      <c r="E93" s="71"/>
      <c r="F93" s="70"/>
      <c r="G93" s="79"/>
      <c r="H93" s="72" t="s">
        <v>37</v>
      </c>
      <c r="I93" s="72"/>
      <c r="J93" s="72"/>
      <c r="K93" s="72"/>
      <c r="L93" s="2"/>
      <c r="M93" s="35"/>
      <c r="N93" s="69" t="s">
        <v>49</v>
      </c>
      <c r="O93" s="70"/>
    </row>
    <row r="94" spans="1:15" x14ac:dyDescent="0.25">
      <c r="A94" s="31" t="s">
        <v>42</v>
      </c>
      <c r="B94" s="3" t="s">
        <v>3</v>
      </c>
      <c r="C94" s="3" t="s">
        <v>8</v>
      </c>
      <c r="D94" s="3" t="s">
        <v>7</v>
      </c>
      <c r="E94" s="3" t="s">
        <v>0</v>
      </c>
      <c r="F94" s="3" t="s">
        <v>1</v>
      </c>
      <c r="G94" s="80"/>
      <c r="H94" s="31" t="s">
        <v>42</v>
      </c>
      <c r="I94" s="3" t="s">
        <v>38</v>
      </c>
      <c r="J94" s="3" t="s">
        <v>7</v>
      </c>
      <c r="K94" s="3" t="s">
        <v>0</v>
      </c>
      <c r="L94" s="3" t="s">
        <v>1</v>
      </c>
      <c r="M94" s="36"/>
      <c r="N94" s="22" t="s">
        <v>42</v>
      </c>
      <c r="O94" s="3" t="s">
        <v>38</v>
      </c>
    </row>
    <row r="95" spans="1:15" x14ac:dyDescent="0.25">
      <c r="A95" s="40">
        <v>45972</v>
      </c>
      <c r="B95" s="5">
        <v>23.14</v>
      </c>
      <c r="C95" s="5">
        <f>B95-D95</f>
        <v>23.12</v>
      </c>
      <c r="D95" s="6">
        <v>0.02</v>
      </c>
      <c r="E95" s="13">
        <f>C95/F95</f>
        <v>23.12</v>
      </c>
      <c r="F95" s="15">
        <v>1</v>
      </c>
      <c r="G95" s="80"/>
      <c r="H95" s="6"/>
      <c r="I95" s="6"/>
      <c r="J95" s="5"/>
      <c r="K95" s="5"/>
      <c r="L95" s="6"/>
      <c r="M95" s="23"/>
      <c r="N95" s="30"/>
      <c r="O95" s="5"/>
    </row>
    <row r="96" spans="1:15" x14ac:dyDescent="0.25">
      <c r="A96" s="40">
        <v>45973</v>
      </c>
      <c r="B96" s="5">
        <v>46.6</v>
      </c>
      <c r="C96" s="5">
        <v>46.55</v>
      </c>
      <c r="D96" s="6">
        <v>0.05</v>
      </c>
      <c r="E96" s="6">
        <v>23.28</v>
      </c>
      <c r="F96" s="15">
        <v>2</v>
      </c>
      <c r="G96" s="80"/>
      <c r="H96" s="6"/>
      <c r="I96" s="2"/>
      <c r="J96" s="2"/>
      <c r="K96" s="2"/>
      <c r="L96" s="2"/>
      <c r="M96" s="37"/>
      <c r="N96" s="34"/>
      <c r="O96" s="2"/>
    </row>
    <row r="97" spans="1:15" x14ac:dyDescent="0.25">
      <c r="A97" s="40">
        <v>45979</v>
      </c>
      <c r="B97" s="6">
        <v>22.25</v>
      </c>
      <c r="C97" s="5">
        <v>22.23</v>
      </c>
      <c r="D97" s="6">
        <v>0.02</v>
      </c>
      <c r="E97" s="6">
        <v>22.23</v>
      </c>
      <c r="F97" s="15">
        <v>1</v>
      </c>
      <c r="G97" s="80"/>
      <c r="H97" s="6"/>
      <c r="I97" s="2"/>
      <c r="J97" s="2"/>
      <c r="K97" s="2"/>
      <c r="L97" s="2"/>
      <c r="M97" s="37"/>
      <c r="N97" s="34"/>
      <c r="O97" s="2"/>
    </row>
    <row r="98" spans="1:15" x14ac:dyDescent="0.25">
      <c r="A98" s="2"/>
      <c r="B98" s="6"/>
      <c r="C98" s="2"/>
      <c r="D98" s="2"/>
      <c r="E98" s="6"/>
      <c r="F98" s="6"/>
      <c r="G98" s="80"/>
      <c r="H98" s="6"/>
      <c r="I98" s="2"/>
      <c r="J98" s="2"/>
      <c r="K98" s="2"/>
      <c r="L98" s="2"/>
      <c r="M98" s="37"/>
      <c r="N98" s="34"/>
      <c r="O98" s="2"/>
    </row>
    <row r="99" spans="1:15" x14ac:dyDescent="0.25">
      <c r="A99" s="3" t="s">
        <v>2</v>
      </c>
      <c r="B99" s="5">
        <f>SUM(B95:B98)</f>
        <v>91.990000000000009</v>
      </c>
      <c r="C99" s="5">
        <f t="shared" ref="C99:D99" si="28">SUM(C95:C98)</f>
        <v>91.9</v>
      </c>
      <c r="D99" s="5">
        <f t="shared" si="28"/>
        <v>9.0000000000000011E-2</v>
      </c>
      <c r="E99" s="5">
        <f>IF(B99&gt;0,SUMPRODUCT(E95:E98,F95:F98)/SUM(F95:F98),"0.00")</f>
        <v>22.977500000000003</v>
      </c>
      <c r="F99" s="15">
        <f t="shared" ref="F99" si="29">SUM(F95:F98)</f>
        <v>4</v>
      </c>
      <c r="G99" s="81"/>
      <c r="H99" s="3" t="s">
        <v>2</v>
      </c>
      <c r="I99" s="5">
        <f>SUM(I95:I98)</f>
        <v>0</v>
      </c>
      <c r="J99" s="5">
        <f t="shared" ref="J99" si="30">SUM(J95:J98)</f>
        <v>0</v>
      </c>
      <c r="K99" s="6"/>
      <c r="L99" s="15">
        <f t="shared" ref="L99" si="31">SUM(L95:L98)</f>
        <v>0</v>
      </c>
      <c r="M99" s="38"/>
      <c r="N99" s="3" t="s">
        <v>2</v>
      </c>
      <c r="O99" s="5">
        <f>SUM(O95:O98)</f>
        <v>0</v>
      </c>
    </row>
    <row r="102" spans="1:15" x14ac:dyDescent="0.25">
      <c r="A102" s="76" t="s">
        <v>51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8"/>
    </row>
    <row r="103" spans="1:15" x14ac:dyDescent="0.25">
      <c r="A103" s="69" t="s">
        <v>14</v>
      </c>
      <c r="B103" s="71"/>
      <c r="C103" s="71"/>
      <c r="D103" s="71"/>
      <c r="E103" s="71"/>
      <c r="F103" s="70"/>
      <c r="G103" s="79"/>
      <c r="H103" s="72" t="s">
        <v>37</v>
      </c>
      <c r="I103" s="72"/>
      <c r="J103" s="72"/>
      <c r="K103" s="72"/>
      <c r="L103" s="2"/>
      <c r="M103" s="35"/>
      <c r="N103" s="69" t="s">
        <v>49</v>
      </c>
      <c r="O103" s="70"/>
    </row>
    <row r="104" spans="1:15" x14ac:dyDescent="0.25">
      <c r="A104" s="31" t="s">
        <v>42</v>
      </c>
      <c r="B104" s="3" t="s">
        <v>3</v>
      </c>
      <c r="C104" s="3" t="s">
        <v>8</v>
      </c>
      <c r="D104" s="3" t="s">
        <v>7</v>
      </c>
      <c r="E104" s="3" t="s">
        <v>0</v>
      </c>
      <c r="F104" s="3" t="s">
        <v>1</v>
      </c>
      <c r="G104" s="80"/>
      <c r="H104" s="31" t="s">
        <v>42</v>
      </c>
      <c r="I104" s="3" t="s">
        <v>38</v>
      </c>
      <c r="J104" s="3" t="s">
        <v>7</v>
      </c>
      <c r="K104" s="3" t="s">
        <v>0</v>
      </c>
      <c r="L104" s="3" t="s">
        <v>1</v>
      </c>
      <c r="M104" s="36"/>
      <c r="N104" s="22" t="s">
        <v>42</v>
      </c>
      <c r="O104" s="3" t="s">
        <v>38</v>
      </c>
    </row>
    <row r="105" spans="1:15" x14ac:dyDescent="0.25">
      <c r="A105" s="40">
        <v>45972</v>
      </c>
      <c r="B105" s="5">
        <v>23.12</v>
      </c>
      <c r="C105" s="5">
        <f>B105-D105</f>
        <v>23.1</v>
      </c>
      <c r="D105" s="6">
        <v>0.02</v>
      </c>
      <c r="E105" s="13">
        <f>C105/F105</f>
        <v>23.1</v>
      </c>
      <c r="F105" s="15">
        <v>1</v>
      </c>
      <c r="G105" s="80"/>
      <c r="H105" s="6"/>
      <c r="I105" s="6"/>
      <c r="J105" s="5"/>
      <c r="K105" s="5"/>
      <c r="L105" s="6"/>
      <c r="M105" s="23"/>
      <c r="N105" s="30"/>
      <c r="O105" s="5"/>
    </row>
    <row r="106" spans="1:15" x14ac:dyDescent="0.25">
      <c r="A106" s="40">
        <v>45973</v>
      </c>
      <c r="B106" s="5">
        <v>69.599999999999994</v>
      </c>
      <c r="C106" s="5">
        <v>69.53</v>
      </c>
      <c r="D106" s="6">
        <v>7.0000000000000007E-2</v>
      </c>
      <c r="E106" s="6">
        <v>23.18</v>
      </c>
      <c r="F106" s="15">
        <v>3</v>
      </c>
      <c r="G106" s="80"/>
      <c r="H106" s="6"/>
      <c r="I106" s="2"/>
      <c r="J106" s="2"/>
      <c r="K106" s="2"/>
      <c r="L106" s="2"/>
      <c r="M106" s="37"/>
      <c r="N106" s="34"/>
      <c r="O106" s="2"/>
    </row>
    <row r="107" spans="1:15" x14ac:dyDescent="0.25">
      <c r="A107" s="40"/>
      <c r="B107" s="6"/>
      <c r="C107" s="5"/>
      <c r="D107" s="6"/>
      <c r="E107" s="6"/>
      <c r="F107" s="6"/>
      <c r="G107" s="80"/>
      <c r="H107" s="6"/>
      <c r="I107" s="2"/>
      <c r="J107" s="2"/>
      <c r="K107" s="2"/>
      <c r="L107" s="2"/>
      <c r="M107" s="37"/>
      <c r="N107" s="34"/>
      <c r="O107" s="2"/>
    </row>
    <row r="108" spans="1:15" x14ac:dyDescent="0.25">
      <c r="A108" s="2"/>
      <c r="B108" s="6"/>
      <c r="C108" s="2"/>
      <c r="D108" s="2"/>
      <c r="E108" s="6"/>
      <c r="F108" s="6"/>
      <c r="G108" s="80"/>
      <c r="H108" s="6"/>
      <c r="I108" s="2"/>
      <c r="J108" s="2"/>
      <c r="K108" s="2"/>
      <c r="L108" s="2"/>
      <c r="M108" s="37"/>
      <c r="N108" s="34"/>
      <c r="O108" s="2"/>
    </row>
    <row r="109" spans="1:15" x14ac:dyDescent="0.25">
      <c r="A109" s="3" t="s">
        <v>2</v>
      </c>
      <c r="B109" s="5">
        <f>SUM(B105:B108)</f>
        <v>92.72</v>
      </c>
      <c r="C109" s="5">
        <f t="shared" ref="C109:D109" si="32">SUM(C105:C108)</f>
        <v>92.63</v>
      </c>
      <c r="D109" s="5">
        <f t="shared" si="32"/>
        <v>9.0000000000000011E-2</v>
      </c>
      <c r="E109" s="5">
        <f>IF(B109&gt;0,SUMPRODUCT(E105:E108,F105:F108)/SUM(F105:F108),"0.00")</f>
        <v>23.159999999999997</v>
      </c>
      <c r="F109" s="15">
        <f t="shared" ref="F109" si="33">SUM(F105:F108)</f>
        <v>4</v>
      </c>
      <c r="G109" s="81"/>
      <c r="H109" s="3" t="s">
        <v>2</v>
      </c>
      <c r="I109" s="5">
        <f>SUM(I105:I108)</f>
        <v>0</v>
      </c>
      <c r="J109" s="5">
        <f t="shared" ref="J109" si="34">SUM(J105:J108)</f>
        <v>0</v>
      </c>
      <c r="K109" s="6"/>
      <c r="L109" s="15">
        <f t="shared" ref="L109" si="35">SUM(L105:L108)</f>
        <v>0</v>
      </c>
      <c r="M109" s="38"/>
      <c r="N109" s="3" t="s">
        <v>2</v>
      </c>
      <c r="O109" s="5">
        <f>SUM(O105:O108)</f>
        <v>0</v>
      </c>
    </row>
  </sheetData>
  <mergeCells count="58">
    <mergeCell ref="A102:O102"/>
    <mergeCell ref="A103:F103"/>
    <mergeCell ref="G103:G109"/>
    <mergeCell ref="H103:K103"/>
    <mergeCell ref="N103:O103"/>
    <mergeCell ref="A82:O82"/>
    <mergeCell ref="A83:F83"/>
    <mergeCell ref="G83:G89"/>
    <mergeCell ref="H83:K83"/>
    <mergeCell ref="N83:O83"/>
    <mergeCell ref="A92:O92"/>
    <mergeCell ref="A93:F93"/>
    <mergeCell ref="G93:G99"/>
    <mergeCell ref="H93:K93"/>
    <mergeCell ref="N93:O93"/>
    <mergeCell ref="H73:K73"/>
    <mergeCell ref="N73:O73"/>
    <mergeCell ref="A62:O62"/>
    <mergeCell ref="A63:F63"/>
    <mergeCell ref="G63:G69"/>
    <mergeCell ref="H63:K63"/>
    <mergeCell ref="N63:O63"/>
    <mergeCell ref="A72:O72"/>
    <mergeCell ref="A73:F73"/>
    <mergeCell ref="G73:G79"/>
    <mergeCell ref="A52:O52"/>
    <mergeCell ref="A53:F53"/>
    <mergeCell ref="G53:G59"/>
    <mergeCell ref="H53:K53"/>
    <mergeCell ref="N53:O53"/>
    <mergeCell ref="A42:O42"/>
    <mergeCell ref="A43:F43"/>
    <mergeCell ref="G43:G49"/>
    <mergeCell ref="H43:K43"/>
    <mergeCell ref="N43:O43"/>
    <mergeCell ref="A32:O32"/>
    <mergeCell ref="A33:F33"/>
    <mergeCell ref="G33:G39"/>
    <mergeCell ref="H33:K33"/>
    <mergeCell ref="N33:O33"/>
    <mergeCell ref="Q2:W2"/>
    <mergeCell ref="A13:F13"/>
    <mergeCell ref="G13:G19"/>
    <mergeCell ref="H13:L13"/>
    <mergeCell ref="N13:O13"/>
    <mergeCell ref="Q3:Q4"/>
    <mergeCell ref="R3:R4"/>
    <mergeCell ref="S3:S4"/>
    <mergeCell ref="T3:T4"/>
    <mergeCell ref="U3:V3"/>
    <mergeCell ref="W3:W4"/>
    <mergeCell ref="X3:X4"/>
    <mergeCell ref="A22:O22"/>
    <mergeCell ref="A23:F23"/>
    <mergeCell ref="G23:G29"/>
    <mergeCell ref="H23:L23"/>
    <mergeCell ref="A12:O12"/>
    <mergeCell ref="N23:O23"/>
  </mergeCells>
  <hyperlinks>
    <hyperlink ref="A12:O12" location="NADQ!A1" display="NADQ Amundi Nasdaq-100 UCITS ETF (Dist)" xr:uid="{C95C1DB2-35F4-4522-9AD4-CF8FA33C80AB}"/>
    <hyperlink ref="A22:O22" location="QDVE!A1" display="QDVE iShares S&amp;P 500 Inf. Tech. Sector UCITS ETF (Acc)" xr:uid="{0A0B6C08-B9DE-4355-AF17-8E588C5F3290}"/>
    <hyperlink ref="A32:O32" location="VWCE!A1" display="VWCE Vanguard FTSE All-World UCITS ETF (Acc)" xr:uid="{A7B093B5-5B7C-4325-814C-3F51487CAB38}"/>
    <hyperlink ref="A42:O42" location="XDEQ!A1" display="XDEQ Xtarckers MSCI World Quality UCITS ETF (Acc)" xr:uid="{C62E73C9-226C-4A86-8C09-4CCF8D134798}"/>
    <hyperlink ref="A52:O52" location="VUAA!A1" display="VUAA Vanguard S&amp;P 500 UCITS ETF (Acc)" xr:uid="{BFF22EE5-E488-42D4-BAEB-EBC2C78276EB}"/>
    <hyperlink ref="A62:O62" location="XDWT!A1" display="XDWT Xtrackers MSCI World Information Tech. ETF (Acc)" xr:uid="{E5208981-9A76-45A4-BFB2-C220B259EABF}"/>
    <hyperlink ref="A72:O72" location="XAIX!A1" display="XAIX Xtrackers Artificial Intell. and Big Data ETF (Acc)" xr:uid="{1037A962-7AC7-4B10-BD65-44105494B07A}"/>
    <hyperlink ref="A82:O82" location="SPYL!A1" display="SPYL SPDR S&amp;P 500 UCITS (Acc)" xr:uid="{C58F4A2F-C067-4B7F-A826-286E5FD30413}"/>
    <hyperlink ref="A92:O92" location="JEQP!A1" display="JEQP JPM Nasdaq Equity Premium Income Active UCITS ETF - USD (Dist)" xr:uid="{8937499F-ED93-4034-B8E6-78A771281C28}"/>
    <hyperlink ref="A102:O102" location="JGPI!A1" display="JGPI JPM Global Equity Premium Income Active UCITS ETF - USD (Dist)" xr:uid="{32B4EB93-59B8-43B2-805B-9A317DBDAA2A}"/>
  </hyperlinks>
  <pageMargins left="0.7" right="0.7" top="0.75" bottom="0.75" header="0.3" footer="0.3"/>
  <pageSetup orientation="portrait" horizontalDpi="4294967293" r:id="rId1"/>
  <ignoredErrors>
    <ignoredError sqref="E19 E29 E39 E49 E59 E69 E79 E89 E99 E109" formula="1"/>
    <ignoredError sqref="Q2" numberStoredAsText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89"/>
  <sheetViews>
    <sheetView topLeftCell="A60"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1" t="s">
        <v>34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50</v>
      </c>
      <c r="R5" s="5">
        <v>0</v>
      </c>
      <c r="S5" s="5">
        <f>C19+C29+C39+C49+C59+C69+C79+C89+C99+C109</f>
        <v>49.96</v>
      </c>
      <c r="T5" s="5">
        <f>I19+I29+I39+I49+I59+I69+I79+I89+I99+I109</f>
        <v>0</v>
      </c>
      <c r="U5" s="5">
        <f>D19+D29+D39+D49+D59+D69+D79+D89+D99+D109</f>
        <v>3.9999999999999578E-2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-4.3021142204224816E-16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45933</v>
      </c>
      <c r="B25" s="13">
        <v>10</v>
      </c>
      <c r="C25" s="5">
        <f>B25-D25</f>
        <v>9.99</v>
      </c>
      <c r="D25" s="5">
        <v>0.01</v>
      </c>
      <c r="E25" s="13">
        <f>C25/F25</f>
        <v>35.505000163131079</v>
      </c>
      <c r="F25" s="16">
        <v>0.28136882000000002</v>
      </c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6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10</v>
      </c>
      <c r="C29" s="5">
        <f t="shared" ref="C29:D29" si="1">SUM(C25:C28)</f>
        <v>9.99</v>
      </c>
      <c r="D29" s="5">
        <f t="shared" si="1"/>
        <v>0.01</v>
      </c>
      <c r="E29" s="5">
        <f>IF(B29&gt;0,SUMPRODUCT(E25:E28,F25:F28)/SUM(F25:F28),"0.00")</f>
        <v>35.505000163131079</v>
      </c>
      <c r="F29" s="15">
        <f t="shared" ref="F29" si="2">SUM(F25:F28)</f>
        <v>0.28136882000000002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40">
        <v>45933</v>
      </c>
      <c r="B35" s="13">
        <v>10</v>
      </c>
      <c r="C35" s="5">
        <f>B35-D35</f>
        <v>9.99</v>
      </c>
      <c r="D35" s="5">
        <v>0.01</v>
      </c>
      <c r="E35" s="13">
        <f>C35/F35</f>
        <v>141.30001387540676</v>
      </c>
      <c r="F35" s="16">
        <v>7.070063E-2</v>
      </c>
      <c r="G35" s="87"/>
      <c r="H35" s="6"/>
      <c r="I35" s="6"/>
      <c r="J35" s="5"/>
      <c r="K35" s="5"/>
      <c r="L35" s="6"/>
      <c r="M35" s="23"/>
      <c r="N35" s="30"/>
      <c r="O35" s="5"/>
    </row>
    <row r="36" spans="1:15" x14ac:dyDescent="0.25">
      <c r="A36" s="10"/>
      <c r="B36" s="5"/>
      <c r="C36" s="2"/>
      <c r="D36" s="2"/>
      <c r="E36" s="6"/>
      <c r="F36" s="8"/>
      <c r="G36" s="87"/>
      <c r="H36" s="6"/>
      <c r="I36" s="2"/>
      <c r="J36" s="2"/>
      <c r="K36" s="2"/>
      <c r="L36" s="2"/>
      <c r="M36" s="37"/>
      <c r="N36" s="34"/>
      <c r="O36" s="2"/>
    </row>
    <row r="37" spans="1:15" ht="16.5" x14ac:dyDescent="0.3">
      <c r="A37" s="4"/>
      <c r="B37" s="5"/>
      <c r="C37" s="2"/>
      <c r="D37" s="2"/>
      <c r="E37" s="6"/>
      <c r="F37" s="8"/>
      <c r="G37" s="87"/>
      <c r="H37" s="6"/>
      <c r="I37" s="2"/>
      <c r="J37" s="2"/>
      <c r="K37" s="2"/>
      <c r="L37" s="2"/>
      <c r="M37" s="37"/>
      <c r="N37" s="34"/>
      <c r="O37" s="2"/>
    </row>
    <row r="38" spans="1:15" x14ac:dyDescent="0.25">
      <c r="A38" s="2"/>
      <c r="B38" s="6"/>
      <c r="C38" s="2"/>
      <c r="D38" s="2"/>
      <c r="E38" s="6"/>
      <c r="F38" s="6"/>
      <c r="G38" s="87"/>
      <c r="H38" s="6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10</v>
      </c>
      <c r="C39" s="5">
        <f t="shared" ref="C39:F39" si="5">SUM(C35:C38)</f>
        <v>9.99</v>
      </c>
      <c r="D39" s="5">
        <f t="shared" si="5"/>
        <v>0.01</v>
      </c>
      <c r="E39" s="5">
        <f>IF(B39&gt;0,SUMPRODUCT(E35:E38,F35:F38)/SUM(F35:F38),"0.00")</f>
        <v>141.30001387540676</v>
      </c>
      <c r="F39" s="15">
        <f t="shared" si="5"/>
        <v>7.070063E-2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x14ac:dyDescent="0.25">
      <c r="A40" s="39"/>
      <c r="B40" s="9"/>
      <c r="E40" s="1"/>
      <c r="F40" s="11"/>
    </row>
    <row r="42" spans="1:15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x14ac:dyDescent="0.25">
      <c r="A45" s="28"/>
      <c r="B45" s="13"/>
      <c r="C45" s="5"/>
      <c r="D45" s="5"/>
      <c r="E45" s="13"/>
      <c r="F45" s="16"/>
      <c r="G45" s="80"/>
      <c r="H45" s="6"/>
      <c r="I45" s="6"/>
      <c r="J45" s="5"/>
      <c r="K45" s="5"/>
      <c r="L45" s="6"/>
      <c r="M45" s="23"/>
      <c r="N45" s="30"/>
      <c r="O45" s="5"/>
    </row>
    <row r="46" spans="1:15" x14ac:dyDescent="0.25">
      <c r="A46" s="10"/>
      <c r="B46" s="5"/>
      <c r="C46" s="2"/>
      <c r="D46" s="2"/>
      <c r="E46" s="6"/>
      <c r="F46" s="8"/>
      <c r="G46" s="80"/>
      <c r="H46" s="6"/>
      <c r="I46" s="2"/>
      <c r="J46" s="2"/>
      <c r="K46" s="2"/>
      <c r="L46" s="2"/>
      <c r="M46" s="37"/>
      <c r="N46" s="34"/>
      <c r="O46" s="2"/>
    </row>
    <row r="47" spans="1:15" ht="16.5" x14ac:dyDescent="0.3">
      <c r="A47" s="4"/>
      <c r="B47" s="5"/>
      <c r="C47" s="2"/>
      <c r="D47" s="2"/>
      <c r="E47" s="6"/>
      <c r="F47" s="8"/>
      <c r="G47" s="80"/>
      <c r="H47" s="6"/>
      <c r="I47" s="2"/>
      <c r="J47" s="2"/>
      <c r="K47" s="2"/>
      <c r="L47" s="2"/>
      <c r="M47" s="37"/>
      <c r="N47" s="34"/>
      <c r="O47" s="2"/>
    </row>
    <row r="48" spans="1:15" x14ac:dyDescent="0.25">
      <c r="A48" s="2"/>
      <c r="B48" s="6"/>
      <c r="C48" s="2"/>
      <c r="D48" s="2"/>
      <c r="E48" s="6"/>
      <c r="F48" s="6"/>
      <c r="G48" s="80"/>
      <c r="H48" s="6"/>
      <c r="I48" s="2"/>
      <c r="J48" s="2"/>
      <c r="K48" s="2"/>
      <c r="L48" s="2"/>
      <c r="M48" s="37"/>
      <c r="N48" s="34"/>
      <c r="O48" s="2"/>
    </row>
    <row r="49" spans="1:15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2" spans="1:15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x14ac:dyDescent="0.25">
      <c r="A55" s="28"/>
      <c r="B55" s="13"/>
      <c r="C55" s="5"/>
      <c r="D55" s="5"/>
      <c r="E55" s="13"/>
      <c r="F55" s="16"/>
      <c r="G55" s="80"/>
      <c r="H55" s="6"/>
      <c r="I55" s="6"/>
      <c r="J55" s="5"/>
      <c r="K55" s="5"/>
      <c r="L55" s="6"/>
      <c r="M55" s="23"/>
      <c r="N55" s="30"/>
      <c r="O55" s="5"/>
    </row>
    <row r="56" spans="1:15" x14ac:dyDescent="0.25">
      <c r="A56" s="10"/>
      <c r="B56" s="5"/>
      <c r="C56" s="2"/>
      <c r="D56" s="2"/>
      <c r="E56" s="6"/>
      <c r="F56" s="8"/>
      <c r="G56" s="80"/>
      <c r="H56" s="6"/>
      <c r="I56" s="2"/>
      <c r="J56" s="2"/>
      <c r="K56" s="2"/>
      <c r="L56" s="2"/>
      <c r="M56" s="37"/>
      <c r="N56" s="34"/>
      <c r="O56" s="2"/>
    </row>
    <row r="57" spans="1:15" ht="16.5" x14ac:dyDescent="0.3">
      <c r="A57" s="4"/>
      <c r="B57" s="5"/>
      <c r="C57" s="2"/>
      <c r="D57" s="2"/>
      <c r="E57" s="6"/>
      <c r="F57" s="8"/>
      <c r="G57" s="80"/>
      <c r="H57" s="6"/>
      <c r="I57" s="2"/>
      <c r="J57" s="2"/>
      <c r="K57" s="2"/>
      <c r="L57" s="2"/>
      <c r="M57" s="37"/>
      <c r="N57" s="34"/>
      <c r="O57" s="2"/>
    </row>
    <row r="58" spans="1:15" x14ac:dyDescent="0.25">
      <c r="A58" s="2"/>
      <c r="B58" s="6"/>
      <c r="C58" s="2"/>
      <c r="D58" s="2"/>
      <c r="E58" s="6"/>
      <c r="F58" s="6"/>
      <c r="G58" s="80"/>
      <c r="H58" s="6"/>
      <c r="I58" s="2"/>
      <c r="J58" s="2"/>
      <c r="K58" s="2"/>
      <c r="L58" s="2"/>
      <c r="M58" s="37"/>
      <c r="N58" s="34"/>
      <c r="O58" s="2"/>
    </row>
    <row r="59" spans="1:15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x14ac:dyDescent="0.25">
      <c r="B60" s="9"/>
      <c r="E60" s="1"/>
      <c r="F60" s="11"/>
    </row>
    <row r="61" spans="1:15" x14ac:dyDescent="0.25">
      <c r="B61" s="1"/>
      <c r="E61" s="1"/>
      <c r="F61" s="1"/>
    </row>
    <row r="62" spans="1:15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x14ac:dyDescent="0.25">
      <c r="A65" s="40">
        <v>45940</v>
      </c>
      <c r="B65" s="13">
        <v>10</v>
      </c>
      <c r="C65" s="13">
        <v>10</v>
      </c>
      <c r="D65" s="13">
        <f>B65-C65</f>
        <v>0</v>
      </c>
      <c r="E65" s="13">
        <f>C65/F65</f>
        <v>99.620009436007294</v>
      </c>
      <c r="F65" s="16">
        <v>0.10038144</v>
      </c>
      <c r="G65" s="80"/>
      <c r="H65" s="6"/>
      <c r="I65" s="6"/>
      <c r="J65" s="5"/>
      <c r="K65" s="5"/>
      <c r="L65" s="6"/>
      <c r="M65" s="23"/>
      <c r="N65" s="30"/>
      <c r="O65" s="5"/>
    </row>
    <row r="66" spans="1:15" x14ac:dyDescent="0.25">
      <c r="A66" s="40"/>
      <c r="B66" s="5"/>
      <c r="C66" s="6"/>
      <c r="D66" s="6"/>
      <c r="E66" s="13"/>
      <c r="F66" s="15"/>
      <c r="G66" s="80"/>
      <c r="H66" s="6"/>
      <c r="I66" s="2"/>
      <c r="J66" s="2"/>
      <c r="K66" s="2"/>
      <c r="L66" s="2"/>
      <c r="M66" s="37"/>
      <c r="N66" s="34"/>
      <c r="O66" s="2"/>
    </row>
    <row r="67" spans="1:15" x14ac:dyDescent="0.25">
      <c r="A67" s="17"/>
      <c r="B67" s="5"/>
      <c r="C67" s="2"/>
      <c r="D67" s="2"/>
      <c r="E67" s="6"/>
      <c r="F67" s="8"/>
      <c r="G67" s="80"/>
      <c r="H67" s="6"/>
      <c r="I67" s="2"/>
      <c r="J67" s="2"/>
      <c r="K67" s="2"/>
      <c r="L67" s="2"/>
      <c r="M67" s="37"/>
      <c r="N67" s="34"/>
      <c r="O67" s="2"/>
    </row>
    <row r="68" spans="1:15" x14ac:dyDescent="0.25">
      <c r="A68" s="2"/>
      <c r="B68" s="6"/>
      <c r="C68" s="2"/>
      <c r="D68" s="2"/>
      <c r="E68" s="6"/>
      <c r="F68" s="6"/>
      <c r="G68" s="80"/>
      <c r="H68" s="6"/>
      <c r="I68" s="2"/>
      <c r="J68" s="2"/>
      <c r="K68" s="2"/>
      <c r="L68" s="2"/>
      <c r="M68" s="37"/>
      <c r="N68" s="34"/>
      <c r="O68" s="2"/>
    </row>
    <row r="69" spans="1:15" x14ac:dyDescent="0.25">
      <c r="A69" s="3" t="s">
        <v>2</v>
      </c>
      <c r="B69" s="5">
        <f>SUM(B65:B68)</f>
        <v>10</v>
      </c>
      <c r="C69" s="5">
        <f t="shared" ref="C69:D69" si="16">SUM(C65:C68)</f>
        <v>10</v>
      </c>
      <c r="D69" s="5">
        <f t="shared" si="16"/>
        <v>0</v>
      </c>
      <c r="E69" s="5">
        <f>IF(B69&gt;0,SUMPRODUCT(E65:E68,F65:F68)/SUM(F65:F68),"0.00")</f>
        <v>99.620009436007294</v>
      </c>
      <c r="F69" s="15">
        <f t="shared" ref="F69" si="17">SUM(F65:F68)</f>
        <v>0.10038144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2" spans="1:15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x14ac:dyDescent="0.25">
      <c r="A75" s="40">
        <v>45940</v>
      </c>
      <c r="B75" s="13">
        <v>10</v>
      </c>
      <c r="C75" s="13">
        <v>9.99</v>
      </c>
      <c r="D75" s="13">
        <f>B75-C75</f>
        <v>9.9999999999997868E-3</v>
      </c>
      <c r="E75" s="13">
        <f>C75/F75</f>
        <v>150.14001796570344</v>
      </c>
      <c r="F75" s="16">
        <v>6.6537890000000002E-2</v>
      </c>
      <c r="G75" s="80"/>
      <c r="H75" s="6"/>
      <c r="I75" s="6"/>
      <c r="J75" s="5"/>
      <c r="K75" s="5"/>
      <c r="L75" s="6"/>
      <c r="M75" s="23"/>
      <c r="N75" s="30"/>
      <c r="O75" s="5"/>
    </row>
    <row r="76" spans="1:15" x14ac:dyDescent="0.25">
      <c r="A76" s="40"/>
      <c r="B76" s="5"/>
      <c r="C76" s="6"/>
      <c r="D76" s="6"/>
      <c r="E76" s="13"/>
      <c r="F76" s="15"/>
      <c r="G76" s="80"/>
      <c r="H76" s="6"/>
      <c r="I76" s="2"/>
      <c r="J76" s="2"/>
      <c r="K76" s="2"/>
      <c r="L76" s="2"/>
      <c r="M76" s="37"/>
      <c r="N76" s="34"/>
      <c r="O76" s="2"/>
    </row>
    <row r="77" spans="1:15" x14ac:dyDescent="0.25">
      <c r="A77" s="17"/>
      <c r="B77" s="5"/>
      <c r="C77" s="2"/>
      <c r="D77" s="2"/>
      <c r="E77" s="6"/>
      <c r="F77" s="8"/>
      <c r="G77" s="80"/>
      <c r="H77" s="6"/>
      <c r="I77" s="2"/>
      <c r="J77" s="2"/>
      <c r="K77" s="2"/>
      <c r="L77" s="2"/>
      <c r="M77" s="37"/>
      <c r="N77" s="34"/>
      <c r="O77" s="2"/>
    </row>
    <row r="78" spans="1:15" x14ac:dyDescent="0.25">
      <c r="A78" s="2"/>
      <c r="B78" s="6"/>
      <c r="C78" s="2"/>
      <c r="D78" s="2"/>
      <c r="E78" s="6"/>
      <c r="F78" s="6"/>
      <c r="G78" s="80"/>
      <c r="H78" s="6"/>
      <c r="I78" s="2"/>
      <c r="J78" s="2"/>
      <c r="K78" s="2"/>
      <c r="L78" s="2"/>
      <c r="M78" s="37"/>
      <c r="N78" s="34"/>
      <c r="O78" s="2"/>
    </row>
    <row r="79" spans="1:15" x14ac:dyDescent="0.25">
      <c r="A79" s="3" t="s">
        <v>2</v>
      </c>
      <c r="B79" s="5">
        <f>SUM(B75:B78)</f>
        <v>10</v>
      </c>
      <c r="C79" s="5">
        <f t="shared" ref="C79:D79" si="20">SUM(C75:C78)</f>
        <v>9.99</v>
      </c>
      <c r="D79" s="5">
        <f t="shared" si="20"/>
        <v>9.9999999999997868E-3</v>
      </c>
      <c r="E79" s="5">
        <f>IF(B79&gt;0,SUMPRODUCT(E75:E78,F75:F78)/SUM(F75:F78),"0.00")</f>
        <v>150.14001796570344</v>
      </c>
      <c r="F79" s="15">
        <f t="shared" ref="F79" si="21">SUM(F75:F78)</f>
        <v>6.6537890000000002E-2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2" spans="1:15" x14ac:dyDescent="0.25">
      <c r="A82" s="76" t="s">
        <v>35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8"/>
    </row>
    <row r="83" spans="1:15" x14ac:dyDescent="0.25">
      <c r="A83" s="69" t="s">
        <v>14</v>
      </c>
      <c r="B83" s="71"/>
      <c r="C83" s="71"/>
      <c r="D83" s="71"/>
      <c r="E83" s="71"/>
      <c r="F83" s="70"/>
      <c r="G83" s="79"/>
      <c r="H83" s="72" t="s">
        <v>37</v>
      </c>
      <c r="I83" s="72"/>
      <c r="J83" s="72"/>
      <c r="K83" s="72"/>
      <c r="L83" s="2"/>
      <c r="M83" s="35"/>
      <c r="N83" s="69" t="s">
        <v>49</v>
      </c>
      <c r="O83" s="70"/>
    </row>
    <row r="84" spans="1:15" x14ac:dyDescent="0.25">
      <c r="A84" s="31" t="s">
        <v>42</v>
      </c>
      <c r="B84" s="3" t="s">
        <v>3</v>
      </c>
      <c r="C84" s="3" t="s">
        <v>8</v>
      </c>
      <c r="D84" s="3" t="s">
        <v>7</v>
      </c>
      <c r="E84" s="3" t="s">
        <v>0</v>
      </c>
      <c r="F84" s="3" t="s">
        <v>1</v>
      </c>
      <c r="G84" s="80"/>
      <c r="H84" s="31" t="s">
        <v>42</v>
      </c>
      <c r="I84" s="3" t="s">
        <v>38</v>
      </c>
      <c r="J84" s="3" t="s">
        <v>7</v>
      </c>
      <c r="K84" s="3" t="s">
        <v>0</v>
      </c>
      <c r="L84" s="3" t="s">
        <v>1</v>
      </c>
      <c r="M84" s="36"/>
      <c r="N84" s="22" t="s">
        <v>42</v>
      </c>
      <c r="O84" s="3" t="s">
        <v>38</v>
      </c>
    </row>
    <row r="85" spans="1:15" x14ac:dyDescent="0.25">
      <c r="A85" s="40">
        <v>45943</v>
      </c>
      <c r="B85" s="13">
        <v>10</v>
      </c>
      <c r="C85" s="5">
        <v>9.99</v>
      </c>
      <c r="D85" s="5">
        <f>B85-C85</f>
        <v>9.9999999999997868E-3</v>
      </c>
      <c r="E85" s="13">
        <f>C85/F85</f>
        <v>14.066000065922935</v>
      </c>
      <c r="F85" s="16">
        <v>0.71022322999999998</v>
      </c>
      <c r="G85" s="80"/>
      <c r="H85" s="6"/>
      <c r="I85" s="6"/>
      <c r="J85" s="5"/>
      <c r="K85" s="5"/>
      <c r="L85" s="6"/>
      <c r="M85" s="23"/>
      <c r="N85" s="30"/>
      <c r="O85" s="5"/>
    </row>
    <row r="86" spans="1:15" x14ac:dyDescent="0.25">
      <c r="A86" s="40"/>
      <c r="B86" s="5"/>
      <c r="C86" s="6"/>
      <c r="D86" s="6"/>
      <c r="E86" s="13"/>
      <c r="F86" s="15"/>
      <c r="G86" s="80"/>
      <c r="H86" s="6"/>
      <c r="I86" s="2"/>
      <c r="J86" s="2"/>
      <c r="K86" s="2"/>
      <c r="L86" s="2"/>
      <c r="M86" s="37"/>
      <c r="N86" s="34"/>
      <c r="O86" s="2"/>
    </row>
    <row r="87" spans="1:15" x14ac:dyDescent="0.25">
      <c r="A87" s="17"/>
      <c r="B87" s="5"/>
      <c r="C87" s="2"/>
      <c r="D87" s="2"/>
      <c r="E87" s="6"/>
      <c r="F87" s="8"/>
      <c r="G87" s="80"/>
      <c r="H87" s="6"/>
      <c r="I87" s="2"/>
      <c r="J87" s="2"/>
      <c r="K87" s="2"/>
      <c r="L87" s="2"/>
      <c r="M87" s="37"/>
      <c r="N87" s="34"/>
      <c r="O87" s="2"/>
    </row>
    <row r="88" spans="1:15" x14ac:dyDescent="0.25">
      <c r="A88" s="2"/>
      <c r="B88" s="6"/>
      <c r="C88" s="2"/>
      <c r="D88" s="2"/>
      <c r="E88" s="6"/>
      <c r="F88" s="6"/>
      <c r="G88" s="80"/>
      <c r="H88" s="6"/>
      <c r="I88" s="2"/>
      <c r="J88" s="2"/>
      <c r="K88" s="2"/>
      <c r="L88" s="2"/>
      <c r="M88" s="37"/>
      <c r="N88" s="34"/>
      <c r="O88" s="2"/>
    </row>
    <row r="89" spans="1:15" x14ac:dyDescent="0.25">
      <c r="A89" s="3" t="s">
        <v>2</v>
      </c>
      <c r="B89" s="5">
        <f>SUM(B85:B88)</f>
        <v>10</v>
      </c>
      <c r="C89" s="5">
        <f t="shared" ref="C89:D89" si="24">SUM(C85:C88)</f>
        <v>9.99</v>
      </c>
      <c r="D89" s="5">
        <f t="shared" si="24"/>
        <v>9.9999999999997868E-3</v>
      </c>
      <c r="E89" s="5">
        <f>SUMPRODUCT(E85:E88,F85:F88)/SUM(F85:F88)</f>
        <v>14.066000065922935</v>
      </c>
      <c r="F89" s="15">
        <f t="shared" ref="F89" si="25">SUM(F85:F88)</f>
        <v>0.71022322999999998</v>
      </c>
      <c r="G89" s="81"/>
      <c r="H89" s="3" t="s">
        <v>2</v>
      </c>
      <c r="I89" s="5">
        <f>SUM(I85:I88)</f>
        <v>0</v>
      </c>
      <c r="J89" s="5">
        <f t="shared" ref="J89" si="26">SUM(J85:J88)</f>
        <v>0</v>
      </c>
      <c r="K89" s="6"/>
      <c r="L89" s="15">
        <f t="shared" ref="L89" si="27">SUM(L85:L88)</f>
        <v>0</v>
      </c>
      <c r="M89" s="38"/>
      <c r="N89" s="3" t="s">
        <v>2</v>
      </c>
      <c r="O89" s="5">
        <f>SUM(O85:O88)</f>
        <v>0</v>
      </c>
    </row>
  </sheetData>
  <mergeCells count="48">
    <mergeCell ref="A83:F83"/>
    <mergeCell ref="G83:G89"/>
    <mergeCell ref="H83:K83"/>
    <mergeCell ref="N83:O83"/>
    <mergeCell ref="A72:O72"/>
    <mergeCell ref="A73:F73"/>
    <mergeCell ref="G73:G79"/>
    <mergeCell ref="H73:K73"/>
    <mergeCell ref="N73:O73"/>
    <mergeCell ref="A82:O82"/>
    <mergeCell ref="A63:F63"/>
    <mergeCell ref="G63:G69"/>
    <mergeCell ref="H63:K63"/>
    <mergeCell ref="N63:O63"/>
    <mergeCell ref="N33:O33"/>
    <mergeCell ref="A42:O42"/>
    <mergeCell ref="A43:F43"/>
    <mergeCell ref="G43:G49"/>
    <mergeCell ref="H43:K43"/>
    <mergeCell ref="N43:O43"/>
    <mergeCell ref="A52:O52"/>
    <mergeCell ref="A53:F53"/>
    <mergeCell ref="G53:G59"/>
    <mergeCell ref="H53:K53"/>
    <mergeCell ref="N53:O53"/>
    <mergeCell ref="A62:O62"/>
    <mergeCell ref="Q2:W2"/>
    <mergeCell ref="A13:F13"/>
    <mergeCell ref="G13:G19"/>
    <mergeCell ref="H13:L13"/>
    <mergeCell ref="N13:O13"/>
    <mergeCell ref="R3:R4"/>
    <mergeCell ref="S3:S4"/>
    <mergeCell ref="T3:T4"/>
    <mergeCell ref="U3:V3"/>
    <mergeCell ref="W3:W4"/>
    <mergeCell ref="X3:X4"/>
    <mergeCell ref="A32:O32"/>
    <mergeCell ref="A33:F33"/>
    <mergeCell ref="G33:G39"/>
    <mergeCell ref="H33:K33"/>
    <mergeCell ref="Q3:Q4"/>
    <mergeCell ref="A22:O22"/>
    <mergeCell ref="A23:F23"/>
    <mergeCell ref="G23:G29"/>
    <mergeCell ref="H23:L23"/>
    <mergeCell ref="N23:O23"/>
    <mergeCell ref="A12:O12"/>
  </mergeCells>
  <hyperlinks>
    <hyperlink ref="A12:O12" location="NADQ!A1" display="NADQ Amundi Nasdaq-100 UCITS ETF (Dist)" xr:uid="{D5BDA3B7-C17B-4C0B-BAE6-BDC22D805362}"/>
    <hyperlink ref="A22:O22" location="QDVE!A1" display="QDVE iShares S&amp;P 500 Inf. Tech. Sector UCITS ETF (Acc)" xr:uid="{10CC49E9-BE31-4EFB-ADBC-23C9327D41AA}"/>
    <hyperlink ref="A32:O32" location="VWCE!A1" display="VWCE Vanguard FTSE All-World UCITS ETF (Acc)" xr:uid="{076C98FC-7F5C-4C53-9414-5E7B5F844A31}"/>
    <hyperlink ref="A42:O42" location="XDEQ!A1" display="XDEQ Xtarckers MSCI World Quality UCITS ETF (Acc)" xr:uid="{2BFEABFE-7FC7-4403-B3BD-CFAEBF279CA6}"/>
    <hyperlink ref="A52:O52" location="VUAA!A1" display="VUAA Vanguard S&amp;P 500 UCITS ETF (Acc)" xr:uid="{304ADB9B-65F5-4CD8-9EAF-C5A1B4FD1DB1}"/>
    <hyperlink ref="A62:O62" location="XDWT!A1" display="XDWT Xtrackers MSCI World Information Tech. ETF (Acc)" xr:uid="{89B687F5-6E2A-4576-9A17-D2F9E58E7658}"/>
    <hyperlink ref="A72:O72" location="XAIX!A1" display="XAIX Xtrackers Artificial Intell. and Big Data ETF (Acc)" xr:uid="{F0CE757E-DCA4-4BC9-82E4-5E274549EA9E}"/>
    <hyperlink ref="A82:O82" location="SPYL!A1" display="SPYL SPDR S&amp;P 500 UCITS (Acc)" xr:uid="{A66E1E76-DACB-4646-A028-BB9944CF38B7}"/>
  </hyperlinks>
  <pageMargins left="0.7" right="0.7" top="0.75" bottom="0.75" header="0.3" footer="0.3"/>
  <pageSetup orientation="portrait" horizontalDpi="4294967293" r:id="rId1"/>
  <ignoredErrors>
    <ignoredError sqref="E89 E19 E29 E39 E49 E59 E69 E79" formula="1"/>
    <ignoredError sqref="Q2:Z5" numberStoredAsText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80"/>
  <sheetViews>
    <sheetView topLeftCell="A54" workbookViewId="0">
      <selection activeCell="A55" sqref="A55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2025.09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30</v>
      </c>
      <c r="R5" s="5">
        <v>0</v>
      </c>
      <c r="S5" s="5">
        <f>C19+C29+C39+C49+C59+C69+C79+C89+C99+C109</f>
        <v>29.980000000000004</v>
      </c>
      <c r="T5" s="5">
        <f>I19+I29+I39+I49+I59+I69+I79+I89+I99+I109</f>
        <v>0</v>
      </c>
      <c r="U5" s="5">
        <f>D19+D29+D39+D49+D59+D69+D79+D89+D99+D109</f>
        <v>0.02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-3.9794556538907955E-15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45908</v>
      </c>
      <c r="B25" s="13">
        <v>10</v>
      </c>
      <c r="C25" s="5">
        <v>10</v>
      </c>
      <c r="D25" s="5">
        <v>0</v>
      </c>
      <c r="E25" s="13">
        <f>C25/F25</f>
        <v>32.870001085038737</v>
      </c>
      <c r="F25" s="16">
        <v>0.30422876999999998</v>
      </c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6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10</v>
      </c>
      <c r="C29" s="5">
        <f t="shared" ref="C29:D29" si="1">SUM(C25:C28)</f>
        <v>10</v>
      </c>
      <c r="D29" s="5">
        <f t="shared" si="1"/>
        <v>0</v>
      </c>
      <c r="E29" s="5">
        <f>IF(B29&gt;0,SUMPRODUCT(E25:E28,F25:F28)/SUM(F25:F28),"0.00")</f>
        <v>32.870001085038737</v>
      </c>
      <c r="F29" s="15">
        <f t="shared" ref="F29" si="2">SUM(F25:F28)</f>
        <v>0.30422876999999998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28"/>
      <c r="B35" s="13"/>
      <c r="C35" s="5"/>
      <c r="D35" s="5"/>
      <c r="E35" s="13"/>
      <c r="F35" s="16"/>
      <c r="G35" s="87"/>
      <c r="H35" s="6"/>
      <c r="I35" s="6"/>
      <c r="J35" s="5"/>
      <c r="K35" s="5"/>
      <c r="L35" s="6"/>
      <c r="M35" s="23"/>
      <c r="N35" s="30"/>
      <c r="O35" s="5"/>
    </row>
    <row r="36" spans="1:15" x14ac:dyDescent="0.25">
      <c r="A36" s="10"/>
      <c r="B36" s="5"/>
      <c r="C36" s="2"/>
      <c r="D36" s="2"/>
      <c r="E36" s="6"/>
      <c r="F36" s="8"/>
      <c r="G36" s="87"/>
      <c r="H36" s="6"/>
      <c r="I36" s="2"/>
      <c r="J36" s="2"/>
      <c r="K36" s="2"/>
      <c r="L36" s="2"/>
      <c r="M36" s="37"/>
      <c r="N36" s="34"/>
      <c r="O36" s="2"/>
    </row>
    <row r="37" spans="1:15" ht="16.5" x14ac:dyDescent="0.3">
      <c r="A37" s="4"/>
      <c r="B37" s="5"/>
      <c r="C37" s="2"/>
      <c r="D37" s="2"/>
      <c r="E37" s="6"/>
      <c r="F37" s="8"/>
      <c r="G37" s="87"/>
      <c r="H37" s="6"/>
      <c r="I37" s="2"/>
      <c r="J37" s="2"/>
      <c r="K37" s="2"/>
      <c r="L37" s="2"/>
      <c r="M37" s="37"/>
      <c r="N37" s="34"/>
      <c r="O37" s="2"/>
    </row>
    <row r="38" spans="1:15" x14ac:dyDescent="0.25">
      <c r="A38" s="2"/>
      <c r="B38" s="6"/>
      <c r="C38" s="2"/>
      <c r="D38" s="2"/>
      <c r="E38" s="6"/>
      <c r="F38" s="6"/>
      <c r="G38" s="87"/>
      <c r="H38" s="6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x14ac:dyDescent="0.25">
      <c r="A40" s="39"/>
      <c r="B40" s="9"/>
      <c r="E40" s="1"/>
      <c r="F40" s="11"/>
    </row>
    <row r="42" spans="1:15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x14ac:dyDescent="0.25">
      <c r="A45" s="54">
        <v>45908</v>
      </c>
      <c r="B45" s="13">
        <v>10</v>
      </c>
      <c r="C45" s="5">
        <v>9.99</v>
      </c>
      <c r="D45" s="5">
        <v>0.01</v>
      </c>
      <c r="E45" s="13">
        <f>C45/F45</f>
        <v>65.470000878831556</v>
      </c>
      <c r="F45" s="16">
        <v>0.15258896999999999</v>
      </c>
      <c r="G45" s="80"/>
      <c r="H45" s="6"/>
      <c r="I45" s="6"/>
      <c r="J45" s="5"/>
      <c r="K45" s="5"/>
      <c r="L45" s="6"/>
      <c r="M45" s="23"/>
      <c r="N45" s="30"/>
      <c r="O45" s="5"/>
    </row>
    <row r="46" spans="1:15" x14ac:dyDescent="0.25">
      <c r="A46" s="10"/>
      <c r="B46" s="5"/>
      <c r="C46" s="2"/>
      <c r="D46" s="2"/>
      <c r="E46" s="6"/>
      <c r="F46" s="8"/>
      <c r="G46" s="80"/>
      <c r="H46" s="6"/>
      <c r="I46" s="2"/>
      <c r="J46" s="2"/>
      <c r="K46" s="2"/>
      <c r="L46" s="2"/>
      <c r="M46" s="37"/>
      <c r="N46" s="34"/>
      <c r="O46" s="2"/>
    </row>
    <row r="47" spans="1:15" ht="16.5" x14ac:dyDescent="0.3">
      <c r="A47" s="4"/>
      <c r="B47" s="5"/>
      <c r="C47" s="2"/>
      <c r="D47" s="2"/>
      <c r="E47" s="6"/>
      <c r="F47" s="8"/>
      <c r="G47" s="80"/>
      <c r="H47" s="6"/>
      <c r="I47" s="2"/>
      <c r="J47" s="2"/>
      <c r="K47" s="2"/>
      <c r="L47" s="2"/>
      <c r="M47" s="37"/>
      <c r="N47" s="34"/>
      <c r="O47" s="2"/>
    </row>
    <row r="48" spans="1:15" x14ac:dyDescent="0.25">
      <c r="A48" s="2"/>
      <c r="B48" s="6"/>
      <c r="C48" s="2"/>
      <c r="D48" s="2"/>
      <c r="E48" s="6"/>
      <c r="F48" s="6"/>
      <c r="G48" s="80"/>
      <c r="H48" s="6"/>
      <c r="I48" s="2"/>
      <c r="J48" s="2"/>
      <c r="K48" s="2"/>
      <c r="L48" s="2"/>
      <c r="M48" s="37"/>
      <c r="N48" s="34"/>
      <c r="O48" s="2"/>
    </row>
    <row r="49" spans="1:15" x14ac:dyDescent="0.25">
      <c r="A49" s="3" t="s">
        <v>2</v>
      </c>
      <c r="B49" s="5">
        <f>SUM(B45:B48)</f>
        <v>10</v>
      </c>
      <c r="C49" s="5">
        <f t="shared" ref="C49:D49" si="8">SUM(C45:C48)</f>
        <v>9.99</v>
      </c>
      <c r="D49" s="5">
        <f t="shared" si="8"/>
        <v>0.01</v>
      </c>
      <c r="E49" s="5">
        <f>IF(B49&gt;0,SUMPRODUCT(E45:E48,F45:F48)/SUM(F45:F48),"0.00")</f>
        <v>65.470000878831556</v>
      </c>
      <c r="F49" s="15">
        <f t="shared" ref="F49" si="9">SUM(F45:F48)</f>
        <v>0.15258896999999999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2" spans="1:15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x14ac:dyDescent="0.25">
      <c r="A55" s="54">
        <v>45908</v>
      </c>
      <c r="B55" s="13">
        <v>10</v>
      </c>
      <c r="C55" s="5">
        <v>9.99</v>
      </c>
      <c r="D55" s="5">
        <v>0.01</v>
      </c>
      <c r="E55" s="13">
        <f>C55/F55</f>
        <v>106.1023057762244</v>
      </c>
      <c r="F55" s="16">
        <v>9.4154409999999994E-2</v>
      </c>
      <c r="G55" s="80"/>
      <c r="H55" s="6"/>
      <c r="I55" s="6"/>
      <c r="J55" s="5"/>
      <c r="K55" s="5"/>
      <c r="L55" s="6"/>
      <c r="M55" s="23"/>
      <c r="N55" s="30"/>
      <c r="O55" s="5"/>
    </row>
    <row r="56" spans="1:15" x14ac:dyDescent="0.25">
      <c r="A56" s="10"/>
      <c r="B56" s="5"/>
      <c r="C56" s="2"/>
      <c r="D56" s="2"/>
      <c r="E56" s="6"/>
      <c r="F56" s="8"/>
      <c r="G56" s="80"/>
      <c r="H56" s="6"/>
      <c r="I56" s="2"/>
      <c r="J56" s="2"/>
      <c r="K56" s="2"/>
      <c r="L56" s="2"/>
      <c r="M56" s="37"/>
      <c r="N56" s="34"/>
      <c r="O56" s="2"/>
    </row>
    <row r="57" spans="1:15" ht="16.5" x14ac:dyDescent="0.3">
      <c r="A57" s="4"/>
      <c r="B57" s="5"/>
      <c r="C57" s="2"/>
      <c r="D57" s="2"/>
      <c r="E57" s="6"/>
      <c r="F57" s="8"/>
      <c r="G57" s="80"/>
      <c r="H57" s="6"/>
      <c r="I57" s="2"/>
      <c r="J57" s="2"/>
      <c r="K57" s="2"/>
      <c r="L57" s="2"/>
      <c r="M57" s="37"/>
      <c r="N57" s="34"/>
      <c r="O57" s="2"/>
    </row>
    <row r="58" spans="1:15" x14ac:dyDescent="0.25">
      <c r="A58" s="2"/>
      <c r="B58" s="6"/>
      <c r="C58" s="2"/>
      <c r="D58" s="2"/>
      <c r="E58" s="6"/>
      <c r="F58" s="6"/>
      <c r="G58" s="80"/>
      <c r="H58" s="6"/>
      <c r="I58" s="2"/>
      <c r="J58" s="2"/>
      <c r="K58" s="2"/>
      <c r="L58" s="2"/>
      <c r="M58" s="37"/>
      <c r="N58" s="34"/>
      <c r="O58" s="2"/>
    </row>
    <row r="59" spans="1:15" x14ac:dyDescent="0.25">
      <c r="A59" s="3" t="s">
        <v>2</v>
      </c>
      <c r="B59" s="5">
        <f>SUM(B55:B58)</f>
        <v>10</v>
      </c>
      <c r="C59" s="5">
        <f t="shared" ref="C59:D59" si="12">SUM(C55:C58)</f>
        <v>9.99</v>
      </c>
      <c r="D59" s="5">
        <f t="shared" si="12"/>
        <v>0.01</v>
      </c>
      <c r="E59" s="5">
        <f>IF(B59&gt;0,SUMPRODUCT(E55:E58,F55:F58)/SUM(F55:F58),"0.00")</f>
        <v>106.1023057762244</v>
      </c>
      <c r="F59" s="15">
        <f t="shared" ref="F59" si="13">SUM(F55:F58)</f>
        <v>9.4154409999999994E-2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x14ac:dyDescent="0.25">
      <c r="B60" s="9"/>
      <c r="E60" s="1"/>
      <c r="F60" s="11"/>
    </row>
    <row r="61" spans="1:15" x14ac:dyDescent="0.25">
      <c r="B61" s="1"/>
      <c r="E61" s="1"/>
      <c r="F61" s="1"/>
    </row>
    <row r="62" spans="1:15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x14ac:dyDescent="0.25">
      <c r="A65" s="40"/>
      <c r="B65" s="13"/>
      <c r="C65" s="5"/>
      <c r="D65" s="5"/>
      <c r="E65" s="13"/>
      <c r="F65" s="16"/>
      <c r="G65" s="80"/>
      <c r="H65" s="6"/>
      <c r="I65" s="6"/>
      <c r="J65" s="5"/>
      <c r="K65" s="5"/>
      <c r="L65" s="6"/>
      <c r="M65" s="23"/>
      <c r="N65" s="30"/>
      <c r="O65" s="5"/>
    </row>
    <row r="66" spans="1:15" x14ac:dyDescent="0.25">
      <c r="A66" s="40"/>
      <c r="B66" s="5"/>
      <c r="C66" s="6"/>
      <c r="D66" s="6"/>
      <c r="E66" s="13"/>
      <c r="F66" s="15"/>
      <c r="G66" s="80"/>
      <c r="H66" s="6"/>
      <c r="I66" s="2"/>
      <c r="J66" s="2"/>
      <c r="K66" s="2"/>
      <c r="L66" s="2"/>
      <c r="M66" s="37"/>
      <c r="N66" s="34"/>
      <c r="O66" s="2"/>
    </row>
    <row r="67" spans="1:15" x14ac:dyDescent="0.25">
      <c r="A67" s="17"/>
      <c r="B67" s="5"/>
      <c r="C67" s="2"/>
      <c r="D67" s="2"/>
      <c r="E67" s="6"/>
      <c r="F67" s="8"/>
      <c r="G67" s="80"/>
      <c r="H67" s="6"/>
      <c r="I67" s="2"/>
      <c r="J67" s="2"/>
      <c r="K67" s="2"/>
      <c r="L67" s="2"/>
      <c r="M67" s="37"/>
      <c r="N67" s="34"/>
      <c r="O67" s="2"/>
    </row>
    <row r="68" spans="1:15" x14ac:dyDescent="0.25">
      <c r="A68" s="2"/>
      <c r="B68" s="6"/>
      <c r="C68" s="2"/>
      <c r="D68" s="2"/>
      <c r="E68" s="6"/>
      <c r="F68" s="6"/>
      <c r="G68" s="80"/>
      <c r="H68" s="6"/>
      <c r="I68" s="2"/>
      <c r="J68" s="2"/>
      <c r="K68" s="2"/>
      <c r="L68" s="2"/>
      <c r="M68" s="37"/>
      <c r="N68" s="34"/>
      <c r="O68" s="2"/>
    </row>
    <row r="69" spans="1:15" x14ac:dyDescent="0.25">
      <c r="A69" s="3" t="s">
        <v>2</v>
      </c>
      <c r="B69" s="5">
        <f>SUM(B65:B68)</f>
        <v>0</v>
      </c>
      <c r="C69" s="5">
        <f t="shared" ref="C69:D69" si="16">SUM(C65:C68)</f>
        <v>0</v>
      </c>
      <c r="D69" s="5">
        <f t="shared" si="16"/>
        <v>0</v>
      </c>
      <c r="E69" s="5" t="str">
        <f>IF(B69&gt;0,SUMPRODUCT(E65:E68,F65:F68)/SUM(F65:F68),"0.00")</f>
        <v>0.00</v>
      </c>
      <c r="F69" s="15">
        <f t="shared" ref="F69" si="17">SUM(F65:F68)</f>
        <v>0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2" spans="1:15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x14ac:dyDescent="0.25">
      <c r="A75" s="40"/>
      <c r="B75" s="13"/>
      <c r="C75" s="5"/>
      <c r="D75" s="5"/>
      <c r="E75" s="13"/>
      <c r="F75" s="16"/>
      <c r="G75" s="80"/>
      <c r="H75" s="6"/>
      <c r="I75" s="6"/>
      <c r="J75" s="5"/>
      <c r="K75" s="5"/>
      <c r="L75" s="6"/>
      <c r="M75" s="23"/>
      <c r="N75" s="30"/>
      <c r="O75" s="5"/>
    </row>
    <row r="76" spans="1:15" x14ac:dyDescent="0.25">
      <c r="A76" s="40"/>
      <c r="B76" s="5"/>
      <c r="C76" s="6"/>
      <c r="D76" s="6"/>
      <c r="E76" s="13"/>
      <c r="F76" s="15"/>
      <c r="G76" s="80"/>
      <c r="H76" s="6"/>
      <c r="I76" s="2"/>
      <c r="J76" s="2"/>
      <c r="K76" s="2"/>
      <c r="L76" s="2"/>
      <c r="M76" s="37"/>
      <c r="N76" s="34"/>
      <c r="O76" s="2"/>
    </row>
    <row r="77" spans="1:15" x14ac:dyDescent="0.25">
      <c r="A77" s="17"/>
      <c r="B77" s="5"/>
      <c r="C77" s="2"/>
      <c r="D77" s="2"/>
      <c r="E77" s="6"/>
      <c r="F77" s="8"/>
      <c r="G77" s="80"/>
      <c r="H77" s="6"/>
      <c r="I77" s="2"/>
      <c r="J77" s="2"/>
      <c r="K77" s="2"/>
      <c r="L77" s="2"/>
      <c r="M77" s="37"/>
      <c r="N77" s="34"/>
      <c r="O77" s="2"/>
    </row>
    <row r="78" spans="1:15" x14ac:dyDescent="0.25">
      <c r="A78" s="2"/>
      <c r="B78" s="6"/>
      <c r="C78" s="2"/>
      <c r="D78" s="2"/>
      <c r="E78" s="6"/>
      <c r="F78" s="6"/>
      <c r="G78" s="80"/>
      <c r="H78" s="6"/>
      <c r="I78" s="2"/>
      <c r="J78" s="2"/>
      <c r="K78" s="2"/>
      <c r="L78" s="2"/>
      <c r="M78" s="37"/>
      <c r="N78" s="34"/>
      <c r="O78" s="2"/>
    </row>
    <row r="79" spans="1:15" x14ac:dyDescent="0.25">
      <c r="A79" s="3" t="s">
        <v>2</v>
      </c>
      <c r="B79" s="5">
        <f>SUM(B75:B78)</f>
        <v>0</v>
      </c>
      <c r="C79" s="5">
        <f t="shared" ref="C79:D79" si="20">SUM(C75:C78)</f>
        <v>0</v>
      </c>
      <c r="D79" s="5">
        <f t="shared" si="20"/>
        <v>0</v>
      </c>
      <c r="E79" s="5" t="str">
        <f>IF(B79&gt;0,SUMPRODUCT(E75:E78,F75:F78)/SUM(F75:F78),"0.00")</f>
        <v>0.00</v>
      </c>
      <c r="F79" s="15">
        <f t="shared" ref="F79" si="21">SUM(F75:F78)</f>
        <v>0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  <row r="80" spans="1:15" x14ac:dyDescent="0.25">
      <c r="B80" s="9"/>
      <c r="E80" s="1"/>
      <c r="F80" s="11"/>
    </row>
  </sheetData>
  <mergeCells count="43">
    <mergeCell ref="A12:O12"/>
    <mergeCell ref="Q2:W2"/>
    <mergeCell ref="A13:F13"/>
    <mergeCell ref="G13:G19"/>
    <mergeCell ref="H13:L13"/>
    <mergeCell ref="N13:O13"/>
    <mergeCell ref="Q3:Q4"/>
    <mergeCell ref="R3:R4"/>
    <mergeCell ref="S3:S4"/>
    <mergeCell ref="T3:T4"/>
    <mergeCell ref="U3:V3"/>
    <mergeCell ref="W3:W4"/>
    <mergeCell ref="A22:O22"/>
    <mergeCell ref="A23:F23"/>
    <mergeCell ref="G23:G29"/>
    <mergeCell ref="H23:L23"/>
    <mergeCell ref="N23:O23"/>
    <mergeCell ref="A43:F43"/>
    <mergeCell ref="G43:G49"/>
    <mergeCell ref="H43:K43"/>
    <mergeCell ref="N43:O43"/>
    <mergeCell ref="A52:O52"/>
    <mergeCell ref="A33:F33"/>
    <mergeCell ref="G33:G39"/>
    <mergeCell ref="H33:K33"/>
    <mergeCell ref="N33:O33"/>
    <mergeCell ref="A42:O42"/>
    <mergeCell ref="X3:X4"/>
    <mergeCell ref="A73:F73"/>
    <mergeCell ref="G73:G79"/>
    <mergeCell ref="H73:K73"/>
    <mergeCell ref="N73:O73"/>
    <mergeCell ref="A62:O62"/>
    <mergeCell ref="A63:F63"/>
    <mergeCell ref="G63:G69"/>
    <mergeCell ref="H63:K63"/>
    <mergeCell ref="N63:O63"/>
    <mergeCell ref="A72:O72"/>
    <mergeCell ref="A53:F53"/>
    <mergeCell ref="G53:G59"/>
    <mergeCell ref="H53:K53"/>
    <mergeCell ref="N53:O53"/>
    <mergeCell ref="A32:O32"/>
  </mergeCells>
  <hyperlinks>
    <hyperlink ref="A12:O12" location="NADQ!A1" display="NADQ Amundi Nasdaq-100 UCITS ETF (Dist)" xr:uid="{F5CE048E-F9F3-42B6-961C-D6A851A5B097}"/>
    <hyperlink ref="A22:O22" location="QDVE!A1" display="QDVE iShares S&amp;P 500 Inf. Tech. Sector UCITS ETF (Acc)" xr:uid="{221986F6-4F40-4290-8837-61C20DA26264}"/>
    <hyperlink ref="A32:O32" location="VWCE!A1" display="VWCE Vanguard FTSE All-World UCITS ETF (Acc)" xr:uid="{B1324AC6-97F6-407D-A794-B22AE3FD53AF}"/>
    <hyperlink ref="A42:O42" location="XDEQ!A1" display="XDEQ Xtarckers MSCI World Quality UCITS ETF (Acc)" xr:uid="{073C1241-8A88-4DFF-B6AB-84DC005DA645}"/>
    <hyperlink ref="A52:O52" location="VUAA!A1" display="VUAA Vanguard S&amp;P 500 UCITS ETF (Acc)" xr:uid="{9DD5008F-A810-4188-B717-7938497CEBF4}"/>
    <hyperlink ref="A62:O62" location="XDWT!A1" display="XDWT Xtrackers MSCI World Information Tech. ETF (Acc)" xr:uid="{6D1950AC-A0E7-47BC-9F9F-663135AD09B9}"/>
    <hyperlink ref="A72:O72" location="XAIX!A1" display="XAIX Xtrackers Artificial Intell. and Big Data ETF (Acc)" xr:uid="{EE7D7AE7-2E62-451A-BDDC-316F0FBC86D1}"/>
  </hyperlinks>
  <pageMargins left="0.7" right="0.7" top="0.75" bottom="0.75" header="0.3" footer="0.3"/>
  <pageSetup orientation="portrait" horizontalDpi="4294967293" verticalDpi="0" r:id="rId1"/>
  <ignoredErrors>
    <ignoredError sqref="E19 E29 E39 E49 E59 E69 E79" formula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79"/>
  <sheetViews>
    <sheetView topLeftCell="A54" workbookViewId="0">
      <selection activeCell="A75" sqref="A75:A76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2025.08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50</v>
      </c>
      <c r="R5" s="5">
        <v>0</v>
      </c>
      <c r="S5" s="5">
        <f>C19+C29+C39+C49+C59+C69+C79+C89+C99+C109</f>
        <v>49.960000000000008</v>
      </c>
      <c r="T5" s="5">
        <f>I19+I29+I39+I49+I59+I69+I79+I89+I99+I109</f>
        <v>0</v>
      </c>
      <c r="U5" s="5">
        <f>D19+D29+D39+D49+D59+D69+D79+D89+D99+D109</f>
        <v>0.04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-7.9589113077815909E-15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45889</v>
      </c>
      <c r="B25" s="13">
        <v>10</v>
      </c>
      <c r="C25" s="5">
        <v>9.99</v>
      </c>
      <c r="D25" s="5">
        <v>0.01</v>
      </c>
      <c r="E25" s="13">
        <f>C25/F25</f>
        <v>32.410000850316436</v>
      </c>
      <c r="F25" s="16">
        <v>0.30823819000000002</v>
      </c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6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10</v>
      </c>
      <c r="C29" s="5">
        <f t="shared" ref="C29:D29" si="1">SUM(C25:C28)</f>
        <v>9.99</v>
      </c>
      <c r="D29" s="5">
        <f t="shared" si="1"/>
        <v>0.01</v>
      </c>
      <c r="E29" s="5">
        <f>IF(B29&gt;0,SUMPRODUCT(E25:E28,F25:F28)/SUM(F25:F28),"0.00")</f>
        <v>32.410000850316436</v>
      </c>
      <c r="F29" s="15">
        <f t="shared" ref="F29" si="2">SUM(F25:F28)</f>
        <v>0.30823819000000002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28"/>
      <c r="B35" s="13"/>
      <c r="C35" s="5"/>
      <c r="D35" s="5"/>
      <c r="E35" s="13"/>
      <c r="F35" s="16"/>
      <c r="G35" s="87"/>
      <c r="H35" s="6"/>
      <c r="I35" s="6"/>
      <c r="J35" s="5"/>
      <c r="K35" s="5"/>
      <c r="L35" s="6"/>
      <c r="M35" s="23"/>
      <c r="N35" s="30"/>
      <c r="O35" s="5"/>
    </row>
    <row r="36" spans="1:15" x14ac:dyDescent="0.25">
      <c r="A36" s="10"/>
      <c r="B36" s="5"/>
      <c r="C36" s="2"/>
      <c r="D36" s="2"/>
      <c r="E36" s="6"/>
      <c r="F36" s="8"/>
      <c r="G36" s="87"/>
      <c r="H36" s="6"/>
      <c r="I36" s="2"/>
      <c r="J36" s="2"/>
      <c r="K36" s="2"/>
      <c r="L36" s="2"/>
      <c r="M36" s="37"/>
      <c r="N36" s="34"/>
      <c r="O36" s="2"/>
    </row>
    <row r="37" spans="1:15" ht="16.5" x14ac:dyDescent="0.3">
      <c r="A37" s="4"/>
      <c r="B37" s="5"/>
      <c r="C37" s="2"/>
      <c r="D37" s="2"/>
      <c r="E37" s="6"/>
      <c r="F37" s="8"/>
      <c r="G37" s="87"/>
      <c r="H37" s="6"/>
      <c r="I37" s="2"/>
      <c r="J37" s="2"/>
      <c r="K37" s="2"/>
      <c r="L37" s="2"/>
      <c r="M37" s="37"/>
      <c r="N37" s="34"/>
      <c r="O37" s="2"/>
    </row>
    <row r="38" spans="1:15" x14ac:dyDescent="0.25">
      <c r="A38" s="2"/>
      <c r="B38" s="6"/>
      <c r="C38" s="2"/>
      <c r="D38" s="2"/>
      <c r="E38" s="6"/>
      <c r="F38" s="6"/>
      <c r="G38" s="87"/>
      <c r="H38" s="6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0</v>
      </c>
      <c r="C39" s="5">
        <f t="shared" ref="C39:F39" si="5">SUM(C35:C38)</f>
        <v>0</v>
      </c>
      <c r="D39" s="5">
        <f t="shared" si="5"/>
        <v>0</v>
      </c>
      <c r="E39" s="5" t="str">
        <f>IF(B39&gt;0,SUMPRODUCT(E35:E38,F35:F38)/SUM(F35:F38),"0.00")</f>
        <v>0.00</v>
      </c>
      <c r="F39" s="15">
        <f t="shared" si="5"/>
        <v>0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x14ac:dyDescent="0.25">
      <c r="A40" s="39"/>
      <c r="B40" s="9"/>
      <c r="E40" s="1"/>
      <c r="F40" s="11"/>
    </row>
    <row r="42" spans="1:15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x14ac:dyDescent="0.25">
      <c r="A45" s="28"/>
      <c r="B45" s="13"/>
      <c r="C45" s="5"/>
      <c r="D45" s="5"/>
      <c r="E45" s="13"/>
      <c r="F45" s="16"/>
      <c r="G45" s="80"/>
      <c r="H45" s="6"/>
      <c r="I45" s="6"/>
      <c r="J45" s="5"/>
      <c r="K45" s="5"/>
      <c r="L45" s="6"/>
      <c r="M45" s="23"/>
      <c r="N45" s="30"/>
      <c r="O45" s="5"/>
    </row>
    <row r="46" spans="1:15" x14ac:dyDescent="0.25">
      <c r="A46" s="10"/>
      <c r="B46" s="5"/>
      <c r="C46" s="2"/>
      <c r="D46" s="2"/>
      <c r="E46" s="6"/>
      <c r="F46" s="8"/>
      <c r="G46" s="80"/>
      <c r="H46" s="6"/>
      <c r="I46" s="2"/>
      <c r="J46" s="2"/>
      <c r="K46" s="2"/>
      <c r="L46" s="2"/>
      <c r="M46" s="37"/>
      <c r="N46" s="34"/>
      <c r="O46" s="2"/>
    </row>
    <row r="47" spans="1:15" ht="16.5" x14ac:dyDescent="0.3">
      <c r="A47" s="4"/>
      <c r="B47" s="5"/>
      <c r="C47" s="2"/>
      <c r="D47" s="2"/>
      <c r="E47" s="6"/>
      <c r="F47" s="8"/>
      <c r="G47" s="80"/>
      <c r="H47" s="6"/>
      <c r="I47" s="2"/>
      <c r="J47" s="2"/>
      <c r="K47" s="2"/>
      <c r="L47" s="2"/>
      <c r="M47" s="37"/>
      <c r="N47" s="34"/>
      <c r="O47" s="2"/>
    </row>
    <row r="48" spans="1:15" x14ac:dyDescent="0.25">
      <c r="A48" s="2"/>
      <c r="B48" s="6"/>
      <c r="C48" s="2"/>
      <c r="D48" s="2"/>
      <c r="E48" s="6"/>
      <c r="F48" s="6"/>
      <c r="G48" s="80"/>
      <c r="H48" s="6"/>
      <c r="I48" s="2"/>
      <c r="J48" s="2"/>
      <c r="K48" s="2"/>
      <c r="L48" s="2"/>
      <c r="M48" s="37"/>
      <c r="N48" s="34"/>
      <c r="O48" s="2"/>
    </row>
    <row r="49" spans="1:15" x14ac:dyDescent="0.25">
      <c r="A49" s="3" t="s">
        <v>2</v>
      </c>
      <c r="B49" s="5">
        <f>SUM(B45:B48)</f>
        <v>0</v>
      </c>
      <c r="C49" s="5">
        <f t="shared" ref="C49:D49" si="8">SUM(C45:C48)</f>
        <v>0</v>
      </c>
      <c r="D49" s="5">
        <f t="shared" si="8"/>
        <v>0</v>
      </c>
      <c r="E49" s="5" t="str">
        <f>IF(B49&gt;0,SUMPRODUCT(E45:E48,F45:F48)/SUM(F45:F48),"0.00")</f>
        <v>0.00</v>
      </c>
      <c r="F49" s="15">
        <f t="shared" ref="F49" si="9">SUM(F45:F48)</f>
        <v>0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2" spans="1:15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x14ac:dyDescent="0.25">
      <c r="A55" s="28"/>
      <c r="B55" s="13"/>
      <c r="C55" s="5"/>
      <c r="D55" s="5"/>
      <c r="E55" s="13"/>
      <c r="F55" s="16"/>
      <c r="G55" s="80"/>
      <c r="H55" s="6"/>
      <c r="I55" s="6"/>
      <c r="J55" s="5"/>
      <c r="K55" s="5"/>
      <c r="L55" s="6"/>
      <c r="M55" s="23"/>
      <c r="N55" s="30"/>
      <c r="O55" s="5"/>
    </row>
    <row r="56" spans="1:15" x14ac:dyDescent="0.25">
      <c r="A56" s="10"/>
      <c r="B56" s="5"/>
      <c r="C56" s="2"/>
      <c r="D56" s="2"/>
      <c r="E56" s="6"/>
      <c r="F56" s="8"/>
      <c r="G56" s="80"/>
      <c r="H56" s="6"/>
      <c r="I56" s="2"/>
      <c r="J56" s="2"/>
      <c r="K56" s="2"/>
      <c r="L56" s="2"/>
      <c r="M56" s="37"/>
      <c r="N56" s="34"/>
      <c r="O56" s="2"/>
    </row>
    <row r="57" spans="1:15" ht="16.5" x14ac:dyDescent="0.3">
      <c r="A57" s="4"/>
      <c r="B57" s="5"/>
      <c r="C57" s="2"/>
      <c r="D57" s="2"/>
      <c r="E57" s="6"/>
      <c r="F57" s="8"/>
      <c r="G57" s="80"/>
      <c r="H57" s="6"/>
      <c r="I57" s="2"/>
      <c r="J57" s="2"/>
      <c r="K57" s="2"/>
      <c r="L57" s="2"/>
      <c r="M57" s="37"/>
      <c r="N57" s="34"/>
      <c r="O57" s="2"/>
    </row>
    <row r="58" spans="1:15" x14ac:dyDescent="0.25">
      <c r="A58" s="2"/>
      <c r="B58" s="6"/>
      <c r="C58" s="2"/>
      <c r="D58" s="2"/>
      <c r="E58" s="6"/>
      <c r="F58" s="6"/>
      <c r="G58" s="80"/>
      <c r="H58" s="6"/>
      <c r="I58" s="2"/>
      <c r="J58" s="2"/>
      <c r="K58" s="2"/>
      <c r="L58" s="2"/>
      <c r="M58" s="37"/>
      <c r="N58" s="34"/>
      <c r="O58" s="2"/>
    </row>
    <row r="59" spans="1:15" x14ac:dyDescent="0.25">
      <c r="A59" s="3" t="s">
        <v>2</v>
      </c>
      <c r="B59" s="5">
        <f>SUM(B55:B58)</f>
        <v>0</v>
      </c>
      <c r="C59" s="5">
        <f t="shared" ref="C59:D59" si="12">SUM(C55:C58)</f>
        <v>0</v>
      </c>
      <c r="D59" s="5">
        <f t="shared" si="12"/>
        <v>0</v>
      </c>
      <c r="E59" s="5" t="str">
        <f>IF(B59&gt;0,SUMPRODUCT(E55:E58,F55:F58)/SUM(F55:F58),"0.00")</f>
        <v>0.00</v>
      </c>
      <c r="F59" s="15">
        <f t="shared" ref="F59" si="13">SUM(F55:F58)</f>
        <v>0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  <row r="60" spans="1:15" x14ac:dyDescent="0.25">
      <c r="B60" s="9"/>
      <c r="E60" s="1"/>
      <c r="F60" s="11"/>
    </row>
    <row r="61" spans="1:15" x14ac:dyDescent="0.25">
      <c r="B61" s="1"/>
      <c r="E61" s="1"/>
      <c r="F61" s="1"/>
    </row>
    <row r="62" spans="1:15" x14ac:dyDescent="0.25">
      <c r="A62" s="82" t="s">
        <v>28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</row>
    <row r="63" spans="1:15" x14ac:dyDescent="0.25">
      <c r="A63" s="69" t="s">
        <v>14</v>
      </c>
      <c r="B63" s="71"/>
      <c r="C63" s="71"/>
      <c r="D63" s="71"/>
      <c r="E63" s="71"/>
      <c r="F63" s="70"/>
      <c r="G63" s="79"/>
      <c r="H63" s="72" t="s">
        <v>37</v>
      </c>
      <c r="I63" s="72"/>
      <c r="J63" s="72"/>
      <c r="K63" s="72"/>
      <c r="L63" s="2"/>
      <c r="M63" s="35"/>
      <c r="N63" s="69" t="s">
        <v>49</v>
      </c>
      <c r="O63" s="70"/>
    </row>
    <row r="64" spans="1:15" x14ac:dyDescent="0.25">
      <c r="A64" s="31" t="s">
        <v>42</v>
      </c>
      <c r="B64" s="3" t="s">
        <v>3</v>
      </c>
      <c r="C64" s="3" t="s">
        <v>8</v>
      </c>
      <c r="D64" s="3" t="s">
        <v>7</v>
      </c>
      <c r="E64" s="3" t="s">
        <v>0</v>
      </c>
      <c r="F64" s="3" t="s">
        <v>1</v>
      </c>
      <c r="G64" s="80"/>
      <c r="H64" s="31" t="s">
        <v>42</v>
      </c>
      <c r="I64" s="3" t="s">
        <v>38</v>
      </c>
      <c r="J64" s="3" t="s">
        <v>7</v>
      </c>
      <c r="K64" s="3" t="s">
        <v>0</v>
      </c>
      <c r="L64" s="3" t="s">
        <v>1</v>
      </c>
      <c r="M64" s="36"/>
      <c r="N64" s="22" t="s">
        <v>42</v>
      </c>
      <c r="O64" s="3" t="s">
        <v>38</v>
      </c>
    </row>
    <row r="65" spans="1:15" x14ac:dyDescent="0.25">
      <c r="A65" s="40">
        <v>45887</v>
      </c>
      <c r="B65" s="13">
        <v>10</v>
      </c>
      <c r="C65" s="5">
        <v>10</v>
      </c>
      <c r="D65" s="5">
        <v>0</v>
      </c>
      <c r="E65" s="13">
        <f>C65/F65</f>
        <v>93.640008105479097</v>
      </c>
      <c r="F65" s="16">
        <v>0.10679196000000001</v>
      </c>
      <c r="G65" s="80"/>
      <c r="H65" s="6"/>
      <c r="I65" s="6"/>
      <c r="J65" s="5"/>
      <c r="K65" s="5"/>
      <c r="L65" s="6"/>
      <c r="M65" s="23"/>
      <c r="N65" s="30"/>
      <c r="O65" s="5"/>
    </row>
    <row r="66" spans="1:15" x14ac:dyDescent="0.25">
      <c r="A66" s="40">
        <v>45889</v>
      </c>
      <c r="B66" s="5">
        <v>10</v>
      </c>
      <c r="C66" s="6">
        <v>9.99</v>
      </c>
      <c r="D66" s="6">
        <v>0.01</v>
      </c>
      <c r="E66" s="13">
        <f>C66/F66</f>
        <v>91.100003820911084</v>
      </c>
      <c r="F66" s="15">
        <v>0.10965970999999999</v>
      </c>
      <c r="G66" s="80"/>
      <c r="H66" s="6"/>
      <c r="I66" s="2"/>
      <c r="J66" s="2"/>
      <c r="K66" s="2"/>
      <c r="L66" s="2"/>
      <c r="M66" s="37"/>
      <c r="N66" s="34"/>
      <c r="O66" s="2"/>
    </row>
    <row r="67" spans="1:15" x14ac:dyDescent="0.25">
      <c r="A67" s="17"/>
      <c r="B67" s="5"/>
      <c r="C67" s="2"/>
      <c r="D67" s="2"/>
      <c r="E67" s="6"/>
      <c r="F67" s="8"/>
      <c r="G67" s="80"/>
      <c r="H67" s="6"/>
      <c r="I67" s="2"/>
      <c r="J67" s="2"/>
      <c r="K67" s="2"/>
      <c r="L67" s="2"/>
      <c r="M67" s="37"/>
      <c r="N67" s="34"/>
      <c r="O67" s="2"/>
    </row>
    <row r="68" spans="1:15" x14ac:dyDescent="0.25">
      <c r="A68" s="2"/>
      <c r="B68" s="6"/>
      <c r="C68" s="2"/>
      <c r="D68" s="2"/>
      <c r="E68" s="6"/>
      <c r="F68" s="6"/>
      <c r="G68" s="80"/>
      <c r="H68" s="6"/>
      <c r="I68" s="2"/>
      <c r="J68" s="2"/>
      <c r="K68" s="2"/>
      <c r="L68" s="2"/>
      <c r="M68" s="37"/>
      <c r="N68" s="34"/>
      <c r="O68" s="2"/>
    </row>
    <row r="69" spans="1:15" x14ac:dyDescent="0.25">
      <c r="A69" s="3" t="s">
        <v>2</v>
      </c>
      <c r="B69" s="5">
        <f>SUM(B65:B68)</f>
        <v>20</v>
      </c>
      <c r="C69" s="5">
        <f t="shared" ref="C69:D69" si="16">SUM(C65:C68)</f>
        <v>19.990000000000002</v>
      </c>
      <c r="D69" s="5">
        <f t="shared" si="16"/>
        <v>0.01</v>
      </c>
      <c r="E69" s="5">
        <f>IF(B69&gt;0,SUMPRODUCT(E65:E68,F65:F68)/SUM(F65:F68),"0.00")</f>
        <v>92.353179811456314</v>
      </c>
      <c r="F69" s="15">
        <f t="shared" ref="F69" si="17">SUM(F65:F68)</f>
        <v>0.21645166999999998</v>
      </c>
      <c r="G69" s="81"/>
      <c r="H69" s="3" t="s">
        <v>2</v>
      </c>
      <c r="I69" s="5">
        <f>SUM(I65:I68)</f>
        <v>0</v>
      </c>
      <c r="J69" s="5">
        <f t="shared" ref="J69" si="18">SUM(J65:J68)</f>
        <v>0</v>
      </c>
      <c r="K69" s="6"/>
      <c r="L69" s="15">
        <f t="shared" ref="L69" si="19">SUM(L65:L68)</f>
        <v>0</v>
      </c>
      <c r="M69" s="38"/>
      <c r="N69" s="3" t="s">
        <v>2</v>
      </c>
      <c r="O69" s="5">
        <f>SUM(O65:O68)</f>
        <v>0</v>
      </c>
    </row>
    <row r="72" spans="1:15" x14ac:dyDescent="0.25">
      <c r="A72" s="76" t="s">
        <v>29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8"/>
    </row>
    <row r="73" spans="1:15" x14ac:dyDescent="0.25">
      <c r="A73" s="69" t="s">
        <v>14</v>
      </c>
      <c r="B73" s="71"/>
      <c r="C73" s="71"/>
      <c r="D73" s="71"/>
      <c r="E73" s="71"/>
      <c r="F73" s="70"/>
      <c r="G73" s="79"/>
      <c r="H73" s="72" t="s">
        <v>37</v>
      </c>
      <c r="I73" s="72"/>
      <c r="J73" s="72"/>
      <c r="K73" s="72"/>
      <c r="L73" s="2"/>
      <c r="M73" s="35"/>
      <c r="N73" s="69" t="s">
        <v>49</v>
      </c>
      <c r="O73" s="70"/>
    </row>
    <row r="74" spans="1:15" x14ac:dyDescent="0.25">
      <c r="A74" s="31" t="s">
        <v>42</v>
      </c>
      <c r="B74" s="3" t="s">
        <v>3</v>
      </c>
      <c r="C74" s="3" t="s">
        <v>8</v>
      </c>
      <c r="D74" s="3" t="s">
        <v>7</v>
      </c>
      <c r="E74" s="3" t="s">
        <v>0</v>
      </c>
      <c r="F74" s="3" t="s">
        <v>1</v>
      </c>
      <c r="G74" s="80"/>
      <c r="H74" s="31" t="s">
        <v>42</v>
      </c>
      <c r="I74" s="3" t="s">
        <v>38</v>
      </c>
      <c r="J74" s="3" t="s">
        <v>7</v>
      </c>
      <c r="K74" s="3" t="s">
        <v>0</v>
      </c>
      <c r="L74" s="3" t="s">
        <v>1</v>
      </c>
      <c r="M74" s="36"/>
      <c r="N74" s="22" t="s">
        <v>42</v>
      </c>
      <c r="O74" s="3" t="s">
        <v>38</v>
      </c>
    </row>
    <row r="75" spans="1:15" x14ac:dyDescent="0.25">
      <c r="A75" s="40">
        <v>45887</v>
      </c>
      <c r="B75" s="13">
        <v>10</v>
      </c>
      <c r="C75" s="5">
        <v>9.99</v>
      </c>
      <c r="D75" s="5">
        <v>0.01</v>
      </c>
      <c r="E75" s="13">
        <f>C75/F75</f>
        <v>140.1200038767937</v>
      </c>
      <c r="F75" s="16">
        <v>7.1296029999999996E-2</v>
      </c>
      <c r="G75" s="80"/>
      <c r="H75" s="6"/>
      <c r="I75" s="6"/>
      <c r="J75" s="5"/>
      <c r="K75" s="5"/>
      <c r="L75" s="6"/>
      <c r="M75" s="23"/>
      <c r="N75" s="30"/>
      <c r="O75" s="5"/>
    </row>
    <row r="76" spans="1:15" x14ac:dyDescent="0.25">
      <c r="A76" s="40">
        <v>45889</v>
      </c>
      <c r="B76" s="5">
        <v>10</v>
      </c>
      <c r="C76" s="6">
        <v>9.99</v>
      </c>
      <c r="D76" s="6">
        <v>0.01</v>
      </c>
      <c r="E76" s="13">
        <f>C76/F76</f>
        <v>139.32001235053082</v>
      </c>
      <c r="F76" s="15">
        <v>7.1705420000000006E-2</v>
      </c>
      <c r="G76" s="80"/>
      <c r="H76" s="6"/>
      <c r="I76" s="2"/>
      <c r="J76" s="2"/>
      <c r="K76" s="2"/>
      <c r="L76" s="2"/>
      <c r="M76" s="37"/>
      <c r="N76" s="34"/>
      <c r="O76" s="2"/>
    </row>
    <row r="77" spans="1:15" x14ac:dyDescent="0.25">
      <c r="A77" s="17"/>
      <c r="B77" s="5"/>
      <c r="C77" s="2"/>
      <c r="D77" s="2"/>
      <c r="E77" s="6"/>
      <c r="F77" s="8"/>
      <c r="G77" s="80"/>
      <c r="H77" s="6"/>
      <c r="I77" s="2"/>
      <c r="J77" s="2"/>
      <c r="K77" s="2"/>
      <c r="L77" s="2"/>
      <c r="M77" s="37"/>
      <c r="N77" s="34"/>
      <c r="O77" s="2"/>
    </row>
    <row r="78" spans="1:15" x14ac:dyDescent="0.25">
      <c r="A78" s="2"/>
      <c r="B78" s="6"/>
      <c r="C78" s="2"/>
      <c r="D78" s="2"/>
      <c r="E78" s="6"/>
      <c r="F78" s="6"/>
      <c r="G78" s="80"/>
      <c r="H78" s="6"/>
      <c r="I78" s="2"/>
      <c r="J78" s="2"/>
      <c r="K78" s="2"/>
      <c r="L78" s="2"/>
      <c r="M78" s="37"/>
      <c r="N78" s="34"/>
      <c r="O78" s="2"/>
    </row>
    <row r="79" spans="1:15" x14ac:dyDescent="0.25">
      <c r="A79" s="3" t="s">
        <v>2</v>
      </c>
      <c r="B79" s="5">
        <f>SUM(B75:B78)</f>
        <v>20</v>
      </c>
      <c r="C79" s="5">
        <f t="shared" ref="C79:D79" si="20">SUM(C75:C78)</f>
        <v>19.98</v>
      </c>
      <c r="D79" s="5">
        <f t="shared" si="20"/>
        <v>0.02</v>
      </c>
      <c r="E79" s="5">
        <f>IF(B79&gt;0,SUMPRODUCT(E75:E78,F75:F78)/SUM(F75:F78),"0.00")</f>
        <v>139.71886299055009</v>
      </c>
      <c r="F79" s="15">
        <f t="shared" ref="F79" si="21">SUM(F75:F78)</f>
        <v>0.14300145</v>
      </c>
      <c r="G79" s="81"/>
      <c r="H79" s="3" t="s">
        <v>2</v>
      </c>
      <c r="I79" s="5">
        <f>SUM(I75:I78)</f>
        <v>0</v>
      </c>
      <c r="J79" s="5">
        <f t="shared" ref="J79" si="22">SUM(J75:J78)</f>
        <v>0</v>
      </c>
      <c r="K79" s="6"/>
      <c r="L79" s="15">
        <f t="shared" ref="L79" si="23">SUM(L75:L78)</f>
        <v>0</v>
      </c>
      <c r="M79" s="38"/>
      <c r="N79" s="3" t="s">
        <v>2</v>
      </c>
      <c r="O79" s="5">
        <f>SUM(O75:O78)</f>
        <v>0</v>
      </c>
    </row>
  </sheetData>
  <mergeCells count="43">
    <mergeCell ref="G63:G69"/>
    <mergeCell ref="H63:K63"/>
    <mergeCell ref="H23:L23"/>
    <mergeCell ref="A42:O42"/>
    <mergeCell ref="A43:F43"/>
    <mergeCell ref="G43:G49"/>
    <mergeCell ref="H43:K43"/>
    <mergeCell ref="N23:O23"/>
    <mergeCell ref="A32:O32"/>
    <mergeCell ref="A33:F33"/>
    <mergeCell ref="G33:G39"/>
    <mergeCell ref="H33:K33"/>
    <mergeCell ref="N33:O33"/>
    <mergeCell ref="A23:F23"/>
    <mergeCell ref="G23:G29"/>
    <mergeCell ref="A12:O12"/>
    <mergeCell ref="Q2:W2"/>
    <mergeCell ref="A13:F13"/>
    <mergeCell ref="G13:G19"/>
    <mergeCell ref="H13:L13"/>
    <mergeCell ref="N13:O13"/>
    <mergeCell ref="Q3:Q4"/>
    <mergeCell ref="R3:R4"/>
    <mergeCell ref="S3:S4"/>
    <mergeCell ref="T3:T4"/>
    <mergeCell ref="U3:V3"/>
    <mergeCell ref="W3:W4"/>
    <mergeCell ref="X3:X4"/>
    <mergeCell ref="H73:K73"/>
    <mergeCell ref="N73:O73"/>
    <mergeCell ref="A62:O62"/>
    <mergeCell ref="A63:F63"/>
    <mergeCell ref="N63:O63"/>
    <mergeCell ref="A72:O72"/>
    <mergeCell ref="A73:F73"/>
    <mergeCell ref="G73:G79"/>
    <mergeCell ref="N43:O43"/>
    <mergeCell ref="A52:O52"/>
    <mergeCell ref="A53:F53"/>
    <mergeCell ref="G53:G59"/>
    <mergeCell ref="H53:K53"/>
    <mergeCell ref="N53:O53"/>
    <mergeCell ref="A22:O22"/>
  </mergeCells>
  <hyperlinks>
    <hyperlink ref="A12:O12" location="NADQ!A1" display="NADQ Amundi Nasdaq-100 UCITS ETF (Dist)" xr:uid="{C9344B07-FB72-430E-9AF3-39F14C8D6D08}"/>
    <hyperlink ref="A22:O22" location="QDVE!A1" display="QDVE iShares S&amp;P 500 Inf. Tech. Sector UCITS ETF (Acc)" xr:uid="{B64A77EF-94A3-461C-B929-701A7E485771}"/>
    <hyperlink ref="A32:O32" location="VWCE!A1" display="VWCE Vanguard FTSE All-World UCITS ETF (Acc)" xr:uid="{9E3231D0-0A11-40CA-9E37-78512640BB6C}"/>
    <hyperlink ref="A42:O42" location="XDEQ!A1" display="XDEQ Xtarckers MSCI World Quality UCITS ETF (Acc)" xr:uid="{E0DFC46C-6D7A-4096-872B-574F2F61EF6B}"/>
    <hyperlink ref="A52:O52" location="VUAA!A1" display="VUAA Vanguard S&amp;P 500 UCITS ETF (Acc)" xr:uid="{6D624220-6565-40BA-974F-783B0A058DD2}"/>
    <hyperlink ref="A62:O62" location="XDWT!A1" display="XDWT Xtrackers MSCI World Information Tech. ETF (Acc)" xr:uid="{F53D3B0C-FB77-479D-A3C8-60F7F5B43A75}"/>
    <hyperlink ref="A72:O72" location="XAIX!A1" display="XAIX Xtrackers Artificial Intell. and Big Data ETF (Acc)" xr:uid="{96889B9E-0A7C-4A39-9F0B-D810E8FD2507}"/>
  </hyperlinks>
  <pageMargins left="0.7" right="0.7" top="0.75" bottom="0.75" header="0.3" footer="0.3"/>
  <pageSetup orientation="portrait" horizontalDpi="4294967293" verticalDpi="0" r:id="rId1"/>
  <ignoredErrors>
    <ignoredError sqref="E19 E29 E39 E49 E59 E69 E79" formula="1"/>
  </ignoredError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59"/>
  <sheetViews>
    <sheetView topLeftCell="A33" workbookViewId="0">
      <selection activeCell="A52" sqref="A52:O5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2025.07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50</v>
      </c>
      <c r="R5" s="5">
        <v>0</v>
      </c>
      <c r="S5" s="5">
        <f>C19+C29+C39+C49+C59+C69+C79+C89+C99+C109</f>
        <v>49.96</v>
      </c>
      <c r="T5" s="5">
        <f>I19+I29+I39+I49+I59+I69+I79+I89+I99+I109</f>
        <v>0</v>
      </c>
      <c r="U5" s="5">
        <f>D19+D29+D39+D49+D59+D69+D79+D89+D99+D109</f>
        <v>0.04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-8.5348395018058909E-16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54">
        <v>45839</v>
      </c>
      <c r="B15" s="13">
        <v>10</v>
      </c>
      <c r="C15" s="5">
        <v>9.99</v>
      </c>
      <c r="D15" s="5">
        <v>0.01</v>
      </c>
      <c r="E15" s="13">
        <f>C15/F15</f>
        <v>201.35003282267553</v>
      </c>
      <c r="F15" s="15">
        <v>4.9615090000000001E-2</v>
      </c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55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56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56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10</v>
      </c>
      <c r="C19" s="5">
        <f>SUM(C15:C18)</f>
        <v>9.99</v>
      </c>
      <c r="D19" s="5">
        <f>SUM(D15:D18)</f>
        <v>0.01</v>
      </c>
      <c r="E19" s="5">
        <f>IF(B19&gt;0,SUMPRODUCT(E15:E18,F15:F18)/SUM(F15:F18),"0.00")</f>
        <v>201.35003282267553</v>
      </c>
      <c r="F19" s="15">
        <f>SUM(F15:F18)</f>
        <v>4.9615090000000001E-2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45839</v>
      </c>
      <c r="B25" s="13">
        <v>10</v>
      </c>
      <c r="C25" s="5">
        <v>9.99</v>
      </c>
      <c r="D25" s="5">
        <v>0.01</v>
      </c>
      <c r="E25" s="13">
        <f>C25/F25</f>
        <v>30.585000123993243</v>
      </c>
      <c r="F25" s="16">
        <v>0.3266307</v>
      </c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6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10</v>
      </c>
      <c r="C29" s="5">
        <f t="shared" ref="C29:D29" si="1">SUM(C25:C28)</f>
        <v>9.99</v>
      </c>
      <c r="D29" s="5">
        <f t="shared" si="1"/>
        <v>0.01</v>
      </c>
      <c r="E29" s="5">
        <f>IF(B29&gt;0,SUMPRODUCT(E25:E28,F25:F28)/SUM(F25:F28),"0.00")</f>
        <v>30.585000123993243</v>
      </c>
      <c r="F29" s="15">
        <f t="shared" ref="F29" si="2">SUM(F25:F28)</f>
        <v>0.3266307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59">
        <v>45839</v>
      </c>
      <c r="B35" s="13">
        <v>10</v>
      </c>
      <c r="C35" s="5">
        <v>9.99</v>
      </c>
      <c r="D35" s="5">
        <v>0.01</v>
      </c>
      <c r="E35" s="13">
        <f>C35/F35</f>
        <v>129.66000524869932</v>
      </c>
      <c r="F35" s="16">
        <v>7.7047660000000004E-2</v>
      </c>
      <c r="G35" s="87"/>
      <c r="H35" s="6"/>
      <c r="I35" s="6"/>
      <c r="J35" s="5"/>
      <c r="K35" s="5"/>
      <c r="L35" s="6"/>
      <c r="M35" s="23"/>
      <c r="N35" s="30"/>
      <c r="O35" s="5"/>
    </row>
    <row r="36" spans="1:15" x14ac:dyDescent="0.25">
      <c r="A36" s="10"/>
      <c r="B36" s="5"/>
      <c r="C36" s="2"/>
      <c r="D36" s="2"/>
      <c r="E36" s="6"/>
      <c r="F36" s="8"/>
      <c r="G36" s="87"/>
      <c r="H36" s="6"/>
      <c r="I36" s="2"/>
      <c r="J36" s="2"/>
      <c r="K36" s="2"/>
      <c r="L36" s="2"/>
      <c r="M36" s="37"/>
      <c r="N36" s="34"/>
      <c r="O36" s="2"/>
    </row>
    <row r="37" spans="1:15" ht="16.5" x14ac:dyDescent="0.3">
      <c r="A37" s="4"/>
      <c r="B37" s="5"/>
      <c r="C37" s="2"/>
      <c r="D37" s="2"/>
      <c r="E37" s="6"/>
      <c r="F37" s="8"/>
      <c r="G37" s="87"/>
      <c r="H37" s="6"/>
      <c r="I37" s="2"/>
      <c r="J37" s="2"/>
      <c r="K37" s="2"/>
      <c r="L37" s="2"/>
      <c r="M37" s="37"/>
      <c r="N37" s="34"/>
      <c r="O37" s="2"/>
    </row>
    <row r="38" spans="1:15" x14ac:dyDescent="0.25">
      <c r="A38" s="2"/>
      <c r="B38" s="6"/>
      <c r="C38" s="2"/>
      <c r="D38" s="2"/>
      <c r="E38" s="6"/>
      <c r="F38" s="6"/>
      <c r="G38" s="87"/>
      <c r="H38" s="6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10</v>
      </c>
      <c r="C39" s="5">
        <f t="shared" ref="C39:F39" si="5">SUM(C35:C38)</f>
        <v>9.99</v>
      </c>
      <c r="D39" s="5">
        <f t="shared" si="5"/>
        <v>0.01</v>
      </c>
      <c r="E39" s="5">
        <f>IF(B39&gt;0,SUMPRODUCT(E35:E38,F35:F38)/SUM(F35:F38),"0.00")</f>
        <v>129.66000524869932</v>
      </c>
      <c r="F39" s="15">
        <f t="shared" si="5"/>
        <v>7.7047660000000004E-2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  <row r="40" spans="1:15" x14ac:dyDescent="0.25">
      <c r="A40" s="39"/>
      <c r="B40" s="9"/>
      <c r="E40" s="1"/>
      <c r="F40" s="11"/>
    </row>
    <row r="42" spans="1:15" x14ac:dyDescent="0.25">
      <c r="A42" s="83" t="s">
        <v>24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</row>
    <row r="43" spans="1:15" x14ac:dyDescent="0.25">
      <c r="A43" s="69" t="s">
        <v>14</v>
      </c>
      <c r="B43" s="71"/>
      <c r="C43" s="71"/>
      <c r="D43" s="71"/>
      <c r="E43" s="71"/>
      <c r="F43" s="70"/>
      <c r="G43" s="79"/>
      <c r="H43" s="72" t="s">
        <v>37</v>
      </c>
      <c r="I43" s="72"/>
      <c r="J43" s="72"/>
      <c r="K43" s="72"/>
      <c r="L43" s="2"/>
      <c r="M43" s="35"/>
      <c r="N43" s="69" t="s">
        <v>49</v>
      </c>
      <c r="O43" s="70"/>
    </row>
    <row r="44" spans="1:15" x14ac:dyDescent="0.25">
      <c r="A44" s="31" t="s">
        <v>42</v>
      </c>
      <c r="B44" s="3" t="s">
        <v>3</v>
      </c>
      <c r="C44" s="3" t="s">
        <v>8</v>
      </c>
      <c r="D44" s="3" t="s">
        <v>7</v>
      </c>
      <c r="E44" s="3" t="s">
        <v>0</v>
      </c>
      <c r="F44" s="3" t="s">
        <v>1</v>
      </c>
      <c r="G44" s="80"/>
      <c r="H44" s="31" t="s">
        <v>42</v>
      </c>
      <c r="I44" s="3" t="s">
        <v>38</v>
      </c>
      <c r="J44" s="3" t="s">
        <v>7</v>
      </c>
      <c r="K44" s="3" t="s">
        <v>0</v>
      </c>
      <c r="L44" s="3" t="s">
        <v>1</v>
      </c>
      <c r="M44" s="36"/>
      <c r="N44" s="22" t="s">
        <v>42</v>
      </c>
      <c r="O44" s="3" t="s">
        <v>38</v>
      </c>
    </row>
    <row r="45" spans="1:15" x14ac:dyDescent="0.25">
      <c r="A45" s="54">
        <v>45866</v>
      </c>
      <c r="B45" s="13">
        <v>10</v>
      </c>
      <c r="C45" s="5">
        <v>10</v>
      </c>
      <c r="D45" s="5">
        <v>0</v>
      </c>
      <c r="E45" s="13">
        <f>C45/F45</f>
        <v>65.050000683025004</v>
      </c>
      <c r="F45" s="16">
        <v>0.1537279</v>
      </c>
      <c r="G45" s="80"/>
      <c r="H45" s="6"/>
      <c r="I45" s="6"/>
      <c r="J45" s="5"/>
      <c r="K45" s="5"/>
      <c r="L45" s="6"/>
      <c r="M45" s="23"/>
      <c r="N45" s="30"/>
      <c r="O45" s="5"/>
    </row>
    <row r="46" spans="1:15" x14ac:dyDescent="0.25">
      <c r="A46" s="10"/>
      <c r="B46" s="5"/>
      <c r="C46" s="2"/>
      <c r="D46" s="2"/>
      <c r="E46" s="6"/>
      <c r="F46" s="8"/>
      <c r="G46" s="80"/>
      <c r="H46" s="6"/>
      <c r="I46" s="2"/>
      <c r="J46" s="2"/>
      <c r="K46" s="2"/>
      <c r="L46" s="2"/>
      <c r="M46" s="37"/>
      <c r="N46" s="34"/>
      <c r="O46" s="2"/>
    </row>
    <row r="47" spans="1:15" ht="16.5" x14ac:dyDescent="0.3">
      <c r="A47" s="4"/>
      <c r="B47" s="5"/>
      <c r="C47" s="2"/>
      <c r="D47" s="2"/>
      <c r="E47" s="6"/>
      <c r="F47" s="8"/>
      <c r="G47" s="80"/>
      <c r="H47" s="6"/>
      <c r="I47" s="2"/>
      <c r="J47" s="2"/>
      <c r="K47" s="2"/>
      <c r="L47" s="2"/>
      <c r="M47" s="37"/>
      <c r="N47" s="34"/>
      <c r="O47" s="2"/>
    </row>
    <row r="48" spans="1:15" x14ac:dyDescent="0.25">
      <c r="A48" s="2"/>
      <c r="B48" s="6"/>
      <c r="C48" s="2"/>
      <c r="D48" s="2"/>
      <c r="E48" s="6"/>
      <c r="F48" s="6"/>
      <c r="G48" s="80"/>
      <c r="H48" s="6"/>
      <c r="I48" s="2"/>
      <c r="J48" s="2"/>
      <c r="K48" s="2"/>
      <c r="L48" s="2"/>
      <c r="M48" s="37"/>
      <c r="N48" s="34"/>
      <c r="O48" s="2"/>
    </row>
    <row r="49" spans="1:15" x14ac:dyDescent="0.25">
      <c r="A49" s="3" t="s">
        <v>2</v>
      </c>
      <c r="B49" s="5">
        <f>SUM(B45:B48)</f>
        <v>10</v>
      </c>
      <c r="C49" s="5">
        <f t="shared" ref="C49:D49" si="8">SUM(C45:C48)</f>
        <v>10</v>
      </c>
      <c r="D49" s="5">
        <f t="shared" si="8"/>
        <v>0</v>
      </c>
      <c r="E49" s="5">
        <f>IF(B49&gt;0,SUMPRODUCT(E45:E48,F45:F48)/SUM(F45:F48),"0.00")</f>
        <v>65.050000683025004</v>
      </c>
      <c r="F49" s="15">
        <f t="shared" ref="F49" si="9">SUM(F45:F48)</f>
        <v>0.1537279</v>
      </c>
      <c r="G49" s="81"/>
      <c r="H49" s="3" t="s">
        <v>2</v>
      </c>
      <c r="I49" s="5">
        <f>SUM(I45:I48)</f>
        <v>0</v>
      </c>
      <c r="J49" s="5">
        <f t="shared" ref="J49" si="10">SUM(J45:J48)</f>
        <v>0</v>
      </c>
      <c r="K49" s="6"/>
      <c r="L49" s="15">
        <f t="shared" ref="L49" si="11">SUM(L45:L48)</f>
        <v>0</v>
      </c>
      <c r="M49" s="38"/>
      <c r="N49" s="3" t="s">
        <v>2</v>
      </c>
      <c r="O49" s="5">
        <f>SUM(O45:O48)</f>
        <v>0</v>
      </c>
    </row>
    <row r="52" spans="1:15" x14ac:dyDescent="0.25">
      <c r="A52" s="83" t="s">
        <v>26</v>
      </c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</row>
    <row r="53" spans="1:15" x14ac:dyDescent="0.25">
      <c r="A53" s="69" t="s">
        <v>14</v>
      </c>
      <c r="B53" s="71"/>
      <c r="C53" s="71"/>
      <c r="D53" s="71"/>
      <c r="E53" s="71"/>
      <c r="F53" s="70"/>
      <c r="G53" s="79"/>
      <c r="H53" s="72" t="s">
        <v>37</v>
      </c>
      <c r="I53" s="72"/>
      <c r="J53" s="72"/>
      <c r="K53" s="72"/>
      <c r="L53" s="2"/>
      <c r="M53" s="35"/>
      <c r="N53" s="69" t="s">
        <v>49</v>
      </c>
      <c r="O53" s="70"/>
    </row>
    <row r="54" spans="1:15" x14ac:dyDescent="0.25">
      <c r="A54" s="31" t="s">
        <v>42</v>
      </c>
      <c r="B54" s="3" t="s">
        <v>3</v>
      </c>
      <c r="C54" s="3" t="s">
        <v>8</v>
      </c>
      <c r="D54" s="3" t="s">
        <v>7</v>
      </c>
      <c r="E54" s="3" t="s">
        <v>0</v>
      </c>
      <c r="F54" s="3" t="s">
        <v>1</v>
      </c>
      <c r="G54" s="80"/>
      <c r="H54" s="31" t="s">
        <v>42</v>
      </c>
      <c r="I54" s="3" t="s">
        <v>38</v>
      </c>
      <c r="J54" s="3" t="s">
        <v>7</v>
      </c>
      <c r="K54" s="3" t="s">
        <v>0</v>
      </c>
      <c r="L54" s="3" t="s">
        <v>1</v>
      </c>
      <c r="M54" s="36"/>
      <c r="N54" s="22" t="s">
        <v>42</v>
      </c>
      <c r="O54" s="3" t="s">
        <v>38</v>
      </c>
    </row>
    <row r="55" spans="1:15" x14ac:dyDescent="0.25">
      <c r="A55" s="59">
        <v>45866</v>
      </c>
      <c r="B55" s="13">
        <v>10</v>
      </c>
      <c r="C55" s="5">
        <v>9.99</v>
      </c>
      <c r="D55" s="5">
        <v>0.01</v>
      </c>
      <c r="E55" s="13">
        <f>C55/F55</f>
        <v>105.034904391952</v>
      </c>
      <c r="F55" s="16">
        <v>9.511124E-2</v>
      </c>
      <c r="G55" s="80"/>
      <c r="H55" s="6"/>
      <c r="I55" s="6"/>
      <c r="J55" s="5"/>
      <c r="K55" s="5"/>
      <c r="L55" s="6"/>
      <c r="M55" s="23"/>
      <c r="N55" s="30"/>
      <c r="O55" s="5"/>
    </row>
    <row r="56" spans="1:15" x14ac:dyDescent="0.25">
      <c r="A56" s="10"/>
      <c r="B56" s="5"/>
      <c r="C56" s="2"/>
      <c r="D56" s="2"/>
      <c r="E56" s="6"/>
      <c r="F56" s="8"/>
      <c r="G56" s="80"/>
      <c r="H56" s="6"/>
      <c r="I56" s="2"/>
      <c r="J56" s="2"/>
      <c r="K56" s="2"/>
      <c r="L56" s="2"/>
      <c r="M56" s="37"/>
      <c r="N56" s="34"/>
      <c r="O56" s="2"/>
    </row>
    <row r="57" spans="1:15" ht="16.5" x14ac:dyDescent="0.3">
      <c r="A57" s="4"/>
      <c r="B57" s="5"/>
      <c r="C57" s="2"/>
      <c r="D57" s="2"/>
      <c r="E57" s="6"/>
      <c r="F57" s="8"/>
      <c r="G57" s="80"/>
      <c r="H57" s="6"/>
      <c r="I57" s="2"/>
      <c r="J57" s="2"/>
      <c r="K57" s="2"/>
      <c r="L57" s="2"/>
      <c r="M57" s="37"/>
      <c r="N57" s="34"/>
      <c r="O57" s="2"/>
    </row>
    <row r="58" spans="1:15" x14ac:dyDescent="0.25">
      <c r="A58" s="2"/>
      <c r="B58" s="6"/>
      <c r="C58" s="2"/>
      <c r="D58" s="2"/>
      <c r="E58" s="6"/>
      <c r="F58" s="6"/>
      <c r="G58" s="80"/>
      <c r="H58" s="6"/>
      <c r="I58" s="2"/>
      <c r="J58" s="2"/>
      <c r="K58" s="2"/>
      <c r="L58" s="2"/>
      <c r="M58" s="37"/>
      <c r="N58" s="34"/>
      <c r="O58" s="2"/>
    </row>
    <row r="59" spans="1:15" x14ac:dyDescent="0.25">
      <c r="A59" s="3" t="s">
        <v>2</v>
      </c>
      <c r="B59" s="5">
        <f>SUM(B55:B58)</f>
        <v>10</v>
      </c>
      <c r="C59" s="5">
        <f t="shared" ref="C59:D59" si="12">SUM(C55:C58)</f>
        <v>9.99</v>
      </c>
      <c r="D59" s="5">
        <f t="shared" si="12"/>
        <v>0.01</v>
      </c>
      <c r="E59" s="5">
        <f>IF(B59&gt;0,SUMPRODUCT(E55:E58,F55:F58)/SUM(F55:F58),"0.00")</f>
        <v>105.034904391952</v>
      </c>
      <c r="F59" s="15">
        <f t="shared" ref="F59" si="13">SUM(F55:F58)</f>
        <v>9.511124E-2</v>
      </c>
      <c r="G59" s="81"/>
      <c r="H59" s="3" t="s">
        <v>2</v>
      </c>
      <c r="I59" s="5">
        <f>SUM(I55:I58)</f>
        <v>0</v>
      </c>
      <c r="J59" s="5">
        <f t="shared" ref="J59" si="14">SUM(J55:J58)</f>
        <v>0</v>
      </c>
      <c r="K59" s="6"/>
      <c r="L59" s="15">
        <f t="shared" ref="L59" si="15">SUM(L55:L58)</f>
        <v>0</v>
      </c>
      <c r="M59" s="38"/>
      <c r="N59" s="3" t="s">
        <v>2</v>
      </c>
      <c r="O59" s="5">
        <f>SUM(O55:O58)</f>
        <v>0</v>
      </c>
    </row>
  </sheetData>
  <mergeCells count="33">
    <mergeCell ref="N53:O53"/>
    <mergeCell ref="A52:O52"/>
    <mergeCell ref="A53:F53"/>
    <mergeCell ref="G53:G59"/>
    <mergeCell ref="H53:K53"/>
    <mergeCell ref="A12:O12"/>
    <mergeCell ref="A13:F13"/>
    <mergeCell ref="G13:G19"/>
    <mergeCell ref="H13:L13"/>
    <mergeCell ref="N13:O13"/>
    <mergeCell ref="A22:O22"/>
    <mergeCell ref="A23:F23"/>
    <mergeCell ref="G23:G29"/>
    <mergeCell ref="H23:L23"/>
    <mergeCell ref="N23:O23"/>
    <mergeCell ref="N43:O43"/>
    <mergeCell ref="A42:O42"/>
    <mergeCell ref="A43:F43"/>
    <mergeCell ref="A32:O32"/>
    <mergeCell ref="A33:F33"/>
    <mergeCell ref="G33:G39"/>
    <mergeCell ref="H33:K33"/>
    <mergeCell ref="N33:O33"/>
    <mergeCell ref="H43:K43"/>
    <mergeCell ref="G43:G49"/>
    <mergeCell ref="X3:X4"/>
    <mergeCell ref="Q2:W2"/>
    <mergeCell ref="Q3:Q4"/>
    <mergeCell ref="R3:R4"/>
    <mergeCell ref="S3:S4"/>
    <mergeCell ref="T3:T4"/>
    <mergeCell ref="U3:V3"/>
    <mergeCell ref="W3:W4"/>
  </mergeCells>
  <hyperlinks>
    <hyperlink ref="A12:O12" location="NADQ!A1" display="NADQ Amundi Nasdaq-100 UCITS ETF (Dist)" xr:uid="{8BA1E058-5F0B-45B7-A639-FAD91A8C590A}"/>
    <hyperlink ref="A22:O22" location="QDVE!A1" display="QDVE iShares S&amp;P 500 Inf. Tech. Sector UCITS ETF (Acc)" xr:uid="{446F834A-7465-481F-9BFD-73448CE439D0}"/>
    <hyperlink ref="A32:O32" location="VWCE!A1" display="VWCE Vanguard FTSE All-World UCITS ETF (Acc)" xr:uid="{E1068B80-ED1E-4BDE-9A2B-8F34FA95ACB9}"/>
    <hyperlink ref="A42:O42" location="XDEQ!A1" display="XDEQ Xtarckers MSCI World Quality UCITS ETF (Acc)" xr:uid="{B624781B-0467-40C1-9843-780DACB3C104}"/>
    <hyperlink ref="A52:O52" location="VUAA!A1" display="VUAA Vanguard S&amp;P 500 UCITS ETF (Acc)" xr:uid="{F9E14726-E30A-4E16-B308-17864812C86F}"/>
  </hyperlinks>
  <pageMargins left="0.7" right="0.7" top="0.75" bottom="0.75" header="0.3" footer="0.3"/>
  <pageSetup orientation="portrait" r:id="rId1"/>
  <ignoredErrors>
    <ignoredError sqref="E19 E29 E39 E49 E59" formula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39"/>
  <sheetViews>
    <sheetView topLeftCell="A10" workbookViewId="0"/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2025.06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10</v>
      </c>
      <c r="R5" s="5">
        <v>0</v>
      </c>
      <c r="S5" s="5">
        <f>C19+C29+C39+C49+C59+C69+C79+C89+C99+C109</f>
        <v>10</v>
      </c>
      <c r="T5" s="5">
        <f>I19+I29+I39+I49+I59+I69+I79+I89+I99+I109</f>
        <v>0</v>
      </c>
      <c r="U5" s="5">
        <f>D19+D29+D39+D49+D59+D69+D79+D89+D99+D109</f>
        <v>0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0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28"/>
      <c r="B25" s="13"/>
      <c r="C25" s="5"/>
      <c r="D25" s="5"/>
      <c r="E25" s="13"/>
      <c r="F25" s="16"/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28"/>
      <c r="B26" s="5"/>
      <c r="C26" s="5"/>
      <c r="D26" s="5"/>
      <c r="E26" s="13"/>
      <c r="F26" s="15"/>
      <c r="G26" s="80"/>
      <c r="H26" s="6"/>
      <c r="I26" s="2"/>
      <c r="J26" s="2"/>
      <c r="K26" s="2"/>
      <c r="L26" s="2"/>
      <c r="M26" s="37"/>
      <c r="N26" s="34"/>
      <c r="O26" s="2"/>
    </row>
    <row r="27" spans="1:18" ht="15" customHeight="1" x14ac:dyDescent="0.25">
      <c r="A27" s="10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6.5" x14ac:dyDescent="0.3">
      <c r="A28" s="4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0</v>
      </c>
      <c r="C29" s="5">
        <f t="shared" ref="C29:D29" si="1">SUM(C25:C28)</f>
        <v>0</v>
      </c>
      <c r="D29" s="5">
        <f t="shared" si="1"/>
        <v>0</v>
      </c>
      <c r="E29" s="5" t="str">
        <f>IF(B29&gt;0,SUMPRODUCT(E25:E28,F25:F28)/SUM(F25:F28),"0.00")</f>
        <v>0.00</v>
      </c>
      <c r="F29" s="15">
        <f t="shared" ref="F29" si="2">SUM(F25:F28)</f>
        <v>0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  <row r="30" spans="1:18" x14ac:dyDescent="0.25">
      <c r="A30" s="12"/>
    </row>
    <row r="31" spans="1:18" x14ac:dyDescent="0.25">
      <c r="A31" s="12"/>
    </row>
    <row r="32" spans="1:18" x14ac:dyDescent="0.25">
      <c r="A32" s="83" t="s">
        <v>18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x14ac:dyDescent="0.25">
      <c r="A33" s="69" t="s">
        <v>14</v>
      </c>
      <c r="B33" s="71"/>
      <c r="C33" s="71"/>
      <c r="D33" s="71"/>
      <c r="E33" s="71"/>
      <c r="F33" s="70"/>
      <c r="G33" s="87"/>
      <c r="H33" s="72" t="s">
        <v>37</v>
      </c>
      <c r="I33" s="72"/>
      <c r="J33" s="72"/>
      <c r="K33" s="72"/>
      <c r="L33" s="2"/>
      <c r="M33" s="35"/>
      <c r="N33" s="69" t="s">
        <v>49</v>
      </c>
      <c r="O33" s="70"/>
    </row>
    <row r="34" spans="1:15" x14ac:dyDescent="0.25">
      <c r="A34" s="31" t="s">
        <v>42</v>
      </c>
      <c r="B34" s="3" t="s">
        <v>3</v>
      </c>
      <c r="C34" s="3" t="s">
        <v>8</v>
      </c>
      <c r="D34" s="3" t="s">
        <v>7</v>
      </c>
      <c r="E34" s="3" t="s">
        <v>0</v>
      </c>
      <c r="F34" s="3" t="s">
        <v>1</v>
      </c>
      <c r="G34" s="87"/>
      <c r="H34" s="31" t="s">
        <v>42</v>
      </c>
      <c r="I34" s="3" t="s">
        <v>38</v>
      </c>
      <c r="J34" s="3" t="s">
        <v>7</v>
      </c>
      <c r="K34" s="3" t="s">
        <v>0</v>
      </c>
      <c r="L34" s="3" t="s">
        <v>1</v>
      </c>
      <c r="M34" s="36"/>
      <c r="N34" s="22" t="s">
        <v>42</v>
      </c>
      <c r="O34" s="3" t="s">
        <v>38</v>
      </c>
    </row>
    <row r="35" spans="1:15" x14ac:dyDescent="0.25">
      <c r="A35" s="54">
        <v>45833</v>
      </c>
      <c r="B35" s="13">
        <v>10</v>
      </c>
      <c r="C35" s="5">
        <v>10</v>
      </c>
      <c r="D35" s="5">
        <v>0</v>
      </c>
      <c r="E35" s="13">
        <f>C35/F35</f>
        <v>129.56001031815921</v>
      </c>
      <c r="F35" s="16">
        <v>7.7184310000000006E-2</v>
      </c>
      <c r="G35" s="87"/>
      <c r="H35" s="6"/>
      <c r="I35" s="6"/>
      <c r="J35" s="5"/>
      <c r="K35" s="5"/>
      <c r="L35" s="6"/>
      <c r="M35" s="23"/>
      <c r="N35" s="30"/>
      <c r="O35" s="5"/>
    </row>
    <row r="36" spans="1:15" x14ac:dyDescent="0.25">
      <c r="A36" s="55"/>
      <c r="B36" s="5"/>
      <c r="C36" s="2"/>
      <c r="D36" s="2"/>
      <c r="E36" s="6"/>
      <c r="F36" s="8"/>
      <c r="G36" s="87"/>
      <c r="H36" s="6"/>
      <c r="I36" s="2"/>
      <c r="J36" s="2"/>
      <c r="K36" s="2"/>
      <c r="L36" s="2"/>
      <c r="M36" s="37"/>
      <c r="N36" s="34"/>
      <c r="O36" s="2"/>
    </row>
    <row r="37" spans="1:15" ht="16.5" x14ac:dyDescent="0.3">
      <c r="A37" s="56"/>
      <c r="B37" s="5"/>
      <c r="C37" s="2"/>
      <c r="D37" s="2"/>
      <c r="E37" s="6"/>
      <c r="F37" s="8"/>
      <c r="G37" s="87"/>
      <c r="H37" s="6"/>
      <c r="I37" s="2"/>
      <c r="J37" s="2"/>
      <c r="K37" s="2"/>
      <c r="L37" s="2"/>
      <c r="M37" s="37"/>
      <c r="N37" s="34"/>
      <c r="O37" s="2"/>
    </row>
    <row r="38" spans="1:15" x14ac:dyDescent="0.25">
      <c r="A38" s="60"/>
      <c r="B38" s="6"/>
      <c r="C38" s="2"/>
      <c r="D38" s="2"/>
      <c r="E38" s="6"/>
      <c r="F38" s="6"/>
      <c r="G38" s="87"/>
      <c r="H38" s="6"/>
      <c r="I38" s="2"/>
      <c r="J38" s="2"/>
      <c r="K38" s="2"/>
      <c r="L38" s="2"/>
      <c r="M38" s="37"/>
      <c r="N38" s="34"/>
      <c r="O38" s="2"/>
    </row>
    <row r="39" spans="1:15" x14ac:dyDescent="0.25">
      <c r="A39" s="3" t="s">
        <v>2</v>
      </c>
      <c r="B39" s="5">
        <f>SUM(B35:B38)</f>
        <v>10</v>
      </c>
      <c r="C39" s="5">
        <f t="shared" ref="C39:F39" si="5">SUM(C35:C38)</f>
        <v>10</v>
      </c>
      <c r="D39" s="5">
        <f t="shared" si="5"/>
        <v>0</v>
      </c>
      <c r="E39" s="5">
        <f>IF(B39&gt;0,SUMPRODUCT(E35:E38,F35:F38)/SUM(F35:F38),"0.00")</f>
        <v>129.56001031815921</v>
      </c>
      <c r="F39" s="15">
        <f t="shared" si="5"/>
        <v>7.7184310000000006E-2</v>
      </c>
      <c r="G39" s="87"/>
      <c r="H39" s="3" t="s">
        <v>2</v>
      </c>
      <c r="I39" s="5">
        <f>SUM(I35:I38)</f>
        <v>0</v>
      </c>
      <c r="J39" s="5">
        <f t="shared" ref="J39" si="6">SUM(J35:J38)</f>
        <v>0</v>
      </c>
      <c r="K39" s="6"/>
      <c r="L39" s="15">
        <f t="shared" ref="L39" si="7">SUM(L35:L38)</f>
        <v>0</v>
      </c>
      <c r="M39" s="38"/>
      <c r="N39" s="3" t="s">
        <v>2</v>
      </c>
      <c r="O39" s="5">
        <f>SUM(O35:O38)</f>
        <v>0</v>
      </c>
    </row>
  </sheetData>
  <mergeCells count="23">
    <mergeCell ref="Q2:W2"/>
    <mergeCell ref="A13:F13"/>
    <mergeCell ref="G13:G19"/>
    <mergeCell ref="H13:L13"/>
    <mergeCell ref="N13:O13"/>
    <mergeCell ref="Q3:Q4"/>
    <mergeCell ref="R3:R4"/>
    <mergeCell ref="S3:S4"/>
    <mergeCell ref="T3:T4"/>
    <mergeCell ref="U3:V3"/>
    <mergeCell ref="W3:W4"/>
    <mergeCell ref="X3:X4"/>
    <mergeCell ref="A32:O32"/>
    <mergeCell ref="A33:F33"/>
    <mergeCell ref="N33:O33"/>
    <mergeCell ref="A22:O22"/>
    <mergeCell ref="A23:F23"/>
    <mergeCell ref="G23:G29"/>
    <mergeCell ref="H23:L23"/>
    <mergeCell ref="N23:O23"/>
    <mergeCell ref="G33:G39"/>
    <mergeCell ref="H33:K33"/>
    <mergeCell ref="A12:O12"/>
  </mergeCells>
  <hyperlinks>
    <hyperlink ref="A12:O12" location="NADQ!A1" display="NADQ Amundi Nasdaq-100 UCITS ETF (Dist)" xr:uid="{359E49D1-4FEB-44DC-A62E-59C8625C1986}"/>
    <hyperlink ref="A22:O22" location="QDVE!A1" display="QDVE iShares S&amp;P 500 Inf. Tech. Sector UCITS ETF (Acc)" xr:uid="{41ED3519-CD61-4F8F-901E-646FDEAE6BE9}"/>
    <hyperlink ref="A32:O32" location="VWCE!A1" display="VWCE Vanguard FTSE All-World UCITS ETF (Acc)" xr:uid="{9DA3F824-A047-40DF-A6A7-0A55B38857F3}"/>
  </hyperlinks>
  <pageMargins left="0.7" right="0.7" top="0.75" bottom="0.75" header="0.3" footer="0.3"/>
  <pageSetup orientation="portrait" r:id="rId1"/>
  <ignoredErrors>
    <ignoredError sqref="E19 E29 E3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29"/>
  <sheetViews>
    <sheetView workbookViewId="0">
      <selection activeCell="A22" sqref="A22:O2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2025.05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20.07</v>
      </c>
      <c r="R5" s="5">
        <v>0</v>
      </c>
      <c r="S5" s="5">
        <f>C19+C29+C39+C49+C59+C69+C79+C89+C99+C109</f>
        <v>20.060000000000002</v>
      </c>
      <c r="T5" s="5">
        <f>I19+I29+I39+I49+I59+I69+I79+I89+I99+I109</f>
        <v>0</v>
      </c>
      <c r="U5" s="5">
        <f>D19+D29+D39+D49+D59+D69+D79+D89+D99+D109</f>
        <v>0.01</v>
      </c>
      <c r="V5" s="5">
        <f>J19+J29+J39+J49+J59+J69+J79+J89+J99+J109</f>
        <v>0</v>
      </c>
      <c r="W5" s="5">
        <f>O19+O29+O39+O49+O59+O69+O79+O89+O99+O109</f>
        <v>0</v>
      </c>
      <c r="X5" s="5">
        <f>Q5-S5-U5</f>
        <v>-1.9897278269453977E-15</v>
      </c>
    </row>
    <row r="11" spans="1:24" x14ac:dyDescent="0.25">
      <c r="A11" s="12"/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ht="15" customHeight="1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45782</v>
      </c>
      <c r="B25" s="13">
        <v>10</v>
      </c>
      <c r="C25" s="5">
        <v>10</v>
      </c>
      <c r="D25" s="5">
        <v>0</v>
      </c>
      <c r="E25" s="13">
        <f>C25/F25</f>
        <v>27.240000393345603</v>
      </c>
      <c r="F25" s="16">
        <v>0.36710719000000003</v>
      </c>
      <c r="G25" s="80"/>
      <c r="H25" s="6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59">
        <v>45806</v>
      </c>
      <c r="B26" s="5">
        <v>10.07</v>
      </c>
      <c r="C26" s="5">
        <v>10.06</v>
      </c>
      <c r="D26" s="5">
        <v>0.01</v>
      </c>
      <c r="E26" s="13">
        <f>C26/F26</f>
        <v>30.190000135644933</v>
      </c>
      <c r="F26" s="15">
        <v>0.33322291999999998</v>
      </c>
      <c r="G26" s="80"/>
      <c r="H26" s="6"/>
      <c r="I26" s="2"/>
      <c r="J26" s="2"/>
      <c r="K26" s="2"/>
      <c r="L26" s="2"/>
      <c r="M26" s="37"/>
      <c r="N26" s="34"/>
      <c r="O26" s="2"/>
    </row>
    <row r="27" spans="1:18" x14ac:dyDescent="0.25">
      <c r="A27" s="55"/>
      <c r="B27" s="5"/>
      <c r="C27" s="2"/>
      <c r="D27" s="2"/>
      <c r="E27" s="7"/>
      <c r="F27" s="8"/>
      <c r="G27" s="80"/>
      <c r="H27" s="6"/>
      <c r="I27" s="2"/>
      <c r="J27" s="2"/>
      <c r="K27" s="2"/>
      <c r="L27" s="2"/>
      <c r="M27" s="37"/>
      <c r="N27" s="34"/>
      <c r="O27" s="2"/>
    </row>
    <row r="28" spans="1:18" ht="15" customHeight="1" x14ac:dyDescent="0.3">
      <c r="A28" s="56"/>
      <c r="B28" s="5"/>
      <c r="C28" s="2"/>
      <c r="D28" s="2"/>
      <c r="E28" s="6"/>
      <c r="F28" s="6"/>
      <c r="G28" s="80"/>
      <c r="H28" s="6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20.07</v>
      </c>
      <c r="C29" s="5">
        <f t="shared" ref="C29:D29" si="1">SUM(C25:C28)</f>
        <v>20.060000000000002</v>
      </c>
      <c r="D29" s="5">
        <f t="shared" si="1"/>
        <v>0.01</v>
      </c>
      <c r="E29" s="5">
        <f>IF(B29&gt;0,SUMPRODUCT(E25:E28,F25:F28)/SUM(F25:F28),"0.00")</f>
        <v>28.643634928105552</v>
      </c>
      <c r="F29" s="15">
        <f t="shared" ref="F29" si="2">SUM(F25:F28)</f>
        <v>0.70033011000000001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</sheetData>
  <mergeCells count="18">
    <mergeCell ref="A13:F13"/>
    <mergeCell ref="H13:L13"/>
    <mergeCell ref="G13:G19"/>
    <mergeCell ref="N13:O13"/>
    <mergeCell ref="Q2:W2"/>
    <mergeCell ref="S3:S4"/>
    <mergeCell ref="T3:T4"/>
    <mergeCell ref="U3:V3"/>
    <mergeCell ref="X3:X4"/>
    <mergeCell ref="Q3:Q4"/>
    <mergeCell ref="R3:R4"/>
    <mergeCell ref="W3:W4"/>
    <mergeCell ref="A12:O12"/>
    <mergeCell ref="N23:O23"/>
    <mergeCell ref="A22:O22"/>
    <mergeCell ref="A23:F23"/>
    <mergeCell ref="H23:L23"/>
    <mergeCell ref="G23:G29"/>
  </mergeCells>
  <hyperlinks>
    <hyperlink ref="A12:O12" location="NADQ!A1" display="NADQ Amundi Nasdaq-100 UCITS ETF (Dist)" xr:uid="{10F2A577-C1E9-469C-AF5E-91CF4A0AE537}"/>
    <hyperlink ref="A22:O22" location="QDVE!A1" display="QDVE iShares S&amp;P 500 Inf. Tech. Sector UCITS ETF (Acc)" xr:uid="{473FB37D-3820-4BCB-8BC8-8ACF7D219CD3}"/>
  </hyperlinks>
  <pageMargins left="0.7" right="0.7" top="0.75" bottom="0.75" header="0.3" footer="0.3"/>
  <ignoredErrors>
    <ignoredError sqref="E29 E19" formula="1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29"/>
  <sheetViews>
    <sheetView workbookViewId="0">
      <selection activeCell="A25" sqref="A25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2025.04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10</v>
      </c>
      <c r="R5" s="5">
        <v>0</v>
      </c>
      <c r="S5" s="5">
        <f>(C19+C29+C39+C49+C59+C69+C79+C89+C99+C109)</f>
        <v>10</v>
      </c>
      <c r="T5" s="5">
        <f>(I19+I28+I36+I45+I54+I63+I72+I81+I90+I99)-V5</f>
        <v>0</v>
      </c>
      <c r="U5" s="5">
        <f>D19+D28+D36+D45+D54+D63+D72+D81+D90+D99</f>
        <v>0</v>
      </c>
      <c r="V5" s="5">
        <f>J19+J29+J37+J46+J55+J64+J73+J82+J91+J100</f>
        <v>0</v>
      </c>
      <c r="W5" s="5">
        <f>O19</f>
        <v>0</v>
      </c>
      <c r="X5" s="5">
        <f>Q5-S5-U5</f>
        <v>0</v>
      </c>
    </row>
    <row r="12" spans="1:24" x14ac:dyDescent="0.25">
      <c r="A12" s="88" t="s">
        <v>16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90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69" t="s">
        <v>37</v>
      </c>
      <c r="I13" s="71"/>
      <c r="J13" s="71"/>
      <c r="K13" s="71"/>
      <c r="L13" s="70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1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10"/>
      <c r="B15" s="13"/>
      <c r="C15" s="5"/>
      <c r="D15" s="5"/>
      <c r="E15" s="13"/>
      <c r="F15" s="15"/>
      <c r="G15" s="80"/>
      <c r="H15" s="10"/>
      <c r="I15" s="6"/>
      <c r="J15" s="5"/>
      <c r="K15" s="5"/>
      <c r="L15" s="6"/>
      <c r="M15" s="23"/>
      <c r="N15" s="30"/>
      <c r="O15" s="5"/>
      <c r="P15" s="1"/>
    </row>
    <row r="16" spans="1:24" x14ac:dyDescent="0.25">
      <c r="A16" s="10"/>
      <c r="B16" s="5"/>
      <c r="C16" s="6"/>
      <c r="D16" s="6"/>
      <c r="E16" s="6"/>
      <c r="F16" s="8"/>
      <c r="G16" s="80"/>
      <c r="H16" s="10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4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4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</row>
    <row r="21" spans="1:18" x14ac:dyDescent="0.25">
      <c r="B21" s="9"/>
      <c r="E21" s="1"/>
      <c r="F21" s="11"/>
    </row>
    <row r="22" spans="1:18" x14ac:dyDescent="0.25">
      <c r="A22" s="88" t="s">
        <v>17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90"/>
    </row>
    <row r="23" spans="1:18" x14ac:dyDescent="0.25">
      <c r="A23" s="84" t="s">
        <v>14</v>
      </c>
      <c r="B23" s="85"/>
      <c r="C23" s="85"/>
      <c r="D23" s="85"/>
      <c r="E23" s="85"/>
      <c r="F23" s="86"/>
      <c r="G23" s="79"/>
      <c r="H23" s="69" t="s">
        <v>37</v>
      </c>
      <c r="I23" s="71"/>
      <c r="J23" s="71"/>
      <c r="K23" s="71"/>
      <c r="L23" s="70"/>
      <c r="M23" s="35"/>
      <c r="N23" s="69" t="s">
        <v>49</v>
      </c>
      <c r="O23" s="70"/>
    </row>
    <row r="24" spans="1:18" x14ac:dyDescent="0.25">
      <c r="A24" s="31" t="s">
        <v>42</v>
      </c>
      <c r="B24" s="3" t="s">
        <v>3</v>
      </c>
      <c r="C24" s="3" t="s">
        <v>8</v>
      </c>
      <c r="D24" s="3" t="s">
        <v>7</v>
      </c>
      <c r="E24" s="3" t="s">
        <v>0</v>
      </c>
      <c r="F24" s="3" t="s">
        <v>1</v>
      </c>
      <c r="G24" s="80"/>
      <c r="H24" s="31" t="s">
        <v>42</v>
      </c>
      <c r="I24" s="3" t="s">
        <v>38</v>
      </c>
      <c r="J24" s="3" t="s">
        <v>7</v>
      </c>
      <c r="K24" s="3" t="s">
        <v>0</v>
      </c>
      <c r="L24" s="3" t="s">
        <v>1</v>
      </c>
      <c r="M24" s="36"/>
      <c r="N24" s="22" t="s">
        <v>42</v>
      </c>
      <c r="O24" s="3" t="s">
        <v>38</v>
      </c>
    </row>
    <row r="25" spans="1:18" x14ac:dyDescent="0.25">
      <c r="A25" s="59">
        <v>45769</v>
      </c>
      <c r="B25" s="13">
        <v>10</v>
      </c>
      <c r="C25" s="5">
        <v>10</v>
      </c>
      <c r="D25" s="5">
        <v>0</v>
      </c>
      <c r="E25" s="13">
        <f>C25/F25</f>
        <v>23.500000822500027</v>
      </c>
      <c r="F25" s="16">
        <v>0.42553190000000002</v>
      </c>
      <c r="G25" s="80"/>
      <c r="H25" s="28"/>
      <c r="I25" s="6"/>
      <c r="J25" s="5"/>
      <c r="K25" s="5"/>
      <c r="L25" s="6"/>
      <c r="M25" s="23"/>
      <c r="N25" s="30"/>
      <c r="O25" s="5"/>
      <c r="R25" s="1"/>
    </row>
    <row r="26" spans="1:18" x14ac:dyDescent="0.25">
      <c r="A26" s="10"/>
      <c r="B26" s="5"/>
      <c r="C26" s="5"/>
      <c r="D26" s="5"/>
      <c r="E26" s="7"/>
      <c r="F26" s="8"/>
      <c r="G26" s="80"/>
      <c r="H26" s="10"/>
      <c r="I26" s="2"/>
      <c r="J26" s="2"/>
      <c r="K26" s="2"/>
      <c r="L26" s="2"/>
      <c r="M26" s="37"/>
      <c r="N26" s="34"/>
      <c r="O26" s="2"/>
    </row>
    <row r="27" spans="1:18" x14ac:dyDescent="0.25">
      <c r="A27" s="10"/>
      <c r="B27" s="5"/>
      <c r="C27" s="2"/>
      <c r="D27" s="2"/>
      <c r="E27" s="7"/>
      <c r="F27" s="8"/>
      <c r="G27" s="80"/>
      <c r="H27" s="10"/>
      <c r="I27" s="2"/>
      <c r="J27" s="2"/>
      <c r="K27" s="2"/>
      <c r="L27" s="2"/>
      <c r="M27" s="37"/>
      <c r="N27" s="34"/>
      <c r="O27" s="2"/>
    </row>
    <row r="28" spans="1:18" ht="15" customHeight="1" x14ac:dyDescent="0.3">
      <c r="A28" s="4"/>
      <c r="B28" s="5"/>
      <c r="C28" s="2"/>
      <c r="D28" s="2"/>
      <c r="E28" s="6"/>
      <c r="F28" s="6"/>
      <c r="G28" s="80"/>
      <c r="H28" s="4"/>
      <c r="I28" s="2"/>
      <c r="J28" s="2"/>
      <c r="K28" s="2"/>
      <c r="L28" s="2"/>
      <c r="M28" s="37"/>
      <c r="N28" s="34"/>
      <c r="O28" s="2"/>
    </row>
    <row r="29" spans="1:18" x14ac:dyDescent="0.25">
      <c r="A29" s="3" t="s">
        <v>2</v>
      </c>
      <c r="B29" s="5">
        <f>SUM(B25:B28)</f>
        <v>10</v>
      </c>
      <c r="C29" s="5">
        <f t="shared" ref="C29:D29" si="1">SUM(C25:C28)</f>
        <v>10</v>
      </c>
      <c r="D29" s="5">
        <f t="shared" si="1"/>
        <v>0</v>
      </c>
      <c r="E29" s="5">
        <f>IF(B29&gt;0,SUMPRODUCT(E25:E28,F25:F28)/SUM(F25:F28),"0.00")</f>
        <v>23.500000822500027</v>
      </c>
      <c r="F29" s="15">
        <f t="shared" ref="F29" si="2">SUM(F25:F28)</f>
        <v>0.42553190000000002</v>
      </c>
      <c r="G29" s="81"/>
      <c r="H29" s="3" t="s">
        <v>2</v>
      </c>
      <c r="I29" s="5">
        <f>SUM(I25:I28)</f>
        <v>0</v>
      </c>
      <c r="J29" s="5">
        <f t="shared" ref="J29" si="3">SUM(J25:J28)</f>
        <v>0</v>
      </c>
      <c r="K29" s="6"/>
      <c r="L29" s="15">
        <f t="shared" ref="L29" si="4">SUM(L25:L28)</f>
        <v>0</v>
      </c>
      <c r="M29" s="38"/>
      <c r="N29" s="3" t="s">
        <v>2</v>
      </c>
      <c r="O29" s="5">
        <f>SUM(O25:O28)</f>
        <v>0</v>
      </c>
    </row>
  </sheetData>
  <mergeCells count="18">
    <mergeCell ref="A12:O12"/>
    <mergeCell ref="S3:S4"/>
    <mergeCell ref="T3:T4"/>
    <mergeCell ref="U3:V3"/>
    <mergeCell ref="A23:F23"/>
    <mergeCell ref="H13:L13"/>
    <mergeCell ref="H23:L23"/>
    <mergeCell ref="N13:O13"/>
    <mergeCell ref="N23:O23"/>
    <mergeCell ref="A22:O22"/>
    <mergeCell ref="G23:G29"/>
    <mergeCell ref="G13:G19"/>
    <mergeCell ref="A13:F13"/>
    <mergeCell ref="X3:X4"/>
    <mergeCell ref="Q3:Q4"/>
    <mergeCell ref="R3:R4"/>
    <mergeCell ref="W3:W4"/>
    <mergeCell ref="Q2:W2"/>
  </mergeCells>
  <hyperlinks>
    <hyperlink ref="A12:O12" location="NADQ!A1" display="NADQ Amundi Nasdaq-100 UCITS ETF (Dist)" xr:uid="{E1BB2891-7BF2-47B7-8D46-58AE01FABC29}"/>
    <hyperlink ref="A22:O22" location="QDVE!A1" display="QDVE iShares S&amp;P 500 Inf. Tech. Sector UCITS ETF (Acc)" xr:uid="{523960C7-50AE-4A97-8813-7D97E6797822}"/>
  </hyperlinks>
  <pageMargins left="0.7" right="0.7" top="0.75" bottom="0.75" header="0.3" footer="0.3"/>
  <ignoredErrors>
    <ignoredError sqref="E19 E29" formula="1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27"/>
  <sheetViews>
    <sheetView workbookViewId="0">
      <selection activeCell="E19" sqref="E19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2025.03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0</v>
      </c>
      <c r="R5" s="5">
        <v>0</v>
      </c>
      <c r="S5" s="5">
        <f>(C19+C29+C39+C49+C59+C69+C79+C89+C99+C109)</f>
        <v>0</v>
      </c>
      <c r="T5" s="5">
        <f>(I19+I28+I36+I45+I54+I63+I72+I81+I90+I99)-V5</f>
        <v>0</v>
      </c>
      <c r="U5" s="5">
        <f>D19+D28+D36+D45+D54+D63+D72+D81+D90+D99</f>
        <v>0</v>
      </c>
      <c r="V5" s="5">
        <f>J19+J29+J37+J46+J55+J64+J73+J82+J91+J100</f>
        <v>0</v>
      </c>
      <c r="W5" s="5">
        <f>O19</f>
        <v>0</v>
      </c>
      <c r="X5" s="5">
        <f>Q5-S5-U5</f>
        <v>0</v>
      </c>
    </row>
    <row r="12" spans="1:24" x14ac:dyDescent="0.25">
      <c r="A12" s="76" t="s">
        <v>16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8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28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  <c r="G20" s="11"/>
      <c r="H20" s="11"/>
      <c r="I20" s="11"/>
      <c r="J20" s="11"/>
      <c r="K20" s="11"/>
    </row>
    <row r="25" spans="1:18" x14ac:dyDescent="0.25">
      <c r="R25" s="1"/>
    </row>
    <row r="27" spans="1:18" x14ac:dyDescent="0.25">
      <c r="J27" s="1"/>
    </row>
  </sheetData>
  <mergeCells count="13">
    <mergeCell ref="N13:O13"/>
    <mergeCell ref="A12:O12"/>
    <mergeCell ref="A13:F13"/>
    <mergeCell ref="G13:G19"/>
    <mergeCell ref="H13:L13"/>
    <mergeCell ref="X3:X4"/>
    <mergeCell ref="W3:W4"/>
    <mergeCell ref="Q2:W2"/>
    <mergeCell ref="S3:S4"/>
    <mergeCell ref="T3:T4"/>
    <mergeCell ref="U3:V3"/>
    <mergeCell ref="Q3:Q4"/>
    <mergeCell ref="R3:R4"/>
  </mergeCells>
  <hyperlinks>
    <hyperlink ref="A12:O12" location="NADQ!A1" display="NADQ Amundi Nasdaq-100 UCITS ETF (Dist)" xr:uid="{E515EBA6-1113-4C33-9C5F-3CB24E31E286}"/>
  </hyperlinks>
  <pageMargins left="0.7" right="0.7" top="0.75" bottom="0.75" header="0.3" footer="0.3"/>
  <ignoredErrors>
    <ignoredError sqref="E19" formula="1"/>
  </ignoredError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27"/>
  <sheetViews>
    <sheetView workbookViewId="0">
      <selection activeCell="F24" sqref="F24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2025.02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0</v>
      </c>
      <c r="R5" s="5">
        <v>0</v>
      </c>
      <c r="S5" s="5">
        <f>(C19+C29+C39+C49+C59+C69+C79+C89+C99+C109)</f>
        <v>0</v>
      </c>
      <c r="T5" s="5">
        <f>(I19+I28+I36+I45+I54+I63+I72+I81+I90+I99)-V5</f>
        <v>0</v>
      </c>
      <c r="U5" s="5">
        <f>D19+D28+D36+D45+D54+D63+D72+D81+D90+D99</f>
        <v>0</v>
      </c>
      <c r="V5" s="5">
        <f>J19+J29+J37+J46+J55+J64+J73+J82+J91+J100</f>
        <v>0</v>
      </c>
      <c r="W5" s="5">
        <f>O19</f>
        <v>0</v>
      </c>
      <c r="X5" s="5">
        <f>Q5-S5-U5</f>
        <v>0</v>
      </c>
    </row>
    <row r="12" spans="1:24" x14ac:dyDescent="0.25">
      <c r="A12" s="76" t="s">
        <v>16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8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28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  <c r="G20" s="11"/>
      <c r="H20" s="11"/>
      <c r="I20" s="11"/>
      <c r="J20" s="11"/>
      <c r="K20" s="11"/>
    </row>
    <row r="25" spans="1:18" x14ac:dyDescent="0.25">
      <c r="R25" s="1"/>
    </row>
    <row r="27" spans="1:18" x14ac:dyDescent="0.25">
      <c r="J27" s="1"/>
    </row>
  </sheetData>
  <mergeCells count="13">
    <mergeCell ref="N13:O13"/>
    <mergeCell ref="A12:O12"/>
    <mergeCell ref="A13:F13"/>
    <mergeCell ref="G13:G19"/>
    <mergeCell ref="H13:L13"/>
    <mergeCell ref="X3:X4"/>
    <mergeCell ref="W3:W4"/>
    <mergeCell ref="Q2:W2"/>
    <mergeCell ref="S3:S4"/>
    <mergeCell ref="T3:T4"/>
    <mergeCell ref="U3:V3"/>
    <mergeCell ref="Q3:Q4"/>
    <mergeCell ref="R3:R4"/>
  </mergeCells>
  <hyperlinks>
    <hyperlink ref="A12:O12" location="NADQ!A1" display="NADQ Amundi Nasdaq-100 UCITS ETF (Dist)" xr:uid="{5B5D0B36-AA3D-49F0-8F68-E3A55B3A3427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27"/>
  <sheetViews>
    <sheetView workbookViewId="0">
      <selection activeCell="E19" sqref="E19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>
        <v>2025.01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0</v>
      </c>
      <c r="R5" s="5">
        <v>0</v>
      </c>
      <c r="S5" s="5">
        <f>(C19+C29+C39+C49+C59+C69+C79+C89+C99+C109)</f>
        <v>0</v>
      </c>
      <c r="T5" s="5">
        <f>(I19+I28+I36+I45+I54+I63+I72+I81+I90+I99)-V5</f>
        <v>0</v>
      </c>
      <c r="U5" s="5">
        <f>D19+D28+D36+D45+D54+D63+D72+D81+D90+D99</f>
        <v>0</v>
      </c>
      <c r="V5" s="5">
        <f>J19+J29+J37+J46+J55+J64+J73+J82+J91+J100</f>
        <v>0</v>
      </c>
      <c r="W5" s="5">
        <f>O19</f>
        <v>0</v>
      </c>
      <c r="X5" s="5">
        <f>Q5-S5-U5</f>
        <v>0</v>
      </c>
    </row>
    <row r="12" spans="1:24" x14ac:dyDescent="0.25">
      <c r="A12" s="76" t="s">
        <v>16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8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6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" t="s">
        <v>42</v>
      </c>
      <c r="I14" s="3" t="s">
        <v>38</v>
      </c>
      <c r="J14" s="3" t="s">
        <v>7</v>
      </c>
      <c r="K14" s="3" t="s">
        <v>0</v>
      </c>
      <c r="L14" s="3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28"/>
      <c r="B15" s="13"/>
      <c r="C15" s="5"/>
      <c r="D15" s="5"/>
      <c r="E15" s="13"/>
      <c r="F15" s="15"/>
      <c r="G15" s="80"/>
      <c r="H15" s="6"/>
      <c r="I15" s="6"/>
      <c r="J15" s="5"/>
      <c r="K15" s="5"/>
      <c r="L15" s="6"/>
      <c r="M15" s="23"/>
      <c r="N15" s="30"/>
      <c r="O15" s="5"/>
      <c r="P15" s="1"/>
    </row>
    <row r="16" spans="1:24" x14ac:dyDescent="0.25">
      <c r="A16" s="10"/>
      <c r="B16" s="5"/>
      <c r="C16" s="6"/>
      <c r="D16" s="6"/>
      <c r="E16" s="6"/>
      <c r="F16" s="8"/>
      <c r="G16" s="80"/>
      <c r="H16" s="6"/>
      <c r="I16" s="2"/>
      <c r="J16" s="2"/>
      <c r="K16" s="2"/>
      <c r="L16" s="2"/>
      <c r="M16" s="37"/>
      <c r="N16" s="34"/>
      <c r="O16" s="2"/>
    </row>
    <row r="17" spans="1:18" ht="15" customHeight="1" x14ac:dyDescent="0.3">
      <c r="A17" s="4"/>
      <c r="B17" s="5"/>
      <c r="C17" s="6"/>
      <c r="D17" s="6"/>
      <c r="E17" s="6"/>
      <c r="F17" s="8"/>
      <c r="G17" s="80"/>
      <c r="H17" s="6"/>
      <c r="I17" s="2"/>
      <c r="J17" s="2"/>
      <c r="K17" s="2"/>
      <c r="L17" s="2"/>
      <c r="M17" s="37"/>
      <c r="N17" s="34"/>
      <c r="O17" s="2"/>
    </row>
    <row r="18" spans="1:18" ht="15" customHeight="1" x14ac:dyDescent="0.3">
      <c r="A18" s="4"/>
      <c r="B18" s="5"/>
      <c r="C18" s="6"/>
      <c r="D18" s="6"/>
      <c r="E18" s="6"/>
      <c r="F18" s="6"/>
      <c r="G18" s="80"/>
      <c r="H18" s="6"/>
      <c r="I18" s="2"/>
      <c r="J18" s="2"/>
      <c r="K18" s="2"/>
      <c r="L18" s="2"/>
      <c r="M18" s="37"/>
      <c r="N18" s="34"/>
      <c r="O18" s="2"/>
    </row>
    <row r="19" spans="1:18" x14ac:dyDescent="0.25">
      <c r="A19" s="3" t="s">
        <v>2</v>
      </c>
      <c r="B19" s="5">
        <f>SUM(B15:B18)</f>
        <v>0</v>
      </c>
      <c r="C19" s="5">
        <f>SUM(C15:C18)</f>
        <v>0</v>
      </c>
      <c r="D19" s="5">
        <f>SUM(D15:D18)</f>
        <v>0</v>
      </c>
      <c r="E19" s="6" t="str">
        <f>IF(B19&gt;0,SUMPRODUCT(E15:E18,F15:F18)/SUM(F15:F18),"0.00")</f>
        <v>0.00</v>
      </c>
      <c r="F19" s="15">
        <f>SUM(F15:F18)</f>
        <v>0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15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  <c r="G20" s="11"/>
      <c r="H20" s="11"/>
      <c r="I20" s="11"/>
      <c r="J20" s="11"/>
      <c r="K20" s="11"/>
    </row>
    <row r="25" spans="1:18" x14ac:dyDescent="0.25">
      <c r="R25" s="1"/>
    </row>
    <row r="27" spans="1:18" x14ac:dyDescent="0.25">
      <c r="J27" s="1"/>
    </row>
  </sheetData>
  <mergeCells count="13">
    <mergeCell ref="N13:O13"/>
    <mergeCell ref="A12:O12"/>
    <mergeCell ref="A13:F13"/>
    <mergeCell ref="G13:G19"/>
    <mergeCell ref="H13:L13"/>
    <mergeCell ref="X3:X4"/>
    <mergeCell ref="W3:W4"/>
    <mergeCell ref="Q2:W2"/>
    <mergeCell ref="T3:T4"/>
    <mergeCell ref="U3:V3"/>
    <mergeCell ref="Q3:Q4"/>
    <mergeCell ref="R3:R4"/>
    <mergeCell ref="S3:S4"/>
  </mergeCells>
  <hyperlinks>
    <hyperlink ref="A12:O12" location="NADQ!A1" display="NADQ Amundi Nasdaq-100 UCITS ETF (Dist)" xr:uid="{1AC2AD70-0CEC-492C-993F-E2FFDDB34115}"/>
  </hyperlinks>
  <pageMargins left="0.7" right="0.7" top="0.75" bottom="0.75" header="0.3" footer="0.3"/>
  <pageSetup orientation="portrait" r:id="rId1"/>
  <ignoredErrors>
    <ignoredError sqref="E19" formula="1"/>
  </ignoredError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27"/>
  <sheetViews>
    <sheetView workbookViewId="0">
      <selection activeCell="A12" sqref="A12:O12"/>
    </sheetView>
  </sheetViews>
  <sheetFormatPr defaultRowHeight="15" x14ac:dyDescent="0.25"/>
  <cols>
    <col min="1" max="5" width="10.7109375" customWidth="1"/>
    <col min="6" max="6" width="12.7109375" customWidth="1"/>
    <col min="7" max="7" width="2.7109375" customWidth="1"/>
    <col min="8" max="11" width="10.7109375" customWidth="1"/>
    <col min="12" max="12" width="12.7109375" customWidth="1"/>
    <col min="13" max="13" width="2.7109375" customWidth="1"/>
    <col min="14" max="15" width="10.7109375" customWidth="1"/>
    <col min="16" max="16" width="5.7109375" customWidth="1"/>
    <col min="17" max="24" width="10.7109375" customWidth="1"/>
  </cols>
  <sheetData>
    <row r="2" spans="1:24" x14ac:dyDescent="0.25">
      <c r="Q2" s="98" t="s">
        <v>9</v>
      </c>
      <c r="R2" s="99"/>
      <c r="S2" s="99"/>
      <c r="T2" s="99"/>
      <c r="U2" s="99"/>
      <c r="V2" s="99"/>
      <c r="W2" s="100"/>
      <c r="X2" s="2"/>
    </row>
    <row r="3" spans="1:24" x14ac:dyDescent="0.25">
      <c r="Q3" s="94" t="s">
        <v>13</v>
      </c>
      <c r="R3" s="94" t="s">
        <v>43</v>
      </c>
      <c r="S3" s="94" t="s">
        <v>10</v>
      </c>
      <c r="T3" s="94" t="s">
        <v>40</v>
      </c>
      <c r="U3" s="95" t="s">
        <v>39</v>
      </c>
      <c r="V3" s="96"/>
      <c r="W3" s="68" t="s">
        <v>49</v>
      </c>
      <c r="X3" s="68" t="s">
        <v>56</v>
      </c>
    </row>
    <row r="4" spans="1:24" x14ac:dyDescent="0.25">
      <c r="Q4" s="67"/>
      <c r="R4" s="67"/>
      <c r="S4" s="67"/>
      <c r="T4" s="67"/>
      <c r="U4" s="20" t="s">
        <v>14</v>
      </c>
      <c r="V4" s="14" t="s">
        <v>37</v>
      </c>
      <c r="W4" s="68"/>
      <c r="X4" s="68"/>
    </row>
    <row r="5" spans="1:24" x14ac:dyDescent="0.25">
      <c r="Q5" s="5">
        <v>10</v>
      </c>
      <c r="R5" s="5">
        <v>0</v>
      </c>
      <c r="S5" s="5">
        <f>(C19+C29+C39+C49+C59+C69+C79+C89+C99+C109)</f>
        <v>10</v>
      </c>
      <c r="T5" s="5">
        <f>(I19+I28+I36+I45+I54+I63+I72+I81+I90+I99)-V5</f>
        <v>0</v>
      </c>
      <c r="U5" s="5">
        <f>D19+D28+D36+D45+D54+D63+D72+D81+D90+D99</f>
        <v>0</v>
      </c>
      <c r="V5" s="5">
        <f>J19+J29+J37+J46+J55+J64+J73+J82+J91+J100</f>
        <v>0</v>
      </c>
      <c r="W5" s="5">
        <f>O19</f>
        <v>0</v>
      </c>
      <c r="X5" s="5">
        <f>Q5-S5-U5</f>
        <v>0</v>
      </c>
    </row>
    <row r="12" spans="1:24" x14ac:dyDescent="0.25">
      <c r="A12" s="76" t="s">
        <v>16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105"/>
      <c r="N12" s="77"/>
      <c r="O12" s="78"/>
    </row>
    <row r="13" spans="1:24" x14ac:dyDescent="0.25">
      <c r="A13" s="69" t="s">
        <v>14</v>
      </c>
      <c r="B13" s="71"/>
      <c r="C13" s="71"/>
      <c r="D13" s="71"/>
      <c r="E13" s="71"/>
      <c r="F13" s="70"/>
      <c r="G13" s="79"/>
      <c r="H13" s="84" t="s">
        <v>37</v>
      </c>
      <c r="I13" s="85"/>
      <c r="J13" s="85"/>
      <c r="K13" s="85"/>
      <c r="L13" s="85"/>
      <c r="M13" s="35"/>
      <c r="N13" s="69" t="s">
        <v>49</v>
      </c>
      <c r="O13" s="70"/>
      <c r="P13" s="24"/>
    </row>
    <row r="14" spans="1:24" x14ac:dyDescent="0.25">
      <c r="A14" s="31" t="s">
        <v>42</v>
      </c>
      <c r="B14" s="3" t="s">
        <v>3</v>
      </c>
      <c r="C14" s="3" t="s">
        <v>8</v>
      </c>
      <c r="D14" s="3" t="s">
        <v>7</v>
      </c>
      <c r="E14" s="3" t="s">
        <v>0</v>
      </c>
      <c r="F14" s="3" t="s">
        <v>1</v>
      </c>
      <c r="G14" s="80"/>
      <c r="H14" s="3" t="s">
        <v>42</v>
      </c>
      <c r="I14" s="3" t="s">
        <v>38</v>
      </c>
      <c r="J14" s="3" t="s">
        <v>7</v>
      </c>
      <c r="K14" s="3" t="s">
        <v>0</v>
      </c>
      <c r="L14" s="21" t="s">
        <v>1</v>
      </c>
      <c r="M14" s="36"/>
      <c r="N14" s="22" t="s">
        <v>42</v>
      </c>
      <c r="O14" s="3" t="s">
        <v>38</v>
      </c>
      <c r="P14" s="24"/>
    </row>
    <row r="15" spans="1:24" x14ac:dyDescent="0.25">
      <c r="A15" s="54">
        <v>45645</v>
      </c>
      <c r="B15" s="13">
        <v>10</v>
      </c>
      <c r="C15" s="5">
        <v>10</v>
      </c>
      <c r="D15" s="5">
        <v>0</v>
      </c>
      <c r="E15" s="13">
        <f>C15/F15</f>
        <v>216.90002578941306</v>
      </c>
      <c r="F15" s="15">
        <v>4.6104190000000003E-2</v>
      </c>
      <c r="G15" s="80"/>
      <c r="H15" s="6"/>
      <c r="I15" s="6"/>
      <c r="J15" s="5"/>
      <c r="K15" s="5"/>
      <c r="L15" s="29"/>
      <c r="M15" s="23"/>
      <c r="N15" s="30"/>
      <c r="O15" s="5"/>
      <c r="P15" s="1"/>
    </row>
    <row r="16" spans="1:24" x14ac:dyDescent="0.25">
      <c r="A16" s="55"/>
      <c r="B16" s="5"/>
      <c r="C16" s="6"/>
      <c r="D16" s="6"/>
      <c r="E16" s="6"/>
      <c r="F16" s="8"/>
      <c r="G16" s="80"/>
      <c r="H16" s="6"/>
      <c r="I16" s="2"/>
      <c r="J16" s="2"/>
      <c r="K16" s="2"/>
      <c r="L16" s="32"/>
      <c r="M16" s="37"/>
      <c r="N16" s="34"/>
      <c r="O16" s="2"/>
    </row>
    <row r="17" spans="1:18" ht="15" customHeight="1" x14ac:dyDescent="0.3">
      <c r="A17" s="56"/>
      <c r="B17" s="5"/>
      <c r="C17" s="6"/>
      <c r="D17" s="6"/>
      <c r="E17" s="6"/>
      <c r="F17" s="8"/>
      <c r="G17" s="80"/>
      <c r="H17" s="6"/>
      <c r="I17" s="2"/>
      <c r="J17" s="2"/>
      <c r="K17" s="2"/>
      <c r="L17" s="32"/>
      <c r="M17" s="37"/>
      <c r="N17" s="34"/>
      <c r="O17" s="2"/>
    </row>
    <row r="18" spans="1:18" ht="15" customHeight="1" x14ac:dyDescent="0.3">
      <c r="A18" s="56"/>
      <c r="B18" s="5"/>
      <c r="C18" s="6"/>
      <c r="D18" s="6"/>
      <c r="E18" s="6"/>
      <c r="F18" s="6"/>
      <c r="G18" s="80"/>
      <c r="H18" s="6"/>
      <c r="I18" s="2"/>
      <c r="J18" s="2"/>
      <c r="K18" s="2"/>
      <c r="L18" s="32"/>
      <c r="M18" s="37"/>
      <c r="N18" s="34"/>
      <c r="O18" s="2"/>
    </row>
    <row r="19" spans="1:18" x14ac:dyDescent="0.25">
      <c r="A19" s="3" t="s">
        <v>2</v>
      </c>
      <c r="B19" s="5">
        <f>SUM(B15:B18)</f>
        <v>10</v>
      </c>
      <c r="C19" s="5">
        <f>SUM(C15:C18)</f>
        <v>10</v>
      </c>
      <c r="D19" s="5">
        <f>SUM(D15:D18)</f>
        <v>0</v>
      </c>
      <c r="E19" s="5">
        <f>IF(B19&gt;0,SUMPRODUCT(E15:E18,F15:F18)/SUM(F15:F18),"0.00")</f>
        <v>216.90002578941306</v>
      </c>
      <c r="F19" s="15">
        <f>SUM(F15:F18)</f>
        <v>4.6104190000000003E-2</v>
      </c>
      <c r="G19" s="81"/>
      <c r="H19" s="3" t="s">
        <v>2</v>
      </c>
      <c r="I19" s="5">
        <f>SUM(I15:I18)</f>
        <v>0</v>
      </c>
      <c r="J19" s="5">
        <f t="shared" ref="J19:L19" si="0">SUM(J15:J18)</f>
        <v>0</v>
      </c>
      <c r="K19" s="6"/>
      <c r="L19" s="33">
        <f t="shared" si="0"/>
        <v>0</v>
      </c>
      <c r="M19" s="38"/>
      <c r="N19" s="3" t="s">
        <v>2</v>
      </c>
      <c r="O19" s="5">
        <f>SUM(O15:O18)</f>
        <v>0</v>
      </c>
      <c r="P19" s="1"/>
    </row>
    <row r="20" spans="1:18" x14ac:dyDescent="0.25">
      <c r="B20" s="9"/>
      <c r="E20" s="1"/>
      <c r="F20" s="11"/>
      <c r="G20" s="11"/>
      <c r="H20" s="11"/>
      <c r="I20" s="11"/>
      <c r="J20" s="11"/>
      <c r="K20" s="11"/>
    </row>
    <row r="25" spans="1:18" x14ac:dyDescent="0.25">
      <c r="R25" s="1"/>
    </row>
    <row r="27" spans="1:18" x14ac:dyDescent="0.25">
      <c r="J27" s="1"/>
    </row>
  </sheetData>
  <mergeCells count="13">
    <mergeCell ref="X3:X4"/>
    <mergeCell ref="W3:W4"/>
    <mergeCell ref="Q2:W2"/>
    <mergeCell ref="A13:F13"/>
    <mergeCell ref="H13:L13"/>
    <mergeCell ref="A12:O12"/>
    <mergeCell ref="N13:O13"/>
    <mergeCell ref="T3:T4"/>
    <mergeCell ref="U3:V3"/>
    <mergeCell ref="R3:R4"/>
    <mergeCell ref="G13:G19"/>
    <mergeCell ref="Q3:Q4"/>
    <mergeCell ref="S3:S4"/>
  </mergeCells>
  <hyperlinks>
    <hyperlink ref="A12:O12" location="NADQ!A1" display="NADQ Amundi Nasdaq-100 UCITS ETF (Dist)" xr:uid="{74EB035A-BB01-43C9-866B-22FCAEC93BF9}"/>
  </hyperlinks>
  <pageMargins left="0.7" right="0.7" top="0.75" bottom="0.75" header="0.3" footer="0.3"/>
  <pageSetup orientation="portrait" r:id="rId1"/>
  <ignoredErrors>
    <ignoredError sqref="Q2" numberStoredAsText="1"/>
    <ignoredError sqref="E1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Apžvalga</vt:lpstr>
      <vt:lpstr>NADQ</vt:lpstr>
      <vt:lpstr>QDVE</vt:lpstr>
      <vt:lpstr>VWCE</vt:lpstr>
      <vt:lpstr>XDEQ</vt:lpstr>
      <vt:lpstr>VUAA</vt:lpstr>
      <vt:lpstr>XDWT</vt:lpstr>
      <vt:lpstr>XAIX</vt:lpstr>
      <vt:lpstr>JEQP</vt:lpstr>
      <vt:lpstr>JGPI</vt:lpstr>
      <vt:lpstr>SPYL</vt:lpstr>
      <vt:lpstr>EXUS</vt:lpstr>
      <vt:lpstr>IS3N</vt:lpstr>
      <vt:lpstr>VGLA</vt:lpstr>
      <vt:lpstr>2026.09</vt:lpstr>
      <vt:lpstr>2026.08</vt:lpstr>
      <vt:lpstr>2026.07</vt:lpstr>
      <vt:lpstr>2026.06</vt:lpstr>
      <vt:lpstr>2026.05</vt:lpstr>
      <vt:lpstr>2026.04</vt:lpstr>
      <vt:lpstr>2026.03</vt:lpstr>
      <vt:lpstr>2026.02</vt:lpstr>
      <vt:lpstr>2026.01</vt:lpstr>
      <vt:lpstr>2025.12</vt:lpstr>
      <vt:lpstr>2025.11</vt:lpstr>
      <vt:lpstr>2025.10</vt:lpstr>
      <vt:lpstr>2025.09</vt:lpstr>
      <vt:lpstr>2025.08</vt:lpstr>
      <vt:lpstr>2025.07</vt:lpstr>
      <vt:lpstr>2025.06</vt:lpstr>
      <vt:lpstr>2025.05</vt:lpstr>
      <vt:lpstr>2025.04</vt:lpstr>
      <vt:lpstr>2025.03</vt:lpstr>
      <vt:lpstr>2025.02</vt:lpstr>
      <vt:lpstr>2025.01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2025-05-27T05:42:47Z</dcterms:created>
  <dcterms:modified xsi:type="dcterms:W3CDTF">2026-10-01T10:02:56Z</dcterms:modified>
</cp:coreProperties>
</file>