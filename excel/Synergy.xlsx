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Investavimas 2026.08.08\Synergy Finance\"/>
    </mc:Choice>
  </mc:AlternateContent>
  <xr:revisionPtr revIDLastSave="0" documentId="13_ncr:1_{562FA88B-9B9D-4CC2-88C6-8234FCA49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58" r:id="rId1"/>
    <sheet name="Nextury Technology" sheetId="8" r:id="rId2"/>
    <sheet name="Nextury Asia" sheetId="2" r:id="rId3"/>
    <sheet name="2026.09" sheetId="73" r:id="rId4"/>
    <sheet name="2026.08" sheetId="72" r:id="rId5"/>
    <sheet name="2026.07" sheetId="71" r:id="rId6"/>
    <sheet name="2026.06" sheetId="70" r:id="rId7"/>
    <sheet name="2026.05" sheetId="69" r:id="rId8"/>
    <sheet name="2026.04" sheetId="68" r:id="rId9"/>
    <sheet name="2026.03" sheetId="67" r:id="rId10"/>
    <sheet name="2026.02" sheetId="66" r:id="rId11"/>
    <sheet name="2026.01" sheetId="65" r:id="rId12"/>
    <sheet name="2025.12" sheetId="64" r:id="rId13"/>
    <sheet name="2025.11" sheetId="63" r:id="rId14"/>
    <sheet name="2025.10" sheetId="62" r:id="rId15"/>
    <sheet name="2025.09" sheetId="61" r:id="rId16"/>
    <sheet name="2025.08" sheetId="60" r:id="rId17"/>
    <sheet name="2025.07" sheetId="59" r:id="rId18"/>
    <sheet name="2025.06" sheetId="57" r:id="rId19"/>
    <sheet name="2025.05" sheetId="56" r:id="rId20"/>
    <sheet name="2025.04" sheetId="53" r:id="rId21"/>
    <sheet name="2025.03" sheetId="51" r:id="rId22"/>
    <sheet name="2025.02" sheetId="50" r:id="rId23"/>
    <sheet name="2025.01" sheetId="49" r:id="rId24"/>
    <sheet name="2024.12" sheetId="47" r:id="rId25"/>
    <sheet name="2024.11" sheetId="45" r:id="rId26"/>
    <sheet name="2024.10" sheetId="44" r:id="rId27"/>
    <sheet name="2024.09" sheetId="43" r:id="rId28"/>
    <sheet name="2024.08" sheetId="42" r:id="rId29"/>
    <sheet name="2024.07" sheetId="41" r:id="rId30"/>
    <sheet name="2024.06" sheetId="40" r:id="rId31"/>
    <sheet name="2024.05" sheetId="39" r:id="rId32"/>
    <sheet name="2024.04" sheetId="38" r:id="rId33"/>
    <sheet name="2024.03" sheetId="37" r:id="rId34"/>
    <sheet name="2024.02" sheetId="36" r:id="rId35"/>
    <sheet name="2024.01" sheetId="34" r:id="rId36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58" l="1"/>
  <c r="C34" i="58"/>
  <c r="B34" i="58"/>
  <c r="A34" i="58"/>
  <c r="D34" i="58"/>
  <c r="F34" i="58" s="1"/>
  <c r="E34" i="58"/>
  <c r="F30" i="2"/>
  <c r="D30" i="2"/>
  <c r="E30" i="2" s="1"/>
  <c r="B30" i="2"/>
  <c r="C30" i="2" s="1"/>
  <c r="A30" i="2"/>
  <c r="G30" i="2"/>
  <c r="I30" i="2" s="1"/>
  <c r="F34" i="8"/>
  <c r="G34" i="8" s="1"/>
  <c r="I34" i="8" s="1"/>
  <c r="D34" i="8"/>
  <c r="E34" i="8" s="1"/>
  <c r="B34" i="8"/>
  <c r="C34" i="8" s="1"/>
  <c r="A34" i="8"/>
  <c r="F18" i="73"/>
  <c r="D18" i="73"/>
  <c r="C18" i="73"/>
  <c r="B18" i="73"/>
  <c r="F9" i="73"/>
  <c r="D9" i="73"/>
  <c r="J4" i="73" s="1"/>
  <c r="C9" i="73"/>
  <c r="I4" i="73" s="1"/>
  <c r="B9" i="73"/>
  <c r="H4" i="73" s="1"/>
  <c r="AB2" i="2"/>
  <c r="AA2" i="2"/>
  <c r="AA200" i="2"/>
  <c r="AA200" i="8"/>
  <c r="G34" i="58" l="1"/>
  <c r="H34" i="58" s="1"/>
  <c r="J30" i="2"/>
  <c r="K30" i="2" s="1"/>
  <c r="L30" i="2"/>
  <c r="M30" i="2" s="1"/>
  <c r="AB200" i="2" a="1"/>
  <c r="AB200" i="2" s="1"/>
  <c r="Z2" i="2" s="1"/>
  <c r="J34" i="8"/>
  <c r="K34" i="8" s="1"/>
  <c r="L34" i="8"/>
  <c r="M34" i="8" s="1"/>
  <c r="AB200" i="8" a="1"/>
  <c r="AB200" i="8" s="1"/>
  <c r="Z2" i="8" s="1"/>
  <c r="AB6" i="8"/>
  <c r="AA6" i="8"/>
  <c r="AB5" i="8"/>
  <c r="AB4" i="8"/>
  <c r="AA5" i="8"/>
  <c r="AA4" i="8"/>
  <c r="AB3" i="8"/>
  <c r="AA3" i="8"/>
  <c r="AB2" i="8"/>
  <c r="AA2" i="8"/>
  <c r="I33" i="58"/>
  <c r="I32" i="58"/>
  <c r="I31" i="58"/>
  <c r="I30" i="58"/>
  <c r="C33" i="58"/>
  <c r="B33" i="58"/>
  <c r="A33" i="58"/>
  <c r="D33" i="58"/>
  <c r="E33" i="58"/>
  <c r="F33" i="58"/>
  <c r="G33" i="58" s="1"/>
  <c r="H33" i="58" s="1"/>
  <c r="F29" i="2"/>
  <c r="D29" i="2"/>
  <c r="B29" i="2"/>
  <c r="A29" i="2"/>
  <c r="C29" i="2"/>
  <c r="E29" i="2"/>
  <c r="G29" i="2"/>
  <c r="I29" i="2" s="1"/>
  <c r="F33" i="8"/>
  <c r="D33" i="8"/>
  <c r="B33" i="8"/>
  <c r="A33" i="8"/>
  <c r="C33" i="8"/>
  <c r="E33" i="8"/>
  <c r="G33" i="8"/>
  <c r="I33" i="8" s="1"/>
  <c r="F18" i="72"/>
  <c r="D18" i="72"/>
  <c r="C18" i="72"/>
  <c r="B18" i="72"/>
  <c r="F9" i="72"/>
  <c r="D9" i="72"/>
  <c r="J4" i="72" s="1"/>
  <c r="C9" i="72"/>
  <c r="I4" i="72" s="1"/>
  <c r="B9" i="72"/>
  <c r="H4" i="72" s="1"/>
  <c r="C32" i="58"/>
  <c r="B32" i="58"/>
  <c r="A32" i="58"/>
  <c r="D32" i="58"/>
  <c r="E32" i="58"/>
  <c r="F32" i="58"/>
  <c r="G32" i="58" s="1"/>
  <c r="H32" i="58" s="1"/>
  <c r="F28" i="2"/>
  <c r="D28" i="2"/>
  <c r="B28" i="2"/>
  <c r="C28" i="2" s="1"/>
  <c r="A28" i="2"/>
  <c r="E28" i="2"/>
  <c r="G28" i="2"/>
  <c r="I28" i="2" s="1"/>
  <c r="F32" i="8"/>
  <c r="D32" i="8"/>
  <c r="E32" i="8" s="1"/>
  <c r="B32" i="8"/>
  <c r="C32" i="8" s="1"/>
  <c r="A32" i="8"/>
  <c r="G32" i="8"/>
  <c r="I32" i="8" s="1"/>
  <c r="F18" i="71"/>
  <c r="D18" i="71"/>
  <c r="C18" i="71"/>
  <c r="B18" i="71"/>
  <c r="F9" i="71"/>
  <c r="D9" i="71"/>
  <c r="C9" i="71"/>
  <c r="B9" i="71"/>
  <c r="H4" i="71" s="1"/>
  <c r="J4" i="71"/>
  <c r="I4" i="71"/>
  <c r="C31" i="58"/>
  <c r="B31" i="58"/>
  <c r="A31" i="58"/>
  <c r="D31" i="58"/>
  <c r="F31" i="58" s="1"/>
  <c r="E31" i="58"/>
  <c r="F27" i="2"/>
  <c r="D27" i="2"/>
  <c r="B27" i="2"/>
  <c r="C27" i="2" s="1"/>
  <c r="A27" i="2"/>
  <c r="E27" i="2"/>
  <c r="G27" i="2"/>
  <c r="I27" i="2" s="1"/>
  <c r="F31" i="8"/>
  <c r="D31" i="8"/>
  <c r="E31" i="8" s="1"/>
  <c r="B31" i="8"/>
  <c r="C31" i="8" s="1"/>
  <c r="A31" i="8"/>
  <c r="G31" i="8"/>
  <c r="I31" i="8" s="1"/>
  <c r="F18" i="70"/>
  <c r="D18" i="70"/>
  <c r="C18" i="70"/>
  <c r="B18" i="70"/>
  <c r="F9" i="70"/>
  <c r="D9" i="70"/>
  <c r="J4" i="70" s="1"/>
  <c r="C9" i="70"/>
  <c r="I4" i="70" s="1"/>
  <c r="B9" i="70"/>
  <c r="H4" i="70"/>
  <c r="C30" i="58"/>
  <c r="B30" i="58"/>
  <c r="A30" i="58"/>
  <c r="D30" i="58"/>
  <c r="F30" i="58" s="1"/>
  <c r="E30" i="58"/>
  <c r="I29" i="58"/>
  <c r="C29" i="58"/>
  <c r="B29" i="58"/>
  <c r="A29" i="58"/>
  <c r="F26" i="2"/>
  <c r="D26" i="2"/>
  <c r="E26" i="2" s="1"/>
  <c r="B26" i="2"/>
  <c r="C26" i="2" s="1"/>
  <c r="A26" i="2"/>
  <c r="G26" i="2"/>
  <c r="I26" i="2" s="1"/>
  <c r="F25" i="2"/>
  <c r="D25" i="2"/>
  <c r="B25" i="2"/>
  <c r="A25" i="2"/>
  <c r="F30" i="8"/>
  <c r="D30" i="8"/>
  <c r="B30" i="8"/>
  <c r="A30" i="8"/>
  <c r="C30" i="8"/>
  <c r="E30" i="8"/>
  <c r="G30" i="8"/>
  <c r="I30" i="8" s="1"/>
  <c r="F29" i="8"/>
  <c r="D29" i="8"/>
  <c r="B29" i="8"/>
  <c r="A29" i="8"/>
  <c r="F18" i="69"/>
  <c r="D18" i="69"/>
  <c r="C18" i="69"/>
  <c r="B18" i="69"/>
  <c r="F9" i="69"/>
  <c r="D9" i="69"/>
  <c r="J4" i="69" s="1"/>
  <c r="C9" i="69"/>
  <c r="I4" i="69" s="1"/>
  <c r="B9" i="69"/>
  <c r="H4" i="69" s="1"/>
  <c r="G29" i="8"/>
  <c r="I29" i="8" s="1"/>
  <c r="D29" i="58" s="1"/>
  <c r="E29" i="8"/>
  <c r="C29" i="8"/>
  <c r="E25" i="2"/>
  <c r="C25" i="2"/>
  <c r="G25" i="2"/>
  <c r="I25" i="2" s="1"/>
  <c r="E29" i="58" s="1"/>
  <c r="F18" i="68"/>
  <c r="D18" i="68"/>
  <c r="C18" i="68"/>
  <c r="B18" i="68"/>
  <c r="F9" i="68"/>
  <c r="D9" i="68"/>
  <c r="J4" i="68" s="1"/>
  <c r="C9" i="68"/>
  <c r="I4" i="68" s="1"/>
  <c r="B9" i="68"/>
  <c r="H4" i="68" s="1"/>
  <c r="I28" i="58"/>
  <c r="C28" i="58"/>
  <c r="B28" i="58"/>
  <c r="A28" i="58"/>
  <c r="D28" i="58"/>
  <c r="F28" i="58" s="1"/>
  <c r="E28" i="58"/>
  <c r="F24" i="2"/>
  <c r="G24" i="2" s="1"/>
  <c r="I24" i="2" s="1"/>
  <c r="D24" i="2"/>
  <c r="B24" i="2"/>
  <c r="A24" i="2"/>
  <c r="C24" i="2"/>
  <c r="E24" i="2"/>
  <c r="F28" i="8"/>
  <c r="G28" i="8" s="1"/>
  <c r="I28" i="8" s="1"/>
  <c r="D28" i="8"/>
  <c r="E28" i="8" s="1"/>
  <c r="B28" i="8"/>
  <c r="C28" i="8" s="1"/>
  <c r="A28" i="8"/>
  <c r="F18" i="67"/>
  <c r="D18" i="67"/>
  <c r="C18" i="67"/>
  <c r="B18" i="67"/>
  <c r="F9" i="67"/>
  <c r="D9" i="67"/>
  <c r="C9" i="67"/>
  <c r="I4" i="67" s="1"/>
  <c r="B9" i="67"/>
  <c r="H4" i="67" s="1"/>
  <c r="J4" i="67"/>
  <c r="A27" i="58"/>
  <c r="D23" i="2"/>
  <c r="A23" i="2"/>
  <c r="D27" i="8"/>
  <c r="A27" i="8"/>
  <c r="F18" i="66"/>
  <c r="F23" i="2" s="1"/>
  <c r="D18" i="66"/>
  <c r="C18" i="66"/>
  <c r="B18" i="66"/>
  <c r="B23" i="2" s="1"/>
  <c r="F9" i="66"/>
  <c r="F27" i="8" s="1"/>
  <c r="D9" i="66"/>
  <c r="J4" i="66" s="1"/>
  <c r="I27" i="58" s="1"/>
  <c r="C9" i="66"/>
  <c r="I4" i="66" s="1"/>
  <c r="B9" i="66"/>
  <c r="H4" i="66" s="1"/>
  <c r="AS2" i="58" l="1"/>
  <c r="M2" i="58"/>
  <c r="L29" i="2"/>
  <c r="M29" i="2" s="1"/>
  <c r="J29" i="2"/>
  <c r="K29" i="2" s="1"/>
  <c r="J33" i="8"/>
  <c r="K33" i="8" s="1"/>
  <c r="L33" i="8"/>
  <c r="M33" i="8" s="1"/>
  <c r="L28" i="2"/>
  <c r="M28" i="2" s="1"/>
  <c r="J28" i="2"/>
  <c r="K28" i="2" s="1"/>
  <c r="J32" i="8"/>
  <c r="K32" i="8" s="1"/>
  <c r="L32" i="8"/>
  <c r="M32" i="8" s="1"/>
  <c r="G31" i="58"/>
  <c r="H31" i="58" s="1"/>
  <c r="L27" i="2"/>
  <c r="M27" i="2" s="1"/>
  <c r="J27" i="2"/>
  <c r="K27" i="2" s="1"/>
  <c r="L31" i="8"/>
  <c r="M31" i="8" s="1"/>
  <c r="J31" i="8"/>
  <c r="K31" i="8" s="1"/>
  <c r="G30" i="58"/>
  <c r="H30" i="58" s="1"/>
  <c r="J26" i="2"/>
  <c r="K26" i="2" s="1"/>
  <c r="L26" i="2"/>
  <c r="M26" i="2" s="1"/>
  <c r="F29" i="58"/>
  <c r="L30" i="8"/>
  <c r="M30" i="8" s="1"/>
  <c r="J30" i="8"/>
  <c r="K30" i="8" s="1"/>
  <c r="G29" i="58"/>
  <c r="H29" i="58" s="1"/>
  <c r="L29" i="8"/>
  <c r="M29" i="8" s="1"/>
  <c r="J29" i="8"/>
  <c r="K29" i="8" s="1"/>
  <c r="L25" i="2"/>
  <c r="M25" i="2" s="1"/>
  <c r="J25" i="2"/>
  <c r="K25" i="2" s="1"/>
  <c r="G28" i="58"/>
  <c r="H28" i="58" s="1"/>
  <c r="L24" i="2"/>
  <c r="M24" i="2" s="1"/>
  <c r="J24" i="2"/>
  <c r="K24" i="2" s="1"/>
  <c r="J28" i="8"/>
  <c r="K28" i="8" s="1"/>
  <c r="L28" i="8"/>
  <c r="M28" i="8" s="1"/>
  <c r="B27" i="8"/>
  <c r="A26" i="58"/>
  <c r="B26" i="8"/>
  <c r="A26" i="8"/>
  <c r="B22" i="2"/>
  <c r="A22" i="2"/>
  <c r="F18" i="65"/>
  <c r="F22" i="2" s="1"/>
  <c r="D18" i="65"/>
  <c r="C18" i="65"/>
  <c r="D22" i="2" s="1"/>
  <c r="B18" i="65"/>
  <c r="F9" i="65"/>
  <c r="F26" i="8" s="1"/>
  <c r="D9" i="65"/>
  <c r="J4" i="65" s="1"/>
  <c r="I26" i="58" s="1"/>
  <c r="C9" i="65"/>
  <c r="I4" i="65" s="1"/>
  <c r="B9" i="65"/>
  <c r="H4" i="65" s="1"/>
  <c r="D26" i="8" l="1"/>
  <c r="A25" i="58"/>
  <c r="D21" i="2"/>
  <c r="A21" i="2"/>
  <c r="A25" i="8"/>
  <c r="F18" i="64"/>
  <c r="F21" i="2" s="1"/>
  <c r="D18" i="64"/>
  <c r="C18" i="64"/>
  <c r="B18" i="64"/>
  <c r="B21" i="2" s="1"/>
  <c r="F9" i="64"/>
  <c r="F25" i="8" s="1"/>
  <c r="D9" i="64"/>
  <c r="C9" i="64"/>
  <c r="D25" i="8" s="1"/>
  <c r="B9" i="64"/>
  <c r="H4" i="64" s="1"/>
  <c r="J4" i="64"/>
  <c r="I25" i="58" s="1"/>
  <c r="B25" i="8" l="1"/>
  <c r="I4" i="64"/>
  <c r="A24" i="58" l="1"/>
  <c r="A24" i="8"/>
  <c r="A20" i="2"/>
  <c r="A23" i="58" l="1"/>
  <c r="D19" i="2" l="1"/>
  <c r="A19" i="2"/>
  <c r="A18" i="2"/>
  <c r="A23" i="8"/>
  <c r="A22" i="8"/>
  <c r="F18" i="63"/>
  <c r="F20" i="2" s="1"/>
  <c r="D18" i="63"/>
  <c r="C18" i="63"/>
  <c r="D20" i="2" s="1"/>
  <c r="B18" i="63"/>
  <c r="B20" i="2" s="1"/>
  <c r="F9" i="63"/>
  <c r="F24" i="8" s="1"/>
  <c r="D9" i="63"/>
  <c r="J4" i="63" s="1"/>
  <c r="I24" i="58" s="1"/>
  <c r="C9" i="63"/>
  <c r="B9" i="63"/>
  <c r="F18" i="62"/>
  <c r="F19" i="2" s="1"/>
  <c r="D18" i="62"/>
  <c r="C18" i="62"/>
  <c r="B18" i="62"/>
  <c r="B19" i="2" s="1"/>
  <c r="F9" i="62"/>
  <c r="F23" i="8" s="1"/>
  <c r="D9" i="62"/>
  <c r="J4" i="62" s="1"/>
  <c r="I23" i="58" s="1"/>
  <c r="C9" i="62"/>
  <c r="I4" i="62" s="1"/>
  <c r="B9" i="62"/>
  <c r="B23" i="8" s="1"/>
  <c r="H4" i="62"/>
  <c r="H4" i="63" l="1"/>
  <c r="B24" i="8"/>
  <c r="I4" i="63"/>
  <c r="D24" i="8"/>
  <c r="D23" i="8"/>
  <c r="A22" i="58"/>
  <c r="A21" i="58" l="1"/>
  <c r="F21" i="8"/>
  <c r="D21" i="8"/>
  <c r="A21" i="8"/>
  <c r="F17" i="2"/>
  <c r="A17" i="2"/>
  <c r="F18" i="61"/>
  <c r="F18" i="2" s="1"/>
  <c r="D18" i="61"/>
  <c r="C18" i="61"/>
  <c r="D18" i="2" s="1"/>
  <c r="B18" i="61"/>
  <c r="B18" i="2" s="1"/>
  <c r="F9" i="61"/>
  <c r="F22" i="8" s="1"/>
  <c r="D9" i="61"/>
  <c r="J4" i="61" s="1"/>
  <c r="I22" i="58" s="1"/>
  <c r="C9" i="61"/>
  <c r="D22" i="8" s="1"/>
  <c r="B9" i="61"/>
  <c r="I4" i="61"/>
  <c r="F18" i="60"/>
  <c r="D18" i="60"/>
  <c r="C18" i="60"/>
  <c r="D17" i="2" s="1"/>
  <c r="B18" i="60"/>
  <c r="B17" i="2" s="1"/>
  <c r="F9" i="60"/>
  <c r="D9" i="60"/>
  <c r="J4" i="60" s="1"/>
  <c r="I21" i="58" s="1"/>
  <c r="C9" i="60"/>
  <c r="I4" i="60" s="1"/>
  <c r="B9" i="60"/>
  <c r="H4" i="60" s="1"/>
  <c r="B21" i="8" l="1"/>
  <c r="H4" i="61"/>
  <c r="B22" i="8"/>
  <c r="I15" i="58"/>
  <c r="I10" i="58"/>
  <c r="H4" i="56"/>
  <c r="B9" i="40"/>
  <c r="H4" i="40" s="1"/>
  <c r="C9" i="40"/>
  <c r="I4" i="40" s="1"/>
  <c r="B18" i="40"/>
  <c r="C18" i="40"/>
  <c r="A2" i="58"/>
  <c r="F16" i="2"/>
  <c r="F18" i="59"/>
  <c r="D18" i="59"/>
  <c r="C18" i="59"/>
  <c r="D16" i="2" s="1"/>
  <c r="B18" i="59"/>
  <c r="B16" i="2" s="1"/>
  <c r="F9" i="59"/>
  <c r="F20" i="8" s="1"/>
  <c r="D9" i="59"/>
  <c r="J4" i="59" s="1"/>
  <c r="I20" i="58" s="1"/>
  <c r="C9" i="59"/>
  <c r="I4" i="59" s="1"/>
  <c r="B9" i="59"/>
  <c r="B20" i="8" s="1"/>
  <c r="F18" i="57"/>
  <c r="F15" i="2" s="1"/>
  <c r="D18" i="57"/>
  <c r="C18" i="57"/>
  <c r="D15" i="2" s="1"/>
  <c r="B18" i="57"/>
  <c r="B15" i="2" s="1"/>
  <c r="F9" i="57"/>
  <c r="F19" i="8" s="1"/>
  <c r="D9" i="57"/>
  <c r="J4" i="57" s="1"/>
  <c r="I19" i="58" s="1"/>
  <c r="C9" i="57"/>
  <c r="I4" i="57" s="1"/>
  <c r="B9" i="57"/>
  <c r="H4" i="57" s="1"/>
  <c r="F18" i="56"/>
  <c r="F14" i="2" s="1"/>
  <c r="D18" i="56"/>
  <c r="C18" i="56"/>
  <c r="D14" i="2" s="1"/>
  <c r="B18" i="56"/>
  <c r="B14" i="2" s="1"/>
  <c r="F9" i="56"/>
  <c r="D9" i="56"/>
  <c r="J4" i="56" s="1"/>
  <c r="I18" i="58" s="1"/>
  <c r="C9" i="56"/>
  <c r="I4" i="56" s="1"/>
  <c r="B9" i="56"/>
  <c r="B18" i="8" s="1"/>
  <c r="D13" i="2"/>
  <c r="F18" i="8"/>
  <c r="D18" i="8"/>
  <c r="F18" i="53"/>
  <c r="F13" i="2" s="1"/>
  <c r="D18" i="53"/>
  <c r="C18" i="53"/>
  <c r="B18" i="53"/>
  <c r="B13" i="2" s="1"/>
  <c r="F9" i="53"/>
  <c r="F17" i="8" s="1"/>
  <c r="D9" i="53"/>
  <c r="J4" i="53" s="1"/>
  <c r="I17" i="58" s="1"/>
  <c r="C9" i="53"/>
  <c r="I4" i="53" s="1"/>
  <c r="B9" i="53"/>
  <c r="H4" i="53" s="1"/>
  <c r="F4" i="51"/>
  <c r="F9" i="51" s="1"/>
  <c r="F16" i="8" s="1"/>
  <c r="D4" i="51"/>
  <c r="D9" i="51" s="1"/>
  <c r="J4" i="51" s="1"/>
  <c r="I16" i="58" s="1"/>
  <c r="F18" i="51"/>
  <c r="F12" i="2" s="1"/>
  <c r="D18" i="51"/>
  <c r="C18" i="51"/>
  <c r="D12" i="2" s="1"/>
  <c r="B18" i="51"/>
  <c r="B12" i="2" s="1"/>
  <c r="C9" i="51"/>
  <c r="D16" i="8" s="1"/>
  <c r="B9" i="51"/>
  <c r="B16" i="8" s="1"/>
  <c r="F15" i="8"/>
  <c r="F18" i="50"/>
  <c r="F11" i="2" s="1"/>
  <c r="D18" i="50"/>
  <c r="C18" i="50"/>
  <c r="D11" i="2" s="1"/>
  <c r="B18" i="50"/>
  <c r="B11" i="2" s="1"/>
  <c r="F9" i="50"/>
  <c r="D9" i="50"/>
  <c r="J4" i="50" s="1"/>
  <c r="C9" i="50"/>
  <c r="D15" i="8" s="1"/>
  <c r="B9" i="50"/>
  <c r="D14" i="8"/>
  <c r="B14" i="8"/>
  <c r="F18" i="49"/>
  <c r="F10" i="2" s="1"/>
  <c r="D18" i="49"/>
  <c r="C18" i="49"/>
  <c r="I4" i="49" s="1"/>
  <c r="B18" i="49"/>
  <c r="B10" i="2" s="1"/>
  <c r="C9" i="49"/>
  <c r="B9" i="49"/>
  <c r="F9" i="49"/>
  <c r="F14" i="8" s="1"/>
  <c r="D9" i="49"/>
  <c r="J4" i="49" s="1"/>
  <c r="I14" i="58" s="1"/>
  <c r="F18" i="47"/>
  <c r="F9" i="2" s="1"/>
  <c r="D18" i="47"/>
  <c r="C18" i="47"/>
  <c r="D9" i="2" s="1"/>
  <c r="B18" i="47"/>
  <c r="B9" i="2" s="1"/>
  <c r="C9" i="47"/>
  <c r="B9" i="47"/>
  <c r="H4" i="47" s="1"/>
  <c r="F4" i="47"/>
  <c r="F9" i="47" s="1"/>
  <c r="F13" i="8" s="1"/>
  <c r="D4" i="47"/>
  <c r="D9" i="47" s="1"/>
  <c r="F4" i="45"/>
  <c r="F9" i="45" s="1"/>
  <c r="F12" i="8" s="1"/>
  <c r="D4" i="45"/>
  <c r="D9" i="45" s="1"/>
  <c r="J4" i="45" s="1"/>
  <c r="I12" i="58" s="1"/>
  <c r="F18" i="45"/>
  <c r="F8" i="2" s="1"/>
  <c r="D18" i="45"/>
  <c r="C18" i="45"/>
  <c r="D8" i="2" s="1"/>
  <c r="B18" i="45"/>
  <c r="B8" i="2" s="1"/>
  <c r="C9" i="45"/>
  <c r="I4" i="45" s="1"/>
  <c r="B9" i="45"/>
  <c r="B12" i="8" s="1"/>
  <c r="F18" i="44"/>
  <c r="F7" i="2" s="1"/>
  <c r="D18" i="44"/>
  <c r="C18" i="44"/>
  <c r="D7" i="2" s="1"/>
  <c r="B18" i="44"/>
  <c r="B7" i="2" s="1"/>
  <c r="F9" i="44"/>
  <c r="F11" i="8" s="1"/>
  <c r="D9" i="44"/>
  <c r="J4" i="44" s="1"/>
  <c r="I11" i="58" s="1"/>
  <c r="C9" i="44"/>
  <c r="I4" i="44" s="1"/>
  <c r="B9" i="44"/>
  <c r="H4" i="44" s="1"/>
  <c r="F6" i="2"/>
  <c r="F10" i="8"/>
  <c r="F18" i="43"/>
  <c r="D18" i="43"/>
  <c r="C18" i="43"/>
  <c r="D6" i="2" s="1"/>
  <c r="B18" i="43"/>
  <c r="B6" i="2" s="1"/>
  <c r="F9" i="43"/>
  <c r="D9" i="43"/>
  <c r="J4" i="43" s="1"/>
  <c r="C9" i="43"/>
  <c r="D10" i="8" s="1"/>
  <c r="B9" i="43"/>
  <c r="B10" i="8" l="1"/>
  <c r="H4" i="43"/>
  <c r="B15" i="8"/>
  <c r="H4" i="50"/>
  <c r="I4" i="47"/>
  <c r="D10" i="2"/>
  <c r="J4" i="47"/>
  <c r="I13" i="58" s="1"/>
  <c r="D20" i="8"/>
  <c r="H4" i="59"/>
  <c r="B19" i="8"/>
  <c r="D19" i="8"/>
  <c r="B17" i="8"/>
  <c r="D17" i="8"/>
  <c r="H4" i="51"/>
  <c r="I4" i="51"/>
  <c r="I4" i="50"/>
  <c r="H4" i="49"/>
  <c r="B13" i="8"/>
  <c r="D13" i="8"/>
  <c r="D12" i="8"/>
  <c r="H4" i="45"/>
  <c r="B11" i="8"/>
  <c r="D11" i="8"/>
  <c r="I4" i="43"/>
  <c r="F18" i="42"/>
  <c r="F5" i="2" s="1"/>
  <c r="D18" i="42"/>
  <c r="C18" i="42"/>
  <c r="D5" i="2" s="1"/>
  <c r="B18" i="42"/>
  <c r="B5" i="2" s="1"/>
  <c r="C9" i="42"/>
  <c r="I4" i="42" s="1"/>
  <c r="B9" i="42"/>
  <c r="F9" i="42"/>
  <c r="F9" i="8" s="1"/>
  <c r="D9" i="42"/>
  <c r="J4" i="42" s="1"/>
  <c r="I9" i="58" s="1"/>
  <c r="D4" i="2"/>
  <c r="B8" i="8"/>
  <c r="F4" i="41"/>
  <c r="F9" i="41" s="1"/>
  <c r="F8" i="8" s="1"/>
  <c r="D4" i="41"/>
  <c r="F18" i="41"/>
  <c r="F4" i="2" s="1"/>
  <c r="D18" i="41"/>
  <c r="C18" i="41"/>
  <c r="B18" i="41"/>
  <c r="B4" i="2" s="1"/>
  <c r="D9" i="41"/>
  <c r="C9" i="41"/>
  <c r="I4" i="41" s="1"/>
  <c r="B9" i="41"/>
  <c r="D3" i="2"/>
  <c r="B3" i="2"/>
  <c r="D7" i="8"/>
  <c r="B7" i="8"/>
  <c r="F18" i="40"/>
  <c r="F3" i="2" s="1"/>
  <c r="D18" i="40"/>
  <c r="F9" i="40"/>
  <c r="F7" i="8" s="1"/>
  <c r="D9" i="40"/>
  <c r="A2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F13" i="39"/>
  <c r="F18" i="39" s="1"/>
  <c r="F2" i="2" s="1"/>
  <c r="G2" i="2" s="1"/>
  <c r="D13" i="39"/>
  <c r="D18" i="39" s="1"/>
  <c r="C18" i="39"/>
  <c r="D2" i="2" s="1"/>
  <c r="E2" i="2" s="1"/>
  <c r="B18" i="39"/>
  <c r="B2" i="2" s="1"/>
  <c r="C2" i="2" s="1"/>
  <c r="F9" i="39"/>
  <c r="F6" i="8" s="1"/>
  <c r="D9" i="39"/>
  <c r="C9" i="39"/>
  <c r="I4" i="39" s="1"/>
  <c r="B9" i="39"/>
  <c r="H4" i="39" s="1"/>
  <c r="F18" i="38"/>
  <c r="B18" i="38"/>
  <c r="F9" i="38"/>
  <c r="F5" i="8" s="1"/>
  <c r="C9" i="38"/>
  <c r="I4" i="38" s="1"/>
  <c r="B9" i="38"/>
  <c r="D9" i="38"/>
  <c r="J4" i="38" s="1"/>
  <c r="I5" i="58" s="1"/>
  <c r="F18" i="37"/>
  <c r="B18" i="37"/>
  <c r="C9" i="37"/>
  <c r="I4" i="37" s="1"/>
  <c r="B9" i="37"/>
  <c r="F9" i="37"/>
  <c r="F4" i="8" s="1"/>
  <c r="D9" i="37"/>
  <c r="J4" i="37" s="1"/>
  <c r="I4" i="58" s="1"/>
  <c r="F18" i="36"/>
  <c r="B18" i="36"/>
  <c r="C9" i="36"/>
  <c r="I4" i="36" s="1"/>
  <c r="B9" i="36"/>
  <c r="F9" i="36"/>
  <c r="F3" i="8" s="1"/>
  <c r="D9" i="36"/>
  <c r="J4" i="36" s="1"/>
  <c r="I3" i="58" s="1"/>
  <c r="H4" i="38" l="1"/>
  <c r="H4" i="36"/>
  <c r="D6" i="8"/>
  <c r="J4" i="40"/>
  <c r="I7" i="58" s="1"/>
  <c r="H4" i="41"/>
  <c r="H4" i="42"/>
  <c r="B9" i="8"/>
  <c r="D9" i="8"/>
  <c r="J4" i="41"/>
  <c r="I8" i="58" s="1"/>
  <c r="D8" i="8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C3" i="2"/>
  <c r="I2" i="2"/>
  <c r="E6" i="58" s="1"/>
  <c r="G3" i="2"/>
  <c r="G4" i="2" s="1"/>
  <c r="J4" i="39"/>
  <c r="I6" i="58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B6" i="8"/>
  <c r="H4" i="37"/>
  <c r="J2" i="2"/>
  <c r="K2" i="2" s="1"/>
  <c r="L2" i="2"/>
  <c r="M2" i="2" s="1"/>
  <c r="D4" i="8"/>
  <c r="B4" i="8"/>
  <c r="D3" i="8"/>
  <c r="B3" i="8"/>
  <c r="B5" i="8"/>
  <c r="D5" i="8"/>
  <c r="A2" i="8"/>
  <c r="C9" i="34"/>
  <c r="D2" i="8" s="1"/>
  <c r="E2" i="8" s="1"/>
  <c r="F4" i="34"/>
  <c r="D4" i="34"/>
  <c r="D9" i="34" s="1"/>
  <c r="J4" i="34" s="1"/>
  <c r="I2" i="58" s="1"/>
  <c r="I4" i="34" l="1"/>
  <c r="C2" i="58" s="1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I3" i="2"/>
  <c r="I4" i="2"/>
  <c r="E8" i="58" s="1"/>
  <c r="G5" i="2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J3" i="2"/>
  <c r="K3" i="2" s="1"/>
  <c r="A20" i="58"/>
  <c r="L3" i="2" l="1"/>
  <c r="M3" i="2" s="1"/>
  <c r="E7" i="58"/>
  <c r="I5" i="2"/>
  <c r="E9" i="58" s="1"/>
  <c r="G6" i="2"/>
  <c r="L4" i="2"/>
  <c r="M4" i="2" s="1"/>
  <c r="J4" i="2"/>
  <c r="K4" i="2" s="1"/>
  <c r="A20" i="8"/>
  <c r="I6" i="2" l="1"/>
  <c r="E10" i="58" s="1"/>
  <c r="G7" i="2"/>
  <c r="J5" i="2"/>
  <c r="K5" i="2" s="1"/>
  <c r="L5" i="2"/>
  <c r="M5" i="2" s="1"/>
  <c r="I7" i="2" l="1"/>
  <c r="E11" i="58" s="1"/>
  <c r="G8" i="2"/>
  <c r="L6" i="2"/>
  <c r="M6" i="2" s="1"/>
  <c r="J6" i="2"/>
  <c r="K6" i="2" s="1"/>
  <c r="I8" i="2" l="1"/>
  <c r="E12" i="58" s="1"/>
  <c r="G9" i="2"/>
  <c r="J7" i="2"/>
  <c r="K7" i="2" s="1"/>
  <c r="L7" i="2"/>
  <c r="M7" i="2" s="1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9" i="2" l="1"/>
  <c r="E13" i="58" s="1"/>
  <c r="G10" i="2"/>
  <c r="J8" i="2"/>
  <c r="K8" i="2" s="1"/>
  <c r="L8" i="2"/>
  <c r="M8" i="2" s="1"/>
  <c r="A18" i="8"/>
  <c r="A19" i="8"/>
  <c r="I10" i="2" l="1"/>
  <c r="E14" i="58" s="1"/>
  <c r="G11" i="2"/>
  <c r="L9" i="2"/>
  <c r="M9" i="2" s="1"/>
  <c r="J9" i="2"/>
  <c r="K9" i="2" s="1"/>
  <c r="I11" i="2" l="1"/>
  <c r="E15" i="58" s="1"/>
  <c r="G12" i="2"/>
  <c r="L10" i="2"/>
  <c r="M10" i="2" s="1"/>
  <c r="J10" i="2"/>
  <c r="K10" i="2" s="1"/>
  <c r="I12" i="2" l="1"/>
  <c r="E16" i="58" s="1"/>
  <c r="G13" i="2"/>
  <c r="J11" i="2"/>
  <c r="K11" i="2" s="1"/>
  <c r="L11" i="2"/>
  <c r="M11" i="2" s="1"/>
  <c r="I13" i="2" l="1"/>
  <c r="E17" i="58" s="1"/>
  <c r="G14" i="2"/>
  <c r="L12" i="2"/>
  <c r="M12" i="2" s="1"/>
  <c r="J12" i="2"/>
  <c r="K12" i="2" s="1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F18" i="34"/>
  <c r="B18" i="34"/>
  <c r="B9" i="34"/>
  <c r="H4" i="34" s="1"/>
  <c r="B2" i="58" s="1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F9" i="34"/>
  <c r="F2" i="8" s="1"/>
  <c r="G2" i="8" s="1"/>
  <c r="I2" i="8" s="1"/>
  <c r="D2" i="58" s="1"/>
  <c r="I14" i="2" l="1"/>
  <c r="E18" i="58" s="1"/>
  <c r="G15" i="2"/>
  <c r="J13" i="2"/>
  <c r="K13" i="2" s="1"/>
  <c r="L13" i="2"/>
  <c r="M13" i="2" s="1"/>
  <c r="B2" i="8"/>
  <c r="C2" i="8" s="1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I15" i="2" l="1"/>
  <c r="E19" i="58" s="1"/>
  <c r="G16" i="2"/>
  <c r="L14" i="2"/>
  <c r="M14" i="2" s="1"/>
  <c r="J14" i="2"/>
  <c r="K14" i="2" s="1"/>
  <c r="L2" i="8"/>
  <c r="M2" i="8" s="1"/>
  <c r="I16" i="2" l="1"/>
  <c r="E20" i="58" s="1"/>
  <c r="G17" i="2"/>
  <c r="J15" i="2"/>
  <c r="K15" i="2" s="1"/>
  <c r="L15" i="2"/>
  <c r="M15" i="2" s="1"/>
  <c r="I17" i="2" l="1"/>
  <c r="G18" i="2"/>
  <c r="J16" i="2"/>
  <c r="K16" i="2" s="1"/>
  <c r="L16" i="2"/>
  <c r="M16" i="2" s="1"/>
  <c r="G3" i="8"/>
  <c r="J2" i="8"/>
  <c r="K2" i="8" s="1"/>
  <c r="I18" i="2" l="1"/>
  <c r="G19" i="2"/>
  <c r="E21" i="58"/>
  <c r="J17" i="2"/>
  <c r="K17" i="2" s="1"/>
  <c r="L17" i="2"/>
  <c r="M17" i="2" s="1"/>
  <c r="F2" i="58"/>
  <c r="G2" i="58" s="1"/>
  <c r="H2" i="58" s="1"/>
  <c r="G4" i="8"/>
  <c r="G5" i="8" s="1"/>
  <c r="I3" i="8"/>
  <c r="L3" i="8" l="1"/>
  <c r="M3" i="8" s="1"/>
  <c r="D3" i="58"/>
  <c r="F3" i="58" s="1"/>
  <c r="G3" i="58" s="1"/>
  <c r="H3" i="58" s="1"/>
  <c r="I19" i="2"/>
  <c r="G20" i="2"/>
  <c r="L18" i="2"/>
  <c r="M18" i="2" s="1"/>
  <c r="J18" i="2"/>
  <c r="K18" i="2" s="1"/>
  <c r="E22" i="58"/>
  <c r="I5" i="8"/>
  <c r="G6" i="8"/>
  <c r="J3" i="8"/>
  <c r="K3" i="8" s="1"/>
  <c r="I4" i="8"/>
  <c r="L5" i="8" l="1"/>
  <c r="M5" i="8" s="1"/>
  <c r="D5" i="58"/>
  <c r="F5" i="58" s="1"/>
  <c r="G5" i="58" s="1"/>
  <c r="H5" i="58" s="1"/>
  <c r="I20" i="2"/>
  <c r="G21" i="2"/>
  <c r="E23" i="58"/>
  <c r="J19" i="2"/>
  <c r="K19" i="2" s="1"/>
  <c r="L19" i="2"/>
  <c r="M19" i="2" s="1"/>
  <c r="L4" i="8"/>
  <c r="M4" i="8" s="1"/>
  <c r="D4" i="58"/>
  <c r="F4" i="58" s="1"/>
  <c r="G4" i="58" s="1"/>
  <c r="H4" i="58" s="1"/>
  <c r="I6" i="8"/>
  <c r="G7" i="8"/>
  <c r="J5" i="8"/>
  <c r="K5" i="8" s="1"/>
  <c r="J4" i="8"/>
  <c r="K4" i="8" s="1"/>
  <c r="I21" i="2" l="1"/>
  <c r="G22" i="2"/>
  <c r="E24" i="58"/>
  <c r="J20" i="2"/>
  <c r="K20" i="2" s="1"/>
  <c r="L20" i="2"/>
  <c r="M20" i="2" s="1"/>
  <c r="L6" i="8"/>
  <c r="M6" i="8" s="1"/>
  <c r="D6" i="58"/>
  <c r="F6" i="58" s="1"/>
  <c r="G6" i="58" s="1"/>
  <c r="H6" i="58" s="1"/>
  <c r="J6" i="8"/>
  <c r="K6" i="8" s="1"/>
  <c r="I7" i="8"/>
  <c r="D7" i="58" s="1"/>
  <c r="F7" i="58" s="1"/>
  <c r="G7" i="58" s="1"/>
  <c r="H7" i="58" s="1"/>
  <c r="G8" i="8"/>
  <c r="I22" i="2" l="1"/>
  <c r="G23" i="2"/>
  <c r="I23" i="2" s="1"/>
  <c r="E25" i="58"/>
  <c r="J21" i="2"/>
  <c r="K21" i="2" s="1"/>
  <c r="L21" i="2"/>
  <c r="M21" i="2" s="1"/>
  <c r="I8" i="8"/>
  <c r="D8" i="58" s="1"/>
  <c r="F8" i="58" s="1"/>
  <c r="G8" i="58" s="1"/>
  <c r="H8" i="58" s="1"/>
  <c r="G9" i="8"/>
  <c r="L7" i="8"/>
  <c r="M7" i="8" s="1"/>
  <c r="J7" i="8"/>
  <c r="K7" i="8" s="1"/>
  <c r="E27" i="58" l="1"/>
  <c r="J23" i="2"/>
  <c r="K23" i="2" s="1"/>
  <c r="L23" i="2"/>
  <c r="M23" i="2" s="1"/>
  <c r="E26" i="58"/>
  <c r="L22" i="2"/>
  <c r="M22" i="2" s="1"/>
  <c r="J22" i="2"/>
  <c r="K22" i="2" s="1"/>
  <c r="I9" i="8"/>
  <c r="D9" i="58" s="1"/>
  <c r="F9" i="58" s="1"/>
  <c r="G9" i="58" s="1"/>
  <c r="H9" i="58" s="1"/>
  <c r="G10" i="8"/>
  <c r="L8" i="8"/>
  <c r="M8" i="8" s="1"/>
  <c r="J8" i="8"/>
  <c r="K8" i="8" s="1"/>
  <c r="I10" i="8" l="1"/>
  <c r="D10" i="58" s="1"/>
  <c r="F10" i="58" s="1"/>
  <c r="G10" i="58" s="1"/>
  <c r="H10" i="58" s="1"/>
  <c r="G11" i="8"/>
  <c r="J9" i="8"/>
  <c r="K9" i="8" s="1"/>
  <c r="L9" i="8"/>
  <c r="M9" i="8" s="1"/>
  <c r="I11" i="8" l="1"/>
  <c r="D11" i="58" s="1"/>
  <c r="F11" i="58" s="1"/>
  <c r="G11" i="58" s="1"/>
  <c r="H11" i="58" s="1"/>
  <c r="G12" i="8"/>
  <c r="L10" i="8"/>
  <c r="M10" i="8" s="1"/>
  <c r="J10" i="8"/>
  <c r="K10" i="8" s="1"/>
  <c r="I12" i="8" l="1"/>
  <c r="D12" i="58" s="1"/>
  <c r="F12" i="58" s="1"/>
  <c r="G12" i="58" s="1"/>
  <c r="H12" i="58" s="1"/>
  <c r="G13" i="8"/>
  <c r="L11" i="8"/>
  <c r="M11" i="8" s="1"/>
  <c r="J11" i="8"/>
  <c r="K11" i="8" s="1"/>
  <c r="I13" i="8" l="1"/>
  <c r="D13" i="58" s="1"/>
  <c r="F13" i="58" s="1"/>
  <c r="G13" i="58" s="1"/>
  <c r="H13" i="58" s="1"/>
  <c r="G14" i="8"/>
  <c r="J12" i="8"/>
  <c r="K12" i="8" s="1"/>
  <c r="L12" i="8"/>
  <c r="M12" i="8" s="1"/>
  <c r="I14" i="8" l="1"/>
  <c r="D14" i="58" s="1"/>
  <c r="F14" i="58" s="1"/>
  <c r="G14" i="58" s="1"/>
  <c r="H14" i="58" s="1"/>
  <c r="G15" i="8"/>
  <c r="L13" i="8"/>
  <c r="M13" i="8" s="1"/>
  <c r="J13" i="8"/>
  <c r="K13" i="8" s="1"/>
  <c r="L14" i="8" l="1"/>
  <c r="M14" i="8" s="1"/>
  <c r="J14" i="8"/>
  <c r="K14" i="8" s="1"/>
  <c r="I15" i="8"/>
  <c r="D15" i="58" s="1"/>
  <c r="F15" i="58" s="1"/>
  <c r="G15" i="58" s="1"/>
  <c r="H15" i="58" s="1"/>
  <c r="G16" i="8"/>
  <c r="I16" i="8" l="1"/>
  <c r="D16" i="58" s="1"/>
  <c r="F16" i="58" s="1"/>
  <c r="G16" i="58" s="1"/>
  <c r="H16" i="58" s="1"/>
  <c r="G17" i="8"/>
  <c r="J15" i="8"/>
  <c r="K15" i="8" s="1"/>
  <c r="L15" i="8"/>
  <c r="M15" i="8" s="1"/>
  <c r="I17" i="8" l="1"/>
  <c r="D17" i="58" s="1"/>
  <c r="F17" i="58" s="1"/>
  <c r="G17" i="58" s="1"/>
  <c r="H17" i="58" s="1"/>
  <c r="G18" i="8"/>
  <c r="L16" i="8"/>
  <c r="M16" i="8" s="1"/>
  <c r="J16" i="8"/>
  <c r="K16" i="8" s="1"/>
  <c r="I18" i="8" l="1"/>
  <c r="D18" i="58" s="1"/>
  <c r="F18" i="58" s="1"/>
  <c r="G18" i="58" s="1"/>
  <c r="H18" i="58" s="1"/>
  <c r="G19" i="8"/>
  <c r="L17" i="8"/>
  <c r="M17" i="8" s="1"/>
  <c r="J17" i="8"/>
  <c r="K17" i="8" s="1"/>
  <c r="I19" i="8" l="1"/>
  <c r="D19" i="58" s="1"/>
  <c r="F19" i="58" s="1"/>
  <c r="G19" i="58" s="1"/>
  <c r="H19" i="58" s="1"/>
  <c r="G20" i="8"/>
  <c r="J18" i="8"/>
  <c r="K18" i="8" s="1"/>
  <c r="L18" i="8"/>
  <c r="M18" i="8" s="1"/>
  <c r="I20" i="8" l="1"/>
  <c r="D20" i="58" s="1"/>
  <c r="F20" i="58" s="1"/>
  <c r="G20" i="58" s="1"/>
  <c r="H20" i="58" s="1"/>
  <c r="G21" i="8"/>
  <c r="L20" i="8"/>
  <c r="M20" i="8" s="1"/>
  <c r="J20" i="8"/>
  <c r="K20" i="8" s="1"/>
  <c r="J19" i="8"/>
  <c r="K19" i="8" s="1"/>
  <c r="L19" i="8"/>
  <c r="M19" i="8" s="1"/>
  <c r="I21" i="8" l="1"/>
  <c r="G22" i="8"/>
  <c r="I22" i="8" l="1"/>
  <c r="G23" i="8"/>
  <c r="D21" i="58"/>
  <c r="F21" i="58" s="1"/>
  <c r="G21" i="58" s="1"/>
  <c r="H21" i="58" s="1"/>
  <c r="L21" i="8"/>
  <c r="M21" i="8" s="1"/>
  <c r="J21" i="8"/>
  <c r="K21" i="8" s="1"/>
  <c r="I23" i="8" l="1"/>
  <c r="G24" i="8"/>
  <c r="J22" i="8"/>
  <c r="K22" i="8" s="1"/>
  <c r="L22" i="8"/>
  <c r="M22" i="8" s="1"/>
  <c r="D22" i="58"/>
  <c r="F22" i="58" s="1"/>
  <c r="G22" i="58" s="1"/>
  <c r="H22" i="58" s="1"/>
  <c r="I24" i="8" l="1"/>
  <c r="G25" i="8"/>
  <c r="D23" i="58"/>
  <c r="F23" i="58" s="1"/>
  <c r="G23" i="58" s="1"/>
  <c r="H23" i="58" s="1"/>
  <c r="J23" i="8"/>
  <c r="K23" i="8" s="1"/>
  <c r="L23" i="8"/>
  <c r="M23" i="8" s="1"/>
  <c r="I25" i="8" l="1"/>
  <c r="G26" i="8"/>
  <c r="D24" i="58"/>
  <c r="F24" i="58" s="1"/>
  <c r="G24" i="58" s="1"/>
  <c r="H24" i="58" s="1"/>
  <c r="J24" i="8"/>
  <c r="K24" i="8" s="1"/>
  <c r="L24" i="8"/>
  <c r="M24" i="8" s="1"/>
  <c r="I26" i="8" l="1"/>
  <c r="G27" i="8"/>
  <c r="I27" i="8" s="1"/>
  <c r="D25" i="58"/>
  <c r="F25" i="58" s="1"/>
  <c r="G25" i="58" s="1"/>
  <c r="H25" i="58" s="1"/>
  <c r="L25" i="8"/>
  <c r="M25" i="8" s="1"/>
  <c r="J25" i="8"/>
  <c r="K25" i="8" s="1"/>
  <c r="D27" i="58" l="1"/>
  <c r="F27" i="58" s="1"/>
  <c r="G27" i="58" s="1"/>
  <c r="H27" i="58" s="1"/>
  <c r="L27" i="8"/>
  <c r="M27" i="8" s="1"/>
  <c r="J27" i="8"/>
  <c r="K27" i="8" s="1"/>
  <c r="D26" i="58"/>
  <c r="F26" i="58" s="1"/>
  <c r="G26" i="58" s="1"/>
  <c r="H26" i="58" s="1"/>
  <c r="J26" i="8"/>
  <c r="K26" i="8" s="1"/>
  <c r="L26" i="8"/>
  <c r="M2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<sst xmlns="http://schemas.openxmlformats.org/spreadsheetml/2006/main" count="627" uniqueCount="47">
  <si>
    <t>Kaina</t>
  </si>
  <si>
    <t>Kiekis</t>
  </si>
  <si>
    <t>Viso:</t>
  </si>
  <si>
    <t>2024.01</t>
  </si>
  <si>
    <t>Suma, EUR</t>
  </si>
  <si>
    <t>2024.02</t>
  </si>
  <si>
    <t>2024.03</t>
  </si>
  <si>
    <t>2024.04</t>
  </si>
  <si>
    <t>2024.05</t>
  </si>
  <si>
    <t>2024.06</t>
  </si>
  <si>
    <t>Kaina gale</t>
  </si>
  <si>
    <t>Viso kiekis</t>
  </si>
  <si>
    <t>Vertė gale</t>
  </si>
  <si>
    <t>%</t>
  </si>
  <si>
    <t>2025.04</t>
  </si>
  <si>
    <t>2025.03</t>
  </si>
  <si>
    <t>2025.05</t>
  </si>
  <si>
    <t>2025.02</t>
  </si>
  <si>
    <t>2025.01</t>
  </si>
  <si>
    <t>2024.12</t>
  </si>
  <si>
    <t>2024.11</t>
  </si>
  <si>
    <t>2024.10</t>
  </si>
  <si>
    <t>2024.09</t>
  </si>
  <si>
    <t>2024.08</t>
  </si>
  <si>
    <t>2024.07</t>
  </si>
  <si>
    <t>2025.06</t>
  </si>
  <si>
    <t>Inešta</t>
  </si>
  <si>
    <t>Vertė</t>
  </si>
  <si>
    <t>Pelnas</t>
  </si>
  <si>
    <t>Mokestis</t>
  </si>
  <si>
    <t>Įnešta</t>
  </si>
  <si>
    <t>2025.07</t>
  </si>
  <si>
    <t>Nextury Technology Fund</t>
  </si>
  <si>
    <t>Investuota</t>
  </si>
  <si>
    <t>Nextury Asia Technology Fund</t>
  </si>
  <si>
    <t>NTF</t>
  </si>
  <si>
    <t>Suma viso</t>
  </si>
  <si>
    <t>% Inves.</t>
  </si>
  <si>
    <t>Pelnas viso</t>
  </si>
  <si>
    <t>NAF</t>
  </si>
  <si>
    <t>2025.08</t>
  </si>
  <si>
    <t>2025.09</t>
  </si>
  <si>
    <t>2025.10</t>
  </si>
  <si>
    <t>2025.11</t>
  </si>
  <si>
    <t>2025.12</t>
  </si>
  <si>
    <t>Data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</si>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</sst>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yyyy\.mm\.dd;@"/>
    <numFmt numFmtId="167" formatCode="yyyy/mm/dd;@"/>
  </numFmts>
  <fonts count="5" x14ac:knownFonts="1">
    <font>
      <sz val="11"/>
      <color theme="1"/>
      <name val="Calibri"/>
      <family val="2"/>
      <charset val="186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0" fontId="0" fillId="0" borderId="1" xfId="0" applyNumberFormat="1" applyBorder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/>
    <xf numFmtId="1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34"/>
  <sheetViews>
    <sheetView tabSelected="1" workbookViewId="0">
      <pane ySplit="1" topLeftCell="A2" activePane="bottomLeft" state="frozen"/>
      <selection pane="bottomLeft" activeCell="I35" sqref="I35"/>
    </sheetView>
  </sheetViews>
  <sheetFormatPr defaultRowHeight="15" x14ac:dyDescent="0.25"/>
  <cols>
    <col min="1" max="1" width="15.7109375" customWidth="1"/>
    <col min="2" max="9" width="10.7109375" customWidth="1"/>
  </cols>
  <sheetData>
    <row r="1" spans="1:45" x14ac:dyDescent="0.25">
      <c r="A1" s="3"/>
      <c r="B1" s="3" t="s">
        <v>26</v>
      </c>
      <c r="C1" s="3" t="s">
        <v>33</v>
      </c>
      <c r="D1" s="3" t="s">
        <v>35</v>
      </c>
      <c r="E1" s="3" t="s">
        <v>39</v>
      </c>
      <c r="F1" s="3" t="s">
        <v>27</v>
      </c>
      <c r="G1" s="3" t="s">
        <v>28</v>
      </c>
      <c r="H1" s="3" t="s">
        <v>13</v>
      </c>
      <c r="I1" s="3" t="s">
        <v>29</v>
      </c>
      <c r="M1" s="6" t="s">
        <v>46</v>
      </c>
      <c r="AS1" s="6" t="s">
        <v>46</v>
      </c>
    </row>
    <row r="2" spans="1:45" x14ac:dyDescent="0.25">
      <c r="A2" s="5" t="str">
        <f>'2024.01'!A1</f>
        <v>2024.01</v>
      </c>
      <c r="B2" s="5">
        <f>'2024.01'!H4</f>
        <v>100</v>
      </c>
      <c r="C2" s="5">
        <f>'2024.01'!I4</f>
        <v>98</v>
      </c>
      <c r="D2" s="5">
        <f>'Nextury Technology'!I2</f>
        <v>96.26</v>
      </c>
      <c r="E2" s="5">
        <v>0</v>
      </c>
      <c r="F2" s="5">
        <f>SUM(D2:E2)</f>
        <v>96.26</v>
      </c>
      <c r="G2" s="5">
        <f>F2-B2</f>
        <v>-3.74</v>
      </c>
      <c r="H2" s="19">
        <f>G2/B2</f>
        <v>-3.7400000000000003E-2</v>
      </c>
      <c r="I2" s="5">
        <f>'2024.01'!J4</f>
        <v>2</v>
      </c>
      <c r="M2" s="19">
        <f ca="1">XIRR(_xlfn.VSTACK('Nextury Technology'!AB2:AB200,'Nextury Asia'!AB2:AB200),_xlfn.VSTACK('Nextury Technology'!AA2:AA200,'Nextury Asia'!AA2:AA200))</f>
        <v>0.18609999999999999</v>
      </c>
      <c r="AS2" s="19">
        <f ca="1">XIRR(_xlfn.VSTACK('Nextury Technology'!AB2:AB200,'Nextury Asia'!AB2:AB200),_xlfn.VSTACK('Nextury Technology'!AA2:AA200,'Nextury Asia'!AA2:AA200))</f>
        <v>0.18609999999999999</v>
      </c>
    </row>
    <row r="3" spans="1:45" x14ac:dyDescent="0.25">
      <c r="A3" s="5" t="str">
        <f>'2024.02'!A1</f>
        <v>2024.02</v>
      </c>
      <c r="B3" s="5">
        <f>B2+'2024.02'!H4</f>
        <v>100</v>
      </c>
      <c r="C3" s="5">
        <f>C2+'2024.02'!I4</f>
        <v>98</v>
      </c>
      <c r="D3" s="5">
        <f>'Nextury Technology'!I3</f>
        <v>105.49</v>
      </c>
      <c r="E3" s="5">
        <v>0</v>
      </c>
      <c r="F3" s="5">
        <f t="shared" ref="F3:F20" si="0">SUM(D3:E3)</f>
        <v>105.49</v>
      </c>
      <c r="G3" s="5">
        <f t="shared" ref="G3:G20" si="1">F3-B3</f>
        <v>5.49</v>
      </c>
      <c r="H3" s="19">
        <f t="shared" ref="H3:H25" si="2">G3/B3</f>
        <v>5.4899999999999997E-2</v>
      </c>
      <c r="I3" s="5">
        <f>'2024.02'!J4</f>
        <v>0</v>
      </c>
    </row>
    <row r="4" spans="1:45" x14ac:dyDescent="0.25">
      <c r="A4" s="5" t="str">
        <f>'2024.03'!A1</f>
        <v>2024.03</v>
      </c>
      <c r="B4" s="5">
        <f>B3+'2024.03'!H4</f>
        <v>100</v>
      </c>
      <c r="C4" s="5">
        <f>C3+'2024.03'!I4</f>
        <v>98</v>
      </c>
      <c r="D4" s="5">
        <f>'Nextury Technology'!I4</f>
        <v>106.16</v>
      </c>
      <c r="E4" s="5">
        <v>0</v>
      </c>
      <c r="F4" s="5">
        <f t="shared" si="0"/>
        <v>106.16</v>
      </c>
      <c r="G4" s="5">
        <f t="shared" si="1"/>
        <v>6.16</v>
      </c>
      <c r="H4" s="19">
        <f t="shared" si="2"/>
        <v>6.1600000000000002E-2</v>
      </c>
      <c r="I4" s="5">
        <f>'2024.03'!J4</f>
        <v>0</v>
      </c>
    </row>
    <row r="5" spans="1:45" x14ac:dyDescent="0.25">
      <c r="A5" s="5" t="str">
        <f>'2024.04'!A1</f>
        <v>2024.04</v>
      </c>
      <c r="B5" s="5">
        <f>B4+'2024.04'!H4</f>
        <v>100</v>
      </c>
      <c r="C5" s="5">
        <f>C4+'2024.04'!I4</f>
        <v>98</v>
      </c>
      <c r="D5" s="5">
        <f>'Nextury Technology'!I5</f>
        <v>104.32</v>
      </c>
      <c r="E5" s="5">
        <v>0</v>
      </c>
      <c r="F5" s="5">
        <f t="shared" si="0"/>
        <v>104.32</v>
      </c>
      <c r="G5" s="5">
        <f t="shared" si="1"/>
        <v>4.32</v>
      </c>
      <c r="H5" s="19">
        <f t="shared" si="2"/>
        <v>4.3200000000000002E-2</v>
      </c>
      <c r="I5" s="5">
        <f>'2024.04'!J4</f>
        <v>0</v>
      </c>
    </row>
    <row r="6" spans="1:45" x14ac:dyDescent="0.25">
      <c r="A6" s="5" t="str">
        <f>'2024.05'!A1</f>
        <v>2024.05</v>
      </c>
      <c r="B6" s="5">
        <f>B5+'2024.05'!H4</f>
        <v>150</v>
      </c>
      <c r="C6" s="5">
        <f>C5+'2024.05'!I4</f>
        <v>147</v>
      </c>
      <c r="D6" s="5">
        <f>'Nextury Technology'!I6</f>
        <v>110.88</v>
      </c>
      <c r="E6" s="5">
        <f>'Nextury Asia'!I2</f>
        <v>47.58</v>
      </c>
      <c r="F6" s="5">
        <f t="shared" si="0"/>
        <v>158.46</v>
      </c>
      <c r="G6" s="5">
        <f t="shared" si="1"/>
        <v>8.4600000000000009</v>
      </c>
      <c r="H6" s="19">
        <f t="shared" si="2"/>
        <v>5.6399999999999999E-2</v>
      </c>
      <c r="I6" s="5">
        <f>'2024.05'!J4</f>
        <v>1</v>
      </c>
    </row>
    <row r="7" spans="1:45" x14ac:dyDescent="0.25">
      <c r="A7" s="5" t="str">
        <f>'2024.06'!A1</f>
        <v>2024.06</v>
      </c>
      <c r="B7" s="5">
        <f>B6+'2024.06'!H4</f>
        <v>150</v>
      </c>
      <c r="C7" s="5">
        <f>C6+'2024.06'!I4</f>
        <v>147</v>
      </c>
      <c r="D7" s="5">
        <f>'Nextury Technology'!I7</f>
        <v>119.85</v>
      </c>
      <c r="E7" s="5">
        <f>'Nextury Asia'!I3</f>
        <v>49.86</v>
      </c>
      <c r="F7" s="5">
        <f t="shared" si="0"/>
        <v>169.71</v>
      </c>
      <c r="G7" s="5">
        <f t="shared" si="1"/>
        <v>19.71</v>
      </c>
      <c r="H7" s="19">
        <f t="shared" si="2"/>
        <v>0.13139999999999999</v>
      </c>
      <c r="I7" s="5">
        <f>'2024.06'!J4</f>
        <v>0</v>
      </c>
    </row>
    <row r="8" spans="1:45" x14ac:dyDescent="0.25">
      <c r="A8" s="5" t="str">
        <f>'2024.07'!A1</f>
        <v>2024.07</v>
      </c>
      <c r="B8" s="5">
        <f>B7+'2024.07'!H4</f>
        <v>200</v>
      </c>
      <c r="C8" s="5">
        <f>C7+'2024.07'!I4</f>
        <v>196.01</v>
      </c>
      <c r="D8" s="5">
        <f>'Nextury Technology'!I8</f>
        <v>166.15</v>
      </c>
      <c r="E8" s="5">
        <f>'Nextury Asia'!I4</f>
        <v>49.61</v>
      </c>
      <c r="F8" s="5">
        <f t="shared" si="0"/>
        <v>215.76</v>
      </c>
      <c r="G8" s="5">
        <f t="shared" si="1"/>
        <v>15.76</v>
      </c>
      <c r="H8" s="19">
        <f t="shared" si="2"/>
        <v>7.8799999999999995E-2</v>
      </c>
      <c r="I8" s="5">
        <f>'2024.07'!J4</f>
        <v>0.99</v>
      </c>
    </row>
    <row r="9" spans="1:45" x14ac:dyDescent="0.25">
      <c r="A9" s="5" t="str">
        <f>'2024.08'!A1</f>
        <v>2024.08</v>
      </c>
      <c r="B9" s="5">
        <f>B8+'2024.08'!H4</f>
        <v>200</v>
      </c>
      <c r="C9" s="5">
        <f>C8+'2024.08'!I4</f>
        <v>196.01</v>
      </c>
      <c r="D9" s="5">
        <f>'Nextury Technology'!I9</f>
        <v>161.97</v>
      </c>
      <c r="E9" s="5">
        <f>'Nextury Asia'!I5</f>
        <v>49.27</v>
      </c>
      <c r="F9" s="5">
        <f t="shared" si="0"/>
        <v>211.24</v>
      </c>
      <c r="G9" s="5">
        <f t="shared" si="1"/>
        <v>11.24</v>
      </c>
      <c r="H9" s="19">
        <f t="shared" si="2"/>
        <v>5.62E-2</v>
      </c>
      <c r="I9" s="5">
        <f>'2024.08'!J4</f>
        <v>0</v>
      </c>
    </row>
    <row r="10" spans="1:45" x14ac:dyDescent="0.25">
      <c r="A10" s="5" t="str">
        <f>'2024.09'!A1</f>
        <v>2024.09</v>
      </c>
      <c r="B10" s="5">
        <f>B9+'2024.09'!H4</f>
        <v>200</v>
      </c>
      <c r="C10" s="5">
        <f>C9+'2024.09'!I4</f>
        <v>196.01</v>
      </c>
      <c r="D10" s="5">
        <f>'Nextury Technology'!I10</f>
        <v>170.69</v>
      </c>
      <c r="E10" s="5">
        <f>'Nextury Asia'!I6</f>
        <v>52.37</v>
      </c>
      <c r="F10" s="5">
        <f t="shared" si="0"/>
        <v>223.06</v>
      </c>
      <c r="G10" s="5">
        <f t="shared" si="1"/>
        <v>23.06</v>
      </c>
      <c r="H10" s="19">
        <f t="shared" si="2"/>
        <v>0.1153</v>
      </c>
      <c r="I10" s="5">
        <f>'2024.09'!J4</f>
        <v>0</v>
      </c>
    </row>
    <row r="11" spans="1:45" x14ac:dyDescent="0.25">
      <c r="A11" s="5" t="str">
        <f>'2024.10'!A1</f>
        <v>2024.10</v>
      </c>
      <c r="B11" s="5">
        <f>B10+'2024.10'!H4</f>
        <v>200</v>
      </c>
      <c r="C11" s="5">
        <f>C10+'2024.10'!I4</f>
        <v>196.01</v>
      </c>
      <c r="D11" s="5">
        <f>'Nextury Technology'!I11</f>
        <v>183.26</v>
      </c>
      <c r="E11" s="5">
        <f>'Nextury Asia'!I7</f>
        <v>51.51</v>
      </c>
      <c r="F11" s="5">
        <f t="shared" si="0"/>
        <v>234.77</v>
      </c>
      <c r="G11" s="5">
        <f t="shared" si="1"/>
        <v>34.770000000000003</v>
      </c>
      <c r="H11" s="19">
        <f t="shared" si="2"/>
        <v>0.1739</v>
      </c>
      <c r="I11" s="5">
        <f>'2024.10'!J4</f>
        <v>0</v>
      </c>
    </row>
    <row r="12" spans="1:45" x14ac:dyDescent="0.25">
      <c r="A12" s="5" t="str">
        <f>'2024.11'!A1</f>
        <v>2024.11</v>
      </c>
      <c r="B12" s="5">
        <f>B11+'2024.11'!H4</f>
        <v>250</v>
      </c>
      <c r="C12" s="5">
        <f>C11+'2024.11'!I4</f>
        <v>245.01</v>
      </c>
      <c r="D12" s="5">
        <f>'Nextury Technology'!I12</f>
        <v>244.44</v>
      </c>
      <c r="E12" s="5">
        <f>'Nextury Asia'!I8</f>
        <v>49.3</v>
      </c>
      <c r="F12" s="5">
        <f t="shared" si="0"/>
        <v>293.74</v>
      </c>
      <c r="G12" s="5">
        <f t="shared" si="1"/>
        <v>43.74</v>
      </c>
      <c r="H12" s="19">
        <f t="shared" si="2"/>
        <v>0.17499999999999999</v>
      </c>
      <c r="I12" s="5">
        <f>'2024.11'!J4</f>
        <v>1</v>
      </c>
    </row>
    <row r="13" spans="1:45" x14ac:dyDescent="0.25">
      <c r="A13" s="5" t="str">
        <f>'2024.12'!A1</f>
        <v>2024.12</v>
      </c>
      <c r="B13" s="5">
        <f>B12+'2024.12'!H4</f>
        <v>300</v>
      </c>
      <c r="C13" s="5">
        <f>C12+'2024.12'!I4</f>
        <v>294.02</v>
      </c>
      <c r="D13" s="5">
        <f>'Nextury Technology'!I13</f>
        <v>302.66000000000003</v>
      </c>
      <c r="E13" s="5">
        <f>'Nextury Asia'!I9</f>
        <v>49.34</v>
      </c>
      <c r="F13" s="5">
        <f t="shared" si="0"/>
        <v>352</v>
      </c>
      <c r="G13" s="5">
        <f t="shared" si="1"/>
        <v>52</v>
      </c>
      <c r="H13" s="19">
        <f t="shared" si="2"/>
        <v>0.17330000000000001</v>
      </c>
      <c r="I13" s="5">
        <f>'2024.12'!J4</f>
        <v>0.99</v>
      </c>
    </row>
    <row r="14" spans="1:45" x14ac:dyDescent="0.25">
      <c r="A14" s="5" t="str">
        <f>'2025.01'!A1</f>
        <v>2025.01</v>
      </c>
      <c r="B14" s="5">
        <f>B13+'2025.01'!H4</f>
        <v>300</v>
      </c>
      <c r="C14" s="5">
        <f>C13+'2025.01'!I4</f>
        <v>294.02</v>
      </c>
      <c r="D14" s="5">
        <f>'Nextury Technology'!I14</f>
        <v>310.36</v>
      </c>
      <c r="E14" s="5">
        <f>'Nextury Asia'!I10</f>
        <v>51.8</v>
      </c>
      <c r="F14" s="5">
        <f t="shared" si="0"/>
        <v>362.16</v>
      </c>
      <c r="G14" s="5">
        <f t="shared" si="1"/>
        <v>62.16</v>
      </c>
      <c r="H14" s="19">
        <f t="shared" si="2"/>
        <v>0.2072</v>
      </c>
      <c r="I14" s="5">
        <f>'2025.01'!J4</f>
        <v>0</v>
      </c>
    </row>
    <row r="15" spans="1:45" x14ac:dyDescent="0.25">
      <c r="A15" s="5" t="str">
        <f>'2025.02'!A1</f>
        <v>2025.02</v>
      </c>
      <c r="B15" s="5">
        <f>B14+'2025.02'!H4</f>
        <v>300</v>
      </c>
      <c r="C15" s="5">
        <f>C14+'2025.02'!I4</f>
        <v>294.02</v>
      </c>
      <c r="D15" s="5">
        <f>'Nextury Technology'!I15</f>
        <v>283.39</v>
      </c>
      <c r="E15" s="5">
        <f>'Nextury Asia'!I11</f>
        <v>55.18</v>
      </c>
      <c r="F15" s="5">
        <f t="shared" si="0"/>
        <v>338.57</v>
      </c>
      <c r="G15" s="5">
        <f t="shared" si="1"/>
        <v>38.57</v>
      </c>
      <c r="H15" s="19">
        <f t="shared" si="2"/>
        <v>0.12859999999999999</v>
      </c>
      <c r="I15" s="5">
        <f>'2025.02'!J4</f>
        <v>0</v>
      </c>
    </row>
    <row r="16" spans="1:45" x14ac:dyDescent="0.25">
      <c r="A16" s="5" t="str">
        <f>'2025.03'!A1</f>
        <v>2025.03</v>
      </c>
      <c r="B16" s="5">
        <f>B15+'2025.03'!H4</f>
        <v>350</v>
      </c>
      <c r="C16" s="5">
        <f>C15+'2025.03'!I4</f>
        <v>343.01</v>
      </c>
      <c r="D16" s="5">
        <f>'Nextury Technology'!I16</f>
        <v>295.33999999999997</v>
      </c>
      <c r="E16" s="5">
        <f>'Nextury Asia'!I12</f>
        <v>54.29</v>
      </c>
      <c r="F16" s="5">
        <f t="shared" si="0"/>
        <v>349.63</v>
      </c>
      <c r="G16" s="5">
        <f t="shared" si="1"/>
        <v>-0.37</v>
      </c>
      <c r="H16" s="19">
        <f t="shared" si="2"/>
        <v>-1.1000000000000001E-3</v>
      </c>
      <c r="I16" s="5">
        <f>'2025.03'!J4</f>
        <v>1.01</v>
      </c>
    </row>
    <row r="17" spans="1:9" x14ac:dyDescent="0.25">
      <c r="A17" s="5" t="str">
        <f>'2025.04'!A1</f>
        <v>2025.04</v>
      </c>
      <c r="B17" s="5">
        <f>B16+'2025.04'!H4</f>
        <v>350</v>
      </c>
      <c r="C17" s="5">
        <f>C16+'2025.04'!I4</f>
        <v>343.01</v>
      </c>
      <c r="D17" s="5">
        <f>'Nextury Technology'!I17</f>
        <v>282.39</v>
      </c>
      <c r="E17" s="5">
        <f>'Nextury Asia'!I13</f>
        <v>50.38</v>
      </c>
      <c r="F17" s="5">
        <f t="shared" si="0"/>
        <v>332.77</v>
      </c>
      <c r="G17" s="5">
        <f t="shared" si="1"/>
        <v>-17.23</v>
      </c>
      <c r="H17" s="19">
        <f t="shared" si="2"/>
        <v>-4.9200000000000001E-2</v>
      </c>
      <c r="I17" s="5">
        <f>'2025.04'!J4</f>
        <v>0</v>
      </c>
    </row>
    <row r="18" spans="1:9" x14ac:dyDescent="0.25">
      <c r="A18" s="5" t="str">
        <f>'2025.05'!A1</f>
        <v>2025.05</v>
      </c>
      <c r="B18" s="5">
        <f>B17+'2025.05'!H4</f>
        <v>350</v>
      </c>
      <c r="C18" s="5">
        <f>C17+'2025.05'!I4</f>
        <v>343.01</v>
      </c>
      <c r="D18" s="5">
        <f>'Nextury Technology'!I18</f>
        <v>322.02</v>
      </c>
      <c r="E18" s="5">
        <f>'Nextury Asia'!I14</f>
        <v>51.78</v>
      </c>
      <c r="F18" s="5">
        <f t="shared" si="0"/>
        <v>373.8</v>
      </c>
      <c r="G18" s="5">
        <f t="shared" si="1"/>
        <v>23.8</v>
      </c>
      <c r="H18" s="19">
        <f t="shared" si="2"/>
        <v>6.8000000000000005E-2</v>
      </c>
      <c r="I18" s="5">
        <f>'2025.05'!J4</f>
        <v>0</v>
      </c>
    </row>
    <row r="19" spans="1:9" x14ac:dyDescent="0.25">
      <c r="A19" s="5" t="str">
        <f>'2025.06'!A1</f>
        <v>2025.06</v>
      </c>
      <c r="B19" s="5">
        <f>B18+'2025.06'!H4</f>
        <v>350</v>
      </c>
      <c r="C19" s="5">
        <f>C18+'2025.06'!I4</f>
        <v>343.01</v>
      </c>
      <c r="D19" s="5">
        <f>'Nextury Technology'!I19</f>
        <v>328.71</v>
      </c>
      <c r="E19" s="5">
        <f>'Nextury Asia'!I15</f>
        <v>52.51</v>
      </c>
      <c r="F19" s="5">
        <f t="shared" si="0"/>
        <v>381.22</v>
      </c>
      <c r="G19" s="5">
        <f t="shared" si="1"/>
        <v>31.22</v>
      </c>
      <c r="H19" s="19">
        <f t="shared" si="2"/>
        <v>8.9200000000000002E-2</v>
      </c>
      <c r="I19" s="5">
        <f>'2025.06'!J4</f>
        <v>0</v>
      </c>
    </row>
    <row r="20" spans="1:9" x14ac:dyDescent="0.25">
      <c r="A20" s="5" t="str">
        <f>'2025.07'!A1</f>
        <v>2025.07</v>
      </c>
      <c r="B20" s="5">
        <f>B19+'2025.07'!H4</f>
        <v>350</v>
      </c>
      <c r="C20" s="5">
        <f>C19+'2025.07'!I4</f>
        <v>343.01</v>
      </c>
      <c r="D20" s="5">
        <f>'Nextury Technology'!I20</f>
        <v>351.46</v>
      </c>
      <c r="E20" s="5">
        <f>'Nextury Asia'!I16</f>
        <v>55.97</v>
      </c>
      <c r="F20" s="5">
        <f t="shared" si="0"/>
        <v>407.43</v>
      </c>
      <c r="G20" s="5">
        <f t="shared" si="1"/>
        <v>57.43</v>
      </c>
      <c r="H20" s="19">
        <f t="shared" si="2"/>
        <v>0.1641</v>
      </c>
      <c r="I20" s="5">
        <f>'2025.07'!J4</f>
        <v>0</v>
      </c>
    </row>
    <row r="21" spans="1:9" x14ac:dyDescent="0.25">
      <c r="A21" s="5" t="str">
        <f>'2025.08'!A1</f>
        <v>2025.08</v>
      </c>
      <c r="B21" s="5">
        <f>B20+'2025.08'!H4</f>
        <v>350</v>
      </c>
      <c r="C21" s="5">
        <f>C20+'2025.08'!I4</f>
        <v>343.01</v>
      </c>
      <c r="D21" s="5">
        <f>'Nextury Technology'!I21</f>
        <v>354.55</v>
      </c>
      <c r="E21" s="5">
        <f>'Nextury Asia'!I17</f>
        <v>57.63</v>
      </c>
      <c r="F21" s="5">
        <f t="shared" ref="F21" si="3">SUM(D21:E21)</f>
        <v>412.18</v>
      </c>
      <c r="G21" s="5">
        <f t="shared" ref="G21" si="4">F21-B21</f>
        <v>62.18</v>
      </c>
      <c r="H21" s="19">
        <f t="shared" si="2"/>
        <v>0.1777</v>
      </c>
      <c r="I21" s="5">
        <f>'2025.08'!J4</f>
        <v>0</v>
      </c>
    </row>
    <row r="22" spans="1:9" x14ac:dyDescent="0.25">
      <c r="A22" s="5" t="str">
        <f>'2025.09'!A1</f>
        <v>2025.09</v>
      </c>
      <c r="B22" s="5">
        <f>B21+'2025.09'!H4</f>
        <v>350</v>
      </c>
      <c r="C22" s="5">
        <f>C21+'2025.09'!I4</f>
        <v>343.01</v>
      </c>
      <c r="D22" s="5">
        <f>'Nextury Technology'!I22</f>
        <v>382.14</v>
      </c>
      <c r="E22" s="5">
        <f>'Nextury Asia'!I18</f>
        <v>66.180000000000007</v>
      </c>
      <c r="F22" s="5">
        <f t="shared" ref="F22" si="5">SUM(D22:E22)</f>
        <v>448.32</v>
      </c>
      <c r="G22" s="5">
        <f t="shared" ref="G22" si="6">F22-B22</f>
        <v>98.32</v>
      </c>
      <c r="H22" s="19">
        <f t="shared" si="2"/>
        <v>0.28089999999999998</v>
      </c>
      <c r="I22" s="5">
        <f>'2025.09'!J4</f>
        <v>0</v>
      </c>
    </row>
    <row r="23" spans="1:9" x14ac:dyDescent="0.25">
      <c r="A23" s="5" t="str">
        <f>'2025.10'!A1</f>
        <v>2025.10</v>
      </c>
      <c r="B23" s="5">
        <f>B22+'2025.10'!H4</f>
        <v>350</v>
      </c>
      <c r="C23" s="5">
        <f>C22+'2025.10'!I4</f>
        <v>343.01</v>
      </c>
      <c r="D23" s="5">
        <f>'Nextury Technology'!I23</f>
        <v>400.49</v>
      </c>
      <c r="E23" s="5">
        <f>'Nextury Asia'!I19</f>
        <v>67.319999999999993</v>
      </c>
      <c r="F23" s="5">
        <f t="shared" ref="F23" si="7">SUM(D23:E23)</f>
        <v>467.81</v>
      </c>
      <c r="G23" s="5">
        <f t="shared" ref="G23" si="8">F23-B23</f>
        <v>117.81</v>
      </c>
      <c r="H23" s="19">
        <f t="shared" si="2"/>
        <v>0.33660000000000001</v>
      </c>
      <c r="I23" s="5">
        <f>'2025.10'!J4</f>
        <v>0</v>
      </c>
    </row>
    <row r="24" spans="1:9" x14ac:dyDescent="0.25">
      <c r="A24" s="5" t="str">
        <f>'2025.11'!A1</f>
        <v>2025.11</v>
      </c>
      <c r="B24" s="5">
        <f>B23+'2025.11'!H4</f>
        <v>350</v>
      </c>
      <c r="C24" s="5">
        <f>C23+'2025.11'!I4</f>
        <v>343.01</v>
      </c>
      <c r="D24" s="5">
        <f>'Nextury Technology'!I24</f>
        <v>393.27</v>
      </c>
      <c r="E24" s="5">
        <f>'Nextury Asia'!I20</f>
        <v>64.84</v>
      </c>
      <c r="F24" s="5">
        <f t="shared" ref="F24" si="9">SUM(D24:E24)</f>
        <v>458.11</v>
      </c>
      <c r="G24" s="5">
        <f t="shared" ref="G24" si="10">F24-B24</f>
        <v>108.11</v>
      </c>
      <c r="H24" s="19">
        <f t="shared" si="2"/>
        <v>0.30890000000000001</v>
      </c>
      <c r="I24" s="5">
        <f>'2025.11'!J4</f>
        <v>0</v>
      </c>
    </row>
    <row r="25" spans="1:9" x14ac:dyDescent="0.25">
      <c r="A25" s="5" t="str">
        <f>'2025.12'!A1</f>
        <v>2025.12</v>
      </c>
      <c r="B25" s="5">
        <f>B24+'2025.12'!H4</f>
        <v>350</v>
      </c>
      <c r="C25" s="5">
        <f>C24+'2025.12'!I4</f>
        <v>343.01</v>
      </c>
      <c r="D25" s="5">
        <f>'Nextury Technology'!I25</f>
        <v>389.55</v>
      </c>
      <c r="E25" s="5">
        <f>'Nextury Asia'!I21</f>
        <v>65.59</v>
      </c>
      <c r="F25" s="5">
        <f t="shared" ref="F25" si="11">SUM(D25:E25)</f>
        <v>455.14</v>
      </c>
      <c r="G25" s="5">
        <f t="shared" ref="G25" si="12">F25-B25</f>
        <v>105.14</v>
      </c>
      <c r="H25" s="19">
        <f t="shared" si="2"/>
        <v>0.3004</v>
      </c>
      <c r="I25" s="5">
        <f>'2025.12'!J4</f>
        <v>0</v>
      </c>
    </row>
    <row r="26" spans="1:9" x14ac:dyDescent="0.25">
      <c r="A26" s="5">
        <f>'2026.01'!A1</f>
        <v>2026.01</v>
      </c>
      <c r="B26" s="5">
        <f>B25+'2026.01'!H4</f>
        <v>350</v>
      </c>
      <c r="C26" s="5">
        <f>C25+'2026.01'!I4</f>
        <v>343.01</v>
      </c>
      <c r="D26" s="5">
        <f>'Nextury Technology'!I26</f>
        <v>383.86</v>
      </c>
      <c r="E26" s="5">
        <f>'Nextury Asia'!I22</f>
        <v>70.19</v>
      </c>
      <c r="F26" s="5">
        <f t="shared" ref="F26" si="13">SUM(D26:E26)</f>
        <v>454.05</v>
      </c>
      <c r="G26" s="5">
        <f t="shared" ref="G26" si="14">F26-B26</f>
        <v>104.05</v>
      </c>
      <c r="H26" s="19">
        <f t="shared" ref="H26" si="15">G26/B26</f>
        <v>0.29730000000000001</v>
      </c>
      <c r="I26" s="5">
        <f>'2026.01'!J4</f>
        <v>0</v>
      </c>
    </row>
    <row r="27" spans="1:9" x14ac:dyDescent="0.25">
      <c r="A27" s="5">
        <f>'2026.02'!A1</f>
        <v>2026.02</v>
      </c>
      <c r="B27" s="5">
        <f>B26+'2026.02'!H4</f>
        <v>350</v>
      </c>
      <c r="C27" s="5">
        <f>C26+'2026.02'!I4</f>
        <v>343.01</v>
      </c>
      <c r="D27" s="5">
        <f>'Nextury Technology'!I27</f>
        <v>362.98</v>
      </c>
      <c r="E27" s="5">
        <f>'Nextury Asia'!I23</f>
        <v>72.33</v>
      </c>
      <c r="F27" s="5">
        <f t="shared" ref="F27" si="16">SUM(D27:E27)</f>
        <v>435.31</v>
      </c>
      <c r="G27" s="5">
        <f t="shared" ref="G27" si="17">F27-B27</f>
        <v>85.31</v>
      </c>
      <c r="H27" s="19">
        <f t="shared" ref="H27" si="18">G27/B27</f>
        <v>0.2437</v>
      </c>
      <c r="I27" s="5">
        <f>'2026.02'!J4</f>
        <v>0</v>
      </c>
    </row>
    <row r="28" spans="1:9" x14ac:dyDescent="0.25">
      <c r="A28" s="5">
        <f>'2026.03'!A1</f>
        <v>2026.03</v>
      </c>
      <c r="B28" s="5">
        <f>B27+'2026.03'!H4</f>
        <v>350</v>
      </c>
      <c r="C28" s="5">
        <f>C27+'2026.03'!I4</f>
        <v>343.01</v>
      </c>
      <c r="D28" s="5">
        <f>'Nextury Technology'!I28</f>
        <v>353.3</v>
      </c>
      <c r="E28" s="5">
        <f>'Nextury Asia'!I24</f>
        <v>66.88</v>
      </c>
      <c r="F28" s="5">
        <f t="shared" ref="F28" si="19">SUM(D28:E28)</f>
        <v>420.18</v>
      </c>
      <c r="G28" s="5">
        <f t="shared" ref="G28" si="20">F28-B28</f>
        <v>70.180000000000007</v>
      </c>
      <c r="H28" s="19">
        <f t="shared" ref="H28" si="21">G28/B28</f>
        <v>0.20050000000000001</v>
      </c>
      <c r="I28" s="5">
        <f>'2026.03'!J4</f>
        <v>0</v>
      </c>
    </row>
    <row r="29" spans="1:9" x14ac:dyDescent="0.25">
      <c r="A29" s="5">
        <f>'2026.04'!$A$1</f>
        <v>2026.04</v>
      </c>
      <c r="B29" s="5">
        <f>B28+'2026.04'!$H$4</f>
        <v>350</v>
      </c>
      <c r="C29" s="5">
        <f>C28+'2026.04'!$I$4</f>
        <v>343.01</v>
      </c>
      <c r="D29" s="5">
        <f>'Nextury Technology'!I29</f>
        <v>404.2</v>
      </c>
      <c r="E29" s="5">
        <f>'Nextury Asia'!I25</f>
        <v>74.58</v>
      </c>
      <c r="F29" s="5">
        <f t="shared" ref="F29" si="22">SUM(D29:E29)</f>
        <v>478.78</v>
      </c>
      <c r="G29" s="5">
        <f t="shared" ref="G29" si="23">F29-B29</f>
        <v>128.78</v>
      </c>
      <c r="H29" s="19">
        <f t="shared" ref="H29" si="24">G29/B29</f>
        <v>0.3679</v>
      </c>
      <c r="I29" s="5">
        <f>'2026.04'!$J$4</f>
        <v>0</v>
      </c>
    </row>
    <row r="30" spans="1:9" x14ac:dyDescent="0.25">
      <c r="A30" s="5">
        <f>'2026.05'!$A$1</f>
        <v>2026.05</v>
      </c>
      <c r="B30" s="5">
        <f>B29+'2026.05'!$H$4</f>
        <v>350</v>
      </c>
      <c r="C30" s="5">
        <f>C29+'2026.05'!$I$4</f>
        <v>343.01</v>
      </c>
      <c r="D30" s="5">
        <f>'Nextury Technology'!I30</f>
        <v>429.38</v>
      </c>
      <c r="E30" s="5">
        <f>'Nextury Asia'!I26</f>
        <v>83.58</v>
      </c>
      <c r="F30" s="5">
        <f t="shared" ref="F30" si="25">SUM(D30:E30)</f>
        <v>512.96</v>
      </c>
      <c r="G30" s="5">
        <f t="shared" ref="G30" si="26">F30-B30</f>
        <v>162.96</v>
      </c>
      <c r="H30" s="19">
        <f t="shared" ref="H30" si="27">G30/B30</f>
        <v>0.46560000000000001</v>
      </c>
      <c r="I30" s="5">
        <f>'2026.05'!$J$4</f>
        <v>0</v>
      </c>
    </row>
    <row r="31" spans="1:9" x14ac:dyDescent="0.25">
      <c r="A31" s="5">
        <f>'2026.06'!$A$1</f>
        <v>2026.06</v>
      </c>
      <c r="B31" s="5">
        <f>B30+'2026.06'!$H$4</f>
        <v>350</v>
      </c>
      <c r="C31" s="5">
        <f>C30+'2026.06'!$I$4</f>
        <v>343.01</v>
      </c>
      <c r="D31" s="5">
        <f>'Nextury Technology'!I31</f>
        <v>394.42</v>
      </c>
      <c r="E31" s="5">
        <f>'Nextury Asia'!I27</f>
        <v>81.209999999999994</v>
      </c>
      <c r="F31" s="5">
        <f t="shared" ref="F31" si="28">SUM(D31:E31)</f>
        <v>475.63</v>
      </c>
      <c r="G31" s="5">
        <f t="shared" ref="G31" si="29">F31-B31</f>
        <v>125.63</v>
      </c>
      <c r="H31" s="19">
        <f t="shared" ref="H31" si="30">G31/B31</f>
        <v>0.3589</v>
      </c>
      <c r="I31" s="5">
        <f>'2026.06'!$J$4</f>
        <v>0</v>
      </c>
    </row>
    <row r="32" spans="1:9" x14ac:dyDescent="0.25">
      <c r="A32" s="5">
        <f>'2026.07'!$A$1</f>
        <v>2026.07</v>
      </c>
      <c r="B32" s="5">
        <f>B31+'2026.07'!$H$4</f>
        <v>350</v>
      </c>
      <c r="C32" s="5">
        <f>C31+'2026.07'!$I$4</f>
        <v>343.01</v>
      </c>
      <c r="D32" s="5">
        <f>'Nextury Technology'!I32</f>
        <v>392.99</v>
      </c>
      <c r="E32" s="5">
        <f>'Nextury Asia'!I28</f>
        <v>78.63</v>
      </c>
      <c r="F32" s="5">
        <f t="shared" ref="F32" si="31">SUM(D32:E32)</f>
        <v>471.62</v>
      </c>
      <c r="G32" s="5">
        <f t="shared" ref="G32" si="32">F32-B32</f>
        <v>121.62</v>
      </c>
      <c r="H32" s="19">
        <f t="shared" ref="H32" si="33">G32/B32</f>
        <v>0.34749999999999998</v>
      </c>
      <c r="I32" s="5">
        <f>'2026.07'!$J$4</f>
        <v>0</v>
      </c>
    </row>
    <row r="33" spans="1:9" x14ac:dyDescent="0.25">
      <c r="A33" s="5">
        <f>'2026.08'!$A$1</f>
        <v>2026.08</v>
      </c>
      <c r="B33" s="5">
        <f>B32+'2026.08'!$H$4</f>
        <v>350</v>
      </c>
      <c r="C33" s="5">
        <f>C32+'2026.08'!$I$4</f>
        <v>343.01</v>
      </c>
      <c r="D33" s="5">
        <f>'Nextury Technology'!I33</f>
        <v>408.25</v>
      </c>
      <c r="E33" s="5">
        <f>'Nextury Asia'!I29</f>
        <v>79.05</v>
      </c>
      <c r="F33" s="5">
        <f t="shared" ref="F33" si="34">SUM(D33:E33)</f>
        <v>487.3</v>
      </c>
      <c r="G33" s="5">
        <f t="shared" ref="G33" si="35">F33-B33</f>
        <v>137.30000000000001</v>
      </c>
      <c r="H33" s="19">
        <f t="shared" ref="H33" si="36">G33/B33</f>
        <v>0.39229999999999998</v>
      </c>
      <c r="I33" s="5">
        <f>'2026.08'!$J$4</f>
        <v>0</v>
      </c>
    </row>
    <row r="34" spans="1:9" x14ac:dyDescent="0.25">
      <c r="A34" s="5">
        <f>'2026.09'!$A$1</f>
        <v>2026.09</v>
      </c>
      <c r="B34" s="5">
        <f>B33+'2026.09'!$H$4</f>
        <v>350</v>
      </c>
      <c r="C34" s="5">
        <f>C33+'2026.09'!$I$4</f>
        <v>343.01</v>
      </c>
      <c r="D34" s="5">
        <f>'Nextury Technology'!I34</f>
        <v>427.83</v>
      </c>
      <c r="E34" s="5">
        <f>'Nextury Asia'!I30</f>
        <v>78.62</v>
      </c>
      <c r="F34" s="5">
        <f t="shared" ref="F34" si="37">SUM(D34:E34)</f>
        <v>506.45</v>
      </c>
      <c r="G34" s="5">
        <f t="shared" ref="G34" si="38">F34-B34</f>
        <v>156.44999999999999</v>
      </c>
      <c r="H34" s="19">
        <f t="shared" ref="H34" si="39">G34/B34</f>
        <v>0.44700000000000001</v>
      </c>
      <c r="I34" s="5">
        <f>'2026.09'!$J$4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5.7109375" style="1" customWidth="1"/>
    <col min="2" max="13" width="10.7109375" customWidth="1"/>
    <col min="26" max="26" width="10.7109375" customWidth="1"/>
    <col min="27" max="27" width="10.7109375" style="20" customWidth="1"/>
    <col min="28" max="28" width="10.7109375" customWidth="1"/>
  </cols>
  <sheetData>
    <row r="1" spans="1:28" x14ac:dyDescent="0.25">
      <c r="A1" s="3" t="s">
        <v>35</v>
      </c>
      <c r="B1" s="3" t="s">
        <v>4</v>
      </c>
      <c r="C1" s="3" t="s">
        <v>36</v>
      </c>
      <c r="D1" s="3" t="s">
        <v>33</v>
      </c>
      <c r="E1" s="3" t="s">
        <v>36</v>
      </c>
      <c r="F1" s="3" t="s">
        <v>1</v>
      </c>
      <c r="G1" s="3" t="s">
        <v>11</v>
      </c>
      <c r="H1" s="3" t="s">
        <v>10</v>
      </c>
      <c r="I1" s="3" t="s">
        <v>12</v>
      </c>
      <c r="J1" s="3" t="s">
        <v>28</v>
      </c>
      <c r="K1" s="3" t="s">
        <v>13</v>
      </c>
      <c r="L1" s="3" t="s">
        <v>38</v>
      </c>
      <c r="M1" s="3" t="s">
        <v>37</v>
      </c>
      <c r="Z1" s="21" t="s">
        <v>46</v>
      </c>
      <c r="AA1" s="22" t="s">
        <v>45</v>
      </c>
      <c r="AB1" s="3" t="s">
        <v>30</v>
      </c>
    </row>
    <row r="2" spans="1:28" x14ac:dyDescent="0.25">
      <c r="A2" s="6" t="str">
        <f>'2024.01'!A1</f>
        <v>2024.01</v>
      </c>
      <c r="B2" s="5">
        <f>'2024.01'!B9</f>
        <v>100</v>
      </c>
      <c r="C2" s="5">
        <f>B2</f>
        <v>100</v>
      </c>
      <c r="D2" s="5">
        <f>'2024.01'!C9</f>
        <v>98</v>
      </c>
      <c r="E2" s="5">
        <f>D2</f>
        <v>98</v>
      </c>
      <c r="F2" s="7">
        <f>'2024.01'!F9</f>
        <v>0.39510000000000001</v>
      </c>
      <c r="G2" s="7">
        <f>F2</f>
        <v>0.39510000000000001</v>
      </c>
      <c r="H2" s="7">
        <v>243.64410000000001</v>
      </c>
      <c r="I2" s="5">
        <f t="shared" ref="I2:I9" si="0">G2*H2</f>
        <v>96.26</v>
      </c>
      <c r="J2" s="5">
        <f t="shared" ref="J2:J9" si="1">I2-E2</f>
        <v>-1.74</v>
      </c>
      <c r="K2" s="19">
        <f>J2/E2</f>
        <v>-1.78E-2</v>
      </c>
      <c r="L2" s="5">
        <f>I2-C2</f>
        <v>-3.74</v>
      </c>
      <c r="M2" s="19">
        <f>L2/C2</f>
        <v>-3.7400000000000003E-2</v>
      </c>
      <c r="Z2" s="25">
        <f ca="1">XIRR(AB2:AB200,AA2:AA200)</f>
        <v>0.18099999999999999</v>
      </c>
      <c r="AA2" s="23">
        <f>'2024.01'!$A$4</f>
        <v>45317</v>
      </c>
      <c r="AB2" s="5">
        <f>'2024.01'!$B$4*-1</f>
        <v>-100</v>
      </c>
    </row>
    <row r="3" spans="1:28" x14ac:dyDescent="0.25">
      <c r="A3" s="6" t="str">
        <f>'2024.02'!A1</f>
        <v>2024.02</v>
      </c>
      <c r="B3" s="5">
        <f>'2024.02'!B9</f>
        <v>0</v>
      </c>
      <c r="C3" s="5">
        <f t="shared" ref="C3:C9" si="2">C2+B3</f>
        <v>100</v>
      </c>
      <c r="D3" s="5">
        <f>'2024.02'!C9</f>
        <v>0</v>
      </c>
      <c r="E3" s="5">
        <f t="shared" ref="E3:E9" si="3">E2+D3</f>
        <v>98</v>
      </c>
      <c r="F3" s="7">
        <f>'2024.02'!F9</f>
        <v>0</v>
      </c>
      <c r="G3" s="7">
        <f t="shared" ref="G3:G4" si="4">G2+F3</f>
        <v>0.39510000000000001</v>
      </c>
      <c r="H3" s="7">
        <v>266.99639999999999</v>
      </c>
      <c r="I3" s="5">
        <f t="shared" si="0"/>
        <v>105.49</v>
      </c>
      <c r="J3" s="5">
        <f t="shared" si="1"/>
        <v>7.49</v>
      </c>
      <c r="K3" s="19">
        <f t="shared" ref="K3:K25" si="5">J3/E3</f>
        <v>7.6399999999999996E-2</v>
      </c>
      <c r="L3" s="5">
        <f t="shared" ref="L3:L4" si="6">I3-C3</f>
        <v>5.49</v>
      </c>
      <c r="M3" s="19">
        <f t="shared" ref="M3:M25" si="7">L3/C3</f>
        <v>5.4899999999999997E-2</v>
      </c>
      <c r="Z3" s="1"/>
      <c r="AA3" s="23">
        <f>'2024.07'!$A$4</f>
        <v>45502</v>
      </c>
      <c r="AB3" s="5">
        <f>'2024.07'!$B$4*-1</f>
        <v>-50</v>
      </c>
    </row>
    <row r="4" spans="1:28" x14ac:dyDescent="0.25">
      <c r="A4" s="6" t="str">
        <f>'2024.03'!A1</f>
        <v>2024.03</v>
      </c>
      <c r="B4" s="5">
        <f>'2024.03'!B9</f>
        <v>0</v>
      </c>
      <c r="C4" s="5">
        <f t="shared" si="2"/>
        <v>100</v>
      </c>
      <c r="D4" s="5">
        <f>'2024.03'!C9</f>
        <v>0</v>
      </c>
      <c r="E4" s="5">
        <f t="shared" si="3"/>
        <v>98</v>
      </c>
      <c r="F4" s="7">
        <f>'2024.03'!F9</f>
        <v>0</v>
      </c>
      <c r="G4" s="7">
        <f t="shared" si="4"/>
        <v>0.39510000000000001</v>
      </c>
      <c r="H4" s="7">
        <v>268.69619999999998</v>
      </c>
      <c r="I4" s="5">
        <f t="shared" si="0"/>
        <v>106.16</v>
      </c>
      <c r="J4" s="5">
        <f t="shared" si="1"/>
        <v>8.16</v>
      </c>
      <c r="K4" s="19">
        <f t="shared" si="5"/>
        <v>8.3299999999999999E-2</v>
      </c>
      <c r="L4" s="5">
        <f t="shared" si="6"/>
        <v>6.16</v>
      </c>
      <c r="M4" s="19">
        <f t="shared" si="7"/>
        <v>6.1600000000000002E-2</v>
      </c>
      <c r="Z4" s="1"/>
      <c r="AA4" s="23">
        <f>'2024.11'!$A$4</f>
        <v>45618</v>
      </c>
      <c r="AB4" s="5">
        <f>'2024.11'!$B$4*-1</f>
        <v>-50</v>
      </c>
    </row>
    <row r="5" spans="1:28" x14ac:dyDescent="0.25">
      <c r="A5" s="6" t="str">
        <f>'2024.04'!A1</f>
        <v>2024.04</v>
      </c>
      <c r="B5" s="5">
        <f>'2024.04'!B9</f>
        <v>0</v>
      </c>
      <c r="C5" s="5">
        <f t="shared" si="2"/>
        <v>100</v>
      </c>
      <c r="D5" s="5">
        <f>'2024.04'!C9</f>
        <v>0</v>
      </c>
      <c r="E5" s="5">
        <f t="shared" si="3"/>
        <v>98</v>
      </c>
      <c r="F5" s="7">
        <f>'2024.04'!F9</f>
        <v>0</v>
      </c>
      <c r="G5" s="7">
        <f t="shared" ref="G5" si="8">G4+F5</f>
        <v>0.39510000000000001</v>
      </c>
      <c r="H5" s="7">
        <v>264.04259999999999</v>
      </c>
      <c r="I5" s="5">
        <f t="shared" si="0"/>
        <v>104.32</v>
      </c>
      <c r="J5" s="5">
        <f t="shared" si="1"/>
        <v>6.32</v>
      </c>
      <c r="K5" s="19">
        <f t="shared" si="5"/>
        <v>6.4500000000000002E-2</v>
      </c>
      <c r="L5" s="5">
        <f t="shared" ref="L5" si="9">I5-C5</f>
        <v>4.32</v>
      </c>
      <c r="M5" s="19">
        <f t="shared" si="7"/>
        <v>4.3200000000000002E-2</v>
      </c>
      <c r="Z5" s="1"/>
      <c r="AA5" s="23">
        <f>'2024.12'!$A$4</f>
        <v>45646</v>
      </c>
      <c r="AB5" s="5">
        <f>'2024.12'!$B$4*-1</f>
        <v>-50</v>
      </c>
    </row>
    <row r="6" spans="1:28" x14ac:dyDescent="0.25">
      <c r="A6" s="6" t="str">
        <f>'2024.05'!A1</f>
        <v>2024.05</v>
      </c>
      <c r="B6" s="5">
        <f>'2024.05'!B9</f>
        <v>0</v>
      </c>
      <c r="C6" s="5">
        <f t="shared" si="2"/>
        <v>100</v>
      </c>
      <c r="D6" s="5">
        <f>'2024.05'!C9</f>
        <v>0</v>
      </c>
      <c r="E6" s="5">
        <f t="shared" si="3"/>
        <v>98</v>
      </c>
      <c r="F6" s="7">
        <f>'2024.05'!F9</f>
        <v>0</v>
      </c>
      <c r="G6" s="7">
        <f t="shared" ref="G6" si="10">G5+F6</f>
        <v>0.39510000000000001</v>
      </c>
      <c r="H6" s="7">
        <v>280.6284</v>
      </c>
      <c r="I6" s="5">
        <f t="shared" si="0"/>
        <v>110.88</v>
      </c>
      <c r="J6" s="5">
        <f t="shared" si="1"/>
        <v>12.88</v>
      </c>
      <c r="K6" s="19">
        <f t="shared" si="5"/>
        <v>0.13139999999999999</v>
      </c>
      <c r="L6" s="5">
        <f t="shared" ref="L6" si="11">I6-C6</f>
        <v>10.88</v>
      </c>
      <c r="M6" s="19">
        <f t="shared" si="7"/>
        <v>0.10879999999999999</v>
      </c>
      <c r="Z6" s="1"/>
      <c r="AA6" s="23">
        <f>'2025.03'!$A$4</f>
        <v>45733</v>
      </c>
      <c r="AB6" s="5">
        <f>'2025.03'!$B$4*-1</f>
        <v>-50</v>
      </c>
    </row>
    <row r="7" spans="1:28" x14ac:dyDescent="0.25">
      <c r="A7" s="6" t="str">
        <f>'2024.06'!A1</f>
        <v>2024.06</v>
      </c>
      <c r="B7" s="5">
        <f>'2024.06'!B9</f>
        <v>0</v>
      </c>
      <c r="C7" s="5">
        <f t="shared" si="2"/>
        <v>100</v>
      </c>
      <c r="D7" s="5">
        <f>'2024.06'!C9</f>
        <v>0</v>
      </c>
      <c r="E7" s="5">
        <f t="shared" si="3"/>
        <v>98</v>
      </c>
      <c r="F7" s="7">
        <f>'2024.06'!F9</f>
        <v>0</v>
      </c>
      <c r="G7" s="7">
        <f t="shared" ref="G7" si="12">G6+F7</f>
        <v>0.39510000000000001</v>
      </c>
      <c r="H7" s="7">
        <v>303.33999999999997</v>
      </c>
      <c r="I7" s="5">
        <f t="shared" si="0"/>
        <v>119.85</v>
      </c>
      <c r="J7" s="5">
        <f t="shared" si="1"/>
        <v>21.85</v>
      </c>
      <c r="K7" s="19">
        <f t="shared" si="5"/>
        <v>0.223</v>
      </c>
      <c r="L7" s="5">
        <f t="shared" ref="L7" si="13">I7-C7</f>
        <v>19.850000000000001</v>
      </c>
      <c r="M7" s="19">
        <f t="shared" si="7"/>
        <v>0.19850000000000001</v>
      </c>
      <c r="Z7" s="1"/>
      <c r="AA7" s="23"/>
      <c r="AB7" s="6"/>
    </row>
    <row r="8" spans="1:28" x14ac:dyDescent="0.25">
      <c r="A8" s="6" t="str">
        <f>'2024.07'!A1</f>
        <v>2024.07</v>
      </c>
      <c r="B8" s="5">
        <f>'2024.07'!B9</f>
        <v>50</v>
      </c>
      <c r="C8" s="5">
        <f t="shared" si="2"/>
        <v>150</v>
      </c>
      <c r="D8" s="5">
        <f>'2024.07'!C9</f>
        <v>49.01</v>
      </c>
      <c r="E8" s="5">
        <f t="shared" si="3"/>
        <v>147.01</v>
      </c>
      <c r="F8" s="7">
        <f>'2024.07'!F9</f>
        <v>0.16930000000000001</v>
      </c>
      <c r="G8" s="7">
        <f t="shared" ref="G8" si="14">G7+F8</f>
        <v>0.56440000000000001</v>
      </c>
      <c r="H8" s="7">
        <v>294.3775</v>
      </c>
      <c r="I8" s="5">
        <f t="shared" si="0"/>
        <v>166.15</v>
      </c>
      <c r="J8" s="5">
        <f t="shared" si="1"/>
        <v>19.14</v>
      </c>
      <c r="K8" s="19">
        <f t="shared" si="5"/>
        <v>0.13020000000000001</v>
      </c>
      <c r="L8" s="5">
        <f t="shared" ref="L8" si="15">I8-C8</f>
        <v>16.149999999999999</v>
      </c>
      <c r="M8" s="19">
        <f t="shared" si="7"/>
        <v>0.1077</v>
      </c>
      <c r="Z8" s="1"/>
      <c r="AA8" s="23"/>
      <c r="AB8" s="6"/>
    </row>
    <row r="9" spans="1:28" x14ac:dyDescent="0.25">
      <c r="A9" s="6" t="str">
        <f>'2024.08'!A1</f>
        <v>2024.08</v>
      </c>
      <c r="B9" s="5">
        <f>'2024.08'!B9</f>
        <v>0</v>
      </c>
      <c r="C9" s="5">
        <f t="shared" si="2"/>
        <v>150</v>
      </c>
      <c r="D9" s="5">
        <f>'2024.08'!C9</f>
        <v>0</v>
      </c>
      <c r="E9" s="5">
        <f t="shared" si="3"/>
        <v>147.01</v>
      </c>
      <c r="F9" s="7">
        <f>'2024.08'!F9</f>
        <v>0</v>
      </c>
      <c r="G9" s="7">
        <f t="shared" ref="G9" si="16">G8+F9</f>
        <v>0.56440000000000001</v>
      </c>
      <c r="H9" s="7">
        <v>286.96980000000002</v>
      </c>
      <c r="I9" s="5">
        <f t="shared" si="0"/>
        <v>161.97</v>
      </c>
      <c r="J9" s="5">
        <f t="shared" si="1"/>
        <v>14.96</v>
      </c>
      <c r="K9" s="19">
        <f t="shared" si="5"/>
        <v>0.1018</v>
      </c>
      <c r="L9" s="5">
        <f t="shared" ref="L9" si="17">I9-C9</f>
        <v>11.97</v>
      </c>
      <c r="M9" s="19">
        <f t="shared" si="7"/>
        <v>7.9799999999999996E-2</v>
      </c>
      <c r="Z9" s="1"/>
      <c r="AA9" s="23"/>
      <c r="AB9" s="6"/>
    </row>
    <row r="10" spans="1:28" x14ac:dyDescent="0.25">
      <c r="A10" s="6" t="str">
        <f>'2024.09'!A1</f>
        <v>2024.09</v>
      </c>
      <c r="B10" s="5">
        <f>'2024.09'!B9</f>
        <v>0</v>
      </c>
      <c r="C10" s="5">
        <f t="shared" ref="C10" si="18">C9+B10</f>
        <v>150</v>
      </c>
      <c r="D10" s="5">
        <f>'2024.09'!C9</f>
        <v>0</v>
      </c>
      <c r="E10" s="5">
        <f t="shared" ref="E10" si="19">E9+D10</f>
        <v>147.01</v>
      </c>
      <c r="F10" s="7">
        <f>'2024.09'!F9</f>
        <v>0</v>
      </c>
      <c r="G10" s="7">
        <f t="shared" ref="G10" si="20">G9+F10</f>
        <v>0.56440000000000001</v>
      </c>
      <c r="H10" s="7">
        <v>302.42349999999999</v>
      </c>
      <c r="I10" s="5">
        <f t="shared" ref="I10" si="21">G10*H10</f>
        <v>170.69</v>
      </c>
      <c r="J10" s="5">
        <f t="shared" ref="J10" si="22">I10-E10</f>
        <v>23.68</v>
      </c>
      <c r="K10" s="19">
        <f t="shared" si="5"/>
        <v>0.16109999999999999</v>
      </c>
      <c r="L10" s="5">
        <f t="shared" ref="L10" si="23">I10-C10</f>
        <v>20.69</v>
      </c>
      <c r="M10" s="19">
        <f t="shared" si="7"/>
        <v>0.13789999999999999</v>
      </c>
      <c r="Z10" s="1"/>
      <c r="AA10" s="23"/>
      <c r="AB10" s="6"/>
    </row>
    <row r="11" spans="1:28" x14ac:dyDescent="0.25">
      <c r="A11" s="5" t="str">
        <f>'2024.10'!A1</f>
        <v>2024.10</v>
      </c>
      <c r="B11" s="5">
        <f>'2024.10'!B9</f>
        <v>0</v>
      </c>
      <c r="C11" s="5">
        <f t="shared" ref="C11" si="24">C10+B11</f>
        <v>150</v>
      </c>
      <c r="D11" s="5">
        <f>'2024.10'!C9</f>
        <v>0</v>
      </c>
      <c r="E11" s="5">
        <f t="shared" ref="E11" si="25">E10+D11</f>
        <v>147.01</v>
      </c>
      <c r="F11" s="7">
        <f>'2024.10'!F9</f>
        <v>0</v>
      </c>
      <c r="G11" s="7">
        <f t="shared" ref="G11" si="26">G10+F11</f>
        <v>0.56440000000000001</v>
      </c>
      <c r="H11" s="7">
        <v>324.70260000000002</v>
      </c>
      <c r="I11" s="5">
        <f t="shared" ref="I11" si="27">G11*H11</f>
        <v>183.26</v>
      </c>
      <c r="J11" s="5">
        <f t="shared" ref="J11" si="28">I11-E11</f>
        <v>36.25</v>
      </c>
      <c r="K11" s="19">
        <f t="shared" si="5"/>
        <v>0.24660000000000001</v>
      </c>
      <c r="L11" s="5">
        <f t="shared" ref="L11" si="29">I11-C11</f>
        <v>33.26</v>
      </c>
      <c r="M11" s="19">
        <f t="shared" si="7"/>
        <v>0.22170000000000001</v>
      </c>
      <c r="Z11" s="1"/>
      <c r="AA11" s="23"/>
      <c r="AB11" s="6"/>
    </row>
    <row r="12" spans="1:28" x14ac:dyDescent="0.25">
      <c r="A12" s="5" t="str">
        <f>'2024.11'!A1</f>
        <v>2024.11</v>
      </c>
      <c r="B12" s="5">
        <f>'2024.11'!B9</f>
        <v>50</v>
      </c>
      <c r="C12" s="5">
        <f t="shared" ref="C12" si="30">C11+B12</f>
        <v>200</v>
      </c>
      <c r="D12" s="5">
        <f>'2024.11'!C9</f>
        <v>49</v>
      </c>
      <c r="E12" s="5">
        <f t="shared" ref="E12" si="31">E11+D12</f>
        <v>196.01</v>
      </c>
      <c r="F12" s="7">
        <f>'2024.11'!F9</f>
        <v>0.14380000000000001</v>
      </c>
      <c r="G12" s="7">
        <f t="shared" ref="G12" si="32">G11+F12</f>
        <v>0.70820000000000005</v>
      </c>
      <c r="H12" s="7">
        <v>345.15069999999997</v>
      </c>
      <c r="I12" s="5">
        <f t="shared" ref="I12" si="33">G12*H12</f>
        <v>244.44</v>
      </c>
      <c r="J12" s="5">
        <f t="shared" ref="J12" si="34">I12-E12</f>
        <v>48.43</v>
      </c>
      <c r="K12" s="19">
        <f t="shared" si="5"/>
        <v>0.24709999999999999</v>
      </c>
      <c r="L12" s="5">
        <f t="shared" ref="L12" si="35">I12-C12</f>
        <v>44.44</v>
      </c>
      <c r="M12" s="19">
        <f t="shared" si="7"/>
        <v>0.22220000000000001</v>
      </c>
      <c r="Z12" s="1"/>
      <c r="AA12" s="23"/>
      <c r="AB12" s="6"/>
    </row>
    <row r="13" spans="1:28" x14ac:dyDescent="0.25">
      <c r="A13" s="5" t="str">
        <f>'2024.12'!A1</f>
        <v>2024.12</v>
      </c>
      <c r="B13" s="5">
        <f>'2024.12'!B9</f>
        <v>50</v>
      </c>
      <c r="C13" s="5">
        <f t="shared" ref="C13" si="36">C12+B13</f>
        <v>250</v>
      </c>
      <c r="D13" s="5">
        <f>'2024.12'!C9</f>
        <v>49.01</v>
      </c>
      <c r="E13" s="5">
        <f t="shared" ref="E13" si="37">E12+D13</f>
        <v>245.02</v>
      </c>
      <c r="F13" s="7">
        <f>'2024.12'!F9</f>
        <v>0.1331</v>
      </c>
      <c r="G13" s="7">
        <f t="shared" ref="G13" si="38">G12+F13</f>
        <v>0.84130000000000005</v>
      </c>
      <c r="H13" s="7">
        <v>359.75619999999998</v>
      </c>
      <c r="I13" s="5">
        <f t="shared" ref="I13" si="39">G13*H13</f>
        <v>302.66000000000003</v>
      </c>
      <c r="J13" s="5">
        <f t="shared" ref="J13" si="40">I13-E13</f>
        <v>57.64</v>
      </c>
      <c r="K13" s="19">
        <f t="shared" si="5"/>
        <v>0.23519999999999999</v>
      </c>
      <c r="L13" s="5">
        <f t="shared" ref="L13" si="41">I13-C13</f>
        <v>52.66</v>
      </c>
      <c r="M13" s="19">
        <f t="shared" si="7"/>
        <v>0.21060000000000001</v>
      </c>
      <c r="Z13" s="1"/>
      <c r="AA13" s="23"/>
      <c r="AB13" s="6"/>
    </row>
    <row r="14" spans="1:28" x14ac:dyDescent="0.25">
      <c r="A14" s="5" t="str">
        <f>'2025.01'!A1</f>
        <v>2025.01</v>
      </c>
      <c r="B14" s="5">
        <f>'2025.01'!B9</f>
        <v>0</v>
      </c>
      <c r="C14" s="5">
        <f t="shared" ref="C14" si="42">C13+B14</f>
        <v>250</v>
      </c>
      <c r="D14" s="5">
        <f>'2025.01'!C9</f>
        <v>0</v>
      </c>
      <c r="E14" s="5">
        <f t="shared" ref="E14" si="43">E13+D14</f>
        <v>245.02</v>
      </c>
      <c r="F14" s="7">
        <f>'2025.01'!F9</f>
        <v>0</v>
      </c>
      <c r="G14" s="7">
        <f t="shared" ref="G14" si="44">G13+F14</f>
        <v>0.84130000000000005</v>
      </c>
      <c r="H14" s="7">
        <v>368.90039999999999</v>
      </c>
      <c r="I14" s="5">
        <f t="shared" ref="I14" si="45">G14*H14</f>
        <v>310.36</v>
      </c>
      <c r="J14" s="5">
        <f t="shared" ref="J14" si="46">I14-E14</f>
        <v>65.34</v>
      </c>
      <c r="K14" s="19">
        <f t="shared" si="5"/>
        <v>0.26669999999999999</v>
      </c>
      <c r="L14" s="5">
        <f t="shared" ref="L14" si="47">I14-C14</f>
        <v>60.36</v>
      </c>
      <c r="M14" s="19">
        <f t="shared" si="7"/>
        <v>0.2414</v>
      </c>
      <c r="Z14" s="1"/>
      <c r="AA14" s="23"/>
      <c r="AB14" s="6"/>
    </row>
    <row r="15" spans="1:28" x14ac:dyDescent="0.25">
      <c r="A15" s="5" t="str">
        <f>'2025.02'!A1</f>
        <v>2025.02</v>
      </c>
      <c r="B15" s="5">
        <f>'2025.02'!B9</f>
        <v>0</v>
      </c>
      <c r="C15" s="5">
        <f t="shared" ref="C15" si="48">C14+B15</f>
        <v>250</v>
      </c>
      <c r="D15" s="5">
        <f>'2025.02'!C9</f>
        <v>0</v>
      </c>
      <c r="E15" s="5">
        <f t="shared" ref="E15" si="49">E14+D15</f>
        <v>245.02</v>
      </c>
      <c r="F15" s="7">
        <f>'2025.02'!F9</f>
        <v>0</v>
      </c>
      <c r="G15" s="7">
        <f t="shared" ref="G15" si="50">G14+F15</f>
        <v>0.84130000000000005</v>
      </c>
      <c r="H15" s="7">
        <v>336.85079999999999</v>
      </c>
      <c r="I15" s="5">
        <f t="shared" ref="I15" si="51">G15*H15</f>
        <v>283.39</v>
      </c>
      <c r="J15" s="5">
        <f t="shared" ref="J15" si="52">I15-E15</f>
        <v>38.369999999999997</v>
      </c>
      <c r="K15" s="19">
        <f t="shared" si="5"/>
        <v>0.15659999999999999</v>
      </c>
      <c r="L15" s="5">
        <f t="shared" ref="L15" si="53">I15-C15</f>
        <v>33.39</v>
      </c>
      <c r="M15" s="19">
        <f t="shared" si="7"/>
        <v>0.1336</v>
      </c>
      <c r="Z15" s="1"/>
      <c r="AA15" s="23"/>
      <c r="AB15" s="6"/>
    </row>
    <row r="16" spans="1:28" x14ac:dyDescent="0.25">
      <c r="A16" s="5" t="str">
        <f>'2025.03'!A1</f>
        <v>2025.03</v>
      </c>
      <c r="B16" s="5">
        <f>'2025.03'!B9</f>
        <v>50</v>
      </c>
      <c r="C16" s="5">
        <f t="shared" ref="C16" si="54">C15+B16</f>
        <v>300</v>
      </c>
      <c r="D16" s="5">
        <f>'2025.03'!C9</f>
        <v>48.99</v>
      </c>
      <c r="E16" s="5">
        <f t="shared" ref="E16" si="55">E15+D16</f>
        <v>294.01</v>
      </c>
      <c r="F16" s="7">
        <f>'2025.03'!F9</f>
        <v>0.16450000000000001</v>
      </c>
      <c r="G16" s="7">
        <f t="shared" ref="G16" si="56">G15+F16</f>
        <v>1.0058</v>
      </c>
      <c r="H16" s="7">
        <v>293.63580000000002</v>
      </c>
      <c r="I16" s="5">
        <f t="shared" ref="I16" si="57">G16*H16</f>
        <v>295.33999999999997</v>
      </c>
      <c r="J16" s="5">
        <f t="shared" ref="J16" si="58">I16-E16</f>
        <v>1.33</v>
      </c>
      <c r="K16" s="19">
        <f t="shared" si="5"/>
        <v>4.4999999999999997E-3</v>
      </c>
      <c r="L16" s="5">
        <f t="shared" ref="L16" si="59">I16-C16</f>
        <v>-4.66</v>
      </c>
      <c r="M16" s="19">
        <f t="shared" si="7"/>
        <v>-1.55E-2</v>
      </c>
      <c r="Z16" s="1"/>
      <c r="AA16" s="23"/>
      <c r="AB16" s="6"/>
    </row>
    <row r="17" spans="1:28" x14ac:dyDescent="0.25">
      <c r="A17" s="5" t="str">
        <f>'2025.04'!A1</f>
        <v>2025.04</v>
      </c>
      <c r="B17" s="5">
        <f>'2025.04'!B9</f>
        <v>0</v>
      </c>
      <c r="C17" s="5">
        <f t="shared" ref="C17" si="60">C16+B17</f>
        <v>300</v>
      </c>
      <c r="D17" s="5">
        <f>'2025.04'!C9</f>
        <v>0</v>
      </c>
      <c r="E17" s="5">
        <f t="shared" ref="E17" si="61">E16+D17</f>
        <v>294.01</v>
      </c>
      <c r="F17" s="7">
        <f>'2025.04'!F9</f>
        <v>0</v>
      </c>
      <c r="G17" s="7">
        <f t="shared" ref="G17" si="62">G16+F17</f>
        <v>1.0058</v>
      </c>
      <c r="H17" s="7">
        <v>280.75920000000002</v>
      </c>
      <c r="I17" s="5">
        <f t="shared" ref="I17" si="63">G17*H17</f>
        <v>282.39</v>
      </c>
      <c r="J17" s="5">
        <f t="shared" ref="J17" si="64">I17-E17</f>
        <v>-11.62</v>
      </c>
      <c r="K17" s="19">
        <f t="shared" si="5"/>
        <v>-3.95E-2</v>
      </c>
      <c r="L17" s="5">
        <f t="shared" ref="L17" si="65">I17-C17</f>
        <v>-17.61</v>
      </c>
      <c r="M17" s="19">
        <f t="shared" si="7"/>
        <v>-5.8700000000000002E-2</v>
      </c>
      <c r="Z17" s="1"/>
      <c r="AA17" s="23"/>
      <c r="AB17" s="6"/>
    </row>
    <row r="18" spans="1:28" x14ac:dyDescent="0.25">
      <c r="A18" s="5" t="str">
        <f>'2025.05'!A1</f>
        <v>2025.05</v>
      </c>
      <c r="B18" s="5">
        <f>'2025.05'!B9</f>
        <v>0</v>
      </c>
      <c r="C18" s="5">
        <f t="shared" ref="C18" si="66">C17+B18</f>
        <v>300</v>
      </c>
      <c r="D18" s="5">
        <f>'2025.05'!C9</f>
        <v>0</v>
      </c>
      <c r="E18" s="5">
        <f t="shared" ref="E18" si="67">E17+D18</f>
        <v>294.01</v>
      </c>
      <c r="F18" s="7">
        <f>'2025.05'!F9</f>
        <v>0</v>
      </c>
      <c r="G18" s="7">
        <f t="shared" ref="G18" si="68">G17+F18</f>
        <v>1.0058</v>
      </c>
      <c r="H18" s="7">
        <v>320.15989999999999</v>
      </c>
      <c r="I18" s="5">
        <f t="shared" ref="I18" si="69">G18*H18</f>
        <v>322.02</v>
      </c>
      <c r="J18" s="5">
        <f t="shared" ref="J18" si="70">I18-E18</f>
        <v>28.01</v>
      </c>
      <c r="K18" s="19">
        <f t="shared" si="5"/>
        <v>9.5299999999999996E-2</v>
      </c>
      <c r="L18" s="5">
        <f t="shared" ref="L18" si="71">I18-C18</f>
        <v>22.02</v>
      </c>
      <c r="M18" s="19">
        <f t="shared" si="7"/>
        <v>7.3400000000000007E-2</v>
      </c>
      <c r="Z18" s="1"/>
      <c r="AA18" s="23"/>
      <c r="AB18" s="6"/>
    </row>
    <row r="19" spans="1:28" x14ac:dyDescent="0.25">
      <c r="A19" s="5" t="str">
        <f>'2025.06'!A1</f>
        <v>2025.06</v>
      </c>
      <c r="B19" s="5">
        <f>'2025.06'!B9</f>
        <v>0</v>
      </c>
      <c r="C19" s="5">
        <f t="shared" ref="C19" si="72">C18+B19</f>
        <v>300</v>
      </c>
      <c r="D19" s="5">
        <f>'2025.06'!C9</f>
        <v>0</v>
      </c>
      <c r="E19" s="5">
        <f t="shared" ref="E19" si="73">E18+D19</f>
        <v>294.01</v>
      </c>
      <c r="F19" s="7">
        <f>'2025.06'!F9</f>
        <v>0</v>
      </c>
      <c r="G19" s="7">
        <f t="shared" ref="G19" si="74">G18+F19</f>
        <v>1.0058</v>
      </c>
      <c r="H19" s="7">
        <v>326.81389999999999</v>
      </c>
      <c r="I19" s="5">
        <f t="shared" ref="I19" si="75">G19*H19</f>
        <v>328.71</v>
      </c>
      <c r="J19" s="5">
        <f t="shared" ref="J19" si="76">I19-E19</f>
        <v>34.700000000000003</v>
      </c>
      <c r="K19" s="19">
        <f t="shared" si="5"/>
        <v>0.11799999999999999</v>
      </c>
      <c r="L19" s="5">
        <f t="shared" ref="L19" si="77">I19-C19</f>
        <v>28.71</v>
      </c>
      <c r="M19" s="19">
        <f t="shared" si="7"/>
        <v>9.5699999999999993E-2</v>
      </c>
      <c r="Z19" s="1"/>
      <c r="AA19" s="23"/>
      <c r="AB19" s="6"/>
    </row>
    <row r="20" spans="1:28" x14ac:dyDescent="0.25">
      <c r="A20" s="5" t="str">
        <f>'2025.07'!A1</f>
        <v>2025.07</v>
      </c>
      <c r="B20" s="5">
        <f>'2025.07'!B9</f>
        <v>0</v>
      </c>
      <c r="C20" s="5">
        <f t="shared" ref="C20" si="78">C19+B20</f>
        <v>300</v>
      </c>
      <c r="D20" s="5">
        <f>'2025.07'!C9</f>
        <v>0</v>
      </c>
      <c r="E20" s="5">
        <f t="shared" ref="E20" si="79">E19+D20</f>
        <v>294.01</v>
      </c>
      <c r="F20" s="7">
        <f>'2025.07'!F9</f>
        <v>0</v>
      </c>
      <c r="G20" s="7">
        <f t="shared" ref="G20" si="80">G19+F20</f>
        <v>1.0058</v>
      </c>
      <c r="H20" s="7">
        <v>349.4359</v>
      </c>
      <c r="I20" s="5">
        <f t="shared" ref="I20" si="81">G20*H20</f>
        <v>351.46</v>
      </c>
      <c r="J20" s="5">
        <f t="shared" ref="J20" si="82">I20-E20</f>
        <v>57.45</v>
      </c>
      <c r="K20" s="19">
        <f t="shared" si="5"/>
        <v>0.19539999999999999</v>
      </c>
      <c r="L20" s="5">
        <f t="shared" ref="L20" si="83">I20-C20</f>
        <v>51.46</v>
      </c>
      <c r="M20" s="19">
        <f t="shared" si="7"/>
        <v>0.17150000000000001</v>
      </c>
      <c r="Z20" s="1"/>
      <c r="AA20" s="23"/>
      <c r="AB20" s="6"/>
    </row>
    <row r="21" spans="1:28" x14ac:dyDescent="0.25">
      <c r="A21" s="5" t="str">
        <f>'2025.08'!A1</f>
        <v>2025.08</v>
      </c>
      <c r="B21" s="5">
        <f>'2025.08'!B9</f>
        <v>0</v>
      </c>
      <c r="C21" s="5">
        <f t="shared" ref="C21" si="84">C20+B21</f>
        <v>300</v>
      </c>
      <c r="D21" s="5">
        <f>'2025.09'!C9</f>
        <v>0</v>
      </c>
      <c r="E21" s="5">
        <f t="shared" ref="E21" si="85">E20+D21</f>
        <v>294.01</v>
      </c>
      <c r="F21" s="7">
        <f>'2025.08'!F9</f>
        <v>0</v>
      </c>
      <c r="G21" s="7">
        <f t="shared" ref="G21" si="86">G20+F21</f>
        <v>1.0058</v>
      </c>
      <c r="H21" s="7">
        <v>352.50729999999999</v>
      </c>
      <c r="I21" s="5">
        <f t="shared" ref="I21" si="87">G21*H21</f>
        <v>354.55</v>
      </c>
      <c r="J21" s="5">
        <f t="shared" ref="J21" si="88">I21-E21</f>
        <v>60.54</v>
      </c>
      <c r="K21" s="19">
        <f t="shared" si="5"/>
        <v>0.2059</v>
      </c>
      <c r="L21" s="5">
        <f t="shared" ref="L21" si="89">I21-C21</f>
        <v>54.55</v>
      </c>
      <c r="M21" s="19">
        <f t="shared" si="7"/>
        <v>0.18179999999999999</v>
      </c>
      <c r="Z21" s="1"/>
      <c r="AA21" s="23"/>
      <c r="AB21" s="6"/>
    </row>
    <row r="22" spans="1:28" x14ac:dyDescent="0.25">
      <c r="A22" s="5" t="str">
        <f>'2025.09'!A1</f>
        <v>2025.09</v>
      </c>
      <c r="B22" s="5">
        <f>'2025.09'!B9</f>
        <v>0</v>
      </c>
      <c r="C22" s="5">
        <f t="shared" ref="C22" si="90">C21+B22</f>
        <v>300</v>
      </c>
      <c r="D22" s="5">
        <f>'2025.09'!C9</f>
        <v>0</v>
      </c>
      <c r="E22" s="5">
        <f t="shared" ref="E22" si="91">E21+D22</f>
        <v>294.01</v>
      </c>
      <c r="F22" s="7">
        <f>'2025.09'!F9</f>
        <v>0</v>
      </c>
      <c r="G22" s="7">
        <f t="shared" ref="G22" si="92">G21+F22</f>
        <v>1.0058</v>
      </c>
      <c r="H22" s="7">
        <v>379.9357</v>
      </c>
      <c r="I22" s="5">
        <f t="shared" ref="I22" si="93">G22*H22</f>
        <v>382.14</v>
      </c>
      <c r="J22" s="5">
        <f t="shared" ref="J22" si="94">I22-E22</f>
        <v>88.13</v>
      </c>
      <c r="K22" s="19">
        <f t="shared" si="5"/>
        <v>0.29980000000000001</v>
      </c>
      <c r="L22" s="5">
        <f t="shared" ref="L22" si="95">I22-C22</f>
        <v>82.14</v>
      </c>
      <c r="M22" s="19">
        <f t="shared" si="7"/>
        <v>0.27379999999999999</v>
      </c>
      <c r="Z22" s="1"/>
      <c r="AA22" s="23"/>
      <c r="AB22" s="6"/>
    </row>
    <row r="23" spans="1:28" x14ac:dyDescent="0.25">
      <c r="A23" s="5" t="str">
        <f>'2025.10'!A1</f>
        <v>2025.10</v>
      </c>
      <c r="B23" s="5">
        <f>'2025.10'!B9</f>
        <v>0</v>
      </c>
      <c r="C23" s="5">
        <f t="shared" ref="C23" si="96">C22+B23</f>
        <v>300</v>
      </c>
      <c r="D23" s="5">
        <f>'2025.10'!C9</f>
        <v>0</v>
      </c>
      <c r="E23" s="5">
        <f t="shared" ref="E23" si="97">E22+D23</f>
        <v>294.01</v>
      </c>
      <c r="F23" s="7">
        <f>'2025.10'!F9</f>
        <v>0</v>
      </c>
      <c r="G23" s="7">
        <f t="shared" ref="G23" si="98">G22+F23</f>
        <v>1.0058</v>
      </c>
      <c r="H23" s="7">
        <v>398.17669999999998</v>
      </c>
      <c r="I23" s="5">
        <f t="shared" ref="I23" si="99">G23*H23</f>
        <v>400.49</v>
      </c>
      <c r="J23" s="5">
        <f t="shared" ref="J23" si="100">I23-E23</f>
        <v>106.48</v>
      </c>
      <c r="K23" s="19">
        <f t="shared" si="5"/>
        <v>0.36220000000000002</v>
      </c>
      <c r="L23" s="5">
        <f t="shared" ref="L23" si="101">I23-C23</f>
        <v>100.49</v>
      </c>
      <c r="M23" s="19">
        <f t="shared" si="7"/>
        <v>0.33500000000000002</v>
      </c>
      <c r="Z23" s="1"/>
      <c r="AA23" s="23"/>
      <c r="AB23" s="6"/>
    </row>
    <row r="24" spans="1:28" x14ac:dyDescent="0.25">
      <c r="A24" s="5" t="str">
        <f>'2025.11'!A1</f>
        <v>2025.11</v>
      </c>
      <c r="B24" s="5">
        <f>'2025.11'!B9</f>
        <v>0</v>
      </c>
      <c r="C24" s="5">
        <f t="shared" ref="C24" si="102">C23+B24</f>
        <v>300</v>
      </c>
      <c r="D24" s="5">
        <f>'2025.11'!C9</f>
        <v>0</v>
      </c>
      <c r="E24" s="5">
        <f t="shared" ref="E24" si="103">E23+D24</f>
        <v>294.01</v>
      </c>
      <c r="F24" s="7">
        <f>'2025.11'!F9</f>
        <v>0</v>
      </c>
      <c r="G24" s="7">
        <f t="shared" ref="G24" si="104">G23+F24</f>
        <v>1.0058</v>
      </c>
      <c r="H24" s="7">
        <v>390.99770000000001</v>
      </c>
      <c r="I24" s="5">
        <f t="shared" ref="I24" si="105">G24*H24</f>
        <v>393.27</v>
      </c>
      <c r="J24" s="5">
        <f t="shared" ref="J24" si="106">I24-E24</f>
        <v>99.26</v>
      </c>
      <c r="K24" s="19">
        <f t="shared" si="5"/>
        <v>0.33760000000000001</v>
      </c>
      <c r="L24" s="5">
        <f t="shared" ref="L24" si="107">I24-C24</f>
        <v>93.27</v>
      </c>
      <c r="M24" s="19">
        <f t="shared" si="7"/>
        <v>0.31090000000000001</v>
      </c>
      <c r="Z24" s="1"/>
      <c r="AA24" s="23"/>
      <c r="AB24" s="6"/>
    </row>
    <row r="25" spans="1:28" x14ac:dyDescent="0.25">
      <c r="A25" s="5" t="str">
        <f>'2025.12'!A1</f>
        <v>2025.12</v>
      </c>
      <c r="B25" s="5">
        <f>'2025.12'!B9</f>
        <v>0</v>
      </c>
      <c r="C25" s="5">
        <f t="shared" ref="C25" si="108">C24+B25</f>
        <v>300</v>
      </c>
      <c r="D25" s="5">
        <f>'2025.12'!C9</f>
        <v>0</v>
      </c>
      <c r="E25" s="5">
        <f t="shared" ref="E25" si="109">E24+D25</f>
        <v>294.01</v>
      </c>
      <c r="F25" s="7">
        <f>'2025.12'!F9</f>
        <v>0</v>
      </c>
      <c r="G25" s="7">
        <f t="shared" ref="G25" si="110">G24+F25</f>
        <v>1.0058</v>
      </c>
      <c r="H25" s="7">
        <v>387.30560000000003</v>
      </c>
      <c r="I25" s="5">
        <f t="shared" ref="I25" si="111">G25*H25</f>
        <v>389.55</v>
      </c>
      <c r="J25" s="5">
        <f t="shared" ref="J25" si="112">I25-E25</f>
        <v>95.54</v>
      </c>
      <c r="K25" s="19">
        <f t="shared" si="5"/>
        <v>0.32500000000000001</v>
      </c>
      <c r="L25" s="5">
        <f t="shared" ref="L25" si="113">I25-C25</f>
        <v>89.55</v>
      </c>
      <c r="M25" s="19">
        <f t="shared" si="7"/>
        <v>0.29849999999999999</v>
      </c>
      <c r="Z25" s="1"/>
      <c r="AA25" s="23"/>
      <c r="AB25" s="6"/>
    </row>
    <row r="26" spans="1:28" x14ac:dyDescent="0.25">
      <c r="A26" s="5">
        <f>'2026.01'!A1</f>
        <v>2026.01</v>
      </c>
      <c r="B26" s="5">
        <f>'2026.01'!B9</f>
        <v>0</v>
      </c>
      <c r="C26" s="5">
        <f t="shared" ref="C26" si="114">C25+B26</f>
        <v>300</v>
      </c>
      <c r="D26" s="5">
        <f>'2026.01'!C9</f>
        <v>0</v>
      </c>
      <c r="E26" s="5">
        <f t="shared" ref="E26" si="115">E25+D26</f>
        <v>294.01</v>
      </c>
      <c r="F26" s="7">
        <f>'2026.01'!F9</f>
        <v>0</v>
      </c>
      <c r="G26" s="7">
        <f t="shared" ref="G26" si="116">G25+F26</f>
        <v>1.0058</v>
      </c>
      <c r="H26" s="7">
        <v>381.64429999999999</v>
      </c>
      <c r="I26" s="5">
        <f t="shared" ref="I26" si="117">G26*H26</f>
        <v>383.86</v>
      </c>
      <c r="J26" s="5">
        <f t="shared" ref="J26" si="118">I26-E26</f>
        <v>89.85</v>
      </c>
      <c r="K26" s="19">
        <f t="shared" ref="K26" si="119">J26/E26</f>
        <v>0.30559999999999998</v>
      </c>
      <c r="L26" s="5">
        <f t="shared" ref="L26" si="120">I26-C26</f>
        <v>83.86</v>
      </c>
      <c r="M26" s="19">
        <f t="shared" ref="M26" si="121">L26/C26</f>
        <v>0.27950000000000003</v>
      </c>
      <c r="Z26" s="1"/>
      <c r="AA26" s="23"/>
      <c r="AB26" s="6"/>
    </row>
    <row r="27" spans="1:28" x14ac:dyDescent="0.25">
      <c r="A27" s="5">
        <f>'2026.02'!A1</f>
        <v>2026.02</v>
      </c>
      <c r="B27" s="5">
        <f>'2026.02'!B9</f>
        <v>0</v>
      </c>
      <c r="C27" s="5">
        <f t="shared" ref="C27" si="122">C26+B27</f>
        <v>300</v>
      </c>
      <c r="D27" s="5">
        <f>'2026.02'!C9</f>
        <v>0</v>
      </c>
      <c r="E27" s="5">
        <f t="shared" ref="E27" si="123">E26+D27</f>
        <v>294.01</v>
      </c>
      <c r="F27" s="7">
        <f>'2026.02'!F9</f>
        <v>0</v>
      </c>
      <c r="G27" s="7">
        <f t="shared" ref="G27" si="124">G26+F27</f>
        <v>1.0058</v>
      </c>
      <c r="H27" s="7">
        <v>360.88839999999999</v>
      </c>
      <c r="I27" s="5">
        <f t="shared" ref="I27" si="125">G27*H27</f>
        <v>362.98</v>
      </c>
      <c r="J27" s="5">
        <f t="shared" ref="J27" si="126">I27-E27</f>
        <v>68.97</v>
      </c>
      <c r="K27" s="19">
        <f t="shared" ref="K27" si="127">J27/E27</f>
        <v>0.2346</v>
      </c>
      <c r="L27" s="5">
        <f t="shared" ref="L27" si="128">I27-C27</f>
        <v>62.98</v>
      </c>
      <c r="M27" s="19">
        <f t="shared" ref="M27" si="129">L27/C27</f>
        <v>0.2099</v>
      </c>
      <c r="Z27" s="1"/>
      <c r="AA27" s="23"/>
      <c r="AB27" s="6"/>
    </row>
    <row r="28" spans="1:28" x14ac:dyDescent="0.25">
      <c r="A28" s="5">
        <f>'2026.03'!A1</f>
        <v>2026.03</v>
      </c>
      <c r="B28" s="5">
        <f>'2026.03'!B9</f>
        <v>0</v>
      </c>
      <c r="C28" s="5">
        <f t="shared" ref="C28" si="130">C27+B28</f>
        <v>300</v>
      </c>
      <c r="D28" s="5">
        <f>'2026.03'!C9</f>
        <v>0</v>
      </c>
      <c r="E28" s="5">
        <f t="shared" ref="E28" si="131">E27+D28</f>
        <v>294.01</v>
      </c>
      <c r="F28" s="7">
        <f>'2026.03'!F9</f>
        <v>0</v>
      </c>
      <c r="G28" s="7">
        <f t="shared" ref="G28" si="132">G27+F28</f>
        <v>1.0058</v>
      </c>
      <c r="H28" s="7">
        <v>351.25920000000002</v>
      </c>
      <c r="I28" s="5">
        <f t="shared" ref="I28" si="133">G28*H28</f>
        <v>353.3</v>
      </c>
      <c r="J28" s="5">
        <f t="shared" ref="J28" si="134">I28-E28</f>
        <v>59.29</v>
      </c>
      <c r="K28" s="19">
        <f t="shared" ref="K28" si="135">J28/E28</f>
        <v>0.20169999999999999</v>
      </c>
      <c r="L28" s="5">
        <f t="shared" ref="L28" si="136">I28-C28</f>
        <v>53.3</v>
      </c>
      <c r="M28" s="19">
        <f t="shared" ref="M28" si="137">L28/C28</f>
        <v>0.1777</v>
      </c>
      <c r="Z28" s="1"/>
      <c r="AA28" s="23"/>
      <c r="AB28" s="6"/>
    </row>
    <row r="29" spans="1:28" x14ac:dyDescent="0.25">
      <c r="A29" s="5">
        <f>'2026.04'!$A$1</f>
        <v>2026.04</v>
      </c>
      <c r="B29" s="5">
        <f>'2026.04'!$B$9</f>
        <v>0</v>
      </c>
      <c r="C29" s="5">
        <f t="shared" ref="C29" si="138">C28+B29</f>
        <v>300</v>
      </c>
      <c r="D29" s="5">
        <f>'2026.04'!$C$9</f>
        <v>0</v>
      </c>
      <c r="E29" s="5">
        <f t="shared" ref="E29" si="139">E28+D29</f>
        <v>294.01</v>
      </c>
      <c r="F29" s="7">
        <f>'2026.04'!$F$9</f>
        <v>0</v>
      </c>
      <c r="G29" s="7">
        <f t="shared" ref="G29" si="140">G28+F29</f>
        <v>1.0058</v>
      </c>
      <c r="H29" s="7">
        <v>401.86579999999998</v>
      </c>
      <c r="I29" s="5">
        <f t="shared" ref="I29" si="141">G29*H29</f>
        <v>404.2</v>
      </c>
      <c r="J29" s="5">
        <f t="shared" ref="J29" si="142">I29-E29</f>
        <v>110.19</v>
      </c>
      <c r="K29" s="19">
        <f t="shared" ref="K29" si="143">J29/E29</f>
        <v>0.37480000000000002</v>
      </c>
      <c r="L29" s="5">
        <f t="shared" ref="L29" si="144">I29-C29</f>
        <v>104.2</v>
      </c>
      <c r="M29" s="19">
        <f t="shared" ref="M29" si="145">L29/C29</f>
        <v>0.3473</v>
      </c>
      <c r="Z29" s="1"/>
      <c r="AA29" s="23"/>
      <c r="AB29" s="6"/>
    </row>
    <row r="30" spans="1:28" x14ac:dyDescent="0.25">
      <c r="A30" s="5">
        <f>'2026.05'!$A$1</f>
        <v>2026.05</v>
      </c>
      <c r="B30" s="5">
        <f>'2026.05'!$B$9</f>
        <v>0</v>
      </c>
      <c r="C30" s="5">
        <f t="shared" ref="C30" si="146">C29+B30</f>
        <v>300</v>
      </c>
      <c r="D30" s="5">
        <f>'2026.05'!$C$9</f>
        <v>0</v>
      </c>
      <c r="E30" s="5">
        <f t="shared" ref="E30" si="147">E29+D30</f>
        <v>294.01</v>
      </c>
      <c r="F30" s="7">
        <f>'2026.05'!$F$9</f>
        <v>0</v>
      </c>
      <c r="G30" s="7">
        <f t="shared" ref="G30" si="148">G29+F30</f>
        <v>1.0058</v>
      </c>
      <c r="H30" s="7">
        <v>426.9074</v>
      </c>
      <c r="I30" s="5">
        <f t="shared" ref="I30" si="149">G30*H30</f>
        <v>429.38</v>
      </c>
      <c r="J30" s="5">
        <f t="shared" ref="J30" si="150">I30-E30</f>
        <v>135.37</v>
      </c>
      <c r="K30" s="19">
        <f t="shared" ref="K30" si="151">J30/E30</f>
        <v>0.46039999999999998</v>
      </c>
      <c r="L30" s="5">
        <f t="shared" ref="L30" si="152">I30-C30</f>
        <v>129.38</v>
      </c>
      <c r="M30" s="19">
        <f t="shared" ref="M30" si="153">L30/C30</f>
        <v>0.43130000000000002</v>
      </c>
      <c r="Z30" s="1"/>
      <c r="AA30" s="23"/>
      <c r="AB30" s="6"/>
    </row>
    <row r="31" spans="1:28" x14ac:dyDescent="0.25">
      <c r="A31" s="5">
        <f>'2026.06'!$A$1</f>
        <v>2026.06</v>
      </c>
      <c r="B31" s="5">
        <f>'2026.06'!$B$9</f>
        <v>0</v>
      </c>
      <c r="C31" s="5">
        <f t="shared" ref="C31" si="154">C30+B31</f>
        <v>300</v>
      </c>
      <c r="D31" s="5">
        <f>'2026.06'!$C$9</f>
        <v>0</v>
      </c>
      <c r="E31" s="5">
        <f t="shared" ref="E31" si="155">E30+D31</f>
        <v>294.01</v>
      </c>
      <c r="F31" s="7">
        <f>'2026.06'!$F$9</f>
        <v>0</v>
      </c>
      <c r="G31" s="7">
        <f t="shared" ref="G31" si="156">G30+F31</f>
        <v>1.0058</v>
      </c>
      <c r="H31" s="7">
        <v>392.14980000000003</v>
      </c>
      <c r="I31" s="5">
        <f t="shared" ref="I31" si="157">G31*H31</f>
        <v>394.42</v>
      </c>
      <c r="J31" s="5">
        <f t="shared" ref="J31" si="158">I31-E31</f>
        <v>100.41</v>
      </c>
      <c r="K31" s="19">
        <f t="shared" ref="K31" si="159">J31/E31</f>
        <v>0.34150000000000003</v>
      </c>
      <c r="L31" s="5">
        <f t="shared" ref="L31" si="160">I31-C31</f>
        <v>94.42</v>
      </c>
      <c r="M31" s="19">
        <f t="shared" ref="M31" si="161">L31/C31</f>
        <v>0.31469999999999998</v>
      </c>
      <c r="Z31" s="1"/>
      <c r="AA31" s="23"/>
      <c r="AB31" s="6"/>
    </row>
    <row r="32" spans="1:28" x14ac:dyDescent="0.25">
      <c r="A32" s="5">
        <f>'2026.07'!$A$1</f>
        <v>2026.07</v>
      </c>
      <c r="B32" s="5">
        <f>'2026.07'!$B$9</f>
        <v>0</v>
      </c>
      <c r="C32" s="5">
        <f t="shared" ref="C32" si="162">C31+B32</f>
        <v>300</v>
      </c>
      <c r="D32" s="5">
        <f>'2026.07'!$C$9</f>
        <v>0</v>
      </c>
      <c r="E32" s="5">
        <f t="shared" ref="E32" si="163">E31+D32</f>
        <v>294.01</v>
      </c>
      <c r="F32" s="7">
        <f>'2026.07'!$F$9</f>
        <v>0</v>
      </c>
      <c r="G32" s="7">
        <f t="shared" ref="G32" si="164">G31+F32</f>
        <v>1.0058</v>
      </c>
      <c r="H32" s="7">
        <v>390.72</v>
      </c>
      <c r="I32" s="5">
        <f t="shared" ref="I32" si="165">G32*H32</f>
        <v>392.99</v>
      </c>
      <c r="J32" s="5">
        <f t="shared" ref="J32" si="166">I32-E32</f>
        <v>98.98</v>
      </c>
      <c r="K32" s="19">
        <f t="shared" ref="K32" si="167">J32/E32</f>
        <v>0.3367</v>
      </c>
      <c r="L32" s="5">
        <f t="shared" ref="L32" si="168">I32-C32</f>
        <v>92.99</v>
      </c>
      <c r="M32" s="19">
        <f t="shared" ref="M32" si="169">L32/C32</f>
        <v>0.31</v>
      </c>
      <c r="Z32" s="1"/>
      <c r="AA32" s="23"/>
      <c r="AB32" s="6"/>
    </row>
    <row r="33" spans="1:28" x14ac:dyDescent="0.25">
      <c r="A33" s="5">
        <f>'2026.08'!$A$1</f>
        <v>2026.08</v>
      </c>
      <c r="B33" s="5">
        <f>'2026.08'!$B$9</f>
        <v>0</v>
      </c>
      <c r="C33" s="5">
        <f t="shared" ref="C33" si="170">C32+B33</f>
        <v>300</v>
      </c>
      <c r="D33" s="5">
        <f>'2026.08'!$C$9</f>
        <v>0</v>
      </c>
      <c r="E33" s="5">
        <f t="shared" ref="E33" si="171">E32+D33</f>
        <v>294.01</v>
      </c>
      <c r="F33" s="7">
        <f>'2026.08'!$F$9</f>
        <v>0</v>
      </c>
      <c r="G33" s="7">
        <f t="shared" ref="G33" si="172">G32+F33</f>
        <v>1.0058</v>
      </c>
      <c r="H33" s="7">
        <v>405.9</v>
      </c>
      <c r="I33" s="5">
        <f t="shared" ref="I33" si="173">G33*H33</f>
        <v>408.25</v>
      </c>
      <c r="J33" s="5">
        <f t="shared" ref="J33" si="174">I33-E33</f>
        <v>114.24</v>
      </c>
      <c r="K33" s="19">
        <f t="shared" ref="K33" si="175">J33/E33</f>
        <v>0.3886</v>
      </c>
      <c r="L33" s="5">
        <f t="shared" ref="L33" si="176">I33-C33</f>
        <v>108.25</v>
      </c>
      <c r="M33" s="19">
        <f t="shared" ref="M33" si="177">L33/C33</f>
        <v>0.36080000000000001</v>
      </c>
      <c r="Z33" s="1"/>
      <c r="AA33" s="23"/>
      <c r="AB33" s="6"/>
    </row>
    <row r="34" spans="1:28" x14ac:dyDescent="0.25">
      <c r="A34" s="5">
        <f>'2026.09'!$A$1</f>
        <v>2026.09</v>
      </c>
      <c r="B34" s="5">
        <f>'2026.09'!$B$9</f>
        <v>0</v>
      </c>
      <c r="C34" s="5">
        <f t="shared" ref="C34" si="178">C33+B34</f>
        <v>300</v>
      </c>
      <c r="D34" s="5">
        <f>'2026.09'!$C$9</f>
        <v>0</v>
      </c>
      <c r="E34" s="5">
        <f t="shared" ref="E34" si="179">E33+D34</f>
        <v>294.01</v>
      </c>
      <c r="F34" s="7">
        <f>'2026.09'!$F$9</f>
        <v>0</v>
      </c>
      <c r="G34" s="7">
        <f t="shared" ref="G34" si="180">G33+F34</f>
        <v>1.0058</v>
      </c>
      <c r="H34" s="7">
        <v>425.358</v>
      </c>
      <c r="I34" s="5">
        <f t="shared" ref="I34" si="181">G34*H34</f>
        <v>427.83</v>
      </c>
      <c r="J34" s="5">
        <f t="shared" ref="J34" si="182">I34-E34</f>
        <v>133.82</v>
      </c>
      <c r="K34" s="19">
        <f t="shared" ref="K34" si="183">J34/E34</f>
        <v>0.45519999999999999</v>
      </c>
      <c r="L34" s="5">
        <f t="shared" ref="L34" si="184">I34-C34</f>
        <v>127.83</v>
      </c>
      <c r="M34" s="19">
        <f t="shared" ref="M34" si="185">L34/C34</f>
        <v>0.42609999999999998</v>
      </c>
      <c r="Z34" s="1"/>
      <c r="AA34" s="23"/>
      <c r="AB34" s="6"/>
    </row>
    <row r="35" spans="1:28" x14ac:dyDescent="0.25">
      <c r="AA35" s="24"/>
      <c r="AB35" s="2"/>
    </row>
    <row r="36" spans="1:28" x14ac:dyDescent="0.25">
      <c r="AA36" s="24"/>
      <c r="AB36" s="2"/>
    </row>
    <row r="37" spans="1:28" x14ac:dyDescent="0.25">
      <c r="AA37" s="24"/>
      <c r="AB37" s="2"/>
    </row>
    <row r="38" spans="1:28" x14ac:dyDescent="0.25">
      <c r="AA38" s="24"/>
      <c r="AB38" s="2"/>
    </row>
    <row r="39" spans="1:28" x14ac:dyDescent="0.25">
      <c r="AA39" s="24"/>
      <c r="AB39" s="2"/>
    </row>
    <row r="40" spans="1:28" x14ac:dyDescent="0.25">
      <c r="AA40" s="24"/>
      <c r="AB40" s="2"/>
    </row>
    <row r="41" spans="1:28" x14ac:dyDescent="0.25">
      <c r="AA41" s="24"/>
      <c r="AB41" s="2"/>
    </row>
    <row r="42" spans="1:28" x14ac:dyDescent="0.25">
      <c r="AA42" s="24"/>
      <c r="AB42" s="2"/>
    </row>
    <row r="43" spans="1:28" x14ac:dyDescent="0.25">
      <c r="AA43" s="24"/>
      <c r="AB43" s="2"/>
    </row>
    <row r="44" spans="1:28" x14ac:dyDescent="0.25">
      <c r="AA44" s="24"/>
      <c r="AB44" s="2"/>
    </row>
    <row r="45" spans="1:28" x14ac:dyDescent="0.25">
      <c r="AA45" s="24"/>
      <c r="AB45" s="2"/>
    </row>
    <row r="46" spans="1:28" x14ac:dyDescent="0.25">
      <c r="AA46" s="24"/>
      <c r="AB46" s="2"/>
    </row>
    <row r="47" spans="1:28" x14ac:dyDescent="0.25">
      <c r="AA47" s="24"/>
      <c r="AB47" s="2"/>
    </row>
    <row r="48" spans="1:28" x14ac:dyDescent="0.25">
      <c r="AA48" s="24"/>
      <c r="AB48" s="2"/>
    </row>
    <row r="49" spans="27:28" x14ac:dyDescent="0.25">
      <c r="AA49" s="24"/>
      <c r="AB49" s="2"/>
    </row>
    <row r="50" spans="27:28" x14ac:dyDescent="0.25">
      <c r="AA50" s="24"/>
      <c r="AB50" s="2"/>
    </row>
    <row r="51" spans="27:28" x14ac:dyDescent="0.25">
      <c r="AA51" s="24"/>
      <c r="AB51" s="2"/>
    </row>
    <row r="52" spans="27:28" x14ac:dyDescent="0.25">
      <c r="AA52" s="24"/>
      <c r="AB52" s="2"/>
    </row>
    <row r="53" spans="27:28" x14ac:dyDescent="0.25">
      <c r="AA53" s="24"/>
      <c r="AB53" s="2"/>
    </row>
    <row r="54" spans="27:28" x14ac:dyDescent="0.25">
      <c r="AA54" s="24"/>
      <c r="AB54" s="2"/>
    </row>
    <row r="55" spans="27:28" x14ac:dyDescent="0.25">
      <c r="AA55" s="24"/>
      <c r="AB55" s="2"/>
    </row>
    <row r="56" spans="27:28" x14ac:dyDescent="0.25">
      <c r="AA56" s="24"/>
      <c r="AB56" s="2"/>
    </row>
    <row r="57" spans="27:28" x14ac:dyDescent="0.25">
      <c r="AA57" s="24"/>
      <c r="AB57" s="2"/>
    </row>
    <row r="58" spans="27:28" x14ac:dyDescent="0.25">
      <c r="AA58" s="24"/>
      <c r="AB58" s="2"/>
    </row>
    <row r="59" spans="27:28" x14ac:dyDescent="0.25">
      <c r="AA59" s="24"/>
      <c r="AB59" s="2"/>
    </row>
    <row r="60" spans="27:28" x14ac:dyDescent="0.25">
      <c r="AA60" s="24"/>
      <c r="AB60" s="2"/>
    </row>
    <row r="61" spans="27:28" x14ac:dyDescent="0.25">
      <c r="AA61" s="24"/>
      <c r="AB61" s="2"/>
    </row>
    <row r="62" spans="27:28" x14ac:dyDescent="0.25">
      <c r="AA62" s="24"/>
      <c r="AB62" s="2"/>
    </row>
    <row r="63" spans="27:28" x14ac:dyDescent="0.25">
      <c r="AA63" s="24"/>
      <c r="AB63" s="2"/>
    </row>
    <row r="64" spans="27:28" x14ac:dyDescent="0.25">
      <c r="AA64" s="24"/>
      <c r="AB64" s="2"/>
    </row>
    <row r="65" spans="27:28" x14ac:dyDescent="0.25">
      <c r="AA65" s="24"/>
      <c r="AB65" s="2"/>
    </row>
    <row r="66" spans="27:28" x14ac:dyDescent="0.25">
      <c r="AA66" s="24"/>
      <c r="AB66" s="2"/>
    </row>
    <row r="67" spans="27:28" x14ac:dyDescent="0.25">
      <c r="AA67" s="24"/>
      <c r="AB67" s="2"/>
    </row>
    <row r="68" spans="27:28" x14ac:dyDescent="0.25">
      <c r="AA68" s="24"/>
      <c r="AB68" s="2"/>
    </row>
    <row r="69" spans="27:28" x14ac:dyDescent="0.25">
      <c r="AA69" s="24"/>
      <c r="AB69" s="2"/>
    </row>
    <row r="70" spans="27:28" x14ac:dyDescent="0.25">
      <c r="AA70" s="24"/>
      <c r="AB70" s="2"/>
    </row>
    <row r="71" spans="27:28" x14ac:dyDescent="0.25">
      <c r="AA71" s="24"/>
      <c r="AB71" s="2"/>
    </row>
    <row r="72" spans="27:28" x14ac:dyDescent="0.25">
      <c r="AA72" s="24"/>
      <c r="AB72" s="2"/>
    </row>
    <row r="73" spans="27:28" x14ac:dyDescent="0.25">
      <c r="AA73" s="24"/>
      <c r="AB73" s="2"/>
    </row>
    <row r="74" spans="27:28" x14ac:dyDescent="0.25">
      <c r="AA74" s="24"/>
      <c r="AB74" s="2"/>
    </row>
    <row r="75" spans="27:28" x14ac:dyDescent="0.25">
      <c r="AA75" s="24"/>
      <c r="AB75" s="2"/>
    </row>
    <row r="76" spans="27:28" x14ac:dyDescent="0.25">
      <c r="AA76" s="24"/>
      <c r="AB76" s="2"/>
    </row>
    <row r="77" spans="27:28" x14ac:dyDescent="0.25">
      <c r="AA77" s="24"/>
      <c r="AB77" s="2"/>
    </row>
    <row r="78" spans="27:28" x14ac:dyDescent="0.25">
      <c r="AA78" s="24"/>
      <c r="AB78" s="2"/>
    </row>
    <row r="79" spans="27:28" x14ac:dyDescent="0.25">
      <c r="AA79" s="24"/>
      <c r="AB79" s="2"/>
    </row>
    <row r="80" spans="27:28" x14ac:dyDescent="0.25">
      <c r="AA80" s="24"/>
      <c r="AB80" s="2"/>
    </row>
    <row r="81" spans="27:28" x14ac:dyDescent="0.25">
      <c r="AA81" s="24"/>
      <c r="AB81" s="2"/>
    </row>
    <row r="82" spans="27:28" x14ac:dyDescent="0.25">
      <c r="AA82" s="24"/>
      <c r="AB82" s="2"/>
    </row>
    <row r="83" spans="27:28" x14ac:dyDescent="0.25">
      <c r="AA83" s="24"/>
      <c r="AB83" s="2"/>
    </row>
    <row r="84" spans="27:28" x14ac:dyDescent="0.25">
      <c r="AA84" s="24"/>
      <c r="AB84" s="2"/>
    </row>
    <row r="85" spans="27:28" x14ac:dyDescent="0.25">
      <c r="AA85" s="24"/>
      <c r="AB85" s="2"/>
    </row>
    <row r="86" spans="27:28" x14ac:dyDescent="0.25">
      <c r="AA86" s="24"/>
      <c r="AB86" s="2"/>
    </row>
    <row r="87" spans="27:28" x14ac:dyDescent="0.25">
      <c r="AA87" s="24"/>
      <c r="AB87" s="2"/>
    </row>
    <row r="88" spans="27:28" x14ac:dyDescent="0.25">
      <c r="AA88" s="24"/>
      <c r="AB88" s="2"/>
    </row>
    <row r="89" spans="27:28" x14ac:dyDescent="0.25">
      <c r="AA89" s="24"/>
      <c r="AB89" s="2"/>
    </row>
    <row r="90" spans="27:28" x14ac:dyDescent="0.25">
      <c r="AA90" s="24"/>
      <c r="AB90" s="2"/>
    </row>
    <row r="91" spans="27:28" x14ac:dyDescent="0.25">
      <c r="AA91" s="24"/>
      <c r="AB91" s="2"/>
    </row>
    <row r="92" spans="27:28" x14ac:dyDescent="0.25">
      <c r="AA92" s="24"/>
      <c r="AB92" s="2"/>
    </row>
    <row r="93" spans="27:28" x14ac:dyDescent="0.25">
      <c r="AA93" s="24"/>
      <c r="AB93" s="2"/>
    </row>
    <row r="94" spans="27:28" x14ac:dyDescent="0.25">
      <c r="AA94" s="24"/>
      <c r="AB94" s="2"/>
    </row>
    <row r="95" spans="27:28" x14ac:dyDescent="0.25">
      <c r="AA95" s="24"/>
      <c r="AB95" s="2"/>
    </row>
    <row r="96" spans="27:28" x14ac:dyDescent="0.25">
      <c r="AA96" s="24"/>
      <c r="AB96" s="2"/>
    </row>
    <row r="97" spans="27:28" x14ac:dyDescent="0.25">
      <c r="AA97" s="24"/>
      <c r="AB97" s="2"/>
    </row>
    <row r="98" spans="27:28" x14ac:dyDescent="0.25">
      <c r="AA98" s="24"/>
      <c r="AB98" s="2"/>
    </row>
    <row r="99" spans="27:28" x14ac:dyDescent="0.25">
      <c r="AA99" s="24"/>
      <c r="AB99" s="2"/>
    </row>
    <row r="100" spans="27:28" x14ac:dyDescent="0.25">
      <c r="AA100" s="24"/>
      <c r="AB100" s="2"/>
    </row>
    <row r="101" spans="27:28" x14ac:dyDescent="0.25">
      <c r="AA101" s="24"/>
      <c r="AB101" s="2"/>
    </row>
    <row r="102" spans="27:28" x14ac:dyDescent="0.25">
      <c r="AA102" s="24"/>
      <c r="AB102" s="2"/>
    </row>
    <row r="103" spans="27:28" x14ac:dyDescent="0.25">
      <c r="AA103" s="24"/>
      <c r="AB103" s="2"/>
    </row>
    <row r="104" spans="27:28" x14ac:dyDescent="0.25">
      <c r="AA104" s="24"/>
      <c r="AB104" s="2"/>
    </row>
    <row r="105" spans="27:28" x14ac:dyDescent="0.25">
      <c r="AA105" s="24"/>
      <c r="AB105" s="2"/>
    </row>
    <row r="106" spans="27:28" x14ac:dyDescent="0.25">
      <c r="AA106" s="24"/>
      <c r="AB106" s="2"/>
    </row>
    <row r="107" spans="27:28" x14ac:dyDescent="0.25">
      <c r="AA107" s="24"/>
      <c r="AB107" s="2"/>
    </row>
    <row r="108" spans="27:28" x14ac:dyDescent="0.25">
      <c r="AA108" s="24"/>
      <c r="AB108" s="2"/>
    </row>
    <row r="109" spans="27:28" x14ac:dyDescent="0.25">
      <c r="AA109" s="24"/>
      <c r="AB109" s="2"/>
    </row>
    <row r="110" spans="27:28" x14ac:dyDescent="0.25">
      <c r="AA110" s="24"/>
      <c r="AB110" s="2"/>
    </row>
    <row r="111" spans="27:28" x14ac:dyDescent="0.25">
      <c r="AA111" s="24"/>
      <c r="AB111" s="2"/>
    </row>
    <row r="112" spans="27:28" x14ac:dyDescent="0.25">
      <c r="AA112" s="24"/>
      <c r="AB112" s="2"/>
    </row>
    <row r="113" spans="27:28" x14ac:dyDescent="0.25">
      <c r="AA113" s="24"/>
      <c r="AB113" s="2"/>
    </row>
    <row r="114" spans="27:28" x14ac:dyDescent="0.25">
      <c r="AA114" s="24"/>
      <c r="AB114" s="2"/>
    </row>
    <row r="115" spans="27:28" x14ac:dyDescent="0.25">
      <c r="AA115" s="24"/>
      <c r="AB115" s="2"/>
    </row>
    <row r="116" spans="27:28" x14ac:dyDescent="0.25">
      <c r="AA116" s="24"/>
      <c r="AB116" s="2"/>
    </row>
    <row r="117" spans="27:28" x14ac:dyDescent="0.25">
      <c r="AA117" s="24"/>
      <c r="AB117" s="2"/>
    </row>
    <row r="118" spans="27:28" x14ac:dyDescent="0.25">
      <c r="AA118" s="24"/>
      <c r="AB118" s="2"/>
    </row>
    <row r="119" spans="27:28" x14ac:dyDescent="0.25">
      <c r="AA119" s="24"/>
      <c r="AB119" s="2"/>
    </row>
    <row r="120" spans="27:28" x14ac:dyDescent="0.25">
      <c r="AA120" s="24"/>
      <c r="AB120" s="2"/>
    </row>
    <row r="121" spans="27:28" x14ac:dyDescent="0.25">
      <c r="AA121" s="24"/>
      <c r="AB121" s="2"/>
    </row>
    <row r="122" spans="27:28" x14ac:dyDescent="0.25">
      <c r="AA122" s="24"/>
      <c r="AB122" s="2"/>
    </row>
    <row r="123" spans="27:28" x14ac:dyDescent="0.25">
      <c r="AA123" s="24"/>
      <c r="AB123" s="2"/>
    </row>
    <row r="124" spans="27:28" x14ac:dyDescent="0.25">
      <c r="AA124" s="24"/>
      <c r="AB124" s="2"/>
    </row>
    <row r="125" spans="27:28" x14ac:dyDescent="0.25">
      <c r="AA125" s="24"/>
      <c r="AB125" s="2"/>
    </row>
    <row r="126" spans="27:28" x14ac:dyDescent="0.25">
      <c r="AA126" s="24"/>
      <c r="AB126" s="2"/>
    </row>
    <row r="127" spans="27:28" x14ac:dyDescent="0.25">
      <c r="AA127" s="24"/>
      <c r="AB127" s="2"/>
    </row>
    <row r="128" spans="27:28" x14ac:dyDescent="0.25">
      <c r="AA128" s="24"/>
      <c r="AB128" s="2"/>
    </row>
    <row r="129" spans="27:28" x14ac:dyDescent="0.25">
      <c r="AA129" s="24"/>
      <c r="AB129" s="2"/>
    </row>
    <row r="130" spans="27:28" x14ac:dyDescent="0.25">
      <c r="AA130" s="24"/>
      <c r="AB130" s="2"/>
    </row>
    <row r="131" spans="27:28" x14ac:dyDescent="0.25">
      <c r="AA131" s="24"/>
      <c r="AB131" s="2"/>
    </row>
    <row r="132" spans="27:28" x14ac:dyDescent="0.25">
      <c r="AA132" s="24"/>
      <c r="AB132" s="2"/>
    </row>
    <row r="133" spans="27:28" x14ac:dyDescent="0.25">
      <c r="AA133" s="24"/>
      <c r="AB133" s="2"/>
    </row>
    <row r="134" spans="27:28" x14ac:dyDescent="0.25">
      <c r="AA134" s="24"/>
      <c r="AB134" s="2"/>
    </row>
    <row r="135" spans="27:28" x14ac:dyDescent="0.25">
      <c r="AA135" s="24"/>
      <c r="AB135" s="2"/>
    </row>
    <row r="136" spans="27:28" x14ac:dyDescent="0.25">
      <c r="AA136" s="24"/>
      <c r="AB136" s="2"/>
    </row>
    <row r="137" spans="27:28" x14ac:dyDescent="0.25">
      <c r="AA137" s="24"/>
      <c r="AB137" s="2"/>
    </row>
    <row r="138" spans="27:28" x14ac:dyDescent="0.25">
      <c r="AA138" s="24"/>
      <c r="AB138" s="2"/>
    </row>
    <row r="139" spans="27:28" x14ac:dyDescent="0.25">
      <c r="AA139" s="24"/>
      <c r="AB139" s="2"/>
    </row>
    <row r="140" spans="27:28" x14ac:dyDescent="0.25">
      <c r="AA140" s="24"/>
      <c r="AB140" s="2"/>
    </row>
    <row r="141" spans="27:28" x14ac:dyDescent="0.25">
      <c r="AA141" s="24"/>
      <c r="AB141" s="2"/>
    </row>
    <row r="142" spans="27:28" x14ac:dyDescent="0.25">
      <c r="AA142" s="24"/>
      <c r="AB142" s="2"/>
    </row>
    <row r="143" spans="27:28" x14ac:dyDescent="0.25">
      <c r="AA143" s="24"/>
      <c r="AB143" s="2"/>
    </row>
    <row r="144" spans="27:28" x14ac:dyDescent="0.25">
      <c r="AA144" s="24"/>
      <c r="AB144" s="2"/>
    </row>
    <row r="145" spans="27:28" x14ac:dyDescent="0.25">
      <c r="AA145" s="24"/>
      <c r="AB145" s="2"/>
    </row>
    <row r="146" spans="27:28" x14ac:dyDescent="0.25">
      <c r="AA146" s="24"/>
      <c r="AB146" s="2"/>
    </row>
    <row r="147" spans="27:28" x14ac:dyDescent="0.25">
      <c r="AA147" s="24"/>
      <c r="AB147" s="2"/>
    </row>
    <row r="148" spans="27:28" x14ac:dyDescent="0.25">
      <c r="AA148" s="24"/>
      <c r="AB148" s="2"/>
    </row>
    <row r="149" spans="27:28" x14ac:dyDescent="0.25">
      <c r="AA149" s="24"/>
      <c r="AB149" s="2"/>
    </row>
    <row r="150" spans="27:28" x14ac:dyDescent="0.25">
      <c r="AA150" s="24"/>
      <c r="AB150" s="2"/>
    </row>
    <row r="151" spans="27:28" x14ac:dyDescent="0.25">
      <c r="AA151" s="24"/>
      <c r="AB151" s="2"/>
    </row>
    <row r="152" spans="27:28" x14ac:dyDescent="0.25">
      <c r="AA152" s="24"/>
      <c r="AB152" s="2"/>
    </row>
    <row r="153" spans="27:28" x14ac:dyDescent="0.25">
      <c r="AA153" s="24"/>
      <c r="AB153" s="2"/>
    </row>
    <row r="154" spans="27:28" x14ac:dyDescent="0.25">
      <c r="AA154" s="24"/>
      <c r="AB154" s="2"/>
    </row>
    <row r="155" spans="27:28" x14ac:dyDescent="0.25">
      <c r="AA155" s="24"/>
      <c r="AB155" s="2"/>
    </row>
    <row r="156" spans="27:28" x14ac:dyDescent="0.25">
      <c r="AA156" s="24"/>
      <c r="AB156" s="2"/>
    </row>
    <row r="157" spans="27:28" x14ac:dyDescent="0.25">
      <c r="AA157" s="24"/>
      <c r="AB157" s="2"/>
    </row>
    <row r="158" spans="27:28" x14ac:dyDescent="0.25">
      <c r="AA158" s="24"/>
      <c r="AB158" s="2"/>
    </row>
    <row r="159" spans="27:28" x14ac:dyDescent="0.25">
      <c r="AA159" s="24"/>
      <c r="AB159" s="2"/>
    </row>
    <row r="160" spans="27:28" x14ac:dyDescent="0.25">
      <c r="AA160" s="24"/>
      <c r="AB160" s="2"/>
    </row>
    <row r="161" spans="27:28" x14ac:dyDescent="0.25">
      <c r="AA161" s="24"/>
      <c r="AB161" s="2"/>
    </row>
    <row r="162" spans="27:28" x14ac:dyDescent="0.25">
      <c r="AA162" s="24"/>
      <c r="AB162" s="2"/>
    </row>
    <row r="163" spans="27:28" x14ac:dyDescent="0.25">
      <c r="AA163" s="24"/>
      <c r="AB163" s="2"/>
    </row>
    <row r="164" spans="27:28" x14ac:dyDescent="0.25">
      <c r="AA164" s="24"/>
      <c r="AB164" s="2"/>
    </row>
    <row r="165" spans="27:28" x14ac:dyDescent="0.25">
      <c r="AA165" s="24"/>
      <c r="AB165" s="2"/>
    </row>
    <row r="166" spans="27:28" x14ac:dyDescent="0.25">
      <c r="AA166" s="24"/>
      <c r="AB166" s="2"/>
    </row>
    <row r="167" spans="27:28" x14ac:dyDescent="0.25">
      <c r="AA167" s="24"/>
      <c r="AB167" s="2"/>
    </row>
    <row r="168" spans="27:28" x14ac:dyDescent="0.25">
      <c r="AA168" s="24"/>
      <c r="AB168" s="2"/>
    </row>
    <row r="169" spans="27:28" x14ac:dyDescent="0.25">
      <c r="AA169" s="24"/>
      <c r="AB169" s="2"/>
    </row>
    <row r="170" spans="27:28" x14ac:dyDescent="0.25">
      <c r="AA170" s="24"/>
      <c r="AB170" s="2"/>
    </row>
    <row r="171" spans="27:28" x14ac:dyDescent="0.25">
      <c r="AA171" s="24"/>
      <c r="AB171" s="2"/>
    </row>
    <row r="172" spans="27:28" x14ac:dyDescent="0.25">
      <c r="AA172" s="24"/>
      <c r="AB172" s="2"/>
    </row>
    <row r="173" spans="27:28" x14ac:dyDescent="0.25">
      <c r="AA173" s="24"/>
      <c r="AB173" s="2"/>
    </row>
    <row r="174" spans="27:28" x14ac:dyDescent="0.25">
      <c r="AA174" s="24"/>
      <c r="AB174" s="2"/>
    </row>
    <row r="175" spans="27:28" x14ac:dyDescent="0.25">
      <c r="AA175" s="24"/>
      <c r="AB175" s="2"/>
    </row>
    <row r="176" spans="27:28" x14ac:dyDescent="0.25">
      <c r="AA176" s="24"/>
      <c r="AB176" s="2"/>
    </row>
    <row r="177" spans="27:28" x14ac:dyDescent="0.25">
      <c r="AA177" s="24"/>
      <c r="AB177" s="2"/>
    </row>
    <row r="178" spans="27:28" x14ac:dyDescent="0.25">
      <c r="AA178" s="24"/>
      <c r="AB178" s="2"/>
    </row>
    <row r="179" spans="27:28" x14ac:dyDescent="0.25">
      <c r="AA179" s="24"/>
      <c r="AB179" s="2"/>
    </row>
    <row r="180" spans="27:28" x14ac:dyDescent="0.25">
      <c r="AA180" s="24"/>
      <c r="AB180" s="2"/>
    </row>
    <row r="181" spans="27:28" x14ac:dyDescent="0.25">
      <c r="AA181" s="24"/>
      <c r="AB181" s="2"/>
    </row>
    <row r="182" spans="27:28" x14ac:dyDescent="0.25">
      <c r="AA182" s="24"/>
      <c r="AB182" s="2"/>
    </row>
    <row r="183" spans="27:28" x14ac:dyDescent="0.25">
      <c r="AA183" s="24"/>
      <c r="AB183" s="2"/>
    </row>
    <row r="184" spans="27:28" x14ac:dyDescent="0.25">
      <c r="AA184" s="24"/>
      <c r="AB184" s="2"/>
    </row>
    <row r="185" spans="27:28" x14ac:dyDescent="0.25">
      <c r="AA185" s="24"/>
      <c r="AB185" s="2"/>
    </row>
    <row r="186" spans="27:28" x14ac:dyDescent="0.25">
      <c r="AA186" s="24"/>
      <c r="AB186" s="2"/>
    </row>
    <row r="187" spans="27:28" x14ac:dyDescent="0.25">
      <c r="AA187" s="24"/>
      <c r="AB187" s="2"/>
    </row>
    <row r="188" spans="27:28" x14ac:dyDescent="0.25">
      <c r="AA188" s="24"/>
      <c r="AB188" s="2"/>
    </row>
    <row r="189" spans="27:28" x14ac:dyDescent="0.25">
      <c r="AA189" s="24"/>
      <c r="AB189" s="2"/>
    </row>
    <row r="190" spans="27:28" x14ac:dyDescent="0.25">
      <c r="AA190" s="24"/>
      <c r="AB190" s="2"/>
    </row>
    <row r="191" spans="27:28" x14ac:dyDescent="0.25">
      <c r="AA191" s="24"/>
      <c r="AB191" s="2"/>
    </row>
    <row r="192" spans="27:28" x14ac:dyDescent="0.25">
      <c r="AA192" s="24"/>
      <c r="AB192" s="2"/>
    </row>
    <row r="193" spans="27:28" x14ac:dyDescent="0.25">
      <c r="AA193" s="24"/>
      <c r="AB193" s="2"/>
    </row>
    <row r="194" spans="27:28" x14ac:dyDescent="0.25">
      <c r="AA194" s="24"/>
      <c r="AB194" s="2"/>
    </row>
    <row r="195" spans="27:28" x14ac:dyDescent="0.25">
      <c r="AA195" s="24"/>
      <c r="AB195" s="2"/>
    </row>
    <row r="196" spans="27:28" x14ac:dyDescent="0.25">
      <c r="AA196" s="24"/>
      <c r="AB196" s="2"/>
    </row>
    <row r="197" spans="27:28" x14ac:dyDescent="0.25">
      <c r="AA197" s="24"/>
      <c r="AB197" s="2"/>
    </row>
    <row r="198" spans="27:28" x14ac:dyDescent="0.25">
      <c r="AA198" s="24"/>
      <c r="AB198" s="2"/>
    </row>
    <row r="199" spans="27:28" x14ac:dyDescent="0.25">
      <c r="AA199" s="24"/>
      <c r="AB199" s="2"/>
    </row>
    <row r="200" spans="27:28" x14ac:dyDescent="0.25">
      <c r="AA200" s="24">
        <f ca="1">TODAY()</f>
        <v>46295</v>
      </c>
      <c r="AB200" s="5" cm="1">
        <f t="array" ref="AB200">LOOKUP(2,1/(I:I&gt;0),I:I)</f>
        <v>427.83</v>
      </c>
    </row>
  </sheetData>
  <pageMargins left="0.7" right="0.7" top="0.75" bottom="0.75" header="0.3" footer="0.3"/>
  <pageSetup orientation="portrait" r:id="rId1"/>
  <ignoredErrors>
    <ignoredError sqref="D2:D4 F2:F4 D5:D34 F5:F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2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1" sqref="H31"/>
    </sheetView>
  </sheetViews>
  <sheetFormatPr defaultRowHeight="15" x14ac:dyDescent="0.25"/>
  <cols>
    <col min="1" max="1" width="15.7109375" style="1" customWidth="1"/>
    <col min="2" max="13" width="10.7109375" customWidth="1"/>
    <col min="26" max="26" width="10.7109375" customWidth="1"/>
    <col min="27" max="27" width="10.7109375" style="20" customWidth="1"/>
    <col min="28" max="28" width="10.7109375" customWidth="1"/>
  </cols>
  <sheetData>
    <row r="1" spans="1:28" x14ac:dyDescent="0.25">
      <c r="A1" s="3" t="s">
        <v>39</v>
      </c>
      <c r="B1" s="3" t="s">
        <v>4</v>
      </c>
      <c r="C1" s="3" t="s">
        <v>36</v>
      </c>
      <c r="D1" s="3" t="s">
        <v>33</v>
      </c>
      <c r="E1" s="3" t="s">
        <v>36</v>
      </c>
      <c r="F1" s="3" t="s">
        <v>1</v>
      </c>
      <c r="G1" s="3" t="s">
        <v>11</v>
      </c>
      <c r="H1" s="3" t="s">
        <v>10</v>
      </c>
      <c r="I1" s="3" t="s">
        <v>12</v>
      </c>
      <c r="J1" s="3" t="s">
        <v>28</v>
      </c>
      <c r="K1" s="3" t="s">
        <v>13</v>
      </c>
      <c r="L1" s="3" t="s">
        <v>38</v>
      </c>
      <c r="M1" s="3" t="s">
        <v>37</v>
      </c>
      <c r="Z1" s="21" t="s">
        <v>46</v>
      </c>
      <c r="AA1" s="22" t="s">
        <v>45</v>
      </c>
      <c r="AB1" s="3" t="s">
        <v>30</v>
      </c>
    </row>
    <row r="2" spans="1:28" x14ac:dyDescent="0.25">
      <c r="A2" s="6" t="str">
        <f>'2024.05'!A1</f>
        <v>2024.05</v>
      </c>
      <c r="B2" s="5">
        <f>'2024.05'!B18</f>
        <v>50</v>
      </c>
      <c r="C2" s="5">
        <f>B2</f>
        <v>50</v>
      </c>
      <c r="D2" s="5">
        <f>'2024.05'!C18</f>
        <v>49</v>
      </c>
      <c r="E2" s="5">
        <f>D2</f>
        <v>49</v>
      </c>
      <c r="F2" s="7">
        <f>'2024.05'!F18</f>
        <v>0.5081</v>
      </c>
      <c r="G2" s="7">
        <f>F2</f>
        <v>0.5081</v>
      </c>
      <c r="H2" s="7">
        <v>93.65</v>
      </c>
      <c r="I2" s="5">
        <f t="shared" ref="I2:I16" si="0">G2*H2</f>
        <v>47.58</v>
      </c>
      <c r="J2" s="5">
        <f t="shared" ref="J2:J16" si="1">I2-E2</f>
        <v>-1.42</v>
      </c>
      <c r="K2" s="19">
        <f>J2/E2</f>
        <v>-2.9000000000000001E-2</v>
      </c>
      <c r="L2" s="5">
        <f t="shared" ref="L2:L16" si="2">I2-C2</f>
        <v>-2.42</v>
      </c>
      <c r="M2" s="19">
        <f>L2/C2</f>
        <v>-4.8399999999999999E-2</v>
      </c>
      <c r="Z2" s="25">
        <f ca="1">XIRR(AB2:AB200,AA2:AA200)</f>
        <v>0.21290000000000001</v>
      </c>
      <c r="AA2" s="23">
        <f>'2024.05'!$A$13</f>
        <v>45439</v>
      </c>
      <c r="AB2" s="5">
        <f>'2024.05'!$B$13*-1</f>
        <v>-50</v>
      </c>
    </row>
    <row r="3" spans="1:28" x14ac:dyDescent="0.25">
      <c r="A3" s="6" t="str">
        <f>'2024.06'!A1</f>
        <v>2024.06</v>
      </c>
      <c r="B3" s="5">
        <f>'2024.06'!B18</f>
        <v>0</v>
      </c>
      <c r="C3" s="5">
        <f t="shared" ref="C3:C16" si="3">C2+B3</f>
        <v>50</v>
      </c>
      <c r="D3" s="5">
        <f>'2024.06'!C18</f>
        <v>0</v>
      </c>
      <c r="E3" s="5">
        <f t="shared" ref="E3:E16" si="4">E2+D3</f>
        <v>49</v>
      </c>
      <c r="F3" s="7">
        <f>'2024.06'!F18</f>
        <v>0</v>
      </c>
      <c r="G3" s="7">
        <f t="shared" ref="G3:G16" si="5">G2+F3</f>
        <v>0.5081</v>
      </c>
      <c r="H3" s="7">
        <v>98.129900000000006</v>
      </c>
      <c r="I3" s="5">
        <f t="shared" si="0"/>
        <v>49.86</v>
      </c>
      <c r="J3" s="5">
        <f t="shared" si="1"/>
        <v>0.86</v>
      </c>
      <c r="K3" s="19">
        <f t="shared" ref="K3:K21" si="6">J3/E3</f>
        <v>1.7600000000000001E-2</v>
      </c>
      <c r="L3" s="5">
        <f t="shared" si="2"/>
        <v>-0.14000000000000001</v>
      </c>
      <c r="M3" s="19">
        <f t="shared" ref="M3:M21" si="7">L3/C3</f>
        <v>-2.8E-3</v>
      </c>
      <c r="Z3" s="1"/>
      <c r="AA3" s="23"/>
      <c r="AB3" s="5"/>
    </row>
    <row r="4" spans="1:28" x14ac:dyDescent="0.25">
      <c r="A4" s="6" t="str">
        <f>'2024.07'!A1</f>
        <v>2024.07</v>
      </c>
      <c r="B4" s="5">
        <f>'2024.07'!B18</f>
        <v>0</v>
      </c>
      <c r="C4" s="5">
        <f t="shared" si="3"/>
        <v>50</v>
      </c>
      <c r="D4" s="5">
        <f>'2024.07'!C18</f>
        <v>0</v>
      </c>
      <c r="E4" s="5">
        <f t="shared" si="4"/>
        <v>49</v>
      </c>
      <c r="F4" s="7">
        <f>'2024.07'!F18</f>
        <v>0</v>
      </c>
      <c r="G4" s="7">
        <f t="shared" si="5"/>
        <v>0.5081</v>
      </c>
      <c r="H4" s="7">
        <v>97.635400000000004</v>
      </c>
      <c r="I4" s="5">
        <f t="shared" si="0"/>
        <v>49.61</v>
      </c>
      <c r="J4" s="5">
        <f t="shared" si="1"/>
        <v>0.61</v>
      </c>
      <c r="K4" s="19">
        <f t="shared" si="6"/>
        <v>1.24E-2</v>
      </c>
      <c r="L4" s="5">
        <f t="shared" si="2"/>
        <v>-0.39</v>
      </c>
      <c r="M4" s="19">
        <f t="shared" si="7"/>
        <v>-7.7999999999999996E-3</v>
      </c>
      <c r="Z4" s="1"/>
      <c r="AA4" s="23"/>
      <c r="AB4" s="5"/>
    </row>
    <row r="5" spans="1:28" x14ac:dyDescent="0.25">
      <c r="A5" s="6" t="str">
        <f>'2024.08'!A1</f>
        <v>2024.08</v>
      </c>
      <c r="B5" s="5">
        <f>'2024.08'!B18</f>
        <v>0</v>
      </c>
      <c r="C5" s="5">
        <f t="shared" si="3"/>
        <v>50</v>
      </c>
      <c r="D5" s="5">
        <f>'2024.08'!C18</f>
        <v>0</v>
      </c>
      <c r="E5" s="5">
        <f t="shared" si="4"/>
        <v>49</v>
      </c>
      <c r="F5" s="7">
        <f>'2024.08'!F18</f>
        <v>0</v>
      </c>
      <c r="G5" s="7">
        <f t="shared" si="5"/>
        <v>0.5081</v>
      </c>
      <c r="H5" s="7">
        <v>96.974000000000004</v>
      </c>
      <c r="I5" s="5">
        <f t="shared" si="0"/>
        <v>49.27</v>
      </c>
      <c r="J5" s="5">
        <f t="shared" si="1"/>
        <v>0.27</v>
      </c>
      <c r="K5" s="19">
        <f t="shared" si="6"/>
        <v>5.4999999999999997E-3</v>
      </c>
      <c r="L5" s="5">
        <f t="shared" si="2"/>
        <v>-0.73</v>
      </c>
      <c r="M5" s="19">
        <f t="shared" si="7"/>
        <v>-1.46E-2</v>
      </c>
      <c r="Z5" s="1"/>
      <c r="AA5" s="23"/>
      <c r="AB5" s="5"/>
    </row>
    <row r="6" spans="1:28" x14ac:dyDescent="0.25">
      <c r="A6" s="6" t="str">
        <f>'2024.09'!A1</f>
        <v>2024.09</v>
      </c>
      <c r="B6" s="5">
        <f>'2024.09'!B18</f>
        <v>0</v>
      </c>
      <c r="C6" s="5">
        <f t="shared" si="3"/>
        <v>50</v>
      </c>
      <c r="D6" s="5">
        <f>'2024.09'!C18</f>
        <v>0</v>
      </c>
      <c r="E6" s="5">
        <f t="shared" si="4"/>
        <v>49</v>
      </c>
      <c r="F6" s="7">
        <f>'2024.09'!F18</f>
        <v>0</v>
      </c>
      <c r="G6" s="7">
        <f t="shared" si="5"/>
        <v>0.5081</v>
      </c>
      <c r="H6" s="7">
        <v>103.0733</v>
      </c>
      <c r="I6" s="5">
        <f t="shared" si="0"/>
        <v>52.37</v>
      </c>
      <c r="J6" s="5">
        <f t="shared" si="1"/>
        <v>3.37</v>
      </c>
      <c r="K6" s="19">
        <f t="shared" si="6"/>
        <v>6.88E-2</v>
      </c>
      <c r="L6" s="5">
        <f t="shared" si="2"/>
        <v>2.37</v>
      </c>
      <c r="M6" s="19">
        <f t="shared" si="7"/>
        <v>4.7399999999999998E-2</v>
      </c>
      <c r="Z6" s="1"/>
      <c r="AA6" s="23"/>
      <c r="AB6" s="5"/>
    </row>
    <row r="7" spans="1:28" x14ac:dyDescent="0.25">
      <c r="A7" s="5" t="str">
        <f>'2024.10'!A1</f>
        <v>2024.10</v>
      </c>
      <c r="B7" s="5">
        <f>'2024.10'!B18</f>
        <v>0</v>
      </c>
      <c r="C7" s="5">
        <f t="shared" si="3"/>
        <v>50</v>
      </c>
      <c r="D7" s="5">
        <f>'2024.10'!C18</f>
        <v>0</v>
      </c>
      <c r="E7" s="5">
        <f t="shared" si="4"/>
        <v>49</v>
      </c>
      <c r="F7" s="7">
        <f>'2024.10'!F18</f>
        <v>0</v>
      </c>
      <c r="G7" s="7">
        <f t="shared" si="5"/>
        <v>0.5081</v>
      </c>
      <c r="H7" s="7">
        <v>101.377</v>
      </c>
      <c r="I7" s="5">
        <f t="shared" si="0"/>
        <v>51.51</v>
      </c>
      <c r="J7" s="5">
        <f t="shared" si="1"/>
        <v>2.5099999999999998</v>
      </c>
      <c r="K7" s="19">
        <f t="shared" si="6"/>
        <v>5.1200000000000002E-2</v>
      </c>
      <c r="L7" s="5">
        <f t="shared" si="2"/>
        <v>1.51</v>
      </c>
      <c r="M7" s="19">
        <f t="shared" si="7"/>
        <v>3.0200000000000001E-2</v>
      </c>
      <c r="Z7" s="1"/>
      <c r="AA7" s="23"/>
      <c r="AB7" s="6"/>
    </row>
    <row r="8" spans="1:28" x14ac:dyDescent="0.25">
      <c r="A8" s="5" t="str">
        <f>'2024.11'!A1</f>
        <v>2024.11</v>
      </c>
      <c r="B8" s="5">
        <f>'2024.11'!B18</f>
        <v>0</v>
      </c>
      <c r="C8" s="5">
        <f t="shared" si="3"/>
        <v>50</v>
      </c>
      <c r="D8" s="5">
        <f>'2024.11'!C18</f>
        <v>0</v>
      </c>
      <c r="E8" s="5">
        <f t="shared" si="4"/>
        <v>49</v>
      </c>
      <c r="F8" s="7">
        <f>'2024.11'!F18</f>
        <v>0</v>
      </c>
      <c r="G8" s="7">
        <f t="shared" si="5"/>
        <v>0.5081</v>
      </c>
      <c r="H8" s="7">
        <v>97.03</v>
      </c>
      <c r="I8" s="5">
        <f t="shared" si="0"/>
        <v>49.3</v>
      </c>
      <c r="J8" s="5">
        <f t="shared" si="1"/>
        <v>0.3</v>
      </c>
      <c r="K8" s="19">
        <f t="shared" si="6"/>
        <v>6.1000000000000004E-3</v>
      </c>
      <c r="L8" s="5">
        <f t="shared" si="2"/>
        <v>-0.7</v>
      </c>
      <c r="M8" s="19">
        <f t="shared" si="7"/>
        <v>-1.4E-2</v>
      </c>
      <c r="Z8" s="1"/>
      <c r="AA8" s="23"/>
      <c r="AB8" s="6"/>
    </row>
    <row r="9" spans="1:28" x14ac:dyDescent="0.25">
      <c r="A9" s="5" t="str">
        <f>'2024.12'!A1</f>
        <v>2024.12</v>
      </c>
      <c r="B9" s="5">
        <f>'2024.12'!B18</f>
        <v>0</v>
      </c>
      <c r="C9" s="5">
        <f t="shared" si="3"/>
        <v>50</v>
      </c>
      <c r="D9" s="5">
        <f>'2024.12'!C18</f>
        <v>0</v>
      </c>
      <c r="E9" s="5">
        <f t="shared" si="4"/>
        <v>49</v>
      </c>
      <c r="F9" s="7">
        <f>'2024.12'!F18</f>
        <v>0</v>
      </c>
      <c r="G9" s="7">
        <f t="shared" si="5"/>
        <v>0.5081</v>
      </c>
      <c r="H9" s="7">
        <v>97.103200000000001</v>
      </c>
      <c r="I9" s="5">
        <f t="shared" si="0"/>
        <v>49.34</v>
      </c>
      <c r="J9" s="5">
        <f t="shared" si="1"/>
        <v>0.34</v>
      </c>
      <c r="K9" s="19">
        <f t="shared" si="6"/>
        <v>6.8999999999999999E-3</v>
      </c>
      <c r="L9" s="5">
        <f t="shared" si="2"/>
        <v>-0.66</v>
      </c>
      <c r="M9" s="19">
        <f t="shared" si="7"/>
        <v>-1.32E-2</v>
      </c>
      <c r="Z9" s="1"/>
      <c r="AA9" s="23"/>
      <c r="AB9" s="6"/>
    </row>
    <row r="10" spans="1:28" x14ac:dyDescent="0.25">
      <c r="A10" s="5" t="str">
        <f>'2025.01'!A1</f>
        <v>2025.01</v>
      </c>
      <c r="B10" s="5">
        <f>'2025.01'!B18</f>
        <v>0</v>
      </c>
      <c r="C10" s="5">
        <f t="shared" si="3"/>
        <v>50</v>
      </c>
      <c r="D10" s="5">
        <f>'2025.01'!C18</f>
        <v>0</v>
      </c>
      <c r="E10" s="5">
        <f t="shared" si="4"/>
        <v>49</v>
      </c>
      <c r="F10" s="7">
        <f>'2025.01'!F18</f>
        <v>0</v>
      </c>
      <c r="G10" s="7">
        <f t="shared" si="5"/>
        <v>0.5081</v>
      </c>
      <c r="H10" s="7">
        <v>101.9461</v>
      </c>
      <c r="I10" s="5">
        <f t="shared" si="0"/>
        <v>51.8</v>
      </c>
      <c r="J10" s="5">
        <f t="shared" si="1"/>
        <v>2.8</v>
      </c>
      <c r="K10" s="19">
        <f t="shared" si="6"/>
        <v>5.7099999999999998E-2</v>
      </c>
      <c r="L10" s="5">
        <f t="shared" si="2"/>
        <v>1.8</v>
      </c>
      <c r="M10" s="19">
        <f t="shared" si="7"/>
        <v>3.5999999999999997E-2</v>
      </c>
      <c r="Z10" s="1"/>
      <c r="AA10" s="23"/>
      <c r="AB10" s="6"/>
    </row>
    <row r="11" spans="1:28" x14ac:dyDescent="0.25">
      <c r="A11" s="5" t="str">
        <f>'2025.02'!A1</f>
        <v>2025.02</v>
      </c>
      <c r="B11" s="5">
        <f>'2025.02'!B18</f>
        <v>0</v>
      </c>
      <c r="C11" s="5">
        <f t="shared" si="3"/>
        <v>50</v>
      </c>
      <c r="D11" s="5">
        <f>'2025.02'!C18</f>
        <v>0</v>
      </c>
      <c r="E11" s="5">
        <f t="shared" si="4"/>
        <v>49</v>
      </c>
      <c r="F11" s="7">
        <f>'2025.02'!F18</f>
        <v>0</v>
      </c>
      <c r="G11" s="7">
        <f t="shared" si="5"/>
        <v>0.5081</v>
      </c>
      <c r="H11" s="7">
        <v>108.6093</v>
      </c>
      <c r="I11" s="5">
        <f t="shared" si="0"/>
        <v>55.18</v>
      </c>
      <c r="J11" s="5">
        <f t="shared" si="1"/>
        <v>6.18</v>
      </c>
      <c r="K11" s="19">
        <f t="shared" si="6"/>
        <v>0.12609999999999999</v>
      </c>
      <c r="L11" s="5">
        <f t="shared" si="2"/>
        <v>5.18</v>
      </c>
      <c r="M11" s="19">
        <f t="shared" si="7"/>
        <v>0.1036</v>
      </c>
      <c r="Z11" s="1"/>
      <c r="AA11" s="23"/>
      <c r="AB11" s="6"/>
    </row>
    <row r="12" spans="1:28" x14ac:dyDescent="0.25">
      <c r="A12" s="5" t="str">
        <f>'2025.03'!A1</f>
        <v>2025.03</v>
      </c>
      <c r="B12" s="5">
        <f>'2025.03'!B18</f>
        <v>0</v>
      </c>
      <c r="C12" s="5">
        <f t="shared" si="3"/>
        <v>50</v>
      </c>
      <c r="D12" s="5">
        <f>'2025.03'!C18</f>
        <v>0</v>
      </c>
      <c r="E12" s="5">
        <f t="shared" si="4"/>
        <v>49</v>
      </c>
      <c r="F12" s="7">
        <f>'2025.03'!F18</f>
        <v>0</v>
      </c>
      <c r="G12" s="7">
        <f t="shared" si="5"/>
        <v>0.5081</v>
      </c>
      <c r="H12" s="7">
        <v>106.85590000000001</v>
      </c>
      <c r="I12" s="5">
        <f t="shared" si="0"/>
        <v>54.29</v>
      </c>
      <c r="J12" s="5">
        <f t="shared" si="1"/>
        <v>5.29</v>
      </c>
      <c r="K12" s="19">
        <f t="shared" si="6"/>
        <v>0.108</v>
      </c>
      <c r="L12" s="5">
        <f t="shared" si="2"/>
        <v>4.29</v>
      </c>
      <c r="M12" s="19">
        <f t="shared" si="7"/>
        <v>8.5800000000000001E-2</v>
      </c>
      <c r="Z12" s="1"/>
      <c r="AA12" s="23"/>
      <c r="AB12" s="6"/>
    </row>
    <row r="13" spans="1:28" x14ac:dyDescent="0.25">
      <c r="A13" s="5" t="str">
        <f>'2025.04'!A1</f>
        <v>2025.04</v>
      </c>
      <c r="B13" s="5">
        <f>'2025.04'!B18</f>
        <v>0</v>
      </c>
      <c r="C13" s="5">
        <f t="shared" si="3"/>
        <v>50</v>
      </c>
      <c r="D13" s="5">
        <f>'2025.04'!C18</f>
        <v>0</v>
      </c>
      <c r="E13" s="5">
        <f t="shared" si="4"/>
        <v>49</v>
      </c>
      <c r="F13" s="7">
        <f>'2025.04'!F18</f>
        <v>0</v>
      </c>
      <c r="G13" s="7">
        <f t="shared" si="5"/>
        <v>0.5081</v>
      </c>
      <c r="H13" s="7">
        <v>99.155500000000004</v>
      </c>
      <c r="I13" s="5">
        <f t="shared" si="0"/>
        <v>50.38</v>
      </c>
      <c r="J13" s="5">
        <f t="shared" si="1"/>
        <v>1.38</v>
      </c>
      <c r="K13" s="19">
        <f t="shared" si="6"/>
        <v>2.8199999999999999E-2</v>
      </c>
      <c r="L13" s="5">
        <f t="shared" si="2"/>
        <v>0.38</v>
      </c>
      <c r="M13" s="19">
        <f t="shared" si="7"/>
        <v>7.6E-3</v>
      </c>
      <c r="Z13" s="1"/>
      <c r="AA13" s="23"/>
      <c r="AB13" s="6"/>
    </row>
    <row r="14" spans="1:28" x14ac:dyDescent="0.25">
      <c r="A14" s="5" t="str">
        <f>'2025.05'!A1</f>
        <v>2025.05</v>
      </c>
      <c r="B14" s="5">
        <f>'2025.05'!B18</f>
        <v>0</v>
      </c>
      <c r="C14" s="5">
        <f t="shared" si="3"/>
        <v>50</v>
      </c>
      <c r="D14" s="5">
        <f>'2025.05'!C18</f>
        <v>0</v>
      </c>
      <c r="E14" s="5">
        <f t="shared" si="4"/>
        <v>49</v>
      </c>
      <c r="F14" s="7">
        <f>'2025.05'!F18</f>
        <v>0</v>
      </c>
      <c r="G14" s="7">
        <f t="shared" si="5"/>
        <v>0.5081</v>
      </c>
      <c r="H14" s="7">
        <v>101.90940000000001</v>
      </c>
      <c r="I14" s="5">
        <f t="shared" si="0"/>
        <v>51.78</v>
      </c>
      <c r="J14" s="5">
        <f t="shared" si="1"/>
        <v>2.78</v>
      </c>
      <c r="K14" s="19">
        <f t="shared" si="6"/>
        <v>5.67E-2</v>
      </c>
      <c r="L14" s="5">
        <f t="shared" si="2"/>
        <v>1.78</v>
      </c>
      <c r="M14" s="19">
        <f t="shared" si="7"/>
        <v>3.56E-2</v>
      </c>
      <c r="Z14" s="1"/>
      <c r="AA14" s="23"/>
      <c r="AB14" s="6"/>
    </row>
    <row r="15" spans="1:28" x14ac:dyDescent="0.25">
      <c r="A15" s="5" t="str">
        <f>'2025.06'!A1</f>
        <v>2025.06</v>
      </c>
      <c r="B15" s="5">
        <f>'2025.06'!B18</f>
        <v>0</v>
      </c>
      <c r="C15" s="5">
        <f t="shared" si="3"/>
        <v>50</v>
      </c>
      <c r="D15" s="5">
        <f>'2025.06'!C18</f>
        <v>0</v>
      </c>
      <c r="E15" s="5">
        <f t="shared" si="4"/>
        <v>49</v>
      </c>
      <c r="F15" s="7">
        <f>'2025.06'!F18</f>
        <v>0</v>
      </c>
      <c r="G15" s="7">
        <f t="shared" si="5"/>
        <v>0.5081</v>
      </c>
      <c r="H15" s="7">
        <v>103.337</v>
      </c>
      <c r="I15" s="5">
        <f t="shared" si="0"/>
        <v>52.51</v>
      </c>
      <c r="J15" s="5">
        <f t="shared" si="1"/>
        <v>3.51</v>
      </c>
      <c r="K15" s="19">
        <f t="shared" si="6"/>
        <v>7.1599999999999997E-2</v>
      </c>
      <c r="L15" s="5">
        <f t="shared" si="2"/>
        <v>2.5099999999999998</v>
      </c>
      <c r="M15" s="19">
        <f t="shared" si="7"/>
        <v>5.0200000000000002E-2</v>
      </c>
      <c r="Z15" s="1"/>
      <c r="AA15" s="23"/>
      <c r="AB15" s="6"/>
    </row>
    <row r="16" spans="1:28" x14ac:dyDescent="0.25">
      <c r="A16" s="5" t="str">
        <f>'2025.07'!A1</f>
        <v>2025.07</v>
      </c>
      <c r="B16" s="5">
        <f>'2025.07'!B18</f>
        <v>0</v>
      </c>
      <c r="C16" s="5">
        <f t="shared" si="3"/>
        <v>50</v>
      </c>
      <c r="D16" s="5">
        <f>'2025.07'!C18</f>
        <v>0</v>
      </c>
      <c r="E16" s="5">
        <f t="shared" si="4"/>
        <v>49</v>
      </c>
      <c r="F16" s="7">
        <f>'2025.07'!F18</f>
        <v>0</v>
      </c>
      <c r="G16" s="7">
        <f t="shared" si="5"/>
        <v>0.5081</v>
      </c>
      <c r="H16" s="7">
        <v>110.154</v>
      </c>
      <c r="I16" s="5">
        <f t="shared" si="0"/>
        <v>55.97</v>
      </c>
      <c r="J16" s="5">
        <f t="shared" si="1"/>
        <v>6.97</v>
      </c>
      <c r="K16" s="19">
        <f t="shared" si="6"/>
        <v>0.14219999999999999</v>
      </c>
      <c r="L16" s="5">
        <f t="shared" si="2"/>
        <v>5.97</v>
      </c>
      <c r="M16" s="19">
        <f t="shared" si="7"/>
        <v>0.11940000000000001</v>
      </c>
      <c r="Z16" s="1"/>
      <c r="AA16" s="23"/>
      <c r="AB16" s="6"/>
    </row>
    <row r="17" spans="1:28" x14ac:dyDescent="0.25">
      <c r="A17" s="5" t="str">
        <f>'2025.08'!A1</f>
        <v>2025.08</v>
      </c>
      <c r="B17" s="5">
        <f>'2025.08'!B18</f>
        <v>0</v>
      </c>
      <c r="C17" s="5">
        <f t="shared" ref="C17" si="8">C16+B17</f>
        <v>50</v>
      </c>
      <c r="D17" s="5">
        <f>'2025.08'!C18</f>
        <v>0</v>
      </c>
      <c r="E17" s="5">
        <f t="shared" ref="E17" si="9">E16+D17</f>
        <v>49</v>
      </c>
      <c r="F17" s="7">
        <f>'2025.08'!F18</f>
        <v>0</v>
      </c>
      <c r="G17" s="7">
        <f t="shared" ref="G17" si="10">G16+F17</f>
        <v>0.5081</v>
      </c>
      <c r="H17" s="7">
        <v>113.4161</v>
      </c>
      <c r="I17" s="5">
        <f t="shared" ref="I17" si="11">G17*H17</f>
        <v>57.63</v>
      </c>
      <c r="J17" s="5">
        <f t="shared" ref="J17" si="12">I17-E17</f>
        <v>8.6300000000000008</v>
      </c>
      <c r="K17" s="19">
        <f t="shared" si="6"/>
        <v>0.17610000000000001</v>
      </c>
      <c r="L17" s="5">
        <f t="shared" ref="L17" si="13">I17-C17</f>
        <v>7.63</v>
      </c>
      <c r="M17" s="19">
        <f t="shared" si="7"/>
        <v>0.15260000000000001</v>
      </c>
      <c r="Z17" s="1"/>
      <c r="AA17" s="23"/>
      <c r="AB17" s="6"/>
    </row>
    <row r="18" spans="1:28" x14ac:dyDescent="0.25">
      <c r="A18" s="5" t="str">
        <f>'2025.09'!A1</f>
        <v>2025.09</v>
      </c>
      <c r="B18" s="5">
        <f>'2025.09'!B18</f>
        <v>0</v>
      </c>
      <c r="C18" s="5">
        <f t="shared" ref="C18" si="14">C17+B18</f>
        <v>50</v>
      </c>
      <c r="D18" s="5">
        <f>'2025.09'!C18</f>
        <v>0</v>
      </c>
      <c r="E18" s="5">
        <f t="shared" ref="E18" si="15">E17+D18</f>
        <v>49</v>
      </c>
      <c r="F18" s="7">
        <f>'2025.09'!F18</f>
        <v>0</v>
      </c>
      <c r="G18" s="7">
        <f t="shared" ref="G18" si="16">G17+F18</f>
        <v>0.5081</v>
      </c>
      <c r="H18" s="7">
        <v>130.25139999999999</v>
      </c>
      <c r="I18" s="5">
        <f t="shared" ref="I18" si="17">G18*H18</f>
        <v>66.180000000000007</v>
      </c>
      <c r="J18" s="5">
        <f t="shared" ref="J18" si="18">I18-E18</f>
        <v>17.18</v>
      </c>
      <c r="K18" s="19">
        <f t="shared" si="6"/>
        <v>0.35060000000000002</v>
      </c>
      <c r="L18" s="5">
        <f t="shared" ref="L18" si="19">I18-C18</f>
        <v>16.18</v>
      </c>
      <c r="M18" s="19">
        <f t="shared" si="7"/>
        <v>0.3236</v>
      </c>
      <c r="Z18" s="1"/>
      <c r="AA18" s="23"/>
      <c r="AB18" s="6"/>
    </row>
    <row r="19" spans="1:28" x14ac:dyDescent="0.25">
      <c r="A19" s="5" t="str">
        <f>'2025.10'!A1</f>
        <v>2025.10</v>
      </c>
      <c r="B19" s="5">
        <f>'2025.10'!B18</f>
        <v>0</v>
      </c>
      <c r="C19" s="5">
        <f t="shared" ref="C19" si="20">C18+B19</f>
        <v>50</v>
      </c>
      <c r="D19" s="5">
        <f>'2025.10'!C18</f>
        <v>0</v>
      </c>
      <c r="E19" s="5">
        <f t="shared" ref="E19" si="21">E18+D19</f>
        <v>49</v>
      </c>
      <c r="F19" s="7">
        <f>'2025.10'!F18</f>
        <v>0</v>
      </c>
      <c r="G19" s="7">
        <f t="shared" ref="G19" si="22">G18+F19</f>
        <v>0.5081</v>
      </c>
      <c r="H19" s="7">
        <v>132.4888</v>
      </c>
      <c r="I19" s="5">
        <f t="shared" ref="I19" si="23">G19*H19</f>
        <v>67.319999999999993</v>
      </c>
      <c r="J19" s="5">
        <f t="shared" ref="J19" si="24">I19-E19</f>
        <v>18.32</v>
      </c>
      <c r="K19" s="19">
        <f t="shared" si="6"/>
        <v>0.37390000000000001</v>
      </c>
      <c r="L19" s="5">
        <f t="shared" ref="L19" si="25">I19-C19</f>
        <v>17.32</v>
      </c>
      <c r="M19" s="19">
        <f t="shared" si="7"/>
        <v>0.34639999999999999</v>
      </c>
      <c r="Z19" s="1"/>
      <c r="AA19" s="23"/>
      <c r="AB19" s="6"/>
    </row>
    <row r="20" spans="1:28" x14ac:dyDescent="0.25">
      <c r="A20" s="5" t="str">
        <f>'2025.11'!A1</f>
        <v>2025.11</v>
      </c>
      <c r="B20" s="5">
        <f>'2025.11'!B18</f>
        <v>0</v>
      </c>
      <c r="C20" s="5">
        <f t="shared" ref="C20" si="26">C19+B20</f>
        <v>50</v>
      </c>
      <c r="D20" s="5">
        <f>'2025.11'!C18</f>
        <v>0</v>
      </c>
      <c r="E20" s="5">
        <f t="shared" ref="E20" si="27">E19+D20</f>
        <v>49</v>
      </c>
      <c r="F20" s="7">
        <f>'2025.11'!F18</f>
        <v>0</v>
      </c>
      <c r="G20" s="7">
        <f t="shared" ref="G20" si="28">G19+F20</f>
        <v>0.5081</v>
      </c>
      <c r="H20" s="7">
        <v>127.617</v>
      </c>
      <c r="I20" s="5">
        <f t="shared" ref="I20" si="29">G20*H20</f>
        <v>64.84</v>
      </c>
      <c r="J20" s="5">
        <f t="shared" ref="J20" si="30">I20-E20</f>
        <v>15.84</v>
      </c>
      <c r="K20" s="19">
        <f t="shared" si="6"/>
        <v>0.32329999999999998</v>
      </c>
      <c r="L20" s="5">
        <f t="shared" ref="L20" si="31">I20-C20</f>
        <v>14.84</v>
      </c>
      <c r="M20" s="19">
        <f t="shared" si="7"/>
        <v>0.29680000000000001</v>
      </c>
      <c r="Z20" s="1"/>
      <c r="AA20" s="23"/>
      <c r="AB20" s="6"/>
    </row>
    <row r="21" spans="1:28" x14ac:dyDescent="0.25">
      <c r="A21" s="5" t="str">
        <f>'2025.12'!A1</f>
        <v>2025.12</v>
      </c>
      <c r="B21" s="5">
        <f>'2025.12'!B18</f>
        <v>0</v>
      </c>
      <c r="C21" s="5">
        <f t="shared" ref="C21" si="32">C20+B21</f>
        <v>50</v>
      </c>
      <c r="D21" s="5">
        <f>'2025.12'!C18</f>
        <v>0</v>
      </c>
      <c r="E21" s="5">
        <f t="shared" ref="E21" si="33">E20+D21</f>
        <v>49</v>
      </c>
      <c r="F21" s="7">
        <f>'2025.12'!F18</f>
        <v>0</v>
      </c>
      <c r="G21" s="7">
        <f t="shared" ref="G21" si="34">G20+F21</f>
        <v>0.5081</v>
      </c>
      <c r="H21" s="7">
        <v>129.09360000000001</v>
      </c>
      <c r="I21" s="5">
        <f t="shared" ref="I21" si="35">G21*H21</f>
        <v>65.59</v>
      </c>
      <c r="J21" s="5">
        <f t="shared" ref="J21" si="36">I21-E21</f>
        <v>16.59</v>
      </c>
      <c r="K21" s="19">
        <f t="shared" si="6"/>
        <v>0.33860000000000001</v>
      </c>
      <c r="L21" s="5">
        <f t="shared" ref="L21" si="37">I21-C21</f>
        <v>15.59</v>
      </c>
      <c r="M21" s="19">
        <f t="shared" si="7"/>
        <v>0.31180000000000002</v>
      </c>
      <c r="Z21" s="1"/>
      <c r="AA21" s="23"/>
      <c r="AB21" s="6"/>
    </row>
    <row r="22" spans="1:28" x14ac:dyDescent="0.25">
      <c r="A22" s="5">
        <f>'2026.01'!A1</f>
        <v>2026.01</v>
      </c>
      <c r="B22" s="5">
        <f>'2026.01'!B18</f>
        <v>0</v>
      </c>
      <c r="C22" s="5">
        <f t="shared" ref="C22" si="38">C21+B22</f>
        <v>50</v>
      </c>
      <c r="D22" s="5">
        <f>'2026.01'!C18</f>
        <v>0</v>
      </c>
      <c r="E22" s="5">
        <f t="shared" ref="E22" si="39">E21+D22</f>
        <v>49</v>
      </c>
      <c r="F22" s="7">
        <f>'2026.01'!F18</f>
        <v>0</v>
      </c>
      <c r="G22" s="7">
        <f t="shared" ref="G22" si="40">G21+F22</f>
        <v>0.5081</v>
      </c>
      <c r="H22" s="7">
        <v>138.13570000000001</v>
      </c>
      <c r="I22" s="5">
        <f t="shared" ref="I22" si="41">G22*H22</f>
        <v>70.19</v>
      </c>
      <c r="J22" s="5">
        <f t="shared" ref="J22" si="42">I22-E22</f>
        <v>21.19</v>
      </c>
      <c r="K22" s="19">
        <f t="shared" ref="K22" si="43">J22/E22</f>
        <v>0.43240000000000001</v>
      </c>
      <c r="L22" s="5">
        <f t="shared" ref="L22" si="44">I22-C22</f>
        <v>20.190000000000001</v>
      </c>
      <c r="M22" s="19">
        <f t="shared" ref="M22" si="45">L22/C22</f>
        <v>0.40379999999999999</v>
      </c>
      <c r="Z22" s="1"/>
      <c r="AA22" s="23"/>
      <c r="AB22" s="6"/>
    </row>
    <row r="23" spans="1:28" x14ac:dyDescent="0.25">
      <c r="A23" s="5">
        <f>'2026.02'!A1</f>
        <v>2026.02</v>
      </c>
      <c r="B23" s="5">
        <f>'2026.02'!B18</f>
        <v>0</v>
      </c>
      <c r="C23" s="5">
        <f t="shared" ref="C23" si="46">C22+B23</f>
        <v>50</v>
      </c>
      <c r="D23" s="5">
        <f>'2026.02'!C18</f>
        <v>0</v>
      </c>
      <c r="E23" s="5">
        <f t="shared" ref="E23" si="47">E22+D23</f>
        <v>49</v>
      </c>
      <c r="F23" s="7">
        <f>'2026.02'!F18</f>
        <v>0</v>
      </c>
      <c r="G23" s="7">
        <f t="shared" ref="G23" si="48">G22+F23</f>
        <v>0.5081</v>
      </c>
      <c r="H23" s="7">
        <v>142.3579</v>
      </c>
      <c r="I23" s="5">
        <f t="shared" ref="I23" si="49">G23*H23</f>
        <v>72.33</v>
      </c>
      <c r="J23" s="5">
        <f t="shared" ref="J23" si="50">I23-E23</f>
        <v>23.33</v>
      </c>
      <c r="K23" s="19">
        <f t="shared" ref="K23" si="51">J23/E23</f>
        <v>0.47610000000000002</v>
      </c>
      <c r="L23" s="5">
        <f t="shared" ref="L23" si="52">I23-C23</f>
        <v>22.33</v>
      </c>
      <c r="M23" s="19">
        <f t="shared" ref="M23" si="53">L23/C23</f>
        <v>0.4466</v>
      </c>
      <c r="Z23" s="1"/>
      <c r="AA23" s="23"/>
      <c r="AB23" s="6"/>
    </row>
    <row r="24" spans="1:28" x14ac:dyDescent="0.25">
      <c r="A24" s="5">
        <f>'2026.03'!A1</f>
        <v>2026.03</v>
      </c>
      <c r="B24" s="5">
        <f>'2026.03'!B18</f>
        <v>0</v>
      </c>
      <c r="C24" s="5">
        <f t="shared" ref="C24" si="54">C23+B24</f>
        <v>50</v>
      </c>
      <c r="D24" s="5">
        <f>'2026.03'!C18</f>
        <v>0</v>
      </c>
      <c r="E24" s="5">
        <f t="shared" ref="E24" si="55">E23+D24</f>
        <v>49</v>
      </c>
      <c r="F24" s="7">
        <f>'2026.03'!F18</f>
        <v>0</v>
      </c>
      <c r="G24" s="7">
        <f t="shared" ref="G24" si="56">G23+F24</f>
        <v>0.5081</v>
      </c>
      <c r="H24" s="7">
        <v>131.62190000000001</v>
      </c>
      <c r="I24" s="5">
        <f t="shared" ref="I24" si="57">G24*H24</f>
        <v>66.88</v>
      </c>
      <c r="J24" s="5">
        <f t="shared" ref="J24" si="58">I24-E24</f>
        <v>17.88</v>
      </c>
      <c r="K24" s="19">
        <f t="shared" ref="K24" si="59">J24/E24</f>
        <v>0.3649</v>
      </c>
      <c r="L24" s="5">
        <f t="shared" ref="L24" si="60">I24-C24</f>
        <v>16.88</v>
      </c>
      <c r="M24" s="19">
        <f t="shared" ref="M24" si="61">L24/C24</f>
        <v>0.33760000000000001</v>
      </c>
      <c r="Z24" s="1"/>
      <c r="AA24" s="23"/>
      <c r="AB24" s="6"/>
    </row>
    <row r="25" spans="1:28" x14ac:dyDescent="0.25">
      <c r="A25" s="5">
        <f>'2026.04'!$A$1</f>
        <v>2026.04</v>
      </c>
      <c r="B25" s="5">
        <f>'2026.04'!$B$18</f>
        <v>0</v>
      </c>
      <c r="C25" s="5">
        <f t="shared" ref="C25" si="62">C24+B25</f>
        <v>50</v>
      </c>
      <c r="D25" s="5">
        <f>'2026.04'!$C$18</f>
        <v>0</v>
      </c>
      <c r="E25" s="5">
        <f t="shared" ref="E25" si="63">E24+D25</f>
        <v>49</v>
      </c>
      <c r="F25" s="7">
        <f>'2026.04'!$F$18</f>
        <v>0</v>
      </c>
      <c r="G25" s="7">
        <f t="shared" ref="G25" si="64">G24+F25</f>
        <v>0.5081</v>
      </c>
      <c r="H25" s="7">
        <v>146.78899999999999</v>
      </c>
      <c r="I25" s="5">
        <f t="shared" ref="I25" si="65">G25*H25</f>
        <v>74.58</v>
      </c>
      <c r="J25" s="5">
        <f t="shared" ref="J25" si="66">I25-E25</f>
        <v>25.58</v>
      </c>
      <c r="K25" s="19">
        <f t="shared" ref="K25" si="67">J25/E25</f>
        <v>0.52200000000000002</v>
      </c>
      <c r="L25" s="5">
        <f t="shared" ref="L25" si="68">I25-C25</f>
        <v>24.58</v>
      </c>
      <c r="M25" s="19">
        <f t="shared" ref="M25" si="69">L25/C25</f>
        <v>0.49159999999999998</v>
      </c>
      <c r="Z25" s="1"/>
      <c r="AA25" s="23"/>
      <c r="AB25" s="6"/>
    </row>
    <row r="26" spans="1:28" x14ac:dyDescent="0.25">
      <c r="A26" s="5">
        <f>'2026.05'!$A$1</f>
        <v>2026.05</v>
      </c>
      <c r="B26" s="5">
        <f>'2026.05'!$B$18</f>
        <v>0</v>
      </c>
      <c r="C26" s="5">
        <f t="shared" ref="C26" si="70">C25+B26</f>
        <v>50</v>
      </c>
      <c r="D26" s="5">
        <f>'2026.05'!$C$18</f>
        <v>0</v>
      </c>
      <c r="E26" s="5">
        <f t="shared" ref="E26" si="71">E25+D26</f>
        <v>49</v>
      </c>
      <c r="F26" s="7">
        <f>'2026.05'!$F$18</f>
        <v>0</v>
      </c>
      <c r="G26" s="7">
        <f t="shared" ref="G26" si="72">G25+F26</f>
        <v>0.5081</v>
      </c>
      <c r="H26" s="7">
        <v>164.49340000000001</v>
      </c>
      <c r="I26" s="5">
        <f t="shared" ref="I26" si="73">G26*H26</f>
        <v>83.58</v>
      </c>
      <c r="J26" s="5">
        <f t="shared" ref="J26" si="74">I26-E26</f>
        <v>34.58</v>
      </c>
      <c r="K26" s="19">
        <f t="shared" ref="K26" si="75">J26/E26</f>
        <v>0.70569999999999999</v>
      </c>
      <c r="L26" s="5">
        <f t="shared" ref="L26" si="76">I26-C26</f>
        <v>33.58</v>
      </c>
      <c r="M26" s="19">
        <f t="shared" ref="M26" si="77">L26/C26</f>
        <v>0.67159999999999997</v>
      </c>
      <c r="Z26" s="1"/>
      <c r="AA26" s="23"/>
      <c r="AB26" s="6"/>
    </row>
    <row r="27" spans="1:28" x14ac:dyDescent="0.25">
      <c r="A27" s="5">
        <f>'2026.06'!$A$1</f>
        <v>2026.06</v>
      </c>
      <c r="B27" s="5">
        <f>'2026.06'!$B$18</f>
        <v>0</v>
      </c>
      <c r="C27" s="5">
        <f t="shared" ref="C27" si="78">C26+B27</f>
        <v>50</v>
      </c>
      <c r="D27" s="5">
        <f>'2026.06'!$C$18</f>
        <v>0</v>
      </c>
      <c r="E27" s="5">
        <f t="shared" ref="E27" si="79">E26+D27</f>
        <v>49</v>
      </c>
      <c r="F27" s="7">
        <f>'2026.06'!$F$18</f>
        <v>0</v>
      </c>
      <c r="G27" s="7">
        <f t="shared" ref="G27" si="80">G26+F27</f>
        <v>0.5081</v>
      </c>
      <c r="H27" s="7">
        <v>159.82640000000001</v>
      </c>
      <c r="I27" s="5">
        <f t="shared" ref="I27" si="81">G27*H27</f>
        <v>81.209999999999994</v>
      </c>
      <c r="J27" s="5">
        <f t="shared" ref="J27" si="82">I27-E27</f>
        <v>32.21</v>
      </c>
      <c r="K27" s="19">
        <f t="shared" ref="K27" si="83">J27/E27</f>
        <v>0.6573</v>
      </c>
      <c r="L27" s="5">
        <f t="shared" ref="L27" si="84">I27-C27</f>
        <v>31.21</v>
      </c>
      <c r="M27" s="19">
        <f t="shared" ref="M27" si="85">L27/C27</f>
        <v>0.62419999999999998</v>
      </c>
      <c r="Z27" s="1"/>
      <c r="AA27" s="23"/>
      <c r="AB27" s="6"/>
    </row>
    <row r="28" spans="1:28" x14ac:dyDescent="0.25">
      <c r="A28" s="5">
        <f>'2026.07'!$A$1</f>
        <v>2026.07</v>
      </c>
      <c r="B28" s="5">
        <f>'2026.07'!$B$18</f>
        <v>0</v>
      </c>
      <c r="C28" s="5">
        <f t="shared" ref="C28" si="86">C27+B28</f>
        <v>50</v>
      </c>
      <c r="D28" s="5">
        <f>'2026.07'!$C$18</f>
        <v>0</v>
      </c>
      <c r="E28" s="5">
        <f t="shared" ref="E28" si="87">E27+D28</f>
        <v>49</v>
      </c>
      <c r="F28" s="7">
        <f>'2026.07'!$F$18</f>
        <v>0</v>
      </c>
      <c r="G28" s="7">
        <f t="shared" ref="G28" si="88">G27+F28</f>
        <v>0.5081</v>
      </c>
      <c r="H28" s="7">
        <v>154.75</v>
      </c>
      <c r="I28" s="5">
        <f t="shared" ref="I28" si="89">G28*H28</f>
        <v>78.63</v>
      </c>
      <c r="J28" s="5">
        <f t="shared" ref="J28" si="90">I28-E28</f>
        <v>29.63</v>
      </c>
      <c r="K28" s="19">
        <f t="shared" ref="K28" si="91">J28/E28</f>
        <v>0.60470000000000002</v>
      </c>
      <c r="L28" s="5">
        <f t="shared" ref="L28" si="92">I28-C28</f>
        <v>28.63</v>
      </c>
      <c r="M28" s="19">
        <f t="shared" ref="M28" si="93">L28/C28</f>
        <v>0.5726</v>
      </c>
      <c r="Z28" s="1"/>
      <c r="AA28" s="23"/>
      <c r="AB28" s="6"/>
    </row>
    <row r="29" spans="1:28" x14ac:dyDescent="0.25">
      <c r="A29" s="5">
        <f>'2026.08'!$A$1</f>
        <v>2026.08</v>
      </c>
      <c r="B29" s="5">
        <f>'2026.08'!$B$18</f>
        <v>0</v>
      </c>
      <c r="C29" s="5">
        <f t="shared" ref="C29" si="94">C28+B29</f>
        <v>50</v>
      </c>
      <c r="D29" s="5">
        <f>'2026.08'!$C$18</f>
        <v>0</v>
      </c>
      <c r="E29" s="5">
        <f t="shared" ref="E29" si="95">E28+D29</f>
        <v>49</v>
      </c>
      <c r="F29" s="7">
        <f>'2026.08'!$F$18</f>
        <v>0</v>
      </c>
      <c r="G29" s="7">
        <f t="shared" ref="G29" si="96">G28+F29</f>
        <v>0.5081</v>
      </c>
      <c r="H29" s="7">
        <v>155.58000000000001</v>
      </c>
      <c r="I29" s="5">
        <f t="shared" ref="I29" si="97">G29*H29</f>
        <v>79.05</v>
      </c>
      <c r="J29" s="5">
        <f t="shared" ref="J29" si="98">I29-E29</f>
        <v>30.05</v>
      </c>
      <c r="K29" s="19">
        <f t="shared" ref="K29" si="99">J29/E29</f>
        <v>0.61329999999999996</v>
      </c>
      <c r="L29" s="5">
        <f t="shared" ref="L29" si="100">I29-C29</f>
        <v>29.05</v>
      </c>
      <c r="M29" s="19">
        <f t="shared" ref="M29" si="101">L29/C29</f>
        <v>0.58099999999999996</v>
      </c>
      <c r="Z29" s="1"/>
      <c r="AA29" s="23"/>
      <c r="AB29" s="6"/>
    </row>
    <row r="30" spans="1:28" x14ac:dyDescent="0.25">
      <c r="A30" s="5">
        <f>'2026.09'!$A$1</f>
        <v>2026.09</v>
      </c>
      <c r="B30" s="5">
        <f>'2026.09'!$B$18</f>
        <v>0</v>
      </c>
      <c r="C30" s="5">
        <f t="shared" ref="C30" si="102">C29+B30</f>
        <v>50</v>
      </c>
      <c r="D30" s="5">
        <f>'2026.09'!$C$18</f>
        <v>0</v>
      </c>
      <c r="E30" s="5">
        <f t="shared" ref="E30" si="103">E29+D30</f>
        <v>49</v>
      </c>
      <c r="F30" s="7">
        <f>'2026.09'!$F$18</f>
        <v>0</v>
      </c>
      <c r="G30" s="7">
        <f t="shared" ref="G30" si="104">G29+F30</f>
        <v>0.5081</v>
      </c>
      <c r="H30" s="7">
        <v>154.72999999999999</v>
      </c>
      <c r="I30" s="5">
        <f t="shared" ref="I30" si="105">G30*H30</f>
        <v>78.62</v>
      </c>
      <c r="J30" s="5">
        <f t="shared" ref="J30" si="106">I30-E30</f>
        <v>29.62</v>
      </c>
      <c r="K30" s="19">
        <f t="shared" ref="K30" si="107">J30/E30</f>
        <v>0.60450000000000004</v>
      </c>
      <c r="L30" s="5">
        <f t="shared" ref="L30" si="108">I30-C30</f>
        <v>28.62</v>
      </c>
      <c r="M30" s="19">
        <f t="shared" ref="M30" si="109">L30/C30</f>
        <v>0.57240000000000002</v>
      </c>
      <c r="Z30" s="1"/>
      <c r="AA30" s="23"/>
      <c r="AB30" s="6"/>
    </row>
    <row r="31" spans="1:28" x14ac:dyDescent="0.25">
      <c r="Z31" s="1"/>
      <c r="AA31" s="23"/>
      <c r="AB31" s="6"/>
    </row>
    <row r="32" spans="1:28" x14ac:dyDescent="0.25">
      <c r="Z32" s="1"/>
      <c r="AA32" s="23"/>
      <c r="AB32" s="6"/>
    </row>
    <row r="33" spans="26:28" x14ac:dyDescent="0.25">
      <c r="Z33" s="1"/>
      <c r="AA33" s="23"/>
      <c r="AB33" s="6"/>
    </row>
    <row r="34" spans="26:28" x14ac:dyDescent="0.25">
      <c r="Z34" s="1"/>
      <c r="AA34" s="23"/>
      <c r="AB34" s="6"/>
    </row>
    <row r="35" spans="26:28" x14ac:dyDescent="0.25">
      <c r="AA35" s="24"/>
      <c r="AB35" s="2"/>
    </row>
    <row r="36" spans="26:28" x14ac:dyDescent="0.25">
      <c r="AA36" s="24"/>
      <c r="AB36" s="2"/>
    </row>
    <row r="37" spans="26:28" x14ac:dyDescent="0.25">
      <c r="AA37" s="24"/>
      <c r="AB37" s="2"/>
    </row>
    <row r="38" spans="26:28" x14ac:dyDescent="0.25">
      <c r="AA38" s="24"/>
      <c r="AB38" s="2"/>
    </row>
    <row r="39" spans="26:28" x14ac:dyDescent="0.25">
      <c r="AA39" s="24"/>
      <c r="AB39" s="2"/>
    </row>
    <row r="40" spans="26:28" x14ac:dyDescent="0.25">
      <c r="AA40" s="24"/>
      <c r="AB40" s="2"/>
    </row>
    <row r="41" spans="26:28" x14ac:dyDescent="0.25">
      <c r="AA41" s="24"/>
      <c r="AB41" s="2"/>
    </row>
    <row r="42" spans="26:28" x14ac:dyDescent="0.25">
      <c r="AA42" s="24"/>
      <c r="AB42" s="2"/>
    </row>
    <row r="43" spans="26:28" x14ac:dyDescent="0.25">
      <c r="AA43" s="24"/>
      <c r="AB43" s="2"/>
    </row>
    <row r="44" spans="26:28" x14ac:dyDescent="0.25">
      <c r="AA44" s="24"/>
      <c r="AB44" s="2"/>
    </row>
    <row r="45" spans="26:28" x14ac:dyDescent="0.25">
      <c r="AA45" s="24"/>
      <c r="AB45" s="2"/>
    </row>
    <row r="46" spans="26:28" x14ac:dyDescent="0.25">
      <c r="AA46" s="24"/>
      <c r="AB46" s="2"/>
    </row>
    <row r="47" spans="26:28" x14ac:dyDescent="0.25">
      <c r="AA47" s="24"/>
      <c r="AB47" s="2"/>
    </row>
    <row r="48" spans="26:28" x14ac:dyDescent="0.25">
      <c r="AA48" s="24"/>
      <c r="AB48" s="2"/>
    </row>
    <row r="49" spans="27:28" x14ac:dyDescent="0.25">
      <c r="AA49" s="24"/>
      <c r="AB49" s="2"/>
    </row>
    <row r="50" spans="27:28" x14ac:dyDescent="0.25">
      <c r="AA50" s="24"/>
      <c r="AB50" s="2"/>
    </row>
    <row r="51" spans="27:28" x14ac:dyDescent="0.25">
      <c r="AA51" s="24"/>
      <c r="AB51" s="2"/>
    </row>
    <row r="52" spans="27:28" x14ac:dyDescent="0.25">
      <c r="AA52" s="24"/>
      <c r="AB52" s="2"/>
    </row>
    <row r="53" spans="27:28" x14ac:dyDescent="0.25">
      <c r="AA53" s="24"/>
      <c r="AB53" s="2"/>
    </row>
    <row r="54" spans="27:28" x14ac:dyDescent="0.25">
      <c r="AA54" s="24"/>
      <c r="AB54" s="2"/>
    </row>
    <row r="55" spans="27:28" x14ac:dyDescent="0.25">
      <c r="AA55" s="24"/>
      <c r="AB55" s="2"/>
    </row>
    <row r="56" spans="27:28" x14ac:dyDescent="0.25">
      <c r="AA56" s="24"/>
      <c r="AB56" s="2"/>
    </row>
    <row r="57" spans="27:28" x14ac:dyDescent="0.25">
      <c r="AA57" s="24"/>
      <c r="AB57" s="2"/>
    </row>
    <row r="58" spans="27:28" x14ac:dyDescent="0.25">
      <c r="AA58" s="24"/>
      <c r="AB58" s="2"/>
    </row>
    <row r="59" spans="27:28" x14ac:dyDescent="0.25">
      <c r="AA59" s="24"/>
      <c r="AB59" s="2"/>
    </row>
    <row r="60" spans="27:28" x14ac:dyDescent="0.25">
      <c r="AA60" s="24"/>
      <c r="AB60" s="2"/>
    </row>
    <row r="61" spans="27:28" x14ac:dyDescent="0.25">
      <c r="AA61" s="24"/>
      <c r="AB61" s="2"/>
    </row>
    <row r="62" spans="27:28" x14ac:dyDescent="0.25">
      <c r="AA62" s="24"/>
      <c r="AB62" s="2"/>
    </row>
    <row r="63" spans="27:28" x14ac:dyDescent="0.25">
      <c r="AA63" s="24"/>
      <c r="AB63" s="2"/>
    </row>
    <row r="64" spans="27:28" x14ac:dyDescent="0.25">
      <c r="AA64" s="24"/>
      <c r="AB64" s="2"/>
    </row>
    <row r="65" spans="27:28" x14ac:dyDescent="0.25">
      <c r="AA65" s="24"/>
      <c r="AB65" s="2"/>
    </row>
    <row r="66" spans="27:28" x14ac:dyDescent="0.25">
      <c r="AA66" s="24"/>
      <c r="AB66" s="2"/>
    </row>
    <row r="67" spans="27:28" x14ac:dyDescent="0.25">
      <c r="AA67" s="24"/>
      <c r="AB67" s="2"/>
    </row>
    <row r="68" spans="27:28" x14ac:dyDescent="0.25">
      <c r="AA68" s="24"/>
      <c r="AB68" s="2"/>
    </row>
    <row r="69" spans="27:28" x14ac:dyDescent="0.25">
      <c r="AA69" s="24"/>
      <c r="AB69" s="2"/>
    </row>
    <row r="70" spans="27:28" x14ac:dyDescent="0.25">
      <c r="AA70" s="24"/>
      <c r="AB70" s="2"/>
    </row>
    <row r="71" spans="27:28" x14ac:dyDescent="0.25">
      <c r="AA71" s="24"/>
      <c r="AB71" s="2"/>
    </row>
    <row r="72" spans="27:28" x14ac:dyDescent="0.25">
      <c r="AA72" s="24"/>
      <c r="AB72" s="2"/>
    </row>
    <row r="73" spans="27:28" x14ac:dyDescent="0.25">
      <c r="AA73" s="24"/>
      <c r="AB73" s="2"/>
    </row>
    <row r="74" spans="27:28" x14ac:dyDescent="0.25">
      <c r="AA74" s="24"/>
      <c r="AB74" s="2"/>
    </row>
    <row r="75" spans="27:28" x14ac:dyDescent="0.25">
      <c r="AA75" s="24"/>
      <c r="AB75" s="2"/>
    </row>
    <row r="76" spans="27:28" x14ac:dyDescent="0.25">
      <c r="AA76" s="24"/>
      <c r="AB76" s="2"/>
    </row>
    <row r="77" spans="27:28" x14ac:dyDescent="0.25">
      <c r="AA77" s="24"/>
      <c r="AB77" s="2"/>
    </row>
    <row r="78" spans="27:28" x14ac:dyDescent="0.25">
      <c r="AA78" s="24"/>
      <c r="AB78" s="2"/>
    </row>
    <row r="79" spans="27:28" x14ac:dyDescent="0.25">
      <c r="AA79" s="24"/>
      <c r="AB79" s="2"/>
    </row>
    <row r="80" spans="27:28" x14ac:dyDescent="0.25">
      <c r="AA80" s="24"/>
      <c r="AB80" s="2"/>
    </row>
    <row r="81" spans="27:28" x14ac:dyDescent="0.25">
      <c r="AA81" s="24"/>
      <c r="AB81" s="2"/>
    </row>
    <row r="82" spans="27:28" x14ac:dyDescent="0.25">
      <c r="AA82" s="24"/>
      <c r="AB82" s="2"/>
    </row>
    <row r="83" spans="27:28" x14ac:dyDescent="0.25">
      <c r="AA83" s="24"/>
      <c r="AB83" s="2"/>
    </row>
    <row r="84" spans="27:28" x14ac:dyDescent="0.25">
      <c r="AA84" s="24"/>
      <c r="AB84" s="2"/>
    </row>
    <row r="85" spans="27:28" x14ac:dyDescent="0.25">
      <c r="AA85" s="24"/>
      <c r="AB85" s="2"/>
    </row>
    <row r="86" spans="27:28" x14ac:dyDescent="0.25">
      <c r="AA86" s="24"/>
      <c r="AB86" s="2"/>
    </row>
    <row r="87" spans="27:28" x14ac:dyDescent="0.25">
      <c r="AA87" s="24"/>
      <c r="AB87" s="2"/>
    </row>
    <row r="88" spans="27:28" x14ac:dyDescent="0.25">
      <c r="AA88" s="24"/>
      <c r="AB88" s="2"/>
    </row>
    <row r="89" spans="27:28" x14ac:dyDescent="0.25">
      <c r="AA89" s="24"/>
      <c r="AB89" s="2"/>
    </row>
    <row r="90" spans="27:28" x14ac:dyDescent="0.25">
      <c r="AA90" s="24"/>
      <c r="AB90" s="2"/>
    </row>
    <row r="91" spans="27:28" x14ac:dyDescent="0.25">
      <c r="AA91" s="24"/>
      <c r="AB91" s="2"/>
    </row>
    <row r="92" spans="27:28" x14ac:dyDescent="0.25">
      <c r="AA92" s="24"/>
      <c r="AB92" s="2"/>
    </row>
    <row r="93" spans="27:28" x14ac:dyDescent="0.25">
      <c r="AA93" s="24"/>
      <c r="AB93" s="2"/>
    </row>
    <row r="94" spans="27:28" x14ac:dyDescent="0.25">
      <c r="AA94" s="24"/>
      <c r="AB94" s="2"/>
    </row>
    <row r="95" spans="27:28" x14ac:dyDescent="0.25">
      <c r="AA95" s="24"/>
      <c r="AB95" s="2"/>
    </row>
    <row r="96" spans="27:28" x14ac:dyDescent="0.25">
      <c r="AA96" s="24"/>
      <c r="AB96" s="2"/>
    </row>
    <row r="97" spans="27:28" x14ac:dyDescent="0.25">
      <c r="AA97" s="24"/>
      <c r="AB97" s="2"/>
    </row>
    <row r="98" spans="27:28" x14ac:dyDescent="0.25">
      <c r="AA98" s="24"/>
      <c r="AB98" s="2"/>
    </row>
    <row r="99" spans="27:28" x14ac:dyDescent="0.25">
      <c r="AA99" s="24"/>
      <c r="AB99" s="2"/>
    </row>
    <row r="100" spans="27:28" x14ac:dyDescent="0.25">
      <c r="AA100" s="24"/>
      <c r="AB100" s="2"/>
    </row>
    <row r="101" spans="27:28" x14ac:dyDescent="0.25">
      <c r="AA101" s="24"/>
      <c r="AB101" s="2"/>
    </row>
    <row r="102" spans="27:28" x14ac:dyDescent="0.25">
      <c r="AA102" s="24"/>
      <c r="AB102" s="2"/>
    </row>
    <row r="103" spans="27:28" x14ac:dyDescent="0.25">
      <c r="AA103" s="24"/>
      <c r="AB103" s="2"/>
    </row>
    <row r="104" spans="27:28" x14ac:dyDescent="0.25">
      <c r="AA104" s="24"/>
      <c r="AB104" s="2"/>
    </row>
    <row r="105" spans="27:28" x14ac:dyDescent="0.25">
      <c r="AA105" s="24"/>
      <c r="AB105" s="2"/>
    </row>
    <row r="106" spans="27:28" x14ac:dyDescent="0.25">
      <c r="AA106" s="24"/>
      <c r="AB106" s="2"/>
    </row>
    <row r="107" spans="27:28" x14ac:dyDescent="0.25">
      <c r="AA107" s="24"/>
      <c r="AB107" s="2"/>
    </row>
    <row r="108" spans="27:28" x14ac:dyDescent="0.25">
      <c r="AA108" s="24"/>
      <c r="AB108" s="2"/>
    </row>
    <row r="109" spans="27:28" x14ac:dyDescent="0.25">
      <c r="AA109" s="24"/>
      <c r="AB109" s="2"/>
    </row>
    <row r="110" spans="27:28" x14ac:dyDescent="0.25">
      <c r="AA110" s="24"/>
      <c r="AB110" s="2"/>
    </row>
    <row r="111" spans="27:28" x14ac:dyDescent="0.25">
      <c r="AA111" s="24"/>
      <c r="AB111" s="2"/>
    </row>
    <row r="112" spans="27:28" x14ac:dyDescent="0.25">
      <c r="AA112" s="24"/>
      <c r="AB112" s="2"/>
    </row>
    <row r="113" spans="27:28" x14ac:dyDescent="0.25">
      <c r="AA113" s="24"/>
      <c r="AB113" s="2"/>
    </row>
    <row r="114" spans="27:28" x14ac:dyDescent="0.25">
      <c r="AA114" s="24"/>
      <c r="AB114" s="2"/>
    </row>
    <row r="115" spans="27:28" x14ac:dyDescent="0.25">
      <c r="AA115" s="24"/>
      <c r="AB115" s="2"/>
    </row>
    <row r="116" spans="27:28" x14ac:dyDescent="0.25">
      <c r="AA116" s="24"/>
      <c r="AB116" s="2"/>
    </row>
    <row r="117" spans="27:28" x14ac:dyDescent="0.25">
      <c r="AA117" s="24"/>
      <c r="AB117" s="2"/>
    </row>
    <row r="118" spans="27:28" x14ac:dyDescent="0.25">
      <c r="AA118" s="24"/>
      <c r="AB118" s="2"/>
    </row>
    <row r="119" spans="27:28" x14ac:dyDescent="0.25">
      <c r="AA119" s="24"/>
      <c r="AB119" s="2"/>
    </row>
    <row r="120" spans="27:28" x14ac:dyDescent="0.25">
      <c r="AA120" s="24"/>
      <c r="AB120" s="2"/>
    </row>
    <row r="121" spans="27:28" x14ac:dyDescent="0.25">
      <c r="AA121" s="24"/>
      <c r="AB121" s="2"/>
    </row>
    <row r="122" spans="27:28" x14ac:dyDescent="0.25">
      <c r="AA122" s="24"/>
      <c r="AB122" s="2"/>
    </row>
    <row r="123" spans="27:28" x14ac:dyDescent="0.25">
      <c r="AA123" s="24"/>
      <c r="AB123" s="2"/>
    </row>
    <row r="124" spans="27:28" x14ac:dyDescent="0.25">
      <c r="AA124" s="24"/>
      <c r="AB124" s="2"/>
    </row>
    <row r="125" spans="27:28" x14ac:dyDescent="0.25">
      <c r="AA125" s="24"/>
      <c r="AB125" s="2"/>
    </row>
    <row r="126" spans="27:28" x14ac:dyDescent="0.25">
      <c r="AA126" s="24"/>
      <c r="AB126" s="2"/>
    </row>
    <row r="127" spans="27:28" x14ac:dyDescent="0.25">
      <c r="AA127" s="24"/>
      <c r="AB127" s="2"/>
    </row>
    <row r="128" spans="27:28" x14ac:dyDescent="0.25">
      <c r="AA128" s="24"/>
      <c r="AB128" s="2"/>
    </row>
    <row r="129" spans="27:28" x14ac:dyDescent="0.25">
      <c r="AA129" s="24"/>
      <c r="AB129" s="2"/>
    </row>
    <row r="130" spans="27:28" x14ac:dyDescent="0.25">
      <c r="AA130" s="24"/>
      <c r="AB130" s="2"/>
    </row>
    <row r="131" spans="27:28" x14ac:dyDescent="0.25">
      <c r="AA131" s="24"/>
      <c r="AB131" s="2"/>
    </row>
    <row r="132" spans="27:28" x14ac:dyDescent="0.25">
      <c r="AA132" s="24"/>
      <c r="AB132" s="2"/>
    </row>
    <row r="133" spans="27:28" x14ac:dyDescent="0.25">
      <c r="AA133" s="24"/>
      <c r="AB133" s="2"/>
    </row>
    <row r="134" spans="27:28" x14ac:dyDescent="0.25">
      <c r="AA134" s="24"/>
      <c r="AB134" s="2"/>
    </row>
    <row r="135" spans="27:28" x14ac:dyDescent="0.25">
      <c r="AA135" s="24"/>
      <c r="AB135" s="2"/>
    </row>
    <row r="136" spans="27:28" x14ac:dyDescent="0.25">
      <c r="AA136" s="24"/>
      <c r="AB136" s="2"/>
    </row>
    <row r="137" spans="27:28" x14ac:dyDescent="0.25">
      <c r="AA137" s="24"/>
      <c r="AB137" s="2"/>
    </row>
    <row r="138" spans="27:28" x14ac:dyDescent="0.25">
      <c r="AA138" s="24"/>
      <c r="AB138" s="2"/>
    </row>
    <row r="139" spans="27:28" x14ac:dyDescent="0.25">
      <c r="AA139" s="24"/>
      <c r="AB139" s="2"/>
    </row>
    <row r="140" spans="27:28" x14ac:dyDescent="0.25">
      <c r="AA140" s="24"/>
      <c r="AB140" s="2"/>
    </row>
    <row r="141" spans="27:28" x14ac:dyDescent="0.25">
      <c r="AA141" s="24"/>
      <c r="AB141" s="2"/>
    </row>
    <row r="142" spans="27:28" x14ac:dyDescent="0.25">
      <c r="AA142" s="24"/>
      <c r="AB142" s="2"/>
    </row>
    <row r="143" spans="27:28" x14ac:dyDescent="0.25">
      <c r="AA143" s="24"/>
      <c r="AB143" s="2"/>
    </row>
    <row r="144" spans="27:28" x14ac:dyDescent="0.25">
      <c r="AA144" s="24"/>
      <c r="AB144" s="2"/>
    </row>
    <row r="145" spans="27:28" x14ac:dyDescent="0.25">
      <c r="AA145" s="24"/>
      <c r="AB145" s="2"/>
    </row>
    <row r="146" spans="27:28" x14ac:dyDescent="0.25">
      <c r="AA146" s="24"/>
      <c r="AB146" s="2"/>
    </row>
    <row r="147" spans="27:28" x14ac:dyDescent="0.25">
      <c r="AA147" s="24"/>
      <c r="AB147" s="2"/>
    </row>
    <row r="148" spans="27:28" x14ac:dyDescent="0.25">
      <c r="AA148" s="24"/>
      <c r="AB148" s="2"/>
    </row>
    <row r="149" spans="27:28" x14ac:dyDescent="0.25">
      <c r="AA149" s="24"/>
      <c r="AB149" s="2"/>
    </row>
    <row r="150" spans="27:28" x14ac:dyDescent="0.25">
      <c r="AA150" s="24"/>
      <c r="AB150" s="2"/>
    </row>
    <row r="151" spans="27:28" x14ac:dyDescent="0.25">
      <c r="AA151" s="24"/>
      <c r="AB151" s="2"/>
    </row>
    <row r="152" spans="27:28" x14ac:dyDescent="0.25">
      <c r="AA152" s="24"/>
      <c r="AB152" s="2"/>
    </row>
    <row r="153" spans="27:28" x14ac:dyDescent="0.25">
      <c r="AA153" s="24"/>
      <c r="AB153" s="2"/>
    </row>
    <row r="154" spans="27:28" x14ac:dyDescent="0.25">
      <c r="AA154" s="24"/>
      <c r="AB154" s="2"/>
    </row>
    <row r="155" spans="27:28" x14ac:dyDescent="0.25">
      <c r="AA155" s="24"/>
      <c r="AB155" s="2"/>
    </row>
    <row r="156" spans="27:28" x14ac:dyDescent="0.25">
      <c r="AA156" s="24"/>
      <c r="AB156" s="2"/>
    </row>
    <row r="157" spans="27:28" x14ac:dyDescent="0.25">
      <c r="AA157" s="24"/>
      <c r="AB157" s="2"/>
    </row>
    <row r="158" spans="27:28" x14ac:dyDescent="0.25">
      <c r="AA158" s="24"/>
      <c r="AB158" s="2"/>
    </row>
    <row r="159" spans="27:28" x14ac:dyDescent="0.25">
      <c r="AA159" s="24"/>
      <c r="AB159" s="2"/>
    </row>
    <row r="160" spans="27:28" x14ac:dyDescent="0.25">
      <c r="AA160" s="24"/>
      <c r="AB160" s="2"/>
    </row>
    <row r="161" spans="27:28" x14ac:dyDescent="0.25">
      <c r="AA161" s="24"/>
      <c r="AB161" s="2"/>
    </row>
    <row r="162" spans="27:28" x14ac:dyDescent="0.25">
      <c r="AA162" s="24"/>
      <c r="AB162" s="2"/>
    </row>
    <row r="163" spans="27:28" x14ac:dyDescent="0.25">
      <c r="AA163" s="24"/>
      <c r="AB163" s="2"/>
    </row>
    <row r="164" spans="27:28" x14ac:dyDescent="0.25">
      <c r="AA164" s="24"/>
      <c r="AB164" s="2"/>
    </row>
    <row r="165" spans="27:28" x14ac:dyDescent="0.25">
      <c r="AA165" s="24"/>
      <c r="AB165" s="2"/>
    </row>
    <row r="166" spans="27:28" x14ac:dyDescent="0.25">
      <c r="AA166" s="24"/>
      <c r="AB166" s="2"/>
    </row>
    <row r="167" spans="27:28" x14ac:dyDescent="0.25">
      <c r="AA167" s="24"/>
      <c r="AB167" s="2"/>
    </row>
    <row r="168" spans="27:28" x14ac:dyDescent="0.25">
      <c r="AA168" s="24"/>
      <c r="AB168" s="2"/>
    </row>
    <row r="169" spans="27:28" x14ac:dyDescent="0.25">
      <c r="AA169" s="24"/>
      <c r="AB169" s="2"/>
    </row>
    <row r="170" spans="27:28" x14ac:dyDescent="0.25">
      <c r="AA170" s="24"/>
      <c r="AB170" s="2"/>
    </row>
    <row r="171" spans="27:28" x14ac:dyDescent="0.25">
      <c r="AA171" s="24"/>
      <c r="AB171" s="2"/>
    </row>
    <row r="172" spans="27:28" x14ac:dyDescent="0.25">
      <c r="AA172" s="24"/>
      <c r="AB172" s="2"/>
    </row>
    <row r="173" spans="27:28" x14ac:dyDescent="0.25">
      <c r="AA173" s="24"/>
      <c r="AB173" s="2"/>
    </row>
    <row r="174" spans="27:28" x14ac:dyDescent="0.25">
      <c r="AA174" s="24"/>
      <c r="AB174" s="2"/>
    </row>
    <row r="175" spans="27:28" x14ac:dyDescent="0.25">
      <c r="AA175" s="24"/>
      <c r="AB175" s="2"/>
    </row>
    <row r="176" spans="27:28" x14ac:dyDescent="0.25">
      <c r="AA176" s="24"/>
      <c r="AB176" s="2"/>
    </row>
    <row r="177" spans="27:28" x14ac:dyDescent="0.25">
      <c r="AA177" s="24"/>
      <c r="AB177" s="2"/>
    </row>
    <row r="178" spans="27:28" x14ac:dyDescent="0.25">
      <c r="AA178" s="24"/>
      <c r="AB178" s="2"/>
    </row>
    <row r="179" spans="27:28" x14ac:dyDescent="0.25">
      <c r="AA179" s="24"/>
      <c r="AB179" s="2"/>
    </row>
    <row r="180" spans="27:28" x14ac:dyDescent="0.25">
      <c r="AA180" s="24"/>
      <c r="AB180" s="2"/>
    </row>
    <row r="181" spans="27:28" x14ac:dyDescent="0.25">
      <c r="AA181" s="24"/>
      <c r="AB181" s="2"/>
    </row>
    <row r="182" spans="27:28" x14ac:dyDescent="0.25">
      <c r="AA182" s="24"/>
      <c r="AB182" s="2"/>
    </row>
    <row r="183" spans="27:28" x14ac:dyDescent="0.25">
      <c r="AA183" s="24"/>
      <c r="AB183" s="2"/>
    </row>
    <row r="184" spans="27:28" x14ac:dyDescent="0.25">
      <c r="AA184" s="24"/>
      <c r="AB184" s="2"/>
    </row>
    <row r="185" spans="27:28" x14ac:dyDescent="0.25">
      <c r="AA185" s="24"/>
      <c r="AB185" s="2"/>
    </row>
    <row r="186" spans="27:28" x14ac:dyDescent="0.25">
      <c r="AA186" s="24"/>
      <c r="AB186" s="2"/>
    </row>
    <row r="187" spans="27:28" x14ac:dyDescent="0.25">
      <c r="AA187" s="24"/>
      <c r="AB187" s="2"/>
    </row>
    <row r="188" spans="27:28" x14ac:dyDescent="0.25">
      <c r="AA188" s="24"/>
      <c r="AB188" s="2"/>
    </row>
    <row r="189" spans="27:28" x14ac:dyDescent="0.25">
      <c r="AA189" s="24"/>
      <c r="AB189" s="2"/>
    </row>
    <row r="190" spans="27:28" x14ac:dyDescent="0.25">
      <c r="AA190" s="24"/>
      <c r="AB190" s="2"/>
    </row>
    <row r="191" spans="27:28" x14ac:dyDescent="0.25">
      <c r="AA191" s="24"/>
      <c r="AB191" s="2"/>
    </row>
    <row r="192" spans="27:28" x14ac:dyDescent="0.25">
      <c r="AA192" s="24"/>
      <c r="AB192" s="2"/>
    </row>
    <row r="193" spans="27:28" x14ac:dyDescent="0.25">
      <c r="AA193" s="24"/>
      <c r="AB193" s="2"/>
    </row>
    <row r="194" spans="27:28" x14ac:dyDescent="0.25">
      <c r="AA194" s="24"/>
      <c r="AB194" s="2"/>
    </row>
    <row r="195" spans="27:28" x14ac:dyDescent="0.25">
      <c r="AA195" s="24"/>
      <c r="AB195" s="2"/>
    </row>
    <row r="196" spans="27:28" x14ac:dyDescent="0.25">
      <c r="AA196" s="24"/>
      <c r="AB196" s="2"/>
    </row>
    <row r="197" spans="27:28" x14ac:dyDescent="0.25">
      <c r="AA197" s="24"/>
      <c r="AB197" s="2"/>
    </row>
    <row r="198" spans="27:28" x14ac:dyDescent="0.25">
      <c r="AA198" s="24"/>
      <c r="AB198" s="2"/>
    </row>
    <row r="199" spans="27:28" x14ac:dyDescent="0.25">
      <c r="AA199" s="24"/>
      <c r="AB199" s="2"/>
    </row>
    <row r="200" spans="27:28" x14ac:dyDescent="0.25">
      <c r="AA200" s="24">
        <f ca="1">TODAY()</f>
        <v>46295</v>
      </c>
      <c r="AB200" s="5" cm="1">
        <f t="array" ref="AB200">LOOKUP(2,1/(I:I&gt;0),I:I)</f>
        <v>78.62</v>
      </c>
    </row>
  </sheetData>
  <pageMargins left="0.7" right="0.7" top="0.75" bottom="0.75" header="0.3" footer="0.3"/>
  <ignoredErrors>
    <ignoredError sqref="D2:D30 F2:F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4E9F-4046-4402-B1F5-2564758B4667}">
  <dimension ref="A1:J19"/>
  <sheetViews>
    <sheetView workbookViewId="0">
      <selection activeCell="I34" sqref="I34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2026.09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3E88-C559-4C3F-87B5-4E7D5B8EEE08}">
  <dimension ref="A1:J19"/>
  <sheetViews>
    <sheetView workbookViewId="0">
      <selection activeCell="B31" sqref="B31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2026.08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B8AC-5CA3-4EAE-B3F6-644DDAD72CAD}">
  <dimension ref="A1:J19"/>
  <sheetViews>
    <sheetView workbookViewId="0">
      <selection activeCell="I19" sqref="I19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2026.07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3BFD-9A87-4276-8EB9-4D7E41AE90E7}">
  <dimension ref="A1:J19"/>
  <sheetViews>
    <sheetView workbookViewId="0">
      <selection activeCell="D23" sqref="D23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2026.06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C22E-647B-4048-AF16-C3C474B41931}">
  <dimension ref="A1:J19"/>
  <sheetViews>
    <sheetView workbookViewId="0">
      <selection activeCell="H17" sqref="H17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2026.05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943-A7E7-45D7-BF58-ED0E70347383}">
  <dimension ref="A1:J19"/>
  <sheetViews>
    <sheetView workbookViewId="0">
      <selection activeCell="F28" sqref="F28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2026.04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2712-EEC4-437F-A1DE-C2FDD6703942}">
  <dimension ref="A1:J19"/>
  <sheetViews>
    <sheetView workbookViewId="0">
      <selection activeCell="H23" sqref="H23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2026.03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24" sqref="G24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2026.02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/>
  <dimension ref="A1:J19"/>
  <sheetViews>
    <sheetView workbookViewId="0">
      <selection activeCell="A30" sqref="A30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>
        <v>2026.01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J19"/>
  <sheetViews>
    <sheetView workbookViewId="0"/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44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19"/>
  <sheetViews>
    <sheetView workbookViewId="0">
      <selection activeCell="A2" sqref="A2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43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J19"/>
  <sheetViews>
    <sheetView workbookViewId="0">
      <selection activeCell="F25" sqref="F25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42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J19"/>
  <sheetViews>
    <sheetView workbookViewId="0">
      <selection activeCell="J17" sqref="J17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41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J19"/>
  <sheetViews>
    <sheetView workbookViewId="0">
      <selection activeCell="F26" sqref="F2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40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J19"/>
  <sheetViews>
    <sheetView workbookViewId="0">
      <selection activeCell="I18" sqref="I18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31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25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16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14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15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>
        <v>45733</v>
      </c>
      <c r="B4" s="5">
        <v>50</v>
      </c>
      <c r="C4" s="5">
        <v>48.99</v>
      </c>
      <c r="D4" s="5">
        <f>B4-C4</f>
        <v>1.01</v>
      </c>
      <c r="E4" s="6">
        <v>297.79640000000001</v>
      </c>
      <c r="F4" s="7">
        <f>C4/E4</f>
        <v>0.16450000000000001</v>
      </c>
      <c r="H4" s="5">
        <f>B9+B18</f>
        <v>50</v>
      </c>
      <c r="I4" s="5">
        <f>C9+C18</f>
        <v>48.99</v>
      </c>
      <c r="J4" s="5">
        <f>D9+D18</f>
        <v>1.01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50</v>
      </c>
      <c r="C9" s="5">
        <f>SUM(C4:C8)</f>
        <v>48.99</v>
      </c>
      <c r="D9" s="5">
        <f>SUM(D4:D8)</f>
        <v>1.01</v>
      </c>
      <c r="E9" s="6"/>
      <c r="F9" s="7">
        <f>SUM(F4:F8)</f>
        <v>0.16450000000000001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17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18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19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>
        <v>45646</v>
      </c>
      <c r="B4" s="5">
        <v>50</v>
      </c>
      <c r="C4" s="5">
        <v>49.01</v>
      </c>
      <c r="D4" s="5">
        <f>B4-C4</f>
        <v>0.99</v>
      </c>
      <c r="E4" s="6">
        <v>368.2226</v>
      </c>
      <c r="F4" s="7">
        <f>C4/E4</f>
        <v>0.1331</v>
      </c>
      <c r="H4" s="5">
        <f>B9+B18</f>
        <v>50</v>
      </c>
      <c r="I4" s="5">
        <f>C9+C18</f>
        <v>49.01</v>
      </c>
      <c r="J4" s="5">
        <f>D9+D18</f>
        <v>0.99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50</v>
      </c>
      <c r="C9" s="5">
        <f>SUM(C4:C8)</f>
        <v>49.01</v>
      </c>
      <c r="D9" s="5">
        <f>SUM(D4:D8)</f>
        <v>0.99</v>
      </c>
      <c r="E9" s="6"/>
      <c r="F9" s="7">
        <f>SUM(F4:F8)</f>
        <v>0.1331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20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>
        <v>45618</v>
      </c>
      <c r="B4" s="5">
        <v>50</v>
      </c>
      <c r="C4" s="5">
        <v>49</v>
      </c>
      <c r="D4" s="5">
        <f>B4-C4</f>
        <v>1</v>
      </c>
      <c r="E4" s="6">
        <v>340.74579999999997</v>
      </c>
      <c r="F4" s="7">
        <f>C4/E4</f>
        <v>0.14380000000000001</v>
      </c>
      <c r="H4" s="5">
        <f>B9+B18</f>
        <v>50</v>
      </c>
      <c r="I4" s="5">
        <f>C9+C18</f>
        <v>49</v>
      </c>
      <c r="J4" s="5">
        <f>D9+D18</f>
        <v>1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50</v>
      </c>
      <c r="C9" s="5">
        <f>SUM(C4:C8)</f>
        <v>49</v>
      </c>
      <c r="D9" s="5">
        <f>SUM(D4:D8)</f>
        <v>1</v>
      </c>
      <c r="E9" s="6"/>
      <c r="F9" s="7">
        <f>SUM(F4:F8)</f>
        <v>0.14380000000000001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21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22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23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24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>
        <v>45502</v>
      </c>
      <c r="B4" s="5">
        <v>50</v>
      </c>
      <c r="C4" s="5">
        <v>49.01</v>
      </c>
      <c r="D4" s="5">
        <f>B4-C4</f>
        <v>0.99</v>
      </c>
      <c r="E4" s="6">
        <v>289.46359999999999</v>
      </c>
      <c r="F4" s="7">
        <f>C4/E4</f>
        <v>0.16930000000000001</v>
      </c>
      <c r="H4" s="5">
        <f>B9+B18</f>
        <v>50</v>
      </c>
      <c r="I4" s="5">
        <f>C9+C18</f>
        <v>49.01</v>
      </c>
      <c r="J4" s="5">
        <f>D9+D18</f>
        <v>0.99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50</v>
      </c>
      <c r="C9" s="5">
        <f>SUM(C4:C8)</f>
        <v>49.01</v>
      </c>
      <c r="D9" s="5">
        <f>SUM(D4:D8)</f>
        <v>0.99</v>
      </c>
      <c r="E9" s="6"/>
      <c r="F9" s="7">
        <f>SUM(F4:F8)</f>
        <v>0.16930000000000001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9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/>
      <c r="B13" s="5"/>
      <c r="C13" s="5"/>
      <c r="D13" s="5"/>
      <c r="E13" s="6"/>
      <c r="F13" s="7"/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0</v>
      </c>
      <c r="C18" s="5">
        <f>SUM(C13:C17)</f>
        <v>0</v>
      </c>
      <c r="D18" s="5">
        <f>SUM(D13:D17)</f>
        <v>0</v>
      </c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8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50</v>
      </c>
      <c r="I4" s="5">
        <f>C9+C18</f>
        <v>49</v>
      </c>
      <c r="J4" s="5">
        <f>D9+D18</f>
        <v>1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7">
        <v>45439</v>
      </c>
      <c r="B13" s="5">
        <v>50</v>
      </c>
      <c r="C13" s="5">
        <v>49</v>
      </c>
      <c r="D13" s="5">
        <f>B13-C13</f>
        <v>1</v>
      </c>
      <c r="E13" s="6">
        <v>96.435199999999995</v>
      </c>
      <c r="F13" s="7">
        <f>C13/E13</f>
        <v>0.5081</v>
      </c>
    </row>
    <row r="14" spans="1:10" x14ac:dyDescent="0.25">
      <c r="A14" s="17"/>
      <c r="B14" s="5"/>
      <c r="C14" s="5"/>
      <c r="D14" s="5"/>
      <c r="E14" s="6"/>
      <c r="F14" s="7"/>
    </row>
    <row r="15" spans="1:10" ht="15" customHeight="1" x14ac:dyDescent="0.3">
      <c r="A15" s="18"/>
      <c r="B15" s="5"/>
      <c r="C15" s="5"/>
      <c r="D15" s="5"/>
      <c r="E15" s="6"/>
      <c r="F15" s="8"/>
    </row>
    <row r="16" spans="1:10" ht="15" customHeight="1" x14ac:dyDescent="0.3">
      <c r="A16" s="18"/>
      <c r="B16" s="5"/>
      <c r="C16" s="5"/>
      <c r="D16" s="5"/>
      <c r="E16" s="6"/>
      <c r="F16" s="6"/>
    </row>
    <row r="17" spans="1:6" x14ac:dyDescent="0.25">
      <c r="A17" s="16"/>
      <c r="B17" s="6"/>
      <c r="C17" s="6"/>
      <c r="D17" s="5"/>
      <c r="E17" s="6"/>
      <c r="F17" s="6"/>
    </row>
    <row r="18" spans="1:6" x14ac:dyDescent="0.25">
      <c r="A18" s="2" t="s">
        <v>2</v>
      </c>
      <c r="B18" s="5">
        <f>SUM(B13:B17)</f>
        <v>50</v>
      </c>
      <c r="C18" s="5">
        <f>SUM(C13:C17)</f>
        <v>49</v>
      </c>
      <c r="D18" s="5">
        <f>SUM(D13:D17)</f>
        <v>1</v>
      </c>
      <c r="E18" s="6"/>
      <c r="F18" s="7">
        <f>SUM(F13:F17)</f>
        <v>0.5081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7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0"/>
      <c r="B13" s="5"/>
      <c r="C13" s="5"/>
      <c r="D13" s="5"/>
      <c r="E13" s="6"/>
      <c r="F13" s="7"/>
    </row>
    <row r="14" spans="1:10" x14ac:dyDescent="0.25">
      <c r="A14" s="10"/>
      <c r="B14" s="5"/>
      <c r="C14" s="5"/>
      <c r="D14" s="5"/>
      <c r="E14" s="6"/>
      <c r="F14" s="7"/>
    </row>
    <row r="15" spans="1:10" ht="15" customHeight="1" x14ac:dyDescent="0.3">
      <c r="A15" s="4"/>
      <c r="B15" s="5"/>
      <c r="C15" s="5"/>
      <c r="D15" s="5"/>
      <c r="E15" s="6"/>
      <c r="F15" s="8"/>
    </row>
    <row r="16" spans="1:10" ht="15" customHeight="1" x14ac:dyDescent="0.3">
      <c r="A16" s="4"/>
      <c r="B16" s="5"/>
      <c r="C16" s="5"/>
      <c r="D16" s="5"/>
      <c r="E16" s="6"/>
      <c r="F16" s="6"/>
    </row>
    <row r="17" spans="1:6" x14ac:dyDescent="0.25">
      <c r="A17" s="2"/>
      <c r="B17" s="6"/>
      <c r="C17" s="6"/>
      <c r="D17" s="6"/>
      <c r="E17" s="6"/>
      <c r="F17" s="6"/>
    </row>
    <row r="18" spans="1:6" x14ac:dyDescent="0.25">
      <c r="A18" s="2" t="s">
        <v>2</v>
      </c>
      <c r="B18" s="5">
        <f>SUM(B13:B17)</f>
        <v>0</v>
      </c>
      <c r="C18" s="5"/>
      <c r="D18" s="5"/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6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0"/>
      <c r="B13" s="5"/>
      <c r="C13" s="5"/>
      <c r="D13" s="5"/>
      <c r="E13" s="6"/>
      <c r="F13" s="7"/>
    </row>
    <row r="14" spans="1:10" x14ac:dyDescent="0.25">
      <c r="A14" s="10"/>
      <c r="B14" s="5"/>
      <c r="C14" s="5"/>
      <c r="D14" s="5"/>
      <c r="E14" s="6"/>
      <c r="F14" s="7"/>
    </row>
    <row r="15" spans="1:10" ht="15" customHeight="1" x14ac:dyDescent="0.3">
      <c r="A15" s="4"/>
      <c r="B15" s="5"/>
      <c r="C15" s="5"/>
      <c r="D15" s="5"/>
      <c r="E15" s="6"/>
      <c r="F15" s="8"/>
    </row>
    <row r="16" spans="1:10" ht="15" customHeight="1" x14ac:dyDescent="0.3">
      <c r="A16" s="4"/>
      <c r="B16" s="5"/>
      <c r="C16" s="5"/>
      <c r="D16" s="5"/>
      <c r="E16" s="6"/>
      <c r="F16" s="6"/>
    </row>
    <row r="17" spans="1:6" x14ac:dyDescent="0.25">
      <c r="A17" s="2"/>
      <c r="B17" s="6"/>
      <c r="C17" s="6"/>
      <c r="D17" s="6"/>
      <c r="E17" s="6"/>
      <c r="F17" s="6"/>
    </row>
    <row r="18" spans="1:6" x14ac:dyDescent="0.25">
      <c r="A18" s="2" t="s">
        <v>2</v>
      </c>
      <c r="B18" s="5">
        <f>SUM(B13:B17)</f>
        <v>0</v>
      </c>
      <c r="C18" s="5"/>
      <c r="D18" s="5"/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J19"/>
  <sheetViews>
    <sheetView workbookViewId="0">
      <selection activeCell="H1" sqref="H1:J1048576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5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/>
      <c r="B4" s="5"/>
      <c r="C4" s="5"/>
      <c r="D4" s="5"/>
      <c r="E4" s="6"/>
      <c r="F4" s="7"/>
      <c r="H4" s="5">
        <f>B9+B18</f>
        <v>0</v>
      </c>
      <c r="I4" s="5">
        <f>C9+C18</f>
        <v>0</v>
      </c>
      <c r="J4" s="5">
        <f>D9+D18</f>
        <v>0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/>
      <c r="F9" s="7">
        <f>SUM(F4:F8)</f>
        <v>0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0"/>
      <c r="B13" s="5"/>
      <c r="C13" s="5"/>
      <c r="D13" s="5"/>
      <c r="E13" s="6"/>
      <c r="F13" s="7"/>
    </row>
    <row r="14" spans="1:10" x14ac:dyDescent="0.25">
      <c r="A14" s="10"/>
      <c r="B14" s="5"/>
      <c r="C14" s="5"/>
      <c r="D14" s="5"/>
      <c r="E14" s="6"/>
      <c r="F14" s="7"/>
    </row>
    <row r="15" spans="1:10" ht="15" customHeight="1" x14ac:dyDescent="0.3">
      <c r="A15" s="4"/>
      <c r="B15" s="5"/>
      <c r="C15" s="5"/>
      <c r="D15" s="5"/>
      <c r="E15" s="6"/>
      <c r="F15" s="8"/>
    </row>
    <row r="16" spans="1:10" ht="15" customHeight="1" x14ac:dyDescent="0.3">
      <c r="A16" s="4"/>
      <c r="B16" s="5"/>
      <c r="C16" s="5"/>
      <c r="D16" s="5"/>
      <c r="E16" s="6"/>
      <c r="F16" s="6"/>
    </row>
    <row r="17" spans="1:6" x14ac:dyDescent="0.25">
      <c r="A17" s="2"/>
      <c r="B17" s="6"/>
      <c r="C17" s="6"/>
      <c r="D17" s="6"/>
      <c r="E17" s="6"/>
      <c r="F17" s="6"/>
    </row>
    <row r="18" spans="1:6" x14ac:dyDescent="0.25">
      <c r="A18" s="2" t="s">
        <v>2</v>
      </c>
      <c r="B18" s="5">
        <f>SUM(B13:B17)</f>
        <v>0</v>
      </c>
      <c r="C18" s="5"/>
      <c r="D18" s="5"/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1:J19"/>
  <sheetViews>
    <sheetView workbookViewId="0">
      <selection activeCell="A4" sqref="A4"/>
    </sheetView>
  </sheetViews>
  <sheetFormatPr defaultRowHeight="15" x14ac:dyDescent="0.25"/>
  <cols>
    <col min="1" max="1" width="40.7109375" customWidth="1"/>
    <col min="2" max="4" width="10.7109375" customWidth="1"/>
    <col min="5" max="5" width="15.7109375" customWidth="1"/>
    <col min="6" max="6" width="10.7109375" customWidth="1"/>
    <col min="8" max="8" width="10.7109375" style="1" customWidth="1"/>
    <col min="9" max="10" width="10.7109375" customWidth="1"/>
  </cols>
  <sheetData>
    <row r="1" spans="1:10" x14ac:dyDescent="0.25">
      <c r="A1" s="14" t="s">
        <v>3</v>
      </c>
    </row>
    <row r="3" spans="1:10" x14ac:dyDescent="0.25">
      <c r="A3" s="3" t="s">
        <v>32</v>
      </c>
      <c r="B3" s="3" t="s">
        <v>4</v>
      </c>
      <c r="C3" s="3" t="s">
        <v>33</v>
      </c>
      <c r="D3" s="3" t="s">
        <v>29</v>
      </c>
      <c r="E3" s="3" t="s">
        <v>0</v>
      </c>
      <c r="F3" s="3" t="s">
        <v>1</v>
      </c>
      <c r="G3" s="11"/>
      <c r="H3" s="3" t="s">
        <v>30</v>
      </c>
      <c r="I3" s="13" t="s">
        <v>33</v>
      </c>
      <c r="J3" s="3" t="s">
        <v>29</v>
      </c>
    </row>
    <row r="4" spans="1:10" x14ac:dyDescent="0.25">
      <c r="A4" s="15">
        <v>45317</v>
      </c>
      <c r="B4" s="5">
        <v>100</v>
      </c>
      <c r="C4" s="5">
        <v>98</v>
      </c>
      <c r="D4" s="5">
        <f>B4-C4</f>
        <v>2</v>
      </c>
      <c r="E4" s="6">
        <v>248.04820000000001</v>
      </c>
      <c r="F4" s="7">
        <f>C4/E4</f>
        <v>0.39510000000000001</v>
      </c>
      <c r="H4" s="5">
        <f>B9+B18</f>
        <v>100</v>
      </c>
      <c r="I4" s="5">
        <f>C9+C18</f>
        <v>98</v>
      </c>
      <c r="J4" s="5">
        <f>D9+D18</f>
        <v>2</v>
      </c>
    </row>
    <row r="5" spans="1:10" x14ac:dyDescent="0.25">
      <c r="A5" s="15"/>
      <c r="B5" s="5"/>
      <c r="C5" s="5"/>
      <c r="D5" s="5"/>
      <c r="E5" s="6"/>
      <c r="F5" s="7"/>
    </row>
    <row r="6" spans="1:10" x14ac:dyDescent="0.25">
      <c r="A6" s="15"/>
      <c r="B6" s="5"/>
      <c r="C6" s="5"/>
      <c r="D6" s="5"/>
      <c r="E6" s="6"/>
      <c r="F6" s="7"/>
    </row>
    <row r="7" spans="1:10" x14ac:dyDescent="0.25">
      <c r="A7" s="16"/>
      <c r="B7" s="2"/>
      <c r="C7" s="2"/>
      <c r="D7" s="2"/>
      <c r="E7" s="2"/>
      <c r="F7" s="2"/>
    </row>
    <row r="8" spans="1:10" x14ac:dyDescent="0.25">
      <c r="A8" s="16"/>
      <c r="B8" s="2"/>
      <c r="C8" s="2"/>
      <c r="D8" s="2"/>
      <c r="E8" s="2"/>
      <c r="F8" s="2"/>
    </row>
    <row r="9" spans="1:10" x14ac:dyDescent="0.25">
      <c r="A9" s="2" t="s">
        <v>2</v>
      </c>
      <c r="B9" s="5">
        <f>SUM(B4:B8)</f>
        <v>100</v>
      </c>
      <c r="C9" s="5">
        <f>SUM(C4:C8)</f>
        <v>98</v>
      </c>
      <c r="D9" s="5">
        <f>SUM(D4:D8)</f>
        <v>2</v>
      </c>
      <c r="E9" s="6"/>
      <c r="F9" s="6">
        <f>SUM(F4:F8)</f>
        <v>0.39510000000000001</v>
      </c>
    </row>
    <row r="12" spans="1:10" x14ac:dyDescent="0.25">
      <c r="A12" s="3" t="s">
        <v>34</v>
      </c>
      <c r="B12" s="3" t="s">
        <v>4</v>
      </c>
      <c r="C12" s="3" t="s">
        <v>33</v>
      </c>
      <c r="D12" s="3" t="s">
        <v>29</v>
      </c>
      <c r="E12" s="3" t="s">
        <v>0</v>
      </c>
      <c r="F12" s="3" t="s">
        <v>1</v>
      </c>
    </row>
    <row r="13" spans="1:10" x14ac:dyDescent="0.25">
      <c r="A13" s="10"/>
      <c r="B13" s="5"/>
      <c r="C13" s="5"/>
      <c r="D13" s="5"/>
      <c r="E13" s="6"/>
      <c r="F13" s="7"/>
    </row>
    <row r="14" spans="1:10" x14ac:dyDescent="0.25">
      <c r="A14" s="10"/>
      <c r="B14" s="5"/>
      <c r="C14" s="5"/>
      <c r="D14" s="5"/>
      <c r="E14" s="6"/>
      <c r="F14" s="7"/>
    </row>
    <row r="15" spans="1:10" ht="15" customHeight="1" x14ac:dyDescent="0.3">
      <c r="A15" s="4"/>
      <c r="B15" s="5"/>
      <c r="C15" s="5"/>
      <c r="D15" s="5"/>
      <c r="E15" s="6"/>
      <c r="F15" s="8"/>
    </row>
    <row r="16" spans="1:10" ht="15" customHeight="1" x14ac:dyDescent="0.3">
      <c r="A16" s="4"/>
      <c r="B16" s="5"/>
      <c r="C16" s="5"/>
      <c r="D16" s="5"/>
      <c r="E16" s="6"/>
      <c r="F16" s="6"/>
    </row>
    <row r="17" spans="1:6" x14ac:dyDescent="0.25">
      <c r="A17" s="2"/>
      <c r="B17" s="6"/>
      <c r="C17" s="6"/>
      <c r="D17" s="6"/>
      <c r="E17" s="6"/>
      <c r="F17" s="6"/>
    </row>
    <row r="18" spans="1:6" x14ac:dyDescent="0.25">
      <c r="A18" s="2" t="s">
        <v>2</v>
      </c>
      <c r="B18" s="5">
        <f>SUM(B13:B17)</f>
        <v>0</v>
      </c>
      <c r="C18" s="5"/>
      <c r="D18" s="5"/>
      <c r="E18" s="6"/>
      <c r="F18" s="7">
        <f>SUM(F13:F17)</f>
        <v>0</v>
      </c>
    </row>
    <row r="19" spans="1:6" x14ac:dyDescent="0.25">
      <c r="B19" s="9"/>
      <c r="C19" s="9"/>
      <c r="D19" s="9"/>
      <c r="E19" s="1"/>
      <c r="F19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Apžvalga</vt:lpstr>
      <vt:lpstr>Nextury Technology</vt:lpstr>
      <vt:lpstr>Nextury Asia</vt:lpstr>
      <vt:lpstr>2026.09</vt:lpstr>
      <vt:lpstr>2026.08</vt:lpstr>
      <vt:lpstr>2026.07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  <vt:lpstr>2024.07</vt:lpstr>
      <vt:lpstr>2024.06</vt:lpstr>
      <vt:lpstr>2024.05</vt:lpstr>
      <vt:lpstr>2024.04</vt:lpstr>
      <vt:lpstr>2024.03</vt:lpstr>
      <vt:lpstr>2024.02</vt:lpstr>
      <vt:lpstr>2024.01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2026-09-30T17:04:58Z</dcterms:modified>
</cp:coreProperties>
</file>