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Investavimas 2026.08.08\Indemo\"/>
    </mc:Choice>
  </mc:AlternateContent>
  <xr:revisionPtr revIDLastSave="0" documentId="13_ncr:1_{8BD29E04-8E39-4AA4-AE5B-1D87BF23B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33" r:id="rId1"/>
    <sheet name="Pinigai" sheetId="127" r:id="rId2"/>
    <sheet name="J036" sheetId="145" r:id="rId3"/>
    <sheet name="J038" sheetId="147" r:id="rId4"/>
    <sheet name="J040" sheetId="149" r:id="rId5"/>
    <sheet name="J044" sheetId="153" r:id="rId6"/>
    <sheet name="J046" sheetId="154" r:id="rId7"/>
    <sheet name="J052" sheetId="159" r:id="rId8"/>
    <sheet name="J053" sheetId="160" r:id="rId9"/>
    <sheet name="J057" sheetId="164" r:id="rId10"/>
    <sheet name="J059" sheetId="165" r:id="rId11"/>
    <sheet name="J061" sheetId="167" r:id="rId12"/>
    <sheet name="J062" sheetId="168" r:id="rId13"/>
    <sheet name="J063" sheetId="169" r:id="rId14"/>
    <sheet name="J067" sheetId="173" r:id="rId15"/>
    <sheet name="J071" sheetId="176" r:id="rId16"/>
    <sheet name="R077" sheetId="182" r:id="rId17"/>
    <sheet name="R078" sheetId="183" r:id="rId18"/>
    <sheet name="R079" sheetId="184" r:id="rId19"/>
    <sheet name="R080" sheetId="185" r:id="rId20"/>
    <sheet name="R081" sheetId="186" r:id="rId21"/>
    <sheet name="R089" sheetId="192" r:id="rId22"/>
    <sheet name="R090" sheetId="193" r:id="rId23"/>
    <sheet name="R091" sheetId="194" r:id="rId24"/>
    <sheet name="R092" sheetId="195" r:id="rId25"/>
    <sheet name="R093" sheetId="196" r:id="rId26"/>
    <sheet name="R094" sheetId="197" r:id="rId27"/>
    <sheet name="R096" sheetId="19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3" l="1"/>
  <c r="K3" i="127"/>
  <c r="K4" i="127"/>
  <c r="K2" i="127"/>
  <c r="A200" i="127"/>
  <c r="B7" i="33"/>
  <c r="C7" i="33"/>
  <c r="D7" i="33"/>
  <c r="F7" i="33"/>
  <c r="G7" i="33"/>
  <c r="H7" i="33"/>
  <c r="I7" i="33"/>
  <c r="B6" i="33"/>
  <c r="C6" i="33"/>
  <c r="D6" i="33"/>
  <c r="F6" i="33"/>
  <c r="G6" i="33"/>
  <c r="H6" i="33"/>
  <c r="I6" i="33"/>
  <c r="B5" i="33"/>
  <c r="C5" i="33"/>
  <c r="D5" i="33"/>
  <c r="F5" i="33"/>
  <c r="G5" i="33"/>
  <c r="H5" i="33"/>
  <c r="I5" i="33"/>
  <c r="B4" i="33"/>
  <c r="C4" i="33"/>
  <c r="D4" i="33"/>
  <c r="F4" i="33"/>
  <c r="G4" i="33"/>
  <c r="H4" i="33"/>
  <c r="I4" i="33"/>
  <c r="I3" i="33"/>
  <c r="H3" i="33"/>
  <c r="G3" i="33"/>
  <c r="F3" i="33"/>
  <c r="D3" i="33"/>
  <c r="C3" i="33"/>
  <c r="B3" i="33"/>
  <c r="I2" i="127" l="1"/>
  <c r="T3" i="33"/>
  <c r="E3" i="33"/>
  <c r="E6" i="33"/>
  <c r="E7" i="33"/>
  <c r="E5" i="33"/>
  <c r="E4" i="33"/>
  <c r="H28" i="33" l="1"/>
  <c r="G28" i="33"/>
  <c r="B28" i="33"/>
  <c r="Z20" i="199"/>
  <c r="Y20" i="199"/>
  <c r="W20" i="199"/>
  <c r="H20" i="199"/>
  <c r="X20" i="199" s="1"/>
  <c r="Z19" i="199"/>
  <c r="Y19" i="199"/>
  <c r="W19" i="199"/>
  <c r="H19" i="199"/>
  <c r="X19" i="199" s="1"/>
  <c r="Z18" i="199"/>
  <c r="Y18" i="199"/>
  <c r="W18" i="199"/>
  <c r="H18" i="199"/>
  <c r="X18" i="199" s="1"/>
  <c r="Z17" i="199"/>
  <c r="Y17" i="199"/>
  <c r="W17" i="199"/>
  <c r="H17" i="199"/>
  <c r="X17" i="199" s="1"/>
  <c r="Z16" i="199"/>
  <c r="Y16" i="199"/>
  <c r="W16" i="199"/>
  <c r="H16" i="199"/>
  <c r="X16" i="199" s="1"/>
  <c r="Z15" i="199"/>
  <c r="Y15" i="199"/>
  <c r="W15" i="199"/>
  <c r="H15" i="199"/>
  <c r="X15" i="199" s="1"/>
  <c r="Z14" i="199"/>
  <c r="Y14" i="199"/>
  <c r="W14" i="199"/>
  <c r="H14" i="199"/>
  <c r="X14" i="199" s="1"/>
  <c r="Z13" i="199"/>
  <c r="Y13" i="199"/>
  <c r="X13" i="199"/>
  <c r="W13" i="199"/>
  <c r="H13" i="199"/>
  <c r="Z12" i="199"/>
  <c r="Y12" i="199"/>
  <c r="W12" i="199"/>
  <c r="H12" i="199"/>
  <c r="X12" i="199" s="1"/>
  <c r="B12" i="199"/>
  <c r="Z11" i="199"/>
  <c r="Y11" i="199"/>
  <c r="X11" i="199"/>
  <c r="W11" i="199"/>
  <c r="H11" i="199"/>
  <c r="B11" i="199"/>
  <c r="Z10" i="199"/>
  <c r="Y10" i="199"/>
  <c r="W10" i="199"/>
  <c r="H10" i="199"/>
  <c r="X10" i="199" s="1"/>
  <c r="B10" i="199"/>
  <c r="B13" i="199" s="1"/>
  <c r="I28" i="33" s="1"/>
  <c r="Z9" i="199"/>
  <c r="Y9" i="199"/>
  <c r="W9" i="199"/>
  <c r="H9" i="199"/>
  <c r="X9" i="199" s="1"/>
  <c r="Z8" i="199"/>
  <c r="Y8" i="199"/>
  <c r="W8" i="199"/>
  <c r="H8" i="199"/>
  <c r="X8" i="199" s="1"/>
  <c r="Z7" i="199"/>
  <c r="Y7" i="199"/>
  <c r="W7" i="199"/>
  <c r="H7" i="199"/>
  <c r="X7" i="199" s="1"/>
  <c r="B7" i="199"/>
  <c r="D28" i="33" s="1"/>
  <c r="Z6" i="199"/>
  <c r="Y6" i="199"/>
  <c r="W6" i="199"/>
  <c r="H6" i="199"/>
  <c r="X6" i="199" s="1"/>
  <c r="Z5" i="199"/>
  <c r="Y5" i="199"/>
  <c r="W5" i="199"/>
  <c r="H5" i="199"/>
  <c r="X5" i="199" s="1"/>
  <c r="Z4" i="199"/>
  <c r="Y4" i="199"/>
  <c r="W4" i="199"/>
  <c r="L4" i="199"/>
  <c r="H4" i="199"/>
  <c r="X4" i="199" s="1"/>
  <c r="Z3" i="199"/>
  <c r="Y3" i="199"/>
  <c r="W3" i="199"/>
  <c r="H3" i="199"/>
  <c r="X3" i="199" s="1"/>
  <c r="H27" i="33"/>
  <c r="G27" i="33"/>
  <c r="B27" i="33"/>
  <c r="Z20" i="197"/>
  <c r="Y20" i="197"/>
  <c r="W20" i="197"/>
  <c r="H20" i="197"/>
  <c r="X20" i="197" s="1"/>
  <c r="Z19" i="197"/>
  <c r="Y19" i="197"/>
  <c r="W19" i="197"/>
  <c r="H19" i="197"/>
  <c r="X19" i="197" s="1"/>
  <c r="Z18" i="197"/>
  <c r="Y18" i="197"/>
  <c r="W18" i="197"/>
  <c r="H18" i="197"/>
  <c r="X18" i="197" s="1"/>
  <c r="Z17" i="197"/>
  <c r="Y17" i="197"/>
  <c r="W17" i="197"/>
  <c r="H17" i="197"/>
  <c r="X17" i="197" s="1"/>
  <c r="Z16" i="197"/>
  <c r="Y16" i="197"/>
  <c r="W16" i="197"/>
  <c r="H16" i="197"/>
  <c r="X16" i="197" s="1"/>
  <c r="Z15" i="197"/>
  <c r="Y15" i="197"/>
  <c r="W15" i="197"/>
  <c r="H15" i="197"/>
  <c r="X15" i="197" s="1"/>
  <c r="Z14" i="197"/>
  <c r="Y14" i="197"/>
  <c r="W14" i="197"/>
  <c r="H14" i="197"/>
  <c r="X14" i="197" s="1"/>
  <c r="Z13" i="197"/>
  <c r="Y13" i="197"/>
  <c r="X13" i="197"/>
  <c r="W13" i="197"/>
  <c r="H13" i="197"/>
  <c r="Z12" i="197"/>
  <c r="Y12" i="197"/>
  <c r="W12" i="197"/>
  <c r="H12" i="197"/>
  <c r="X12" i="197" s="1"/>
  <c r="B12" i="197"/>
  <c r="Z11" i="197"/>
  <c r="Y11" i="197"/>
  <c r="X11" i="197"/>
  <c r="W11" i="197"/>
  <c r="H11" i="197"/>
  <c r="B11" i="197"/>
  <c r="Z10" i="197"/>
  <c r="Y10" i="197"/>
  <c r="W10" i="197"/>
  <c r="H10" i="197"/>
  <c r="X10" i="197" s="1"/>
  <c r="B10" i="197"/>
  <c r="B13" i="197" s="1"/>
  <c r="I27" i="33" s="1"/>
  <c r="Z9" i="197"/>
  <c r="Y9" i="197"/>
  <c r="W9" i="197"/>
  <c r="H9" i="197"/>
  <c r="X9" i="197" s="1"/>
  <c r="Z8" i="197"/>
  <c r="Y8" i="197"/>
  <c r="W8" i="197"/>
  <c r="H8" i="197"/>
  <c r="X8" i="197" s="1"/>
  <c r="Z7" i="197"/>
  <c r="Y7" i="197"/>
  <c r="W7" i="197"/>
  <c r="H7" i="197"/>
  <c r="X7" i="197" s="1"/>
  <c r="B7" i="197"/>
  <c r="D27" i="33" s="1"/>
  <c r="Z6" i="197"/>
  <c r="Y6" i="197"/>
  <c r="W6" i="197"/>
  <c r="H6" i="197"/>
  <c r="X6" i="197" s="1"/>
  <c r="Z5" i="197"/>
  <c r="Y5" i="197"/>
  <c r="W5" i="197"/>
  <c r="H5" i="197"/>
  <c r="X5" i="197" s="1"/>
  <c r="Z4" i="197"/>
  <c r="Y4" i="197"/>
  <c r="W4" i="197"/>
  <c r="H4" i="197"/>
  <c r="X4" i="197" s="1"/>
  <c r="Z3" i="197"/>
  <c r="Y3" i="197"/>
  <c r="W3" i="197"/>
  <c r="H3" i="197"/>
  <c r="X3" i="197" s="1"/>
  <c r="H26" i="33"/>
  <c r="G26" i="33"/>
  <c r="B26" i="33"/>
  <c r="Z20" i="196"/>
  <c r="Y20" i="196"/>
  <c r="W20" i="196"/>
  <c r="H20" i="196"/>
  <c r="X20" i="196" s="1"/>
  <c r="Z19" i="196"/>
  <c r="Y19" i="196"/>
  <c r="W19" i="196"/>
  <c r="H19" i="196"/>
  <c r="X19" i="196" s="1"/>
  <c r="Z18" i="196"/>
  <c r="Y18" i="196"/>
  <c r="W18" i="196"/>
  <c r="H18" i="196"/>
  <c r="X18" i="196" s="1"/>
  <c r="Z17" i="196"/>
  <c r="Y17" i="196"/>
  <c r="W17" i="196"/>
  <c r="H17" i="196"/>
  <c r="X17" i="196" s="1"/>
  <c r="Z16" i="196"/>
  <c r="Y16" i="196"/>
  <c r="W16" i="196"/>
  <c r="H16" i="196"/>
  <c r="X16" i="196" s="1"/>
  <c r="Z15" i="196"/>
  <c r="Y15" i="196"/>
  <c r="W15" i="196"/>
  <c r="H15" i="196"/>
  <c r="X15" i="196" s="1"/>
  <c r="Z14" i="196"/>
  <c r="Y14" i="196"/>
  <c r="W14" i="196"/>
  <c r="H14" i="196"/>
  <c r="X14" i="196" s="1"/>
  <c r="Z13" i="196"/>
  <c r="Y13" i="196"/>
  <c r="X13" i="196"/>
  <c r="W13" i="196"/>
  <c r="H13" i="196"/>
  <c r="Z12" i="196"/>
  <c r="Y12" i="196"/>
  <c r="W12" i="196"/>
  <c r="H12" i="196"/>
  <c r="X12" i="196" s="1"/>
  <c r="B12" i="196"/>
  <c r="Z11" i="196"/>
  <c r="Y11" i="196"/>
  <c r="X11" i="196"/>
  <c r="W11" i="196"/>
  <c r="H11" i="196"/>
  <c r="B11" i="196"/>
  <c r="Z10" i="196"/>
  <c r="Y10" i="196"/>
  <c r="W10" i="196"/>
  <c r="H10" i="196"/>
  <c r="X10" i="196" s="1"/>
  <c r="B10" i="196"/>
  <c r="B13" i="196" s="1"/>
  <c r="I26" i="33" s="1"/>
  <c r="Z9" i="196"/>
  <c r="Y9" i="196"/>
  <c r="W9" i="196"/>
  <c r="H9" i="196"/>
  <c r="X9" i="196" s="1"/>
  <c r="Z8" i="196"/>
  <c r="Y8" i="196"/>
  <c r="W8" i="196"/>
  <c r="H8" i="196"/>
  <c r="X8" i="196" s="1"/>
  <c r="Z7" i="196"/>
  <c r="Y7" i="196"/>
  <c r="W7" i="196"/>
  <c r="H7" i="196"/>
  <c r="X7" i="196" s="1"/>
  <c r="B7" i="196"/>
  <c r="D26" i="33" s="1"/>
  <c r="Z6" i="196"/>
  <c r="Y6" i="196"/>
  <c r="W6" i="196"/>
  <c r="H6" i="196"/>
  <c r="X6" i="196" s="1"/>
  <c r="Z5" i="196"/>
  <c r="Y5" i="196"/>
  <c r="W5" i="196"/>
  <c r="H5" i="196"/>
  <c r="X5" i="196" s="1"/>
  <c r="Z4" i="196"/>
  <c r="Y4" i="196"/>
  <c r="W4" i="196"/>
  <c r="H4" i="196"/>
  <c r="X4" i="196" s="1"/>
  <c r="Z3" i="196"/>
  <c r="Y3" i="196"/>
  <c r="W3" i="196"/>
  <c r="H3" i="196"/>
  <c r="X3" i="196" s="1"/>
  <c r="H25" i="33"/>
  <c r="G25" i="33"/>
  <c r="B25" i="33"/>
  <c r="Z20" i="195"/>
  <c r="Y20" i="195"/>
  <c r="W20" i="195"/>
  <c r="H20" i="195"/>
  <c r="X20" i="195" s="1"/>
  <c r="Z19" i="195"/>
  <c r="Y19" i="195"/>
  <c r="W19" i="195"/>
  <c r="H19" i="195"/>
  <c r="X19" i="195" s="1"/>
  <c r="Z18" i="195"/>
  <c r="Y18" i="195"/>
  <c r="W18" i="195"/>
  <c r="H18" i="195"/>
  <c r="X18" i="195" s="1"/>
  <c r="Z17" i="195"/>
  <c r="Y17" i="195"/>
  <c r="W17" i="195"/>
  <c r="H17" i="195"/>
  <c r="X17" i="195" s="1"/>
  <c r="Z16" i="195"/>
  <c r="Y16" i="195"/>
  <c r="W16" i="195"/>
  <c r="H16" i="195"/>
  <c r="X16" i="195" s="1"/>
  <c r="Z15" i="195"/>
  <c r="Y15" i="195"/>
  <c r="W15" i="195"/>
  <c r="H15" i="195"/>
  <c r="X15" i="195" s="1"/>
  <c r="Z14" i="195"/>
  <c r="Y14" i="195"/>
  <c r="W14" i="195"/>
  <c r="H14" i="195"/>
  <c r="X14" i="195" s="1"/>
  <c r="Z13" i="195"/>
  <c r="Y13" i="195"/>
  <c r="X13" i="195"/>
  <c r="W13" i="195"/>
  <c r="H13" i="195"/>
  <c r="Z12" i="195"/>
  <c r="Y12" i="195"/>
  <c r="W12" i="195"/>
  <c r="H12" i="195"/>
  <c r="X12" i="195" s="1"/>
  <c r="B12" i="195"/>
  <c r="Z11" i="195"/>
  <c r="Y11" i="195"/>
  <c r="X11" i="195"/>
  <c r="W11" i="195"/>
  <c r="H11" i="195"/>
  <c r="B11" i="195"/>
  <c r="Z10" i="195"/>
  <c r="Y10" i="195"/>
  <c r="W10" i="195"/>
  <c r="H10" i="195"/>
  <c r="X10" i="195" s="1"/>
  <c r="B10" i="195"/>
  <c r="B13" i="195" s="1"/>
  <c r="I25" i="33" s="1"/>
  <c r="Z9" i="195"/>
  <c r="Y9" i="195"/>
  <c r="W9" i="195"/>
  <c r="H9" i="195"/>
  <c r="X9" i="195" s="1"/>
  <c r="Z8" i="195"/>
  <c r="Y8" i="195"/>
  <c r="X8" i="195"/>
  <c r="W8" i="195"/>
  <c r="H8" i="195"/>
  <c r="Z7" i="195"/>
  <c r="Y7" i="195"/>
  <c r="W7" i="195"/>
  <c r="H7" i="195"/>
  <c r="X7" i="195" s="1"/>
  <c r="B7" i="195"/>
  <c r="D25" i="33" s="1"/>
  <c r="Z6" i="195"/>
  <c r="Y6" i="195"/>
  <c r="W6" i="195"/>
  <c r="H6" i="195"/>
  <c r="X6" i="195" s="1"/>
  <c r="Z5" i="195"/>
  <c r="Y5" i="195"/>
  <c r="W5" i="195"/>
  <c r="H5" i="195"/>
  <c r="X5" i="195" s="1"/>
  <c r="Z4" i="195"/>
  <c r="Y4" i="195"/>
  <c r="W4" i="195"/>
  <c r="H4" i="195"/>
  <c r="X4" i="195" s="1"/>
  <c r="Z3" i="195"/>
  <c r="Y3" i="195"/>
  <c r="W3" i="195"/>
  <c r="H3" i="195"/>
  <c r="X3" i="195" s="1"/>
  <c r="H24" i="33"/>
  <c r="G24" i="33"/>
  <c r="B24" i="33"/>
  <c r="Z20" i="194"/>
  <c r="Y20" i="194"/>
  <c r="W20" i="194"/>
  <c r="H20" i="194"/>
  <c r="X20" i="194" s="1"/>
  <c r="Z19" i="194"/>
  <c r="Y19" i="194"/>
  <c r="W19" i="194"/>
  <c r="H19" i="194"/>
  <c r="X19" i="194" s="1"/>
  <c r="Z18" i="194"/>
  <c r="Y18" i="194"/>
  <c r="W18" i="194"/>
  <c r="H18" i="194"/>
  <c r="X18" i="194" s="1"/>
  <c r="Z17" i="194"/>
  <c r="Y17" i="194"/>
  <c r="W17" i="194"/>
  <c r="H17" i="194"/>
  <c r="X17" i="194" s="1"/>
  <c r="Z16" i="194"/>
  <c r="Y16" i="194"/>
  <c r="W16" i="194"/>
  <c r="H16" i="194"/>
  <c r="X16" i="194" s="1"/>
  <c r="Z15" i="194"/>
  <c r="Y15" i="194"/>
  <c r="W15" i="194"/>
  <c r="H15" i="194"/>
  <c r="X15" i="194" s="1"/>
  <c r="Z14" i="194"/>
  <c r="Y14" i="194"/>
  <c r="W14" i="194"/>
  <c r="H14" i="194"/>
  <c r="X14" i="194" s="1"/>
  <c r="Z13" i="194"/>
  <c r="Y13" i="194"/>
  <c r="X13" i="194"/>
  <c r="W13" i="194"/>
  <c r="H13" i="194"/>
  <c r="Z12" i="194"/>
  <c r="Y12" i="194"/>
  <c r="W12" i="194"/>
  <c r="H12" i="194"/>
  <c r="X12" i="194" s="1"/>
  <c r="B12" i="194"/>
  <c r="Z11" i="194"/>
  <c r="Y11" i="194"/>
  <c r="X11" i="194"/>
  <c r="W11" i="194"/>
  <c r="H11" i="194"/>
  <c r="B11" i="194"/>
  <c r="Z10" i="194"/>
  <c r="Y10" i="194"/>
  <c r="W10" i="194"/>
  <c r="H10" i="194"/>
  <c r="X10" i="194" s="1"/>
  <c r="B10" i="194"/>
  <c r="B13" i="194" s="1"/>
  <c r="I24" i="33" s="1"/>
  <c r="Z9" i="194"/>
  <c r="Y9" i="194"/>
  <c r="W9" i="194"/>
  <c r="H9" i="194"/>
  <c r="X9" i="194" s="1"/>
  <c r="Z8" i="194"/>
  <c r="Y8" i="194"/>
  <c r="W8" i="194"/>
  <c r="H8" i="194"/>
  <c r="X8" i="194" s="1"/>
  <c r="Z7" i="194"/>
  <c r="Y7" i="194"/>
  <c r="W7" i="194"/>
  <c r="H7" i="194"/>
  <c r="X7" i="194" s="1"/>
  <c r="B7" i="194"/>
  <c r="D24" i="33" s="1"/>
  <c r="Z6" i="194"/>
  <c r="Y6" i="194"/>
  <c r="W6" i="194"/>
  <c r="H6" i="194"/>
  <c r="X6" i="194" s="1"/>
  <c r="Z5" i="194"/>
  <c r="Y5" i="194"/>
  <c r="W5" i="194"/>
  <c r="H5" i="194"/>
  <c r="X5" i="194" s="1"/>
  <c r="Z4" i="194"/>
  <c r="Y4" i="194"/>
  <c r="W4" i="194"/>
  <c r="H4" i="194"/>
  <c r="X4" i="194" s="1"/>
  <c r="Z3" i="194"/>
  <c r="Y3" i="194"/>
  <c r="W3" i="194"/>
  <c r="H3" i="194"/>
  <c r="X3" i="194" s="1"/>
  <c r="H23" i="33"/>
  <c r="G23" i="33"/>
  <c r="B23" i="33"/>
  <c r="Z20" i="193"/>
  <c r="Y20" i="193"/>
  <c r="W20" i="193"/>
  <c r="H20" i="193"/>
  <c r="X20" i="193" s="1"/>
  <c r="Z19" i="193"/>
  <c r="Y19" i="193"/>
  <c r="W19" i="193"/>
  <c r="H19" i="193"/>
  <c r="X19" i="193" s="1"/>
  <c r="Z18" i="193"/>
  <c r="Y18" i="193"/>
  <c r="W18" i="193"/>
  <c r="H18" i="193"/>
  <c r="X18" i="193" s="1"/>
  <c r="Z17" i="193"/>
  <c r="Y17" i="193"/>
  <c r="W17" i="193"/>
  <c r="H17" i="193"/>
  <c r="X17" i="193" s="1"/>
  <c r="Z16" i="193"/>
  <c r="Y16" i="193"/>
  <c r="W16" i="193"/>
  <c r="H16" i="193"/>
  <c r="X16" i="193" s="1"/>
  <c r="Z15" i="193"/>
  <c r="Y15" i="193"/>
  <c r="W15" i="193"/>
  <c r="H15" i="193"/>
  <c r="X15" i="193" s="1"/>
  <c r="Z14" i="193"/>
  <c r="Y14" i="193"/>
  <c r="W14" i="193"/>
  <c r="H14" i="193"/>
  <c r="X14" i="193" s="1"/>
  <c r="Z13" i="193"/>
  <c r="Y13" i="193"/>
  <c r="X13" i="193"/>
  <c r="W13" i="193"/>
  <c r="H13" i="193"/>
  <c r="Z12" i="193"/>
  <c r="Y12" i="193"/>
  <c r="W12" i="193"/>
  <c r="H12" i="193"/>
  <c r="X12" i="193" s="1"/>
  <c r="B12" i="193"/>
  <c r="Z11" i="193"/>
  <c r="Y11" i="193"/>
  <c r="X11" i="193"/>
  <c r="W11" i="193"/>
  <c r="H11" i="193"/>
  <c r="B11" i="193"/>
  <c r="Z10" i="193"/>
  <c r="Y10" i="193"/>
  <c r="W10" i="193"/>
  <c r="H10" i="193"/>
  <c r="X10" i="193" s="1"/>
  <c r="B10" i="193"/>
  <c r="L12" i="193" s="1"/>
  <c r="Z9" i="193"/>
  <c r="Y9" i="193"/>
  <c r="W9" i="193"/>
  <c r="H9" i="193"/>
  <c r="X9" i="193" s="1"/>
  <c r="Z8" i="193"/>
  <c r="Y8" i="193"/>
  <c r="W8" i="193"/>
  <c r="H8" i="193"/>
  <c r="X8" i="193" s="1"/>
  <c r="Z7" i="193"/>
  <c r="Y7" i="193"/>
  <c r="W7" i="193"/>
  <c r="H7" i="193"/>
  <c r="X7" i="193" s="1"/>
  <c r="B7" i="193"/>
  <c r="D23" i="33" s="1"/>
  <c r="Z6" i="193"/>
  <c r="Y6" i="193"/>
  <c r="W6" i="193"/>
  <c r="H6" i="193"/>
  <c r="X6" i="193" s="1"/>
  <c r="Z5" i="193"/>
  <c r="Y5" i="193"/>
  <c r="W5" i="193"/>
  <c r="H5" i="193"/>
  <c r="X5" i="193" s="1"/>
  <c r="Z4" i="193"/>
  <c r="Y4" i="193"/>
  <c r="W4" i="193"/>
  <c r="H4" i="193"/>
  <c r="X4" i="193" s="1"/>
  <c r="Z3" i="193"/>
  <c r="Y3" i="193"/>
  <c r="W3" i="193"/>
  <c r="H3" i="193"/>
  <c r="X3" i="193" s="1"/>
  <c r="H22" i="33"/>
  <c r="G22" i="33"/>
  <c r="B22" i="33"/>
  <c r="Z20" i="192"/>
  <c r="Y20" i="192"/>
  <c r="W20" i="192"/>
  <c r="H20" i="192"/>
  <c r="X20" i="192" s="1"/>
  <c r="Z19" i="192"/>
  <c r="Y19" i="192"/>
  <c r="W19" i="192"/>
  <c r="H19" i="192"/>
  <c r="X19" i="192" s="1"/>
  <c r="Z18" i="192"/>
  <c r="Y18" i="192"/>
  <c r="W18" i="192"/>
  <c r="H18" i="192"/>
  <c r="X18" i="192" s="1"/>
  <c r="Z17" i="192"/>
  <c r="Y17" i="192"/>
  <c r="W17" i="192"/>
  <c r="H17" i="192"/>
  <c r="X17" i="192" s="1"/>
  <c r="Z16" i="192"/>
  <c r="Y16" i="192"/>
  <c r="W16" i="192"/>
  <c r="H16" i="192"/>
  <c r="X16" i="192" s="1"/>
  <c r="Z15" i="192"/>
  <c r="Y15" i="192"/>
  <c r="W15" i="192"/>
  <c r="H15" i="192"/>
  <c r="X15" i="192" s="1"/>
  <c r="Z14" i="192"/>
  <c r="Y14" i="192"/>
  <c r="W14" i="192"/>
  <c r="H14" i="192"/>
  <c r="X14" i="192" s="1"/>
  <c r="Z13" i="192"/>
  <c r="Y13" i="192"/>
  <c r="X13" i="192"/>
  <c r="W13" i="192"/>
  <c r="H13" i="192"/>
  <c r="Z12" i="192"/>
  <c r="Y12" i="192"/>
  <c r="W12" i="192"/>
  <c r="H12" i="192"/>
  <c r="X12" i="192" s="1"/>
  <c r="B12" i="192"/>
  <c r="Z11" i="192"/>
  <c r="Y11" i="192"/>
  <c r="X11" i="192"/>
  <c r="W11" i="192"/>
  <c r="H11" i="192"/>
  <c r="B11" i="192"/>
  <c r="Z10" i="192"/>
  <c r="Y10" i="192"/>
  <c r="W10" i="192"/>
  <c r="H10" i="192"/>
  <c r="X10" i="192" s="1"/>
  <c r="B10" i="192"/>
  <c r="B13" i="192" s="1"/>
  <c r="I22" i="33" s="1"/>
  <c r="Z9" i="192"/>
  <c r="Y9" i="192"/>
  <c r="W9" i="192"/>
  <c r="H9" i="192"/>
  <c r="X9" i="192" s="1"/>
  <c r="Z8" i="192"/>
  <c r="Y8" i="192"/>
  <c r="W8" i="192"/>
  <c r="H8" i="192"/>
  <c r="X8" i="192" s="1"/>
  <c r="Z7" i="192"/>
  <c r="Y7" i="192"/>
  <c r="W7" i="192"/>
  <c r="H7" i="192"/>
  <c r="X7" i="192" s="1"/>
  <c r="B7" i="192"/>
  <c r="D22" i="33" s="1"/>
  <c r="Z6" i="192"/>
  <c r="Y6" i="192"/>
  <c r="W6" i="192"/>
  <c r="H6" i="192"/>
  <c r="X6" i="192" s="1"/>
  <c r="Z5" i="192"/>
  <c r="Y5" i="192"/>
  <c r="W5" i="192"/>
  <c r="H5" i="192"/>
  <c r="X5" i="192" s="1"/>
  <c r="Z4" i="192"/>
  <c r="Y4" i="192"/>
  <c r="W4" i="192"/>
  <c r="H4" i="192"/>
  <c r="X4" i="192" s="1"/>
  <c r="Z3" i="192"/>
  <c r="Y3" i="192"/>
  <c r="W3" i="192"/>
  <c r="H3" i="192"/>
  <c r="X3" i="192" s="1"/>
  <c r="H21" i="33"/>
  <c r="G21" i="33"/>
  <c r="B21" i="33"/>
  <c r="Z20" i="186"/>
  <c r="Y20" i="186"/>
  <c r="X20" i="186"/>
  <c r="W20" i="186"/>
  <c r="Z19" i="186"/>
  <c r="Y19" i="186"/>
  <c r="X19" i="186"/>
  <c r="W19" i="186"/>
  <c r="Z18" i="186"/>
  <c r="Y18" i="186"/>
  <c r="X18" i="186"/>
  <c r="W18" i="186"/>
  <c r="H18" i="186"/>
  <c r="Z17" i="186"/>
  <c r="Y17" i="186"/>
  <c r="W17" i="186"/>
  <c r="H17" i="186"/>
  <c r="X17" i="186" s="1"/>
  <c r="Z16" i="186"/>
  <c r="Y16" i="186"/>
  <c r="X16" i="186"/>
  <c r="W16" i="186"/>
  <c r="H16" i="186"/>
  <c r="Z15" i="186"/>
  <c r="Y15" i="186"/>
  <c r="W15" i="186"/>
  <c r="H15" i="186"/>
  <c r="X15" i="186" s="1"/>
  <c r="Z14" i="186"/>
  <c r="Y14" i="186"/>
  <c r="X14" i="186"/>
  <c r="W14" i="186"/>
  <c r="H14" i="186"/>
  <c r="Z13" i="186"/>
  <c r="Y13" i="186"/>
  <c r="W13" i="186"/>
  <c r="H13" i="186"/>
  <c r="X13" i="186" s="1"/>
  <c r="Z12" i="186"/>
  <c r="Y12" i="186"/>
  <c r="W12" i="186"/>
  <c r="H12" i="186"/>
  <c r="X12" i="186" s="1"/>
  <c r="B12" i="186"/>
  <c r="Z11" i="186"/>
  <c r="Y11" i="186"/>
  <c r="W11" i="186"/>
  <c r="H11" i="186"/>
  <c r="X11" i="186" s="1"/>
  <c r="B11" i="186"/>
  <c r="Z10" i="186"/>
  <c r="Y10" i="186"/>
  <c r="W10" i="186"/>
  <c r="H10" i="186"/>
  <c r="X10" i="186" s="1"/>
  <c r="B10" i="186"/>
  <c r="L18" i="186" s="1"/>
  <c r="Z9" i="186"/>
  <c r="Y9" i="186"/>
  <c r="X9" i="186"/>
  <c r="W9" i="186"/>
  <c r="H9" i="186"/>
  <c r="Z8" i="186"/>
  <c r="Y8" i="186"/>
  <c r="W8" i="186"/>
  <c r="H8" i="186"/>
  <c r="X8" i="186" s="1"/>
  <c r="Z7" i="186"/>
  <c r="Y7" i="186"/>
  <c r="X7" i="186"/>
  <c r="W7" i="186"/>
  <c r="H7" i="186"/>
  <c r="B7" i="186"/>
  <c r="D21" i="33" s="1"/>
  <c r="Z6" i="186"/>
  <c r="Y6" i="186"/>
  <c r="W6" i="186"/>
  <c r="H6" i="186"/>
  <c r="X6" i="186" s="1"/>
  <c r="Z5" i="186"/>
  <c r="Y5" i="186"/>
  <c r="X5" i="186"/>
  <c r="W5" i="186"/>
  <c r="H5" i="186"/>
  <c r="Z4" i="186"/>
  <c r="Y4" i="186"/>
  <c r="W4" i="186"/>
  <c r="H4" i="186"/>
  <c r="X4" i="186" s="1"/>
  <c r="Z3" i="186"/>
  <c r="Y3" i="186"/>
  <c r="X3" i="186"/>
  <c r="W3" i="186"/>
  <c r="H3" i="186"/>
  <c r="H20" i="33"/>
  <c r="G20" i="33"/>
  <c r="B20" i="33"/>
  <c r="B19" i="33"/>
  <c r="Z20" i="185"/>
  <c r="Y20" i="185"/>
  <c r="X20" i="185"/>
  <c r="W20" i="185"/>
  <c r="Z19" i="185"/>
  <c r="Y19" i="185"/>
  <c r="X19" i="185"/>
  <c r="W19" i="185"/>
  <c r="Z18" i="185"/>
  <c r="Y18" i="185"/>
  <c r="W18" i="185"/>
  <c r="H18" i="185"/>
  <c r="X18" i="185" s="1"/>
  <c r="Z17" i="185"/>
  <c r="Y17" i="185"/>
  <c r="W17" i="185"/>
  <c r="H17" i="185"/>
  <c r="X17" i="185" s="1"/>
  <c r="Z16" i="185"/>
  <c r="Y16" i="185"/>
  <c r="W16" i="185"/>
  <c r="H16" i="185"/>
  <c r="X16" i="185" s="1"/>
  <c r="Z15" i="185"/>
  <c r="Y15" i="185"/>
  <c r="W15" i="185"/>
  <c r="H15" i="185"/>
  <c r="X15" i="185" s="1"/>
  <c r="Z14" i="185"/>
  <c r="Y14" i="185"/>
  <c r="W14" i="185"/>
  <c r="H14" i="185"/>
  <c r="X14" i="185" s="1"/>
  <c r="Z13" i="185"/>
  <c r="Y13" i="185"/>
  <c r="W13" i="185"/>
  <c r="H13" i="185"/>
  <c r="X13" i="185" s="1"/>
  <c r="Z12" i="185"/>
  <c r="Y12" i="185"/>
  <c r="W12" i="185"/>
  <c r="H12" i="185"/>
  <c r="X12" i="185" s="1"/>
  <c r="B12" i="185"/>
  <c r="Z11" i="185"/>
  <c r="Y11" i="185"/>
  <c r="W11" i="185"/>
  <c r="H11" i="185"/>
  <c r="X11" i="185" s="1"/>
  <c r="B11" i="185"/>
  <c r="Z10" i="185"/>
  <c r="Y10" i="185"/>
  <c r="W10" i="185"/>
  <c r="H10" i="185"/>
  <c r="X10" i="185" s="1"/>
  <c r="B10" i="185"/>
  <c r="C20" i="33" s="1"/>
  <c r="Z9" i="185"/>
  <c r="Y9" i="185"/>
  <c r="X9" i="185"/>
  <c r="W9" i="185"/>
  <c r="H9" i="185"/>
  <c r="Z8" i="185"/>
  <c r="Y8" i="185"/>
  <c r="W8" i="185"/>
  <c r="H8" i="185"/>
  <c r="X8" i="185" s="1"/>
  <c r="Z7" i="185"/>
  <c r="Y7" i="185"/>
  <c r="W7" i="185"/>
  <c r="H7" i="185"/>
  <c r="X7" i="185" s="1"/>
  <c r="B7" i="185"/>
  <c r="D20" i="33" s="1"/>
  <c r="Z6" i="185"/>
  <c r="Y6" i="185"/>
  <c r="W6" i="185"/>
  <c r="H6" i="185"/>
  <c r="X6" i="185" s="1"/>
  <c r="Z5" i="185"/>
  <c r="Y5" i="185"/>
  <c r="X5" i="185"/>
  <c r="W5" i="185"/>
  <c r="H5" i="185"/>
  <c r="Z4" i="185"/>
  <c r="Y4" i="185"/>
  <c r="W4" i="185"/>
  <c r="H4" i="185"/>
  <c r="X4" i="185" s="1"/>
  <c r="Z3" i="185"/>
  <c r="Y3" i="185"/>
  <c r="W3" i="185"/>
  <c r="H3" i="185"/>
  <c r="X3" i="185" s="1"/>
  <c r="C28" i="33" l="1"/>
  <c r="L8" i="199"/>
  <c r="L6" i="199"/>
  <c r="L13" i="199"/>
  <c r="C27" i="33"/>
  <c r="L13" i="197"/>
  <c r="L6" i="197"/>
  <c r="L6" i="196"/>
  <c r="L4" i="196"/>
  <c r="C26" i="33"/>
  <c r="E26" i="33" s="1"/>
  <c r="L13" i="196"/>
  <c r="L8" i="195"/>
  <c r="C25" i="33"/>
  <c r="E25" i="33" s="1"/>
  <c r="L13" i="195"/>
  <c r="L6" i="195"/>
  <c r="L4" i="195"/>
  <c r="L8" i="194"/>
  <c r="L6" i="194"/>
  <c r="L13" i="194"/>
  <c r="L4" i="194"/>
  <c r="C24" i="33"/>
  <c r="E24" i="33" s="1"/>
  <c r="C23" i="33"/>
  <c r="E23" i="33" s="1"/>
  <c r="L13" i="193"/>
  <c r="L6" i="193"/>
  <c r="L13" i="192"/>
  <c r="L6" i="192"/>
  <c r="C22" i="33"/>
  <c r="E22" i="33" s="1"/>
  <c r="L4" i="192"/>
  <c r="C21" i="33"/>
  <c r="E21" i="33" s="1"/>
  <c r="L6" i="186"/>
  <c r="E27" i="33"/>
  <c r="E28" i="33"/>
  <c r="E20" i="33"/>
  <c r="L10" i="199"/>
  <c r="L15" i="199"/>
  <c r="L17" i="199"/>
  <c r="L19" i="199"/>
  <c r="L12" i="199"/>
  <c r="B14" i="199"/>
  <c r="F28" i="33" s="1"/>
  <c r="L3" i="199"/>
  <c r="L5" i="199"/>
  <c r="L14" i="199"/>
  <c r="L16" i="199"/>
  <c r="L18" i="199"/>
  <c r="L20" i="199"/>
  <c r="L7" i="199"/>
  <c r="L9" i="199"/>
  <c r="L11" i="199"/>
  <c r="L4" i="197"/>
  <c r="L15" i="197"/>
  <c r="L17" i="197"/>
  <c r="L19" i="197"/>
  <c r="L8" i="197"/>
  <c r="L10" i="197"/>
  <c r="L12" i="197"/>
  <c r="B14" i="197"/>
  <c r="F27" i="33" s="1"/>
  <c r="L3" i="197"/>
  <c r="L5" i="197"/>
  <c r="L14" i="197"/>
  <c r="L16" i="197"/>
  <c r="L18" i="197"/>
  <c r="L20" i="197"/>
  <c r="L7" i="197"/>
  <c r="L9" i="197"/>
  <c r="L11" i="197"/>
  <c r="L10" i="196"/>
  <c r="L15" i="196"/>
  <c r="L17" i="196"/>
  <c r="L19" i="196"/>
  <c r="L8" i="196"/>
  <c r="L12" i="196"/>
  <c r="B14" i="196"/>
  <c r="F26" i="33" s="1"/>
  <c r="L3" i="196"/>
  <c r="L5" i="196"/>
  <c r="L14" i="196"/>
  <c r="L16" i="196"/>
  <c r="L18" i="196"/>
  <c r="L20" i="196"/>
  <c r="L7" i="196"/>
  <c r="L9" i="196"/>
  <c r="L11" i="196"/>
  <c r="L15" i="195"/>
  <c r="L17" i="195"/>
  <c r="L19" i="195"/>
  <c r="L10" i="195"/>
  <c r="L12" i="195"/>
  <c r="B14" i="195"/>
  <c r="F25" i="33" s="1"/>
  <c r="L3" i="195"/>
  <c r="L5" i="195"/>
  <c r="L14" i="195"/>
  <c r="L16" i="195"/>
  <c r="L18" i="195"/>
  <c r="L20" i="195"/>
  <c r="L7" i="195"/>
  <c r="L9" i="195"/>
  <c r="L11" i="195"/>
  <c r="L10" i="194"/>
  <c r="L15" i="194"/>
  <c r="L17" i="194"/>
  <c r="L19" i="194"/>
  <c r="L12" i="194"/>
  <c r="B14" i="194"/>
  <c r="F24" i="33" s="1"/>
  <c r="L3" i="194"/>
  <c r="L5" i="194"/>
  <c r="L14" i="194"/>
  <c r="L16" i="194"/>
  <c r="L18" i="194"/>
  <c r="L20" i="194"/>
  <c r="L7" i="194"/>
  <c r="L9" i="194"/>
  <c r="L11" i="194"/>
  <c r="L4" i="193"/>
  <c r="L15" i="193"/>
  <c r="L19" i="193"/>
  <c r="L8" i="193"/>
  <c r="L10" i="193"/>
  <c r="L3" i="193"/>
  <c r="L5" i="193"/>
  <c r="L14" i="193"/>
  <c r="L16" i="193"/>
  <c r="L18" i="193"/>
  <c r="L20" i="193"/>
  <c r="L7" i="193"/>
  <c r="L9" i="193"/>
  <c r="B14" i="193"/>
  <c r="F23" i="33" s="1"/>
  <c r="L11" i="193"/>
  <c r="B13" i="193"/>
  <c r="I23" i="33" s="1"/>
  <c r="L17" i="193"/>
  <c r="L15" i="192"/>
  <c r="L17" i="192"/>
  <c r="L19" i="192"/>
  <c r="L8" i="192"/>
  <c r="L10" i="192"/>
  <c r="L12" i="192"/>
  <c r="B14" i="192"/>
  <c r="F22" i="33" s="1"/>
  <c r="L3" i="192"/>
  <c r="L5" i="192"/>
  <c r="L14" i="192"/>
  <c r="L16" i="192"/>
  <c r="L18" i="192"/>
  <c r="L20" i="192"/>
  <c r="L7" i="192"/>
  <c r="L9" i="192"/>
  <c r="L11" i="192"/>
  <c r="L11" i="186"/>
  <c r="B13" i="186"/>
  <c r="I21" i="33" s="1"/>
  <c r="L7" i="186"/>
  <c r="L13" i="186"/>
  <c r="L4" i="186"/>
  <c r="L15" i="186"/>
  <c r="L17" i="186"/>
  <c r="L8" i="186"/>
  <c r="L9" i="186"/>
  <c r="L10" i="186"/>
  <c r="L12" i="186"/>
  <c r="B14" i="186"/>
  <c r="F21" i="33" s="1"/>
  <c r="L3" i="186"/>
  <c r="L5" i="186"/>
  <c r="L14" i="186"/>
  <c r="L16" i="186"/>
  <c r="L7" i="185"/>
  <c r="L18" i="185"/>
  <c r="L11" i="185"/>
  <c r="L9" i="185"/>
  <c r="L6" i="185"/>
  <c r="L17" i="185"/>
  <c r="L8" i="185"/>
  <c r="B13" i="185"/>
  <c r="I20" i="33" s="1"/>
  <c r="L13" i="185"/>
  <c r="L4" i="185"/>
  <c r="L10" i="185"/>
  <c r="L15" i="185"/>
  <c r="L12" i="185"/>
  <c r="B14" i="185"/>
  <c r="F20" i="33" s="1"/>
  <c r="L3" i="185"/>
  <c r="L5" i="185"/>
  <c r="L14" i="185"/>
  <c r="L16" i="185"/>
  <c r="Z20" i="184"/>
  <c r="Y20" i="184"/>
  <c r="X20" i="184"/>
  <c r="W20" i="184"/>
  <c r="Z19" i="184"/>
  <c r="Y19" i="184"/>
  <c r="X19" i="184"/>
  <c r="W19" i="184"/>
  <c r="Z18" i="184"/>
  <c r="Y18" i="184"/>
  <c r="X18" i="184"/>
  <c r="W18" i="184"/>
  <c r="Z17" i="184"/>
  <c r="Y17" i="184"/>
  <c r="W17" i="184"/>
  <c r="X17" i="184"/>
  <c r="Z16" i="184"/>
  <c r="Y16" i="184"/>
  <c r="X16" i="184"/>
  <c r="W16" i="184"/>
  <c r="Z15" i="184"/>
  <c r="Y15" i="184"/>
  <c r="W15" i="184"/>
  <c r="X15" i="184"/>
  <c r="Z14" i="184"/>
  <c r="Y14" i="184"/>
  <c r="X14" i="184"/>
  <c r="W14" i="184"/>
  <c r="Z13" i="184"/>
  <c r="Y13" i="184"/>
  <c r="W13" i="184"/>
  <c r="X13" i="184"/>
  <c r="Z12" i="184"/>
  <c r="Y12" i="184"/>
  <c r="W12" i="184"/>
  <c r="X12" i="184"/>
  <c r="B12" i="184"/>
  <c r="H19" i="33" s="1"/>
  <c r="Z11" i="184"/>
  <c r="Y11" i="184"/>
  <c r="W11" i="184"/>
  <c r="X11" i="184"/>
  <c r="B11" i="184"/>
  <c r="G19" i="33" s="1"/>
  <c r="Z10" i="184"/>
  <c r="Y10" i="184"/>
  <c r="W10" i="184"/>
  <c r="X10" i="184"/>
  <c r="B10" i="184"/>
  <c r="C19" i="33" s="1"/>
  <c r="Z9" i="184"/>
  <c r="Y9" i="184"/>
  <c r="X9" i="184"/>
  <c r="W9" i="184"/>
  <c r="Z8" i="184"/>
  <c r="Y8" i="184"/>
  <c r="W8" i="184"/>
  <c r="X8" i="184"/>
  <c r="Z7" i="184"/>
  <c r="Y7" i="184"/>
  <c r="X7" i="184"/>
  <c r="W7" i="184"/>
  <c r="B7" i="184"/>
  <c r="D19" i="33" s="1"/>
  <c r="Z6" i="184"/>
  <c r="Y6" i="184"/>
  <c r="W6" i="184"/>
  <c r="X6" i="184"/>
  <c r="Z5" i="184"/>
  <c r="Y5" i="184"/>
  <c r="X5" i="184"/>
  <c r="W5" i="184"/>
  <c r="Z4" i="184"/>
  <c r="Y4" i="184"/>
  <c r="W4" i="184"/>
  <c r="X4" i="184"/>
  <c r="Z3" i="184"/>
  <c r="Y3" i="184"/>
  <c r="W3" i="184"/>
  <c r="H3" i="184"/>
  <c r="X3" i="184" s="1"/>
  <c r="H18" i="33"/>
  <c r="G18" i="33"/>
  <c r="B18" i="33"/>
  <c r="Z20" i="183"/>
  <c r="Y20" i="183"/>
  <c r="X20" i="183"/>
  <c r="W20" i="183"/>
  <c r="Z19" i="183"/>
  <c r="Y19" i="183"/>
  <c r="X19" i="183"/>
  <c r="W19" i="183"/>
  <c r="Z18" i="183"/>
  <c r="Y18" i="183"/>
  <c r="W18" i="183"/>
  <c r="H18" i="183"/>
  <c r="X18" i="183" s="1"/>
  <c r="Z17" i="183"/>
  <c r="Y17" i="183"/>
  <c r="X17" i="183"/>
  <c r="W17" i="183"/>
  <c r="H17" i="183"/>
  <c r="Z16" i="183"/>
  <c r="Y16" i="183"/>
  <c r="W16" i="183"/>
  <c r="H16" i="183"/>
  <c r="X16" i="183" s="1"/>
  <c r="Z15" i="183"/>
  <c r="Y15" i="183"/>
  <c r="X15" i="183"/>
  <c r="W15" i="183"/>
  <c r="H15" i="183"/>
  <c r="Z14" i="183"/>
  <c r="Y14" i="183"/>
  <c r="W14" i="183"/>
  <c r="H14" i="183"/>
  <c r="X14" i="183" s="1"/>
  <c r="Z13" i="183"/>
  <c r="Y13" i="183"/>
  <c r="W13" i="183"/>
  <c r="H13" i="183"/>
  <c r="X13" i="183" s="1"/>
  <c r="Z12" i="183"/>
  <c r="Y12" i="183"/>
  <c r="W12" i="183"/>
  <c r="H12" i="183"/>
  <c r="X12" i="183" s="1"/>
  <c r="B12" i="183"/>
  <c r="Z11" i="183"/>
  <c r="Y11" i="183"/>
  <c r="W11" i="183"/>
  <c r="H11" i="183"/>
  <c r="X11" i="183" s="1"/>
  <c r="B11" i="183"/>
  <c r="Z10" i="183"/>
  <c r="Y10" i="183"/>
  <c r="W10" i="183"/>
  <c r="H10" i="183"/>
  <c r="X10" i="183" s="1"/>
  <c r="B10" i="183"/>
  <c r="L18" i="183" s="1"/>
  <c r="Z9" i="183"/>
  <c r="Y9" i="183"/>
  <c r="W9" i="183"/>
  <c r="H9" i="183"/>
  <c r="X9" i="183" s="1"/>
  <c r="Z8" i="183"/>
  <c r="Y8" i="183"/>
  <c r="X8" i="183"/>
  <c r="W8" i="183"/>
  <c r="H8" i="183"/>
  <c r="Z7" i="183"/>
  <c r="Y7" i="183"/>
  <c r="X7" i="183"/>
  <c r="W7" i="183"/>
  <c r="H7" i="183"/>
  <c r="B7" i="183"/>
  <c r="D18" i="33" s="1"/>
  <c r="Z6" i="183"/>
  <c r="Y6" i="183"/>
  <c r="X6" i="183"/>
  <c r="W6" i="183"/>
  <c r="H6" i="183"/>
  <c r="Z5" i="183"/>
  <c r="Y5" i="183"/>
  <c r="W5" i="183"/>
  <c r="H5" i="183"/>
  <c r="X5" i="183" s="1"/>
  <c r="Z4" i="183"/>
  <c r="Y4" i="183"/>
  <c r="X4" i="183"/>
  <c r="W4" i="183"/>
  <c r="H4" i="183"/>
  <c r="Z3" i="183"/>
  <c r="Y3" i="183"/>
  <c r="W3" i="183"/>
  <c r="H3" i="183"/>
  <c r="X3" i="183" s="1"/>
  <c r="H17" i="33"/>
  <c r="G17" i="33"/>
  <c r="B17" i="33"/>
  <c r="Z20" i="182"/>
  <c r="Y20" i="182"/>
  <c r="X20" i="182"/>
  <c r="W20" i="182"/>
  <c r="Z19" i="182"/>
  <c r="Y19" i="182"/>
  <c r="X19" i="182"/>
  <c r="W19" i="182"/>
  <c r="Z18" i="182"/>
  <c r="Y18" i="182"/>
  <c r="X18" i="182"/>
  <c r="W18" i="182"/>
  <c r="H18" i="182"/>
  <c r="Z17" i="182"/>
  <c r="Y17" i="182"/>
  <c r="W17" i="182"/>
  <c r="H17" i="182"/>
  <c r="X17" i="182" s="1"/>
  <c r="Z16" i="182"/>
  <c r="Y16" i="182"/>
  <c r="X16" i="182"/>
  <c r="W16" i="182"/>
  <c r="H16" i="182"/>
  <c r="Z15" i="182"/>
  <c r="Y15" i="182"/>
  <c r="W15" i="182"/>
  <c r="H15" i="182"/>
  <c r="X15" i="182" s="1"/>
  <c r="Z14" i="182"/>
  <c r="Y14" i="182"/>
  <c r="X14" i="182"/>
  <c r="W14" i="182"/>
  <c r="H14" i="182"/>
  <c r="Z13" i="182"/>
  <c r="Y13" i="182"/>
  <c r="W13" i="182"/>
  <c r="H13" i="182"/>
  <c r="X13" i="182" s="1"/>
  <c r="Z12" i="182"/>
  <c r="Y12" i="182"/>
  <c r="W12" i="182"/>
  <c r="H12" i="182"/>
  <c r="X12" i="182" s="1"/>
  <c r="B12" i="182"/>
  <c r="Z11" i="182"/>
  <c r="Y11" i="182"/>
  <c r="W11" i="182"/>
  <c r="H11" i="182"/>
  <c r="X11" i="182" s="1"/>
  <c r="B11" i="182"/>
  <c r="L5" i="182" s="1"/>
  <c r="Z10" i="182"/>
  <c r="Y10" i="182"/>
  <c r="W10" i="182"/>
  <c r="H10" i="182"/>
  <c r="X10" i="182" s="1"/>
  <c r="B10" i="182"/>
  <c r="L18" i="182" s="1"/>
  <c r="Z9" i="182"/>
  <c r="Y9" i="182"/>
  <c r="X9" i="182"/>
  <c r="W9" i="182"/>
  <c r="H9" i="182"/>
  <c r="Z8" i="182"/>
  <c r="Y8" i="182"/>
  <c r="W8" i="182"/>
  <c r="H8" i="182"/>
  <c r="X8" i="182" s="1"/>
  <c r="Z7" i="182"/>
  <c r="Y7" i="182"/>
  <c r="X7" i="182"/>
  <c r="W7" i="182"/>
  <c r="H7" i="182"/>
  <c r="B7" i="182"/>
  <c r="D17" i="33" s="1"/>
  <c r="Z6" i="182"/>
  <c r="Y6" i="182"/>
  <c r="W6" i="182"/>
  <c r="H6" i="182"/>
  <c r="X6" i="182" s="1"/>
  <c r="Z5" i="182"/>
  <c r="Y5" i="182"/>
  <c r="X5" i="182"/>
  <c r="W5" i="182"/>
  <c r="H5" i="182"/>
  <c r="Z4" i="182"/>
  <c r="Y4" i="182"/>
  <c r="W4" i="182"/>
  <c r="H4" i="182"/>
  <c r="X4" i="182" s="1"/>
  <c r="Z3" i="182"/>
  <c r="Y3" i="182"/>
  <c r="X3" i="182"/>
  <c r="W3" i="182"/>
  <c r="H3" i="182"/>
  <c r="E19" i="33" l="1"/>
  <c r="L10" i="183"/>
  <c r="C18" i="33"/>
  <c r="C17" i="33"/>
  <c r="E18" i="33"/>
  <c r="E17" i="33"/>
  <c r="B13" i="184"/>
  <c r="I19" i="33" s="1"/>
  <c r="L3" i="184"/>
  <c r="L5" i="183"/>
  <c r="L7" i="183"/>
  <c r="L11" i="183"/>
  <c r="B13" i="183"/>
  <c r="I18" i="33" s="1"/>
  <c r="L9" i="183"/>
  <c r="L13" i="183"/>
  <c r="L4" i="183"/>
  <c r="L6" i="183"/>
  <c r="L15" i="183"/>
  <c r="L17" i="183"/>
  <c r="L8" i="183"/>
  <c r="L12" i="183"/>
  <c r="B14" i="183"/>
  <c r="F18" i="33" s="1"/>
  <c r="L3" i="183"/>
  <c r="L14" i="183"/>
  <c r="L16" i="183"/>
  <c r="L7" i="182"/>
  <c r="B13" i="182"/>
  <c r="I17" i="33" s="1"/>
  <c r="L15" i="182"/>
  <c r="L17" i="182"/>
  <c r="L13" i="182"/>
  <c r="L8" i="182"/>
  <c r="L9" i="182"/>
  <c r="L11" i="182"/>
  <c r="L4" i="182"/>
  <c r="L10" i="182"/>
  <c r="L6" i="182"/>
  <c r="L12" i="182"/>
  <c r="B14" i="182"/>
  <c r="F17" i="33" s="1"/>
  <c r="L3" i="182"/>
  <c r="L14" i="182"/>
  <c r="L16" i="182"/>
  <c r="H16" i="33"/>
  <c r="G16" i="33"/>
  <c r="B16" i="33"/>
  <c r="Z20" i="176"/>
  <c r="Y20" i="176"/>
  <c r="X20" i="176"/>
  <c r="W20" i="176"/>
  <c r="Z19" i="176"/>
  <c r="Y19" i="176"/>
  <c r="X19" i="176"/>
  <c r="W19" i="176"/>
  <c r="Z18" i="176"/>
  <c r="Y18" i="176"/>
  <c r="X18" i="176"/>
  <c r="W18" i="176"/>
  <c r="H18" i="176"/>
  <c r="Z17" i="176"/>
  <c r="Y17" i="176"/>
  <c r="W17" i="176"/>
  <c r="H17" i="176"/>
  <c r="X17" i="176" s="1"/>
  <c r="Z16" i="176"/>
  <c r="Y16" i="176"/>
  <c r="X16" i="176"/>
  <c r="W16" i="176"/>
  <c r="H16" i="176"/>
  <c r="Z15" i="176"/>
  <c r="Y15" i="176"/>
  <c r="W15" i="176"/>
  <c r="H15" i="176"/>
  <c r="X15" i="176" s="1"/>
  <c r="Z14" i="176"/>
  <c r="Y14" i="176"/>
  <c r="X14" i="176"/>
  <c r="W14" i="176"/>
  <c r="H14" i="176"/>
  <c r="Z13" i="176"/>
  <c r="Y13" i="176"/>
  <c r="W13" i="176"/>
  <c r="H13" i="176"/>
  <c r="X13" i="176" s="1"/>
  <c r="Z12" i="176"/>
  <c r="Y12" i="176"/>
  <c r="W12" i="176"/>
  <c r="H12" i="176"/>
  <c r="X12" i="176" s="1"/>
  <c r="B12" i="176"/>
  <c r="Z11" i="176"/>
  <c r="Y11" i="176"/>
  <c r="X11" i="176"/>
  <c r="W11" i="176"/>
  <c r="H11" i="176"/>
  <c r="B11" i="176"/>
  <c r="Z10" i="176"/>
  <c r="Y10" i="176"/>
  <c r="W10" i="176"/>
  <c r="H10" i="176"/>
  <c r="X10" i="176" s="1"/>
  <c r="B10" i="176"/>
  <c r="L18" i="176" s="1"/>
  <c r="Z9" i="176"/>
  <c r="Y9" i="176"/>
  <c r="X9" i="176"/>
  <c r="W9" i="176"/>
  <c r="H9" i="176"/>
  <c r="Z8" i="176"/>
  <c r="Y8" i="176"/>
  <c r="W8" i="176"/>
  <c r="H8" i="176"/>
  <c r="X8" i="176" s="1"/>
  <c r="Z7" i="176"/>
  <c r="Y7" i="176"/>
  <c r="X7" i="176"/>
  <c r="W7" i="176"/>
  <c r="H7" i="176"/>
  <c r="B7" i="176"/>
  <c r="D16" i="33" s="1"/>
  <c r="Z6" i="176"/>
  <c r="Y6" i="176"/>
  <c r="W6" i="176"/>
  <c r="H6" i="176"/>
  <c r="X6" i="176" s="1"/>
  <c r="Z5" i="176"/>
  <c r="Y5" i="176"/>
  <c r="X5" i="176"/>
  <c r="W5" i="176"/>
  <c r="H5" i="176"/>
  <c r="Z4" i="176"/>
  <c r="Y4" i="176"/>
  <c r="W4" i="176"/>
  <c r="H4" i="176"/>
  <c r="X4" i="176" s="1"/>
  <c r="Z3" i="176"/>
  <c r="Y3" i="176"/>
  <c r="X3" i="176"/>
  <c r="W3" i="176"/>
  <c r="H3" i="176"/>
  <c r="H15" i="33"/>
  <c r="G15" i="33"/>
  <c r="B15" i="33"/>
  <c r="Z20" i="173"/>
  <c r="Y20" i="173"/>
  <c r="X20" i="173"/>
  <c r="W20" i="173"/>
  <c r="Z19" i="173"/>
  <c r="Y19" i="173"/>
  <c r="X19" i="173"/>
  <c r="W19" i="173"/>
  <c r="Z18" i="173"/>
  <c r="Y18" i="173"/>
  <c r="X18" i="173"/>
  <c r="W18" i="173"/>
  <c r="H18" i="173"/>
  <c r="Z17" i="173"/>
  <c r="Y17" i="173"/>
  <c r="W17" i="173"/>
  <c r="H17" i="173"/>
  <c r="X17" i="173" s="1"/>
  <c r="Z16" i="173"/>
  <c r="Y16" i="173"/>
  <c r="X16" i="173"/>
  <c r="W16" i="173"/>
  <c r="H16" i="173"/>
  <c r="Z15" i="173"/>
  <c r="Y15" i="173"/>
  <c r="W15" i="173"/>
  <c r="H15" i="173"/>
  <c r="X15" i="173" s="1"/>
  <c r="Z14" i="173"/>
  <c r="Y14" i="173"/>
  <c r="X14" i="173"/>
  <c r="W14" i="173"/>
  <c r="H14" i="173"/>
  <c r="Z13" i="173"/>
  <c r="Y13" i="173"/>
  <c r="W13" i="173"/>
  <c r="H13" i="173"/>
  <c r="X13" i="173" s="1"/>
  <c r="Z12" i="173"/>
  <c r="Y12" i="173"/>
  <c r="W12" i="173"/>
  <c r="H12" i="173"/>
  <c r="X12" i="173" s="1"/>
  <c r="B12" i="173"/>
  <c r="Z11" i="173"/>
  <c r="Y11" i="173"/>
  <c r="W11" i="173"/>
  <c r="H11" i="173"/>
  <c r="X11" i="173" s="1"/>
  <c r="B11" i="173"/>
  <c r="Z10" i="173"/>
  <c r="Y10" i="173"/>
  <c r="W10" i="173"/>
  <c r="H10" i="173"/>
  <c r="X10" i="173" s="1"/>
  <c r="B10" i="173"/>
  <c r="L18" i="173" s="1"/>
  <c r="Z9" i="173"/>
  <c r="Y9" i="173"/>
  <c r="X9" i="173"/>
  <c r="W9" i="173"/>
  <c r="H9" i="173"/>
  <c r="Z8" i="173"/>
  <c r="Y8" i="173"/>
  <c r="W8" i="173"/>
  <c r="H8" i="173"/>
  <c r="X8" i="173" s="1"/>
  <c r="Z7" i="173"/>
  <c r="Y7" i="173"/>
  <c r="X7" i="173"/>
  <c r="W7" i="173"/>
  <c r="H7" i="173"/>
  <c r="B7" i="173"/>
  <c r="D15" i="33" s="1"/>
  <c r="Z6" i="173"/>
  <c r="Y6" i="173"/>
  <c r="W6" i="173"/>
  <c r="H6" i="173"/>
  <c r="X6" i="173" s="1"/>
  <c r="Z5" i="173"/>
  <c r="Y5" i="173"/>
  <c r="X5" i="173"/>
  <c r="W5" i="173"/>
  <c r="H5" i="173"/>
  <c r="Z4" i="173"/>
  <c r="Y4" i="173"/>
  <c r="W4" i="173"/>
  <c r="H4" i="173"/>
  <c r="X4" i="173" s="1"/>
  <c r="Z3" i="173"/>
  <c r="Y3" i="173"/>
  <c r="X3" i="173"/>
  <c r="W3" i="173"/>
  <c r="H3" i="173"/>
  <c r="H14" i="33"/>
  <c r="G14" i="33"/>
  <c r="B14" i="33"/>
  <c r="Z20" i="169"/>
  <c r="Y20" i="169"/>
  <c r="X20" i="169"/>
  <c r="W20" i="169"/>
  <c r="Z19" i="169"/>
  <c r="Y19" i="169"/>
  <c r="X19" i="169"/>
  <c r="W19" i="169"/>
  <c r="Z18" i="169"/>
  <c r="Y18" i="169"/>
  <c r="X18" i="169"/>
  <c r="W18" i="169"/>
  <c r="H18" i="169"/>
  <c r="Z17" i="169"/>
  <c r="Y17" i="169"/>
  <c r="W17" i="169"/>
  <c r="H17" i="169"/>
  <c r="X17" i="169" s="1"/>
  <c r="Z16" i="169"/>
  <c r="Y16" i="169"/>
  <c r="X16" i="169"/>
  <c r="W16" i="169"/>
  <c r="H16" i="169"/>
  <c r="Z15" i="169"/>
  <c r="Y15" i="169"/>
  <c r="W15" i="169"/>
  <c r="H15" i="169"/>
  <c r="X15" i="169" s="1"/>
  <c r="Z14" i="169"/>
  <c r="Y14" i="169"/>
  <c r="X14" i="169"/>
  <c r="W14" i="169"/>
  <c r="H14" i="169"/>
  <c r="Z13" i="169"/>
  <c r="Y13" i="169"/>
  <c r="W13" i="169"/>
  <c r="H13" i="169"/>
  <c r="X13" i="169" s="1"/>
  <c r="Z12" i="169"/>
  <c r="Y12" i="169"/>
  <c r="W12" i="169"/>
  <c r="H12" i="169"/>
  <c r="X12" i="169" s="1"/>
  <c r="B12" i="169"/>
  <c r="Z11" i="169"/>
  <c r="Y11" i="169"/>
  <c r="W11" i="169"/>
  <c r="H11" i="169"/>
  <c r="X11" i="169" s="1"/>
  <c r="B11" i="169"/>
  <c r="Z10" i="169"/>
  <c r="Y10" i="169"/>
  <c r="W10" i="169"/>
  <c r="H10" i="169"/>
  <c r="X10" i="169" s="1"/>
  <c r="B10" i="169"/>
  <c r="L18" i="169" s="1"/>
  <c r="Z9" i="169"/>
  <c r="Y9" i="169"/>
  <c r="X9" i="169"/>
  <c r="W9" i="169"/>
  <c r="H9" i="169"/>
  <c r="Z8" i="169"/>
  <c r="Y8" i="169"/>
  <c r="W8" i="169"/>
  <c r="H8" i="169"/>
  <c r="X8" i="169" s="1"/>
  <c r="Z7" i="169"/>
  <c r="Y7" i="169"/>
  <c r="X7" i="169"/>
  <c r="W7" i="169"/>
  <c r="H7" i="169"/>
  <c r="B7" i="169"/>
  <c r="D14" i="33" s="1"/>
  <c r="Z6" i="169"/>
  <c r="Y6" i="169"/>
  <c r="W6" i="169"/>
  <c r="X6" i="169"/>
  <c r="Z5" i="169"/>
  <c r="Y5" i="169"/>
  <c r="W5" i="169"/>
  <c r="X5" i="169"/>
  <c r="Z4" i="169"/>
  <c r="Y4" i="169"/>
  <c r="W4" i="169"/>
  <c r="X4" i="169"/>
  <c r="Z3" i="169"/>
  <c r="Y3" i="169"/>
  <c r="W3" i="169"/>
  <c r="H3" i="169"/>
  <c r="X3" i="169" s="1"/>
  <c r="H13" i="33"/>
  <c r="G13" i="33"/>
  <c r="B13" i="33"/>
  <c r="H11" i="168"/>
  <c r="H12" i="168"/>
  <c r="X12" i="168" s="1"/>
  <c r="H13" i="168"/>
  <c r="X13" i="168" s="1"/>
  <c r="H14" i="168"/>
  <c r="H15" i="168"/>
  <c r="X15" i="168" s="1"/>
  <c r="H16" i="168"/>
  <c r="X16" i="168" s="1"/>
  <c r="H17" i="168"/>
  <c r="X17" i="168" s="1"/>
  <c r="H18" i="168"/>
  <c r="X18" i="168" s="1"/>
  <c r="Z20" i="168"/>
  <c r="Y20" i="168"/>
  <c r="X20" i="168"/>
  <c r="W20" i="168"/>
  <c r="Z19" i="168"/>
  <c r="Y19" i="168"/>
  <c r="X19" i="168"/>
  <c r="W19" i="168"/>
  <c r="Z18" i="168"/>
  <c r="Y18" i="168"/>
  <c r="W18" i="168"/>
  <c r="Z17" i="168"/>
  <c r="Y17" i="168"/>
  <c r="W17" i="168"/>
  <c r="Z16" i="168"/>
  <c r="Y16" i="168"/>
  <c r="W16" i="168"/>
  <c r="Z15" i="168"/>
  <c r="Y15" i="168"/>
  <c r="W15" i="168"/>
  <c r="Z14" i="168"/>
  <c r="Y14" i="168"/>
  <c r="X14" i="168"/>
  <c r="W14" i="168"/>
  <c r="Z13" i="168"/>
  <c r="Y13" i="168"/>
  <c r="W13" i="168"/>
  <c r="Z12" i="168"/>
  <c r="Y12" i="168"/>
  <c r="W12" i="168"/>
  <c r="B12" i="168"/>
  <c r="Z11" i="168"/>
  <c r="Y11" i="168"/>
  <c r="X11" i="168"/>
  <c r="W11" i="168"/>
  <c r="B11" i="168"/>
  <c r="Z10" i="168"/>
  <c r="Y10" i="168"/>
  <c r="X10" i="168"/>
  <c r="W10" i="168"/>
  <c r="H10" i="168"/>
  <c r="B10" i="168"/>
  <c r="C13" i="33" s="1"/>
  <c r="Z9" i="168"/>
  <c r="Y9" i="168"/>
  <c r="W9" i="168"/>
  <c r="H9" i="168"/>
  <c r="X9" i="168" s="1"/>
  <c r="Z8" i="168"/>
  <c r="Y8" i="168"/>
  <c r="W8" i="168"/>
  <c r="H8" i="168"/>
  <c r="X8" i="168" s="1"/>
  <c r="Z7" i="168"/>
  <c r="Y7" i="168"/>
  <c r="W7" i="168"/>
  <c r="H7" i="168"/>
  <c r="X7" i="168" s="1"/>
  <c r="B7" i="168"/>
  <c r="D13" i="33" s="1"/>
  <c r="Z6" i="168"/>
  <c r="Y6" i="168"/>
  <c r="W6" i="168"/>
  <c r="H6" i="168"/>
  <c r="X6" i="168" s="1"/>
  <c r="Z5" i="168"/>
  <c r="Y5" i="168"/>
  <c r="W5" i="168"/>
  <c r="H5" i="168"/>
  <c r="X5" i="168" s="1"/>
  <c r="Z4" i="168"/>
  <c r="Y4" i="168"/>
  <c r="W4" i="168"/>
  <c r="H4" i="168"/>
  <c r="X4" i="168" s="1"/>
  <c r="Z3" i="168"/>
  <c r="Y3" i="168"/>
  <c r="W3" i="168"/>
  <c r="H3" i="168"/>
  <c r="X3" i="168" s="1"/>
  <c r="H12" i="33"/>
  <c r="G12" i="33"/>
  <c r="B12" i="33"/>
  <c r="Z20" i="167"/>
  <c r="Y20" i="167"/>
  <c r="X20" i="167"/>
  <c r="W20" i="167"/>
  <c r="Z19" i="167"/>
  <c r="Y19" i="167"/>
  <c r="X19" i="167"/>
  <c r="W19" i="167"/>
  <c r="Z18" i="167"/>
  <c r="Y18" i="167"/>
  <c r="X18" i="167"/>
  <c r="W18" i="167"/>
  <c r="Z17" i="167"/>
  <c r="Y17" i="167"/>
  <c r="X17" i="167"/>
  <c r="W17" i="167"/>
  <c r="Z16" i="167"/>
  <c r="Y16" i="167"/>
  <c r="X16" i="167"/>
  <c r="W16" i="167"/>
  <c r="Z15" i="167"/>
  <c r="Y15" i="167"/>
  <c r="X15" i="167"/>
  <c r="W15" i="167"/>
  <c r="Z14" i="167"/>
  <c r="Y14" i="167"/>
  <c r="X14" i="167"/>
  <c r="W14" i="167"/>
  <c r="Z13" i="167"/>
  <c r="Y13" i="167"/>
  <c r="X13" i="167"/>
  <c r="W13" i="167"/>
  <c r="Z12" i="167"/>
  <c r="Y12" i="167"/>
  <c r="X12" i="167"/>
  <c r="W12" i="167"/>
  <c r="B12" i="167"/>
  <c r="Z11" i="167"/>
  <c r="Y11" i="167"/>
  <c r="X11" i="167"/>
  <c r="W11" i="167"/>
  <c r="B11" i="167"/>
  <c r="Z10" i="167"/>
  <c r="Y10" i="167"/>
  <c r="X10" i="167"/>
  <c r="W10" i="167"/>
  <c r="H10" i="167"/>
  <c r="B10" i="167"/>
  <c r="L10" i="167" s="1"/>
  <c r="Z9" i="167"/>
  <c r="Y9" i="167"/>
  <c r="W9" i="167"/>
  <c r="H9" i="167"/>
  <c r="X9" i="167" s="1"/>
  <c r="Z8" i="167"/>
  <c r="Y8" i="167"/>
  <c r="X8" i="167"/>
  <c r="W8" i="167"/>
  <c r="H8" i="167"/>
  <c r="Z7" i="167"/>
  <c r="Y7" i="167"/>
  <c r="W7" i="167"/>
  <c r="H7" i="167"/>
  <c r="X7" i="167" s="1"/>
  <c r="B7" i="167"/>
  <c r="D12" i="33" s="1"/>
  <c r="Z6" i="167"/>
  <c r="Y6" i="167"/>
  <c r="W6" i="167"/>
  <c r="H6" i="167"/>
  <c r="X6" i="167" s="1"/>
  <c r="Z5" i="167"/>
  <c r="Y5" i="167"/>
  <c r="W5" i="167"/>
  <c r="H5" i="167"/>
  <c r="X5" i="167" s="1"/>
  <c r="Z4" i="167"/>
  <c r="Y4" i="167"/>
  <c r="W4" i="167"/>
  <c r="H4" i="167"/>
  <c r="X4" i="167" s="1"/>
  <c r="Z3" i="167"/>
  <c r="Y3" i="167"/>
  <c r="W3" i="167"/>
  <c r="H3" i="167"/>
  <c r="X3" i="167" s="1"/>
  <c r="H11" i="33"/>
  <c r="G11" i="33"/>
  <c r="B11" i="33"/>
  <c r="Z20" i="165"/>
  <c r="Y20" i="165"/>
  <c r="X20" i="165"/>
  <c r="W20" i="165"/>
  <c r="Z19" i="165"/>
  <c r="Y19" i="165"/>
  <c r="X19" i="165"/>
  <c r="W19" i="165"/>
  <c r="Z18" i="165"/>
  <c r="Y18" i="165"/>
  <c r="X18" i="165"/>
  <c r="W18" i="165"/>
  <c r="Z17" i="165"/>
  <c r="Y17" i="165"/>
  <c r="X17" i="165"/>
  <c r="W17" i="165"/>
  <c r="Z16" i="165"/>
  <c r="Y16" i="165"/>
  <c r="X16" i="165"/>
  <c r="W16" i="165"/>
  <c r="Z15" i="165"/>
  <c r="Y15" i="165"/>
  <c r="X15" i="165"/>
  <c r="W15" i="165"/>
  <c r="Z14" i="165"/>
  <c r="Y14" i="165"/>
  <c r="X14" i="165"/>
  <c r="W14" i="165"/>
  <c r="Z13" i="165"/>
  <c r="Y13" i="165"/>
  <c r="X13" i="165"/>
  <c r="W13" i="165"/>
  <c r="Z12" i="165"/>
  <c r="Y12" i="165"/>
  <c r="X12" i="165"/>
  <c r="W12" i="165"/>
  <c r="B12" i="165"/>
  <c r="Z11" i="165"/>
  <c r="Y11" i="165"/>
  <c r="X11" i="165"/>
  <c r="W11" i="165"/>
  <c r="B11" i="165"/>
  <c r="Z10" i="165"/>
  <c r="Y10" i="165"/>
  <c r="X10" i="165"/>
  <c r="W10" i="165"/>
  <c r="H10" i="165"/>
  <c r="B10" i="165"/>
  <c r="L10" i="165" s="1"/>
  <c r="Z9" i="165"/>
  <c r="Y9" i="165"/>
  <c r="W9" i="165"/>
  <c r="H9" i="165"/>
  <c r="X9" i="165" s="1"/>
  <c r="Z8" i="165"/>
  <c r="Y8" i="165"/>
  <c r="X8" i="165"/>
  <c r="W8" i="165"/>
  <c r="H8" i="165"/>
  <c r="Z7" i="165"/>
  <c r="Y7" i="165"/>
  <c r="W7" i="165"/>
  <c r="H7" i="165"/>
  <c r="X7" i="165" s="1"/>
  <c r="B7" i="165"/>
  <c r="D11" i="33" s="1"/>
  <c r="Z6" i="165"/>
  <c r="Y6" i="165"/>
  <c r="W6" i="165"/>
  <c r="H6" i="165"/>
  <c r="X6" i="165" s="1"/>
  <c r="Z5" i="165"/>
  <c r="Y5" i="165"/>
  <c r="W5" i="165"/>
  <c r="H5" i="165"/>
  <c r="X5" i="165" s="1"/>
  <c r="Z4" i="165"/>
  <c r="Y4" i="165"/>
  <c r="W4" i="165"/>
  <c r="H4" i="165"/>
  <c r="X4" i="165" s="1"/>
  <c r="Z3" i="165"/>
  <c r="Y3" i="165"/>
  <c r="W3" i="165"/>
  <c r="H3" i="165"/>
  <c r="X3" i="165" s="1"/>
  <c r="H10" i="33"/>
  <c r="G10" i="33"/>
  <c r="B10" i="33"/>
  <c r="Z20" i="164"/>
  <c r="Y20" i="164"/>
  <c r="X20" i="164"/>
  <c r="W20" i="164"/>
  <c r="Z19" i="164"/>
  <c r="Y19" i="164"/>
  <c r="X19" i="164"/>
  <c r="W19" i="164"/>
  <c r="Z18" i="164"/>
  <c r="Y18" i="164"/>
  <c r="X18" i="164"/>
  <c r="W18" i="164"/>
  <c r="Z17" i="164"/>
  <c r="Y17" i="164"/>
  <c r="X17" i="164"/>
  <c r="W17" i="164"/>
  <c r="Z16" i="164"/>
  <c r="Y16" i="164"/>
  <c r="X16" i="164"/>
  <c r="W16" i="164"/>
  <c r="Z15" i="164"/>
  <c r="Y15" i="164"/>
  <c r="X15" i="164"/>
  <c r="W15" i="164"/>
  <c r="Z14" i="164"/>
  <c r="Y14" i="164"/>
  <c r="X14" i="164"/>
  <c r="W14" i="164"/>
  <c r="Z13" i="164"/>
  <c r="Y13" i="164"/>
  <c r="X13" i="164"/>
  <c r="W13" i="164"/>
  <c r="Z12" i="164"/>
  <c r="Y12" i="164"/>
  <c r="X12" i="164"/>
  <c r="W12" i="164"/>
  <c r="B12" i="164"/>
  <c r="Z11" i="164"/>
  <c r="Y11" i="164"/>
  <c r="X11" i="164"/>
  <c r="W11" i="164"/>
  <c r="B11" i="164"/>
  <c r="Z10" i="164"/>
  <c r="Y10" i="164"/>
  <c r="X10" i="164"/>
  <c r="W10" i="164"/>
  <c r="H10" i="164"/>
  <c r="B10" i="164"/>
  <c r="L10" i="164" s="1"/>
  <c r="Z9" i="164"/>
  <c r="Y9" i="164"/>
  <c r="W9" i="164"/>
  <c r="H9" i="164"/>
  <c r="X9" i="164" s="1"/>
  <c r="Z8" i="164"/>
  <c r="Y8" i="164"/>
  <c r="X8" i="164"/>
  <c r="W8" i="164"/>
  <c r="H8" i="164"/>
  <c r="Z7" i="164"/>
  <c r="Y7" i="164"/>
  <c r="W7" i="164"/>
  <c r="H7" i="164"/>
  <c r="X7" i="164" s="1"/>
  <c r="B7" i="164"/>
  <c r="D10" i="33" s="1"/>
  <c r="Z6" i="164"/>
  <c r="Y6" i="164"/>
  <c r="W6" i="164"/>
  <c r="H6" i="164"/>
  <c r="X6" i="164" s="1"/>
  <c r="Z5" i="164"/>
  <c r="Y5" i="164"/>
  <c r="W5" i="164"/>
  <c r="H5" i="164"/>
  <c r="X5" i="164" s="1"/>
  <c r="Z4" i="164"/>
  <c r="Y4" i="164"/>
  <c r="W4" i="164"/>
  <c r="H4" i="164"/>
  <c r="X4" i="164" s="1"/>
  <c r="Z3" i="164"/>
  <c r="Y3" i="164"/>
  <c r="W3" i="164"/>
  <c r="H3" i="164"/>
  <c r="X3" i="164" s="1"/>
  <c r="B14" i="184" l="1"/>
  <c r="F19" i="33" s="1"/>
  <c r="C16" i="33"/>
  <c r="E16" i="33" s="1"/>
  <c r="L5" i="176"/>
  <c r="E13" i="33"/>
  <c r="C15" i="33"/>
  <c r="E15" i="33" s="1"/>
  <c r="L6" i="173"/>
  <c r="L7" i="169"/>
  <c r="C14" i="33"/>
  <c r="E14" i="33" s="1"/>
  <c r="L5" i="169"/>
  <c r="L8" i="168"/>
  <c r="C12" i="33"/>
  <c r="E12" i="33" s="1"/>
  <c r="C11" i="33"/>
  <c r="E11" i="33" s="1"/>
  <c r="L5" i="165"/>
  <c r="L3" i="165"/>
  <c r="L8" i="165"/>
  <c r="B13" i="165"/>
  <c r="I11" i="33" s="1"/>
  <c r="L9" i="165"/>
  <c r="L3" i="164"/>
  <c r="L8" i="164"/>
  <c r="B13" i="164"/>
  <c r="I10" i="33" s="1"/>
  <c r="L9" i="164"/>
  <c r="L5" i="164"/>
  <c r="C10" i="33"/>
  <c r="E10" i="33" s="1"/>
  <c r="L7" i="176"/>
  <c r="L11" i="176"/>
  <c r="B13" i="176"/>
  <c r="I16" i="33" s="1"/>
  <c r="L9" i="176"/>
  <c r="L13" i="176"/>
  <c r="L4" i="176"/>
  <c r="L6" i="176"/>
  <c r="L15" i="176"/>
  <c r="L17" i="176"/>
  <c r="L8" i="176"/>
  <c r="L10" i="176"/>
  <c r="L12" i="176"/>
  <c r="B14" i="176"/>
  <c r="F16" i="33" s="1"/>
  <c r="L3" i="176"/>
  <c r="L14" i="176"/>
  <c r="L16" i="176"/>
  <c r="L9" i="173"/>
  <c r="L11" i="173"/>
  <c r="B13" i="173"/>
  <c r="I15" i="33" s="1"/>
  <c r="L7" i="173"/>
  <c r="L13" i="173"/>
  <c r="L4" i="173"/>
  <c r="L15" i="173"/>
  <c r="L17" i="173"/>
  <c r="L8" i="173"/>
  <c r="L10" i="173"/>
  <c r="L12" i="173"/>
  <c r="B14" i="173"/>
  <c r="F15" i="33" s="1"/>
  <c r="L3" i="173"/>
  <c r="L5" i="173"/>
  <c r="L14" i="173"/>
  <c r="L16" i="173"/>
  <c r="L9" i="169"/>
  <c r="L11" i="169"/>
  <c r="B13" i="169"/>
  <c r="I14" i="33" s="1"/>
  <c r="L13" i="169"/>
  <c r="L4" i="169"/>
  <c r="L6" i="169"/>
  <c r="L15" i="169"/>
  <c r="L17" i="169"/>
  <c r="L8" i="169"/>
  <c r="L10" i="169"/>
  <c r="L12" i="169"/>
  <c r="B14" i="169"/>
  <c r="F14" i="33" s="1"/>
  <c r="L3" i="169"/>
  <c r="L14" i="169"/>
  <c r="L16" i="169"/>
  <c r="L7" i="168"/>
  <c r="L14" i="168"/>
  <c r="L5" i="168"/>
  <c r="L10" i="168"/>
  <c r="L13" i="168"/>
  <c r="L16" i="168"/>
  <c r="L9" i="168"/>
  <c r="L15" i="168"/>
  <c r="L18" i="168"/>
  <c r="L12" i="168"/>
  <c r="L3" i="168"/>
  <c r="B14" i="168" s="1"/>
  <c r="F13" i="33" s="1"/>
  <c r="B13" i="168"/>
  <c r="I13" i="33" s="1"/>
  <c r="L17" i="168"/>
  <c r="L11" i="168"/>
  <c r="L4" i="168"/>
  <c r="L6" i="168"/>
  <c r="L8" i="167"/>
  <c r="L9" i="167"/>
  <c r="L5" i="167"/>
  <c r="L3" i="167"/>
  <c r="L7" i="167"/>
  <c r="B13" i="167"/>
  <c r="I12" i="33" s="1"/>
  <c r="B14" i="167"/>
  <c r="F12" i="33" s="1"/>
  <c r="L4" i="167"/>
  <c r="L6" i="167"/>
  <c r="L7" i="165"/>
  <c r="B14" i="165"/>
  <c r="F11" i="33" s="1"/>
  <c r="L4" i="165"/>
  <c r="L6" i="165"/>
  <c r="L7" i="164"/>
  <c r="B14" i="164"/>
  <c r="F10" i="33" s="1"/>
  <c r="L4" i="164"/>
  <c r="L6" i="164"/>
  <c r="B7" i="160"/>
  <c r="D9" i="33" s="1"/>
  <c r="B7" i="159"/>
  <c r="D8" i="33" s="1"/>
  <c r="B7" i="154"/>
  <c r="B7" i="153"/>
  <c r="B7" i="149"/>
  <c r="B7" i="147"/>
  <c r="B7" i="145"/>
  <c r="H9" i="33"/>
  <c r="G9" i="33"/>
  <c r="B9" i="33"/>
  <c r="Z20" i="160"/>
  <c r="Y20" i="160"/>
  <c r="X20" i="160"/>
  <c r="W20" i="160"/>
  <c r="Z19" i="160"/>
  <c r="Y19" i="160"/>
  <c r="X19" i="160"/>
  <c r="W19" i="160"/>
  <c r="Z18" i="160"/>
  <c r="Y18" i="160"/>
  <c r="X18" i="160"/>
  <c r="W18" i="160"/>
  <c r="Z17" i="160"/>
  <c r="Y17" i="160"/>
  <c r="X17" i="160"/>
  <c r="W17" i="160"/>
  <c r="Z16" i="160"/>
  <c r="Y16" i="160"/>
  <c r="X16" i="160"/>
  <c r="W16" i="160"/>
  <c r="Z15" i="160"/>
  <c r="Y15" i="160"/>
  <c r="X15" i="160"/>
  <c r="W15" i="160"/>
  <c r="Z14" i="160"/>
  <c r="Y14" i="160"/>
  <c r="X14" i="160"/>
  <c r="W14" i="160"/>
  <c r="Z13" i="160"/>
  <c r="Y13" i="160"/>
  <c r="X13" i="160"/>
  <c r="W13" i="160"/>
  <c r="Z12" i="160"/>
  <c r="Y12" i="160"/>
  <c r="X12" i="160"/>
  <c r="W12" i="160"/>
  <c r="B12" i="160"/>
  <c r="Z11" i="160"/>
  <c r="Y11" i="160"/>
  <c r="X11" i="160"/>
  <c r="W11" i="160"/>
  <c r="B11" i="160"/>
  <c r="Z10" i="160"/>
  <c r="Y10" i="160"/>
  <c r="X10" i="160"/>
  <c r="W10" i="160"/>
  <c r="H10" i="160"/>
  <c r="B10" i="160"/>
  <c r="L10" i="160" s="1"/>
  <c r="Z9" i="160"/>
  <c r="Y9" i="160"/>
  <c r="W9" i="160"/>
  <c r="H9" i="160"/>
  <c r="X9" i="160" s="1"/>
  <c r="Z8" i="160"/>
  <c r="Y8" i="160"/>
  <c r="X8" i="160"/>
  <c r="W8" i="160"/>
  <c r="H8" i="160"/>
  <c r="Z7" i="160"/>
  <c r="Y7" i="160"/>
  <c r="W7" i="160"/>
  <c r="H7" i="160"/>
  <c r="X7" i="160" s="1"/>
  <c r="Z6" i="160"/>
  <c r="Y6" i="160"/>
  <c r="W6" i="160"/>
  <c r="H6" i="160"/>
  <c r="X6" i="160" s="1"/>
  <c r="Z5" i="160"/>
  <c r="Y5" i="160"/>
  <c r="W5" i="160"/>
  <c r="H5" i="160"/>
  <c r="X5" i="160" s="1"/>
  <c r="Z4" i="160"/>
  <c r="Y4" i="160"/>
  <c r="W4" i="160"/>
  <c r="H4" i="160"/>
  <c r="X4" i="160" s="1"/>
  <c r="Z3" i="160"/>
  <c r="Y3" i="160"/>
  <c r="W3" i="160"/>
  <c r="H3" i="160"/>
  <c r="X3" i="160" s="1"/>
  <c r="H8" i="33"/>
  <c r="G8" i="33"/>
  <c r="B8" i="33"/>
  <c r="Z20" i="159"/>
  <c r="Y20" i="159"/>
  <c r="X20" i="159"/>
  <c r="W20" i="159"/>
  <c r="Z19" i="159"/>
  <c r="Y19" i="159"/>
  <c r="X19" i="159"/>
  <c r="W19" i="159"/>
  <c r="Z18" i="159"/>
  <c r="Y18" i="159"/>
  <c r="X18" i="159"/>
  <c r="W18" i="159"/>
  <c r="Z17" i="159"/>
  <c r="Y17" i="159"/>
  <c r="X17" i="159"/>
  <c r="W17" i="159"/>
  <c r="Z16" i="159"/>
  <c r="Y16" i="159"/>
  <c r="X16" i="159"/>
  <c r="W16" i="159"/>
  <c r="Z15" i="159"/>
  <c r="Y15" i="159"/>
  <c r="X15" i="159"/>
  <c r="W15" i="159"/>
  <c r="Z14" i="159"/>
  <c r="Y14" i="159"/>
  <c r="X14" i="159"/>
  <c r="W14" i="159"/>
  <c r="Z13" i="159"/>
  <c r="Y13" i="159"/>
  <c r="X13" i="159"/>
  <c r="W13" i="159"/>
  <c r="Z12" i="159"/>
  <c r="Y12" i="159"/>
  <c r="X12" i="159"/>
  <c r="W12" i="159"/>
  <c r="B12" i="159"/>
  <c r="Z11" i="159"/>
  <c r="Y11" i="159"/>
  <c r="X11" i="159"/>
  <c r="W11" i="159"/>
  <c r="B11" i="159"/>
  <c r="Z10" i="159"/>
  <c r="Y10" i="159"/>
  <c r="W10" i="159"/>
  <c r="H10" i="159"/>
  <c r="X10" i="159" s="1"/>
  <c r="B10" i="159"/>
  <c r="L10" i="159" s="1"/>
  <c r="Z9" i="159"/>
  <c r="Y9" i="159"/>
  <c r="W9" i="159"/>
  <c r="H9" i="159"/>
  <c r="X9" i="159" s="1"/>
  <c r="Z8" i="159"/>
  <c r="Y8" i="159"/>
  <c r="W8" i="159"/>
  <c r="H8" i="159"/>
  <c r="X8" i="159" s="1"/>
  <c r="Z7" i="159"/>
  <c r="Y7" i="159"/>
  <c r="W7" i="159"/>
  <c r="X7" i="159"/>
  <c r="Z6" i="159"/>
  <c r="Y6" i="159"/>
  <c r="W6" i="159"/>
  <c r="X6" i="159"/>
  <c r="Z5" i="159"/>
  <c r="Y5" i="159"/>
  <c r="W5" i="159"/>
  <c r="X5" i="159"/>
  <c r="Z4" i="159"/>
  <c r="Y4" i="159"/>
  <c r="W4" i="159"/>
  <c r="H4" i="159"/>
  <c r="X4" i="159" s="1"/>
  <c r="Z3" i="159"/>
  <c r="Y3" i="159"/>
  <c r="W3" i="159"/>
  <c r="H3" i="159"/>
  <c r="X3" i="159" s="1"/>
  <c r="Z20" i="154"/>
  <c r="Y20" i="154"/>
  <c r="X20" i="154"/>
  <c r="W20" i="154"/>
  <c r="Z19" i="154"/>
  <c r="Y19" i="154"/>
  <c r="X19" i="154"/>
  <c r="W19" i="154"/>
  <c r="Z18" i="154"/>
  <c r="Y18" i="154"/>
  <c r="X18" i="154"/>
  <c r="W18" i="154"/>
  <c r="Z17" i="154"/>
  <c r="Y17" i="154"/>
  <c r="X17" i="154"/>
  <c r="W17" i="154"/>
  <c r="Z16" i="154"/>
  <c r="Y16" i="154"/>
  <c r="X16" i="154"/>
  <c r="W16" i="154"/>
  <c r="Z15" i="154"/>
  <c r="Y15" i="154"/>
  <c r="X15" i="154"/>
  <c r="W15" i="154"/>
  <c r="Z14" i="154"/>
  <c r="Y14" i="154"/>
  <c r="X14" i="154"/>
  <c r="W14" i="154"/>
  <c r="Z13" i="154"/>
  <c r="Y13" i="154"/>
  <c r="X13" i="154"/>
  <c r="W13" i="154"/>
  <c r="Z12" i="154"/>
  <c r="Y12" i="154"/>
  <c r="X12" i="154"/>
  <c r="W12" i="154"/>
  <c r="B12" i="154"/>
  <c r="Z11" i="154"/>
  <c r="Y11" i="154"/>
  <c r="X11" i="154"/>
  <c r="W11" i="154"/>
  <c r="B11" i="154"/>
  <c r="Z10" i="154"/>
  <c r="Y10" i="154"/>
  <c r="W10" i="154"/>
  <c r="H10" i="154"/>
  <c r="X10" i="154" s="1"/>
  <c r="B10" i="154"/>
  <c r="L10" i="154" s="1"/>
  <c r="Z9" i="154"/>
  <c r="Y9" i="154"/>
  <c r="W9" i="154"/>
  <c r="H9" i="154"/>
  <c r="X9" i="154" s="1"/>
  <c r="Z8" i="154"/>
  <c r="Y8" i="154"/>
  <c r="W8" i="154"/>
  <c r="H8" i="154"/>
  <c r="X8" i="154" s="1"/>
  <c r="Z7" i="154"/>
  <c r="Y7" i="154"/>
  <c r="W7" i="154"/>
  <c r="H7" i="154"/>
  <c r="X7" i="154" s="1"/>
  <c r="Z6" i="154"/>
  <c r="Y6" i="154"/>
  <c r="W6" i="154"/>
  <c r="H6" i="154"/>
  <c r="X6" i="154" s="1"/>
  <c r="Z5" i="154"/>
  <c r="Y5" i="154"/>
  <c r="W5" i="154"/>
  <c r="H5" i="154"/>
  <c r="X5" i="154" s="1"/>
  <c r="Z4" i="154"/>
  <c r="Y4" i="154"/>
  <c r="W4" i="154"/>
  <c r="H4" i="154"/>
  <c r="X4" i="154" s="1"/>
  <c r="Z3" i="154"/>
  <c r="Y3" i="154"/>
  <c r="W3" i="154"/>
  <c r="H3" i="154"/>
  <c r="X3" i="154" s="1"/>
  <c r="H3" i="153"/>
  <c r="X10" i="153"/>
  <c r="X3" i="153"/>
  <c r="X6" i="153"/>
  <c r="X9" i="153"/>
  <c r="Z20" i="153"/>
  <c r="Y20" i="153"/>
  <c r="X20" i="153"/>
  <c r="W20" i="153"/>
  <c r="Z19" i="153"/>
  <c r="Y19" i="153"/>
  <c r="X19" i="153"/>
  <c r="W19" i="153"/>
  <c r="Z18" i="153"/>
  <c r="Y18" i="153"/>
  <c r="X18" i="153"/>
  <c r="W18" i="153"/>
  <c r="Z17" i="153"/>
  <c r="Y17" i="153"/>
  <c r="X17" i="153"/>
  <c r="W17" i="153"/>
  <c r="Z16" i="153"/>
  <c r="Y16" i="153"/>
  <c r="X16" i="153"/>
  <c r="W16" i="153"/>
  <c r="Z15" i="153"/>
  <c r="Y15" i="153"/>
  <c r="X15" i="153"/>
  <c r="W15" i="153"/>
  <c r="Z14" i="153"/>
  <c r="Y14" i="153"/>
  <c r="X14" i="153"/>
  <c r="W14" i="153"/>
  <c r="Z13" i="153"/>
  <c r="Y13" i="153"/>
  <c r="X13" i="153"/>
  <c r="W13" i="153"/>
  <c r="Z12" i="153"/>
  <c r="Y12" i="153"/>
  <c r="X12" i="153"/>
  <c r="W12" i="153"/>
  <c r="B12" i="153"/>
  <c r="Z11" i="153"/>
  <c r="Y11" i="153"/>
  <c r="X11" i="153"/>
  <c r="W11" i="153"/>
  <c r="B11" i="153"/>
  <c r="Z10" i="153"/>
  <c r="Y10" i="153"/>
  <c r="W10" i="153"/>
  <c r="B10" i="153"/>
  <c r="Z9" i="153"/>
  <c r="Y9" i="153"/>
  <c r="W9" i="153"/>
  <c r="Z8" i="153"/>
  <c r="Y8" i="153"/>
  <c r="X8" i="153"/>
  <c r="W8" i="153"/>
  <c r="Z7" i="153"/>
  <c r="Y7" i="153"/>
  <c r="W7" i="153"/>
  <c r="X7" i="153"/>
  <c r="Z6" i="153"/>
  <c r="Y6" i="153"/>
  <c r="W6" i="153"/>
  <c r="Z5" i="153"/>
  <c r="Y5" i="153"/>
  <c r="W5" i="153"/>
  <c r="X5" i="153"/>
  <c r="Z4" i="153"/>
  <c r="Y4" i="153"/>
  <c r="W4" i="153"/>
  <c r="X4" i="153"/>
  <c r="Z3" i="153"/>
  <c r="Y3" i="153"/>
  <c r="W3" i="153"/>
  <c r="X22" i="149"/>
  <c r="Y22" i="149"/>
  <c r="Z22" i="149"/>
  <c r="X23" i="149"/>
  <c r="Y23" i="149"/>
  <c r="Z23" i="149"/>
  <c r="W22" i="149"/>
  <c r="W23" i="149"/>
  <c r="Z6" i="149"/>
  <c r="Z7" i="149"/>
  <c r="Z8" i="149"/>
  <c r="Z9" i="149"/>
  <c r="Z10" i="149"/>
  <c r="Z11" i="149"/>
  <c r="Z12" i="149"/>
  <c r="Z13" i="149"/>
  <c r="Z14" i="149"/>
  <c r="Z15" i="149"/>
  <c r="Z16" i="149"/>
  <c r="Z17" i="149"/>
  <c r="Z18" i="149"/>
  <c r="Z19" i="149"/>
  <c r="Z20" i="149"/>
  <c r="Z21" i="149"/>
  <c r="Y6" i="149"/>
  <c r="Y7" i="149"/>
  <c r="Y8" i="149"/>
  <c r="Y9" i="149"/>
  <c r="Y10" i="149"/>
  <c r="Y11" i="149"/>
  <c r="Y12" i="149"/>
  <c r="Y13" i="149"/>
  <c r="Y14" i="149"/>
  <c r="Y15" i="149"/>
  <c r="Y16" i="149"/>
  <c r="Y17" i="149"/>
  <c r="Y18" i="149"/>
  <c r="Y19" i="149"/>
  <c r="Y20" i="149"/>
  <c r="Y21" i="149"/>
  <c r="X6" i="149"/>
  <c r="X9" i="149"/>
  <c r="X10" i="149"/>
  <c r="X11" i="149"/>
  <c r="X12" i="149"/>
  <c r="X13" i="149"/>
  <c r="X14" i="149"/>
  <c r="X15" i="149"/>
  <c r="X16" i="149"/>
  <c r="X17" i="149"/>
  <c r="X18" i="149"/>
  <c r="X19" i="149"/>
  <c r="X20" i="149"/>
  <c r="X21" i="149"/>
  <c r="W6" i="149"/>
  <c r="W7" i="149"/>
  <c r="W8" i="149"/>
  <c r="W9" i="149"/>
  <c r="W10" i="149"/>
  <c r="W11" i="149"/>
  <c r="W12" i="149"/>
  <c r="W13" i="149"/>
  <c r="W14" i="149"/>
  <c r="W15" i="149"/>
  <c r="W16" i="149"/>
  <c r="W17" i="149"/>
  <c r="W18" i="149"/>
  <c r="W19" i="149"/>
  <c r="W20" i="149"/>
  <c r="W21" i="149"/>
  <c r="H4" i="149"/>
  <c r="H5" i="149"/>
  <c r="H6" i="149"/>
  <c r="H7" i="149"/>
  <c r="X7" i="149" s="1"/>
  <c r="H8" i="149"/>
  <c r="X8" i="149" s="1"/>
  <c r="H3" i="149"/>
  <c r="X3" i="149" s="1"/>
  <c r="B12" i="149"/>
  <c r="B11" i="149"/>
  <c r="B10" i="149"/>
  <c r="B14" i="149" s="1"/>
  <c r="Z5" i="149"/>
  <c r="Y5" i="149"/>
  <c r="W5" i="149"/>
  <c r="Z4" i="149"/>
  <c r="Y4" i="149"/>
  <c r="W4" i="149"/>
  <c r="Z3" i="149"/>
  <c r="Y3" i="149"/>
  <c r="W3" i="149"/>
  <c r="B10" i="147"/>
  <c r="G2" i="127"/>
  <c r="H2" i="127"/>
  <c r="F2" i="127"/>
  <c r="H3" i="147"/>
  <c r="B12" i="147"/>
  <c r="B11" i="147"/>
  <c r="Z5" i="147"/>
  <c r="Y5" i="147"/>
  <c r="X5" i="147"/>
  <c r="W5" i="147"/>
  <c r="Z4" i="147"/>
  <c r="Y4" i="147"/>
  <c r="X4" i="147"/>
  <c r="W4" i="147"/>
  <c r="Z3" i="147"/>
  <c r="Y3" i="147"/>
  <c r="W3" i="147"/>
  <c r="X3" i="147"/>
  <c r="B12" i="145"/>
  <c r="B11" i="145"/>
  <c r="B10" i="145"/>
  <c r="B14" i="145" s="1"/>
  <c r="Z5" i="145"/>
  <c r="Y5" i="145"/>
  <c r="X5" i="145"/>
  <c r="W5" i="145"/>
  <c r="Z4" i="145"/>
  <c r="Y4" i="145"/>
  <c r="X4" i="145"/>
  <c r="W4" i="145"/>
  <c r="Z3" i="145"/>
  <c r="Y3" i="145"/>
  <c r="W3" i="145"/>
  <c r="H3" i="145"/>
  <c r="X3" i="145" s="1"/>
  <c r="L3" i="160" l="1"/>
  <c r="L8" i="160"/>
  <c r="B14" i="160"/>
  <c r="F9" i="33" s="1"/>
  <c r="C9" i="33"/>
  <c r="E9" i="33" s="1"/>
  <c r="L5" i="160"/>
  <c r="B13" i="160"/>
  <c r="I9" i="33" s="1"/>
  <c r="B14" i="159"/>
  <c r="F8" i="33" s="1"/>
  <c r="C8" i="33"/>
  <c r="E8" i="33" s="1"/>
  <c r="B14" i="154"/>
  <c r="L9" i="160"/>
  <c r="L7" i="160"/>
  <c r="L4" i="160"/>
  <c r="L6" i="160"/>
  <c r="L6" i="159"/>
  <c r="B13" i="159"/>
  <c r="I8" i="33" s="1"/>
  <c r="L3" i="159"/>
  <c r="L5" i="159"/>
  <c r="L7" i="159"/>
  <c r="L9" i="159"/>
  <c r="L4" i="159"/>
  <c r="L8" i="159"/>
  <c r="L8" i="154"/>
  <c r="L9" i="154"/>
  <c r="L7" i="154"/>
  <c r="B13" i="154"/>
  <c r="L3" i="154"/>
  <c r="L5" i="154"/>
  <c r="L4" i="154"/>
  <c r="L6" i="154"/>
  <c r="B13" i="153"/>
  <c r="L3" i="153"/>
  <c r="B14" i="153" s="1"/>
  <c r="L4" i="149"/>
  <c r="L7" i="149"/>
  <c r="L6" i="149"/>
  <c r="L3" i="149"/>
  <c r="L8" i="149"/>
  <c r="L5" i="149"/>
  <c r="X4" i="149"/>
  <c r="X5" i="149"/>
  <c r="B13" i="149"/>
  <c r="L3" i="147"/>
  <c r="B14" i="147" s="1"/>
  <c r="B13" i="147"/>
  <c r="L3" i="145"/>
  <c r="B13" i="145"/>
  <c r="P3" i="33"/>
  <c r="M3" i="33" l="1"/>
  <c r="O3" i="33" l="1"/>
  <c r="L3" i="33" s="1"/>
  <c r="K3" i="33" l="1"/>
  <c r="Q3" i="33" l="1"/>
  <c r="K200" i="127" s="1"/>
  <c r="N3" i="33" l="1"/>
  <c r="S3" i="33"/>
</calcChain>
</file>

<file path=xl/sharedStrings.xml><?xml version="1.0" encoding="utf-8"?>
<sst xmlns="http://schemas.openxmlformats.org/spreadsheetml/2006/main" count="688" uniqueCount="85">
  <si>
    <t>LV0000103612</t>
  </si>
  <si>
    <t>PTV</t>
  </si>
  <si>
    <t>R077</t>
  </si>
  <si>
    <t>R081</t>
  </si>
  <si>
    <t>J044</t>
  </si>
  <si>
    <t>J067</t>
  </si>
  <si>
    <t>J040</t>
  </si>
  <si>
    <t>J046</t>
  </si>
  <si>
    <t>J052</t>
  </si>
  <si>
    <t>J062</t>
  </si>
  <si>
    <t>Palūkanos</t>
  </si>
  <si>
    <t>LV0000103604</t>
  </si>
  <si>
    <t>R078</t>
  </si>
  <si>
    <t>R079</t>
  </si>
  <si>
    <t>R080</t>
  </si>
  <si>
    <t>J053</t>
  </si>
  <si>
    <t>J059</t>
  </si>
  <si>
    <t>J061</t>
  </si>
  <si>
    <t>LV0000103620</t>
  </si>
  <si>
    <t>J036</t>
  </si>
  <si>
    <t>J038</t>
  </si>
  <si>
    <t>J063</t>
  </si>
  <si>
    <t>J071</t>
  </si>
  <si>
    <t>J057</t>
  </si>
  <si>
    <t>R089</t>
  </si>
  <si>
    <t>R090</t>
  </si>
  <si>
    <t>R091</t>
  </si>
  <si>
    <t>R092</t>
  </si>
  <si>
    <t>R093</t>
  </si>
  <si>
    <t>R094</t>
  </si>
  <si>
    <t>R096</t>
  </si>
  <si>
    <t>Grąžinta</t>
  </si>
  <si>
    <t>Data</t>
  </si>
  <si>
    <t>Pelnas</t>
  </si>
  <si>
    <t>Vertė</t>
  </si>
  <si>
    <t>Mortgage loan ID</t>
  </si>
  <si>
    <t>PDT</t>
  </si>
  <si>
    <t>Investuota</t>
  </si>
  <si>
    <t>Laikas</t>
  </si>
  <si>
    <t>Grąž. Data</t>
  </si>
  <si>
    <t>Note</t>
  </si>
  <si>
    <t>House in Les Preses</t>
  </si>
  <si>
    <t>Apartment in Vigo</t>
  </si>
  <si>
    <t>Apartment in Sant Pere de Ribes</t>
  </si>
  <si>
    <t>Apartment on Calle Manresa</t>
  </si>
  <si>
    <t>Flat at Calle Noguera</t>
  </si>
  <si>
    <t>House at Calle Virgen María</t>
  </si>
  <si>
    <t>House in Les Franqueses del Valles</t>
  </si>
  <si>
    <t>House in Lloret de Mar</t>
  </si>
  <si>
    <t>House in Llinars del Valles</t>
  </si>
  <si>
    <t>Apartment in Vic</t>
  </si>
  <si>
    <t>House in Arroyomolinos</t>
  </si>
  <si>
    <t>Apartment in Fuenlabrada</t>
  </si>
  <si>
    <t>Apartment in Cambrils</t>
  </si>
  <si>
    <t>House in Torrevieja</t>
  </si>
  <si>
    <t>Apartment and House in Malaga</t>
  </si>
  <si>
    <t>Apartment in Torrejón de Ardoz</t>
  </si>
  <si>
    <t>Apartments in Sevilla</t>
  </si>
  <si>
    <t>House in Castellar del Valles</t>
  </si>
  <si>
    <t>House in Llers</t>
  </si>
  <si>
    <t>Apartment in Sabadell</t>
  </si>
  <si>
    <t>Apartment on Calle Covadonga</t>
  </si>
  <si>
    <t>House in Vacarisses</t>
  </si>
  <si>
    <t>Apartament in St. Cugat Valles</t>
  </si>
  <si>
    <t>Apartment on Calle Guadalajara</t>
  </si>
  <si>
    <t>Apartment in Adeje</t>
  </si>
  <si>
    <t>Apartment on Ronda de los Tejares</t>
  </si>
  <si>
    <t>Įnešta</t>
  </si>
  <si>
    <t>Išimta</t>
  </si>
  <si>
    <t>Paskola</t>
  </si>
  <si>
    <t>Premijos</t>
  </si>
  <si>
    <t>Gryni</t>
  </si>
  <si>
    <t>Paskolos pradžia</t>
  </si>
  <si>
    <t>Suma</t>
  </si>
  <si>
    <t>Grąžinimas</t>
  </si>
  <si>
    <t>Pinigai</t>
  </si>
  <si>
    <t>Paskola grąžinta</t>
  </si>
  <si>
    <t>Pavadinimas</t>
  </si>
  <si>
    <t>XIRR</t>
  </si>
  <si>
    <t>Terminas</t>
  </si>
  <si>
    <t>Loan ID</t>
  </si>
  <si>
    <t>LV0000105062</t>
  </si>
  <si>
    <t>Eur.</t>
  </si>
  <si>
    <t>Viso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</si>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</sst>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0" borderId="0" xfId="0" applyNumberFormat="1"/>
    <xf numFmtId="2" fontId="0" fillId="0" borderId="0" xfId="0" applyNumberFormat="1"/>
    <xf numFmtId="2" fontId="0" fillId="0" borderId="5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2" fillId="0" borderId="1" xfId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2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0BA12-6EFA-4FBA-828A-5EB97962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1CA6A-CE06-4A34-893B-422A8E13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2EE66-23B4-4872-A7E5-0AC160C6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A32054-8C85-4598-AEC3-B86E57B7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796819-2C9E-4B11-AC62-9EDE9985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8516CA-549D-4A41-A91C-D0B7F1AC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C7553-038D-4067-8575-A9C40F629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6F1A5-C3C6-431F-AD6F-0D995796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FD687-5C6F-4112-B408-D63595858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DB348-BFE9-4B62-8664-18858D1E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2E3C57-B9F8-4189-8160-72C53F59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18B1B-B852-46E4-BA05-3D2F304FF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28221-EFD3-45BE-91BB-C50232134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6317B-D55D-4017-8594-1992908A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085EB-4676-4980-A9E4-9637EFE5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44F37-1B9B-4489-82A1-B49B8CE7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C4A04-B96F-4777-A938-8BF4B24C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D087B-A415-4479-82A9-3088062B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F5BD1-85DC-4724-B8D2-9F22D8CF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CC368-B5D0-4625-847A-5F92FC8F9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B1274-650E-4B7F-AA2B-28810255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49478-7937-4EBA-9939-E40FF2D9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BA560-6D73-4EB4-907D-BADDA762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380A0-7E2B-4D5F-8611-66519E75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8DCBF-7896-4207-9D57-D3D834FB2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49738A-B0A7-4BDD-B96F-D5F2F8C1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T28"/>
  <sheetViews>
    <sheetView tabSelected="1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.7109375" style="16" customWidth="1"/>
    <col min="2" max="2" width="15.7109375" style="16" customWidth="1"/>
    <col min="3" max="3" width="10.7109375" style="16" customWidth="1"/>
    <col min="4" max="5" width="15.7109375" style="16" customWidth="1"/>
    <col min="6" max="9" width="10.7109375" style="16" customWidth="1"/>
    <col min="11" max="19" width="10.7109375" customWidth="1"/>
  </cols>
  <sheetData>
    <row r="1" spans="1:20" x14ac:dyDescent="0.25">
      <c r="A1" s="34"/>
      <c r="B1" s="35" t="s">
        <v>80</v>
      </c>
      <c r="C1" s="31" t="s">
        <v>37</v>
      </c>
      <c r="D1" s="31"/>
      <c r="E1" s="32" t="s">
        <v>31</v>
      </c>
      <c r="F1" s="37"/>
      <c r="G1" s="37"/>
      <c r="H1" s="37"/>
      <c r="I1" s="33"/>
      <c r="K1" s="38" t="s">
        <v>75</v>
      </c>
      <c r="L1" s="39"/>
      <c r="M1" s="39"/>
      <c r="N1" s="40"/>
      <c r="O1" s="32" t="s">
        <v>31</v>
      </c>
      <c r="P1" s="33"/>
      <c r="Q1" s="31" t="s">
        <v>34</v>
      </c>
      <c r="R1" s="31"/>
      <c r="S1" s="31"/>
      <c r="T1" s="31"/>
    </row>
    <row r="2" spans="1:20" x14ac:dyDescent="0.25">
      <c r="A2" s="34"/>
      <c r="B2" s="36"/>
      <c r="C2" s="20" t="s">
        <v>73</v>
      </c>
      <c r="D2" s="20" t="s">
        <v>32</v>
      </c>
      <c r="E2" s="3" t="s">
        <v>32</v>
      </c>
      <c r="F2" s="3" t="s">
        <v>38</v>
      </c>
      <c r="G2" s="3" t="s">
        <v>69</v>
      </c>
      <c r="H2" s="3" t="s">
        <v>10</v>
      </c>
      <c r="I2" s="3" t="s">
        <v>78</v>
      </c>
      <c r="K2" s="20" t="s">
        <v>67</v>
      </c>
      <c r="L2" s="20" t="s">
        <v>37</v>
      </c>
      <c r="M2" s="3" t="s">
        <v>70</v>
      </c>
      <c r="N2" s="27" t="s">
        <v>71</v>
      </c>
      <c r="O2" s="3" t="s">
        <v>69</v>
      </c>
      <c r="P2" s="15" t="s">
        <v>10</v>
      </c>
      <c r="Q2" s="20" t="s">
        <v>83</v>
      </c>
      <c r="R2" s="20" t="s">
        <v>82</v>
      </c>
      <c r="S2" s="20" t="s">
        <v>84</v>
      </c>
      <c r="T2" s="20" t="s">
        <v>78</v>
      </c>
    </row>
    <row r="3" spans="1:20" x14ac:dyDescent="0.25">
      <c r="A3" s="4">
        <v>1</v>
      </c>
      <c r="B3" s="22" t="str">
        <f>'J036'!$B$1</f>
        <v>J036</v>
      </c>
      <c r="C3" s="5">
        <f>'J036'!$B$10</f>
        <v>0.31</v>
      </c>
      <c r="D3" s="25">
        <f>'J036'!$B$7</f>
        <v>45740</v>
      </c>
      <c r="E3" s="7" t="str">
        <f>IF(C3=G3,'J036'!$B$9,"")</f>
        <v/>
      </c>
      <c r="F3" s="26" t="str">
        <f>'J036'!$B$14</f>
        <v/>
      </c>
      <c r="G3" s="5">
        <f>'J036'!$B$11</f>
        <v>0</v>
      </c>
      <c r="H3" s="5">
        <f>'J036'!$B$12</f>
        <v>0</v>
      </c>
      <c r="I3" s="6" t="str">
        <f>'J036'!$B$13</f>
        <v/>
      </c>
      <c r="K3" s="5">
        <f>Pinigai!F2</f>
        <v>30</v>
      </c>
      <c r="L3" s="14">
        <f>SUM(C3:C140)-O3</f>
        <v>83.179999999999993</v>
      </c>
      <c r="M3" s="5">
        <f>Pinigai!H2</f>
        <v>55</v>
      </c>
      <c r="N3" s="5">
        <f>Q3-L3</f>
        <v>2.1700000000000017</v>
      </c>
      <c r="O3" s="5">
        <f>SUM(G3:G140)</f>
        <v>2.87</v>
      </c>
      <c r="P3" s="5">
        <f>SUM(H3:H140)</f>
        <v>0.35</v>
      </c>
      <c r="Q3" s="5">
        <f>K3+M3+P3</f>
        <v>85.35</v>
      </c>
      <c r="R3" s="5">
        <f>Q3-K3</f>
        <v>55.349999999999994</v>
      </c>
      <c r="S3" s="6">
        <f>(Q3-K3)/Q3</f>
        <v>0.64850615114235499</v>
      </c>
      <c r="T3" s="6">
        <f ca="1">XIRR(Pinigai!K2:K200,Pinigai!A2:A200)</f>
        <v>1.1574660420417782</v>
      </c>
    </row>
    <row r="4" spans="1:20" x14ac:dyDescent="0.25">
      <c r="A4" s="4">
        <v>2</v>
      </c>
      <c r="B4" s="24" t="str">
        <f>'J038'!$B$1</f>
        <v>J038</v>
      </c>
      <c r="C4" s="5">
        <f>'J038'!$B$10</f>
        <v>0.38</v>
      </c>
      <c r="D4" s="25">
        <f>'J038'!$B$7</f>
        <v>45740</v>
      </c>
      <c r="E4" s="7">
        <f>IF(C4=G4,'J038'!$B$9,"")</f>
        <v>45996</v>
      </c>
      <c r="F4" s="26">
        <f>'J038'!$B$14</f>
        <v>256</v>
      </c>
      <c r="G4" s="5">
        <f>'J038'!$B$11</f>
        <v>0.38</v>
      </c>
      <c r="H4" s="5">
        <f>'J038'!$B$12</f>
        <v>0.05</v>
      </c>
      <c r="I4" s="6">
        <f>'J038'!$B$13</f>
        <v>0.19273198246955875</v>
      </c>
      <c r="K4" s="18"/>
      <c r="L4" s="18"/>
      <c r="M4" s="18"/>
      <c r="N4" s="18"/>
      <c r="O4" s="18"/>
      <c r="P4" s="18"/>
      <c r="Q4" s="18"/>
      <c r="R4" s="18"/>
      <c r="S4" s="19"/>
    </row>
    <row r="5" spans="1:20" x14ac:dyDescent="0.25">
      <c r="A5" s="4">
        <v>3</v>
      </c>
      <c r="B5" s="24" t="str">
        <f>'J040'!$B$1</f>
        <v>J040</v>
      </c>
      <c r="C5" s="5">
        <f>'J040'!$B$10</f>
        <v>7.8800000000000008</v>
      </c>
      <c r="D5" s="25">
        <f>'J040'!$B$7</f>
        <v>45740</v>
      </c>
      <c r="E5" s="7" t="str">
        <f>IF(C5=G5,'J040'!$B$9,"")</f>
        <v/>
      </c>
      <c r="F5" s="26" t="str">
        <f>'J040'!$B$14</f>
        <v/>
      </c>
      <c r="G5" s="5">
        <f>'J040'!$B$11</f>
        <v>0</v>
      </c>
      <c r="H5" s="5">
        <f>'J040'!$B$12</f>
        <v>0</v>
      </c>
      <c r="I5" s="6" t="str">
        <f>'J040'!$B$13</f>
        <v/>
      </c>
    </row>
    <row r="6" spans="1:20" x14ac:dyDescent="0.25">
      <c r="A6" s="4">
        <v>4</v>
      </c>
      <c r="B6" s="24" t="str">
        <f>'J044'!$B$1</f>
        <v>J044</v>
      </c>
      <c r="C6" s="5">
        <f>'J044'!$B$10</f>
        <v>1.49</v>
      </c>
      <c r="D6" s="25">
        <f>'J044'!$B$7</f>
        <v>45740.000000000007</v>
      </c>
      <c r="E6" s="7">
        <f>IF(C6=G6,'J044'!$B$9,"")</f>
        <v>46169</v>
      </c>
      <c r="F6" s="26">
        <f>'J044'!$B$14</f>
        <v>429</v>
      </c>
      <c r="G6" s="5">
        <f>'J044'!$B$11</f>
        <v>1.49</v>
      </c>
      <c r="H6" s="5">
        <f>'J044'!$B$12</f>
        <v>0.25</v>
      </c>
      <c r="I6" s="6">
        <f>'J044'!$B$13</f>
        <v>0.14107316136360165</v>
      </c>
    </row>
    <row r="7" spans="1:20" x14ac:dyDescent="0.25">
      <c r="A7" s="4">
        <v>5</v>
      </c>
      <c r="B7" s="24" t="str">
        <f>'J046'!$B$1</f>
        <v>J046</v>
      </c>
      <c r="C7" s="5">
        <f>'J046'!$B$10</f>
        <v>5.37</v>
      </c>
      <c r="D7" s="25">
        <f>'J046'!$B$7</f>
        <v>45740</v>
      </c>
      <c r="E7" s="7" t="str">
        <f>IF(C7=G7,'J046'!$B$9,"")</f>
        <v/>
      </c>
      <c r="F7" s="26" t="str">
        <f>'J046'!$B$14</f>
        <v/>
      </c>
      <c r="G7" s="5">
        <f>'J046'!$B$11</f>
        <v>0</v>
      </c>
      <c r="H7" s="5">
        <f>'J046'!$B$12</f>
        <v>0</v>
      </c>
      <c r="I7" s="6" t="str">
        <f>'J046'!$B$13</f>
        <v/>
      </c>
    </row>
    <row r="8" spans="1:20" x14ac:dyDescent="0.25">
      <c r="A8" s="4">
        <v>6</v>
      </c>
      <c r="B8" s="24" t="str">
        <f>'J052'!$B$1</f>
        <v>J052</v>
      </c>
      <c r="C8" s="5">
        <f>'J052'!$B$10</f>
        <v>5.37</v>
      </c>
      <c r="D8" s="25">
        <f>'J052'!$B$7</f>
        <v>45740</v>
      </c>
      <c r="E8" s="7" t="str">
        <f>IF(C8=G8,'J052'!$B$9,"")</f>
        <v/>
      </c>
      <c r="F8" s="26" t="str">
        <f>'J052'!$B$14</f>
        <v/>
      </c>
      <c r="G8" s="5">
        <f>'J052'!$B$11</f>
        <v>0</v>
      </c>
      <c r="H8" s="5">
        <f>'J052'!$B$12</f>
        <v>0</v>
      </c>
      <c r="I8" s="6" t="str">
        <f>'J052'!$B$13</f>
        <v/>
      </c>
    </row>
    <row r="9" spans="1:20" x14ac:dyDescent="0.25">
      <c r="A9" s="4">
        <v>7</v>
      </c>
      <c r="B9" s="24" t="str">
        <f>'J053'!$B$1</f>
        <v>J053</v>
      </c>
      <c r="C9" s="5">
        <f>'J053'!$B$10</f>
        <v>2.0099999999999998</v>
      </c>
      <c r="D9" s="25">
        <f>'J053'!$B$7</f>
        <v>45740</v>
      </c>
      <c r="E9" s="7" t="str">
        <f>IF(C9=G9,'J053'!$B$9,"")</f>
        <v/>
      </c>
      <c r="F9" s="26" t="str">
        <f>'J053'!$B$14</f>
        <v/>
      </c>
      <c r="G9" s="5">
        <f>'J053'!$B$11</f>
        <v>0</v>
      </c>
      <c r="H9" s="5">
        <f>'J053'!$B$12</f>
        <v>0</v>
      </c>
      <c r="I9" s="6" t="str">
        <f>'J053'!$B$13</f>
        <v/>
      </c>
    </row>
    <row r="10" spans="1:20" x14ac:dyDescent="0.25">
      <c r="A10" s="4">
        <v>8</v>
      </c>
      <c r="B10" s="24" t="str">
        <f>'J057'!$B$1</f>
        <v>J057</v>
      </c>
      <c r="C10" s="5">
        <f>'J057'!$B$10</f>
        <v>3.7</v>
      </c>
      <c r="D10" s="25">
        <f>'J057'!$B$7</f>
        <v>45831</v>
      </c>
      <c r="E10" s="7" t="str">
        <f>IF(C10=G10,'J057'!$B$9,"")</f>
        <v/>
      </c>
      <c r="F10" s="26" t="str">
        <f>'J057'!$B$14</f>
        <v/>
      </c>
      <c r="G10" s="5">
        <f>'J057'!$B$11</f>
        <v>0</v>
      </c>
      <c r="H10" s="5">
        <f>'J057'!$B$12</f>
        <v>0</v>
      </c>
      <c r="I10" s="6" t="str">
        <f>'J057'!$B$13</f>
        <v/>
      </c>
    </row>
    <row r="11" spans="1:20" x14ac:dyDescent="0.25">
      <c r="A11" s="4">
        <v>9</v>
      </c>
      <c r="B11" s="24" t="str">
        <f>'J059'!$B$1</f>
        <v>J059</v>
      </c>
      <c r="C11" s="5">
        <f>'J059'!$B$10</f>
        <v>4.92</v>
      </c>
      <c r="D11" s="25">
        <f>'J059'!$B$7</f>
        <v>45740</v>
      </c>
      <c r="E11" s="7" t="str">
        <f>IF(C11=G11,'J059'!$B$9,"")</f>
        <v/>
      </c>
      <c r="F11" s="26" t="str">
        <f>'J059'!$B$14</f>
        <v/>
      </c>
      <c r="G11" s="5">
        <f>'J059'!$B$11</f>
        <v>0</v>
      </c>
      <c r="H11" s="5">
        <f>'J059'!$B$12</f>
        <v>0</v>
      </c>
      <c r="I11" s="6" t="str">
        <f>'J059'!$B$13</f>
        <v/>
      </c>
    </row>
    <row r="12" spans="1:20" x14ac:dyDescent="0.25">
      <c r="A12" s="4">
        <v>10</v>
      </c>
      <c r="B12" s="24" t="str">
        <f>'J061'!$B$1</f>
        <v>J061</v>
      </c>
      <c r="C12" s="5">
        <f>'J061'!$B$10</f>
        <v>1.63</v>
      </c>
      <c r="D12" s="25">
        <f>'J061'!$B$7</f>
        <v>45740</v>
      </c>
      <c r="E12" s="7" t="str">
        <f>IF(C12=G12,'J061'!$B$9,"")</f>
        <v/>
      </c>
      <c r="F12" s="26" t="str">
        <f>'J061'!$B$14</f>
        <v/>
      </c>
      <c r="G12" s="5">
        <f>'J061'!$B$11</f>
        <v>0</v>
      </c>
      <c r="H12" s="5">
        <f>'J061'!$B$12</f>
        <v>0</v>
      </c>
      <c r="I12" s="6" t="str">
        <f>'J061'!$B$13</f>
        <v/>
      </c>
    </row>
    <row r="13" spans="1:20" x14ac:dyDescent="0.25">
      <c r="A13" s="4">
        <v>11</v>
      </c>
      <c r="B13" s="24" t="str">
        <f>'J062'!$B$1</f>
        <v>J062</v>
      </c>
      <c r="C13" s="5">
        <f>'J062'!$B$10</f>
        <v>12.88</v>
      </c>
      <c r="D13" s="25">
        <f>'J062'!$B$7</f>
        <v>45739.999999999993</v>
      </c>
      <c r="E13" s="7" t="str">
        <f>IF(C13=G13,'J062'!$B$9,"")</f>
        <v/>
      </c>
      <c r="F13" s="26" t="str">
        <f>'J062'!$B$14</f>
        <v/>
      </c>
      <c r="G13" s="5">
        <f>'J062'!$B$11</f>
        <v>0</v>
      </c>
      <c r="H13" s="5">
        <f>'J062'!$B$12</f>
        <v>0</v>
      </c>
      <c r="I13" s="6" t="str">
        <f>'J062'!$B$13</f>
        <v/>
      </c>
    </row>
    <row r="14" spans="1:20" x14ac:dyDescent="0.25">
      <c r="A14" s="4">
        <v>12</v>
      </c>
      <c r="B14" s="24" t="str">
        <f>'J063'!$B$1</f>
        <v>J063</v>
      </c>
      <c r="C14" s="5">
        <f>'J063'!$B$10</f>
        <v>3.53</v>
      </c>
      <c r="D14" s="25">
        <f>'J063'!$B$7</f>
        <v>45740</v>
      </c>
      <c r="E14" s="7" t="str">
        <f>IF(C14=G14,'J063'!$B$9,"")</f>
        <v/>
      </c>
      <c r="F14" s="26" t="str">
        <f>'J063'!$B$14</f>
        <v/>
      </c>
      <c r="G14" s="5">
        <f>'J063'!$B$11</f>
        <v>0</v>
      </c>
      <c r="H14" s="5">
        <f>'J063'!$B$12</f>
        <v>0</v>
      </c>
      <c r="I14" s="6" t="str">
        <f>'J063'!$B$13</f>
        <v/>
      </c>
    </row>
    <row r="15" spans="1:20" x14ac:dyDescent="0.25">
      <c r="A15" s="4">
        <v>13</v>
      </c>
      <c r="B15" s="24" t="str">
        <f>'J067'!$B$1</f>
        <v>J067</v>
      </c>
      <c r="C15" s="5">
        <f>'J067'!$B$10</f>
        <v>1.5</v>
      </c>
      <c r="D15" s="25">
        <f>'J067'!$B$7</f>
        <v>45740</v>
      </c>
      <c r="E15" s="7" t="str">
        <f>IF(C15=G15,'J067'!$B$9,"")</f>
        <v/>
      </c>
      <c r="F15" s="26" t="str">
        <f>'J067'!$B$14</f>
        <v/>
      </c>
      <c r="G15" s="5">
        <f>'J067'!$B$11</f>
        <v>0</v>
      </c>
      <c r="H15" s="5">
        <f>'J067'!$B$12</f>
        <v>0</v>
      </c>
      <c r="I15" s="6" t="str">
        <f>'J067'!$B$13</f>
        <v/>
      </c>
    </row>
    <row r="16" spans="1:20" x14ac:dyDescent="0.25">
      <c r="A16" s="4">
        <v>14</v>
      </c>
      <c r="B16" s="24" t="str">
        <f>'J071'!$B$1</f>
        <v>J071</v>
      </c>
      <c r="C16" s="5">
        <f>'J071'!$B$10</f>
        <v>3.99</v>
      </c>
      <c r="D16" s="25">
        <f>'J071'!$B$7</f>
        <v>45740</v>
      </c>
      <c r="E16" s="7" t="str">
        <f>IF(C16=G16,'J071'!$B$9,"")</f>
        <v/>
      </c>
      <c r="F16" s="26" t="str">
        <f>'J071'!$B$14</f>
        <v/>
      </c>
      <c r="G16" s="5">
        <f>'J071'!$B$11</f>
        <v>0</v>
      </c>
      <c r="H16" s="5">
        <f>'J071'!$B$12</f>
        <v>0</v>
      </c>
      <c r="I16" s="6" t="str">
        <f>'J071'!$B$13</f>
        <v/>
      </c>
    </row>
    <row r="17" spans="1:9" x14ac:dyDescent="0.25">
      <c r="A17" s="4">
        <v>15</v>
      </c>
      <c r="B17" s="24" t="str">
        <f>'R077'!$B$1</f>
        <v>R077</v>
      </c>
      <c r="C17" s="5">
        <f>'R077'!$B$10</f>
        <v>4.5999999999999996</v>
      </c>
      <c r="D17" s="25">
        <f>'R077'!$B$7</f>
        <v>45740</v>
      </c>
      <c r="E17" s="7" t="str">
        <f>IF(C17=G17,'R077'!$B$9,"")</f>
        <v/>
      </c>
      <c r="F17" s="26" t="str">
        <f>'R077'!$B$14</f>
        <v/>
      </c>
      <c r="G17" s="5">
        <f>'R077'!$B$11</f>
        <v>0</v>
      </c>
      <c r="H17" s="5">
        <f>'R077'!$B$12</f>
        <v>0</v>
      </c>
      <c r="I17" s="6" t="str">
        <f>'R077'!$B$13</f>
        <v/>
      </c>
    </row>
    <row r="18" spans="1:9" x14ac:dyDescent="0.25">
      <c r="A18" s="4">
        <v>16</v>
      </c>
      <c r="B18" s="24" t="str">
        <f>'R078'!$B$1</f>
        <v>R078</v>
      </c>
      <c r="C18" s="5">
        <f>'R078'!$B$10</f>
        <v>2.74</v>
      </c>
      <c r="D18" s="25">
        <f>'R078'!$B$7</f>
        <v>45740</v>
      </c>
      <c r="E18" s="7" t="str">
        <f>IF(C18=G18,'R078'!$B$9,"")</f>
        <v/>
      </c>
      <c r="F18" s="26" t="str">
        <f>'R078'!$B$14</f>
        <v/>
      </c>
      <c r="G18" s="5">
        <f>'R078'!$B$11</f>
        <v>0</v>
      </c>
      <c r="H18" s="5">
        <f>'R078'!$B$12</f>
        <v>0</v>
      </c>
      <c r="I18" s="6" t="str">
        <f>'R078'!$B$13</f>
        <v/>
      </c>
    </row>
    <row r="19" spans="1:9" x14ac:dyDescent="0.25">
      <c r="A19" s="4">
        <v>17</v>
      </c>
      <c r="B19" s="24" t="str">
        <f>'R079'!$B$1</f>
        <v>R079</v>
      </c>
      <c r="C19" s="5">
        <f>'R079'!$B$10</f>
        <v>1</v>
      </c>
      <c r="D19" s="25">
        <f>'R079'!$B$7</f>
        <v>45740</v>
      </c>
      <c r="E19" s="7">
        <f>IF(C19=G19,'R079'!$B$9,"")</f>
        <v>45817</v>
      </c>
      <c r="F19" s="26">
        <f>'R079'!$B$14</f>
        <v>77</v>
      </c>
      <c r="G19" s="5">
        <f>'R079'!$B$11</f>
        <v>1</v>
      </c>
      <c r="H19" s="5">
        <f>'R079'!$B$12</f>
        <v>0.05</v>
      </c>
      <c r="I19" s="6">
        <f>'R079'!$B$13</f>
        <v>0.26020959019660961</v>
      </c>
    </row>
    <row r="20" spans="1:9" x14ac:dyDescent="0.25">
      <c r="A20" s="4">
        <v>18</v>
      </c>
      <c r="B20" s="24" t="str">
        <f>'R080'!$B$1</f>
        <v>R080</v>
      </c>
      <c r="C20" s="5">
        <f>'R080'!$B$10</f>
        <v>4.1900000000000004</v>
      </c>
      <c r="D20" s="25">
        <f>'R080'!$B$7</f>
        <v>45741</v>
      </c>
      <c r="E20" s="7" t="str">
        <f>IF(C20=G20,'R080'!$B$9,"")</f>
        <v/>
      </c>
      <c r="F20" s="26" t="str">
        <f>'R080'!$B$14</f>
        <v/>
      </c>
      <c r="G20" s="5">
        <f>'R080'!$B$11</f>
        <v>0</v>
      </c>
      <c r="H20" s="5">
        <f>'R080'!$B$12</f>
        <v>0</v>
      </c>
      <c r="I20" s="6" t="str">
        <f>'R080'!$B$13</f>
        <v/>
      </c>
    </row>
    <row r="21" spans="1:9" x14ac:dyDescent="0.25">
      <c r="A21" s="4">
        <v>19</v>
      </c>
      <c r="B21" s="24" t="str">
        <f>'R081'!$B$1</f>
        <v>R081</v>
      </c>
      <c r="C21" s="5">
        <f>'R081'!$B$10</f>
        <v>1.21</v>
      </c>
      <c r="D21" s="25">
        <f>'R081'!$B$7</f>
        <v>45741</v>
      </c>
      <c r="E21" s="7" t="str">
        <f>IF(C21=G21,'R081'!$B$9,"")</f>
        <v/>
      </c>
      <c r="F21" s="26" t="str">
        <f>'R081'!$B$14</f>
        <v/>
      </c>
      <c r="G21" s="5">
        <f>'R081'!$B$11</f>
        <v>0</v>
      </c>
      <c r="H21" s="5">
        <f>'R081'!$B$12</f>
        <v>0</v>
      </c>
      <c r="I21" s="6" t="str">
        <f>'R081'!$B$13</f>
        <v/>
      </c>
    </row>
    <row r="22" spans="1:9" x14ac:dyDescent="0.25">
      <c r="A22" s="4">
        <v>20</v>
      </c>
      <c r="B22" s="24" t="str">
        <f>'R089'!$B$1</f>
        <v>R089</v>
      </c>
      <c r="C22" s="5">
        <f>'R089'!$B$10</f>
        <v>2.3199999999999998</v>
      </c>
      <c r="D22" s="25">
        <f>'R089'!$B$7</f>
        <v>45831</v>
      </c>
      <c r="E22" s="7" t="str">
        <f>IF(C22=G22,'R089'!$B$9,"")</f>
        <v/>
      </c>
      <c r="F22" s="26" t="str">
        <f>'R089'!$B$14</f>
        <v/>
      </c>
      <c r="G22" s="5">
        <f>'R089'!$B$11</f>
        <v>0</v>
      </c>
      <c r="H22" s="5">
        <f>'R089'!$B$12</f>
        <v>0</v>
      </c>
      <c r="I22" s="6" t="str">
        <f>'R089'!$B$13</f>
        <v/>
      </c>
    </row>
    <row r="23" spans="1:9" x14ac:dyDescent="0.25">
      <c r="A23" s="4">
        <v>21</v>
      </c>
      <c r="B23" s="24" t="str">
        <f>'R090'!$B$1</f>
        <v>R090</v>
      </c>
      <c r="C23" s="5">
        <f>'R090'!$B$10</f>
        <v>2.8</v>
      </c>
      <c r="D23" s="25">
        <f>'R090'!$B$7</f>
        <v>45831</v>
      </c>
      <c r="E23" s="7" t="str">
        <f>IF(C23=G23,'R090'!$B$9,"")</f>
        <v/>
      </c>
      <c r="F23" s="26" t="str">
        <f>'R090'!$B$14</f>
        <v/>
      </c>
      <c r="G23" s="5">
        <f>'R090'!$B$11</f>
        <v>0</v>
      </c>
      <c r="H23" s="5">
        <f>'R090'!$B$12</f>
        <v>0</v>
      </c>
      <c r="I23" s="6" t="str">
        <f>'R090'!$B$13</f>
        <v/>
      </c>
    </row>
    <row r="24" spans="1:9" x14ac:dyDescent="0.25">
      <c r="A24" s="4">
        <v>22</v>
      </c>
      <c r="B24" s="24" t="str">
        <f>'R091'!$B$1</f>
        <v>R091</v>
      </c>
      <c r="C24" s="5">
        <f>'R091'!$B$10</f>
        <v>1.72</v>
      </c>
      <c r="D24" s="25">
        <f>'R091'!$B$7</f>
        <v>45830.999999999993</v>
      </c>
      <c r="E24" s="7" t="str">
        <f>IF(C24=G24,'R091'!$B$9,"")</f>
        <v/>
      </c>
      <c r="F24" s="26" t="str">
        <f>'R091'!$B$14</f>
        <v/>
      </c>
      <c r="G24" s="5">
        <f>'R091'!$B$11</f>
        <v>0</v>
      </c>
      <c r="H24" s="5">
        <f>'R091'!$B$12</f>
        <v>0</v>
      </c>
      <c r="I24" s="6" t="str">
        <f>'R091'!$B$13</f>
        <v/>
      </c>
    </row>
    <row r="25" spans="1:9" x14ac:dyDescent="0.25">
      <c r="A25" s="4">
        <v>23</v>
      </c>
      <c r="B25" s="24" t="str">
        <f>'R092'!$B$1</f>
        <v>R092</v>
      </c>
      <c r="C25" s="5">
        <f>'R092'!$B$10</f>
        <v>2.34</v>
      </c>
      <c r="D25" s="25">
        <f>'R092'!$B$7</f>
        <v>45831</v>
      </c>
      <c r="E25" s="7" t="str">
        <f>IF(C25=G25,'R092'!$B$9,"")</f>
        <v/>
      </c>
      <c r="F25" s="26" t="str">
        <f>'R092'!$B$14</f>
        <v/>
      </c>
      <c r="G25" s="5">
        <f>'R092'!$B$11</f>
        <v>0</v>
      </c>
      <c r="H25" s="5">
        <f>'R092'!$B$12</f>
        <v>0</v>
      </c>
      <c r="I25" s="6" t="str">
        <f>'R092'!$B$13</f>
        <v/>
      </c>
    </row>
    <row r="26" spans="1:9" x14ac:dyDescent="0.25">
      <c r="A26" s="4">
        <v>24</v>
      </c>
      <c r="B26" s="24" t="str">
        <f>'R093'!$B$1</f>
        <v>R093</v>
      </c>
      <c r="C26" s="5">
        <f>'R093'!$B$10</f>
        <v>1.6</v>
      </c>
      <c r="D26" s="25">
        <f>'R093'!$B$7</f>
        <v>45831</v>
      </c>
      <c r="E26" s="7" t="str">
        <f>IF(C26=G26,'R093'!$B$9,"")</f>
        <v/>
      </c>
      <c r="F26" s="26" t="str">
        <f>'R093'!$B$14</f>
        <v/>
      </c>
      <c r="G26" s="5">
        <f>'R093'!$B$11</f>
        <v>0</v>
      </c>
      <c r="H26" s="5">
        <f>'R093'!$B$12</f>
        <v>0</v>
      </c>
      <c r="I26" s="6" t="str">
        <f>'R093'!$B$13</f>
        <v/>
      </c>
    </row>
    <row r="27" spans="1:9" x14ac:dyDescent="0.25">
      <c r="A27" s="4">
        <v>25</v>
      </c>
      <c r="B27" s="24" t="str">
        <f>'R094'!$B$1</f>
        <v>R094</v>
      </c>
      <c r="C27" s="5">
        <f>'R094'!$B$10</f>
        <v>3.92</v>
      </c>
      <c r="D27" s="25">
        <f>'R094'!$B$7</f>
        <v>45831</v>
      </c>
      <c r="E27" s="7" t="str">
        <f>IF(C27=G27,'R094'!$B$9,"")</f>
        <v/>
      </c>
      <c r="F27" s="26" t="str">
        <f>'R094'!$B$14</f>
        <v/>
      </c>
      <c r="G27" s="5">
        <f>'R094'!$B$11</f>
        <v>0</v>
      </c>
      <c r="H27" s="5">
        <f>'R094'!$B$12</f>
        <v>0</v>
      </c>
      <c r="I27" s="6" t="str">
        <f>'R094'!$B$13</f>
        <v/>
      </c>
    </row>
    <row r="28" spans="1:9" x14ac:dyDescent="0.25">
      <c r="A28" s="4">
        <v>26</v>
      </c>
      <c r="B28" s="24" t="str">
        <f>'R096'!$B$1</f>
        <v>R096</v>
      </c>
      <c r="C28" s="5">
        <f>'R096'!$B$10</f>
        <v>2.65</v>
      </c>
      <c r="D28" s="25">
        <f>'R096'!$B$7</f>
        <v>45831</v>
      </c>
      <c r="E28" s="7" t="str">
        <f>IF(C28=G28,'R096'!$B$9,"")</f>
        <v/>
      </c>
      <c r="F28" s="26" t="str">
        <f>'R096'!$B$14</f>
        <v/>
      </c>
      <c r="G28" s="5">
        <f>'R096'!$B$11</f>
        <v>0</v>
      </c>
      <c r="H28" s="5">
        <f>'R096'!$B$12</f>
        <v>0</v>
      </c>
      <c r="I28" s="6" t="str">
        <f>'R096'!$B$13</f>
        <v/>
      </c>
    </row>
  </sheetData>
  <mergeCells count="7">
    <mergeCell ref="Q1:T1"/>
    <mergeCell ref="O1:P1"/>
    <mergeCell ref="A1:A2"/>
    <mergeCell ref="B1:B2"/>
    <mergeCell ref="E1:I1"/>
    <mergeCell ref="C1:D1"/>
    <mergeCell ref="K1:N1"/>
  </mergeCells>
  <conditionalFormatting sqref="A3:I28">
    <cfRule type="expression" dxfId="26" priority="1">
      <formula>$C3=$G3</formula>
    </cfRule>
  </conditionalFormatting>
  <hyperlinks>
    <hyperlink ref="B8" location="'J052'!A1" display="'J052'!A1" xr:uid="{4E50690B-8BC2-41F6-B69C-6DB94C299978}"/>
    <hyperlink ref="B9" location="'J053'!A1" display="'J053'!A1" xr:uid="{D4316BD0-69B0-41FF-A921-96D2106DC58C}"/>
    <hyperlink ref="B10" location="'J057'!A1" display="'J057'!A1" xr:uid="{F871DFAB-C3F6-455B-934D-63C9DDF3D585}"/>
    <hyperlink ref="B11" location="'J059'!A1" display="'J059'!A1" xr:uid="{0FC9FBAB-BD54-48C5-8F9E-507268209ACC}"/>
    <hyperlink ref="B12" location="'J061'!A1" display="'J061'!A1" xr:uid="{F09B9FA9-DFEA-4E4E-9EC8-D129945D111E}"/>
    <hyperlink ref="B13" location="'J062'!A1" display="'J062'!A1" xr:uid="{11EEC1B1-3AFC-4E74-9EE6-9FC56D7E8D87}"/>
    <hyperlink ref="B14" location="'J063'!A1" display="'J063'!A1" xr:uid="{69EF8973-0DB1-4795-A249-C76372A1CF6F}"/>
    <hyperlink ref="B15" location="'J067'!A1" display="'J067'!A1" xr:uid="{65AA0008-6B64-4E1A-83E6-3B7FD47852A4}"/>
    <hyperlink ref="B16" location="'J071'!A1" display="'J071'!A1" xr:uid="{7BDE7BBA-2F42-46F8-87BB-00C686706D20}"/>
    <hyperlink ref="B17" location="'R077'!A1" display="'R077'!A1" xr:uid="{4C600567-5A94-40A7-A1B5-F0DBD4AB4182}"/>
    <hyperlink ref="B18" location="'R078'!A1" display="'R078'!A1" xr:uid="{1C4D4754-B3DB-4EAF-B659-FDDC096EEC4C}"/>
    <hyperlink ref="B19" location="'R079'!A1" display="'R079'!A1" xr:uid="{DA98738D-E940-413C-8038-A4163D4C98EF}"/>
    <hyperlink ref="B20" location="'R080'!A1" display="'R080'!A1" xr:uid="{EF6C740C-2521-4394-8AC7-9AF3C9D755F5}"/>
    <hyperlink ref="B21" location="'R081'!A1" display="'R081'!A1" xr:uid="{EA6AAC44-F2A2-4C35-B528-A2A967CCC526}"/>
    <hyperlink ref="B22" location="'R089'!A1" display="'R089'!A1" xr:uid="{EBA3F3A4-4F7A-479D-A156-13E39BA97C80}"/>
    <hyperlink ref="B23" location="'R090'!A1" display="'R090'!A1" xr:uid="{88B486D9-64C7-46AE-BC53-C60F7F7DFB51}"/>
    <hyperlink ref="B24" location="'R091'!A1" display="'R091'!A1" xr:uid="{0079644B-D5E1-469D-B089-92FCDB217C83}"/>
    <hyperlink ref="B25" location="'R092'!A1" display="'R092'!A1" xr:uid="{5B497CC2-B847-4D66-8C94-C55B514064CA}"/>
    <hyperlink ref="B26" location="'R093'!A1" display="'R093'!A1" xr:uid="{D954715E-A861-4499-B416-DE8E30A2D735}"/>
    <hyperlink ref="B27" location="'R094'!A1" display="'R094'!A1" xr:uid="{1D9320AA-7E26-4908-8934-8376B077827E}"/>
    <hyperlink ref="B28" location="'R096'!A1" display="'R096'!A1" xr:uid="{638B25DD-A0D8-40AA-AFEC-36912D6AB5BB}"/>
    <hyperlink ref="B3" location="'J036'!A1" display="'J036'!A1" xr:uid="{B9333E0A-FB6F-4914-B26C-6A9DBE101D89}"/>
    <hyperlink ref="B4" location="'J038'!A1" display="'J038'!A1" xr:uid="{32AE5189-1B20-41C5-A200-049E5285EA0F}"/>
    <hyperlink ref="B5" location="'J040'!A1" display="'J040'!A1" xr:uid="{F2CA2C14-CE7B-494B-AA50-EC27E6ECCE05}"/>
    <hyperlink ref="B6" location="'J044'!A1" display="'J044'!A1" xr:uid="{E5F5601D-7668-4F7D-AD38-CCC9C19368D6}"/>
    <hyperlink ref="B7" location="'J046'!A1" display="'J046'!A1" xr:uid="{CC5F1406-3DE2-4EEE-909D-482AAD9AFE8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15.7109375" style="30" customWidth="1"/>
    <col min="2" max="4" width="10.7109375" customWidth="1"/>
    <col min="6" max="8" width="10.7109375" customWidth="1"/>
  </cols>
  <sheetData>
    <row r="1" spans="1:11" x14ac:dyDescent="0.25">
      <c r="A1" s="25" t="s">
        <v>32</v>
      </c>
      <c r="B1" s="4" t="s">
        <v>67</v>
      </c>
      <c r="C1" s="4" t="s">
        <v>68</v>
      </c>
      <c r="D1" s="4" t="s">
        <v>70</v>
      </c>
      <c r="F1" s="4" t="s">
        <v>67</v>
      </c>
      <c r="G1" s="4" t="s">
        <v>68</v>
      </c>
      <c r="H1" s="4" t="s">
        <v>70</v>
      </c>
      <c r="I1" s="4" t="s">
        <v>78</v>
      </c>
      <c r="K1" s="4" t="s">
        <v>78</v>
      </c>
    </row>
    <row r="2" spans="1:11" x14ac:dyDescent="0.25">
      <c r="A2" s="25">
        <v>45740</v>
      </c>
      <c r="B2" s="5">
        <v>10</v>
      </c>
      <c r="C2" s="5">
        <v>0</v>
      </c>
      <c r="D2" s="5">
        <v>30</v>
      </c>
      <c r="F2" s="5">
        <f>SUM(B2:B200)</f>
        <v>30</v>
      </c>
      <c r="G2" s="5">
        <f>SUM(C2:C200)</f>
        <v>0</v>
      </c>
      <c r="H2" s="5">
        <f>SUM(D2:D200)</f>
        <v>55</v>
      </c>
      <c r="I2" s="6">
        <f ca="1">XIRR(K2:K200,A2:A200)</f>
        <v>1.1574660420417782</v>
      </c>
      <c r="K2" s="5">
        <f>B2*-1</f>
        <v>-10</v>
      </c>
    </row>
    <row r="3" spans="1:11" x14ac:dyDescent="0.25">
      <c r="A3" s="25">
        <v>45740</v>
      </c>
      <c r="B3" s="5">
        <v>0</v>
      </c>
      <c r="C3" s="5">
        <v>0</v>
      </c>
      <c r="D3" s="5">
        <v>25</v>
      </c>
      <c r="F3" s="18"/>
      <c r="G3" s="18"/>
      <c r="H3" s="18"/>
      <c r="K3" s="5">
        <f t="shared" ref="K3:K4" si="0">B3*-1</f>
        <v>0</v>
      </c>
    </row>
    <row r="4" spans="1:11" x14ac:dyDescent="0.25">
      <c r="A4" s="25">
        <v>45831</v>
      </c>
      <c r="B4" s="5">
        <v>20</v>
      </c>
      <c r="C4" s="5">
        <v>0</v>
      </c>
      <c r="D4" s="5">
        <v>0</v>
      </c>
      <c r="F4" s="18"/>
      <c r="G4" s="18"/>
      <c r="H4" s="18"/>
      <c r="K4" s="5">
        <f t="shared" si="0"/>
        <v>-20</v>
      </c>
    </row>
    <row r="5" spans="1:11" x14ac:dyDescent="0.25">
      <c r="A5" s="25"/>
      <c r="B5" s="5"/>
      <c r="C5" s="5"/>
      <c r="D5" s="5"/>
      <c r="F5" s="18"/>
      <c r="G5" s="18"/>
      <c r="H5" s="18"/>
      <c r="K5" s="4"/>
    </row>
    <row r="6" spans="1:11" x14ac:dyDescent="0.25">
      <c r="A6" s="25"/>
      <c r="B6" s="5"/>
      <c r="C6" s="5"/>
      <c r="D6" s="5"/>
      <c r="K6" s="4"/>
    </row>
    <row r="7" spans="1:11" x14ac:dyDescent="0.25">
      <c r="A7" s="25"/>
      <c r="B7" s="5"/>
      <c r="C7" s="5"/>
      <c r="D7" s="5"/>
      <c r="K7" s="4"/>
    </row>
    <row r="8" spans="1:11" x14ac:dyDescent="0.25">
      <c r="A8" s="25"/>
      <c r="B8" s="5"/>
      <c r="C8" s="5"/>
      <c r="D8" s="5"/>
      <c r="K8" s="4"/>
    </row>
    <row r="9" spans="1:11" x14ac:dyDescent="0.25">
      <c r="A9" s="25"/>
      <c r="B9" s="5"/>
      <c r="C9" s="5"/>
      <c r="D9" s="5"/>
      <c r="K9" s="4"/>
    </row>
    <row r="10" spans="1:11" x14ac:dyDescent="0.25">
      <c r="A10" s="25"/>
      <c r="B10" s="5"/>
      <c r="C10" s="5"/>
      <c r="D10" s="5"/>
      <c r="K10" s="4"/>
    </row>
    <row r="11" spans="1:11" x14ac:dyDescent="0.25">
      <c r="A11" s="25"/>
      <c r="B11" s="5"/>
      <c r="C11" s="5"/>
      <c r="D11" s="5"/>
      <c r="K11" s="4"/>
    </row>
    <row r="12" spans="1:11" x14ac:dyDescent="0.25">
      <c r="A12" s="25"/>
      <c r="B12" s="5"/>
      <c r="C12" s="5"/>
      <c r="D12" s="5"/>
      <c r="K12" s="4"/>
    </row>
    <row r="13" spans="1:11" x14ac:dyDescent="0.25">
      <c r="A13" s="25"/>
      <c r="B13" s="5"/>
      <c r="C13" s="5"/>
      <c r="D13" s="5"/>
      <c r="K13" s="4"/>
    </row>
    <row r="14" spans="1:11" x14ac:dyDescent="0.25">
      <c r="A14" s="25"/>
      <c r="B14" s="5"/>
      <c r="C14" s="5"/>
      <c r="D14" s="5"/>
      <c r="K14" s="4"/>
    </row>
    <row r="15" spans="1:11" x14ac:dyDescent="0.25">
      <c r="A15" s="25"/>
      <c r="B15" s="5"/>
      <c r="C15" s="5"/>
      <c r="D15" s="5"/>
      <c r="K15" s="4"/>
    </row>
    <row r="16" spans="1:11" x14ac:dyDescent="0.25">
      <c r="A16" s="25"/>
      <c r="B16" s="5"/>
      <c r="C16" s="5"/>
      <c r="D16" s="5"/>
      <c r="K16" s="4"/>
    </row>
    <row r="17" spans="1:11" x14ac:dyDescent="0.25">
      <c r="A17" s="25"/>
      <c r="B17" s="5"/>
      <c r="C17" s="5"/>
      <c r="D17" s="5"/>
      <c r="K17" s="4"/>
    </row>
    <row r="18" spans="1:11" x14ac:dyDescent="0.25">
      <c r="A18" s="25"/>
      <c r="B18" s="5"/>
      <c r="C18" s="5"/>
      <c r="D18" s="5"/>
      <c r="K18" s="4"/>
    </row>
    <row r="19" spans="1:11" x14ac:dyDescent="0.25">
      <c r="A19" s="25"/>
      <c r="B19" s="5"/>
      <c r="C19" s="5"/>
      <c r="D19" s="5"/>
      <c r="K19" s="4"/>
    </row>
    <row r="20" spans="1:11" x14ac:dyDescent="0.25">
      <c r="A20" s="25"/>
      <c r="B20" s="5"/>
      <c r="C20" s="5"/>
      <c r="D20" s="5"/>
      <c r="K20" s="4"/>
    </row>
    <row r="21" spans="1:11" x14ac:dyDescent="0.25">
      <c r="A21" s="25"/>
      <c r="B21" s="5"/>
      <c r="C21" s="5"/>
      <c r="D21" s="5"/>
      <c r="K21" s="4"/>
    </row>
    <row r="22" spans="1:11" x14ac:dyDescent="0.25">
      <c r="A22" s="25"/>
      <c r="B22" s="5"/>
      <c r="C22" s="5"/>
      <c r="D22" s="5"/>
      <c r="K22" s="4"/>
    </row>
    <row r="23" spans="1:11" x14ac:dyDescent="0.25">
      <c r="A23" s="25"/>
      <c r="B23" s="5"/>
      <c r="C23" s="5"/>
      <c r="D23" s="5"/>
      <c r="K23" s="4"/>
    </row>
    <row r="24" spans="1:11" x14ac:dyDescent="0.25">
      <c r="A24" s="25"/>
      <c r="B24" s="5"/>
      <c r="C24" s="5"/>
      <c r="D24" s="5"/>
      <c r="K24" s="4"/>
    </row>
    <row r="25" spans="1:11" x14ac:dyDescent="0.25">
      <c r="A25" s="25"/>
      <c r="B25" s="5"/>
      <c r="C25" s="5"/>
      <c r="D25" s="5"/>
      <c r="K25" s="4"/>
    </row>
    <row r="26" spans="1:11" x14ac:dyDescent="0.25">
      <c r="A26" s="25"/>
      <c r="B26" s="5"/>
      <c r="C26" s="5"/>
      <c r="D26" s="5"/>
      <c r="K26" s="4"/>
    </row>
    <row r="27" spans="1:11" x14ac:dyDescent="0.25">
      <c r="A27" s="25"/>
      <c r="B27" s="28"/>
      <c r="C27" s="29"/>
      <c r="D27" s="29"/>
      <c r="K27" s="4"/>
    </row>
    <row r="28" spans="1:11" x14ac:dyDescent="0.25">
      <c r="A28" s="25"/>
      <c r="B28" s="29"/>
      <c r="C28" s="29"/>
      <c r="D28" s="29"/>
      <c r="K28" s="4"/>
    </row>
    <row r="29" spans="1:11" x14ac:dyDescent="0.25">
      <c r="A29" s="25"/>
      <c r="B29" s="29"/>
      <c r="C29" s="29"/>
      <c r="D29" s="29"/>
      <c r="K29" s="4"/>
    </row>
    <row r="30" spans="1:11" x14ac:dyDescent="0.25">
      <c r="A30" s="25"/>
      <c r="B30" s="29"/>
      <c r="C30" s="29"/>
      <c r="D30" s="29"/>
      <c r="K30" s="4"/>
    </row>
    <row r="31" spans="1:11" x14ac:dyDescent="0.25">
      <c r="A31" s="25"/>
      <c r="B31" s="29"/>
      <c r="C31" s="29"/>
      <c r="D31" s="29"/>
      <c r="K31" s="4"/>
    </row>
    <row r="32" spans="1:11" x14ac:dyDescent="0.25">
      <c r="A32" s="25"/>
      <c r="B32" s="29"/>
      <c r="C32" s="29"/>
      <c r="D32" s="29"/>
      <c r="K32" s="4"/>
    </row>
    <row r="33" spans="1:11" x14ac:dyDescent="0.25">
      <c r="A33" s="25"/>
      <c r="B33" s="29"/>
      <c r="C33" s="29"/>
      <c r="D33" s="29"/>
      <c r="K33" s="4"/>
    </row>
    <row r="34" spans="1:11" x14ac:dyDescent="0.25">
      <c r="A34" s="25"/>
      <c r="B34" s="29"/>
      <c r="C34" s="29"/>
      <c r="D34" s="29"/>
      <c r="K34" s="4"/>
    </row>
    <row r="35" spans="1:11" x14ac:dyDescent="0.25">
      <c r="A35" s="25"/>
      <c r="B35" s="29"/>
      <c r="C35" s="29"/>
      <c r="D35" s="29"/>
      <c r="K35" s="4"/>
    </row>
    <row r="36" spans="1:11" x14ac:dyDescent="0.25">
      <c r="A36" s="25"/>
      <c r="B36" s="29"/>
      <c r="C36" s="29"/>
      <c r="D36" s="29"/>
      <c r="K36" s="4"/>
    </row>
    <row r="37" spans="1:11" x14ac:dyDescent="0.25">
      <c r="A37" s="25"/>
      <c r="B37" s="29"/>
      <c r="C37" s="29"/>
      <c r="D37" s="29"/>
      <c r="K37" s="4"/>
    </row>
    <row r="38" spans="1:11" x14ac:dyDescent="0.25">
      <c r="A38" s="25"/>
      <c r="B38" s="29"/>
      <c r="C38" s="29"/>
      <c r="D38" s="29"/>
      <c r="K38" s="4"/>
    </row>
    <row r="39" spans="1:11" x14ac:dyDescent="0.25">
      <c r="A39" s="25"/>
      <c r="B39" s="29"/>
      <c r="C39" s="29"/>
      <c r="D39" s="29"/>
      <c r="K39" s="4"/>
    </row>
    <row r="40" spans="1:11" x14ac:dyDescent="0.25">
      <c r="A40" s="25"/>
      <c r="B40" s="29"/>
      <c r="C40" s="29"/>
      <c r="D40" s="29"/>
      <c r="K40" s="4"/>
    </row>
    <row r="41" spans="1:11" x14ac:dyDescent="0.25">
      <c r="A41" s="25"/>
      <c r="B41" s="29"/>
      <c r="C41" s="29"/>
      <c r="D41" s="29"/>
      <c r="K41" s="4"/>
    </row>
    <row r="42" spans="1:11" x14ac:dyDescent="0.25">
      <c r="A42" s="25"/>
      <c r="B42" s="29"/>
      <c r="C42" s="29"/>
      <c r="D42" s="29"/>
      <c r="K42" s="4"/>
    </row>
    <row r="43" spans="1:11" x14ac:dyDescent="0.25">
      <c r="A43" s="25"/>
      <c r="B43" s="29"/>
      <c r="C43" s="29"/>
      <c r="D43" s="29"/>
      <c r="K43" s="4"/>
    </row>
    <row r="44" spans="1:11" x14ac:dyDescent="0.25">
      <c r="A44" s="25"/>
      <c r="B44" s="29"/>
      <c r="C44" s="29"/>
      <c r="D44" s="29"/>
      <c r="K44" s="4"/>
    </row>
    <row r="45" spans="1:11" x14ac:dyDescent="0.25">
      <c r="A45" s="25"/>
      <c r="B45" s="29"/>
      <c r="C45" s="29"/>
      <c r="D45" s="29"/>
      <c r="K45" s="4"/>
    </row>
    <row r="46" spans="1:11" x14ac:dyDescent="0.25">
      <c r="A46" s="25"/>
      <c r="B46" s="29"/>
      <c r="C46" s="29"/>
      <c r="D46" s="29"/>
      <c r="K46" s="4"/>
    </row>
    <row r="47" spans="1:11" x14ac:dyDescent="0.25">
      <c r="A47" s="25"/>
      <c r="B47" s="29"/>
      <c r="C47" s="29"/>
      <c r="D47" s="29"/>
      <c r="K47" s="4"/>
    </row>
    <row r="48" spans="1:11" x14ac:dyDescent="0.25">
      <c r="A48" s="25"/>
      <c r="B48" s="29"/>
      <c r="C48" s="29"/>
      <c r="D48" s="29"/>
      <c r="K48" s="4"/>
    </row>
    <row r="49" spans="1:11" x14ac:dyDescent="0.25">
      <c r="A49" s="25"/>
      <c r="B49" s="29"/>
      <c r="C49" s="29"/>
      <c r="D49" s="29"/>
      <c r="K49" s="4"/>
    </row>
    <row r="50" spans="1:11" x14ac:dyDescent="0.25">
      <c r="A50" s="25"/>
      <c r="B50" s="29"/>
      <c r="C50" s="29"/>
      <c r="D50" s="29"/>
      <c r="K50" s="4"/>
    </row>
    <row r="51" spans="1:11" x14ac:dyDescent="0.25">
      <c r="A51" s="25"/>
      <c r="B51" s="29"/>
      <c r="C51" s="29"/>
      <c r="D51" s="29"/>
      <c r="K51" s="4"/>
    </row>
    <row r="52" spans="1:11" x14ac:dyDescent="0.25">
      <c r="A52" s="25"/>
      <c r="B52" s="29"/>
      <c r="C52" s="29"/>
      <c r="D52" s="29"/>
      <c r="K52" s="4"/>
    </row>
    <row r="53" spans="1:11" x14ac:dyDescent="0.25">
      <c r="A53" s="25"/>
      <c r="B53" s="29"/>
      <c r="C53" s="29"/>
      <c r="D53" s="29"/>
      <c r="K53" s="4"/>
    </row>
    <row r="54" spans="1:11" x14ac:dyDescent="0.25">
      <c r="A54" s="25"/>
      <c r="B54" s="29"/>
      <c r="C54" s="29"/>
      <c r="D54" s="29"/>
      <c r="K54" s="4"/>
    </row>
    <row r="55" spans="1:11" x14ac:dyDescent="0.25">
      <c r="A55" s="25"/>
      <c r="B55" s="29"/>
      <c r="C55" s="29"/>
      <c r="D55" s="29"/>
      <c r="K55" s="4"/>
    </row>
    <row r="56" spans="1:11" x14ac:dyDescent="0.25">
      <c r="A56" s="25"/>
      <c r="B56" s="29"/>
      <c r="C56" s="29"/>
      <c r="D56" s="29"/>
      <c r="K56" s="4"/>
    </row>
    <row r="57" spans="1:11" x14ac:dyDescent="0.25">
      <c r="A57" s="25"/>
      <c r="B57" s="29"/>
      <c r="C57" s="29"/>
      <c r="D57" s="29"/>
      <c r="K57" s="4"/>
    </row>
    <row r="58" spans="1:11" x14ac:dyDescent="0.25">
      <c r="A58" s="25"/>
      <c r="B58" s="29"/>
      <c r="C58" s="29"/>
      <c r="D58" s="29"/>
      <c r="K58" s="4"/>
    </row>
    <row r="59" spans="1:11" x14ac:dyDescent="0.25">
      <c r="A59" s="25"/>
      <c r="B59" s="29"/>
      <c r="C59" s="29"/>
      <c r="D59" s="29"/>
      <c r="K59" s="4"/>
    </row>
    <row r="60" spans="1:11" x14ac:dyDescent="0.25">
      <c r="A60" s="25"/>
      <c r="B60" s="29"/>
      <c r="C60" s="29"/>
      <c r="D60" s="29"/>
      <c r="K60" s="4"/>
    </row>
    <row r="61" spans="1:11" x14ac:dyDescent="0.25">
      <c r="A61" s="25"/>
      <c r="B61" s="29"/>
      <c r="C61" s="29"/>
      <c r="D61" s="29"/>
      <c r="K61" s="4"/>
    </row>
    <row r="62" spans="1:11" x14ac:dyDescent="0.25">
      <c r="A62" s="25"/>
      <c r="B62" s="29"/>
      <c r="C62" s="29"/>
      <c r="D62" s="29"/>
      <c r="K62" s="4"/>
    </row>
    <row r="63" spans="1:11" x14ac:dyDescent="0.25">
      <c r="A63" s="25"/>
      <c r="B63" s="29"/>
      <c r="C63" s="29"/>
      <c r="D63" s="29"/>
      <c r="K63" s="4"/>
    </row>
    <row r="64" spans="1:11" x14ac:dyDescent="0.25">
      <c r="A64" s="25"/>
      <c r="B64" s="29"/>
      <c r="C64" s="29"/>
      <c r="D64" s="29"/>
      <c r="K64" s="4"/>
    </row>
    <row r="65" spans="1:11" x14ac:dyDescent="0.25">
      <c r="A65" s="25"/>
      <c r="B65" s="29"/>
      <c r="C65" s="29"/>
      <c r="D65" s="29"/>
      <c r="K65" s="4"/>
    </row>
    <row r="66" spans="1:11" x14ac:dyDescent="0.25">
      <c r="A66" s="25"/>
      <c r="B66" s="29"/>
      <c r="C66" s="29"/>
      <c r="D66" s="29"/>
      <c r="K66" s="4"/>
    </row>
    <row r="67" spans="1:11" x14ac:dyDescent="0.25">
      <c r="A67" s="25"/>
      <c r="B67" s="29"/>
      <c r="C67" s="29"/>
      <c r="D67" s="29"/>
      <c r="K67" s="4"/>
    </row>
    <row r="68" spans="1:11" x14ac:dyDescent="0.25">
      <c r="A68" s="25"/>
      <c r="B68" s="29"/>
      <c r="C68" s="29"/>
      <c r="D68" s="29"/>
      <c r="K68" s="4"/>
    </row>
    <row r="69" spans="1:11" x14ac:dyDescent="0.25">
      <c r="A69" s="25"/>
      <c r="B69" s="29"/>
      <c r="C69" s="29"/>
      <c r="D69" s="29"/>
      <c r="K69" s="4"/>
    </row>
    <row r="70" spans="1:11" x14ac:dyDescent="0.25">
      <c r="A70" s="25"/>
      <c r="B70" s="29"/>
      <c r="C70" s="29"/>
      <c r="D70" s="29"/>
      <c r="K70" s="4"/>
    </row>
    <row r="71" spans="1:11" x14ac:dyDescent="0.25">
      <c r="A71" s="25"/>
      <c r="B71" s="29"/>
      <c r="C71" s="29"/>
      <c r="D71" s="29"/>
      <c r="K71" s="4"/>
    </row>
    <row r="72" spans="1:11" x14ac:dyDescent="0.25">
      <c r="A72" s="25"/>
      <c r="B72" s="29"/>
      <c r="C72" s="29"/>
      <c r="D72" s="29"/>
      <c r="K72" s="4"/>
    </row>
    <row r="73" spans="1:11" x14ac:dyDescent="0.25">
      <c r="A73" s="25"/>
      <c r="B73" s="29"/>
      <c r="C73" s="29"/>
      <c r="D73" s="29"/>
      <c r="K73" s="4"/>
    </row>
    <row r="74" spans="1:11" x14ac:dyDescent="0.25">
      <c r="A74" s="25"/>
      <c r="B74" s="29"/>
      <c r="C74" s="29"/>
      <c r="D74" s="29"/>
      <c r="K74" s="4"/>
    </row>
    <row r="75" spans="1:11" x14ac:dyDescent="0.25">
      <c r="A75" s="25"/>
      <c r="B75" s="29"/>
      <c r="C75" s="29"/>
      <c r="D75" s="29"/>
      <c r="K75" s="4"/>
    </row>
    <row r="76" spans="1:11" x14ac:dyDescent="0.25">
      <c r="A76" s="25"/>
      <c r="B76" s="29"/>
      <c r="C76" s="29"/>
      <c r="D76" s="29"/>
      <c r="K76" s="4"/>
    </row>
    <row r="77" spans="1:11" x14ac:dyDescent="0.25">
      <c r="A77" s="25"/>
      <c r="B77" s="29"/>
      <c r="C77" s="29"/>
      <c r="D77" s="29"/>
      <c r="K77" s="4"/>
    </row>
    <row r="78" spans="1:11" x14ac:dyDescent="0.25">
      <c r="A78" s="25"/>
      <c r="B78" s="29"/>
      <c r="C78" s="29"/>
      <c r="D78" s="29"/>
      <c r="K78" s="4"/>
    </row>
    <row r="79" spans="1:11" x14ac:dyDescent="0.25">
      <c r="A79" s="25"/>
      <c r="B79" s="29"/>
      <c r="C79" s="29"/>
      <c r="D79" s="29"/>
      <c r="K79" s="4"/>
    </row>
    <row r="80" spans="1:11" x14ac:dyDescent="0.25">
      <c r="A80" s="25"/>
      <c r="B80" s="29"/>
      <c r="C80" s="29"/>
      <c r="D80" s="29"/>
      <c r="K80" s="4"/>
    </row>
    <row r="81" spans="1:11" x14ac:dyDescent="0.25">
      <c r="A81" s="25"/>
      <c r="B81" s="29"/>
      <c r="C81" s="29"/>
      <c r="D81" s="29"/>
      <c r="K81" s="4"/>
    </row>
    <row r="82" spans="1:11" x14ac:dyDescent="0.25">
      <c r="A82" s="25"/>
      <c r="B82" s="29"/>
      <c r="C82" s="29"/>
      <c r="D82" s="29"/>
      <c r="K82" s="4"/>
    </row>
    <row r="83" spans="1:11" x14ac:dyDescent="0.25">
      <c r="A83" s="25"/>
      <c r="B83" s="29"/>
      <c r="C83" s="29"/>
      <c r="D83" s="29"/>
      <c r="K83" s="4"/>
    </row>
    <row r="84" spans="1:11" x14ac:dyDescent="0.25">
      <c r="A84" s="25"/>
      <c r="B84" s="29"/>
      <c r="C84" s="29"/>
      <c r="D84" s="29"/>
      <c r="K84" s="4"/>
    </row>
    <row r="85" spans="1:11" x14ac:dyDescent="0.25">
      <c r="A85" s="25"/>
      <c r="B85" s="29"/>
      <c r="C85" s="29"/>
      <c r="D85" s="29"/>
      <c r="K85" s="4"/>
    </row>
    <row r="86" spans="1:11" x14ac:dyDescent="0.25">
      <c r="A86" s="25"/>
      <c r="B86" s="29"/>
      <c r="C86" s="29"/>
      <c r="D86" s="29"/>
      <c r="K86" s="4"/>
    </row>
    <row r="87" spans="1:11" x14ac:dyDescent="0.25">
      <c r="A87" s="25"/>
      <c r="B87" s="29"/>
      <c r="C87" s="29"/>
      <c r="D87" s="29"/>
      <c r="K87" s="4"/>
    </row>
    <row r="88" spans="1:11" x14ac:dyDescent="0.25">
      <c r="A88" s="25"/>
      <c r="B88" s="29"/>
      <c r="C88" s="29"/>
      <c r="D88" s="29"/>
      <c r="K88" s="4"/>
    </row>
    <row r="89" spans="1:11" x14ac:dyDescent="0.25">
      <c r="A89" s="25"/>
      <c r="B89" s="29"/>
      <c r="C89" s="29"/>
      <c r="D89" s="29"/>
      <c r="K89" s="4"/>
    </row>
    <row r="90" spans="1:11" x14ac:dyDescent="0.25">
      <c r="A90" s="25"/>
      <c r="B90" s="29"/>
      <c r="C90" s="29"/>
      <c r="D90" s="29"/>
      <c r="K90" s="4"/>
    </row>
    <row r="91" spans="1:11" x14ac:dyDescent="0.25">
      <c r="A91" s="25"/>
      <c r="B91" s="29"/>
      <c r="C91" s="29"/>
      <c r="D91" s="29"/>
      <c r="K91" s="4"/>
    </row>
    <row r="92" spans="1:11" x14ac:dyDescent="0.25">
      <c r="A92" s="25"/>
      <c r="B92" s="29"/>
      <c r="C92" s="29"/>
      <c r="D92" s="29"/>
      <c r="K92" s="4"/>
    </row>
    <row r="93" spans="1:11" x14ac:dyDescent="0.25">
      <c r="A93" s="25"/>
      <c r="B93" s="29"/>
      <c r="C93" s="29"/>
      <c r="D93" s="29"/>
      <c r="K93" s="4"/>
    </row>
    <row r="94" spans="1:11" x14ac:dyDescent="0.25">
      <c r="A94" s="25"/>
      <c r="B94" s="29"/>
      <c r="C94" s="29"/>
      <c r="D94" s="29"/>
      <c r="K94" s="4"/>
    </row>
    <row r="95" spans="1:11" x14ac:dyDescent="0.25">
      <c r="A95" s="25"/>
      <c r="B95" s="29"/>
      <c r="C95" s="29"/>
      <c r="D95" s="29"/>
      <c r="K95" s="4"/>
    </row>
    <row r="96" spans="1:11" x14ac:dyDescent="0.25">
      <c r="A96" s="25"/>
      <c r="B96" s="29"/>
      <c r="C96" s="29"/>
      <c r="D96" s="29"/>
      <c r="K96" s="4"/>
    </row>
    <row r="97" spans="1:11" x14ac:dyDescent="0.25">
      <c r="A97" s="25"/>
      <c r="B97" s="29"/>
      <c r="C97" s="29"/>
      <c r="D97" s="29"/>
      <c r="K97" s="4"/>
    </row>
    <row r="98" spans="1:11" x14ac:dyDescent="0.25">
      <c r="A98" s="25"/>
      <c r="B98" s="29"/>
      <c r="C98" s="29"/>
      <c r="D98" s="29"/>
      <c r="K98" s="4"/>
    </row>
    <row r="99" spans="1:11" x14ac:dyDescent="0.25">
      <c r="A99" s="25"/>
      <c r="B99" s="29"/>
      <c r="C99" s="29"/>
      <c r="D99" s="29"/>
      <c r="K99" s="4"/>
    </row>
    <row r="100" spans="1:11" x14ac:dyDescent="0.25">
      <c r="A100" s="25"/>
      <c r="B100" s="29"/>
      <c r="C100" s="29"/>
      <c r="D100" s="29"/>
      <c r="K100" s="4"/>
    </row>
    <row r="101" spans="1:11" x14ac:dyDescent="0.25">
      <c r="A101" s="25"/>
      <c r="B101" s="29"/>
      <c r="C101" s="29"/>
      <c r="D101" s="29"/>
      <c r="K101" s="4"/>
    </row>
    <row r="102" spans="1:11" x14ac:dyDescent="0.25">
      <c r="A102" s="25"/>
      <c r="B102" s="29"/>
      <c r="C102" s="29"/>
      <c r="D102" s="29"/>
      <c r="K102" s="4"/>
    </row>
    <row r="103" spans="1:11" x14ac:dyDescent="0.25">
      <c r="A103" s="25"/>
      <c r="B103" s="29"/>
      <c r="C103" s="29"/>
      <c r="D103" s="29"/>
      <c r="K103" s="4"/>
    </row>
    <row r="104" spans="1:11" x14ac:dyDescent="0.25">
      <c r="A104" s="25"/>
      <c r="B104" s="29"/>
      <c r="C104" s="29"/>
      <c r="D104" s="29"/>
      <c r="K104" s="4"/>
    </row>
    <row r="105" spans="1:11" x14ac:dyDescent="0.25">
      <c r="A105" s="25"/>
      <c r="B105" s="29"/>
      <c r="C105" s="29"/>
      <c r="D105" s="29"/>
      <c r="K105" s="4"/>
    </row>
    <row r="106" spans="1:11" x14ac:dyDescent="0.25">
      <c r="A106" s="25"/>
      <c r="B106" s="29"/>
      <c r="C106" s="29"/>
      <c r="D106" s="29"/>
      <c r="K106" s="4"/>
    </row>
    <row r="107" spans="1:11" x14ac:dyDescent="0.25">
      <c r="A107" s="25"/>
      <c r="B107" s="29"/>
      <c r="C107" s="29"/>
      <c r="D107" s="29"/>
      <c r="K107" s="4"/>
    </row>
    <row r="108" spans="1:11" x14ac:dyDescent="0.25">
      <c r="A108" s="25"/>
      <c r="B108" s="29"/>
      <c r="C108" s="29"/>
      <c r="D108" s="29"/>
      <c r="K108" s="4"/>
    </row>
    <row r="109" spans="1:11" x14ac:dyDescent="0.25">
      <c r="A109" s="25"/>
      <c r="B109" s="29"/>
      <c r="C109" s="29"/>
      <c r="D109" s="29"/>
      <c r="K109" s="4"/>
    </row>
    <row r="110" spans="1:11" x14ac:dyDescent="0.25">
      <c r="A110" s="25"/>
      <c r="B110" s="29"/>
      <c r="C110" s="29"/>
      <c r="D110" s="29"/>
      <c r="K110" s="4"/>
    </row>
    <row r="111" spans="1:11" x14ac:dyDescent="0.25">
      <c r="A111" s="25"/>
      <c r="B111" s="29"/>
      <c r="C111" s="29"/>
      <c r="D111" s="29"/>
      <c r="K111" s="4"/>
    </row>
    <row r="112" spans="1:11" x14ac:dyDescent="0.25">
      <c r="A112" s="25"/>
      <c r="B112" s="29"/>
      <c r="C112" s="29"/>
      <c r="D112" s="29"/>
      <c r="K112" s="4"/>
    </row>
    <row r="113" spans="1:11" x14ac:dyDescent="0.25">
      <c r="A113" s="25"/>
      <c r="B113" s="29"/>
      <c r="C113" s="29"/>
      <c r="D113" s="29"/>
      <c r="K113" s="4"/>
    </row>
    <row r="114" spans="1:11" x14ac:dyDescent="0.25">
      <c r="A114" s="25"/>
      <c r="B114" s="29"/>
      <c r="C114" s="29"/>
      <c r="D114" s="29"/>
      <c r="K114" s="4"/>
    </row>
    <row r="115" spans="1:11" x14ac:dyDescent="0.25">
      <c r="A115" s="25"/>
      <c r="B115" s="29"/>
      <c r="C115" s="29"/>
      <c r="D115" s="29"/>
      <c r="K115" s="4"/>
    </row>
    <row r="116" spans="1:11" x14ac:dyDescent="0.25">
      <c r="A116" s="25"/>
      <c r="B116" s="29"/>
      <c r="C116" s="29"/>
      <c r="D116" s="29"/>
      <c r="K116" s="4"/>
    </row>
    <row r="117" spans="1:11" x14ac:dyDescent="0.25">
      <c r="A117" s="25"/>
      <c r="B117" s="29"/>
      <c r="C117" s="29"/>
      <c r="D117" s="29"/>
      <c r="K117" s="4"/>
    </row>
    <row r="118" spans="1:11" x14ac:dyDescent="0.25">
      <c r="A118" s="25"/>
      <c r="B118" s="29"/>
      <c r="C118" s="29"/>
      <c r="D118" s="29"/>
      <c r="K118" s="4"/>
    </row>
    <row r="119" spans="1:11" x14ac:dyDescent="0.25">
      <c r="A119" s="25"/>
      <c r="B119" s="29"/>
      <c r="C119" s="29"/>
      <c r="D119" s="29"/>
      <c r="K119" s="4"/>
    </row>
    <row r="120" spans="1:11" x14ac:dyDescent="0.25">
      <c r="A120" s="25"/>
      <c r="B120" s="29"/>
      <c r="C120" s="29"/>
      <c r="D120" s="29"/>
      <c r="K120" s="4"/>
    </row>
    <row r="121" spans="1:11" x14ac:dyDescent="0.25">
      <c r="A121" s="25"/>
      <c r="B121" s="29"/>
      <c r="C121" s="29"/>
      <c r="D121" s="29"/>
      <c r="K121" s="4"/>
    </row>
    <row r="122" spans="1:11" x14ac:dyDescent="0.25">
      <c r="A122" s="25"/>
      <c r="B122" s="29"/>
      <c r="C122" s="29"/>
      <c r="D122" s="29"/>
      <c r="K122" s="4"/>
    </row>
    <row r="123" spans="1:11" x14ac:dyDescent="0.25">
      <c r="A123" s="25"/>
      <c r="B123" s="29"/>
      <c r="C123" s="29"/>
      <c r="D123" s="29"/>
      <c r="K123" s="4"/>
    </row>
    <row r="124" spans="1:11" x14ac:dyDescent="0.25">
      <c r="A124" s="25"/>
      <c r="B124" s="29"/>
      <c r="C124" s="29"/>
      <c r="D124" s="29"/>
      <c r="K124" s="4"/>
    </row>
    <row r="125" spans="1:11" x14ac:dyDescent="0.25">
      <c r="A125" s="25"/>
      <c r="B125" s="29"/>
      <c r="C125" s="29"/>
      <c r="D125" s="29"/>
      <c r="K125" s="4"/>
    </row>
    <row r="126" spans="1:11" x14ac:dyDescent="0.25">
      <c r="A126" s="25"/>
      <c r="B126" s="29"/>
      <c r="C126" s="29"/>
      <c r="D126" s="29"/>
      <c r="K126" s="4"/>
    </row>
    <row r="127" spans="1:11" x14ac:dyDescent="0.25">
      <c r="A127" s="25"/>
      <c r="B127" s="29"/>
      <c r="C127" s="29"/>
      <c r="D127" s="29"/>
      <c r="K127" s="4"/>
    </row>
    <row r="128" spans="1:11" x14ac:dyDescent="0.25">
      <c r="A128" s="25"/>
      <c r="B128" s="29"/>
      <c r="C128" s="29"/>
      <c r="D128" s="29"/>
      <c r="K128" s="4"/>
    </row>
    <row r="129" spans="1:11" x14ac:dyDescent="0.25">
      <c r="A129" s="25"/>
      <c r="B129" s="29"/>
      <c r="C129" s="29"/>
      <c r="D129" s="29"/>
      <c r="K129" s="4"/>
    </row>
    <row r="130" spans="1:11" x14ac:dyDescent="0.25">
      <c r="A130" s="25"/>
      <c r="B130" s="29"/>
      <c r="C130" s="29"/>
      <c r="D130" s="29"/>
      <c r="K130" s="4"/>
    </row>
    <row r="131" spans="1:11" x14ac:dyDescent="0.25">
      <c r="A131" s="25"/>
      <c r="B131" s="29"/>
      <c r="C131" s="29"/>
      <c r="D131" s="29"/>
      <c r="K131" s="4"/>
    </row>
    <row r="132" spans="1:11" x14ac:dyDescent="0.25">
      <c r="A132" s="25"/>
      <c r="B132" s="29"/>
      <c r="C132" s="29"/>
      <c r="D132" s="29"/>
      <c r="K132" s="4"/>
    </row>
    <row r="133" spans="1:11" x14ac:dyDescent="0.25">
      <c r="A133" s="25"/>
      <c r="B133" s="29"/>
      <c r="C133" s="29"/>
      <c r="D133" s="29"/>
      <c r="K133" s="4"/>
    </row>
    <row r="134" spans="1:11" x14ac:dyDescent="0.25">
      <c r="A134" s="25"/>
      <c r="B134" s="29"/>
      <c r="C134" s="29"/>
      <c r="D134" s="29"/>
      <c r="K134" s="4"/>
    </row>
    <row r="135" spans="1:11" x14ac:dyDescent="0.25">
      <c r="A135" s="25"/>
      <c r="B135" s="29"/>
      <c r="C135" s="29"/>
      <c r="D135" s="29"/>
      <c r="K135" s="4"/>
    </row>
    <row r="136" spans="1:11" x14ac:dyDescent="0.25">
      <c r="A136" s="25"/>
      <c r="B136" s="29"/>
      <c r="C136" s="29"/>
      <c r="D136" s="29"/>
      <c r="K136" s="4"/>
    </row>
    <row r="137" spans="1:11" x14ac:dyDescent="0.25">
      <c r="A137" s="25"/>
      <c r="B137" s="29"/>
      <c r="C137" s="29"/>
      <c r="D137" s="29"/>
      <c r="K137" s="4"/>
    </row>
    <row r="138" spans="1:11" x14ac:dyDescent="0.25">
      <c r="A138" s="25"/>
      <c r="B138" s="29"/>
      <c r="C138" s="29"/>
      <c r="D138" s="29"/>
      <c r="K138" s="4"/>
    </row>
    <row r="139" spans="1:11" x14ac:dyDescent="0.25">
      <c r="A139" s="25"/>
      <c r="B139" s="29"/>
      <c r="C139" s="29"/>
      <c r="D139" s="29"/>
      <c r="K139" s="4"/>
    </row>
    <row r="140" spans="1:11" x14ac:dyDescent="0.25">
      <c r="A140" s="25"/>
      <c r="B140" s="29"/>
      <c r="C140" s="29"/>
      <c r="D140" s="29"/>
      <c r="K140" s="4"/>
    </row>
    <row r="141" spans="1:11" x14ac:dyDescent="0.25">
      <c r="A141" s="25"/>
      <c r="B141" s="29"/>
      <c r="C141" s="29"/>
      <c r="D141" s="29"/>
      <c r="K141" s="4"/>
    </row>
    <row r="142" spans="1:11" x14ac:dyDescent="0.25">
      <c r="A142" s="25"/>
      <c r="B142" s="29"/>
      <c r="C142" s="29"/>
      <c r="D142" s="29"/>
      <c r="K142" s="4"/>
    </row>
    <row r="143" spans="1:11" x14ac:dyDescent="0.25">
      <c r="A143" s="25"/>
      <c r="B143" s="29"/>
      <c r="C143" s="29"/>
      <c r="D143" s="29"/>
      <c r="K143" s="4"/>
    </row>
    <row r="144" spans="1:11" x14ac:dyDescent="0.25">
      <c r="A144" s="25"/>
      <c r="B144" s="29"/>
      <c r="C144" s="29"/>
      <c r="D144" s="29"/>
      <c r="K144" s="4"/>
    </row>
    <row r="145" spans="1:11" x14ac:dyDescent="0.25">
      <c r="A145" s="25"/>
      <c r="B145" s="29"/>
      <c r="C145" s="29"/>
      <c r="D145" s="29"/>
      <c r="K145" s="4"/>
    </row>
    <row r="146" spans="1:11" x14ac:dyDescent="0.25">
      <c r="A146" s="25"/>
      <c r="B146" s="29"/>
      <c r="C146" s="29"/>
      <c r="D146" s="29"/>
      <c r="K146" s="4"/>
    </row>
    <row r="147" spans="1:11" x14ac:dyDescent="0.25">
      <c r="A147" s="25"/>
      <c r="B147" s="29"/>
      <c r="C147" s="29"/>
      <c r="D147" s="29"/>
      <c r="K147" s="4"/>
    </row>
    <row r="148" spans="1:11" x14ac:dyDescent="0.25">
      <c r="A148" s="25"/>
      <c r="B148" s="29"/>
      <c r="C148" s="29"/>
      <c r="D148" s="29"/>
      <c r="K148" s="4"/>
    </row>
    <row r="149" spans="1:11" x14ac:dyDescent="0.25">
      <c r="A149" s="25"/>
      <c r="B149" s="29"/>
      <c r="C149" s="29"/>
      <c r="D149" s="29"/>
      <c r="K149" s="4"/>
    </row>
    <row r="150" spans="1:11" x14ac:dyDescent="0.25">
      <c r="A150" s="25"/>
      <c r="B150" s="29"/>
      <c r="C150" s="29"/>
      <c r="D150" s="29"/>
      <c r="K150" s="4"/>
    </row>
    <row r="151" spans="1:11" x14ac:dyDescent="0.25">
      <c r="A151" s="25"/>
      <c r="B151" s="29"/>
      <c r="C151" s="29"/>
      <c r="D151" s="29"/>
      <c r="K151" s="4"/>
    </row>
    <row r="152" spans="1:11" x14ac:dyDescent="0.25">
      <c r="A152" s="25"/>
      <c r="B152" s="29"/>
      <c r="C152" s="29"/>
      <c r="D152" s="29"/>
      <c r="K152" s="4"/>
    </row>
    <row r="153" spans="1:11" x14ac:dyDescent="0.25">
      <c r="A153" s="25"/>
      <c r="B153" s="29"/>
      <c r="C153" s="29"/>
      <c r="D153" s="29"/>
      <c r="K153" s="4"/>
    </row>
    <row r="154" spans="1:11" x14ac:dyDescent="0.25">
      <c r="A154" s="25"/>
      <c r="B154" s="29"/>
      <c r="C154" s="29"/>
      <c r="D154" s="29"/>
      <c r="K154" s="4"/>
    </row>
    <row r="155" spans="1:11" x14ac:dyDescent="0.25">
      <c r="A155" s="25"/>
      <c r="B155" s="29"/>
      <c r="C155" s="29"/>
      <c r="D155" s="29"/>
      <c r="K155" s="4"/>
    </row>
    <row r="156" spans="1:11" x14ac:dyDescent="0.25">
      <c r="A156" s="25"/>
      <c r="B156" s="29"/>
      <c r="C156" s="29"/>
      <c r="D156" s="29"/>
      <c r="K156" s="4"/>
    </row>
    <row r="157" spans="1:11" x14ac:dyDescent="0.25">
      <c r="A157" s="25"/>
      <c r="B157" s="29"/>
      <c r="C157" s="29"/>
      <c r="D157" s="29"/>
      <c r="K157" s="4"/>
    </row>
    <row r="158" spans="1:11" x14ac:dyDescent="0.25">
      <c r="A158" s="25"/>
      <c r="B158" s="29"/>
      <c r="C158" s="29"/>
      <c r="D158" s="29"/>
      <c r="K158" s="4"/>
    </row>
    <row r="159" spans="1:11" x14ac:dyDescent="0.25">
      <c r="A159" s="25"/>
      <c r="B159" s="29"/>
      <c r="C159" s="29"/>
      <c r="D159" s="29"/>
      <c r="K159" s="4"/>
    </row>
    <row r="160" spans="1:11" x14ac:dyDescent="0.25">
      <c r="A160" s="25"/>
      <c r="B160" s="29"/>
      <c r="C160" s="29"/>
      <c r="D160" s="29"/>
      <c r="K160" s="4"/>
    </row>
    <row r="161" spans="1:11" x14ac:dyDescent="0.25">
      <c r="A161" s="25"/>
      <c r="B161" s="29"/>
      <c r="C161" s="29"/>
      <c r="D161" s="29"/>
      <c r="K161" s="4"/>
    </row>
    <row r="162" spans="1:11" x14ac:dyDescent="0.25">
      <c r="A162" s="25"/>
      <c r="B162" s="29"/>
      <c r="C162" s="29"/>
      <c r="D162" s="29"/>
      <c r="K162" s="4"/>
    </row>
    <row r="163" spans="1:11" x14ac:dyDescent="0.25">
      <c r="A163" s="25"/>
      <c r="B163" s="29"/>
      <c r="C163" s="29"/>
      <c r="D163" s="29"/>
      <c r="K163" s="4"/>
    </row>
    <row r="164" spans="1:11" x14ac:dyDescent="0.25">
      <c r="A164" s="25"/>
      <c r="B164" s="29"/>
      <c r="C164" s="29"/>
      <c r="D164" s="29"/>
      <c r="K164" s="4"/>
    </row>
    <row r="165" spans="1:11" x14ac:dyDescent="0.25">
      <c r="A165" s="25"/>
      <c r="B165" s="29"/>
      <c r="C165" s="29"/>
      <c r="D165" s="29"/>
      <c r="K165" s="4"/>
    </row>
    <row r="166" spans="1:11" x14ac:dyDescent="0.25">
      <c r="A166" s="25"/>
      <c r="B166" s="29"/>
      <c r="C166" s="29"/>
      <c r="D166" s="29"/>
      <c r="K166" s="4"/>
    </row>
    <row r="167" spans="1:11" x14ac:dyDescent="0.25">
      <c r="A167" s="25"/>
      <c r="B167" s="29"/>
      <c r="C167" s="29"/>
      <c r="D167" s="29"/>
      <c r="K167" s="4"/>
    </row>
    <row r="168" spans="1:11" x14ac:dyDescent="0.25">
      <c r="A168" s="25"/>
      <c r="B168" s="29"/>
      <c r="C168" s="29"/>
      <c r="D168" s="29"/>
      <c r="K168" s="4"/>
    </row>
    <row r="169" spans="1:11" x14ac:dyDescent="0.25">
      <c r="A169" s="25"/>
      <c r="B169" s="29"/>
      <c r="C169" s="29"/>
      <c r="D169" s="29"/>
      <c r="K169" s="4"/>
    </row>
    <row r="170" spans="1:11" x14ac:dyDescent="0.25">
      <c r="A170" s="25"/>
      <c r="B170" s="29"/>
      <c r="C170" s="29"/>
      <c r="D170" s="29"/>
      <c r="K170" s="4"/>
    </row>
    <row r="171" spans="1:11" x14ac:dyDescent="0.25">
      <c r="A171" s="25"/>
      <c r="B171" s="29"/>
      <c r="C171" s="29"/>
      <c r="D171" s="29"/>
      <c r="K171" s="4"/>
    </row>
    <row r="172" spans="1:11" x14ac:dyDescent="0.25">
      <c r="A172" s="25"/>
      <c r="B172" s="29"/>
      <c r="C172" s="29"/>
      <c r="D172" s="29"/>
      <c r="K172" s="4"/>
    </row>
    <row r="173" spans="1:11" x14ac:dyDescent="0.25">
      <c r="A173" s="25"/>
      <c r="B173" s="29"/>
      <c r="C173" s="29"/>
      <c r="D173" s="29"/>
      <c r="K173" s="4"/>
    </row>
    <row r="174" spans="1:11" x14ac:dyDescent="0.25">
      <c r="A174" s="25"/>
      <c r="B174" s="29"/>
      <c r="C174" s="29"/>
      <c r="D174" s="29"/>
      <c r="K174" s="4"/>
    </row>
    <row r="175" spans="1:11" x14ac:dyDescent="0.25">
      <c r="A175" s="25"/>
      <c r="B175" s="29"/>
      <c r="C175" s="29"/>
      <c r="D175" s="29"/>
      <c r="K175" s="4"/>
    </row>
    <row r="176" spans="1:11" x14ac:dyDescent="0.25">
      <c r="A176" s="25"/>
      <c r="B176" s="29"/>
      <c r="C176" s="29"/>
      <c r="D176" s="29"/>
      <c r="K176" s="4"/>
    </row>
    <row r="177" spans="1:11" x14ac:dyDescent="0.25">
      <c r="A177" s="25"/>
      <c r="B177" s="29"/>
      <c r="C177" s="29"/>
      <c r="D177" s="29"/>
      <c r="K177" s="4"/>
    </row>
    <row r="178" spans="1:11" x14ac:dyDescent="0.25">
      <c r="A178" s="25"/>
      <c r="B178" s="29"/>
      <c r="C178" s="29"/>
      <c r="D178" s="29"/>
      <c r="K178" s="4"/>
    </row>
    <row r="179" spans="1:11" x14ac:dyDescent="0.25">
      <c r="A179" s="25"/>
      <c r="B179" s="29"/>
      <c r="C179" s="29"/>
      <c r="D179" s="29"/>
      <c r="K179" s="4"/>
    </row>
    <row r="180" spans="1:11" x14ac:dyDescent="0.25">
      <c r="A180" s="25"/>
      <c r="B180" s="29"/>
      <c r="C180" s="29"/>
      <c r="D180" s="29"/>
      <c r="K180" s="4"/>
    </row>
    <row r="181" spans="1:11" x14ac:dyDescent="0.25">
      <c r="A181" s="25"/>
      <c r="B181" s="29"/>
      <c r="C181" s="29"/>
      <c r="D181" s="29"/>
      <c r="K181" s="4"/>
    </row>
    <row r="182" spans="1:11" x14ac:dyDescent="0.25">
      <c r="A182" s="25"/>
      <c r="B182" s="29"/>
      <c r="C182" s="29"/>
      <c r="D182" s="29"/>
      <c r="K182" s="4"/>
    </row>
    <row r="183" spans="1:11" x14ac:dyDescent="0.25">
      <c r="A183" s="25"/>
      <c r="B183" s="29"/>
      <c r="C183" s="29"/>
      <c r="D183" s="29"/>
      <c r="K183" s="4"/>
    </row>
    <row r="184" spans="1:11" x14ac:dyDescent="0.25">
      <c r="A184" s="25"/>
      <c r="B184" s="29"/>
      <c r="C184" s="29"/>
      <c r="D184" s="29"/>
      <c r="K184" s="4"/>
    </row>
    <row r="185" spans="1:11" x14ac:dyDescent="0.25">
      <c r="A185" s="25"/>
      <c r="B185" s="29"/>
      <c r="C185" s="29"/>
      <c r="D185" s="29"/>
      <c r="K185" s="4"/>
    </row>
    <row r="186" spans="1:11" x14ac:dyDescent="0.25">
      <c r="A186" s="25"/>
      <c r="B186" s="29"/>
      <c r="C186" s="29"/>
      <c r="D186" s="29"/>
      <c r="K186" s="4"/>
    </row>
    <row r="187" spans="1:11" x14ac:dyDescent="0.25">
      <c r="A187" s="25"/>
      <c r="B187" s="29"/>
      <c r="C187" s="29"/>
      <c r="D187" s="29"/>
      <c r="K187" s="4"/>
    </row>
    <row r="188" spans="1:11" x14ac:dyDescent="0.25">
      <c r="A188" s="25"/>
      <c r="B188" s="29"/>
      <c r="C188" s="29"/>
      <c r="D188" s="29"/>
      <c r="K188" s="4"/>
    </row>
    <row r="189" spans="1:11" x14ac:dyDescent="0.25">
      <c r="A189" s="25"/>
      <c r="B189" s="29"/>
      <c r="C189" s="29"/>
      <c r="D189" s="29"/>
      <c r="K189" s="4"/>
    </row>
    <row r="190" spans="1:11" x14ac:dyDescent="0.25">
      <c r="A190" s="25"/>
      <c r="B190" s="29"/>
      <c r="C190" s="29"/>
      <c r="D190" s="29"/>
      <c r="K190" s="4"/>
    </row>
    <row r="191" spans="1:11" x14ac:dyDescent="0.25">
      <c r="A191" s="25"/>
      <c r="B191" s="29"/>
      <c r="C191" s="29"/>
      <c r="D191" s="29"/>
      <c r="K191" s="4"/>
    </row>
    <row r="192" spans="1:11" x14ac:dyDescent="0.25">
      <c r="A192" s="25"/>
      <c r="B192" s="29"/>
      <c r="C192" s="29"/>
      <c r="D192" s="29"/>
      <c r="K192" s="4"/>
    </row>
    <row r="193" spans="1:11" x14ac:dyDescent="0.25">
      <c r="A193" s="25"/>
      <c r="B193" s="29"/>
      <c r="C193" s="29"/>
      <c r="D193" s="29"/>
      <c r="K193" s="4"/>
    </row>
    <row r="194" spans="1:11" x14ac:dyDescent="0.25">
      <c r="A194" s="25"/>
      <c r="B194" s="29"/>
      <c r="C194" s="29"/>
      <c r="D194" s="29"/>
      <c r="K194" s="4"/>
    </row>
    <row r="195" spans="1:11" x14ac:dyDescent="0.25">
      <c r="A195" s="25"/>
      <c r="B195" s="29"/>
      <c r="C195" s="29"/>
      <c r="D195" s="29"/>
      <c r="K195" s="4"/>
    </row>
    <row r="196" spans="1:11" x14ac:dyDescent="0.25">
      <c r="A196" s="25"/>
      <c r="B196" s="29"/>
      <c r="C196" s="29"/>
      <c r="D196" s="29"/>
      <c r="K196" s="4"/>
    </row>
    <row r="197" spans="1:11" x14ac:dyDescent="0.25">
      <c r="A197" s="25"/>
      <c r="B197" s="29"/>
      <c r="C197" s="29"/>
      <c r="D197" s="29"/>
      <c r="K197" s="4"/>
    </row>
    <row r="198" spans="1:11" x14ac:dyDescent="0.25">
      <c r="A198" s="25"/>
      <c r="B198" s="29"/>
      <c r="C198" s="29"/>
      <c r="D198" s="29"/>
      <c r="K198" s="4"/>
    </row>
    <row r="199" spans="1:11" x14ac:dyDescent="0.25">
      <c r="A199" s="25"/>
      <c r="B199" s="29"/>
      <c r="C199" s="29"/>
      <c r="D199" s="29"/>
      <c r="K199" s="4"/>
    </row>
    <row r="200" spans="1:11" x14ac:dyDescent="0.25">
      <c r="A200" s="25">
        <f ca="1">TODAY()</f>
        <v>46295</v>
      </c>
      <c r="B200" s="29"/>
      <c r="C200" s="29"/>
      <c r="D200" s="29"/>
      <c r="K200" s="5">
        <f>Overview!Q3</f>
        <v>85.35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8773-DE16-4C50-9FF0-3E23DC651E7D}">
  <dimension ref="A1:Z14"/>
  <sheetViews>
    <sheetView workbookViewId="0">
      <selection activeCell="B19" sqref="B1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19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45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18</v>
      </c>
      <c r="F3" s="7">
        <v>45740</v>
      </c>
      <c r="G3" s="5">
        <v>0.31</v>
      </c>
      <c r="H3" s="7" t="str">
        <f>IF(B9&gt;0,B9,"")</f>
        <v/>
      </c>
      <c r="I3" s="5"/>
      <c r="J3" s="4"/>
      <c r="K3" s="6"/>
      <c r="L3" s="4" t="str">
        <f>IF(B10=B11,H3-F3,"")</f>
        <v/>
      </c>
      <c r="W3" s="12">
        <f>F3</f>
        <v>45740</v>
      </c>
      <c r="X3" s="12" t="str">
        <f>H3</f>
        <v/>
      </c>
      <c r="Y3" s="13">
        <f>G3*(-1)</f>
        <v>-0.31</v>
      </c>
      <c r="Z3" s="13">
        <f>I3+J3</f>
        <v>0</v>
      </c>
    </row>
    <row r="4" spans="1:26" x14ac:dyDescent="0.25">
      <c r="A4" s="1" t="s">
        <v>36</v>
      </c>
      <c r="B4" s="10">
        <v>0.51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37</v>
      </c>
      <c r="B7" s="8">
        <f>SUMPRODUCT(F3:F20,G3:G20)/SUM(G3:G20)</f>
        <v>45740</v>
      </c>
      <c r="W7" s="12"/>
      <c r="X7" s="12"/>
      <c r="Y7" s="13"/>
    </row>
    <row r="8" spans="1:26" x14ac:dyDescent="0.25">
      <c r="A8" s="1" t="s">
        <v>72</v>
      </c>
      <c r="B8" s="8">
        <v>45551</v>
      </c>
      <c r="W8" s="12"/>
      <c r="X8" s="12"/>
      <c r="Y8" s="13"/>
    </row>
    <row r="9" spans="1:26" x14ac:dyDescent="0.25">
      <c r="A9" s="1" t="s">
        <v>76</v>
      </c>
      <c r="B9" s="8"/>
    </row>
    <row r="10" spans="1:26" x14ac:dyDescent="0.25">
      <c r="A10" s="1" t="s">
        <v>37</v>
      </c>
      <c r="B10" s="2">
        <f>SUM(G3:G20)</f>
        <v>0.31</v>
      </c>
    </row>
    <row r="11" spans="1:26" x14ac:dyDescent="0.25">
      <c r="A11" s="1" t="s">
        <v>31</v>
      </c>
      <c r="B11" s="2">
        <f>SUM(I3:I20)</f>
        <v>0</v>
      </c>
    </row>
    <row r="12" spans="1:26" x14ac:dyDescent="0.25">
      <c r="A12" s="1" t="s">
        <v>10</v>
      </c>
      <c r="B12" s="2">
        <f>SUM(J3:J20)</f>
        <v>0</v>
      </c>
    </row>
    <row r="13" spans="1:26" x14ac:dyDescent="0.25">
      <c r="A13" s="1" t="s">
        <v>78</v>
      </c>
      <c r="B13" s="10" t="str">
        <f>IF(B10=B11,XIRR(Y3:Z20,W3:X20),"")</f>
        <v/>
      </c>
    </row>
    <row r="14" spans="1:26" x14ac:dyDescent="0.25">
      <c r="A14" s="21" t="s">
        <v>79</v>
      </c>
      <c r="B14" s="23" t="str">
        <f>IF(B10=B11,SUMPRODUCT(L3:L20,G3:G20)/SUM(G3:G20),"")</f>
        <v/>
      </c>
    </row>
  </sheetData>
  <mergeCells count="4">
    <mergeCell ref="D1:D2"/>
    <mergeCell ref="E1:E2"/>
    <mergeCell ref="F1:G1"/>
    <mergeCell ref="H1:L1"/>
  </mergeCells>
  <conditionalFormatting sqref="A1:B1">
    <cfRule type="expression" dxfId="2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77CB-60C3-453E-8402-14F2F323F5DE}">
  <sheetPr>
    <tabColor rgb="FF00B050"/>
  </sheetPr>
  <dimension ref="A1:Z14"/>
  <sheetViews>
    <sheetView workbookViewId="0">
      <selection activeCell="B23" sqref="B23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20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46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18</v>
      </c>
      <c r="F3" s="7">
        <v>45740</v>
      </c>
      <c r="G3" s="5">
        <v>0.38</v>
      </c>
      <c r="H3" s="7">
        <f>IF(B9&gt;0,B9,"")</f>
        <v>45996</v>
      </c>
      <c r="I3" s="5">
        <v>0.38</v>
      </c>
      <c r="J3" s="4">
        <v>0.05</v>
      </c>
      <c r="K3" s="6">
        <v>0.21279999999999999</v>
      </c>
      <c r="L3" s="4">
        <f>IF(B10=B11,H3-F3,"")</f>
        <v>256</v>
      </c>
      <c r="W3" s="12">
        <f>F3</f>
        <v>45740</v>
      </c>
      <c r="X3" s="12">
        <f>H3</f>
        <v>45996</v>
      </c>
      <c r="Y3" s="13">
        <f>G3*(-1)</f>
        <v>-0.38</v>
      </c>
      <c r="Z3" s="13">
        <f>I3+J3</f>
        <v>0.43</v>
      </c>
    </row>
    <row r="4" spans="1:26" x14ac:dyDescent="0.25">
      <c r="A4" s="1" t="s">
        <v>36</v>
      </c>
      <c r="B4" s="10">
        <v>0.64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37</v>
      </c>
      <c r="B7" s="8">
        <f>SUMPRODUCT(F3:F20,G3:G20)/SUM(G3:G20)</f>
        <v>45740</v>
      </c>
      <c r="W7" s="12"/>
      <c r="X7" s="12"/>
      <c r="Y7" s="13"/>
    </row>
    <row r="8" spans="1:26" x14ac:dyDescent="0.25">
      <c r="A8" s="1" t="s">
        <v>72</v>
      </c>
      <c r="B8" s="8">
        <v>45551</v>
      </c>
      <c r="W8" s="12"/>
      <c r="X8" s="12"/>
      <c r="Y8" s="13"/>
    </row>
    <row r="9" spans="1:26" x14ac:dyDescent="0.25">
      <c r="A9" s="1" t="s">
        <v>76</v>
      </c>
      <c r="B9" s="8">
        <v>45996</v>
      </c>
    </row>
    <row r="10" spans="1:26" x14ac:dyDescent="0.25">
      <c r="A10" s="1" t="s">
        <v>37</v>
      </c>
      <c r="B10" s="2">
        <f>SUM(G3:G20)</f>
        <v>0.38</v>
      </c>
    </row>
    <row r="11" spans="1:26" x14ac:dyDescent="0.25">
      <c r="A11" s="1" t="s">
        <v>31</v>
      </c>
      <c r="B11" s="2">
        <f>SUM(I3:I20)</f>
        <v>0.38</v>
      </c>
    </row>
    <row r="12" spans="1:26" x14ac:dyDescent="0.25">
      <c r="A12" s="1" t="s">
        <v>10</v>
      </c>
      <c r="B12" s="2">
        <f>SUM(J3:J20)</f>
        <v>0.05</v>
      </c>
    </row>
    <row r="13" spans="1:26" x14ac:dyDescent="0.25">
      <c r="A13" s="1" t="s">
        <v>78</v>
      </c>
      <c r="B13" s="10">
        <f>IF(B10=B11,XIRR(Y3:Z20,W3:X20),"")</f>
        <v>0.19273198246955875</v>
      </c>
    </row>
    <row r="14" spans="1:26" x14ac:dyDescent="0.25">
      <c r="A14" s="21" t="s">
        <v>79</v>
      </c>
      <c r="B14" s="23">
        <f>IF(B10=B11,SUMPRODUCT(L3:L20,G3:G20)/SUM(G3:G20),"")</f>
        <v>256</v>
      </c>
    </row>
  </sheetData>
  <mergeCells count="4">
    <mergeCell ref="D1:D2"/>
    <mergeCell ref="E1:E2"/>
    <mergeCell ref="F1:G1"/>
    <mergeCell ref="H1:L1"/>
  </mergeCells>
  <conditionalFormatting sqref="A1:B1">
    <cfRule type="expression" dxfId="2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9B3E-0C91-46A0-8577-ECA4040BB523}">
  <dimension ref="A1:Z23"/>
  <sheetViews>
    <sheetView workbookViewId="0">
      <selection activeCell="C21" sqref="C21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6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53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18</v>
      </c>
      <c r="F3" s="7">
        <v>45740</v>
      </c>
      <c r="G3" s="5">
        <v>3.91</v>
      </c>
      <c r="H3" s="7" t="str">
        <f>IF($B$9&gt;0,$B$9,"")</f>
        <v/>
      </c>
      <c r="I3" s="5"/>
      <c r="J3" s="4"/>
      <c r="K3" s="6"/>
      <c r="L3" s="4" t="str">
        <f>IF($B$10=$B$11,H3-#REF!,"")</f>
        <v/>
      </c>
      <c r="W3" s="12" t="e">
        <f>#REF!</f>
        <v>#REF!</v>
      </c>
      <c r="X3" s="12" t="str">
        <f>H3</f>
        <v/>
      </c>
      <c r="Y3" s="13" t="e">
        <f>#REF!*(-1)</f>
        <v>#REF!</v>
      </c>
      <c r="Z3" s="13">
        <f>I3+J3</f>
        <v>0</v>
      </c>
    </row>
    <row r="4" spans="1:26" x14ac:dyDescent="0.25">
      <c r="A4" s="1" t="s">
        <v>36</v>
      </c>
      <c r="B4" s="10">
        <v>0.55000000000000004</v>
      </c>
      <c r="D4" s="4">
        <v>2</v>
      </c>
      <c r="E4" s="4" t="s">
        <v>0</v>
      </c>
      <c r="F4" s="7">
        <v>45740</v>
      </c>
      <c r="G4" s="5">
        <v>3.97</v>
      </c>
      <c r="H4" s="7" t="str">
        <f t="shared" ref="H4:H8" si="0">IF($B$9&gt;0,$B$9,"")</f>
        <v/>
      </c>
      <c r="I4" s="5"/>
      <c r="J4" s="4"/>
      <c r="K4" s="6"/>
      <c r="L4" s="4" t="str">
        <f>IF($B$10=$B$11,H4-#REF!,"")</f>
        <v/>
      </c>
      <c r="W4" s="12" t="e">
        <f>#REF!</f>
        <v>#REF!</v>
      </c>
      <c r="X4" s="12" t="str">
        <f t="shared" ref="X4:X21" si="1">H4</f>
        <v/>
      </c>
      <c r="Y4" s="13" t="e">
        <f>#REF!*(-1)</f>
        <v>#REF!</v>
      </c>
      <c r="Z4" s="13">
        <f t="shared" ref="Z4:Z21" si="2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ref="L5:L8" si="3">IF($B$10=$B$11,H5-F5,"")</f>
        <v/>
      </c>
      <c r="W5" s="12">
        <f>F5</f>
        <v>0</v>
      </c>
      <c r="X5" s="12" t="str">
        <f t="shared" si="1"/>
        <v/>
      </c>
      <c r="Y5" s="13">
        <f t="shared" ref="Y5:Y21" si="4">G5*(-1)</f>
        <v>0</v>
      </c>
      <c r="Z5" s="13">
        <f t="shared" si="2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3"/>
        <v/>
      </c>
      <c r="W6" s="12">
        <f t="shared" ref="W6:W23" si="5">F6</f>
        <v>0</v>
      </c>
      <c r="X6" s="12" t="str">
        <f t="shared" si="1"/>
        <v/>
      </c>
      <c r="Y6" s="13">
        <f t="shared" si="4"/>
        <v>0</v>
      </c>
      <c r="Z6" s="13">
        <f t="shared" si="2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3"/>
        <v/>
      </c>
      <c r="W7" s="12">
        <f t="shared" si="5"/>
        <v>0</v>
      </c>
      <c r="X7" s="12" t="str">
        <f t="shared" si="1"/>
        <v/>
      </c>
      <c r="Y7" s="13">
        <f t="shared" si="4"/>
        <v>0</v>
      </c>
      <c r="Z7" s="13">
        <f t="shared" si="2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3"/>
        <v/>
      </c>
      <c r="W8" s="12">
        <f t="shared" si="5"/>
        <v>0</v>
      </c>
      <c r="X8" s="12" t="str">
        <f t="shared" si="1"/>
        <v/>
      </c>
      <c r="Y8" s="13">
        <f t="shared" si="4"/>
        <v>0</v>
      </c>
      <c r="Z8" s="13">
        <f t="shared" si="2"/>
        <v>0</v>
      </c>
    </row>
    <row r="9" spans="1:26" x14ac:dyDescent="0.25">
      <c r="A9" s="1" t="s">
        <v>76</v>
      </c>
      <c r="B9" s="8"/>
      <c r="W9" s="12">
        <f t="shared" si="5"/>
        <v>0</v>
      </c>
      <c r="X9" s="12">
        <f t="shared" si="1"/>
        <v>0</v>
      </c>
      <c r="Y9" s="13">
        <f t="shared" si="4"/>
        <v>0</v>
      </c>
      <c r="Z9" s="13">
        <f t="shared" si="2"/>
        <v>0</v>
      </c>
    </row>
    <row r="10" spans="1:26" x14ac:dyDescent="0.25">
      <c r="A10" s="1" t="s">
        <v>37</v>
      </c>
      <c r="B10" s="2">
        <f>SUM(G3:G20)</f>
        <v>7.8800000000000008</v>
      </c>
      <c r="W10" s="12">
        <f t="shared" si="5"/>
        <v>0</v>
      </c>
      <c r="X10" s="12">
        <f t="shared" si="1"/>
        <v>0</v>
      </c>
      <c r="Y10" s="13">
        <f t="shared" si="4"/>
        <v>0</v>
      </c>
      <c r="Z10" s="13">
        <f t="shared" si="2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1"/>
        <v>0</v>
      </c>
      <c r="Y11" s="13">
        <f t="shared" si="4"/>
        <v>0</v>
      </c>
      <c r="Z11" s="13">
        <f t="shared" si="2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1"/>
        <v>0</v>
      </c>
      <c r="Y12" s="13">
        <f t="shared" si="4"/>
        <v>0</v>
      </c>
      <c r="Z12" s="13">
        <f t="shared" si="2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1"/>
        <v>0</v>
      </c>
      <c r="Y13" s="13">
        <f t="shared" si="4"/>
        <v>0</v>
      </c>
      <c r="Z13" s="13">
        <f t="shared" si="2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1"/>
        <v>0</v>
      </c>
      <c r="Y14" s="13">
        <f t="shared" si="4"/>
        <v>0</v>
      </c>
      <c r="Z14" s="13">
        <f t="shared" si="2"/>
        <v>0</v>
      </c>
    </row>
    <row r="15" spans="1:26" x14ac:dyDescent="0.25">
      <c r="W15" s="12">
        <f t="shared" si="5"/>
        <v>0</v>
      </c>
      <c r="X15" s="12">
        <f t="shared" si="1"/>
        <v>0</v>
      </c>
      <c r="Y15" s="13">
        <f t="shared" si="4"/>
        <v>0</v>
      </c>
      <c r="Z15" s="13">
        <f t="shared" si="2"/>
        <v>0</v>
      </c>
    </row>
    <row r="16" spans="1:26" x14ac:dyDescent="0.25">
      <c r="W16" s="12">
        <f t="shared" si="5"/>
        <v>0</v>
      </c>
      <c r="X16" s="12">
        <f t="shared" si="1"/>
        <v>0</v>
      </c>
      <c r="Y16" s="13">
        <f t="shared" si="4"/>
        <v>0</v>
      </c>
      <c r="Z16" s="13">
        <f t="shared" si="2"/>
        <v>0</v>
      </c>
    </row>
    <row r="17" spans="23:26" x14ac:dyDescent="0.25">
      <c r="W17" s="12">
        <f t="shared" si="5"/>
        <v>0</v>
      </c>
      <c r="X17" s="12">
        <f t="shared" si="1"/>
        <v>0</v>
      </c>
      <c r="Y17" s="13">
        <f t="shared" si="4"/>
        <v>0</v>
      </c>
      <c r="Z17" s="13">
        <f t="shared" si="2"/>
        <v>0</v>
      </c>
    </row>
    <row r="18" spans="23:26" x14ac:dyDescent="0.25">
      <c r="W18" s="12">
        <f t="shared" si="5"/>
        <v>0</v>
      </c>
      <c r="X18" s="12">
        <f t="shared" si="1"/>
        <v>0</v>
      </c>
      <c r="Y18" s="13">
        <f t="shared" si="4"/>
        <v>0</v>
      </c>
      <c r="Z18" s="13">
        <f t="shared" si="2"/>
        <v>0</v>
      </c>
    </row>
    <row r="19" spans="23:26" x14ac:dyDescent="0.25">
      <c r="W19" s="12">
        <f t="shared" si="5"/>
        <v>0</v>
      </c>
      <c r="X19" s="12">
        <f t="shared" si="1"/>
        <v>0</v>
      </c>
      <c r="Y19" s="13">
        <f t="shared" si="4"/>
        <v>0</v>
      </c>
      <c r="Z19" s="13">
        <f t="shared" si="2"/>
        <v>0</v>
      </c>
    </row>
    <row r="20" spans="23:26" x14ac:dyDescent="0.25">
      <c r="W20" s="12">
        <f t="shared" si="5"/>
        <v>0</v>
      </c>
      <c r="X20" s="12">
        <f t="shared" si="1"/>
        <v>0</v>
      </c>
      <c r="Y20" s="13">
        <f t="shared" si="4"/>
        <v>0</v>
      </c>
      <c r="Z20" s="13">
        <f t="shared" si="2"/>
        <v>0</v>
      </c>
    </row>
    <row r="21" spans="23:26" x14ac:dyDescent="0.25">
      <c r="W21" s="12">
        <f t="shared" si="5"/>
        <v>0</v>
      </c>
      <c r="X21" s="12">
        <f t="shared" si="1"/>
        <v>0</v>
      </c>
      <c r="Y21" s="13">
        <f t="shared" si="4"/>
        <v>0</v>
      </c>
      <c r="Z21" s="13">
        <f t="shared" si="2"/>
        <v>0</v>
      </c>
    </row>
    <row r="22" spans="23:26" x14ac:dyDescent="0.25">
      <c r="W22" s="12">
        <f t="shared" si="5"/>
        <v>0</v>
      </c>
      <c r="X22" s="12">
        <f t="shared" ref="X22:X23" si="6">H22</f>
        <v>0</v>
      </c>
      <c r="Y22" s="13">
        <f t="shared" ref="Y22:Y23" si="7">G22*(-1)</f>
        <v>0</v>
      </c>
      <c r="Z22" s="13">
        <f t="shared" ref="Z22:Z23" si="8">I22+J22</f>
        <v>0</v>
      </c>
    </row>
    <row r="23" spans="23:26" x14ac:dyDescent="0.25">
      <c r="W23" s="12">
        <f t="shared" si="5"/>
        <v>0</v>
      </c>
      <c r="X23" s="12">
        <f t="shared" si="6"/>
        <v>0</v>
      </c>
      <c r="Y23" s="13">
        <f t="shared" si="7"/>
        <v>0</v>
      </c>
      <c r="Z23" s="13">
        <f t="shared" si="8"/>
        <v>0</v>
      </c>
    </row>
  </sheetData>
  <mergeCells count="4">
    <mergeCell ref="D1:D2"/>
    <mergeCell ref="E1:E2"/>
    <mergeCell ref="F1:G1"/>
    <mergeCell ref="H1:L1"/>
  </mergeCells>
  <conditionalFormatting sqref="A1:B1">
    <cfRule type="expression" dxfId="2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6AC5-5BFF-417D-9FEF-A96F45F9073A}">
  <sheetPr>
    <tabColor rgb="FF00B050"/>
  </sheetPr>
  <dimension ref="A1:Z30"/>
  <sheetViews>
    <sheetView workbookViewId="0">
      <selection activeCell="B26" sqref="B26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4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65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0.2</v>
      </c>
      <c r="D3" s="4">
        <v>1</v>
      </c>
      <c r="E3" s="4" t="s">
        <v>0</v>
      </c>
      <c r="F3" s="7">
        <v>45740</v>
      </c>
      <c r="G3" s="5">
        <v>1.49</v>
      </c>
      <c r="H3" s="7">
        <f>IF($B$9&gt;0,$B$9,"")</f>
        <v>46169</v>
      </c>
      <c r="I3" s="5">
        <v>1.49</v>
      </c>
      <c r="J3" s="4">
        <v>0.25</v>
      </c>
      <c r="K3" s="6">
        <v>0.1452</v>
      </c>
      <c r="L3" s="4">
        <f>IF($B$10=$B$11,H3-F3,"")</f>
        <v>429</v>
      </c>
      <c r="W3" s="12">
        <f>F3</f>
        <v>45740</v>
      </c>
      <c r="X3" s="12">
        <f>H3</f>
        <v>46169</v>
      </c>
      <c r="Y3" s="13">
        <f>G3*(-1)</f>
        <v>-1.49</v>
      </c>
      <c r="Z3" s="13">
        <f>I3+J3</f>
        <v>1.74</v>
      </c>
    </row>
    <row r="4" spans="1:26" x14ac:dyDescent="0.25">
      <c r="A4" s="1" t="s">
        <v>36</v>
      </c>
      <c r="B4" s="10">
        <v>0.64</v>
      </c>
      <c r="D4" s="4"/>
      <c r="E4" s="4"/>
      <c r="F4" s="7"/>
      <c r="G4" s="5"/>
      <c r="H4" s="7"/>
      <c r="I4" s="5"/>
      <c r="J4" s="5"/>
      <c r="K4" s="6"/>
      <c r="L4" s="4"/>
      <c r="W4" s="12">
        <f>F4</f>
        <v>0</v>
      </c>
      <c r="X4" s="12">
        <f t="shared" ref="X4:X20" si="0">H4</f>
        <v>0</v>
      </c>
      <c r="Y4" s="13">
        <f t="shared" ref="Y4:Y20" si="1">G4*(-1)</f>
        <v>0</v>
      </c>
      <c r="Z4" s="13">
        <f t="shared" ref="Z4:Z20" si="2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3">F6</f>
        <v>0</v>
      </c>
      <c r="X6" s="12">
        <f t="shared" si="0"/>
        <v>0</v>
      </c>
      <c r="Y6" s="13">
        <f t="shared" si="1"/>
        <v>0</v>
      </c>
      <c r="Z6" s="13">
        <f t="shared" si="2"/>
        <v>0</v>
      </c>
    </row>
    <row r="7" spans="1:26" x14ac:dyDescent="0.25">
      <c r="A7" s="1" t="s">
        <v>37</v>
      </c>
      <c r="B7" s="8">
        <f>SUMPRODUCT(F3:F20,G3:G20)/SUM(G3:G20)</f>
        <v>45740.000000000007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3"/>
        <v>0</v>
      </c>
      <c r="X7" s="12">
        <f t="shared" si="0"/>
        <v>0</v>
      </c>
      <c r="Y7" s="13">
        <f t="shared" si="1"/>
        <v>0</v>
      </c>
      <c r="Z7" s="13">
        <f t="shared" si="2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3"/>
        <v>0</v>
      </c>
      <c r="X8" s="12">
        <f t="shared" si="0"/>
        <v>0</v>
      </c>
      <c r="Y8" s="13">
        <f t="shared" si="1"/>
        <v>0</v>
      </c>
      <c r="Z8" s="13">
        <f t="shared" si="2"/>
        <v>0</v>
      </c>
    </row>
    <row r="9" spans="1:26" x14ac:dyDescent="0.25">
      <c r="A9" s="1" t="s">
        <v>76</v>
      </c>
      <c r="B9" s="8">
        <v>46169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3"/>
        <v>0</v>
      </c>
      <c r="X9" s="12">
        <f t="shared" si="0"/>
        <v>0</v>
      </c>
      <c r="Y9" s="13">
        <f t="shared" si="1"/>
        <v>0</v>
      </c>
      <c r="Z9" s="13">
        <f t="shared" si="2"/>
        <v>0</v>
      </c>
    </row>
    <row r="10" spans="1:26" x14ac:dyDescent="0.25">
      <c r="A10" s="1" t="s">
        <v>37</v>
      </c>
      <c r="B10" s="2">
        <f>SUM(G3:G20)</f>
        <v>1.49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3"/>
        <v>0</v>
      </c>
      <c r="X10" s="12">
        <f t="shared" si="0"/>
        <v>0</v>
      </c>
      <c r="Y10" s="13">
        <f t="shared" si="1"/>
        <v>0</v>
      </c>
      <c r="Z10" s="13">
        <f t="shared" si="2"/>
        <v>0</v>
      </c>
    </row>
    <row r="11" spans="1:26" x14ac:dyDescent="0.25">
      <c r="A11" s="1" t="s">
        <v>31</v>
      </c>
      <c r="B11" s="2">
        <f>SUM(I3:I20)</f>
        <v>1.49</v>
      </c>
      <c r="W11" s="12">
        <f t="shared" si="3"/>
        <v>0</v>
      </c>
      <c r="X11" s="12">
        <f t="shared" si="0"/>
        <v>0</v>
      </c>
      <c r="Y11" s="13">
        <f t="shared" si="1"/>
        <v>0</v>
      </c>
      <c r="Z11" s="13">
        <f t="shared" si="2"/>
        <v>0</v>
      </c>
    </row>
    <row r="12" spans="1:26" x14ac:dyDescent="0.25">
      <c r="A12" s="1" t="s">
        <v>10</v>
      </c>
      <c r="B12" s="2">
        <f>SUM(J3:J20)</f>
        <v>0.25</v>
      </c>
      <c r="W12" s="12">
        <f t="shared" si="3"/>
        <v>0</v>
      </c>
      <c r="X12" s="12">
        <f t="shared" si="0"/>
        <v>0</v>
      </c>
      <c r="Y12" s="13">
        <f t="shared" si="1"/>
        <v>0</v>
      </c>
      <c r="Z12" s="13">
        <f t="shared" si="2"/>
        <v>0</v>
      </c>
    </row>
    <row r="13" spans="1:26" x14ac:dyDescent="0.25">
      <c r="A13" s="1" t="s">
        <v>78</v>
      </c>
      <c r="B13" s="10">
        <f>IF(B10=B11,XIRR(Y3:Z20,W3:X20),"")</f>
        <v>0.14107316136360165</v>
      </c>
      <c r="W13" s="12">
        <f t="shared" si="3"/>
        <v>0</v>
      </c>
      <c r="X13" s="12">
        <f t="shared" si="0"/>
        <v>0</v>
      </c>
      <c r="Y13" s="13">
        <f t="shared" si="1"/>
        <v>0</v>
      </c>
      <c r="Z13" s="13">
        <f t="shared" si="2"/>
        <v>0</v>
      </c>
    </row>
    <row r="14" spans="1:26" x14ac:dyDescent="0.25">
      <c r="A14" s="21" t="s">
        <v>79</v>
      </c>
      <c r="B14" s="23">
        <f>IF(B10=B11,SUMPRODUCT(L3:L20,G3:G20)/SUM(G3:G20),"")</f>
        <v>429</v>
      </c>
      <c r="W14" s="12">
        <f t="shared" si="3"/>
        <v>0</v>
      </c>
      <c r="X14" s="12">
        <f t="shared" si="0"/>
        <v>0</v>
      </c>
      <c r="Y14" s="13">
        <f t="shared" si="1"/>
        <v>0</v>
      </c>
      <c r="Z14" s="13">
        <f t="shared" si="2"/>
        <v>0</v>
      </c>
    </row>
    <row r="15" spans="1:26" x14ac:dyDescent="0.25">
      <c r="W15" s="12">
        <f t="shared" si="3"/>
        <v>0</v>
      </c>
      <c r="X15" s="12">
        <f t="shared" si="0"/>
        <v>0</v>
      </c>
      <c r="Y15" s="13">
        <f t="shared" si="1"/>
        <v>0</v>
      </c>
      <c r="Z15" s="13">
        <f t="shared" si="2"/>
        <v>0</v>
      </c>
    </row>
    <row r="16" spans="1:26" x14ac:dyDescent="0.25">
      <c r="W16" s="12">
        <f t="shared" si="3"/>
        <v>0</v>
      </c>
      <c r="X16" s="12">
        <f t="shared" si="0"/>
        <v>0</v>
      </c>
      <c r="Y16" s="13">
        <f t="shared" si="1"/>
        <v>0</v>
      </c>
      <c r="Z16" s="13">
        <f t="shared" si="2"/>
        <v>0</v>
      </c>
    </row>
    <row r="17" spans="10:26" x14ac:dyDescent="0.25">
      <c r="W17" s="12">
        <f t="shared" si="3"/>
        <v>0</v>
      </c>
      <c r="X17" s="12">
        <f t="shared" si="0"/>
        <v>0</v>
      </c>
      <c r="Y17" s="13">
        <f t="shared" si="1"/>
        <v>0</v>
      </c>
      <c r="Z17" s="13">
        <f t="shared" si="2"/>
        <v>0</v>
      </c>
    </row>
    <row r="18" spans="10:26" x14ac:dyDescent="0.25">
      <c r="W18" s="12">
        <f t="shared" si="3"/>
        <v>0</v>
      </c>
      <c r="X18" s="12">
        <f t="shared" si="0"/>
        <v>0</v>
      </c>
      <c r="Y18" s="13">
        <f t="shared" si="1"/>
        <v>0</v>
      </c>
      <c r="Z18" s="13">
        <f t="shared" si="2"/>
        <v>0</v>
      </c>
    </row>
    <row r="19" spans="10:26" x14ac:dyDescent="0.25">
      <c r="W19" s="12">
        <f t="shared" si="3"/>
        <v>0</v>
      </c>
      <c r="X19" s="12">
        <f t="shared" si="0"/>
        <v>0</v>
      </c>
      <c r="Y19" s="13">
        <f t="shared" si="1"/>
        <v>0</v>
      </c>
      <c r="Z19" s="13">
        <f t="shared" si="2"/>
        <v>0</v>
      </c>
    </row>
    <row r="20" spans="10:26" x14ac:dyDescent="0.25">
      <c r="W20" s="12">
        <f t="shared" si="3"/>
        <v>0</v>
      </c>
      <c r="X20" s="12">
        <f t="shared" si="0"/>
        <v>0</v>
      </c>
      <c r="Y20" s="13">
        <f t="shared" si="1"/>
        <v>0</v>
      </c>
      <c r="Z20" s="13">
        <f t="shared" si="2"/>
        <v>0</v>
      </c>
    </row>
    <row r="21" spans="10:26" x14ac:dyDescent="0.25">
      <c r="W21" s="12"/>
      <c r="X21" s="12"/>
      <c r="Y21" s="13"/>
      <c r="Z21" s="13"/>
    </row>
    <row r="22" spans="10:26" x14ac:dyDescent="0.25">
      <c r="W22" s="12"/>
      <c r="X22" s="12"/>
      <c r="Y22" s="13"/>
      <c r="Z22" s="13"/>
    </row>
    <row r="23" spans="10:26" x14ac:dyDescent="0.25">
      <c r="W23" s="12"/>
      <c r="X23" s="12"/>
      <c r="Y23" s="13"/>
      <c r="Z23" s="13"/>
    </row>
    <row r="25" spans="10:26" x14ac:dyDescent="0.25">
      <c r="J25" s="17"/>
      <c r="K25" s="18"/>
    </row>
    <row r="26" spans="10:26" x14ac:dyDescent="0.25">
      <c r="J26" s="17"/>
      <c r="K26" s="18"/>
      <c r="W26" s="12"/>
    </row>
    <row r="27" spans="10:26" x14ac:dyDescent="0.25">
      <c r="J27" s="17"/>
      <c r="K27" s="18"/>
      <c r="W27" s="12"/>
    </row>
    <row r="28" spans="10:26" x14ac:dyDescent="0.25">
      <c r="J28" s="17"/>
      <c r="K28" s="13"/>
      <c r="W28" s="12"/>
    </row>
    <row r="29" spans="10:26" x14ac:dyDescent="0.25">
      <c r="J29" s="17"/>
      <c r="K29" s="13"/>
    </row>
    <row r="30" spans="10:26" x14ac:dyDescent="0.25">
      <c r="J30" s="17"/>
      <c r="K30" s="13"/>
    </row>
  </sheetData>
  <mergeCells count="4">
    <mergeCell ref="D1:D2"/>
    <mergeCell ref="E1:E2"/>
    <mergeCell ref="F1:G1"/>
    <mergeCell ref="H1:L1"/>
  </mergeCells>
  <conditionalFormatting sqref="A1:B1">
    <cfRule type="expression" dxfId="2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7918-FC64-4802-A48F-D16F5C26DEFC}">
  <dimension ref="A1:Z23"/>
  <sheetViews>
    <sheetView workbookViewId="0">
      <selection activeCell="D5" sqref="D5:G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7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54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18</v>
      </c>
      <c r="F3" s="7">
        <v>45740</v>
      </c>
      <c r="G3" s="5">
        <v>1.96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-1.96</v>
      </c>
      <c r="Z3" s="13">
        <f>I3+J3</f>
        <v>0</v>
      </c>
    </row>
    <row r="4" spans="1:26" x14ac:dyDescent="0.25">
      <c r="A4" s="1" t="s">
        <v>36</v>
      </c>
      <c r="B4" s="10">
        <v>0.52</v>
      </c>
      <c r="D4" s="4">
        <v>2</v>
      </c>
      <c r="E4" s="4" t="s">
        <v>0</v>
      </c>
      <c r="F4" s="7">
        <v>45740</v>
      </c>
      <c r="G4" s="5">
        <v>3.41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45740</v>
      </c>
      <c r="X4" s="12" t="str">
        <f t="shared" ref="X4:X20" si="2">H4</f>
        <v/>
      </c>
      <c r="Y4" s="13">
        <f t="shared" ref="Y4:Y20" si="3">G4*(-1)</f>
        <v>-3.41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5.37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2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BA1-813A-4E0A-9145-8EE8B3677CDF}">
  <dimension ref="A1:Z23"/>
  <sheetViews>
    <sheetView workbookViewId="0">
      <selection activeCell="H24" sqref="H2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8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66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0.37</v>
      </c>
      <c r="D3" s="4">
        <v>1</v>
      </c>
      <c r="E3" s="4" t="s">
        <v>18</v>
      </c>
      <c r="F3" s="7">
        <v>45740</v>
      </c>
      <c r="G3" s="5">
        <v>1.96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-1.96</v>
      </c>
      <c r="Z3" s="13">
        <f>I3+J3</f>
        <v>0</v>
      </c>
    </row>
    <row r="4" spans="1:26" x14ac:dyDescent="0.25">
      <c r="A4" s="1" t="s">
        <v>36</v>
      </c>
      <c r="B4" s="10">
        <v>0.68</v>
      </c>
      <c r="D4" s="4">
        <v>2</v>
      </c>
      <c r="E4" s="4" t="s">
        <v>0</v>
      </c>
      <c r="F4" s="7">
        <v>45740</v>
      </c>
      <c r="G4" s="5">
        <v>3.41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45740</v>
      </c>
      <c r="X4" s="12" t="str">
        <f t="shared" ref="X4:X20" si="2">H4</f>
        <v/>
      </c>
      <c r="Y4" s="13">
        <f t="shared" ref="Y4:Y20" si="3">G4*(-1)</f>
        <v>-3.41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 t="str">
        <f t="shared" si="1"/>
        <v/>
      </c>
      <c r="W5" s="12">
        <f>F5</f>
        <v>0</v>
      </c>
      <c r="X5" s="12">
        <f t="shared" si="2"/>
        <v>0</v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>
        <f t="shared" si="2"/>
        <v>0</v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/>
      <c r="I7" s="5"/>
      <c r="J7" s="4"/>
      <c r="K7" s="6"/>
      <c r="L7" s="4" t="str">
        <f t="shared" si="1"/>
        <v/>
      </c>
      <c r="W7" s="12">
        <f t="shared" si="5"/>
        <v>0</v>
      </c>
      <c r="X7" s="12">
        <f t="shared" si="2"/>
        <v>0</v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5.37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2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264F-DF8F-4E1E-B362-B7C6FD4DA0E0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15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50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11</v>
      </c>
      <c r="F3" s="7">
        <v>45740</v>
      </c>
      <c r="G3" s="5">
        <v>2.0099999999999998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-2.0099999999999998</v>
      </c>
      <c r="Z3" s="13">
        <f>I3+J3</f>
        <v>0</v>
      </c>
    </row>
    <row r="4" spans="1:26" x14ac:dyDescent="0.25">
      <c r="A4" s="1" t="s">
        <v>36</v>
      </c>
      <c r="B4" s="10">
        <v>0.48</v>
      </c>
      <c r="D4" s="4"/>
      <c r="E4" s="4"/>
      <c r="F4" s="7"/>
      <c r="G4" s="5"/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2.0099999999999998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8E53-DE9A-41B3-94AF-227861F363F4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23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42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0.61</v>
      </c>
      <c r="D3" s="4">
        <v>1</v>
      </c>
      <c r="E3" s="4" t="s">
        <v>81</v>
      </c>
      <c r="F3" s="7">
        <v>45831</v>
      </c>
      <c r="G3" s="5">
        <v>3.7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-3.7</v>
      </c>
      <c r="Z3" s="13">
        <f>I3+J3</f>
        <v>0</v>
      </c>
    </row>
    <row r="4" spans="1:26" x14ac:dyDescent="0.25">
      <c r="A4" s="1" t="s">
        <v>36</v>
      </c>
      <c r="B4" s="10">
        <v>0.32</v>
      </c>
      <c r="D4" s="4"/>
      <c r="E4" s="4"/>
      <c r="F4" s="7"/>
      <c r="G4" s="5"/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3.7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5B09-E0F8-4EE1-A632-44890D0046E2}">
  <dimension ref="A1:Z23"/>
  <sheetViews>
    <sheetView workbookViewId="0">
      <selection activeCell="D4" sqref="D4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16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51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11</v>
      </c>
      <c r="F3" s="7">
        <v>45740</v>
      </c>
      <c r="G3" s="5">
        <v>4.92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-4.92</v>
      </c>
      <c r="Z3" s="13">
        <f>I3+J3</f>
        <v>0</v>
      </c>
    </row>
    <row r="4" spans="1:26" x14ac:dyDescent="0.25">
      <c r="A4" s="1" t="s">
        <v>36</v>
      </c>
      <c r="B4" s="10">
        <v>0.45</v>
      </c>
      <c r="D4" s="4"/>
      <c r="E4" s="4"/>
      <c r="F4" s="7"/>
      <c r="G4" s="5"/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4.92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4A40-7D53-439B-AB94-C2283A553B22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17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52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11</v>
      </c>
      <c r="F3" s="7">
        <v>45740</v>
      </c>
      <c r="G3" s="5">
        <v>1.63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-1.63</v>
      </c>
      <c r="Z3" s="13">
        <f>I3+J3</f>
        <v>0</v>
      </c>
    </row>
    <row r="4" spans="1:26" x14ac:dyDescent="0.25">
      <c r="A4" s="1" t="s">
        <v>36</v>
      </c>
      <c r="B4" s="10">
        <v>0.42</v>
      </c>
      <c r="D4" s="4"/>
      <c r="E4" s="4"/>
      <c r="F4" s="7"/>
      <c r="G4" s="5"/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1.63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FB34-9F78-4D6B-BA9A-3D7E01178A5C}">
  <dimension ref="A1:Z23"/>
  <sheetViews>
    <sheetView workbookViewId="0">
      <selection activeCell="D6" sqref="D6:G1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9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55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0.49</v>
      </c>
      <c r="D3" s="4">
        <v>1</v>
      </c>
      <c r="E3" s="4" t="s">
        <v>11</v>
      </c>
      <c r="F3" s="7">
        <v>45740</v>
      </c>
      <c r="G3" s="5">
        <v>4.93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-4.93</v>
      </c>
      <c r="Z3" s="13">
        <f>I3+J3</f>
        <v>0</v>
      </c>
    </row>
    <row r="4" spans="1:26" x14ac:dyDescent="0.25">
      <c r="A4" s="1" t="s">
        <v>36</v>
      </c>
      <c r="B4" s="10">
        <v>0.68</v>
      </c>
      <c r="D4" s="4">
        <v>2</v>
      </c>
      <c r="E4" s="4" t="s">
        <v>18</v>
      </c>
      <c r="F4" s="7">
        <v>45740</v>
      </c>
      <c r="G4" s="5">
        <v>3.96</v>
      </c>
      <c r="H4" s="7" t="str">
        <f t="shared" ref="H4:H18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45740</v>
      </c>
      <c r="X4" s="12" t="str">
        <f t="shared" ref="X4:X20" si="2">H4</f>
        <v/>
      </c>
      <c r="Y4" s="13">
        <f t="shared" ref="Y4:Y20" si="3">G4*(-1)</f>
        <v>-3.96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0</v>
      </c>
      <c r="F5" s="7">
        <v>45740</v>
      </c>
      <c r="G5" s="5">
        <v>3.99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45740</v>
      </c>
      <c r="X5" s="12" t="str">
        <f t="shared" si="2"/>
        <v/>
      </c>
      <c r="Y5" s="13">
        <f t="shared" si="3"/>
        <v>-3.99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45739.999999999993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12.88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ref="L11:L18" si="6">IF($B$10=$B$11,H11-F11,"")</f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6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6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6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6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6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6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6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B207-E10A-4187-9676-4284B43F996F}">
  <dimension ref="A1:Z23"/>
  <sheetViews>
    <sheetView workbookViewId="0">
      <selection activeCell="G42" sqref="G42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21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56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18</v>
      </c>
      <c r="F3" s="7">
        <v>45740</v>
      </c>
      <c r="G3" s="5">
        <v>3.53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-3.53</v>
      </c>
      <c r="Z3" s="13">
        <f>I3+J3</f>
        <v>0</v>
      </c>
    </row>
    <row r="4" spans="1:26" x14ac:dyDescent="0.25">
      <c r="A4" s="1" t="s">
        <v>36</v>
      </c>
      <c r="B4" s="10">
        <v>0.17</v>
      </c>
      <c r="D4" s="4"/>
      <c r="E4" s="4"/>
      <c r="F4" s="7"/>
      <c r="G4" s="5"/>
      <c r="H4" s="7"/>
      <c r="I4" s="5"/>
      <c r="J4" s="5"/>
      <c r="K4" s="6"/>
      <c r="L4" s="4" t="str">
        <f t="shared" ref="L4:L18" si="0">IF($B$10=$B$11,H4-F4,"")</f>
        <v/>
      </c>
      <c r="W4" s="12">
        <f>F4</f>
        <v>0</v>
      </c>
      <c r="X4" s="12">
        <f t="shared" ref="X4:X20" si="1">H4</f>
        <v>0</v>
      </c>
      <c r="Y4" s="13">
        <f t="shared" ref="Y4:Y20" si="2">G4*(-1)</f>
        <v>0</v>
      </c>
      <c r="Z4" s="13">
        <f t="shared" ref="Z4:Z20" si="3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 t="str">
        <f t="shared" si="0"/>
        <v/>
      </c>
      <c r="W5" s="12">
        <f>F5</f>
        <v>0</v>
      </c>
      <c r="X5" s="12">
        <f t="shared" si="1"/>
        <v>0</v>
      </c>
      <c r="Y5" s="13">
        <f t="shared" si="2"/>
        <v>0</v>
      </c>
      <c r="Z5" s="13">
        <f t="shared" si="3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 t="str">
        <f t="shared" si="0"/>
        <v/>
      </c>
      <c r="W6" s="12">
        <f t="shared" ref="W6:W20" si="4">F6</f>
        <v>0</v>
      </c>
      <c r="X6" s="12">
        <f t="shared" si="1"/>
        <v>0</v>
      </c>
      <c r="Y6" s="13">
        <f t="shared" si="2"/>
        <v>0</v>
      </c>
      <c r="Z6" s="13">
        <f t="shared" si="3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ref="H7:H18" si="5">IF($B$9&gt;0,$B$9,"")</f>
        <v/>
      </c>
      <c r="I7" s="5"/>
      <c r="J7" s="4"/>
      <c r="K7" s="6"/>
      <c r="L7" s="4" t="str">
        <f t="shared" si="0"/>
        <v/>
      </c>
      <c r="W7" s="12">
        <f t="shared" si="4"/>
        <v>0</v>
      </c>
      <c r="X7" s="12" t="str">
        <f t="shared" si="1"/>
        <v/>
      </c>
      <c r="Y7" s="13">
        <f t="shared" si="2"/>
        <v>0</v>
      </c>
      <c r="Z7" s="13">
        <f t="shared" si="3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5"/>
        <v/>
      </c>
      <c r="I8" s="5"/>
      <c r="J8" s="4"/>
      <c r="K8" s="6"/>
      <c r="L8" s="4" t="str">
        <f t="shared" si="0"/>
        <v/>
      </c>
      <c r="W8" s="12">
        <f t="shared" si="4"/>
        <v>0</v>
      </c>
      <c r="X8" s="12" t="str">
        <f t="shared" si="1"/>
        <v/>
      </c>
      <c r="Y8" s="13">
        <f t="shared" si="2"/>
        <v>0</v>
      </c>
      <c r="Z8" s="13">
        <f t="shared" si="3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5"/>
        <v/>
      </c>
      <c r="I9" s="5"/>
      <c r="J9" s="4"/>
      <c r="K9" s="6"/>
      <c r="L9" s="4" t="str">
        <f t="shared" si="0"/>
        <v/>
      </c>
      <c r="W9" s="12">
        <f t="shared" si="4"/>
        <v>0</v>
      </c>
      <c r="X9" s="12" t="str">
        <f t="shared" si="1"/>
        <v/>
      </c>
      <c r="Y9" s="13">
        <f t="shared" si="2"/>
        <v>0</v>
      </c>
      <c r="Z9" s="13">
        <f t="shared" si="3"/>
        <v>0</v>
      </c>
    </row>
    <row r="10" spans="1:26" x14ac:dyDescent="0.25">
      <c r="A10" s="1" t="s">
        <v>37</v>
      </c>
      <c r="B10" s="2">
        <f>SUM(G3:G20)</f>
        <v>3.53</v>
      </c>
      <c r="D10" s="4"/>
      <c r="E10" s="4"/>
      <c r="F10" s="7"/>
      <c r="G10" s="5"/>
      <c r="H10" s="7" t="str">
        <f t="shared" si="5"/>
        <v/>
      </c>
      <c r="I10" s="5"/>
      <c r="J10" s="4"/>
      <c r="K10" s="6"/>
      <c r="L10" s="4" t="str">
        <f t="shared" si="0"/>
        <v/>
      </c>
      <c r="W10" s="12">
        <f t="shared" si="4"/>
        <v>0</v>
      </c>
      <c r="X10" s="12" t="str">
        <f t="shared" si="1"/>
        <v/>
      </c>
      <c r="Y10" s="13">
        <f t="shared" si="2"/>
        <v>0</v>
      </c>
      <c r="Z10" s="13">
        <f t="shared" si="3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5"/>
        <v/>
      </c>
      <c r="I11" s="5"/>
      <c r="J11" s="4"/>
      <c r="K11" s="6"/>
      <c r="L11" s="4" t="str">
        <f t="shared" si="0"/>
        <v/>
      </c>
      <c r="W11" s="12">
        <f t="shared" si="4"/>
        <v>0</v>
      </c>
      <c r="X11" s="12" t="str">
        <f t="shared" si="1"/>
        <v/>
      </c>
      <c r="Y11" s="13">
        <f t="shared" si="2"/>
        <v>0</v>
      </c>
      <c r="Z11" s="13">
        <f t="shared" si="3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5"/>
        <v/>
      </c>
      <c r="I12" s="5"/>
      <c r="J12" s="4"/>
      <c r="K12" s="6"/>
      <c r="L12" s="4" t="str">
        <f t="shared" si="0"/>
        <v/>
      </c>
      <c r="W12" s="12">
        <f t="shared" si="4"/>
        <v>0</v>
      </c>
      <c r="X12" s="12" t="str">
        <f t="shared" si="1"/>
        <v/>
      </c>
      <c r="Y12" s="13">
        <f t="shared" si="2"/>
        <v>0</v>
      </c>
      <c r="Z12" s="13">
        <f t="shared" si="3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5"/>
        <v/>
      </c>
      <c r="I13" s="5"/>
      <c r="J13" s="4"/>
      <c r="K13" s="6"/>
      <c r="L13" s="4" t="str">
        <f t="shared" si="0"/>
        <v/>
      </c>
      <c r="W13" s="12">
        <f t="shared" si="4"/>
        <v>0</v>
      </c>
      <c r="X13" s="12" t="str">
        <f t="shared" si="1"/>
        <v/>
      </c>
      <c r="Y13" s="13">
        <f t="shared" si="2"/>
        <v>0</v>
      </c>
      <c r="Z13" s="13">
        <f t="shared" si="3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5"/>
        <v/>
      </c>
      <c r="I14" s="5"/>
      <c r="J14" s="4"/>
      <c r="K14" s="6"/>
      <c r="L14" s="4" t="str">
        <f t="shared" si="0"/>
        <v/>
      </c>
      <c r="W14" s="12">
        <f t="shared" si="4"/>
        <v>0</v>
      </c>
      <c r="X14" s="12" t="str">
        <f t="shared" si="1"/>
        <v/>
      </c>
      <c r="Y14" s="13">
        <f t="shared" si="2"/>
        <v>0</v>
      </c>
      <c r="Z14" s="13">
        <f t="shared" si="3"/>
        <v>0</v>
      </c>
    </row>
    <row r="15" spans="1:26" x14ac:dyDescent="0.25">
      <c r="D15" s="4"/>
      <c r="E15" s="4"/>
      <c r="F15" s="7"/>
      <c r="G15" s="5"/>
      <c r="H15" s="7" t="str">
        <f t="shared" si="5"/>
        <v/>
      </c>
      <c r="I15" s="5"/>
      <c r="J15" s="4"/>
      <c r="K15" s="6"/>
      <c r="L15" s="4" t="str">
        <f t="shared" si="0"/>
        <v/>
      </c>
      <c r="W15" s="12">
        <f t="shared" si="4"/>
        <v>0</v>
      </c>
      <c r="X15" s="12" t="str">
        <f t="shared" si="1"/>
        <v/>
      </c>
      <c r="Y15" s="13">
        <f t="shared" si="2"/>
        <v>0</v>
      </c>
      <c r="Z15" s="13">
        <f t="shared" si="3"/>
        <v>0</v>
      </c>
    </row>
    <row r="16" spans="1:26" x14ac:dyDescent="0.25">
      <c r="D16" s="4"/>
      <c r="E16" s="4"/>
      <c r="F16" s="7"/>
      <c r="G16" s="5"/>
      <c r="H16" s="7" t="str">
        <f t="shared" si="5"/>
        <v/>
      </c>
      <c r="I16" s="5"/>
      <c r="J16" s="4"/>
      <c r="K16" s="6"/>
      <c r="L16" s="4" t="str">
        <f t="shared" si="0"/>
        <v/>
      </c>
      <c r="W16" s="12">
        <f t="shared" si="4"/>
        <v>0</v>
      </c>
      <c r="X16" s="12" t="str">
        <f t="shared" si="1"/>
        <v/>
      </c>
      <c r="Y16" s="13">
        <f t="shared" si="2"/>
        <v>0</v>
      </c>
      <c r="Z16" s="13">
        <f t="shared" si="3"/>
        <v>0</v>
      </c>
    </row>
    <row r="17" spans="4:26" x14ac:dyDescent="0.25">
      <c r="D17" s="4"/>
      <c r="E17" s="4"/>
      <c r="F17" s="7"/>
      <c r="G17" s="5"/>
      <c r="H17" s="7" t="str">
        <f t="shared" si="5"/>
        <v/>
      </c>
      <c r="I17" s="5"/>
      <c r="J17" s="4"/>
      <c r="K17" s="6"/>
      <c r="L17" s="4" t="str">
        <f t="shared" si="0"/>
        <v/>
      </c>
      <c r="W17" s="12">
        <f t="shared" si="4"/>
        <v>0</v>
      </c>
      <c r="X17" s="12" t="str">
        <f t="shared" si="1"/>
        <v/>
      </c>
      <c r="Y17" s="13">
        <f t="shared" si="2"/>
        <v>0</v>
      </c>
      <c r="Z17" s="13">
        <f t="shared" si="3"/>
        <v>0</v>
      </c>
    </row>
    <row r="18" spans="4:26" x14ac:dyDescent="0.25">
      <c r="D18" s="4"/>
      <c r="E18" s="4"/>
      <c r="F18" s="7"/>
      <c r="G18" s="5"/>
      <c r="H18" s="7" t="str">
        <f t="shared" si="5"/>
        <v/>
      </c>
      <c r="I18" s="5"/>
      <c r="J18" s="4"/>
      <c r="K18" s="6"/>
      <c r="L18" s="4" t="str">
        <f t="shared" si="0"/>
        <v/>
      </c>
      <c r="W18" s="12">
        <f t="shared" si="4"/>
        <v>0</v>
      </c>
      <c r="X18" s="12" t="str">
        <f t="shared" si="1"/>
        <v/>
      </c>
      <c r="Y18" s="13">
        <f t="shared" si="2"/>
        <v>0</v>
      </c>
      <c r="Z18" s="13">
        <f t="shared" si="3"/>
        <v>0</v>
      </c>
    </row>
    <row r="19" spans="4:26" x14ac:dyDescent="0.25">
      <c r="W19" s="12">
        <f t="shared" si="4"/>
        <v>0</v>
      </c>
      <c r="X19" s="12">
        <f t="shared" si="1"/>
        <v>0</v>
      </c>
      <c r="Y19" s="13">
        <f t="shared" si="2"/>
        <v>0</v>
      </c>
      <c r="Z19" s="13">
        <f t="shared" si="3"/>
        <v>0</v>
      </c>
    </row>
    <row r="20" spans="4:26" x14ac:dyDescent="0.25">
      <c r="W20" s="12">
        <f t="shared" si="4"/>
        <v>0</v>
      </c>
      <c r="X20" s="12">
        <f t="shared" si="1"/>
        <v>0</v>
      </c>
      <c r="Y20" s="13">
        <f t="shared" si="2"/>
        <v>0</v>
      </c>
      <c r="Z20" s="13">
        <f t="shared" si="3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B686-DDA5-4A09-9B86-6387150739A1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5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64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0.53</v>
      </c>
      <c r="D3" s="4">
        <v>1</v>
      </c>
      <c r="E3" s="4" t="s">
        <v>0</v>
      </c>
      <c r="F3" s="7">
        <v>45740</v>
      </c>
      <c r="G3" s="5">
        <v>1.5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-1.5</v>
      </c>
      <c r="Z3" s="13">
        <f>I3+J3</f>
        <v>0</v>
      </c>
    </row>
    <row r="4" spans="1:26" x14ac:dyDescent="0.25">
      <c r="A4" s="1" t="s">
        <v>36</v>
      </c>
      <c r="B4" s="10">
        <v>0.15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1.5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209C-1074-40BA-9306-FCADCE411BFB}">
  <dimension ref="A1:Z23"/>
  <sheetViews>
    <sheetView workbookViewId="0">
      <selection activeCell="G12" sqref="G12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22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57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</v>
      </c>
      <c r="D3" s="4">
        <v>1</v>
      </c>
      <c r="E3" s="4" t="s">
        <v>18</v>
      </c>
      <c r="F3" s="7">
        <v>45740</v>
      </c>
      <c r="G3" s="5">
        <v>3.99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-3.99</v>
      </c>
      <c r="Z3" s="13">
        <f>I3+J3</f>
        <v>0</v>
      </c>
    </row>
    <row r="4" spans="1:26" x14ac:dyDescent="0.25">
      <c r="A4" s="1" t="s">
        <v>36</v>
      </c>
      <c r="B4" s="10">
        <v>0.48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3.99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95F6-4902-4001-9867-30DD90862C93}">
  <dimension ref="A1:Z23"/>
  <sheetViews>
    <sheetView workbookViewId="0">
      <selection activeCell="D5" sqref="D5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47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11</v>
      </c>
      <c r="F3" s="7">
        <v>45740</v>
      </c>
      <c r="G3" s="5">
        <v>3.58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-3.58</v>
      </c>
      <c r="Z3" s="13">
        <f>I3+J3</f>
        <v>0</v>
      </c>
    </row>
    <row r="4" spans="1:26" x14ac:dyDescent="0.25">
      <c r="A4" s="1" t="s">
        <v>36</v>
      </c>
      <c r="B4" s="10">
        <v>0.63</v>
      </c>
      <c r="D4" s="4">
        <v>2</v>
      </c>
      <c r="E4" s="4" t="s">
        <v>0</v>
      </c>
      <c r="F4" s="7">
        <v>45740</v>
      </c>
      <c r="G4" s="5">
        <v>1.02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45740</v>
      </c>
      <c r="X4" s="12" t="str">
        <f t="shared" ref="X4:X20" si="2">H4</f>
        <v/>
      </c>
      <c r="Y4" s="13">
        <f t="shared" ref="Y4:Y20" si="3">G4*(-1)</f>
        <v>-1.02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4.5999999999999996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DCA7-C59C-4BDC-B218-117461BF682B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12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48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0.74</v>
      </c>
      <c r="D3" s="4">
        <v>1</v>
      </c>
      <c r="E3" s="4" t="s">
        <v>11</v>
      </c>
      <c r="F3" s="7">
        <v>45740</v>
      </c>
      <c r="G3" s="5">
        <v>2.74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45740</v>
      </c>
      <c r="X3" s="12" t="str">
        <f>H3</f>
        <v/>
      </c>
      <c r="Y3" s="13">
        <f>G3*(-1)</f>
        <v>-2.74</v>
      </c>
      <c r="Z3" s="13">
        <f>I3+J3</f>
        <v>0</v>
      </c>
    </row>
    <row r="4" spans="1:26" x14ac:dyDescent="0.25">
      <c r="A4" s="1" t="s">
        <v>36</v>
      </c>
      <c r="B4" s="10">
        <v>0.84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2.74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40A9-F67E-4B28-A149-A7CCF7A3D86C}">
  <sheetPr>
    <tabColor rgb="FF00B050"/>
  </sheetPr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11" t="s">
        <v>13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41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</v>
      </c>
      <c r="D3" s="4">
        <v>1</v>
      </c>
      <c r="E3" s="4" t="s">
        <v>11</v>
      </c>
      <c r="F3" s="7">
        <v>45740</v>
      </c>
      <c r="G3" s="5">
        <v>1</v>
      </c>
      <c r="H3" s="7">
        <f>IF($B$9&gt;0,$B$9,"")</f>
        <v>45817</v>
      </c>
      <c r="I3" s="5">
        <v>1</v>
      </c>
      <c r="J3" s="4">
        <v>0.05</v>
      </c>
      <c r="K3" s="6">
        <v>0.2752</v>
      </c>
      <c r="L3" s="4">
        <f>IF($B$10=$B$11,H3-F3,"")</f>
        <v>77</v>
      </c>
      <c r="W3" s="12">
        <f>F3</f>
        <v>45740</v>
      </c>
      <c r="X3" s="12">
        <f>H3</f>
        <v>45817</v>
      </c>
      <c r="Y3" s="13">
        <f>G3*(-1)</f>
        <v>-1</v>
      </c>
      <c r="Z3" s="13">
        <f>I3+J3</f>
        <v>1.05</v>
      </c>
    </row>
    <row r="4" spans="1:26" x14ac:dyDescent="0.25">
      <c r="A4" s="1" t="s">
        <v>36</v>
      </c>
      <c r="B4" s="10">
        <v>0.56999999999999995</v>
      </c>
      <c r="D4" s="4"/>
      <c r="E4" s="4"/>
      <c r="F4" s="7"/>
      <c r="G4" s="5"/>
      <c r="H4" s="7"/>
      <c r="I4" s="5"/>
      <c r="J4" s="5"/>
      <c r="K4" s="6"/>
      <c r="L4" s="4"/>
      <c r="W4" s="12">
        <f>F4</f>
        <v>0</v>
      </c>
      <c r="X4" s="12">
        <f t="shared" ref="X4:X20" si="0">H4</f>
        <v>0</v>
      </c>
      <c r="Y4" s="13">
        <f t="shared" ref="Y4:Y20" si="1">G4*(-1)</f>
        <v>0</v>
      </c>
      <c r="Z4" s="13">
        <f t="shared" ref="Z4:Z20" si="2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3">F6</f>
        <v>0</v>
      </c>
      <c r="X6" s="12">
        <f t="shared" si="0"/>
        <v>0</v>
      </c>
      <c r="Y6" s="13">
        <f t="shared" si="1"/>
        <v>0</v>
      </c>
      <c r="Z6" s="13">
        <f t="shared" si="2"/>
        <v>0</v>
      </c>
    </row>
    <row r="7" spans="1:26" x14ac:dyDescent="0.25">
      <c r="A7" s="1" t="s">
        <v>37</v>
      </c>
      <c r="B7" s="8">
        <f>SUMPRODUCT(F3:F20,G3:G20)/SUM(G3:G20)</f>
        <v>45740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3"/>
        <v>0</v>
      </c>
      <c r="X7" s="12">
        <f t="shared" si="0"/>
        <v>0</v>
      </c>
      <c r="Y7" s="13">
        <f t="shared" si="1"/>
        <v>0</v>
      </c>
      <c r="Z7" s="13">
        <f t="shared" si="2"/>
        <v>0</v>
      </c>
    </row>
    <row r="8" spans="1:26" x14ac:dyDescent="0.25">
      <c r="A8" s="1" t="s">
        <v>72</v>
      </c>
      <c r="B8" s="8">
        <v>45624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3"/>
        <v>0</v>
      </c>
      <c r="X8" s="12">
        <f t="shared" si="0"/>
        <v>0</v>
      </c>
      <c r="Y8" s="13">
        <f t="shared" si="1"/>
        <v>0</v>
      </c>
      <c r="Z8" s="13">
        <f t="shared" si="2"/>
        <v>0</v>
      </c>
    </row>
    <row r="9" spans="1:26" x14ac:dyDescent="0.25">
      <c r="A9" s="1" t="s">
        <v>76</v>
      </c>
      <c r="B9" s="8">
        <v>45817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3"/>
        <v>0</v>
      </c>
      <c r="X9" s="12">
        <f t="shared" si="0"/>
        <v>0</v>
      </c>
      <c r="Y9" s="13">
        <f t="shared" si="1"/>
        <v>0</v>
      </c>
      <c r="Z9" s="13">
        <f t="shared" si="2"/>
        <v>0</v>
      </c>
    </row>
    <row r="10" spans="1:26" x14ac:dyDescent="0.25">
      <c r="A10" s="1" t="s">
        <v>37</v>
      </c>
      <c r="B10" s="2">
        <f>SUM(G3:G20)</f>
        <v>1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3"/>
        <v>0</v>
      </c>
      <c r="X10" s="12">
        <f t="shared" si="0"/>
        <v>0</v>
      </c>
      <c r="Y10" s="13">
        <f t="shared" si="1"/>
        <v>0</v>
      </c>
      <c r="Z10" s="13">
        <f t="shared" si="2"/>
        <v>0</v>
      </c>
    </row>
    <row r="11" spans="1:26" x14ac:dyDescent="0.25">
      <c r="A11" s="1" t="s">
        <v>31</v>
      </c>
      <c r="B11" s="2">
        <f>SUM(I3:I20)</f>
        <v>1</v>
      </c>
      <c r="D11" s="4"/>
      <c r="E11" s="4"/>
      <c r="F11" s="7"/>
      <c r="G11" s="5"/>
      <c r="H11" s="7"/>
      <c r="I11" s="5"/>
      <c r="J11" s="4"/>
      <c r="K11" s="6"/>
      <c r="L11" s="4"/>
      <c r="W11" s="12">
        <f t="shared" si="3"/>
        <v>0</v>
      </c>
      <c r="X11" s="12">
        <f t="shared" si="0"/>
        <v>0</v>
      </c>
      <c r="Y11" s="13">
        <f t="shared" si="1"/>
        <v>0</v>
      </c>
      <c r="Z11" s="13">
        <f t="shared" si="2"/>
        <v>0</v>
      </c>
    </row>
    <row r="12" spans="1:26" x14ac:dyDescent="0.25">
      <c r="A12" s="1" t="s">
        <v>10</v>
      </c>
      <c r="B12" s="2">
        <f>SUM(J3:J20)</f>
        <v>0.05</v>
      </c>
      <c r="D12" s="4"/>
      <c r="E12" s="4"/>
      <c r="F12" s="7"/>
      <c r="G12" s="5"/>
      <c r="H12" s="7"/>
      <c r="I12" s="5"/>
      <c r="J12" s="4"/>
      <c r="K12" s="6"/>
      <c r="L12" s="4"/>
      <c r="W12" s="12">
        <f t="shared" si="3"/>
        <v>0</v>
      </c>
      <c r="X12" s="12">
        <f t="shared" si="0"/>
        <v>0</v>
      </c>
      <c r="Y12" s="13">
        <f t="shared" si="1"/>
        <v>0</v>
      </c>
      <c r="Z12" s="13">
        <f t="shared" si="2"/>
        <v>0</v>
      </c>
    </row>
    <row r="13" spans="1:26" x14ac:dyDescent="0.25">
      <c r="A13" s="1" t="s">
        <v>78</v>
      </c>
      <c r="B13" s="10">
        <f>IF(B10=B11,XIRR(Y3:Z20,W3:X20),"")</f>
        <v>0.26020959019660961</v>
      </c>
      <c r="D13" s="4"/>
      <c r="E13" s="4"/>
      <c r="F13" s="7"/>
      <c r="G13" s="5"/>
      <c r="H13" s="7"/>
      <c r="I13" s="5"/>
      <c r="J13" s="4"/>
      <c r="K13" s="6"/>
      <c r="L13" s="4"/>
      <c r="W13" s="12">
        <f t="shared" si="3"/>
        <v>0</v>
      </c>
      <c r="X13" s="12">
        <f t="shared" si="0"/>
        <v>0</v>
      </c>
      <c r="Y13" s="13">
        <f t="shared" si="1"/>
        <v>0</v>
      </c>
      <c r="Z13" s="13">
        <f t="shared" si="2"/>
        <v>0</v>
      </c>
    </row>
    <row r="14" spans="1:26" x14ac:dyDescent="0.25">
      <c r="A14" s="21" t="s">
        <v>79</v>
      </c>
      <c r="B14" s="23">
        <f>IF(B10=B11,SUMPRODUCT(L3:L20,G3:G20)/SUM(G3:G20),"")</f>
        <v>77</v>
      </c>
      <c r="D14" s="4"/>
      <c r="E14" s="4"/>
      <c r="F14" s="7"/>
      <c r="G14" s="5"/>
      <c r="H14" s="7"/>
      <c r="I14" s="5"/>
      <c r="J14" s="4"/>
      <c r="K14" s="6"/>
      <c r="L14" s="4"/>
      <c r="W14" s="12">
        <f t="shared" si="3"/>
        <v>0</v>
      </c>
      <c r="X14" s="12">
        <f t="shared" si="0"/>
        <v>0</v>
      </c>
      <c r="Y14" s="13">
        <f t="shared" si="1"/>
        <v>0</v>
      </c>
      <c r="Z14" s="13">
        <f t="shared" si="2"/>
        <v>0</v>
      </c>
    </row>
    <row r="15" spans="1:26" x14ac:dyDescent="0.25">
      <c r="D15" s="4"/>
      <c r="E15" s="4"/>
      <c r="F15" s="7"/>
      <c r="G15" s="5"/>
      <c r="H15" s="7"/>
      <c r="I15" s="5"/>
      <c r="J15" s="4"/>
      <c r="K15" s="6"/>
      <c r="L15" s="4"/>
      <c r="W15" s="12">
        <f t="shared" si="3"/>
        <v>0</v>
      </c>
      <c r="X15" s="12">
        <f t="shared" si="0"/>
        <v>0</v>
      </c>
      <c r="Y15" s="13">
        <f t="shared" si="1"/>
        <v>0</v>
      </c>
      <c r="Z15" s="13">
        <f t="shared" si="2"/>
        <v>0</v>
      </c>
    </row>
    <row r="16" spans="1:26" x14ac:dyDescent="0.25">
      <c r="D16" s="4"/>
      <c r="E16" s="4"/>
      <c r="F16" s="7"/>
      <c r="G16" s="5"/>
      <c r="H16" s="7"/>
      <c r="I16" s="5"/>
      <c r="J16" s="4"/>
      <c r="K16" s="6"/>
      <c r="L16" s="4"/>
      <c r="W16" s="12">
        <f t="shared" si="3"/>
        <v>0</v>
      </c>
      <c r="X16" s="12">
        <f t="shared" si="0"/>
        <v>0</v>
      </c>
      <c r="Y16" s="13">
        <f t="shared" si="1"/>
        <v>0</v>
      </c>
      <c r="Z16" s="13">
        <f t="shared" si="2"/>
        <v>0</v>
      </c>
    </row>
    <row r="17" spans="4:26" x14ac:dyDescent="0.25">
      <c r="D17" s="4"/>
      <c r="E17" s="4"/>
      <c r="F17" s="7"/>
      <c r="G17" s="5"/>
      <c r="H17" s="7"/>
      <c r="I17" s="5"/>
      <c r="J17" s="4"/>
      <c r="K17" s="6"/>
      <c r="L17" s="4"/>
      <c r="W17" s="12">
        <f t="shared" si="3"/>
        <v>0</v>
      </c>
      <c r="X17" s="12">
        <f t="shared" si="0"/>
        <v>0</v>
      </c>
      <c r="Y17" s="13">
        <f t="shared" si="1"/>
        <v>0</v>
      </c>
      <c r="Z17" s="13">
        <f t="shared" si="2"/>
        <v>0</v>
      </c>
    </row>
    <row r="18" spans="4:26" x14ac:dyDescent="0.25">
      <c r="D18" s="4"/>
      <c r="E18" s="4"/>
      <c r="F18" s="7"/>
      <c r="G18" s="5"/>
      <c r="H18" s="7"/>
      <c r="I18" s="5"/>
      <c r="J18" s="4"/>
      <c r="K18" s="6"/>
      <c r="L18" s="4"/>
      <c r="W18" s="12">
        <f t="shared" si="3"/>
        <v>0</v>
      </c>
      <c r="X18" s="12">
        <f t="shared" si="0"/>
        <v>0</v>
      </c>
      <c r="Y18" s="13">
        <f t="shared" si="1"/>
        <v>0</v>
      </c>
      <c r="Z18" s="13">
        <f t="shared" si="2"/>
        <v>0</v>
      </c>
    </row>
    <row r="19" spans="4:26" x14ac:dyDescent="0.25">
      <c r="W19" s="12">
        <f t="shared" si="3"/>
        <v>0</v>
      </c>
      <c r="X19" s="12">
        <f t="shared" si="0"/>
        <v>0</v>
      </c>
      <c r="Y19" s="13">
        <f t="shared" si="1"/>
        <v>0</v>
      </c>
      <c r="Z19" s="13">
        <f t="shared" si="2"/>
        <v>0</v>
      </c>
    </row>
    <row r="20" spans="4:26" x14ac:dyDescent="0.25">
      <c r="W20" s="12">
        <f t="shared" si="3"/>
        <v>0</v>
      </c>
      <c r="X20" s="12">
        <f t="shared" si="0"/>
        <v>0</v>
      </c>
      <c r="Y20" s="13">
        <f t="shared" si="1"/>
        <v>0</v>
      </c>
      <c r="Z20" s="13">
        <f t="shared" si="2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BA34-80A8-4CC9-A1EA-69FA4F89FAA3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14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63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11</v>
      </c>
      <c r="F3" s="7">
        <v>45741</v>
      </c>
      <c r="G3" s="5">
        <v>4.1900000000000004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-4.1900000000000004</v>
      </c>
      <c r="Z3" s="13">
        <f>I3+J3</f>
        <v>0</v>
      </c>
    </row>
    <row r="4" spans="1:26" x14ac:dyDescent="0.25">
      <c r="A4" s="1" t="s">
        <v>36</v>
      </c>
      <c r="B4" s="10">
        <v>0.59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4.1900000000000004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4325-119C-4D0B-A8AE-7271CCBBB012}">
  <dimension ref="A1:Z23"/>
  <sheetViews>
    <sheetView workbookViewId="0">
      <selection activeCell="D4" sqref="D4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3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49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0.46</v>
      </c>
      <c r="D3" s="4">
        <v>1</v>
      </c>
      <c r="E3" s="4" t="s">
        <v>0</v>
      </c>
      <c r="F3" s="7">
        <v>45741</v>
      </c>
      <c r="G3" s="5">
        <v>1.21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-1.21</v>
      </c>
      <c r="Z3" s="13">
        <f>I3+J3</f>
        <v>0</v>
      </c>
    </row>
    <row r="4" spans="1:26" x14ac:dyDescent="0.25">
      <c r="A4" s="1" t="s">
        <v>36</v>
      </c>
      <c r="B4" s="10">
        <v>0.52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45741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45666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1.21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2938-C4F7-4EEC-A15A-FBF1B20C3D02}">
  <dimension ref="A1:Z23"/>
  <sheetViews>
    <sheetView workbookViewId="0">
      <selection activeCell="D4" sqref="D4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24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58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81</v>
      </c>
      <c r="F3" s="7">
        <v>45831</v>
      </c>
      <c r="G3" s="5">
        <v>2.3199999999999998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-2.3199999999999998</v>
      </c>
      <c r="Z3" s="13">
        <f>I3+J3</f>
        <v>0</v>
      </c>
    </row>
    <row r="4" spans="1:26" x14ac:dyDescent="0.25">
      <c r="A4" s="1" t="s">
        <v>36</v>
      </c>
      <c r="B4" s="10">
        <v>0.42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2.3199999999999998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7545-BE76-44C0-948C-E85D97DC9BBE}">
  <dimension ref="A1:Z23"/>
  <sheetViews>
    <sheetView workbookViewId="0">
      <selection activeCell="D4" sqref="D4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25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59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0.65</v>
      </c>
      <c r="D3" s="4">
        <v>1</v>
      </c>
      <c r="E3" s="4" t="s">
        <v>81</v>
      </c>
      <c r="F3" s="7">
        <v>45831</v>
      </c>
      <c r="G3" s="5">
        <v>2.8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-2.8</v>
      </c>
      <c r="Z3" s="13">
        <f>I3+J3</f>
        <v>0</v>
      </c>
    </row>
    <row r="4" spans="1:26" x14ac:dyDescent="0.25">
      <c r="A4" s="1" t="s">
        <v>36</v>
      </c>
      <c r="B4" s="10">
        <v>0.62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9ED3-878C-4E26-8DAD-2B3E0D8697FC}">
  <dimension ref="A1:Z23"/>
  <sheetViews>
    <sheetView workbookViewId="0">
      <selection activeCell="D4" sqref="D4:G6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26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60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81</v>
      </c>
      <c r="F3" s="7">
        <v>45831</v>
      </c>
      <c r="G3" s="5">
        <v>1.72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-1.72</v>
      </c>
      <c r="Z3" s="13">
        <f>I3+J3</f>
        <v>0</v>
      </c>
    </row>
    <row r="4" spans="1:26" x14ac:dyDescent="0.25">
      <c r="A4" s="1" t="s">
        <v>36</v>
      </c>
      <c r="B4" s="10">
        <v>0.7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45830.999999999993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1.72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BDA4-9EF6-40EC-B1DC-BC3502D33432}">
  <dimension ref="A1:Z23"/>
  <sheetViews>
    <sheetView workbookViewId="0">
      <selection activeCell="D4" sqref="D4:G6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27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61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0.75</v>
      </c>
      <c r="D3" s="4">
        <v>1</v>
      </c>
      <c r="E3" s="4" t="s">
        <v>81</v>
      </c>
      <c r="F3" s="7">
        <v>45831</v>
      </c>
      <c r="G3" s="5">
        <v>2.34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-2.34</v>
      </c>
      <c r="Z3" s="13">
        <f>I3+J3</f>
        <v>0</v>
      </c>
    </row>
    <row r="4" spans="1:26" x14ac:dyDescent="0.25">
      <c r="A4" s="1" t="s">
        <v>36</v>
      </c>
      <c r="B4" s="10">
        <v>0.4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2.34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4406-D99C-4E1E-9208-C4BFF8A52253}">
  <dimension ref="A1:Z23"/>
  <sheetViews>
    <sheetView workbookViewId="0">
      <selection activeCell="D4" sqref="D4:G6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28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43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0.65</v>
      </c>
      <c r="D3" s="4">
        <v>1</v>
      </c>
      <c r="E3" s="4" t="s">
        <v>81</v>
      </c>
      <c r="F3" s="7">
        <v>45831</v>
      </c>
      <c r="G3" s="5">
        <v>1.6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-1.6</v>
      </c>
      <c r="Z3" s="13">
        <f>I3+J3</f>
        <v>0</v>
      </c>
    </row>
    <row r="4" spans="1:26" x14ac:dyDescent="0.25">
      <c r="A4" s="1" t="s">
        <v>36</v>
      </c>
      <c r="B4" s="10">
        <v>0.71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1.6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2908-298F-44D8-8804-0A3444E0A618}">
  <dimension ref="A1:Z23"/>
  <sheetViews>
    <sheetView workbookViewId="0">
      <selection activeCell="D4" sqref="D4:G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29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44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0.66</v>
      </c>
      <c r="D3" s="4">
        <v>1</v>
      </c>
      <c r="E3" s="4" t="s">
        <v>81</v>
      </c>
      <c r="F3" s="7">
        <v>45831</v>
      </c>
      <c r="G3" s="5">
        <v>3.92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-3.92</v>
      </c>
      <c r="Z3" s="13">
        <f>I3+J3</f>
        <v>0</v>
      </c>
    </row>
    <row r="4" spans="1:26" x14ac:dyDescent="0.25">
      <c r="A4" s="1" t="s">
        <v>36</v>
      </c>
      <c r="B4" s="10">
        <v>0.81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3.92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7903-863B-4C64-8E15-311EAC682606}">
  <dimension ref="A1:Z23"/>
  <sheetViews>
    <sheetView workbookViewId="0">
      <selection activeCell="D4" sqref="D4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35</v>
      </c>
      <c r="B1" s="9" t="s">
        <v>30</v>
      </c>
      <c r="D1" s="41"/>
      <c r="E1" s="35" t="s">
        <v>40</v>
      </c>
      <c r="F1" s="32" t="s">
        <v>37</v>
      </c>
      <c r="G1" s="33"/>
      <c r="H1" s="32" t="s">
        <v>74</v>
      </c>
      <c r="I1" s="37"/>
      <c r="J1" s="37"/>
      <c r="K1" s="37"/>
      <c r="L1" s="33"/>
    </row>
    <row r="2" spans="1:26" x14ac:dyDescent="0.25">
      <c r="A2" s="1" t="s">
        <v>77</v>
      </c>
      <c r="B2" s="9" t="s">
        <v>62</v>
      </c>
      <c r="D2" s="42"/>
      <c r="E2" s="36"/>
      <c r="F2" s="3" t="s">
        <v>32</v>
      </c>
      <c r="G2" s="3" t="s">
        <v>73</v>
      </c>
      <c r="H2" s="3" t="s">
        <v>39</v>
      </c>
      <c r="I2" s="3" t="s">
        <v>69</v>
      </c>
      <c r="J2" s="3" t="s">
        <v>10</v>
      </c>
      <c r="K2" s="3" t="s">
        <v>33</v>
      </c>
      <c r="L2" s="3" t="s">
        <v>38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81</v>
      </c>
      <c r="F3" s="7">
        <v>45831</v>
      </c>
      <c r="G3" s="5">
        <v>2.65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45831</v>
      </c>
      <c r="X3" s="12" t="str">
        <f>H3</f>
        <v/>
      </c>
      <c r="Y3" s="13">
        <f>G3*(-1)</f>
        <v>-2.65</v>
      </c>
      <c r="Z3" s="13">
        <f>I3+J3</f>
        <v>0</v>
      </c>
    </row>
    <row r="4" spans="1:26" x14ac:dyDescent="0.25">
      <c r="A4" s="1" t="s">
        <v>36</v>
      </c>
      <c r="B4" s="10">
        <v>0.47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37</v>
      </c>
      <c r="B7" s="8">
        <f>SUMPRODUCT(F3:F20,G3:G20)/SUM(G3:G20)</f>
        <v>45831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72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76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37</v>
      </c>
      <c r="B10" s="2">
        <f>SUM(G3:G20)</f>
        <v>2.65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31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78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1" t="s">
        <v>79</v>
      </c>
      <c r="B14" s="23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Overview</vt:lpstr>
      <vt:lpstr>Pinigai</vt:lpstr>
      <vt:lpstr>J036</vt:lpstr>
      <vt:lpstr>J038</vt:lpstr>
      <vt:lpstr>J040</vt:lpstr>
      <vt:lpstr>J044</vt:lpstr>
      <vt:lpstr>J046</vt:lpstr>
      <vt:lpstr>J052</vt:lpstr>
      <vt:lpstr>J053</vt:lpstr>
      <vt:lpstr>J057</vt:lpstr>
      <vt:lpstr>J059</vt:lpstr>
      <vt:lpstr>J061</vt:lpstr>
      <vt:lpstr>J062</vt:lpstr>
      <vt:lpstr>J063</vt:lpstr>
      <vt:lpstr>J067</vt:lpstr>
      <vt:lpstr>J071</vt:lpstr>
      <vt:lpstr>R077</vt:lpstr>
      <vt:lpstr>R078</vt:lpstr>
      <vt:lpstr>R079</vt:lpstr>
      <vt:lpstr>R080</vt:lpstr>
      <vt:lpstr>R081</vt:lpstr>
      <vt:lpstr>R089</vt:lpstr>
      <vt:lpstr>R090</vt:lpstr>
      <vt:lpstr>R091</vt:lpstr>
      <vt:lpstr>R092</vt:lpstr>
      <vt:lpstr>R093</vt:lpstr>
      <vt:lpstr>R094</vt:lpstr>
      <vt:lpstr>R096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2025-06-10T11:13:01Z</dcterms:created>
  <dcterms:modified xsi:type="dcterms:W3CDTF">2026-09-30T16:30:00Z</dcterms:modified>
</cp:coreProperties>
</file>