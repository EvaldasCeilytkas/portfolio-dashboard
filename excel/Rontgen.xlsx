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Rontgen\"/>
    </mc:Choice>
  </mc:AlternateContent>
  <xr:revisionPtr revIDLastSave="0" documentId="13_ncr:1_{9BAA9BC6-E89E-400E-A742-7C70E302A8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Pinigai" sheetId="12" r:id="rId2"/>
    <sheet name="Laikas mėtoms VII, Vilnius" sheetId="16" r:id="rId3"/>
    <sheet name="UAB „Dear Home&quot; projektai XV" sheetId="15" r:id="rId4"/>
    <sheet name="Kaip Niujorke XXXVIII, Vilnius" sheetId="14" r:id="rId5"/>
    <sheet name="UAB &quot;NT reikalas&quot; projektai VI" sheetId="13" r:id="rId6"/>
    <sheet name="ROOTHAUS I, Vilnius" sheetId="6" r:id="rId7"/>
    <sheet name="Pylimo g. 57 butai II, Vilnius" sheetId="5" r:id="rId8"/>
    <sheet name="Spanguolių takai XXXVIII, Riešė" sheetId="4" r:id="rId9"/>
    <sheet name="Panemunės apartamentai IX" sheetId="3" r:id="rId10"/>
    <sheet name="Riverland III butai VI, Vilnius" sheetId="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0" i="12" l="1"/>
  <c r="Q3" i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2" i="12"/>
  <c r="I7" i="1" l="1"/>
  <c r="Z41" i="2" l="1"/>
  <c r="Y41" i="2"/>
  <c r="Z40" i="2"/>
  <c r="Y40" i="2"/>
  <c r="Z39" i="2"/>
  <c r="Y39" i="2"/>
  <c r="Z38" i="2"/>
  <c r="Y38" i="2"/>
  <c r="Z37" i="2"/>
  <c r="Y37" i="2"/>
  <c r="Z36" i="2"/>
  <c r="Y36" i="2"/>
  <c r="Z35" i="2"/>
  <c r="Y35" i="2"/>
  <c r="Z34" i="2"/>
  <c r="Y34" i="2"/>
  <c r="Z33" i="2"/>
  <c r="Y33" i="2"/>
  <c r="Z32" i="2"/>
  <c r="Y32" i="2"/>
  <c r="Z31" i="2"/>
  <c r="Y31" i="2"/>
  <c r="Z30" i="2"/>
  <c r="Y30" i="2"/>
  <c r="Z29" i="2"/>
  <c r="Y29" i="2"/>
  <c r="Z28" i="2"/>
  <c r="Y28" i="2"/>
  <c r="Z27" i="2"/>
  <c r="Y27" i="2"/>
  <c r="Z26" i="2"/>
  <c r="Y26" i="2"/>
  <c r="Z25" i="2"/>
  <c r="Y25" i="2"/>
  <c r="Z24" i="2"/>
  <c r="Y24" i="2"/>
  <c r="Z23" i="2"/>
  <c r="Y23" i="2"/>
  <c r="Z22" i="2"/>
  <c r="Y22" i="2"/>
  <c r="Z21" i="2"/>
  <c r="Y21" i="2"/>
  <c r="Z20" i="2"/>
  <c r="Y20" i="2"/>
  <c r="Z19" i="2"/>
  <c r="Y19" i="2"/>
  <c r="Z18" i="2"/>
  <c r="Y18" i="2"/>
  <c r="Z17" i="2"/>
  <c r="Y17" i="2"/>
  <c r="Z16" i="2"/>
  <c r="Y16" i="2"/>
  <c r="Z15" i="2"/>
  <c r="Y15" i="2"/>
  <c r="Z14" i="2"/>
  <c r="Y14" i="2"/>
  <c r="Z13" i="2"/>
  <c r="Y13" i="2"/>
  <c r="Z12" i="2"/>
  <c r="Y12" i="2"/>
  <c r="Z11" i="2"/>
  <c r="Y11" i="2"/>
  <c r="Z10" i="2"/>
  <c r="Y10" i="2"/>
  <c r="Z9" i="2"/>
  <c r="Y9" i="2"/>
  <c r="Z8" i="2"/>
  <c r="Y8" i="2"/>
  <c r="Z7" i="2"/>
  <c r="Y7" i="2"/>
  <c r="Z6" i="2"/>
  <c r="Y6" i="2"/>
  <c r="Z5" i="2"/>
  <c r="Y5" i="2"/>
  <c r="Z4" i="2"/>
  <c r="Y4" i="2"/>
  <c r="Z3" i="2"/>
  <c r="Y3" i="2"/>
  <c r="S3" i="2"/>
  <c r="K3" i="1" s="1"/>
  <c r="M3" i="2"/>
  <c r="AA2" i="2"/>
  <c r="AC3" i="1" s="1"/>
  <c r="Z2" i="2"/>
  <c r="Y2" i="2"/>
  <c r="I42" i="2"/>
  <c r="H42" i="2"/>
  <c r="P3" i="2" s="1"/>
  <c r="G42" i="2"/>
  <c r="N3" i="2" s="1"/>
  <c r="Q3" i="2" s="1"/>
  <c r="F42" i="2"/>
  <c r="O3" i="2" s="1"/>
  <c r="E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Z41" i="3"/>
  <c r="Y41" i="3"/>
  <c r="Z40" i="3"/>
  <c r="Y40" i="3"/>
  <c r="Z39" i="3"/>
  <c r="Y39" i="3"/>
  <c r="Z38" i="3"/>
  <c r="Y38" i="3"/>
  <c r="Z37" i="3"/>
  <c r="Y37" i="3"/>
  <c r="Z36" i="3"/>
  <c r="Y36" i="3"/>
  <c r="Z35" i="3"/>
  <c r="Y35" i="3"/>
  <c r="Z34" i="3"/>
  <c r="Y34" i="3"/>
  <c r="Z33" i="3"/>
  <c r="Y33" i="3"/>
  <c r="Z32" i="3"/>
  <c r="Y32" i="3"/>
  <c r="Z31" i="3"/>
  <c r="Y31" i="3"/>
  <c r="Z30" i="3"/>
  <c r="Y30" i="3"/>
  <c r="Z29" i="3"/>
  <c r="Y29" i="3"/>
  <c r="Z28" i="3"/>
  <c r="Y28" i="3"/>
  <c r="Z27" i="3"/>
  <c r="Y27" i="3"/>
  <c r="Z26" i="3"/>
  <c r="Y26" i="3"/>
  <c r="Z25" i="3"/>
  <c r="Y25" i="3"/>
  <c r="Z24" i="3"/>
  <c r="Y24" i="3"/>
  <c r="Z23" i="3"/>
  <c r="Y23" i="3"/>
  <c r="Z22" i="3"/>
  <c r="Y22" i="3"/>
  <c r="Z21" i="3"/>
  <c r="Y21" i="3"/>
  <c r="Z20" i="3"/>
  <c r="Y20" i="3"/>
  <c r="Z19" i="3"/>
  <c r="Y19" i="3"/>
  <c r="Z18" i="3"/>
  <c r="Y18" i="3"/>
  <c r="Z17" i="3"/>
  <c r="Y17" i="3"/>
  <c r="Z16" i="3"/>
  <c r="Y16" i="3"/>
  <c r="Z15" i="3"/>
  <c r="Y15" i="3"/>
  <c r="Z14" i="3"/>
  <c r="Y14" i="3"/>
  <c r="Z13" i="3"/>
  <c r="Y13" i="3"/>
  <c r="Z12" i="3"/>
  <c r="Y12" i="3"/>
  <c r="Z11" i="3"/>
  <c r="Y11" i="3"/>
  <c r="Z10" i="3"/>
  <c r="Y10" i="3"/>
  <c r="Z9" i="3"/>
  <c r="Y9" i="3"/>
  <c r="Z8" i="3"/>
  <c r="Y8" i="3"/>
  <c r="Z7" i="3"/>
  <c r="Y7" i="3"/>
  <c r="Z6" i="3"/>
  <c r="Y6" i="3"/>
  <c r="Z5" i="3"/>
  <c r="Y5" i="3"/>
  <c r="Z4" i="3"/>
  <c r="Y4" i="3"/>
  <c r="Z3" i="3"/>
  <c r="Y3" i="3"/>
  <c r="S3" i="3"/>
  <c r="K4" i="1" s="1"/>
  <c r="M3" i="3"/>
  <c r="AA2" i="3"/>
  <c r="AC4" i="1" s="1"/>
  <c r="Z2" i="3"/>
  <c r="Y2" i="3"/>
  <c r="I42" i="3"/>
  <c r="H42" i="3"/>
  <c r="P3" i="3" s="1"/>
  <c r="G42" i="3"/>
  <c r="N3" i="3" s="1"/>
  <c r="R3" i="3" s="1"/>
  <c r="I4" i="1" s="1"/>
  <c r="F42" i="3"/>
  <c r="O3" i="3" s="1"/>
  <c r="E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Z41" i="4"/>
  <c r="Y41" i="4"/>
  <c r="Z40" i="4"/>
  <c r="Y40" i="4"/>
  <c r="Z39" i="4"/>
  <c r="Y39" i="4"/>
  <c r="Z38" i="4"/>
  <c r="Y38" i="4"/>
  <c r="Z37" i="4"/>
  <c r="Y37" i="4"/>
  <c r="Z36" i="4"/>
  <c r="Y36" i="4"/>
  <c r="Z35" i="4"/>
  <c r="Y35" i="4"/>
  <c r="Z34" i="4"/>
  <c r="Y34" i="4"/>
  <c r="Z33" i="4"/>
  <c r="Y33" i="4"/>
  <c r="Z32" i="4"/>
  <c r="Y32" i="4"/>
  <c r="Z31" i="4"/>
  <c r="Y31" i="4"/>
  <c r="Z30" i="4"/>
  <c r="Y30" i="4"/>
  <c r="Z29" i="4"/>
  <c r="Y29" i="4"/>
  <c r="Z28" i="4"/>
  <c r="Y28" i="4"/>
  <c r="Z27" i="4"/>
  <c r="Y27" i="4"/>
  <c r="Z26" i="4"/>
  <c r="Y26" i="4"/>
  <c r="Z25" i="4"/>
  <c r="Y25" i="4"/>
  <c r="Z24" i="4"/>
  <c r="Y24" i="4"/>
  <c r="Z23" i="4"/>
  <c r="Y23" i="4"/>
  <c r="Z22" i="4"/>
  <c r="Y22" i="4"/>
  <c r="Z21" i="4"/>
  <c r="Y21" i="4"/>
  <c r="Z20" i="4"/>
  <c r="Y20" i="4"/>
  <c r="Z19" i="4"/>
  <c r="Y19" i="4"/>
  <c r="Z18" i="4"/>
  <c r="Y18" i="4"/>
  <c r="Z17" i="4"/>
  <c r="Y17" i="4"/>
  <c r="Z16" i="4"/>
  <c r="Y16" i="4"/>
  <c r="Z15" i="4"/>
  <c r="Y15" i="4"/>
  <c r="Z14" i="4"/>
  <c r="Y14" i="4"/>
  <c r="Z13" i="4"/>
  <c r="Y13" i="4"/>
  <c r="Z12" i="4"/>
  <c r="Y12" i="4"/>
  <c r="Z11" i="4"/>
  <c r="Y11" i="4"/>
  <c r="Z10" i="4"/>
  <c r="Y10" i="4"/>
  <c r="Z9" i="4"/>
  <c r="Y9" i="4"/>
  <c r="Z8" i="4"/>
  <c r="Y8" i="4"/>
  <c r="Z7" i="4"/>
  <c r="Y7" i="4"/>
  <c r="Z6" i="4"/>
  <c r="Y6" i="4"/>
  <c r="Z5" i="4"/>
  <c r="Y5" i="4"/>
  <c r="Z4" i="4"/>
  <c r="Y4" i="4"/>
  <c r="Z3" i="4"/>
  <c r="Y3" i="4"/>
  <c r="S3" i="4"/>
  <c r="K5" i="1" s="1"/>
  <c r="O3" i="4"/>
  <c r="M3" i="4"/>
  <c r="AA2" i="4"/>
  <c r="AC5" i="1" s="1"/>
  <c r="Z2" i="4"/>
  <c r="Y2" i="4"/>
  <c r="I42" i="4"/>
  <c r="H42" i="4"/>
  <c r="G42" i="4"/>
  <c r="N3" i="4" s="1"/>
  <c r="F42" i="4"/>
  <c r="E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Z41" i="5"/>
  <c r="Y41" i="5"/>
  <c r="Z40" i="5"/>
  <c r="Y40" i="5"/>
  <c r="Z39" i="5"/>
  <c r="Y39" i="5"/>
  <c r="Z38" i="5"/>
  <c r="Y38" i="5"/>
  <c r="Z37" i="5"/>
  <c r="Y37" i="5"/>
  <c r="Z36" i="5"/>
  <c r="Y36" i="5"/>
  <c r="Z35" i="5"/>
  <c r="Y35" i="5"/>
  <c r="Z34" i="5"/>
  <c r="Y34" i="5"/>
  <c r="Z33" i="5"/>
  <c r="Y33" i="5"/>
  <c r="Z32" i="5"/>
  <c r="Y32" i="5"/>
  <c r="Z31" i="5"/>
  <c r="Y31" i="5"/>
  <c r="Z30" i="5"/>
  <c r="Y30" i="5"/>
  <c r="Z29" i="5"/>
  <c r="Y29" i="5"/>
  <c r="Z28" i="5"/>
  <c r="Y28" i="5"/>
  <c r="Z27" i="5"/>
  <c r="Y27" i="5"/>
  <c r="Z26" i="5"/>
  <c r="Y26" i="5"/>
  <c r="Z25" i="5"/>
  <c r="Y25" i="5"/>
  <c r="Z24" i="5"/>
  <c r="Y24" i="5"/>
  <c r="Z23" i="5"/>
  <c r="Y23" i="5"/>
  <c r="Z22" i="5"/>
  <c r="Y22" i="5"/>
  <c r="Z21" i="5"/>
  <c r="Y21" i="5"/>
  <c r="Z20" i="5"/>
  <c r="Y20" i="5"/>
  <c r="Z19" i="5"/>
  <c r="Y19" i="5"/>
  <c r="Z18" i="5"/>
  <c r="Y18" i="5"/>
  <c r="Z17" i="5"/>
  <c r="Y17" i="5"/>
  <c r="Z16" i="5"/>
  <c r="Y16" i="5"/>
  <c r="Z15" i="5"/>
  <c r="Y15" i="5"/>
  <c r="Z14" i="5"/>
  <c r="Y14" i="5"/>
  <c r="Z13" i="5"/>
  <c r="Y13" i="5"/>
  <c r="Z12" i="5"/>
  <c r="Y12" i="5"/>
  <c r="Z11" i="5"/>
  <c r="Y11" i="5"/>
  <c r="Z10" i="5"/>
  <c r="Y10" i="5"/>
  <c r="Z9" i="5"/>
  <c r="Y9" i="5"/>
  <c r="Z8" i="5"/>
  <c r="Y8" i="5"/>
  <c r="Z7" i="5"/>
  <c r="Y7" i="5"/>
  <c r="Z6" i="5"/>
  <c r="Y6" i="5"/>
  <c r="Z5" i="5"/>
  <c r="Y5" i="5"/>
  <c r="Z4" i="5"/>
  <c r="Y4" i="5"/>
  <c r="Z3" i="5"/>
  <c r="Y3" i="5"/>
  <c r="S3" i="5"/>
  <c r="K6" i="1" s="1"/>
  <c r="M3" i="5"/>
  <c r="AA2" i="5"/>
  <c r="AC6" i="1" s="1"/>
  <c r="Z2" i="5"/>
  <c r="Y2" i="5"/>
  <c r="I42" i="5"/>
  <c r="H42" i="5"/>
  <c r="P3" i="5" s="1"/>
  <c r="G42" i="5"/>
  <c r="N3" i="5" s="1"/>
  <c r="R3" i="5" s="1"/>
  <c r="I6" i="1" s="1"/>
  <c r="F42" i="5"/>
  <c r="O3" i="5" s="1"/>
  <c r="E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Z41" i="6"/>
  <c r="Y41" i="6"/>
  <c r="Z40" i="6"/>
  <c r="Y40" i="6"/>
  <c r="Z39" i="6"/>
  <c r="Y39" i="6"/>
  <c r="Z38" i="6"/>
  <c r="Y38" i="6"/>
  <c r="Z37" i="6"/>
  <c r="Y37" i="6"/>
  <c r="Z36" i="6"/>
  <c r="Y36" i="6"/>
  <c r="Z35" i="6"/>
  <c r="Y35" i="6"/>
  <c r="Z34" i="6"/>
  <c r="Y34" i="6"/>
  <c r="Z33" i="6"/>
  <c r="Y33" i="6"/>
  <c r="Z32" i="6"/>
  <c r="Y32" i="6"/>
  <c r="Z31" i="6"/>
  <c r="Y31" i="6"/>
  <c r="Z30" i="6"/>
  <c r="Y30" i="6"/>
  <c r="Z29" i="6"/>
  <c r="Y29" i="6"/>
  <c r="Z28" i="6"/>
  <c r="Y28" i="6"/>
  <c r="Z27" i="6"/>
  <c r="Y27" i="6"/>
  <c r="Z26" i="6"/>
  <c r="Y26" i="6"/>
  <c r="Z25" i="6"/>
  <c r="Y25" i="6"/>
  <c r="Z24" i="6"/>
  <c r="Y24" i="6"/>
  <c r="Z23" i="6"/>
  <c r="Y23" i="6"/>
  <c r="Z22" i="6"/>
  <c r="Y22" i="6"/>
  <c r="Z21" i="6"/>
  <c r="Y21" i="6"/>
  <c r="Z20" i="6"/>
  <c r="Y20" i="6"/>
  <c r="Z19" i="6"/>
  <c r="Y19" i="6"/>
  <c r="Z18" i="6"/>
  <c r="Y18" i="6"/>
  <c r="Z17" i="6"/>
  <c r="Y17" i="6"/>
  <c r="Z16" i="6"/>
  <c r="Y16" i="6"/>
  <c r="Z15" i="6"/>
  <c r="Y15" i="6"/>
  <c r="Z14" i="6"/>
  <c r="Y14" i="6"/>
  <c r="Z13" i="6"/>
  <c r="Y13" i="6"/>
  <c r="Z12" i="6"/>
  <c r="Y12" i="6"/>
  <c r="Z11" i="6"/>
  <c r="Y11" i="6"/>
  <c r="Z10" i="6"/>
  <c r="Y10" i="6"/>
  <c r="Z9" i="6"/>
  <c r="Y9" i="6"/>
  <c r="Z8" i="6"/>
  <c r="Y8" i="6"/>
  <c r="Z7" i="6"/>
  <c r="Y7" i="6"/>
  <c r="Z6" i="6"/>
  <c r="Y6" i="6"/>
  <c r="Z5" i="6"/>
  <c r="Y5" i="6"/>
  <c r="Z4" i="6"/>
  <c r="Y4" i="6"/>
  <c r="Z3" i="6"/>
  <c r="Y3" i="6"/>
  <c r="S3" i="6"/>
  <c r="K7" i="1" s="1"/>
  <c r="P3" i="6"/>
  <c r="O3" i="6"/>
  <c r="N3" i="6"/>
  <c r="R3" i="6" s="1"/>
  <c r="M3" i="6"/>
  <c r="AA2" i="6"/>
  <c r="AC7" i="1" s="1"/>
  <c r="Z2" i="6"/>
  <c r="Y2" i="6"/>
  <c r="I42" i="6"/>
  <c r="H42" i="6"/>
  <c r="G42" i="6"/>
  <c r="F42" i="6"/>
  <c r="E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P3" i="4" l="1"/>
  <c r="Q3" i="4"/>
  <c r="R3" i="2"/>
  <c r="I3" i="1" s="1"/>
  <c r="Q3" i="3"/>
  <c r="R3" i="4"/>
  <c r="I5" i="1" s="1"/>
  <c r="Q3" i="5"/>
  <c r="Q3" i="6"/>
  <c r="Z41" i="13"/>
  <c r="Y41" i="13"/>
  <c r="Z40" i="13"/>
  <c r="Y40" i="13"/>
  <c r="Z39" i="13"/>
  <c r="Y39" i="13"/>
  <c r="Z38" i="13"/>
  <c r="Y38" i="13"/>
  <c r="Z37" i="13"/>
  <c r="Y37" i="13"/>
  <c r="Z36" i="13"/>
  <c r="Y36" i="13"/>
  <c r="Z35" i="13"/>
  <c r="Y35" i="13"/>
  <c r="Z34" i="13"/>
  <c r="Y34" i="13"/>
  <c r="Z33" i="13"/>
  <c r="Y33" i="13"/>
  <c r="Z32" i="13"/>
  <c r="Y32" i="13"/>
  <c r="Z31" i="13"/>
  <c r="Y31" i="13"/>
  <c r="Z30" i="13"/>
  <c r="Y30" i="13"/>
  <c r="Z29" i="13"/>
  <c r="Y29" i="13"/>
  <c r="Z28" i="13"/>
  <c r="Y28" i="13"/>
  <c r="Z27" i="13"/>
  <c r="Y27" i="13"/>
  <c r="Z26" i="13"/>
  <c r="Y26" i="13"/>
  <c r="Z25" i="13"/>
  <c r="Y25" i="13"/>
  <c r="Z24" i="13"/>
  <c r="Y24" i="13"/>
  <c r="Z23" i="13"/>
  <c r="Y23" i="13"/>
  <c r="Z22" i="13"/>
  <c r="Y22" i="13"/>
  <c r="Z21" i="13"/>
  <c r="Y21" i="13"/>
  <c r="Z20" i="13"/>
  <c r="Y20" i="13"/>
  <c r="Z19" i="13"/>
  <c r="Y19" i="13"/>
  <c r="Z18" i="13"/>
  <c r="Y18" i="13"/>
  <c r="Z17" i="13"/>
  <c r="Y17" i="13"/>
  <c r="Z16" i="13"/>
  <c r="Y16" i="13"/>
  <c r="Z15" i="13"/>
  <c r="Y15" i="13"/>
  <c r="Z14" i="13"/>
  <c r="Y14" i="13"/>
  <c r="Z13" i="13"/>
  <c r="Y13" i="13"/>
  <c r="Z12" i="13"/>
  <c r="Y12" i="13"/>
  <c r="Z11" i="13"/>
  <c r="Y11" i="13"/>
  <c r="Z10" i="13"/>
  <c r="Y10" i="13"/>
  <c r="Z9" i="13"/>
  <c r="Y9" i="13"/>
  <c r="Z8" i="13"/>
  <c r="Y8" i="13"/>
  <c r="Z7" i="13"/>
  <c r="Y7" i="13"/>
  <c r="Z6" i="13"/>
  <c r="Y6" i="13"/>
  <c r="Z5" i="13"/>
  <c r="Y5" i="13"/>
  <c r="Z4" i="13"/>
  <c r="Y4" i="13"/>
  <c r="Z3" i="13"/>
  <c r="Y3" i="13"/>
  <c r="S3" i="13"/>
  <c r="K8" i="1" s="1"/>
  <c r="M3" i="13"/>
  <c r="AA2" i="13"/>
  <c r="AC8" i="1" s="1"/>
  <c r="Z2" i="13"/>
  <c r="Y2" i="13"/>
  <c r="I42" i="13"/>
  <c r="H42" i="13"/>
  <c r="P3" i="13" s="1"/>
  <c r="G42" i="13"/>
  <c r="N3" i="13" s="1"/>
  <c r="R3" i="13" s="1"/>
  <c r="I8" i="1" s="1"/>
  <c r="F42" i="13"/>
  <c r="O3" i="13" s="1"/>
  <c r="E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Z41" i="14"/>
  <c r="Y41" i="14"/>
  <c r="Z40" i="14"/>
  <c r="Y40" i="14"/>
  <c r="Z39" i="14"/>
  <c r="Y39" i="14"/>
  <c r="Z38" i="14"/>
  <c r="Y38" i="14"/>
  <c r="Z37" i="14"/>
  <c r="Y37" i="14"/>
  <c r="Z36" i="14"/>
  <c r="Y36" i="14"/>
  <c r="Z35" i="14"/>
  <c r="Y35" i="14"/>
  <c r="Z34" i="14"/>
  <c r="Y34" i="14"/>
  <c r="Z33" i="14"/>
  <c r="Y33" i="14"/>
  <c r="Z32" i="14"/>
  <c r="Y32" i="14"/>
  <c r="Z31" i="14"/>
  <c r="Y31" i="14"/>
  <c r="Z30" i="14"/>
  <c r="Y30" i="14"/>
  <c r="Z29" i="14"/>
  <c r="Y29" i="14"/>
  <c r="Z28" i="14"/>
  <c r="Y28" i="14"/>
  <c r="Z27" i="14"/>
  <c r="Y27" i="14"/>
  <c r="Z26" i="14"/>
  <c r="Y26" i="14"/>
  <c r="Z25" i="14"/>
  <c r="Y25" i="14"/>
  <c r="Z24" i="14"/>
  <c r="Y24" i="14"/>
  <c r="Z23" i="14"/>
  <c r="Y23" i="14"/>
  <c r="Z22" i="14"/>
  <c r="Y22" i="14"/>
  <c r="Z21" i="14"/>
  <c r="Y21" i="14"/>
  <c r="Z20" i="14"/>
  <c r="Y20" i="14"/>
  <c r="Z19" i="14"/>
  <c r="Y19" i="14"/>
  <c r="Z18" i="14"/>
  <c r="Y18" i="14"/>
  <c r="Z17" i="14"/>
  <c r="Y17" i="14"/>
  <c r="Z16" i="14"/>
  <c r="Y16" i="14"/>
  <c r="Z15" i="14"/>
  <c r="Y15" i="14"/>
  <c r="Z14" i="14"/>
  <c r="Y14" i="14"/>
  <c r="Z13" i="14"/>
  <c r="Y13" i="14"/>
  <c r="Z12" i="14"/>
  <c r="Y12" i="14"/>
  <c r="Z11" i="14"/>
  <c r="Y11" i="14"/>
  <c r="Z10" i="14"/>
  <c r="Y10" i="14"/>
  <c r="Z9" i="14"/>
  <c r="Y9" i="14"/>
  <c r="Z8" i="14"/>
  <c r="Y8" i="14"/>
  <c r="Z7" i="14"/>
  <c r="Y7" i="14"/>
  <c r="Z6" i="14"/>
  <c r="Y6" i="14"/>
  <c r="Z5" i="14"/>
  <c r="Y5" i="14"/>
  <c r="Z4" i="14"/>
  <c r="Y4" i="14"/>
  <c r="Z3" i="14"/>
  <c r="Y3" i="14"/>
  <c r="S3" i="14"/>
  <c r="K9" i="1" s="1"/>
  <c r="M3" i="14"/>
  <c r="AA2" i="14"/>
  <c r="AC9" i="1" s="1"/>
  <c r="Z2" i="14"/>
  <c r="Y2" i="14"/>
  <c r="I42" i="14"/>
  <c r="H42" i="14"/>
  <c r="G42" i="14"/>
  <c r="N3" i="14" s="1"/>
  <c r="F42" i="14"/>
  <c r="O3" i="14" s="1"/>
  <c r="E42" i="14"/>
  <c r="K41" i="14"/>
  <c r="K40" i="14"/>
  <c r="K39" i="14"/>
  <c r="K38" i="14"/>
  <c r="K37" i="14"/>
  <c r="K36" i="14"/>
  <c r="K35" i="14"/>
  <c r="K34" i="14"/>
  <c r="K33" i="14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Z41" i="15"/>
  <c r="Y41" i="15"/>
  <c r="Z40" i="15"/>
  <c r="Y40" i="15"/>
  <c r="Z39" i="15"/>
  <c r="Y39" i="15"/>
  <c r="Z38" i="15"/>
  <c r="Y38" i="15"/>
  <c r="Z37" i="15"/>
  <c r="Y37" i="15"/>
  <c r="Z36" i="15"/>
  <c r="Y36" i="15"/>
  <c r="Z35" i="15"/>
  <c r="Y35" i="15"/>
  <c r="Z34" i="15"/>
  <c r="Y34" i="15"/>
  <c r="Z33" i="15"/>
  <c r="Y33" i="15"/>
  <c r="Z32" i="15"/>
  <c r="Y32" i="15"/>
  <c r="Z31" i="15"/>
  <c r="Y31" i="15"/>
  <c r="Z30" i="15"/>
  <c r="Y30" i="15"/>
  <c r="Z29" i="15"/>
  <c r="Y29" i="15"/>
  <c r="Z28" i="15"/>
  <c r="Y28" i="15"/>
  <c r="Z27" i="15"/>
  <c r="Y27" i="15"/>
  <c r="Z26" i="15"/>
  <c r="Y26" i="15"/>
  <c r="Z25" i="15"/>
  <c r="Y25" i="15"/>
  <c r="Z24" i="15"/>
  <c r="Y24" i="15"/>
  <c r="Z23" i="15"/>
  <c r="Y23" i="15"/>
  <c r="Z22" i="15"/>
  <c r="Y22" i="15"/>
  <c r="Z21" i="15"/>
  <c r="Y21" i="15"/>
  <c r="Z20" i="15"/>
  <c r="Y20" i="15"/>
  <c r="Z19" i="15"/>
  <c r="Y19" i="15"/>
  <c r="Z18" i="15"/>
  <c r="Y18" i="15"/>
  <c r="Z17" i="15"/>
  <c r="Y17" i="15"/>
  <c r="Z16" i="15"/>
  <c r="Y16" i="15"/>
  <c r="Z15" i="15"/>
  <c r="Y15" i="15"/>
  <c r="Z14" i="15"/>
  <c r="Y14" i="15"/>
  <c r="Z13" i="15"/>
  <c r="Y13" i="15"/>
  <c r="Z12" i="15"/>
  <c r="Y12" i="15"/>
  <c r="Z11" i="15"/>
  <c r="Y11" i="15"/>
  <c r="Z10" i="15"/>
  <c r="Y10" i="15"/>
  <c r="Z9" i="15"/>
  <c r="Y9" i="15"/>
  <c r="Z8" i="15"/>
  <c r="Y8" i="15"/>
  <c r="Z7" i="15"/>
  <c r="Y7" i="15"/>
  <c r="Z6" i="15"/>
  <c r="Y6" i="15"/>
  <c r="Z5" i="15"/>
  <c r="Y5" i="15"/>
  <c r="Z4" i="15"/>
  <c r="Y4" i="15"/>
  <c r="Z3" i="15"/>
  <c r="Y3" i="15"/>
  <c r="S3" i="15"/>
  <c r="K10" i="1" s="1"/>
  <c r="M3" i="15"/>
  <c r="AA2" i="15"/>
  <c r="AC10" i="1" s="1"/>
  <c r="Z2" i="15"/>
  <c r="Y2" i="15"/>
  <c r="I42" i="15"/>
  <c r="H42" i="15"/>
  <c r="G42" i="15"/>
  <c r="N3" i="15" s="1"/>
  <c r="B13" i="15" s="1"/>
  <c r="J10" i="1" s="1"/>
  <c r="F42" i="15"/>
  <c r="O3" i="15" s="1"/>
  <c r="E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Z41" i="16"/>
  <c r="Y41" i="16"/>
  <c r="Z40" i="16"/>
  <c r="Y40" i="16"/>
  <c r="Z39" i="16"/>
  <c r="Y39" i="16"/>
  <c r="Z38" i="16"/>
  <c r="Y38" i="16"/>
  <c r="Z37" i="16"/>
  <c r="Y37" i="16"/>
  <c r="Z36" i="16"/>
  <c r="Y36" i="16"/>
  <c r="Z35" i="16"/>
  <c r="Y35" i="16"/>
  <c r="Z34" i="16"/>
  <c r="Y34" i="16"/>
  <c r="Z33" i="16"/>
  <c r="Y33" i="16"/>
  <c r="Z32" i="16"/>
  <c r="Y32" i="16"/>
  <c r="Z31" i="16"/>
  <c r="Y31" i="16"/>
  <c r="Z30" i="16"/>
  <c r="Y30" i="16"/>
  <c r="Z29" i="16"/>
  <c r="Y29" i="16"/>
  <c r="Z28" i="16"/>
  <c r="Y28" i="16"/>
  <c r="Z27" i="16"/>
  <c r="Y27" i="16"/>
  <c r="Z26" i="16"/>
  <c r="Y26" i="16"/>
  <c r="Z25" i="16"/>
  <c r="Y25" i="16"/>
  <c r="Z24" i="16"/>
  <c r="Y24" i="16"/>
  <c r="Z23" i="16"/>
  <c r="Y23" i="16"/>
  <c r="Z22" i="16"/>
  <c r="Y22" i="16"/>
  <c r="Z21" i="16"/>
  <c r="Y21" i="16"/>
  <c r="Z20" i="16"/>
  <c r="Y20" i="16"/>
  <c r="Z19" i="16"/>
  <c r="Y19" i="16"/>
  <c r="Z18" i="16"/>
  <c r="Y18" i="16"/>
  <c r="Z17" i="16"/>
  <c r="Y17" i="16"/>
  <c r="Z16" i="16"/>
  <c r="Y16" i="16"/>
  <c r="Z15" i="16"/>
  <c r="Y15" i="16"/>
  <c r="Z14" i="16"/>
  <c r="Y14" i="16"/>
  <c r="Z13" i="16"/>
  <c r="Y13" i="16"/>
  <c r="Z12" i="16"/>
  <c r="Y12" i="16"/>
  <c r="Z11" i="16"/>
  <c r="Y11" i="16"/>
  <c r="Z10" i="16"/>
  <c r="Y10" i="16"/>
  <c r="Z9" i="16"/>
  <c r="Y9" i="16"/>
  <c r="Z8" i="16"/>
  <c r="Y8" i="16"/>
  <c r="Z7" i="16"/>
  <c r="Y7" i="16"/>
  <c r="Z6" i="16"/>
  <c r="Y6" i="16"/>
  <c r="Z5" i="16"/>
  <c r="Y5" i="16"/>
  <c r="Z4" i="16"/>
  <c r="Y4" i="16"/>
  <c r="Z3" i="16"/>
  <c r="Y3" i="16"/>
  <c r="S3" i="16"/>
  <c r="K11" i="1" s="1"/>
  <c r="M3" i="16"/>
  <c r="AA2" i="16"/>
  <c r="AC11" i="1" s="1"/>
  <c r="Z2" i="16"/>
  <c r="Y2" i="16"/>
  <c r="I42" i="16"/>
  <c r="H42" i="16"/>
  <c r="G42" i="16"/>
  <c r="N3" i="16" s="1"/>
  <c r="F42" i="16"/>
  <c r="O3" i="16" s="1"/>
  <c r="E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H11" i="1"/>
  <c r="G11" i="1"/>
  <c r="F11" i="1"/>
  <c r="E11" i="1"/>
  <c r="D11" i="1"/>
  <c r="C11" i="1"/>
  <c r="B11" i="1"/>
  <c r="K12" i="16"/>
  <c r="K11" i="16"/>
  <c r="K10" i="16"/>
  <c r="K9" i="16"/>
  <c r="K8" i="16"/>
  <c r="K7" i="16"/>
  <c r="K6" i="16"/>
  <c r="K5" i="16"/>
  <c r="K4" i="16"/>
  <c r="K3" i="16"/>
  <c r="K2" i="16"/>
  <c r="H10" i="1"/>
  <c r="G10" i="1"/>
  <c r="F10" i="1"/>
  <c r="E10" i="1"/>
  <c r="D10" i="1"/>
  <c r="C10" i="1"/>
  <c r="B10" i="1"/>
  <c r="K12" i="15"/>
  <c r="K11" i="15"/>
  <c r="K10" i="15"/>
  <c r="K9" i="15"/>
  <c r="K8" i="15"/>
  <c r="K7" i="15"/>
  <c r="K6" i="15"/>
  <c r="K5" i="15"/>
  <c r="K4" i="15"/>
  <c r="K3" i="15"/>
  <c r="K2" i="15"/>
  <c r="H9" i="1"/>
  <c r="G9" i="1"/>
  <c r="F9" i="1"/>
  <c r="E9" i="1"/>
  <c r="D9" i="1"/>
  <c r="C9" i="1"/>
  <c r="B8" i="1"/>
  <c r="B7" i="1"/>
  <c r="B6" i="1"/>
  <c r="B5" i="1"/>
  <c r="B4" i="1"/>
  <c r="B3" i="1"/>
  <c r="B9" i="1"/>
  <c r="K12" i="14"/>
  <c r="K11" i="14"/>
  <c r="K10" i="14"/>
  <c r="K9" i="14"/>
  <c r="K8" i="14"/>
  <c r="K7" i="14"/>
  <c r="K6" i="14"/>
  <c r="K5" i="14"/>
  <c r="K4" i="14"/>
  <c r="K3" i="14"/>
  <c r="K2" i="14"/>
  <c r="H8" i="1"/>
  <c r="H7" i="1"/>
  <c r="H6" i="1"/>
  <c r="H5" i="1"/>
  <c r="H4" i="1"/>
  <c r="H3" i="1"/>
  <c r="P3" i="15" l="1"/>
  <c r="M10" i="1" s="1"/>
  <c r="P3" i="14"/>
  <c r="M9" i="1" s="1"/>
  <c r="B13" i="14"/>
  <c r="J9" i="1" s="1"/>
  <c r="R3" i="14"/>
  <c r="I9" i="1" s="1"/>
  <c r="P3" i="16"/>
  <c r="M11" i="1" s="1"/>
  <c r="R3" i="16"/>
  <c r="I11" i="1" s="1"/>
  <c r="Q3" i="16"/>
  <c r="L11" i="1"/>
  <c r="Q3" i="13"/>
  <c r="Q3" i="14"/>
  <c r="L9" i="1"/>
  <c r="B15" i="14"/>
  <c r="L10" i="1"/>
  <c r="Q3" i="15"/>
  <c r="R3" i="15"/>
  <c r="I10" i="1" s="1"/>
  <c r="B15" i="15"/>
  <c r="B13" i="16"/>
  <c r="J11" i="1" s="1"/>
  <c r="B15" i="16"/>
  <c r="K11" i="13"/>
  <c r="K10" i="13"/>
  <c r="K9" i="13"/>
  <c r="K8" i="13"/>
  <c r="K7" i="13"/>
  <c r="K6" i="13"/>
  <c r="K5" i="13"/>
  <c r="K4" i="13"/>
  <c r="K3" i="13"/>
  <c r="K2" i="13"/>
  <c r="K12" i="6"/>
  <c r="K11" i="6"/>
  <c r="K10" i="6"/>
  <c r="K9" i="6"/>
  <c r="K8" i="6"/>
  <c r="K7" i="6"/>
  <c r="K6" i="6"/>
  <c r="K5" i="6"/>
  <c r="K4" i="6"/>
  <c r="M7" i="1"/>
  <c r="K3" i="6"/>
  <c r="K2" i="6"/>
  <c r="K12" i="5"/>
  <c r="K11" i="5"/>
  <c r="K10" i="5"/>
  <c r="K9" i="5"/>
  <c r="K8" i="5"/>
  <c r="K7" i="5"/>
  <c r="K6" i="5"/>
  <c r="K5" i="5"/>
  <c r="K4" i="5"/>
  <c r="K3" i="5"/>
  <c r="K2" i="5"/>
  <c r="M6" i="1"/>
  <c r="K13" i="4"/>
  <c r="K12" i="4"/>
  <c r="K11" i="4"/>
  <c r="K10" i="4"/>
  <c r="K9" i="4"/>
  <c r="K8" i="4"/>
  <c r="K7" i="4"/>
  <c r="K6" i="4"/>
  <c r="K5" i="4"/>
  <c r="K4" i="4"/>
  <c r="K3" i="4"/>
  <c r="K2" i="4"/>
  <c r="K13" i="3"/>
  <c r="K12" i="3"/>
  <c r="K11" i="3"/>
  <c r="K10" i="3"/>
  <c r="K9" i="3"/>
  <c r="K8" i="3"/>
  <c r="K7" i="3"/>
  <c r="K6" i="3"/>
  <c r="K5" i="3"/>
  <c r="K4" i="3"/>
  <c r="K3" i="3"/>
  <c r="K2" i="3"/>
  <c r="K13" i="2"/>
  <c r="K12" i="2"/>
  <c r="K11" i="2"/>
  <c r="K10" i="2"/>
  <c r="K9" i="2"/>
  <c r="K8" i="2"/>
  <c r="K7" i="2"/>
  <c r="K5" i="2"/>
  <c r="K4" i="2"/>
  <c r="K3" i="2"/>
  <c r="K2" i="2"/>
  <c r="L3" i="1" l="1"/>
  <c r="B13" i="2"/>
  <c r="J3" i="1" s="1"/>
  <c r="B15" i="2"/>
  <c r="B13" i="3"/>
  <c r="J4" i="1" s="1"/>
  <c r="B15" i="3"/>
  <c r="B15" i="4"/>
  <c r="B13" i="4"/>
  <c r="J5" i="1" s="1"/>
  <c r="L6" i="1"/>
  <c r="B13" i="5"/>
  <c r="J6" i="1" s="1"/>
  <c r="B15" i="5"/>
  <c r="B15" i="6"/>
  <c r="B13" i="6"/>
  <c r="J7" i="1" s="1"/>
  <c r="B13" i="13"/>
  <c r="J8" i="1" s="1"/>
  <c r="B15" i="13"/>
  <c r="L8" i="1"/>
  <c r="M4" i="1"/>
  <c r="L4" i="1"/>
  <c r="M5" i="1"/>
  <c r="L5" i="1"/>
  <c r="L7" i="1"/>
  <c r="M8" i="1"/>
  <c r="M3" i="1"/>
  <c r="T3" i="1" l="1"/>
  <c r="U3" i="1" s="1"/>
  <c r="S3" i="1"/>
  <c r="P3" i="1" s="1"/>
  <c r="G8" i="1"/>
  <c r="F8" i="1"/>
  <c r="E8" i="1"/>
  <c r="D8" i="1"/>
  <c r="C8" i="1"/>
  <c r="H2" i="12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  <c r="K200" i="12" l="1"/>
  <c r="X3" i="1" s="1"/>
  <c r="W3" i="1"/>
  <c r="G3" i="1"/>
  <c r="F3" i="1"/>
  <c r="E3" i="1"/>
  <c r="D3" i="1"/>
  <c r="C3" i="1"/>
  <c r="G2" i="12" l="1"/>
  <c r="F2" i="12"/>
  <c r="I2" i="12" l="1"/>
  <c r="O3" i="1" s="1"/>
  <c r="V3" i="1"/>
  <c r="R3" i="1"/>
</calcChain>
</file>

<file path=xl/sharedStrings.xml><?xml version="1.0" encoding="utf-8"?>
<sst xmlns="http://schemas.openxmlformats.org/spreadsheetml/2006/main" count="388" uniqueCount="61">
  <si>
    <t>Paskola</t>
  </si>
  <si>
    <t>Objektas</t>
  </si>
  <si>
    <t>Projekto reitingas</t>
  </si>
  <si>
    <t>Investicijos laikotarpis, mėn.</t>
  </si>
  <si>
    <t>Palūkanų mokėjimas</t>
  </si>
  <si>
    <t>Palūkanos</t>
  </si>
  <si>
    <t>Palūkanos, %</t>
  </si>
  <si>
    <t>Investicijos data</t>
  </si>
  <si>
    <t>Q</t>
  </si>
  <si>
    <t>Data</t>
  </si>
  <si>
    <t>Viso:</t>
  </si>
  <si>
    <t>Palūkanų pradžia</t>
  </si>
  <si>
    <t>LTV, %</t>
  </si>
  <si>
    <t>LTV max, %</t>
  </si>
  <si>
    <t>Sutartis</t>
  </si>
  <si>
    <t>Pavadinimas</t>
  </si>
  <si>
    <t>Laikotarpis</t>
  </si>
  <si>
    <t xml:space="preserve">Premijos </t>
  </si>
  <si>
    <t>Vertė</t>
  </si>
  <si>
    <t>%</t>
  </si>
  <si>
    <t>Gryni</t>
  </si>
  <si>
    <t>Premija</t>
  </si>
  <si>
    <t>Vėlavimas</t>
  </si>
  <si>
    <t>Grąžinta</t>
  </si>
  <si>
    <t>Įnešta</t>
  </si>
  <si>
    <t>Išimta</t>
  </si>
  <si>
    <t>Skirtumas</t>
  </si>
  <si>
    <t>Reitingas</t>
  </si>
  <si>
    <t>Riverland III butai VI, Vilnius</t>
  </si>
  <si>
    <t>B+</t>
  </si>
  <si>
    <t>Panemunės apartamentai IX, Kaunas, Panemunė</t>
  </si>
  <si>
    <t>B</t>
  </si>
  <si>
    <t>Spanguolių takai XXXVIII, Riešė</t>
  </si>
  <si>
    <t>A-</t>
  </si>
  <si>
    <t>Pylimo g. 57 butai II, Vilnius</t>
  </si>
  <si>
    <t>ROOTHAUS I, Vilnius</t>
  </si>
  <si>
    <t>UAB „NT reikalas" projektai VI, Vilnius</t>
  </si>
  <si>
    <t>Paskolos pabaiga</t>
  </si>
  <si>
    <t>Papildomos</t>
  </si>
  <si>
    <t>XIRR</t>
  </si>
  <si>
    <t>Vėluoja</t>
  </si>
  <si>
    <t>Suma</t>
  </si>
  <si>
    <t>Suteikta</t>
  </si>
  <si>
    <t>Planuotos</t>
  </si>
  <si>
    <t>Realios</t>
  </si>
  <si>
    <t>Investuota</t>
  </si>
  <si>
    <t>Planuojamas</t>
  </si>
  <si>
    <t>Grąžinimas</t>
  </si>
  <si>
    <t>Nr.</t>
  </si>
  <si>
    <t>Kaip Niujorke XXXVIII, Vilnius</t>
  </si>
  <si>
    <t>A</t>
  </si>
  <si>
    <t>UAB „Dear Home" projektai XV, Vilnius</t>
  </si>
  <si>
    <t>Laikas mėtoms VII, Vilnius</t>
  </si>
  <si>
    <t>Liko dienų</t>
  </si>
  <si>
    <t>Vėlavo/Anksčiau</t>
  </si>
  <si>
    <t>Realus</t>
  </si>
  <si>
    <t>Liko</t>
  </si>
  <si>
    <t>Pinigai</t>
  </si>
  <si>
    <t>Viso</t>
  </si>
  <si>
    <t>Eur.</t>
  </si>
  <si>
    <t>Investuota,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</si>
</sst>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.mm\.dd;@"/>
    <numFmt numFmtId="166" formatCode="yyyy/mm/dd;@"/>
  </numFmts>
  <fonts count="5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165" fontId="3" fillId="0" borderId="1" xfId="0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4" fillId="0" borderId="1" xfId="1" applyFill="1" applyBorder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/>
    <xf numFmtId="2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1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8894A2-00AA-480A-B108-A21CC2BC5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AA6F2-165A-44C3-BA4D-EDD10B697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DC7E89-EBB0-4FDE-80E1-51056BF35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366B4-578E-44EE-90DC-95204AA5F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DF39E8-F665-4D12-830C-4869BCB25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4" name="Graphic 3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58AC4B-5CCF-4828-8DDF-B6C993757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EC56B0-1AB0-4104-9870-F45608305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D1504F-75B1-4093-B935-B6FE958C4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2EDFB9-5DB8-4B63-B642-842D05144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abSelected="1" workbookViewId="0">
      <pane xSplit="3" ySplit="3" topLeftCell="G4" activePane="bottomRight" state="frozen"/>
      <selection pane="topRight" activeCell="D1" sqref="D1"/>
      <selection pane="bottomLeft" activeCell="A4" sqref="A4"/>
      <selection pane="bottomRight" sqref="A1:G1"/>
    </sheetView>
  </sheetViews>
  <sheetFormatPr defaultRowHeight="15" x14ac:dyDescent="0.25"/>
  <cols>
    <col min="1" max="1" width="5.7109375" customWidth="1"/>
    <col min="2" max="2" width="12.7109375" customWidth="1"/>
    <col min="3" max="3" width="50.7109375" customWidth="1"/>
    <col min="4" max="7" width="10.7109375" customWidth="1"/>
    <col min="8" max="9" width="12.7109375" customWidth="1"/>
    <col min="10" max="13" width="10.7109375" customWidth="1"/>
    <col min="14" max="14" width="5.7109375" customWidth="1"/>
    <col min="15" max="24" width="10.7109375" customWidth="1"/>
  </cols>
  <sheetData>
    <row r="1" spans="1:29" x14ac:dyDescent="0.25">
      <c r="A1" s="28" t="s">
        <v>0</v>
      </c>
      <c r="B1" s="29"/>
      <c r="C1" s="29"/>
      <c r="D1" s="29"/>
      <c r="E1" s="29"/>
      <c r="F1" s="29"/>
      <c r="G1" s="30"/>
      <c r="H1" s="31" t="s">
        <v>47</v>
      </c>
      <c r="I1" s="31"/>
      <c r="J1" s="31"/>
      <c r="K1" s="31"/>
      <c r="L1" s="31"/>
      <c r="M1" s="31"/>
      <c r="O1" s="28" t="s">
        <v>57</v>
      </c>
      <c r="P1" s="29"/>
      <c r="Q1" s="29"/>
      <c r="R1" s="30"/>
      <c r="S1" s="25" t="s">
        <v>23</v>
      </c>
      <c r="T1" s="27"/>
      <c r="U1" s="25" t="s">
        <v>18</v>
      </c>
      <c r="V1" s="26"/>
      <c r="W1" s="26"/>
      <c r="X1" s="27"/>
    </row>
    <row r="2" spans="1:29" x14ac:dyDescent="0.25">
      <c r="A2" s="7" t="s">
        <v>48</v>
      </c>
      <c r="B2" s="7" t="s">
        <v>9</v>
      </c>
      <c r="C2" s="7" t="s">
        <v>15</v>
      </c>
      <c r="D2" s="7" t="s">
        <v>16</v>
      </c>
      <c r="E2" s="7" t="s">
        <v>27</v>
      </c>
      <c r="F2" s="7" t="s">
        <v>5</v>
      </c>
      <c r="G2" s="7" t="s">
        <v>45</v>
      </c>
      <c r="H2" s="17" t="s">
        <v>46</v>
      </c>
      <c r="I2" s="17" t="s">
        <v>55</v>
      </c>
      <c r="J2" s="17" t="s">
        <v>56</v>
      </c>
      <c r="K2" s="17" t="s">
        <v>40</v>
      </c>
      <c r="L2" s="7" t="s">
        <v>0</v>
      </c>
      <c r="M2" s="7" t="s">
        <v>5</v>
      </c>
      <c r="O2" s="7" t="s">
        <v>24</v>
      </c>
      <c r="P2" s="7" t="s">
        <v>45</v>
      </c>
      <c r="Q2" s="7" t="s">
        <v>17</v>
      </c>
      <c r="R2" s="7" t="s">
        <v>20</v>
      </c>
      <c r="S2" s="7" t="s">
        <v>0</v>
      </c>
      <c r="T2" s="7" t="s">
        <v>5</v>
      </c>
      <c r="U2" s="7" t="s">
        <v>58</v>
      </c>
      <c r="V2" s="7" t="s">
        <v>59</v>
      </c>
      <c r="W2" s="7" t="s">
        <v>19</v>
      </c>
      <c r="X2" s="7" t="s">
        <v>39</v>
      </c>
      <c r="AC2" s="9" t="s">
        <v>40</v>
      </c>
    </row>
    <row r="3" spans="1:29" x14ac:dyDescent="0.25">
      <c r="A3" s="3">
        <v>1</v>
      </c>
      <c r="B3" s="12">
        <f>'Riverland III butai VI, Vilnius'!B3</f>
        <v>45964</v>
      </c>
      <c r="C3" s="21" t="str">
        <f>'Riverland III butai VI, Vilnius'!B2</f>
        <v>Riverland III butai VI, Vilnius</v>
      </c>
      <c r="D3" s="3">
        <f>'Riverland III butai VI, Vilnius'!B8</f>
        <v>12</v>
      </c>
      <c r="E3" s="3" t="str">
        <f>'Riverland III butai VI, Vilnius'!B5</f>
        <v>B+</v>
      </c>
      <c r="F3" s="15">
        <f>'Riverland III butai VI, Vilnius'!B10</f>
        <v>7.0000000000000007E-2</v>
      </c>
      <c r="G3" s="5">
        <f>'Riverland III butai VI, Vilnius'!B11</f>
        <v>100</v>
      </c>
      <c r="H3" s="20">
        <f>'Riverland III butai VI, Vilnius'!B12</f>
        <v>46339</v>
      </c>
      <c r="I3" s="12" t="str">
        <f>'Riverland III butai VI, Vilnius'!R3</f>
        <v/>
      </c>
      <c r="J3" s="11">
        <f ca="1">'Riverland III butai VI, Vilnius'!B13</f>
        <v>43</v>
      </c>
      <c r="K3" s="11" t="str">
        <f ca="1">'Riverland III butai VI, Vilnius'!S3</f>
        <v/>
      </c>
      <c r="L3" s="5">
        <f>'Riverland III butai VI, Vilnius'!N3</f>
        <v>0</v>
      </c>
      <c r="M3" s="5">
        <f>'Riverland III butai VI, Vilnius'!P3</f>
        <v>4.5199999999999996</v>
      </c>
      <c r="O3" s="5">
        <f>Pinigai!I2</f>
        <v>674.21</v>
      </c>
      <c r="P3" s="5">
        <f>SUM(G3:G200)-S3</f>
        <v>700</v>
      </c>
      <c r="Q3" s="5">
        <f>Pinigai!H2</f>
        <v>4</v>
      </c>
      <c r="R3" s="5">
        <f>U3-P3</f>
        <v>6.5900000000000318</v>
      </c>
      <c r="S3" s="5">
        <f>SUM(L3:L200)</f>
        <v>200</v>
      </c>
      <c r="T3" s="5">
        <f>SUM(M3:M200)</f>
        <v>28.380000000000003</v>
      </c>
      <c r="U3" s="5">
        <f>O3+T3+Q3</f>
        <v>706.59</v>
      </c>
      <c r="V3" s="5">
        <f>U3-O3</f>
        <v>32.379999999999995</v>
      </c>
      <c r="W3" s="15">
        <f>(U3-O3)/O3</f>
        <v>4.8026579255721499E-2</v>
      </c>
      <c r="X3" s="15">
        <f ca="1">XIRR(Pinigai!K2:K200,Pinigai!A2:A200)</f>
        <v>5.9494104981422422E-2</v>
      </c>
      <c r="AC3" s="5" t="str">
        <f ca="1">'Riverland III butai VI, Vilnius'!AA2</f>
        <v/>
      </c>
    </row>
    <row r="4" spans="1:29" x14ac:dyDescent="0.25">
      <c r="A4" s="3">
        <v>2</v>
      </c>
      <c r="B4" s="12">
        <f>'Panemunės apartamentai IX'!B3</f>
        <v>45964</v>
      </c>
      <c r="C4" s="21" t="str">
        <f>'Panemunės apartamentai IX'!B2</f>
        <v>Panemunės apartamentai IX, Kaunas, Panemunė</v>
      </c>
      <c r="D4" s="3">
        <f>'Panemunės apartamentai IX'!B8</f>
        <v>12</v>
      </c>
      <c r="E4" s="3" t="str">
        <f>'Panemunės apartamentai IX'!B5</f>
        <v>B</v>
      </c>
      <c r="F4" s="15">
        <f>'Panemunės apartamentai IX'!B10</f>
        <v>7.4999999999999997E-2</v>
      </c>
      <c r="G4" s="5">
        <f>'Panemunės apartamentai IX'!B11</f>
        <v>100</v>
      </c>
      <c r="H4" s="20">
        <f>'Panemunės apartamentai IX'!B12</f>
        <v>46335</v>
      </c>
      <c r="I4" s="12" t="str">
        <f>'Panemunės apartamentai IX'!R3</f>
        <v/>
      </c>
      <c r="J4" s="11">
        <f ca="1">'Panemunės apartamentai IX'!B13</f>
        <v>39</v>
      </c>
      <c r="K4" s="11" t="str">
        <f ca="1">'Panemunės apartamentai IX'!S3</f>
        <v/>
      </c>
      <c r="L4" s="5">
        <f>'Panemunės apartamentai IX'!N3</f>
        <v>0</v>
      </c>
      <c r="M4" s="5">
        <f>'Panemunės apartamentai IX'!P3</f>
        <v>4.83</v>
      </c>
      <c r="AC4" s="5" t="str">
        <f ca="1">'Panemunės apartamentai IX'!AA2</f>
        <v/>
      </c>
    </row>
    <row r="5" spans="1:29" x14ac:dyDescent="0.25">
      <c r="A5" s="3">
        <v>3</v>
      </c>
      <c r="B5" s="12">
        <f>'Spanguolių takai XXXVIII, Riešė'!B3</f>
        <v>45965</v>
      </c>
      <c r="C5" s="21" t="str">
        <f>'Spanguolių takai XXXVIII, Riešė'!B2</f>
        <v>Spanguolių takai XXXVIII, Riešė</v>
      </c>
      <c r="D5" s="3">
        <f>'Spanguolių takai XXXVIII, Riešė'!B8</f>
        <v>11</v>
      </c>
      <c r="E5" s="3" t="str">
        <f>'Spanguolių takai XXXVIII, Riešė'!B5</f>
        <v>A-</v>
      </c>
      <c r="F5" s="15">
        <f>'Spanguolių takai XXXVIII, Riešė'!B10</f>
        <v>7.0000000000000007E-2</v>
      </c>
      <c r="G5" s="5">
        <f>'Spanguolių takai XXXVIII, Riešė'!B11</f>
        <v>100</v>
      </c>
      <c r="H5" s="20">
        <f>'Spanguolių takai XXXVIII, Riešė'!B12</f>
        <v>46304</v>
      </c>
      <c r="I5" s="12">
        <f>'Spanguolių takai XXXVIII, Riešė'!R3</f>
        <v>46252</v>
      </c>
      <c r="J5" s="11" t="str">
        <f ca="1">'Spanguolių takai XXXVIII, Riešė'!B13</f>
        <v/>
      </c>
      <c r="K5" s="11" t="str">
        <f ca="1">'Spanguolių takai XXXVIII, Riešė'!S3</f>
        <v/>
      </c>
      <c r="L5" s="5">
        <f>'Spanguolių takai XXXVIII, Riešė'!N3</f>
        <v>100.00000000000001</v>
      </c>
      <c r="M5" s="5">
        <f>'Spanguolių takai XXXVIII, Riešė'!P3</f>
        <v>4.34</v>
      </c>
      <c r="AC5" s="5" t="str">
        <f ca="1">'Spanguolių takai XXXVIII, Riešė'!AA2</f>
        <v/>
      </c>
    </row>
    <row r="6" spans="1:29" x14ac:dyDescent="0.25">
      <c r="A6" s="3">
        <v>4</v>
      </c>
      <c r="B6" s="12">
        <f>'Pylimo g. 57 butai II, Vilnius'!B3</f>
        <v>45967</v>
      </c>
      <c r="C6" s="21" t="str">
        <f>'Pylimo g. 57 butai II, Vilnius'!B2</f>
        <v>Pylimo g. 57 butai II, Vilnius</v>
      </c>
      <c r="D6" s="3">
        <f>'Pylimo g. 57 butai II, Vilnius'!B8</f>
        <v>12</v>
      </c>
      <c r="E6" s="3" t="str">
        <f>'Pylimo g. 57 butai II, Vilnius'!B5</f>
        <v>B+</v>
      </c>
      <c r="F6" s="15">
        <f>'Pylimo g. 57 butai II, Vilnius'!B10</f>
        <v>7.0000000000000007E-2</v>
      </c>
      <c r="G6" s="5">
        <f>'Pylimo g. 57 butai II, Vilnius'!B11</f>
        <v>100</v>
      </c>
      <c r="H6" s="20">
        <f>'Pylimo g. 57 butai II, Vilnius'!B12</f>
        <v>46325</v>
      </c>
      <c r="I6" s="12" t="str">
        <f>'Pylimo g. 57 butai II, Vilnius'!R3</f>
        <v/>
      </c>
      <c r="J6" s="11">
        <f ca="1">'Pylimo g. 57 butai II, Vilnius'!B13</f>
        <v>29</v>
      </c>
      <c r="K6" s="11" t="str">
        <f ca="1">'Pylimo g. 57 butai II, Vilnius'!S3</f>
        <v/>
      </c>
      <c r="L6" s="5">
        <f>'Pylimo g. 57 butai II, Vilnius'!N3</f>
        <v>0</v>
      </c>
      <c r="M6" s="5">
        <f>'Pylimo g. 57 butai II, Vilnius'!P3</f>
        <v>4.4399999999999995</v>
      </c>
      <c r="AC6" s="5" t="str">
        <f ca="1">'Pylimo g. 57 butai II, Vilnius'!AA2</f>
        <v/>
      </c>
    </row>
    <row r="7" spans="1:29" x14ac:dyDescent="0.25">
      <c r="A7" s="3">
        <v>5</v>
      </c>
      <c r="B7" s="12">
        <f>'ROOTHAUS I, Vilnius'!B3</f>
        <v>45972</v>
      </c>
      <c r="C7" s="21" t="str">
        <f>'ROOTHAUS I, Vilnius'!B2</f>
        <v>ROOTHAUS I, Vilnius</v>
      </c>
      <c r="D7" s="3">
        <f>'ROOTHAUS I, Vilnius'!B8</f>
        <v>12</v>
      </c>
      <c r="E7" s="3" t="str">
        <f>'ROOTHAUS I, Vilnius'!B5</f>
        <v>B+</v>
      </c>
      <c r="F7" s="15">
        <f>'ROOTHAUS I, Vilnius'!B10</f>
        <v>7.4999999999999997E-2</v>
      </c>
      <c r="G7" s="5">
        <f>'ROOTHAUS I, Vilnius'!B11</f>
        <v>100</v>
      </c>
      <c r="H7" s="20">
        <f>'ROOTHAUS I, Vilnius'!B12</f>
        <v>46342</v>
      </c>
      <c r="I7" s="12">
        <f>'ROOTHAUS I, Vilnius'!R3</f>
        <v>46212</v>
      </c>
      <c r="J7" s="11" t="str">
        <f ca="1">'ROOTHAUS I, Vilnius'!B13</f>
        <v/>
      </c>
      <c r="K7" s="11" t="str">
        <f ca="1">'ROOTHAUS I, Vilnius'!S3</f>
        <v/>
      </c>
      <c r="L7" s="5">
        <f>'ROOTHAUS I, Vilnius'!N3</f>
        <v>100</v>
      </c>
      <c r="M7" s="5">
        <f>'ROOTHAUS I, Vilnius'!P3</f>
        <v>4.83</v>
      </c>
      <c r="AC7" s="5" t="str">
        <f ca="1">'ROOTHAUS I, Vilnius'!AA2</f>
        <v/>
      </c>
    </row>
    <row r="8" spans="1:29" x14ac:dyDescent="0.25">
      <c r="A8" s="3">
        <v>6</v>
      </c>
      <c r="B8" s="12">
        <f>'UAB "NT reikalas" projektai VI'!B3</f>
        <v>46027</v>
      </c>
      <c r="C8" s="21" t="str">
        <f>'UAB "NT reikalas" projektai VI'!B2</f>
        <v>UAB „NT reikalas" projektai VI, Vilnius</v>
      </c>
      <c r="D8" s="3">
        <f>'UAB "NT reikalas" projektai VI'!B8</f>
        <v>12</v>
      </c>
      <c r="E8" s="3" t="str">
        <f>'UAB "NT reikalas" projektai VI'!B5</f>
        <v>B</v>
      </c>
      <c r="F8" s="15">
        <f>'UAB "NT reikalas" projektai VI'!B10</f>
        <v>7.4999999999999997E-2</v>
      </c>
      <c r="G8" s="5">
        <f>'UAB "NT reikalas" projektai VI'!B11</f>
        <v>100</v>
      </c>
      <c r="H8" s="20">
        <f>'UAB "NT reikalas" projektai VI'!B12</f>
        <v>46399</v>
      </c>
      <c r="I8" s="12" t="str">
        <f>'UAB "NT reikalas" projektai VI'!R3</f>
        <v/>
      </c>
      <c r="J8" s="11">
        <f ca="1">'UAB "NT reikalas" projektai VI'!B13</f>
        <v>103</v>
      </c>
      <c r="K8" s="11" t="str">
        <f ca="1">'UAB "NT reikalas" projektai VI'!S3</f>
        <v/>
      </c>
      <c r="L8" s="5">
        <f>'UAB "NT reikalas" projektai VI'!N3</f>
        <v>0</v>
      </c>
      <c r="M8" s="5">
        <f>'UAB "NT reikalas" projektai VI'!P3</f>
        <v>5.42</v>
      </c>
      <c r="AC8" s="5" t="str">
        <f ca="1">'UAB "NT reikalas" projektai VI'!AA2</f>
        <v/>
      </c>
    </row>
    <row r="9" spans="1:29" x14ac:dyDescent="0.25">
      <c r="A9" s="3">
        <v>7</v>
      </c>
      <c r="B9" s="12">
        <f>'Kaip Niujorke XXXVIII, Vilnius'!B3</f>
        <v>46185</v>
      </c>
      <c r="C9" s="21" t="str">
        <f>'Kaip Niujorke XXXVIII, Vilnius'!B2</f>
        <v>Kaip Niujorke XXXVIII, Vilnius</v>
      </c>
      <c r="D9" s="3">
        <f>'Kaip Niujorke XXXVIII, Vilnius'!B8</f>
        <v>7</v>
      </c>
      <c r="E9" s="3" t="str">
        <f>'Kaip Niujorke XXXVIII, Vilnius'!B5</f>
        <v>A</v>
      </c>
      <c r="F9" s="15">
        <f>'Kaip Niujorke XXXVIII, Vilnius'!B10</f>
        <v>0.06</v>
      </c>
      <c r="G9" s="5">
        <f>'Kaip Niujorke XXXVIII, Vilnius'!B11</f>
        <v>100</v>
      </c>
      <c r="H9" s="20">
        <f>'Kaip Niujorke XXXVIII, Vilnius'!B12</f>
        <v>46412</v>
      </c>
      <c r="I9" s="12" t="str">
        <f>'Kaip Niujorke XXXVIII, Vilnius'!R3</f>
        <v/>
      </c>
      <c r="J9" s="11">
        <f ca="1">'Kaip Niujorke XXXVIII, Vilnius'!B13</f>
        <v>116</v>
      </c>
      <c r="K9" s="11" t="str">
        <f ca="1">'Kaip Niujorke XXXVIII, Vilnius'!S3</f>
        <v/>
      </c>
      <c r="L9" s="5">
        <f>'Kaip Niujorke XXXVIII, Vilnius'!N3</f>
        <v>0</v>
      </c>
      <c r="M9" s="5">
        <f>'Kaip Niujorke XXXVIII, Vilnius'!P3</f>
        <v>0</v>
      </c>
      <c r="AC9" s="5" t="str">
        <f ca="1">'Kaip Niujorke XXXVIII, Vilnius'!AA2</f>
        <v/>
      </c>
    </row>
    <row r="10" spans="1:29" x14ac:dyDescent="0.25">
      <c r="A10" s="3">
        <v>8</v>
      </c>
      <c r="B10" s="12">
        <f>'UAB „Dear Home" projektai XV'!B3</f>
        <v>46216</v>
      </c>
      <c r="C10" s="21" t="str">
        <f>'UAB „Dear Home" projektai XV'!B2</f>
        <v>UAB „Dear Home" projektai XV, Vilnius</v>
      </c>
      <c r="D10" s="3">
        <f>'UAB „Dear Home" projektai XV'!B8</f>
        <v>12</v>
      </c>
      <c r="E10" s="3" t="str">
        <f>'UAB „Dear Home" projektai XV'!B5</f>
        <v>B+</v>
      </c>
      <c r="F10" s="15">
        <f>'UAB „Dear Home" projektai XV'!B10</f>
        <v>7.0000000000000007E-2</v>
      </c>
      <c r="G10" s="5">
        <f>'UAB „Dear Home" projektai XV'!B11</f>
        <v>100</v>
      </c>
      <c r="H10" s="20">
        <f>'UAB „Dear Home" projektai XV'!B12</f>
        <v>46593</v>
      </c>
      <c r="I10" s="12" t="str">
        <f>'UAB „Dear Home" projektai XV'!R3</f>
        <v/>
      </c>
      <c r="J10" s="11">
        <f ca="1">'UAB „Dear Home" projektai XV'!B13</f>
        <v>297</v>
      </c>
      <c r="K10" s="11" t="str">
        <f ca="1">'UAB „Dear Home" projektai XV'!S3</f>
        <v/>
      </c>
      <c r="L10" s="5">
        <f>'UAB „Dear Home" projektai XV'!N3</f>
        <v>0</v>
      </c>
      <c r="M10" s="5">
        <f>'UAB „Dear Home" projektai XV'!P3</f>
        <v>0</v>
      </c>
      <c r="AC10" s="5" t="str">
        <f ca="1">'UAB „Dear Home" projektai XV'!AA2</f>
        <v/>
      </c>
    </row>
    <row r="11" spans="1:29" x14ac:dyDescent="0.25">
      <c r="A11" s="3">
        <v>9</v>
      </c>
      <c r="B11" s="12">
        <f>'Laikas mėtoms VII, Vilnius'!B3</f>
        <v>46217</v>
      </c>
      <c r="C11" s="21" t="str">
        <f>'Laikas mėtoms VII, Vilnius'!B2</f>
        <v>Laikas mėtoms VII, Vilnius</v>
      </c>
      <c r="D11" s="3">
        <f>'Laikas mėtoms VII, Vilnius'!B8</f>
        <v>12</v>
      </c>
      <c r="E11" s="3" t="str">
        <f>'Laikas mėtoms VII, Vilnius'!B5</f>
        <v>B+</v>
      </c>
      <c r="F11" s="15">
        <f>'Laikas mėtoms VII, Vilnius'!B10</f>
        <v>7.0000000000000007E-2</v>
      </c>
      <c r="G11" s="5">
        <f>'Laikas mėtoms VII, Vilnius'!B11</f>
        <v>100</v>
      </c>
      <c r="H11" s="20">
        <f>'Laikas mėtoms VII, Vilnius'!B12</f>
        <v>46587</v>
      </c>
      <c r="I11" s="12" t="str">
        <f>'Laikas mėtoms VII, Vilnius'!R3</f>
        <v/>
      </c>
      <c r="J11" s="11">
        <f ca="1">'Laikas mėtoms VII, Vilnius'!B13</f>
        <v>291</v>
      </c>
      <c r="K11" s="11" t="str">
        <f ca="1">'Laikas mėtoms VII, Vilnius'!S3</f>
        <v/>
      </c>
      <c r="L11" s="5">
        <f>'Laikas mėtoms VII, Vilnius'!N3</f>
        <v>0</v>
      </c>
      <c r="M11" s="5">
        <f>'Laikas mėtoms VII, Vilnius'!P3</f>
        <v>0</v>
      </c>
      <c r="AC11" s="5" t="str">
        <f ca="1">'Laikas mėtoms VII, Vilnius'!AA2</f>
        <v/>
      </c>
    </row>
    <row r="12" spans="1:29" x14ac:dyDescent="0.25">
      <c r="A12" s="3"/>
      <c r="B12" s="12"/>
      <c r="C12" s="21"/>
      <c r="D12" s="3"/>
      <c r="E12" s="3"/>
      <c r="F12" s="15"/>
      <c r="G12" s="5"/>
      <c r="H12" s="20"/>
      <c r="I12" s="12"/>
      <c r="J12" s="11"/>
      <c r="K12" s="11"/>
      <c r="L12" s="5"/>
      <c r="M12" s="5"/>
      <c r="AC12" s="5"/>
    </row>
    <row r="13" spans="1:29" x14ac:dyDescent="0.25">
      <c r="A13" s="3"/>
      <c r="B13" s="12"/>
      <c r="C13" s="21"/>
      <c r="D13" s="3"/>
      <c r="E13" s="3"/>
      <c r="F13" s="15"/>
      <c r="G13" s="5"/>
      <c r="H13" s="20"/>
      <c r="I13" s="12"/>
      <c r="J13" s="11"/>
      <c r="K13" s="11"/>
      <c r="L13" s="5"/>
      <c r="M13" s="5"/>
      <c r="AC13" s="5"/>
    </row>
    <row r="14" spans="1:29" x14ac:dyDescent="0.25">
      <c r="A14" s="3"/>
      <c r="B14" s="12"/>
      <c r="C14" s="21"/>
      <c r="D14" s="3"/>
      <c r="E14" s="3"/>
      <c r="F14" s="15"/>
      <c r="G14" s="5"/>
      <c r="H14" s="20"/>
      <c r="I14" s="12"/>
      <c r="J14" s="11"/>
      <c r="K14" s="11"/>
      <c r="L14" s="5"/>
      <c r="M14" s="5"/>
      <c r="AC14" s="5"/>
    </row>
    <row r="15" spans="1:29" x14ac:dyDescent="0.25">
      <c r="A15" s="3"/>
      <c r="B15" s="12"/>
      <c r="C15" s="21"/>
      <c r="D15" s="3"/>
      <c r="E15" s="3"/>
      <c r="F15" s="15"/>
      <c r="G15" s="5"/>
      <c r="H15" s="20"/>
      <c r="I15" s="12"/>
      <c r="J15" s="11"/>
      <c r="K15" s="11"/>
      <c r="L15" s="5"/>
      <c r="M15" s="5"/>
      <c r="AC15" s="5"/>
    </row>
    <row r="16" spans="1:29" x14ac:dyDescent="0.25">
      <c r="A16" s="3"/>
      <c r="B16" s="12"/>
      <c r="C16" s="21"/>
      <c r="D16" s="3"/>
      <c r="E16" s="3"/>
      <c r="F16" s="15"/>
      <c r="G16" s="5"/>
      <c r="H16" s="20"/>
      <c r="I16" s="12"/>
      <c r="J16" s="11"/>
      <c r="K16" s="11"/>
      <c r="L16" s="5"/>
      <c r="M16" s="5"/>
      <c r="AC16" s="5"/>
    </row>
    <row r="17" spans="1:29" x14ac:dyDescent="0.25">
      <c r="A17" s="3"/>
      <c r="B17" s="12"/>
      <c r="C17" s="21"/>
      <c r="D17" s="3"/>
      <c r="E17" s="3"/>
      <c r="F17" s="15"/>
      <c r="G17" s="5"/>
      <c r="H17" s="20"/>
      <c r="I17" s="12"/>
      <c r="J17" s="11"/>
      <c r="K17" s="11"/>
      <c r="L17" s="5"/>
      <c r="M17" s="5"/>
      <c r="AC17" s="2"/>
    </row>
    <row r="18" spans="1:29" x14ac:dyDescent="0.25">
      <c r="A18" s="3"/>
      <c r="B18" s="12"/>
      <c r="C18" s="21"/>
      <c r="D18" s="3"/>
      <c r="E18" s="3"/>
      <c r="F18" s="15"/>
      <c r="G18" s="5"/>
      <c r="H18" s="20"/>
      <c r="I18" s="12"/>
      <c r="J18" s="11"/>
      <c r="K18" s="11"/>
      <c r="L18" s="5"/>
      <c r="M18" s="5"/>
      <c r="AC18" s="2"/>
    </row>
    <row r="19" spans="1:29" x14ac:dyDescent="0.25">
      <c r="A19" s="3"/>
      <c r="B19" s="12"/>
      <c r="C19" s="21"/>
      <c r="D19" s="3"/>
      <c r="E19" s="3"/>
      <c r="F19" s="15"/>
      <c r="G19" s="5"/>
      <c r="H19" s="20"/>
      <c r="I19" s="12"/>
      <c r="J19" s="11"/>
      <c r="K19" s="11"/>
      <c r="L19" s="5"/>
      <c r="M19" s="5"/>
      <c r="AC19" s="2"/>
    </row>
    <row r="20" spans="1:29" x14ac:dyDescent="0.25">
      <c r="A20" s="3"/>
      <c r="B20" s="12"/>
      <c r="C20" s="21"/>
      <c r="D20" s="3"/>
      <c r="E20" s="3"/>
      <c r="F20" s="15"/>
      <c r="G20" s="5"/>
      <c r="H20" s="20"/>
      <c r="I20" s="12"/>
      <c r="J20" s="11"/>
      <c r="K20" s="11"/>
      <c r="L20" s="5"/>
      <c r="M20" s="5"/>
      <c r="AC20" s="2"/>
    </row>
    <row r="21" spans="1:29" x14ac:dyDescent="0.25">
      <c r="A21" s="3"/>
      <c r="B21" s="12"/>
      <c r="C21" s="21"/>
      <c r="D21" s="3"/>
      <c r="E21" s="3"/>
      <c r="F21" s="15"/>
      <c r="G21" s="5"/>
      <c r="H21" s="20"/>
      <c r="I21" s="12"/>
      <c r="J21" s="11"/>
      <c r="K21" s="11"/>
      <c r="L21" s="5"/>
      <c r="M21" s="5"/>
      <c r="AC21" s="2"/>
    </row>
    <row r="22" spans="1:29" x14ac:dyDescent="0.25">
      <c r="A22" s="3"/>
      <c r="B22" s="12"/>
      <c r="C22" s="21"/>
      <c r="D22" s="3"/>
      <c r="E22" s="3"/>
      <c r="F22" s="15"/>
      <c r="G22" s="5"/>
      <c r="H22" s="20"/>
      <c r="I22" s="12"/>
      <c r="J22" s="11"/>
      <c r="K22" s="11"/>
      <c r="L22" s="5"/>
      <c r="M22" s="5"/>
      <c r="AC22" s="2"/>
    </row>
    <row r="23" spans="1:29" x14ac:dyDescent="0.25">
      <c r="A23" s="3"/>
      <c r="B23" s="12"/>
      <c r="C23" s="21"/>
      <c r="D23" s="3"/>
      <c r="E23" s="3"/>
      <c r="F23" s="15"/>
      <c r="G23" s="5"/>
      <c r="H23" s="20"/>
      <c r="I23" s="12"/>
      <c r="J23" s="11"/>
      <c r="K23" s="11"/>
      <c r="L23" s="5"/>
      <c r="M23" s="5"/>
      <c r="AC23" s="2"/>
    </row>
    <row r="24" spans="1:29" x14ac:dyDescent="0.25">
      <c r="A24" s="3"/>
      <c r="B24" s="12"/>
      <c r="C24" s="21"/>
      <c r="D24" s="3"/>
      <c r="E24" s="3"/>
      <c r="F24" s="15"/>
      <c r="G24" s="5"/>
      <c r="H24" s="20"/>
      <c r="I24" s="12"/>
      <c r="J24" s="11"/>
      <c r="K24" s="11"/>
      <c r="L24" s="5"/>
      <c r="M24" s="5"/>
      <c r="AC24" s="2"/>
    </row>
    <row r="25" spans="1:29" x14ac:dyDescent="0.25">
      <c r="A25" s="3"/>
      <c r="B25" s="12"/>
      <c r="C25" s="21"/>
      <c r="D25" s="3"/>
      <c r="E25" s="3"/>
      <c r="F25" s="15"/>
      <c r="G25" s="5"/>
      <c r="H25" s="20"/>
      <c r="I25" s="12"/>
      <c r="J25" s="11"/>
      <c r="K25" s="11"/>
      <c r="L25" s="5"/>
      <c r="M25" s="5"/>
      <c r="AC25" s="2"/>
    </row>
    <row r="26" spans="1:29" x14ac:dyDescent="0.25">
      <c r="A26" s="3"/>
      <c r="B26" s="12"/>
      <c r="C26" s="21"/>
      <c r="D26" s="3"/>
      <c r="E26" s="3"/>
      <c r="F26" s="15"/>
      <c r="G26" s="5"/>
      <c r="H26" s="20"/>
      <c r="I26" s="12"/>
      <c r="J26" s="11"/>
      <c r="K26" s="11"/>
      <c r="L26" s="5"/>
      <c r="M26" s="5"/>
      <c r="AC26" s="2"/>
    </row>
    <row r="27" spans="1:29" x14ac:dyDescent="0.25">
      <c r="A27" s="3"/>
      <c r="B27" s="12"/>
      <c r="C27" s="21"/>
      <c r="D27" s="3"/>
      <c r="E27" s="3"/>
      <c r="F27" s="15"/>
      <c r="G27" s="5"/>
      <c r="H27" s="20"/>
      <c r="I27" s="12"/>
      <c r="J27" s="11"/>
      <c r="K27" s="11"/>
      <c r="L27" s="5"/>
      <c r="M27" s="5"/>
      <c r="AC27" s="2"/>
    </row>
  </sheetData>
  <mergeCells count="5">
    <mergeCell ref="U1:X1"/>
    <mergeCell ref="A1:G1"/>
    <mergeCell ref="H1:M1"/>
    <mergeCell ref="O1:R1"/>
    <mergeCell ref="S1:T1"/>
  </mergeCells>
  <conditionalFormatting sqref="A3:M27">
    <cfRule type="expression" dxfId="40" priority="1">
      <formula>AND($G3&gt;0,$G3=$L3)</formula>
    </cfRule>
    <cfRule type="expression" dxfId="39" priority="2">
      <formula>$AC3="+"</formula>
    </cfRule>
  </conditionalFormatting>
  <conditionalFormatting sqref="AC9:AC11">
    <cfRule type="expression" dxfId="38" priority="11">
      <formula>AND($G9&gt;0,$G9=$L9)</formula>
    </cfRule>
    <cfRule type="expression" dxfId="37" priority="12">
      <formula>$AC9="+"</formula>
    </cfRule>
  </conditionalFormatting>
  <hyperlinks>
    <hyperlink ref="C3" location="'Riverland III butai VI, Vilnius'!A1" display="'Riverland III butai VI, Vilnius'!A1" xr:uid="{4D570A1C-4B37-4100-B350-716432AD4918}"/>
    <hyperlink ref="C4" location="'Panemunės apartamentai IX'!A1" display="'Panemunės apartamentai IX'!A1" xr:uid="{6036774D-9777-4AF7-83F7-56D558CBB834}"/>
    <hyperlink ref="C5" location="'Spanguolių takai XXXVIII, Riešė'!A1" display="'Spanguolių takai XXXVIII, Riešė'!A1" xr:uid="{3B3D5039-CE6F-4660-9342-AD3DEC2102EE}"/>
    <hyperlink ref="C6" location="'Pylimo g. 57 butai II, Vilnius'!A1" display="'Pylimo g. 57 butai II, Vilnius'!A1" xr:uid="{E7702D2C-76CD-4E0C-BFD5-0D530CFCB9A2}"/>
    <hyperlink ref="C7" location="'ROOTHAUS I, Vilnius'!A1" display="'ROOTHAUS I, Vilnius'!A1" xr:uid="{791EC8ED-11BE-492B-B2EB-A5920ED9056D}"/>
    <hyperlink ref="C8" location="'UAB &quot;NT reikalas&quot; projektai VI'!A1" display="'UAB &quot;NT reikalas&quot; projektai VI'!A1" xr:uid="{2E431F7A-3C8E-4BEF-98A8-E19DC8DB4C11}"/>
    <hyperlink ref="C9" location="'Kaip Niujorke XXXVIII, Vilnius'!A1" display="'Kaip Niujorke XXXVIII, Vilnius'!A1" xr:uid="{004C2AB4-67B1-4B9A-8AFA-CFBE99194E84}"/>
    <hyperlink ref="C10" location="'UAB „Dear Home&quot; projektai XV'!A1" display="'UAB „Dear Home&quot; projektai XV'!A1" xr:uid="{923750F4-4706-4251-AEE3-F4E05423E875}"/>
    <hyperlink ref="C11" location="'Laikas mėtoms VII, Vilnius'!A1" display="'Laikas mėtoms VII, Vilnius'!A1" xr:uid="{7DC77F25-4AE2-4D2F-8D8B-042B5516E778}"/>
  </hyperlinks>
  <pageMargins left="0.7" right="0.7" top="0.75" bottom="0.75" header="0.3" footer="0.3"/>
  <pageSetup orientation="portrait" r:id="rId1"/>
  <ignoredErrors>
    <ignoredError sqref="J3:J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topLeftCell="A178" workbookViewId="0">
      <selection activeCell="A2" sqref="A2"/>
    </sheetView>
  </sheetViews>
  <sheetFormatPr defaultRowHeight="15" x14ac:dyDescent="0.25"/>
  <cols>
    <col min="1" max="1" width="15.7109375" customWidth="1"/>
    <col min="2" max="4" width="10.7109375" customWidth="1"/>
    <col min="6" max="9" width="10.7109375" customWidth="1"/>
  </cols>
  <sheetData>
    <row r="1" spans="1:11" x14ac:dyDescent="0.25">
      <c r="A1" s="3" t="s">
        <v>9</v>
      </c>
      <c r="B1" s="3" t="s">
        <v>24</v>
      </c>
      <c r="C1" s="3" t="s">
        <v>25</v>
      </c>
      <c r="D1" s="3" t="s">
        <v>21</v>
      </c>
      <c r="F1" s="3" t="s">
        <v>24</v>
      </c>
      <c r="G1" s="3" t="s">
        <v>25</v>
      </c>
      <c r="H1" s="3" t="s">
        <v>21</v>
      </c>
      <c r="I1" s="3" t="s">
        <v>26</v>
      </c>
    </row>
    <row r="2" spans="1:11" x14ac:dyDescent="0.25">
      <c r="A2" s="12">
        <v>45964</v>
      </c>
      <c r="B2" s="5">
        <v>100</v>
      </c>
      <c r="C2" s="5">
        <v>0</v>
      </c>
      <c r="D2" s="5">
        <v>0</v>
      </c>
      <c r="F2" s="5">
        <f>SUM(B2:B37)</f>
        <v>674.21</v>
      </c>
      <c r="G2" s="5">
        <f>SUM(C2:C37)</f>
        <v>0</v>
      </c>
      <c r="H2" s="5">
        <f>SUM(D2:D37)</f>
        <v>4</v>
      </c>
      <c r="I2" s="5">
        <f>F2-G2</f>
        <v>674.21</v>
      </c>
      <c r="K2">
        <f>B2*-1</f>
        <v>-100</v>
      </c>
    </row>
    <row r="3" spans="1:11" x14ac:dyDescent="0.25">
      <c r="A3" s="12">
        <v>45964</v>
      </c>
      <c r="B3" s="5">
        <v>0</v>
      </c>
      <c r="C3" s="5">
        <v>0</v>
      </c>
      <c r="D3" s="5">
        <v>0.5</v>
      </c>
      <c r="F3" s="22"/>
      <c r="G3" s="22"/>
      <c r="H3" s="22"/>
      <c r="I3" s="22"/>
      <c r="K3">
        <f t="shared" ref="K3:K17" si="0">B3*-1</f>
        <v>0</v>
      </c>
    </row>
    <row r="4" spans="1:11" x14ac:dyDescent="0.25">
      <c r="A4" s="12">
        <v>45964</v>
      </c>
      <c r="B4" s="5">
        <v>100</v>
      </c>
      <c r="C4" s="5">
        <v>0</v>
      </c>
      <c r="D4" s="5">
        <v>0</v>
      </c>
      <c r="K4">
        <f t="shared" si="0"/>
        <v>-100</v>
      </c>
    </row>
    <row r="5" spans="1:11" x14ac:dyDescent="0.25">
      <c r="A5" s="12">
        <v>45965</v>
      </c>
      <c r="B5" s="5">
        <v>100</v>
      </c>
      <c r="C5" s="5">
        <v>0</v>
      </c>
      <c r="D5" s="5">
        <v>0</v>
      </c>
      <c r="K5">
        <f t="shared" si="0"/>
        <v>-100</v>
      </c>
    </row>
    <row r="6" spans="1:11" x14ac:dyDescent="0.25">
      <c r="A6" s="12">
        <v>45965</v>
      </c>
      <c r="B6" s="5">
        <v>0</v>
      </c>
      <c r="C6" s="5">
        <v>0</v>
      </c>
      <c r="D6" s="5">
        <v>0.5</v>
      </c>
      <c r="K6">
        <f t="shared" si="0"/>
        <v>0</v>
      </c>
    </row>
    <row r="7" spans="1:11" x14ac:dyDescent="0.25">
      <c r="A7" s="12">
        <v>45967</v>
      </c>
      <c r="B7" s="5">
        <v>100</v>
      </c>
      <c r="C7" s="5">
        <v>0</v>
      </c>
      <c r="D7" s="5">
        <v>0</v>
      </c>
      <c r="K7">
        <f t="shared" si="0"/>
        <v>-100</v>
      </c>
    </row>
    <row r="8" spans="1:11" x14ac:dyDescent="0.25">
      <c r="A8" s="12">
        <v>45967</v>
      </c>
      <c r="B8" s="5">
        <v>0</v>
      </c>
      <c r="C8" s="5">
        <v>0</v>
      </c>
      <c r="D8" s="5">
        <v>0.5</v>
      </c>
      <c r="K8">
        <f t="shared" si="0"/>
        <v>0</v>
      </c>
    </row>
    <row r="9" spans="1:11" x14ac:dyDescent="0.25">
      <c r="A9" s="12">
        <v>45968</v>
      </c>
      <c r="B9" s="5">
        <v>100</v>
      </c>
      <c r="C9" s="5">
        <v>0</v>
      </c>
      <c r="D9" s="5">
        <v>0</v>
      </c>
      <c r="K9">
        <f t="shared" si="0"/>
        <v>-100</v>
      </c>
    </row>
    <row r="10" spans="1:11" x14ac:dyDescent="0.25">
      <c r="A10" s="12">
        <v>45972</v>
      </c>
      <c r="B10" s="5">
        <v>0</v>
      </c>
      <c r="C10" s="5">
        <v>0</v>
      </c>
      <c r="D10" s="5">
        <v>0.5</v>
      </c>
      <c r="K10">
        <f t="shared" si="0"/>
        <v>0</v>
      </c>
    </row>
    <row r="11" spans="1:11" x14ac:dyDescent="0.25">
      <c r="A11" s="12">
        <v>46024</v>
      </c>
      <c r="B11" s="5">
        <v>100</v>
      </c>
      <c r="C11" s="5">
        <v>0</v>
      </c>
      <c r="D11" s="5">
        <v>0</v>
      </c>
      <c r="K11">
        <f t="shared" si="0"/>
        <v>-100</v>
      </c>
    </row>
    <row r="12" spans="1:11" x14ac:dyDescent="0.25">
      <c r="A12" s="12">
        <v>46027</v>
      </c>
      <c r="B12" s="5">
        <v>0</v>
      </c>
      <c r="C12" s="5">
        <v>0</v>
      </c>
      <c r="D12" s="5">
        <v>0.5</v>
      </c>
      <c r="K12">
        <f t="shared" si="0"/>
        <v>0</v>
      </c>
    </row>
    <row r="13" spans="1:11" x14ac:dyDescent="0.25">
      <c r="A13" s="12">
        <v>46184</v>
      </c>
      <c r="B13" s="5">
        <v>35.07</v>
      </c>
      <c r="C13" s="5">
        <v>0</v>
      </c>
      <c r="D13" s="5">
        <v>0</v>
      </c>
      <c r="K13">
        <f t="shared" si="0"/>
        <v>-35.07</v>
      </c>
    </row>
    <row r="14" spans="1:11" x14ac:dyDescent="0.25">
      <c r="A14" s="12">
        <v>46184</v>
      </c>
      <c r="B14" s="5">
        <v>0</v>
      </c>
      <c r="C14" s="5">
        <v>0</v>
      </c>
      <c r="D14" s="5">
        <v>0.5</v>
      </c>
      <c r="K14">
        <f t="shared" si="0"/>
        <v>0</v>
      </c>
    </row>
    <row r="15" spans="1:11" x14ac:dyDescent="0.25">
      <c r="A15" s="12">
        <v>46216</v>
      </c>
      <c r="B15" s="5">
        <v>0</v>
      </c>
      <c r="C15" s="5">
        <v>0</v>
      </c>
      <c r="D15" s="5">
        <v>0.5</v>
      </c>
      <c r="K15">
        <f t="shared" si="0"/>
        <v>0</v>
      </c>
    </row>
    <row r="16" spans="1:11" x14ac:dyDescent="0.25">
      <c r="A16" s="12">
        <v>46216</v>
      </c>
      <c r="B16" s="5">
        <v>39.14</v>
      </c>
      <c r="C16" s="5">
        <v>0</v>
      </c>
      <c r="D16" s="5">
        <v>0</v>
      </c>
      <c r="K16">
        <f t="shared" si="0"/>
        <v>-39.14</v>
      </c>
    </row>
    <row r="17" spans="1:11" x14ac:dyDescent="0.25">
      <c r="A17" s="12">
        <v>46217</v>
      </c>
      <c r="B17" s="5">
        <v>0</v>
      </c>
      <c r="C17" s="5">
        <v>0</v>
      </c>
      <c r="D17" s="5">
        <v>0.5</v>
      </c>
      <c r="K17">
        <f t="shared" si="0"/>
        <v>0</v>
      </c>
    </row>
    <row r="18" spans="1:11" x14ac:dyDescent="0.25">
      <c r="A18" s="13"/>
    </row>
    <row r="19" spans="1:11" x14ac:dyDescent="0.25">
      <c r="A19" s="13"/>
    </row>
    <row r="20" spans="1:11" x14ac:dyDescent="0.25">
      <c r="A20" s="13"/>
    </row>
    <row r="21" spans="1:11" x14ac:dyDescent="0.25">
      <c r="A21" s="13"/>
    </row>
    <row r="22" spans="1:11" x14ac:dyDescent="0.25">
      <c r="A22" s="13"/>
    </row>
    <row r="23" spans="1:11" x14ac:dyDescent="0.25">
      <c r="A23" s="13"/>
    </row>
    <row r="24" spans="1:11" x14ac:dyDescent="0.25">
      <c r="A24" s="13"/>
    </row>
    <row r="25" spans="1:11" x14ac:dyDescent="0.25">
      <c r="A25" s="13"/>
    </row>
    <row r="26" spans="1:11" x14ac:dyDescent="0.25">
      <c r="A26" s="13"/>
    </row>
    <row r="27" spans="1:11" x14ac:dyDescent="0.25">
      <c r="A27" s="13"/>
    </row>
    <row r="200" spans="1:11" x14ac:dyDescent="0.25">
      <c r="A200" s="23">
        <f ca="1">TODAY()</f>
        <v>46296</v>
      </c>
      <c r="K200" s="24">
        <f>Overview!U3</f>
        <v>706.59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B7C6-4202-4BB2-A12C-D3A0DF818906}">
  <dimension ref="A1:AA42"/>
  <sheetViews>
    <sheetView workbookViewId="0">
      <selection activeCell="I2" sqref="I2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>
        <v>20260218</v>
      </c>
      <c r="D1" s="9" t="s">
        <v>9</v>
      </c>
      <c r="E1" s="9" t="s">
        <v>0</v>
      </c>
      <c r="F1" s="9" t="s">
        <v>5</v>
      </c>
      <c r="G1" s="9" t="s">
        <v>0</v>
      </c>
      <c r="H1" s="9" t="s">
        <v>5</v>
      </c>
      <c r="I1" s="9" t="s">
        <v>38</v>
      </c>
      <c r="J1" s="10" t="s">
        <v>9</v>
      </c>
      <c r="K1" s="10" t="s">
        <v>22</v>
      </c>
      <c r="M1" s="28" t="s">
        <v>0</v>
      </c>
      <c r="N1" s="30"/>
      <c r="O1" s="28" t="s">
        <v>5</v>
      </c>
      <c r="P1" s="30"/>
      <c r="Q1" s="32" t="s">
        <v>39</v>
      </c>
      <c r="R1" s="32" t="s">
        <v>23</v>
      </c>
      <c r="S1" s="32" t="s">
        <v>40</v>
      </c>
      <c r="Y1" s="18" t="s">
        <v>9</v>
      </c>
      <c r="Z1" s="9" t="s">
        <v>41</v>
      </c>
      <c r="AA1" s="9" t="s">
        <v>40</v>
      </c>
    </row>
    <row r="2" spans="1:27" x14ac:dyDescent="0.25">
      <c r="A2" s="8" t="s">
        <v>1</v>
      </c>
      <c r="B2" s="3" t="s">
        <v>52</v>
      </c>
      <c r="D2" s="12">
        <v>46296</v>
      </c>
      <c r="E2" s="5"/>
      <c r="F2" s="5"/>
      <c r="G2" s="5"/>
      <c r="H2" s="5"/>
      <c r="I2" s="5"/>
      <c r="J2" s="12"/>
      <c r="K2" s="11" t="str">
        <f>IF(J2&gt;0,J2-D2,"")</f>
        <v/>
      </c>
      <c r="M2" s="19" t="s">
        <v>42</v>
      </c>
      <c r="N2" s="19" t="s">
        <v>23</v>
      </c>
      <c r="O2" s="9" t="s">
        <v>43</v>
      </c>
      <c r="P2" s="9" t="s">
        <v>44</v>
      </c>
      <c r="Q2" s="33"/>
      <c r="R2" s="33"/>
      <c r="S2" s="33"/>
      <c r="Y2" s="12">
        <f>B3</f>
        <v>46217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7</v>
      </c>
      <c r="B3" s="12">
        <v>46217</v>
      </c>
      <c r="D3" s="12">
        <v>46388</v>
      </c>
      <c r="E3" s="5"/>
      <c r="F3" s="5"/>
      <c r="G3" s="5"/>
      <c r="H3" s="5"/>
      <c r="I3" s="5"/>
      <c r="J3" s="12"/>
      <c r="K3" s="11" t="str">
        <f t="shared" ref="K3:K41" si="0">IF(J3&gt;0,J3-D3,"")</f>
        <v/>
      </c>
      <c r="M3" s="5">
        <f>B11</f>
        <v>100</v>
      </c>
      <c r="N3" s="5">
        <f>G42</f>
        <v>0</v>
      </c>
      <c r="O3" s="5">
        <f>F42</f>
        <v>0</v>
      </c>
      <c r="P3" s="5">
        <f>H42+I42</f>
        <v>0</v>
      </c>
      <c r="Q3" s="15" t="str">
        <f>IF(M3=N3,XIRR(Z2:Z41,Y2:Y41),"")</f>
        <v/>
      </c>
      <c r="R3" s="12" t="str">
        <f>IF(M3=N3,B14,"")</f>
        <v/>
      </c>
      <c r="S3" s="3" t="str">
        <f ca="1">IF(COUNTIFS(D:D,"&lt;"&amp;TODAY(),J:J,"")=0,"",TODAY()-_xlfn.MINIFS(D:D,D:D,"&lt;"&amp;TODAY(),J:J,""))</f>
        <v/>
      </c>
      <c r="Y3" s="12">
        <f>J2</f>
        <v>0</v>
      </c>
      <c r="Z3" s="5">
        <f>G2+H2+I2</f>
        <v>0</v>
      </c>
    </row>
    <row r="4" spans="1:27" x14ac:dyDescent="0.25">
      <c r="A4" s="8" t="s">
        <v>11</v>
      </c>
      <c r="B4" s="12">
        <v>46220</v>
      </c>
      <c r="D4" s="12">
        <v>46478</v>
      </c>
      <c r="E4" s="5"/>
      <c r="F4" s="5"/>
      <c r="G4" s="5"/>
      <c r="H4" s="5"/>
      <c r="I4" s="5"/>
      <c r="J4" s="12"/>
      <c r="K4" s="11" t="str">
        <f t="shared" si="0"/>
        <v/>
      </c>
      <c r="Y4" s="12">
        <f t="shared" ref="Y4:Y41" si="1">J3</f>
        <v>0</v>
      </c>
      <c r="Z4" s="5">
        <f t="shared" ref="Z4:Z41" si="2">G3+H3+I3</f>
        <v>0</v>
      </c>
    </row>
    <row r="5" spans="1:27" x14ac:dyDescent="0.25">
      <c r="A5" s="8" t="s">
        <v>2</v>
      </c>
      <c r="B5" s="3" t="s">
        <v>29</v>
      </c>
      <c r="D5" s="12">
        <v>46569</v>
      </c>
      <c r="E5" s="5"/>
      <c r="F5" s="5"/>
      <c r="G5" s="5"/>
      <c r="H5" s="5"/>
      <c r="I5" s="5"/>
      <c r="J5" s="12"/>
      <c r="K5" s="11" t="str">
        <f t="shared" si="0"/>
        <v/>
      </c>
      <c r="Y5" s="12">
        <f t="shared" si="1"/>
        <v>0</v>
      </c>
      <c r="Z5" s="5">
        <f t="shared" si="2"/>
        <v>0</v>
      </c>
    </row>
    <row r="6" spans="1:27" x14ac:dyDescent="0.25">
      <c r="A6" s="8" t="s">
        <v>12</v>
      </c>
      <c r="B6" s="4">
        <v>0.7</v>
      </c>
      <c r="D6" s="14">
        <v>46587</v>
      </c>
      <c r="E6" s="5"/>
      <c r="F6" s="5"/>
      <c r="G6" s="5"/>
      <c r="H6" s="5"/>
      <c r="I6" s="5"/>
      <c r="J6" s="12"/>
      <c r="K6" s="11" t="str">
        <f t="shared" si="0"/>
        <v/>
      </c>
      <c r="Y6" s="12">
        <f t="shared" si="1"/>
        <v>0</v>
      </c>
      <c r="Z6" s="5">
        <f t="shared" si="2"/>
        <v>0</v>
      </c>
    </row>
    <row r="7" spans="1:27" x14ac:dyDescent="0.25">
      <c r="A7" s="8" t="s">
        <v>13</v>
      </c>
      <c r="B7" s="4">
        <v>0.7</v>
      </c>
      <c r="D7" s="12"/>
      <c r="E7" s="5"/>
      <c r="F7" s="5"/>
      <c r="G7" s="3"/>
      <c r="H7" s="5"/>
      <c r="I7" s="5"/>
      <c r="J7" s="12"/>
      <c r="K7" s="11" t="str">
        <f t="shared" si="0"/>
        <v/>
      </c>
      <c r="Y7" s="12">
        <f t="shared" si="1"/>
        <v>0</v>
      </c>
      <c r="Z7" s="5">
        <f t="shared" si="2"/>
        <v>0</v>
      </c>
    </row>
    <row r="8" spans="1:27" x14ac:dyDescent="0.25">
      <c r="A8" s="8" t="s">
        <v>3</v>
      </c>
      <c r="B8" s="3">
        <v>12</v>
      </c>
      <c r="D8" s="12"/>
      <c r="E8" s="2"/>
      <c r="F8" s="2"/>
      <c r="G8" s="2"/>
      <c r="H8" s="2"/>
      <c r="I8" s="2"/>
      <c r="J8" s="12"/>
      <c r="K8" s="11" t="str">
        <f t="shared" si="0"/>
        <v/>
      </c>
      <c r="Y8" s="12">
        <f t="shared" si="1"/>
        <v>0</v>
      </c>
      <c r="Z8" s="5">
        <f t="shared" si="2"/>
        <v>0</v>
      </c>
    </row>
    <row r="9" spans="1:27" x14ac:dyDescent="0.25">
      <c r="A9" s="8" t="s">
        <v>4</v>
      </c>
      <c r="B9" s="3" t="s">
        <v>8</v>
      </c>
      <c r="D9" s="12"/>
      <c r="E9" s="2"/>
      <c r="F9" s="2"/>
      <c r="G9" s="2"/>
      <c r="H9" s="2"/>
      <c r="I9" s="2"/>
      <c r="J9" s="12"/>
      <c r="K9" s="11" t="str">
        <f t="shared" si="0"/>
        <v/>
      </c>
      <c r="Y9" s="12">
        <f t="shared" si="1"/>
        <v>0</v>
      </c>
      <c r="Z9" s="5">
        <f t="shared" si="2"/>
        <v>0</v>
      </c>
    </row>
    <row r="10" spans="1:27" x14ac:dyDescent="0.25">
      <c r="A10" s="8" t="s">
        <v>6</v>
      </c>
      <c r="B10" s="6">
        <v>7.0000000000000007E-2</v>
      </c>
      <c r="D10" s="12"/>
      <c r="E10" s="2"/>
      <c r="F10" s="2"/>
      <c r="G10" s="2"/>
      <c r="H10" s="2"/>
      <c r="I10" s="2"/>
      <c r="J10" s="12"/>
      <c r="K10" s="11" t="str">
        <f t="shared" si="0"/>
        <v/>
      </c>
      <c r="Y10" s="12">
        <f t="shared" si="1"/>
        <v>0</v>
      </c>
      <c r="Z10" s="5">
        <f t="shared" si="2"/>
        <v>0</v>
      </c>
    </row>
    <row r="11" spans="1:27" x14ac:dyDescent="0.25">
      <c r="A11" s="8" t="s">
        <v>60</v>
      </c>
      <c r="B11" s="5">
        <v>100</v>
      </c>
      <c r="D11" s="12"/>
      <c r="E11" s="2"/>
      <c r="F11" s="2"/>
      <c r="G11" s="2"/>
      <c r="H11" s="2"/>
      <c r="I11" s="2"/>
      <c r="J11" s="12"/>
      <c r="K11" s="11" t="str">
        <f t="shared" si="0"/>
        <v/>
      </c>
      <c r="Y11" s="12">
        <f t="shared" si="1"/>
        <v>0</v>
      </c>
      <c r="Z11" s="5">
        <f t="shared" si="2"/>
        <v>0</v>
      </c>
    </row>
    <row r="12" spans="1:27" x14ac:dyDescent="0.25">
      <c r="A12" s="8" t="s">
        <v>37</v>
      </c>
      <c r="B12" s="16">
        <v>46587</v>
      </c>
      <c r="D12" s="12"/>
      <c r="E12" s="2"/>
      <c r="F12" s="2"/>
      <c r="G12" s="2"/>
      <c r="H12" s="2"/>
      <c r="I12" s="2"/>
      <c r="J12" s="12"/>
      <c r="K12" s="11" t="str">
        <f t="shared" si="0"/>
        <v/>
      </c>
      <c r="Y12" s="12">
        <f t="shared" si="1"/>
        <v>0</v>
      </c>
      <c r="Z12" s="5">
        <f t="shared" si="2"/>
        <v>0</v>
      </c>
    </row>
    <row r="13" spans="1:27" x14ac:dyDescent="0.25">
      <c r="A13" s="8" t="s">
        <v>53</v>
      </c>
      <c r="B13" s="11">
        <f ca="1">IF(B11&lt;&gt;N3,(TODAY()-B12)*-1,"")</f>
        <v>291</v>
      </c>
      <c r="D13" s="12"/>
      <c r="E13" s="5"/>
      <c r="F13" s="5"/>
      <c r="G13" s="5"/>
      <c r="H13" s="5"/>
      <c r="I13" s="5"/>
      <c r="J13" s="20"/>
      <c r="K13" s="11" t="str">
        <f t="shared" si="0"/>
        <v/>
      </c>
      <c r="Y13" s="12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2"/>
      <c r="D14" s="9"/>
      <c r="E14" s="5"/>
      <c r="F14" s="5"/>
      <c r="G14" s="5"/>
      <c r="H14" s="5"/>
      <c r="I14" s="5"/>
      <c r="J14" s="3"/>
      <c r="K14" s="11" t="str">
        <f t="shared" si="0"/>
        <v/>
      </c>
      <c r="Y14" s="12">
        <f t="shared" si="1"/>
        <v>0</v>
      </c>
      <c r="Z14" s="5">
        <f t="shared" si="2"/>
        <v>0</v>
      </c>
    </row>
    <row r="15" spans="1:27" x14ac:dyDescent="0.25">
      <c r="A15" s="8" t="s">
        <v>54</v>
      </c>
      <c r="B15" s="3" t="str">
        <f>IF(M3=N3,B14-B12,"")</f>
        <v/>
      </c>
      <c r="D15" s="9"/>
      <c r="E15" s="5"/>
      <c r="F15" s="5"/>
      <c r="G15" s="5"/>
      <c r="H15" s="5"/>
      <c r="I15" s="5"/>
      <c r="J15" s="3"/>
      <c r="K15" s="11" t="str">
        <f t="shared" si="0"/>
        <v/>
      </c>
      <c r="Y15" s="12">
        <f t="shared" si="1"/>
        <v>0</v>
      </c>
      <c r="Z15" s="5">
        <f t="shared" si="2"/>
        <v>0</v>
      </c>
    </row>
    <row r="16" spans="1:27" x14ac:dyDescent="0.25">
      <c r="D16" s="9"/>
      <c r="E16" s="5"/>
      <c r="F16" s="5"/>
      <c r="G16" s="5"/>
      <c r="H16" s="5"/>
      <c r="I16" s="5"/>
      <c r="J16" s="3"/>
      <c r="K16" s="11" t="str">
        <f t="shared" si="0"/>
        <v/>
      </c>
      <c r="Y16" s="12">
        <f t="shared" si="1"/>
        <v>0</v>
      </c>
      <c r="Z16" s="5">
        <f t="shared" si="2"/>
        <v>0</v>
      </c>
    </row>
    <row r="17" spans="4:26" x14ac:dyDescent="0.25">
      <c r="D17" s="9"/>
      <c r="E17" s="5"/>
      <c r="F17" s="5"/>
      <c r="G17" s="5"/>
      <c r="H17" s="5"/>
      <c r="I17" s="5"/>
      <c r="J17" s="3"/>
      <c r="K17" s="11" t="str">
        <f t="shared" si="0"/>
        <v/>
      </c>
      <c r="Y17" s="12">
        <f t="shared" si="1"/>
        <v>0</v>
      </c>
      <c r="Z17" s="5">
        <f t="shared" si="2"/>
        <v>0</v>
      </c>
    </row>
    <row r="18" spans="4:26" x14ac:dyDescent="0.25">
      <c r="D18" s="9"/>
      <c r="E18" s="5"/>
      <c r="F18" s="5"/>
      <c r="G18" s="5"/>
      <c r="H18" s="5"/>
      <c r="I18" s="5"/>
      <c r="J18" s="3"/>
      <c r="K18" s="11" t="str">
        <f t="shared" si="0"/>
        <v/>
      </c>
      <c r="Y18" s="12">
        <f t="shared" si="1"/>
        <v>0</v>
      </c>
      <c r="Z18" s="5">
        <f t="shared" si="2"/>
        <v>0</v>
      </c>
    </row>
    <row r="19" spans="4:26" x14ac:dyDescent="0.25">
      <c r="D19" s="9"/>
      <c r="E19" s="5"/>
      <c r="F19" s="5"/>
      <c r="G19" s="5"/>
      <c r="H19" s="5"/>
      <c r="I19" s="5"/>
      <c r="J19" s="3"/>
      <c r="K19" s="11" t="str">
        <f t="shared" si="0"/>
        <v/>
      </c>
      <c r="Y19" s="12">
        <f t="shared" si="1"/>
        <v>0</v>
      </c>
      <c r="Z19" s="5">
        <f t="shared" si="2"/>
        <v>0</v>
      </c>
    </row>
    <row r="20" spans="4:26" x14ac:dyDescent="0.25">
      <c r="D20" s="9"/>
      <c r="E20" s="5"/>
      <c r="F20" s="5"/>
      <c r="G20" s="5"/>
      <c r="H20" s="5"/>
      <c r="I20" s="5"/>
      <c r="J20" s="3"/>
      <c r="K20" s="11" t="str">
        <f t="shared" si="0"/>
        <v/>
      </c>
      <c r="Y20" s="12">
        <f t="shared" si="1"/>
        <v>0</v>
      </c>
      <c r="Z20" s="5">
        <f t="shared" si="2"/>
        <v>0</v>
      </c>
    </row>
    <row r="21" spans="4:26" x14ac:dyDescent="0.25">
      <c r="D21" s="9"/>
      <c r="E21" s="5"/>
      <c r="F21" s="5"/>
      <c r="G21" s="5"/>
      <c r="H21" s="5"/>
      <c r="I21" s="5"/>
      <c r="J21" s="3"/>
      <c r="K21" s="11" t="str">
        <f t="shared" si="0"/>
        <v/>
      </c>
      <c r="Y21" s="12">
        <f t="shared" si="1"/>
        <v>0</v>
      </c>
      <c r="Z21" s="5">
        <f t="shared" si="2"/>
        <v>0</v>
      </c>
    </row>
    <row r="22" spans="4:26" x14ac:dyDescent="0.25">
      <c r="D22" s="9"/>
      <c r="E22" s="5"/>
      <c r="F22" s="5"/>
      <c r="G22" s="5"/>
      <c r="H22" s="5"/>
      <c r="I22" s="5"/>
      <c r="J22" s="3"/>
      <c r="K22" s="11" t="str">
        <f t="shared" si="0"/>
        <v/>
      </c>
      <c r="Y22" s="12">
        <f t="shared" si="1"/>
        <v>0</v>
      </c>
      <c r="Z22" s="5">
        <f t="shared" si="2"/>
        <v>0</v>
      </c>
    </row>
    <row r="23" spans="4:26" x14ac:dyDescent="0.25">
      <c r="D23" s="9"/>
      <c r="E23" s="5"/>
      <c r="F23" s="5"/>
      <c r="G23" s="5"/>
      <c r="H23" s="5"/>
      <c r="I23" s="5"/>
      <c r="J23" s="3"/>
      <c r="K23" s="11" t="str">
        <f t="shared" si="0"/>
        <v/>
      </c>
      <c r="Y23" s="12">
        <f t="shared" si="1"/>
        <v>0</v>
      </c>
      <c r="Z23" s="5">
        <f t="shared" si="2"/>
        <v>0</v>
      </c>
    </row>
    <row r="24" spans="4:26" x14ac:dyDescent="0.25">
      <c r="D24" s="9"/>
      <c r="E24" s="5"/>
      <c r="F24" s="5"/>
      <c r="G24" s="5"/>
      <c r="H24" s="5"/>
      <c r="I24" s="5"/>
      <c r="J24" s="3"/>
      <c r="K24" s="11" t="str">
        <f t="shared" si="0"/>
        <v/>
      </c>
      <c r="Y24" s="12">
        <f t="shared" si="1"/>
        <v>0</v>
      </c>
      <c r="Z24" s="5">
        <f t="shared" si="2"/>
        <v>0</v>
      </c>
    </row>
    <row r="25" spans="4:26" x14ac:dyDescent="0.25">
      <c r="D25" s="9"/>
      <c r="E25" s="5"/>
      <c r="F25" s="5"/>
      <c r="G25" s="5"/>
      <c r="H25" s="5"/>
      <c r="I25" s="5"/>
      <c r="J25" s="3"/>
      <c r="K25" s="11" t="str">
        <f t="shared" si="0"/>
        <v/>
      </c>
      <c r="Y25" s="12">
        <f t="shared" si="1"/>
        <v>0</v>
      </c>
      <c r="Z25" s="5">
        <f t="shared" si="2"/>
        <v>0</v>
      </c>
    </row>
    <row r="26" spans="4:26" x14ac:dyDescent="0.25">
      <c r="D26" s="9"/>
      <c r="E26" s="5"/>
      <c r="F26" s="5"/>
      <c r="G26" s="5"/>
      <c r="H26" s="5"/>
      <c r="I26" s="5"/>
      <c r="J26" s="3"/>
      <c r="K26" s="11" t="str">
        <f t="shared" si="0"/>
        <v/>
      </c>
      <c r="Y26" s="12">
        <f t="shared" si="1"/>
        <v>0</v>
      </c>
      <c r="Z26" s="5">
        <f t="shared" si="2"/>
        <v>0</v>
      </c>
    </row>
    <row r="27" spans="4:26" x14ac:dyDescent="0.25">
      <c r="D27" s="9"/>
      <c r="E27" s="5"/>
      <c r="F27" s="5"/>
      <c r="G27" s="5"/>
      <c r="H27" s="5"/>
      <c r="I27" s="5"/>
      <c r="J27" s="3"/>
      <c r="K27" s="11" t="str">
        <f t="shared" si="0"/>
        <v/>
      </c>
      <c r="Y27" s="12">
        <f t="shared" si="1"/>
        <v>0</v>
      </c>
      <c r="Z27" s="5">
        <f t="shared" si="2"/>
        <v>0</v>
      </c>
    </row>
    <row r="28" spans="4:26" x14ac:dyDescent="0.25">
      <c r="D28" s="9"/>
      <c r="E28" s="5"/>
      <c r="F28" s="5"/>
      <c r="G28" s="5"/>
      <c r="H28" s="5"/>
      <c r="I28" s="5"/>
      <c r="J28" s="3"/>
      <c r="K28" s="11" t="str">
        <f t="shared" si="0"/>
        <v/>
      </c>
      <c r="Y28" s="12">
        <f t="shared" si="1"/>
        <v>0</v>
      </c>
      <c r="Z28" s="5">
        <f t="shared" si="2"/>
        <v>0</v>
      </c>
    </row>
    <row r="29" spans="4:26" x14ac:dyDescent="0.25">
      <c r="D29" s="9"/>
      <c r="E29" s="5"/>
      <c r="F29" s="5"/>
      <c r="G29" s="5"/>
      <c r="H29" s="5"/>
      <c r="I29" s="5"/>
      <c r="J29" s="3"/>
      <c r="K29" s="11" t="str">
        <f t="shared" si="0"/>
        <v/>
      </c>
      <c r="Y29" s="12">
        <f t="shared" si="1"/>
        <v>0</v>
      </c>
      <c r="Z29" s="5">
        <f t="shared" si="2"/>
        <v>0</v>
      </c>
    </row>
    <row r="30" spans="4:26" x14ac:dyDescent="0.25">
      <c r="D30" s="9"/>
      <c r="E30" s="5"/>
      <c r="F30" s="5"/>
      <c r="G30" s="5"/>
      <c r="H30" s="5"/>
      <c r="I30" s="5"/>
      <c r="J30" s="3"/>
      <c r="K30" s="11" t="str">
        <f t="shared" si="0"/>
        <v/>
      </c>
      <c r="Y30" s="12">
        <f t="shared" si="1"/>
        <v>0</v>
      </c>
      <c r="Z30" s="5">
        <f t="shared" si="2"/>
        <v>0</v>
      </c>
    </row>
    <row r="31" spans="4:26" x14ac:dyDescent="0.25">
      <c r="D31" s="9"/>
      <c r="E31" s="5"/>
      <c r="F31" s="5"/>
      <c r="G31" s="5"/>
      <c r="H31" s="5"/>
      <c r="I31" s="5"/>
      <c r="J31" s="3"/>
      <c r="K31" s="11" t="str">
        <f t="shared" si="0"/>
        <v/>
      </c>
      <c r="Y31" s="12">
        <f t="shared" si="1"/>
        <v>0</v>
      </c>
      <c r="Z31" s="5">
        <f t="shared" si="2"/>
        <v>0</v>
      </c>
    </row>
    <row r="32" spans="4:26" x14ac:dyDescent="0.25">
      <c r="D32" s="9"/>
      <c r="E32" s="5"/>
      <c r="F32" s="5"/>
      <c r="G32" s="5"/>
      <c r="H32" s="5"/>
      <c r="I32" s="5"/>
      <c r="J32" s="3"/>
      <c r="K32" s="11" t="str">
        <f t="shared" si="0"/>
        <v/>
      </c>
      <c r="Y32" s="12">
        <f t="shared" si="1"/>
        <v>0</v>
      </c>
      <c r="Z32" s="5">
        <f t="shared" si="2"/>
        <v>0</v>
      </c>
    </row>
    <row r="33" spans="4:26" x14ac:dyDescent="0.25">
      <c r="D33" s="9"/>
      <c r="E33" s="5"/>
      <c r="F33" s="5"/>
      <c r="G33" s="5"/>
      <c r="H33" s="5"/>
      <c r="I33" s="5"/>
      <c r="J33" s="3"/>
      <c r="K33" s="11" t="str">
        <f t="shared" si="0"/>
        <v/>
      </c>
      <c r="Y33" s="12">
        <f t="shared" si="1"/>
        <v>0</v>
      </c>
      <c r="Z33" s="5">
        <f t="shared" si="2"/>
        <v>0</v>
      </c>
    </row>
    <row r="34" spans="4:26" x14ac:dyDescent="0.25">
      <c r="D34" s="9"/>
      <c r="E34" s="5"/>
      <c r="F34" s="5"/>
      <c r="G34" s="5"/>
      <c r="H34" s="5"/>
      <c r="I34" s="5"/>
      <c r="J34" s="3"/>
      <c r="K34" s="11" t="str">
        <f t="shared" si="0"/>
        <v/>
      </c>
      <c r="Y34" s="12">
        <f t="shared" si="1"/>
        <v>0</v>
      </c>
      <c r="Z34" s="5">
        <f t="shared" si="2"/>
        <v>0</v>
      </c>
    </row>
    <row r="35" spans="4:26" x14ac:dyDescent="0.25">
      <c r="D35" s="9"/>
      <c r="E35" s="5"/>
      <c r="F35" s="5"/>
      <c r="G35" s="5"/>
      <c r="H35" s="5"/>
      <c r="I35" s="5"/>
      <c r="J35" s="3"/>
      <c r="K35" s="11" t="str">
        <f t="shared" si="0"/>
        <v/>
      </c>
      <c r="Y35" s="12">
        <f t="shared" si="1"/>
        <v>0</v>
      </c>
      <c r="Z35" s="5">
        <f t="shared" si="2"/>
        <v>0</v>
      </c>
    </row>
    <row r="36" spans="4:26" x14ac:dyDescent="0.25">
      <c r="D36" s="9"/>
      <c r="E36" s="5"/>
      <c r="F36" s="5"/>
      <c r="G36" s="5"/>
      <c r="H36" s="5"/>
      <c r="I36" s="5"/>
      <c r="J36" s="3"/>
      <c r="K36" s="11" t="str">
        <f t="shared" si="0"/>
        <v/>
      </c>
      <c r="Y36" s="12">
        <f t="shared" si="1"/>
        <v>0</v>
      </c>
      <c r="Z36" s="5">
        <f t="shared" si="2"/>
        <v>0</v>
      </c>
    </row>
    <row r="37" spans="4:26" x14ac:dyDescent="0.25">
      <c r="D37" s="9"/>
      <c r="E37" s="5"/>
      <c r="F37" s="5"/>
      <c r="G37" s="5"/>
      <c r="H37" s="5"/>
      <c r="I37" s="5"/>
      <c r="J37" s="3"/>
      <c r="K37" s="11" t="str">
        <f t="shared" si="0"/>
        <v/>
      </c>
      <c r="Y37" s="12">
        <f t="shared" si="1"/>
        <v>0</v>
      </c>
      <c r="Z37" s="5">
        <f t="shared" si="2"/>
        <v>0</v>
      </c>
    </row>
    <row r="38" spans="4:26" x14ac:dyDescent="0.25">
      <c r="D38" s="9"/>
      <c r="E38" s="5"/>
      <c r="F38" s="5"/>
      <c r="G38" s="5"/>
      <c r="H38" s="5"/>
      <c r="I38" s="5"/>
      <c r="J38" s="3"/>
      <c r="K38" s="11" t="str">
        <f t="shared" si="0"/>
        <v/>
      </c>
      <c r="Y38" s="12">
        <f t="shared" si="1"/>
        <v>0</v>
      </c>
      <c r="Z38" s="5">
        <f t="shared" si="2"/>
        <v>0</v>
      </c>
    </row>
    <row r="39" spans="4:26" x14ac:dyDescent="0.25">
      <c r="D39" s="9"/>
      <c r="E39" s="5"/>
      <c r="F39" s="5"/>
      <c r="G39" s="5"/>
      <c r="H39" s="5"/>
      <c r="I39" s="5"/>
      <c r="J39" s="3"/>
      <c r="K39" s="11" t="str">
        <f t="shared" si="0"/>
        <v/>
      </c>
      <c r="Y39" s="12">
        <f t="shared" si="1"/>
        <v>0</v>
      </c>
      <c r="Z39" s="5">
        <f t="shared" si="2"/>
        <v>0</v>
      </c>
    </row>
    <row r="40" spans="4:26" x14ac:dyDescent="0.25">
      <c r="D40" s="9"/>
      <c r="E40" s="5"/>
      <c r="F40" s="5"/>
      <c r="G40" s="5"/>
      <c r="H40" s="5"/>
      <c r="I40" s="5"/>
      <c r="J40" s="3"/>
      <c r="K40" s="11" t="str">
        <f t="shared" si="0"/>
        <v/>
      </c>
      <c r="Y40" s="12">
        <f t="shared" si="1"/>
        <v>0</v>
      </c>
      <c r="Z40" s="5">
        <f t="shared" si="2"/>
        <v>0</v>
      </c>
    </row>
    <row r="41" spans="4:26" x14ac:dyDescent="0.25">
      <c r="D41" s="9"/>
      <c r="E41" s="5"/>
      <c r="F41" s="5"/>
      <c r="G41" s="5"/>
      <c r="H41" s="5"/>
      <c r="I41" s="5"/>
      <c r="J41" s="3"/>
      <c r="K41" s="11" t="str">
        <f t="shared" si="0"/>
        <v/>
      </c>
      <c r="Y41" s="12">
        <f t="shared" si="1"/>
        <v>0</v>
      </c>
      <c r="Z41" s="5">
        <f t="shared" si="2"/>
        <v>0</v>
      </c>
    </row>
    <row r="42" spans="4:26" x14ac:dyDescent="0.25">
      <c r="D42" s="9" t="s">
        <v>10</v>
      </c>
      <c r="E42" s="5">
        <f>SUM(E2:E41)</f>
        <v>0</v>
      </c>
      <c r="F42" s="5">
        <f t="shared" ref="F42:I42" si="3">SUM(F2:F41)</f>
        <v>0</v>
      </c>
      <c r="G42" s="5">
        <f t="shared" si="3"/>
        <v>0</v>
      </c>
      <c r="H42" s="5">
        <f t="shared" si="3"/>
        <v>0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36" priority="3">
      <formula>$AA$2="+"</formula>
    </cfRule>
  </conditionalFormatting>
  <conditionalFormatting sqref="A1:B1">
    <cfRule type="expression" dxfId="35" priority="4">
      <formula>$M$3=$N$3</formula>
    </cfRule>
  </conditionalFormatting>
  <conditionalFormatting sqref="B1">
    <cfRule type="expression" dxfId="34" priority="6">
      <formula>$Z$2="+"</formula>
    </cfRule>
  </conditionalFormatting>
  <conditionalFormatting sqref="S3">
    <cfRule type="expression" dxfId="33" priority="1">
      <formula>$AA$2="+"</formula>
    </cfRule>
  </conditionalFormatting>
  <conditionalFormatting sqref="AA2">
    <cfRule type="expression" dxfId="32" priority="2">
      <formula>$AA$2="+"</formula>
    </cfRule>
  </conditionalFormatting>
  <pageMargins left="0.7" right="0.7" top="0.75" bottom="0.75" header="0.3" footer="0.3"/>
  <pageSetup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9448-7932-434F-BE20-F6B3B80C81DB}">
  <dimension ref="A1:AA42"/>
  <sheetViews>
    <sheetView workbookViewId="0">
      <selection activeCell="E2" sqref="E2:J2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14</v>
      </c>
      <c r="B1" s="3">
        <v>20250804</v>
      </c>
      <c r="D1" s="9" t="s">
        <v>9</v>
      </c>
      <c r="E1" s="9" t="s">
        <v>0</v>
      </c>
      <c r="F1" s="9" t="s">
        <v>5</v>
      </c>
      <c r="G1" s="9" t="s">
        <v>0</v>
      </c>
      <c r="H1" s="9" t="s">
        <v>5</v>
      </c>
      <c r="I1" s="9" t="s">
        <v>38</v>
      </c>
      <c r="J1" s="10" t="s">
        <v>9</v>
      </c>
      <c r="K1" s="10" t="s">
        <v>22</v>
      </c>
      <c r="M1" s="28" t="s">
        <v>0</v>
      </c>
      <c r="N1" s="30"/>
      <c r="O1" s="28" t="s">
        <v>5</v>
      </c>
      <c r="P1" s="30"/>
      <c r="Q1" s="32" t="s">
        <v>39</v>
      </c>
      <c r="R1" s="32" t="s">
        <v>23</v>
      </c>
      <c r="S1" s="32" t="s">
        <v>40</v>
      </c>
      <c r="Y1" s="18" t="s">
        <v>9</v>
      </c>
      <c r="Z1" s="9" t="s">
        <v>41</v>
      </c>
      <c r="AA1" s="9" t="s">
        <v>40</v>
      </c>
    </row>
    <row r="2" spans="1:27" x14ac:dyDescent="0.25">
      <c r="A2" s="8" t="s">
        <v>1</v>
      </c>
      <c r="B2" s="3" t="s">
        <v>51</v>
      </c>
      <c r="D2" s="12">
        <v>46296</v>
      </c>
      <c r="E2" s="5"/>
      <c r="F2" s="5"/>
      <c r="G2" s="5"/>
      <c r="H2" s="5"/>
      <c r="I2" s="5"/>
      <c r="J2" s="12"/>
      <c r="K2" s="11" t="str">
        <f>IF(J2&gt;0,J2-D2,"")</f>
        <v/>
      </c>
      <c r="M2" s="19" t="s">
        <v>42</v>
      </c>
      <c r="N2" s="19" t="s">
        <v>23</v>
      </c>
      <c r="O2" s="9" t="s">
        <v>43</v>
      </c>
      <c r="P2" s="9" t="s">
        <v>44</v>
      </c>
      <c r="Q2" s="33"/>
      <c r="R2" s="33"/>
      <c r="S2" s="33"/>
      <c r="Y2" s="12">
        <f>B3</f>
        <v>46216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7</v>
      </c>
      <c r="B3" s="12">
        <v>46216</v>
      </c>
      <c r="D3" s="12">
        <v>46388</v>
      </c>
      <c r="E3" s="5"/>
      <c r="F3" s="5"/>
      <c r="G3" s="5"/>
      <c r="H3" s="5"/>
      <c r="I3" s="5"/>
      <c r="J3" s="12"/>
      <c r="K3" s="11" t="str">
        <f t="shared" ref="K3:K41" si="0">IF(J3&gt;0,J3-D3,"")</f>
        <v/>
      </c>
      <c r="M3" s="5">
        <f>B11</f>
        <v>100</v>
      </c>
      <c r="N3" s="5">
        <f>G42</f>
        <v>0</v>
      </c>
      <c r="O3" s="5">
        <f>F42</f>
        <v>0</v>
      </c>
      <c r="P3" s="5">
        <f>H42+I42</f>
        <v>0</v>
      </c>
      <c r="Q3" s="15" t="str">
        <f>IF(M3=N3,XIRR(Z2:Z41,Y2:Y41),"")</f>
        <v/>
      </c>
      <c r="R3" s="12" t="str">
        <f>IF(M3=N3,B14,"")</f>
        <v/>
      </c>
      <c r="S3" s="3" t="str">
        <f ca="1">IF(COUNTIFS(D:D,"&lt;"&amp;TODAY(),J:J,"")=0,"",TODAY()-_xlfn.MINIFS(D:D,D:D,"&lt;"&amp;TODAY(),J:J,""))</f>
        <v/>
      </c>
      <c r="Y3" s="12">
        <f>J2</f>
        <v>0</v>
      </c>
      <c r="Z3" s="5">
        <f>G2+H2+I2</f>
        <v>0</v>
      </c>
    </row>
    <row r="4" spans="1:27" x14ac:dyDescent="0.25">
      <c r="A4" s="8" t="s">
        <v>11</v>
      </c>
      <c r="B4" s="12">
        <v>46220</v>
      </c>
      <c r="D4" s="12">
        <v>46478</v>
      </c>
      <c r="E4" s="5"/>
      <c r="F4" s="5"/>
      <c r="G4" s="5"/>
      <c r="H4" s="5"/>
      <c r="I4" s="5"/>
      <c r="J4" s="12"/>
      <c r="K4" s="11" t="str">
        <f t="shared" si="0"/>
        <v/>
      </c>
      <c r="Y4" s="12">
        <f t="shared" ref="Y4:Y41" si="1">J3</f>
        <v>0</v>
      </c>
      <c r="Z4" s="5">
        <f t="shared" ref="Z4:Z41" si="2">G3+H3+I3</f>
        <v>0</v>
      </c>
    </row>
    <row r="5" spans="1:27" x14ac:dyDescent="0.25">
      <c r="A5" s="8" t="s">
        <v>2</v>
      </c>
      <c r="B5" s="3" t="s">
        <v>29</v>
      </c>
      <c r="D5" s="12">
        <v>46569</v>
      </c>
      <c r="E5" s="5"/>
      <c r="F5" s="5"/>
      <c r="G5" s="5"/>
      <c r="H5" s="5"/>
      <c r="I5" s="5"/>
      <c r="J5" s="12"/>
      <c r="K5" s="11" t="str">
        <f t="shared" si="0"/>
        <v/>
      </c>
      <c r="Y5" s="12">
        <f t="shared" si="1"/>
        <v>0</v>
      </c>
      <c r="Z5" s="5">
        <f t="shared" si="2"/>
        <v>0</v>
      </c>
    </row>
    <row r="6" spans="1:27" x14ac:dyDescent="0.25">
      <c r="A6" s="8" t="s">
        <v>12</v>
      </c>
      <c r="B6" s="4">
        <v>0.66</v>
      </c>
      <c r="D6" s="14">
        <v>46593</v>
      </c>
      <c r="E6" s="5"/>
      <c r="F6" s="5"/>
      <c r="G6" s="5"/>
      <c r="H6" s="5"/>
      <c r="I6" s="5"/>
      <c r="J6" s="12"/>
      <c r="K6" s="11" t="str">
        <f t="shared" si="0"/>
        <v/>
      </c>
      <c r="Y6" s="12">
        <f t="shared" si="1"/>
        <v>0</v>
      </c>
      <c r="Z6" s="5">
        <f t="shared" si="2"/>
        <v>0</v>
      </c>
    </row>
    <row r="7" spans="1:27" x14ac:dyDescent="0.25">
      <c r="A7" s="8" t="s">
        <v>13</v>
      </c>
      <c r="B7" s="4">
        <v>0.7</v>
      </c>
      <c r="D7" s="12"/>
      <c r="E7" s="5"/>
      <c r="F7" s="5"/>
      <c r="G7" s="3"/>
      <c r="H7" s="5"/>
      <c r="I7" s="5"/>
      <c r="J7" s="12"/>
      <c r="K7" s="11" t="str">
        <f t="shared" si="0"/>
        <v/>
      </c>
      <c r="Y7" s="12">
        <f t="shared" si="1"/>
        <v>0</v>
      </c>
      <c r="Z7" s="5">
        <f t="shared" si="2"/>
        <v>0</v>
      </c>
    </row>
    <row r="8" spans="1:27" x14ac:dyDescent="0.25">
      <c r="A8" s="8" t="s">
        <v>3</v>
      </c>
      <c r="B8" s="3">
        <v>12</v>
      </c>
      <c r="D8" s="12"/>
      <c r="E8" s="2"/>
      <c r="F8" s="2"/>
      <c r="G8" s="2"/>
      <c r="H8" s="2"/>
      <c r="I8" s="2"/>
      <c r="J8" s="12"/>
      <c r="K8" s="11" t="str">
        <f t="shared" si="0"/>
        <v/>
      </c>
      <c r="Y8" s="12">
        <f t="shared" si="1"/>
        <v>0</v>
      </c>
      <c r="Z8" s="5">
        <f t="shared" si="2"/>
        <v>0</v>
      </c>
    </row>
    <row r="9" spans="1:27" x14ac:dyDescent="0.25">
      <c r="A9" s="8" t="s">
        <v>4</v>
      </c>
      <c r="B9" s="3" t="s">
        <v>8</v>
      </c>
      <c r="D9" s="12"/>
      <c r="E9" s="2"/>
      <c r="F9" s="2"/>
      <c r="G9" s="2"/>
      <c r="H9" s="2"/>
      <c r="I9" s="2"/>
      <c r="J9" s="12"/>
      <c r="K9" s="11" t="str">
        <f t="shared" si="0"/>
        <v/>
      </c>
      <c r="Y9" s="12">
        <f t="shared" si="1"/>
        <v>0</v>
      </c>
      <c r="Z9" s="5">
        <f t="shared" si="2"/>
        <v>0</v>
      </c>
    </row>
    <row r="10" spans="1:27" x14ac:dyDescent="0.25">
      <c r="A10" s="8" t="s">
        <v>6</v>
      </c>
      <c r="B10" s="6">
        <v>7.0000000000000007E-2</v>
      </c>
      <c r="D10" s="12"/>
      <c r="E10" s="2"/>
      <c r="F10" s="2"/>
      <c r="G10" s="2"/>
      <c r="H10" s="2"/>
      <c r="I10" s="2"/>
      <c r="J10" s="12"/>
      <c r="K10" s="11" t="str">
        <f t="shared" si="0"/>
        <v/>
      </c>
      <c r="Y10" s="12">
        <f t="shared" si="1"/>
        <v>0</v>
      </c>
      <c r="Z10" s="5">
        <f t="shared" si="2"/>
        <v>0</v>
      </c>
    </row>
    <row r="11" spans="1:27" x14ac:dyDescent="0.25">
      <c r="A11" s="8" t="s">
        <v>60</v>
      </c>
      <c r="B11" s="5">
        <v>100</v>
      </c>
      <c r="D11" s="12"/>
      <c r="E11" s="2"/>
      <c r="F11" s="2"/>
      <c r="G11" s="2"/>
      <c r="H11" s="2"/>
      <c r="I11" s="2"/>
      <c r="J11" s="12"/>
      <c r="K11" s="11" t="str">
        <f t="shared" si="0"/>
        <v/>
      </c>
      <c r="Y11" s="12">
        <f t="shared" si="1"/>
        <v>0</v>
      </c>
      <c r="Z11" s="5">
        <f t="shared" si="2"/>
        <v>0</v>
      </c>
    </row>
    <row r="12" spans="1:27" x14ac:dyDescent="0.25">
      <c r="A12" s="8" t="s">
        <v>37</v>
      </c>
      <c r="B12" s="16">
        <v>46593</v>
      </c>
      <c r="D12" s="12"/>
      <c r="E12" s="2"/>
      <c r="F12" s="2"/>
      <c r="G12" s="2"/>
      <c r="H12" s="2"/>
      <c r="I12" s="2"/>
      <c r="J12" s="12"/>
      <c r="K12" s="11" t="str">
        <f t="shared" si="0"/>
        <v/>
      </c>
      <c r="Y12" s="12">
        <f t="shared" si="1"/>
        <v>0</v>
      </c>
      <c r="Z12" s="5">
        <f t="shared" si="2"/>
        <v>0</v>
      </c>
    </row>
    <row r="13" spans="1:27" x14ac:dyDescent="0.25">
      <c r="A13" s="8" t="s">
        <v>53</v>
      </c>
      <c r="B13" s="11">
        <f ca="1">IF(B11&lt;&gt;N3,(TODAY()-B12)*-1,"")</f>
        <v>297</v>
      </c>
      <c r="D13" s="12"/>
      <c r="E13" s="5"/>
      <c r="F13" s="5"/>
      <c r="G13" s="5"/>
      <c r="H13" s="5"/>
      <c r="I13" s="5"/>
      <c r="J13" s="20"/>
      <c r="K13" s="11" t="str">
        <f t="shared" si="0"/>
        <v/>
      </c>
      <c r="Y13" s="12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2"/>
      <c r="D14" s="9"/>
      <c r="E14" s="5"/>
      <c r="F14" s="5"/>
      <c r="G14" s="5"/>
      <c r="H14" s="5"/>
      <c r="I14" s="5"/>
      <c r="J14" s="3"/>
      <c r="K14" s="11" t="str">
        <f t="shared" si="0"/>
        <v/>
      </c>
      <c r="Y14" s="12">
        <f t="shared" si="1"/>
        <v>0</v>
      </c>
      <c r="Z14" s="5">
        <f t="shared" si="2"/>
        <v>0</v>
      </c>
    </row>
    <row r="15" spans="1:27" x14ac:dyDescent="0.25">
      <c r="A15" s="8" t="s">
        <v>54</v>
      </c>
      <c r="B15" s="3" t="str">
        <f>IF(M3=N3,B14-B12,"")</f>
        <v/>
      </c>
      <c r="D15" s="9"/>
      <c r="E15" s="5"/>
      <c r="F15" s="5"/>
      <c r="G15" s="5"/>
      <c r="H15" s="5"/>
      <c r="I15" s="5"/>
      <c r="J15" s="3"/>
      <c r="K15" s="11" t="str">
        <f t="shared" si="0"/>
        <v/>
      </c>
      <c r="Y15" s="12">
        <f t="shared" si="1"/>
        <v>0</v>
      </c>
      <c r="Z15" s="5">
        <f t="shared" si="2"/>
        <v>0</v>
      </c>
    </row>
    <row r="16" spans="1:27" x14ac:dyDescent="0.25">
      <c r="D16" s="9"/>
      <c r="E16" s="5"/>
      <c r="F16" s="5"/>
      <c r="G16" s="5"/>
      <c r="H16" s="5"/>
      <c r="I16" s="5"/>
      <c r="J16" s="3"/>
      <c r="K16" s="11" t="str">
        <f t="shared" si="0"/>
        <v/>
      </c>
      <c r="Y16" s="12">
        <f t="shared" si="1"/>
        <v>0</v>
      </c>
      <c r="Z16" s="5">
        <f t="shared" si="2"/>
        <v>0</v>
      </c>
    </row>
    <row r="17" spans="4:26" x14ac:dyDescent="0.25">
      <c r="D17" s="9"/>
      <c r="E17" s="5"/>
      <c r="F17" s="5"/>
      <c r="G17" s="5"/>
      <c r="H17" s="5"/>
      <c r="I17" s="5"/>
      <c r="J17" s="3"/>
      <c r="K17" s="11" t="str">
        <f t="shared" si="0"/>
        <v/>
      </c>
      <c r="Y17" s="12">
        <f t="shared" si="1"/>
        <v>0</v>
      </c>
      <c r="Z17" s="5">
        <f t="shared" si="2"/>
        <v>0</v>
      </c>
    </row>
    <row r="18" spans="4:26" x14ac:dyDescent="0.25">
      <c r="D18" s="9"/>
      <c r="E18" s="5"/>
      <c r="F18" s="5"/>
      <c r="G18" s="5"/>
      <c r="H18" s="5"/>
      <c r="I18" s="5"/>
      <c r="J18" s="3"/>
      <c r="K18" s="11" t="str">
        <f t="shared" si="0"/>
        <v/>
      </c>
      <c r="Y18" s="12">
        <f t="shared" si="1"/>
        <v>0</v>
      </c>
      <c r="Z18" s="5">
        <f t="shared" si="2"/>
        <v>0</v>
      </c>
    </row>
    <row r="19" spans="4:26" x14ac:dyDescent="0.25">
      <c r="D19" s="9"/>
      <c r="E19" s="5"/>
      <c r="F19" s="5"/>
      <c r="G19" s="5"/>
      <c r="H19" s="5"/>
      <c r="I19" s="5"/>
      <c r="J19" s="3"/>
      <c r="K19" s="11" t="str">
        <f t="shared" si="0"/>
        <v/>
      </c>
      <c r="Y19" s="12">
        <f t="shared" si="1"/>
        <v>0</v>
      </c>
      <c r="Z19" s="5">
        <f t="shared" si="2"/>
        <v>0</v>
      </c>
    </row>
    <row r="20" spans="4:26" x14ac:dyDescent="0.25">
      <c r="D20" s="9"/>
      <c r="E20" s="5"/>
      <c r="F20" s="5"/>
      <c r="G20" s="5"/>
      <c r="H20" s="5"/>
      <c r="I20" s="5"/>
      <c r="J20" s="3"/>
      <c r="K20" s="11" t="str">
        <f t="shared" si="0"/>
        <v/>
      </c>
      <c r="Y20" s="12">
        <f t="shared" si="1"/>
        <v>0</v>
      </c>
      <c r="Z20" s="5">
        <f t="shared" si="2"/>
        <v>0</v>
      </c>
    </row>
    <row r="21" spans="4:26" x14ac:dyDescent="0.25">
      <c r="D21" s="9"/>
      <c r="E21" s="5"/>
      <c r="F21" s="5"/>
      <c r="G21" s="5"/>
      <c r="H21" s="5"/>
      <c r="I21" s="5"/>
      <c r="J21" s="3"/>
      <c r="K21" s="11" t="str">
        <f t="shared" si="0"/>
        <v/>
      </c>
      <c r="Y21" s="12">
        <f t="shared" si="1"/>
        <v>0</v>
      </c>
      <c r="Z21" s="5">
        <f t="shared" si="2"/>
        <v>0</v>
      </c>
    </row>
    <row r="22" spans="4:26" x14ac:dyDescent="0.25">
      <c r="D22" s="9"/>
      <c r="E22" s="5"/>
      <c r="F22" s="5"/>
      <c r="G22" s="5"/>
      <c r="H22" s="5"/>
      <c r="I22" s="5"/>
      <c r="J22" s="3"/>
      <c r="K22" s="11" t="str">
        <f t="shared" si="0"/>
        <v/>
      </c>
      <c r="Y22" s="12">
        <f t="shared" si="1"/>
        <v>0</v>
      </c>
      <c r="Z22" s="5">
        <f t="shared" si="2"/>
        <v>0</v>
      </c>
    </row>
    <row r="23" spans="4:26" x14ac:dyDescent="0.25">
      <c r="D23" s="9"/>
      <c r="E23" s="5"/>
      <c r="F23" s="5"/>
      <c r="G23" s="5"/>
      <c r="H23" s="5"/>
      <c r="I23" s="5"/>
      <c r="J23" s="3"/>
      <c r="K23" s="11" t="str">
        <f t="shared" si="0"/>
        <v/>
      </c>
      <c r="Y23" s="12">
        <f t="shared" si="1"/>
        <v>0</v>
      </c>
      <c r="Z23" s="5">
        <f t="shared" si="2"/>
        <v>0</v>
      </c>
    </row>
    <row r="24" spans="4:26" x14ac:dyDescent="0.25">
      <c r="D24" s="9"/>
      <c r="E24" s="5"/>
      <c r="F24" s="5"/>
      <c r="G24" s="5"/>
      <c r="H24" s="5"/>
      <c r="I24" s="5"/>
      <c r="J24" s="3"/>
      <c r="K24" s="11" t="str">
        <f t="shared" si="0"/>
        <v/>
      </c>
      <c r="Y24" s="12">
        <f t="shared" si="1"/>
        <v>0</v>
      </c>
      <c r="Z24" s="5">
        <f t="shared" si="2"/>
        <v>0</v>
      </c>
    </row>
    <row r="25" spans="4:26" x14ac:dyDescent="0.25">
      <c r="D25" s="9"/>
      <c r="E25" s="5"/>
      <c r="F25" s="5"/>
      <c r="G25" s="5"/>
      <c r="H25" s="5"/>
      <c r="I25" s="5"/>
      <c r="J25" s="3"/>
      <c r="K25" s="11" t="str">
        <f t="shared" si="0"/>
        <v/>
      </c>
      <c r="Y25" s="12">
        <f t="shared" si="1"/>
        <v>0</v>
      </c>
      <c r="Z25" s="5">
        <f t="shared" si="2"/>
        <v>0</v>
      </c>
    </row>
    <row r="26" spans="4:26" x14ac:dyDescent="0.25">
      <c r="D26" s="9"/>
      <c r="E26" s="5"/>
      <c r="F26" s="5"/>
      <c r="G26" s="5"/>
      <c r="H26" s="5"/>
      <c r="I26" s="5"/>
      <c r="J26" s="3"/>
      <c r="K26" s="11" t="str">
        <f t="shared" si="0"/>
        <v/>
      </c>
      <c r="Y26" s="12">
        <f t="shared" si="1"/>
        <v>0</v>
      </c>
      <c r="Z26" s="5">
        <f t="shared" si="2"/>
        <v>0</v>
      </c>
    </row>
    <row r="27" spans="4:26" x14ac:dyDescent="0.25">
      <c r="D27" s="9"/>
      <c r="E27" s="5"/>
      <c r="F27" s="5"/>
      <c r="G27" s="5"/>
      <c r="H27" s="5"/>
      <c r="I27" s="5"/>
      <c r="J27" s="3"/>
      <c r="K27" s="11" t="str">
        <f t="shared" si="0"/>
        <v/>
      </c>
      <c r="Y27" s="12">
        <f t="shared" si="1"/>
        <v>0</v>
      </c>
      <c r="Z27" s="5">
        <f t="shared" si="2"/>
        <v>0</v>
      </c>
    </row>
    <row r="28" spans="4:26" x14ac:dyDescent="0.25">
      <c r="D28" s="9"/>
      <c r="E28" s="5"/>
      <c r="F28" s="5"/>
      <c r="G28" s="5"/>
      <c r="H28" s="5"/>
      <c r="I28" s="5"/>
      <c r="J28" s="3"/>
      <c r="K28" s="11" t="str">
        <f t="shared" si="0"/>
        <v/>
      </c>
      <c r="Y28" s="12">
        <f t="shared" si="1"/>
        <v>0</v>
      </c>
      <c r="Z28" s="5">
        <f t="shared" si="2"/>
        <v>0</v>
      </c>
    </row>
    <row r="29" spans="4:26" x14ac:dyDescent="0.25">
      <c r="D29" s="9"/>
      <c r="E29" s="5"/>
      <c r="F29" s="5"/>
      <c r="G29" s="5"/>
      <c r="H29" s="5"/>
      <c r="I29" s="5"/>
      <c r="J29" s="3"/>
      <c r="K29" s="11" t="str">
        <f t="shared" si="0"/>
        <v/>
      </c>
      <c r="Y29" s="12">
        <f t="shared" si="1"/>
        <v>0</v>
      </c>
      <c r="Z29" s="5">
        <f t="shared" si="2"/>
        <v>0</v>
      </c>
    </row>
    <row r="30" spans="4:26" x14ac:dyDescent="0.25">
      <c r="D30" s="9"/>
      <c r="E30" s="5"/>
      <c r="F30" s="5"/>
      <c r="G30" s="5"/>
      <c r="H30" s="5"/>
      <c r="I30" s="5"/>
      <c r="J30" s="3"/>
      <c r="K30" s="11" t="str">
        <f t="shared" si="0"/>
        <v/>
      </c>
      <c r="Y30" s="12">
        <f t="shared" si="1"/>
        <v>0</v>
      </c>
      <c r="Z30" s="5">
        <f t="shared" si="2"/>
        <v>0</v>
      </c>
    </row>
    <row r="31" spans="4:26" x14ac:dyDescent="0.25">
      <c r="D31" s="9"/>
      <c r="E31" s="5"/>
      <c r="F31" s="5"/>
      <c r="G31" s="5"/>
      <c r="H31" s="5"/>
      <c r="I31" s="5"/>
      <c r="J31" s="3"/>
      <c r="K31" s="11" t="str">
        <f t="shared" si="0"/>
        <v/>
      </c>
      <c r="Y31" s="12">
        <f t="shared" si="1"/>
        <v>0</v>
      </c>
      <c r="Z31" s="5">
        <f t="shared" si="2"/>
        <v>0</v>
      </c>
    </row>
    <row r="32" spans="4:26" x14ac:dyDescent="0.25">
      <c r="D32" s="9"/>
      <c r="E32" s="5"/>
      <c r="F32" s="5"/>
      <c r="G32" s="5"/>
      <c r="H32" s="5"/>
      <c r="I32" s="5"/>
      <c r="J32" s="3"/>
      <c r="K32" s="11" t="str">
        <f t="shared" si="0"/>
        <v/>
      </c>
      <c r="Y32" s="12">
        <f t="shared" si="1"/>
        <v>0</v>
      </c>
      <c r="Z32" s="5">
        <f t="shared" si="2"/>
        <v>0</v>
      </c>
    </row>
    <row r="33" spans="4:26" x14ac:dyDescent="0.25">
      <c r="D33" s="9"/>
      <c r="E33" s="5"/>
      <c r="F33" s="5"/>
      <c r="G33" s="5"/>
      <c r="H33" s="5"/>
      <c r="I33" s="5"/>
      <c r="J33" s="3"/>
      <c r="K33" s="11" t="str">
        <f t="shared" si="0"/>
        <v/>
      </c>
      <c r="Y33" s="12">
        <f t="shared" si="1"/>
        <v>0</v>
      </c>
      <c r="Z33" s="5">
        <f t="shared" si="2"/>
        <v>0</v>
      </c>
    </row>
    <row r="34" spans="4:26" x14ac:dyDescent="0.25">
      <c r="D34" s="9"/>
      <c r="E34" s="5"/>
      <c r="F34" s="5"/>
      <c r="G34" s="5"/>
      <c r="H34" s="5"/>
      <c r="I34" s="5"/>
      <c r="J34" s="3"/>
      <c r="K34" s="11" t="str">
        <f t="shared" si="0"/>
        <v/>
      </c>
      <c r="Y34" s="12">
        <f t="shared" si="1"/>
        <v>0</v>
      </c>
      <c r="Z34" s="5">
        <f t="shared" si="2"/>
        <v>0</v>
      </c>
    </row>
    <row r="35" spans="4:26" x14ac:dyDescent="0.25">
      <c r="D35" s="9"/>
      <c r="E35" s="5"/>
      <c r="F35" s="5"/>
      <c r="G35" s="5"/>
      <c r="H35" s="5"/>
      <c r="I35" s="5"/>
      <c r="J35" s="3"/>
      <c r="K35" s="11" t="str">
        <f t="shared" si="0"/>
        <v/>
      </c>
      <c r="Y35" s="12">
        <f t="shared" si="1"/>
        <v>0</v>
      </c>
      <c r="Z35" s="5">
        <f t="shared" si="2"/>
        <v>0</v>
      </c>
    </row>
    <row r="36" spans="4:26" x14ac:dyDescent="0.25">
      <c r="D36" s="9"/>
      <c r="E36" s="5"/>
      <c r="F36" s="5"/>
      <c r="G36" s="5"/>
      <c r="H36" s="5"/>
      <c r="I36" s="5"/>
      <c r="J36" s="3"/>
      <c r="K36" s="11" t="str">
        <f t="shared" si="0"/>
        <v/>
      </c>
      <c r="Y36" s="12">
        <f t="shared" si="1"/>
        <v>0</v>
      </c>
      <c r="Z36" s="5">
        <f t="shared" si="2"/>
        <v>0</v>
      </c>
    </row>
    <row r="37" spans="4:26" x14ac:dyDescent="0.25">
      <c r="D37" s="9"/>
      <c r="E37" s="5"/>
      <c r="F37" s="5"/>
      <c r="G37" s="5"/>
      <c r="H37" s="5"/>
      <c r="I37" s="5"/>
      <c r="J37" s="3"/>
      <c r="K37" s="11" t="str">
        <f t="shared" si="0"/>
        <v/>
      </c>
      <c r="Y37" s="12">
        <f t="shared" si="1"/>
        <v>0</v>
      </c>
      <c r="Z37" s="5">
        <f t="shared" si="2"/>
        <v>0</v>
      </c>
    </row>
    <row r="38" spans="4:26" x14ac:dyDescent="0.25">
      <c r="D38" s="9"/>
      <c r="E38" s="5"/>
      <c r="F38" s="5"/>
      <c r="G38" s="5"/>
      <c r="H38" s="5"/>
      <c r="I38" s="5"/>
      <c r="J38" s="3"/>
      <c r="K38" s="11" t="str">
        <f t="shared" si="0"/>
        <v/>
      </c>
      <c r="Y38" s="12">
        <f t="shared" si="1"/>
        <v>0</v>
      </c>
      <c r="Z38" s="5">
        <f t="shared" si="2"/>
        <v>0</v>
      </c>
    </row>
    <row r="39" spans="4:26" x14ac:dyDescent="0.25">
      <c r="D39" s="9"/>
      <c r="E39" s="5"/>
      <c r="F39" s="5"/>
      <c r="G39" s="5"/>
      <c r="H39" s="5"/>
      <c r="I39" s="5"/>
      <c r="J39" s="3"/>
      <c r="K39" s="11" t="str">
        <f t="shared" si="0"/>
        <v/>
      </c>
      <c r="Y39" s="12">
        <f t="shared" si="1"/>
        <v>0</v>
      </c>
      <c r="Z39" s="5">
        <f t="shared" si="2"/>
        <v>0</v>
      </c>
    </row>
    <row r="40" spans="4:26" x14ac:dyDescent="0.25">
      <c r="D40" s="9"/>
      <c r="E40" s="5"/>
      <c r="F40" s="5"/>
      <c r="G40" s="5"/>
      <c r="H40" s="5"/>
      <c r="I40" s="5"/>
      <c r="J40" s="3"/>
      <c r="K40" s="11" t="str">
        <f t="shared" si="0"/>
        <v/>
      </c>
      <c r="Y40" s="12">
        <f t="shared" si="1"/>
        <v>0</v>
      </c>
      <c r="Z40" s="5">
        <f t="shared" si="2"/>
        <v>0</v>
      </c>
    </row>
    <row r="41" spans="4:26" x14ac:dyDescent="0.25">
      <c r="D41" s="9"/>
      <c r="E41" s="5"/>
      <c r="F41" s="5"/>
      <c r="G41" s="5"/>
      <c r="H41" s="5"/>
      <c r="I41" s="5"/>
      <c r="J41" s="3"/>
      <c r="K41" s="11" t="str">
        <f t="shared" si="0"/>
        <v/>
      </c>
      <c r="Y41" s="12">
        <f t="shared" si="1"/>
        <v>0</v>
      </c>
      <c r="Z41" s="5">
        <f t="shared" si="2"/>
        <v>0</v>
      </c>
    </row>
    <row r="42" spans="4:26" x14ac:dyDescent="0.25">
      <c r="D42" s="9" t="s">
        <v>10</v>
      </c>
      <c r="E42" s="5">
        <f>SUM(E2:E41)</f>
        <v>0</v>
      </c>
      <c r="F42" s="5">
        <f t="shared" ref="F42:I42" si="3">SUM(F2:F41)</f>
        <v>0</v>
      </c>
      <c r="G42" s="5">
        <f t="shared" si="3"/>
        <v>0</v>
      </c>
      <c r="H42" s="5">
        <f t="shared" si="3"/>
        <v>0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31" priority="3">
      <formula>$M$3=$N$3</formula>
    </cfRule>
    <cfRule type="expression" dxfId="30" priority="4">
      <formula>$Z$2="+"</formula>
    </cfRule>
  </conditionalFormatting>
  <conditionalFormatting sqref="S3">
    <cfRule type="expression" dxfId="29" priority="1">
      <formula>$AA$2="+"</formula>
    </cfRule>
  </conditionalFormatting>
  <conditionalFormatting sqref="AA2">
    <cfRule type="expression" dxfId="28" priority="2">
      <formula>$AA$2="+"</formula>
    </cfRule>
  </conditionalFormatting>
  <pageMargins left="0.7" right="0.7" top="0.75" bottom="0.75" header="0.3" footer="0.3"/>
  <pageSetup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75DC-5B1B-4CC6-B330-0FE915694318}">
  <dimension ref="A1:AA42"/>
  <sheetViews>
    <sheetView workbookViewId="0">
      <selection activeCell="E2" sqref="E2:J2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14</v>
      </c>
      <c r="B1" s="3">
        <v>20230414</v>
      </c>
      <c r="D1" s="9" t="s">
        <v>9</v>
      </c>
      <c r="E1" s="9" t="s">
        <v>0</v>
      </c>
      <c r="F1" s="9" t="s">
        <v>5</v>
      </c>
      <c r="G1" s="9" t="s">
        <v>0</v>
      </c>
      <c r="H1" s="9" t="s">
        <v>5</v>
      </c>
      <c r="I1" s="9" t="s">
        <v>38</v>
      </c>
      <c r="J1" s="10" t="s">
        <v>9</v>
      </c>
      <c r="K1" s="10" t="s">
        <v>22</v>
      </c>
      <c r="M1" s="28" t="s">
        <v>0</v>
      </c>
      <c r="N1" s="30"/>
      <c r="O1" s="28" t="s">
        <v>5</v>
      </c>
      <c r="P1" s="30"/>
      <c r="Q1" s="32" t="s">
        <v>39</v>
      </c>
      <c r="R1" s="32" t="s">
        <v>23</v>
      </c>
      <c r="S1" s="32" t="s">
        <v>40</v>
      </c>
      <c r="Y1" s="18" t="s">
        <v>9</v>
      </c>
      <c r="Z1" s="9" t="s">
        <v>41</v>
      </c>
      <c r="AA1" s="9" t="s">
        <v>40</v>
      </c>
    </row>
    <row r="2" spans="1:27" x14ac:dyDescent="0.25">
      <c r="A2" s="8" t="s">
        <v>1</v>
      </c>
      <c r="B2" s="3" t="s">
        <v>49</v>
      </c>
      <c r="D2" s="12">
        <v>46296</v>
      </c>
      <c r="E2" s="5"/>
      <c r="F2" s="5"/>
      <c r="G2" s="5"/>
      <c r="H2" s="5"/>
      <c r="I2" s="5"/>
      <c r="J2" s="12"/>
      <c r="K2" s="11" t="str">
        <f>IF(J2&gt;0,J2-D2,"")</f>
        <v/>
      </c>
      <c r="M2" s="19" t="s">
        <v>42</v>
      </c>
      <c r="N2" s="19" t="s">
        <v>23</v>
      </c>
      <c r="O2" s="9" t="s">
        <v>43</v>
      </c>
      <c r="P2" s="9" t="s">
        <v>44</v>
      </c>
      <c r="Q2" s="33"/>
      <c r="R2" s="33"/>
      <c r="S2" s="33"/>
      <c r="Y2" s="12">
        <f>B3</f>
        <v>46185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7</v>
      </c>
      <c r="B3" s="12">
        <v>46185</v>
      </c>
      <c r="D3" s="12">
        <v>46388</v>
      </c>
      <c r="E3" s="5"/>
      <c r="F3" s="5"/>
      <c r="G3" s="5"/>
      <c r="H3" s="5"/>
      <c r="I3" s="5"/>
      <c r="J3" s="12"/>
      <c r="K3" s="11" t="str">
        <f t="shared" ref="K3:K41" si="0">IF(J3&gt;0,J3-D3,"")</f>
        <v/>
      </c>
      <c r="M3" s="5">
        <f>B11</f>
        <v>100</v>
      </c>
      <c r="N3" s="5">
        <f>G42</f>
        <v>0</v>
      </c>
      <c r="O3" s="5">
        <f>F42</f>
        <v>0</v>
      </c>
      <c r="P3" s="5">
        <f>H42+I42</f>
        <v>0</v>
      </c>
      <c r="Q3" s="15" t="str">
        <f>IF(M3=N3,XIRR(Z2:Z41,Y2:Y41),"")</f>
        <v/>
      </c>
      <c r="R3" s="12" t="str">
        <f>IF(M3=N3,B14,"")</f>
        <v/>
      </c>
      <c r="S3" s="3" t="str">
        <f ca="1">IF(COUNTIFS(D:D,"&lt;"&amp;TODAY(),J:J,"")=0,"",TODAY()-_xlfn.MINIFS(D:D,D:D,"&lt;"&amp;TODAY(),J:J,""))</f>
        <v/>
      </c>
      <c r="Y3" s="12">
        <f>J2</f>
        <v>0</v>
      </c>
      <c r="Z3" s="5">
        <f>G2+H2+I2</f>
        <v>0</v>
      </c>
    </row>
    <row r="4" spans="1:27" x14ac:dyDescent="0.25">
      <c r="A4" s="8" t="s">
        <v>11</v>
      </c>
      <c r="B4" s="12">
        <v>46190</v>
      </c>
      <c r="D4" s="12">
        <v>46412</v>
      </c>
      <c r="E4" s="5"/>
      <c r="F4" s="5"/>
      <c r="G4" s="5"/>
      <c r="H4" s="5"/>
      <c r="I4" s="5"/>
      <c r="J4" s="12"/>
      <c r="K4" s="11" t="str">
        <f t="shared" si="0"/>
        <v/>
      </c>
      <c r="Y4" s="12">
        <f t="shared" ref="Y4:Y41" si="1">J3</f>
        <v>0</v>
      </c>
      <c r="Z4" s="5">
        <f t="shared" ref="Z4:Z41" si="2">G3+H3+I3</f>
        <v>0</v>
      </c>
    </row>
    <row r="5" spans="1:27" x14ac:dyDescent="0.25">
      <c r="A5" s="8" t="s">
        <v>2</v>
      </c>
      <c r="B5" s="3" t="s">
        <v>50</v>
      </c>
      <c r="D5" s="12"/>
      <c r="E5" s="5"/>
      <c r="F5" s="5"/>
      <c r="G5" s="5"/>
      <c r="H5" s="5"/>
      <c r="I5" s="5"/>
      <c r="J5" s="12"/>
      <c r="K5" s="11" t="str">
        <f t="shared" si="0"/>
        <v/>
      </c>
      <c r="Y5" s="12">
        <f t="shared" si="1"/>
        <v>0</v>
      </c>
      <c r="Z5" s="5">
        <f t="shared" si="2"/>
        <v>0</v>
      </c>
    </row>
    <row r="6" spans="1:27" x14ac:dyDescent="0.25">
      <c r="A6" s="8" t="s">
        <v>12</v>
      </c>
      <c r="B6" s="4">
        <v>0.68</v>
      </c>
      <c r="D6" s="14"/>
      <c r="E6" s="5"/>
      <c r="F6" s="5"/>
      <c r="G6" s="5"/>
      <c r="H6" s="5"/>
      <c r="I6" s="5"/>
      <c r="J6" s="12"/>
      <c r="K6" s="11" t="str">
        <f t="shared" si="0"/>
        <v/>
      </c>
      <c r="Y6" s="12">
        <f t="shared" si="1"/>
        <v>0</v>
      </c>
      <c r="Z6" s="5">
        <f t="shared" si="2"/>
        <v>0</v>
      </c>
    </row>
    <row r="7" spans="1:27" x14ac:dyDescent="0.25">
      <c r="A7" s="8" t="s">
        <v>13</v>
      </c>
      <c r="B7" s="4">
        <v>0.7</v>
      </c>
      <c r="D7" s="12"/>
      <c r="E7" s="5"/>
      <c r="F7" s="5"/>
      <c r="G7" s="3"/>
      <c r="H7" s="5"/>
      <c r="I7" s="5"/>
      <c r="J7" s="12"/>
      <c r="K7" s="11" t="str">
        <f t="shared" si="0"/>
        <v/>
      </c>
      <c r="Y7" s="12">
        <f t="shared" si="1"/>
        <v>0</v>
      </c>
      <c r="Z7" s="5">
        <f t="shared" si="2"/>
        <v>0</v>
      </c>
    </row>
    <row r="8" spans="1:27" x14ac:dyDescent="0.25">
      <c r="A8" s="8" t="s">
        <v>3</v>
      </c>
      <c r="B8" s="3">
        <v>7</v>
      </c>
      <c r="D8" s="12"/>
      <c r="E8" s="2"/>
      <c r="F8" s="2"/>
      <c r="G8" s="2"/>
      <c r="H8" s="2"/>
      <c r="I8" s="2"/>
      <c r="J8" s="12"/>
      <c r="K8" s="11" t="str">
        <f t="shared" si="0"/>
        <v/>
      </c>
      <c r="Y8" s="12">
        <f t="shared" si="1"/>
        <v>0</v>
      </c>
      <c r="Z8" s="5">
        <f t="shared" si="2"/>
        <v>0</v>
      </c>
    </row>
    <row r="9" spans="1:27" x14ac:dyDescent="0.25">
      <c r="A9" s="8" t="s">
        <v>4</v>
      </c>
      <c r="B9" s="3" t="s">
        <v>8</v>
      </c>
      <c r="D9" s="12"/>
      <c r="E9" s="2"/>
      <c r="F9" s="2"/>
      <c r="G9" s="2"/>
      <c r="H9" s="2"/>
      <c r="I9" s="2"/>
      <c r="J9" s="12"/>
      <c r="K9" s="11" t="str">
        <f t="shared" si="0"/>
        <v/>
      </c>
      <c r="Y9" s="12">
        <f t="shared" si="1"/>
        <v>0</v>
      </c>
      <c r="Z9" s="5">
        <f t="shared" si="2"/>
        <v>0</v>
      </c>
    </row>
    <row r="10" spans="1:27" x14ac:dyDescent="0.25">
      <c r="A10" s="8" t="s">
        <v>6</v>
      </c>
      <c r="B10" s="6">
        <v>0.06</v>
      </c>
      <c r="D10" s="12"/>
      <c r="E10" s="2"/>
      <c r="F10" s="2"/>
      <c r="G10" s="2"/>
      <c r="H10" s="2"/>
      <c r="I10" s="2"/>
      <c r="J10" s="12"/>
      <c r="K10" s="11" t="str">
        <f t="shared" si="0"/>
        <v/>
      </c>
      <c r="Y10" s="12">
        <f t="shared" si="1"/>
        <v>0</v>
      </c>
      <c r="Z10" s="5">
        <f t="shared" si="2"/>
        <v>0</v>
      </c>
    </row>
    <row r="11" spans="1:27" x14ac:dyDescent="0.25">
      <c r="A11" s="8" t="s">
        <v>60</v>
      </c>
      <c r="B11" s="5">
        <v>100</v>
      </c>
      <c r="D11" s="12"/>
      <c r="E11" s="2"/>
      <c r="F11" s="2"/>
      <c r="G11" s="2"/>
      <c r="H11" s="2"/>
      <c r="I11" s="2"/>
      <c r="J11" s="12"/>
      <c r="K11" s="11" t="str">
        <f t="shared" si="0"/>
        <v/>
      </c>
      <c r="Y11" s="12">
        <f t="shared" si="1"/>
        <v>0</v>
      </c>
      <c r="Z11" s="5">
        <f t="shared" si="2"/>
        <v>0</v>
      </c>
    </row>
    <row r="12" spans="1:27" x14ac:dyDescent="0.25">
      <c r="A12" s="8" t="s">
        <v>37</v>
      </c>
      <c r="B12" s="16">
        <v>46412</v>
      </c>
      <c r="D12" s="12"/>
      <c r="E12" s="2"/>
      <c r="F12" s="2"/>
      <c r="G12" s="2"/>
      <c r="H12" s="2"/>
      <c r="I12" s="2"/>
      <c r="J12" s="12"/>
      <c r="K12" s="11" t="str">
        <f t="shared" si="0"/>
        <v/>
      </c>
      <c r="Y12" s="12">
        <f t="shared" si="1"/>
        <v>0</v>
      </c>
      <c r="Z12" s="5">
        <f t="shared" si="2"/>
        <v>0</v>
      </c>
    </row>
    <row r="13" spans="1:27" x14ac:dyDescent="0.25">
      <c r="A13" s="8" t="s">
        <v>53</v>
      </c>
      <c r="B13" s="11">
        <f ca="1">IF(B11&lt;&gt;N3,(TODAY()-B12)*-1,"")</f>
        <v>116</v>
      </c>
      <c r="D13" s="12"/>
      <c r="E13" s="5"/>
      <c r="F13" s="5"/>
      <c r="G13" s="5"/>
      <c r="H13" s="5"/>
      <c r="I13" s="5"/>
      <c r="J13" s="20"/>
      <c r="K13" s="11" t="str">
        <f t="shared" si="0"/>
        <v/>
      </c>
      <c r="Y13" s="12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2"/>
      <c r="D14" s="9"/>
      <c r="E14" s="5"/>
      <c r="F14" s="5"/>
      <c r="G14" s="5"/>
      <c r="H14" s="5"/>
      <c r="I14" s="5"/>
      <c r="J14" s="3"/>
      <c r="K14" s="11" t="str">
        <f t="shared" si="0"/>
        <v/>
      </c>
      <c r="Y14" s="12">
        <f t="shared" si="1"/>
        <v>0</v>
      </c>
      <c r="Z14" s="5">
        <f t="shared" si="2"/>
        <v>0</v>
      </c>
    </row>
    <row r="15" spans="1:27" x14ac:dyDescent="0.25">
      <c r="A15" s="8" t="s">
        <v>54</v>
      </c>
      <c r="B15" s="3" t="str">
        <f>IF(M3=N3,B14-B12,"")</f>
        <v/>
      </c>
      <c r="D15" s="9"/>
      <c r="E15" s="5"/>
      <c r="F15" s="5"/>
      <c r="G15" s="5"/>
      <c r="H15" s="5"/>
      <c r="I15" s="5"/>
      <c r="J15" s="3"/>
      <c r="K15" s="11" t="str">
        <f t="shared" si="0"/>
        <v/>
      </c>
      <c r="Y15" s="12">
        <f t="shared" si="1"/>
        <v>0</v>
      </c>
      <c r="Z15" s="5">
        <f t="shared" si="2"/>
        <v>0</v>
      </c>
    </row>
    <row r="16" spans="1:27" x14ac:dyDescent="0.25">
      <c r="D16" s="9"/>
      <c r="E16" s="5"/>
      <c r="F16" s="5"/>
      <c r="G16" s="5"/>
      <c r="H16" s="5"/>
      <c r="I16" s="5"/>
      <c r="J16" s="3"/>
      <c r="K16" s="11" t="str">
        <f t="shared" si="0"/>
        <v/>
      </c>
      <c r="Y16" s="12">
        <f t="shared" si="1"/>
        <v>0</v>
      </c>
      <c r="Z16" s="5">
        <f t="shared" si="2"/>
        <v>0</v>
      </c>
    </row>
    <row r="17" spans="4:26" x14ac:dyDescent="0.25">
      <c r="D17" s="9"/>
      <c r="E17" s="5"/>
      <c r="F17" s="5"/>
      <c r="G17" s="5"/>
      <c r="H17" s="5"/>
      <c r="I17" s="5"/>
      <c r="J17" s="3"/>
      <c r="K17" s="11" t="str">
        <f t="shared" si="0"/>
        <v/>
      </c>
      <c r="Y17" s="12">
        <f t="shared" si="1"/>
        <v>0</v>
      </c>
      <c r="Z17" s="5">
        <f t="shared" si="2"/>
        <v>0</v>
      </c>
    </row>
    <row r="18" spans="4:26" x14ac:dyDescent="0.25">
      <c r="D18" s="9"/>
      <c r="E18" s="5"/>
      <c r="F18" s="5"/>
      <c r="G18" s="5"/>
      <c r="H18" s="5"/>
      <c r="I18" s="5"/>
      <c r="J18" s="3"/>
      <c r="K18" s="11" t="str">
        <f t="shared" si="0"/>
        <v/>
      </c>
      <c r="Y18" s="12">
        <f t="shared" si="1"/>
        <v>0</v>
      </c>
      <c r="Z18" s="5">
        <f t="shared" si="2"/>
        <v>0</v>
      </c>
    </row>
    <row r="19" spans="4:26" x14ac:dyDescent="0.25">
      <c r="D19" s="9"/>
      <c r="E19" s="5"/>
      <c r="F19" s="5"/>
      <c r="G19" s="5"/>
      <c r="H19" s="5"/>
      <c r="I19" s="5"/>
      <c r="J19" s="3"/>
      <c r="K19" s="11" t="str">
        <f t="shared" si="0"/>
        <v/>
      </c>
      <c r="Y19" s="12">
        <f t="shared" si="1"/>
        <v>0</v>
      </c>
      <c r="Z19" s="5">
        <f t="shared" si="2"/>
        <v>0</v>
      </c>
    </row>
    <row r="20" spans="4:26" x14ac:dyDescent="0.25">
      <c r="D20" s="9"/>
      <c r="E20" s="5"/>
      <c r="F20" s="5"/>
      <c r="G20" s="5"/>
      <c r="H20" s="5"/>
      <c r="I20" s="5"/>
      <c r="J20" s="3"/>
      <c r="K20" s="11" t="str">
        <f t="shared" si="0"/>
        <v/>
      </c>
      <c r="Y20" s="12">
        <f t="shared" si="1"/>
        <v>0</v>
      </c>
      <c r="Z20" s="5">
        <f t="shared" si="2"/>
        <v>0</v>
      </c>
    </row>
    <row r="21" spans="4:26" x14ac:dyDescent="0.25">
      <c r="D21" s="9"/>
      <c r="E21" s="5"/>
      <c r="F21" s="5"/>
      <c r="G21" s="5"/>
      <c r="H21" s="5"/>
      <c r="I21" s="5"/>
      <c r="J21" s="3"/>
      <c r="K21" s="11" t="str">
        <f t="shared" si="0"/>
        <v/>
      </c>
      <c r="Y21" s="12">
        <f t="shared" si="1"/>
        <v>0</v>
      </c>
      <c r="Z21" s="5">
        <f t="shared" si="2"/>
        <v>0</v>
      </c>
    </row>
    <row r="22" spans="4:26" x14ac:dyDescent="0.25">
      <c r="D22" s="9"/>
      <c r="E22" s="5"/>
      <c r="F22" s="5"/>
      <c r="G22" s="5"/>
      <c r="H22" s="5"/>
      <c r="I22" s="5"/>
      <c r="J22" s="3"/>
      <c r="K22" s="11" t="str">
        <f t="shared" si="0"/>
        <v/>
      </c>
      <c r="Y22" s="12">
        <f t="shared" si="1"/>
        <v>0</v>
      </c>
      <c r="Z22" s="5">
        <f t="shared" si="2"/>
        <v>0</v>
      </c>
    </row>
    <row r="23" spans="4:26" x14ac:dyDescent="0.25">
      <c r="D23" s="9"/>
      <c r="E23" s="5"/>
      <c r="F23" s="5"/>
      <c r="G23" s="5"/>
      <c r="H23" s="5"/>
      <c r="I23" s="5"/>
      <c r="J23" s="3"/>
      <c r="K23" s="11" t="str">
        <f t="shared" si="0"/>
        <v/>
      </c>
      <c r="Y23" s="12">
        <f t="shared" si="1"/>
        <v>0</v>
      </c>
      <c r="Z23" s="5">
        <f t="shared" si="2"/>
        <v>0</v>
      </c>
    </row>
    <row r="24" spans="4:26" x14ac:dyDescent="0.25">
      <c r="D24" s="9"/>
      <c r="E24" s="5"/>
      <c r="F24" s="5"/>
      <c r="G24" s="5"/>
      <c r="H24" s="5"/>
      <c r="I24" s="5"/>
      <c r="J24" s="3"/>
      <c r="K24" s="11" t="str">
        <f t="shared" si="0"/>
        <v/>
      </c>
      <c r="Y24" s="12">
        <f t="shared" si="1"/>
        <v>0</v>
      </c>
      <c r="Z24" s="5">
        <f t="shared" si="2"/>
        <v>0</v>
      </c>
    </row>
    <row r="25" spans="4:26" x14ac:dyDescent="0.25">
      <c r="D25" s="9"/>
      <c r="E25" s="5"/>
      <c r="F25" s="5"/>
      <c r="G25" s="5"/>
      <c r="H25" s="5"/>
      <c r="I25" s="5"/>
      <c r="J25" s="3"/>
      <c r="K25" s="11" t="str">
        <f t="shared" si="0"/>
        <v/>
      </c>
      <c r="Y25" s="12">
        <f t="shared" si="1"/>
        <v>0</v>
      </c>
      <c r="Z25" s="5">
        <f t="shared" si="2"/>
        <v>0</v>
      </c>
    </row>
    <row r="26" spans="4:26" x14ac:dyDescent="0.25">
      <c r="D26" s="9"/>
      <c r="E26" s="5"/>
      <c r="F26" s="5"/>
      <c r="G26" s="5"/>
      <c r="H26" s="5"/>
      <c r="I26" s="5"/>
      <c r="J26" s="3"/>
      <c r="K26" s="11" t="str">
        <f t="shared" si="0"/>
        <v/>
      </c>
      <c r="Y26" s="12">
        <f t="shared" si="1"/>
        <v>0</v>
      </c>
      <c r="Z26" s="5">
        <f t="shared" si="2"/>
        <v>0</v>
      </c>
    </row>
    <row r="27" spans="4:26" x14ac:dyDescent="0.25">
      <c r="D27" s="9"/>
      <c r="E27" s="5"/>
      <c r="F27" s="5"/>
      <c r="G27" s="5"/>
      <c r="H27" s="5"/>
      <c r="I27" s="5"/>
      <c r="J27" s="3"/>
      <c r="K27" s="11" t="str">
        <f t="shared" si="0"/>
        <v/>
      </c>
      <c r="Y27" s="12">
        <f t="shared" si="1"/>
        <v>0</v>
      </c>
      <c r="Z27" s="5">
        <f t="shared" si="2"/>
        <v>0</v>
      </c>
    </row>
    <row r="28" spans="4:26" x14ac:dyDescent="0.25">
      <c r="D28" s="9"/>
      <c r="E28" s="5"/>
      <c r="F28" s="5"/>
      <c r="G28" s="5"/>
      <c r="H28" s="5"/>
      <c r="I28" s="5"/>
      <c r="J28" s="3"/>
      <c r="K28" s="11" t="str">
        <f t="shared" si="0"/>
        <v/>
      </c>
      <c r="Y28" s="12">
        <f t="shared" si="1"/>
        <v>0</v>
      </c>
      <c r="Z28" s="5">
        <f t="shared" si="2"/>
        <v>0</v>
      </c>
    </row>
    <row r="29" spans="4:26" x14ac:dyDescent="0.25">
      <c r="D29" s="9"/>
      <c r="E29" s="5"/>
      <c r="F29" s="5"/>
      <c r="G29" s="5"/>
      <c r="H29" s="5"/>
      <c r="I29" s="5"/>
      <c r="J29" s="3"/>
      <c r="K29" s="11" t="str">
        <f t="shared" si="0"/>
        <v/>
      </c>
      <c r="Y29" s="12">
        <f t="shared" si="1"/>
        <v>0</v>
      </c>
      <c r="Z29" s="5">
        <f t="shared" si="2"/>
        <v>0</v>
      </c>
    </row>
    <row r="30" spans="4:26" x14ac:dyDescent="0.25">
      <c r="D30" s="9"/>
      <c r="E30" s="5"/>
      <c r="F30" s="5"/>
      <c r="G30" s="5"/>
      <c r="H30" s="5"/>
      <c r="I30" s="5"/>
      <c r="J30" s="3"/>
      <c r="K30" s="11" t="str">
        <f t="shared" si="0"/>
        <v/>
      </c>
      <c r="Y30" s="12">
        <f t="shared" si="1"/>
        <v>0</v>
      </c>
      <c r="Z30" s="5">
        <f t="shared" si="2"/>
        <v>0</v>
      </c>
    </row>
    <row r="31" spans="4:26" x14ac:dyDescent="0.25">
      <c r="D31" s="9"/>
      <c r="E31" s="5"/>
      <c r="F31" s="5"/>
      <c r="G31" s="5"/>
      <c r="H31" s="5"/>
      <c r="I31" s="5"/>
      <c r="J31" s="3"/>
      <c r="K31" s="11" t="str">
        <f t="shared" si="0"/>
        <v/>
      </c>
      <c r="Y31" s="12">
        <f t="shared" si="1"/>
        <v>0</v>
      </c>
      <c r="Z31" s="5">
        <f t="shared" si="2"/>
        <v>0</v>
      </c>
    </row>
    <row r="32" spans="4:26" x14ac:dyDescent="0.25">
      <c r="D32" s="9"/>
      <c r="E32" s="5"/>
      <c r="F32" s="5"/>
      <c r="G32" s="5"/>
      <c r="H32" s="5"/>
      <c r="I32" s="5"/>
      <c r="J32" s="3"/>
      <c r="K32" s="11" t="str">
        <f t="shared" si="0"/>
        <v/>
      </c>
      <c r="Y32" s="12">
        <f t="shared" si="1"/>
        <v>0</v>
      </c>
      <c r="Z32" s="5">
        <f t="shared" si="2"/>
        <v>0</v>
      </c>
    </row>
    <row r="33" spans="4:26" x14ac:dyDescent="0.25">
      <c r="D33" s="9"/>
      <c r="E33" s="5"/>
      <c r="F33" s="5"/>
      <c r="G33" s="5"/>
      <c r="H33" s="5"/>
      <c r="I33" s="5"/>
      <c r="J33" s="3"/>
      <c r="K33" s="11" t="str">
        <f t="shared" si="0"/>
        <v/>
      </c>
      <c r="Y33" s="12">
        <f t="shared" si="1"/>
        <v>0</v>
      </c>
      <c r="Z33" s="5">
        <f t="shared" si="2"/>
        <v>0</v>
      </c>
    </row>
    <row r="34" spans="4:26" x14ac:dyDescent="0.25">
      <c r="D34" s="9"/>
      <c r="E34" s="5"/>
      <c r="F34" s="5"/>
      <c r="G34" s="5"/>
      <c r="H34" s="5"/>
      <c r="I34" s="5"/>
      <c r="J34" s="3"/>
      <c r="K34" s="11" t="str">
        <f t="shared" si="0"/>
        <v/>
      </c>
      <c r="Y34" s="12">
        <f t="shared" si="1"/>
        <v>0</v>
      </c>
      <c r="Z34" s="5">
        <f t="shared" si="2"/>
        <v>0</v>
      </c>
    </row>
    <row r="35" spans="4:26" x14ac:dyDescent="0.25">
      <c r="D35" s="9"/>
      <c r="E35" s="5"/>
      <c r="F35" s="5"/>
      <c r="G35" s="5"/>
      <c r="H35" s="5"/>
      <c r="I35" s="5"/>
      <c r="J35" s="3"/>
      <c r="K35" s="11" t="str">
        <f t="shared" si="0"/>
        <v/>
      </c>
      <c r="Y35" s="12">
        <f t="shared" si="1"/>
        <v>0</v>
      </c>
      <c r="Z35" s="5">
        <f t="shared" si="2"/>
        <v>0</v>
      </c>
    </row>
    <row r="36" spans="4:26" x14ac:dyDescent="0.25">
      <c r="D36" s="9"/>
      <c r="E36" s="5"/>
      <c r="F36" s="5"/>
      <c r="G36" s="5"/>
      <c r="H36" s="5"/>
      <c r="I36" s="5"/>
      <c r="J36" s="3"/>
      <c r="K36" s="11" t="str">
        <f t="shared" si="0"/>
        <v/>
      </c>
      <c r="Y36" s="12">
        <f t="shared" si="1"/>
        <v>0</v>
      </c>
      <c r="Z36" s="5">
        <f t="shared" si="2"/>
        <v>0</v>
      </c>
    </row>
    <row r="37" spans="4:26" x14ac:dyDescent="0.25">
      <c r="D37" s="9"/>
      <c r="E37" s="5"/>
      <c r="F37" s="5"/>
      <c r="G37" s="5"/>
      <c r="H37" s="5"/>
      <c r="I37" s="5"/>
      <c r="J37" s="3"/>
      <c r="K37" s="11" t="str">
        <f t="shared" si="0"/>
        <v/>
      </c>
      <c r="Y37" s="12">
        <f t="shared" si="1"/>
        <v>0</v>
      </c>
      <c r="Z37" s="5">
        <f t="shared" si="2"/>
        <v>0</v>
      </c>
    </row>
    <row r="38" spans="4:26" x14ac:dyDescent="0.25">
      <c r="D38" s="9"/>
      <c r="E38" s="5"/>
      <c r="F38" s="5"/>
      <c r="G38" s="5"/>
      <c r="H38" s="5"/>
      <c r="I38" s="5"/>
      <c r="J38" s="3"/>
      <c r="K38" s="11" t="str">
        <f t="shared" si="0"/>
        <v/>
      </c>
      <c r="Y38" s="12">
        <f t="shared" si="1"/>
        <v>0</v>
      </c>
      <c r="Z38" s="5">
        <f t="shared" si="2"/>
        <v>0</v>
      </c>
    </row>
    <row r="39" spans="4:26" x14ac:dyDescent="0.25">
      <c r="D39" s="9"/>
      <c r="E39" s="5"/>
      <c r="F39" s="5"/>
      <c r="G39" s="5"/>
      <c r="H39" s="5"/>
      <c r="I39" s="5"/>
      <c r="J39" s="3"/>
      <c r="K39" s="11" t="str">
        <f t="shared" si="0"/>
        <v/>
      </c>
      <c r="Y39" s="12">
        <f t="shared" si="1"/>
        <v>0</v>
      </c>
      <c r="Z39" s="5">
        <f t="shared" si="2"/>
        <v>0</v>
      </c>
    </row>
    <row r="40" spans="4:26" x14ac:dyDescent="0.25">
      <c r="D40" s="9"/>
      <c r="E40" s="5"/>
      <c r="F40" s="5"/>
      <c r="G40" s="5"/>
      <c r="H40" s="5"/>
      <c r="I40" s="5"/>
      <c r="J40" s="3"/>
      <c r="K40" s="11" t="str">
        <f t="shared" si="0"/>
        <v/>
      </c>
      <c r="Y40" s="12">
        <f t="shared" si="1"/>
        <v>0</v>
      </c>
      <c r="Z40" s="5">
        <f t="shared" si="2"/>
        <v>0</v>
      </c>
    </row>
    <row r="41" spans="4:26" x14ac:dyDescent="0.25">
      <c r="D41" s="9"/>
      <c r="E41" s="5"/>
      <c r="F41" s="5"/>
      <c r="G41" s="5"/>
      <c r="H41" s="5"/>
      <c r="I41" s="5"/>
      <c r="J41" s="3"/>
      <c r="K41" s="11" t="str">
        <f t="shared" si="0"/>
        <v/>
      </c>
      <c r="Y41" s="12">
        <f t="shared" si="1"/>
        <v>0</v>
      </c>
      <c r="Z41" s="5">
        <f t="shared" si="2"/>
        <v>0</v>
      </c>
    </row>
    <row r="42" spans="4:26" x14ac:dyDescent="0.25">
      <c r="D42" s="9" t="s">
        <v>10</v>
      </c>
      <c r="E42" s="5">
        <f>SUM(E2:E41)</f>
        <v>0</v>
      </c>
      <c r="F42" s="5">
        <f t="shared" ref="F42:I42" si="3">SUM(F2:F41)</f>
        <v>0</v>
      </c>
      <c r="G42" s="5">
        <f t="shared" si="3"/>
        <v>0</v>
      </c>
      <c r="H42" s="5">
        <f t="shared" si="3"/>
        <v>0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27" priority="3">
      <formula>$M$3=$N$3</formula>
    </cfRule>
    <cfRule type="expression" dxfId="26" priority="4">
      <formula>$Z$2="+"</formula>
    </cfRule>
  </conditionalFormatting>
  <conditionalFormatting sqref="S3">
    <cfRule type="expression" dxfId="25" priority="1">
      <formula>$AA$2="+"</formula>
    </cfRule>
  </conditionalFormatting>
  <conditionalFormatting sqref="AA2">
    <cfRule type="expression" dxfId="24" priority="2">
      <formula>$AA$2="+"</formula>
    </cfRule>
  </conditionalFormatting>
  <pageMargins left="0.7" right="0.7" top="0.75" bottom="0.75" header="0.3" footer="0.3"/>
  <pageSetup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CB86-73E8-4361-A16F-2DFBE23290FB}">
  <dimension ref="A1:AA42"/>
  <sheetViews>
    <sheetView workbookViewId="0">
      <selection activeCell="J15" sqref="J15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14</v>
      </c>
      <c r="B1" s="3">
        <v>20220721</v>
      </c>
      <c r="D1" s="9" t="s">
        <v>9</v>
      </c>
      <c r="E1" s="9" t="s">
        <v>0</v>
      </c>
      <c r="F1" s="9" t="s">
        <v>5</v>
      </c>
      <c r="G1" s="9" t="s">
        <v>0</v>
      </c>
      <c r="H1" s="9" t="s">
        <v>5</v>
      </c>
      <c r="I1" s="9" t="s">
        <v>38</v>
      </c>
      <c r="J1" s="10" t="s">
        <v>9</v>
      </c>
      <c r="K1" s="10" t="s">
        <v>22</v>
      </c>
      <c r="M1" s="28" t="s">
        <v>0</v>
      </c>
      <c r="N1" s="30"/>
      <c r="O1" s="28" t="s">
        <v>5</v>
      </c>
      <c r="P1" s="30"/>
      <c r="Q1" s="32" t="s">
        <v>39</v>
      </c>
      <c r="R1" s="32" t="s">
        <v>23</v>
      </c>
      <c r="S1" s="32" t="s">
        <v>40</v>
      </c>
      <c r="Y1" s="18" t="s">
        <v>9</v>
      </c>
      <c r="Z1" s="9" t="s">
        <v>41</v>
      </c>
      <c r="AA1" s="9" t="s">
        <v>40</v>
      </c>
    </row>
    <row r="2" spans="1:27" x14ac:dyDescent="0.25">
      <c r="A2" s="8" t="s">
        <v>1</v>
      </c>
      <c r="B2" s="3" t="s">
        <v>36</v>
      </c>
      <c r="D2" s="12">
        <v>46113</v>
      </c>
      <c r="E2" s="5">
        <v>0</v>
      </c>
      <c r="F2" s="5">
        <v>1.66</v>
      </c>
      <c r="G2" s="5">
        <v>0</v>
      </c>
      <c r="H2" s="5">
        <v>1.66</v>
      </c>
      <c r="I2" s="5">
        <v>0</v>
      </c>
      <c r="J2" s="12">
        <v>46113</v>
      </c>
      <c r="K2" s="11">
        <f>IF(J2&gt;0,J2-D2,"")</f>
        <v>0</v>
      </c>
      <c r="M2" s="19" t="s">
        <v>42</v>
      </c>
      <c r="N2" s="19" t="s">
        <v>23</v>
      </c>
      <c r="O2" s="9" t="s">
        <v>43</v>
      </c>
      <c r="P2" s="9" t="s">
        <v>44</v>
      </c>
      <c r="Q2" s="33"/>
      <c r="R2" s="33"/>
      <c r="S2" s="33"/>
      <c r="Y2" s="12">
        <f>B3</f>
        <v>46027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7</v>
      </c>
      <c r="B3" s="12">
        <v>46027</v>
      </c>
      <c r="D3" s="12">
        <v>46204</v>
      </c>
      <c r="E3" s="5">
        <v>0</v>
      </c>
      <c r="F3" s="5">
        <v>1.87</v>
      </c>
      <c r="G3" s="5">
        <v>0</v>
      </c>
      <c r="H3" s="5">
        <v>1.87</v>
      </c>
      <c r="I3" s="5">
        <v>0</v>
      </c>
      <c r="J3" s="12">
        <v>46204</v>
      </c>
      <c r="K3" s="11">
        <f t="shared" ref="K3:K41" si="0">IF(J3&gt;0,J3-D3,"")</f>
        <v>0</v>
      </c>
      <c r="M3" s="5">
        <f>B11</f>
        <v>100</v>
      </c>
      <c r="N3" s="5">
        <f>G42</f>
        <v>0</v>
      </c>
      <c r="O3" s="5">
        <f>F42</f>
        <v>5.42</v>
      </c>
      <c r="P3" s="5">
        <f>H42+I42</f>
        <v>5.42</v>
      </c>
      <c r="Q3" s="15" t="str">
        <f>IF(M3=N3,XIRR(Z2:Z41,Y2:Y41),"")</f>
        <v/>
      </c>
      <c r="R3" s="12" t="str">
        <f>IF(M3=N3,B14,"")</f>
        <v/>
      </c>
      <c r="S3" s="3" t="str">
        <f ca="1">IF(COUNTIFS(D:D,"&lt;"&amp;TODAY(),J:J,"")=0,"",TODAY()-_xlfn.MINIFS(D:D,D:D,"&lt;"&amp;TODAY(),J:J,""))</f>
        <v/>
      </c>
      <c r="Y3" s="12">
        <f>J2</f>
        <v>46113</v>
      </c>
      <c r="Z3" s="5">
        <f>G2+H2+I2</f>
        <v>1.66</v>
      </c>
    </row>
    <row r="4" spans="1:27" x14ac:dyDescent="0.25">
      <c r="A4" s="8" t="s">
        <v>11</v>
      </c>
      <c r="B4" s="12">
        <v>46032</v>
      </c>
      <c r="D4" s="12">
        <v>46296</v>
      </c>
      <c r="E4" s="5">
        <v>0</v>
      </c>
      <c r="F4" s="5">
        <v>1.89</v>
      </c>
      <c r="G4" s="5">
        <v>0</v>
      </c>
      <c r="H4" s="5">
        <v>1.89</v>
      </c>
      <c r="I4" s="5">
        <v>0</v>
      </c>
      <c r="J4" s="12">
        <v>46294</v>
      </c>
      <c r="K4" s="11">
        <f t="shared" si="0"/>
        <v>-2</v>
      </c>
      <c r="Y4" s="12">
        <f t="shared" ref="Y4:Y41" si="1">J3</f>
        <v>46204</v>
      </c>
      <c r="Z4" s="5">
        <f t="shared" ref="Z4:Z41" si="2">G3+H3+I3</f>
        <v>1.87</v>
      </c>
    </row>
    <row r="5" spans="1:27" x14ac:dyDescent="0.25">
      <c r="A5" s="8" t="s">
        <v>2</v>
      </c>
      <c r="B5" s="3" t="s">
        <v>31</v>
      </c>
      <c r="D5" s="12">
        <v>46296</v>
      </c>
      <c r="E5" s="5">
        <v>0</v>
      </c>
      <c r="F5" s="5"/>
      <c r="G5" s="5"/>
      <c r="H5" s="5"/>
      <c r="I5" s="5"/>
      <c r="J5" s="12"/>
      <c r="K5" s="11" t="str">
        <f t="shared" si="0"/>
        <v/>
      </c>
      <c r="Y5" s="12">
        <f t="shared" si="1"/>
        <v>46294</v>
      </c>
      <c r="Z5" s="5">
        <f t="shared" si="2"/>
        <v>1.89</v>
      </c>
    </row>
    <row r="6" spans="1:27" x14ac:dyDescent="0.25">
      <c r="A6" s="8" t="s">
        <v>12</v>
      </c>
      <c r="B6" s="4">
        <v>0.65</v>
      </c>
      <c r="D6" s="14">
        <v>46388</v>
      </c>
      <c r="E6" s="5">
        <v>0</v>
      </c>
      <c r="F6" s="5"/>
      <c r="G6" s="5"/>
      <c r="H6" s="5"/>
      <c r="I6" s="5"/>
      <c r="J6" s="12"/>
      <c r="K6" s="11" t="str">
        <f t="shared" si="0"/>
        <v/>
      </c>
      <c r="Y6" s="12">
        <f t="shared" si="1"/>
        <v>0</v>
      </c>
      <c r="Z6" s="5">
        <f t="shared" si="2"/>
        <v>0</v>
      </c>
    </row>
    <row r="7" spans="1:27" x14ac:dyDescent="0.25">
      <c r="A7" s="8" t="s">
        <v>13</v>
      </c>
      <c r="B7" s="4">
        <v>0.7</v>
      </c>
      <c r="D7" s="12">
        <v>46399</v>
      </c>
      <c r="E7" s="5">
        <v>100</v>
      </c>
      <c r="F7" s="5"/>
      <c r="G7" s="3"/>
      <c r="H7" s="5"/>
      <c r="I7" s="5"/>
      <c r="J7" s="12"/>
      <c r="K7" s="11" t="str">
        <f t="shared" si="0"/>
        <v/>
      </c>
      <c r="Y7" s="12">
        <f t="shared" si="1"/>
        <v>0</v>
      </c>
      <c r="Z7" s="5">
        <f t="shared" si="2"/>
        <v>0</v>
      </c>
    </row>
    <row r="8" spans="1:27" x14ac:dyDescent="0.25">
      <c r="A8" s="8" t="s">
        <v>3</v>
      </c>
      <c r="B8" s="3">
        <v>12</v>
      </c>
      <c r="D8" s="12"/>
      <c r="E8" s="2"/>
      <c r="F8" s="2"/>
      <c r="G8" s="2"/>
      <c r="H8" s="2"/>
      <c r="I8" s="2"/>
      <c r="J8" s="12"/>
      <c r="K8" s="11" t="str">
        <f t="shared" si="0"/>
        <v/>
      </c>
      <c r="Y8" s="12">
        <f t="shared" si="1"/>
        <v>0</v>
      </c>
      <c r="Z8" s="5">
        <f t="shared" si="2"/>
        <v>0</v>
      </c>
    </row>
    <row r="9" spans="1:27" x14ac:dyDescent="0.25">
      <c r="A9" s="8" t="s">
        <v>4</v>
      </c>
      <c r="B9" s="3" t="s">
        <v>8</v>
      </c>
      <c r="D9" s="12"/>
      <c r="E9" s="2"/>
      <c r="F9" s="2"/>
      <c r="G9" s="2"/>
      <c r="H9" s="2"/>
      <c r="I9" s="2"/>
      <c r="J9" s="12"/>
      <c r="K9" s="11" t="str">
        <f t="shared" si="0"/>
        <v/>
      </c>
      <c r="Y9" s="12">
        <f t="shared" si="1"/>
        <v>0</v>
      </c>
      <c r="Z9" s="5">
        <f t="shared" si="2"/>
        <v>0</v>
      </c>
    </row>
    <row r="10" spans="1:27" x14ac:dyDescent="0.25">
      <c r="A10" s="8" t="s">
        <v>6</v>
      </c>
      <c r="B10" s="6">
        <v>7.4999999999999997E-2</v>
      </c>
      <c r="D10" s="12"/>
      <c r="E10" s="2"/>
      <c r="F10" s="2"/>
      <c r="G10" s="2"/>
      <c r="H10" s="2"/>
      <c r="I10" s="2"/>
      <c r="J10" s="12"/>
      <c r="K10" s="11" t="str">
        <f t="shared" si="0"/>
        <v/>
      </c>
      <c r="Y10" s="12">
        <f t="shared" si="1"/>
        <v>0</v>
      </c>
      <c r="Z10" s="5">
        <f t="shared" si="2"/>
        <v>0</v>
      </c>
    </row>
    <row r="11" spans="1:27" x14ac:dyDescent="0.25">
      <c r="A11" s="8" t="s">
        <v>60</v>
      </c>
      <c r="B11" s="5">
        <v>100</v>
      </c>
      <c r="D11" s="12"/>
      <c r="E11" s="2"/>
      <c r="F11" s="2"/>
      <c r="G11" s="2"/>
      <c r="H11" s="2"/>
      <c r="I11" s="2"/>
      <c r="J11" s="12"/>
      <c r="K11" s="11" t="str">
        <f t="shared" si="0"/>
        <v/>
      </c>
      <c r="Y11" s="12">
        <f t="shared" si="1"/>
        <v>0</v>
      </c>
      <c r="Z11" s="5">
        <f t="shared" si="2"/>
        <v>0</v>
      </c>
    </row>
    <row r="12" spans="1:27" x14ac:dyDescent="0.25">
      <c r="A12" s="8" t="s">
        <v>37</v>
      </c>
      <c r="B12" s="16">
        <v>46399</v>
      </c>
      <c r="D12" s="12"/>
      <c r="E12" s="2"/>
      <c r="F12" s="2"/>
      <c r="G12" s="2"/>
      <c r="H12" s="2"/>
      <c r="I12" s="2"/>
      <c r="J12" s="12"/>
      <c r="K12" s="11" t="str">
        <f t="shared" si="0"/>
        <v/>
      </c>
      <c r="Y12" s="12">
        <f t="shared" si="1"/>
        <v>0</v>
      </c>
      <c r="Z12" s="5">
        <f t="shared" si="2"/>
        <v>0</v>
      </c>
    </row>
    <row r="13" spans="1:27" x14ac:dyDescent="0.25">
      <c r="A13" s="8" t="s">
        <v>53</v>
      </c>
      <c r="B13" s="11">
        <f ca="1">IF(B11&lt;&gt;N3,(TODAY()-B12)*-1,"")</f>
        <v>103</v>
      </c>
      <c r="D13" s="12"/>
      <c r="E13" s="5"/>
      <c r="F13" s="5"/>
      <c r="G13" s="5"/>
      <c r="H13" s="5"/>
      <c r="I13" s="5"/>
      <c r="J13" s="20"/>
      <c r="K13" s="11" t="str">
        <f t="shared" si="0"/>
        <v/>
      </c>
      <c r="Y13" s="12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2"/>
      <c r="D14" s="9"/>
      <c r="E14" s="5"/>
      <c r="F14" s="5"/>
      <c r="G14" s="5"/>
      <c r="H14" s="5"/>
      <c r="I14" s="5"/>
      <c r="J14" s="3"/>
      <c r="K14" s="11" t="str">
        <f t="shared" si="0"/>
        <v/>
      </c>
      <c r="Y14" s="12">
        <f t="shared" si="1"/>
        <v>0</v>
      </c>
      <c r="Z14" s="5">
        <f t="shared" si="2"/>
        <v>0</v>
      </c>
    </row>
    <row r="15" spans="1:27" x14ac:dyDescent="0.25">
      <c r="A15" s="8" t="s">
        <v>54</v>
      </c>
      <c r="B15" s="3" t="str">
        <f>IF(M3=N3,B14-B12,"")</f>
        <v/>
      </c>
      <c r="D15" s="9"/>
      <c r="E15" s="5"/>
      <c r="F15" s="5"/>
      <c r="G15" s="5"/>
      <c r="H15" s="5"/>
      <c r="I15" s="5"/>
      <c r="J15" s="3"/>
      <c r="K15" s="11" t="str">
        <f t="shared" si="0"/>
        <v/>
      </c>
      <c r="Y15" s="12">
        <f t="shared" si="1"/>
        <v>0</v>
      </c>
      <c r="Z15" s="5">
        <f t="shared" si="2"/>
        <v>0</v>
      </c>
    </row>
    <row r="16" spans="1:27" x14ac:dyDescent="0.25">
      <c r="D16" s="9"/>
      <c r="E16" s="5"/>
      <c r="F16" s="5"/>
      <c r="G16" s="5"/>
      <c r="H16" s="5"/>
      <c r="I16" s="5"/>
      <c r="J16" s="3"/>
      <c r="K16" s="11" t="str">
        <f t="shared" si="0"/>
        <v/>
      </c>
      <c r="Y16" s="12">
        <f t="shared" si="1"/>
        <v>0</v>
      </c>
      <c r="Z16" s="5">
        <f t="shared" si="2"/>
        <v>0</v>
      </c>
    </row>
    <row r="17" spans="4:26" x14ac:dyDescent="0.25">
      <c r="D17" s="9"/>
      <c r="E17" s="5"/>
      <c r="F17" s="5"/>
      <c r="G17" s="5"/>
      <c r="H17" s="5"/>
      <c r="I17" s="5"/>
      <c r="J17" s="3"/>
      <c r="K17" s="11" t="str">
        <f t="shared" si="0"/>
        <v/>
      </c>
      <c r="Y17" s="12">
        <f t="shared" si="1"/>
        <v>0</v>
      </c>
      <c r="Z17" s="5">
        <f t="shared" si="2"/>
        <v>0</v>
      </c>
    </row>
    <row r="18" spans="4:26" x14ac:dyDescent="0.25">
      <c r="D18" s="9"/>
      <c r="E18" s="5"/>
      <c r="F18" s="5"/>
      <c r="G18" s="5"/>
      <c r="H18" s="5"/>
      <c r="I18" s="5"/>
      <c r="J18" s="3"/>
      <c r="K18" s="11" t="str">
        <f t="shared" si="0"/>
        <v/>
      </c>
      <c r="Y18" s="12">
        <f t="shared" si="1"/>
        <v>0</v>
      </c>
      <c r="Z18" s="5">
        <f t="shared" si="2"/>
        <v>0</v>
      </c>
    </row>
    <row r="19" spans="4:26" x14ac:dyDescent="0.25">
      <c r="D19" s="9"/>
      <c r="E19" s="5"/>
      <c r="F19" s="5"/>
      <c r="G19" s="5"/>
      <c r="H19" s="5"/>
      <c r="I19" s="5"/>
      <c r="J19" s="3"/>
      <c r="K19" s="11" t="str">
        <f t="shared" si="0"/>
        <v/>
      </c>
      <c r="Y19" s="12">
        <f t="shared" si="1"/>
        <v>0</v>
      </c>
      <c r="Z19" s="5">
        <f t="shared" si="2"/>
        <v>0</v>
      </c>
    </row>
    <row r="20" spans="4:26" x14ac:dyDescent="0.25">
      <c r="D20" s="9"/>
      <c r="E20" s="5"/>
      <c r="F20" s="5"/>
      <c r="G20" s="5"/>
      <c r="H20" s="5"/>
      <c r="I20" s="5"/>
      <c r="J20" s="3"/>
      <c r="K20" s="11" t="str">
        <f t="shared" si="0"/>
        <v/>
      </c>
      <c r="Y20" s="12">
        <f t="shared" si="1"/>
        <v>0</v>
      </c>
      <c r="Z20" s="5">
        <f t="shared" si="2"/>
        <v>0</v>
      </c>
    </row>
    <row r="21" spans="4:26" x14ac:dyDescent="0.25">
      <c r="D21" s="9"/>
      <c r="E21" s="5"/>
      <c r="F21" s="5"/>
      <c r="G21" s="5"/>
      <c r="H21" s="5"/>
      <c r="I21" s="5"/>
      <c r="J21" s="3"/>
      <c r="K21" s="11" t="str">
        <f t="shared" si="0"/>
        <v/>
      </c>
      <c r="Y21" s="12">
        <f t="shared" si="1"/>
        <v>0</v>
      </c>
      <c r="Z21" s="5">
        <f t="shared" si="2"/>
        <v>0</v>
      </c>
    </row>
    <row r="22" spans="4:26" x14ac:dyDescent="0.25">
      <c r="D22" s="9"/>
      <c r="E22" s="5"/>
      <c r="F22" s="5"/>
      <c r="G22" s="5"/>
      <c r="H22" s="5"/>
      <c r="I22" s="5"/>
      <c r="J22" s="3"/>
      <c r="K22" s="11" t="str">
        <f t="shared" si="0"/>
        <v/>
      </c>
      <c r="Y22" s="12">
        <f t="shared" si="1"/>
        <v>0</v>
      </c>
      <c r="Z22" s="5">
        <f t="shared" si="2"/>
        <v>0</v>
      </c>
    </row>
    <row r="23" spans="4:26" x14ac:dyDescent="0.25">
      <c r="D23" s="9"/>
      <c r="E23" s="5"/>
      <c r="F23" s="5"/>
      <c r="G23" s="5"/>
      <c r="H23" s="5"/>
      <c r="I23" s="5"/>
      <c r="J23" s="3"/>
      <c r="K23" s="11" t="str">
        <f t="shared" si="0"/>
        <v/>
      </c>
      <c r="Y23" s="12">
        <f t="shared" si="1"/>
        <v>0</v>
      </c>
      <c r="Z23" s="5">
        <f t="shared" si="2"/>
        <v>0</v>
      </c>
    </row>
    <row r="24" spans="4:26" x14ac:dyDescent="0.25">
      <c r="D24" s="9"/>
      <c r="E24" s="5"/>
      <c r="F24" s="5"/>
      <c r="G24" s="5"/>
      <c r="H24" s="5"/>
      <c r="I24" s="5"/>
      <c r="J24" s="3"/>
      <c r="K24" s="11" t="str">
        <f t="shared" si="0"/>
        <v/>
      </c>
      <c r="Y24" s="12">
        <f t="shared" si="1"/>
        <v>0</v>
      </c>
      <c r="Z24" s="5">
        <f t="shared" si="2"/>
        <v>0</v>
      </c>
    </row>
    <row r="25" spans="4:26" x14ac:dyDescent="0.25">
      <c r="D25" s="9"/>
      <c r="E25" s="5"/>
      <c r="F25" s="5"/>
      <c r="G25" s="5"/>
      <c r="H25" s="5"/>
      <c r="I25" s="5"/>
      <c r="J25" s="3"/>
      <c r="K25" s="11" t="str">
        <f t="shared" si="0"/>
        <v/>
      </c>
      <c r="Y25" s="12">
        <f t="shared" si="1"/>
        <v>0</v>
      </c>
      <c r="Z25" s="5">
        <f t="shared" si="2"/>
        <v>0</v>
      </c>
    </row>
    <row r="26" spans="4:26" x14ac:dyDescent="0.25">
      <c r="D26" s="9"/>
      <c r="E26" s="5"/>
      <c r="F26" s="5"/>
      <c r="G26" s="5"/>
      <c r="H26" s="5"/>
      <c r="I26" s="5"/>
      <c r="J26" s="3"/>
      <c r="K26" s="11" t="str">
        <f t="shared" si="0"/>
        <v/>
      </c>
      <c r="Y26" s="12">
        <f t="shared" si="1"/>
        <v>0</v>
      </c>
      <c r="Z26" s="5">
        <f t="shared" si="2"/>
        <v>0</v>
      </c>
    </row>
    <row r="27" spans="4:26" x14ac:dyDescent="0.25">
      <c r="D27" s="9"/>
      <c r="E27" s="5"/>
      <c r="F27" s="5"/>
      <c r="G27" s="5"/>
      <c r="H27" s="5"/>
      <c r="I27" s="5"/>
      <c r="J27" s="3"/>
      <c r="K27" s="11" t="str">
        <f t="shared" si="0"/>
        <v/>
      </c>
      <c r="Y27" s="12">
        <f t="shared" si="1"/>
        <v>0</v>
      </c>
      <c r="Z27" s="5">
        <f t="shared" si="2"/>
        <v>0</v>
      </c>
    </row>
    <row r="28" spans="4:26" x14ac:dyDescent="0.25">
      <c r="D28" s="9"/>
      <c r="E28" s="5"/>
      <c r="F28" s="5"/>
      <c r="G28" s="5"/>
      <c r="H28" s="5"/>
      <c r="I28" s="5"/>
      <c r="J28" s="3"/>
      <c r="K28" s="11" t="str">
        <f t="shared" si="0"/>
        <v/>
      </c>
      <c r="Y28" s="12">
        <f t="shared" si="1"/>
        <v>0</v>
      </c>
      <c r="Z28" s="5">
        <f t="shared" si="2"/>
        <v>0</v>
      </c>
    </row>
    <row r="29" spans="4:26" x14ac:dyDescent="0.25">
      <c r="D29" s="9"/>
      <c r="E29" s="5"/>
      <c r="F29" s="5"/>
      <c r="G29" s="5"/>
      <c r="H29" s="5"/>
      <c r="I29" s="5"/>
      <c r="J29" s="3"/>
      <c r="K29" s="11" t="str">
        <f t="shared" si="0"/>
        <v/>
      </c>
      <c r="Y29" s="12">
        <f t="shared" si="1"/>
        <v>0</v>
      </c>
      <c r="Z29" s="5">
        <f t="shared" si="2"/>
        <v>0</v>
      </c>
    </row>
    <row r="30" spans="4:26" x14ac:dyDescent="0.25">
      <c r="D30" s="9"/>
      <c r="E30" s="5"/>
      <c r="F30" s="5"/>
      <c r="G30" s="5"/>
      <c r="H30" s="5"/>
      <c r="I30" s="5"/>
      <c r="J30" s="3"/>
      <c r="K30" s="11" t="str">
        <f t="shared" si="0"/>
        <v/>
      </c>
      <c r="Y30" s="12">
        <f t="shared" si="1"/>
        <v>0</v>
      </c>
      <c r="Z30" s="5">
        <f t="shared" si="2"/>
        <v>0</v>
      </c>
    </row>
    <row r="31" spans="4:26" x14ac:dyDescent="0.25">
      <c r="D31" s="9"/>
      <c r="E31" s="5"/>
      <c r="F31" s="5"/>
      <c r="G31" s="5"/>
      <c r="H31" s="5"/>
      <c r="I31" s="5"/>
      <c r="J31" s="3"/>
      <c r="K31" s="11" t="str">
        <f t="shared" si="0"/>
        <v/>
      </c>
      <c r="Y31" s="12">
        <f t="shared" si="1"/>
        <v>0</v>
      </c>
      <c r="Z31" s="5">
        <f t="shared" si="2"/>
        <v>0</v>
      </c>
    </row>
    <row r="32" spans="4:26" x14ac:dyDescent="0.25">
      <c r="D32" s="9"/>
      <c r="E32" s="5"/>
      <c r="F32" s="5"/>
      <c r="G32" s="5"/>
      <c r="H32" s="5"/>
      <c r="I32" s="5"/>
      <c r="J32" s="3"/>
      <c r="K32" s="11" t="str">
        <f t="shared" si="0"/>
        <v/>
      </c>
      <c r="Y32" s="12">
        <f t="shared" si="1"/>
        <v>0</v>
      </c>
      <c r="Z32" s="5">
        <f t="shared" si="2"/>
        <v>0</v>
      </c>
    </row>
    <row r="33" spans="4:26" x14ac:dyDescent="0.25">
      <c r="D33" s="9"/>
      <c r="E33" s="5"/>
      <c r="F33" s="5"/>
      <c r="G33" s="5"/>
      <c r="H33" s="5"/>
      <c r="I33" s="5"/>
      <c r="J33" s="3"/>
      <c r="K33" s="11" t="str">
        <f t="shared" si="0"/>
        <v/>
      </c>
      <c r="Y33" s="12">
        <f t="shared" si="1"/>
        <v>0</v>
      </c>
      <c r="Z33" s="5">
        <f t="shared" si="2"/>
        <v>0</v>
      </c>
    </row>
    <row r="34" spans="4:26" x14ac:dyDescent="0.25">
      <c r="D34" s="9"/>
      <c r="E34" s="5"/>
      <c r="F34" s="5"/>
      <c r="G34" s="5"/>
      <c r="H34" s="5"/>
      <c r="I34" s="5"/>
      <c r="J34" s="3"/>
      <c r="K34" s="11" t="str">
        <f t="shared" si="0"/>
        <v/>
      </c>
      <c r="Y34" s="12">
        <f t="shared" si="1"/>
        <v>0</v>
      </c>
      <c r="Z34" s="5">
        <f t="shared" si="2"/>
        <v>0</v>
      </c>
    </row>
    <row r="35" spans="4:26" x14ac:dyDescent="0.25">
      <c r="D35" s="9"/>
      <c r="E35" s="5"/>
      <c r="F35" s="5"/>
      <c r="G35" s="5"/>
      <c r="H35" s="5"/>
      <c r="I35" s="5"/>
      <c r="J35" s="3"/>
      <c r="K35" s="11" t="str">
        <f t="shared" si="0"/>
        <v/>
      </c>
      <c r="Y35" s="12">
        <f t="shared" si="1"/>
        <v>0</v>
      </c>
      <c r="Z35" s="5">
        <f t="shared" si="2"/>
        <v>0</v>
      </c>
    </row>
    <row r="36" spans="4:26" x14ac:dyDescent="0.25">
      <c r="D36" s="9"/>
      <c r="E36" s="5"/>
      <c r="F36" s="5"/>
      <c r="G36" s="5"/>
      <c r="H36" s="5"/>
      <c r="I36" s="5"/>
      <c r="J36" s="3"/>
      <c r="K36" s="11" t="str">
        <f t="shared" si="0"/>
        <v/>
      </c>
      <c r="Y36" s="12">
        <f t="shared" si="1"/>
        <v>0</v>
      </c>
      <c r="Z36" s="5">
        <f t="shared" si="2"/>
        <v>0</v>
      </c>
    </row>
    <row r="37" spans="4:26" x14ac:dyDescent="0.25">
      <c r="D37" s="9"/>
      <c r="E37" s="5"/>
      <c r="F37" s="5"/>
      <c r="G37" s="5"/>
      <c r="H37" s="5"/>
      <c r="I37" s="5"/>
      <c r="J37" s="3"/>
      <c r="K37" s="11" t="str">
        <f t="shared" si="0"/>
        <v/>
      </c>
      <c r="Y37" s="12">
        <f t="shared" si="1"/>
        <v>0</v>
      </c>
      <c r="Z37" s="5">
        <f t="shared" si="2"/>
        <v>0</v>
      </c>
    </row>
    <row r="38" spans="4:26" x14ac:dyDescent="0.25">
      <c r="D38" s="9"/>
      <c r="E38" s="5"/>
      <c r="F38" s="5"/>
      <c r="G38" s="5"/>
      <c r="H38" s="5"/>
      <c r="I38" s="5"/>
      <c r="J38" s="3"/>
      <c r="K38" s="11" t="str">
        <f t="shared" si="0"/>
        <v/>
      </c>
      <c r="Y38" s="12">
        <f t="shared" si="1"/>
        <v>0</v>
      </c>
      <c r="Z38" s="5">
        <f t="shared" si="2"/>
        <v>0</v>
      </c>
    </row>
    <row r="39" spans="4:26" x14ac:dyDescent="0.25">
      <c r="D39" s="9"/>
      <c r="E39" s="5"/>
      <c r="F39" s="5"/>
      <c r="G39" s="5"/>
      <c r="H39" s="5"/>
      <c r="I39" s="5"/>
      <c r="J39" s="3"/>
      <c r="K39" s="11" t="str">
        <f t="shared" si="0"/>
        <v/>
      </c>
      <c r="Y39" s="12">
        <f t="shared" si="1"/>
        <v>0</v>
      </c>
      <c r="Z39" s="5">
        <f t="shared" si="2"/>
        <v>0</v>
      </c>
    </row>
    <row r="40" spans="4:26" x14ac:dyDescent="0.25">
      <c r="D40" s="9"/>
      <c r="E40" s="5"/>
      <c r="F40" s="5"/>
      <c r="G40" s="5"/>
      <c r="H40" s="5"/>
      <c r="I40" s="5"/>
      <c r="J40" s="3"/>
      <c r="K40" s="11" t="str">
        <f t="shared" si="0"/>
        <v/>
      </c>
      <c r="Y40" s="12">
        <f t="shared" si="1"/>
        <v>0</v>
      </c>
      <c r="Z40" s="5">
        <f t="shared" si="2"/>
        <v>0</v>
      </c>
    </row>
    <row r="41" spans="4:26" x14ac:dyDescent="0.25">
      <c r="D41" s="9"/>
      <c r="E41" s="5"/>
      <c r="F41" s="5"/>
      <c r="G41" s="5"/>
      <c r="H41" s="5"/>
      <c r="I41" s="5"/>
      <c r="J41" s="3"/>
      <c r="K41" s="11" t="str">
        <f t="shared" si="0"/>
        <v/>
      </c>
      <c r="Y41" s="12">
        <f t="shared" si="1"/>
        <v>0</v>
      </c>
      <c r="Z41" s="5">
        <f t="shared" si="2"/>
        <v>0</v>
      </c>
    </row>
    <row r="42" spans="4:26" x14ac:dyDescent="0.25">
      <c r="D42" s="9" t="s">
        <v>10</v>
      </c>
      <c r="E42" s="5">
        <f>SUM(E2:E41)</f>
        <v>100</v>
      </c>
      <c r="F42" s="5">
        <f t="shared" ref="F42:I42" si="3">SUM(F2:F41)</f>
        <v>5.42</v>
      </c>
      <c r="G42" s="5">
        <f t="shared" si="3"/>
        <v>0</v>
      </c>
      <c r="H42" s="5">
        <f t="shared" si="3"/>
        <v>5.42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23" priority="3">
      <formula>$M$3=$N$3</formula>
    </cfRule>
    <cfRule type="expression" dxfId="22" priority="4">
      <formula>$Z$2="+"</formula>
    </cfRule>
  </conditionalFormatting>
  <conditionalFormatting sqref="S3">
    <cfRule type="expression" dxfId="21" priority="1">
      <formula>$AA$2="+"</formula>
    </cfRule>
  </conditionalFormatting>
  <conditionalFormatting sqref="AA2">
    <cfRule type="expression" dxfId="20" priority="2">
      <formula>$AA$2="+"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14</v>
      </c>
      <c r="B1" s="3">
        <v>20251031</v>
      </c>
      <c r="D1" s="9" t="s">
        <v>9</v>
      </c>
      <c r="E1" s="9" t="s">
        <v>0</v>
      </c>
      <c r="F1" s="9" t="s">
        <v>5</v>
      </c>
      <c r="G1" s="9" t="s">
        <v>0</v>
      </c>
      <c r="H1" s="9" t="s">
        <v>5</v>
      </c>
      <c r="I1" s="9" t="s">
        <v>38</v>
      </c>
      <c r="J1" s="10" t="s">
        <v>9</v>
      </c>
      <c r="K1" s="10" t="s">
        <v>22</v>
      </c>
      <c r="M1" s="28" t="s">
        <v>0</v>
      </c>
      <c r="N1" s="30"/>
      <c r="O1" s="28" t="s">
        <v>5</v>
      </c>
      <c r="P1" s="30"/>
      <c r="Q1" s="32" t="s">
        <v>39</v>
      </c>
      <c r="R1" s="32" t="s">
        <v>23</v>
      </c>
      <c r="S1" s="32" t="s">
        <v>40</v>
      </c>
      <c r="Y1" s="18" t="s">
        <v>9</v>
      </c>
      <c r="Z1" s="9" t="s">
        <v>41</v>
      </c>
      <c r="AA1" s="9" t="s">
        <v>40</v>
      </c>
    </row>
    <row r="2" spans="1:27" x14ac:dyDescent="0.25">
      <c r="A2" s="8" t="s">
        <v>1</v>
      </c>
      <c r="B2" s="3" t="s">
        <v>35</v>
      </c>
      <c r="D2" s="12">
        <v>46023</v>
      </c>
      <c r="E2" s="5">
        <v>0</v>
      </c>
      <c r="F2" s="5">
        <v>0.95</v>
      </c>
      <c r="G2" s="5">
        <v>0</v>
      </c>
      <c r="H2" s="5">
        <v>0.95</v>
      </c>
      <c r="I2" s="5">
        <v>0</v>
      </c>
      <c r="J2" s="12">
        <v>46023</v>
      </c>
      <c r="K2" s="11">
        <f>IF(J2&gt;0,J2-D2,"")</f>
        <v>0</v>
      </c>
      <c r="M2" s="19" t="s">
        <v>42</v>
      </c>
      <c r="N2" s="19" t="s">
        <v>23</v>
      </c>
      <c r="O2" s="9" t="s">
        <v>43</v>
      </c>
      <c r="P2" s="9" t="s">
        <v>44</v>
      </c>
      <c r="Q2" s="33"/>
      <c r="R2" s="33"/>
      <c r="S2" s="33"/>
      <c r="Y2" s="12">
        <f>B3</f>
        <v>45972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7</v>
      </c>
      <c r="B3" s="12">
        <v>45972</v>
      </c>
      <c r="D3" s="12">
        <v>46113</v>
      </c>
      <c r="E3" s="5">
        <v>0</v>
      </c>
      <c r="F3" s="5">
        <v>1.85</v>
      </c>
      <c r="G3" s="5">
        <v>0</v>
      </c>
      <c r="H3" s="5">
        <v>1.85</v>
      </c>
      <c r="I3" s="5">
        <v>0</v>
      </c>
      <c r="J3" s="12">
        <v>46113</v>
      </c>
      <c r="K3" s="11">
        <f t="shared" ref="K3:K41" si="0">IF(J3&gt;0,J3-D3,"")</f>
        <v>0</v>
      </c>
      <c r="M3" s="5">
        <f>B11</f>
        <v>100</v>
      </c>
      <c r="N3" s="5">
        <f>G42</f>
        <v>100</v>
      </c>
      <c r="O3" s="5">
        <f>F42</f>
        <v>4.83</v>
      </c>
      <c r="P3" s="5">
        <f>H42+I42</f>
        <v>4.83</v>
      </c>
      <c r="Q3" s="15">
        <f>IF(M3=N3,XIRR(Z2:Z41,Y2:Y41),"")</f>
        <v>7.5564584136009208E-2</v>
      </c>
      <c r="R3" s="12">
        <f>IF(M3=N3,B14,"")</f>
        <v>46212</v>
      </c>
      <c r="S3" s="3" t="str">
        <f ca="1">IF(COUNTIFS(D:D,"&lt;"&amp;TODAY(),J:J,"")=0,"",TODAY()-_xlfn.MINIFS(D:D,D:D,"&lt;"&amp;TODAY(),J:J,""))</f>
        <v/>
      </c>
      <c r="Y3" s="12">
        <f>J2</f>
        <v>46023</v>
      </c>
      <c r="Z3" s="5">
        <f>G2+H2+I2</f>
        <v>0.95</v>
      </c>
    </row>
    <row r="4" spans="1:27" x14ac:dyDescent="0.25">
      <c r="A4" s="8" t="s">
        <v>11</v>
      </c>
      <c r="B4" s="12">
        <v>45977</v>
      </c>
      <c r="D4" s="12">
        <v>46204</v>
      </c>
      <c r="E4" s="5">
        <v>0</v>
      </c>
      <c r="F4" s="5">
        <v>1.87</v>
      </c>
      <c r="G4" s="5">
        <v>0</v>
      </c>
      <c r="H4" s="5">
        <v>1.87</v>
      </c>
      <c r="I4" s="5">
        <v>0</v>
      </c>
      <c r="J4" s="12">
        <v>46204</v>
      </c>
      <c r="K4" s="11">
        <f t="shared" si="0"/>
        <v>0</v>
      </c>
      <c r="Y4" s="12">
        <f t="shared" ref="Y4:Y41" si="1">J3</f>
        <v>46113</v>
      </c>
      <c r="Z4" s="5">
        <f t="shared" ref="Z4:Z41" si="2">G3+H3+I3</f>
        <v>1.85</v>
      </c>
    </row>
    <row r="5" spans="1:27" x14ac:dyDescent="0.25">
      <c r="A5" s="8" t="s">
        <v>2</v>
      </c>
      <c r="B5" s="3" t="s">
        <v>29</v>
      </c>
      <c r="D5" s="12">
        <v>46342</v>
      </c>
      <c r="E5" s="5">
        <v>100</v>
      </c>
      <c r="F5" s="5">
        <v>0.16</v>
      </c>
      <c r="G5" s="5">
        <v>100</v>
      </c>
      <c r="H5" s="5">
        <v>0.16</v>
      </c>
      <c r="I5" s="5">
        <v>0</v>
      </c>
      <c r="J5" s="12">
        <v>46212</v>
      </c>
      <c r="K5" s="11">
        <f t="shared" si="0"/>
        <v>-130</v>
      </c>
      <c r="Y5" s="12">
        <f t="shared" si="1"/>
        <v>46204</v>
      </c>
      <c r="Z5" s="5">
        <f t="shared" si="2"/>
        <v>1.87</v>
      </c>
    </row>
    <row r="6" spans="1:27" x14ac:dyDescent="0.25">
      <c r="A6" s="8" t="s">
        <v>12</v>
      </c>
      <c r="B6" s="4">
        <v>0.7</v>
      </c>
      <c r="D6" s="14"/>
      <c r="E6" s="5"/>
      <c r="F6" s="5"/>
      <c r="G6" s="5"/>
      <c r="H6" s="5"/>
      <c r="I6" s="5"/>
      <c r="J6" s="12"/>
      <c r="K6" s="11" t="str">
        <f t="shared" si="0"/>
        <v/>
      </c>
      <c r="Y6" s="12">
        <f t="shared" si="1"/>
        <v>46212</v>
      </c>
      <c r="Z6" s="5">
        <f t="shared" si="2"/>
        <v>100.16</v>
      </c>
    </row>
    <row r="7" spans="1:27" x14ac:dyDescent="0.25">
      <c r="A7" s="8" t="s">
        <v>13</v>
      </c>
      <c r="B7" s="4">
        <v>0.7</v>
      </c>
      <c r="D7" s="12"/>
      <c r="E7" s="3"/>
      <c r="F7" s="5"/>
      <c r="G7" s="3"/>
      <c r="H7" s="5"/>
      <c r="I7" s="5"/>
      <c r="J7" s="12"/>
      <c r="K7" s="11" t="str">
        <f t="shared" si="0"/>
        <v/>
      </c>
      <c r="Y7" s="12">
        <f t="shared" si="1"/>
        <v>0</v>
      </c>
      <c r="Z7" s="5">
        <f t="shared" si="2"/>
        <v>0</v>
      </c>
    </row>
    <row r="8" spans="1:27" x14ac:dyDescent="0.25">
      <c r="A8" s="8" t="s">
        <v>3</v>
      </c>
      <c r="B8" s="3">
        <v>12</v>
      </c>
      <c r="D8" s="12"/>
      <c r="E8" s="2"/>
      <c r="F8" s="2"/>
      <c r="G8" s="2"/>
      <c r="H8" s="2"/>
      <c r="I8" s="2"/>
      <c r="J8" s="12"/>
      <c r="K8" s="11" t="str">
        <f t="shared" si="0"/>
        <v/>
      </c>
      <c r="Y8" s="12">
        <f t="shared" si="1"/>
        <v>0</v>
      </c>
      <c r="Z8" s="5">
        <f t="shared" si="2"/>
        <v>0</v>
      </c>
    </row>
    <row r="9" spans="1:27" x14ac:dyDescent="0.25">
      <c r="A9" s="8" t="s">
        <v>4</v>
      </c>
      <c r="B9" s="3" t="s">
        <v>8</v>
      </c>
      <c r="D9" s="12"/>
      <c r="E9" s="2"/>
      <c r="F9" s="2"/>
      <c r="G9" s="2"/>
      <c r="H9" s="2"/>
      <c r="I9" s="2"/>
      <c r="J9" s="12"/>
      <c r="K9" s="11" t="str">
        <f t="shared" si="0"/>
        <v/>
      </c>
      <c r="Y9" s="12">
        <f t="shared" si="1"/>
        <v>0</v>
      </c>
      <c r="Z9" s="5">
        <f t="shared" si="2"/>
        <v>0</v>
      </c>
    </row>
    <row r="10" spans="1:27" x14ac:dyDescent="0.25">
      <c r="A10" s="8" t="s">
        <v>6</v>
      </c>
      <c r="B10" s="6">
        <v>7.4999999999999997E-2</v>
      </c>
      <c r="D10" s="12"/>
      <c r="E10" s="2"/>
      <c r="F10" s="2"/>
      <c r="G10" s="2"/>
      <c r="H10" s="2"/>
      <c r="I10" s="2"/>
      <c r="J10" s="12"/>
      <c r="K10" s="11" t="str">
        <f t="shared" si="0"/>
        <v/>
      </c>
      <c r="Y10" s="12">
        <f t="shared" si="1"/>
        <v>0</v>
      </c>
      <c r="Z10" s="5">
        <f t="shared" si="2"/>
        <v>0</v>
      </c>
    </row>
    <row r="11" spans="1:27" x14ac:dyDescent="0.25">
      <c r="A11" s="8" t="s">
        <v>60</v>
      </c>
      <c r="B11" s="5">
        <v>100</v>
      </c>
      <c r="D11" s="12"/>
      <c r="E11" s="2"/>
      <c r="F11" s="2"/>
      <c r="G11" s="2"/>
      <c r="H11" s="2"/>
      <c r="I11" s="2"/>
      <c r="J11" s="12"/>
      <c r="K11" s="11" t="str">
        <f t="shared" si="0"/>
        <v/>
      </c>
      <c r="Y11" s="12">
        <f t="shared" si="1"/>
        <v>0</v>
      </c>
      <c r="Z11" s="5">
        <f t="shared" si="2"/>
        <v>0</v>
      </c>
    </row>
    <row r="12" spans="1:27" x14ac:dyDescent="0.25">
      <c r="A12" s="8" t="s">
        <v>37</v>
      </c>
      <c r="B12" s="12">
        <v>46342</v>
      </c>
      <c r="D12" s="12"/>
      <c r="E12" s="2"/>
      <c r="F12" s="2"/>
      <c r="G12" s="2"/>
      <c r="H12" s="2"/>
      <c r="I12" s="2"/>
      <c r="J12" s="12"/>
      <c r="K12" s="11" t="str">
        <f t="shared" si="0"/>
        <v/>
      </c>
      <c r="Y12" s="12">
        <f t="shared" si="1"/>
        <v>0</v>
      </c>
      <c r="Z12" s="5">
        <f t="shared" si="2"/>
        <v>0</v>
      </c>
    </row>
    <row r="13" spans="1:27" x14ac:dyDescent="0.25">
      <c r="A13" s="8" t="s">
        <v>53</v>
      </c>
      <c r="B13" s="11" t="str">
        <f ca="1">IF(B11&lt;&gt;N3,(TODAY()-B12)*-1,"")</f>
        <v/>
      </c>
      <c r="D13" s="12"/>
      <c r="E13" s="5"/>
      <c r="F13" s="5"/>
      <c r="G13" s="5"/>
      <c r="H13" s="5"/>
      <c r="I13" s="5"/>
      <c r="J13" s="20"/>
      <c r="K13" s="11" t="str">
        <f t="shared" si="0"/>
        <v/>
      </c>
      <c r="Y13" s="12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2">
        <v>46212</v>
      </c>
      <c r="D14" s="9"/>
      <c r="E14" s="5"/>
      <c r="F14" s="5"/>
      <c r="G14" s="5"/>
      <c r="H14" s="5"/>
      <c r="I14" s="5"/>
      <c r="J14" s="3"/>
      <c r="K14" s="11" t="str">
        <f t="shared" si="0"/>
        <v/>
      </c>
      <c r="Y14" s="12">
        <f t="shared" si="1"/>
        <v>0</v>
      </c>
      <c r="Z14" s="5">
        <f t="shared" si="2"/>
        <v>0</v>
      </c>
    </row>
    <row r="15" spans="1:27" x14ac:dyDescent="0.25">
      <c r="A15" s="8" t="s">
        <v>54</v>
      </c>
      <c r="B15" s="3">
        <f>IF(M3=N3,B14-B12,"")</f>
        <v>-130</v>
      </c>
      <c r="D15" s="9"/>
      <c r="E15" s="5"/>
      <c r="F15" s="5"/>
      <c r="G15" s="5"/>
      <c r="H15" s="5"/>
      <c r="I15" s="5"/>
      <c r="J15" s="3"/>
      <c r="K15" s="11" t="str">
        <f t="shared" si="0"/>
        <v/>
      </c>
      <c r="Y15" s="12">
        <f t="shared" si="1"/>
        <v>0</v>
      </c>
      <c r="Z15" s="5">
        <f t="shared" si="2"/>
        <v>0</v>
      </c>
    </row>
    <row r="16" spans="1:27" x14ac:dyDescent="0.25">
      <c r="D16" s="9"/>
      <c r="E16" s="5"/>
      <c r="F16" s="5"/>
      <c r="G16" s="5"/>
      <c r="H16" s="5"/>
      <c r="I16" s="5"/>
      <c r="J16" s="3"/>
      <c r="K16" s="11" t="str">
        <f t="shared" si="0"/>
        <v/>
      </c>
      <c r="Y16" s="12">
        <f t="shared" si="1"/>
        <v>0</v>
      </c>
      <c r="Z16" s="5">
        <f t="shared" si="2"/>
        <v>0</v>
      </c>
    </row>
    <row r="17" spans="4:26" x14ac:dyDescent="0.25">
      <c r="D17" s="9"/>
      <c r="E17" s="5"/>
      <c r="F17" s="5"/>
      <c r="G17" s="5"/>
      <c r="H17" s="5"/>
      <c r="I17" s="5"/>
      <c r="J17" s="3"/>
      <c r="K17" s="11" t="str">
        <f t="shared" si="0"/>
        <v/>
      </c>
      <c r="Y17" s="12">
        <f t="shared" si="1"/>
        <v>0</v>
      </c>
      <c r="Z17" s="5">
        <f t="shared" si="2"/>
        <v>0</v>
      </c>
    </row>
    <row r="18" spans="4:26" x14ac:dyDescent="0.25">
      <c r="D18" s="9"/>
      <c r="E18" s="5"/>
      <c r="F18" s="5"/>
      <c r="G18" s="5"/>
      <c r="H18" s="5"/>
      <c r="I18" s="5"/>
      <c r="J18" s="3"/>
      <c r="K18" s="11" t="str">
        <f t="shared" si="0"/>
        <v/>
      </c>
      <c r="Y18" s="12">
        <f t="shared" si="1"/>
        <v>0</v>
      </c>
      <c r="Z18" s="5">
        <f t="shared" si="2"/>
        <v>0</v>
      </c>
    </row>
    <row r="19" spans="4:26" x14ac:dyDescent="0.25">
      <c r="D19" s="9"/>
      <c r="E19" s="5"/>
      <c r="F19" s="5"/>
      <c r="G19" s="5"/>
      <c r="H19" s="5"/>
      <c r="I19" s="5"/>
      <c r="J19" s="3"/>
      <c r="K19" s="11" t="str">
        <f t="shared" si="0"/>
        <v/>
      </c>
      <c r="Y19" s="12">
        <f t="shared" si="1"/>
        <v>0</v>
      </c>
      <c r="Z19" s="5">
        <f t="shared" si="2"/>
        <v>0</v>
      </c>
    </row>
    <row r="20" spans="4:26" x14ac:dyDescent="0.25">
      <c r="D20" s="9"/>
      <c r="E20" s="5"/>
      <c r="F20" s="5"/>
      <c r="G20" s="5"/>
      <c r="H20" s="5"/>
      <c r="I20" s="5"/>
      <c r="J20" s="3"/>
      <c r="K20" s="11" t="str">
        <f t="shared" si="0"/>
        <v/>
      </c>
      <c r="Y20" s="12">
        <f t="shared" si="1"/>
        <v>0</v>
      </c>
      <c r="Z20" s="5">
        <f t="shared" si="2"/>
        <v>0</v>
      </c>
    </row>
    <row r="21" spans="4:26" x14ac:dyDescent="0.25">
      <c r="D21" s="9"/>
      <c r="E21" s="5"/>
      <c r="F21" s="5"/>
      <c r="G21" s="5"/>
      <c r="H21" s="5"/>
      <c r="I21" s="5"/>
      <c r="J21" s="3"/>
      <c r="K21" s="11" t="str">
        <f t="shared" si="0"/>
        <v/>
      </c>
      <c r="Y21" s="12">
        <f t="shared" si="1"/>
        <v>0</v>
      </c>
      <c r="Z21" s="5">
        <f t="shared" si="2"/>
        <v>0</v>
      </c>
    </row>
    <row r="22" spans="4:26" x14ac:dyDescent="0.25">
      <c r="D22" s="9"/>
      <c r="E22" s="5"/>
      <c r="F22" s="5"/>
      <c r="G22" s="5"/>
      <c r="H22" s="5"/>
      <c r="I22" s="5"/>
      <c r="J22" s="3"/>
      <c r="K22" s="11" t="str">
        <f t="shared" si="0"/>
        <v/>
      </c>
      <c r="Y22" s="12">
        <f t="shared" si="1"/>
        <v>0</v>
      </c>
      <c r="Z22" s="5">
        <f t="shared" si="2"/>
        <v>0</v>
      </c>
    </row>
    <row r="23" spans="4:26" x14ac:dyDescent="0.25">
      <c r="D23" s="9"/>
      <c r="E23" s="5"/>
      <c r="F23" s="5"/>
      <c r="G23" s="5"/>
      <c r="H23" s="5"/>
      <c r="I23" s="5"/>
      <c r="J23" s="3"/>
      <c r="K23" s="11" t="str">
        <f t="shared" si="0"/>
        <v/>
      </c>
      <c r="Y23" s="12">
        <f t="shared" si="1"/>
        <v>0</v>
      </c>
      <c r="Z23" s="5">
        <f t="shared" si="2"/>
        <v>0</v>
      </c>
    </row>
    <row r="24" spans="4:26" x14ac:dyDescent="0.25">
      <c r="D24" s="9"/>
      <c r="E24" s="5"/>
      <c r="F24" s="5"/>
      <c r="G24" s="5"/>
      <c r="H24" s="5"/>
      <c r="I24" s="5"/>
      <c r="J24" s="3"/>
      <c r="K24" s="11" t="str">
        <f t="shared" si="0"/>
        <v/>
      </c>
      <c r="Y24" s="12">
        <f t="shared" si="1"/>
        <v>0</v>
      </c>
      <c r="Z24" s="5">
        <f t="shared" si="2"/>
        <v>0</v>
      </c>
    </row>
    <row r="25" spans="4:26" x14ac:dyDescent="0.25">
      <c r="D25" s="9"/>
      <c r="E25" s="5"/>
      <c r="F25" s="5"/>
      <c r="G25" s="5"/>
      <c r="H25" s="5"/>
      <c r="I25" s="5"/>
      <c r="J25" s="3"/>
      <c r="K25" s="11" t="str">
        <f t="shared" si="0"/>
        <v/>
      </c>
      <c r="Y25" s="12">
        <f t="shared" si="1"/>
        <v>0</v>
      </c>
      <c r="Z25" s="5">
        <f t="shared" si="2"/>
        <v>0</v>
      </c>
    </row>
    <row r="26" spans="4:26" x14ac:dyDescent="0.25">
      <c r="D26" s="9"/>
      <c r="E26" s="5"/>
      <c r="F26" s="5"/>
      <c r="G26" s="5"/>
      <c r="H26" s="5"/>
      <c r="I26" s="5"/>
      <c r="J26" s="3"/>
      <c r="K26" s="11" t="str">
        <f t="shared" si="0"/>
        <v/>
      </c>
      <c r="Y26" s="12">
        <f t="shared" si="1"/>
        <v>0</v>
      </c>
      <c r="Z26" s="5">
        <f t="shared" si="2"/>
        <v>0</v>
      </c>
    </row>
    <row r="27" spans="4:26" x14ac:dyDescent="0.25">
      <c r="D27" s="9"/>
      <c r="E27" s="5"/>
      <c r="F27" s="5"/>
      <c r="G27" s="5"/>
      <c r="H27" s="5"/>
      <c r="I27" s="5"/>
      <c r="J27" s="3"/>
      <c r="K27" s="11" t="str">
        <f t="shared" si="0"/>
        <v/>
      </c>
      <c r="Y27" s="12">
        <f t="shared" si="1"/>
        <v>0</v>
      </c>
      <c r="Z27" s="5">
        <f t="shared" si="2"/>
        <v>0</v>
      </c>
    </row>
    <row r="28" spans="4:26" x14ac:dyDescent="0.25">
      <c r="D28" s="9"/>
      <c r="E28" s="5"/>
      <c r="F28" s="5"/>
      <c r="G28" s="5"/>
      <c r="H28" s="5"/>
      <c r="I28" s="5"/>
      <c r="J28" s="3"/>
      <c r="K28" s="11" t="str">
        <f t="shared" si="0"/>
        <v/>
      </c>
      <c r="Y28" s="12">
        <f t="shared" si="1"/>
        <v>0</v>
      </c>
      <c r="Z28" s="5">
        <f t="shared" si="2"/>
        <v>0</v>
      </c>
    </row>
    <row r="29" spans="4:26" x14ac:dyDescent="0.25">
      <c r="D29" s="9"/>
      <c r="E29" s="5"/>
      <c r="F29" s="5"/>
      <c r="G29" s="5"/>
      <c r="H29" s="5"/>
      <c r="I29" s="5"/>
      <c r="J29" s="3"/>
      <c r="K29" s="11" t="str">
        <f t="shared" si="0"/>
        <v/>
      </c>
      <c r="Y29" s="12">
        <f t="shared" si="1"/>
        <v>0</v>
      </c>
      <c r="Z29" s="5">
        <f t="shared" si="2"/>
        <v>0</v>
      </c>
    </row>
    <row r="30" spans="4:26" x14ac:dyDescent="0.25">
      <c r="D30" s="9"/>
      <c r="E30" s="5"/>
      <c r="F30" s="5"/>
      <c r="G30" s="5"/>
      <c r="H30" s="5"/>
      <c r="I30" s="5"/>
      <c r="J30" s="3"/>
      <c r="K30" s="11" t="str">
        <f t="shared" si="0"/>
        <v/>
      </c>
      <c r="Y30" s="12">
        <f t="shared" si="1"/>
        <v>0</v>
      </c>
      <c r="Z30" s="5">
        <f t="shared" si="2"/>
        <v>0</v>
      </c>
    </row>
    <row r="31" spans="4:26" x14ac:dyDescent="0.25">
      <c r="D31" s="9"/>
      <c r="E31" s="5"/>
      <c r="F31" s="5"/>
      <c r="G31" s="5"/>
      <c r="H31" s="5"/>
      <c r="I31" s="5"/>
      <c r="J31" s="3"/>
      <c r="K31" s="11" t="str">
        <f t="shared" si="0"/>
        <v/>
      </c>
      <c r="Y31" s="12">
        <f t="shared" si="1"/>
        <v>0</v>
      </c>
      <c r="Z31" s="5">
        <f t="shared" si="2"/>
        <v>0</v>
      </c>
    </row>
    <row r="32" spans="4:26" x14ac:dyDescent="0.25">
      <c r="D32" s="9"/>
      <c r="E32" s="5"/>
      <c r="F32" s="5"/>
      <c r="G32" s="5"/>
      <c r="H32" s="5"/>
      <c r="I32" s="5"/>
      <c r="J32" s="3"/>
      <c r="K32" s="11" t="str">
        <f t="shared" si="0"/>
        <v/>
      </c>
      <c r="Y32" s="12">
        <f t="shared" si="1"/>
        <v>0</v>
      </c>
      <c r="Z32" s="5">
        <f t="shared" si="2"/>
        <v>0</v>
      </c>
    </row>
    <row r="33" spans="4:26" x14ac:dyDescent="0.25">
      <c r="D33" s="9"/>
      <c r="E33" s="5"/>
      <c r="F33" s="5"/>
      <c r="G33" s="5"/>
      <c r="H33" s="5"/>
      <c r="I33" s="5"/>
      <c r="J33" s="3"/>
      <c r="K33" s="11" t="str">
        <f t="shared" si="0"/>
        <v/>
      </c>
      <c r="Y33" s="12">
        <f t="shared" si="1"/>
        <v>0</v>
      </c>
      <c r="Z33" s="5">
        <f t="shared" si="2"/>
        <v>0</v>
      </c>
    </row>
    <row r="34" spans="4:26" x14ac:dyDescent="0.25">
      <c r="D34" s="9"/>
      <c r="E34" s="5"/>
      <c r="F34" s="5"/>
      <c r="G34" s="5"/>
      <c r="H34" s="5"/>
      <c r="I34" s="5"/>
      <c r="J34" s="3"/>
      <c r="K34" s="11" t="str">
        <f t="shared" si="0"/>
        <v/>
      </c>
      <c r="Y34" s="12">
        <f t="shared" si="1"/>
        <v>0</v>
      </c>
      <c r="Z34" s="5">
        <f t="shared" si="2"/>
        <v>0</v>
      </c>
    </row>
    <row r="35" spans="4:26" x14ac:dyDescent="0.25">
      <c r="D35" s="9"/>
      <c r="E35" s="5"/>
      <c r="F35" s="5"/>
      <c r="G35" s="5"/>
      <c r="H35" s="5"/>
      <c r="I35" s="5"/>
      <c r="J35" s="3"/>
      <c r="K35" s="11" t="str">
        <f t="shared" si="0"/>
        <v/>
      </c>
      <c r="Y35" s="12">
        <f t="shared" si="1"/>
        <v>0</v>
      </c>
      <c r="Z35" s="5">
        <f t="shared" si="2"/>
        <v>0</v>
      </c>
    </row>
    <row r="36" spans="4:26" x14ac:dyDescent="0.25">
      <c r="D36" s="9"/>
      <c r="E36" s="5"/>
      <c r="F36" s="5"/>
      <c r="G36" s="5"/>
      <c r="H36" s="5"/>
      <c r="I36" s="5"/>
      <c r="J36" s="3"/>
      <c r="K36" s="11" t="str">
        <f t="shared" si="0"/>
        <v/>
      </c>
      <c r="Y36" s="12">
        <f t="shared" si="1"/>
        <v>0</v>
      </c>
      <c r="Z36" s="5">
        <f t="shared" si="2"/>
        <v>0</v>
      </c>
    </row>
    <row r="37" spans="4:26" x14ac:dyDescent="0.25">
      <c r="D37" s="9"/>
      <c r="E37" s="5"/>
      <c r="F37" s="5"/>
      <c r="G37" s="5"/>
      <c r="H37" s="5"/>
      <c r="I37" s="5"/>
      <c r="J37" s="3"/>
      <c r="K37" s="11" t="str">
        <f t="shared" si="0"/>
        <v/>
      </c>
      <c r="Y37" s="12">
        <f t="shared" si="1"/>
        <v>0</v>
      </c>
      <c r="Z37" s="5">
        <f t="shared" si="2"/>
        <v>0</v>
      </c>
    </row>
    <row r="38" spans="4:26" x14ac:dyDescent="0.25">
      <c r="D38" s="9"/>
      <c r="E38" s="5"/>
      <c r="F38" s="5"/>
      <c r="G38" s="5"/>
      <c r="H38" s="5"/>
      <c r="I38" s="5"/>
      <c r="J38" s="3"/>
      <c r="K38" s="11" t="str">
        <f t="shared" si="0"/>
        <v/>
      </c>
      <c r="Y38" s="12">
        <f t="shared" si="1"/>
        <v>0</v>
      </c>
      <c r="Z38" s="5">
        <f t="shared" si="2"/>
        <v>0</v>
      </c>
    </row>
    <row r="39" spans="4:26" x14ac:dyDescent="0.25">
      <c r="D39" s="9"/>
      <c r="E39" s="5"/>
      <c r="F39" s="5"/>
      <c r="G39" s="5"/>
      <c r="H39" s="5"/>
      <c r="I39" s="5"/>
      <c r="J39" s="3"/>
      <c r="K39" s="11" t="str">
        <f t="shared" si="0"/>
        <v/>
      </c>
      <c r="Y39" s="12">
        <f t="shared" si="1"/>
        <v>0</v>
      </c>
      <c r="Z39" s="5">
        <f t="shared" si="2"/>
        <v>0</v>
      </c>
    </row>
    <row r="40" spans="4:26" x14ac:dyDescent="0.25">
      <c r="D40" s="9"/>
      <c r="E40" s="5"/>
      <c r="F40" s="5"/>
      <c r="G40" s="5"/>
      <c r="H40" s="5"/>
      <c r="I40" s="5"/>
      <c r="J40" s="3"/>
      <c r="K40" s="11" t="str">
        <f t="shared" si="0"/>
        <v/>
      </c>
      <c r="Y40" s="12">
        <f t="shared" si="1"/>
        <v>0</v>
      </c>
      <c r="Z40" s="5">
        <f t="shared" si="2"/>
        <v>0</v>
      </c>
    </row>
    <row r="41" spans="4:26" x14ac:dyDescent="0.25">
      <c r="D41" s="9"/>
      <c r="E41" s="5"/>
      <c r="F41" s="5"/>
      <c r="G41" s="5"/>
      <c r="H41" s="5"/>
      <c r="I41" s="5"/>
      <c r="J41" s="3"/>
      <c r="K41" s="11" t="str">
        <f t="shared" si="0"/>
        <v/>
      </c>
      <c r="Y41" s="12">
        <f t="shared" si="1"/>
        <v>0</v>
      </c>
      <c r="Z41" s="5">
        <f t="shared" si="2"/>
        <v>0</v>
      </c>
    </row>
    <row r="42" spans="4:26" x14ac:dyDescent="0.25">
      <c r="D42" s="9" t="s">
        <v>10</v>
      </c>
      <c r="E42" s="5">
        <f>SUM(E2:E41)</f>
        <v>100</v>
      </c>
      <c r="F42" s="5">
        <f t="shared" ref="F42:I42" si="3">SUM(F2:F41)</f>
        <v>4.83</v>
      </c>
      <c r="G42" s="5">
        <f t="shared" si="3"/>
        <v>100</v>
      </c>
      <c r="H42" s="5">
        <f t="shared" si="3"/>
        <v>4.83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19" priority="3">
      <formula>$M$3=$N$3</formula>
    </cfRule>
    <cfRule type="expression" dxfId="18" priority="4">
      <formula>$Z$2="+"</formula>
    </cfRule>
  </conditionalFormatting>
  <conditionalFormatting sqref="S3">
    <cfRule type="expression" dxfId="17" priority="1">
      <formula>$AA$2="+"</formula>
    </cfRule>
  </conditionalFormatting>
  <conditionalFormatting sqref="AA2">
    <cfRule type="expression" dxfId="16" priority="2">
      <formula>$AA$2="+"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2"/>
  <sheetViews>
    <sheetView workbookViewId="0">
      <selection activeCell="H12" sqref="H12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14</v>
      </c>
      <c r="B1" s="3">
        <v>20250715</v>
      </c>
      <c r="D1" s="9" t="s">
        <v>9</v>
      </c>
      <c r="E1" s="9" t="s">
        <v>0</v>
      </c>
      <c r="F1" s="9" t="s">
        <v>5</v>
      </c>
      <c r="G1" s="9" t="s">
        <v>0</v>
      </c>
      <c r="H1" s="9" t="s">
        <v>5</v>
      </c>
      <c r="I1" s="9" t="s">
        <v>38</v>
      </c>
      <c r="J1" s="10" t="s">
        <v>9</v>
      </c>
      <c r="K1" s="10" t="s">
        <v>22</v>
      </c>
      <c r="M1" s="28" t="s">
        <v>0</v>
      </c>
      <c r="N1" s="30"/>
      <c r="O1" s="28" t="s">
        <v>5</v>
      </c>
      <c r="P1" s="30"/>
      <c r="Q1" s="32" t="s">
        <v>39</v>
      </c>
      <c r="R1" s="32" t="s">
        <v>23</v>
      </c>
      <c r="S1" s="32" t="s">
        <v>40</v>
      </c>
      <c r="Y1" s="18" t="s">
        <v>9</v>
      </c>
      <c r="Z1" s="9" t="s">
        <v>41</v>
      </c>
      <c r="AA1" s="9" t="s">
        <v>40</v>
      </c>
    </row>
    <row r="2" spans="1:27" x14ac:dyDescent="0.25">
      <c r="A2" s="8" t="s">
        <v>1</v>
      </c>
      <c r="B2" s="3" t="s">
        <v>34</v>
      </c>
      <c r="D2" s="12">
        <v>46023</v>
      </c>
      <c r="E2" s="5">
        <v>0</v>
      </c>
      <c r="F2" s="5">
        <v>0.96</v>
      </c>
      <c r="G2" s="5">
        <v>0</v>
      </c>
      <c r="H2" s="5">
        <v>0.96</v>
      </c>
      <c r="I2" s="5">
        <v>0</v>
      </c>
      <c r="J2" s="12">
        <v>46023</v>
      </c>
      <c r="K2" s="11">
        <f>IF(J2&gt;0,J2-D2,"")</f>
        <v>0</v>
      </c>
      <c r="M2" s="19" t="s">
        <v>42</v>
      </c>
      <c r="N2" s="19" t="s">
        <v>23</v>
      </c>
      <c r="O2" s="9" t="s">
        <v>43</v>
      </c>
      <c r="P2" s="9" t="s">
        <v>44</v>
      </c>
      <c r="Q2" s="33"/>
      <c r="R2" s="33"/>
      <c r="S2" s="33"/>
      <c r="Y2" s="12">
        <f>B3</f>
        <v>45967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7</v>
      </c>
      <c r="B3" s="12">
        <v>45967</v>
      </c>
      <c r="D3" s="12">
        <v>46113</v>
      </c>
      <c r="E3" s="5">
        <v>0</v>
      </c>
      <c r="F3" s="5">
        <v>1.73</v>
      </c>
      <c r="G3" s="5">
        <v>0</v>
      </c>
      <c r="H3" s="5">
        <v>1.73</v>
      </c>
      <c r="I3" s="5">
        <v>0</v>
      </c>
      <c r="J3" s="12">
        <v>46113</v>
      </c>
      <c r="K3" s="11">
        <f t="shared" ref="K3:K41" si="0">IF(J3&gt;0,J3-D3,"")</f>
        <v>0</v>
      </c>
      <c r="M3" s="5">
        <f>B11</f>
        <v>100</v>
      </c>
      <c r="N3" s="5">
        <f>G42</f>
        <v>0</v>
      </c>
      <c r="O3" s="5">
        <f>F42</f>
        <v>4.4399999999999995</v>
      </c>
      <c r="P3" s="5">
        <f>H42+I42</f>
        <v>4.4399999999999995</v>
      </c>
      <c r="Q3" s="15" t="str">
        <f>IF(M3=N3,XIRR(Z2:Z41,Y2:Y41),"")</f>
        <v/>
      </c>
      <c r="R3" s="12" t="str">
        <f>IF(M3=N3,B14,"")</f>
        <v/>
      </c>
      <c r="S3" s="3" t="str">
        <f ca="1">IF(COUNTIFS(D:D,"&lt;"&amp;TODAY(),J:J,"")=0,"",TODAY()-_xlfn.MINIFS(D:D,D:D,"&lt;"&amp;TODAY(),J:J,""))</f>
        <v/>
      </c>
      <c r="Y3" s="12">
        <f>J2</f>
        <v>46023</v>
      </c>
      <c r="Z3" s="5">
        <f>G2+H2+I2</f>
        <v>0.96</v>
      </c>
    </row>
    <row r="4" spans="1:27" x14ac:dyDescent="0.25">
      <c r="A4" s="8" t="s">
        <v>11</v>
      </c>
      <c r="B4" s="12">
        <v>45973</v>
      </c>
      <c r="D4" s="12">
        <v>46204</v>
      </c>
      <c r="E4" s="5">
        <v>0</v>
      </c>
      <c r="F4" s="5">
        <v>1.75</v>
      </c>
      <c r="G4" s="5">
        <v>0</v>
      </c>
      <c r="H4" s="5">
        <v>1.75</v>
      </c>
      <c r="I4" s="5">
        <v>0</v>
      </c>
      <c r="J4" s="12">
        <v>46204</v>
      </c>
      <c r="K4" s="11">
        <f t="shared" si="0"/>
        <v>0</v>
      </c>
      <c r="Y4" s="12">
        <f t="shared" ref="Y4:Y41" si="1">J3</f>
        <v>46113</v>
      </c>
      <c r="Z4" s="5">
        <f t="shared" ref="Z4:Z41" si="2">G3+H3+I3</f>
        <v>1.73</v>
      </c>
    </row>
    <row r="5" spans="1:27" x14ac:dyDescent="0.25">
      <c r="A5" s="8" t="s">
        <v>2</v>
      </c>
      <c r="B5" s="3" t="s">
        <v>29</v>
      </c>
      <c r="D5" s="12">
        <v>46296</v>
      </c>
      <c r="E5" s="5">
        <v>0</v>
      </c>
      <c r="F5" s="5"/>
      <c r="G5" s="5"/>
      <c r="H5" s="5"/>
      <c r="I5" s="5"/>
      <c r="J5" s="12"/>
      <c r="K5" s="11" t="str">
        <f t="shared" si="0"/>
        <v/>
      </c>
      <c r="Y5" s="12">
        <f t="shared" si="1"/>
        <v>46204</v>
      </c>
      <c r="Z5" s="5">
        <f t="shared" si="2"/>
        <v>1.75</v>
      </c>
    </row>
    <row r="6" spans="1:27" x14ac:dyDescent="0.25">
      <c r="A6" s="8" t="s">
        <v>12</v>
      </c>
      <c r="B6" s="4">
        <v>0.59</v>
      </c>
      <c r="D6" s="14">
        <v>46325</v>
      </c>
      <c r="E6" s="5">
        <v>100</v>
      </c>
      <c r="F6" s="5"/>
      <c r="G6" s="5"/>
      <c r="H6" s="5"/>
      <c r="I6" s="5"/>
      <c r="J6" s="12"/>
      <c r="K6" s="11" t="str">
        <f t="shared" si="0"/>
        <v/>
      </c>
      <c r="Y6" s="12">
        <f t="shared" si="1"/>
        <v>0</v>
      </c>
      <c r="Z6" s="5">
        <f t="shared" si="2"/>
        <v>0</v>
      </c>
    </row>
    <row r="7" spans="1:27" x14ac:dyDescent="0.25">
      <c r="A7" s="8" t="s">
        <v>13</v>
      </c>
      <c r="B7" s="4">
        <v>0.59</v>
      </c>
      <c r="D7" s="12"/>
      <c r="E7" s="3"/>
      <c r="F7" s="5"/>
      <c r="G7" s="3"/>
      <c r="H7" s="5"/>
      <c r="I7" s="5"/>
      <c r="J7" s="12"/>
      <c r="K7" s="11" t="str">
        <f t="shared" si="0"/>
        <v/>
      </c>
      <c r="Y7" s="12">
        <f t="shared" si="1"/>
        <v>0</v>
      </c>
      <c r="Z7" s="5">
        <f t="shared" si="2"/>
        <v>0</v>
      </c>
    </row>
    <row r="8" spans="1:27" x14ac:dyDescent="0.25">
      <c r="A8" s="8" t="s">
        <v>3</v>
      </c>
      <c r="B8" s="3">
        <v>12</v>
      </c>
      <c r="D8" s="12"/>
      <c r="E8" s="2"/>
      <c r="F8" s="2"/>
      <c r="G8" s="2"/>
      <c r="H8" s="2"/>
      <c r="I8" s="2"/>
      <c r="J8" s="12"/>
      <c r="K8" s="11" t="str">
        <f t="shared" si="0"/>
        <v/>
      </c>
      <c r="Y8" s="12">
        <f t="shared" si="1"/>
        <v>0</v>
      </c>
      <c r="Z8" s="5">
        <f t="shared" si="2"/>
        <v>0</v>
      </c>
    </row>
    <row r="9" spans="1:27" x14ac:dyDescent="0.25">
      <c r="A9" s="8" t="s">
        <v>4</v>
      </c>
      <c r="B9" s="3" t="s">
        <v>8</v>
      </c>
      <c r="D9" s="12"/>
      <c r="E9" s="2"/>
      <c r="F9" s="2"/>
      <c r="G9" s="2"/>
      <c r="H9" s="2"/>
      <c r="I9" s="2"/>
      <c r="J9" s="12"/>
      <c r="K9" s="11" t="str">
        <f t="shared" si="0"/>
        <v/>
      </c>
      <c r="Y9" s="12">
        <f t="shared" si="1"/>
        <v>0</v>
      </c>
      <c r="Z9" s="5">
        <f t="shared" si="2"/>
        <v>0</v>
      </c>
    </row>
    <row r="10" spans="1:27" x14ac:dyDescent="0.25">
      <c r="A10" s="8" t="s">
        <v>6</v>
      </c>
      <c r="B10" s="6">
        <v>7.0000000000000007E-2</v>
      </c>
      <c r="D10" s="12"/>
      <c r="E10" s="2"/>
      <c r="F10" s="2"/>
      <c r="G10" s="2"/>
      <c r="H10" s="2"/>
      <c r="I10" s="2"/>
      <c r="J10" s="12"/>
      <c r="K10" s="11" t="str">
        <f t="shared" si="0"/>
        <v/>
      </c>
      <c r="Y10" s="12">
        <f t="shared" si="1"/>
        <v>0</v>
      </c>
      <c r="Z10" s="5">
        <f t="shared" si="2"/>
        <v>0</v>
      </c>
    </row>
    <row r="11" spans="1:27" x14ac:dyDescent="0.25">
      <c r="A11" s="8" t="s">
        <v>60</v>
      </c>
      <c r="B11" s="5">
        <v>100</v>
      </c>
      <c r="D11" s="12"/>
      <c r="E11" s="2"/>
      <c r="F11" s="2"/>
      <c r="G11" s="2"/>
      <c r="H11" s="2"/>
      <c r="I11" s="2"/>
      <c r="J11" s="12"/>
      <c r="K11" s="11" t="str">
        <f t="shared" si="0"/>
        <v/>
      </c>
      <c r="Y11" s="12">
        <f t="shared" si="1"/>
        <v>0</v>
      </c>
      <c r="Z11" s="5">
        <f t="shared" si="2"/>
        <v>0</v>
      </c>
    </row>
    <row r="12" spans="1:27" x14ac:dyDescent="0.25">
      <c r="A12" s="8" t="s">
        <v>37</v>
      </c>
      <c r="B12" s="16">
        <v>46325</v>
      </c>
      <c r="D12" s="12"/>
      <c r="E12" s="2"/>
      <c r="F12" s="2"/>
      <c r="G12" s="2"/>
      <c r="H12" s="2"/>
      <c r="I12" s="2"/>
      <c r="J12" s="12"/>
      <c r="K12" s="11" t="str">
        <f t="shared" si="0"/>
        <v/>
      </c>
      <c r="Y12" s="12">
        <f t="shared" si="1"/>
        <v>0</v>
      </c>
      <c r="Z12" s="5">
        <f t="shared" si="2"/>
        <v>0</v>
      </c>
    </row>
    <row r="13" spans="1:27" x14ac:dyDescent="0.25">
      <c r="A13" s="8" t="s">
        <v>53</v>
      </c>
      <c r="B13" s="11">
        <f ca="1">IF(B11&lt;&gt;N3,(TODAY()-B12)*-1,"")</f>
        <v>29</v>
      </c>
      <c r="D13" s="12"/>
      <c r="E13" s="5"/>
      <c r="F13" s="5"/>
      <c r="G13" s="5"/>
      <c r="H13" s="5"/>
      <c r="I13" s="5"/>
      <c r="J13" s="20"/>
      <c r="K13" s="11" t="str">
        <f t="shared" si="0"/>
        <v/>
      </c>
      <c r="Y13" s="12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2"/>
      <c r="D14" s="9"/>
      <c r="E14" s="5"/>
      <c r="F14" s="5"/>
      <c r="G14" s="5"/>
      <c r="H14" s="5"/>
      <c r="I14" s="5"/>
      <c r="J14" s="3"/>
      <c r="K14" s="11" t="str">
        <f t="shared" si="0"/>
        <v/>
      </c>
      <c r="Y14" s="12">
        <f t="shared" si="1"/>
        <v>0</v>
      </c>
      <c r="Z14" s="5">
        <f t="shared" si="2"/>
        <v>0</v>
      </c>
    </row>
    <row r="15" spans="1:27" x14ac:dyDescent="0.25">
      <c r="A15" s="8" t="s">
        <v>54</v>
      </c>
      <c r="B15" s="3" t="str">
        <f>IF(M3=N3,B14-B12,"")</f>
        <v/>
      </c>
      <c r="D15" s="9"/>
      <c r="E15" s="5"/>
      <c r="F15" s="5"/>
      <c r="G15" s="5"/>
      <c r="H15" s="5"/>
      <c r="I15" s="5"/>
      <c r="J15" s="3"/>
      <c r="K15" s="11" t="str">
        <f t="shared" si="0"/>
        <v/>
      </c>
      <c r="Y15" s="12">
        <f t="shared" si="1"/>
        <v>0</v>
      </c>
      <c r="Z15" s="5">
        <f t="shared" si="2"/>
        <v>0</v>
      </c>
    </row>
    <row r="16" spans="1:27" x14ac:dyDescent="0.25">
      <c r="D16" s="9"/>
      <c r="E16" s="5"/>
      <c r="F16" s="5"/>
      <c r="G16" s="5"/>
      <c r="H16" s="5"/>
      <c r="I16" s="5"/>
      <c r="J16" s="3"/>
      <c r="K16" s="11" t="str">
        <f t="shared" si="0"/>
        <v/>
      </c>
      <c r="Y16" s="12">
        <f t="shared" si="1"/>
        <v>0</v>
      </c>
      <c r="Z16" s="5">
        <f t="shared" si="2"/>
        <v>0</v>
      </c>
    </row>
    <row r="17" spans="4:26" x14ac:dyDescent="0.25">
      <c r="D17" s="9"/>
      <c r="E17" s="5"/>
      <c r="F17" s="5"/>
      <c r="G17" s="5"/>
      <c r="H17" s="5"/>
      <c r="I17" s="5"/>
      <c r="J17" s="3"/>
      <c r="K17" s="11" t="str">
        <f t="shared" si="0"/>
        <v/>
      </c>
      <c r="Y17" s="12">
        <f t="shared" si="1"/>
        <v>0</v>
      </c>
      <c r="Z17" s="5">
        <f t="shared" si="2"/>
        <v>0</v>
      </c>
    </row>
    <row r="18" spans="4:26" x14ac:dyDescent="0.25">
      <c r="D18" s="9"/>
      <c r="E18" s="5"/>
      <c r="F18" s="5"/>
      <c r="G18" s="5"/>
      <c r="H18" s="5"/>
      <c r="I18" s="5"/>
      <c r="J18" s="3"/>
      <c r="K18" s="11" t="str">
        <f t="shared" si="0"/>
        <v/>
      </c>
      <c r="Y18" s="12">
        <f t="shared" si="1"/>
        <v>0</v>
      </c>
      <c r="Z18" s="5">
        <f t="shared" si="2"/>
        <v>0</v>
      </c>
    </row>
    <row r="19" spans="4:26" x14ac:dyDescent="0.25">
      <c r="D19" s="9"/>
      <c r="E19" s="5"/>
      <c r="F19" s="5"/>
      <c r="G19" s="5"/>
      <c r="H19" s="5"/>
      <c r="I19" s="5"/>
      <c r="J19" s="3"/>
      <c r="K19" s="11" t="str">
        <f t="shared" si="0"/>
        <v/>
      </c>
      <c r="Y19" s="12">
        <f t="shared" si="1"/>
        <v>0</v>
      </c>
      <c r="Z19" s="5">
        <f t="shared" si="2"/>
        <v>0</v>
      </c>
    </row>
    <row r="20" spans="4:26" x14ac:dyDescent="0.25">
      <c r="D20" s="9"/>
      <c r="E20" s="5"/>
      <c r="F20" s="5"/>
      <c r="G20" s="5"/>
      <c r="H20" s="5"/>
      <c r="I20" s="5"/>
      <c r="J20" s="3"/>
      <c r="K20" s="11" t="str">
        <f t="shared" si="0"/>
        <v/>
      </c>
      <c r="Y20" s="12">
        <f t="shared" si="1"/>
        <v>0</v>
      </c>
      <c r="Z20" s="5">
        <f t="shared" si="2"/>
        <v>0</v>
      </c>
    </row>
    <row r="21" spans="4:26" x14ac:dyDescent="0.25">
      <c r="D21" s="9"/>
      <c r="E21" s="5"/>
      <c r="F21" s="5"/>
      <c r="G21" s="5"/>
      <c r="H21" s="5"/>
      <c r="I21" s="5"/>
      <c r="J21" s="3"/>
      <c r="K21" s="11" t="str">
        <f t="shared" si="0"/>
        <v/>
      </c>
      <c r="Y21" s="12">
        <f t="shared" si="1"/>
        <v>0</v>
      </c>
      <c r="Z21" s="5">
        <f t="shared" si="2"/>
        <v>0</v>
      </c>
    </row>
    <row r="22" spans="4:26" x14ac:dyDescent="0.25">
      <c r="D22" s="9"/>
      <c r="E22" s="5"/>
      <c r="F22" s="5"/>
      <c r="G22" s="5"/>
      <c r="H22" s="5"/>
      <c r="I22" s="5"/>
      <c r="J22" s="3"/>
      <c r="K22" s="11" t="str">
        <f t="shared" si="0"/>
        <v/>
      </c>
      <c r="Y22" s="12">
        <f t="shared" si="1"/>
        <v>0</v>
      </c>
      <c r="Z22" s="5">
        <f t="shared" si="2"/>
        <v>0</v>
      </c>
    </row>
    <row r="23" spans="4:26" x14ac:dyDescent="0.25">
      <c r="D23" s="9"/>
      <c r="E23" s="5"/>
      <c r="F23" s="5"/>
      <c r="G23" s="5"/>
      <c r="H23" s="5"/>
      <c r="I23" s="5"/>
      <c r="J23" s="3"/>
      <c r="K23" s="11" t="str">
        <f t="shared" si="0"/>
        <v/>
      </c>
      <c r="Y23" s="12">
        <f t="shared" si="1"/>
        <v>0</v>
      </c>
      <c r="Z23" s="5">
        <f t="shared" si="2"/>
        <v>0</v>
      </c>
    </row>
    <row r="24" spans="4:26" x14ac:dyDescent="0.25">
      <c r="D24" s="9"/>
      <c r="E24" s="5"/>
      <c r="F24" s="5"/>
      <c r="G24" s="5"/>
      <c r="H24" s="5"/>
      <c r="I24" s="5"/>
      <c r="J24" s="3"/>
      <c r="K24" s="11" t="str">
        <f t="shared" si="0"/>
        <v/>
      </c>
      <c r="Y24" s="12">
        <f t="shared" si="1"/>
        <v>0</v>
      </c>
      <c r="Z24" s="5">
        <f t="shared" si="2"/>
        <v>0</v>
      </c>
    </row>
    <row r="25" spans="4:26" x14ac:dyDescent="0.25">
      <c r="D25" s="9"/>
      <c r="E25" s="5"/>
      <c r="F25" s="5"/>
      <c r="G25" s="5"/>
      <c r="H25" s="5"/>
      <c r="I25" s="5"/>
      <c r="J25" s="3"/>
      <c r="K25" s="11" t="str">
        <f t="shared" si="0"/>
        <v/>
      </c>
      <c r="Y25" s="12">
        <f t="shared" si="1"/>
        <v>0</v>
      </c>
      <c r="Z25" s="5">
        <f t="shared" si="2"/>
        <v>0</v>
      </c>
    </row>
    <row r="26" spans="4:26" x14ac:dyDescent="0.25">
      <c r="D26" s="9"/>
      <c r="E26" s="5"/>
      <c r="F26" s="5"/>
      <c r="G26" s="5"/>
      <c r="H26" s="5"/>
      <c r="I26" s="5"/>
      <c r="J26" s="3"/>
      <c r="K26" s="11" t="str">
        <f t="shared" si="0"/>
        <v/>
      </c>
      <c r="Y26" s="12">
        <f t="shared" si="1"/>
        <v>0</v>
      </c>
      <c r="Z26" s="5">
        <f t="shared" si="2"/>
        <v>0</v>
      </c>
    </row>
    <row r="27" spans="4:26" x14ac:dyDescent="0.25">
      <c r="D27" s="9"/>
      <c r="E27" s="5"/>
      <c r="F27" s="5"/>
      <c r="G27" s="5"/>
      <c r="H27" s="5"/>
      <c r="I27" s="5"/>
      <c r="J27" s="3"/>
      <c r="K27" s="11" t="str">
        <f t="shared" si="0"/>
        <v/>
      </c>
      <c r="Y27" s="12">
        <f t="shared" si="1"/>
        <v>0</v>
      </c>
      <c r="Z27" s="5">
        <f t="shared" si="2"/>
        <v>0</v>
      </c>
    </row>
    <row r="28" spans="4:26" x14ac:dyDescent="0.25">
      <c r="D28" s="9"/>
      <c r="E28" s="5"/>
      <c r="F28" s="5"/>
      <c r="G28" s="5"/>
      <c r="H28" s="5"/>
      <c r="I28" s="5"/>
      <c r="J28" s="3"/>
      <c r="K28" s="11" t="str">
        <f t="shared" si="0"/>
        <v/>
      </c>
      <c r="Y28" s="12">
        <f t="shared" si="1"/>
        <v>0</v>
      </c>
      <c r="Z28" s="5">
        <f t="shared" si="2"/>
        <v>0</v>
      </c>
    </row>
    <row r="29" spans="4:26" x14ac:dyDescent="0.25">
      <c r="D29" s="9"/>
      <c r="E29" s="5"/>
      <c r="F29" s="5"/>
      <c r="G29" s="5"/>
      <c r="H29" s="5"/>
      <c r="I29" s="5"/>
      <c r="J29" s="3"/>
      <c r="K29" s="11" t="str">
        <f t="shared" si="0"/>
        <v/>
      </c>
      <c r="Y29" s="12">
        <f t="shared" si="1"/>
        <v>0</v>
      </c>
      <c r="Z29" s="5">
        <f t="shared" si="2"/>
        <v>0</v>
      </c>
    </row>
    <row r="30" spans="4:26" x14ac:dyDescent="0.25">
      <c r="D30" s="9"/>
      <c r="E30" s="5"/>
      <c r="F30" s="5"/>
      <c r="G30" s="5"/>
      <c r="H30" s="5"/>
      <c r="I30" s="5"/>
      <c r="J30" s="3"/>
      <c r="K30" s="11" t="str">
        <f t="shared" si="0"/>
        <v/>
      </c>
      <c r="Y30" s="12">
        <f t="shared" si="1"/>
        <v>0</v>
      </c>
      <c r="Z30" s="5">
        <f t="shared" si="2"/>
        <v>0</v>
      </c>
    </row>
    <row r="31" spans="4:26" x14ac:dyDescent="0.25">
      <c r="D31" s="9"/>
      <c r="E31" s="5"/>
      <c r="F31" s="5"/>
      <c r="G31" s="5"/>
      <c r="H31" s="5"/>
      <c r="I31" s="5"/>
      <c r="J31" s="3"/>
      <c r="K31" s="11" t="str">
        <f t="shared" si="0"/>
        <v/>
      </c>
      <c r="Y31" s="12">
        <f t="shared" si="1"/>
        <v>0</v>
      </c>
      <c r="Z31" s="5">
        <f t="shared" si="2"/>
        <v>0</v>
      </c>
    </row>
    <row r="32" spans="4:26" x14ac:dyDescent="0.25">
      <c r="D32" s="9"/>
      <c r="E32" s="5"/>
      <c r="F32" s="5"/>
      <c r="G32" s="5"/>
      <c r="H32" s="5"/>
      <c r="I32" s="5"/>
      <c r="J32" s="3"/>
      <c r="K32" s="11" t="str">
        <f t="shared" si="0"/>
        <v/>
      </c>
      <c r="Y32" s="12">
        <f t="shared" si="1"/>
        <v>0</v>
      </c>
      <c r="Z32" s="5">
        <f t="shared" si="2"/>
        <v>0</v>
      </c>
    </row>
    <row r="33" spans="4:26" x14ac:dyDescent="0.25">
      <c r="D33" s="9"/>
      <c r="E33" s="5"/>
      <c r="F33" s="5"/>
      <c r="G33" s="5"/>
      <c r="H33" s="5"/>
      <c r="I33" s="5"/>
      <c r="J33" s="3"/>
      <c r="K33" s="11" t="str">
        <f t="shared" si="0"/>
        <v/>
      </c>
      <c r="Y33" s="12">
        <f t="shared" si="1"/>
        <v>0</v>
      </c>
      <c r="Z33" s="5">
        <f t="shared" si="2"/>
        <v>0</v>
      </c>
    </row>
    <row r="34" spans="4:26" x14ac:dyDescent="0.25">
      <c r="D34" s="9"/>
      <c r="E34" s="5"/>
      <c r="F34" s="5"/>
      <c r="G34" s="5"/>
      <c r="H34" s="5"/>
      <c r="I34" s="5"/>
      <c r="J34" s="3"/>
      <c r="K34" s="11" t="str">
        <f t="shared" si="0"/>
        <v/>
      </c>
      <c r="Y34" s="12">
        <f t="shared" si="1"/>
        <v>0</v>
      </c>
      <c r="Z34" s="5">
        <f t="shared" si="2"/>
        <v>0</v>
      </c>
    </row>
    <row r="35" spans="4:26" x14ac:dyDescent="0.25">
      <c r="D35" s="9"/>
      <c r="E35" s="5"/>
      <c r="F35" s="5"/>
      <c r="G35" s="5"/>
      <c r="H35" s="5"/>
      <c r="I35" s="5"/>
      <c r="J35" s="3"/>
      <c r="K35" s="11" t="str">
        <f t="shared" si="0"/>
        <v/>
      </c>
      <c r="Y35" s="12">
        <f t="shared" si="1"/>
        <v>0</v>
      </c>
      <c r="Z35" s="5">
        <f t="shared" si="2"/>
        <v>0</v>
      </c>
    </row>
    <row r="36" spans="4:26" x14ac:dyDescent="0.25">
      <c r="D36" s="9"/>
      <c r="E36" s="5"/>
      <c r="F36" s="5"/>
      <c r="G36" s="5"/>
      <c r="H36" s="5"/>
      <c r="I36" s="5"/>
      <c r="J36" s="3"/>
      <c r="K36" s="11" t="str">
        <f t="shared" si="0"/>
        <v/>
      </c>
      <c r="Y36" s="12">
        <f t="shared" si="1"/>
        <v>0</v>
      </c>
      <c r="Z36" s="5">
        <f t="shared" si="2"/>
        <v>0</v>
      </c>
    </row>
    <row r="37" spans="4:26" x14ac:dyDescent="0.25">
      <c r="D37" s="9"/>
      <c r="E37" s="5"/>
      <c r="F37" s="5"/>
      <c r="G37" s="5"/>
      <c r="H37" s="5"/>
      <c r="I37" s="5"/>
      <c r="J37" s="3"/>
      <c r="K37" s="11" t="str">
        <f t="shared" si="0"/>
        <v/>
      </c>
      <c r="Y37" s="12">
        <f t="shared" si="1"/>
        <v>0</v>
      </c>
      <c r="Z37" s="5">
        <f t="shared" si="2"/>
        <v>0</v>
      </c>
    </row>
    <row r="38" spans="4:26" x14ac:dyDescent="0.25">
      <c r="D38" s="9"/>
      <c r="E38" s="5"/>
      <c r="F38" s="5"/>
      <c r="G38" s="5"/>
      <c r="H38" s="5"/>
      <c r="I38" s="5"/>
      <c r="J38" s="3"/>
      <c r="K38" s="11" t="str">
        <f t="shared" si="0"/>
        <v/>
      </c>
      <c r="Y38" s="12">
        <f t="shared" si="1"/>
        <v>0</v>
      </c>
      <c r="Z38" s="5">
        <f t="shared" si="2"/>
        <v>0</v>
      </c>
    </row>
    <row r="39" spans="4:26" x14ac:dyDescent="0.25">
      <c r="D39" s="9"/>
      <c r="E39" s="5"/>
      <c r="F39" s="5"/>
      <c r="G39" s="5"/>
      <c r="H39" s="5"/>
      <c r="I39" s="5"/>
      <c r="J39" s="3"/>
      <c r="K39" s="11" t="str">
        <f t="shared" si="0"/>
        <v/>
      </c>
      <c r="Y39" s="12">
        <f t="shared" si="1"/>
        <v>0</v>
      </c>
      <c r="Z39" s="5">
        <f t="shared" si="2"/>
        <v>0</v>
      </c>
    </row>
    <row r="40" spans="4:26" x14ac:dyDescent="0.25">
      <c r="D40" s="9"/>
      <c r="E40" s="5"/>
      <c r="F40" s="5"/>
      <c r="G40" s="5"/>
      <c r="H40" s="5"/>
      <c r="I40" s="5"/>
      <c r="J40" s="3"/>
      <c r="K40" s="11" t="str">
        <f t="shared" si="0"/>
        <v/>
      </c>
      <c r="Y40" s="12">
        <f t="shared" si="1"/>
        <v>0</v>
      </c>
      <c r="Z40" s="5">
        <f t="shared" si="2"/>
        <v>0</v>
      </c>
    </row>
    <row r="41" spans="4:26" x14ac:dyDescent="0.25">
      <c r="D41" s="9"/>
      <c r="E41" s="5"/>
      <c r="F41" s="5"/>
      <c r="G41" s="5"/>
      <c r="H41" s="5"/>
      <c r="I41" s="5"/>
      <c r="J41" s="3"/>
      <c r="K41" s="11" t="str">
        <f t="shared" si="0"/>
        <v/>
      </c>
      <c r="Y41" s="12">
        <f t="shared" si="1"/>
        <v>0</v>
      </c>
      <c r="Z41" s="5">
        <f t="shared" si="2"/>
        <v>0</v>
      </c>
    </row>
    <row r="42" spans="4:26" x14ac:dyDescent="0.25">
      <c r="D42" s="9" t="s">
        <v>10</v>
      </c>
      <c r="E42" s="5">
        <f>SUM(E2:E41)</f>
        <v>100</v>
      </c>
      <c r="F42" s="5">
        <f t="shared" ref="F42:I42" si="3">SUM(F2:F41)</f>
        <v>4.4399999999999995</v>
      </c>
      <c r="G42" s="5">
        <f t="shared" si="3"/>
        <v>0</v>
      </c>
      <c r="H42" s="5">
        <f t="shared" si="3"/>
        <v>4.4399999999999995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15" priority="4">
      <formula>$M$3=$N$3</formula>
    </cfRule>
    <cfRule type="expression" dxfId="14" priority="5">
      <formula>$Z$2="+"</formula>
    </cfRule>
  </conditionalFormatting>
  <conditionalFormatting sqref="S3">
    <cfRule type="expression" dxfId="13" priority="1">
      <formula>$AA$2="+"</formula>
    </cfRule>
  </conditionalFormatting>
  <conditionalFormatting sqref="AA2">
    <cfRule type="expression" dxfId="12" priority="2">
      <formula>$AA$2="+"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14</v>
      </c>
      <c r="B1" s="3">
        <v>20230607</v>
      </c>
      <c r="D1" s="9" t="s">
        <v>9</v>
      </c>
      <c r="E1" s="9" t="s">
        <v>0</v>
      </c>
      <c r="F1" s="9" t="s">
        <v>5</v>
      </c>
      <c r="G1" s="9" t="s">
        <v>0</v>
      </c>
      <c r="H1" s="9" t="s">
        <v>5</v>
      </c>
      <c r="I1" s="9" t="s">
        <v>38</v>
      </c>
      <c r="J1" s="10" t="s">
        <v>9</v>
      </c>
      <c r="K1" s="10" t="s">
        <v>22</v>
      </c>
      <c r="M1" s="28" t="s">
        <v>0</v>
      </c>
      <c r="N1" s="30"/>
      <c r="O1" s="28" t="s">
        <v>5</v>
      </c>
      <c r="P1" s="30"/>
      <c r="Q1" s="32" t="s">
        <v>39</v>
      </c>
      <c r="R1" s="32" t="s">
        <v>23</v>
      </c>
      <c r="S1" s="32" t="s">
        <v>40</v>
      </c>
      <c r="Y1" s="18" t="s">
        <v>9</v>
      </c>
      <c r="Z1" s="9" t="s">
        <v>41</v>
      </c>
      <c r="AA1" s="9" t="s">
        <v>40</v>
      </c>
    </row>
    <row r="2" spans="1:27" x14ac:dyDescent="0.25">
      <c r="A2" s="8" t="s">
        <v>1</v>
      </c>
      <c r="B2" s="3" t="s">
        <v>32</v>
      </c>
      <c r="D2" s="12">
        <v>46023</v>
      </c>
      <c r="E2" s="5">
        <v>0</v>
      </c>
      <c r="F2" s="5">
        <v>1.02</v>
      </c>
      <c r="G2" s="5">
        <v>0</v>
      </c>
      <c r="H2" s="5">
        <v>1.02</v>
      </c>
      <c r="I2" s="5">
        <v>0</v>
      </c>
      <c r="J2" s="12">
        <v>46023</v>
      </c>
      <c r="K2" s="11">
        <f>IF(J2&gt;0,J2-D2,"")</f>
        <v>0</v>
      </c>
      <c r="M2" s="19" t="s">
        <v>42</v>
      </c>
      <c r="N2" s="19" t="s">
        <v>23</v>
      </c>
      <c r="O2" s="9" t="s">
        <v>43</v>
      </c>
      <c r="P2" s="9" t="s">
        <v>44</v>
      </c>
      <c r="Q2" s="33"/>
      <c r="R2" s="33"/>
      <c r="S2" s="33"/>
      <c r="Y2" s="12">
        <f>B3</f>
        <v>45965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7</v>
      </c>
      <c r="B3" s="12">
        <v>45965</v>
      </c>
      <c r="D3" s="12">
        <v>46113</v>
      </c>
      <c r="E3" s="5">
        <v>0</v>
      </c>
      <c r="F3" s="5">
        <v>1.73</v>
      </c>
      <c r="G3" s="5">
        <v>0</v>
      </c>
      <c r="H3" s="5">
        <v>1.73</v>
      </c>
      <c r="I3" s="5">
        <v>0</v>
      </c>
      <c r="J3" s="12">
        <v>46113</v>
      </c>
      <c r="K3" s="11">
        <f t="shared" ref="K3:K41" si="0">IF(J3&gt;0,J3-D3,"")</f>
        <v>0</v>
      </c>
      <c r="M3" s="5">
        <f>B11</f>
        <v>100</v>
      </c>
      <c r="N3" s="5">
        <f>G42</f>
        <v>100.00000000000001</v>
      </c>
      <c r="O3" s="5">
        <f>F42</f>
        <v>4.34</v>
      </c>
      <c r="P3" s="5">
        <f>H42+I42</f>
        <v>4.34</v>
      </c>
      <c r="Q3" s="15">
        <f>IF(M3=N3,XIRR(Z2:Z41,Y2:Y41),"")</f>
        <v>7.0387747883796689E-2</v>
      </c>
      <c r="R3" s="12">
        <f>IF(M3=N3,B14,"")</f>
        <v>46252</v>
      </c>
      <c r="S3" s="3" t="str">
        <f ca="1">IF(COUNTIFS(D:D,"&lt;"&amp;TODAY(),J:J,"")=0,"",TODAY()-_xlfn.MINIFS(D:D,D:D,"&lt;"&amp;TODAY(),J:J,""))</f>
        <v/>
      </c>
      <c r="Y3" s="12">
        <f>J2</f>
        <v>46023</v>
      </c>
      <c r="Z3" s="5">
        <f>G2+H2+I2</f>
        <v>1.02</v>
      </c>
    </row>
    <row r="4" spans="1:27" x14ac:dyDescent="0.25">
      <c r="A4" s="8" t="s">
        <v>11</v>
      </c>
      <c r="B4" s="12">
        <v>45970</v>
      </c>
      <c r="D4" s="12">
        <v>46174</v>
      </c>
      <c r="E4" s="5">
        <v>0</v>
      </c>
      <c r="F4" s="5">
        <v>1.17</v>
      </c>
      <c r="G4" s="5">
        <v>45.63</v>
      </c>
      <c r="H4" s="5">
        <v>1.17</v>
      </c>
      <c r="I4" s="5">
        <v>0</v>
      </c>
      <c r="J4" s="12">
        <v>46174</v>
      </c>
      <c r="K4" s="11">
        <f t="shared" si="0"/>
        <v>0</v>
      </c>
      <c r="Y4" s="12">
        <f t="shared" ref="Y4:Y41" si="1">J3</f>
        <v>46113</v>
      </c>
      <c r="Z4" s="5">
        <f t="shared" ref="Z4:Z41" si="2">G3+H3+I3</f>
        <v>1.73</v>
      </c>
    </row>
    <row r="5" spans="1:27" x14ac:dyDescent="0.25">
      <c r="A5" s="8" t="s">
        <v>2</v>
      </c>
      <c r="B5" s="3" t="s">
        <v>33</v>
      </c>
      <c r="D5" s="12">
        <v>46204</v>
      </c>
      <c r="E5" s="5">
        <v>0</v>
      </c>
      <c r="F5" s="5">
        <v>0.31</v>
      </c>
      <c r="G5" s="5">
        <v>0</v>
      </c>
      <c r="H5" s="5">
        <v>0.31</v>
      </c>
      <c r="I5" s="5">
        <v>0</v>
      </c>
      <c r="J5" s="12">
        <v>46204</v>
      </c>
      <c r="K5" s="11">
        <f t="shared" si="0"/>
        <v>0</v>
      </c>
      <c r="Y5" s="12">
        <f t="shared" si="1"/>
        <v>46174</v>
      </c>
      <c r="Z5" s="5">
        <f t="shared" si="2"/>
        <v>46.800000000000004</v>
      </c>
    </row>
    <row r="6" spans="1:27" x14ac:dyDescent="0.25">
      <c r="A6" s="8" t="s">
        <v>12</v>
      </c>
      <c r="B6" s="4">
        <v>0.53</v>
      </c>
      <c r="D6" s="12">
        <v>46212</v>
      </c>
      <c r="E6" s="5">
        <v>0</v>
      </c>
      <c r="F6" s="5">
        <v>0.08</v>
      </c>
      <c r="G6" s="5">
        <v>50.2</v>
      </c>
      <c r="H6" s="5">
        <v>0.08</v>
      </c>
      <c r="I6" s="5">
        <v>0</v>
      </c>
      <c r="J6" s="12">
        <v>46212</v>
      </c>
      <c r="K6" s="11">
        <f t="shared" si="0"/>
        <v>0</v>
      </c>
      <c r="Y6" s="12">
        <f t="shared" si="1"/>
        <v>46204</v>
      </c>
      <c r="Z6" s="5">
        <f t="shared" si="2"/>
        <v>0.31</v>
      </c>
    </row>
    <row r="7" spans="1:27" x14ac:dyDescent="0.25">
      <c r="A7" s="8" t="s">
        <v>13</v>
      </c>
      <c r="B7" s="4">
        <v>0.57999999999999996</v>
      </c>
      <c r="D7" s="12">
        <v>46296</v>
      </c>
      <c r="E7" s="5">
        <v>0</v>
      </c>
      <c r="F7" s="5">
        <v>0</v>
      </c>
      <c r="G7" s="3">
        <v>0</v>
      </c>
      <c r="H7" s="5">
        <v>0</v>
      </c>
      <c r="I7" s="5">
        <v>0</v>
      </c>
      <c r="J7" s="12">
        <v>46252</v>
      </c>
      <c r="K7" s="11">
        <f t="shared" si="0"/>
        <v>-44</v>
      </c>
      <c r="Y7" s="12">
        <f t="shared" si="1"/>
        <v>46212</v>
      </c>
      <c r="Z7" s="5">
        <f t="shared" si="2"/>
        <v>50.28</v>
      </c>
    </row>
    <row r="8" spans="1:27" x14ac:dyDescent="0.25">
      <c r="A8" s="8" t="s">
        <v>3</v>
      </c>
      <c r="B8" s="3">
        <v>11</v>
      </c>
      <c r="D8" s="14">
        <v>46304</v>
      </c>
      <c r="E8" s="5">
        <v>100</v>
      </c>
      <c r="F8" s="5">
        <v>0.03</v>
      </c>
      <c r="G8" s="5">
        <v>4.17</v>
      </c>
      <c r="H8" s="5">
        <v>0.03</v>
      </c>
      <c r="I8" s="5">
        <v>0</v>
      </c>
      <c r="J8" s="12">
        <v>46252</v>
      </c>
      <c r="K8" s="11">
        <f t="shared" si="0"/>
        <v>-52</v>
      </c>
      <c r="Y8" s="12">
        <f t="shared" si="1"/>
        <v>46252</v>
      </c>
      <c r="Z8" s="5">
        <f t="shared" si="2"/>
        <v>0</v>
      </c>
    </row>
    <row r="9" spans="1:27" x14ac:dyDescent="0.25">
      <c r="A9" s="8" t="s">
        <v>4</v>
      </c>
      <c r="B9" s="3" t="s">
        <v>8</v>
      </c>
      <c r="D9" s="12"/>
      <c r="E9" s="2"/>
      <c r="F9" s="2"/>
      <c r="G9" s="2"/>
      <c r="H9" s="2"/>
      <c r="I9" s="2"/>
      <c r="J9" s="12"/>
      <c r="K9" s="11" t="str">
        <f t="shared" si="0"/>
        <v/>
      </c>
      <c r="Y9" s="12">
        <f t="shared" si="1"/>
        <v>46252</v>
      </c>
      <c r="Z9" s="5">
        <f t="shared" si="2"/>
        <v>4.2</v>
      </c>
    </row>
    <row r="10" spans="1:27" x14ac:dyDescent="0.25">
      <c r="A10" s="8" t="s">
        <v>6</v>
      </c>
      <c r="B10" s="6">
        <v>7.0000000000000007E-2</v>
      </c>
      <c r="D10" s="12"/>
      <c r="E10" s="2"/>
      <c r="F10" s="2"/>
      <c r="G10" s="2"/>
      <c r="H10" s="2"/>
      <c r="I10" s="2"/>
      <c r="J10" s="12"/>
      <c r="K10" s="11" t="str">
        <f t="shared" si="0"/>
        <v/>
      </c>
      <c r="Y10" s="12">
        <f t="shared" si="1"/>
        <v>0</v>
      </c>
      <c r="Z10" s="5">
        <f t="shared" si="2"/>
        <v>0</v>
      </c>
    </row>
    <row r="11" spans="1:27" x14ac:dyDescent="0.25">
      <c r="A11" s="8" t="s">
        <v>60</v>
      </c>
      <c r="B11" s="5">
        <v>100</v>
      </c>
      <c r="D11" s="12"/>
      <c r="E11" s="2"/>
      <c r="F11" s="2"/>
      <c r="G11" s="2"/>
      <c r="H11" s="2"/>
      <c r="I11" s="2"/>
      <c r="J11" s="12"/>
      <c r="K11" s="11" t="str">
        <f t="shared" si="0"/>
        <v/>
      </c>
      <c r="Y11" s="12">
        <f t="shared" si="1"/>
        <v>0</v>
      </c>
      <c r="Z11" s="5">
        <f t="shared" si="2"/>
        <v>0</v>
      </c>
    </row>
    <row r="12" spans="1:27" x14ac:dyDescent="0.25">
      <c r="A12" s="8" t="s">
        <v>37</v>
      </c>
      <c r="B12" s="12">
        <v>46304</v>
      </c>
      <c r="D12" s="12"/>
      <c r="E12" s="2"/>
      <c r="F12" s="2"/>
      <c r="G12" s="2"/>
      <c r="H12" s="2"/>
      <c r="I12" s="2"/>
      <c r="J12" s="12"/>
      <c r="K12" s="11" t="str">
        <f t="shared" si="0"/>
        <v/>
      </c>
      <c r="Y12" s="12">
        <f t="shared" si="1"/>
        <v>0</v>
      </c>
      <c r="Z12" s="5">
        <f t="shared" si="2"/>
        <v>0</v>
      </c>
    </row>
    <row r="13" spans="1:27" x14ac:dyDescent="0.25">
      <c r="A13" s="8" t="s">
        <v>53</v>
      </c>
      <c r="B13" s="11" t="str">
        <f ca="1">IF(B11&lt;&gt;N3,(TODAY()-B12)*-1,"")</f>
        <v/>
      </c>
      <c r="D13" s="12"/>
      <c r="E13" s="2"/>
      <c r="F13" s="2"/>
      <c r="G13" s="2"/>
      <c r="H13" s="2"/>
      <c r="I13" s="2"/>
      <c r="J13" s="12"/>
      <c r="K13" s="11" t="str">
        <f t="shared" si="0"/>
        <v/>
      </c>
      <c r="Y13" s="12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2">
        <v>46252</v>
      </c>
      <c r="D14" s="9"/>
      <c r="E14" s="5"/>
      <c r="F14" s="5"/>
      <c r="G14" s="5"/>
      <c r="H14" s="5"/>
      <c r="I14" s="5"/>
      <c r="J14" s="3"/>
      <c r="K14" s="11" t="str">
        <f t="shared" si="0"/>
        <v/>
      </c>
      <c r="Y14" s="12">
        <f t="shared" si="1"/>
        <v>0</v>
      </c>
      <c r="Z14" s="5">
        <f t="shared" si="2"/>
        <v>0</v>
      </c>
    </row>
    <row r="15" spans="1:27" x14ac:dyDescent="0.25">
      <c r="A15" s="8" t="s">
        <v>54</v>
      </c>
      <c r="B15" s="3">
        <f>IF(M3=N3,B14-B12,"")</f>
        <v>-52</v>
      </c>
      <c r="D15" s="9"/>
      <c r="E15" s="5"/>
      <c r="F15" s="5"/>
      <c r="G15" s="5"/>
      <c r="H15" s="5"/>
      <c r="I15" s="5"/>
      <c r="J15" s="3"/>
      <c r="K15" s="11" t="str">
        <f t="shared" si="0"/>
        <v/>
      </c>
      <c r="Y15" s="12">
        <f t="shared" si="1"/>
        <v>0</v>
      </c>
      <c r="Z15" s="5">
        <f t="shared" si="2"/>
        <v>0</v>
      </c>
    </row>
    <row r="16" spans="1:27" x14ac:dyDescent="0.25">
      <c r="D16" s="9"/>
      <c r="E16" s="5"/>
      <c r="F16" s="5"/>
      <c r="G16" s="5"/>
      <c r="H16" s="5"/>
      <c r="I16" s="5"/>
      <c r="J16" s="3"/>
      <c r="K16" s="11" t="str">
        <f t="shared" si="0"/>
        <v/>
      </c>
      <c r="Y16" s="12">
        <f t="shared" si="1"/>
        <v>0</v>
      </c>
      <c r="Z16" s="5">
        <f t="shared" si="2"/>
        <v>0</v>
      </c>
    </row>
    <row r="17" spans="4:26" x14ac:dyDescent="0.25">
      <c r="D17" s="9"/>
      <c r="E17" s="5"/>
      <c r="F17" s="5"/>
      <c r="G17" s="5"/>
      <c r="H17" s="5"/>
      <c r="I17" s="5"/>
      <c r="J17" s="3"/>
      <c r="K17" s="11" t="str">
        <f t="shared" si="0"/>
        <v/>
      </c>
      <c r="Y17" s="12">
        <f t="shared" si="1"/>
        <v>0</v>
      </c>
      <c r="Z17" s="5">
        <f t="shared" si="2"/>
        <v>0</v>
      </c>
    </row>
    <row r="18" spans="4:26" x14ac:dyDescent="0.25">
      <c r="D18" s="9"/>
      <c r="E18" s="5"/>
      <c r="F18" s="5"/>
      <c r="G18" s="5"/>
      <c r="H18" s="5"/>
      <c r="I18" s="5"/>
      <c r="J18" s="3"/>
      <c r="K18" s="11" t="str">
        <f t="shared" si="0"/>
        <v/>
      </c>
      <c r="Y18" s="12">
        <f t="shared" si="1"/>
        <v>0</v>
      </c>
      <c r="Z18" s="5">
        <f t="shared" si="2"/>
        <v>0</v>
      </c>
    </row>
    <row r="19" spans="4:26" x14ac:dyDescent="0.25">
      <c r="D19" s="9"/>
      <c r="E19" s="5"/>
      <c r="F19" s="5"/>
      <c r="G19" s="5"/>
      <c r="H19" s="5"/>
      <c r="I19" s="5"/>
      <c r="J19" s="3"/>
      <c r="K19" s="11" t="str">
        <f t="shared" si="0"/>
        <v/>
      </c>
      <c r="Y19" s="12">
        <f t="shared" si="1"/>
        <v>0</v>
      </c>
      <c r="Z19" s="5">
        <f t="shared" si="2"/>
        <v>0</v>
      </c>
    </row>
    <row r="20" spans="4:26" x14ac:dyDescent="0.25">
      <c r="D20" s="9"/>
      <c r="E20" s="5"/>
      <c r="F20" s="5"/>
      <c r="G20" s="5"/>
      <c r="H20" s="5"/>
      <c r="I20" s="5"/>
      <c r="J20" s="3"/>
      <c r="K20" s="11" t="str">
        <f t="shared" si="0"/>
        <v/>
      </c>
      <c r="Y20" s="12">
        <f t="shared" si="1"/>
        <v>0</v>
      </c>
      <c r="Z20" s="5">
        <f t="shared" si="2"/>
        <v>0</v>
      </c>
    </row>
    <row r="21" spans="4:26" x14ac:dyDescent="0.25">
      <c r="D21" s="9"/>
      <c r="E21" s="5"/>
      <c r="F21" s="5"/>
      <c r="G21" s="5"/>
      <c r="H21" s="5"/>
      <c r="I21" s="5"/>
      <c r="J21" s="3"/>
      <c r="K21" s="11" t="str">
        <f t="shared" si="0"/>
        <v/>
      </c>
      <c r="Y21" s="12">
        <f t="shared" si="1"/>
        <v>0</v>
      </c>
      <c r="Z21" s="5">
        <f t="shared" si="2"/>
        <v>0</v>
      </c>
    </row>
    <row r="22" spans="4:26" x14ac:dyDescent="0.25">
      <c r="D22" s="9"/>
      <c r="E22" s="5"/>
      <c r="F22" s="5"/>
      <c r="G22" s="5"/>
      <c r="H22" s="5"/>
      <c r="I22" s="5"/>
      <c r="J22" s="3"/>
      <c r="K22" s="11" t="str">
        <f t="shared" si="0"/>
        <v/>
      </c>
      <c r="Y22" s="12">
        <f t="shared" si="1"/>
        <v>0</v>
      </c>
      <c r="Z22" s="5">
        <f t="shared" si="2"/>
        <v>0</v>
      </c>
    </row>
    <row r="23" spans="4:26" x14ac:dyDescent="0.25">
      <c r="D23" s="9"/>
      <c r="E23" s="5"/>
      <c r="F23" s="5"/>
      <c r="G23" s="5"/>
      <c r="H23" s="5"/>
      <c r="I23" s="5"/>
      <c r="J23" s="3"/>
      <c r="K23" s="11" t="str">
        <f t="shared" si="0"/>
        <v/>
      </c>
      <c r="Y23" s="12">
        <f t="shared" si="1"/>
        <v>0</v>
      </c>
      <c r="Z23" s="5">
        <f t="shared" si="2"/>
        <v>0</v>
      </c>
    </row>
    <row r="24" spans="4:26" x14ac:dyDescent="0.25">
      <c r="D24" s="9"/>
      <c r="E24" s="5"/>
      <c r="F24" s="5"/>
      <c r="G24" s="5"/>
      <c r="H24" s="5"/>
      <c r="I24" s="5"/>
      <c r="J24" s="3"/>
      <c r="K24" s="11" t="str">
        <f t="shared" si="0"/>
        <v/>
      </c>
      <c r="Y24" s="12">
        <f t="shared" si="1"/>
        <v>0</v>
      </c>
      <c r="Z24" s="5">
        <f t="shared" si="2"/>
        <v>0</v>
      </c>
    </row>
    <row r="25" spans="4:26" x14ac:dyDescent="0.25">
      <c r="D25" s="9"/>
      <c r="E25" s="5"/>
      <c r="F25" s="5"/>
      <c r="G25" s="5"/>
      <c r="H25" s="5"/>
      <c r="I25" s="5"/>
      <c r="J25" s="3"/>
      <c r="K25" s="11" t="str">
        <f t="shared" si="0"/>
        <v/>
      </c>
      <c r="Y25" s="12">
        <f t="shared" si="1"/>
        <v>0</v>
      </c>
      <c r="Z25" s="5">
        <f t="shared" si="2"/>
        <v>0</v>
      </c>
    </row>
    <row r="26" spans="4:26" x14ac:dyDescent="0.25">
      <c r="D26" s="9"/>
      <c r="E26" s="5"/>
      <c r="F26" s="5"/>
      <c r="G26" s="5"/>
      <c r="H26" s="5"/>
      <c r="I26" s="5"/>
      <c r="J26" s="3"/>
      <c r="K26" s="11" t="str">
        <f t="shared" si="0"/>
        <v/>
      </c>
      <c r="Y26" s="12">
        <f t="shared" si="1"/>
        <v>0</v>
      </c>
      <c r="Z26" s="5">
        <f t="shared" si="2"/>
        <v>0</v>
      </c>
    </row>
    <row r="27" spans="4:26" x14ac:dyDescent="0.25">
      <c r="D27" s="9"/>
      <c r="E27" s="5"/>
      <c r="F27" s="5"/>
      <c r="G27" s="5"/>
      <c r="H27" s="5"/>
      <c r="I27" s="5"/>
      <c r="J27" s="3"/>
      <c r="K27" s="11" t="str">
        <f t="shared" si="0"/>
        <v/>
      </c>
      <c r="Y27" s="12">
        <f t="shared" si="1"/>
        <v>0</v>
      </c>
      <c r="Z27" s="5">
        <f t="shared" si="2"/>
        <v>0</v>
      </c>
    </row>
    <row r="28" spans="4:26" x14ac:dyDescent="0.25">
      <c r="D28" s="9"/>
      <c r="E28" s="5"/>
      <c r="F28" s="5"/>
      <c r="G28" s="5"/>
      <c r="H28" s="5"/>
      <c r="I28" s="5"/>
      <c r="J28" s="3"/>
      <c r="K28" s="11" t="str">
        <f t="shared" si="0"/>
        <v/>
      </c>
      <c r="Y28" s="12">
        <f t="shared" si="1"/>
        <v>0</v>
      </c>
      <c r="Z28" s="5">
        <f t="shared" si="2"/>
        <v>0</v>
      </c>
    </row>
    <row r="29" spans="4:26" x14ac:dyDescent="0.25">
      <c r="D29" s="9"/>
      <c r="E29" s="5"/>
      <c r="F29" s="5"/>
      <c r="G29" s="5"/>
      <c r="H29" s="5"/>
      <c r="I29" s="5"/>
      <c r="J29" s="3"/>
      <c r="K29" s="11" t="str">
        <f t="shared" si="0"/>
        <v/>
      </c>
      <c r="Y29" s="12">
        <f t="shared" si="1"/>
        <v>0</v>
      </c>
      <c r="Z29" s="5">
        <f t="shared" si="2"/>
        <v>0</v>
      </c>
    </row>
    <row r="30" spans="4:26" x14ac:dyDescent="0.25">
      <c r="D30" s="9"/>
      <c r="E30" s="5"/>
      <c r="F30" s="5"/>
      <c r="G30" s="5"/>
      <c r="H30" s="5"/>
      <c r="I30" s="5"/>
      <c r="J30" s="3"/>
      <c r="K30" s="11" t="str">
        <f t="shared" si="0"/>
        <v/>
      </c>
      <c r="Y30" s="12">
        <f t="shared" si="1"/>
        <v>0</v>
      </c>
      <c r="Z30" s="5">
        <f t="shared" si="2"/>
        <v>0</v>
      </c>
    </row>
    <row r="31" spans="4:26" x14ac:dyDescent="0.25">
      <c r="D31" s="9"/>
      <c r="E31" s="5"/>
      <c r="F31" s="5"/>
      <c r="G31" s="5"/>
      <c r="H31" s="5"/>
      <c r="I31" s="5"/>
      <c r="J31" s="3"/>
      <c r="K31" s="11" t="str">
        <f t="shared" si="0"/>
        <v/>
      </c>
      <c r="Y31" s="12">
        <f t="shared" si="1"/>
        <v>0</v>
      </c>
      <c r="Z31" s="5">
        <f t="shared" si="2"/>
        <v>0</v>
      </c>
    </row>
    <row r="32" spans="4:26" x14ac:dyDescent="0.25">
      <c r="D32" s="9"/>
      <c r="E32" s="5"/>
      <c r="F32" s="5"/>
      <c r="G32" s="5"/>
      <c r="H32" s="5"/>
      <c r="I32" s="5"/>
      <c r="J32" s="3"/>
      <c r="K32" s="11" t="str">
        <f t="shared" si="0"/>
        <v/>
      </c>
      <c r="Y32" s="12">
        <f t="shared" si="1"/>
        <v>0</v>
      </c>
      <c r="Z32" s="5">
        <f t="shared" si="2"/>
        <v>0</v>
      </c>
    </row>
    <row r="33" spans="4:26" x14ac:dyDescent="0.25">
      <c r="D33" s="9"/>
      <c r="E33" s="5"/>
      <c r="F33" s="5"/>
      <c r="G33" s="5"/>
      <c r="H33" s="5"/>
      <c r="I33" s="5"/>
      <c r="J33" s="3"/>
      <c r="K33" s="11" t="str">
        <f t="shared" si="0"/>
        <v/>
      </c>
      <c r="Y33" s="12">
        <f t="shared" si="1"/>
        <v>0</v>
      </c>
      <c r="Z33" s="5">
        <f t="shared" si="2"/>
        <v>0</v>
      </c>
    </row>
    <row r="34" spans="4:26" x14ac:dyDescent="0.25">
      <c r="D34" s="9"/>
      <c r="E34" s="5"/>
      <c r="F34" s="5"/>
      <c r="G34" s="5"/>
      <c r="H34" s="5"/>
      <c r="I34" s="5"/>
      <c r="J34" s="3"/>
      <c r="K34" s="11" t="str">
        <f t="shared" si="0"/>
        <v/>
      </c>
      <c r="Y34" s="12">
        <f t="shared" si="1"/>
        <v>0</v>
      </c>
      <c r="Z34" s="5">
        <f t="shared" si="2"/>
        <v>0</v>
      </c>
    </row>
    <row r="35" spans="4:26" x14ac:dyDescent="0.25">
      <c r="D35" s="9"/>
      <c r="E35" s="5"/>
      <c r="F35" s="5"/>
      <c r="G35" s="5"/>
      <c r="H35" s="5"/>
      <c r="I35" s="5"/>
      <c r="J35" s="3"/>
      <c r="K35" s="11" t="str">
        <f t="shared" si="0"/>
        <v/>
      </c>
      <c r="Y35" s="12">
        <f t="shared" si="1"/>
        <v>0</v>
      </c>
      <c r="Z35" s="5">
        <f t="shared" si="2"/>
        <v>0</v>
      </c>
    </row>
    <row r="36" spans="4:26" x14ac:dyDescent="0.25">
      <c r="D36" s="9"/>
      <c r="E36" s="5"/>
      <c r="F36" s="5"/>
      <c r="G36" s="5"/>
      <c r="H36" s="5"/>
      <c r="I36" s="5"/>
      <c r="J36" s="3"/>
      <c r="K36" s="11" t="str">
        <f t="shared" si="0"/>
        <v/>
      </c>
      <c r="Y36" s="12">
        <f t="shared" si="1"/>
        <v>0</v>
      </c>
      <c r="Z36" s="5">
        <f t="shared" si="2"/>
        <v>0</v>
      </c>
    </row>
    <row r="37" spans="4:26" x14ac:dyDescent="0.25">
      <c r="D37" s="9"/>
      <c r="E37" s="5"/>
      <c r="F37" s="5"/>
      <c r="G37" s="5"/>
      <c r="H37" s="5"/>
      <c r="I37" s="5"/>
      <c r="J37" s="3"/>
      <c r="K37" s="11" t="str">
        <f t="shared" si="0"/>
        <v/>
      </c>
      <c r="Y37" s="12">
        <f t="shared" si="1"/>
        <v>0</v>
      </c>
      <c r="Z37" s="5">
        <f t="shared" si="2"/>
        <v>0</v>
      </c>
    </row>
    <row r="38" spans="4:26" x14ac:dyDescent="0.25">
      <c r="D38" s="9"/>
      <c r="E38" s="5"/>
      <c r="F38" s="5"/>
      <c r="G38" s="5"/>
      <c r="H38" s="5"/>
      <c r="I38" s="5"/>
      <c r="J38" s="3"/>
      <c r="K38" s="11" t="str">
        <f t="shared" si="0"/>
        <v/>
      </c>
      <c r="Y38" s="12">
        <f t="shared" si="1"/>
        <v>0</v>
      </c>
      <c r="Z38" s="5">
        <f t="shared" si="2"/>
        <v>0</v>
      </c>
    </row>
    <row r="39" spans="4:26" x14ac:dyDescent="0.25">
      <c r="D39" s="9"/>
      <c r="E39" s="5"/>
      <c r="F39" s="5"/>
      <c r="G39" s="5"/>
      <c r="H39" s="5"/>
      <c r="I39" s="5"/>
      <c r="J39" s="3"/>
      <c r="K39" s="11" t="str">
        <f t="shared" si="0"/>
        <v/>
      </c>
      <c r="Y39" s="12">
        <f t="shared" si="1"/>
        <v>0</v>
      </c>
      <c r="Z39" s="5">
        <f t="shared" si="2"/>
        <v>0</v>
      </c>
    </row>
    <row r="40" spans="4:26" x14ac:dyDescent="0.25">
      <c r="D40" s="9"/>
      <c r="E40" s="5"/>
      <c r="F40" s="5"/>
      <c r="G40" s="5"/>
      <c r="H40" s="5"/>
      <c r="I40" s="5"/>
      <c r="J40" s="3"/>
      <c r="K40" s="11" t="str">
        <f t="shared" si="0"/>
        <v/>
      </c>
      <c r="Y40" s="12">
        <f t="shared" si="1"/>
        <v>0</v>
      </c>
      <c r="Z40" s="5">
        <f t="shared" si="2"/>
        <v>0</v>
      </c>
    </row>
    <row r="41" spans="4:26" x14ac:dyDescent="0.25">
      <c r="D41" s="9"/>
      <c r="E41" s="5"/>
      <c r="F41" s="5"/>
      <c r="G41" s="5"/>
      <c r="H41" s="5"/>
      <c r="I41" s="5"/>
      <c r="J41" s="3"/>
      <c r="K41" s="11" t="str">
        <f t="shared" si="0"/>
        <v/>
      </c>
      <c r="Y41" s="12">
        <f t="shared" si="1"/>
        <v>0</v>
      </c>
      <c r="Z41" s="5">
        <f t="shared" si="2"/>
        <v>0</v>
      </c>
    </row>
    <row r="42" spans="4:26" x14ac:dyDescent="0.25">
      <c r="D42" s="9" t="s">
        <v>10</v>
      </c>
      <c r="E42" s="5">
        <f>SUM(E2:E41)</f>
        <v>100</v>
      </c>
      <c r="F42" s="5">
        <f t="shared" ref="F42:I42" si="3">SUM(F2:F41)</f>
        <v>4.34</v>
      </c>
      <c r="G42" s="5">
        <f t="shared" si="3"/>
        <v>100.00000000000001</v>
      </c>
      <c r="H42" s="5">
        <f t="shared" si="3"/>
        <v>4.34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11" priority="5">
      <formula>$M$3=$N$3</formula>
    </cfRule>
    <cfRule type="expression" dxfId="10" priority="6">
      <formula>$Z$2="+"</formula>
    </cfRule>
  </conditionalFormatting>
  <conditionalFormatting sqref="S3">
    <cfRule type="expression" dxfId="9" priority="1">
      <formula>$AA$2="+"</formula>
    </cfRule>
  </conditionalFormatting>
  <conditionalFormatting sqref="AA2">
    <cfRule type="expression" dxfId="8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42"/>
  <sheetViews>
    <sheetView workbookViewId="0">
      <selection activeCell="F5" sqref="F5:J5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14</v>
      </c>
      <c r="B1" s="3">
        <v>20250418</v>
      </c>
      <c r="D1" s="9" t="s">
        <v>9</v>
      </c>
      <c r="E1" s="9" t="s">
        <v>0</v>
      </c>
      <c r="F1" s="9" t="s">
        <v>5</v>
      </c>
      <c r="G1" s="9" t="s">
        <v>0</v>
      </c>
      <c r="H1" s="9" t="s">
        <v>5</v>
      </c>
      <c r="I1" s="9" t="s">
        <v>38</v>
      </c>
      <c r="J1" s="10" t="s">
        <v>9</v>
      </c>
      <c r="K1" s="10" t="s">
        <v>22</v>
      </c>
      <c r="M1" s="28" t="s">
        <v>0</v>
      </c>
      <c r="N1" s="30"/>
      <c r="O1" s="28" t="s">
        <v>5</v>
      </c>
      <c r="P1" s="30"/>
      <c r="Q1" s="32" t="s">
        <v>39</v>
      </c>
      <c r="R1" s="32" t="s">
        <v>23</v>
      </c>
      <c r="S1" s="32" t="s">
        <v>40</v>
      </c>
      <c r="Y1" s="18" t="s">
        <v>9</v>
      </c>
      <c r="Z1" s="9" t="s">
        <v>41</v>
      </c>
      <c r="AA1" s="9" t="s">
        <v>40</v>
      </c>
    </row>
    <row r="2" spans="1:27" x14ac:dyDescent="0.25">
      <c r="A2" s="8" t="s">
        <v>1</v>
      </c>
      <c r="B2" s="3" t="s">
        <v>30</v>
      </c>
      <c r="D2" s="12">
        <v>46023</v>
      </c>
      <c r="E2" s="5">
        <v>0</v>
      </c>
      <c r="F2" s="5">
        <v>1.1100000000000001</v>
      </c>
      <c r="G2" s="5">
        <v>0</v>
      </c>
      <c r="H2" s="5">
        <v>1.1100000000000001</v>
      </c>
      <c r="I2" s="5">
        <v>0</v>
      </c>
      <c r="J2" s="12">
        <v>46023</v>
      </c>
      <c r="K2" s="11">
        <f>IF(J2&gt;0,J2-D2,"")</f>
        <v>0</v>
      </c>
      <c r="M2" s="19" t="s">
        <v>42</v>
      </c>
      <c r="N2" s="19" t="s">
        <v>23</v>
      </c>
      <c r="O2" s="9" t="s">
        <v>43</v>
      </c>
      <c r="P2" s="9" t="s">
        <v>44</v>
      </c>
      <c r="Q2" s="33"/>
      <c r="R2" s="33"/>
      <c r="S2" s="33"/>
      <c r="Y2" s="12">
        <f>B3</f>
        <v>45964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7</v>
      </c>
      <c r="B3" s="12">
        <v>45964</v>
      </c>
      <c r="D3" s="12">
        <v>46113</v>
      </c>
      <c r="E3" s="5">
        <v>0</v>
      </c>
      <c r="F3" s="5">
        <v>1.85</v>
      </c>
      <c r="G3" s="5">
        <v>0</v>
      </c>
      <c r="H3" s="5">
        <v>1.85</v>
      </c>
      <c r="I3" s="5">
        <v>0</v>
      </c>
      <c r="J3" s="12">
        <v>46113</v>
      </c>
      <c r="K3" s="11">
        <f t="shared" ref="K3:K41" si="0">IF(J3&gt;0,J3-D3,"")</f>
        <v>0</v>
      </c>
      <c r="M3" s="5">
        <f>B11</f>
        <v>100</v>
      </c>
      <c r="N3" s="5">
        <f>G42</f>
        <v>0</v>
      </c>
      <c r="O3" s="5">
        <f>F42</f>
        <v>4.83</v>
      </c>
      <c r="P3" s="5">
        <f>H42+I42</f>
        <v>4.83</v>
      </c>
      <c r="Q3" s="15" t="str">
        <f>IF(M3=N3,XIRR(Z2:Z41,Y2:Y41),"")</f>
        <v/>
      </c>
      <c r="R3" s="12" t="str">
        <f>IF(M3=N3,B14,"")</f>
        <v/>
      </c>
      <c r="S3" s="3" t="str">
        <f ca="1">IF(COUNTIFS(D:D,"&lt;"&amp;TODAY(),J:J,"")=0,"",TODAY()-_xlfn.MINIFS(D:D,D:D,"&lt;"&amp;TODAY(),J:J,""))</f>
        <v/>
      </c>
      <c r="Y3" s="12">
        <f>J2</f>
        <v>46023</v>
      </c>
      <c r="Z3" s="5">
        <f>G2+H2+I2</f>
        <v>1.1100000000000001</v>
      </c>
    </row>
    <row r="4" spans="1:27" x14ac:dyDescent="0.25">
      <c r="A4" s="8" t="s">
        <v>11</v>
      </c>
      <c r="B4" s="12">
        <v>45969</v>
      </c>
      <c r="D4" s="12">
        <v>46204</v>
      </c>
      <c r="E4" s="5">
        <v>0</v>
      </c>
      <c r="F4" s="5">
        <v>1.87</v>
      </c>
      <c r="G4" s="5">
        <v>0</v>
      </c>
      <c r="H4" s="5">
        <v>1.87</v>
      </c>
      <c r="I4" s="5">
        <v>0</v>
      </c>
      <c r="J4" s="12">
        <v>46204</v>
      </c>
      <c r="K4" s="11">
        <f t="shared" si="0"/>
        <v>0</v>
      </c>
      <c r="Y4" s="12">
        <f t="shared" ref="Y4:Y41" si="1">J3</f>
        <v>46113</v>
      </c>
      <c r="Z4" s="5">
        <f t="shared" ref="Z4:Z41" si="2">G3+H3+I3</f>
        <v>1.85</v>
      </c>
    </row>
    <row r="5" spans="1:27" x14ac:dyDescent="0.25">
      <c r="A5" s="8" t="s">
        <v>2</v>
      </c>
      <c r="B5" s="3" t="s">
        <v>31</v>
      </c>
      <c r="D5" s="12">
        <v>46296</v>
      </c>
      <c r="E5" s="5">
        <v>0</v>
      </c>
      <c r="F5" s="5"/>
      <c r="G5" s="5"/>
      <c r="H5" s="5"/>
      <c r="I5" s="5"/>
      <c r="J5" s="12"/>
      <c r="K5" s="11" t="str">
        <f t="shared" si="0"/>
        <v/>
      </c>
      <c r="Y5" s="12">
        <f t="shared" si="1"/>
        <v>46204</v>
      </c>
      <c r="Z5" s="5">
        <f t="shared" si="2"/>
        <v>1.87</v>
      </c>
    </row>
    <row r="6" spans="1:27" x14ac:dyDescent="0.25">
      <c r="A6" s="8" t="s">
        <v>12</v>
      </c>
      <c r="B6" s="4">
        <v>0.7</v>
      </c>
      <c r="D6" s="14">
        <v>46335</v>
      </c>
      <c r="E6" s="5">
        <v>100</v>
      </c>
      <c r="F6" s="5"/>
      <c r="G6" s="5"/>
      <c r="H6" s="5"/>
      <c r="I6" s="5"/>
      <c r="J6" s="12"/>
      <c r="K6" s="11" t="str">
        <f t="shared" si="0"/>
        <v/>
      </c>
      <c r="Y6" s="12">
        <f t="shared" si="1"/>
        <v>0</v>
      </c>
      <c r="Z6" s="5">
        <f t="shared" si="2"/>
        <v>0</v>
      </c>
    </row>
    <row r="7" spans="1:27" x14ac:dyDescent="0.25">
      <c r="A7" s="8" t="s">
        <v>13</v>
      </c>
      <c r="B7" s="4">
        <v>0.7</v>
      </c>
      <c r="D7" s="12"/>
      <c r="E7" s="3"/>
      <c r="F7" s="5"/>
      <c r="G7" s="3"/>
      <c r="H7" s="5"/>
      <c r="I7" s="5"/>
      <c r="J7" s="12"/>
      <c r="K7" s="11" t="str">
        <f t="shared" si="0"/>
        <v/>
      </c>
      <c r="Y7" s="12">
        <f t="shared" si="1"/>
        <v>0</v>
      </c>
      <c r="Z7" s="5">
        <f t="shared" si="2"/>
        <v>0</v>
      </c>
    </row>
    <row r="8" spans="1:27" x14ac:dyDescent="0.25">
      <c r="A8" s="8" t="s">
        <v>3</v>
      </c>
      <c r="B8" s="3">
        <v>12</v>
      </c>
      <c r="D8" s="12"/>
      <c r="E8" s="2"/>
      <c r="F8" s="2"/>
      <c r="G8" s="2"/>
      <c r="H8" s="2"/>
      <c r="I8" s="2"/>
      <c r="J8" s="12"/>
      <c r="K8" s="11" t="str">
        <f t="shared" si="0"/>
        <v/>
      </c>
      <c r="Y8" s="12">
        <f t="shared" si="1"/>
        <v>0</v>
      </c>
      <c r="Z8" s="5">
        <f t="shared" si="2"/>
        <v>0</v>
      </c>
    </row>
    <row r="9" spans="1:27" x14ac:dyDescent="0.25">
      <c r="A9" s="8" t="s">
        <v>4</v>
      </c>
      <c r="B9" s="3" t="s">
        <v>8</v>
      </c>
      <c r="D9" s="12"/>
      <c r="E9" s="2"/>
      <c r="F9" s="2"/>
      <c r="G9" s="2"/>
      <c r="H9" s="2"/>
      <c r="I9" s="2"/>
      <c r="J9" s="12"/>
      <c r="K9" s="11" t="str">
        <f t="shared" si="0"/>
        <v/>
      </c>
      <c r="Y9" s="12">
        <f t="shared" si="1"/>
        <v>0</v>
      </c>
      <c r="Z9" s="5">
        <f t="shared" si="2"/>
        <v>0</v>
      </c>
    </row>
    <row r="10" spans="1:27" x14ac:dyDescent="0.25">
      <c r="A10" s="8" t="s">
        <v>6</v>
      </c>
      <c r="B10" s="6">
        <v>7.4999999999999997E-2</v>
      </c>
      <c r="D10" s="12"/>
      <c r="E10" s="2"/>
      <c r="F10" s="2"/>
      <c r="G10" s="2"/>
      <c r="H10" s="2"/>
      <c r="I10" s="2"/>
      <c r="J10" s="12"/>
      <c r="K10" s="11" t="str">
        <f t="shared" si="0"/>
        <v/>
      </c>
      <c r="Y10" s="12">
        <f t="shared" si="1"/>
        <v>0</v>
      </c>
      <c r="Z10" s="5">
        <f t="shared" si="2"/>
        <v>0</v>
      </c>
    </row>
    <row r="11" spans="1:27" x14ac:dyDescent="0.25">
      <c r="A11" s="8" t="s">
        <v>60</v>
      </c>
      <c r="B11" s="5">
        <v>100</v>
      </c>
      <c r="D11" s="12"/>
      <c r="E11" s="2"/>
      <c r="F11" s="2"/>
      <c r="G11" s="2"/>
      <c r="H11" s="2"/>
      <c r="I11" s="2"/>
      <c r="J11" s="12"/>
      <c r="K11" s="11" t="str">
        <f t="shared" si="0"/>
        <v/>
      </c>
      <c r="Y11" s="12">
        <f t="shared" si="1"/>
        <v>0</v>
      </c>
      <c r="Z11" s="5">
        <f t="shared" si="2"/>
        <v>0</v>
      </c>
    </row>
    <row r="12" spans="1:27" x14ac:dyDescent="0.25">
      <c r="A12" s="8" t="s">
        <v>37</v>
      </c>
      <c r="B12" s="16">
        <v>46335</v>
      </c>
      <c r="D12" s="12"/>
      <c r="E12" s="2"/>
      <c r="F12" s="2"/>
      <c r="G12" s="2"/>
      <c r="H12" s="2"/>
      <c r="I12" s="2"/>
      <c r="J12" s="12"/>
      <c r="K12" s="11" t="str">
        <f t="shared" si="0"/>
        <v/>
      </c>
      <c r="Y12" s="12">
        <f t="shared" si="1"/>
        <v>0</v>
      </c>
      <c r="Z12" s="5">
        <f t="shared" si="2"/>
        <v>0</v>
      </c>
    </row>
    <row r="13" spans="1:27" x14ac:dyDescent="0.25">
      <c r="A13" s="8" t="s">
        <v>53</v>
      </c>
      <c r="B13" s="11">
        <f ca="1">IF(B11&lt;&gt;N3,(TODAY()-B12)*-1,"")</f>
        <v>39</v>
      </c>
      <c r="D13" s="12"/>
      <c r="E13" s="2"/>
      <c r="F13" s="2"/>
      <c r="G13" s="2"/>
      <c r="H13" s="2"/>
      <c r="I13" s="2"/>
      <c r="J13" s="12"/>
      <c r="K13" s="11" t="str">
        <f t="shared" si="0"/>
        <v/>
      </c>
      <c r="Y13" s="12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2"/>
      <c r="D14" s="9"/>
      <c r="E14" s="5"/>
      <c r="F14" s="5"/>
      <c r="G14" s="5"/>
      <c r="H14" s="5"/>
      <c r="I14" s="5"/>
      <c r="J14" s="3"/>
      <c r="K14" s="11" t="str">
        <f t="shared" si="0"/>
        <v/>
      </c>
      <c r="Y14" s="12">
        <f t="shared" si="1"/>
        <v>0</v>
      </c>
      <c r="Z14" s="5">
        <f t="shared" si="2"/>
        <v>0</v>
      </c>
    </row>
    <row r="15" spans="1:27" x14ac:dyDescent="0.25">
      <c r="A15" s="8" t="s">
        <v>54</v>
      </c>
      <c r="B15" s="3" t="str">
        <f>IF(M3=N3,B14-B12,"")</f>
        <v/>
      </c>
      <c r="D15" s="9"/>
      <c r="E15" s="5"/>
      <c r="F15" s="5"/>
      <c r="G15" s="5"/>
      <c r="H15" s="5"/>
      <c r="I15" s="5"/>
      <c r="J15" s="3"/>
      <c r="K15" s="11" t="str">
        <f t="shared" si="0"/>
        <v/>
      </c>
      <c r="Y15" s="12">
        <f t="shared" si="1"/>
        <v>0</v>
      </c>
      <c r="Z15" s="5">
        <f t="shared" si="2"/>
        <v>0</v>
      </c>
    </row>
    <row r="16" spans="1:27" x14ac:dyDescent="0.25">
      <c r="D16" s="9"/>
      <c r="E16" s="5"/>
      <c r="F16" s="5"/>
      <c r="G16" s="5"/>
      <c r="H16" s="5"/>
      <c r="I16" s="5"/>
      <c r="J16" s="3"/>
      <c r="K16" s="11" t="str">
        <f t="shared" si="0"/>
        <v/>
      </c>
      <c r="Y16" s="12">
        <f t="shared" si="1"/>
        <v>0</v>
      </c>
      <c r="Z16" s="5">
        <f t="shared" si="2"/>
        <v>0</v>
      </c>
    </row>
    <row r="17" spans="4:26" x14ac:dyDescent="0.25">
      <c r="D17" s="9"/>
      <c r="E17" s="5"/>
      <c r="F17" s="5"/>
      <c r="G17" s="5"/>
      <c r="H17" s="5"/>
      <c r="I17" s="5"/>
      <c r="J17" s="3"/>
      <c r="K17" s="11" t="str">
        <f t="shared" si="0"/>
        <v/>
      </c>
      <c r="Y17" s="12">
        <f t="shared" si="1"/>
        <v>0</v>
      </c>
      <c r="Z17" s="5">
        <f t="shared" si="2"/>
        <v>0</v>
      </c>
    </row>
    <row r="18" spans="4:26" x14ac:dyDescent="0.25">
      <c r="D18" s="9"/>
      <c r="E18" s="5"/>
      <c r="F18" s="5"/>
      <c r="G18" s="5"/>
      <c r="H18" s="5"/>
      <c r="I18" s="5"/>
      <c r="J18" s="3"/>
      <c r="K18" s="11" t="str">
        <f t="shared" si="0"/>
        <v/>
      </c>
      <c r="Y18" s="12">
        <f t="shared" si="1"/>
        <v>0</v>
      </c>
      <c r="Z18" s="5">
        <f t="shared" si="2"/>
        <v>0</v>
      </c>
    </row>
    <row r="19" spans="4:26" x14ac:dyDescent="0.25">
      <c r="D19" s="9"/>
      <c r="E19" s="5"/>
      <c r="F19" s="5"/>
      <c r="G19" s="5"/>
      <c r="H19" s="5"/>
      <c r="I19" s="5"/>
      <c r="J19" s="3"/>
      <c r="K19" s="11" t="str">
        <f t="shared" si="0"/>
        <v/>
      </c>
      <c r="Y19" s="12">
        <f t="shared" si="1"/>
        <v>0</v>
      </c>
      <c r="Z19" s="5">
        <f t="shared" si="2"/>
        <v>0</v>
      </c>
    </row>
    <row r="20" spans="4:26" x14ac:dyDescent="0.25">
      <c r="D20" s="9"/>
      <c r="E20" s="5"/>
      <c r="F20" s="5"/>
      <c r="G20" s="5"/>
      <c r="H20" s="5"/>
      <c r="I20" s="5"/>
      <c r="J20" s="3"/>
      <c r="K20" s="11" t="str">
        <f t="shared" si="0"/>
        <v/>
      </c>
      <c r="Y20" s="12">
        <f t="shared" si="1"/>
        <v>0</v>
      </c>
      <c r="Z20" s="5">
        <f t="shared" si="2"/>
        <v>0</v>
      </c>
    </row>
    <row r="21" spans="4:26" x14ac:dyDescent="0.25">
      <c r="D21" s="9"/>
      <c r="E21" s="5"/>
      <c r="F21" s="5"/>
      <c r="G21" s="5"/>
      <c r="H21" s="5"/>
      <c r="I21" s="5"/>
      <c r="J21" s="3"/>
      <c r="K21" s="11" t="str">
        <f t="shared" si="0"/>
        <v/>
      </c>
      <c r="Y21" s="12">
        <f t="shared" si="1"/>
        <v>0</v>
      </c>
      <c r="Z21" s="5">
        <f t="shared" si="2"/>
        <v>0</v>
      </c>
    </row>
    <row r="22" spans="4:26" x14ac:dyDescent="0.25">
      <c r="D22" s="9"/>
      <c r="E22" s="5"/>
      <c r="F22" s="5"/>
      <c r="G22" s="5"/>
      <c r="H22" s="5"/>
      <c r="I22" s="5"/>
      <c r="J22" s="3"/>
      <c r="K22" s="11" t="str">
        <f t="shared" si="0"/>
        <v/>
      </c>
      <c r="Y22" s="12">
        <f t="shared" si="1"/>
        <v>0</v>
      </c>
      <c r="Z22" s="5">
        <f t="shared" si="2"/>
        <v>0</v>
      </c>
    </row>
    <row r="23" spans="4:26" x14ac:dyDescent="0.25">
      <c r="D23" s="9"/>
      <c r="E23" s="5"/>
      <c r="F23" s="5"/>
      <c r="G23" s="5"/>
      <c r="H23" s="5"/>
      <c r="I23" s="5"/>
      <c r="J23" s="3"/>
      <c r="K23" s="11" t="str">
        <f t="shared" si="0"/>
        <v/>
      </c>
      <c r="Y23" s="12">
        <f t="shared" si="1"/>
        <v>0</v>
      </c>
      <c r="Z23" s="5">
        <f t="shared" si="2"/>
        <v>0</v>
      </c>
    </row>
    <row r="24" spans="4:26" x14ac:dyDescent="0.25">
      <c r="D24" s="9"/>
      <c r="E24" s="5"/>
      <c r="F24" s="5"/>
      <c r="G24" s="5"/>
      <c r="H24" s="5"/>
      <c r="I24" s="5"/>
      <c r="J24" s="3"/>
      <c r="K24" s="11" t="str">
        <f t="shared" si="0"/>
        <v/>
      </c>
      <c r="Y24" s="12">
        <f t="shared" si="1"/>
        <v>0</v>
      </c>
      <c r="Z24" s="5">
        <f t="shared" si="2"/>
        <v>0</v>
      </c>
    </row>
    <row r="25" spans="4:26" x14ac:dyDescent="0.25">
      <c r="D25" s="9"/>
      <c r="E25" s="5"/>
      <c r="F25" s="5"/>
      <c r="G25" s="5"/>
      <c r="H25" s="5"/>
      <c r="I25" s="5"/>
      <c r="J25" s="3"/>
      <c r="K25" s="11" t="str">
        <f t="shared" si="0"/>
        <v/>
      </c>
      <c r="Y25" s="12">
        <f t="shared" si="1"/>
        <v>0</v>
      </c>
      <c r="Z25" s="5">
        <f t="shared" si="2"/>
        <v>0</v>
      </c>
    </row>
    <row r="26" spans="4:26" x14ac:dyDescent="0.25">
      <c r="D26" s="9"/>
      <c r="E26" s="5"/>
      <c r="F26" s="5"/>
      <c r="G26" s="5"/>
      <c r="H26" s="5"/>
      <c r="I26" s="5"/>
      <c r="J26" s="3"/>
      <c r="K26" s="11" t="str">
        <f t="shared" si="0"/>
        <v/>
      </c>
      <c r="Y26" s="12">
        <f t="shared" si="1"/>
        <v>0</v>
      </c>
      <c r="Z26" s="5">
        <f t="shared" si="2"/>
        <v>0</v>
      </c>
    </row>
    <row r="27" spans="4:26" x14ac:dyDescent="0.25">
      <c r="D27" s="9"/>
      <c r="E27" s="5"/>
      <c r="F27" s="5"/>
      <c r="G27" s="5"/>
      <c r="H27" s="5"/>
      <c r="I27" s="5"/>
      <c r="J27" s="3"/>
      <c r="K27" s="11" t="str">
        <f t="shared" si="0"/>
        <v/>
      </c>
      <c r="Y27" s="12">
        <f t="shared" si="1"/>
        <v>0</v>
      </c>
      <c r="Z27" s="5">
        <f t="shared" si="2"/>
        <v>0</v>
      </c>
    </row>
    <row r="28" spans="4:26" x14ac:dyDescent="0.25">
      <c r="D28" s="9"/>
      <c r="E28" s="5"/>
      <c r="F28" s="5"/>
      <c r="G28" s="5"/>
      <c r="H28" s="5"/>
      <c r="I28" s="5"/>
      <c r="J28" s="3"/>
      <c r="K28" s="11" t="str">
        <f t="shared" si="0"/>
        <v/>
      </c>
      <c r="Y28" s="12">
        <f t="shared" si="1"/>
        <v>0</v>
      </c>
      <c r="Z28" s="5">
        <f t="shared" si="2"/>
        <v>0</v>
      </c>
    </row>
    <row r="29" spans="4:26" x14ac:dyDescent="0.25">
      <c r="D29" s="9"/>
      <c r="E29" s="5"/>
      <c r="F29" s="5"/>
      <c r="G29" s="5"/>
      <c r="H29" s="5"/>
      <c r="I29" s="5"/>
      <c r="J29" s="3"/>
      <c r="K29" s="11" t="str">
        <f t="shared" si="0"/>
        <v/>
      </c>
      <c r="Y29" s="12">
        <f t="shared" si="1"/>
        <v>0</v>
      </c>
      <c r="Z29" s="5">
        <f t="shared" si="2"/>
        <v>0</v>
      </c>
    </row>
    <row r="30" spans="4:26" x14ac:dyDescent="0.25">
      <c r="D30" s="9"/>
      <c r="E30" s="5"/>
      <c r="F30" s="5"/>
      <c r="G30" s="5"/>
      <c r="H30" s="5"/>
      <c r="I30" s="5"/>
      <c r="J30" s="3"/>
      <c r="K30" s="11" t="str">
        <f t="shared" si="0"/>
        <v/>
      </c>
      <c r="Y30" s="12">
        <f t="shared" si="1"/>
        <v>0</v>
      </c>
      <c r="Z30" s="5">
        <f t="shared" si="2"/>
        <v>0</v>
      </c>
    </row>
    <row r="31" spans="4:26" x14ac:dyDescent="0.25">
      <c r="D31" s="9"/>
      <c r="E31" s="5"/>
      <c r="F31" s="5"/>
      <c r="G31" s="5"/>
      <c r="H31" s="5"/>
      <c r="I31" s="5"/>
      <c r="J31" s="3"/>
      <c r="K31" s="11" t="str">
        <f t="shared" si="0"/>
        <v/>
      </c>
      <c r="Y31" s="12">
        <f t="shared" si="1"/>
        <v>0</v>
      </c>
      <c r="Z31" s="5">
        <f t="shared" si="2"/>
        <v>0</v>
      </c>
    </row>
    <row r="32" spans="4:26" x14ac:dyDescent="0.25">
      <c r="D32" s="9"/>
      <c r="E32" s="5"/>
      <c r="F32" s="5"/>
      <c r="G32" s="5"/>
      <c r="H32" s="5"/>
      <c r="I32" s="5"/>
      <c r="J32" s="3"/>
      <c r="K32" s="11" t="str">
        <f t="shared" si="0"/>
        <v/>
      </c>
      <c r="Y32" s="12">
        <f t="shared" si="1"/>
        <v>0</v>
      </c>
      <c r="Z32" s="5">
        <f t="shared" si="2"/>
        <v>0</v>
      </c>
    </row>
    <row r="33" spans="4:26" x14ac:dyDescent="0.25">
      <c r="D33" s="9"/>
      <c r="E33" s="5"/>
      <c r="F33" s="5"/>
      <c r="G33" s="5"/>
      <c r="H33" s="5"/>
      <c r="I33" s="5"/>
      <c r="J33" s="3"/>
      <c r="K33" s="11" t="str">
        <f t="shared" si="0"/>
        <v/>
      </c>
      <c r="Y33" s="12">
        <f t="shared" si="1"/>
        <v>0</v>
      </c>
      <c r="Z33" s="5">
        <f t="shared" si="2"/>
        <v>0</v>
      </c>
    </row>
    <row r="34" spans="4:26" x14ac:dyDescent="0.25">
      <c r="D34" s="9"/>
      <c r="E34" s="5"/>
      <c r="F34" s="5"/>
      <c r="G34" s="5"/>
      <c r="H34" s="5"/>
      <c r="I34" s="5"/>
      <c r="J34" s="3"/>
      <c r="K34" s="11" t="str">
        <f t="shared" si="0"/>
        <v/>
      </c>
      <c r="Y34" s="12">
        <f t="shared" si="1"/>
        <v>0</v>
      </c>
      <c r="Z34" s="5">
        <f t="shared" si="2"/>
        <v>0</v>
      </c>
    </row>
    <row r="35" spans="4:26" x14ac:dyDescent="0.25">
      <c r="D35" s="9"/>
      <c r="E35" s="5"/>
      <c r="F35" s="5"/>
      <c r="G35" s="5"/>
      <c r="H35" s="5"/>
      <c r="I35" s="5"/>
      <c r="J35" s="3"/>
      <c r="K35" s="11" t="str">
        <f t="shared" si="0"/>
        <v/>
      </c>
      <c r="Y35" s="12">
        <f t="shared" si="1"/>
        <v>0</v>
      </c>
      <c r="Z35" s="5">
        <f t="shared" si="2"/>
        <v>0</v>
      </c>
    </row>
    <row r="36" spans="4:26" x14ac:dyDescent="0.25">
      <c r="D36" s="9"/>
      <c r="E36" s="5"/>
      <c r="F36" s="5"/>
      <c r="G36" s="5"/>
      <c r="H36" s="5"/>
      <c r="I36" s="5"/>
      <c r="J36" s="3"/>
      <c r="K36" s="11" t="str">
        <f t="shared" si="0"/>
        <v/>
      </c>
      <c r="Y36" s="12">
        <f t="shared" si="1"/>
        <v>0</v>
      </c>
      <c r="Z36" s="5">
        <f t="shared" si="2"/>
        <v>0</v>
      </c>
    </row>
    <row r="37" spans="4:26" x14ac:dyDescent="0.25">
      <c r="D37" s="9"/>
      <c r="E37" s="5"/>
      <c r="F37" s="5"/>
      <c r="G37" s="5"/>
      <c r="H37" s="5"/>
      <c r="I37" s="5"/>
      <c r="J37" s="3"/>
      <c r="K37" s="11" t="str">
        <f t="shared" si="0"/>
        <v/>
      </c>
      <c r="Y37" s="12">
        <f t="shared" si="1"/>
        <v>0</v>
      </c>
      <c r="Z37" s="5">
        <f t="shared" si="2"/>
        <v>0</v>
      </c>
    </row>
    <row r="38" spans="4:26" x14ac:dyDescent="0.25">
      <c r="D38" s="9"/>
      <c r="E38" s="5"/>
      <c r="F38" s="5"/>
      <c r="G38" s="5"/>
      <c r="H38" s="5"/>
      <c r="I38" s="5"/>
      <c r="J38" s="3"/>
      <c r="K38" s="11" t="str">
        <f t="shared" si="0"/>
        <v/>
      </c>
      <c r="Y38" s="12">
        <f t="shared" si="1"/>
        <v>0</v>
      </c>
      <c r="Z38" s="5">
        <f t="shared" si="2"/>
        <v>0</v>
      </c>
    </row>
    <row r="39" spans="4:26" x14ac:dyDescent="0.25">
      <c r="D39" s="9"/>
      <c r="E39" s="5"/>
      <c r="F39" s="5"/>
      <c r="G39" s="5"/>
      <c r="H39" s="5"/>
      <c r="I39" s="5"/>
      <c r="J39" s="3"/>
      <c r="K39" s="11" t="str">
        <f t="shared" si="0"/>
        <v/>
      </c>
      <c r="Y39" s="12">
        <f t="shared" si="1"/>
        <v>0</v>
      </c>
      <c r="Z39" s="5">
        <f t="shared" si="2"/>
        <v>0</v>
      </c>
    </row>
    <row r="40" spans="4:26" x14ac:dyDescent="0.25">
      <c r="D40" s="9"/>
      <c r="E40" s="5"/>
      <c r="F40" s="5"/>
      <c r="G40" s="5"/>
      <c r="H40" s="5"/>
      <c r="I40" s="5"/>
      <c r="J40" s="3"/>
      <c r="K40" s="11" t="str">
        <f t="shared" si="0"/>
        <v/>
      </c>
      <c r="Y40" s="12">
        <f t="shared" si="1"/>
        <v>0</v>
      </c>
      <c r="Z40" s="5">
        <f t="shared" si="2"/>
        <v>0</v>
      </c>
    </row>
    <row r="41" spans="4:26" x14ac:dyDescent="0.25">
      <c r="D41" s="9"/>
      <c r="E41" s="5"/>
      <c r="F41" s="5"/>
      <c r="G41" s="5"/>
      <c r="H41" s="5"/>
      <c r="I41" s="5"/>
      <c r="J41" s="3"/>
      <c r="K41" s="11" t="str">
        <f t="shared" si="0"/>
        <v/>
      </c>
      <c r="Y41" s="12">
        <f t="shared" si="1"/>
        <v>0</v>
      </c>
      <c r="Z41" s="5">
        <f t="shared" si="2"/>
        <v>0</v>
      </c>
    </row>
    <row r="42" spans="4:26" x14ac:dyDescent="0.25">
      <c r="D42" s="9" t="s">
        <v>10</v>
      </c>
      <c r="E42" s="5">
        <f>SUM(E2:E41)</f>
        <v>100</v>
      </c>
      <c r="F42" s="5">
        <f t="shared" ref="F42:I42" si="3">SUM(F2:F41)</f>
        <v>4.83</v>
      </c>
      <c r="G42" s="5">
        <f t="shared" si="3"/>
        <v>0</v>
      </c>
      <c r="H42" s="5">
        <f t="shared" si="3"/>
        <v>4.83</v>
      </c>
      <c r="I42" s="5">
        <f t="shared" si="3"/>
        <v>0</v>
      </c>
      <c r="J42" s="3"/>
      <c r="K42" s="3"/>
    </row>
  </sheetData>
  <mergeCells count="5">
    <mergeCell ref="R1:R2"/>
    <mergeCell ref="Q1:Q2"/>
    <mergeCell ref="M1:N1"/>
    <mergeCell ref="O1:P1"/>
    <mergeCell ref="S1:S2"/>
  </mergeCells>
  <conditionalFormatting sqref="A1:B1">
    <cfRule type="expression" dxfId="7" priority="4">
      <formula>$M$3=$N$3</formula>
    </cfRule>
    <cfRule type="expression" dxfId="6" priority="5">
      <formula>$Z$2="+"</formula>
    </cfRule>
  </conditionalFormatting>
  <conditionalFormatting sqref="S3">
    <cfRule type="expression" dxfId="5" priority="1">
      <formula>$AA$2="+"</formula>
    </cfRule>
  </conditionalFormatting>
  <conditionalFormatting sqref="AA2">
    <cfRule type="expression" dxfId="4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42"/>
  <sheetViews>
    <sheetView workbookViewId="0">
      <selection activeCell="J14" sqref="J14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14</v>
      </c>
      <c r="B1" s="3">
        <v>20250529</v>
      </c>
      <c r="D1" s="9" t="s">
        <v>9</v>
      </c>
      <c r="E1" s="9" t="s">
        <v>0</v>
      </c>
      <c r="F1" s="9" t="s">
        <v>5</v>
      </c>
      <c r="G1" s="9" t="s">
        <v>0</v>
      </c>
      <c r="H1" s="9" t="s">
        <v>5</v>
      </c>
      <c r="I1" s="9" t="s">
        <v>38</v>
      </c>
      <c r="J1" s="10" t="s">
        <v>9</v>
      </c>
      <c r="K1" s="10" t="s">
        <v>22</v>
      </c>
      <c r="M1" s="28" t="s">
        <v>0</v>
      </c>
      <c r="N1" s="30"/>
      <c r="O1" s="28" t="s">
        <v>5</v>
      </c>
      <c r="P1" s="30"/>
      <c r="Q1" s="32" t="s">
        <v>39</v>
      </c>
      <c r="R1" s="32" t="s">
        <v>23</v>
      </c>
      <c r="S1" s="32" t="s">
        <v>40</v>
      </c>
      <c r="Y1" s="18" t="s">
        <v>9</v>
      </c>
      <c r="Z1" s="9" t="s">
        <v>41</v>
      </c>
      <c r="AA1" s="9" t="s">
        <v>40</v>
      </c>
    </row>
    <row r="2" spans="1:27" x14ac:dyDescent="0.25">
      <c r="A2" s="8" t="s">
        <v>1</v>
      </c>
      <c r="B2" s="3" t="s">
        <v>28</v>
      </c>
      <c r="D2" s="12">
        <v>46023</v>
      </c>
      <c r="E2" s="5">
        <v>0</v>
      </c>
      <c r="F2" s="5">
        <v>1.04</v>
      </c>
      <c r="G2" s="5">
        <v>0</v>
      </c>
      <c r="H2" s="5">
        <v>1.04</v>
      </c>
      <c r="I2" s="5">
        <v>0</v>
      </c>
      <c r="J2" s="12">
        <v>46023</v>
      </c>
      <c r="K2" s="11">
        <f>IF(J2&gt;0,J2-D2,"")</f>
        <v>0</v>
      </c>
      <c r="M2" s="19" t="s">
        <v>42</v>
      </c>
      <c r="N2" s="19" t="s">
        <v>23</v>
      </c>
      <c r="O2" s="9" t="s">
        <v>43</v>
      </c>
      <c r="P2" s="9" t="s">
        <v>44</v>
      </c>
      <c r="Q2" s="33"/>
      <c r="R2" s="33"/>
      <c r="S2" s="33"/>
      <c r="Y2" s="12">
        <f>B3</f>
        <v>45964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7</v>
      </c>
      <c r="B3" s="12">
        <v>45964</v>
      </c>
      <c r="D3" s="12">
        <v>46113</v>
      </c>
      <c r="E3" s="5">
        <v>0</v>
      </c>
      <c r="F3" s="5">
        <v>1.73</v>
      </c>
      <c r="G3" s="5">
        <v>0</v>
      </c>
      <c r="H3" s="5">
        <v>1.73</v>
      </c>
      <c r="I3" s="5">
        <v>0</v>
      </c>
      <c r="J3" s="12">
        <v>46113</v>
      </c>
      <c r="K3" s="11">
        <f t="shared" ref="K3:K41" si="0">IF(J3&gt;0,J3-D3,"")</f>
        <v>0</v>
      </c>
      <c r="M3" s="5">
        <f>B11</f>
        <v>100</v>
      </c>
      <c r="N3" s="5">
        <f>G42</f>
        <v>0</v>
      </c>
      <c r="O3" s="5">
        <f>F42</f>
        <v>4.5199999999999996</v>
      </c>
      <c r="P3" s="5">
        <f>H42+I42</f>
        <v>4.5199999999999996</v>
      </c>
      <c r="Q3" s="15" t="str">
        <f>IF(M3=N3,XIRR(Z2:Z41,Y2:Y41),"")</f>
        <v/>
      </c>
      <c r="R3" s="12" t="str">
        <f>IF(M3=N3,B14,"")</f>
        <v/>
      </c>
      <c r="S3" s="3" t="str">
        <f ca="1">IF(COUNTIFS(D:D,"&lt;"&amp;TODAY(),J:J,"")=0,"",TODAY()-_xlfn.MINIFS(D:D,D:D,"&lt;"&amp;TODAY(),J:J,""))</f>
        <v/>
      </c>
      <c r="Y3" s="12">
        <f>J2</f>
        <v>46023</v>
      </c>
      <c r="Z3" s="5">
        <f>G2+H2+I2</f>
        <v>1.04</v>
      </c>
    </row>
    <row r="4" spans="1:27" x14ac:dyDescent="0.25">
      <c r="A4" s="8" t="s">
        <v>11</v>
      </c>
      <c r="B4" s="12">
        <v>45969</v>
      </c>
      <c r="D4" s="12">
        <v>46204</v>
      </c>
      <c r="E4" s="5">
        <v>0</v>
      </c>
      <c r="F4" s="5">
        <v>1.75</v>
      </c>
      <c r="G4" s="5">
        <v>0</v>
      </c>
      <c r="H4" s="5">
        <v>1.75</v>
      </c>
      <c r="I4" s="5">
        <v>0</v>
      </c>
      <c r="J4" s="12">
        <v>46204</v>
      </c>
      <c r="K4" s="11">
        <f t="shared" si="0"/>
        <v>0</v>
      </c>
      <c r="Y4" s="12">
        <f t="shared" ref="Y4:Y41" si="1">J3</f>
        <v>46113</v>
      </c>
      <c r="Z4" s="5">
        <f t="shared" ref="Z4:Z41" si="2">G3+H3+I3</f>
        <v>1.73</v>
      </c>
    </row>
    <row r="5" spans="1:27" x14ac:dyDescent="0.25">
      <c r="A5" s="8" t="s">
        <v>2</v>
      </c>
      <c r="B5" s="3" t="s">
        <v>29</v>
      </c>
      <c r="D5" s="12">
        <v>46296</v>
      </c>
      <c r="E5" s="5">
        <v>0</v>
      </c>
      <c r="F5" s="5"/>
      <c r="G5" s="5"/>
      <c r="H5" s="5"/>
      <c r="I5" s="5"/>
      <c r="J5" s="12"/>
      <c r="K5" s="11" t="str">
        <f t="shared" si="0"/>
        <v/>
      </c>
      <c r="Y5" s="12">
        <f t="shared" si="1"/>
        <v>46204</v>
      </c>
      <c r="Z5" s="5">
        <f t="shared" si="2"/>
        <v>1.75</v>
      </c>
    </row>
    <row r="6" spans="1:27" x14ac:dyDescent="0.25">
      <c r="A6" s="8" t="s">
        <v>12</v>
      </c>
      <c r="B6" s="4">
        <v>0.56999999999999995</v>
      </c>
      <c r="D6" s="14">
        <v>46339</v>
      </c>
      <c r="E6" s="5">
        <v>100</v>
      </c>
      <c r="F6" s="5"/>
      <c r="G6" s="5"/>
      <c r="H6" s="5"/>
      <c r="I6" s="5"/>
      <c r="J6" s="12"/>
      <c r="K6" s="11"/>
      <c r="Y6" s="12">
        <f t="shared" si="1"/>
        <v>0</v>
      </c>
      <c r="Z6" s="5">
        <f t="shared" si="2"/>
        <v>0</v>
      </c>
    </row>
    <row r="7" spans="1:27" x14ac:dyDescent="0.25">
      <c r="A7" s="8" t="s">
        <v>13</v>
      </c>
      <c r="B7" s="4">
        <v>0.7</v>
      </c>
      <c r="D7" s="12"/>
      <c r="E7" s="3"/>
      <c r="F7" s="5"/>
      <c r="G7" s="3"/>
      <c r="H7" s="5"/>
      <c r="I7" s="5"/>
      <c r="J7" s="12"/>
      <c r="K7" s="11" t="str">
        <f t="shared" si="0"/>
        <v/>
      </c>
      <c r="Y7" s="12">
        <f t="shared" si="1"/>
        <v>0</v>
      </c>
      <c r="Z7" s="5">
        <f t="shared" si="2"/>
        <v>0</v>
      </c>
    </row>
    <row r="8" spans="1:27" x14ac:dyDescent="0.25">
      <c r="A8" s="8" t="s">
        <v>3</v>
      </c>
      <c r="B8" s="3">
        <v>12</v>
      </c>
      <c r="D8" s="12"/>
      <c r="E8" s="2"/>
      <c r="F8" s="2"/>
      <c r="G8" s="2"/>
      <c r="H8" s="2"/>
      <c r="I8" s="2"/>
      <c r="J8" s="12"/>
      <c r="K8" s="11" t="str">
        <f t="shared" si="0"/>
        <v/>
      </c>
      <c r="Y8" s="12">
        <f t="shared" si="1"/>
        <v>0</v>
      </c>
      <c r="Z8" s="5">
        <f t="shared" si="2"/>
        <v>0</v>
      </c>
    </row>
    <row r="9" spans="1:27" x14ac:dyDescent="0.25">
      <c r="A9" s="8" t="s">
        <v>4</v>
      </c>
      <c r="B9" s="3" t="s">
        <v>8</v>
      </c>
      <c r="D9" s="12"/>
      <c r="E9" s="2"/>
      <c r="F9" s="2"/>
      <c r="G9" s="2"/>
      <c r="H9" s="2"/>
      <c r="I9" s="2"/>
      <c r="J9" s="12"/>
      <c r="K9" s="11" t="str">
        <f t="shared" si="0"/>
        <v/>
      </c>
      <c r="Y9" s="12">
        <f t="shared" si="1"/>
        <v>0</v>
      </c>
      <c r="Z9" s="5">
        <f t="shared" si="2"/>
        <v>0</v>
      </c>
    </row>
    <row r="10" spans="1:27" x14ac:dyDescent="0.25">
      <c r="A10" s="8" t="s">
        <v>6</v>
      </c>
      <c r="B10" s="6">
        <v>7.0000000000000007E-2</v>
      </c>
      <c r="D10" s="12"/>
      <c r="E10" s="2"/>
      <c r="F10" s="2"/>
      <c r="G10" s="2"/>
      <c r="H10" s="2"/>
      <c r="I10" s="2"/>
      <c r="J10" s="12"/>
      <c r="K10" s="11" t="str">
        <f t="shared" si="0"/>
        <v/>
      </c>
      <c r="Y10" s="12">
        <f t="shared" si="1"/>
        <v>0</v>
      </c>
      <c r="Z10" s="5">
        <f t="shared" si="2"/>
        <v>0</v>
      </c>
    </row>
    <row r="11" spans="1:27" x14ac:dyDescent="0.25">
      <c r="A11" s="8" t="s">
        <v>60</v>
      </c>
      <c r="B11" s="5">
        <v>100</v>
      </c>
      <c r="D11" s="12"/>
      <c r="E11" s="2"/>
      <c r="F11" s="2"/>
      <c r="G11" s="2"/>
      <c r="H11" s="2"/>
      <c r="I11" s="2"/>
      <c r="J11" s="12"/>
      <c r="K11" s="11" t="str">
        <f t="shared" si="0"/>
        <v/>
      </c>
      <c r="Y11" s="12">
        <f t="shared" si="1"/>
        <v>0</v>
      </c>
      <c r="Z11" s="5">
        <f t="shared" si="2"/>
        <v>0</v>
      </c>
    </row>
    <row r="12" spans="1:27" x14ac:dyDescent="0.25">
      <c r="A12" s="8" t="s">
        <v>37</v>
      </c>
      <c r="B12" s="16">
        <v>46339</v>
      </c>
      <c r="D12" s="12"/>
      <c r="E12" s="2"/>
      <c r="F12" s="2"/>
      <c r="G12" s="2"/>
      <c r="H12" s="2"/>
      <c r="I12" s="2"/>
      <c r="J12" s="12"/>
      <c r="K12" s="11" t="str">
        <f t="shared" si="0"/>
        <v/>
      </c>
      <c r="Y12" s="12">
        <f t="shared" si="1"/>
        <v>0</v>
      </c>
      <c r="Z12" s="5">
        <f t="shared" si="2"/>
        <v>0</v>
      </c>
    </row>
    <row r="13" spans="1:27" x14ac:dyDescent="0.25">
      <c r="A13" s="8" t="s">
        <v>53</v>
      </c>
      <c r="B13" s="11">
        <f ca="1">IF(B11&lt;&gt;N3,(TODAY()-B12)*-1,"")</f>
        <v>43</v>
      </c>
      <c r="D13" s="12"/>
      <c r="E13" s="2"/>
      <c r="F13" s="2"/>
      <c r="G13" s="2"/>
      <c r="H13" s="2"/>
      <c r="I13" s="2"/>
      <c r="J13" s="12"/>
      <c r="K13" s="11" t="str">
        <f t="shared" si="0"/>
        <v/>
      </c>
      <c r="Y13" s="12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2"/>
      <c r="D14" s="9"/>
      <c r="E14" s="5"/>
      <c r="F14" s="5"/>
      <c r="G14" s="5"/>
      <c r="H14" s="5"/>
      <c r="I14" s="5"/>
      <c r="J14" s="3"/>
      <c r="K14" s="11" t="str">
        <f t="shared" si="0"/>
        <v/>
      </c>
      <c r="Y14" s="12">
        <f t="shared" si="1"/>
        <v>0</v>
      </c>
      <c r="Z14" s="5">
        <f t="shared" si="2"/>
        <v>0</v>
      </c>
    </row>
    <row r="15" spans="1:27" x14ac:dyDescent="0.25">
      <c r="A15" s="8" t="s">
        <v>54</v>
      </c>
      <c r="B15" s="3" t="str">
        <f>IF(M3=N3,B14-B12,"")</f>
        <v/>
      </c>
      <c r="D15" s="9"/>
      <c r="E15" s="5"/>
      <c r="F15" s="5"/>
      <c r="G15" s="5"/>
      <c r="H15" s="5"/>
      <c r="I15" s="5"/>
      <c r="J15" s="3"/>
      <c r="K15" s="11" t="str">
        <f t="shared" si="0"/>
        <v/>
      </c>
      <c r="Y15" s="12">
        <f t="shared" si="1"/>
        <v>0</v>
      </c>
      <c r="Z15" s="5">
        <f t="shared" si="2"/>
        <v>0</v>
      </c>
    </row>
    <row r="16" spans="1:27" x14ac:dyDescent="0.25">
      <c r="D16" s="9"/>
      <c r="E16" s="5"/>
      <c r="F16" s="5"/>
      <c r="G16" s="5"/>
      <c r="H16" s="5"/>
      <c r="I16" s="5"/>
      <c r="J16" s="3"/>
      <c r="K16" s="11" t="str">
        <f t="shared" si="0"/>
        <v/>
      </c>
      <c r="Y16" s="12">
        <f t="shared" si="1"/>
        <v>0</v>
      </c>
      <c r="Z16" s="5">
        <f t="shared" si="2"/>
        <v>0</v>
      </c>
    </row>
    <row r="17" spans="4:26" x14ac:dyDescent="0.25">
      <c r="D17" s="9"/>
      <c r="E17" s="5"/>
      <c r="F17" s="5"/>
      <c r="G17" s="5"/>
      <c r="H17" s="5"/>
      <c r="I17" s="5"/>
      <c r="J17" s="3"/>
      <c r="K17" s="11" t="str">
        <f t="shared" si="0"/>
        <v/>
      </c>
      <c r="Y17" s="12">
        <f t="shared" si="1"/>
        <v>0</v>
      </c>
      <c r="Z17" s="5">
        <f t="shared" si="2"/>
        <v>0</v>
      </c>
    </row>
    <row r="18" spans="4:26" x14ac:dyDescent="0.25">
      <c r="D18" s="9"/>
      <c r="E18" s="5"/>
      <c r="F18" s="5"/>
      <c r="G18" s="5"/>
      <c r="H18" s="5"/>
      <c r="I18" s="5"/>
      <c r="J18" s="3"/>
      <c r="K18" s="11" t="str">
        <f t="shared" si="0"/>
        <v/>
      </c>
      <c r="Y18" s="12">
        <f t="shared" si="1"/>
        <v>0</v>
      </c>
      <c r="Z18" s="5">
        <f t="shared" si="2"/>
        <v>0</v>
      </c>
    </row>
    <row r="19" spans="4:26" x14ac:dyDescent="0.25">
      <c r="D19" s="9"/>
      <c r="E19" s="5"/>
      <c r="F19" s="5"/>
      <c r="G19" s="5"/>
      <c r="H19" s="5"/>
      <c r="I19" s="5"/>
      <c r="J19" s="3"/>
      <c r="K19" s="11" t="str">
        <f t="shared" si="0"/>
        <v/>
      </c>
      <c r="Y19" s="12">
        <f t="shared" si="1"/>
        <v>0</v>
      </c>
      <c r="Z19" s="5">
        <f t="shared" si="2"/>
        <v>0</v>
      </c>
    </row>
    <row r="20" spans="4:26" x14ac:dyDescent="0.25">
      <c r="D20" s="9"/>
      <c r="E20" s="5"/>
      <c r="F20" s="5"/>
      <c r="G20" s="5"/>
      <c r="H20" s="5"/>
      <c r="I20" s="5"/>
      <c r="J20" s="3"/>
      <c r="K20" s="11" t="str">
        <f t="shared" si="0"/>
        <v/>
      </c>
      <c r="Y20" s="12">
        <f t="shared" si="1"/>
        <v>0</v>
      </c>
      <c r="Z20" s="5">
        <f t="shared" si="2"/>
        <v>0</v>
      </c>
    </row>
    <row r="21" spans="4:26" x14ac:dyDescent="0.25">
      <c r="D21" s="9"/>
      <c r="E21" s="5"/>
      <c r="F21" s="5"/>
      <c r="G21" s="5"/>
      <c r="H21" s="5"/>
      <c r="I21" s="5"/>
      <c r="J21" s="3"/>
      <c r="K21" s="11" t="str">
        <f t="shared" si="0"/>
        <v/>
      </c>
      <c r="Y21" s="12">
        <f t="shared" si="1"/>
        <v>0</v>
      </c>
      <c r="Z21" s="5">
        <f t="shared" si="2"/>
        <v>0</v>
      </c>
    </row>
    <row r="22" spans="4:26" x14ac:dyDescent="0.25">
      <c r="D22" s="9"/>
      <c r="E22" s="5"/>
      <c r="F22" s="5"/>
      <c r="G22" s="5"/>
      <c r="H22" s="5"/>
      <c r="I22" s="5"/>
      <c r="J22" s="3"/>
      <c r="K22" s="11" t="str">
        <f t="shared" si="0"/>
        <v/>
      </c>
      <c r="Y22" s="12">
        <f t="shared" si="1"/>
        <v>0</v>
      </c>
      <c r="Z22" s="5">
        <f t="shared" si="2"/>
        <v>0</v>
      </c>
    </row>
    <row r="23" spans="4:26" x14ac:dyDescent="0.25">
      <c r="D23" s="9"/>
      <c r="E23" s="5"/>
      <c r="F23" s="5"/>
      <c r="G23" s="5"/>
      <c r="H23" s="5"/>
      <c r="I23" s="5"/>
      <c r="J23" s="3"/>
      <c r="K23" s="11" t="str">
        <f t="shared" si="0"/>
        <v/>
      </c>
      <c r="Y23" s="12">
        <f t="shared" si="1"/>
        <v>0</v>
      </c>
      <c r="Z23" s="5">
        <f t="shared" si="2"/>
        <v>0</v>
      </c>
    </row>
    <row r="24" spans="4:26" x14ac:dyDescent="0.25">
      <c r="D24" s="9"/>
      <c r="E24" s="5"/>
      <c r="F24" s="5"/>
      <c r="G24" s="5"/>
      <c r="H24" s="5"/>
      <c r="I24" s="5"/>
      <c r="J24" s="3"/>
      <c r="K24" s="11" t="str">
        <f t="shared" si="0"/>
        <v/>
      </c>
      <c r="Y24" s="12">
        <f t="shared" si="1"/>
        <v>0</v>
      </c>
      <c r="Z24" s="5">
        <f t="shared" si="2"/>
        <v>0</v>
      </c>
    </row>
    <row r="25" spans="4:26" x14ac:dyDescent="0.25">
      <c r="D25" s="9"/>
      <c r="E25" s="5"/>
      <c r="F25" s="5"/>
      <c r="G25" s="5"/>
      <c r="H25" s="5"/>
      <c r="I25" s="5"/>
      <c r="J25" s="3"/>
      <c r="K25" s="11" t="str">
        <f t="shared" si="0"/>
        <v/>
      </c>
      <c r="Y25" s="12">
        <f t="shared" si="1"/>
        <v>0</v>
      </c>
      <c r="Z25" s="5">
        <f t="shared" si="2"/>
        <v>0</v>
      </c>
    </row>
    <row r="26" spans="4:26" x14ac:dyDescent="0.25">
      <c r="D26" s="9"/>
      <c r="E26" s="5"/>
      <c r="F26" s="5"/>
      <c r="G26" s="5"/>
      <c r="H26" s="5"/>
      <c r="I26" s="5"/>
      <c r="J26" s="3"/>
      <c r="K26" s="11" t="str">
        <f t="shared" si="0"/>
        <v/>
      </c>
      <c r="Y26" s="12">
        <f t="shared" si="1"/>
        <v>0</v>
      </c>
      <c r="Z26" s="5">
        <f t="shared" si="2"/>
        <v>0</v>
      </c>
    </row>
    <row r="27" spans="4:26" x14ac:dyDescent="0.25">
      <c r="D27" s="9"/>
      <c r="E27" s="5"/>
      <c r="F27" s="5"/>
      <c r="G27" s="5"/>
      <c r="H27" s="5"/>
      <c r="I27" s="5"/>
      <c r="J27" s="3"/>
      <c r="K27" s="11" t="str">
        <f t="shared" si="0"/>
        <v/>
      </c>
      <c r="Y27" s="12">
        <f t="shared" si="1"/>
        <v>0</v>
      </c>
      <c r="Z27" s="5">
        <f t="shared" si="2"/>
        <v>0</v>
      </c>
    </row>
    <row r="28" spans="4:26" x14ac:dyDescent="0.25">
      <c r="D28" s="9"/>
      <c r="E28" s="5"/>
      <c r="F28" s="5"/>
      <c r="G28" s="5"/>
      <c r="H28" s="5"/>
      <c r="I28" s="5"/>
      <c r="J28" s="3"/>
      <c r="K28" s="11" t="str">
        <f t="shared" si="0"/>
        <v/>
      </c>
      <c r="Y28" s="12">
        <f t="shared" si="1"/>
        <v>0</v>
      </c>
      <c r="Z28" s="5">
        <f t="shared" si="2"/>
        <v>0</v>
      </c>
    </row>
    <row r="29" spans="4:26" x14ac:dyDescent="0.25">
      <c r="D29" s="9"/>
      <c r="E29" s="5"/>
      <c r="F29" s="5"/>
      <c r="G29" s="5"/>
      <c r="H29" s="5"/>
      <c r="I29" s="5"/>
      <c r="J29" s="3"/>
      <c r="K29" s="11" t="str">
        <f t="shared" si="0"/>
        <v/>
      </c>
      <c r="Y29" s="12">
        <f t="shared" si="1"/>
        <v>0</v>
      </c>
      <c r="Z29" s="5">
        <f t="shared" si="2"/>
        <v>0</v>
      </c>
    </row>
    <row r="30" spans="4:26" x14ac:dyDescent="0.25">
      <c r="D30" s="9"/>
      <c r="E30" s="5"/>
      <c r="F30" s="5"/>
      <c r="G30" s="5"/>
      <c r="H30" s="5"/>
      <c r="I30" s="5"/>
      <c r="J30" s="3"/>
      <c r="K30" s="11" t="str">
        <f t="shared" si="0"/>
        <v/>
      </c>
      <c r="Y30" s="12">
        <f t="shared" si="1"/>
        <v>0</v>
      </c>
      <c r="Z30" s="5">
        <f t="shared" si="2"/>
        <v>0</v>
      </c>
    </row>
    <row r="31" spans="4:26" x14ac:dyDescent="0.25">
      <c r="D31" s="9"/>
      <c r="E31" s="5"/>
      <c r="F31" s="5"/>
      <c r="G31" s="5"/>
      <c r="H31" s="5"/>
      <c r="I31" s="5"/>
      <c r="J31" s="3"/>
      <c r="K31" s="11" t="str">
        <f t="shared" si="0"/>
        <v/>
      </c>
      <c r="Y31" s="12">
        <f t="shared" si="1"/>
        <v>0</v>
      </c>
      <c r="Z31" s="5">
        <f t="shared" si="2"/>
        <v>0</v>
      </c>
    </row>
    <row r="32" spans="4:26" x14ac:dyDescent="0.25">
      <c r="D32" s="9"/>
      <c r="E32" s="5"/>
      <c r="F32" s="5"/>
      <c r="G32" s="5"/>
      <c r="H32" s="5"/>
      <c r="I32" s="5"/>
      <c r="J32" s="3"/>
      <c r="K32" s="11" t="str">
        <f t="shared" si="0"/>
        <v/>
      </c>
      <c r="Y32" s="12">
        <f t="shared" si="1"/>
        <v>0</v>
      </c>
      <c r="Z32" s="5">
        <f t="shared" si="2"/>
        <v>0</v>
      </c>
    </row>
    <row r="33" spans="4:26" x14ac:dyDescent="0.25">
      <c r="D33" s="9"/>
      <c r="E33" s="5"/>
      <c r="F33" s="5"/>
      <c r="G33" s="5"/>
      <c r="H33" s="5"/>
      <c r="I33" s="5"/>
      <c r="J33" s="3"/>
      <c r="K33" s="11" t="str">
        <f t="shared" si="0"/>
        <v/>
      </c>
      <c r="Y33" s="12">
        <f t="shared" si="1"/>
        <v>0</v>
      </c>
      <c r="Z33" s="5">
        <f t="shared" si="2"/>
        <v>0</v>
      </c>
    </row>
    <row r="34" spans="4:26" x14ac:dyDescent="0.25">
      <c r="D34" s="9"/>
      <c r="E34" s="5"/>
      <c r="F34" s="5"/>
      <c r="G34" s="5"/>
      <c r="H34" s="5"/>
      <c r="I34" s="5"/>
      <c r="J34" s="3"/>
      <c r="K34" s="11" t="str">
        <f t="shared" si="0"/>
        <v/>
      </c>
      <c r="Y34" s="12">
        <f t="shared" si="1"/>
        <v>0</v>
      </c>
      <c r="Z34" s="5">
        <f t="shared" si="2"/>
        <v>0</v>
      </c>
    </row>
    <row r="35" spans="4:26" x14ac:dyDescent="0.25">
      <c r="D35" s="9"/>
      <c r="E35" s="5"/>
      <c r="F35" s="5"/>
      <c r="G35" s="5"/>
      <c r="H35" s="5"/>
      <c r="I35" s="5"/>
      <c r="J35" s="3"/>
      <c r="K35" s="11" t="str">
        <f t="shared" si="0"/>
        <v/>
      </c>
      <c r="Y35" s="12">
        <f t="shared" si="1"/>
        <v>0</v>
      </c>
      <c r="Z35" s="5">
        <f t="shared" si="2"/>
        <v>0</v>
      </c>
    </row>
    <row r="36" spans="4:26" x14ac:dyDescent="0.25">
      <c r="D36" s="9"/>
      <c r="E36" s="5"/>
      <c r="F36" s="5"/>
      <c r="G36" s="5"/>
      <c r="H36" s="5"/>
      <c r="I36" s="5"/>
      <c r="J36" s="3"/>
      <c r="K36" s="11" t="str">
        <f t="shared" si="0"/>
        <v/>
      </c>
      <c r="Y36" s="12">
        <f t="shared" si="1"/>
        <v>0</v>
      </c>
      <c r="Z36" s="5">
        <f t="shared" si="2"/>
        <v>0</v>
      </c>
    </row>
    <row r="37" spans="4:26" x14ac:dyDescent="0.25">
      <c r="D37" s="9"/>
      <c r="E37" s="5"/>
      <c r="F37" s="5"/>
      <c r="G37" s="5"/>
      <c r="H37" s="5"/>
      <c r="I37" s="5"/>
      <c r="J37" s="3"/>
      <c r="K37" s="11" t="str">
        <f t="shared" si="0"/>
        <v/>
      </c>
      <c r="Y37" s="12">
        <f t="shared" si="1"/>
        <v>0</v>
      </c>
      <c r="Z37" s="5">
        <f t="shared" si="2"/>
        <v>0</v>
      </c>
    </row>
    <row r="38" spans="4:26" x14ac:dyDescent="0.25">
      <c r="D38" s="9"/>
      <c r="E38" s="5"/>
      <c r="F38" s="5"/>
      <c r="G38" s="5"/>
      <c r="H38" s="5"/>
      <c r="I38" s="5"/>
      <c r="J38" s="3"/>
      <c r="K38" s="11" t="str">
        <f t="shared" si="0"/>
        <v/>
      </c>
      <c r="Y38" s="12">
        <f t="shared" si="1"/>
        <v>0</v>
      </c>
      <c r="Z38" s="5">
        <f t="shared" si="2"/>
        <v>0</v>
      </c>
    </row>
    <row r="39" spans="4:26" x14ac:dyDescent="0.25">
      <c r="D39" s="9"/>
      <c r="E39" s="5"/>
      <c r="F39" s="5"/>
      <c r="G39" s="5"/>
      <c r="H39" s="5"/>
      <c r="I39" s="5"/>
      <c r="J39" s="3"/>
      <c r="K39" s="11" t="str">
        <f t="shared" si="0"/>
        <v/>
      </c>
      <c r="Y39" s="12">
        <f t="shared" si="1"/>
        <v>0</v>
      </c>
      <c r="Z39" s="5">
        <f t="shared" si="2"/>
        <v>0</v>
      </c>
    </row>
    <row r="40" spans="4:26" x14ac:dyDescent="0.25">
      <c r="D40" s="9"/>
      <c r="E40" s="5"/>
      <c r="F40" s="5"/>
      <c r="G40" s="5"/>
      <c r="H40" s="5"/>
      <c r="I40" s="5"/>
      <c r="J40" s="3"/>
      <c r="K40" s="11" t="str">
        <f t="shared" si="0"/>
        <v/>
      </c>
      <c r="Y40" s="12">
        <f t="shared" si="1"/>
        <v>0</v>
      </c>
      <c r="Z40" s="5">
        <f t="shared" si="2"/>
        <v>0</v>
      </c>
    </row>
    <row r="41" spans="4:26" x14ac:dyDescent="0.25">
      <c r="D41" s="9"/>
      <c r="E41" s="5"/>
      <c r="F41" s="5"/>
      <c r="G41" s="5"/>
      <c r="H41" s="5"/>
      <c r="I41" s="5"/>
      <c r="J41" s="3"/>
      <c r="K41" s="11" t="str">
        <f t="shared" si="0"/>
        <v/>
      </c>
      <c r="Y41" s="12">
        <f t="shared" si="1"/>
        <v>0</v>
      </c>
      <c r="Z41" s="5">
        <f t="shared" si="2"/>
        <v>0</v>
      </c>
    </row>
    <row r="42" spans="4:26" x14ac:dyDescent="0.25">
      <c r="D42" s="9" t="s">
        <v>10</v>
      </c>
      <c r="E42" s="5">
        <f>SUM(E2:E41)</f>
        <v>100</v>
      </c>
      <c r="F42" s="5">
        <f t="shared" ref="F42:I42" si="3">SUM(F2:F41)</f>
        <v>4.5199999999999996</v>
      </c>
      <c r="G42" s="5">
        <f t="shared" si="3"/>
        <v>0</v>
      </c>
      <c r="H42" s="5">
        <f t="shared" si="3"/>
        <v>4.5199999999999996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3" priority="4">
      <formula>$M$3=$N$3</formula>
    </cfRule>
    <cfRule type="expression" dxfId="2" priority="5">
      <formula>$Z$2="+"</formula>
    </cfRule>
  </conditionalFormatting>
  <conditionalFormatting sqref="S3">
    <cfRule type="expression" dxfId="1" priority="1">
      <formula>$AA$2="+"</formula>
    </cfRule>
  </conditionalFormatting>
  <conditionalFormatting sqref="AA2">
    <cfRule type="expression" dxfId="0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Pinigai</vt:lpstr>
      <vt:lpstr>Laikas mėtoms VII, Vilnius</vt:lpstr>
      <vt:lpstr>UAB „Dear Home" projektai XV</vt:lpstr>
      <vt:lpstr>Kaip Niujorke XXXVIII, Vilnius</vt:lpstr>
      <vt:lpstr>UAB "NT reikalas" projektai VI</vt:lpstr>
      <vt:lpstr>ROOTHAUS I, Vilnius</vt:lpstr>
      <vt:lpstr>Pylimo g. 57 butai II, Vilnius</vt:lpstr>
      <vt:lpstr>Spanguolių takai XXXVIII, Riešė</vt:lpstr>
      <vt:lpstr>Panemunės apartamentai IX</vt:lpstr>
      <vt:lpstr>Riverland III butai VI, Vilnius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2025-05-22T07:09:11Z</dcterms:created>
  <dcterms:modified xsi:type="dcterms:W3CDTF">2026-10-01T18:14:29Z</dcterms:modified>
</cp:coreProperties>
</file>