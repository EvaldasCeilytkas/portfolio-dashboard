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Investavimas 2026.08.08\Nectaro\"/>
    </mc:Choice>
  </mc:AlternateContent>
  <xr:revisionPtr revIDLastSave="0" documentId="13_ncr:1_{AF7EC28F-5CB3-4858-B3AA-A604B7493AB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verview" sheetId="1" r:id="rId1"/>
    <sheet name="Pinigai" sheetId="15" r:id="rId2"/>
    <sheet name="LVX0000VRTQ4" sheetId="100" r:id="rId3"/>
    <sheet name="LVX0000VQWW8" sheetId="99" r:id="rId4"/>
    <sheet name="LVX0000VISL6" sheetId="98" r:id="rId5"/>
    <sheet name="LVX0000VQWF3" sheetId="97" r:id="rId6"/>
    <sheet name="LVX0000VG2M4" sheetId="96" r:id="rId7"/>
    <sheet name="LVX0000VIR76" sheetId="95" r:id="rId8"/>
    <sheet name="LVX0000VHJ69" sheetId="94" r:id="rId9"/>
    <sheet name="LVX0000VG7N1" sheetId="93" r:id="rId10"/>
    <sheet name="LVX0000VG7G5" sheetId="92" r:id="rId11"/>
    <sheet name="LVX0000VDGZ2" sheetId="91" r:id="rId12"/>
    <sheet name="LVX0000V0S54" sheetId="90" r:id="rId13"/>
    <sheet name="LVX0000V3XU4" sheetId="89" r:id="rId14"/>
    <sheet name="LVX0000UXVI7" sheetId="88" r:id="rId15"/>
    <sheet name="LVX0000UXVE6" sheetId="87" r:id="rId16"/>
    <sheet name="LVX0000UUJT5" sheetId="86" r:id="rId17"/>
    <sheet name="LVX0000URIF2 (2)" sheetId="85" r:id="rId18"/>
    <sheet name="LVX0000URIF2" sheetId="84" r:id="rId19"/>
    <sheet name="LVX0000UP6R4" sheetId="83" r:id="rId20"/>
    <sheet name="LVX0000ULW59" sheetId="82" r:id="rId21"/>
    <sheet name="LVX0000U4UG8" sheetId="81" r:id="rId22"/>
    <sheet name="LVX0000TRJ61" sheetId="80" r:id="rId23"/>
    <sheet name="LVX0000TRIW9" sheetId="79" r:id="rId24"/>
    <sheet name="LVX0000TPE43" sheetId="78" r:id="rId25"/>
    <sheet name="LVX0000TJQV1" sheetId="77" r:id="rId26"/>
    <sheet name="LVX0000TJR12" sheetId="76" r:id="rId27"/>
    <sheet name="LVX0000TL6K6" sheetId="75" r:id="rId28"/>
    <sheet name="LVX0000TJMX6" sheetId="74" r:id="rId29"/>
    <sheet name="LVX0000ST8W0" sheetId="73" r:id="rId30"/>
    <sheet name="LVX0000T2IT3" sheetId="72" r:id="rId31"/>
    <sheet name="LVX0000T2IU1" sheetId="71" r:id="rId32"/>
    <sheet name="LVX0000SIO33" sheetId="70" r:id="rId33"/>
    <sheet name="LVX0000RXUV8" sheetId="69" r:id="rId34"/>
    <sheet name="LVX0000RLA27" sheetId="68" r:id="rId35"/>
    <sheet name="LVX0000RLA68" sheetId="67" r:id="rId36"/>
    <sheet name="LVX0000RL9Z0" sheetId="66" r:id="rId37"/>
    <sheet name="LVX0000RL9Y3" sheetId="65" r:id="rId38"/>
    <sheet name="LVX0000R7P58" sheetId="64" r:id="rId39"/>
    <sheet name="LVX0000RAM67" sheetId="63" r:id="rId40"/>
    <sheet name="LVX0000RAL27" sheetId="62" r:id="rId41"/>
    <sheet name="LVX0000R32A7" sheetId="61" r:id="rId42"/>
    <sheet name="LVX0000R31L6" sheetId="60" r:id="rId43"/>
    <sheet name="LVX0000QSAL3" sheetId="59" r:id="rId44"/>
    <sheet name="LVX0000QBKH6" sheetId="58" r:id="rId45"/>
    <sheet name="LVX0000Q0E27" sheetId="57" r:id="rId46"/>
    <sheet name="LVX0000PQUG7" sheetId="56" r:id="rId47"/>
    <sheet name="LVX0000Q0ED3" sheetId="55" r:id="rId48"/>
    <sheet name="LVX0000PQUR4" sheetId="54" r:id="rId49"/>
    <sheet name="LVX0000Q7QJ9" sheetId="53" r:id="rId50"/>
    <sheet name="LVX0000PQUM5" sheetId="52" r:id="rId51"/>
    <sheet name="LVX0000PLQM4" sheetId="51" r:id="rId52"/>
    <sheet name="LVX0000PQRD0" sheetId="50" r:id="rId53"/>
    <sheet name="LVX0000PLPE3" sheetId="49" r:id="rId54"/>
    <sheet name="LVX0000PFLZ9" sheetId="48" r:id="rId55"/>
    <sheet name="LVX0000P9SY1" sheetId="47" r:id="rId5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71" l="1"/>
  <c r="F12" i="59"/>
  <c r="N56" i="1"/>
  <c r="I56" i="1"/>
  <c r="H56" i="1"/>
  <c r="G56" i="1"/>
  <c r="F56" i="1"/>
  <c r="E56" i="1"/>
  <c r="D56" i="1"/>
  <c r="C56" i="1"/>
  <c r="B56" i="1"/>
  <c r="AC56" i="1"/>
  <c r="I53" i="100"/>
  <c r="M3" i="100" s="1"/>
  <c r="O56" i="1" s="1"/>
  <c r="H53" i="100"/>
  <c r="L3" i="100" s="1"/>
  <c r="G53" i="100"/>
  <c r="K3" i="100" s="1"/>
  <c r="M56" i="1" s="1"/>
  <c r="Y52" i="100"/>
  <c r="X52" i="100"/>
  <c r="F52" i="100"/>
  <c r="Y51" i="100"/>
  <c r="X51" i="100"/>
  <c r="F51" i="100"/>
  <c r="Y50" i="100"/>
  <c r="X50" i="100"/>
  <c r="F50" i="100"/>
  <c r="Y49" i="100"/>
  <c r="X49" i="100"/>
  <c r="F49" i="100"/>
  <c r="Y48" i="100"/>
  <c r="X48" i="100"/>
  <c r="F48" i="100"/>
  <c r="Y47" i="100"/>
  <c r="X47" i="100"/>
  <c r="F47" i="100"/>
  <c r="Y46" i="100"/>
  <c r="X46" i="100"/>
  <c r="F46" i="100"/>
  <c r="Y45" i="100"/>
  <c r="X45" i="100"/>
  <c r="F45" i="100"/>
  <c r="Y44" i="100"/>
  <c r="X44" i="100"/>
  <c r="F44" i="100"/>
  <c r="Y43" i="100"/>
  <c r="X43" i="100"/>
  <c r="F43" i="100"/>
  <c r="Y42" i="100"/>
  <c r="X42" i="100"/>
  <c r="F42" i="100"/>
  <c r="Y41" i="100"/>
  <c r="X41" i="100"/>
  <c r="F41" i="100"/>
  <c r="Y40" i="100"/>
  <c r="X40" i="100"/>
  <c r="F40" i="100"/>
  <c r="Y39" i="100"/>
  <c r="X39" i="100"/>
  <c r="F39" i="100"/>
  <c r="Y38" i="100"/>
  <c r="X38" i="100"/>
  <c r="F38" i="100"/>
  <c r="Y37" i="100"/>
  <c r="X37" i="100"/>
  <c r="F37" i="100"/>
  <c r="Y36" i="100"/>
  <c r="X36" i="100"/>
  <c r="F36" i="100"/>
  <c r="Y35" i="100"/>
  <c r="X35" i="100"/>
  <c r="F35" i="100"/>
  <c r="Y34" i="100"/>
  <c r="X34" i="100"/>
  <c r="F34" i="100"/>
  <c r="Y33" i="100"/>
  <c r="X33" i="100"/>
  <c r="F33" i="100"/>
  <c r="Y32" i="100"/>
  <c r="X32" i="100"/>
  <c r="F32" i="100"/>
  <c r="Y31" i="100"/>
  <c r="X31" i="100"/>
  <c r="F31" i="100"/>
  <c r="Y30" i="100"/>
  <c r="X30" i="100"/>
  <c r="F30" i="100"/>
  <c r="Y29" i="100"/>
  <c r="X29" i="100"/>
  <c r="F29" i="100"/>
  <c r="Y28" i="100"/>
  <c r="X28" i="100"/>
  <c r="F28" i="100"/>
  <c r="Y27" i="100"/>
  <c r="X27" i="100"/>
  <c r="F27" i="100"/>
  <c r="Y26" i="100"/>
  <c r="X26" i="100"/>
  <c r="F26" i="100"/>
  <c r="Y25" i="100"/>
  <c r="X25" i="100"/>
  <c r="F25" i="100"/>
  <c r="Y24" i="100"/>
  <c r="X24" i="100"/>
  <c r="F24" i="100"/>
  <c r="Y23" i="100"/>
  <c r="X23" i="100"/>
  <c r="F23" i="100"/>
  <c r="Y22" i="100"/>
  <c r="X22" i="100"/>
  <c r="F22" i="100"/>
  <c r="Y21" i="100"/>
  <c r="X21" i="100"/>
  <c r="F21" i="100"/>
  <c r="Y20" i="100"/>
  <c r="X20" i="100"/>
  <c r="F20" i="100"/>
  <c r="Y19" i="100"/>
  <c r="X19" i="100"/>
  <c r="F19" i="100"/>
  <c r="Y18" i="100"/>
  <c r="X18" i="100"/>
  <c r="F18" i="100"/>
  <c r="Y17" i="100"/>
  <c r="X17" i="100"/>
  <c r="F17" i="100"/>
  <c r="Y16" i="100"/>
  <c r="X16" i="100"/>
  <c r="F16" i="100"/>
  <c r="Y15" i="100"/>
  <c r="X15" i="100"/>
  <c r="F15" i="100"/>
  <c r="Y14" i="100"/>
  <c r="X14" i="100"/>
  <c r="F14" i="100"/>
  <c r="Y13" i="100"/>
  <c r="X13" i="100"/>
  <c r="F13" i="100"/>
  <c r="Y12" i="100"/>
  <c r="X12" i="100"/>
  <c r="F12" i="100"/>
  <c r="Y11" i="100"/>
  <c r="X11" i="100"/>
  <c r="F11" i="100"/>
  <c r="Y10" i="100"/>
  <c r="X10" i="100"/>
  <c r="F10" i="100"/>
  <c r="Y9" i="100"/>
  <c r="X9" i="100"/>
  <c r="Y8" i="100"/>
  <c r="X8" i="100"/>
  <c r="F8" i="100"/>
  <c r="B8" i="100"/>
  <c r="Y7" i="100"/>
  <c r="X7" i="100"/>
  <c r="F7" i="100"/>
  <c r="Y6" i="100"/>
  <c r="X6" i="100"/>
  <c r="F6" i="100"/>
  <c r="Y5" i="100"/>
  <c r="X5" i="100"/>
  <c r="F5" i="100"/>
  <c r="Y4" i="100"/>
  <c r="X4" i="100"/>
  <c r="F4" i="100"/>
  <c r="Y3" i="100"/>
  <c r="X3" i="100"/>
  <c r="F3" i="100"/>
  <c r="I55" i="1"/>
  <c r="H55" i="1"/>
  <c r="G55" i="1"/>
  <c r="F55" i="1"/>
  <c r="E55" i="1"/>
  <c r="D55" i="1"/>
  <c r="C55" i="1"/>
  <c r="B55" i="1"/>
  <c r="I54" i="1"/>
  <c r="H54" i="1"/>
  <c r="G54" i="1"/>
  <c r="F54" i="1"/>
  <c r="E54" i="1"/>
  <c r="D54" i="1"/>
  <c r="C54" i="1"/>
  <c r="B54" i="1"/>
  <c r="I53" i="99"/>
  <c r="H53" i="99"/>
  <c r="G53" i="99"/>
  <c r="K3" i="99" s="1"/>
  <c r="Y52" i="99"/>
  <c r="X52" i="99"/>
  <c r="F52" i="99"/>
  <c r="Y51" i="99"/>
  <c r="X51" i="99"/>
  <c r="F51" i="99"/>
  <c r="Y50" i="99"/>
  <c r="X50" i="99"/>
  <c r="F50" i="99"/>
  <c r="Y49" i="99"/>
  <c r="X49" i="99"/>
  <c r="F49" i="99"/>
  <c r="Y48" i="99"/>
  <c r="X48" i="99"/>
  <c r="F48" i="99"/>
  <c r="Y47" i="99"/>
  <c r="X47" i="99"/>
  <c r="F47" i="99"/>
  <c r="Y46" i="99"/>
  <c r="X46" i="99"/>
  <c r="F46" i="99"/>
  <c r="Y45" i="99"/>
  <c r="X45" i="99"/>
  <c r="F45" i="99"/>
  <c r="Y44" i="99"/>
  <c r="X44" i="99"/>
  <c r="F44" i="99"/>
  <c r="Y43" i="99"/>
  <c r="X43" i="99"/>
  <c r="F43" i="99"/>
  <c r="Y42" i="99"/>
  <c r="X42" i="99"/>
  <c r="F42" i="99"/>
  <c r="Y41" i="99"/>
  <c r="X41" i="99"/>
  <c r="F41" i="99"/>
  <c r="Y40" i="99"/>
  <c r="X40" i="99"/>
  <c r="F40" i="99"/>
  <c r="Y39" i="99"/>
  <c r="X39" i="99"/>
  <c r="F39" i="99"/>
  <c r="Y38" i="99"/>
  <c r="X38" i="99"/>
  <c r="F38" i="99"/>
  <c r="Y37" i="99"/>
  <c r="X37" i="99"/>
  <c r="F37" i="99"/>
  <c r="Y36" i="99"/>
  <c r="X36" i="99"/>
  <c r="F36" i="99"/>
  <c r="Y35" i="99"/>
  <c r="X35" i="99"/>
  <c r="F35" i="99"/>
  <c r="Y34" i="99"/>
  <c r="X34" i="99"/>
  <c r="F34" i="99"/>
  <c r="Y33" i="99"/>
  <c r="X33" i="99"/>
  <c r="F33" i="99"/>
  <c r="Y32" i="99"/>
  <c r="X32" i="99"/>
  <c r="F32" i="99"/>
  <c r="Y31" i="99"/>
  <c r="X31" i="99"/>
  <c r="F31" i="99"/>
  <c r="Y30" i="99"/>
  <c r="X30" i="99"/>
  <c r="F30" i="99"/>
  <c r="Y29" i="99"/>
  <c r="X29" i="99"/>
  <c r="F29" i="99"/>
  <c r="Y28" i="99"/>
  <c r="X28" i="99"/>
  <c r="F28" i="99"/>
  <c r="Y27" i="99"/>
  <c r="X27" i="99"/>
  <c r="F27" i="99"/>
  <c r="Y26" i="99"/>
  <c r="X26" i="99"/>
  <c r="F26" i="99"/>
  <c r="Y25" i="99"/>
  <c r="X25" i="99"/>
  <c r="F25" i="99"/>
  <c r="Y24" i="99"/>
  <c r="X24" i="99"/>
  <c r="F24" i="99"/>
  <c r="Y23" i="99"/>
  <c r="X23" i="99"/>
  <c r="F23" i="99"/>
  <c r="Y22" i="99"/>
  <c r="X22" i="99"/>
  <c r="F22" i="99"/>
  <c r="Y21" i="99"/>
  <c r="X21" i="99"/>
  <c r="F21" i="99"/>
  <c r="Y20" i="99"/>
  <c r="X20" i="99"/>
  <c r="F20" i="99"/>
  <c r="Y19" i="99"/>
  <c r="X19" i="99"/>
  <c r="F19" i="99"/>
  <c r="Y18" i="99"/>
  <c r="X18" i="99"/>
  <c r="F18" i="99"/>
  <c r="Y17" i="99"/>
  <c r="X17" i="99"/>
  <c r="F17" i="99"/>
  <c r="Y16" i="99"/>
  <c r="X16" i="99"/>
  <c r="F16" i="99"/>
  <c r="Y15" i="99"/>
  <c r="X15" i="99"/>
  <c r="F15" i="99"/>
  <c r="Y14" i="99"/>
  <c r="X14" i="99"/>
  <c r="F14" i="99"/>
  <c r="Y13" i="99"/>
  <c r="X13" i="99"/>
  <c r="F13" i="99"/>
  <c r="Y12" i="99"/>
  <c r="X12" i="99"/>
  <c r="F12" i="99"/>
  <c r="Y11" i="99"/>
  <c r="X11" i="99"/>
  <c r="F11" i="99"/>
  <c r="Y10" i="99"/>
  <c r="X10" i="99"/>
  <c r="F10" i="99"/>
  <c r="Y9" i="99"/>
  <c r="X9" i="99"/>
  <c r="Y8" i="99"/>
  <c r="X8" i="99"/>
  <c r="F8" i="99"/>
  <c r="B8" i="99"/>
  <c r="Y7" i="99"/>
  <c r="X7" i="99"/>
  <c r="F7" i="99"/>
  <c r="Y6" i="99"/>
  <c r="X6" i="99"/>
  <c r="F6" i="99"/>
  <c r="Y5" i="99"/>
  <c r="X5" i="99"/>
  <c r="F5" i="99"/>
  <c r="Y4" i="99"/>
  <c r="X4" i="99"/>
  <c r="F4" i="99"/>
  <c r="Y3" i="99"/>
  <c r="X3" i="99"/>
  <c r="M3" i="99"/>
  <c r="O55" i="1" s="1"/>
  <c r="L3" i="99"/>
  <c r="N55" i="1" s="1"/>
  <c r="F3" i="99"/>
  <c r="I53" i="98"/>
  <c r="H53" i="98"/>
  <c r="G53" i="98"/>
  <c r="K3" i="98" s="1"/>
  <c r="Y52" i="98"/>
  <c r="X52" i="98"/>
  <c r="F52" i="98"/>
  <c r="Y51" i="98"/>
  <c r="X51" i="98"/>
  <c r="F51" i="98"/>
  <c r="Y50" i="98"/>
  <c r="X50" i="98"/>
  <c r="F50" i="98"/>
  <c r="Y49" i="98"/>
  <c r="X49" i="98"/>
  <c r="F49" i="98"/>
  <c r="Y48" i="98"/>
  <c r="X48" i="98"/>
  <c r="F48" i="98"/>
  <c r="Y47" i="98"/>
  <c r="X47" i="98"/>
  <c r="F47" i="98"/>
  <c r="Y46" i="98"/>
  <c r="X46" i="98"/>
  <c r="F46" i="98"/>
  <c r="Y45" i="98"/>
  <c r="X45" i="98"/>
  <c r="F45" i="98"/>
  <c r="Y44" i="98"/>
  <c r="X44" i="98"/>
  <c r="F44" i="98"/>
  <c r="Y43" i="98"/>
  <c r="X43" i="98"/>
  <c r="F43" i="98"/>
  <c r="Y42" i="98"/>
  <c r="X42" i="98"/>
  <c r="F42" i="98"/>
  <c r="Y41" i="98"/>
  <c r="X41" i="98"/>
  <c r="F41" i="98"/>
  <c r="Y40" i="98"/>
  <c r="X40" i="98"/>
  <c r="F40" i="98"/>
  <c r="Y39" i="98"/>
  <c r="X39" i="98"/>
  <c r="F39" i="98"/>
  <c r="Y38" i="98"/>
  <c r="X38" i="98"/>
  <c r="F38" i="98"/>
  <c r="Y37" i="98"/>
  <c r="X37" i="98"/>
  <c r="F37" i="98"/>
  <c r="Y36" i="98"/>
  <c r="X36" i="98"/>
  <c r="F36" i="98"/>
  <c r="Y35" i="98"/>
  <c r="X35" i="98"/>
  <c r="F35" i="98"/>
  <c r="Y34" i="98"/>
  <c r="X34" i="98"/>
  <c r="F34" i="98"/>
  <c r="Y33" i="98"/>
  <c r="X33" i="98"/>
  <c r="F33" i="98"/>
  <c r="Y32" i="98"/>
  <c r="X32" i="98"/>
  <c r="F32" i="98"/>
  <c r="Y31" i="98"/>
  <c r="X31" i="98"/>
  <c r="F31" i="98"/>
  <c r="Y30" i="98"/>
  <c r="X30" i="98"/>
  <c r="F30" i="98"/>
  <c r="Y29" i="98"/>
  <c r="X29" i="98"/>
  <c r="F29" i="98"/>
  <c r="Y28" i="98"/>
  <c r="X28" i="98"/>
  <c r="F28" i="98"/>
  <c r="Y27" i="98"/>
  <c r="X27" i="98"/>
  <c r="F27" i="98"/>
  <c r="Y26" i="98"/>
  <c r="X26" i="98"/>
  <c r="F26" i="98"/>
  <c r="Y25" i="98"/>
  <c r="X25" i="98"/>
  <c r="F25" i="98"/>
  <c r="Y24" i="98"/>
  <c r="X24" i="98"/>
  <c r="F24" i="98"/>
  <c r="Y23" i="98"/>
  <c r="X23" i="98"/>
  <c r="F23" i="98"/>
  <c r="Y22" i="98"/>
  <c r="X22" i="98"/>
  <c r="F22" i="98"/>
  <c r="Y21" i="98"/>
  <c r="X21" i="98"/>
  <c r="F21" i="98"/>
  <c r="Y20" i="98"/>
  <c r="X20" i="98"/>
  <c r="F20" i="98"/>
  <c r="Y19" i="98"/>
  <c r="X19" i="98"/>
  <c r="F19" i="98"/>
  <c r="Y18" i="98"/>
  <c r="X18" i="98"/>
  <c r="F18" i="98"/>
  <c r="Y17" i="98"/>
  <c r="X17" i="98"/>
  <c r="F17" i="98"/>
  <c r="Y16" i="98"/>
  <c r="X16" i="98"/>
  <c r="F16" i="98"/>
  <c r="Y15" i="98"/>
  <c r="X15" i="98"/>
  <c r="F15" i="98"/>
  <c r="Y14" i="98"/>
  <c r="X14" i="98"/>
  <c r="F14" i="98"/>
  <c r="Y13" i="98"/>
  <c r="X13" i="98"/>
  <c r="F13" i="98"/>
  <c r="Y12" i="98"/>
  <c r="X12" i="98"/>
  <c r="F12" i="98"/>
  <c r="Y11" i="98"/>
  <c r="X11" i="98"/>
  <c r="F11" i="98"/>
  <c r="Y10" i="98"/>
  <c r="X10" i="98"/>
  <c r="F10" i="98"/>
  <c r="Y9" i="98"/>
  <c r="X9" i="98"/>
  <c r="Y8" i="98"/>
  <c r="X8" i="98"/>
  <c r="F8" i="98"/>
  <c r="B8" i="98"/>
  <c r="Y7" i="98"/>
  <c r="X7" i="98"/>
  <c r="F7" i="98"/>
  <c r="Y6" i="98"/>
  <c r="X6" i="98"/>
  <c r="F6" i="98"/>
  <c r="Y5" i="98"/>
  <c r="X5" i="98"/>
  <c r="F5" i="98"/>
  <c r="Y4" i="98"/>
  <c r="X4" i="98"/>
  <c r="F4" i="98"/>
  <c r="Y3" i="98"/>
  <c r="X3" i="98"/>
  <c r="M3" i="98"/>
  <c r="O54" i="1" s="1"/>
  <c r="L3" i="98"/>
  <c r="N54" i="1" s="1"/>
  <c r="F3" i="98"/>
  <c r="M53" i="1"/>
  <c r="I53" i="1"/>
  <c r="H53" i="1"/>
  <c r="G53" i="1"/>
  <c r="F53" i="1"/>
  <c r="E53" i="1"/>
  <c r="D53" i="1"/>
  <c r="C53" i="1"/>
  <c r="B53" i="1"/>
  <c r="I53" i="97"/>
  <c r="H53" i="97"/>
  <c r="G53" i="97"/>
  <c r="K3" i="97" s="1"/>
  <c r="Y52" i="97"/>
  <c r="X52" i="97"/>
  <c r="F52" i="97"/>
  <c r="Y51" i="97"/>
  <c r="X51" i="97"/>
  <c r="F51" i="97"/>
  <c r="Y50" i="97"/>
  <c r="X50" i="97"/>
  <c r="F50" i="97"/>
  <c r="Y49" i="97"/>
  <c r="X49" i="97"/>
  <c r="F49" i="97"/>
  <c r="Y48" i="97"/>
  <c r="X48" i="97"/>
  <c r="F48" i="97"/>
  <c r="Y47" i="97"/>
  <c r="X47" i="97"/>
  <c r="F47" i="97"/>
  <c r="Y46" i="97"/>
  <c r="X46" i="97"/>
  <c r="F46" i="97"/>
  <c r="Y45" i="97"/>
  <c r="X45" i="97"/>
  <c r="F45" i="97"/>
  <c r="Y44" i="97"/>
  <c r="X44" i="97"/>
  <c r="F44" i="97"/>
  <c r="Y43" i="97"/>
  <c r="X43" i="97"/>
  <c r="F43" i="97"/>
  <c r="Y42" i="97"/>
  <c r="X42" i="97"/>
  <c r="F42" i="97"/>
  <c r="Y41" i="97"/>
  <c r="X41" i="97"/>
  <c r="F41" i="97"/>
  <c r="Y40" i="97"/>
  <c r="X40" i="97"/>
  <c r="F40" i="97"/>
  <c r="Y39" i="97"/>
  <c r="X39" i="97"/>
  <c r="F39" i="97"/>
  <c r="Y38" i="97"/>
  <c r="X38" i="97"/>
  <c r="F38" i="97"/>
  <c r="Y37" i="97"/>
  <c r="X37" i="97"/>
  <c r="F37" i="97"/>
  <c r="Y36" i="97"/>
  <c r="X36" i="97"/>
  <c r="F36" i="97"/>
  <c r="Y35" i="97"/>
  <c r="X35" i="97"/>
  <c r="F35" i="97"/>
  <c r="Y34" i="97"/>
  <c r="X34" i="97"/>
  <c r="F34" i="97"/>
  <c r="Y33" i="97"/>
  <c r="X33" i="97"/>
  <c r="F33" i="97"/>
  <c r="Y32" i="97"/>
  <c r="X32" i="97"/>
  <c r="F32" i="97"/>
  <c r="Y31" i="97"/>
  <c r="X31" i="97"/>
  <c r="F31" i="97"/>
  <c r="Y30" i="97"/>
  <c r="X30" i="97"/>
  <c r="F30" i="97"/>
  <c r="Y29" i="97"/>
  <c r="X29" i="97"/>
  <c r="F29" i="97"/>
  <c r="Y28" i="97"/>
  <c r="X28" i="97"/>
  <c r="F28" i="97"/>
  <c r="Y27" i="97"/>
  <c r="X27" i="97"/>
  <c r="F27" i="97"/>
  <c r="Y26" i="97"/>
  <c r="X26" i="97"/>
  <c r="F26" i="97"/>
  <c r="Y25" i="97"/>
  <c r="X25" i="97"/>
  <c r="F25" i="97"/>
  <c r="Y24" i="97"/>
  <c r="X24" i="97"/>
  <c r="F24" i="97"/>
  <c r="Y23" i="97"/>
  <c r="X23" i="97"/>
  <c r="F23" i="97"/>
  <c r="Y22" i="97"/>
  <c r="X22" i="97"/>
  <c r="F22" i="97"/>
  <c r="Y21" i="97"/>
  <c r="X21" i="97"/>
  <c r="F21" i="97"/>
  <c r="Y20" i="97"/>
  <c r="X20" i="97"/>
  <c r="F20" i="97"/>
  <c r="Y19" i="97"/>
  <c r="X19" i="97"/>
  <c r="F19" i="97"/>
  <c r="Y18" i="97"/>
  <c r="X18" i="97"/>
  <c r="F18" i="97"/>
  <c r="Y17" i="97"/>
  <c r="X17" i="97"/>
  <c r="F17" i="97"/>
  <c r="Y16" i="97"/>
  <c r="X16" i="97"/>
  <c r="F16" i="97"/>
  <c r="Y15" i="97"/>
  <c r="X15" i="97"/>
  <c r="F15" i="97"/>
  <c r="Y14" i="97"/>
  <c r="X14" i="97"/>
  <c r="F14" i="97"/>
  <c r="Y13" i="97"/>
  <c r="X13" i="97"/>
  <c r="F13" i="97"/>
  <c r="Y12" i="97"/>
  <c r="X12" i="97"/>
  <c r="F12" i="97"/>
  <c r="Y11" i="97"/>
  <c r="X11" i="97"/>
  <c r="F11" i="97"/>
  <c r="Y10" i="97"/>
  <c r="X10" i="97"/>
  <c r="F10" i="97"/>
  <c r="Y9" i="97"/>
  <c r="X9" i="97"/>
  <c r="Y8" i="97"/>
  <c r="X8" i="97"/>
  <c r="F8" i="97"/>
  <c r="B8" i="97"/>
  <c r="Y7" i="97"/>
  <c r="X7" i="97"/>
  <c r="F7" i="97"/>
  <c r="Y6" i="97"/>
  <c r="X6" i="97"/>
  <c r="F6" i="97"/>
  <c r="Y5" i="97"/>
  <c r="X5" i="97"/>
  <c r="F5" i="97"/>
  <c r="Y4" i="97"/>
  <c r="X4" i="97"/>
  <c r="F4" i="97"/>
  <c r="Y3" i="97"/>
  <c r="X3" i="97"/>
  <c r="M3" i="97"/>
  <c r="O53" i="1" s="1"/>
  <c r="L3" i="97"/>
  <c r="N53" i="1" s="1"/>
  <c r="F3" i="97"/>
  <c r="M52" i="1"/>
  <c r="I52" i="1"/>
  <c r="H52" i="1"/>
  <c r="G52" i="1"/>
  <c r="F52" i="1"/>
  <c r="E52" i="1"/>
  <c r="D52" i="1"/>
  <c r="C52" i="1"/>
  <c r="B52" i="1"/>
  <c r="I53" i="96"/>
  <c r="H53" i="96"/>
  <c r="G53" i="96"/>
  <c r="K3" i="96" s="1"/>
  <c r="Y52" i="96"/>
  <c r="X52" i="96"/>
  <c r="F52" i="96"/>
  <c r="Y51" i="96"/>
  <c r="X51" i="96"/>
  <c r="F51" i="96"/>
  <c r="Y50" i="96"/>
  <c r="X50" i="96"/>
  <c r="F50" i="96"/>
  <c r="Y49" i="96"/>
  <c r="X49" i="96"/>
  <c r="F49" i="96"/>
  <c r="Y48" i="96"/>
  <c r="X48" i="96"/>
  <c r="F48" i="96"/>
  <c r="Y47" i="96"/>
  <c r="X47" i="96"/>
  <c r="F47" i="96"/>
  <c r="Y46" i="96"/>
  <c r="X46" i="96"/>
  <c r="F46" i="96"/>
  <c r="Y45" i="96"/>
  <c r="X45" i="96"/>
  <c r="F45" i="96"/>
  <c r="Y44" i="96"/>
  <c r="X44" i="96"/>
  <c r="F44" i="96"/>
  <c r="Y43" i="96"/>
  <c r="X43" i="96"/>
  <c r="F43" i="96"/>
  <c r="Y42" i="96"/>
  <c r="X42" i="96"/>
  <c r="F42" i="96"/>
  <c r="Y41" i="96"/>
  <c r="X41" i="96"/>
  <c r="F41" i="96"/>
  <c r="Y40" i="96"/>
  <c r="X40" i="96"/>
  <c r="F40" i="96"/>
  <c r="Y39" i="96"/>
  <c r="X39" i="96"/>
  <c r="F39" i="96"/>
  <c r="Y38" i="96"/>
  <c r="X38" i="96"/>
  <c r="F38" i="96"/>
  <c r="Y37" i="96"/>
  <c r="X37" i="96"/>
  <c r="F37" i="96"/>
  <c r="Y36" i="96"/>
  <c r="X36" i="96"/>
  <c r="F36" i="96"/>
  <c r="Y35" i="96"/>
  <c r="X35" i="96"/>
  <c r="F35" i="96"/>
  <c r="Y34" i="96"/>
  <c r="X34" i="96"/>
  <c r="F34" i="96"/>
  <c r="Y33" i="96"/>
  <c r="X33" i="96"/>
  <c r="F33" i="96"/>
  <c r="Y32" i="96"/>
  <c r="X32" i="96"/>
  <c r="F32" i="96"/>
  <c r="Y31" i="96"/>
  <c r="X31" i="96"/>
  <c r="F31" i="96"/>
  <c r="Y30" i="96"/>
  <c r="X30" i="96"/>
  <c r="F30" i="96"/>
  <c r="Y29" i="96"/>
  <c r="X29" i="96"/>
  <c r="F29" i="96"/>
  <c r="Y28" i="96"/>
  <c r="X28" i="96"/>
  <c r="F28" i="96"/>
  <c r="Y27" i="96"/>
  <c r="X27" i="96"/>
  <c r="F27" i="96"/>
  <c r="Y26" i="96"/>
  <c r="X26" i="96"/>
  <c r="F26" i="96"/>
  <c r="Y25" i="96"/>
  <c r="X25" i="96"/>
  <c r="F25" i="96"/>
  <c r="Y24" i="96"/>
  <c r="X24" i="96"/>
  <c r="F24" i="96"/>
  <c r="Y23" i="96"/>
  <c r="X23" i="96"/>
  <c r="F23" i="96"/>
  <c r="Y22" i="96"/>
  <c r="X22" i="96"/>
  <c r="F22" i="96"/>
  <c r="Y21" i="96"/>
  <c r="X21" i="96"/>
  <c r="F21" i="96"/>
  <c r="Y20" i="96"/>
  <c r="X20" i="96"/>
  <c r="F20" i="96"/>
  <c r="Y19" i="96"/>
  <c r="X19" i="96"/>
  <c r="F19" i="96"/>
  <c r="Y18" i="96"/>
  <c r="X18" i="96"/>
  <c r="F18" i="96"/>
  <c r="Y17" i="96"/>
  <c r="X17" i="96"/>
  <c r="F17" i="96"/>
  <c r="Y16" i="96"/>
  <c r="X16" i="96"/>
  <c r="F16" i="96"/>
  <c r="Y15" i="96"/>
  <c r="X15" i="96"/>
  <c r="F15" i="96"/>
  <c r="Y14" i="96"/>
  <c r="X14" i="96"/>
  <c r="F14" i="96"/>
  <c r="Y13" i="96"/>
  <c r="X13" i="96"/>
  <c r="F13" i="96"/>
  <c r="Y12" i="96"/>
  <c r="X12" i="96"/>
  <c r="F12" i="96"/>
  <c r="Y11" i="96"/>
  <c r="X11" i="96"/>
  <c r="F11" i="96"/>
  <c r="Y10" i="96"/>
  <c r="X10" i="96"/>
  <c r="F10" i="96"/>
  <c r="Y9" i="96"/>
  <c r="X9" i="96"/>
  <c r="Y8" i="96"/>
  <c r="X8" i="96"/>
  <c r="F8" i="96"/>
  <c r="B8" i="96"/>
  <c r="Y7" i="96"/>
  <c r="X7" i="96"/>
  <c r="F7" i="96"/>
  <c r="Y6" i="96"/>
  <c r="X6" i="96"/>
  <c r="F6" i="96"/>
  <c r="Y5" i="96"/>
  <c r="X5" i="96"/>
  <c r="F5" i="96"/>
  <c r="Y4" i="96"/>
  <c r="X4" i="96"/>
  <c r="F4" i="96"/>
  <c r="Y3" i="96"/>
  <c r="X3" i="96"/>
  <c r="M3" i="96"/>
  <c r="O52" i="1" s="1"/>
  <c r="L3" i="96"/>
  <c r="N52" i="1" s="1"/>
  <c r="F3" i="96"/>
  <c r="K22" i="15"/>
  <c r="K21" i="15"/>
  <c r="F3" i="95"/>
  <c r="F3" i="94"/>
  <c r="F3" i="93"/>
  <c r="F3" i="92"/>
  <c r="F3" i="91"/>
  <c r="I51" i="1"/>
  <c r="H51" i="1"/>
  <c r="G51" i="1"/>
  <c r="F51" i="1"/>
  <c r="E51" i="1"/>
  <c r="D51" i="1"/>
  <c r="C51" i="1"/>
  <c r="B51" i="1"/>
  <c r="M50" i="1"/>
  <c r="I50" i="1"/>
  <c r="H50" i="1"/>
  <c r="G50" i="1"/>
  <c r="F50" i="1"/>
  <c r="E50" i="1"/>
  <c r="D50" i="1"/>
  <c r="C50" i="1"/>
  <c r="B50" i="1"/>
  <c r="I49" i="1"/>
  <c r="H49" i="1"/>
  <c r="G49" i="1"/>
  <c r="F49" i="1"/>
  <c r="E49" i="1"/>
  <c r="D49" i="1"/>
  <c r="C49" i="1"/>
  <c r="B49" i="1"/>
  <c r="N48" i="1"/>
  <c r="I48" i="1"/>
  <c r="H48" i="1"/>
  <c r="G48" i="1"/>
  <c r="F48" i="1"/>
  <c r="E48" i="1"/>
  <c r="D48" i="1"/>
  <c r="C48" i="1"/>
  <c r="B48" i="1"/>
  <c r="I53" i="95"/>
  <c r="M3" i="95" s="1"/>
  <c r="O51" i="1" s="1"/>
  <c r="H53" i="95"/>
  <c r="L3" i="95" s="1"/>
  <c r="N51" i="1" s="1"/>
  <c r="G53" i="95"/>
  <c r="K3" i="95" s="1"/>
  <c r="M51" i="1" s="1"/>
  <c r="Y52" i="95"/>
  <c r="X52" i="95"/>
  <c r="F52" i="95"/>
  <c r="Y51" i="95"/>
  <c r="X51" i="95"/>
  <c r="F51" i="95"/>
  <c r="Y50" i="95"/>
  <c r="X50" i="95"/>
  <c r="F50" i="95"/>
  <c r="Y49" i="95"/>
  <c r="X49" i="95"/>
  <c r="F49" i="95"/>
  <c r="Y48" i="95"/>
  <c r="X48" i="95"/>
  <c r="F48" i="95"/>
  <c r="Y47" i="95"/>
  <c r="X47" i="95"/>
  <c r="F47" i="95"/>
  <c r="Y46" i="95"/>
  <c r="X46" i="95"/>
  <c r="F46" i="95"/>
  <c r="Y45" i="95"/>
  <c r="X45" i="95"/>
  <c r="F45" i="95"/>
  <c r="Y44" i="95"/>
  <c r="X44" i="95"/>
  <c r="F44" i="95"/>
  <c r="Y43" i="95"/>
  <c r="X43" i="95"/>
  <c r="F43" i="95"/>
  <c r="Y42" i="95"/>
  <c r="X42" i="95"/>
  <c r="F42" i="95"/>
  <c r="Y41" i="95"/>
  <c r="X41" i="95"/>
  <c r="F41" i="95"/>
  <c r="Y40" i="95"/>
  <c r="X40" i="95"/>
  <c r="F40" i="95"/>
  <c r="Y39" i="95"/>
  <c r="X39" i="95"/>
  <c r="F39" i="95"/>
  <c r="Y38" i="95"/>
  <c r="X38" i="95"/>
  <c r="F38" i="95"/>
  <c r="Y37" i="95"/>
  <c r="X37" i="95"/>
  <c r="F37" i="95"/>
  <c r="Y36" i="95"/>
  <c r="X36" i="95"/>
  <c r="F36" i="95"/>
  <c r="Y35" i="95"/>
  <c r="X35" i="95"/>
  <c r="F35" i="95"/>
  <c r="Y34" i="95"/>
  <c r="X34" i="95"/>
  <c r="F34" i="95"/>
  <c r="Y33" i="95"/>
  <c r="X33" i="95"/>
  <c r="F33" i="95"/>
  <c r="Y32" i="95"/>
  <c r="X32" i="95"/>
  <c r="F32" i="95"/>
  <c r="Y31" i="95"/>
  <c r="X31" i="95"/>
  <c r="F31" i="95"/>
  <c r="Y30" i="95"/>
  <c r="X30" i="95"/>
  <c r="F30" i="95"/>
  <c r="Y29" i="95"/>
  <c r="X29" i="95"/>
  <c r="F29" i="95"/>
  <c r="Y28" i="95"/>
  <c r="X28" i="95"/>
  <c r="F28" i="95"/>
  <c r="Y27" i="95"/>
  <c r="X27" i="95"/>
  <c r="F27" i="95"/>
  <c r="Y26" i="95"/>
  <c r="X26" i="95"/>
  <c r="F26" i="95"/>
  <c r="Y25" i="95"/>
  <c r="X25" i="95"/>
  <c r="F25" i="95"/>
  <c r="Y24" i="95"/>
  <c r="X24" i="95"/>
  <c r="F24" i="95"/>
  <c r="Y23" i="95"/>
  <c r="X23" i="95"/>
  <c r="F23" i="95"/>
  <c r="Y22" i="95"/>
  <c r="X22" i="95"/>
  <c r="F22" i="95"/>
  <c r="Y21" i="95"/>
  <c r="X21" i="95"/>
  <c r="F21" i="95"/>
  <c r="Y20" i="95"/>
  <c r="X20" i="95"/>
  <c r="F20" i="95"/>
  <c r="Y19" i="95"/>
  <c r="X19" i="95"/>
  <c r="F19" i="95"/>
  <c r="Y18" i="95"/>
  <c r="X18" i="95"/>
  <c r="F18" i="95"/>
  <c r="Y17" i="95"/>
  <c r="X17" i="95"/>
  <c r="F17" i="95"/>
  <c r="Y16" i="95"/>
  <c r="X16" i="95"/>
  <c r="F16" i="95"/>
  <c r="Y15" i="95"/>
  <c r="X15" i="95"/>
  <c r="F15" i="95"/>
  <c r="Y14" i="95"/>
  <c r="X14" i="95"/>
  <c r="F14" i="95"/>
  <c r="Y13" i="95"/>
  <c r="X13" i="95"/>
  <c r="F13" i="95"/>
  <c r="Y12" i="95"/>
  <c r="X12" i="95"/>
  <c r="F12" i="95"/>
  <c r="Y11" i="95"/>
  <c r="X11" i="95"/>
  <c r="F11" i="95"/>
  <c r="Y10" i="95"/>
  <c r="X10" i="95"/>
  <c r="F10" i="95"/>
  <c r="Y9" i="95"/>
  <c r="X9" i="95"/>
  <c r="Y8" i="95"/>
  <c r="X8" i="95"/>
  <c r="F8" i="95"/>
  <c r="B8" i="95"/>
  <c r="Y7" i="95"/>
  <c r="X7" i="95"/>
  <c r="F7" i="95"/>
  <c r="Y6" i="95"/>
  <c r="X6" i="95"/>
  <c r="F6" i="95"/>
  <c r="Y5" i="95"/>
  <c r="X5" i="95"/>
  <c r="F5" i="95"/>
  <c r="Y4" i="95"/>
  <c r="X4" i="95"/>
  <c r="F4" i="95"/>
  <c r="Y3" i="95"/>
  <c r="X3" i="95"/>
  <c r="I53" i="94"/>
  <c r="H53" i="94"/>
  <c r="G53" i="94"/>
  <c r="K3" i="94" s="1"/>
  <c r="Y52" i="94"/>
  <c r="X52" i="94"/>
  <c r="F52" i="94"/>
  <c r="Y51" i="94"/>
  <c r="X51" i="94"/>
  <c r="F51" i="94"/>
  <c r="Y50" i="94"/>
  <c r="X50" i="94"/>
  <c r="F50" i="94"/>
  <c r="Y49" i="94"/>
  <c r="X49" i="94"/>
  <c r="F49" i="94"/>
  <c r="Y48" i="94"/>
  <c r="X48" i="94"/>
  <c r="F48" i="94"/>
  <c r="Y47" i="94"/>
  <c r="X47" i="94"/>
  <c r="F47" i="94"/>
  <c r="Y46" i="94"/>
  <c r="X46" i="94"/>
  <c r="F46" i="94"/>
  <c r="Y45" i="94"/>
  <c r="X45" i="94"/>
  <c r="F45" i="94"/>
  <c r="Y44" i="94"/>
  <c r="X44" i="94"/>
  <c r="F44" i="94"/>
  <c r="Y43" i="94"/>
  <c r="X43" i="94"/>
  <c r="F43" i="94"/>
  <c r="Y42" i="94"/>
  <c r="X42" i="94"/>
  <c r="F42" i="94"/>
  <c r="Y41" i="94"/>
  <c r="X41" i="94"/>
  <c r="F41" i="94"/>
  <c r="Y40" i="94"/>
  <c r="X40" i="94"/>
  <c r="F40" i="94"/>
  <c r="Y39" i="94"/>
  <c r="X39" i="94"/>
  <c r="F39" i="94"/>
  <c r="Y38" i="94"/>
  <c r="X38" i="94"/>
  <c r="F38" i="94"/>
  <c r="Y37" i="94"/>
  <c r="X37" i="94"/>
  <c r="F37" i="94"/>
  <c r="Y36" i="94"/>
  <c r="X36" i="94"/>
  <c r="F36" i="94"/>
  <c r="Y35" i="94"/>
  <c r="X35" i="94"/>
  <c r="F35" i="94"/>
  <c r="Y34" i="94"/>
  <c r="X34" i="94"/>
  <c r="F34" i="94"/>
  <c r="Y33" i="94"/>
  <c r="X33" i="94"/>
  <c r="F33" i="94"/>
  <c r="Y32" i="94"/>
  <c r="X32" i="94"/>
  <c r="F32" i="94"/>
  <c r="Y31" i="94"/>
  <c r="X31" i="94"/>
  <c r="F31" i="94"/>
  <c r="Y30" i="94"/>
  <c r="X30" i="94"/>
  <c r="F30" i="94"/>
  <c r="Y29" i="94"/>
  <c r="X29" i="94"/>
  <c r="F29" i="94"/>
  <c r="Y28" i="94"/>
  <c r="X28" i="94"/>
  <c r="F28" i="94"/>
  <c r="Y27" i="94"/>
  <c r="X27" i="94"/>
  <c r="F27" i="94"/>
  <c r="Y26" i="94"/>
  <c r="X26" i="94"/>
  <c r="F26" i="94"/>
  <c r="Y25" i="94"/>
  <c r="X25" i="94"/>
  <c r="F25" i="94"/>
  <c r="Y24" i="94"/>
  <c r="X24" i="94"/>
  <c r="F24" i="94"/>
  <c r="Y23" i="94"/>
  <c r="X23" i="94"/>
  <c r="F23" i="94"/>
  <c r="Y22" i="94"/>
  <c r="X22" i="94"/>
  <c r="F22" i="94"/>
  <c r="Y21" i="94"/>
  <c r="X21" i="94"/>
  <c r="F21" i="94"/>
  <c r="Y20" i="94"/>
  <c r="X20" i="94"/>
  <c r="F20" i="94"/>
  <c r="Y19" i="94"/>
  <c r="X19" i="94"/>
  <c r="F19" i="94"/>
  <c r="Y18" i="94"/>
  <c r="X18" i="94"/>
  <c r="F18" i="94"/>
  <c r="Y17" i="94"/>
  <c r="X17" i="94"/>
  <c r="F17" i="94"/>
  <c r="Y16" i="94"/>
  <c r="X16" i="94"/>
  <c r="F16" i="94"/>
  <c r="Y15" i="94"/>
  <c r="X15" i="94"/>
  <c r="F15" i="94"/>
  <c r="Y14" i="94"/>
  <c r="X14" i="94"/>
  <c r="F14" i="94"/>
  <c r="Y13" i="94"/>
  <c r="X13" i="94"/>
  <c r="F13" i="94"/>
  <c r="Y12" i="94"/>
  <c r="X12" i="94"/>
  <c r="F12" i="94"/>
  <c r="Y11" i="94"/>
  <c r="X11" i="94"/>
  <c r="F11" i="94"/>
  <c r="Y10" i="94"/>
  <c r="X10" i="94"/>
  <c r="F10" i="94"/>
  <c r="Y9" i="94"/>
  <c r="X9" i="94"/>
  <c r="Y8" i="94"/>
  <c r="X8" i="94"/>
  <c r="F8" i="94"/>
  <c r="B8" i="94"/>
  <c r="Y7" i="94"/>
  <c r="X7" i="94"/>
  <c r="F7" i="94"/>
  <c r="Y6" i="94"/>
  <c r="X6" i="94"/>
  <c r="F6" i="94"/>
  <c r="Y5" i="94"/>
  <c r="X5" i="94"/>
  <c r="F5" i="94"/>
  <c r="Y4" i="94"/>
  <c r="X4" i="94"/>
  <c r="F4" i="94"/>
  <c r="Y3" i="94"/>
  <c r="X3" i="94"/>
  <c r="M3" i="94"/>
  <c r="O50" i="1" s="1"/>
  <c r="L3" i="94"/>
  <c r="N50" i="1" s="1"/>
  <c r="I53" i="93"/>
  <c r="H53" i="93"/>
  <c r="L3" i="93" s="1"/>
  <c r="N49" i="1" s="1"/>
  <c r="G53" i="93"/>
  <c r="K3" i="93" s="1"/>
  <c r="Y52" i="93"/>
  <c r="X52" i="93"/>
  <c r="F52" i="93"/>
  <c r="Y51" i="93"/>
  <c r="X51" i="93"/>
  <c r="F51" i="93"/>
  <c r="Y50" i="93"/>
  <c r="X50" i="93"/>
  <c r="F50" i="93"/>
  <c r="Y49" i="93"/>
  <c r="X49" i="93"/>
  <c r="F49" i="93"/>
  <c r="Y48" i="93"/>
  <c r="X48" i="93"/>
  <c r="F48" i="93"/>
  <c r="Y47" i="93"/>
  <c r="X47" i="93"/>
  <c r="F47" i="93"/>
  <c r="Y46" i="93"/>
  <c r="X46" i="93"/>
  <c r="F46" i="93"/>
  <c r="Y45" i="93"/>
  <c r="X45" i="93"/>
  <c r="F45" i="93"/>
  <c r="Y44" i="93"/>
  <c r="X44" i="93"/>
  <c r="F44" i="93"/>
  <c r="Y43" i="93"/>
  <c r="X43" i="93"/>
  <c r="F43" i="93"/>
  <c r="Y42" i="93"/>
  <c r="X42" i="93"/>
  <c r="F42" i="93"/>
  <c r="Y41" i="93"/>
  <c r="X41" i="93"/>
  <c r="F41" i="93"/>
  <c r="Y40" i="93"/>
  <c r="X40" i="93"/>
  <c r="F40" i="93"/>
  <c r="Y39" i="93"/>
  <c r="X39" i="93"/>
  <c r="F39" i="93"/>
  <c r="Y38" i="93"/>
  <c r="X38" i="93"/>
  <c r="F38" i="93"/>
  <c r="Y37" i="93"/>
  <c r="X37" i="93"/>
  <c r="F37" i="93"/>
  <c r="Y36" i="93"/>
  <c r="X36" i="93"/>
  <c r="F36" i="93"/>
  <c r="Y35" i="93"/>
  <c r="X35" i="93"/>
  <c r="F35" i="93"/>
  <c r="Y34" i="93"/>
  <c r="X34" i="93"/>
  <c r="F34" i="93"/>
  <c r="Y33" i="93"/>
  <c r="X33" i="93"/>
  <c r="F33" i="93"/>
  <c r="Y32" i="93"/>
  <c r="X32" i="93"/>
  <c r="F32" i="93"/>
  <c r="Y31" i="93"/>
  <c r="X31" i="93"/>
  <c r="F31" i="93"/>
  <c r="Y30" i="93"/>
  <c r="X30" i="93"/>
  <c r="F30" i="93"/>
  <c r="Y29" i="93"/>
  <c r="X29" i="93"/>
  <c r="F29" i="93"/>
  <c r="Y28" i="93"/>
  <c r="X28" i="93"/>
  <c r="F28" i="93"/>
  <c r="Y27" i="93"/>
  <c r="X27" i="93"/>
  <c r="F27" i="93"/>
  <c r="Y26" i="93"/>
  <c r="X26" i="93"/>
  <c r="F26" i="93"/>
  <c r="Y25" i="93"/>
  <c r="X25" i="93"/>
  <c r="F25" i="93"/>
  <c r="Y24" i="93"/>
  <c r="X24" i="93"/>
  <c r="F24" i="93"/>
  <c r="Y23" i="93"/>
  <c r="X23" i="93"/>
  <c r="F23" i="93"/>
  <c r="Y22" i="93"/>
  <c r="X22" i="93"/>
  <c r="F22" i="93"/>
  <c r="Y21" i="93"/>
  <c r="X21" i="93"/>
  <c r="F21" i="93"/>
  <c r="Y20" i="93"/>
  <c r="X20" i="93"/>
  <c r="F20" i="93"/>
  <c r="Y19" i="93"/>
  <c r="X19" i="93"/>
  <c r="F19" i="93"/>
  <c r="Y18" i="93"/>
  <c r="X18" i="93"/>
  <c r="F18" i="93"/>
  <c r="Y17" i="93"/>
  <c r="X17" i="93"/>
  <c r="F17" i="93"/>
  <c r="Y16" i="93"/>
  <c r="X16" i="93"/>
  <c r="F16" i="93"/>
  <c r="Y15" i="93"/>
  <c r="X15" i="93"/>
  <c r="F15" i="93"/>
  <c r="Y14" i="93"/>
  <c r="X14" i="93"/>
  <c r="F14" i="93"/>
  <c r="Y13" i="93"/>
  <c r="X13" i="93"/>
  <c r="F13" i="93"/>
  <c r="Y12" i="93"/>
  <c r="X12" i="93"/>
  <c r="F12" i="93"/>
  <c r="Y11" i="93"/>
  <c r="X11" i="93"/>
  <c r="F11" i="93"/>
  <c r="Y10" i="93"/>
  <c r="X10" i="93"/>
  <c r="F10" i="93"/>
  <c r="Y9" i="93"/>
  <c r="X9" i="93"/>
  <c r="Y8" i="93"/>
  <c r="X8" i="93"/>
  <c r="F8" i="93"/>
  <c r="B8" i="93"/>
  <c r="Y7" i="93"/>
  <c r="X7" i="93"/>
  <c r="F7" i="93"/>
  <c r="Y6" i="93"/>
  <c r="X6" i="93"/>
  <c r="F6" i="93"/>
  <c r="Y5" i="93"/>
  <c r="X5" i="93"/>
  <c r="F5" i="93"/>
  <c r="Y4" i="93"/>
  <c r="X4" i="93"/>
  <c r="F4" i="93"/>
  <c r="Y3" i="93"/>
  <c r="X3" i="93"/>
  <c r="M3" i="93"/>
  <c r="O49" i="1" s="1"/>
  <c r="I53" i="92"/>
  <c r="M3" i="92" s="1"/>
  <c r="O48" i="1" s="1"/>
  <c r="H53" i="92"/>
  <c r="L3" i="92" s="1"/>
  <c r="G53" i="92"/>
  <c r="K3" i="92" s="1"/>
  <c r="M48" i="1" s="1"/>
  <c r="Y52" i="92"/>
  <c r="X52" i="92"/>
  <c r="F52" i="92"/>
  <c r="Y51" i="92"/>
  <c r="X51" i="92"/>
  <c r="F51" i="92"/>
  <c r="Y50" i="92"/>
  <c r="X50" i="92"/>
  <c r="F50" i="92"/>
  <c r="Y49" i="92"/>
  <c r="X49" i="92"/>
  <c r="F49" i="92"/>
  <c r="Y48" i="92"/>
  <c r="X48" i="92"/>
  <c r="F48" i="92"/>
  <c r="Y47" i="92"/>
  <c r="X47" i="92"/>
  <c r="F47" i="92"/>
  <c r="Y46" i="92"/>
  <c r="X46" i="92"/>
  <c r="F46" i="92"/>
  <c r="Y45" i="92"/>
  <c r="X45" i="92"/>
  <c r="F45" i="92"/>
  <c r="Y44" i="92"/>
  <c r="X44" i="92"/>
  <c r="F44" i="92"/>
  <c r="Y43" i="92"/>
  <c r="X43" i="92"/>
  <c r="F43" i="92"/>
  <c r="Y42" i="92"/>
  <c r="X42" i="92"/>
  <c r="F42" i="92"/>
  <c r="Y41" i="92"/>
  <c r="X41" i="92"/>
  <c r="F41" i="92"/>
  <c r="Y40" i="92"/>
  <c r="X40" i="92"/>
  <c r="F40" i="92"/>
  <c r="Y39" i="92"/>
  <c r="X39" i="92"/>
  <c r="F39" i="92"/>
  <c r="Y38" i="92"/>
  <c r="X38" i="92"/>
  <c r="F38" i="92"/>
  <c r="Y37" i="92"/>
  <c r="X37" i="92"/>
  <c r="F37" i="92"/>
  <c r="Y36" i="92"/>
  <c r="X36" i="92"/>
  <c r="F36" i="92"/>
  <c r="Y35" i="92"/>
  <c r="X35" i="92"/>
  <c r="F35" i="92"/>
  <c r="Y34" i="92"/>
  <c r="X34" i="92"/>
  <c r="F34" i="92"/>
  <c r="Y33" i="92"/>
  <c r="X33" i="92"/>
  <c r="F33" i="92"/>
  <c r="Y32" i="92"/>
  <c r="X32" i="92"/>
  <c r="F32" i="92"/>
  <c r="Y31" i="92"/>
  <c r="X31" i="92"/>
  <c r="F31" i="92"/>
  <c r="Y30" i="92"/>
  <c r="X30" i="92"/>
  <c r="F30" i="92"/>
  <c r="Y29" i="92"/>
  <c r="X29" i="92"/>
  <c r="F29" i="92"/>
  <c r="Y28" i="92"/>
  <c r="X28" i="92"/>
  <c r="F28" i="92"/>
  <c r="Y27" i="92"/>
  <c r="X27" i="92"/>
  <c r="F27" i="92"/>
  <c r="Y26" i="92"/>
  <c r="X26" i="92"/>
  <c r="F26" i="92"/>
  <c r="Y25" i="92"/>
  <c r="X25" i="92"/>
  <c r="F25" i="92"/>
  <c r="Y24" i="92"/>
  <c r="X24" i="92"/>
  <c r="F24" i="92"/>
  <c r="Y23" i="92"/>
  <c r="X23" i="92"/>
  <c r="F23" i="92"/>
  <c r="Y22" i="92"/>
  <c r="X22" i="92"/>
  <c r="F22" i="92"/>
  <c r="Y21" i="92"/>
  <c r="X21" i="92"/>
  <c r="F21" i="92"/>
  <c r="Y20" i="92"/>
  <c r="X20" i="92"/>
  <c r="F20" i="92"/>
  <c r="Y19" i="92"/>
  <c r="X19" i="92"/>
  <c r="F19" i="92"/>
  <c r="Y18" i="92"/>
  <c r="X18" i="92"/>
  <c r="F18" i="92"/>
  <c r="Y17" i="92"/>
  <c r="X17" i="92"/>
  <c r="F17" i="92"/>
  <c r="Y16" i="92"/>
  <c r="X16" i="92"/>
  <c r="F16" i="92"/>
  <c r="Y15" i="92"/>
  <c r="X15" i="92"/>
  <c r="F15" i="92"/>
  <c r="Y14" i="92"/>
  <c r="X14" i="92"/>
  <c r="F14" i="92"/>
  <c r="Y13" i="92"/>
  <c r="X13" i="92"/>
  <c r="F13" i="92"/>
  <c r="Y12" i="92"/>
  <c r="X12" i="92"/>
  <c r="F12" i="92"/>
  <c r="Y11" i="92"/>
  <c r="X11" i="92"/>
  <c r="F11" i="92"/>
  <c r="Y10" i="92"/>
  <c r="X10" i="92"/>
  <c r="F10" i="92"/>
  <c r="Y9" i="92"/>
  <c r="X9" i="92"/>
  <c r="Y8" i="92"/>
  <c r="X8" i="92"/>
  <c r="F8" i="92"/>
  <c r="B8" i="92"/>
  <c r="Y7" i="92"/>
  <c r="X7" i="92"/>
  <c r="F7" i="92"/>
  <c r="Y6" i="92"/>
  <c r="X6" i="92"/>
  <c r="F6" i="92"/>
  <c r="Y5" i="92"/>
  <c r="X5" i="92"/>
  <c r="F5" i="92"/>
  <c r="Y4" i="92"/>
  <c r="X4" i="92"/>
  <c r="F4" i="92"/>
  <c r="Y3" i="92"/>
  <c r="X3" i="92"/>
  <c r="I47" i="1"/>
  <c r="H47" i="1"/>
  <c r="G47" i="1"/>
  <c r="F47" i="1"/>
  <c r="E47" i="1"/>
  <c r="D47" i="1"/>
  <c r="C47" i="1"/>
  <c r="B47" i="1"/>
  <c r="I53" i="91"/>
  <c r="H53" i="91"/>
  <c r="G53" i="91"/>
  <c r="K3" i="91" s="1"/>
  <c r="M47" i="1" s="1"/>
  <c r="Y52" i="91"/>
  <c r="X52" i="91"/>
  <c r="F52" i="91"/>
  <c r="Y51" i="91"/>
  <c r="X51" i="91"/>
  <c r="F51" i="91"/>
  <c r="Y50" i="91"/>
  <c r="X50" i="91"/>
  <c r="F50" i="91"/>
  <c r="Y49" i="91"/>
  <c r="X49" i="91"/>
  <c r="F49" i="91"/>
  <c r="Y48" i="91"/>
  <c r="X48" i="91"/>
  <c r="F48" i="91"/>
  <c r="Y47" i="91"/>
  <c r="X47" i="91"/>
  <c r="F47" i="91"/>
  <c r="Y46" i="91"/>
  <c r="X46" i="91"/>
  <c r="F46" i="91"/>
  <c r="Y45" i="91"/>
  <c r="X45" i="91"/>
  <c r="F45" i="91"/>
  <c r="Y44" i="91"/>
  <c r="X44" i="91"/>
  <c r="F44" i="91"/>
  <c r="Y43" i="91"/>
  <c r="X43" i="91"/>
  <c r="F43" i="91"/>
  <c r="Y42" i="91"/>
  <c r="X42" i="91"/>
  <c r="F42" i="91"/>
  <c r="Y41" i="91"/>
  <c r="X41" i="91"/>
  <c r="F41" i="91"/>
  <c r="Y40" i="91"/>
  <c r="X40" i="91"/>
  <c r="F40" i="91"/>
  <c r="Y39" i="91"/>
  <c r="X39" i="91"/>
  <c r="F39" i="91"/>
  <c r="Y38" i="91"/>
  <c r="X38" i="91"/>
  <c r="F38" i="91"/>
  <c r="Y37" i="91"/>
  <c r="X37" i="91"/>
  <c r="F37" i="91"/>
  <c r="Y36" i="91"/>
  <c r="X36" i="91"/>
  <c r="F36" i="91"/>
  <c r="Y35" i="91"/>
  <c r="X35" i="91"/>
  <c r="F35" i="91"/>
  <c r="Y34" i="91"/>
  <c r="X34" i="91"/>
  <c r="F34" i="91"/>
  <c r="Y33" i="91"/>
  <c r="X33" i="91"/>
  <c r="F33" i="91"/>
  <c r="Y32" i="91"/>
  <c r="X32" i="91"/>
  <c r="F32" i="91"/>
  <c r="Y31" i="91"/>
  <c r="X31" i="91"/>
  <c r="F31" i="91"/>
  <c r="Y30" i="91"/>
  <c r="X30" i="91"/>
  <c r="F30" i="91"/>
  <c r="Y29" i="91"/>
  <c r="X29" i="91"/>
  <c r="F29" i="91"/>
  <c r="Y28" i="91"/>
  <c r="X28" i="91"/>
  <c r="F28" i="91"/>
  <c r="Y27" i="91"/>
  <c r="X27" i="91"/>
  <c r="F27" i="91"/>
  <c r="Y26" i="91"/>
  <c r="X26" i="91"/>
  <c r="F26" i="91"/>
  <c r="Y25" i="91"/>
  <c r="X25" i="91"/>
  <c r="F25" i="91"/>
  <c r="Y24" i="91"/>
  <c r="X24" i="91"/>
  <c r="F24" i="91"/>
  <c r="Y23" i="91"/>
  <c r="X23" i="91"/>
  <c r="F23" i="91"/>
  <c r="Y22" i="91"/>
  <c r="X22" i="91"/>
  <c r="F22" i="91"/>
  <c r="Y21" i="91"/>
  <c r="X21" i="91"/>
  <c r="F21" i="91"/>
  <c r="Y20" i="91"/>
  <c r="X20" i="91"/>
  <c r="F20" i="91"/>
  <c r="Y19" i="91"/>
  <c r="X19" i="91"/>
  <c r="F19" i="91"/>
  <c r="Y18" i="91"/>
  <c r="X18" i="91"/>
  <c r="F18" i="91"/>
  <c r="Y17" i="91"/>
  <c r="X17" i="91"/>
  <c r="F17" i="91"/>
  <c r="Y16" i="91"/>
  <c r="X16" i="91"/>
  <c r="F16" i="91"/>
  <c r="Y15" i="91"/>
  <c r="X15" i="91"/>
  <c r="F15" i="91"/>
  <c r="Y14" i="91"/>
  <c r="X14" i="91"/>
  <c r="F14" i="91"/>
  <c r="Y13" i="91"/>
  <c r="X13" i="91"/>
  <c r="F13" i="91"/>
  <c r="Y12" i="91"/>
  <c r="X12" i="91"/>
  <c r="F12" i="91"/>
  <c r="Y11" i="91"/>
  <c r="X11" i="91"/>
  <c r="F11" i="91"/>
  <c r="Y10" i="91"/>
  <c r="X10" i="91"/>
  <c r="F10" i="91"/>
  <c r="Y9" i="91"/>
  <c r="X9" i="91"/>
  <c r="Y8" i="91"/>
  <c r="X8" i="91"/>
  <c r="F8" i="91"/>
  <c r="B8" i="91"/>
  <c r="Y7" i="91"/>
  <c r="X7" i="91"/>
  <c r="F7" i="91"/>
  <c r="Y6" i="91"/>
  <c r="X6" i="91"/>
  <c r="F6" i="91"/>
  <c r="Y5" i="91"/>
  <c r="X5" i="91"/>
  <c r="F5" i="91"/>
  <c r="Y4" i="91"/>
  <c r="X4" i="91"/>
  <c r="F4" i="91"/>
  <c r="Y3" i="91"/>
  <c r="X3" i="91"/>
  <c r="M3" i="91"/>
  <c r="O47" i="1" s="1"/>
  <c r="L3" i="91"/>
  <c r="N47" i="1" s="1"/>
  <c r="I46" i="1"/>
  <c r="H46" i="1"/>
  <c r="G46" i="1"/>
  <c r="F46" i="1"/>
  <c r="E46" i="1"/>
  <c r="D46" i="1"/>
  <c r="C46" i="1"/>
  <c r="B46" i="1"/>
  <c r="I53" i="90"/>
  <c r="M3" i="90" s="1"/>
  <c r="O46" i="1" s="1"/>
  <c r="H53" i="90"/>
  <c r="G53" i="90"/>
  <c r="Y52" i="90"/>
  <c r="X52" i="90"/>
  <c r="F52" i="90"/>
  <c r="Y51" i="90"/>
  <c r="X51" i="90"/>
  <c r="F51" i="90"/>
  <c r="Y50" i="90"/>
  <c r="X50" i="90"/>
  <c r="F50" i="90"/>
  <c r="Y49" i="90"/>
  <c r="X49" i="90"/>
  <c r="F49" i="90"/>
  <c r="Y48" i="90"/>
  <c r="X48" i="90"/>
  <c r="F48" i="90"/>
  <c r="Y47" i="90"/>
  <c r="X47" i="90"/>
  <c r="F47" i="90"/>
  <c r="Y46" i="90"/>
  <c r="X46" i="90"/>
  <c r="F46" i="90"/>
  <c r="Y45" i="90"/>
  <c r="X45" i="90"/>
  <c r="F45" i="90"/>
  <c r="Y44" i="90"/>
  <c r="X44" i="90"/>
  <c r="F44" i="90"/>
  <c r="Y43" i="90"/>
  <c r="X43" i="90"/>
  <c r="F43" i="90"/>
  <c r="Y42" i="90"/>
  <c r="X42" i="90"/>
  <c r="F42" i="90"/>
  <c r="Y41" i="90"/>
  <c r="X41" i="90"/>
  <c r="F41" i="90"/>
  <c r="Y40" i="90"/>
  <c r="X40" i="90"/>
  <c r="F40" i="90"/>
  <c r="Y39" i="90"/>
  <c r="X39" i="90"/>
  <c r="F39" i="90"/>
  <c r="Y38" i="90"/>
  <c r="X38" i="90"/>
  <c r="F38" i="90"/>
  <c r="Y37" i="90"/>
  <c r="X37" i="90"/>
  <c r="F37" i="90"/>
  <c r="Y36" i="90"/>
  <c r="X36" i="90"/>
  <c r="F36" i="90"/>
  <c r="Y35" i="90"/>
  <c r="X35" i="90"/>
  <c r="F35" i="90"/>
  <c r="Y34" i="90"/>
  <c r="X34" i="90"/>
  <c r="F34" i="90"/>
  <c r="Y33" i="90"/>
  <c r="X33" i="90"/>
  <c r="F33" i="90"/>
  <c r="Y32" i="90"/>
  <c r="X32" i="90"/>
  <c r="F32" i="90"/>
  <c r="Y31" i="90"/>
  <c r="X31" i="90"/>
  <c r="F31" i="90"/>
  <c r="Y30" i="90"/>
  <c r="X30" i="90"/>
  <c r="F30" i="90"/>
  <c r="Y29" i="90"/>
  <c r="X29" i="90"/>
  <c r="F29" i="90"/>
  <c r="Y28" i="90"/>
  <c r="X28" i="90"/>
  <c r="F28" i="90"/>
  <c r="Y27" i="90"/>
  <c r="X27" i="90"/>
  <c r="F27" i="90"/>
  <c r="Y26" i="90"/>
  <c r="X26" i="90"/>
  <c r="F26" i="90"/>
  <c r="Y25" i="90"/>
  <c r="X25" i="90"/>
  <c r="F25" i="90"/>
  <c r="Y24" i="90"/>
  <c r="X24" i="90"/>
  <c r="F24" i="90"/>
  <c r="Y23" i="90"/>
  <c r="X23" i="90"/>
  <c r="F23" i="90"/>
  <c r="Y22" i="90"/>
  <c r="X22" i="90"/>
  <c r="F22" i="90"/>
  <c r="Y21" i="90"/>
  <c r="X21" i="90"/>
  <c r="F21" i="90"/>
  <c r="Y20" i="90"/>
  <c r="X20" i="90"/>
  <c r="F20" i="90"/>
  <c r="Y19" i="90"/>
  <c r="X19" i="90"/>
  <c r="F19" i="90"/>
  <c r="Y18" i="90"/>
  <c r="X18" i="90"/>
  <c r="F18" i="90"/>
  <c r="Y17" i="90"/>
  <c r="X17" i="90"/>
  <c r="F17" i="90"/>
  <c r="Y16" i="90"/>
  <c r="X16" i="90"/>
  <c r="F16" i="90"/>
  <c r="Y15" i="90"/>
  <c r="X15" i="90"/>
  <c r="F15" i="90"/>
  <c r="Y14" i="90"/>
  <c r="X14" i="90"/>
  <c r="F14" i="90"/>
  <c r="Y13" i="90"/>
  <c r="X13" i="90"/>
  <c r="F13" i="90"/>
  <c r="Y12" i="90"/>
  <c r="X12" i="90"/>
  <c r="F12" i="90"/>
  <c r="Y11" i="90"/>
  <c r="X11" i="90"/>
  <c r="F11" i="90"/>
  <c r="Y10" i="90"/>
  <c r="X10" i="90"/>
  <c r="F10" i="90"/>
  <c r="Y9" i="90"/>
  <c r="X9" i="90"/>
  <c r="Y8" i="90"/>
  <c r="X8" i="90"/>
  <c r="F8" i="90"/>
  <c r="B8" i="90"/>
  <c r="Y7" i="90"/>
  <c r="X7" i="90"/>
  <c r="F7" i="90"/>
  <c r="Y6" i="90"/>
  <c r="X6" i="90"/>
  <c r="F6" i="90"/>
  <c r="Y5" i="90"/>
  <c r="X5" i="90"/>
  <c r="F5" i="90"/>
  <c r="Y4" i="90"/>
  <c r="X4" i="90"/>
  <c r="F4" i="90"/>
  <c r="Y3" i="90"/>
  <c r="X3" i="90"/>
  <c r="L3" i="90"/>
  <c r="N46" i="1" s="1"/>
  <c r="K3" i="90"/>
  <c r="N3" i="90" s="1"/>
  <c r="F3" i="90"/>
  <c r="F9" i="69"/>
  <c r="F9" i="68"/>
  <c r="F12" i="49"/>
  <c r="I45" i="1"/>
  <c r="H45" i="1"/>
  <c r="G45" i="1"/>
  <c r="F45" i="1"/>
  <c r="E45" i="1"/>
  <c r="D45" i="1"/>
  <c r="C45" i="1"/>
  <c r="B45" i="1"/>
  <c r="I53" i="89"/>
  <c r="M3" i="89" s="1"/>
  <c r="O45" i="1" s="1"/>
  <c r="H53" i="89"/>
  <c r="G53" i="89"/>
  <c r="K3" i="89" s="1"/>
  <c r="M45" i="1" s="1"/>
  <c r="Y52" i="89"/>
  <c r="X52" i="89"/>
  <c r="F52" i="89"/>
  <c r="Y51" i="89"/>
  <c r="X51" i="89"/>
  <c r="F51" i="89"/>
  <c r="Y50" i="89"/>
  <c r="X50" i="89"/>
  <c r="F50" i="89"/>
  <c r="Y49" i="89"/>
  <c r="X49" i="89"/>
  <c r="F49" i="89"/>
  <c r="Y48" i="89"/>
  <c r="X48" i="89"/>
  <c r="F48" i="89"/>
  <c r="Y47" i="89"/>
  <c r="X47" i="89"/>
  <c r="F47" i="89"/>
  <c r="Y46" i="89"/>
  <c r="X46" i="89"/>
  <c r="F46" i="89"/>
  <c r="Y45" i="89"/>
  <c r="X45" i="89"/>
  <c r="F45" i="89"/>
  <c r="Y44" i="89"/>
  <c r="X44" i="89"/>
  <c r="F44" i="89"/>
  <c r="Y43" i="89"/>
  <c r="X43" i="89"/>
  <c r="F43" i="89"/>
  <c r="Y42" i="89"/>
  <c r="X42" i="89"/>
  <c r="F42" i="89"/>
  <c r="Y41" i="89"/>
  <c r="X41" i="89"/>
  <c r="F41" i="89"/>
  <c r="Y40" i="89"/>
  <c r="X40" i="89"/>
  <c r="F40" i="89"/>
  <c r="Y39" i="89"/>
  <c r="X39" i="89"/>
  <c r="F39" i="89"/>
  <c r="Y38" i="89"/>
  <c r="X38" i="89"/>
  <c r="F38" i="89"/>
  <c r="Y37" i="89"/>
  <c r="X37" i="89"/>
  <c r="F37" i="89"/>
  <c r="Y36" i="89"/>
  <c r="X36" i="89"/>
  <c r="F36" i="89"/>
  <c r="Y35" i="89"/>
  <c r="X35" i="89"/>
  <c r="F35" i="89"/>
  <c r="Y34" i="89"/>
  <c r="X34" i="89"/>
  <c r="F34" i="89"/>
  <c r="Y33" i="89"/>
  <c r="X33" i="89"/>
  <c r="F33" i="89"/>
  <c r="Y32" i="89"/>
  <c r="X32" i="89"/>
  <c r="F32" i="89"/>
  <c r="Y31" i="89"/>
  <c r="X31" i="89"/>
  <c r="F31" i="89"/>
  <c r="Y30" i="89"/>
  <c r="X30" i="89"/>
  <c r="F30" i="89"/>
  <c r="Y29" i="89"/>
  <c r="X29" i="89"/>
  <c r="F29" i="89"/>
  <c r="Y28" i="89"/>
  <c r="X28" i="89"/>
  <c r="F28" i="89"/>
  <c r="Y27" i="89"/>
  <c r="X27" i="89"/>
  <c r="F27" i="89"/>
  <c r="Y26" i="89"/>
  <c r="X26" i="89"/>
  <c r="F26" i="89"/>
  <c r="Y25" i="89"/>
  <c r="X25" i="89"/>
  <c r="F25" i="89"/>
  <c r="Y24" i="89"/>
  <c r="X24" i="89"/>
  <c r="F24" i="89"/>
  <c r="Y23" i="89"/>
  <c r="X23" i="89"/>
  <c r="F23" i="89"/>
  <c r="Y22" i="89"/>
  <c r="X22" i="89"/>
  <c r="F22" i="89"/>
  <c r="Y21" i="89"/>
  <c r="X21" i="89"/>
  <c r="F21" i="89"/>
  <c r="Y20" i="89"/>
  <c r="X20" i="89"/>
  <c r="F20" i="89"/>
  <c r="Y19" i="89"/>
  <c r="X19" i="89"/>
  <c r="F19" i="89"/>
  <c r="Y18" i="89"/>
  <c r="X18" i="89"/>
  <c r="F18" i="89"/>
  <c r="Y17" i="89"/>
  <c r="X17" i="89"/>
  <c r="F17" i="89"/>
  <c r="Y16" i="89"/>
  <c r="X16" i="89"/>
  <c r="F16" i="89"/>
  <c r="Y15" i="89"/>
  <c r="X15" i="89"/>
  <c r="F15" i="89"/>
  <c r="Y14" i="89"/>
  <c r="X14" i="89"/>
  <c r="F14" i="89"/>
  <c r="Y13" i="89"/>
  <c r="X13" i="89"/>
  <c r="F13" i="89"/>
  <c r="Y12" i="89"/>
  <c r="X12" i="89"/>
  <c r="F12" i="89"/>
  <c r="Y11" i="89"/>
  <c r="X11" i="89"/>
  <c r="F11" i="89"/>
  <c r="Y10" i="89"/>
  <c r="X10" i="89"/>
  <c r="F10" i="89"/>
  <c r="Y9" i="89"/>
  <c r="X9" i="89"/>
  <c r="Y8" i="89"/>
  <c r="X8" i="89"/>
  <c r="F8" i="89"/>
  <c r="B8" i="89"/>
  <c r="Y7" i="89"/>
  <c r="X7" i="89"/>
  <c r="F7" i="89"/>
  <c r="Y6" i="89"/>
  <c r="X6" i="89"/>
  <c r="F6" i="89"/>
  <c r="Y5" i="89"/>
  <c r="X5" i="89"/>
  <c r="F5" i="89"/>
  <c r="Y4" i="89"/>
  <c r="X4" i="89"/>
  <c r="F4" i="89"/>
  <c r="Y3" i="89"/>
  <c r="X3" i="89"/>
  <c r="L3" i="89"/>
  <c r="N45" i="1" s="1"/>
  <c r="F3" i="89"/>
  <c r="I44" i="1"/>
  <c r="H44" i="1"/>
  <c r="G44" i="1"/>
  <c r="F44" i="1"/>
  <c r="E44" i="1"/>
  <c r="D44" i="1"/>
  <c r="C44" i="1"/>
  <c r="B44" i="1"/>
  <c r="I53" i="88"/>
  <c r="H53" i="88"/>
  <c r="G53" i="88"/>
  <c r="K3" i="88" s="1"/>
  <c r="Y52" i="88"/>
  <c r="X52" i="88"/>
  <c r="F52" i="88"/>
  <c r="Y51" i="88"/>
  <c r="X51" i="88"/>
  <c r="F51" i="88"/>
  <c r="Y50" i="88"/>
  <c r="X50" i="88"/>
  <c r="F50" i="88"/>
  <c r="Y49" i="88"/>
  <c r="X49" i="88"/>
  <c r="F49" i="88"/>
  <c r="Y48" i="88"/>
  <c r="X48" i="88"/>
  <c r="F48" i="88"/>
  <c r="Y47" i="88"/>
  <c r="X47" i="88"/>
  <c r="F47" i="88"/>
  <c r="Y46" i="88"/>
  <c r="X46" i="88"/>
  <c r="F46" i="88"/>
  <c r="Y45" i="88"/>
  <c r="X45" i="88"/>
  <c r="F45" i="88"/>
  <c r="Y44" i="88"/>
  <c r="X44" i="88"/>
  <c r="F44" i="88"/>
  <c r="Y43" i="88"/>
  <c r="X43" i="88"/>
  <c r="F43" i="88"/>
  <c r="Y42" i="88"/>
  <c r="X42" i="88"/>
  <c r="F42" i="88"/>
  <c r="Y41" i="88"/>
  <c r="X41" i="88"/>
  <c r="F41" i="88"/>
  <c r="Y40" i="88"/>
  <c r="X40" i="88"/>
  <c r="F40" i="88"/>
  <c r="Y39" i="88"/>
  <c r="X39" i="88"/>
  <c r="F39" i="88"/>
  <c r="Y38" i="88"/>
  <c r="X38" i="88"/>
  <c r="F38" i="88"/>
  <c r="Y37" i="88"/>
  <c r="X37" i="88"/>
  <c r="F37" i="88"/>
  <c r="Y36" i="88"/>
  <c r="X36" i="88"/>
  <c r="F36" i="88"/>
  <c r="Y35" i="88"/>
  <c r="X35" i="88"/>
  <c r="F35" i="88"/>
  <c r="Y34" i="88"/>
  <c r="X34" i="88"/>
  <c r="F34" i="88"/>
  <c r="Y33" i="88"/>
  <c r="X33" i="88"/>
  <c r="F33" i="88"/>
  <c r="Y32" i="88"/>
  <c r="X32" i="88"/>
  <c r="F32" i="88"/>
  <c r="Y31" i="88"/>
  <c r="X31" i="88"/>
  <c r="F31" i="88"/>
  <c r="Y30" i="88"/>
  <c r="X30" i="88"/>
  <c r="F30" i="88"/>
  <c r="Y29" i="88"/>
  <c r="X29" i="88"/>
  <c r="F29" i="88"/>
  <c r="Y28" i="88"/>
  <c r="X28" i="88"/>
  <c r="F28" i="88"/>
  <c r="Y27" i="88"/>
  <c r="X27" i="88"/>
  <c r="F27" i="88"/>
  <c r="Y26" i="88"/>
  <c r="X26" i="88"/>
  <c r="F26" i="88"/>
  <c r="Y25" i="88"/>
  <c r="X25" i="88"/>
  <c r="F25" i="88"/>
  <c r="Y24" i="88"/>
  <c r="X24" i="88"/>
  <c r="F24" i="88"/>
  <c r="Y23" i="88"/>
  <c r="X23" i="88"/>
  <c r="F23" i="88"/>
  <c r="Y22" i="88"/>
  <c r="X22" i="88"/>
  <c r="F22" i="88"/>
  <c r="Y21" i="88"/>
  <c r="X21" i="88"/>
  <c r="F21" i="88"/>
  <c r="Y20" i="88"/>
  <c r="X20" i="88"/>
  <c r="F20" i="88"/>
  <c r="Y19" i="88"/>
  <c r="X19" i="88"/>
  <c r="F19" i="88"/>
  <c r="Y18" i="88"/>
  <c r="X18" i="88"/>
  <c r="F18" i="88"/>
  <c r="Y17" i="88"/>
  <c r="X17" i="88"/>
  <c r="F17" i="88"/>
  <c r="Y16" i="88"/>
  <c r="X16" i="88"/>
  <c r="F16" i="88"/>
  <c r="Y15" i="88"/>
  <c r="X15" i="88"/>
  <c r="F15" i="88"/>
  <c r="Y14" i="88"/>
  <c r="X14" i="88"/>
  <c r="F14" i="88"/>
  <c r="Y13" i="88"/>
  <c r="X13" i="88"/>
  <c r="F13" i="88"/>
  <c r="Y12" i="88"/>
  <c r="X12" i="88"/>
  <c r="F12" i="88"/>
  <c r="Y11" i="88"/>
  <c r="X11" i="88"/>
  <c r="F11" i="88"/>
  <c r="Y10" i="88"/>
  <c r="X10" i="88"/>
  <c r="F10" i="88"/>
  <c r="Y9" i="88"/>
  <c r="X9" i="88"/>
  <c r="Y8" i="88"/>
  <c r="X8" i="88"/>
  <c r="F8" i="88"/>
  <c r="B8" i="88"/>
  <c r="Y7" i="88"/>
  <c r="X7" i="88"/>
  <c r="F7" i="88"/>
  <c r="Y6" i="88"/>
  <c r="X6" i="88"/>
  <c r="F6" i="88"/>
  <c r="Y5" i="88"/>
  <c r="X5" i="88"/>
  <c r="F5" i="88"/>
  <c r="Y4" i="88"/>
  <c r="X4" i="88"/>
  <c r="F4" i="88"/>
  <c r="Y3" i="88"/>
  <c r="X3" i="88"/>
  <c r="M3" i="88"/>
  <c r="O44" i="1" s="1"/>
  <c r="L3" i="88"/>
  <c r="N44" i="1" s="1"/>
  <c r="F3" i="88"/>
  <c r="I43" i="1"/>
  <c r="H43" i="1"/>
  <c r="G43" i="1"/>
  <c r="F43" i="1"/>
  <c r="E43" i="1"/>
  <c r="D43" i="1"/>
  <c r="C43" i="1"/>
  <c r="B43" i="1"/>
  <c r="I53" i="87"/>
  <c r="M3" i="87" s="1"/>
  <c r="O43" i="1" s="1"/>
  <c r="H53" i="87"/>
  <c r="L3" i="87" s="1"/>
  <c r="N43" i="1" s="1"/>
  <c r="G53" i="87"/>
  <c r="Y52" i="87"/>
  <c r="X52" i="87"/>
  <c r="F52" i="87"/>
  <c r="Y51" i="87"/>
  <c r="X51" i="87"/>
  <c r="F51" i="87"/>
  <c r="Y50" i="87"/>
  <c r="X50" i="87"/>
  <c r="F50" i="87"/>
  <c r="Y49" i="87"/>
  <c r="X49" i="87"/>
  <c r="F49" i="87"/>
  <c r="Y48" i="87"/>
  <c r="X48" i="87"/>
  <c r="F48" i="87"/>
  <c r="Y47" i="87"/>
  <c r="X47" i="87"/>
  <c r="F47" i="87"/>
  <c r="Y46" i="87"/>
  <c r="X46" i="87"/>
  <c r="F46" i="87"/>
  <c r="Y45" i="87"/>
  <c r="X45" i="87"/>
  <c r="F45" i="87"/>
  <c r="Y44" i="87"/>
  <c r="X44" i="87"/>
  <c r="F44" i="87"/>
  <c r="Y43" i="87"/>
  <c r="X43" i="87"/>
  <c r="F43" i="87"/>
  <c r="Y42" i="87"/>
  <c r="X42" i="87"/>
  <c r="F42" i="87"/>
  <c r="Y41" i="87"/>
  <c r="X41" i="87"/>
  <c r="F41" i="87"/>
  <c r="Y40" i="87"/>
  <c r="X40" i="87"/>
  <c r="F40" i="87"/>
  <c r="Y39" i="87"/>
  <c r="X39" i="87"/>
  <c r="F39" i="87"/>
  <c r="Y38" i="87"/>
  <c r="X38" i="87"/>
  <c r="F38" i="87"/>
  <c r="Y37" i="87"/>
  <c r="X37" i="87"/>
  <c r="F37" i="87"/>
  <c r="Y36" i="87"/>
  <c r="X36" i="87"/>
  <c r="F36" i="87"/>
  <c r="Y35" i="87"/>
  <c r="X35" i="87"/>
  <c r="F35" i="87"/>
  <c r="Y34" i="87"/>
  <c r="X34" i="87"/>
  <c r="F34" i="87"/>
  <c r="Y33" i="87"/>
  <c r="X33" i="87"/>
  <c r="F33" i="87"/>
  <c r="Y32" i="87"/>
  <c r="X32" i="87"/>
  <c r="F32" i="87"/>
  <c r="Y31" i="87"/>
  <c r="X31" i="87"/>
  <c r="F31" i="87"/>
  <c r="Y30" i="87"/>
  <c r="X30" i="87"/>
  <c r="F30" i="87"/>
  <c r="Y29" i="87"/>
  <c r="X29" i="87"/>
  <c r="F29" i="87"/>
  <c r="Y28" i="87"/>
  <c r="X28" i="87"/>
  <c r="F28" i="87"/>
  <c r="Y27" i="87"/>
  <c r="X27" i="87"/>
  <c r="F27" i="87"/>
  <c r="Y26" i="87"/>
  <c r="X26" i="87"/>
  <c r="F26" i="87"/>
  <c r="Y25" i="87"/>
  <c r="X25" i="87"/>
  <c r="F25" i="87"/>
  <c r="Y24" i="87"/>
  <c r="X24" i="87"/>
  <c r="F24" i="87"/>
  <c r="Y23" i="87"/>
  <c r="X23" i="87"/>
  <c r="F23" i="87"/>
  <c r="Y22" i="87"/>
  <c r="X22" i="87"/>
  <c r="F22" i="87"/>
  <c r="Y21" i="87"/>
  <c r="X21" i="87"/>
  <c r="F21" i="87"/>
  <c r="Y20" i="87"/>
  <c r="X20" i="87"/>
  <c r="F20" i="87"/>
  <c r="Y19" i="87"/>
  <c r="X19" i="87"/>
  <c r="F19" i="87"/>
  <c r="Y18" i="87"/>
  <c r="X18" i="87"/>
  <c r="F18" i="87"/>
  <c r="Y17" i="87"/>
  <c r="X17" i="87"/>
  <c r="F17" i="87"/>
  <c r="Y16" i="87"/>
  <c r="X16" i="87"/>
  <c r="F16" i="87"/>
  <c r="Y15" i="87"/>
  <c r="X15" i="87"/>
  <c r="F15" i="87"/>
  <c r="Y14" i="87"/>
  <c r="X14" i="87"/>
  <c r="F14" i="87"/>
  <c r="Y13" i="87"/>
  <c r="X13" i="87"/>
  <c r="F13" i="87"/>
  <c r="Y12" i="87"/>
  <c r="X12" i="87"/>
  <c r="F12" i="87"/>
  <c r="Y11" i="87"/>
  <c r="X11" i="87"/>
  <c r="F11" i="87"/>
  <c r="Y10" i="87"/>
  <c r="X10" i="87"/>
  <c r="F10" i="87"/>
  <c r="Y9" i="87"/>
  <c r="X9" i="87"/>
  <c r="Y8" i="87"/>
  <c r="X8" i="87"/>
  <c r="F8" i="87"/>
  <c r="B8" i="87"/>
  <c r="Y7" i="87"/>
  <c r="X7" i="87"/>
  <c r="F7" i="87"/>
  <c r="Y6" i="87"/>
  <c r="X6" i="87"/>
  <c r="F6" i="87"/>
  <c r="Y5" i="87"/>
  <c r="X5" i="87"/>
  <c r="F5" i="87"/>
  <c r="Y4" i="87"/>
  <c r="X4" i="87"/>
  <c r="F4" i="87"/>
  <c r="Y3" i="87"/>
  <c r="X3" i="87"/>
  <c r="K3" i="87"/>
  <c r="O3" i="87" s="1"/>
  <c r="J43" i="1" s="1"/>
  <c r="F3" i="87"/>
  <c r="I42" i="1"/>
  <c r="H42" i="1"/>
  <c r="G42" i="1"/>
  <c r="F42" i="1"/>
  <c r="E42" i="1"/>
  <c r="D42" i="1"/>
  <c r="C42" i="1"/>
  <c r="B42" i="1"/>
  <c r="I53" i="86"/>
  <c r="H53" i="86"/>
  <c r="L3" i="86" s="1"/>
  <c r="N42" i="1" s="1"/>
  <c r="G53" i="86"/>
  <c r="Y52" i="86"/>
  <c r="X52" i="86"/>
  <c r="F52" i="86"/>
  <c r="Y51" i="86"/>
  <c r="X51" i="86"/>
  <c r="F51" i="86"/>
  <c r="Y50" i="86"/>
  <c r="X50" i="86"/>
  <c r="F50" i="86"/>
  <c r="Y49" i="86"/>
  <c r="X49" i="86"/>
  <c r="F49" i="86"/>
  <c r="Y48" i="86"/>
  <c r="X48" i="86"/>
  <c r="F48" i="86"/>
  <c r="Y47" i="86"/>
  <c r="X47" i="86"/>
  <c r="F47" i="86"/>
  <c r="Y46" i="86"/>
  <c r="X46" i="86"/>
  <c r="F46" i="86"/>
  <c r="Y45" i="86"/>
  <c r="X45" i="86"/>
  <c r="F45" i="86"/>
  <c r="Y44" i="86"/>
  <c r="X44" i="86"/>
  <c r="F44" i="86"/>
  <c r="Y43" i="86"/>
  <c r="X43" i="86"/>
  <c r="F43" i="86"/>
  <c r="Y42" i="86"/>
  <c r="X42" i="86"/>
  <c r="F42" i="86"/>
  <c r="Y41" i="86"/>
  <c r="X41" i="86"/>
  <c r="F41" i="86"/>
  <c r="Y40" i="86"/>
  <c r="X40" i="86"/>
  <c r="F40" i="86"/>
  <c r="Y39" i="86"/>
  <c r="X39" i="86"/>
  <c r="F39" i="86"/>
  <c r="Y38" i="86"/>
  <c r="X38" i="86"/>
  <c r="F38" i="86"/>
  <c r="Y37" i="86"/>
  <c r="X37" i="86"/>
  <c r="F37" i="86"/>
  <c r="Y36" i="86"/>
  <c r="X36" i="86"/>
  <c r="F36" i="86"/>
  <c r="Y35" i="86"/>
  <c r="X35" i="86"/>
  <c r="F35" i="86"/>
  <c r="Y34" i="86"/>
  <c r="X34" i="86"/>
  <c r="F34" i="86"/>
  <c r="Y33" i="86"/>
  <c r="X33" i="86"/>
  <c r="F33" i="86"/>
  <c r="Y32" i="86"/>
  <c r="X32" i="86"/>
  <c r="F32" i="86"/>
  <c r="Y31" i="86"/>
  <c r="X31" i="86"/>
  <c r="F31" i="86"/>
  <c r="Y30" i="86"/>
  <c r="X30" i="86"/>
  <c r="F30" i="86"/>
  <c r="Y29" i="86"/>
  <c r="X29" i="86"/>
  <c r="F29" i="86"/>
  <c r="Y28" i="86"/>
  <c r="X28" i="86"/>
  <c r="F28" i="86"/>
  <c r="Y27" i="86"/>
  <c r="X27" i="86"/>
  <c r="F27" i="86"/>
  <c r="Y26" i="86"/>
  <c r="X26" i="86"/>
  <c r="F26" i="86"/>
  <c r="Y25" i="86"/>
  <c r="X25" i="86"/>
  <c r="F25" i="86"/>
  <c r="Y24" i="86"/>
  <c r="X24" i="86"/>
  <c r="F24" i="86"/>
  <c r="Y23" i="86"/>
  <c r="X23" i="86"/>
  <c r="F23" i="86"/>
  <c r="Y22" i="86"/>
  <c r="X22" i="86"/>
  <c r="F22" i="86"/>
  <c r="Y21" i="86"/>
  <c r="X21" i="86"/>
  <c r="F21" i="86"/>
  <c r="Y20" i="86"/>
  <c r="X20" i="86"/>
  <c r="F20" i="86"/>
  <c r="Y19" i="86"/>
  <c r="X19" i="86"/>
  <c r="F19" i="86"/>
  <c r="Y18" i="86"/>
  <c r="X18" i="86"/>
  <c r="F18" i="86"/>
  <c r="Y17" i="86"/>
  <c r="X17" i="86"/>
  <c r="F17" i="86"/>
  <c r="Y16" i="86"/>
  <c r="X16" i="86"/>
  <c r="F16" i="86"/>
  <c r="Y15" i="86"/>
  <c r="X15" i="86"/>
  <c r="F15" i="86"/>
  <c r="Y14" i="86"/>
  <c r="X14" i="86"/>
  <c r="F14" i="86"/>
  <c r="Y13" i="86"/>
  <c r="X13" i="86"/>
  <c r="F13" i="86"/>
  <c r="Y12" i="86"/>
  <c r="X12" i="86"/>
  <c r="F12" i="86"/>
  <c r="Y11" i="86"/>
  <c r="X11" i="86"/>
  <c r="F11" i="86"/>
  <c r="Y10" i="86"/>
  <c r="X10" i="86"/>
  <c r="F10" i="86"/>
  <c r="Y9" i="86"/>
  <c r="X9" i="86"/>
  <c r="Y8" i="86"/>
  <c r="X8" i="86"/>
  <c r="F8" i="86"/>
  <c r="B8" i="86"/>
  <c r="Y7" i="86"/>
  <c r="X7" i="86"/>
  <c r="F7" i="86"/>
  <c r="Y6" i="86"/>
  <c r="X6" i="86"/>
  <c r="F6" i="86"/>
  <c r="Y5" i="86"/>
  <c r="X5" i="86"/>
  <c r="F5" i="86"/>
  <c r="Y4" i="86"/>
  <c r="X4" i="86"/>
  <c r="F4" i="86"/>
  <c r="Y3" i="86"/>
  <c r="X3" i="86"/>
  <c r="M3" i="86"/>
  <c r="O42" i="1" s="1"/>
  <c r="K3" i="86"/>
  <c r="O3" i="86" s="1"/>
  <c r="J42" i="1" s="1"/>
  <c r="F3" i="86"/>
  <c r="I41" i="1"/>
  <c r="H41" i="1"/>
  <c r="G41" i="1"/>
  <c r="F41" i="1"/>
  <c r="E41" i="1"/>
  <c r="D41" i="1"/>
  <c r="C41" i="1"/>
  <c r="B41" i="1"/>
  <c r="I53" i="85"/>
  <c r="H53" i="85"/>
  <c r="L3" i="85" s="1"/>
  <c r="N41" i="1" s="1"/>
  <c r="G53" i="85"/>
  <c r="K3" i="85" s="1"/>
  <c r="Y52" i="85"/>
  <c r="X52" i="85"/>
  <c r="F52" i="85"/>
  <c r="Y51" i="85"/>
  <c r="X51" i="85"/>
  <c r="F51" i="85"/>
  <c r="Y50" i="85"/>
  <c r="X50" i="85"/>
  <c r="F50" i="85"/>
  <c r="Y49" i="85"/>
  <c r="X49" i="85"/>
  <c r="F49" i="85"/>
  <c r="Y48" i="85"/>
  <c r="X48" i="85"/>
  <c r="F48" i="85"/>
  <c r="Y47" i="85"/>
  <c r="X47" i="85"/>
  <c r="F47" i="85"/>
  <c r="Y46" i="85"/>
  <c r="X46" i="85"/>
  <c r="F46" i="85"/>
  <c r="Y45" i="85"/>
  <c r="X45" i="85"/>
  <c r="F45" i="85"/>
  <c r="Y44" i="85"/>
  <c r="X44" i="85"/>
  <c r="F44" i="85"/>
  <c r="Y43" i="85"/>
  <c r="X43" i="85"/>
  <c r="F43" i="85"/>
  <c r="Y42" i="85"/>
  <c r="X42" i="85"/>
  <c r="F42" i="85"/>
  <c r="Y41" i="85"/>
  <c r="X41" i="85"/>
  <c r="F41" i="85"/>
  <c r="Y40" i="85"/>
  <c r="X40" i="85"/>
  <c r="F40" i="85"/>
  <c r="Y39" i="85"/>
  <c r="X39" i="85"/>
  <c r="F39" i="85"/>
  <c r="Y38" i="85"/>
  <c r="X38" i="85"/>
  <c r="F38" i="85"/>
  <c r="Y37" i="85"/>
  <c r="X37" i="85"/>
  <c r="F37" i="85"/>
  <c r="Y36" i="85"/>
  <c r="X36" i="85"/>
  <c r="F36" i="85"/>
  <c r="Y35" i="85"/>
  <c r="X35" i="85"/>
  <c r="F35" i="85"/>
  <c r="Y34" i="85"/>
  <c r="X34" i="85"/>
  <c r="F34" i="85"/>
  <c r="Y33" i="85"/>
  <c r="X33" i="85"/>
  <c r="F33" i="85"/>
  <c r="Y32" i="85"/>
  <c r="X32" i="85"/>
  <c r="F32" i="85"/>
  <c r="Y31" i="85"/>
  <c r="X31" i="85"/>
  <c r="F31" i="85"/>
  <c r="Y30" i="85"/>
  <c r="X30" i="85"/>
  <c r="F30" i="85"/>
  <c r="Y29" i="85"/>
  <c r="X29" i="85"/>
  <c r="F29" i="85"/>
  <c r="Y28" i="85"/>
  <c r="X28" i="85"/>
  <c r="F28" i="85"/>
  <c r="Y27" i="85"/>
  <c r="X27" i="85"/>
  <c r="F27" i="85"/>
  <c r="Y26" i="85"/>
  <c r="X26" i="85"/>
  <c r="F26" i="85"/>
  <c r="Y25" i="85"/>
  <c r="X25" i="85"/>
  <c r="F25" i="85"/>
  <c r="Y24" i="85"/>
  <c r="X24" i="85"/>
  <c r="F24" i="85"/>
  <c r="Y23" i="85"/>
  <c r="X23" i="85"/>
  <c r="F23" i="85"/>
  <c r="Y22" i="85"/>
  <c r="X22" i="85"/>
  <c r="F22" i="85"/>
  <c r="Y21" i="85"/>
  <c r="X21" i="85"/>
  <c r="F21" i="85"/>
  <c r="Y20" i="85"/>
  <c r="X20" i="85"/>
  <c r="F20" i="85"/>
  <c r="Y19" i="85"/>
  <c r="X19" i="85"/>
  <c r="F19" i="85"/>
  <c r="Y18" i="85"/>
  <c r="X18" i="85"/>
  <c r="F18" i="85"/>
  <c r="Y17" i="85"/>
  <c r="X17" i="85"/>
  <c r="F17" i="85"/>
  <c r="Y16" i="85"/>
  <c r="X16" i="85"/>
  <c r="F16" i="85"/>
  <c r="Y15" i="85"/>
  <c r="X15" i="85"/>
  <c r="F15" i="85"/>
  <c r="Y14" i="85"/>
  <c r="X14" i="85"/>
  <c r="F14" i="85"/>
  <c r="Y13" i="85"/>
  <c r="X13" i="85"/>
  <c r="F13" i="85"/>
  <c r="Y12" i="85"/>
  <c r="X12" i="85"/>
  <c r="F12" i="85"/>
  <c r="Y11" i="85"/>
  <c r="X11" i="85"/>
  <c r="F11" i="85"/>
  <c r="Y10" i="85"/>
  <c r="X10" i="85"/>
  <c r="F10" i="85"/>
  <c r="Y9" i="85"/>
  <c r="X9" i="85"/>
  <c r="Y8" i="85"/>
  <c r="X8" i="85"/>
  <c r="F8" i="85"/>
  <c r="B8" i="85"/>
  <c r="Y7" i="85"/>
  <c r="X7" i="85"/>
  <c r="F7" i="85"/>
  <c r="Y6" i="85"/>
  <c r="X6" i="85"/>
  <c r="F6" i="85"/>
  <c r="Y5" i="85"/>
  <c r="X5" i="85"/>
  <c r="F5" i="85"/>
  <c r="Y4" i="85"/>
  <c r="X4" i="85"/>
  <c r="F4" i="85"/>
  <c r="Y3" i="85"/>
  <c r="X3" i="85"/>
  <c r="M3" i="85"/>
  <c r="O41" i="1" s="1"/>
  <c r="F3" i="85"/>
  <c r="O3" i="99" l="1"/>
  <c r="J55" i="1" s="1"/>
  <c r="M55" i="1"/>
  <c r="B12" i="99"/>
  <c r="K55" i="1" s="1"/>
  <c r="Q3" i="99"/>
  <c r="Z3" i="99"/>
  <c r="P3" i="99" s="1"/>
  <c r="L55" i="1" s="1"/>
  <c r="O3" i="98"/>
  <c r="J54" i="1" s="1"/>
  <c r="Z3" i="98"/>
  <c r="P3" i="98" s="1"/>
  <c r="L54" i="1" s="1"/>
  <c r="M54" i="1"/>
  <c r="Q3" i="98"/>
  <c r="Z3" i="90"/>
  <c r="P3" i="90" s="1"/>
  <c r="L46" i="1" s="1"/>
  <c r="O3" i="90"/>
  <c r="J46" i="1" s="1"/>
  <c r="Q3" i="86"/>
  <c r="N3" i="100"/>
  <c r="B12" i="100"/>
  <c r="K56" i="1" s="1"/>
  <c r="Z3" i="100"/>
  <c r="P3" i="100" s="1"/>
  <c r="L56" i="1" s="1"/>
  <c r="O3" i="100"/>
  <c r="J56" i="1" s="1"/>
  <c r="Q3" i="100"/>
  <c r="AC54" i="1"/>
  <c r="N3" i="99"/>
  <c r="B12" i="98"/>
  <c r="N3" i="98"/>
  <c r="O3" i="97"/>
  <c r="J53" i="1" s="1"/>
  <c r="N3" i="97"/>
  <c r="B12" i="97"/>
  <c r="Z3" i="97"/>
  <c r="Q3" i="97"/>
  <c r="O3" i="96"/>
  <c r="J52" i="1" s="1"/>
  <c r="N3" i="96"/>
  <c r="B12" i="96"/>
  <c r="Q3" i="96"/>
  <c r="Z3" i="96"/>
  <c r="O3" i="93"/>
  <c r="J49" i="1" s="1"/>
  <c r="M49" i="1"/>
  <c r="N3" i="93"/>
  <c r="Z3" i="93"/>
  <c r="P3" i="93" s="1"/>
  <c r="L49" i="1" s="1"/>
  <c r="Q3" i="90"/>
  <c r="B12" i="90"/>
  <c r="K46" i="1" s="1"/>
  <c r="M46" i="1"/>
  <c r="N3" i="87"/>
  <c r="M43" i="1"/>
  <c r="O3" i="95"/>
  <c r="J51" i="1" s="1"/>
  <c r="Q3" i="95"/>
  <c r="Z3" i="95"/>
  <c r="N3" i="95"/>
  <c r="B12" i="95"/>
  <c r="O3" i="94"/>
  <c r="J50" i="1" s="1"/>
  <c r="N3" i="94"/>
  <c r="B12" i="94"/>
  <c r="Q3" i="94"/>
  <c r="Z3" i="94"/>
  <c r="Q3" i="93"/>
  <c r="B12" i="93"/>
  <c r="Q3" i="92"/>
  <c r="Z3" i="92"/>
  <c r="O3" i="92"/>
  <c r="J48" i="1" s="1"/>
  <c r="N3" i="92"/>
  <c r="B12" i="92"/>
  <c r="O3" i="91"/>
  <c r="J47" i="1" s="1"/>
  <c r="Z3" i="91"/>
  <c r="N3" i="91"/>
  <c r="Q3" i="91"/>
  <c r="B12" i="91"/>
  <c r="O3" i="88"/>
  <c r="J44" i="1" s="1"/>
  <c r="B12" i="88"/>
  <c r="K44" i="1" s="1"/>
  <c r="Q3" i="88"/>
  <c r="M44" i="1"/>
  <c r="Z3" i="88"/>
  <c r="P3" i="88" s="1"/>
  <c r="L44" i="1" s="1"/>
  <c r="Z3" i="87"/>
  <c r="P3" i="87" s="1"/>
  <c r="L43" i="1" s="1"/>
  <c r="M42" i="1"/>
  <c r="Z3" i="86"/>
  <c r="P3" i="86" s="1"/>
  <c r="L42" i="1" s="1"/>
  <c r="O3" i="85"/>
  <c r="J41" i="1" s="1"/>
  <c r="M41" i="1"/>
  <c r="O3" i="89"/>
  <c r="J45" i="1" s="1"/>
  <c r="B12" i="89"/>
  <c r="Z3" i="89"/>
  <c r="Q3" i="89"/>
  <c r="N3" i="89"/>
  <c r="N3" i="88"/>
  <c r="Q3" i="87"/>
  <c r="B12" i="87"/>
  <c r="B12" i="86"/>
  <c r="N3" i="86"/>
  <c r="Q3" i="85"/>
  <c r="Z3" i="85"/>
  <c r="B12" i="85"/>
  <c r="N3" i="85"/>
  <c r="F11" i="48"/>
  <c r="F12" i="48"/>
  <c r="F8" i="59"/>
  <c r="F9" i="59"/>
  <c r="F8" i="60"/>
  <c r="F9" i="60"/>
  <c r="F9" i="61"/>
  <c r="F9" i="66"/>
  <c r="AC55" i="1" l="1"/>
  <c r="AC46" i="1"/>
  <c r="P3" i="97"/>
  <c r="L53" i="1" s="1"/>
  <c r="AC53" i="1"/>
  <c r="P3" i="96"/>
  <c r="L52" i="1" s="1"/>
  <c r="AC52" i="1"/>
  <c r="K54" i="1"/>
  <c r="K53" i="1"/>
  <c r="K52" i="1"/>
  <c r="K51" i="1"/>
  <c r="AC49" i="1"/>
  <c r="P3" i="95"/>
  <c r="L51" i="1" s="1"/>
  <c r="AC51" i="1"/>
  <c r="K50" i="1"/>
  <c r="P3" i="94"/>
  <c r="L50" i="1" s="1"/>
  <c r="AC50" i="1"/>
  <c r="K49" i="1"/>
  <c r="K48" i="1"/>
  <c r="P3" i="92"/>
  <c r="L48" i="1" s="1"/>
  <c r="AC48" i="1"/>
  <c r="P3" i="91"/>
  <c r="L47" i="1" s="1"/>
  <c r="AC47" i="1"/>
  <c r="K47" i="1"/>
  <c r="K45" i="1"/>
  <c r="AC44" i="1"/>
  <c r="AC43" i="1"/>
  <c r="AC42" i="1"/>
  <c r="P3" i="89"/>
  <c r="L45" i="1" s="1"/>
  <c r="AC45" i="1"/>
  <c r="P3" i="85"/>
  <c r="L41" i="1" s="1"/>
  <c r="AC41" i="1"/>
  <c r="K43" i="1"/>
  <c r="K42" i="1"/>
  <c r="K41" i="1"/>
  <c r="K8" i="15"/>
  <c r="A200" i="15"/>
  <c r="K3" i="15"/>
  <c r="K4" i="15"/>
  <c r="K5" i="15"/>
  <c r="K6" i="15"/>
  <c r="K7" i="15"/>
  <c r="K9" i="15"/>
  <c r="K10" i="15"/>
  <c r="K11" i="15"/>
  <c r="K12" i="15"/>
  <c r="K13" i="15"/>
  <c r="K14" i="15"/>
  <c r="K15" i="15"/>
  <c r="K16" i="15"/>
  <c r="K17" i="15"/>
  <c r="K18" i="15"/>
  <c r="K19" i="15"/>
  <c r="K20" i="15"/>
  <c r="K23" i="15"/>
  <c r="K24" i="15"/>
  <c r="K2" i="15"/>
  <c r="I40" i="1"/>
  <c r="H40" i="1"/>
  <c r="G40" i="1"/>
  <c r="F40" i="1"/>
  <c r="E40" i="1"/>
  <c r="D40" i="1"/>
  <c r="C40" i="1"/>
  <c r="B40" i="1"/>
  <c r="I53" i="84"/>
  <c r="M3" i="84" s="1"/>
  <c r="O40" i="1" s="1"/>
  <c r="H53" i="84"/>
  <c r="L3" i="84" s="1"/>
  <c r="N40" i="1" s="1"/>
  <c r="G53" i="84"/>
  <c r="Y52" i="84"/>
  <c r="X52" i="84"/>
  <c r="F52" i="84"/>
  <c r="Y51" i="84"/>
  <c r="X51" i="84"/>
  <c r="F51" i="84"/>
  <c r="Y50" i="84"/>
  <c r="X50" i="84"/>
  <c r="F50" i="84"/>
  <c r="Y49" i="84"/>
  <c r="X49" i="84"/>
  <c r="F49" i="84"/>
  <c r="Y48" i="84"/>
  <c r="X48" i="84"/>
  <c r="F48" i="84"/>
  <c r="Y47" i="84"/>
  <c r="X47" i="84"/>
  <c r="F47" i="84"/>
  <c r="Y46" i="84"/>
  <c r="X46" i="84"/>
  <c r="F46" i="84"/>
  <c r="Y45" i="84"/>
  <c r="X45" i="84"/>
  <c r="F45" i="84"/>
  <c r="Y44" i="84"/>
  <c r="X44" i="84"/>
  <c r="F44" i="84"/>
  <c r="Y43" i="84"/>
  <c r="X43" i="84"/>
  <c r="F43" i="84"/>
  <c r="Y42" i="84"/>
  <c r="X42" i="84"/>
  <c r="F42" i="84"/>
  <c r="Y41" i="84"/>
  <c r="X41" i="84"/>
  <c r="F41" i="84"/>
  <c r="Y40" i="84"/>
  <c r="X40" i="84"/>
  <c r="F40" i="84"/>
  <c r="Y39" i="84"/>
  <c r="X39" i="84"/>
  <c r="F39" i="84"/>
  <c r="Y38" i="84"/>
  <c r="X38" i="84"/>
  <c r="F38" i="84"/>
  <c r="Y37" i="84"/>
  <c r="X37" i="84"/>
  <c r="F37" i="84"/>
  <c r="Y36" i="84"/>
  <c r="X36" i="84"/>
  <c r="F36" i="84"/>
  <c r="Y35" i="84"/>
  <c r="X35" i="84"/>
  <c r="F35" i="84"/>
  <c r="Y34" i="84"/>
  <c r="X34" i="84"/>
  <c r="F34" i="84"/>
  <c r="Y33" i="84"/>
  <c r="X33" i="84"/>
  <c r="F33" i="84"/>
  <c r="Y32" i="84"/>
  <c r="X32" i="84"/>
  <c r="F32" i="84"/>
  <c r="Y31" i="84"/>
  <c r="X31" i="84"/>
  <c r="F31" i="84"/>
  <c r="Y30" i="84"/>
  <c r="X30" i="84"/>
  <c r="F30" i="84"/>
  <c r="Y29" i="84"/>
  <c r="X29" i="84"/>
  <c r="F29" i="84"/>
  <c r="Y28" i="84"/>
  <c r="X28" i="84"/>
  <c r="F28" i="84"/>
  <c r="Y27" i="84"/>
  <c r="X27" i="84"/>
  <c r="F27" i="84"/>
  <c r="Y26" i="84"/>
  <c r="X26" i="84"/>
  <c r="F26" i="84"/>
  <c r="Y25" i="84"/>
  <c r="X25" i="84"/>
  <c r="F25" i="84"/>
  <c r="Y24" i="84"/>
  <c r="X24" i="84"/>
  <c r="F24" i="84"/>
  <c r="Y23" i="84"/>
  <c r="X23" i="84"/>
  <c r="F23" i="84"/>
  <c r="Y22" i="84"/>
  <c r="X22" i="84"/>
  <c r="F22" i="84"/>
  <c r="Y21" i="84"/>
  <c r="X21" i="84"/>
  <c r="F21" i="84"/>
  <c r="Y20" i="84"/>
  <c r="X20" i="84"/>
  <c r="F20" i="84"/>
  <c r="Y19" i="84"/>
  <c r="X19" i="84"/>
  <c r="F19" i="84"/>
  <c r="Y18" i="84"/>
  <c r="X18" i="84"/>
  <c r="F18" i="84"/>
  <c r="Y17" i="84"/>
  <c r="X17" i="84"/>
  <c r="F17" i="84"/>
  <c r="Y16" i="84"/>
  <c r="X16" i="84"/>
  <c r="F16" i="84"/>
  <c r="Y15" i="84"/>
  <c r="X15" i="84"/>
  <c r="F15" i="84"/>
  <c r="Y14" i="84"/>
  <c r="X14" i="84"/>
  <c r="F14" i="84"/>
  <c r="Y13" i="84"/>
  <c r="X13" i="84"/>
  <c r="F13" i="84"/>
  <c r="Y12" i="84"/>
  <c r="X12" i="84"/>
  <c r="F12" i="84"/>
  <c r="Y11" i="84"/>
  <c r="X11" i="84"/>
  <c r="F11" i="84"/>
  <c r="Y10" i="84"/>
  <c r="X10" i="84"/>
  <c r="F10" i="84"/>
  <c r="Y9" i="84"/>
  <c r="X9" i="84"/>
  <c r="Y8" i="84"/>
  <c r="X8" i="84"/>
  <c r="F8" i="84"/>
  <c r="B8" i="84"/>
  <c r="Y7" i="84"/>
  <c r="X7" i="84"/>
  <c r="F7" i="84"/>
  <c r="Y6" i="84"/>
  <c r="X6" i="84"/>
  <c r="F6" i="84"/>
  <c r="Y5" i="84"/>
  <c r="X5" i="84"/>
  <c r="F5" i="84"/>
  <c r="Y4" i="84"/>
  <c r="X4" i="84"/>
  <c r="F4" i="84"/>
  <c r="Y3" i="84"/>
  <c r="X3" i="84"/>
  <c r="K3" i="84"/>
  <c r="M40" i="1" s="1"/>
  <c r="F3" i="84"/>
  <c r="I39" i="1"/>
  <c r="H39" i="1"/>
  <c r="G39" i="1"/>
  <c r="F39" i="1"/>
  <c r="E39" i="1"/>
  <c r="D39" i="1"/>
  <c r="C39" i="1"/>
  <c r="B39" i="1"/>
  <c r="I53" i="83"/>
  <c r="H53" i="83"/>
  <c r="G53" i="83"/>
  <c r="K3" i="83" s="1"/>
  <c r="M39" i="1" s="1"/>
  <c r="Y52" i="83"/>
  <c r="X52" i="83"/>
  <c r="F52" i="83"/>
  <c r="Y51" i="83"/>
  <c r="X51" i="83"/>
  <c r="F51" i="83"/>
  <c r="Y50" i="83"/>
  <c r="X50" i="83"/>
  <c r="F50" i="83"/>
  <c r="Y49" i="83"/>
  <c r="X49" i="83"/>
  <c r="F49" i="83"/>
  <c r="Y48" i="83"/>
  <c r="X48" i="83"/>
  <c r="F48" i="83"/>
  <c r="Y47" i="83"/>
  <c r="X47" i="83"/>
  <c r="F47" i="83"/>
  <c r="Y46" i="83"/>
  <c r="X46" i="83"/>
  <c r="F46" i="83"/>
  <c r="Y45" i="83"/>
  <c r="X45" i="83"/>
  <c r="F45" i="83"/>
  <c r="Y44" i="83"/>
  <c r="X44" i="83"/>
  <c r="F44" i="83"/>
  <c r="Y43" i="83"/>
  <c r="X43" i="83"/>
  <c r="F43" i="83"/>
  <c r="Y42" i="83"/>
  <c r="X42" i="83"/>
  <c r="F42" i="83"/>
  <c r="Y41" i="83"/>
  <c r="X41" i="83"/>
  <c r="F41" i="83"/>
  <c r="Y40" i="83"/>
  <c r="X40" i="83"/>
  <c r="F40" i="83"/>
  <c r="Y39" i="83"/>
  <c r="X39" i="83"/>
  <c r="F39" i="83"/>
  <c r="Y38" i="83"/>
  <c r="X38" i="83"/>
  <c r="F38" i="83"/>
  <c r="Y37" i="83"/>
  <c r="X37" i="83"/>
  <c r="F37" i="83"/>
  <c r="Y36" i="83"/>
  <c r="X36" i="83"/>
  <c r="F36" i="83"/>
  <c r="Y35" i="83"/>
  <c r="X35" i="83"/>
  <c r="F35" i="83"/>
  <c r="Y34" i="83"/>
  <c r="X34" i="83"/>
  <c r="F34" i="83"/>
  <c r="Y33" i="83"/>
  <c r="X33" i="83"/>
  <c r="F33" i="83"/>
  <c r="Y32" i="83"/>
  <c r="X32" i="83"/>
  <c r="F32" i="83"/>
  <c r="Y31" i="83"/>
  <c r="X31" i="83"/>
  <c r="F31" i="83"/>
  <c r="Y30" i="83"/>
  <c r="X30" i="83"/>
  <c r="F30" i="83"/>
  <c r="Y29" i="83"/>
  <c r="X29" i="83"/>
  <c r="F29" i="83"/>
  <c r="Y28" i="83"/>
  <c r="X28" i="83"/>
  <c r="F28" i="83"/>
  <c r="Y27" i="83"/>
  <c r="X27" i="83"/>
  <c r="F27" i="83"/>
  <c r="Y26" i="83"/>
  <c r="X26" i="83"/>
  <c r="F26" i="83"/>
  <c r="Y25" i="83"/>
  <c r="X25" i="83"/>
  <c r="F25" i="83"/>
  <c r="Y24" i="83"/>
  <c r="X24" i="83"/>
  <c r="F24" i="83"/>
  <c r="Y23" i="83"/>
  <c r="X23" i="83"/>
  <c r="F23" i="83"/>
  <c r="Y22" i="83"/>
  <c r="X22" i="83"/>
  <c r="F22" i="83"/>
  <c r="Y21" i="83"/>
  <c r="X21" i="83"/>
  <c r="F21" i="83"/>
  <c r="Y20" i="83"/>
  <c r="X20" i="83"/>
  <c r="F20" i="83"/>
  <c r="Y19" i="83"/>
  <c r="X19" i="83"/>
  <c r="F19" i="83"/>
  <c r="Y18" i="83"/>
  <c r="X18" i="83"/>
  <c r="F18" i="83"/>
  <c r="Y17" i="83"/>
  <c r="X17" i="83"/>
  <c r="F17" i="83"/>
  <c r="Y16" i="83"/>
  <c r="X16" i="83"/>
  <c r="F16" i="83"/>
  <c r="Y15" i="83"/>
  <c r="X15" i="83"/>
  <c r="F15" i="83"/>
  <c r="Y14" i="83"/>
  <c r="X14" i="83"/>
  <c r="F14" i="83"/>
  <c r="Y13" i="83"/>
  <c r="X13" i="83"/>
  <c r="F13" i="83"/>
  <c r="Y12" i="83"/>
  <c r="X12" i="83"/>
  <c r="F12" i="83"/>
  <c r="Y11" i="83"/>
  <c r="X11" i="83"/>
  <c r="F11" i="83"/>
  <c r="Y10" i="83"/>
  <c r="X10" i="83"/>
  <c r="F10" i="83"/>
  <c r="Y9" i="83"/>
  <c r="X9" i="83"/>
  <c r="Y8" i="83"/>
  <c r="X8" i="83"/>
  <c r="F8" i="83"/>
  <c r="B8" i="83"/>
  <c r="Y7" i="83"/>
  <c r="X7" i="83"/>
  <c r="F7" i="83"/>
  <c r="Y6" i="83"/>
  <c r="X6" i="83"/>
  <c r="F6" i="83"/>
  <c r="Y5" i="83"/>
  <c r="X5" i="83"/>
  <c r="F5" i="83"/>
  <c r="Y4" i="83"/>
  <c r="X4" i="83"/>
  <c r="F4" i="83"/>
  <c r="Y3" i="83"/>
  <c r="X3" i="83"/>
  <c r="M3" i="83"/>
  <c r="O39" i="1" s="1"/>
  <c r="L3" i="83"/>
  <c r="N39" i="1" s="1"/>
  <c r="F3" i="83"/>
  <c r="I38" i="1"/>
  <c r="H38" i="1"/>
  <c r="G38" i="1"/>
  <c r="F38" i="1"/>
  <c r="E38" i="1"/>
  <c r="D38" i="1"/>
  <c r="C38" i="1"/>
  <c r="B38" i="1"/>
  <c r="I53" i="82"/>
  <c r="M3" i="82" s="1"/>
  <c r="O38" i="1" s="1"/>
  <c r="H53" i="82"/>
  <c r="L3" i="82" s="1"/>
  <c r="N38" i="1" s="1"/>
  <c r="G53" i="82"/>
  <c r="K3" i="82" s="1"/>
  <c r="Y52" i="82"/>
  <c r="X52" i="82"/>
  <c r="F52" i="82"/>
  <c r="Y51" i="82"/>
  <c r="X51" i="82"/>
  <c r="F51" i="82"/>
  <c r="Y50" i="82"/>
  <c r="X50" i="82"/>
  <c r="F50" i="82"/>
  <c r="Y49" i="82"/>
  <c r="X49" i="82"/>
  <c r="F49" i="82"/>
  <c r="Y48" i="82"/>
  <c r="X48" i="82"/>
  <c r="F48" i="82"/>
  <c r="Y47" i="82"/>
  <c r="X47" i="82"/>
  <c r="F47" i="82"/>
  <c r="Y46" i="82"/>
  <c r="X46" i="82"/>
  <c r="F46" i="82"/>
  <c r="Y45" i="82"/>
  <c r="X45" i="82"/>
  <c r="F45" i="82"/>
  <c r="Y44" i="82"/>
  <c r="X44" i="82"/>
  <c r="F44" i="82"/>
  <c r="Y43" i="82"/>
  <c r="X43" i="82"/>
  <c r="F43" i="82"/>
  <c r="Y42" i="82"/>
  <c r="X42" i="82"/>
  <c r="F42" i="82"/>
  <c r="Y41" i="82"/>
  <c r="X41" i="82"/>
  <c r="F41" i="82"/>
  <c r="Y40" i="82"/>
  <c r="X40" i="82"/>
  <c r="F40" i="82"/>
  <c r="Y39" i="82"/>
  <c r="X39" i="82"/>
  <c r="F39" i="82"/>
  <c r="Y38" i="82"/>
  <c r="X38" i="82"/>
  <c r="F38" i="82"/>
  <c r="Y37" i="82"/>
  <c r="X37" i="82"/>
  <c r="F37" i="82"/>
  <c r="Y36" i="82"/>
  <c r="X36" i="82"/>
  <c r="F36" i="82"/>
  <c r="Y35" i="82"/>
  <c r="X35" i="82"/>
  <c r="F35" i="82"/>
  <c r="Y34" i="82"/>
  <c r="X34" i="82"/>
  <c r="F34" i="82"/>
  <c r="Y33" i="82"/>
  <c r="X33" i="82"/>
  <c r="F33" i="82"/>
  <c r="Y32" i="82"/>
  <c r="X32" i="82"/>
  <c r="F32" i="82"/>
  <c r="Y31" i="82"/>
  <c r="X31" i="82"/>
  <c r="F31" i="82"/>
  <c r="Y30" i="82"/>
  <c r="X30" i="82"/>
  <c r="F30" i="82"/>
  <c r="Y29" i="82"/>
  <c r="X29" i="82"/>
  <c r="F29" i="82"/>
  <c r="Y28" i="82"/>
  <c r="X28" i="82"/>
  <c r="F28" i="82"/>
  <c r="Y27" i="82"/>
  <c r="X27" i="82"/>
  <c r="F27" i="82"/>
  <c r="Y26" i="82"/>
  <c r="X26" i="82"/>
  <c r="F26" i="82"/>
  <c r="Y25" i="82"/>
  <c r="X25" i="82"/>
  <c r="F25" i="82"/>
  <c r="Y24" i="82"/>
  <c r="X24" i="82"/>
  <c r="F24" i="82"/>
  <c r="Y23" i="82"/>
  <c r="X23" i="82"/>
  <c r="F23" i="82"/>
  <c r="Y22" i="82"/>
  <c r="X22" i="82"/>
  <c r="F22" i="82"/>
  <c r="Y21" i="82"/>
  <c r="X21" i="82"/>
  <c r="F21" i="82"/>
  <c r="Y20" i="82"/>
  <c r="X20" i="82"/>
  <c r="F20" i="82"/>
  <c r="Y19" i="82"/>
  <c r="X19" i="82"/>
  <c r="F19" i="82"/>
  <c r="Y18" i="82"/>
  <c r="X18" i="82"/>
  <c r="F18" i="82"/>
  <c r="Y17" i="82"/>
  <c r="X17" i="82"/>
  <c r="F17" i="82"/>
  <c r="Y16" i="82"/>
  <c r="X16" i="82"/>
  <c r="F16" i="82"/>
  <c r="Y15" i="82"/>
  <c r="X15" i="82"/>
  <c r="F15" i="82"/>
  <c r="Y14" i="82"/>
  <c r="X14" i="82"/>
  <c r="F14" i="82"/>
  <c r="Y13" i="82"/>
  <c r="X13" i="82"/>
  <c r="F13" i="82"/>
  <c r="Y12" i="82"/>
  <c r="X12" i="82"/>
  <c r="F12" i="82"/>
  <c r="Y11" i="82"/>
  <c r="X11" i="82"/>
  <c r="F11" i="82"/>
  <c r="Y10" i="82"/>
  <c r="X10" i="82"/>
  <c r="F10" i="82"/>
  <c r="Y9" i="82"/>
  <c r="X9" i="82"/>
  <c r="Y8" i="82"/>
  <c r="X8" i="82"/>
  <c r="F8" i="82"/>
  <c r="B8" i="82"/>
  <c r="Y7" i="82"/>
  <c r="X7" i="82"/>
  <c r="F7" i="82"/>
  <c r="Y6" i="82"/>
  <c r="X6" i="82"/>
  <c r="F6" i="82"/>
  <c r="Y5" i="82"/>
  <c r="X5" i="82"/>
  <c r="F5" i="82"/>
  <c r="Y4" i="82"/>
  <c r="X4" i="82"/>
  <c r="F4" i="82"/>
  <c r="Y3" i="82"/>
  <c r="X3" i="82"/>
  <c r="F3" i="82"/>
  <c r="F8" i="61"/>
  <c r="I37" i="1"/>
  <c r="H37" i="1"/>
  <c r="G37" i="1"/>
  <c r="F37" i="1"/>
  <c r="E37" i="1"/>
  <c r="D37" i="1"/>
  <c r="C37" i="1"/>
  <c r="B37" i="1"/>
  <c r="I53" i="81"/>
  <c r="M3" i="81" s="1"/>
  <c r="O37" i="1" s="1"/>
  <c r="H53" i="81"/>
  <c r="L3" i="81" s="1"/>
  <c r="N37" i="1" s="1"/>
  <c r="G53" i="81"/>
  <c r="K3" i="81" s="1"/>
  <c r="Y52" i="81"/>
  <c r="X52" i="81"/>
  <c r="F52" i="81"/>
  <c r="Y51" i="81"/>
  <c r="X51" i="81"/>
  <c r="F51" i="81"/>
  <c r="Y50" i="81"/>
  <c r="X50" i="81"/>
  <c r="F50" i="81"/>
  <c r="Y49" i="81"/>
  <c r="X49" i="81"/>
  <c r="F49" i="81"/>
  <c r="Y48" i="81"/>
  <c r="X48" i="81"/>
  <c r="F48" i="81"/>
  <c r="Y47" i="81"/>
  <c r="X47" i="81"/>
  <c r="F47" i="81"/>
  <c r="Y46" i="81"/>
  <c r="X46" i="81"/>
  <c r="F46" i="81"/>
  <c r="Y45" i="81"/>
  <c r="X45" i="81"/>
  <c r="F45" i="81"/>
  <c r="Y44" i="81"/>
  <c r="X44" i="81"/>
  <c r="F44" i="81"/>
  <c r="Y43" i="81"/>
  <c r="X43" i="81"/>
  <c r="F43" i="81"/>
  <c r="Y42" i="81"/>
  <c r="X42" i="81"/>
  <c r="F42" i="81"/>
  <c r="Y41" i="81"/>
  <c r="X41" i="81"/>
  <c r="F41" i="81"/>
  <c r="Y40" i="81"/>
  <c r="X40" i="81"/>
  <c r="F40" i="81"/>
  <c r="Y39" i="81"/>
  <c r="X39" i="81"/>
  <c r="F39" i="81"/>
  <c r="Y38" i="81"/>
  <c r="X38" i="81"/>
  <c r="F38" i="81"/>
  <c r="Y37" i="81"/>
  <c r="X37" i="81"/>
  <c r="F37" i="81"/>
  <c r="Y36" i="81"/>
  <c r="X36" i="81"/>
  <c r="F36" i="81"/>
  <c r="Y35" i="81"/>
  <c r="X35" i="81"/>
  <c r="F35" i="81"/>
  <c r="Y34" i="81"/>
  <c r="X34" i="81"/>
  <c r="F34" i="81"/>
  <c r="Y33" i="81"/>
  <c r="X33" i="81"/>
  <c r="F33" i="81"/>
  <c r="Y32" i="81"/>
  <c r="X32" i="81"/>
  <c r="F32" i="81"/>
  <c r="Y31" i="81"/>
  <c r="X31" i="81"/>
  <c r="F31" i="81"/>
  <c r="Y30" i="81"/>
  <c r="X30" i="81"/>
  <c r="F30" i="81"/>
  <c r="Y29" i="81"/>
  <c r="X29" i="81"/>
  <c r="F29" i="81"/>
  <c r="Y28" i="81"/>
  <c r="X28" i="81"/>
  <c r="F28" i="81"/>
  <c r="Y27" i="81"/>
  <c r="X27" i="81"/>
  <c r="F27" i="81"/>
  <c r="Y26" i="81"/>
  <c r="X26" i="81"/>
  <c r="F26" i="81"/>
  <c r="Y25" i="81"/>
  <c r="X25" i="81"/>
  <c r="F25" i="81"/>
  <c r="Y24" i="81"/>
  <c r="X24" i="81"/>
  <c r="F24" i="81"/>
  <c r="Y23" i="81"/>
  <c r="X23" i="81"/>
  <c r="F23" i="81"/>
  <c r="Y22" i="81"/>
  <c r="X22" i="81"/>
  <c r="F22" i="81"/>
  <c r="Y21" i="81"/>
  <c r="X21" i="81"/>
  <c r="F21" i="81"/>
  <c r="Y20" i="81"/>
  <c r="X20" i="81"/>
  <c r="F20" i="81"/>
  <c r="Y19" i="81"/>
  <c r="X19" i="81"/>
  <c r="F19" i="81"/>
  <c r="Y18" i="81"/>
  <c r="X18" i="81"/>
  <c r="F18" i="81"/>
  <c r="Y17" i="81"/>
  <c r="X17" i="81"/>
  <c r="F17" i="81"/>
  <c r="Y16" i="81"/>
  <c r="X16" i="81"/>
  <c r="F16" i="81"/>
  <c r="Y15" i="81"/>
  <c r="X15" i="81"/>
  <c r="F15" i="81"/>
  <c r="Y14" i="81"/>
  <c r="X14" i="81"/>
  <c r="F14" i="81"/>
  <c r="Y13" i="81"/>
  <c r="X13" i="81"/>
  <c r="F13" i="81"/>
  <c r="Y12" i="81"/>
  <c r="X12" i="81"/>
  <c r="F12" i="81"/>
  <c r="Y11" i="81"/>
  <c r="X11" i="81"/>
  <c r="F11" i="81"/>
  <c r="Y10" i="81"/>
  <c r="X10" i="81"/>
  <c r="F10" i="81"/>
  <c r="Y9" i="81"/>
  <c r="X9" i="81"/>
  <c r="Y8" i="81"/>
  <c r="X8" i="81"/>
  <c r="F8" i="81"/>
  <c r="B8" i="81"/>
  <c r="Y7" i="81"/>
  <c r="X7" i="81"/>
  <c r="F7" i="81"/>
  <c r="Y6" i="81"/>
  <c r="X6" i="81"/>
  <c r="F6" i="81"/>
  <c r="Y5" i="81"/>
  <c r="X5" i="81"/>
  <c r="F5" i="81"/>
  <c r="Y4" i="81"/>
  <c r="X4" i="81"/>
  <c r="F4" i="81"/>
  <c r="Y3" i="81"/>
  <c r="X3" i="81"/>
  <c r="F3" i="81"/>
  <c r="I36" i="1"/>
  <c r="H36" i="1"/>
  <c r="G36" i="1"/>
  <c r="F36" i="1"/>
  <c r="E36" i="1"/>
  <c r="D36" i="1"/>
  <c r="C36" i="1"/>
  <c r="B36" i="1"/>
  <c r="I53" i="80"/>
  <c r="H53" i="80"/>
  <c r="G53" i="80"/>
  <c r="K3" i="80" s="1"/>
  <c r="M36" i="1" s="1"/>
  <c r="Y52" i="80"/>
  <c r="X52" i="80"/>
  <c r="F52" i="80"/>
  <c r="Y51" i="80"/>
  <c r="X51" i="80"/>
  <c r="F51" i="80"/>
  <c r="Y50" i="80"/>
  <c r="X50" i="80"/>
  <c r="F50" i="80"/>
  <c r="Y49" i="80"/>
  <c r="X49" i="80"/>
  <c r="F49" i="80"/>
  <c r="Y48" i="80"/>
  <c r="X48" i="80"/>
  <c r="F48" i="80"/>
  <c r="Y47" i="80"/>
  <c r="X47" i="80"/>
  <c r="F47" i="80"/>
  <c r="Y46" i="80"/>
  <c r="X46" i="80"/>
  <c r="F46" i="80"/>
  <c r="Y45" i="80"/>
  <c r="X45" i="80"/>
  <c r="F45" i="80"/>
  <c r="Y44" i="80"/>
  <c r="X44" i="80"/>
  <c r="F44" i="80"/>
  <c r="Y43" i="80"/>
  <c r="X43" i="80"/>
  <c r="F43" i="80"/>
  <c r="Y42" i="80"/>
  <c r="X42" i="80"/>
  <c r="F42" i="80"/>
  <c r="Y41" i="80"/>
  <c r="X41" i="80"/>
  <c r="F41" i="80"/>
  <c r="Y40" i="80"/>
  <c r="X40" i="80"/>
  <c r="F40" i="80"/>
  <c r="Y39" i="80"/>
  <c r="X39" i="80"/>
  <c r="F39" i="80"/>
  <c r="Y38" i="80"/>
  <c r="X38" i="80"/>
  <c r="F38" i="80"/>
  <c r="Y37" i="80"/>
  <c r="X37" i="80"/>
  <c r="F37" i="80"/>
  <c r="Y36" i="80"/>
  <c r="X36" i="80"/>
  <c r="F36" i="80"/>
  <c r="Y35" i="80"/>
  <c r="X35" i="80"/>
  <c r="F35" i="80"/>
  <c r="Y34" i="80"/>
  <c r="X34" i="80"/>
  <c r="F34" i="80"/>
  <c r="Y33" i="80"/>
  <c r="X33" i="80"/>
  <c r="F33" i="80"/>
  <c r="Y32" i="80"/>
  <c r="X32" i="80"/>
  <c r="F32" i="80"/>
  <c r="Y31" i="80"/>
  <c r="X31" i="80"/>
  <c r="F31" i="80"/>
  <c r="Y30" i="80"/>
  <c r="X30" i="80"/>
  <c r="F30" i="80"/>
  <c r="Y29" i="80"/>
  <c r="X29" i="80"/>
  <c r="F29" i="80"/>
  <c r="Y28" i="80"/>
  <c r="X28" i="80"/>
  <c r="F28" i="80"/>
  <c r="Y27" i="80"/>
  <c r="X27" i="80"/>
  <c r="F27" i="80"/>
  <c r="Y26" i="80"/>
  <c r="X26" i="80"/>
  <c r="F26" i="80"/>
  <c r="Y25" i="80"/>
  <c r="X25" i="80"/>
  <c r="F25" i="80"/>
  <c r="Y24" i="80"/>
  <c r="X24" i="80"/>
  <c r="F24" i="80"/>
  <c r="Y23" i="80"/>
  <c r="X23" i="80"/>
  <c r="F23" i="80"/>
  <c r="Y22" i="80"/>
  <c r="X22" i="80"/>
  <c r="F22" i="80"/>
  <c r="Y21" i="80"/>
  <c r="X21" i="80"/>
  <c r="F21" i="80"/>
  <c r="Y20" i="80"/>
  <c r="X20" i="80"/>
  <c r="F20" i="80"/>
  <c r="Y19" i="80"/>
  <c r="X19" i="80"/>
  <c r="F19" i="80"/>
  <c r="Y18" i="80"/>
  <c r="X18" i="80"/>
  <c r="F18" i="80"/>
  <c r="Y17" i="80"/>
  <c r="X17" i="80"/>
  <c r="F17" i="80"/>
  <c r="Y16" i="80"/>
  <c r="X16" i="80"/>
  <c r="F16" i="80"/>
  <c r="Y15" i="80"/>
  <c r="X15" i="80"/>
  <c r="F15" i="80"/>
  <c r="Y14" i="80"/>
  <c r="X14" i="80"/>
  <c r="F14" i="80"/>
  <c r="Y13" i="80"/>
  <c r="X13" i="80"/>
  <c r="F13" i="80"/>
  <c r="Y12" i="80"/>
  <c r="X12" i="80"/>
  <c r="F12" i="80"/>
  <c r="Y11" i="80"/>
  <c r="X11" i="80"/>
  <c r="F11" i="80"/>
  <c r="Y10" i="80"/>
  <c r="X10" i="80"/>
  <c r="F10" i="80"/>
  <c r="Y9" i="80"/>
  <c r="X9" i="80"/>
  <c r="Y8" i="80"/>
  <c r="X8" i="80"/>
  <c r="F8" i="80"/>
  <c r="B8" i="80"/>
  <c r="Y7" i="80"/>
  <c r="X7" i="80"/>
  <c r="F7" i="80"/>
  <c r="Y6" i="80"/>
  <c r="X6" i="80"/>
  <c r="F6" i="80"/>
  <c r="Y5" i="80"/>
  <c r="X5" i="80"/>
  <c r="F5" i="80"/>
  <c r="Y4" i="80"/>
  <c r="X4" i="80"/>
  <c r="F4" i="80"/>
  <c r="Y3" i="80"/>
  <c r="X3" i="80"/>
  <c r="M3" i="80"/>
  <c r="O36" i="1" s="1"/>
  <c r="L3" i="80"/>
  <c r="N36" i="1" s="1"/>
  <c r="F3" i="80"/>
  <c r="L3" i="62"/>
  <c r="N18" i="1" s="1"/>
  <c r="L3" i="57"/>
  <c r="N13" i="1" s="1"/>
  <c r="L3" i="56"/>
  <c r="L3" i="54"/>
  <c r="L3" i="53"/>
  <c r="L3" i="52"/>
  <c r="L3" i="50"/>
  <c r="I35" i="1"/>
  <c r="H35" i="1"/>
  <c r="G35" i="1"/>
  <c r="F35" i="1"/>
  <c r="E35" i="1"/>
  <c r="D35" i="1"/>
  <c r="C35" i="1"/>
  <c r="B35" i="1"/>
  <c r="I53" i="79"/>
  <c r="M3" i="79" s="1"/>
  <c r="O35" i="1" s="1"/>
  <c r="H53" i="79"/>
  <c r="L3" i="79" s="1"/>
  <c r="N35" i="1" s="1"/>
  <c r="G53" i="79"/>
  <c r="K3" i="79" s="1"/>
  <c r="M35" i="1" s="1"/>
  <c r="Y52" i="79"/>
  <c r="X52" i="79"/>
  <c r="F52" i="79"/>
  <c r="Y51" i="79"/>
  <c r="X51" i="79"/>
  <c r="F51" i="79"/>
  <c r="Y50" i="79"/>
  <c r="X50" i="79"/>
  <c r="F50" i="79"/>
  <c r="Y49" i="79"/>
  <c r="X49" i="79"/>
  <c r="F49" i="79"/>
  <c r="Y48" i="79"/>
  <c r="X48" i="79"/>
  <c r="F48" i="79"/>
  <c r="Y47" i="79"/>
  <c r="X47" i="79"/>
  <c r="F47" i="79"/>
  <c r="Y46" i="79"/>
  <c r="X46" i="79"/>
  <c r="F46" i="79"/>
  <c r="Y45" i="79"/>
  <c r="X45" i="79"/>
  <c r="F45" i="79"/>
  <c r="Y44" i="79"/>
  <c r="X44" i="79"/>
  <c r="F44" i="79"/>
  <c r="Y43" i="79"/>
  <c r="X43" i="79"/>
  <c r="F43" i="79"/>
  <c r="Y42" i="79"/>
  <c r="X42" i="79"/>
  <c r="F42" i="79"/>
  <c r="Y41" i="79"/>
  <c r="X41" i="79"/>
  <c r="F41" i="79"/>
  <c r="Y40" i="79"/>
  <c r="X40" i="79"/>
  <c r="F40" i="79"/>
  <c r="Y39" i="79"/>
  <c r="X39" i="79"/>
  <c r="F39" i="79"/>
  <c r="Y38" i="79"/>
  <c r="X38" i="79"/>
  <c r="F38" i="79"/>
  <c r="Y37" i="79"/>
  <c r="X37" i="79"/>
  <c r="F37" i="79"/>
  <c r="Y36" i="79"/>
  <c r="X36" i="79"/>
  <c r="F36" i="79"/>
  <c r="Y35" i="79"/>
  <c r="X35" i="79"/>
  <c r="F35" i="79"/>
  <c r="Y34" i="79"/>
  <c r="X34" i="79"/>
  <c r="F34" i="79"/>
  <c r="Y33" i="79"/>
  <c r="X33" i="79"/>
  <c r="F33" i="79"/>
  <c r="Y32" i="79"/>
  <c r="X32" i="79"/>
  <c r="F32" i="79"/>
  <c r="Y31" i="79"/>
  <c r="X31" i="79"/>
  <c r="F31" i="79"/>
  <c r="Y30" i="79"/>
  <c r="X30" i="79"/>
  <c r="F30" i="79"/>
  <c r="Y29" i="79"/>
  <c r="X29" i="79"/>
  <c r="F29" i="79"/>
  <c r="Y28" i="79"/>
  <c r="X28" i="79"/>
  <c r="F28" i="79"/>
  <c r="Y27" i="79"/>
  <c r="X27" i="79"/>
  <c r="F27" i="79"/>
  <c r="Y26" i="79"/>
  <c r="X26" i="79"/>
  <c r="F26" i="79"/>
  <c r="Y25" i="79"/>
  <c r="X25" i="79"/>
  <c r="F25" i="79"/>
  <c r="Y24" i="79"/>
  <c r="X24" i="79"/>
  <c r="F24" i="79"/>
  <c r="Y23" i="79"/>
  <c r="X23" i="79"/>
  <c r="F23" i="79"/>
  <c r="Y22" i="79"/>
  <c r="X22" i="79"/>
  <c r="F22" i="79"/>
  <c r="Y21" i="79"/>
  <c r="X21" i="79"/>
  <c r="F21" i="79"/>
  <c r="Y20" i="79"/>
  <c r="X20" i="79"/>
  <c r="F20" i="79"/>
  <c r="Y19" i="79"/>
  <c r="X19" i="79"/>
  <c r="F19" i="79"/>
  <c r="Y18" i="79"/>
  <c r="X18" i="79"/>
  <c r="F18" i="79"/>
  <c r="Y17" i="79"/>
  <c r="X17" i="79"/>
  <c r="F17" i="79"/>
  <c r="Y16" i="79"/>
  <c r="X16" i="79"/>
  <c r="F16" i="79"/>
  <c r="Y15" i="79"/>
  <c r="X15" i="79"/>
  <c r="F15" i="79"/>
  <c r="Y14" i="79"/>
  <c r="X14" i="79"/>
  <c r="F14" i="79"/>
  <c r="Y13" i="79"/>
  <c r="X13" i="79"/>
  <c r="F13" i="79"/>
  <c r="Y12" i="79"/>
  <c r="X12" i="79"/>
  <c r="F12" i="79"/>
  <c r="Y11" i="79"/>
  <c r="X11" i="79"/>
  <c r="F11" i="79"/>
  <c r="Y10" i="79"/>
  <c r="X10" i="79"/>
  <c r="F10" i="79"/>
  <c r="Y9" i="79"/>
  <c r="X9" i="79"/>
  <c r="Y8" i="79"/>
  <c r="X8" i="79"/>
  <c r="F8" i="79"/>
  <c r="B8" i="79"/>
  <c r="Y7" i="79"/>
  <c r="X7" i="79"/>
  <c r="F7" i="79"/>
  <c r="Y6" i="79"/>
  <c r="X6" i="79"/>
  <c r="F6" i="79"/>
  <c r="Y5" i="79"/>
  <c r="X5" i="79"/>
  <c r="F5" i="79"/>
  <c r="Y4" i="79"/>
  <c r="X4" i="79"/>
  <c r="F4" i="79"/>
  <c r="Y3" i="79"/>
  <c r="X3" i="79"/>
  <c r="F3" i="79"/>
  <c r="I34" i="1"/>
  <c r="H34" i="1"/>
  <c r="G34" i="1"/>
  <c r="F34" i="1"/>
  <c r="E34" i="1"/>
  <c r="D34" i="1"/>
  <c r="C34" i="1"/>
  <c r="B34" i="1"/>
  <c r="I53" i="78"/>
  <c r="M3" i="78" s="1"/>
  <c r="O34" i="1" s="1"/>
  <c r="H53" i="78"/>
  <c r="L3" i="78" s="1"/>
  <c r="N34" i="1" s="1"/>
  <c r="G53" i="78"/>
  <c r="Y52" i="78"/>
  <c r="X52" i="78"/>
  <c r="F52" i="78"/>
  <c r="Y51" i="78"/>
  <c r="X51" i="78"/>
  <c r="F51" i="78"/>
  <c r="Y50" i="78"/>
  <c r="X50" i="78"/>
  <c r="F50" i="78"/>
  <c r="Y49" i="78"/>
  <c r="X49" i="78"/>
  <c r="F49" i="78"/>
  <c r="Y48" i="78"/>
  <c r="X48" i="78"/>
  <c r="F48" i="78"/>
  <c r="Y47" i="78"/>
  <c r="X47" i="78"/>
  <c r="F47" i="78"/>
  <c r="Y46" i="78"/>
  <c r="X46" i="78"/>
  <c r="F46" i="78"/>
  <c r="Y45" i="78"/>
  <c r="X45" i="78"/>
  <c r="F45" i="78"/>
  <c r="Y44" i="78"/>
  <c r="X44" i="78"/>
  <c r="F44" i="78"/>
  <c r="Y43" i="78"/>
  <c r="X43" i="78"/>
  <c r="F43" i="78"/>
  <c r="Y42" i="78"/>
  <c r="X42" i="78"/>
  <c r="F42" i="78"/>
  <c r="Y41" i="78"/>
  <c r="X41" i="78"/>
  <c r="F41" i="78"/>
  <c r="Y40" i="78"/>
  <c r="X40" i="78"/>
  <c r="F40" i="78"/>
  <c r="Y39" i="78"/>
  <c r="X39" i="78"/>
  <c r="F39" i="78"/>
  <c r="Y38" i="78"/>
  <c r="X38" i="78"/>
  <c r="F38" i="78"/>
  <c r="Y37" i="78"/>
  <c r="X37" i="78"/>
  <c r="F37" i="78"/>
  <c r="Y36" i="78"/>
  <c r="X36" i="78"/>
  <c r="F36" i="78"/>
  <c r="Y35" i="78"/>
  <c r="X35" i="78"/>
  <c r="F35" i="78"/>
  <c r="Y34" i="78"/>
  <c r="X34" i="78"/>
  <c r="F34" i="78"/>
  <c r="Y33" i="78"/>
  <c r="X33" i="78"/>
  <c r="F33" i="78"/>
  <c r="Y32" i="78"/>
  <c r="X32" i="78"/>
  <c r="F32" i="78"/>
  <c r="Y31" i="78"/>
  <c r="X31" i="78"/>
  <c r="F31" i="78"/>
  <c r="Y30" i="78"/>
  <c r="X30" i="78"/>
  <c r="F30" i="78"/>
  <c r="Y29" i="78"/>
  <c r="X29" i="78"/>
  <c r="F29" i="78"/>
  <c r="Y28" i="78"/>
  <c r="X28" i="78"/>
  <c r="F28" i="78"/>
  <c r="Y27" i="78"/>
  <c r="X27" i="78"/>
  <c r="F27" i="78"/>
  <c r="Y26" i="78"/>
  <c r="X26" i="78"/>
  <c r="F26" i="78"/>
  <c r="Y25" i="78"/>
  <c r="X25" i="78"/>
  <c r="F25" i="78"/>
  <c r="Y24" i="78"/>
  <c r="X24" i="78"/>
  <c r="F24" i="78"/>
  <c r="Y23" i="78"/>
  <c r="X23" i="78"/>
  <c r="F23" i="78"/>
  <c r="Y22" i="78"/>
  <c r="X22" i="78"/>
  <c r="F22" i="78"/>
  <c r="Y21" i="78"/>
  <c r="X21" i="78"/>
  <c r="F21" i="78"/>
  <c r="Y20" i="78"/>
  <c r="X20" i="78"/>
  <c r="F20" i="78"/>
  <c r="Y19" i="78"/>
  <c r="X19" i="78"/>
  <c r="F19" i="78"/>
  <c r="Y18" i="78"/>
  <c r="X18" i="78"/>
  <c r="F18" i="78"/>
  <c r="Y17" i="78"/>
  <c r="X17" i="78"/>
  <c r="F17" i="78"/>
  <c r="Y16" i="78"/>
  <c r="X16" i="78"/>
  <c r="F16" i="78"/>
  <c r="Y15" i="78"/>
  <c r="X15" i="78"/>
  <c r="F15" i="78"/>
  <c r="Y14" i="78"/>
  <c r="X14" i="78"/>
  <c r="F14" i="78"/>
  <c r="Y13" i="78"/>
  <c r="X13" i="78"/>
  <c r="F13" i="78"/>
  <c r="Y12" i="78"/>
  <c r="X12" i="78"/>
  <c r="F12" i="78"/>
  <c r="Y11" i="78"/>
  <c r="X11" i="78"/>
  <c r="F11" i="78"/>
  <c r="Y10" i="78"/>
  <c r="X10" i="78"/>
  <c r="F10" i="78"/>
  <c r="Y9" i="78"/>
  <c r="X9" i="78"/>
  <c r="Y8" i="78"/>
  <c r="X8" i="78"/>
  <c r="F8" i="78"/>
  <c r="B8" i="78"/>
  <c r="Y7" i="78"/>
  <c r="X7" i="78"/>
  <c r="F7" i="78"/>
  <c r="Y6" i="78"/>
  <c r="X6" i="78"/>
  <c r="F6" i="78"/>
  <c r="Y5" i="78"/>
  <c r="X5" i="78"/>
  <c r="F5" i="78"/>
  <c r="Y4" i="78"/>
  <c r="X4" i="78"/>
  <c r="F4" i="78"/>
  <c r="Y3" i="78"/>
  <c r="X3" i="78"/>
  <c r="K3" i="78"/>
  <c r="O3" i="78" s="1"/>
  <c r="J34" i="1" s="1"/>
  <c r="F3" i="78"/>
  <c r="I33" i="1"/>
  <c r="H33" i="1"/>
  <c r="G33" i="1"/>
  <c r="F33" i="1"/>
  <c r="E33" i="1"/>
  <c r="D33" i="1"/>
  <c r="C33" i="1"/>
  <c r="B33" i="1"/>
  <c r="I53" i="77"/>
  <c r="M3" i="77" s="1"/>
  <c r="O33" i="1" s="1"/>
  <c r="H53" i="77"/>
  <c r="L3" i="77" s="1"/>
  <c r="N33" i="1" s="1"/>
  <c r="G53" i="77"/>
  <c r="K3" i="77" s="1"/>
  <c r="O3" i="77" s="1"/>
  <c r="J33" i="1" s="1"/>
  <c r="Y52" i="77"/>
  <c r="X52" i="77"/>
  <c r="F52" i="77"/>
  <c r="Y51" i="77"/>
  <c r="X51" i="77"/>
  <c r="F51" i="77"/>
  <c r="Y50" i="77"/>
  <c r="X50" i="77"/>
  <c r="F50" i="77"/>
  <c r="Y49" i="77"/>
  <c r="X49" i="77"/>
  <c r="F49" i="77"/>
  <c r="Y48" i="77"/>
  <c r="X48" i="77"/>
  <c r="F48" i="77"/>
  <c r="Y47" i="77"/>
  <c r="X47" i="77"/>
  <c r="F47" i="77"/>
  <c r="Y46" i="77"/>
  <c r="X46" i="77"/>
  <c r="F46" i="77"/>
  <c r="Y45" i="77"/>
  <c r="X45" i="77"/>
  <c r="F45" i="77"/>
  <c r="Y44" i="77"/>
  <c r="X44" i="77"/>
  <c r="F44" i="77"/>
  <c r="Y43" i="77"/>
  <c r="X43" i="77"/>
  <c r="F43" i="77"/>
  <c r="Y42" i="77"/>
  <c r="X42" i="77"/>
  <c r="F42" i="77"/>
  <c r="Y41" i="77"/>
  <c r="X41" i="77"/>
  <c r="F41" i="77"/>
  <c r="Y40" i="77"/>
  <c r="X40" i="77"/>
  <c r="F40" i="77"/>
  <c r="Y39" i="77"/>
  <c r="X39" i="77"/>
  <c r="F39" i="77"/>
  <c r="Y38" i="77"/>
  <c r="X38" i="77"/>
  <c r="F38" i="77"/>
  <c r="Y37" i="77"/>
  <c r="X37" i="77"/>
  <c r="F37" i="77"/>
  <c r="Y36" i="77"/>
  <c r="X36" i="77"/>
  <c r="F36" i="77"/>
  <c r="Y35" i="77"/>
  <c r="X35" i="77"/>
  <c r="F35" i="77"/>
  <c r="Y34" i="77"/>
  <c r="X34" i="77"/>
  <c r="F34" i="77"/>
  <c r="Y33" i="77"/>
  <c r="X33" i="77"/>
  <c r="F33" i="77"/>
  <c r="Y32" i="77"/>
  <c r="X32" i="77"/>
  <c r="F32" i="77"/>
  <c r="Y31" i="77"/>
  <c r="X31" i="77"/>
  <c r="F31" i="77"/>
  <c r="Y30" i="77"/>
  <c r="X30" i="77"/>
  <c r="F30" i="77"/>
  <c r="Y29" i="77"/>
  <c r="X29" i="77"/>
  <c r="F29" i="77"/>
  <c r="Y28" i="77"/>
  <c r="X28" i="77"/>
  <c r="F28" i="77"/>
  <c r="Y27" i="77"/>
  <c r="X27" i="77"/>
  <c r="F27" i="77"/>
  <c r="Y26" i="77"/>
  <c r="X26" i="77"/>
  <c r="F26" i="77"/>
  <c r="Y25" i="77"/>
  <c r="X25" i="77"/>
  <c r="F25" i="77"/>
  <c r="Y24" i="77"/>
  <c r="X24" i="77"/>
  <c r="F24" i="77"/>
  <c r="Y23" i="77"/>
  <c r="X23" i="77"/>
  <c r="F23" i="77"/>
  <c r="Y22" i="77"/>
  <c r="X22" i="77"/>
  <c r="F22" i="77"/>
  <c r="Y21" i="77"/>
  <c r="X21" i="77"/>
  <c r="F21" i="77"/>
  <c r="Y20" i="77"/>
  <c r="X20" i="77"/>
  <c r="F20" i="77"/>
  <c r="Y19" i="77"/>
  <c r="X19" i="77"/>
  <c r="F19" i="77"/>
  <c r="Y18" i="77"/>
  <c r="X18" i="77"/>
  <c r="F18" i="77"/>
  <c r="Y17" i="77"/>
  <c r="X17" i="77"/>
  <c r="F17" i="77"/>
  <c r="Y16" i="77"/>
  <c r="X16" i="77"/>
  <c r="F16" i="77"/>
  <c r="Y15" i="77"/>
  <c r="X15" i="77"/>
  <c r="F15" i="77"/>
  <c r="Y14" i="77"/>
  <c r="X14" i="77"/>
  <c r="F14" i="77"/>
  <c r="Y13" i="77"/>
  <c r="X13" i="77"/>
  <c r="F13" i="77"/>
  <c r="Y12" i="77"/>
  <c r="X12" i="77"/>
  <c r="F12" i="77"/>
  <c r="Y11" i="77"/>
  <c r="X11" i="77"/>
  <c r="F11" i="77"/>
  <c r="Y10" i="77"/>
  <c r="X10" i="77"/>
  <c r="F10" i="77"/>
  <c r="Y9" i="77"/>
  <c r="X9" i="77"/>
  <c r="Y8" i="77"/>
  <c r="X8" i="77"/>
  <c r="F8" i="77"/>
  <c r="B8" i="77"/>
  <c r="Y7" i="77"/>
  <c r="X7" i="77"/>
  <c r="F7" i="77"/>
  <c r="Y6" i="77"/>
  <c r="X6" i="77"/>
  <c r="F6" i="77"/>
  <c r="Y5" i="77"/>
  <c r="X5" i="77"/>
  <c r="F5" i="77"/>
  <c r="Y4" i="77"/>
  <c r="X4" i="77"/>
  <c r="F4" i="77"/>
  <c r="Y3" i="77"/>
  <c r="X3" i="77"/>
  <c r="F3" i="77"/>
  <c r="I32" i="1"/>
  <c r="H32" i="1"/>
  <c r="G32" i="1"/>
  <c r="F32" i="1"/>
  <c r="E32" i="1"/>
  <c r="D32" i="1"/>
  <c r="C32" i="1"/>
  <c r="B32" i="1"/>
  <c r="I53" i="76"/>
  <c r="H53" i="76"/>
  <c r="L3" i="76" s="1"/>
  <c r="N32" i="1" s="1"/>
  <c r="G53" i="76"/>
  <c r="K3" i="76" s="1"/>
  <c r="M32" i="1" s="1"/>
  <c r="Y52" i="76"/>
  <c r="X52" i="76"/>
  <c r="F52" i="76"/>
  <c r="Y51" i="76"/>
  <c r="X51" i="76"/>
  <c r="F51" i="76"/>
  <c r="Y50" i="76"/>
  <c r="X50" i="76"/>
  <c r="F50" i="76"/>
  <c r="Y49" i="76"/>
  <c r="X49" i="76"/>
  <c r="F49" i="76"/>
  <c r="Y48" i="76"/>
  <c r="X48" i="76"/>
  <c r="F48" i="76"/>
  <c r="Y47" i="76"/>
  <c r="X47" i="76"/>
  <c r="F47" i="76"/>
  <c r="Y46" i="76"/>
  <c r="X46" i="76"/>
  <c r="F46" i="76"/>
  <c r="Y45" i="76"/>
  <c r="X45" i="76"/>
  <c r="F45" i="76"/>
  <c r="Y44" i="76"/>
  <c r="X44" i="76"/>
  <c r="F44" i="76"/>
  <c r="Y43" i="76"/>
  <c r="X43" i="76"/>
  <c r="F43" i="76"/>
  <c r="Y42" i="76"/>
  <c r="X42" i="76"/>
  <c r="F42" i="76"/>
  <c r="Y41" i="76"/>
  <c r="X41" i="76"/>
  <c r="F41" i="76"/>
  <c r="Y40" i="76"/>
  <c r="X40" i="76"/>
  <c r="F40" i="76"/>
  <c r="Y39" i="76"/>
  <c r="X39" i="76"/>
  <c r="F39" i="76"/>
  <c r="Y38" i="76"/>
  <c r="X38" i="76"/>
  <c r="F38" i="76"/>
  <c r="Y37" i="76"/>
  <c r="X37" i="76"/>
  <c r="F37" i="76"/>
  <c r="Y36" i="76"/>
  <c r="X36" i="76"/>
  <c r="F36" i="76"/>
  <c r="Y35" i="76"/>
  <c r="X35" i="76"/>
  <c r="F35" i="76"/>
  <c r="Y34" i="76"/>
  <c r="X34" i="76"/>
  <c r="F34" i="76"/>
  <c r="Y33" i="76"/>
  <c r="X33" i="76"/>
  <c r="F33" i="76"/>
  <c r="Y32" i="76"/>
  <c r="X32" i="76"/>
  <c r="F32" i="76"/>
  <c r="Y31" i="76"/>
  <c r="X31" i="76"/>
  <c r="F31" i="76"/>
  <c r="Y30" i="76"/>
  <c r="X30" i="76"/>
  <c r="F30" i="76"/>
  <c r="Y29" i="76"/>
  <c r="X29" i="76"/>
  <c r="F29" i="76"/>
  <c r="Y28" i="76"/>
  <c r="X28" i="76"/>
  <c r="F28" i="76"/>
  <c r="Y27" i="76"/>
  <c r="X27" i="76"/>
  <c r="F27" i="76"/>
  <c r="Y26" i="76"/>
  <c r="X26" i="76"/>
  <c r="F26" i="76"/>
  <c r="Y25" i="76"/>
  <c r="X25" i="76"/>
  <c r="F25" i="76"/>
  <c r="Y24" i="76"/>
  <c r="X24" i="76"/>
  <c r="F24" i="76"/>
  <c r="Y23" i="76"/>
  <c r="X23" i="76"/>
  <c r="F23" i="76"/>
  <c r="Y22" i="76"/>
  <c r="X22" i="76"/>
  <c r="F22" i="76"/>
  <c r="Y21" i="76"/>
  <c r="X21" i="76"/>
  <c r="F21" i="76"/>
  <c r="Y20" i="76"/>
  <c r="X20" i="76"/>
  <c r="F20" i="76"/>
  <c r="Y19" i="76"/>
  <c r="X19" i="76"/>
  <c r="F19" i="76"/>
  <c r="Y18" i="76"/>
  <c r="X18" i="76"/>
  <c r="F18" i="76"/>
  <c r="Y17" i="76"/>
  <c r="X17" i="76"/>
  <c r="F17" i="76"/>
  <c r="Y16" i="76"/>
  <c r="X16" i="76"/>
  <c r="F16" i="76"/>
  <c r="Y15" i="76"/>
  <c r="X15" i="76"/>
  <c r="F15" i="76"/>
  <c r="Y14" i="76"/>
  <c r="X14" i="76"/>
  <c r="F14" i="76"/>
  <c r="Y13" i="76"/>
  <c r="X13" i="76"/>
  <c r="F13" i="76"/>
  <c r="Y12" i="76"/>
  <c r="X12" i="76"/>
  <c r="F12" i="76"/>
  <c r="Y11" i="76"/>
  <c r="X11" i="76"/>
  <c r="F11" i="76"/>
  <c r="Y10" i="76"/>
  <c r="X10" i="76"/>
  <c r="F10" i="76"/>
  <c r="Y9" i="76"/>
  <c r="X9" i="76"/>
  <c r="Y8" i="76"/>
  <c r="X8" i="76"/>
  <c r="F8" i="76"/>
  <c r="B8" i="76"/>
  <c r="Y7" i="76"/>
  <c r="X7" i="76"/>
  <c r="F7" i="76"/>
  <c r="Y6" i="76"/>
  <c r="X6" i="76"/>
  <c r="F6" i="76"/>
  <c r="Y5" i="76"/>
  <c r="X5" i="76"/>
  <c r="F5" i="76"/>
  <c r="Y4" i="76"/>
  <c r="X4" i="76"/>
  <c r="F4" i="76"/>
  <c r="Y3" i="76"/>
  <c r="X3" i="76"/>
  <c r="M3" i="76"/>
  <c r="O32" i="1" s="1"/>
  <c r="F3" i="76"/>
  <c r="I31" i="1"/>
  <c r="H31" i="1"/>
  <c r="G31" i="1"/>
  <c r="F31" i="1"/>
  <c r="E31" i="1"/>
  <c r="D31" i="1"/>
  <c r="C31" i="1"/>
  <c r="B31" i="1"/>
  <c r="I53" i="75"/>
  <c r="M3" i="75" s="1"/>
  <c r="O31" i="1" s="1"/>
  <c r="H53" i="75"/>
  <c r="L3" i="75" s="1"/>
  <c r="N31" i="1" s="1"/>
  <c r="G53" i="75"/>
  <c r="K3" i="75" s="1"/>
  <c r="M31" i="1" s="1"/>
  <c r="Y52" i="75"/>
  <c r="X52" i="75"/>
  <c r="F52" i="75"/>
  <c r="Y51" i="75"/>
  <c r="X51" i="75"/>
  <c r="F51" i="75"/>
  <c r="Y50" i="75"/>
  <c r="X50" i="75"/>
  <c r="F50" i="75"/>
  <c r="Y49" i="75"/>
  <c r="X49" i="75"/>
  <c r="F49" i="75"/>
  <c r="Y48" i="75"/>
  <c r="X48" i="75"/>
  <c r="F48" i="75"/>
  <c r="Y47" i="75"/>
  <c r="X47" i="75"/>
  <c r="F47" i="75"/>
  <c r="Y46" i="75"/>
  <c r="X46" i="75"/>
  <c r="F46" i="75"/>
  <c r="Y45" i="75"/>
  <c r="X45" i="75"/>
  <c r="F45" i="75"/>
  <c r="Y44" i="75"/>
  <c r="X44" i="75"/>
  <c r="F44" i="75"/>
  <c r="Y43" i="75"/>
  <c r="X43" i="75"/>
  <c r="F43" i="75"/>
  <c r="Y42" i="75"/>
  <c r="X42" i="75"/>
  <c r="F42" i="75"/>
  <c r="Y41" i="75"/>
  <c r="X41" i="75"/>
  <c r="F41" i="75"/>
  <c r="Y40" i="75"/>
  <c r="X40" i="75"/>
  <c r="F40" i="75"/>
  <c r="Y39" i="75"/>
  <c r="X39" i="75"/>
  <c r="F39" i="75"/>
  <c r="Y38" i="75"/>
  <c r="X38" i="75"/>
  <c r="F38" i="75"/>
  <c r="Y37" i="75"/>
  <c r="X37" i="75"/>
  <c r="F37" i="75"/>
  <c r="Y36" i="75"/>
  <c r="X36" i="75"/>
  <c r="F36" i="75"/>
  <c r="Y35" i="75"/>
  <c r="X35" i="75"/>
  <c r="F35" i="75"/>
  <c r="Y34" i="75"/>
  <c r="X34" i="75"/>
  <c r="F34" i="75"/>
  <c r="Y33" i="75"/>
  <c r="X33" i="75"/>
  <c r="F33" i="75"/>
  <c r="Y32" i="75"/>
  <c r="X32" i="75"/>
  <c r="F32" i="75"/>
  <c r="Y31" i="75"/>
  <c r="X31" i="75"/>
  <c r="F31" i="75"/>
  <c r="Y30" i="75"/>
  <c r="X30" i="75"/>
  <c r="F30" i="75"/>
  <c r="Y29" i="75"/>
  <c r="X29" i="75"/>
  <c r="F29" i="75"/>
  <c r="Y28" i="75"/>
  <c r="X28" i="75"/>
  <c r="F28" i="75"/>
  <c r="Y27" i="75"/>
  <c r="X27" i="75"/>
  <c r="F27" i="75"/>
  <c r="Y26" i="75"/>
  <c r="X26" i="75"/>
  <c r="F26" i="75"/>
  <c r="Y25" i="75"/>
  <c r="X25" i="75"/>
  <c r="F25" i="75"/>
  <c r="Y24" i="75"/>
  <c r="X24" i="75"/>
  <c r="F24" i="75"/>
  <c r="Y23" i="75"/>
  <c r="X23" i="75"/>
  <c r="F23" i="75"/>
  <c r="Y22" i="75"/>
  <c r="X22" i="75"/>
  <c r="F22" i="75"/>
  <c r="Y21" i="75"/>
  <c r="X21" i="75"/>
  <c r="F21" i="75"/>
  <c r="Y20" i="75"/>
  <c r="X20" i="75"/>
  <c r="F20" i="75"/>
  <c r="Y19" i="75"/>
  <c r="X19" i="75"/>
  <c r="F19" i="75"/>
  <c r="Y18" i="75"/>
  <c r="X18" i="75"/>
  <c r="F18" i="75"/>
  <c r="Y17" i="75"/>
  <c r="X17" i="75"/>
  <c r="F17" i="75"/>
  <c r="Y16" i="75"/>
  <c r="X16" i="75"/>
  <c r="F16" i="75"/>
  <c r="Y15" i="75"/>
  <c r="X15" i="75"/>
  <c r="F15" i="75"/>
  <c r="Y14" i="75"/>
  <c r="X14" i="75"/>
  <c r="F14" i="75"/>
  <c r="Y13" i="75"/>
  <c r="X13" i="75"/>
  <c r="F13" i="75"/>
  <c r="Y12" i="75"/>
  <c r="X12" i="75"/>
  <c r="F12" i="75"/>
  <c r="Y11" i="75"/>
  <c r="X11" i="75"/>
  <c r="F11" i="75"/>
  <c r="Y10" i="75"/>
  <c r="X10" i="75"/>
  <c r="F10" i="75"/>
  <c r="Y9" i="75"/>
  <c r="X9" i="75"/>
  <c r="Y8" i="75"/>
  <c r="X8" i="75"/>
  <c r="F8" i="75"/>
  <c r="B8" i="75"/>
  <c r="Y7" i="75"/>
  <c r="X7" i="75"/>
  <c r="F7" i="75"/>
  <c r="Y6" i="75"/>
  <c r="X6" i="75"/>
  <c r="F6" i="75"/>
  <c r="Y5" i="75"/>
  <c r="X5" i="75"/>
  <c r="F5" i="75"/>
  <c r="Y4" i="75"/>
  <c r="X4" i="75"/>
  <c r="F4" i="75"/>
  <c r="Y3" i="75"/>
  <c r="X3" i="75"/>
  <c r="F3" i="75"/>
  <c r="I30" i="1"/>
  <c r="H30" i="1"/>
  <c r="G30" i="1"/>
  <c r="F30" i="1"/>
  <c r="E30" i="1"/>
  <c r="D30" i="1"/>
  <c r="C30" i="1"/>
  <c r="B30" i="1"/>
  <c r="I53" i="74"/>
  <c r="M3" i="74" s="1"/>
  <c r="O30" i="1" s="1"/>
  <c r="H53" i="74"/>
  <c r="L3" i="74" s="1"/>
  <c r="N30" i="1" s="1"/>
  <c r="G53" i="74"/>
  <c r="K3" i="74" s="1"/>
  <c r="M30" i="1" s="1"/>
  <c r="Y52" i="74"/>
  <c r="X52" i="74"/>
  <c r="F52" i="74"/>
  <c r="Y51" i="74"/>
  <c r="X51" i="74"/>
  <c r="F51" i="74"/>
  <c r="Y50" i="74"/>
  <c r="X50" i="74"/>
  <c r="F50" i="74"/>
  <c r="Y49" i="74"/>
  <c r="X49" i="74"/>
  <c r="F49" i="74"/>
  <c r="Y48" i="74"/>
  <c r="X48" i="74"/>
  <c r="F48" i="74"/>
  <c r="Y47" i="74"/>
  <c r="X47" i="74"/>
  <c r="F47" i="74"/>
  <c r="Y46" i="74"/>
  <c r="X46" i="74"/>
  <c r="F46" i="74"/>
  <c r="Y45" i="74"/>
  <c r="X45" i="74"/>
  <c r="F45" i="74"/>
  <c r="Y44" i="74"/>
  <c r="X44" i="74"/>
  <c r="F44" i="74"/>
  <c r="Y43" i="74"/>
  <c r="X43" i="74"/>
  <c r="F43" i="74"/>
  <c r="Y42" i="74"/>
  <c r="X42" i="74"/>
  <c r="F42" i="74"/>
  <c r="Y41" i="74"/>
  <c r="X41" i="74"/>
  <c r="F41" i="74"/>
  <c r="Y40" i="74"/>
  <c r="X40" i="74"/>
  <c r="F40" i="74"/>
  <c r="Y39" i="74"/>
  <c r="X39" i="74"/>
  <c r="F39" i="74"/>
  <c r="Y38" i="74"/>
  <c r="X38" i="74"/>
  <c r="F38" i="74"/>
  <c r="Y37" i="74"/>
  <c r="X37" i="74"/>
  <c r="F37" i="74"/>
  <c r="Y36" i="74"/>
  <c r="X36" i="74"/>
  <c r="F36" i="74"/>
  <c r="Y35" i="74"/>
  <c r="X35" i="74"/>
  <c r="F35" i="74"/>
  <c r="Y34" i="74"/>
  <c r="X34" i="74"/>
  <c r="F34" i="74"/>
  <c r="Y33" i="74"/>
  <c r="X33" i="74"/>
  <c r="F33" i="74"/>
  <c r="Y32" i="74"/>
  <c r="X32" i="74"/>
  <c r="F32" i="74"/>
  <c r="Y31" i="74"/>
  <c r="X31" i="74"/>
  <c r="F31" i="74"/>
  <c r="Y30" i="74"/>
  <c r="X30" i="74"/>
  <c r="F30" i="74"/>
  <c r="Y29" i="74"/>
  <c r="X29" i="74"/>
  <c r="F29" i="74"/>
  <c r="Y28" i="74"/>
  <c r="X28" i="74"/>
  <c r="F28" i="74"/>
  <c r="Y27" i="74"/>
  <c r="X27" i="74"/>
  <c r="F27" i="74"/>
  <c r="Y26" i="74"/>
  <c r="X26" i="74"/>
  <c r="F26" i="74"/>
  <c r="Y25" i="74"/>
  <c r="X25" i="74"/>
  <c r="F25" i="74"/>
  <c r="Y24" i="74"/>
  <c r="X24" i="74"/>
  <c r="F24" i="74"/>
  <c r="Y23" i="74"/>
  <c r="X23" i="74"/>
  <c r="F23" i="74"/>
  <c r="Y22" i="74"/>
  <c r="X22" i="74"/>
  <c r="F22" i="74"/>
  <c r="Y21" i="74"/>
  <c r="X21" i="74"/>
  <c r="F21" i="74"/>
  <c r="Y20" i="74"/>
  <c r="X20" i="74"/>
  <c r="F20" i="74"/>
  <c r="Y19" i="74"/>
  <c r="X19" i="74"/>
  <c r="F19" i="74"/>
  <c r="Y18" i="74"/>
  <c r="X18" i="74"/>
  <c r="F18" i="74"/>
  <c r="Y17" i="74"/>
  <c r="X17" i="74"/>
  <c r="F17" i="74"/>
  <c r="Y16" i="74"/>
  <c r="X16" i="74"/>
  <c r="F16" i="74"/>
  <c r="Y15" i="74"/>
  <c r="X15" i="74"/>
  <c r="F15" i="74"/>
  <c r="Y14" i="74"/>
  <c r="X14" i="74"/>
  <c r="F14" i="74"/>
  <c r="Y13" i="74"/>
  <c r="X13" i="74"/>
  <c r="F13" i="74"/>
  <c r="Y12" i="74"/>
  <c r="X12" i="74"/>
  <c r="F12" i="74"/>
  <c r="Y11" i="74"/>
  <c r="X11" i="74"/>
  <c r="F11" i="74"/>
  <c r="Y10" i="74"/>
  <c r="X10" i="74"/>
  <c r="F10" i="74"/>
  <c r="Y9" i="74"/>
  <c r="X9" i="74"/>
  <c r="Y8" i="74"/>
  <c r="X8" i="74"/>
  <c r="F8" i="74"/>
  <c r="B8" i="74"/>
  <c r="Y7" i="74"/>
  <c r="X7" i="74"/>
  <c r="F7" i="74"/>
  <c r="Y6" i="74"/>
  <c r="X6" i="74"/>
  <c r="F6" i="74"/>
  <c r="Y5" i="74"/>
  <c r="X5" i="74"/>
  <c r="F5" i="74"/>
  <c r="Y4" i="74"/>
  <c r="X4" i="74"/>
  <c r="F4" i="74"/>
  <c r="Y3" i="74"/>
  <c r="X3" i="74"/>
  <c r="F3" i="74"/>
  <c r="I29" i="1"/>
  <c r="H29" i="1"/>
  <c r="G29" i="1"/>
  <c r="F29" i="1"/>
  <c r="E29" i="1"/>
  <c r="D29" i="1"/>
  <c r="C29" i="1"/>
  <c r="B29" i="1"/>
  <c r="I53" i="73"/>
  <c r="M3" i="73" s="1"/>
  <c r="O29" i="1" s="1"/>
  <c r="H53" i="73"/>
  <c r="L3" i="73" s="1"/>
  <c r="N29" i="1" s="1"/>
  <c r="G53" i="73"/>
  <c r="K3" i="73" s="1"/>
  <c r="M29" i="1" s="1"/>
  <c r="Y52" i="73"/>
  <c r="X52" i="73"/>
  <c r="F52" i="73"/>
  <c r="Y51" i="73"/>
  <c r="X51" i="73"/>
  <c r="F51" i="73"/>
  <c r="Y50" i="73"/>
  <c r="X50" i="73"/>
  <c r="F50" i="73"/>
  <c r="Y49" i="73"/>
  <c r="X49" i="73"/>
  <c r="F49" i="73"/>
  <c r="Y48" i="73"/>
  <c r="X48" i="73"/>
  <c r="F48" i="73"/>
  <c r="Y47" i="73"/>
  <c r="X47" i="73"/>
  <c r="F47" i="73"/>
  <c r="Y46" i="73"/>
  <c r="X46" i="73"/>
  <c r="F46" i="73"/>
  <c r="Y45" i="73"/>
  <c r="X45" i="73"/>
  <c r="F45" i="73"/>
  <c r="Y44" i="73"/>
  <c r="X44" i="73"/>
  <c r="F44" i="73"/>
  <c r="Y43" i="73"/>
  <c r="X43" i="73"/>
  <c r="F43" i="73"/>
  <c r="Y42" i="73"/>
  <c r="X42" i="73"/>
  <c r="F42" i="73"/>
  <c r="Y41" i="73"/>
  <c r="X41" i="73"/>
  <c r="F41" i="73"/>
  <c r="Y40" i="73"/>
  <c r="X40" i="73"/>
  <c r="F40" i="73"/>
  <c r="Y39" i="73"/>
  <c r="X39" i="73"/>
  <c r="F39" i="73"/>
  <c r="Y38" i="73"/>
  <c r="X38" i="73"/>
  <c r="F38" i="73"/>
  <c r="Y37" i="73"/>
  <c r="X37" i="73"/>
  <c r="F37" i="73"/>
  <c r="Y36" i="73"/>
  <c r="X36" i="73"/>
  <c r="F36" i="73"/>
  <c r="Y35" i="73"/>
  <c r="X35" i="73"/>
  <c r="F35" i="73"/>
  <c r="Y34" i="73"/>
  <c r="X34" i="73"/>
  <c r="F34" i="73"/>
  <c r="Y33" i="73"/>
  <c r="X33" i="73"/>
  <c r="F33" i="73"/>
  <c r="Y32" i="73"/>
  <c r="X32" i="73"/>
  <c r="F32" i="73"/>
  <c r="Y31" i="73"/>
  <c r="X31" i="73"/>
  <c r="F31" i="73"/>
  <c r="Y30" i="73"/>
  <c r="X30" i="73"/>
  <c r="F30" i="73"/>
  <c r="Y29" i="73"/>
  <c r="X29" i="73"/>
  <c r="F29" i="73"/>
  <c r="Y28" i="73"/>
  <c r="X28" i="73"/>
  <c r="F28" i="73"/>
  <c r="Y27" i="73"/>
  <c r="X27" i="73"/>
  <c r="F27" i="73"/>
  <c r="Y26" i="73"/>
  <c r="X26" i="73"/>
  <c r="F26" i="73"/>
  <c r="Y25" i="73"/>
  <c r="X25" i="73"/>
  <c r="F25" i="73"/>
  <c r="Y24" i="73"/>
  <c r="X24" i="73"/>
  <c r="F24" i="73"/>
  <c r="Y23" i="73"/>
  <c r="X23" i="73"/>
  <c r="F23" i="73"/>
  <c r="Y22" i="73"/>
  <c r="X22" i="73"/>
  <c r="F22" i="73"/>
  <c r="Y21" i="73"/>
  <c r="X21" i="73"/>
  <c r="F21" i="73"/>
  <c r="Y20" i="73"/>
  <c r="X20" i="73"/>
  <c r="F20" i="73"/>
  <c r="Y19" i="73"/>
  <c r="X19" i="73"/>
  <c r="F19" i="73"/>
  <c r="Y18" i="73"/>
  <c r="X18" i="73"/>
  <c r="F18" i="73"/>
  <c r="Y17" i="73"/>
  <c r="X17" i="73"/>
  <c r="F17" i="73"/>
  <c r="Y16" i="73"/>
  <c r="X16" i="73"/>
  <c r="F16" i="73"/>
  <c r="Y15" i="73"/>
  <c r="X15" i="73"/>
  <c r="F15" i="73"/>
  <c r="Y14" i="73"/>
  <c r="X14" i="73"/>
  <c r="F14" i="73"/>
  <c r="Y13" i="73"/>
  <c r="X13" i="73"/>
  <c r="F13" i="73"/>
  <c r="Y12" i="73"/>
  <c r="X12" i="73"/>
  <c r="F12" i="73"/>
  <c r="Y11" i="73"/>
  <c r="X11" i="73"/>
  <c r="F11" i="73"/>
  <c r="Y10" i="73"/>
  <c r="X10" i="73"/>
  <c r="F10" i="73"/>
  <c r="Y9" i="73"/>
  <c r="X9" i="73"/>
  <c r="Y8" i="73"/>
  <c r="X8" i="73"/>
  <c r="F8" i="73"/>
  <c r="B8" i="73"/>
  <c r="Y7" i="73"/>
  <c r="X7" i="73"/>
  <c r="F7" i="73"/>
  <c r="Y6" i="73"/>
  <c r="X6" i="73"/>
  <c r="F6" i="73"/>
  <c r="Y5" i="73"/>
  <c r="X5" i="73"/>
  <c r="F5" i="73"/>
  <c r="Y4" i="73"/>
  <c r="X4" i="73"/>
  <c r="F4" i="73"/>
  <c r="Y3" i="73"/>
  <c r="X3" i="73"/>
  <c r="F3" i="73"/>
  <c r="I28" i="1"/>
  <c r="H28" i="1"/>
  <c r="G28" i="1"/>
  <c r="F28" i="1"/>
  <c r="E28" i="1"/>
  <c r="D28" i="1"/>
  <c r="C28" i="1"/>
  <c r="B28" i="1"/>
  <c r="I53" i="72"/>
  <c r="H53" i="72"/>
  <c r="L3" i="72" s="1"/>
  <c r="N28" i="1" s="1"/>
  <c r="G53" i="72"/>
  <c r="K3" i="72" s="1"/>
  <c r="M28" i="1" s="1"/>
  <c r="Y52" i="72"/>
  <c r="X52" i="72"/>
  <c r="F52" i="72"/>
  <c r="Y51" i="72"/>
  <c r="X51" i="72"/>
  <c r="F51" i="72"/>
  <c r="Y50" i="72"/>
  <c r="X50" i="72"/>
  <c r="F50" i="72"/>
  <c r="Y49" i="72"/>
  <c r="X49" i="72"/>
  <c r="F49" i="72"/>
  <c r="Y48" i="72"/>
  <c r="X48" i="72"/>
  <c r="F48" i="72"/>
  <c r="Y47" i="72"/>
  <c r="X47" i="72"/>
  <c r="F47" i="72"/>
  <c r="Y46" i="72"/>
  <c r="X46" i="72"/>
  <c r="F46" i="72"/>
  <c r="Y45" i="72"/>
  <c r="X45" i="72"/>
  <c r="F45" i="72"/>
  <c r="Y44" i="72"/>
  <c r="X44" i="72"/>
  <c r="F44" i="72"/>
  <c r="Y43" i="72"/>
  <c r="X43" i="72"/>
  <c r="F43" i="72"/>
  <c r="Y42" i="72"/>
  <c r="X42" i="72"/>
  <c r="F42" i="72"/>
  <c r="Y41" i="72"/>
  <c r="X41" i="72"/>
  <c r="F41" i="72"/>
  <c r="Y40" i="72"/>
  <c r="X40" i="72"/>
  <c r="F40" i="72"/>
  <c r="Y39" i="72"/>
  <c r="X39" i="72"/>
  <c r="F39" i="72"/>
  <c r="Y38" i="72"/>
  <c r="X38" i="72"/>
  <c r="F38" i="72"/>
  <c r="Y37" i="72"/>
  <c r="X37" i="72"/>
  <c r="F37" i="72"/>
  <c r="Y36" i="72"/>
  <c r="X36" i="72"/>
  <c r="F36" i="72"/>
  <c r="Y35" i="72"/>
  <c r="X35" i="72"/>
  <c r="F35" i="72"/>
  <c r="Y34" i="72"/>
  <c r="X34" i="72"/>
  <c r="F34" i="72"/>
  <c r="Y33" i="72"/>
  <c r="X33" i="72"/>
  <c r="F33" i="72"/>
  <c r="Y32" i="72"/>
  <c r="X32" i="72"/>
  <c r="F32" i="72"/>
  <c r="Y31" i="72"/>
  <c r="X31" i="72"/>
  <c r="F31" i="72"/>
  <c r="Y30" i="72"/>
  <c r="X30" i="72"/>
  <c r="F30" i="72"/>
  <c r="Y29" i="72"/>
  <c r="X29" i="72"/>
  <c r="F29" i="72"/>
  <c r="Y28" i="72"/>
  <c r="X28" i="72"/>
  <c r="F28" i="72"/>
  <c r="Y27" i="72"/>
  <c r="X27" i="72"/>
  <c r="F27" i="72"/>
  <c r="Y26" i="72"/>
  <c r="X26" i="72"/>
  <c r="F26" i="72"/>
  <c r="Y25" i="72"/>
  <c r="X25" i="72"/>
  <c r="F25" i="72"/>
  <c r="Y24" i="72"/>
  <c r="X24" i="72"/>
  <c r="F24" i="72"/>
  <c r="Y23" i="72"/>
  <c r="X23" i="72"/>
  <c r="F23" i="72"/>
  <c r="Y22" i="72"/>
  <c r="X22" i="72"/>
  <c r="F22" i="72"/>
  <c r="Y21" i="72"/>
  <c r="X21" i="72"/>
  <c r="F21" i="72"/>
  <c r="Y20" i="72"/>
  <c r="X20" i="72"/>
  <c r="F20" i="72"/>
  <c r="Y19" i="72"/>
  <c r="X19" i="72"/>
  <c r="F19" i="72"/>
  <c r="Y18" i="72"/>
  <c r="X18" i="72"/>
  <c r="F18" i="72"/>
  <c r="Y17" i="72"/>
  <c r="X17" i="72"/>
  <c r="F17" i="72"/>
  <c r="Y16" i="72"/>
  <c r="X16" i="72"/>
  <c r="F16" i="72"/>
  <c r="Y15" i="72"/>
  <c r="X15" i="72"/>
  <c r="F15" i="72"/>
  <c r="Y14" i="72"/>
  <c r="X14" i="72"/>
  <c r="F14" i="72"/>
  <c r="Y13" i="72"/>
  <c r="X13" i="72"/>
  <c r="F13" i="72"/>
  <c r="Y12" i="72"/>
  <c r="X12" i="72"/>
  <c r="F12" i="72"/>
  <c r="Y11" i="72"/>
  <c r="X11" i="72"/>
  <c r="F11" i="72"/>
  <c r="Y10" i="72"/>
  <c r="X10" i="72"/>
  <c r="F10" i="72"/>
  <c r="Y9" i="72"/>
  <c r="X9" i="72"/>
  <c r="Y8" i="72"/>
  <c r="X8" i="72"/>
  <c r="F8" i="72"/>
  <c r="B8" i="72"/>
  <c r="Y7" i="72"/>
  <c r="X7" i="72"/>
  <c r="F7" i="72"/>
  <c r="Y6" i="72"/>
  <c r="X6" i="72"/>
  <c r="F6" i="72"/>
  <c r="Y5" i="72"/>
  <c r="X5" i="72"/>
  <c r="F5" i="72"/>
  <c r="Y4" i="72"/>
  <c r="X4" i="72"/>
  <c r="F4" i="72"/>
  <c r="Y3" i="72"/>
  <c r="X3" i="72"/>
  <c r="M3" i="72"/>
  <c r="O28" i="1" s="1"/>
  <c r="F3" i="72"/>
  <c r="I27" i="1"/>
  <c r="H27" i="1"/>
  <c r="G27" i="1"/>
  <c r="F27" i="1"/>
  <c r="E27" i="1"/>
  <c r="D27" i="1"/>
  <c r="C27" i="1"/>
  <c r="B27" i="1"/>
  <c r="I53" i="71"/>
  <c r="H53" i="71"/>
  <c r="L3" i="71" s="1"/>
  <c r="N27" i="1" s="1"/>
  <c r="G53" i="71"/>
  <c r="K3" i="71" s="1"/>
  <c r="M27" i="1" s="1"/>
  <c r="Y52" i="71"/>
  <c r="X52" i="71"/>
  <c r="F52" i="71"/>
  <c r="Y51" i="71"/>
  <c r="X51" i="71"/>
  <c r="F51" i="71"/>
  <c r="Y50" i="71"/>
  <c r="X50" i="71"/>
  <c r="F50" i="71"/>
  <c r="Y49" i="71"/>
  <c r="X49" i="71"/>
  <c r="F49" i="71"/>
  <c r="Y48" i="71"/>
  <c r="X48" i="71"/>
  <c r="F48" i="71"/>
  <c r="Y47" i="71"/>
  <c r="X47" i="71"/>
  <c r="F47" i="71"/>
  <c r="Y46" i="71"/>
  <c r="X46" i="71"/>
  <c r="F46" i="71"/>
  <c r="Y45" i="71"/>
  <c r="X45" i="71"/>
  <c r="F45" i="71"/>
  <c r="Y44" i="71"/>
  <c r="X44" i="71"/>
  <c r="F44" i="71"/>
  <c r="Y43" i="71"/>
  <c r="X43" i="71"/>
  <c r="F43" i="71"/>
  <c r="Y42" i="71"/>
  <c r="X42" i="71"/>
  <c r="F42" i="71"/>
  <c r="Y41" i="71"/>
  <c r="X41" i="71"/>
  <c r="F41" i="71"/>
  <c r="Y40" i="71"/>
  <c r="X40" i="71"/>
  <c r="F40" i="71"/>
  <c r="Y39" i="71"/>
  <c r="X39" i="71"/>
  <c r="F39" i="71"/>
  <c r="Y38" i="71"/>
  <c r="X38" i="71"/>
  <c r="F38" i="71"/>
  <c r="Y37" i="71"/>
  <c r="X37" i="71"/>
  <c r="F37" i="71"/>
  <c r="Y36" i="71"/>
  <c r="X36" i="71"/>
  <c r="F36" i="71"/>
  <c r="Y35" i="71"/>
  <c r="X35" i="71"/>
  <c r="F35" i="71"/>
  <c r="Y34" i="71"/>
  <c r="X34" i="71"/>
  <c r="F34" i="71"/>
  <c r="Y33" i="71"/>
  <c r="X33" i="71"/>
  <c r="F33" i="71"/>
  <c r="Y32" i="71"/>
  <c r="X32" i="71"/>
  <c r="F32" i="71"/>
  <c r="Y31" i="71"/>
  <c r="X31" i="71"/>
  <c r="F31" i="71"/>
  <c r="Y30" i="71"/>
  <c r="X30" i="71"/>
  <c r="F30" i="71"/>
  <c r="Y29" i="71"/>
  <c r="X29" i="71"/>
  <c r="F29" i="71"/>
  <c r="Y28" i="71"/>
  <c r="X28" i="71"/>
  <c r="F28" i="71"/>
  <c r="Y27" i="71"/>
  <c r="X27" i="71"/>
  <c r="F27" i="71"/>
  <c r="Y26" i="71"/>
  <c r="X26" i="71"/>
  <c r="F26" i="71"/>
  <c r="Y25" i="71"/>
  <c r="X25" i="71"/>
  <c r="F25" i="71"/>
  <c r="Y24" i="71"/>
  <c r="X24" i="71"/>
  <c r="F24" i="71"/>
  <c r="Y23" i="71"/>
  <c r="X23" i="71"/>
  <c r="F23" i="71"/>
  <c r="Y22" i="71"/>
  <c r="X22" i="71"/>
  <c r="F22" i="71"/>
  <c r="Y21" i="71"/>
  <c r="X21" i="71"/>
  <c r="F21" i="71"/>
  <c r="Y20" i="71"/>
  <c r="X20" i="71"/>
  <c r="F20" i="71"/>
  <c r="Y19" i="71"/>
  <c r="X19" i="71"/>
  <c r="F19" i="71"/>
  <c r="Y18" i="71"/>
  <c r="X18" i="71"/>
  <c r="F18" i="71"/>
  <c r="Y17" i="71"/>
  <c r="X17" i="71"/>
  <c r="F17" i="71"/>
  <c r="Y16" i="71"/>
  <c r="X16" i="71"/>
  <c r="F16" i="71"/>
  <c r="Y15" i="71"/>
  <c r="X15" i="71"/>
  <c r="F15" i="71"/>
  <c r="Y14" i="71"/>
  <c r="X14" i="71"/>
  <c r="F14" i="71"/>
  <c r="Y13" i="71"/>
  <c r="X13" i="71"/>
  <c r="F13" i="71"/>
  <c r="Y12" i="71"/>
  <c r="X12" i="71"/>
  <c r="F12" i="71"/>
  <c r="Y11" i="71"/>
  <c r="X11" i="71"/>
  <c r="F11" i="71"/>
  <c r="Y10" i="71"/>
  <c r="X10" i="71"/>
  <c r="F10" i="71"/>
  <c r="Y9" i="71"/>
  <c r="X9" i="71"/>
  <c r="Y8" i="71"/>
  <c r="X8" i="71"/>
  <c r="F8" i="71"/>
  <c r="B8" i="71"/>
  <c r="Y7" i="71"/>
  <c r="X7" i="71"/>
  <c r="F7" i="71"/>
  <c r="Y6" i="71"/>
  <c r="X6" i="71"/>
  <c r="F6" i="71"/>
  <c r="Y5" i="71"/>
  <c r="X5" i="71"/>
  <c r="F5" i="71"/>
  <c r="Y4" i="71"/>
  <c r="X4" i="71"/>
  <c r="F4" i="71"/>
  <c r="Y3" i="71"/>
  <c r="X3" i="71"/>
  <c r="M3" i="71"/>
  <c r="O27" i="1" s="1"/>
  <c r="F3" i="71"/>
  <c r="I26" i="1"/>
  <c r="H26" i="1"/>
  <c r="G26" i="1"/>
  <c r="F26" i="1"/>
  <c r="E26" i="1"/>
  <c r="D26" i="1"/>
  <c r="C26" i="1"/>
  <c r="B26" i="1"/>
  <c r="I53" i="70"/>
  <c r="H53" i="70"/>
  <c r="L3" i="70" s="1"/>
  <c r="N26" i="1" s="1"/>
  <c r="G53" i="70"/>
  <c r="K3" i="70" s="1"/>
  <c r="M26" i="1" s="1"/>
  <c r="Y52" i="70"/>
  <c r="X52" i="70"/>
  <c r="F52" i="70"/>
  <c r="Y51" i="70"/>
  <c r="X51" i="70"/>
  <c r="F51" i="70"/>
  <c r="Y50" i="70"/>
  <c r="X50" i="70"/>
  <c r="F50" i="70"/>
  <c r="Y49" i="70"/>
  <c r="X49" i="70"/>
  <c r="F49" i="70"/>
  <c r="Y48" i="70"/>
  <c r="X48" i="70"/>
  <c r="F48" i="70"/>
  <c r="Y47" i="70"/>
  <c r="X47" i="70"/>
  <c r="F47" i="70"/>
  <c r="Y46" i="70"/>
  <c r="X46" i="70"/>
  <c r="F46" i="70"/>
  <c r="Y45" i="70"/>
  <c r="X45" i="70"/>
  <c r="F45" i="70"/>
  <c r="Y44" i="70"/>
  <c r="X44" i="70"/>
  <c r="F44" i="70"/>
  <c r="Y43" i="70"/>
  <c r="X43" i="70"/>
  <c r="F43" i="70"/>
  <c r="Y42" i="70"/>
  <c r="X42" i="70"/>
  <c r="F42" i="70"/>
  <c r="Y41" i="70"/>
  <c r="X41" i="70"/>
  <c r="F41" i="70"/>
  <c r="Y40" i="70"/>
  <c r="X40" i="70"/>
  <c r="F40" i="70"/>
  <c r="Y39" i="70"/>
  <c r="X39" i="70"/>
  <c r="F39" i="70"/>
  <c r="Y38" i="70"/>
  <c r="X38" i="70"/>
  <c r="F38" i="70"/>
  <c r="Y37" i="70"/>
  <c r="X37" i="70"/>
  <c r="F37" i="70"/>
  <c r="Y36" i="70"/>
  <c r="X36" i="70"/>
  <c r="F36" i="70"/>
  <c r="Y35" i="70"/>
  <c r="X35" i="70"/>
  <c r="F35" i="70"/>
  <c r="Y34" i="70"/>
  <c r="X34" i="70"/>
  <c r="F34" i="70"/>
  <c r="Y33" i="70"/>
  <c r="X33" i="70"/>
  <c r="F33" i="70"/>
  <c r="Y32" i="70"/>
  <c r="X32" i="70"/>
  <c r="F32" i="70"/>
  <c r="Y31" i="70"/>
  <c r="X31" i="70"/>
  <c r="F31" i="70"/>
  <c r="Y30" i="70"/>
  <c r="X30" i="70"/>
  <c r="F30" i="70"/>
  <c r="Y29" i="70"/>
  <c r="X29" i="70"/>
  <c r="F29" i="70"/>
  <c r="Y28" i="70"/>
  <c r="X28" i="70"/>
  <c r="F28" i="70"/>
  <c r="Y27" i="70"/>
  <c r="X27" i="70"/>
  <c r="F27" i="70"/>
  <c r="Y26" i="70"/>
  <c r="X26" i="70"/>
  <c r="F26" i="70"/>
  <c r="Y25" i="70"/>
  <c r="X25" i="70"/>
  <c r="F25" i="70"/>
  <c r="Y24" i="70"/>
  <c r="X24" i="70"/>
  <c r="F24" i="70"/>
  <c r="Y23" i="70"/>
  <c r="X23" i="70"/>
  <c r="F23" i="70"/>
  <c r="Y22" i="70"/>
  <c r="X22" i="70"/>
  <c r="F22" i="70"/>
  <c r="Y21" i="70"/>
  <c r="X21" i="70"/>
  <c r="F21" i="70"/>
  <c r="Y20" i="70"/>
  <c r="X20" i="70"/>
  <c r="F20" i="70"/>
  <c r="Y19" i="70"/>
  <c r="X19" i="70"/>
  <c r="F19" i="70"/>
  <c r="Y18" i="70"/>
  <c r="X18" i="70"/>
  <c r="F18" i="70"/>
  <c r="Y17" i="70"/>
  <c r="X17" i="70"/>
  <c r="F17" i="70"/>
  <c r="Y16" i="70"/>
  <c r="X16" i="70"/>
  <c r="F16" i="70"/>
  <c r="Y15" i="70"/>
  <c r="X15" i="70"/>
  <c r="F15" i="70"/>
  <c r="Y14" i="70"/>
  <c r="X14" i="70"/>
  <c r="F14" i="70"/>
  <c r="Y13" i="70"/>
  <c r="X13" i="70"/>
  <c r="F13" i="70"/>
  <c r="Y12" i="70"/>
  <c r="X12" i="70"/>
  <c r="F12" i="70"/>
  <c r="Y11" i="70"/>
  <c r="X11" i="70"/>
  <c r="F11" i="70"/>
  <c r="Y10" i="70"/>
  <c r="X10" i="70"/>
  <c r="F10" i="70"/>
  <c r="Y9" i="70"/>
  <c r="X9" i="70"/>
  <c r="Y8" i="70"/>
  <c r="X8" i="70"/>
  <c r="F8" i="70"/>
  <c r="B8" i="70"/>
  <c r="Y7" i="70"/>
  <c r="X7" i="70"/>
  <c r="F7" i="70"/>
  <c r="Y6" i="70"/>
  <c r="X6" i="70"/>
  <c r="F6" i="70"/>
  <c r="Y5" i="70"/>
  <c r="X5" i="70"/>
  <c r="F5" i="70"/>
  <c r="Y4" i="70"/>
  <c r="X4" i="70"/>
  <c r="F4" i="70"/>
  <c r="Y3" i="70"/>
  <c r="X3" i="70"/>
  <c r="M3" i="70"/>
  <c r="O26" i="1" s="1"/>
  <c r="F3" i="70"/>
  <c r="I25" i="1"/>
  <c r="H25" i="1"/>
  <c r="G25" i="1"/>
  <c r="F25" i="1"/>
  <c r="E25" i="1"/>
  <c r="D25" i="1"/>
  <c r="C25" i="1"/>
  <c r="B25" i="1"/>
  <c r="I53" i="69"/>
  <c r="M3" i="69" s="1"/>
  <c r="O25" i="1" s="1"/>
  <c r="H53" i="69"/>
  <c r="L3" i="69" s="1"/>
  <c r="N25" i="1" s="1"/>
  <c r="G53" i="69"/>
  <c r="K3" i="69" s="1"/>
  <c r="O3" i="69" s="1"/>
  <c r="J25" i="1" s="1"/>
  <c r="Y52" i="69"/>
  <c r="X52" i="69"/>
  <c r="F52" i="69"/>
  <c r="Y51" i="69"/>
  <c r="X51" i="69"/>
  <c r="F51" i="69"/>
  <c r="Y50" i="69"/>
  <c r="X50" i="69"/>
  <c r="F50" i="69"/>
  <c r="Y49" i="69"/>
  <c r="X49" i="69"/>
  <c r="F49" i="69"/>
  <c r="Y48" i="69"/>
  <c r="X48" i="69"/>
  <c r="F48" i="69"/>
  <c r="Y47" i="69"/>
  <c r="X47" i="69"/>
  <c r="F47" i="69"/>
  <c r="Y46" i="69"/>
  <c r="X46" i="69"/>
  <c r="F46" i="69"/>
  <c r="Y45" i="69"/>
  <c r="X45" i="69"/>
  <c r="F45" i="69"/>
  <c r="Y44" i="69"/>
  <c r="X44" i="69"/>
  <c r="F44" i="69"/>
  <c r="Y43" i="69"/>
  <c r="X43" i="69"/>
  <c r="F43" i="69"/>
  <c r="Y42" i="69"/>
  <c r="X42" i="69"/>
  <c r="F42" i="69"/>
  <c r="Y41" i="69"/>
  <c r="X41" i="69"/>
  <c r="F41" i="69"/>
  <c r="Y40" i="69"/>
  <c r="X40" i="69"/>
  <c r="F40" i="69"/>
  <c r="Y39" i="69"/>
  <c r="X39" i="69"/>
  <c r="F39" i="69"/>
  <c r="Y38" i="69"/>
  <c r="X38" i="69"/>
  <c r="F38" i="69"/>
  <c r="Y37" i="69"/>
  <c r="X37" i="69"/>
  <c r="F37" i="69"/>
  <c r="Y36" i="69"/>
  <c r="X36" i="69"/>
  <c r="F36" i="69"/>
  <c r="Y35" i="69"/>
  <c r="X35" i="69"/>
  <c r="F35" i="69"/>
  <c r="Y34" i="69"/>
  <c r="X34" i="69"/>
  <c r="F34" i="69"/>
  <c r="Y33" i="69"/>
  <c r="X33" i="69"/>
  <c r="F33" i="69"/>
  <c r="Y32" i="69"/>
  <c r="X32" i="69"/>
  <c r="F32" i="69"/>
  <c r="Y31" i="69"/>
  <c r="X31" i="69"/>
  <c r="F31" i="69"/>
  <c r="Y30" i="69"/>
  <c r="X30" i="69"/>
  <c r="F30" i="69"/>
  <c r="Y29" i="69"/>
  <c r="X29" i="69"/>
  <c r="F29" i="69"/>
  <c r="Y28" i="69"/>
  <c r="X28" i="69"/>
  <c r="F28" i="69"/>
  <c r="Y27" i="69"/>
  <c r="X27" i="69"/>
  <c r="F27" i="69"/>
  <c r="Y26" i="69"/>
  <c r="X26" i="69"/>
  <c r="F26" i="69"/>
  <c r="Y25" i="69"/>
  <c r="X25" i="69"/>
  <c r="F25" i="69"/>
  <c r="Y24" i="69"/>
  <c r="X24" i="69"/>
  <c r="F24" i="69"/>
  <c r="Y23" i="69"/>
  <c r="X23" i="69"/>
  <c r="F23" i="69"/>
  <c r="Y22" i="69"/>
  <c r="X22" i="69"/>
  <c r="F22" i="69"/>
  <c r="Y21" i="69"/>
  <c r="X21" i="69"/>
  <c r="F21" i="69"/>
  <c r="Y20" i="69"/>
  <c r="X20" i="69"/>
  <c r="F20" i="69"/>
  <c r="Y19" i="69"/>
  <c r="X19" i="69"/>
  <c r="F19" i="69"/>
  <c r="Y18" i="69"/>
  <c r="X18" i="69"/>
  <c r="F18" i="69"/>
  <c r="Y17" i="69"/>
  <c r="X17" i="69"/>
  <c r="F17" i="69"/>
  <c r="Y16" i="69"/>
  <c r="X16" i="69"/>
  <c r="F16" i="69"/>
  <c r="Y15" i="69"/>
  <c r="X15" i="69"/>
  <c r="F15" i="69"/>
  <c r="Y14" i="69"/>
  <c r="X14" i="69"/>
  <c r="F14" i="69"/>
  <c r="Y13" i="69"/>
  <c r="X13" i="69"/>
  <c r="F13" i="69"/>
  <c r="Y12" i="69"/>
  <c r="X12" i="69"/>
  <c r="F12" i="69"/>
  <c r="Y11" i="69"/>
  <c r="X11" i="69"/>
  <c r="F11" i="69"/>
  <c r="Y10" i="69"/>
  <c r="X10" i="69"/>
  <c r="F10" i="69"/>
  <c r="Y9" i="69"/>
  <c r="X9" i="69"/>
  <c r="Y8" i="69"/>
  <c r="X8" i="69"/>
  <c r="F8" i="69"/>
  <c r="B8" i="69"/>
  <c r="Y7" i="69"/>
  <c r="X7" i="69"/>
  <c r="F7" i="69"/>
  <c r="Y6" i="69"/>
  <c r="X6" i="69"/>
  <c r="F6" i="69"/>
  <c r="Y5" i="69"/>
  <c r="X5" i="69"/>
  <c r="F5" i="69"/>
  <c r="Y4" i="69"/>
  <c r="X4" i="69"/>
  <c r="F4" i="69"/>
  <c r="Y3" i="69"/>
  <c r="X3" i="69"/>
  <c r="F3" i="69"/>
  <c r="I24" i="1"/>
  <c r="H24" i="1"/>
  <c r="G24" i="1"/>
  <c r="F24" i="1"/>
  <c r="E24" i="1"/>
  <c r="D24" i="1"/>
  <c r="C24" i="1"/>
  <c r="B24" i="1"/>
  <c r="I53" i="68"/>
  <c r="M3" i="68" s="1"/>
  <c r="O24" i="1" s="1"/>
  <c r="H53" i="68"/>
  <c r="L3" i="68" s="1"/>
  <c r="N24" i="1" s="1"/>
  <c r="G53" i="68"/>
  <c r="K3" i="68" s="1"/>
  <c r="M24" i="1" s="1"/>
  <c r="Y52" i="68"/>
  <c r="X52" i="68"/>
  <c r="F52" i="68"/>
  <c r="Y51" i="68"/>
  <c r="X51" i="68"/>
  <c r="F51" i="68"/>
  <c r="Y50" i="68"/>
  <c r="X50" i="68"/>
  <c r="F50" i="68"/>
  <c r="Y49" i="68"/>
  <c r="X49" i="68"/>
  <c r="F49" i="68"/>
  <c r="Y48" i="68"/>
  <c r="X48" i="68"/>
  <c r="F48" i="68"/>
  <c r="Y47" i="68"/>
  <c r="X47" i="68"/>
  <c r="F47" i="68"/>
  <c r="Y46" i="68"/>
  <c r="X46" i="68"/>
  <c r="F46" i="68"/>
  <c r="Y45" i="68"/>
  <c r="X45" i="68"/>
  <c r="F45" i="68"/>
  <c r="Y44" i="68"/>
  <c r="X44" i="68"/>
  <c r="F44" i="68"/>
  <c r="Y43" i="68"/>
  <c r="X43" i="68"/>
  <c r="F43" i="68"/>
  <c r="Y42" i="68"/>
  <c r="X42" i="68"/>
  <c r="F42" i="68"/>
  <c r="Y41" i="68"/>
  <c r="X41" i="68"/>
  <c r="F41" i="68"/>
  <c r="Y40" i="68"/>
  <c r="X40" i="68"/>
  <c r="F40" i="68"/>
  <c r="Y39" i="68"/>
  <c r="X39" i="68"/>
  <c r="F39" i="68"/>
  <c r="Y38" i="68"/>
  <c r="X38" i="68"/>
  <c r="F38" i="68"/>
  <c r="Y37" i="68"/>
  <c r="X37" i="68"/>
  <c r="F37" i="68"/>
  <c r="Y36" i="68"/>
  <c r="X36" i="68"/>
  <c r="F36" i="68"/>
  <c r="Y35" i="68"/>
  <c r="X35" i="68"/>
  <c r="F35" i="68"/>
  <c r="Y34" i="68"/>
  <c r="X34" i="68"/>
  <c r="F34" i="68"/>
  <c r="Y33" i="68"/>
  <c r="X33" i="68"/>
  <c r="F33" i="68"/>
  <c r="Y32" i="68"/>
  <c r="X32" i="68"/>
  <c r="F32" i="68"/>
  <c r="Y31" i="68"/>
  <c r="X31" i="68"/>
  <c r="F31" i="68"/>
  <c r="Y30" i="68"/>
  <c r="X30" i="68"/>
  <c r="F30" i="68"/>
  <c r="Y29" i="68"/>
  <c r="X29" i="68"/>
  <c r="F29" i="68"/>
  <c r="Y28" i="68"/>
  <c r="X28" i="68"/>
  <c r="F28" i="68"/>
  <c r="Y27" i="68"/>
  <c r="X27" i="68"/>
  <c r="F27" i="68"/>
  <c r="Y26" i="68"/>
  <c r="X26" i="68"/>
  <c r="F26" i="68"/>
  <c r="Y25" i="68"/>
  <c r="X25" i="68"/>
  <c r="F25" i="68"/>
  <c r="Y24" i="68"/>
  <c r="X24" i="68"/>
  <c r="F24" i="68"/>
  <c r="Y23" i="68"/>
  <c r="X23" i="68"/>
  <c r="F23" i="68"/>
  <c r="Y22" i="68"/>
  <c r="X22" i="68"/>
  <c r="F22" i="68"/>
  <c r="Y21" i="68"/>
  <c r="X21" i="68"/>
  <c r="F21" i="68"/>
  <c r="Y20" i="68"/>
  <c r="X20" i="68"/>
  <c r="F20" i="68"/>
  <c r="Y19" i="68"/>
  <c r="X19" i="68"/>
  <c r="F19" i="68"/>
  <c r="Y18" i="68"/>
  <c r="X18" i="68"/>
  <c r="F18" i="68"/>
  <c r="Y17" i="68"/>
  <c r="X17" i="68"/>
  <c r="F17" i="68"/>
  <c r="Y16" i="68"/>
  <c r="X16" i="68"/>
  <c r="F16" i="68"/>
  <c r="Y15" i="68"/>
  <c r="X15" i="68"/>
  <c r="F15" i="68"/>
  <c r="Y14" i="68"/>
  <c r="X14" i="68"/>
  <c r="F14" i="68"/>
  <c r="Y13" i="68"/>
  <c r="X13" i="68"/>
  <c r="F13" i="68"/>
  <c r="Y12" i="68"/>
  <c r="X12" i="68"/>
  <c r="F12" i="68"/>
  <c r="Y11" i="68"/>
  <c r="X11" i="68"/>
  <c r="F11" i="68"/>
  <c r="Y10" i="68"/>
  <c r="X10" i="68"/>
  <c r="F10" i="68"/>
  <c r="Y9" i="68"/>
  <c r="X9" i="68"/>
  <c r="Y8" i="68"/>
  <c r="X8" i="68"/>
  <c r="F8" i="68"/>
  <c r="B8" i="68"/>
  <c r="Y7" i="68"/>
  <c r="X7" i="68"/>
  <c r="F7" i="68"/>
  <c r="Y6" i="68"/>
  <c r="X6" i="68"/>
  <c r="F6" i="68"/>
  <c r="Y5" i="68"/>
  <c r="X5" i="68"/>
  <c r="F5" i="68"/>
  <c r="Y4" i="68"/>
  <c r="X4" i="68"/>
  <c r="F4" i="68"/>
  <c r="Y3" i="68"/>
  <c r="X3" i="68"/>
  <c r="F3" i="68"/>
  <c r="I23" i="1"/>
  <c r="H23" i="1"/>
  <c r="G23" i="1"/>
  <c r="E23" i="1"/>
  <c r="D23" i="1"/>
  <c r="C23" i="1"/>
  <c r="B23" i="1"/>
  <c r="I53" i="67"/>
  <c r="H53" i="67"/>
  <c r="L3" i="67" s="1"/>
  <c r="N23" i="1" s="1"/>
  <c r="G53" i="67"/>
  <c r="K3" i="67" s="1"/>
  <c r="M23" i="1" s="1"/>
  <c r="Y52" i="67"/>
  <c r="X52" i="67"/>
  <c r="F52" i="67"/>
  <c r="Y51" i="67"/>
  <c r="X51" i="67"/>
  <c r="F51" i="67"/>
  <c r="Y50" i="67"/>
  <c r="X50" i="67"/>
  <c r="F50" i="67"/>
  <c r="Y49" i="67"/>
  <c r="X49" i="67"/>
  <c r="F49" i="67"/>
  <c r="Y48" i="67"/>
  <c r="X48" i="67"/>
  <c r="F48" i="67"/>
  <c r="Y47" i="67"/>
  <c r="X47" i="67"/>
  <c r="F47" i="67"/>
  <c r="Y46" i="67"/>
  <c r="X46" i="67"/>
  <c r="F46" i="67"/>
  <c r="Y45" i="67"/>
  <c r="X45" i="67"/>
  <c r="F45" i="67"/>
  <c r="Y44" i="67"/>
  <c r="X44" i="67"/>
  <c r="F44" i="67"/>
  <c r="Y43" i="67"/>
  <c r="X43" i="67"/>
  <c r="F43" i="67"/>
  <c r="Y42" i="67"/>
  <c r="X42" i="67"/>
  <c r="F42" i="67"/>
  <c r="Y41" i="67"/>
  <c r="X41" i="67"/>
  <c r="F41" i="67"/>
  <c r="Y40" i="67"/>
  <c r="X40" i="67"/>
  <c r="F40" i="67"/>
  <c r="Y39" i="67"/>
  <c r="X39" i="67"/>
  <c r="F39" i="67"/>
  <c r="Y38" i="67"/>
  <c r="X38" i="67"/>
  <c r="F38" i="67"/>
  <c r="Y37" i="67"/>
  <c r="X37" i="67"/>
  <c r="F37" i="67"/>
  <c r="Y36" i="67"/>
  <c r="X36" i="67"/>
  <c r="F36" i="67"/>
  <c r="Y35" i="67"/>
  <c r="X35" i="67"/>
  <c r="F35" i="67"/>
  <c r="Y34" i="67"/>
  <c r="X34" i="67"/>
  <c r="F34" i="67"/>
  <c r="Y33" i="67"/>
  <c r="X33" i="67"/>
  <c r="F33" i="67"/>
  <c r="Y32" i="67"/>
  <c r="X32" i="67"/>
  <c r="F32" i="67"/>
  <c r="Y31" i="67"/>
  <c r="X31" i="67"/>
  <c r="F31" i="67"/>
  <c r="Y30" i="67"/>
  <c r="X30" i="67"/>
  <c r="F30" i="67"/>
  <c r="Y29" i="67"/>
  <c r="X29" i="67"/>
  <c r="F29" i="67"/>
  <c r="Y28" i="67"/>
  <c r="X28" i="67"/>
  <c r="F28" i="67"/>
  <c r="Y27" i="67"/>
  <c r="X27" i="67"/>
  <c r="F27" i="67"/>
  <c r="Y26" i="67"/>
  <c r="X26" i="67"/>
  <c r="F26" i="67"/>
  <c r="Y25" i="67"/>
  <c r="X25" i="67"/>
  <c r="F25" i="67"/>
  <c r="Y24" i="67"/>
  <c r="X24" i="67"/>
  <c r="F24" i="67"/>
  <c r="Y23" i="67"/>
  <c r="X23" i="67"/>
  <c r="F23" i="67"/>
  <c r="Y22" i="67"/>
  <c r="X22" i="67"/>
  <c r="F22" i="67"/>
  <c r="Y21" i="67"/>
  <c r="X21" i="67"/>
  <c r="F21" i="67"/>
  <c r="Y20" i="67"/>
  <c r="X20" i="67"/>
  <c r="F20" i="67"/>
  <c r="Y19" i="67"/>
  <c r="X19" i="67"/>
  <c r="F19" i="67"/>
  <c r="Y18" i="67"/>
  <c r="X18" i="67"/>
  <c r="F18" i="67"/>
  <c r="Y17" i="67"/>
  <c r="X17" i="67"/>
  <c r="F17" i="67"/>
  <c r="Y16" i="67"/>
  <c r="X16" i="67"/>
  <c r="F16" i="67"/>
  <c r="Y15" i="67"/>
  <c r="X15" i="67"/>
  <c r="F15" i="67"/>
  <c r="Y14" i="67"/>
  <c r="X14" i="67"/>
  <c r="F14" i="67"/>
  <c r="Y13" i="67"/>
  <c r="X13" i="67"/>
  <c r="F13" i="67"/>
  <c r="Y12" i="67"/>
  <c r="X12" i="67"/>
  <c r="F12" i="67"/>
  <c r="Y11" i="67"/>
  <c r="X11" i="67"/>
  <c r="F11" i="67"/>
  <c r="Y10" i="67"/>
  <c r="X10" i="67"/>
  <c r="F10" i="67"/>
  <c r="Y9" i="67"/>
  <c r="X9" i="67"/>
  <c r="Y8" i="67"/>
  <c r="X8" i="67"/>
  <c r="F8" i="67"/>
  <c r="B8" i="67"/>
  <c r="F23" i="1" s="1"/>
  <c r="Y7" i="67"/>
  <c r="X7" i="67"/>
  <c r="F7" i="67"/>
  <c r="Y6" i="67"/>
  <c r="X6" i="67"/>
  <c r="F6" i="67"/>
  <c r="Y5" i="67"/>
  <c r="X5" i="67"/>
  <c r="F5" i="67"/>
  <c r="Y4" i="67"/>
  <c r="X4" i="67"/>
  <c r="F4" i="67"/>
  <c r="Y3" i="67"/>
  <c r="X3" i="67"/>
  <c r="M3" i="67"/>
  <c r="O23" i="1" s="1"/>
  <c r="F3" i="67"/>
  <c r="I22" i="1"/>
  <c r="H22" i="1"/>
  <c r="G22" i="1"/>
  <c r="F22" i="1"/>
  <c r="E22" i="1"/>
  <c r="D22" i="1"/>
  <c r="C22" i="1"/>
  <c r="B22" i="1"/>
  <c r="I53" i="66"/>
  <c r="M3" i="66" s="1"/>
  <c r="O22" i="1" s="1"/>
  <c r="H53" i="66"/>
  <c r="L3" i="66" s="1"/>
  <c r="N22" i="1" s="1"/>
  <c r="G53" i="66"/>
  <c r="K3" i="66" s="1"/>
  <c r="M22" i="1" s="1"/>
  <c r="Y52" i="66"/>
  <c r="X52" i="66"/>
  <c r="F52" i="66"/>
  <c r="Y51" i="66"/>
  <c r="X51" i="66"/>
  <c r="F51" i="66"/>
  <c r="Y50" i="66"/>
  <c r="X50" i="66"/>
  <c r="F50" i="66"/>
  <c r="Y49" i="66"/>
  <c r="X49" i="66"/>
  <c r="F49" i="66"/>
  <c r="Y48" i="66"/>
  <c r="X48" i="66"/>
  <c r="F48" i="66"/>
  <c r="Y47" i="66"/>
  <c r="X47" i="66"/>
  <c r="F47" i="66"/>
  <c r="Y46" i="66"/>
  <c r="X46" i="66"/>
  <c r="F46" i="66"/>
  <c r="Y45" i="66"/>
  <c r="X45" i="66"/>
  <c r="F45" i="66"/>
  <c r="Y44" i="66"/>
  <c r="X44" i="66"/>
  <c r="F44" i="66"/>
  <c r="Y43" i="66"/>
  <c r="X43" i="66"/>
  <c r="F43" i="66"/>
  <c r="Y42" i="66"/>
  <c r="X42" i="66"/>
  <c r="F42" i="66"/>
  <c r="Y41" i="66"/>
  <c r="X41" i="66"/>
  <c r="F41" i="66"/>
  <c r="Y40" i="66"/>
  <c r="X40" i="66"/>
  <c r="F40" i="66"/>
  <c r="Y39" i="66"/>
  <c r="X39" i="66"/>
  <c r="F39" i="66"/>
  <c r="Y38" i="66"/>
  <c r="X38" i="66"/>
  <c r="F38" i="66"/>
  <c r="Y37" i="66"/>
  <c r="X37" i="66"/>
  <c r="F37" i="66"/>
  <c r="Y36" i="66"/>
  <c r="X36" i="66"/>
  <c r="F36" i="66"/>
  <c r="Y35" i="66"/>
  <c r="X35" i="66"/>
  <c r="F35" i="66"/>
  <c r="Y34" i="66"/>
  <c r="X34" i="66"/>
  <c r="F34" i="66"/>
  <c r="Y33" i="66"/>
  <c r="X33" i="66"/>
  <c r="F33" i="66"/>
  <c r="Y32" i="66"/>
  <c r="X32" i="66"/>
  <c r="F32" i="66"/>
  <c r="Y31" i="66"/>
  <c r="X31" i="66"/>
  <c r="F31" i="66"/>
  <c r="Y30" i="66"/>
  <c r="X30" i="66"/>
  <c r="F30" i="66"/>
  <c r="Y29" i="66"/>
  <c r="X29" i="66"/>
  <c r="F29" i="66"/>
  <c r="Y28" i="66"/>
  <c r="X28" i="66"/>
  <c r="F28" i="66"/>
  <c r="Y27" i="66"/>
  <c r="X27" i="66"/>
  <c r="F27" i="66"/>
  <c r="Y26" i="66"/>
  <c r="X26" i="66"/>
  <c r="F26" i="66"/>
  <c r="Y25" i="66"/>
  <c r="X25" i="66"/>
  <c r="F25" i="66"/>
  <c r="Y24" i="66"/>
  <c r="X24" i="66"/>
  <c r="F24" i="66"/>
  <c r="Y23" i="66"/>
  <c r="X23" i="66"/>
  <c r="F23" i="66"/>
  <c r="Y22" i="66"/>
  <c r="X22" i="66"/>
  <c r="F22" i="66"/>
  <c r="Y21" i="66"/>
  <c r="X21" i="66"/>
  <c r="F21" i="66"/>
  <c r="Y20" i="66"/>
  <c r="X20" i="66"/>
  <c r="F20" i="66"/>
  <c r="Y19" i="66"/>
  <c r="X19" i="66"/>
  <c r="F19" i="66"/>
  <c r="Y18" i="66"/>
  <c r="X18" i="66"/>
  <c r="F18" i="66"/>
  <c r="Y17" i="66"/>
  <c r="X17" i="66"/>
  <c r="F17" i="66"/>
  <c r="Y16" i="66"/>
  <c r="X16" i="66"/>
  <c r="F16" i="66"/>
  <c r="Y15" i="66"/>
  <c r="X15" i="66"/>
  <c r="F15" i="66"/>
  <c r="Y14" i="66"/>
  <c r="X14" i="66"/>
  <c r="F14" i="66"/>
  <c r="Y13" i="66"/>
  <c r="X13" i="66"/>
  <c r="F13" i="66"/>
  <c r="Y12" i="66"/>
  <c r="X12" i="66"/>
  <c r="F12" i="66"/>
  <c r="Y11" i="66"/>
  <c r="X11" i="66"/>
  <c r="F11" i="66"/>
  <c r="Y10" i="66"/>
  <c r="X10" i="66"/>
  <c r="F10" i="66"/>
  <c r="Y9" i="66"/>
  <c r="X9" i="66"/>
  <c r="Y8" i="66"/>
  <c r="X8" i="66"/>
  <c r="F8" i="66"/>
  <c r="B8" i="66"/>
  <c r="Y7" i="66"/>
  <c r="X7" i="66"/>
  <c r="F7" i="66"/>
  <c r="Y6" i="66"/>
  <c r="X6" i="66"/>
  <c r="F6" i="66"/>
  <c r="Y5" i="66"/>
  <c r="X5" i="66"/>
  <c r="F5" i="66"/>
  <c r="Y4" i="66"/>
  <c r="X4" i="66"/>
  <c r="F4" i="66"/>
  <c r="Y3" i="66"/>
  <c r="X3" i="66"/>
  <c r="F3" i="66"/>
  <c r="I21" i="1"/>
  <c r="H21" i="1"/>
  <c r="G21" i="1"/>
  <c r="F21" i="1"/>
  <c r="E21" i="1"/>
  <c r="D21" i="1"/>
  <c r="C21" i="1"/>
  <c r="B21" i="1"/>
  <c r="I53" i="65"/>
  <c r="M3" i="65" s="1"/>
  <c r="O21" i="1" s="1"/>
  <c r="H53" i="65"/>
  <c r="L3" i="65" s="1"/>
  <c r="N21" i="1" s="1"/>
  <c r="G53" i="65"/>
  <c r="K3" i="65" s="1"/>
  <c r="M21" i="1" s="1"/>
  <c r="Y52" i="65"/>
  <c r="X52" i="65"/>
  <c r="F52" i="65"/>
  <c r="Y51" i="65"/>
  <c r="X51" i="65"/>
  <c r="F51" i="65"/>
  <c r="Y50" i="65"/>
  <c r="X50" i="65"/>
  <c r="F50" i="65"/>
  <c r="Y49" i="65"/>
  <c r="X49" i="65"/>
  <c r="F49" i="65"/>
  <c r="Y48" i="65"/>
  <c r="X48" i="65"/>
  <c r="F48" i="65"/>
  <c r="Y47" i="65"/>
  <c r="X47" i="65"/>
  <c r="F47" i="65"/>
  <c r="Y46" i="65"/>
  <c r="X46" i="65"/>
  <c r="F46" i="65"/>
  <c r="Y45" i="65"/>
  <c r="X45" i="65"/>
  <c r="F45" i="65"/>
  <c r="Y44" i="65"/>
  <c r="X44" i="65"/>
  <c r="F44" i="65"/>
  <c r="Y43" i="65"/>
  <c r="X43" i="65"/>
  <c r="F43" i="65"/>
  <c r="Y42" i="65"/>
  <c r="X42" i="65"/>
  <c r="F42" i="65"/>
  <c r="Y41" i="65"/>
  <c r="X41" i="65"/>
  <c r="F41" i="65"/>
  <c r="Y40" i="65"/>
  <c r="X40" i="65"/>
  <c r="F40" i="65"/>
  <c r="Y39" i="65"/>
  <c r="X39" i="65"/>
  <c r="F39" i="65"/>
  <c r="Y38" i="65"/>
  <c r="X38" i="65"/>
  <c r="F38" i="65"/>
  <c r="Y37" i="65"/>
  <c r="X37" i="65"/>
  <c r="F37" i="65"/>
  <c r="Y36" i="65"/>
  <c r="X36" i="65"/>
  <c r="F36" i="65"/>
  <c r="Y35" i="65"/>
  <c r="X35" i="65"/>
  <c r="F35" i="65"/>
  <c r="Y34" i="65"/>
  <c r="X34" i="65"/>
  <c r="F34" i="65"/>
  <c r="Y33" i="65"/>
  <c r="X33" i="65"/>
  <c r="F33" i="65"/>
  <c r="Y32" i="65"/>
  <c r="X32" i="65"/>
  <c r="F32" i="65"/>
  <c r="Y31" i="65"/>
  <c r="X31" i="65"/>
  <c r="F31" i="65"/>
  <c r="Y30" i="65"/>
  <c r="X30" i="65"/>
  <c r="F30" i="65"/>
  <c r="Y29" i="65"/>
  <c r="X29" i="65"/>
  <c r="F29" i="65"/>
  <c r="Y28" i="65"/>
  <c r="X28" i="65"/>
  <c r="F28" i="65"/>
  <c r="Y27" i="65"/>
  <c r="X27" i="65"/>
  <c r="F27" i="65"/>
  <c r="Y26" i="65"/>
  <c r="X26" i="65"/>
  <c r="F26" i="65"/>
  <c r="Y25" i="65"/>
  <c r="X25" i="65"/>
  <c r="F25" i="65"/>
  <c r="Y24" i="65"/>
  <c r="X24" i="65"/>
  <c r="F24" i="65"/>
  <c r="Y23" i="65"/>
  <c r="X23" i="65"/>
  <c r="F23" i="65"/>
  <c r="Y22" i="65"/>
  <c r="X22" i="65"/>
  <c r="F22" i="65"/>
  <c r="Y21" i="65"/>
  <c r="X21" i="65"/>
  <c r="F21" i="65"/>
  <c r="Y20" i="65"/>
  <c r="X20" i="65"/>
  <c r="F20" i="65"/>
  <c r="Y19" i="65"/>
  <c r="X19" i="65"/>
  <c r="F19" i="65"/>
  <c r="Y18" i="65"/>
  <c r="X18" i="65"/>
  <c r="F18" i="65"/>
  <c r="Y17" i="65"/>
  <c r="X17" i="65"/>
  <c r="F17" i="65"/>
  <c r="Y16" i="65"/>
  <c r="X16" i="65"/>
  <c r="F16" i="65"/>
  <c r="Y15" i="65"/>
  <c r="X15" i="65"/>
  <c r="F15" i="65"/>
  <c r="Y14" i="65"/>
  <c r="X14" i="65"/>
  <c r="F14" i="65"/>
  <c r="Y13" i="65"/>
  <c r="X13" i="65"/>
  <c r="F13" i="65"/>
  <c r="Y12" i="65"/>
  <c r="X12" i="65"/>
  <c r="F12" i="65"/>
  <c r="Y11" i="65"/>
  <c r="X11" i="65"/>
  <c r="F11" i="65"/>
  <c r="Y10" i="65"/>
  <c r="X10" i="65"/>
  <c r="F10" i="65"/>
  <c r="Y9" i="65"/>
  <c r="X9" i="65"/>
  <c r="Y8" i="65"/>
  <c r="X8" i="65"/>
  <c r="F8" i="65"/>
  <c r="B8" i="65"/>
  <c r="Y7" i="65"/>
  <c r="X7" i="65"/>
  <c r="F7" i="65"/>
  <c r="Y6" i="65"/>
  <c r="X6" i="65"/>
  <c r="F6" i="65"/>
  <c r="Y5" i="65"/>
  <c r="X5" i="65"/>
  <c r="F5" i="65"/>
  <c r="Y4" i="65"/>
  <c r="X4" i="65"/>
  <c r="F4" i="65"/>
  <c r="Y3" i="65"/>
  <c r="X3" i="65"/>
  <c r="F3" i="65"/>
  <c r="M20" i="1"/>
  <c r="J20" i="1"/>
  <c r="I20" i="1"/>
  <c r="H20" i="1"/>
  <c r="G20" i="1"/>
  <c r="F20" i="1"/>
  <c r="E20" i="1"/>
  <c r="D20" i="1"/>
  <c r="C20" i="1"/>
  <c r="B20" i="1"/>
  <c r="I53" i="64"/>
  <c r="M3" i="64" s="1"/>
  <c r="O20" i="1" s="1"/>
  <c r="H53" i="64"/>
  <c r="L3" i="64" s="1"/>
  <c r="N20" i="1" s="1"/>
  <c r="G53" i="64"/>
  <c r="K3" i="64" s="1"/>
  <c r="Y52" i="64"/>
  <c r="X52" i="64"/>
  <c r="F52" i="64"/>
  <c r="Y51" i="64"/>
  <c r="X51" i="64"/>
  <c r="F51" i="64"/>
  <c r="Y50" i="64"/>
  <c r="X50" i="64"/>
  <c r="F50" i="64"/>
  <c r="Y49" i="64"/>
  <c r="X49" i="64"/>
  <c r="F49" i="64"/>
  <c r="Y48" i="64"/>
  <c r="X48" i="64"/>
  <c r="F48" i="64"/>
  <c r="Y47" i="64"/>
  <c r="X47" i="64"/>
  <c r="F47" i="64"/>
  <c r="Y46" i="64"/>
  <c r="X46" i="64"/>
  <c r="F46" i="64"/>
  <c r="Y45" i="64"/>
  <c r="X45" i="64"/>
  <c r="F45" i="64"/>
  <c r="Y44" i="64"/>
  <c r="X44" i="64"/>
  <c r="F44" i="64"/>
  <c r="Y43" i="64"/>
  <c r="X43" i="64"/>
  <c r="F43" i="64"/>
  <c r="Y42" i="64"/>
  <c r="X42" i="64"/>
  <c r="F42" i="64"/>
  <c r="Y41" i="64"/>
  <c r="X41" i="64"/>
  <c r="F41" i="64"/>
  <c r="Y40" i="64"/>
  <c r="X40" i="64"/>
  <c r="F40" i="64"/>
  <c r="Y39" i="64"/>
  <c r="X39" i="64"/>
  <c r="F39" i="64"/>
  <c r="Y38" i="64"/>
  <c r="X38" i="64"/>
  <c r="F38" i="64"/>
  <c r="Y37" i="64"/>
  <c r="X37" i="64"/>
  <c r="F37" i="64"/>
  <c r="Y36" i="64"/>
  <c r="X36" i="64"/>
  <c r="F36" i="64"/>
  <c r="Y35" i="64"/>
  <c r="X35" i="64"/>
  <c r="F35" i="64"/>
  <c r="Y34" i="64"/>
  <c r="X34" i="64"/>
  <c r="F34" i="64"/>
  <c r="Y33" i="64"/>
  <c r="X33" i="64"/>
  <c r="F33" i="64"/>
  <c r="Y32" i="64"/>
  <c r="X32" i="64"/>
  <c r="F32" i="64"/>
  <c r="Y31" i="64"/>
  <c r="X31" i="64"/>
  <c r="F31" i="64"/>
  <c r="Y30" i="64"/>
  <c r="X30" i="64"/>
  <c r="F30" i="64"/>
  <c r="Y29" i="64"/>
  <c r="X29" i="64"/>
  <c r="F29" i="64"/>
  <c r="Y28" i="64"/>
  <c r="X28" i="64"/>
  <c r="F28" i="64"/>
  <c r="Y27" i="64"/>
  <c r="X27" i="64"/>
  <c r="F27" i="64"/>
  <c r="Y26" i="64"/>
  <c r="X26" i="64"/>
  <c r="F26" i="64"/>
  <c r="Y25" i="64"/>
  <c r="X25" i="64"/>
  <c r="F25" i="64"/>
  <c r="Y24" i="64"/>
  <c r="X24" i="64"/>
  <c r="F24" i="64"/>
  <c r="Y23" i="64"/>
  <c r="X23" i="64"/>
  <c r="F23" i="64"/>
  <c r="Y22" i="64"/>
  <c r="X22" i="64"/>
  <c r="F22" i="64"/>
  <c r="Y21" i="64"/>
  <c r="X21" i="64"/>
  <c r="F21" i="64"/>
  <c r="Y20" i="64"/>
  <c r="X20" i="64"/>
  <c r="F20" i="64"/>
  <c r="Y19" i="64"/>
  <c r="X19" i="64"/>
  <c r="F19" i="64"/>
  <c r="Y18" i="64"/>
  <c r="X18" i="64"/>
  <c r="F18" i="64"/>
  <c r="Y17" i="64"/>
  <c r="X17" i="64"/>
  <c r="F17" i="64"/>
  <c r="Y16" i="64"/>
  <c r="X16" i="64"/>
  <c r="F16" i="64"/>
  <c r="Y15" i="64"/>
  <c r="X15" i="64"/>
  <c r="F15" i="64"/>
  <c r="Y14" i="64"/>
  <c r="X14" i="64"/>
  <c r="F14" i="64"/>
  <c r="Y13" i="64"/>
  <c r="X13" i="64"/>
  <c r="F13" i="64"/>
  <c r="Y12" i="64"/>
  <c r="X12" i="64"/>
  <c r="F12" i="64"/>
  <c r="Y11" i="64"/>
  <c r="X11" i="64"/>
  <c r="F11" i="64"/>
  <c r="Y10" i="64"/>
  <c r="X10" i="64"/>
  <c r="F10" i="64"/>
  <c r="Y9" i="64"/>
  <c r="X9" i="64"/>
  <c r="Y8" i="64"/>
  <c r="X8" i="64"/>
  <c r="F8" i="64"/>
  <c r="B8" i="64"/>
  <c r="Y7" i="64"/>
  <c r="X7" i="64"/>
  <c r="F7" i="64"/>
  <c r="Y6" i="64"/>
  <c r="X6" i="64"/>
  <c r="F6" i="64"/>
  <c r="Y5" i="64"/>
  <c r="X5" i="64"/>
  <c r="F5" i="64"/>
  <c r="Y4" i="64"/>
  <c r="X4" i="64"/>
  <c r="F4" i="64"/>
  <c r="Y3" i="64"/>
  <c r="X3" i="64"/>
  <c r="F3" i="64"/>
  <c r="M19" i="1"/>
  <c r="J19" i="1"/>
  <c r="I19" i="1"/>
  <c r="H19" i="1"/>
  <c r="G19" i="1"/>
  <c r="F19" i="1"/>
  <c r="E19" i="1"/>
  <c r="D19" i="1"/>
  <c r="C19" i="1"/>
  <c r="B19" i="1"/>
  <c r="I53" i="63"/>
  <c r="M3" i="63" s="1"/>
  <c r="O19" i="1" s="1"/>
  <c r="H53" i="63"/>
  <c r="L3" i="63" s="1"/>
  <c r="N19" i="1" s="1"/>
  <c r="G53" i="63"/>
  <c r="Y52" i="63"/>
  <c r="X52" i="63"/>
  <c r="F52" i="63"/>
  <c r="Y51" i="63"/>
  <c r="X51" i="63"/>
  <c r="F51" i="63"/>
  <c r="Y50" i="63"/>
  <c r="X50" i="63"/>
  <c r="F50" i="63"/>
  <c r="Y49" i="63"/>
  <c r="X49" i="63"/>
  <c r="F49" i="63"/>
  <c r="Y48" i="63"/>
  <c r="X48" i="63"/>
  <c r="F48" i="63"/>
  <c r="Y47" i="63"/>
  <c r="X47" i="63"/>
  <c r="F47" i="63"/>
  <c r="Y46" i="63"/>
  <c r="X46" i="63"/>
  <c r="F46" i="63"/>
  <c r="Y45" i="63"/>
  <c r="X45" i="63"/>
  <c r="F45" i="63"/>
  <c r="Y44" i="63"/>
  <c r="X44" i="63"/>
  <c r="F44" i="63"/>
  <c r="Y43" i="63"/>
  <c r="X43" i="63"/>
  <c r="F43" i="63"/>
  <c r="Y42" i="63"/>
  <c r="X42" i="63"/>
  <c r="F42" i="63"/>
  <c r="Y41" i="63"/>
  <c r="X41" i="63"/>
  <c r="F41" i="63"/>
  <c r="Y40" i="63"/>
  <c r="X40" i="63"/>
  <c r="F40" i="63"/>
  <c r="Y39" i="63"/>
  <c r="X39" i="63"/>
  <c r="F39" i="63"/>
  <c r="Y38" i="63"/>
  <c r="X38" i="63"/>
  <c r="F38" i="63"/>
  <c r="Y37" i="63"/>
  <c r="X37" i="63"/>
  <c r="F37" i="63"/>
  <c r="Y36" i="63"/>
  <c r="X36" i="63"/>
  <c r="F36" i="63"/>
  <c r="Y35" i="63"/>
  <c r="X35" i="63"/>
  <c r="F35" i="63"/>
  <c r="Y34" i="63"/>
  <c r="X34" i="63"/>
  <c r="F34" i="63"/>
  <c r="Y33" i="63"/>
  <c r="X33" i="63"/>
  <c r="F33" i="63"/>
  <c r="Y32" i="63"/>
  <c r="X32" i="63"/>
  <c r="F32" i="63"/>
  <c r="Y31" i="63"/>
  <c r="X31" i="63"/>
  <c r="F31" i="63"/>
  <c r="Y30" i="63"/>
  <c r="X30" i="63"/>
  <c r="F30" i="63"/>
  <c r="Y29" i="63"/>
  <c r="X29" i="63"/>
  <c r="F29" i="63"/>
  <c r="Y28" i="63"/>
  <c r="X28" i="63"/>
  <c r="F28" i="63"/>
  <c r="Y27" i="63"/>
  <c r="X27" i="63"/>
  <c r="F27" i="63"/>
  <c r="Y26" i="63"/>
  <c r="X26" i="63"/>
  <c r="F26" i="63"/>
  <c r="Y25" i="63"/>
  <c r="X25" i="63"/>
  <c r="F25" i="63"/>
  <c r="Y24" i="63"/>
  <c r="X24" i="63"/>
  <c r="F24" i="63"/>
  <c r="Y23" i="63"/>
  <c r="X23" i="63"/>
  <c r="F23" i="63"/>
  <c r="Y22" i="63"/>
  <c r="X22" i="63"/>
  <c r="F22" i="63"/>
  <c r="Y21" i="63"/>
  <c r="X21" i="63"/>
  <c r="F21" i="63"/>
  <c r="Y20" i="63"/>
  <c r="X20" i="63"/>
  <c r="F20" i="63"/>
  <c r="Y19" i="63"/>
  <c r="X19" i="63"/>
  <c r="F19" i="63"/>
  <c r="Y18" i="63"/>
  <c r="X18" i="63"/>
  <c r="F18" i="63"/>
  <c r="Y17" i="63"/>
  <c r="X17" i="63"/>
  <c r="F17" i="63"/>
  <c r="Y16" i="63"/>
  <c r="X16" i="63"/>
  <c r="F16" i="63"/>
  <c r="Y15" i="63"/>
  <c r="X15" i="63"/>
  <c r="F15" i="63"/>
  <c r="Y14" i="63"/>
  <c r="X14" i="63"/>
  <c r="F14" i="63"/>
  <c r="Y13" i="63"/>
  <c r="X13" i="63"/>
  <c r="F13" i="63"/>
  <c r="Y12" i="63"/>
  <c r="X12" i="63"/>
  <c r="F12" i="63"/>
  <c r="Y11" i="63"/>
  <c r="X11" i="63"/>
  <c r="F11" i="63"/>
  <c r="Y10" i="63"/>
  <c r="X10" i="63"/>
  <c r="F10" i="63"/>
  <c r="Y9" i="63"/>
  <c r="X9" i="63"/>
  <c r="Y8" i="63"/>
  <c r="X8" i="63"/>
  <c r="F8" i="63"/>
  <c r="B8" i="63"/>
  <c r="Y7" i="63"/>
  <c r="X7" i="63"/>
  <c r="F7" i="63"/>
  <c r="Y6" i="63"/>
  <c r="X6" i="63"/>
  <c r="F6" i="63"/>
  <c r="Y5" i="63"/>
  <c r="X5" i="63"/>
  <c r="F5" i="63"/>
  <c r="Y4" i="63"/>
  <c r="X4" i="63"/>
  <c r="F4" i="63"/>
  <c r="Y3" i="63"/>
  <c r="X3" i="63"/>
  <c r="K3" i="63"/>
  <c r="O3" i="63" s="1"/>
  <c r="F3" i="63"/>
  <c r="M18" i="1"/>
  <c r="J18" i="1"/>
  <c r="I18" i="1"/>
  <c r="H18" i="1"/>
  <c r="G18" i="1"/>
  <c r="F18" i="1"/>
  <c r="E18" i="1"/>
  <c r="D18" i="1"/>
  <c r="C18" i="1"/>
  <c r="B18" i="1"/>
  <c r="F3" i="62"/>
  <c r="F4" i="62"/>
  <c r="F5" i="62"/>
  <c r="F6" i="62"/>
  <c r="F7" i="62"/>
  <c r="I53" i="62"/>
  <c r="M3" i="62" s="1"/>
  <c r="O18" i="1" s="1"/>
  <c r="H53" i="62"/>
  <c r="G53" i="62"/>
  <c r="K3" i="62" s="1"/>
  <c r="Y52" i="62"/>
  <c r="X52" i="62"/>
  <c r="F52" i="62"/>
  <c r="Y51" i="62"/>
  <c r="X51" i="62"/>
  <c r="F51" i="62"/>
  <c r="Y50" i="62"/>
  <c r="X50" i="62"/>
  <c r="F50" i="62"/>
  <c r="Y49" i="62"/>
  <c r="X49" i="62"/>
  <c r="F49" i="62"/>
  <c r="Y48" i="62"/>
  <c r="X48" i="62"/>
  <c r="F48" i="62"/>
  <c r="Y47" i="62"/>
  <c r="X47" i="62"/>
  <c r="F47" i="62"/>
  <c r="Y46" i="62"/>
  <c r="X46" i="62"/>
  <c r="F46" i="62"/>
  <c r="Y45" i="62"/>
  <c r="X45" i="62"/>
  <c r="F45" i="62"/>
  <c r="Y44" i="62"/>
  <c r="X44" i="62"/>
  <c r="F44" i="62"/>
  <c r="Y43" i="62"/>
  <c r="X43" i="62"/>
  <c r="F43" i="62"/>
  <c r="Y42" i="62"/>
  <c r="X42" i="62"/>
  <c r="F42" i="62"/>
  <c r="Y41" i="62"/>
  <c r="X41" i="62"/>
  <c r="F41" i="62"/>
  <c r="Y40" i="62"/>
  <c r="X40" i="62"/>
  <c r="F40" i="62"/>
  <c r="Y39" i="62"/>
  <c r="X39" i="62"/>
  <c r="F39" i="62"/>
  <c r="Y38" i="62"/>
  <c r="X38" i="62"/>
  <c r="F38" i="62"/>
  <c r="Y37" i="62"/>
  <c r="X37" i="62"/>
  <c r="F37" i="62"/>
  <c r="Y36" i="62"/>
  <c r="X36" i="62"/>
  <c r="F36" i="62"/>
  <c r="Y35" i="62"/>
  <c r="X35" i="62"/>
  <c r="F35" i="62"/>
  <c r="Y34" i="62"/>
  <c r="X34" i="62"/>
  <c r="F34" i="62"/>
  <c r="Y33" i="62"/>
  <c r="X33" i="62"/>
  <c r="F33" i="62"/>
  <c r="Y32" i="62"/>
  <c r="X32" i="62"/>
  <c r="F32" i="62"/>
  <c r="Y31" i="62"/>
  <c r="X31" i="62"/>
  <c r="F31" i="62"/>
  <c r="Y30" i="62"/>
  <c r="X30" i="62"/>
  <c r="F30" i="62"/>
  <c r="Y29" i="62"/>
  <c r="X29" i="62"/>
  <c r="F29" i="62"/>
  <c r="Y28" i="62"/>
  <c r="X28" i="62"/>
  <c r="F28" i="62"/>
  <c r="Y27" i="62"/>
  <c r="X27" i="62"/>
  <c r="F27" i="62"/>
  <c r="Y26" i="62"/>
  <c r="X26" i="62"/>
  <c r="F26" i="62"/>
  <c r="Y25" i="62"/>
  <c r="X25" i="62"/>
  <c r="F25" i="62"/>
  <c r="Y24" i="62"/>
  <c r="X24" i="62"/>
  <c r="F24" i="62"/>
  <c r="Y23" i="62"/>
  <c r="X23" i="62"/>
  <c r="F23" i="62"/>
  <c r="Y22" i="62"/>
  <c r="X22" i="62"/>
  <c r="F22" i="62"/>
  <c r="Y21" i="62"/>
  <c r="X21" i="62"/>
  <c r="F21" i="62"/>
  <c r="Y20" i="62"/>
  <c r="X20" i="62"/>
  <c r="F20" i="62"/>
  <c r="Y19" i="62"/>
  <c r="X19" i="62"/>
  <c r="F19" i="62"/>
  <c r="Y18" i="62"/>
  <c r="X18" i="62"/>
  <c r="F18" i="62"/>
  <c r="Y17" i="62"/>
  <c r="X17" i="62"/>
  <c r="F17" i="62"/>
  <c r="Y16" i="62"/>
  <c r="X16" i="62"/>
  <c r="F16" i="62"/>
  <c r="Y15" i="62"/>
  <c r="X15" i="62"/>
  <c r="F15" i="62"/>
  <c r="Y14" i="62"/>
  <c r="X14" i="62"/>
  <c r="F14" i="62"/>
  <c r="Y13" i="62"/>
  <c r="X13" i="62"/>
  <c r="F13" i="62"/>
  <c r="Y12" i="62"/>
  <c r="X12" i="62"/>
  <c r="F12" i="62"/>
  <c r="Y11" i="62"/>
  <c r="X11" i="62"/>
  <c r="F11" i="62"/>
  <c r="Y10" i="62"/>
  <c r="X10" i="62"/>
  <c r="F10" i="62"/>
  <c r="Y9" i="62"/>
  <c r="X9" i="62"/>
  <c r="Y8" i="62"/>
  <c r="X8" i="62"/>
  <c r="F8" i="62"/>
  <c r="B8" i="62"/>
  <c r="Y7" i="62"/>
  <c r="X7" i="62"/>
  <c r="Y6" i="62"/>
  <c r="X6" i="62"/>
  <c r="Y5" i="62"/>
  <c r="X5" i="62"/>
  <c r="Y4" i="62"/>
  <c r="X4" i="62"/>
  <c r="Y3" i="62"/>
  <c r="X3" i="62"/>
  <c r="I17" i="1"/>
  <c r="H17" i="1"/>
  <c r="G17" i="1"/>
  <c r="F17" i="1"/>
  <c r="E17" i="1"/>
  <c r="D17" i="1"/>
  <c r="C17" i="1"/>
  <c r="B17" i="1"/>
  <c r="I53" i="61"/>
  <c r="M3" i="61" s="1"/>
  <c r="O17" i="1" s="1"/>
  <c r="H53" i="61"/>
  <c r="L3" i="61" s="1"/>
  <c r="N17" i="1" s="1"/>
  <c r="G53" i="61"/>
  <c r="K3" i="61" s="1"/>
  <c r="Y52" i="61"/>
  <c r="X52" i="61"/>
  <c r="F52" i="61"/>
  <c r="Y51" i="61"/>
  <c r="X51" i="61"/>
  <c r="F51" i="61"/>
  <c r="Y50" i="61"/>
  <c r="X50" i="61"/>
  <c r="F50" i="61"/>
  <c r="Y49" i="61"/>
  <c r="X49" i="61"/>
  <c r="F49" i="61"/>
  <c r="Y48" i="61"/>
  <c r="X48" i="61"/>
  <c r="F48" i="61"/>
  <c r="Y47" i="61"/>
  <c r="X47" i="61"/>
  <c r="F47" i="61"/>
  <c r="Y46" i="61"/>
  <c r="X46" i="61"/>
  <c r="F46" i="61"/>
  <c r="Y45" i="61"/>
  <c r="X45" i="61"/>
  <c r="F45" i="61"/>
  <c r="Y44" i="61"/>
  <c r="X44" i="61"/>
  <c r="F44" i="61"/>
  <c r="Y43" i="61"/>
  <c r="X43" i="61"/>
  <c r="F43" i="61"/>
  <c r="Y42" i="61"/>
  <c r="X42" i="61"/>
  <c r="F42" i="61"/>
  <c r="Y41" i="61"/>
  <c r="X41" i="61"/>
  <c r="F41" i="61"/>
  <c r="Y40" i="61"/>
  <c r="X40" i="61"/>
  <c r="F40" i="61"/>
  <c r="Y39" i="61"/>
  <c r="X39" i="61"/>
  <c r="F39" i="61"/>
  <c r="Y38" i="61"/>
  <c r="X38" i="61"/>
  <c r="F38" i="61"/>
  <c r="Y37" i="61"/>
  <c r="X37" i="61"/>
  <c r="F37" i="61"/>
  <c r="Y36" i="61"/>
  <c r="X36" i="61"/>
  <c r="F36" i="61"/>
  <c r="Y35" i="61"/>
  <c r="X35" i="61"/>
  <c r="F35" i="61"/>
  <c r="Y34" i="61"/>
  <c r="X34" i="61"/>
  <c r="F34" i="61"/>
  <c r="Y33" i="61"/>
  <c r="X33" i="61"/>
  <c r="F33" i="61"/>
  <c r="Y32" i="61"/>
  <c r="X32" i="61"/>
  <c r="F32" i="61"/>
  <c r="Y31" i="61"/>
  <c r="X31" i="61"/>
  <c r="F31" i="61"/>
  <c r="Y30" i="61"/>
  <c r="X30" i="61"/>
  <c r="F30" i="61"/>
  <c r="Y29" i="61"/>
  <c r="X29" i="61"/>
  <c r="F29" i="61"/>
  <c r="Y28" i="61"/>
  <c r="X28" i="61"/>
  <c r="F28" i="61"/>
  <c r="Y27" i="61"/>
  <c r="X27" i="61"/>
  <c r="F27" i="61"/>
  <c r="Y26" i="61"/>
  <c r="X26" i="61"/>
  <c r="F26" i="61"/>
  <c r="Y25" i="61"/>
  <c r="X25" i="61"/>
  <c r="F25" i="61"/>
  <c r="Y24" i="61"/>
  <c r="X24" i="61"/>
  <c r="F24" i="61"/>
  <c r="Y23" i="61"/>
  <c r="X23" i="61"/>
  <c r="F23" i="61"/>
  <c r="Y22" i="61"/>
  <c r="X22" i="61"/>
  <c r="F22" i="61"/>
  <c r="Y21" i="61"/>
  <c r="X21" i="61"/>
  <c r="F21" i="61"/>
  <c r="Y20" i="61"/>
  <c r="X20" i="61"/>
  <c r="F20" i="61"/>
  <c r="Y19" i="61"/>
  <c r="X19" i="61"/>
  <c r="F19" i="61"/>
  <c r="Y18" i="61"/>
  <c r="X18" i="61"/>
  <c r="F18" i="61"/>
  <c r="Y17" i="61"/>
  <c r="X17" i="61"/>
  <c r="F17" i="61"/>
  <c r="Y16" i="61"/>
  <c r="X16" i="61"/>
  <c r="F16" i="61"/>
  <c r="Y15" i="61"/>
  <c r="X15" i="61"/>
  <c r="F15" i="61"/>
  <c r="Y14" i="61"/>
  <c r="X14" i="61"/>
  <c r="F14" i="61"/>
  <c r="Y13" i="61"/>
  <c r="X13" i="61"/>
  <c r="F13" i="61"/>
  <c r="Y12" i="61"/>
  <c r="X12" i="61"/>
  <c r="F12" i="61"/>
  <c r="Y11" i="61"/>
  <c r="X11" i="61"/>
  <c r="F11" i="61"/>
  <c r="Y10" i="61"/>
  <c r="X10" i="61"/>
  <c r="F10" i="61"/>
  <c r="Y9" i="61"/>
  <c r="X9" i="61"/>
  <c r="Y8" i="61"/>
  <c r="X8" i="61"/>
  <c r="B8" i="61"/>
  <c r="Y7" i="61"/>
  <c r="X7" i="61"/>
  <c r="F7" i="61"/>
  <c r="Y6" i="61"/>
  <c r="X6" i="61"/>
  <c r="F6" i="61"/>
  <c r="Y5" i="61"/>
  <c r="X5" i="61"/>
  <c r="F5" i="61"/>
  <c r="Y4" i="61"/>
  <c r="X4" i="61"/>
  <c r="F4" i="61"/>
  <c r="Y3" i="61"/>
  <c r="X3" i="61"/>
  <c r="F3" i="61"/>
  <c r="I16" i="1"/>
  <c r="H16" i="1"/>
  <c r="G16" i="1"/>
  <c r="F16" i="1"/>
  <c r="E16" i="1"/>
  <c r="D16" i="1"/>
  <c r="C16" i="1"/>
  <c r="B16" i="1"/>
  <c r="I53" i="60"/>
  <c r="M3" i="60" s="1"/>
  <c r="O16" i="1" s="1"/>
  <c r="H53" i="60"/>
  <c r="L3" i="60" s="1"/>
  <c r="N16" i="1" s="1"/>
  <c r="G53" i="60"/>
  <c r="K3" i="60" s="1"/>
  <c r="M16" i="1" s="1"/>
  <c r="Y52" i="60"/>
  <c r="X52" i="60"/>
  <c r="F52" i="60"/>
  <c r="Y51" i="60"/>
  <c r="X51" i="60"/>
  <c r="F51" i="60"/>
  <c r="Y50" i="60"/>
  <c r="X50" i="60"/>
  <c r="F50" i="60"/>
  <c r="Y49" i="60"/>
  <c r="X49" i="60"/>
  <c r="F49" i="60"/>
  <c r="Y48" i="60"/>
  <c r="X48" i="60"/>
  <c r="F48" i="60"/>
  <c r="Y47" i="60"/>
  <c r="X47" i="60"/>
  <c r="F47" i="60"/>
  <c r="Y46" i="60"/>
  <c r="X46" i="60"/>
  <c r="F46" i="60"/>
  <c r="Y45" i="60"/>
  <c r="X45" i="60"/>
  <c r="F45" i="60"/>
  <c r="Y44" i="60"/>
  <c r="X44" i="60"/>
  <c r="F44" i="60"/>
  <c r="Y43" i="60"/>
  <c r="X43" i="60"/>
  <c r="F43" i="60"/>
  <c r="Y42" i="60"/>
  <c r="X42" i="60"/>
  <c r="F42" i="60"/>
  <c r="Y41" i="60"/>
  <c r="X41" i="60"/>
  <c r="F41" i="60"/>
  <c r="Y40" i="60"/>
  <c r="X40" i="60"/>
  <c r="F40" i="60"/>
  <c r="Y39" i="60"/>
  <c r="X39" i="60"/>
  <c r="F39" i="60"/>
  <c r="Y38" i="60"/>
  <c r="X38" i="60"/>
  <c r="F38" i="60"/>
  <c r="Y37" i="60"/>
  <c r="X37" i="60"/>
  <c r="F37" i="60"/>
  <c r="Y36" i="60"/>
  <c r="X36" i="60"/>
  <c r="F36" i="60"/>
  <c r="Y35" i="60"/>
  <c r="X35" i="60"/>
  <c r="F35" i="60"/>
  <c r="Y34" i="60"/>
  <c r="X34" i="60"/>
  <c r="F34" i="60"/>
  <c r="Y33" i="60"/>
  <c r="X33" i="60"/>
  <c r="F33" i="60"/>
  <c r="Y32" i="60"/>
  <c r="X32" i="60"/>
  <c r="F32" i="60"/>
  <c r="Y31" i="60"/>
  <c r="X31" i="60"/>
  <c r="F31" i="60"/>
  <c r="Y30" i="60"/>
  <c r="X30" i="60"/>
  <c r="F30" i="60"/>
  <c r="Y29" i="60"/>
  <c r="X29" i="60"/>
  <c r="F29" i="60"/>
  <c r="Y28" i="60"/>
  <c r="X28" i="60"/>
  <c r="F28" i="60"/>
  <c r="Y27" i="60"/>
  <c r="X27" i="60"/>
  <c r="F27" i="60"/>
  <c r="Y26" i="60"/>
  <c r="X26" i="60"/>
  <c r="F26" i="60"/>
  <c r="Y25" i="60"/>
  <c r="X25" i="60"/>
  <c r="F25" i="60"/>
  <c r="Y24" i="60"/>
  <c r="X24" i="60"/>
  <c r="F24" i="60"/>
  <c r="Y23" i="60"/>
  <c r="X23" i="60"/>
  <c r="F23" i="60"/>
  <c r="Y22" i="60"/>
  <c r="X22" i="60"/>
  <c r="F22" i="60"/>
  <c r="Y21" i="60"/>
  <c r="X21" i="60"/>
  <c r="F21" i="60"/>
  <c r="Y20" i="60"/>
  <c r="X20" i="60"/>
  <c r="F20" i="60"/>
  <c r="Y19" i="60"/>
  <c r="X19" i="60"/>
  <c r="F19" i="60"/>
  <c r="Y18" i="60"/>
  <c r="X18" i="60"/>
  <c r="F18" i="60"/>
  <c r="Y17" i="60"/>
  <c r="X17" i="60"/>
  <c r="F17" i="60"/>
  <c r="Y16" i="60"/>
  <c r="X16" i="60"/>
  <c r="F16" i="60"/>
  <c r="Y15" i="60"/>
  <c r="X15" i="60"/>
  <c r="F15" i="60"/>
  <c r="Y14" i="60"/>
  <c r="X14" i="60"/>
  <c r="F14" i="60"/>
  <c r="Y13" i="60"/>
  <c r="X13" i="60"/>
  <c r="F13" i="60"/>
  <c r="Y12" i="60"/>
  <c r="X12" i="60"/>
  <c r="F12" i="60"/>
  <c r="Y11" i="60"/>
  <c r="X11" i="60"/>
  <c r="F11" i="60"/>
  <c r="Y10" i="60"/>
  <c r="X10" i="60"/>
  <c r="F10" i="60"/>
  <c r="Y9" i="60"/>
  <c r="X9" i="60"/>
  <c r="Y8" i="60"/>
  <c r="X8" i="60"/>
  <c r="B8" i="60"/>
  <c r="Y7" i="60"/>
  <c r="X7" i="60"/>
  <c r="F7" i="60"/>
  <c r="Y6" i="60"/>
  <c r="X6" i="60"/>
  <c r="F6" i="60"/>
  <c r="Y5" i="60"/>
  <c r="X5" i="60"/>
  <c r="F5" i="60"/>
  <c r="Y4" i="60"/>
  <c r="X4" i="60"/>
  <c r="F4" i="60"/>
  <c r="Y3" i="60"/>
  <c r="X3" i="60"/>
  <c r="F3" i="60"/>
  <c r="I15" i="1"/>
  <c r="H15" i="1"/>
  <c r="G15" i="1"/>
  <c r="F15" i="1"/>
  <c r="E15" i="1"/>
  <c r="D15" i="1"/>
  <c r="C15" i="1"/>
  <c r="B15" i="1"/>
  <c r="I53" i="59"/>
  <c r="H53" i="59"/>
  <c r="L3" i="59" s="1"/>
  <c r="N15" i="1" s="1"/>
  <c r="G53" i="59"/>
  <c r="K3" i="59" s="1"/>
  <c r="B12" i="59" s="1"/>
  <c r="K15" i="1" s="1"/>
  <c r="Y52" i="59"/>
  <c r="X52" i="59"/>
  <c r="F52" i="59"/>
  <c r="Y51" i="59"/>
  <c r="X51" i="59"/>
  <c r="F51" i="59"/>
  <c r="Y50" i="59"/>
  <c r="X50" i="59"/>
  <c r="F50" i="59"/>
  <c r="Y49" i="59"/>
  <c r="X49" i="59"/>
  <c r="F49" i="59"/>
  <c r="Y48" i="59"/>
  <c r="X48" i="59"/>
  <c r="F48" i="59"/>
  <c r="Y47" i="59"/>
  <c r="X47" i="59"/>
  <c r="F47" i="59"/>
  <c r="Y46" i="59"/>
  <c r="X46" i="59"/>
  <c r="F46" i="59"/>
  <c r="Y45" i="59"/>
  <c r="X45" i="59"/>
  <c r="F45" i="59"/>
  <c r="Y44" i="59"/>
  <c r="X44" i="59"/>
  <c r="F44" i="59"/>
  <c r="Y43" i="59"/>
  <c r="X43" i="59"/>
  <c r="F43" i="59"/>
  <c r="Y42" i="59"/>
  <c r="X42" i="59"/>
  <c r="F42" i="59"/>
  <c r="Y41" i="59"/>
  <c r="X41" i="59"/>
  <c r="F41" i="59"/>
  <c r="Y40" i="59"/>
  <c r="X40" i="59"/>
  <c r="F40" i="59"/>
  <c r="Y39" i="59"/>
  <c r="X39" i="59"/>
  <c r="F39" i="59"/>
  <c r="Y38" i="59"/>
  <c r="X38" i="59"/>
  <c r="F38" i="59"/>
  <c r="Y37" i="59"/>
  <c r="X37" i="59"/>
  <c r="F37" i="59"/>
  <c r="Y36" i="59"/>
  <c r="X36" i="59"/>
  <c r="F36" i="59"/>
  <c r="Y35" i="59"/>
  <c r="X35" i="59"/>
  <c r="F35" i="59"/>
  <c r="Y34" i="59"/>
  <c r="X34" i="59"/>
  <c r="F34" i="59"/>
  <c r="Y33" i="59"/>
  <c r="X33" i="59"/>
  <c r="F33" i="59"/>
  <c r="Y32" i="59"/>
  <c r="X32" i="59"/>
  <c r="F32" i="59"/>
  <c r="Y31" i="59"/>
  <c r="X31" i="59"/>
  <c r="F31" i="59"/>
  <c r="Y30" i="59"/>
  <c r="X30" i="59"/>
  <c r="F30" i="59"/>
  <c r="Y29" i="59"/>
  <c r="X29" i="59"/>
  <c r="F29" i="59"/>
  <c r="Y28" i="59"/>
  <c r="X28" i="59"/>
  <c r="F28" i="59"/>
  <c r="Y27" i="59"/>
  <c r="X27" i="59"/>
  <c r="F27" i="59"/>
  <c r="Y26" i="59"/>
  <c r="X26" i="59"/>
  <c r="F26" i="59"/>
  <c r="Y25" i="59"/>
  <c r="X25" i="59"/>
  <c r="F25" i="59"/>
  <c r="Y24" i="59"/>
  <c r="X24" i="59"/>
  <c r="F24" i="59"/>
  <c r="Y23" i="59"/>
  <c r="X23" i="59"/>
  <c r="F23" i="59"/>
  <c r="Y22" i="59"/>
  <c r="X22" i="59"/>
  <c r="F22" i="59"/>
  <c r="Y21" i="59"/>
  <c r="X21" i="59"/>
  <c r="F21" i="59"/>
  <c r="Y20" i="59"/>
  <c r="X20" i="59"/>
  <c r="F20" i="59"/>
  <c r="Y19" i="59"/>
  <c r="X19" i="59"/>
  <c r="F19" i="59"/>
  <c r="Y18" i="59"/>
  <c r="X18" i="59"/>
  <c r="F18" i="59"/>
  <c r="Y17" i="59"/>
  <c r="X17" i="59"/>
  <c r="F17" i="59"/>
  <c r="Y16" i="59"/>
  <c r="X16" i="59"/>
  <c r="F16" i="59"/>
  <c r="Y15" i="59"/>
  <c r="X15" i="59"/>
  <c r="F15" i="59"/>
  <c r="Y14" i="59"/>
  <c r="X14" i="59"/>
  <c r="F14" i="59"/>
  <c r="Y13" i="59"/>
  <c r="X13" i="59"/>
  <c r="F13" i="59"/>
  <c r="Y12" i="59"/>
  <c r="X12" i="59"/>
  <c r="Y11" i="59"/>
  <c r="X11" i="59"/>
  <c r="F11" i="59"/>
  <c r="Y10" i="59"/>
  <c r="X10" i="59"/>
  <c r="F10" i="59"/>
  <c r="Y9" i="59"/>
  <c r="X9" i="59"/>
  <c r="Y8" i="59"/>
  <c r="X8" i="59"/>
  <c r="B8" i="59"/>
  <c r="Y7" i="59"/>
  <c r="X7" i="59"/>
  <c r="F7" i="59"/>
  <c r="Y6" i="59"/>
  <c r="X6" i="59"/>
  <c r="F6" i="59"/>
  <c r="Y5" i="59"/>
  <c r="X5" i="59"/>
  <c r="F5" i="59"/>
  <c r="Y4" i="59"/>
  <c r="X4" i="59"/>
  <c r="F4" i="59"/>
  <c r="Y3" i="59"/>
  <c r="X3" i="59"/>
  <c r="F3" i="59"/>
  <c r="M14" i="1"/>
  <c r="J14" i="1"/>
  <c r="I14" i="1"/>
  <c r="H14" i="1"/>
  <c r="G14" i="1"/>
  <c r="F14" i="1"/>
  <c r="E14" i="1"/>
  <c r="D14" i="1"/>
  <c r="C14" i="1"/>
  <c r="B14" i="1"/>
  <c r="I53" i="58"/>
  <c r="M3" i="58" s="1"/>
  <c r="O14" i="1" s="1"/>
  <c r="H53" i="58"/>
  <c r="L3" i="58" s="1"/>
  <c r="N14" i="1" s="1"/>
  <c r="G53" i="58"/>
  <c r="K3" i="58" s="1"/>
  <c r="Y52" i="58"/>
  <c r="X52" i="58"/>
  <c r="F52" i="58"/>
  <c r="Y51" i="58"/>
  <c r="X51" i="58"/>
  <c r="F51" i="58"/>
  <c r="Y50" i="58"/>
  <c r="X50" i="58"/>
  <c r="F50" i="58"/>
  <c r="Y49" i="58"/>
  <c r="X49" i="58"/>
  <c r="F49" i="58"/>
  <c r="Y48" i="58"/>
  <c r="X48" i="58"/>
  <c r="F48" i="58"/>
  <c r="Y47" i="58"/>
  <c r="X47" i="58"/>
  <c r="F47" i="58"/>
  <c r="Y46" i="58"/>
  <c r="X46" i="58"/>
  <c r="F46" i="58"/>
  <c r="Y45" i="58"/>
  <c r="X45" i="58"/>
  <c r="F45" i="58"/>
  <c r="Y44" i="58"/>
  <c r="X44" i="58"/>
  <c r="F44" i="58"/>
  <c r="Y43" i="58"/>
  <c r="X43" i="58"/>
  <c r="F43" i="58"/>
  <c r="Y42" i="58"/>
  <c r="X42" i="58"/>
  <c r="F42" i="58"/>
  <c r="Y41" i="58"/>
  <c r="X41" i="58"/>
  <c r="F41" i="58"/>
  <c r="Y40" i="58"/>
  <c r="X40" i="58"/>
  <c r="F40" i="58"/>
  <c r="Y39" i="58"/>
  <c r="X39" i="58"/>
  <c r="F39" i="58"/>
  <c r="Y38" i="58"/>
  <c r="X38" i="58"/>
  <c r="F38" i="58"/>
  <c r="Y37" i="58"/>
  <c r="X37" i="58"/>
  <c r="F37" i="58"/>
  <c r="Y36" i="58"/>
  <c r="X36" i="58"/>
  <c r="F36" i="58"/>
  <c r="Y35" i="58"/>
  <c r="X35" i="58"/>
  <c r="F35" i="58"/>
  <c r="Y34" i="58"/>
  <c r="X34" i="58"/>
  <c r="F34" i="58"/>
  <c r="Y33" i="58"/>
  <c r="X33" i="58"/>
  <c r="F33" i="58"/>
  <c r="Y32" i="58"/>
  <c r="X32" i="58"/>
  <c r="F32" i="58"/>
  <c r="Y31" i="58"/>
  <c r="X31" i="58"/>
  <c r="F31" i="58"/>
  <c r="Y30" i="58"/>
  <c r="X30" i="58"/>
  <c r="F30" i="58"/>
  <c r="Y29" i="58"/>
  <c r="X29" i="58"/>
  <c r="F29" i="58"/>
  <c r="Y28" i="58"/>
  <c r="X28" i="58"/>
  <c r="F28" i="58"/>
  <c r="Y27" i="58"/>
  <c r="X27" i="58"/>
  <c r="F27" i="58"/>
  <c r="Y26" i="58"/>
  <c r="X26" i="58"/>
  <c r="F26" i="58"/>
  <c r="Y25" i="58"/>
  <c r="X25" i="58"/>
  <c r="F25" i="58"/>
  <c r="Y24" i="58"/>
  <c r="X24" i="58"/>
  <c r="F24" i="58"/>
  <c r="Y23" i="58"/>
  <c r="X23" i="58"/>
  <c r="F23" i="58"/>
  <c r="Y22" i="58"/>
  <c r="X22" i="58"/>
  <c r="F22" i="58"/>
  <c r="Y21" i="58"/>
  <c r="X21" i="58"/>
  <c r="F21" i="58"/>
  <c r="Y20" i="58"/>
  <c r="X20" i="58"/>
  <c r="F20" i="58"/>
  <c r="Y19" i="58"/>
  <c r="X19" i="58"/>
  <c r="F19" i="58"/>
  <c r="Y18" i="58"/>
  <c r="X18" i="58"/>
  <c r="F18" i="58"/>
  <c r="Y17" i="58"/>
  <c r="X17" i="58"/>
  <c r="F17" i="58"/>
  <c r="Y16" i="58"/>
  <c r="X16" i="58"/>
  <c r="F16" i="58"/>
  <c r="Y15" i="58"/>
  <c r="X15" i="58"/>
  <c r="F15" i="58"/>
  <c r="Y14" i="58"/>
  <c r="X14" i="58"/>
  <c r="F14" i="58"/>
  <c r="Y13" i="58"/>
  <c r="X13" i="58"/>
  <c r="F13" i="58"/>
  <c r="Y12" i="58"/>
  <c r="X12" i="58"/>
  <c r="F12" i="58"/>
  <c r="Y11" i="58"/>
  <c r="X11" i="58"/>
  <c r="F11" i="58"/>
  <c r="Y10" i="58"/>
  <c r="X10" i="58"/>
  <c r="F10" i="58"/>
  <c r="Y9" i="58"/>
  <c r="X9" i="58"/>
  <c r="Y8" i="58"/>
  <c r="X8" i="58"/>
  <c r="F8" i="58"/>
  <c r="B8" i="58"/>
  <c r="Y7" i="58"/>
  <c r="X7" i="58"/>
  <c r="F7" i="58"/>
  <c r="Y6" i="58"/>
  <c r="X6" i="58"/>
  <c r="F6" i="58"/>
  <c r="Y5" i="58"/>
  <c r="X5" i="58"/>
  <c r="F5" i="58"/>
  <c r="Y4" i="58"/>
  <c r="X4" i="58"/>
  <c r="F4" i="58"/>
  <c r="Y3" i="58"/>
  <c r="X3" i="58"/>
  <c r="F3" i="58"/>
  <c r="M13" i="1"/>
  <c r="J13" i="1"/>
  <c r="I13" i="1"/>
  <c r="H13" i="1"/>
  <c r="G13" i="1"/>
  <c r="F13" i="1"/>
  <c r="E13" i="1"/>
  <c r="D13" i="1"/>
  <c r="C13" i="1"/>
  <c r="B13" i="1"/>
  <c r="I53" i="57"/>
  <c r="M3" i="57" s="1"/>
  <c r="O13" i="1" s="1"/>
  <c r="H53" i="57"/>
  <c r="G53" i="57"/>
  <c r="Y52" i="57"/>
  <c r="X52" i="57"/>
  <c r="F52" i="57"/>
  <c r="Y51" i="57"/>
  <c r="X51" i="57"/>
  <c r="F51" i="57"/>
  <c r="Y50" i="57"/>
  <c r="X50" i="57"/>
  <c r="F50" i="57"/>
  <c r="Y49" i="57"/>
  <c r="X49" i="57"/>
  <c r="F49" i="57"/>
  <c r="Y48" i="57"/>
  <c r="X48" i="57"/>
  <c r="F48" i="57"/>
  <c r="Y47" i="57"/>
  <c r="X47" i="57"/>
  <c r="F47" i="57"/>
  <c r="Y46" i="57"/>
  <c r="X46" i="57"/>
  <c r="F46" i="57"/>
  <c r="Y45" i="57"/>
  <c r="X45" i="57"/>
  <c r="F45" i="57"/>
  <c r="Y44" i="57"/>
  <c r="X44" i="57"/>
  <c r="F44" i="57"/>
  <c r="Y43" i="57"/>
  <c r="X43" i="57"/>
  <c r="F43" i="57"/>
  <c r="Y42" i="57"/>
  <c r="X42" i="57"/>
  <c r="F42" i="57"/>
  <c r="Y41" i="57"/>
  <c r="X41" i="57"/>
  <c r="F41" i="57"/>
  <c r="Y40" i="57"/>
  <c r="X40" i="57"/>
  <c r="F40" i="57"/>
  <c r="Y39" i="57"/>
  <c r="X39" i="57"/>
  <c r="F39" i="57"/>
  <c r="Y38" i="57"/>
  <c r="X38" i="57"/>
  <c r="F38" i="57"/>
  <c r="Y37" i="57"/>
  <c r="X37" i="57"/>
  <c r="F37" i="57"/>
  <c r="Y36" i="57"/>
  <c r="X36" i="57"/>
  <c r="F36" i="57"/>
  <c r="Y35" i="57"/>
  <c r="X35" i="57"/>
  <c r="F35" i="57"/>
  <c r="Y34" i="57"/>
  <c r="X34" i="57"/>
  <c r="F34" i="57"/>
  <c r="Y33" i="57"/>
  <c r="X33" i="57"/>
  <c r="F33" i="57"/>
  <c r="Y32" i="57"/>
  <c r="X32" i="57"/>
  <c r="F32" i="57"/>
  <c r="Y31" i="57"/>
  <c r="X31" i="57"/>
  <c r="F31" i="57"/>
  <c r="Y30" i="57"/>
  <c r="X30" i="57"/>
  <c r="F30" i="57"/>
  <c r="Y29" i="57"/>
  <c r="X29" i="57"/>
  <c r="F29" i="57"/>
  <c r="Y28" i="57"/>
  <c r="X28" i="57"/>
  <c r="F28" i="57"/>
  <c r="Y27" i="57"/>
  <c r="X27" i="57"/>
  <c r="F27" i="57"/>
  <c r="Y26" i="57"/>
  <c r="X26" i="57"/>
  <c r="F26" i="57"/>
  <c r="Y25" i="57"/>
  <c r="X25" i="57"/>
  <c r="F25" i="57"/>
  <c r="Y24" i="57"/>
  <c r="X24" i="57"/>
  <c r="F24" i="57"/>
  <c r="Y23" i="57"/>
  <c r="X23" i="57"/>
  <c r="F23" i="57"/>
  <c r="Y22" i="57"/>
  <c r="X22" i="57"/>
  <c r="F22" i="57"/>
  <c r="Y21" i="57"/>
  <c r="X21" i="57"/>
  <c r="F21" i="57"/>
  <c r="Y20" i="57"/>
  <c r="X20" i="57"/>
  <c r="F20" i="57"/>
  <c r="Y19" i="57"/>
  <c r="X19" i="57"/>
  <c r="F19" i="57"/>
  <c r="Y18" i="57"/>
  <c r="X18" i="57"/>
  <c r="F18" i="57"/>
  <c r="Y17" i="57"/>
  <c r="X17" i="57"/>
  <c r="F17" i="57"/>
  <c r="Y16" i="57"/>
  <c r="X16" i="57"/>
  <c r="F16" i="57"/>
  <c r="Y15" i="57"/>
  <c r="X15" i="57"/>
  <c r="F15" i="57"/>
  <c r="Y14" i="57"/>
  <c r="X14" i="57"/>
  <c r="F14" i="57"/>
  <c r="Y13" i="57"/>
  <c r="X13" i="57"/>
  <c r="F13" i="57"/>
  <c r="Y12" i="57"/>
  <c r="X12" i="57"/>
  <c r="F12" i="57"/>
  <c r="Y11" i="57"/>
  <c r="X11" i="57"/>
  <c r="F11" i="57"/>
  <c r="Y10" i="57"/>
  <c r="X10" i="57"/>
  <c r="F10" i="57"/>
  <c r="Y9" i="57"/>
  <c r="X9" i="57"/>
  <c r="F9" i="57"/>
  <c r="Y8" i="57"/>
  <c r="X8" i="57"/>
  <c r="F8" i="57"/>
  <c r="B8" i="57"/>
  <c r="Y7" i="57"/>
  <c r="X7" i="57"/>
  <c r="F7" i="57"/>
  <c r="Y6" i="57"/>
  <c r="X6" i="57"/>
  <c r="F6" i="57"/>
  <c r="Y5" i="57"/>
  <c r="X5" i="57"/>
  <c r="F5" i="57"/>
  <c r="Y4" i="57"/>
  <c r="X4" i="57"/>
  <c r="F4" i="57"/>
  <c r="Z3" i="57"/>
  <c r="P3" i="57" s="1"/>
  <c r="L13" i="1" s="1"/>
  <c r="Y3" i="57"/>
  <c r="X3" i="57"/>
  <c r="Q3" i="57"/>
  <c r="K3" i="57"/>
  <c r="O3" i="57" s="1"/>
  <c r="F3" i="57"/>
  <c r="N12" i="1"/>
  <c r="M12" i="1"/>
  <c r="J12" i="1"/>
  <c r="I12" i="1"/>
  <c r="H12" i="1"/>
  <c r="G12" i="1"/>
  <c r="F12" i="1"/>
  <c r="E12" i="1"/>
  <c r="D12" i="1"/>
  <c r="C12" i="1"/>
  <c r="B12" i="1"/>
  <c r="I53" i="56"/>
  <c r="M3" i="56" s="1"/>
  <c r="O12" i="1" s="1"/>
  <c r="H53" i="56"/>
  <c r="G53" i="56"/>
  <c r="Y52" i="56"/>
  <c r="X52" i="56"/>
  <c r="F52" i="56"/>
  <c r="Y51" i="56"/>
  <c r="X51" i="56"/>
  <c r="F51" i="56"/>
  <c r="Y50" i="56"/>
  <c r="X50" i="56"/>
  <c r="F50" i="56"/>
  <c r="Y49" i="56"/>
  <c r="X49" i="56"/>
  <c r="F49" i="56"/>
  <c r="Y48" i="56"/>
  <c r="X48" i="56"/>
  <c r="F48" i="56"/>
  <c r="Y47" i="56"/>
  <c r="X47" i="56"/>
  <c r="F47" i="56"/>
  <c r="Y46" i="56"/>
  <c r="X46" i="56"/>
  <c r="F46" i="56"/>
  <c r="Y45" i="56"/>
  <c r="X45" i="56"/>
  <c r="F45" i="56"/>
  <c r="Y44" i="56"/>
  <c r="X44" i="56"/>
  <c r="F44" i="56"/>
  <c r="Y43" i="56"/>
  <c r="X43" i="56"/>
  <c r="F43" i="56"/>
  <c r="Y42" i="56"/>
  <c r="X42" i="56"/>
  <c r="F42" i="56"/>
  <c r="Y41" i="56"/>
  <c r="X41" i="56"/>
  <c r="F41" i="56"/>
  <c r="Y40" i="56"/>
  <c r="X40" i="56"/>
  <c r="F40" i="56"/>
  <c r="Y39" i="56"/>
  <c r="X39" i="56"/>
  <c r="F39" i="56"/>
  <c r="Y38" i="56"/>
  <c r="X38" i="56"/>
  <c r="F38" i="56"/>
  <c r="Y37" i="56"/>
  <c r="X37" i="56"/>
  <c r="F37" i="56"/>
  <c r="Y36" i="56"/>
  <c r="X36" i="56"/>
  <c r="F36" i="56"/>
  <c r="Y35" i="56"/>
  <c r="X35" i="56"/>
  <c r="F35" i="56"/>
  <c r="Y34" i="56"/>
  <c r="X34" i="56"/>
  <c r="F34" i="56"/>
  <c r="Y33" i="56"/>
  <c r="X33" i="56"/>
  <c r="F33" i="56"/>
  <c r="Y32" i="56"/>
  <c r="X32" i="56"/>
  <c r="F32" i="56"/>
  <c r="Y31" i="56"/>
  <c r="X31" i="56"/>
  <c r="F31" i="56"/>
  <c r="Y30" i="56"/>
  <c r="X30" i="56"/>
  <c r="F30" i="56"/>
  <c r="Y29" i="56"/>
  <c r="X29" i="56"/>
  <c r="F29" i="56"/>
  <c r="Y28" i="56"/>
  <c r="X28" i="56"/>
  <c r="F28" i="56"/>
  <c r="Y27" i="56"/>
  <c r="X27" i="56"/>
  <c r="F27" i="56"/>
  <c r="Y26" i="56"/>
  <c r="X26" i="56"/>
  <c r="F26" i="56"/>
  <c r="Y25" i="56"/>
  <c r="X25" i="56"/>
  <c r="F25" i="56"/>
  <c r="Y24" i="56"/>
  <c r="X24" i="56"/>
  <c r="F24" i="56"/>
  <c r="Y23" i="56"/>
  <c r="X23" i="56"/>
  <c r="F23" i="56"/>
  <c r="Y22" i="56"/>
  <c r="X22" i="56"/>
  <c r="F22" i="56"/>
  <c r="Y21" i="56"/>
  <c r="X21" i="56"/>
  <c r="F21" i="56"/>
  <c r="Y20" i="56"/>
  <c r="X20" i="56"/>
  <c r="F20" i="56"/>
  <c r="Y19" i="56"/>
  <c r="X19" i="56"/>
  <c r="F19" i="56"/>
  <c r="Y18" i="56"/>
  <c r="X18" i="56"/>
  <c r="F18" i="56"/>
  <c r="Y17" i="56"/>
  <c r="X17" i="56"/>
  <c r="F17" i="56"/>
  <c r="Y16" i="56"/>
  <c r="X16" i="56"/>
  <c r="F16" i="56"/>
  <c r="Y15" i="56"/>
  <c r="X15" i="56"/>
  <c r="F15" i="56"/>
  <c r="Y14" i="56"/>
  <c r="X14" i="56"/>
  <c r="F14" i="56"/>
  <c r="Y13" i="56"/>
  <c r="X13" i="56"/>
  <c r="F13" i="56"/>
  <c r="Y12" i="56"/>
  <c r="X12" i="56"/>
  <c r="F12" i="56"/>
  <c r="Y11" i="56"/>
  <c r="X11" i="56"/>
  <c r="F11" i="56"/>
  <c r="Y10" i="56"/>
  <c r="X10" i="56"/>
  <c r="F10" i="56"/>
  <c r="Y9" i="56"/>
  <c r="X9" i="56"/>
  <c r="F9" i="56"/>
  <c r="Y8" i="56"/>
  <c r="X8" i="56"/>
  <c r="F8" i="56"/>
  <c r="B8" i="56"/>
  <c r="Y7" i="56"/>
  <c r="N3" i="56" s="1"/>
  <c r="X7" i="56"/>
  <c r="F7" i="56"/>
  <c r="Y6" i="56"/>
  <c r="X6" i="56"/>
  <c r="F6" i="56"/>
  <c r="Y5" i="56"/>
  <c r="X5" i="56"/>
  <c r="F5" i="56"/>
  <c r="Y4" i="56"/>
  <c r="X4" i="56"/>
  <c r="F4" i="56"/>
  <c r="Z3" i="56"/>
  <c r="P3" i="56" s="1"/>
  <c r="L12" i="1" s="1"/>
  <c r="Y3" i="56"/>
  <c r="X3" i="56"/>
  <c r="Q3" i="56"/>
  <c r="K3" i="56"/>
  <c r="O3" i="56" s="1"/>
  <c r="F3" i="56"/>
  <c r="N3" i="84" l="1"/>
  <c r="O3" i="82"/>
  <c r="J38" i="1" s="1"/>
  <c r="M38" i="1"/>
  <c r="Z3" i="84"/>
  <c r="Q3" i="84"/>
  <c r="B12" i="84"/>
  <c r="O3" i="84"/>
  <c r="J40" i="1" s="1"/>
  <c r="O3" i="83"/>
  <c r="J39" i="1" s="1"/>
  <c r="B12" i="83"/>
  <c r="N3" i="83"/>
  <c r="Q3" i="83"/>
  <c r="Z3" i="83"/>
  <c r="Q3" i="82"/>
  <c r="Z3" i="82"/>
  <c r="B12" i="82"/>
  <c r="N3" i="82"/>
  <c r="Z3" i="81"/>
  <c r="O3" i="81"/>
  <c r="J37" i="1" s="1"/>
  <c r="M37" i="1"/>
  <c r="B12" i="81"/>
  <c r="Q3" i="81"/>
  <c r="N3" i="81"/>
  <c r="Z3" i="78"/>
  <c r="P3" i="78" s="1"/>
  <c r="L34" i="1" s="1"/>
  <c r="M34" i="1"/>
  <c r="O3" i="80"/>
  <c r="J36" i="1" s="1"/>
  <c r="B12" i="80"/>
  <c r="N3" i="80"/>
  <c r="Q3" i="80"/>
  <c r="Z3" i="80"/>
  <c r="AC12" i="1"/>
  <c r="AC13" i="1"/>
  <c r="O3" i="79"/>
  <c r="J35" i="1" s="1"/>
  <c r="Q3" i="79"/>
  <c r="B12" i="79"/>
  <c r="Z3" i="79"/>
  <c r="N3" i="79"/>
  <c r="Q3" i="78"/>
  <c r="B12" i="78"/>
  <c r="N3" i="78"/>
  <c r="M33" i="1"/>
  <c r="N3" i="77"/>
  <c r="Z3" i="77"/>
  <c r="Q3" i="77"/>
  <c r="B12" i="77"/>
  <c r="K33" i="1" s="1"/>
  <c r="O3" i="76"/>
  <c r="J32" i="1" s="1"/>
  <c r="N3" i="76"/>
  <c r="B12" i="76"/>
  <c r="K32" i="1" s="1"/>
  <c r="Z3" i="76"/>
  <c r="Q3" i="76"/>
  <c r="O3" i="75"/>
  <c r="J31" i="1" s="1"/>
  <c r="B12" i="75"/>
  <c r="K31" i="1" s="1"/>
  <c r="N3" i="75"/>
  <c r="Q3" i="75"/>
  <c r="Z3" i="75"/>
  <c r="O3" i="74"/>
  <c r="J30" i="1" s="1"/>
  <c r="B12" i="74"/>
  <c r="K30" i="1" s="1"/>
  <c r="Q3" i="74"/>
  <c r="N3" i="74"/>
  <c r="Z3" i="74"/>
  <c r="O3" i="73"/>
  <c r="J29" i="1" s="1"/>
  <c r="Q3" i="73"/>
  <c r="N3" i="73"/>
  <c r="B12" i="73"/>
  <c r="K29" i="1" s="1"/>
  <c r="Z3" i="73"/>
  <c r="O3" i="72"/>
  <c r="J28" i="1" s="1"/>
  <c r="Q3" i="72"/>
  <c r="Z3" i="72"/>
  <c r="N3" i="72"/>
  <c r="B12" i="72"/>
  <c r="K28" i="1" s="1"/>
  <c r="O3" i="71"/>
  <c r="J27" i="1" s="1"/>
  <c r="B12" i="71"/>
  <c r="K27" i="1" s="1"/>
  <c r="Q3" i="71"/>
  <c r="N3" i="71"/>
  <c r="Z3" i="71"/>
  <c r="M25" i="1"/>
  <c r="O3" i="70"/>
  <c r="J26" i="1" s="1"/>
  <c r="B12" i="70"/>
  <c r="K26" i="1" s="1"/>
  <c r="N3" i="70"/>
  <c r="Q3" i="70"/>
  <c r="Z3" i="70"/>
  <c r="Z3" i="69"/>
  <c r="Q3" i="69"/>
  <c r="B12" i="69"/>
  <c r="K25" i="1" s="1"/>
  <c r="N3" i="69"/>
  <c r="O3" i="68"/>
  <c r="J24" i="1" s="1"/>
  <c r="B12" i="68"/>
  <c r="K24" i="1" s="1"/>
  <c r="N3" i="68"/>
  <c r="Q3" i="68"/>
  <c r="Z3" i="68"/>
  <c r="O3" i="67"/>
  <c r="J23" i="1" s="1"/>
  <c r="N3" i="67"/>
  <c r="Z3" i="67"/>
  <c r="Q3" i="67"/>
  <c r="B12" i="67"/>
  <c r="K23" i="1" s="1"/>
  <c r="N3" i="66"/>
  <c r="O3" i="66"/>
  <c r="J22" i="1" s="1"/>
  <c r="Z3" i="66"/>
  <c r="Q3" i="66"/>
  <c r="B12" i="66"/>
  <c r="K22" i="1" s="1"/>
  <c r="O3" i="65"/>
  <c r="J21" i="1" s="1"/>
  <c r="Q3" i="65"/>
  <c r="Z3" i="65"/>
  <c r="B12" i="65"/>
  <c r="K21" i="1" s="1"/>
  <c r="N3" i="65"/>
  <c r="O3" i="64"/>
  <c r="B12" i="64"/>
  <c r="K20" i="1" s="1"/>
  <c r="N3" i="64"/>
  <c r="Q3" i="64"/>
  <c r="Z3" i="64"/>
  <c r="Z3" i="63"/>
  <c r="N3" i="63"/>
  <c r="Q3" i="63"/>
  <c r="B12" i="63"/>
  <c r="K19" i="1" s="1"/>
  <c r="O3" i="62"/>
  <c r="N3" i="62"/>
  <c r="Z3" i="62"/>
  <c r="O3" i="61"/>
  <c r="J17" i="1" s="1"/>
  <c r="M17" i="1"/>
  <c r="Q3" i="61"/>
  <c r="N3" i="59"/>
  <c r="M15" i="1"/>
  <c r="Q3" i="62"/>
  <c r="B12" i="62"/>
  <c r="K18" i="1" s="1"/>
  <c r="Z3" i="61"/>
  <c r="B12" i="61"/>
  <c r="K17" i="1" s="1"/>
  <c r="N3" i="61"/>
  <c r="O3" i="60"/>
  <c r="J16" i="1" s="1"/>
  <c r="Q3" i="60"/>
  <c r="N3" i="60"/>
  <c r="B12" i="60"/>
  <c r="K16" i="1" s="1"/>
  <c r="Z3" i="60"/>
  <c r="Z3" i="59"/>
  <c r="O3" i="59"/>
  <c r="J15" i="1" s="1"/>
  <c r="Q3" i="59"/>
  <c r="M3" i="59"/>
  <c r="O15" i="1" s="1"/>
  <c r="O3" i="58"/>
  <c r="Q3" i="58"/>
  <c r="Z3" i="58"/>
  <c r="B12" i="58"/>
  <c r="K14" i="1" s="1"/>
  <c r="N3" i="58"/>
  <c r="B12" i="57"/>
  <c r="K13" i="1" s="1"/>
  <c r="N3" i="57"/>
  <c r="B12" i="56"/>
  <c r="K12" i="1" s="1"/>
  <c r="M11" i="1"/>
  <c r="J11" i="1"/>
  <c r="I11" i="1"/>
  <c r="H11" i="1"/>
  <c r="G11" i="1"/>
  <c r="F11" i="1"/>
  <c r="E11" i="1"/>
  <c r="D11" i="1"/>
  <c r="B11" i="1"/>
  <c r="C11" i="1"/>
  <c r="I53" i="55"/>
  <c r="M3" i="55" s="1"/>
  <c r="O11" i="1" s="1"/>
  <c r="H53" i="55"/>
  <c r="L3" i="55" s="1"/>
  <c r="N11" i="1" s="1"/>
  <c r="G53" i="55"/>
  <c r="Y52" i="55"/>
  <c r="X52" i="55"/>
  <c r="F52" i="55"/>
  <c r="Y51" i="55"/>
  <c r="X51" i="55"/>
  <c r="F51" i="55"/>
  <c r="Y50" i="55"/>
  <c r="X50" i="55"/>
  <c r="F50" i="55"/>
  <c r="Y49" i="55"/>
  <c r="X49" i="55"/>
  <c r="F49" i="55"/>
  <c r="Y48" i="55"/>
  <c r="X48" i="55"/>
  <c r="F48" i="55"/>
  <c r="Y47" i="55"/>
  <c r="X47" i="55"/>
  <c r="F47" i="55"/>
  <c r="Y46" i="55"/>
  <c r="X46" i="55"/>
  <c r="F46" i="55"/>
  <c r="Y45" i="55"/>
  <c r="X45" i="55"/>
  <c r="F45" i="55"/>
  <c r="Y44" i="55"/>
  <c r="X44" i="55"/>
  <c r="F44" i="55"/>
  <c r="Y43" i="55"/>
  <c r="X43" i="55"/>
  <c r="F43" i="55"/>
  <c r="Y42" i="55"/>
  <c r="X42" i="55"/>
  <c r="F42" i="55"/>
  <c r="Y41" i="55"/>
  <c r="X41" i="55"/>
  <c r="F41" i="55"/>
  <c r="Y40" i="55"/>
  <c r="X40" i="55"/>
  <c r="F40" i="55"/>
  <c r="Y39" i="55"/>
  <c r="X39" i="55"/>
  <c r="F39" i="55"/>
  <c r="Y38" i="55"/>
  <c r="X38" i="55"/>
  <c r="F38" i="55"/>
  <c r="Y37" i="55"/>
  <c r="X37" i="55"/>
  <c r="F37" i="55"/>
  <c r="Y36" i="55"/>
  <c r="X36" i="55"/>
  <c r="F36" i="55"/>
  <c r="Y35" i="55"/>
  <c r="X35" i="55"/>
  <c r="F35" i="55"/>
  <c r="Y34" i="55"/>
  <c r="X34" i="55"/>
  <c r="F34" i="55"/>
  <c r="Y33" i="55"/>
  <c r="X33" i="55"/>
  <c r="F33" i="55"/>
  <c r="Y32" i="55"/>
  <c r="X32" i="55"/>
  <c r="F32" i="55"/>
  <c r="Y31" i="55"/>
  <c r="X31" i="55"/>
  <c r="F31" i="55"/>
  <c r="Y30" i="55"/>
  <c r="X30" i="55"/>
  <c r="F30" i="55"/>
  <c r="Y29" i="55"/>
  <c r="X29" i="55"/>
  <c r="F29" i="55"/>
  <c r="Y28" i="55"/>
  <c r="X28" i="55"/>
  <c r="F28" i="55"/>
  <c r="Y27" i="55"/>
  <c r="X27" i="55"/>
  <c r="F27" i="55"/>
  <c r="Y26" i="55"/>
  <c r="X26" i="55"/>
  <c r="F26" i="55"/>
  <c r="Y25" i="55"/>
  <c r="X25" i="55"/>
  <c r="F25" i="55"/>
  <c r="Y24" i="55"/>
  <c r="X24" i="55"/>
  <c r="F24" i="55"/>
  <c r="Y23" i="55"/>
  <c r="X23" i="55"/>
  <c r="F23" i="55"/>
  <c r="Y22" i="55"/>
  <c r="X22" i="55"/>
  <c r="F22" i="55"/>
  <c r="Y21" i="55"/>
  <c r="X21" i="55"/>
  <c r="F21" i="55"/>
  <c r="Y20" i="55"/>
  <c r="X20" i="55"/>
  <c r="F20" i="55"/>
  <c r="Y19" i="55"/>
  <c r="X19" i="55"/>
  <c r="F19" i="55"/>
  <c r="Y18" i="55"/>
  <c r="X18" i="55"/>
  <c r="F18" i="55"/>
  <c r="Y17" i="55"/>
  <c r="X17" i="55"/>
  <c r="F17" i="55"/>
  <c r="Y16" i="55"/>
  <c r="X16" i="55"/>
  <c r="F16" i="55"/>
  <c r="Y15" i="55"/>
  <c r="X15" i="55"/>
  <c r="F15" i="55"/>
  <c r="Y14" i="55"/>
  <c r="X14" i="55"/>
  <c r="F14" i="55"/>
  <c r="Y13" i="55"/>
  <c r="X13" i="55"/>
  <c r="F13" i="55"/>
  <c r="Y12" i="55"/>
  <c r="X12" i="55"/>
  <c r="F12" i="55"/>
  <c r="B12" i="55"/>
  <c r="K11" i="1" s="1"/>
  <c r="Y11" i="55"/>
  <c r="X11" i="55"/>
  <c r="F11" i="55"/>
  <c r="Y10" i="55"/>
  <c r="X10" i="55"/>
  <c r="F10" i="55"/>
  <c r="Y9" i="55"/>
  <c r="X9" i="55"/>
  <c r="F9" i="55"/>
  <c r="Y8" i="55"/>
  <c r="X8" i="55"/>
  <c r="F8" i="55"/>
  <c r="B8" i="55"/>
  <c r="Y7" i="55"/>
  <c r="X7" i="55"/>
  <c r="F7" i="55"/>
  <c r="Y6" i="55"/>
  <c r="X6" i="55"/>
  <c r="F6" i="55"/>
  <c r="Y5" i="55"/>
  <c r="X5" i="55"/>
  <c r="F5" i="55"/>
  <c r="Y4" i="55"/>
  <c r="X4" i="55"/>
  <c r="F4" i="55"/>
  <c r="Z3" i="55"/>
  <c r="Y3" i="55"/>
  <c r="X3" i="55"/>
  <c r="Q3" i="55"/>
  <c r="K3" i="55"/>
  <c r="O3" i="55" s="1"/>
  <c r="F3" i="55"/>
  <c r="N10" i="1"/>
  <c r="M10" i="1"/>
  <c r="J10" i="1"/>
  <c r="I10" i="1"/>
  <c r="H10" i="1"/>
  <c r="G10" i="1"/>
  <c r="F10" i="1"/>
  <c r="E10" i="1"/>
  <c r="D10" i="1"/>
  <c r="C10" i="1"/>
  <c r="B10" i="1"/>
  <c r="I53" i="54"/>
  <c r="M3" i="54" s="1"/>
  <c r="O10" i="1" s="1"/>
  <c r="H53" i="54"/>
  <c r="G53" i="54"/>
  <c r="Y52" i="54"/>
  <c r="X52" i="54"/>
  <c r="F52" i="54"/>
  <c r="Y51" i="54"/>
  <c r="X51" i="54"/>
  <c r="F51" i="54"/>
  <c r="Y50" i="54"/>
  <c r="X50" i="54"/>
  <c r="F50" i="54"/>
  <c r="Y49" i="54"/>
  <c r="X49" i="54"/>
  <c r="F49" i="54"/>
  <c r="Y48" i="54"/>
  <c r="X48" i="54"/>
  <c r="F48" i="54"/>
  <c r="Y47" i="54"/>
  <c r="X47" i="54"/>
  <c r="F47" i="54"/>
  <c r="Y46" i="54"/>
  <c r="X46" i="54"/>
  <c r="F46" i="54"/>
  <c r="Y45" i="54"/>
  <c r="X45" i="54"/>
  <c r="F45" i="54"/>
  <c r="Y44" i="54"/>
  <c r="X44" i="54"/>
  <c r="F44" i="54"/>
  <c r="Y43" i="54"/>
  <c r="X43" i="54"/>
  <c r="F43" i="54"/>
  <c r="Y42" i="54"/>
  <c r="X42" i="54"/>
  <c r="F42" i="54"/>
  <c r="Y41" i="54"/>
  <c r="X41" i="54"/>
  <c r="F41" i="54"/>
  <c r="Y40" i="54"/>
  <c r="X40" i="54"/>
  <c r="F40" i="54"/>
  <c r="Y39" i="54"/>
  <c r="X39" i="54"/>
  <c r="F39" i="54"/>
  <c r="Y38" i="54"/>
  <c r="X38" i="54"/>
  <c r="F38" i="54"/>
  <c r="Y37" i="54"/>
  <c r="X37" i="54"/>
  <c r="F37" i="54"/>
  <c r="Y36" i="54"/>
  <c r="X36" i="54"/>
  <c r="F36" i="54"/>
  <c r="Y35" i="54"/>
  <c r="X35" i="54"/>
  <c r="F35" i="54"/>
  <c r="Y34" i="54"/>
  <c r="X34" i="54"/>
  <c r="F34" i="54"/>
  <c r="Y33" i="54"/>
  <c r="X33" i="54"/>
  <c r="F33" i="54"/>
  <c r="Y32" i="54"/>
  <c r="X32" i="54"/>
  <c r="F32" i="54"/>
  <c r="Y31" i="54"/>
  <c r="X31" i="54"/>
  <c r="F31" i="54"/>
  <c r="Y30" i="54"/>
  <c r="X30" i="54"/>
  <c r="F30" i="54"/>
  <c r="Y29" i="54"/>
  <c r="X29" i="54"/>
  <c r="F29" i="54"/>
  <c r="Y28" i="54"/>
  <c r="X28" i="54"/>
  <c r="F28" i="54"/>
  <c r="Y27" i="54"/>
  <c r="X27" i="54"/>
  <c r="F27" i="54"/>
  <c r="Y26" i="54"/>
  <c r="X26" i="54"/>
  <c r="F26" i="54"/>
  <c r="Y25" i="54"/>
  <c r="X25" i="54"/>
  <c r="F25" i="54"/>
  <c r="Y24" i="54"/>
  <c r="X24" i="54"/>
  <c r="F24" i="54"/>
  <c r="Y23" i="54"/>
  <c r="X23" i="54"/>
  <c r="F23" i="54"/>
  <c r="Y22" i="54"/>
  <c r="X22" i="54"/>
  <c r="F22" i="54"/>
  <c r="Y21" i="54"/>
  <c r="X21" i="54"/>
  <c r="F21" i="54"/>
  <c r="Y20" i="54"/>
  <c r="X20" i="54"/>
  <c r="F20" i="54"/>
  <c r="Y19" i="54"/>
  <c r="X19" i="54"/>
  <c r="F19" i="54"/>
  <c r="Y18" i="54"/>
  <c r="X18" i="54"/>
  <c r="F18" i="54"/>
  <c r="Y17" i="54"/>
  <c r="X17" i="54"/>
  <c r="F17" i="54"/>
  <c r="Y16" i="54"/>
  <c r="X16" i="54"/>
  <c r="F16" i="54"/>
  <c r="Y15" i="54"/>
  <c r="X15" i="54"/>
  <c r="F15" i="54"/>
  <c r="Y14" i="54"/>
  <c r="X14" i="54"/>
  <c r="F14" i="54"/>
  <c r="Y13" i="54"/>
  <c r="X13" i="54"/>
  <c r="F13" i="54"/>
  <c r="Y12" i="54"/>
  <c r="X12" i="54"/>
  <c r="F12" i="54"/>
  <c r="B12" i="54"/>
  <c r="K10" i="1" s="1"/>
  <c r="Y11" i="54"/>
  <c r="X11" i="54"/>
  <c r="F11" i="54"/>
  <c r="Y10" i="54"/>
  <c r="X10" i="54"/>
  <c r="F10" i="54"/>
  <c r="Y9" i="54"/>
  <c r="X9" i="54"/>
  <c r="F9" i="54"/>
  <c r="Y8" i="54"/>
  <c r="X8" i="54"/>
  <c r="F8" i="54"/>
  <c r="B8" i="54"/>
  <c r="Y7" i="54"/>
  <c r="X7" i="54"/>
  <c r="F7" i="54"/>
  <c r="Y6" i="54"/>
  <c r="X6" i="54"/>
  <c r="F6" i="54"/>
  <c r="Y5" i="54"/>
  <c r="X5" i="54"/>
  <c r="F5" i="54"/>
  <c r="Y4" i="54"/>
  <c r="X4" i="54"/>
  <c r="F4" i="54"/>
  <c r="Z3" i="54"/>
  <c r="Y3" i="54"/>
  <c r="X3" i="54"/>
  <c r="Q3" i="54"/>
  <c r="K3" i="54"/>
  <c r="O3" i="54" s="1"/>
  <c r="F3" i="54"/>
  <c r="N9" i="1"/>
  <c r="M9" i="1"/>
  <c r="J9" i="1"/>
  <c r="I9" i="1"/>
  <c r="H9" i="1"/>
  <c r="G9" i="1"/>
  <c r="F9" i="1"/>
  <c r="E9" i="1"/>
  <c r="D9" i="1"/>
  <c r="C9" i="1"/>
  <c r="B9" i="1"/>
  <c r="I53" i="53"/>
  <c r="H53" i="53"/>
  <c r="G53" i="53"/>
  <c r="K3" i="53" s="1"/>
  <c r="Y52" i="53"/>
  <c r="X52" i="53"/>
  <c r="F52" i="53"/>
  <c r="Y51" i="53"/>
  <c r="X51" i="53"/>
  <c r="F51" i="53"/>
  <c r="Y50" i="53"/>
  <c r="X50" i="53"/>
  <c r="F50" i="53"/>
  <c r="Y49" i="53"/>
  <c r="X49" i="53"/>
  <c r="F49" i="53"/>
  <c r="Y48" i="53"/>
  <c r="X48" i="53"/>
  <c r="F48" i="53"/>
  <c r="Y47" i="53"/>
  <c r="X47" i="53"/>
  <c r="F47" i="53"/>
  <c r="Y46" i="53"/>
  <c r="X46" i="53"/>
  <c r="F46" i="53"/>
  <c r="Y45" i="53"/>
  <c r="X45" i="53"/>
  <c r="F45" i="53"/>
  <c r="Y44" i="53"/>
  <c r="X44" i="53"/>
  <c r="F44" i="53"/>
  <c r="Y43" i="53"/>
  <c r="X43" i="53"/>
  <c r="F43" i="53"/>
  <c r="Y42" i="53"/>
  <c r="X42" i="53"/>
  <c r="F42" i="53"/>
  <c r="Y41" i="53"/>
  <c r="X41" i="53"/>
  <c r="F41" i="53"/>
  <c r="Y40" i="53"/>
  <c r="X40" i="53"/>
  <c r="F40" i="53"/>
  <c r="Y39" i="53"/>
  <c r="X39" i="53"/>
  <c r="F39" i="53"/>
  <c r="Y38" i="53"/>
  <c r="X38" i="53"/>
  <c r="F38" i="53"/>
  <c r="Y37" i="53"/>
  <c r="X37" i="53"/>
  <c r="F37" i="53"/>
  <c r="Y36" i="53"/>
  <c r="X36" i="53"/>
  <c r="F36" i="53"/>
  <c r="Y35" i="53"/>
  <c r="X35" i="53"/>
  <c r="F35" i="53"/>
  <c r="Y34" i="53"/>
  <c r="X34" i="53"/>
  <c r="F34" i="53"/>
  <c r="Y33" i="53"/>
  <c r="X33" i="53"/>
  <c r="F33" i="53"/>
  <c r="Y32" i="53"/>
  <c r="X32" i="53"/>
  <c r="F32" i="53"/>
  <c r="Y31" i="53"/>
  <c r="X31" i="53"/>
  <c r="F31" i="53"/>
  <c r="Y30" i="53"/>
  <c r="X30" i="53"/>
  <c r="F30" i="53"/>
  <c r="Y29" i="53"/>
  <c r="X29" i="53"/>
  <c r="F29" i="53"/>
  <c r="Y28" i="53"/>
  <c r="X28" i="53"/>
  <c r="F28" i="53"/>
  <c r="Y27" i="53"/>
  <c r="X27" i="53"/>
  <c r="F27" i="53"/>
  <c r="Y26" i="53"/>
  <c r="X26" i="53"/>
  <c r="F26" i="53"/>
  <c r="Y25" i="53"/>
  <c r="X25" i="53"/>
  <c r="F25" i="53"/>
  <c r="Y24" i="53"/>
  <c r="X24" i="53"/>
  <c r="F24" i="53"/>
  <c r="Y23" i="53"/>
  <c r="X23" i="53"/>
  <c r="F23" i="53"/>
  <c r="Y22" i="53"/>
  <c r="X22" i="53"/>
  <c r="F22" i="53"/>
  <c r="Y21" i="53"/>
  <c r="X21" i="53"/>
  <c r="F21" i="53"/>
  <c r="Y20" i="53"/>
  <c r="X20" i="53"/>
  <c r="F20" i="53"/>
  <c r="Y19" i="53"/>
  <c r="X19" i="53"/>
  <c r="F19" i="53"/>
  <c r="Y18" i="53"/>
  <c r="X18" i="53"/>
  <c r="F18" i="53"/>
  <c r="Y17" i="53"/>
  <c r="X17" i="53"/>
  <c r="F17" i="53"/>
  <c r="Y16" i="53"/>
  <c r="X16" i="53"/>
  <c r="F16" i="53"/>
  <c r="Y15" i="53"/>
  <c r="X15" i="53"/>
  <c r="F15" i="53"/>
  <c r="Y14" i="53"/>
  <c r="X14" i="53"/>
  <c r="F14" i="53"/>
  <c r="Y13" i="53"/>
  <c r="X13" i="53"/>
  <c r="F13" i="53"/>
  <c r="Y12" i="53"/>
  <c r="X12" i="53"/>
  <c r="F12" i="53"/>
  <c r="Y11" i="53"/>
  <c r="X11" i="53"/>
  <c r="F11" i="53"/>
  <c r="Y10" i="53"/>
  <c r="X10" i="53"/>
  <c r="F10" i="53"/>
  <c r="Y9" i="53"/>
  <c r="X9" i="53"/>
  <c r="F9" i="53"/>
  <c r="Y8" i="53"/>
  <c r="X8" i="53"/>
  <c r="F8" i="53"/>
  <c r="B8" i="53"/>
  <c r="Y7" i="53"/>
  <c r="X7" i="53"/>
  <c r="F7" i="53"/>
  <c r="Y6" i="53"/>
  <c r="X6" i="53"/>
  <c r="F6" i="53"/>
  <c r="Y5" i="53"/>
  <c r="X5" i="53"/>
  <c r="F5" i="53"/>
  <c r="Y4" i="53"/>
  <c r="X4" i="53"/>
  <c r="F4" i="53"/>
  <c r="Y3" i="53"/>
  <c r="X3" i="53"/>
  <c r="M3" i="53"/>
  <c r="O9" i="1" s="1"/>
  <c r="F3" i="53"/>
  <c r="M8" i="1"/>
  <c r="J8" i="1"/>
  <c r="I8" i="1"/>
  <c r="H8" i="1"/>
  <c r="G8" i="1"/>
  <c r="F8" i="1"/>
  <c r="E8" i="1"/>
  <c r="D8" i="1"/>
  <c r="C8" i="1"/>
  <c r="B8" i="1"/>
  <c r="I53" i="52"/>
  <c r="N8" i="1" s="1"/>
  <c r="H53" i="52"/>
  <c r="G53" i="52"/>
  <c r="Y52" i="52"/>
  <c r="X52" i="52"/>
  <c r="F52" i="52"/>
  <c r="Y51" i="52"/>
  <c r="X51" i="52"/>
  <c r="F51" i="52"/>
  <c r="Y50" i="52"/>
  <c r="X50" i="52"/>
  <c r="F50" i="52"/>
  <c r="Y49" i="52"/>
  <c r="X49" i="52"/>
  <c r="F49" i="52"/>
  <c r="Y48" i="52"/>
  <c r="X48" i="52"/>
  <c r="F48" i="52"/>
  <c r="Y47" i="52"/>
  <c r="X47" i="52"/>
  <c r="F47" i="52"/>
  <c r="Y46" i="52"/>
  <c r="X46" i="52"/>
  <c r="F46" i="52"/>
  <c r="Y45" i="52"/>
  <c r="X45" i="52"/>
  <c r="F45" i="52"/>
  <c r="Y44" i="52"/>
  <c r="X44" i="52"/>
  <c r="F44" i="52"/>
  <c r="Y43" i="52"/>
  <c r="X43" i="52"/>
  <c r="F43" i="52"/>
  <c r="Y42" i="52"/>
  <c r="X42" i="52"/>
  <c r="F42" i="52"/>
  <c r="Y41" i="52"/>
  <c r="X41" i="52"/>
  <c r="F41" i="52"/>
  <c r="Y40" i="52"/>
  <c r="X40" i="52"/>
  <c r="F40" i="52"/>
  <c r="Y39" i="52"/>
  <c r="X39" i="52"/>
  <c r="F39" i="52"/>
  <c r="Y38" i="52"/>
  <c r="X38" i="52"/>
  <c r="F38" i="52"/>
  <c r="Y37" i="52"/>
  <c r="X37" i="52"/>
  <c r="F37" i="52"/>
  <c r="Y36" i="52"/>
  <c r="X36" i="52"/>
  <c r="F36" i="52"/>
  <c r="Y35" i="52"/>
  <c r="X35" i="52"/>
  <c r="F35" i="52"/>
  <c r="Y34" i="52"/>
  <c r="X34" i="52"/>
  <c r="F34" i="52"/>
  <c r="Y33" i="52"/>
  <c r="X33" i="52"/>
  <c r="F33" i="52"/>
  <c r="Y32" i="52"/>
  <c r="X32" i="52"/>
  <c r="F32" i="52"/>
  <c r="Y31" i="52"/>
  <c r="X31" i="52"/>
  <c r="F31" i="52"/>
  <c r="Y30" i="52"/>
  <c r="X30" i="52"/>
  <c r="F30" i="52"/>
  <c r="Y29" i="52"/>
  <c r="X29" i="52"/>
  <c r="F29" i="52"/>
  <c r="Y28" i="52"/>
  <c r="X28" i="52"/>
  <c r="F28" i="52"/>
  <c r="Y27" i="52"/>
  <c r="X27" i="52"/>
  <c r="F27" i="52"/>
  <c r="Y26" i="52"/>
  <c r="X26" i="52"/>
  <c r="F26" i="52"/>
  <c r="Y25" i="52"/>
  <c r="X25" i="52"/>
  <c r="F25" i="52"/>
  <c r="Y24" i="52"/>
  <c r="X24" i="52"/>
  <c r="F24" i="52"/>
  <c r="Y23" i="52"/>
  <c r="X23" i="52"/>
  <c r="F23" i="52"/>
  <c r="Y22" i="52"/>
  <c r="X22" i="52"/>
  <c r="F22" i="52"/>
  <c r="Y21" i="52"/>
  <c r="X21" i="52"/>
  <c r="F21" i="52"/>
  <c r="Y20" i="52"/>
  <c r="X20" i="52"/>
  <c r="F20" i="52"/>
  <c r="Y19" i="52"/>
  <c r="X19" i="52"/>
  <c r="F19" i="52"/>
  <c r="Y18" i="52"/>
  <c r="X18" i="52"/>
  <c r="F18" i="52"/>
  <c r="Y17" i="52"/>
  <c r="X17" i="52"/>
  <c r="F17" i="52"/>
  <c r="Y16" i="52"/>
  <c r="X16" i="52"/>
  <c r="F16" i="52"/>
  <c r="Y15" i="52"/>
  <c r="X15" i="52"/>
  <c r="F15" i="52"/>
  <c r="Y14" i="52"/>
  <c r="X14" i="52"/>
  <c r="F14" i="52"/>
  <c r="Y13" i="52"/>
  <c r="X13" i="52"/>
  <c r="F13" i="52"/>
  <c r="Y12" i="52"/>
  <c r="X12" i="52"/>
  <c r="F12" i="52"/>
  <c r="B12" i="52"/>
  <c r="K8" i="1" s="1"/>
  <c r="Y11" i="52"/>
  <c r="X11" i="52"/>
  <c r="F11" i="52"/>
  <c r="Y10" i="52"/>
  <c r="X10" i="52"/>
  <c r="F10" i="52"/>
  <c r="Y9" i="52"/>
  <c r="X9" i="52"/>
  <c r="F9" i="52"/>
  <c r="Y8" i="52"/>
  <c r="X8" i="52"/>
  <c r="F8" i="52"/>
  <c r="B8" i="52"/>
  <c r="Y7" i="52"/>
  <c r="X7" i="52"/>
  <c r="F7" i="52"/>
  <c r="Y6" i="52"/>
  <c r="X6" i="52"/>
  <c r="F6" i="52"/>
  <c r="Y5" i="52"/>
  <c r="X5" i="52"/>
  <c r="F5" i="52"/>
  <c r="Y4" i="52"/>
  <c r="X4" i="52"/>
  <c r="F4" i="52"/>
  <c r="Z3" i="52"/>
  <c r="Y3" i="52"/>
  <c r="X3" i="52"/>
  <c r="Q3" i="52"/>
  <c r="K3" i="52"/>
  <c r="O3" i="52" s="1"/>
  <c r="F3" i="52"/>
  <c r="I7" i="1"/>
  <c r="H7" i="1"/>
  <c r="G7" i="1"/>
  <c r="F7" i="1"/>
  <c r="E7" i="1"/>
  <c r="D7" i="1"/>
  <c r="C7" i="1"/>
  <c r="B7" i="1"/>
  <c r="I53" i="51"/>
  <c r="M3" i="51" s="1"/>
  <c r="O7" i="1" s="1"/>
  <c r="H53" i="51"/>
  <c r="L3" i="51" s="1"/>
  <c r="N7" i="1" s="1"/>
  <c r="G53" i="51"/>
  <c r="K3" i="51" s="1"/>
  <c r="M7" i="1" s="1"/>
  <c r="Y52" i="51"/>
  <c r="X52" i="51"/>
  <c r="F52" i="51"/>
  <c r="Y51" i="51"/>
  <c r="X51" i="51"/>
  <c r="F51" i="51"/>
  <c r="Y50" i="51"/>
  <c r="X50" i="51"/>
  <c r="F50" i="51"/>
  <c r="Y49" i="51"/>
  <c r="X49" i="51"/>
  <c r="F49" i="51"/>
  <c r="Y48" i="51"/>
  <c r="X48" i="51"/>
  <c r="F48" i="51"/>
  <c r="Y47" i="51"/>
  <c r="X47" i="51"/>
  <c r="F47" i="51"/>
  <c r="Y46" i="51"/>
  <c r="X46" i="51"/>
  <c r="F46" i="51"/>
  <c r="Y45" i="51"/>
  <c r="X45" i="51"/>
  <c r="F45" i="51"/>
  <c r="Y44" i="51"/>
  <c r="X44" i="51"/>
  <c r="F44" i="51"/>
  <c r="Y43" i="51"/>
  <c r="X43" i="51"/>
  <c r="F43" i="51"/>
  <c r="Y42" i="51"/>
  <c r="X42" i="51"/>
  <c r="F42" i="51"/>
  <c r="Y41" i="51"/>
  <c r="X41" i="51"/>
  <c r="F41" i="51"/>
  <c r="Y40" i="51"/>
  <c r="X40" i="51"/>
  <c r="F40" i="51"/>
  <c r="Y39" i="51"/>
  <c r="X39" i="51"/>
  <c r="F39" i="51"/>
  <c r="Y38" i="51"/>
  <c r="X38" i="51"/>
  <c r="F38" i="51"/>
  <c r="Y37" i="51"/>
  <c r="X37" i="51"/>
  <c r="F37" i="51"/>
  <c r="Y36" i="51"/>
  <c r="X36" i="51"/>
  <c r="F36" i="51"/>
  <c r="Y35" i="51"/>
  <c r="X35" i="51"/>
  <c r="F35" i="51"/>
  <c r="Y34" i="51"/>
  <c r="X34" i="51"/>
  <c r="F34" i="51"/>
  <c r="Y33" i="51"/>
  <c r="X33" i="51"/>
  <c r="F33" i="51"/>
  <c r="Y32" i="51"/>
  <c r="X32" i="51"/>
  <c r="F32" i="51"/>
  <c r="Y31" i="51"/>
  <c r="X31" i="51"/>
  <c r="F31" i="51"/>
  <c r="Y30" i="51"/>
  <c r="X30" i="51"/>
  <c r="F30" i="51"/>
  <c r="Y29" i="51"/>
  <c r="X29" i="51"/>
  <c r="F29" i="51"/>
  <c r="Y28" i="51"/>
  <c r="X28" i="51"/>
  <c r="F28" i="51"/>
  <c r="Y27" i="51"/>
  <c r="X27" i="51"/>
  <c r="F27" i="51"/>
  <c r="Y26" i="51"/>
  <c r="X26" i="51"/>
  <c r="F26" i="51"/>
  <c r="Y25" i="51"/>
  <c r="X25" i="51"/>
  <c r="F25" i="51"/>
  <c r="Y24" i="51"/>
  <c r="X24" i="51"/>
  <c r="F24" i="51"/>
  <c r="Y23" i="51"/>
  <c r="X23" i="51"/>
  <c r="F23" i="51"/>
  <c r="Y22" i="51"/>
  <c r="X22" i="51"/>
  <c r="F22" i="51"/>
  <c r="Y21" i="51"/>
  <c r="X21" i="51"/>
  <c r="F21" i="51"/>
  <c r="Y20" i="51"/>
  <c r="X20" i="51"/>
  <c r="F20" i="51"/>
  <c r="Y19" i="51"/>
  <c r="X19" i="51"/>
  <c r="F19" i="51"/>
  <c r="Y18" i="51"/>
  <c r="X18" i="51"/>
  <c r="F18" i="51"/>
  <c r="Y17" i="51"/>
  <c r="X17" i="51"/>
  <c r="F17" i="51"/>
  <c r="Y16" i="51"/>
  <c r="X16" i="51"/>
  <c r="F16" i="51"/>
  <c r="Y15" i="51"/>
  <c r="X15" i="51"/>
  <c r="F15" i="51"/>
  <c r="Y14" i="51"/>
  <c r="X14" i="51"/>
  <c r="F14" i="51"/>
  <c r="Y13" i="51"/>
  <c r="X13" i="51"/>
  <c r="F13" i="51"/>
  <c r="Y12" i="51"/>
  <c r="X12" i="51"/>
  <c r="F12" i="51"/>
  <c r="Y11" i="51"/>
  <c r="X11" i="51"/>
  <c r="F11" i="51"/>
  <c r="Y10" i="51"/>
  <c r="X10" i="51"/>
  <c r="F10" i="51"/>
  <c r="Y9" i="51"/>
  <c r="X9" i="51"/>
  <c r="F9" i="51"/>
  <c r="Y8" i="51"/>
  <c r="X8" i="51"/>
  <c r="F8" i="51"/>
  <c r="B8" i="51"/>
  <c r="Y7" i="51"/>
  <c r="X7" i="51"/>
  <c r="F7" i="51"/>
  <c r="Y6" i="51"/>
  <c r="X6" i="51"/>
  <c r="F6" i="51"/>
  <c r="Y5" i="51"/>
  <c r="X5" i="51"/>
  <c r="F5" i="51"/>
  <c r="Y4" i="51"/>
  <c r="X4" i="51"/>
  <c r="F4" i="51"/>
  <c r="Y3" i="51"/>
  <c r="X3" i="51"/>
  <c r="F3" i="51"/>
  <c r="M6" i="1"/>
  <c r="J6" i="1"/>
  <c r="I6" i="1"/>
  <c r="H6" i="1"/>
  <c r="G6" i="1"/>
  <c r="F6" i="1"/>
  <c r="E6" i="1"/>
  <c r="D6" i="1"/>
  <c r="C6" i="1"/>
  <c r="B6" i="1"/>
  <c r="I53" i="50"/>
  <c r="M3" i="50" s="1"/>
  <c r="O6" i="1" s="1"/>
  <c r="H53" i="50"/>
  <c r="G53" i="50"/>
  <c r="Y52" i="50"/>
  <c r="X52" i="50"/>
  <c r="F52" i="50"/>
  <c r="Y51" i="50"/>
  <c r="X51" i="50"/>
  <c r="F51" i="50"/>
  <c r="Y50" i="50"/>
  <c r="X50" i="50"/>
  <c r="F50" i="50"/>
  <c r="Y49" i="50"/>
  <c r="X49" i="50"/>
  <c r="F49" i="50"/>
  <c r="Y48" i="50"/>
  <c r="X48" i="50"/>
  <c r="F48" i="50"/>
  <c r="Y47" i="50"/>
  <c r="X47" i="50"/>
  <c r="F47" i="50"/>
  <c r="Y46" i="50"/>
  <c r="X46" i="50"/>
  <c r="F46" i="50"/>
  <c r="Y45" i="50"/>
  <c r="X45" i="50"/>
  <c r="F45" i="50"/>
  <c r="Y44" i="50"/>
  <c r="X44" i="50"/>
  <c r="F44" i="50"/>
  <c r="Y43" i="50"/>
  <c r="X43" i="50"/>
  <c r="F43" i="50"/>
  <c r="Y42" i="50"/>
  <c r="X42" i="50"/>
  <c r="F42" i="50"/>
  <c r="Y41" i="50"/>
  <c r="X41" i="50"/>
  <c r="F41" i="50"/>
  <c r="Y40" i="50"/>
  <c r="X40" i="50"/>
  <c r="F40" i="50"/>
  <c r="Y39" i="50"/>
  <c r="X39" i="50"/>
  <c r="F39" i="50"/>
  <c r="Y38" i="50"/>
  <c r="X38" i="50"/>
  <c r="F38" i="50"/>
  <c r="Y37" i="50"/>
  <c r="X37" i="50"/>
  <c r="F37" i="50"/>
  <c r="Y36" i="50"/>
  <c r="X36" i="50"/>
  <c r="F36" i="50"/>
  <c r="Y35" i="50"/>
  <c r="X35" i="50"/>
  <c r="F35" i="50"/>
  <c r="Y34" i="50"/>
  <c r="X34" i="50"/>
  <c r="F34" i="50"/>
  <c r="Y33" i="50"/>
  <c r="X33" i="50"/>
  <c r="F33" i="50"/>
  <c r="Y32" i="50"/>
  <c r="X32" i="50"/>
  <c r="F32" i="50"/>
  <c r="Y31" i="50"/>
  <c r="X31" i="50"/>
  <c r="F31" i="50"/>
  <c r="Y30" i="50"/>
  <c r="X30" i="50"/>
  <c r="F30" i="50"/>
  <c r="Y29" i="50"/>
  <c r="X29" i="50"/>
  <c r="F29" i="50"/>
  <c r="Y28" i="50"/>
  <c r="X28" i="50"/>
  <c r="F28" i="50"/>
  <c r="Y27" i="50"/>
  <c r="X27" i="50"/>
  <c r="F27" i="50"/>
  <c r="Y26" i="50"/>
  <c r="X26" i="50"/>
  <c r="F26" i="50"/>
  <c r="Y25" i="50"/>
  <c r="X25" i="50"/>
  <c r="F25" i="50"/>
  <c r="Y24" i="50"/>
  <c r="X24" i="50"/>
  <c r="F24" i="50"/>
  <c r="Y23" i="50"/>
  <c r="X23" i="50"/>
  <c r="F23" i="50"/>
  <c r="Y22" i="50"/>
  <c r="X22" i="50"/>
  <c r="F22" i="50"/>
  <c r="Y21" i="50"/>
  <c r="X21" i="50"/>
  <c r="F21" i="50"/>
  <c r="Y20" i="50"/>
  <c r="X20" i="50"/>
  <c r="F20" i="50"/>
  <c r="Y19" i="50"/>
  <c r="X19" i="50"/>
  <c r="F19" i="50"/>
  <c r="Y18" i="50"/>
  <c r="X18" i="50"/>
  <c r="F18" i="50"/>
  <c r="Y17" i="50"/>
  <c r="X17" i="50"/>
  <c r="F17" i="50"/>
  <c r="Y16" i="50"/>
  <c r="X16" i="50"/>
  <c r="F16" i="50"/>
  <c r="Y15" i="50"/>
  <c r="X15" i="50"/>
  <c r="F15" i="50"/>
  <c r="Y14" i="50"/>
  <c r="X14" i="50"/>
  <c r="F14" i="50"/>
  <c r="Y13" i="50"/>
  <c r="X13" i="50"/>
  <c r="F13" i="50"/>
  <c r="Y12" i="50"/>
  <c r="X12" i="50"/>
  <c r="F12" i="50"/>
  <c r="Y11" i="50"/>
  <c r="X11" i="50"/>
  <c r="F11" i="50"/>
  <c r="Y10" i="50"/>
  <c r="X10" i="50"/>
  <c r="F10" i="50"/>
  <c r="Y9" i="50"/>
  <c r="X9" i="50"/>
  <c r="F9" i="50"/>
  <c r="Y8" i="50"/>
  <c r="X8" i="50"/>
  <c r="F8" i="50"/>
  <c r="B8" i="50"/>
  <c r="Y7" i="50"/>
  <c r="X7" i="50"/>
  <c r="F7" i="50"/>
  <c r="Y6" i="50"/>
  <c r="X6" i="50"/>
  <c r="F6" i="50"/>
  <c r="Y5" i="50"/>
  <c r="X5" i="50"/>
  <c r="F5" i="50"/>
  <c r="Y4" i="50"/>
  <c r="X4" i="50"/>
  <c r="F4" i="50"/>
  <c r="Z3" i="50"/>
  <c r="Y3" i="50"/>
  <c r="X3" i="50"/>
  <c r="Q3" i="50"/>
  <c r="K3" i="50"/>
  <c r="O3" i="50" s="1"/>
  <c r="F3" i="50"/>
  <c r="B8" i="49"/>
  <c r="P3" i="84" l="1"/>
  <c r="L40" i="1" s="1"/>
  <c r="AC40" i="1"/>
  <c r="K40" i="1"/>
  <c r="P3" i="81"/>
  <c r="L37" i="1" s="1"/>
  <c r="AC37" i="1"/>
  <c r="P3" i="82"/>
  <c r="L38" i="1" s="1"/>
  <c r="AC38" i="1"/>
  <c r="P3" i="83"/>
  <c r="L39" i="1" s="1"/>
  <c r="AC39" i="1"/>
  <c r="P3" i="80"/>
  <c r="L36" i="1" s="1"/>
  <c r="AC36" i="1"/>
  <c r="K39" i="1"/>
  <c r="K38" i="1"/>
  <c r="K37" i="1"/>
  <c r="AC34" i="1"/>
  <c r="K36" i="1"/>
  <c r="K35" i="1"/>
  <c r="P3" i="59"/>
  <c r="L15" i="1" s="1"/>
  <c r="AC15" i="1"/>
  <c r="P3" i="62"/>
  <c r="L18" i="1" s="1"/>
  <c r="AC18" i="1"/>
  <c r="P3" i="70"/>
  <c r="L26" i="1" s="1"/>
  <c r="AC26" i="1"/>
  <c r="P3" i="73"/>
  <c r="L29" i="1" s="1"/>
  <c r="AC29" i="1"/>
  <c r="P3" i="76"/>
  <c r="L32" i="1" s="1"/>
  <c r="AC32" i="1"/>
  <c r="P3" i="55"/>
  <c r="L11" i="1" s="1"/>
  <c r="AC11" i="1"/>
  <c r="P3" i="72"/>
  <c r="L28" i="1" s="1"/>
  <c r="AC28" i="1"/>
  <c r="P3" i="74"/>
  <c r="L30" i="1" s="1"/>
  <c r="AC30" i="1"/>
  <c r="P3" i="58"/>
  <c r="L14" i="1" s="1"/>
  <c r="AC14" i="1"/>
  <c r="P3" i="63"/>
  <c r="L19" i="1" s="1"/>
  <c r="AC19" i="1"/>
  <c r="P3" i="71"/>
  <c r="L27" i="1" s="1"/>
  <c r="AC27" i="1"/>
  <c r="P3" i="77"/>
  <c r="L33" i="1" s="1"/>
  <c r="AC33" i="1"/>
  <c r="P3" i="54"/>
  <c r="L10" i="1" s="1"/>
  <c r="AC10" i="1"/>
  <c r="P3" i="61"/>
  <c r="L17" i="1" s="1"/>
  <c r="AC17" i="1"/>
  <c r="P3" i="67"/>
  <c r="L23" i="1" s="1"/>
  <c r="AC23" i="1"/>
  <c r="P3" i="60"/>
  <c r="L16" i="1" s="1"/>
  <c r="AC16" i="1"/>
  <c r="P3" i="79"/>
  <c r="L35" i="1" s="1"/>
  <c r="AC35" i="1"/>
  <c r="P3" i="50"/>
  <c r="L6" i="1" s="1"/>
  <c r="AC6" i="1"/>
  <c r="P3" i="52"/>
  <c r="L8" i="1" s="1"/>
  <c r="AC8" i="1"/>
  <c r="P3" i="65"/>
  <c r="L21" i="1" s="1"/>
  <c r="AC21" i="1"/>
  <c r="P3" i="75"/>
  <c r="L31" i="1" s="1"/>
  <c r="AC31" i="1"/>
  <c r="P3" i="64"/>
  <c r="L20" i="1" s="1"/>
  <c r="AC20" i="1"/>
  <c r="P3" i="66"/>
  <c r="L22" i="1" s="1"/>
  <c r="AC22" i="1"/>
  <c r="P3" i="68"/>
  <c r="L24" i="1" s="1"/>
  <c r="AC24" i="1"/>
  <c r="P3" i="69"/>
  <c r="L25" i="1" s="1"/>
  <c r="AC25" i="1"/>
  <c r="M3" i="52"/>
  <c r="O8" i="1" s="1"/>
  <c r="K34" i="1"/>
  <c r="N3" i="55"/>
  <c r="N3" i="54"/>
  <c r="O3" i="53"/>
  <c r="Z3" i="53"/>
  <c r="Q3" i="53"/>
  <c r="B12" i="53"/>
  <c r="K9" i="1" s="1"/>
  <c r="N3" i="53"/>
  <c r="N3" i="52"/>
  <c r="O3" i="51"/>
  <c r="J7" i="1" s="1"/>
  <c r="Z3" i="51"/>
  <c r="Q3" i="51"/>
  <c r="B12" i="51"/>
  <c r="K7" i="1" s="1"/>
  <c r="N3" i="51"/>
  <c r="N6" i="1"/>
  <c r="B12" i="50"/>
  <c r="K6" i="1" s="1"/>
  <c r="N3" i="50"/>
  <c r="I5" i="1"/>
  <c r="H5" i="1"/>
  <c r="G5" i="1"/>
  <c r="E5" i="1"/>
  <c r="D5" i="1"/>
  <c r="C5" i="1"/>
  <c r="B5" i="1"/>
  <c r="I53" i="49"/>
  <c r="M3" i="49" s="1"/>
  <c r="O5" i="1" s="1"/>
  <c r="H53" i="49"/>
  <c r="L3" i="49" s="1"/>
  <c r="G53" i="49"/>
  <c r="K3" i="49" s="1"/>
  <c r="M5" i="1" s="1"/>
  <c r="Y52" i="49"/>
  <c r="X52" i="49"/>
  <c r="F52" i="49"/>
  <c r="Y51" i="49"/>
  <c r="X51" i="49"/>
  <c r="F51" i="49"/>
  <c r="Y50" i="49"/>
  <c r="X50" i="49"/>
  <c r="F50" i="49"/>
  <c r="Y49" i="49"/>
  <c r="X49" i="49"/>
  <c r="F49" i="49"/>
  <c r="Y48" i="49"/>
  <c r="X48" i="49"/>
  <c r="F48" i="49"/>
  <c r="Y47" i="49"/>
  <c r="X47" i="49"/>
  <c r="F47" i="49"/>
  <c r="Y46" i="49"/>
  <c r="X46" i="49"/>
  <c r="F46" i="49"/>
  <c r="Y45" i="49"/>
  <c r="X45" i="49"/>
  <c r="F45" i="49"/>
  <c r="Y44" i="49"/>
  <c r="X44" i="49"/>
  <c r="F44" i="49"/>
  <c r="Y43" i="49"/>
  <c r="X43" i="49"/>
  <c r="F43" i="49"/>
  <c r="Y42" i="49"/>
  <c r="X42" i="49"/>
  <c r="F42" i="49"/>
  <c r="Y41" i="49"/>
  <c r="X41" i="49"/>
  <c r="F41" i="49"/>
  <c r="Y40" i="49"/>
  <c r="X40" i="49"/>
  <c r="F40" i="49"/>
  <c r="Y39" i="49"/>
  <c r="X39" i="49"/>
  <c r="F39" i="49"/>
  <c r="Y38" i="49"/>
  <c r="X38" i="49"/>
  <c r="F38" i="49"/>
  <c r="Y37" i="49"/>
  <c r="X37" i="49"/>
  <c r="F37" i="49"/>
  <c r="Y36" i="49"/>
  <c r="X36" i="49"/>
  <c r="F36" i="49"/>
  <c r="Y35" i="49"/>
  <c r="X35" i="49"/>
  <c r="F35" i="49"/>
  <c r="Y34" i="49"/>
  <c r="X34" i="49"/>
  <c r="F34" i="49"/>
  <c r="Y33" i="49"/>
  <c r="X33" i="49"/>
  <c r="F33" i="49"/>
  <c r="Y32" i="49"/>
  <c r="X32" i="49"/>
  <c r="F32" i="49"/>
  <c r="Y31" i="49"/>
  <c r="X31" i="49"/>
  <c r="F31" i="49"/>
  <c r="Y30" i="49"/>
  <c r="X30" i="49"/>
  <c r="F30" i="49"/>
  <c r="Y29" i="49"/>
  <c r="X29" i="49"/>
  <c r="F29" i="49"/>
  <c r="Y28" i="49"/>
  <c r="X28" i="49"/>
  <c r="F28" i="49"/>
  <c r="Y27" i="49"/>
  <c r="X27" i="49"/>
  <c r="F27" i="49"/>
  <c r="Y26" i="49"/>
  <c r="X26" i="49"/>
  <c r="F26" i="49"/>
  <c r="Y25" i="49"/>
  <c r="X25" i="49"/>
  <c r="F25" i="49"/>
  <c r="Y24" i="49"/>
  <c r="X24" i="49"/>
  <c r="F24" i="49"/>
  <c r="Y23" i="49"/>
  <c r="X23" i="49"/>
  <c r="F23" i="49"/>
  <c r="Y22" i="49"/>
  <c r="X22" i="49"/>
  <c r="F22" i="49"/>
  <c r="Y21" i="49"/>
  <c r="X21" i="49"/>
  <c r="F21" i="49"/>
  <c r="Y20" i="49"/>
  <c r="X20" i="49"/>
  <c r="F20" i="49"/>
  <c r="Y19" i="49"/>
  <c r="X19" i="49"/>
  <c r="F19" i="49"/>
  <c r="Y18" i="49"/>
  <c r="X18" i="49"/>
  <c r="F18" i="49"/>
  <c r="Y17" i="49"/>
  <c r="X17" i="49"/>
  <c r="F17" i="49"/>
  <c r="Y16" i="49"/>
  <c r="X16" i="49"/>
  <c r="F16" i="49"/>
  <c r="Y15" i="49"/>
  <c r="X15" i="49"/>
  <c r="F15" i="49"/>
  <c r="Y14" i="49"/>
  <c r="X14" i="49"/>
  <c r="F14" i="49"/>
  <c r="Y13" i="49"/>
  <c r="X13" i="49"/>
  <c r="F13" i="49"/>
  <c r="Y12" i="49"/>
  <c r="X12" i="49"/>
  <c r="Y11" i="49"/>
  <c r="X11" i="49"/>
  <c r="F11" i="49"/>
  <c r="Y10" i="49"/>
  <c r="X10" i="49"/>
  <c r="F10" i="49"/>
  <c r="Y9" i="49"/>
  <c r="X9" i="49"/>
  <c r="F9" i="49"/>
  <c r="Y8" i="49"/>
  <c r="X8" i="49"/>
  <c r="F8" i="49"/>
  <c r="F5" i="1"/>
  <c r="Y7" i="49"/>
  <c r="X7" i="49"/>
  <c r="F7" i="49"/>
  <c r="Y6" i="49"/>
  <c r="X6" i="49"/>
  <c r="F6" i="49"/>
  <c r="Y5" i="49"/>
  <c r="X5" i="49"/>
  <c r="F5" i="49"/>
  <c r="Y4" i="49"/>
  <c r="X4" i="49"/>
  <c r="F4" i="49"/>
  <c r="Y3" i="49"/>
  <c r="X3" i="49"/>
  <c r="F3" i="49"/>
  <c r="I4" i="1"/>
  <c r="H4" i="1"/>
  <c r="G4" i="1"/>
  <c r="F4" i="1"/>
  <c r="E4" i="1"/>
  <c r="D4" i="1"/>
  <c r="C4" i="1"/>
  <c r="B4" i="1"/>
  <c r="I53" i="48"/>
  <c r="M3" i="48" s="1"/>
  <c r="O4" i="1" s="1"/>
  <c r="H53" i="48"/>
  <c r="L3" i="48" s="1"/>
  <c r="N4" i="1" s="1"/>
  <c r="G53" i="48"/>
  <c r="K3" i="48" s="1"/>
  <c r="M4" i="1" s="1"/>
  <c r="Y52" i="48"/>
  <c r="X52" i="48"/>
  <c r="F52" i="48"/>
  <c r="Y51" i="48"/>
  <c r="X51" i="48"/>
  <c r="F51" i="48"/>
  <c r="Y50" i="48"/>
  <c r="X50" i="48"/>
  <c r="F50" i="48"/>
  <c r="Y49" i="48"/>
  <c r="X49" i="48"/>
  <c r="F49" i="48"/>
  <c r="Y48" i="48"/>
  <c r="X48" i="48"/>
  <c r="F48" i="48"/>
  <c r="Y47" i="48"/>
  <c r="X47" i="48"/>
  <c r="F47" i="48"/>
  <c r="Y46" i="48"/>
  <c r="X46" i="48"/>
  <c r="F46" i="48"/>
  <c r="Y45" i="48"/>
  <c r="X45" i="48"/>
  <c r="F45" i="48"/>
  <c r="Y44" i="48"/>
  <c r="X44" i="48"/>
  <c r="F44" i="48"/>
  <c r="Y43" i="48"/>
  <c r="X43" i="48"/>
  <c r="F43" i="48"/>
  <c r="Y42" i="48"/>
  <c r="X42" i="48"/>
  <c r="F42" i="48"/>
  <c r="Y41" i="48"/>
  <c r="X41" i="48"/>
  <c r="F41" i="48"/>
  <c r="Y40" i="48"/>
  <c r="X40" i="48"/>
  <c r="F40" i="48"/>
  <c r="Y39" i="48"/>
  <c r="X39" i="48"/>
  <c r="F39" i="48"/>
  <c r="Y38" i="48"/>
  <c r="X38" i="48"/>
  <c r="F38" i="48"/>
  <c r="Y37" i="48"/>
  <c r="X37" i="48"/>
  <c r="F37" i="48"/>
  <c r="Y36" i="48"/>
  <c r="X36" i="48"/>
  <c r="F36" i="48"/>
  <c r="Y35" i="48"/>
  <c r="X35" i="48"/>
  <c r="F35" i="48"/>
  <c r="Y34" i="48"/>
  <c r="X34" i="48"/>
  <c r="F34" i="48"/>
  <c r="Y33" i="48"/>
  <c r="X33" i="48"/>
  <c r="F33" i="48"/>
  <c r="Y32" i="48"/>
  <c r="X32" i="48"/>
  <c r="F32" i="48"/>
  <c r="Y31" i="48"/>
  <c r="X31" i="48"/>
  <c r="F31" i="48"/>
  <c r="Y30" i="48"/>
  <c r="X30" i="48"/>
  <c r="F30" i="48"/>
  <c r="Y29" i="48"/>
  <c r="X29" i="48"/>
  <c r="F29" i="48"/>
  <c r="Y28" i="48"/>
  <c r="X28" i="48"/>
  <c r="F28" i="48"/>
  <c r="Y27" i="48"/>
  <c r="X27" i="48"/>
  <c r="F27" i="48"/>
  <c r="Y26" i="48"/>
  <c r="X26" i="48"/>
  <c r="F26" i="48"/>
  <c r="Y25" i="48"/>
  <c r="X25" i="48"/>
  <c r="F25" i="48"/>
  <c r="Y24" i="48"/>
  <c r="X24" i="48"/>
  <c r="F24" i="48"/>
  <c r="Y23" i="48"/>
  <c r="X23" i="48"/>
  <c r="F23" i="48"/>
  <c r="Y22" i="48"/>
  <c r="X22" i="48"/>
  <c r="F22" i="48"/>
  <c r="Y21" i="48"/>
  <c r="X21" i="48"/>
  <c r="F21" i="48"/>
  <c r="Y20" i="48"/>
  <c r="X20" i="48"/>
  <c r="F20" i="48"/>
  <c r="Y19" i="48"/>
  <c r="X19" i="48"/>
  <c r="F19" i="48"/>
  <c r="Y18" i="48"/>
  <c r="X18" i="48"/>
  <c r="F18" i="48"/>
  <c r="Y17" i="48"/>
  <c r="X17" i="48"/>
  <c r="F17" i="48"/>
  <c r="Y16" i="48"/>
  <c r="X16" i="48"/>
  <c r="F16" i="48"/>
  <c r="Y15" i="48"/>
  <c r="X15" i="48"/>
  <c r="F15" i="48"/>
  <c r="Y14" i="48"/>
  <c r="X14" i="48"/>
  <c r="F14" i="48"/>
  <c r="Y13" i="48"/>
  <c r="X13" i="48"/>
  <c r="F13" i="48"/>
  <c r="Y12" i="48"/>
  <c r="X12" i="48"/>
  <c r="Y11" i="48"/>
  <c r="X11" i="48"/>
  <c r="Y10" i="48"/>
  <c r="X10" i="48"/>
  <c r="F10" i="48"/>
  <c r="Y9" i="48"/>
  <c r="X9" i="48"/>
  <c r="F9" i="48"/>
  <c r="Y8" i="48"/>
  <c r="X8" i="48"/>
  <c r="F8" i="48"/>
  <c r="B8" i="48"/>
  <c r="Y7" i="48"/>
  <c r="X7" i="48"/>
  <c r="F7" i="48"/>
  <c r="Y6" i="48"/>
  <c r="X6" i="48"/>
  <c r="F6" i="48"/>
  <c r="Y5" i="48"/>
  <c r="X5" i="48"/>
  <c r="F5" i="48"/>
  <c r="Y4" i="48"/>
  <c r="X4" i="48"/>
  <c r="F4" i="48"/>
  <c r="Y3" i="48"/>
  <c r="X3" i="48"/>
  <c r="F3" i="48"/>
  <c r="I3" i="1"/>
  <c r="H3" i="1"/>
  <c r="G3" i="1"/>
  <c r="E3" i="1"/>
  <c r="D3" i="1"/>
  <c r="C3" i="1"/>
  <c r="B3" i="1"/>
  <c r="P3" i="53" l="1"/>
  <c r="L9" i="1" s="1"/>
  <c r="AC9" i="1"/>
  <c r="P3" i="51"/>
  <c r="L7" i="1" s="1"/>
  <c r="AC7" i="1"/>
  <c r="N5" i="1"/>
  <c r="O3" i="49"/>
  <c r="J5" i="1" s="1"/>
  <c r="Z3" i="49"/>
  <c r="Q3" i="49"/>
  <c r="B12" i="49"/>
  <c r="K5" i="1" s="1"/>
  <c r="N3" i="49"/>
  <c r="O3" i="48"/>
  <c r="J4" i="1" s="1"/>
  <c r="Q3" i="48"/>
  <c r="Z3" i="48"/>
  <c r="B12" i="48"/>
  <c r="K4" i="1" s="1"/>
  <c r="N3" i="48"/>
  <c r="P3" i="49" l="1"/>
  <c r="L5" i="1" s="1"/>
  <c r="AC5" i="1"/>
  <c r="P3" i="48"/>
  <c r="L4" i="1" s="1"/>
  <c r="AC4" i="1"/>
  <c r="I53" i="47"/>
  <c r="M3" i="47" s="1"/>
  <c r="O3" i="1" s="1"/>
  <c r="AA3" i="1" s="1"/>
  <c r="H53" i="47"/>
  <c r="L3" i="47" s="1"/>
  <c r="G53" i="47"/>
  <c r="K3" i="47" s="1"/>
  <c r="M3" i="1" s="1"/>
  <c r="Y52" i="47"/>
  <c r="X52" i="47"/>
  <c r="F52" i="47"/>
  <c r="Y51" i="47"/>
  <c r="X51" i="47"/>
  <c r="F51" i="47"/>
  <c r="Y50" i="47"/>
  <c r="X50" i="47"/>
  <c r="F50" i="47"/>
  <c r="Y49" i="47"/>
  <c r="X49" i="47"/>
  <c r="F49" i="47"/>
  <c r="Y48" i="47"/>
  <c r="X48" i="47"/>
  <c r="F48" i="47"/>
  <c r="Y47" i="47"/>
  <c r="X47" i="47"/>
  <c r="F47" i="47"/>
  <c r="Y46" i="47"/>
  <c r="X46" i="47"/>
  <c r="F46" i="47"/>
  <c r="Y45" i="47"/>
  <c r="X45" i="47"/>
  <c r="F45" i="47"/>
  <c r="Y44" i="47"/>
  <c r="X44" i="47"/>
  <c r="F44" i="47"/>
  <c r="Y43" i="47"/>
  <c r="X43" i="47"/>
  <c r="F43" i="47"/>
  <c r="Y42" i="47"/>
  <c r="X42" i="47"/>
  <c r="F42" i="47"/>
  <c r="Y41" i="47"/>
  <c r="X41" i="47"/>
  <c r="F41" i="47"/>
  <c r="Y40" i="47"/>
  <c r="X40" i="47"/>
  <c r="F40" i="47"/>
  <c r="Y39" i="47"/>
  <c r="X39" i="47"/>
  <c r="F39" i="47"/>
  <c r="Y38" i="47"/>
  <c r="X38" i="47"/>
  <c r="F38" i="47"/>
  <c r="Y37" i="47"/>
  <c r="X37" i="47"/>
  <c r="F37" i="47"/>
  <c r="Y36" i="47"/>
  <c r="X36" i="47"/>
  <c r="F36" i="47"/>
  <c r="Y35" i="47"/>
  <c r="X35" i="47"/>
  <c r="F35" i="47"/>
  <c r="Y34" i="47"/>
  <c r="X34" i="47"/>
  <c r="F34" i="47"/>
  <c r="Y33" i="47"/>
  <c r="X33" i="47"/>
  <c r="F33" i="47"/>
  <c r="Y32" i="47"/>
  <c r="X32" i="47"/>
  <c r="F32" i="47"/>
  <c r="Y31" i="47"/>
  <c r="X31" i="47"/>
  <c r="F31" i="47"/>
  <c r="Y30" i="47"/>
  <c r="X30" i="47"/>
  <c r="F30" i="47"/>
  <c r="Y29" i="47"/>
  <c r="X29" i="47"/>
  <c r="F29" i="47"/>
  <c r="Y28" i="47"/>
  <c r="X28" i="47"/>
  <c r="F28" i="47"/>
  <c r="Y27" i="47"/>
  <c r="X27" i="47"/>
  <c r="F27" i="47"/>
  <c r="Y26" i="47"/>
  <c r="X26" i="47"/>
  <c r="F26" i="47"/>
  <c r="Y25" i="47"/>
  <c r="X25" i="47"/>
  <c r="F25" i="47"/>
  <c r="Y24" i="47"/>
  <c r="X24" i="47"/>
  <c r="F24" i="47"/>
  <c r="Y23" i="47"/>
  <c r="X23" i="47"/>
  <c r="F23" i="47"/>
  <c r="Y22" i="47"/>
  <c r="X22" i="47"/>
  <c r="F22" i="47"/>
  <c r="Y21" i="47"/>
  <c r="X21" i="47"/>
  <c r="F21" i="47"/>
  <c r="Y20" i="47"/>
  <c r="X20" i="47"/>
  <c r="F20" i="47"/>
  <c r="Y19" i="47"/>
  <c r="X19" i="47"/>
  <c r="F19" i="47"/>
  <c r="Y18" i="47"/>
  <c r="X18" i="47"/>
  <c r="F18" i="47"/>
  <c r="Y17" i="47"/>
  <c r="X17" i="47"/>
  <c r="F17" i="47"/>
  <c r="Y16" i="47"/>
  <c r="X16" i="47"/>
  <c r="F16" i="47"/>
  <c r="Y15" i="47"/>
  <c r="X15" i="47"/>
  <c r="F15" i="47"/>
  <c r="Y14" i="47"/>
  <c r="X14" i="47"/>
  <c r="F14" i="47"/>
  <c r="Y13" i="47"/>
  <c r="X13" i="47"/>
  <c r="F13" i="47"/>
  <c r="Y12" i="47"/>
  <c r="X12" i="47"/>
  <c r="F12" i="47"/>
  <c r="Y11" i="47"/>
  <c r="X11" i="47"/>
  <c r="F11" i="47"/>
  <c r="Y10" i="47"/>
  <c r="X10" i="47"/>
  <c r="F10" i="47"/>
  <c r="Y9" i="47"/>
  <c r="X9" i="47"/>
  <c r="F9" i="47"/>
  <c r="Y8" i="47"/>
  <c r="X8" i="47"/>
  <c r="F8" i="47"/>
  <c r="B8" i="47"/>
  <c r="F3" i="1" s="1"/>
  <c r="Y7" i="47"/>
  <c r="X7" i="47"/>
  <c r="F7" i="47"/>
  <c r="Y6" i="47"/>
  <c r="X6" i="47"/>
  <c r="F6" i="47"/>
  <c r="Y5" i="47"/>
  <c r="X5" i="47"/>
  <c r="F5" i="47"/>
  <c r="Y4" i="47"/>
  <c r="X4" i="47"/>
  <c r="F4" i="47"/>
  <c r="Y3" i="47"/>
  <c r="X3" i="47"/>
  <c r="F3" i="47"/>
  <c r="N3" i="1" l="1"/>
  <c r="V3" i="1" s="1"/>
  <c r="B12" i="47"/>
  <c r="K3" i="1" s="1"/>
  <c r="O3" i="47"/>
  <c r="J3" i="1" s="1"/>
  <c r="Q3" i="47"/>
  <c r="Z3" i="47"/>
  <c r="N3" i="47"/>
  <c r="P3" i="47" l="1"/>
  <c r="L3" i="1" s="1"/>
  <c r="AC3" i="1"/>
  <c r="H2" i="15" l="1"/>
  <c r="S3" i="1" s="1"/>
  <c r="F2" i="15"/>
  <c r="G2" i="15" l="1"/>
  <c r="U3" i="1" l="1"/>
  <c r="R3" i="1" s="1"/>
  <c r="I2" i="15"/>
  <c r="Q3" i="1" s="1"/>
  <c r="W3" i="1" s="1"/>
  <c r="X3" i="1" l="1"/>
  <c r="Y3" i="1" l="1"/>
  <c r="K200" i="15"/>
  <c r="Z3" i="1" s="1"/>
  <c r="T3" i="1"/>
</calcChain>
</file>

<file path=xl/sharedStrings.xml><?xml version="1.0" encoding="utf-8"?>
<sst xmlns="http://schemas.openxmlformats.org/spreadsheetml/2006/main" count="1934" uniqueCount="106">
  <si>
    <t>Paskola</t>
  </si>
  <si>
    <t>Palūkanos</t>
  </si>
  <si>
    <t>Data</t>
  </si>
  <si>
    <t>Pavadinimas</t>
  </si>
  <si>
    <t>Premijos</t>
  </si>
  <si>
    <t xml:space="preserve">Premijos </t>
  </si>
  <si>
    <t>Vertė</t>
  </si>
  <si>
    <t>%</t>
  </si>
  <si>
    <t>Gryni</t>
  </si>
  <si>
    <t>LVX0000P9SY1</t>
  </si>
  <si>
    <t>Pabaiga</t>
  </si>
  <si>
    <t>Investuota</t>
  </si>
  <si>
    <t>Įnešta</t>
  </si>
  <si>
    <t>Išimta</t>
  </si>
  <si>
    <t>Skirtumas</t>
  </si>
  <si>
    <t>Principal</t>
  </si>
  <si>
    <t>Interest</t>
  </si>
  <si>
    <t>LVX0000PFLZ9</t>
  </si>
  <si>
    <t>LVX0000PLPE3</t>
  </si>
  <si>
    <t>Tipas</t>
  </si>
  <si>
    <t>Business</t>
  </si>
  <si>
    <t>Šalis</t>
  </si>
  <si>
    <t>Romania</t>
  </si>
  <si>
    <t>Cyprus</t>
  </si>
  <si>
    <t>Terminas</t>
  </si>
  <si>
    <t>Viso:</t>
  </si>
  <si>
    <t>LVX0000PQRD0</t>
  </si>
  <si>
    <t>Moldova</t>
  </si>
  <si>
    <t>LVX0000PLQM4</t>
  </si>
  <si>
    <t>LVX0000PQUM5</t>
  </si>
  <si>
    <t>LVX0000Q7QJ9</t>
  </si>
  <si>
    <t>LVX0000PQUR4</t>
  </si>
  <si>
    <t>Philippines</t>
  </si>
  <si>
    <t>LVX0000Q0ED3</t>
  </si>
  <si>
    <t>LVX0000PQUG7</t>
  </si>
  <si>
    <t>LVX0000Q0E27</t>
  </si>
  <si>
    <t>LVX0000QBKH6</t>
  </si>
  <si>
    <t>LVX0000QSAL3</t>
  </si>
  <si>
    <t>LVX0000R31L6</t>
  </si>
  <si>
    <t>LVX0000R32A7</t>
  </si>
  <si>
    <t>LVX0000RAL27</t>
  </si>
  <si>
    <t>Latvia</t>
  </si>
  <si>
    <t>LVX0000RAM67</t>
  </si>
  <si>
    <t>LVX0000R7P58</t>
  </si>
  <si>
    <t>LVX0000RL9Y3</t>
  </si>
  <si>
    <t>LVX0000RL9Z0</t>
  </si>
  <si>
    <t>LVX0000RLA68</t>
  </si>
  <si>
    <t>LVX0000RLA27</t>
  </si>
  <si>
    <t>LVX0000RXUV8</t>
  </si>
  <si>
    <t>Planuojama</t>
  </si>
  <si>
    <t>Reali</t>
  </si>
  <si>
    <t>Grąžinta</t>
  </si>
  <si>
    <t>LVX0000SIO33</t>
  </si>
  <si>
    <t>LVX0000T2IU1</t>
  </si>
  <si>
    <t>LVX0000T2IT3</t>
  </si>
  <si>
    <t>LVX0000ST8W0</t>
  </si>
  <si>
    <t>Mokesčiai</t>
  </si>
  <si>
    <t>XIRR</t>
  </si>
  <si>
    <t>Grąžinimas</t>
  </si>
  <si>
    <t>Suma</t>
  </si>
  <si>
    <t>Mokestis</t>
  </si>
  <si>
    <t>LVX0000TJMX6</t>
  </si>
  <si>
    <t>LVX0000TL6K6</t>
  </si>
  <si>
    <t>LVX0000TJR12</t>
  </si>
  <si>
    <t>LVX0000TJQV1</t>
  </si>
  <si>
    <t>LVX0000TPE43</t>
  </si>
  <si>
    <t>Loan ID</t>
  </si>
  <si>
    <t>Vėl./Anks.</t>
  </si>
  <si>
    <t>Vėluoja</t>
  </si>
  <si>
    <t>Skolintojas</t>
  </si>
  <si>
    <t>Pradžia</t>
  </si>
  <si>
    <t>Liko, dienos</t>
  </si>
  <si>
    <t>Investuota, Eur</t>
  </si>
  <si>
    <t>ECOFINANCE IFN SA</t>
  </si>
  <si>
    <t>Pesonal</t>
  </si>
  <si>
    <t>Nr.</t>
  </si>
  <si>
    <t>Inv. data</t>
  </si>
  <si>
    <t>Liko</t>
  </si>
  <si>
    <t>SIA "Abele Finance"</t>
  </si>
  <si>
    <t>Personal</t>
  </si>
  <si>
    <t>LVX0000TRIW9</t>
  </si>
  <si>
    <t>LVX0000TRJ61</t>
  </si>
  <si>
    <t>LVX0000U4UG8</t>
  </si>
  <si>
    <t>LVX0000ULW59</t>
  </si>
  <si>
    <t>"ECOFINANCE TECHNOLOGIES" LLC</t>
  </si>
  <si>
    <t>LVX0000UP6R4</t>
  </si>
  <si>
    <t>LVX0000URIF2</t>
  </si>
  <si>
    <t>Pinigai</t>
  </si>
  <si>
    <t>Eur.</t>
  </si>
  <si>
    <t>LVX0000UUJT5</t>
  </si>
  <si>
    <t>LVX0000UXVE6</t>
  </si>
  <si>
    <t>LVX0000UXVI7</t>
  </si>
  <si>
    <t>LVX0000V3XU4</t>
  </si>
  <si>
    <t>Viso</t>
  </si>
  <si>
    <t>LVX0000V0S54</t>
  </si>
  <si>
    <t>LVX0000VDGZ2</t>
  </si>
  <si>
    <t>LVX0000VG7G5</t>
  </si>
  <si>
    <t>LVX0000VG7N1</t>
  </si>
  <si>
    <t>LVX0000VHJ69</t>
  </si>
  <si>
    <t>LVX0000VIR76</t>
  </si>
  <si>
    <t>LVX0000VG2M4</t>
  </si>
  <si>
    <t>LVX0000VQWF3</t>
  </si>
  <si>
    <t>LVX0000VISL6</t>
  </si>
  <si>
    <t>LVX0000VQWW8</t>
  </si>
  <si>
    <t>LVX0000VRTQ4</t>
  </si>
  <si>
    <t>2026-09-30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</si>
</sst>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.mm\.dd;@"/>
    <numFmt numFmtId="165" formatCode="yyyy/mm/dd;@"/>
  </numFmts>
  <fonts count="3" x14ac:knownFonts="1">
    <font>
      <sz val="11"/>
      <color theme="1"/>
      <name val="Calibri"/>
      <family val="2"/>
      <charset val="186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charset val="186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7">
    <xf numFmtId="0" fontId="0" fillId="0" borderId="0" xfId="0"/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4" fontId="0" fillId="0" borderId="0" xfId="0" applyNumberFormat="1"/>
    <xf numFmtId="0" fontId="1" fillId="0" borderId="0" xfId="0" applyFont="1" applyAlignment="1">
      <alignment horizontal="center" vertical="center"/>
    </xf>
    <xf numFmtId="2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164" fontId="0" fillId="0" borderId="1" xfId="0" quotePrefix="1" applyNumberFormat="1" applyBorder="1" applyAlignment="1">
      <alignment horizontal="center"/>
    </xf>
    <xf numFmtId="0" fontId="0" fillId="0" borderId="1" xfId="0" applyBorder="1"/>
    <xf numFmtId="165" fontId="0" fillId="0" borderId="0" xfId="0" applyNumberFormat="1"/>
    <xf numFmtId="0" fontId="2" fillId="0" borderId="1" xfId="1" applyBorder="1" applyAlignment="1">
      <alignment horizontal="center"/>
    </xf>
    <xf numFmtId="0" fontId="2" fillId="0" borderId="1" xfId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0" xfId="0" applyFont="1" applyAlignment="1">
      <alignment horizontal="center"/>
    </xf>
    <xf numFmtId="1" fontId="0" fillId="0" borderId="1" xfId="0" applyNumberFormat="1" applyBorder="1" applyAlignment="1">
      <alignment horizontal="center"/>
    </xf>
    <xf numFmtId="14" fontId="0" fillId="0" borderId="1" xfId="0" applyNumberFormat="1" applyBorder="1"/>
    <xf numFmtId="10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1" xfId="0" applyNumberFormat="1" applyBorder="1" applyAlignment="1">
      <alignment horizontal="center"/>
    </xf>
    <xf numFmtId="2" fontId="0" fillId="0" borderId="0" xfId="0" applyNumberFormat="1"/>
    <xf numFmtId="10" fontId="0" fillId="0" borderId="0" xfId="0" applyNumberFormat="1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0" fillId="0" borderId="1" xfId="0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22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tyles" Target="style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theme" Target="theme/theme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3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3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3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4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4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4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4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4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4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4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4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4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4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5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5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5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5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5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6D7B869-1584-4850-A995-5B79E23B17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C65D359-74E8-4DF8-8881-11E8C19266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5F55632-C796-4BBE-9B87-FE7FEB0795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799B5ED-030F-43BE-841E-87E652F527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29A1935-7A45-4D20-9BCD-65F2C5DDFE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E62FA1A-3792-43C9-86D2-1C75CC60DF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306AE1C-4850-42D8-8998-66BFF989E1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C33E274-EECF-4AC4-8C8B-CA05BD2D5D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295F40D-0029-44FB-A330-00FACEC0B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6EE5E5-7845-4AF7-B77D-B6B2A8B72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7B0E897-A0F9-4172-B07A-96505D57DB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AB2A3DF-8905-4555-B25D-DEC6B8BB81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7FBE7C4-69F1-486F-AB98-B65B9A7393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B686BB0-7C62-4F94-9AF1-028B05BB5D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0D1C272-E075-4CBA-AD2E-66CDD17E77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AA2BEE-055C-46FA-8039-FD316890C3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6E1F212-5127-4231-ACD4-FC7D2292FB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520FCD1-8FF1-4716-A384-FFECD43B64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B3F3911-6C1E-4CE1-A2DF-E12EAD4F6D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E527089-3606-44F0-AB4F-0CD0FB5BAA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753BFD4-DD9F-41F0-9394-4E76F27CC0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64A2F0-1C22-4815-BF09-3E4892833A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BC93363-E0A2-4DF1-99DA-2D105A76DF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F15FB7A-F1D9-4CC3-9066-0D248BDC62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FC2DBFB-5B25-440F-8108-8DA100054A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D5456D7-E804-49FB-A497-4DEC7ABCFC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2927ED7-789B-44F3-AC8A-600A5EFB69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2E81BE-740D-406B-B753-5C3F53794E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5BADA6-B2BD-4B70-A3E1-3B0D942E28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F142CE-797C-4D47-AEBA-025D3F9396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7A003B8-1DA7-453B-A49F-6D10C3FF17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7E8A342-6716-48BF-896D-AE049850EB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7E59E0-E46A-4767-9283-9712B3A8CE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9DC4CF-A153-4925-9F3D-E7A8091FCA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C17C8E3-196F-4BDB-8E2D-AE0032E356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D4EF725-3459-4DAE-9750-8F4EF81BFD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DA849F8-8A43-45BA-BCE5-3789EBA6F6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345609-E41E-46DC-B69F-DB880106B1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8C36EC0-69A1-45A5-B720-580BD5A979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E6E6D08-BFCF-40B3-B9A2-B45E14809F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9C24A17-AD6B-4EF2-B22B-97A743DCD2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1DEFF32-8B33-40CF-83A2-0412E6D008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02DF357-3044-49C5-A688-ADB4F19663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F032435-BB1D-4245-9D44-FEFD5A6501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F042EBE-50D3-46C5-B014-B8FFD801BD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E974E2F-4338-43AC-A6FA-08B5D75637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105954E-0D28-4840-8FB9-276BBA7A28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FCEC4F-DADD-4506-AD48-B08DF7B67B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77F8793-6E2F-45F8-B50E-66862205F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53E2807-184A-4F5A-9AFD-E58132B05A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6E52607-8A4C-4315-A053-34815F88EB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256C7BE-1770-4499-801D-0B6FB9F5EF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18437C1-9EB9-488B-8A3D-A6076788FC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B385563-8986-483C-B71A-D03A92755A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1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2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3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4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5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6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7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8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9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50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1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2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53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54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5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6"/>
  <sheetViews>
    <sheetView tabSelected="1" workbookViewId="0">
      <pane xSplit="3" ySplit="4" topLeftCell="F11" activePane="bottomRight" state="frozen"/>
      <selection pane="topRight" activeCell="D1" sqref="D1"/>
      <selection pane="bottomLeft" activeCell="A5" sqref="A5"/>
      <selection pane="bottomRight" sqref="A1:H1"/>
    </sheetView>
  </sheetViews>
  <sheetFormatPr defaultRowHeight="15" x14ac:dyDescent="0.25"/>
  <cols>
    <col min="1" max="1" width="5.7109375" customWidth="1"/>
    <col min="2" max="2" width="12.7109375" customWidth="1"/>
    <col min="3" max="3" width="20.7109375" customWidth="1"/>
    <col min="4" max="4" width="12.7109375" customWidth="1"/>
    <col min="5" max="5" width="15.7109375" customWidth="1"/>
    <col min="6" max="6" width="20.7109375" customWidth="1"/>
    <col min="7" max="8" width="10.7109375" customWidth="1"/>
    <col min="9" max="10" width="12.7109375" customWidth="1"/>
    <col min="11" max="12" width="8.7109375" customWidth="1"/>
    <col min="13" max="15" width="10.7109375" customWidth="1"/>
    <col min="16" max="16" width="5.7109375" customWidth="1"/>
    <col min="17" max="27" width="10.7109375" customWidth="1"/>
  </cols>
  <sheetData>
    <row r="1" spans="1:29" x14ac:dyDescent="0.25">
      <c r="A1" s="29" t="s">
        <v>0</v>
      </c>
      <c r="B1" s="30"/>
      <c r="C1" s="30"/>
      <c r="D1" s="30"/>
      <c r="E1" s="30"/>
      <c r="F1" s="30"/>
      <c r="G1" s="30"/>
      <c r="H1" s="31"/>
      <c r="I1" s="29" t="s">
        <v>10</v>
      </c>
      <c r="J1" s="30"/>
      <c r="K1" s="30"/>
      <c r="L1" s="31"/>
      <c r="M1" s="34" t="s">
        <v>51</v>
      </c>
      <c r="N1" s="34"/>
      <c r="O1" s="34"/>
      <c r="Q1" s="32" t="s">
        <v>87</v>
      </c>
      <c r="R1" s="35"/>
      <c r="S1" s="35"/>
      <c r="T1" s="33"/>
      <c r="U1" s="32" t="s">
        <v>51</v>
      </c>
      <c r="V1" s="33"/>
      <c r="W1" s="29" t="s">
        <v>6</v>
      </c>
      <c r="X1" s="30"/>
      <c r="Y1" s="30"/>
      <c r="Z1" s="31"/>
      <c r="AA1" s="3" t="s">
        <v>56</v>
      </c>
    </row>
    <row r="2" spans="1:29" ht="15" customHeight="1" x14ac:dyDescent="0.25">
      <c r="A2" s="10" t="s">
        <v>75</v>
      </c>
      <c r="B2" s="3" t="s">
        <v>76</v>
      </c>
      <c r="C2" s="3" t="s">
        <v>3</v>
      </c>
      <c r="D2" s="3" t="s">
        <v>21</v>
      </c>
      <c r="E2" s="3" t="s">
        <v>19</v>
      </c>
      <c r="F2" s="3" t="s">
        <v>24</v>
      </c>
      <c r="G2" s="3" t="s">
        <v>7</v>
      </c>
      <c r="H2" s="3" t="s">
        <v>11</v>
      </c>
      <c r="I2" s="3" t="s">
        <v>49</v>
      </c>
      <c r="J2" s="3" t="s">
        <v>50</v>
      </c>
      <c r="K2" s="3" t="s">
        <v>77</v>
      </c>
      <c r="L2" s="3" t="s">
        <v>68</v>
      </c>
      <c r="M2" s="3" t="s">
        <v>0</v>
      </c>
      <c r="N2" s="3" t="s">
        <v>1</v>
      </c>
      <c r="O2" s="3" t="s">
        <v>56</v>
      </c>
      <c r="P2" s="8"/>
      <c r="Q2" s="26" t="s">
        <v>12</v>
      </c>
      <c r="R2" s="26" t="s">
        <v>11</v>
      </c>
      <c r="S2" s="3" t="s">
        <v>5</v>
      </c>
      <c r="T2" s="3" t="s">
        <v>8</v>
      </c>
      <c r="U2" s="27" t="s">
        <v>0</v>
      </c>
      <c r="V2" s="27" t="s">
        <v>1</v>
      </c>
      <c r="W2" s="3" t="s">
        <v>93</v>
      </c>
      <c r="X2" s="3" t="s">
        <v>88</v>
      </c>
      <c r="Y2" s="3" t="s">
        <v>7</v>
      </c>
      <c r="Z2" s="3" t="s">
        <v>57</v>
      </c>
      <c r="AA2" s="3" t="s">
        <v>88</v>
      </c>
      <c r="AC2" s="10" t="s">
        <v>68</v>
      </c>
    </row>
    <row r="3" spans="1:29" x14ac:dyDescent="0.25">
      <c r="A3" s="1">
        <v>1</v>
      </c>
      <c r="B3" s="5">
        <f>LVX0000P9SY1!B9</f>
        <v>45909</v>
      </c>
      <c r="C3" s="15" t="str">
        <f>LVX0000P9SY1!B1</f>
        <v>LVX0000P9SY1</v>
      </c>
      <c r="D3" s="1" t="str">
        <f>LVX0000P9SY1!B2</f>
        <v>Romania</v>
      </c>
      <c r="E3" s="1" t="str">
        <f>LVX0000P9SY1!B4</f>
        <v>Pesonal</v>
      </c>
      <c r="F3" s="1" t="str">
        <f>LVX0000P9SY1!B8</f>
        <v>0 m. 11 mėn. 16 d.</v>
      </c>
      <c r="G3" s="6">
        <f>LVX0000P9SY1!B15</f>
        <v>0.125</v>
      </c>
      <c r="H3" s="2">
        <f>LVX0000P9SY1!B16</f>
        <v>50</v>
      </c>
      <c r="I3" s="5">
        <f>LVX0000P9SY1!B11</f>
        <v>46259</v>
      </c>
      <c r="J3" s="5" t="str">
        <f>LVX0000P9SY1!O3</f>
        <v/>
      </c>
      <c r="K3" s="19">
        <f ca="1">LVX0000P9SY1!B12</f>
        <v>-36</v>
      </c>
      <c r="L3" s="1">
        <f ca="1">LVX0000P9SY1!P3</f>
        <v>36</v>
      </c>
      <c r="M3" s="2">
        <f>LVX0000P9SY1!K3</f>
        <v>49.99</v>
      </c>
      <c r="N3" s="2">
        <f>LVX0000P9SY1!L3</f>
        <v>1.9000000000000004</v>
      </c>
      <c r="O3" s="2">
        <f>LVX0000P9SY1!M3</f>
        <v>0.11</v>
      </c>
      <c r="P3" s="9"/>
      <c r="Q3" s="2">
        <f>Pinigai!I2</f>
        <v>320</v>
      </c>
      <c r="R3" s="2">
        <f>SUM(H3:H100)-U3</f>
        <v>352.86999999999966</v>
      </c>
      <c r="S3" s="2">
        <f>Pinigai!H2</f>
        <v>2.71</v>
      </c>
      <c r="T3" s="2">
        <f>W3-R3</f>
        <v>1.0700000000003342</v>
      </c>
      <c r="U3" s="2">
        <f>SUM(M3:M100)</f>
        <v>590.90000000000009</v>
      </c>
      <c r="V3" s="2">
        <f>SUM(N3:N100)-AA3</f>
        <v>31.230000000000008</v>
      </c>
      <c r="W3" s="2">
        <f>Q3+V3+S3</f>
        <v>353.94</v>
      </c>
      <c r="X3" s="1">
        <f>W3-Q3</f>
        <v>33.94</v>
      </c>
      <c r="Y3" s="6">
        <f>(W3-Q3)/Q3</f>
        <v>0.10606249999999999</v>
      </c>
      <c r="Z3" s="6">
        <f ca="1">XIRR(Pinigai!K2:K200,Pinigai!A2:A200)</f>
        <v>0.12527701258659366</v>
      </c>
      <c r="AA3" s="2">
        <f>SUM(O3:O100)</f>
        <v>1.4000000000000008</v>
      </c>
      <c r="AC3" s="2" t="str">
        <f ca="1">LVX0000P9SY1!Z3</f>
        <v>+</v>
      </c>
    </row>
    <row r="4" spans="1:29" x14ac:dyDescent="0.25">
      <c r="A4" s="1">
        <v>2</v>
      </c>
      <c r="B4" s="5">
        <f>LVX0000PFLZ9!B9</f>
        <v>45918</v>
      </c>
      <c r="C4" s="15" t="str">
        <f>LVX0000PFLZ9!B1</f>
        <v>LVX0000PFLZ9</v>
      </c>
      <c r="D4" s="1" t="str">
        <f>LVX0000PFLZ9!B2</f>
        <v>Romania</v>
      </c>
      <c r="E4" s="1" t="str">
        <f>LVX0000PFLZ9!B4</f>
        <v>Pesonal</v>
      </c>
      <c r="F4" s="1" t="str">
        <f>LVX0000PFLZ9!B8</f>
        <v>0 m. 11 mėn. 21 d.</v>
      </c>
      <c r="G4" s="6">
        <f>LVX0000PFLZ9!B15</f>
        <v>0.125</v>
      </c>
      <c r="H4" s="2">
        <f>LVX0000PFLZ9!B16</f>
        <v>53.9</v>
      </c>
      <c r="I4" s="5">
        <f>LVX0000PFLZ9!B11</f>
        <v>46273</v>
      </c>
      <c r="J4" s="5">
        <f>LVX0000PFLZ9!O3</f>
        <v>46271</v>
      </c>
      <c r="K4" s="19" t="str">
        <f ca="1">LVX0000PFLZ9!B12</f>
        <v/>
      </c>
      <c r="L4" s="1" t="str">
        <f ca="1">LVX0000PFLZ9!P3</f>
        <v/>
      </c>
      <c r="M4" s="2">
        <f>LVX0000PFLZ9!K3</f>
        <v>53.900000000000006</v>
      </c>
      <c r="N4" s="2">
        <f>LVX0000PFLZ9!L3</f>
        <v>3.0699999999999994</v>
      </c>
      <c r="O4" s="2">
        <f>LVX0000PFLZ9!M3</f>
        <v>0.15000000000000002</v>
      </c>
      <c r="P4" s="9"/>
      <c r="AC4" s="2" t="str">
        <f ca="1">LVX0000PFLZ9!Z3</f>
        <v/>
      </c>
    </row>
    <row r="5" spans="1:29" x14ac:dyDescent="0.25">
      <c r="A5" s="1">
        <v>3</v>
      </c>
      <c r="B5" s="5">
        <f>LVX0000PLPE3!B9</f>
        <v>45934</v>
      </c>
      <c r="C5" s="15" t="str">
        <f>LVX0000PLPE3!B1</f>
        <v>LVX0000PLPE3</v>
      </c>
      <c r="D5" s="1" t="str">
        <f>LVX0000PLPE3!B2</f>
        <v>Cyprus</v>
      </c>
      <c r="E5" s="1" t="str">
        <f>LVX0000PLPE3!B4</f>
        <v>Business</v>
      </c>
      <c r="F5" s="1" t="str">
        <f>LVX0000PLPE3!B8</f>
        <v>0 m. 8 mėn. 19 d.</v>
      </c>
      <c r="G5" s="6">
        <f>LVX0000PLPE3!B15</f>
        <v>0.12</v>
      </c>
      <c r="H5" s="2">
        <f>LVX0000PLPE3!B16</f>
        <v>13.66</v>
      </c>
      <c r="I5" s="5">
        <f>LVX0000PLPE3!B11</f>
        <v>46196</v>
      </c>
      <c r="J5" s="5">
        <f>LVX0000PLPE3!O3</f>
        <v>46234</v>
      </c>
      <c r="K5" s="19" t="str">
        <f ca="1">LVX0000PLPE3!B12</f>
        <v/>
      </c>
      <c r="L5" s="1" t="str">
        <f ca="1">LVX0000PLPE3!P3</f>
        <v/>
      </c>
      <c r="M5" s="2">
        <f>LVX0000PLPE3!K3</f>
        <v>13.66</v>
      </c>
      <c r="N5" s="2">
        <f>LVX0000PLPE3!L3</f>
        <v>1.23</v>
      </c>
      <c r="O5" s="2">
        <f>LVX0000PLPE3!M3</f>
        <v>6.0000000000000005E-2</v>
      </c>
      <c r="P5" s="9"/>
      <c r="AC5" s="2" t="str">
        <f ca="1">LVX0000PLPE3!Z3</f>
        <v/>
      </c>
    </row>
    <row r="6" spans="1:29" x14ac:dyDescent="0.25">
      <c r="A6" s="1">
        <v>4</v>
      </c>
      <c r="B6" s="5">
        <f>LVX0000PQRD0!B9</f>
        <v>45938</v>
      </c>
      <c r="C6" s="15" t="str">
        <f>LVX0000PQRD0!B1</f>
        <v>LVX0000PQRD0</v>
      </c>
      <c r="D6" s="1" t="str">
        <f>LVX0000PQRD0!B2</f>
        <v>Moldova</v>
      </c>
      <c r="E6" s="1" t="str">
        <f>LVX0000PQRD0!B4</f>
        <v>Business</v>
      </c>
      <c r="F6" s="1" t="str">
        <f>LVX0000PQRD0!B8</f>
        <v>0 m. 5 mėn. 23 d.</v>
      </c>
      <c r="G6" s="6">
        <f>LVX0000PQRD0!B15</f>
        <v>0.13</v>
      </c>
      <c r="H6" s="2">
        <f>LVX0000PQRD0!B16</f>
        <v>11.35</v>
      </c>
      <c r="I6" s="5">
        <f>LVX0000PQRD0!B11</f>
        <v>46112</v>
      </c>
      <c r="J6" s="5">
        <f>LVX0000PQRD0!O3</f>
        <v>46115</v>
      </c>
      <c r="K6" s="19" t="str">
        <f ca="1">LVX0000PQRD0!B12</f>
        <v/>
      </c>
      <c r="L6" s="1" t="str">
        <f ca="1">LVX0000PQRD0!P3</f>
        <v/>
      </c>
      <c r="M6" s="2">
        <f>LVX0000PQRD0!K3</f>
        <v>11.35</v>
      </c>
      <c r="N6" s="2">
        <f>LVX0000PQRD0!L3</f>
        <v>0.72</v>
      </c>
      <c r="O6" s="2">
        <f>LVX0000PQRD0!M3</f>
        <v>0.04</v>
      </c>
      <c r="P6" s="9"/>
      <c r="AC6" s="2" t="str">
        <f ca="1">LVX0000PQRD0!Z3</f>
        <v/>
      </c>
    </row>
    <row r="7" spans="1:29" x14ac:dyDescent="0.25">
      <c r="A7" s="1">
        <v>5</v>
      </c>
      <c r="B7" s="5">
        <f>LVX0000PLQM4!B9</f>
        <v>45947</v>
      </c>
      <c r="C7" s="15" t="str">
        <f>LVX0000PLQM4!B1</f>
        <v>LVX0000PLQM4</v>
      </c>
      <c r="D7" s="1" t="str">
        <f>LVX0000PLQM4!B2</f>
        <v>Romania</v>
      </c>
      <c r="E7" s="1" t="str">
        <f>LVX0000PLQM4!B4</f>
        <v>Business</v>
      </c>
      <c r="F7" s="1" t="str">
        <f>LVX0000PLQM4!B8</f>
        <v>0 m. 8 mėn. 5 d.</v>
      </c>
      <c r="G7" s="6">
        <f>LVX0000PLQM4!B15</f>
        <v>0.12</v>
      </c>
      <c r="H7" s="2">
        <f>LVX0000PLQM4!B16</f>
        <v>13.86</v>
      </c>
      <c r="I7" s="5">
        <f>LVX0000PLQM4!B11</f>
        <v>46195</v>
      </c>
      <c r="J7" s="5">
        <f>LVX0000PLQM4!O3</f>
        <v>46234</v>
      </c>
      <c r="K7" s="19" t="str">
        <f ca="1">LVX0000PLQM4!B12</f>
        <v/>
      </c>
      <c r="L7" s="1" t="str">
        <f ca="1">LVX0000PLQM4!P3</f>
        <v/>
      </c>
      <c r="M7" s="2">
        <f>LVX0000PLQM4!K3</f>
        <v>13.86</v>
      </c>
      <c r="N7" s="2">
        <f>LVX0000PLQM4!L3</f>
        <v>1.1200000000000001</v>
      </c>
      <c r="O7" s="2">
        <f>LVX0000PLQM4!M3</f>
        <v>6.0000000000000005E-2</v>
      </c>
      <c r="P7" s="9"/>
      <c r="AC7" s="2" t="str">
        <f ca="1">LVX0000PLQM4!Z3</f>
        <v/>
      </c>
    </row>
    <row r="8" spans="1:29" x14ac:dyDescent="0.25">
      <c r="A8" s="1">
        <v>6</v>
      </c>
      <c r="B8" s="5">
        <f>LVX0000PQUM5!B9</f>
        <v>45947</v>
      </c>
      <c r="C8" s="15" t="str">
        <f>LVX0000PQUM5!B1</f>
        <v>LVX0000PQUM5</v>
      </c>
      <c r="D8" s="1" t="str">
        <f>LVX0000PQUM5!B2</f>
        <v>Cyprus</v>
      </c>
      <c r="E8" s="1" t="str">
        <f>LVX0000PQUM5!B4</f>
        <v>Business</v>
      </c>
      <c r="F8" s="1" t="str">
        <f>LVX0000PQUM5!B8</f>
        <v>0 m. 5 mėn. 14 d.</v>
      </c>
      <c r="G8" s="6">
        <f>LVX0000PQUM5!B15</f>
        <v>0.12</v>
      </c>
      <c r="H8" s="2">
        <f>LVX0000PQUM5!B16</f>
        <v>10</v>
      </c>
      <c r="I8" s="5">
        <f>LVX0000PQUM5!B11</f>
        <v>46112</v>
      </c>
      <c r="J8" s="5">
        <f>LVX0000PQUM5!O3</f>
        <v>46120</v>
      </c>
      <c r="K8" s="19" t="str">
        <f ca="1">LVX0000PQUM5!B12</f>
        <v/>
      </c>
      <c r="L8" s="1" t="str">
        <f ca="1">LVX0000PQUM5!P3</f>
        <v/>
      </c>
      <c r="M8" s="2">
        <f>LVX0000PQUM5!K3</f>
        <v>10</v>
      </c>
      <c r="N8" s="2">
        <f>LVX0000PQUM5!L3</f>
        <v>0.56999999999999995</v>
      </c>
      <c r="O8" s="2">
        <f>LVX0000PQUM5!M3</f>
        <v>0.03</v>
      </c>
      <c r="P8" s="9"/>
      <c r="AC8" s="2" t="str">
        <f ca="1">LVX0000PQUM5!Z3</f>
        <v/>
      </c>
    </row>
    <row r="9" spans="1:29" x14ac:dyDescent="0.25">
      <c r="A9" s="1">
        <v>7</v>
      </c>
      <c r="B9" s="5">
        <f>LVX0000Q7QJ9!B9</f>
        <v>45958</v>
      </c>
      <c r="C9" s="15" t="str">
        <f>LVX0000Q7QJ9!B1</f>
        <v>LVX0000Q7QJ9</v>
      </c>
      <c r="D9" s="1" t="str">
        <f>LVX0000Q7QJ9!B2</f>
        <v>Romania</v>
      </c>
      <c r="E9" s="1" t="str">
        <f>LVX0000Q7QJ9!B4</f>
        <v>Pesonal</v>
      </c>
      <c r="F9" s="1" t="str">
        <f>LVX0000Q7QJ9!B8</f>
        <v>1 m. 8 mėn. 19 d.</v>
      </c>
      <c r="G9" s="6">
        <f>LVX0000Q7QJ9!B15</f>
        <v>0.125</v>
      </c>
      <c r="H9" s="2">
        <f>LVX0000Q7QJ9!B16</f>
        <v>25.71</v>
      </c>
      <c r="I9" s="5">
        <f>LVX0000Q7QJ9!B11</f>
        <v>46585</v>
      </c>
      <c r="J9" s="5">
        <f>LVX0000Q7QJ9!O3</f>
        <v>46053</v>
      </c>
      <c r="K9" s="19" t="str">
        <f ca="1">LVX0000Q7QJ9!B12</f>
        <v/>
      </c>
      <c r="L9" s="1" t="str">
        <f ca="1">LVX0000Q7QJ9!P3</f>
        <v/>
      </c>
      <c r="M9" s="2">
        <f>LVX0000Q7QJ9!K3</f>
        <v>25.71</v>
      </c>
      <c r="N9" s="2">
        <f>LVX0000Q7QJ9!L3</f>
        <v>0.29000000000000004</v>
      </c>
      <c r="O9" s="2">
        <f>LVX0000Q7QJ9!M3</f>
        <v>0.01</v>
      </c>
      <c r="P9" s="9"/>
      <c r="AC9" s="2" t="str">
        <f ca="1">LVX0000Q7QJ9!Z3</f>
        <v/>
      </c>
    </row>
    <row r="10" spans="1:29" x14ac:dyDescent="0.25">
      <c r="A10" s="1">
        <v>8</v>
      </c>
      <c r="B10" s="5">
        <f>LVX0000PQUR4!B9</f>
        <v>45962</v>
      </c>
      <c r="C10" s="15" t="str">
        <f>LVX0000PQUR4!B1</f>
        <v>LVX0000PQUR4</v>
      </c>
      <c r="D10" s="1" t="str">
        <f>LVX0000PQUR4!B2</f>
        <v>Philippines</v>
      </c>
      <c r="E10" s="1" t="str">
        <f>LVX0000PQUR4!B4</f>
        <v>Business</v>
      </c>
      <c r="F10" s="1" t="str">
        <f>LVX0000PQUR4!B8</f>
        <v>0 m. 2 mėn. 29 d.</v>
      </c>
      <c r="G10" s="6">
        <f>LVX0000PQUR4!B15</f>
        <v>0.115</v>
      </c>
      <c r="H10" s="2">
        <f>LVX0000PQUR4!B16</f>
        <v>10</v>
      </c>
      <c r="I10" s="5">
        <f>LVX0000PQUR4!B11</f>
        <v>46052</v>
      </c>
      <c r="J10" s="5">
        <f>LVX0000PQUR4!O3</f>
        <v>46064</v>
      </c>
      <c r="K10" s="19" t="str">
        <f ca="1">LVX0000PQUR4!B12</f>
        <v/>
      </c>
      <c r="L10" s="1" t="str">
        <f ca="1">LVX0000PQUR4!P3</f>
        <v/>
      </c>
      <c r="M10" s="2">
        <f>LVX0000PQUR4!K3</f>
        <v>10</v>
      </c>
      <c r="N10" s="2">
        <f>LVX0000PQUR4!L3</f>
        <v>0.32</v>
      </c>
      <c r="O10" s="2">
        <f>LVX0000PQUR4!M3</f>
        <v>0.01</v>
      </c>
      <c r="P10" s="9"/>
      <c r="AC10" s="2" t="str">
        <f ca="1">LVX0000PQUR4!Z3</f>
        <v/>
      </c>
    </row>
    <row r="11" spans="1:29" x14ac:dyDescent="0.25">
      <c r="A11" s="1">
        <v>9</v>
      </c>
      <c r="B11" s="5">
        <f>LVX0000Q0ED3!B9</f>
        <v>45962</v>
      </c>
      <c r="C11" s="15" t="str">
        <f>LVX0000Q0ED3!B1</f>
        <v>LVX0000Q0ED3</v>
      </c>
      <c r="D11" s="1" t="str">
        <f>LVX0000Q0ED3!B2</f>
        <v>Romania</v>
      </c>
      <c r="E11" s="1" t="str">
        <f>LVX0000Q0ED3!B4</f>
        <v>Business</v>
      </c>
      <c r="F11" s="1" t="str">
        <f>LVX0000Q0ED3!B8</f>
        <v>0 m. 5 mėn. 14 d.</v>
      </c>
      <c r="G11" s="6">
        <f>LVX0000Q0ED3!B15</f>
        <v>0.12</v>
      </c>
      <c r="H11" s="2">
        <f>LVX0000Q0ED3!B16</f>
        <v>17.46</v>
      </c>
      <c r="I11" s="5">
        <f>LVX0000Q0ED3!B11</f>
        <v>46127</v>
      </c>
      <c r="J11" s="5">
        <f>LVX0000Q0ED3!O3</f>
        <v>46130</v>
      </c>
      <c r="K11" s="19" t="str">
        <f ca="1">LVX0000Q0ED3!B12</f>
        <v/>
      </c>
      <c r="L11" s="1" t="str">
        <f ca="1">LVX0000Q0ED3!P3</f>
        <v/>
      </c>
      <c r="M11" s="2">
        <f>LVX0000Q0ED3!K3</f>
        <v>17.46</v>
      </c>
      <c r="N11" s="2">
        <f>LVX0000Q0ED3!L3</f>
        <v>0.97</v>
      </c>
      <c r="O11" s="2">
        <f>LVX0000Q0ED3!M3</f>
        <v>0.05</v>
      </c>
      <c r="P11" s="9"/>
      <c r="AC11" s="2" t="str">
        <f ca="1">LVX0000Q0ED3!Z3</f>
        <v/>
      </c>
    </row>
    <row r="12" spans="1:29" x14ac:dyDescent="0.25">
      <c r="A12" s="1">
        <v>10</v>
      </c>
      <c r="B12" s="5">
        <f>LVX0000PQUG7!B9</f>
        <v>45971</v>
      </c>
      <c r="C12" s="15" t="str">
        <f>LVX0000PQUG7!B1</f>
        <v>LVX0000PQUG7</v>
      </c>
      <c r="D12" s="1" t="str">
        <f>LVX0000PQUG7!B2</f>
        <v>Romania</v>
      </c>
      <c r="E12" s="1" t="str">
        <f>LVX0000PQUG7!B4</f>
        <v>Business</v>
      </c>
      <c r="F12" s="1" t="str">
        <f>LVX0000PQUG7!B8</f>
        <v>0 m. 4 mėn. 21 d.</v>
      </c>
      <c r="G12" s="6">
        <f>LVX0000PQUG7!B15</f>
        <v>0.12</v>
      </c>
      <c r="H12" s="2">
        <f>LVX0000PQUG7!B16</f>
        <v>17.670000000000002</v>
      </c>
      <c r="I12" s="5">
        <f>LVX0000PQUG7!B11</f>
        <v>46112</v>
      </c>
      <c r="J12" s="5">
        <f>LVX0000PQUG7!O3</f>
        <v>46142</v>
      </c>
      <c r="K12" s="19" t="str">
        <f ca="1">LVX0000PQUG7!B12</f>
        <v/>
      </c>
      <c r="L12" s="1" t="str">
        <f ca="1">LVX0000PQUG7!P3</f>
        <v/>
      </c>
      <c r="M12" s="2">
        <f>LVX0000PQUG7!K3</f>
        <v>17.670000000000002</v>
      </c>
      <c r="N12" s="2">
        <f>LVX0000PQUG7!L3</f>
        <v>0.78</v>
      </c>
      <c r="O12" s="2">
        <f>LVX0000PQUG7!M3</f>
        <v>0.04</v>
      </c>
      <c r="AC12" s="2" t="str">
        <f ca="1">LVX0000PQUG7!Z3</f>
        <v/>
      </c>
    </row>
    <row r="13" spans="1:29" x14ac:dyDescent="0.25">
      <c r="A13" s="1">
        <v>11</v>
      </c>
      <c r="B13" s="5">
        <f>LVX0000Q0E27!B9</f>
        <v>45981</v>
      </c>
      <c r="C13" s="15" t="str">
        <f>LVX0000Q0E27!B1</f>
        <v>LVX0000Q0E27</v>
      </c>
      <c r="D13" s="1" t="str">
        <f>LVX0000Q0E27!B2</f>
        <v>Cyprus</v>
      </c>
      <c r="E13" s="1" t="str">
        <f>LVX0000Q0E27!B4</f>
        <v>Business</v>
      </c>
      <c r="F13" s="1" t="str">
        <f>LVX0000Q0E27!B8</f>
        <v>0 m. 4 mėn. 25 d.</v>
      </c>
      <c r="G13" s="6">
        <f>LVX0000Q0E27!B15</f>
        <v>0.12</v>
      </c>
      <c r="H13" s="2">
        <f>LVX0000Q0E27!B16</f>
        <v>12.74</v>
      </c>
      <c r="I13" s="5">
        <f>LVX0000Q0E27!B11</f>
        <v>46126</v>
      </c>
      <c r="J13" s="5">
        <f>LVX0000Q0E27!O3</f>
        <v>46129</v>
      </c>
      <c r="K13" s="19" t="str">
        <f ca="1">LVX0000Q0E27!B12</f>
        <v/>
      </c>
      <c r="L13" s="1" t="str">
        <f ca="1">LVX0000Q0E27!P3</f>
        <v/>
      </c>
      <c r="M13" s="2">
        <f>LVX0000Q0E27!K3</f>
        <v>12.74</v>
      </c>
      <c r="N13" s="2">
        <f>LVX0000Q0E27!L3</f>
        <v>0.62</v>
      </c>
      <c r="O13" s="2">
        <f>LVX0000Q0E27!M3</f>
        <v>0.03</v>
      </c>
      <c r="AC13" s="2" t="str">
        <f ca="1">LVX0000Q0E27!Z3</f>
        <v/>
      </c>
    </row>
    <row r="14" spans="1:29" x14ac:dyDescent="0.25">
      <c r="A14" s="1">
        <v>12</v>
      </c>
      <c r="B14" s="5">
        <f>LVX0000QBKH6!B9</f>
        <v>45985</v>
      </c>
      <c r="C14" s="15" t="str">
        <f>LVX0000QBKH6!B1</f>
        <v>LVX0000QBKH6</v>
      </c>
      <c r="D14" s="1" t="str">
        <f>LVX0000QBKH6!B2</f>
        <v>Moldova</v>
      </c>
      <c r="E14" s="1" t="str">
        <f>LVX0000QBKH6!B4</f>
        <v>Business</v>
      </c>
      <c r="F14" s="1" t="str">
        <f>LVX0000QBKH6!B8</f>
        <v>0 m. 5 mėn. 4 d.</v>
      </c>
      <c r="G14" s="6">
        <f>LVX0000QBKH6!B15</f>
        <v>0.13</v>
      </c>
      <c r="H14" s="2">
        <f>LVX0000QBKH6!B16</f>
        <v>13.25</v>
      </c>
      <c r="I14" s="5">
        <f>LVX0000QBKH6!B11</f>
        <v>46140</v>
      </c>
      <c r="J14" s="5">
        <f>LVX0000QBKH6!O3</f>
        <v>46135</v>
      </c>
      <c r="K14" s="19" t="str">
        <f ca="1">LVX0000QBKH6!B12</f>
        <v/>
      </c>
      <c r="L14" s="1" t="str">
        <f ca="1">LVX0000QBKH6!P3</f>
        <v/>
      </c>
      <c r="M14" s="2">
        <f>LVX0000QBKH6!K3</f>
        <v>13.25</v>
      </c>
      <c r="N14" s="2">
        <f>LVX0000QBKH6!L3</f>
        <v>0.71</v>
      </c>
      <c r="O14" s="2">
        <f>LVX0000QBKH6!M3</f>
        <v>0.03</v>
      </c>
      <c r="AC14" s="2" t="str">
        <f ca="1">LVX0000QBKH6!Z3</f>
        <v/>
      </c>
    </row>
    <row r="15" spans="1:29" x14ac:dyDescent="0.25">
      <c r="A15" s="1">
        <v>13</v>
      </c>
      <c r="B15" s="5">
        <f>LVX0000QSAL3!B9</f>
        <v>45996</v>
      </c>
      <c r="C15" s="15" t="str">
        <f>LVX0000QSAL3!B1</f>
        <v>LVX0000QSAL3</v>
      </c>
      <c r="D15" s="1" t="str">
        <f>LVX0000QSAL3!B2</f>
        <v>Cyprus</v>
      </c>
      <c r="E15" s="1" t="str">
        <f>LVX0000QSAL3!B4</f>
        <v>Business</v>
      </c>
      <c r="F15" s="1" t="str">
        <f>LVX0000QSAL3!B8</f>
        <v>0 m. 8 mėn. 18 d.</v>
      </c>
      <c r="G15" s="6">
        <f>LVX0000QSAL3!B15</f>
        <v>0.12</v>
      </c>
      <c r="H15" s="2">
        <f>LVX0000QSAL3!B16</f>
        <v>14.43</v>
      </c>
      <c r="I15" s="5">
        <f>LVX0000QSAL3!B11</f>
        <v>46257</v>
      </c>
      <c r="J15" s="5">
        <f>LVX0000QSAL3!O3</f>
        <v>46295</v>
      </c>
      <c r="K15" s="19" t="str">
        <f ca="1">LVX0000QSAL3!B12</f>
        <v/>
      </c>
      <c r="L15" s="1" t="str">
        <f ca="1">LVX0000QSAL3!P3</f>
        <v/>
      </c>
      <c r="M15" s="2">
        <f>LVX0000QSAL3!K3</f>
        <v>14.43</v>
      </c>
      <c r="N15" s="2">
        <f>LVX0000QSAL3!L3</f>
        <v>1.26</v>
      </c>
      <c r="O15" s="2">
        <f>LVX0000QSAL3!M3</f>
        <v>0.05</v>
      </c>
      <c r="AC15" s="2" t="str">
        <f ca="1">LVX0000QSAL3!Z3</f>
        <v/>
      </c>
    </row>
    <row r="16" spans="1:29" x14ac:dyDescent="0.25">
      <c r="A16" s="1">
        <v>14</v>
      </c>
      <c r="B16" s="5">
        <f>LVX0000R31L6!B9</f>
        <v>46003</v>
      </c>
      <c r="C16" s="15" t="str">
        <f>LVX0000R31L6!B1</f>
        <v>LVX0000R31L6</v>
      </c>
      <c r="D16" s="1" t="str">
        <f>LVX0000R31L6!B2</f>
        <v>Romania</v>
      </c>
      <c r="E16" s="1" t="str">
        <f>LVX0000R31L6!B4</f>
        <v>Business</v>
      </c>
      <c r="F16" s="1" t="str">
        <f>LVX0000R31L6!B8</f>
        <v>0 m. 8 mėn. 26 d.</v>
      </c>
      <c r="G16" s="6">
        <f>LVX0000R31L6!B15</f>
        <v>0.12</v>
      </c>
      <c r="H16" s="2">
        <f>LVX0000R31L6!B16</f>
        <v>16.45</v>
      </c>
      <c r="I16" s="5">
        <f>LVX0000R31L6!B11</f>
        <v>46272</v>
      </c>
      <c r="J16" s="5">
        <f>LVX0000R31L6!O3</f>
        <v>46265</v>
      </c>
      <c r="K16" s="19" t="str">
        <f ca="1">LVX0000R31L6!B12</f>
        <v/>
      </c>
      <c r="L16" s="1" t="str">
        <f ca="1">LVX0000R31L6!P3</f>
        <v/>
      </c>
      <c r="M16" s="2">
        <f>LVX0000R31L6!K3</f>
        <v>16.45</v>
      </c>
      <c r="N16" s="2">
        <f>LVX0000R31L6!L3</f>
        <v>1.2100000000000002</v>
      </c>
      <c r="O16" s="2">
        <f>LVX0000R31L6!M3</f>
        <v>0.04</v>
      </c>
      <c r="AC16" s="2" t="str">
        <f ca="1">LVX0000R31L6!Z3</f>
        <v/>
      </c>
    </row>
    <row r="17" spans="1:29" x14ac:dyDescent="0.25">
      <c r="A17" s="1">
        <v>15</v>
      </c>
      <c r="B17" s="5">
        <f>LVX0000R32A7!B9</f>
        <v>46004</v>
      </c>
      <c r="C17" s="15" t="str">
        <f>LVX0000R32A7!B1</f>
        <v>LVX0000R32A7</v>
      </c>
      <c r="D17" s="1" t="str">
        <f>LVX0000R32A7!B2</f>
        <v>Moldova</v>
      </c>
      <c r="E17" s="1" t="str">
        <f>LVX0000R32A7!B4</f>
        <v>Business</v>
      </c>
      <c r="F17" s="1" t="str">
        <f>LVX0000R32A7!B8</f>
        <v>0 m. 8 mėn. 25 d.</v>
      </c>
      <c r="G17" s="6">
        <f>LVX0000R32A7!B15</f>
        <v>0.125</v>
      </c>
      <c r="H17" s="2">
        <f>LVX0000R32A7!B16</f>
        <v>10.58</v>
      </c>
      <c r="I17" s="5">
        <f>LVX0000R32A7!B11</f>
        <v>46272</v>
      </c>
      <c r="J17" s="5">
        <f>LVX0000R32A7!O3</f>
        <v>46295</v>
      </c>
      <c r="K17" s="19" t="str">
        <f ca="1">LVX0000R32A7!B12</f>
        <v/>
      </c>
      <c r="L17" s="1" t="str">
        <f ca="1">LVX0000R32A7!P3</f>
        <v/>
      </c>
      <c r="M17" s="2">
        <f>LVX0000R32A7!K3</f>
        <v>10.58</v>
      </c>
      <c r="N17" s="2">
        <f>LVX0000R32A7!L3</f>
        <v>0.94</v>
      </c>
      <c r="O17" s="2">
        <f>LVX0000R32A7!M3</f>
        <v>0.04</v>
      </c>
      <c r="AC17" s="2" t="str">
        <f ca="1">LVX0000R32A7!Z3</f>
        <v/>
      </c>
    </row>
    <row r="18" spans="1:29" x14ac:dyDescent="0.25">
      <c r="A18" s="1">
        <v>16</v>
      </c>
      <c r="B18" s="5">
        <f>LVX0000RAL27!B9</f>
        <v>46015</v>
      </c>
      <c r="C18" s="15" t="str">
        <f>LVX0000RAL27!B1</f>
        <v>LVX0000RAL27</v>
      </c>
      <c r="D18" s="1" t="str">
        <f>LVX0000RAL27!B2</f>
        <v>Latvia</v>
      </c>
      <c r="E18" s="1" t="str">
        <f>LVX0000RAL27!B4</f>
        <v>Business</v>
      </c>
      <c r="F18" s="1" t="str">
        <f>LVX0000RAL27!B8</f>
        <v>0 m. 3 mėn. 24 d.</v>
      </c>
      <c r="G18" s="6">
        <f>LVX0000RAL27!B15</f>
        <v>0.11</v>
      </c>
      <c r="H18" s="2">
        <f>LVX0000RAL27!B16</f>
        <v>12.36</v>
      </c>
      <c r="I18" s="5">
        <f>LVX0000RAL27!B11</f>
        <v>46129</v>
      </c>
      <c r="J18" s="5">
        <f>LVX0000RAL27!O3</f>
        <v>46129</v>
      </c>
      <c r="K18" s="19" t="str">
        <f ca="1">LVX0000RAL27!B12</f>
        <v/>
      </c>
      <c r="L18" s="1" t="str">
        <f ca="1">LVX0000RAL27!P3</f>
        <v/>
      </c>
      <c r="M18" s="2">
        <f>LVX0000RAL27!K3</f>
        <v>12.36</v>
      </c>
      <c r="N18" s="2">
        <f>LVX0000RAL27!L3</f>
        <v>0.42000000000000004</v>
      </c>
      <c r="O18" s="2">
        <f>LVX0000RAL27!M3</f>
        <v>0.02</v>
      </c>
      <c r="AC18" s="2" t="str">
        <f ca="1">LVX0000RAL27!Z3</f>
        <v/>
      </c>
    </row>
    <row r="19" spans="1:29" x14ac:dyDescent="0.25">
      <c r="A19" s="1">
        <v>17</v>
      </c>
      <c r="B19" s="5">
        <f>LVX0000RAM67!B9</f>
        <v>46024</v>
      </c>
      <c r="C19" s="15" t="str">
        <f>LVX0000RAM67!B1</f>
        <v>LVX0000RAM67</v>
      </c>
      <c r="D19" s="1" t="str">
        <f>LVX0000RAM67!B2</f>
        <v>Latvia</v>
      </c>
      <c r="E19" s="1" t="str">
        <f>LVX0000RAM67!B4</f>
        <v>Business</v>
      </c>
      <c r="F19" s="1" t="str">
        <f>LVX0000RAM67!B8</f>
        <v>0 m. 3 mėn. 15 d.</v>
      </c>
      <c r="G19" s="6">
        <f>LVX0000RAM67!B15</f>
        <v>0.11</v>
      </c>
      <c r="H19" s="2">
        <f>LVX0000RAM67!B16</f>
        <v>21.95</v>
      </c>
      <c r="I19" s="5">
        <f>LVX0000RAM67!B11</f>
        <v>46129</v>
      </c>
      <c r="J19" s="5">
        <f>LVX0000RAM67!O3</f>
        <v>46129</v>
      </c>
      <c r="K19" s="19" t="str">
        <f ca="1">LVX0000RAM67!B12</f>
        <v/>
      </c>
      <c r="L19" s="1" t="str">
        <f ca="1">LVX0000RAM67!P3</f>
        <v/>
      </c>
      <c r="M19" s="2">
        <f>LVX0000RAM67!K3</f>
        <v>21.95</v>
      </c>
      <c r="N19" s="2">
        <f>LVX0000RAM67!L3</f>
        <v>0.69</v>
      </c>
      <c r="O19" s="2">
        <f>LVX0000RAM67!M3</f>
        <v>0.03</v>
      </c>
      <c r="AC19" s="2" t="str">
        <f ca="1">LVX0000RAM67!Z3</f>
        <v/>
      </c>
    </row>
    <row r="20" spans="1:29" x14ac:dyDescent="0.25">
      <c r="A20" s="1">
        <v>18</v>
      </c>
      <c r="B20" s="5">
        <f>LVX0000R7P58!B9</f>
        <v>46029</v>
      </c>
      <c r="C20" s="15" t="str">
        <f>LVX0000R7P58!B1</f>
        <v>LVX0000R7P58</v>
      </c>
      <c r="D20" s="1" t="str">
        <f>LVX0000R7P58!B2</f>
        <v>Latvia</v>
      </c>
      <c r="E20" s="1" t="str">
        <f>LVX0000R7P58!B4</f>
        <v>Business</v>
      </c>
      <c r="F20" s="1" t="str">
        <f>LVX0000R7P58!B8</f>
        <v>0 m. 3 mėn. 10 d.</v>
      </c>
      <c r="G20" s="6">
        <f>LVX0000R7P58!B15</f>
        <v>0.11</v>
      </c>
      <c r="H20" s="2">
        <f>LVX0000R7P58!B16</f>
        <v>18.23</v>
      </c>
      <c r="I20" s="5">
        <f>LVX0000R7P58!B11</f>
        <v>46129</v>
      </c>
      <c r="J20" s="5">
        <f>LVX0000R7P58!O3</f>
        <v>46129</v>
      </c>
      <c r="K20" s="19" t="str">
        <f ca="1">LVX0000R7P58!B12</f>
        <v/>
      </c>
      <c r="L20" s="1" t="str">
        <f ca="1">LVX0000R7P58!P3</f>
        <v/>
      </c>
      <c r="M20" s="2">
        <f>LVX0000R7P58!K3</f>
        <v>18.23</v>
      </c>
      <c r="N20" s="2">
        <f>LVX0000R7P58!L3</f>
        <v>0.53999999999999992</v>
      </c>
      <c r="O20" s="2">
        <f>LVX0000R7P58!M3</f>
        <v>0.03</v>
      </c>
      <c r="AC20" s="2" t="str">
        <f ca="1">LVX0000R7P58!Z3</f>
        <v/>
      </c>
    </row>
    <row r="21" spans="1:29" x14ac:dyDescent="0.25">
      <c r="A21" s="1">
        <v>19</v>
      </c>
      <c r="B21" s="5">
        <f>LVX0000RL9Y3!B9</f>
        <v>46032</v>
      </c>
      <c r="C21" s="15" t="str">
        <f>LVX0000RL9Y3!B1</f>
        <v>LVX0000RL9Y3</v>
      </c>
      <c r="D21" s="1" t="str">
        <f>LVX0000RL9Y3!B2</f>
        <v>Moldova</v>
      </c>
      <c r="E21" s="1" t="str">
        <f>LVX0000RL9Y3!B4</f>
        <v>Business</v>
      </c>
      <c r="F21" s="1" t="str">
        <f>LVX0000RL9Y3!B8</f>
        <v>0 m. 3 mėn. 27 d.</v>
      </c>
      <c r="G21" s="6">
        <f>LVX0000RL9Y3!B15</f>
        <v>0.115</v>
      </c>
      <c r="H21" s="2">
        <f>LVX0000RL9Y3!B16</f>
        <v>13.84</v>
      </c>
      <c r="I21" s="5">
        <f>LVX0000RL9Y3!B11</f>
        <v>46149</v>
      </c>
      <c r="J21" s="5">
        <f>LVX0000RL9Y3!O3</f>
        <v>46150</v>
      </c>
      <c r="K21" s="19" t="str">
        <f ca="1">LVX0000RL9Y3!B12</f>
        <v/>
      </c>
      <c r="L21" s="1" t="str">
        <f ca="1">LVX0000RL9Y3!P3</f>
        <v/>
      </c>
      <c r="M21" s="2">
        <f>LVX0000RL9Y3!K3</f>
        <v>13.84</v>
      </c>
      <c r="N21" s="2">
        <f>LVX0000RL9Y3!L3</f>
        <v>0.51</v>
      </c>
      <c r="O21" s="2">
        <f>LVX0000RL9Y3!M3</f>
        <v>0.03</v>
      </c>
      <c r="AC21" s="2" t="str">
        <f ca="1">LVX0000RL9Y3!Z3</f>
        <v/>
      </c>
    </row>
    <row r="22" spans="1:29" x14ac:dyDescent="0.25">
      <c r="A22" s="1">
        <v>20</v>
      </c>
      <c r="B22" s="5">
        <f>LVX0000RL9Z0!B9</f>
        <v>46037</v>
      </c>
      <c r="C22" s="15" t="str">
        <f>LVX0000RL9Z0!B1</f>
        <v>LVX0000RL9Z0</v>
      </c>
      <c r="D22" s="1" t="str">
        <f>LVX0000RL9Z0!B2</f>
        <v>Moldova</v>
      </c>
      <c r="E22" s="1" t="str">
        <f>LVX0000RL9Z0!B4</f>
        <v>Business</v>
      </c>
      <c r="F22" s="1" t="str">
        <f>LVX0000RL9Z0!B8</f>
        <v>0 m. 5 mėn. 21 d.</v>
      </c>
      <c r="G22" s="6">
        <f>LVX0000RL9Z0!B15</f>
        <v>0.12</v>
      </c>
      <c r="H22" s="2">
        <f>LVX0000RL9Z0!B16</f>
        <v>13.72</v>
      </c>
      <c r="I22" s="5">
        <f>LVX0000RL9Z0!B11</f>
        <v>46209</v>
      </c>
      <c r="J22" s="5">
        <f>LVX0000RL9Z0!O3</f>
        <v>46234</v>
      </c>
      <c r="K22" s="19" t="str">
        <f ca="1">LVX0000RL9Z0!B12</f>
        <v/>
      </c>
      <c r="L22" s="1" t="str">
        <f ca="1">LVX0000RL9Z0!P3</f>
        <v/>
      </c>
      <c r="M22" s="2">
        <f>LVX0000RL9Z0!K3</f>
        <v>13.72</v>
      </c>
      <c r="N22" s="2">
        <f>LVX0000RL9Z0!L3</f>
        <v>0.70000000000000007</v>
      </c>
      <c r="O22" s="2">
        <f>LVX0000RL9Z0!M3</f>
        <v>0.04</v>
      </c>
      <c r="AC22" s="2" t="str">
        <f ca="1">LVX0000RL9Z0!Z3</f>
        <v/>
      </c>
    </row>
    <row r="23" spans="1:29" x14ac:dyDescent="0.25">
      <c r="A23" s="1">
        <v>21</v>
      </c>
      <c r="B23" s="5">
        <f>LVX0000RLA68!B9</f>
        <v>46050</v>
      </c>
      <c r="C23" s="15" t="str">
        <f>LVX0000RLA68!B1</f>
        <v>LVX0000RLA68</v>
      </c>
      <c r="D23" s="1" t="str">
        <f>LVX0000RLA68!B2</f>
        <v>Philippines</v>
      </c>
      <c r="E23" s="1" t="str">
        <f>LVX0000RLA68!B4</f>
        <v>Business</v>
      </c>
      <c r="F23" s="1" t="str">
        <f>LVX0000RLA68!B8</f>
        <v>0 m. 3 mėn. 9 d.</v>
      </c>
      <c r="G23" s="6">
        <f>LVX0000RLA68!B15</f>
        <v>0.11</v>
      </c>
      <c r="H23" s="2">
        <f>LVX0000RLA68!B16</f>
        <v>11.66</v>
      </c>
      <c r="I23" s="5">
        <f>LVX0000RLA68!B11</f>
        <v>46149</v>
      </c>
      <c r="J23" s="5">
        <f>LVX0000RLA68!O3</f>
        <v>46151</v>
      </c>
      <c r="K23" s="19" t="str">
        <f ca="1">LVX0000RLA68!B12</f>
        <v/>
      </c>
      <c r="L23" s="1" t="str">
        <f ca="1">LVX0000RLA68!P3</f>
        <v/>
      </c>
      <c r="M23" s="2">
        <f>LVX0000RLA68!K3</f>
        <v>11.66</v>
      </c>
      <c r="N23" s="2">
        <f>LVX0000RLA68!L3</f>
        <v>0.35</v>
      </c>
      <c r="O23" s="2">
        <f>LVX0000RLA68!M3</f>
        <v>0.02</v>
      </c>
      <c r="AC23" s="2" t="str">
        <f ca="1">LVX0000RLA68!Z3</f>
        <v/>
      </c>
    </row>
    <row r="24" spans="1:29" ht="15" customHeight="1" x14ac:dyDescent="0.25">
      <c r="A24" s="1">
        <v>22</v>
      </c>
      <c r="B24" s="5">
        <f>LVX0000RLA27!B9</f>
        <v>46064</v>
      </c>
      <c r="C24" s="15" t="str">
        <f>LVX0000RLA27!B1</f>
        <v>LVX0000RLA27</v>
      </c>
      <c r="D24" s="1" t="str">
        <f>LVX0000RLA27!B2</f>
        <v>Cyprus</v>
      </c>
      <c r="E24" s="1" t="str">
        <f>LVX0000RLA27!B4</f>
        <v>Business</v>
      </c>
      <c r="F24" s="1" t="str">
        <f>LVX0000RLA27!B8</f>
        <v>0 m. 4 mėn. 25 d.</v>
      </c>
      <c r="G24" s="6">
        <f>LVX0000RLA27!B15</f>
        <v>0.11</v>
      </c>
      <c r="H24" s="2">
        <f>LVX0000RLA27!B16</f>
        <v>14.08</v>
      </c>
      <c r="I24" s="5">
        <f>LVX0000RLA27!B11</f>
        <v>46209</v>
      </c>
      <c r="J24" s="5">
        <f>LVX0000RLA27!O3</f>
        <v>46265</v>
      </c>
      <c r="K24" s="19" t="str">
        <f ca="1">LVX0000RLA27!B12</f>
        <v/>
      </c>
      <c r="L24" s="1" t="str">
        <f ca="1">LVX0000RLA27!P3</f>
        <v/>
      </c>
      <c r="M24" s="2">
        <f>LVX0000RLA27!K3</f>
        <v>14.08</v>
      </c>
      <c r="N24" s="2">
        <f>LVX0000RLA27!L3</f>
        <v>0.66</v>
      </c>
      <c r="O24" s="2">
        <f>LVX0000RLA27!M3</f>
        <v>0.03</v>
      </c>
      <c r="AC24" s="2" t="str">
        <f ca="1">LVX0000RLA27!Z3</f>
        <v/>
      </c>
    </row>
    <row r="25" spans="1:29" x14ac:dyDescent="0.25">
      <c r="A25" s="1">
        <v>23</v>
      </c>
      <c r="B25" s="5">
        <f>LVX0000RXUV8!B9</f>
        <v>46079</v>
      </c>
      <c r="C25" s="15" t="str">
        <f>LVX0000RXUV8!B1</f>
        <v>LVX0000RXUV8</v>
      </c>
      <c r="D25" s="1" t="str">
        <f>LVX0000RXUV8!B2</f>
        <v>Romania</v>
      </c>
      <c r="E25" s="1" t="str">
        <f>LVX0000RXUV8!B4</f>
        <v>Business</v>
      </c>
      <c r="F25" s="1" t="str">
        <f>LVX0000RXUV8!B8</f>
        <v>0 m. 4 mėn. 28 d.</v>
      </c>
      <c r="G25" s="6">
        <f>LVX0000RXUV8!B15</f>
        <v>0.11</v>
      </c>
      <c r="H25" s="2">
        <f>LVX0000RXUV8!B16</f>
        <v>12.52</v>
      </c>
      <c r="I25" s="5">
        <f>LVX0000RXUV8!B11</f>
        <v>46227</v>
      </c>
      <c r="J25" s="5">
        <f>LVX0000RXUV8!O3</f>
        <v>46234</v>
      </c>
      <c r="K25" s="19" t="str">
        <f ca="1">LVX0000RXUV8!B12</f>
        <v/>
      </c>
      <c r="L25" s="1" t="str">
        <f ca="1">LVX0000RXUV8!P3</f>
        <v/>
      </c>
      <c r="M25" s="2">
        <f>LVX0000RXUV8!K3</f>
        <v>12.52</v>
      </c>
      <c r="N25" s="2">
        <f>LVX0000RXUV8!L3</f>
        <v>0.51</v>
      </c>
      <c r="O25" s="2">
        <f>LVX0000RXUV8!M3</f>
        <v>0.02</v>
      </c>
      <c r="AC25" s="2" t="str">
        <f ca="1">LVX0000RXUV8!Z3</f>
        <v/>
      </c>
    </row>
    <row r="26" spans="1:29" x14ac:dyDescent="0.25">
      <c r="A26" s="1">
        <v>24</v>
      </c>
      <c r="B26" s="5">
        <f>LVX0000SIO33!B9</f>
        <v>46094</v>
      </c>
      <c r="C26" s="15" t="str">
        <f>LVX0000SIO33!B1</f>
        <v>LVX0000SIO33</v>
      </c>
      <c r="D26" s="1" t="str">
        <f>LVX0000SIO33!B2</f>
        <v>Moldova</v>
      </c>
      <c r="E26" s="1" t="str">
        <f>LVX0000SIO33!B4</f>
        <v>Business</v>
      </c>
      <c r="F26" s="1" t="str">
        <f>LVX0000SIO33!B8</f>
        <v>0 m. 5 mėn. 5 d.</v>
      </c>
      <c r="G26" s="6">
        <f>LVX0000SIO33!B15</f>
        <v>0.12</v>
      </c>
      <c r="H26" s="2">
        <f>LVX0000SIO33!B16</f>
        <v>10.74</v>
      </c>
      <c r="I26" s="5">
        <f>LVX0000SIO33!B11</f>
        <v>46252</v>
      </c>
      <c r="J26" s="5">
        <f>LVX0000SIO33!O3</f>
        <v>46234</v>
      </c>
      <c r="K26" s="19" t="str">
        <f ca="1">LVX0000SIO33!B12</f>
        <v/>
      </c>
      <c r="L26" s="1" t="str">
        <f ca="1">LVX0000SIO33!P3</f>
        <v/>
      </c>
      <c r="M26" s="2">
        <f>LVX0000SIO33!K3</f>
        <v>10.74</v>
      </c>
      <c r="N26" s="2">
        <f>LVX0000SIO33!L3</f>
        <v>0.42000000000000004</v>
      </c>
      <c r="O26" s="2">
        <f>LVX0000SIO33!M3</f>
        <v>0.01</v>
      </c>
      <c r="AC26" s="2" t="str">
        <f ca="1">LVX0000SIO33!Z3</f>
        <v/>
      </c>
    </row>
    <row r="27" spans="1:29" x14ac:dyDescent="0.25">
      <c r="A27" s="1">
        <v>25</v>
      </c>
      <c r="B27" s="5">
        <f>LVX0000T2IU1!B9</f>
        <v>46106</v>
      </c>
      <c r="C27" s="15" t="str">
        <f>LVX0000T2IU1!B1</f>
        <v>LVX0000T2IU1</v>
      </c>
      <c r="D27" s="1" t="str">
        <f>LVX0000T2IU1!B2</f>
        <v>Cyprus</v>
      </c>
      <c r="E27" s="1" t="str">
        <f>LVX0000T2IU1!B4</f>
        <v>Business</v>
      </c>
      <c r="F27" s="1" t="str">
        <f>LVX0000T2IU1!B8</f>
        <v>1 m. 3 mėn. 0 d.</v>
      </c>
      <c r="G27" s="6">
        <f>LVX0000T2IU1!B15</f>
        <v>0.125</v>
      </c>
      <c r="H27" s="2">
        <f>LVX0000T2IU1!B16</f>
        <v>18.62</v>
      </c>
      <c r="I27" s="5">
        <f>LVX0000T2IU1!B11</f>
        <v>46563</v>
      </c>
      <c r="J27" s="5" t="str">
        <f>LVX0000T2IU1!O3</f>
        <v/>
      </c>
      <c r="K27" s="19">
        <f ca="1">LVX0000T2IU1!B12</f>
        <v>268</v>
      </c>
      <c r="L27" s="1" t="str">
        <f ca="1">LVX0000T2IU1!P3</f>
        <v/>
      </c>
      <c r="M27" s="2">
        <f>LVX0000T2IU1!K3</f>
        <v>0</v>
      </c>
      <c r="N27" s="2">
        <f>LVX0000T2IU1!L3</f>
        <v>1.0900000000000001</v>
      </c>
      <c r="O27" s="2">
        <f>LVX0000T2IU1!M3</f>
        <v>0.05</v>
      </c>
      <c r="AC27" s="2" t="str">
        <f ca="1">LVX0000T2IU1!Z3</f>
        <v/>
      </c>
    </row>
    <row r="28" spans="1:29" x14ac:dyDescent="0.25">
      <c r="A28" s="1">
        <v>26</v>
      </c>
      <c r="B28" s="5">
        <f>LVX0000T2IT3!B9</f>
        <v>46115</v>
      </c>
      <c r="C28" s="15" t="str">
        <f>LVX0000T2IT3!B1</f>
        <v>LVX0000T2IT3</v>
      </c>
      <c r="D28" s="1" t="str">
        <f>LVX0000T2IT3!B2</f>
        <v>Cyprus</v>
      </c>
      <c r="E28" s="1" t="str">
        <f>LVX0000T2IT3!B4</f>
        <v>Business</v>
      </c>
      <c r="F28" s="1" t="str">
        <f>LVX0000T2IT3!B8</f>
        <v>0 m. 11 mėn. 29 d.</v>
      </c>
      <c r="G28" s="6">
        <f>LVX0000T2IT3!B15</f>
        <v>0.12</v>
      </c>
      <c r="H28" s="2">
        <f>LVX0000T2IT3!B16</f>
        <v>14.01</v>
      </c>
      <c r="I28" s="5">
        <f>LVX0000T2IT3!B11</f>
        <v>46478</v>
      </c>
      <c r="J28" s="5" t="str">
        <f>LVX0000T2IT3!O3</f>
        <v/>
      </c>
      <c r="K28" s="19">
        <f ca="1">LVX0000T2IT3!B12</f>
        <v>183</v>
      </c>
      <c r="L28" s="1" t="str">
        <f ca="1">LVX0000T2IT3!P3</f>
        <v/>
      </c>
      <c r="M28" s="2">
        <f>LVX0000T2IT3!K3</f>
        <v>0</v>
      </c>
      <c r="N28" s="2">
        <f>LVX0000T2IT3!L3</f>
        <v>0.7400000000000001</v>
      </c>
      <c r="O28" s="2">
        <f>LVX0000T2IT3!M3</f>
        <v>0.03</v>
      </c>
      <c r="AC28" s="2" t="str">
        <f ca="1">LVX0000T2IT3!Z3</f>
        <v/>
      </c>
    </row>
    <row r="29" spans="1:29" x14ac:dyDescent="0.25">
      <c r="A29" s="1">
        <v>27</v>
      </c>
      <c r="B29" s="5">
        <f>LVX0000ST8W0!B9</f>
        <v>46120</v>
      </c>
      <c r="C29" s="15" t="str">
        <f>LVX0000ST8W0!B1</f>
        <v>LVX0000ST8W0</v>
      </c>
      <c r="D29" s="1" t="str">
        <f>LVX0000ST8W0!B2</f>
        <v>Moldova</v>
      </c>
      <c r="E29" s="1" t="str">
        <f>LVX0000ST8W0!B4</f>
        <v>Business</v>
      </c>
      <c r="F29" s="1" t="str">
        <f>LVX0000ST8W0!B8</f>
        <v>0 m. 7 mėn. 22 d.</v>
      </c>
      <c r="G29" s="6">
        <f>LVX0000ST8W0!B15</f>
        <v>0.125</v>
      </c>
      <c r="H29" s="2">
        <f>LVX0000ST8W0!B16</f>
        <v>11.15</v>
      </c>
      <c r="I29" s="5">
        <f>LVX0000ST8W0!B11</f>
        <v>46356</v>
      </c>
      <c r="J29" s="5" t="str">
        <f>LVX0000ST8W0!O3</f>
        <v/>
      </c>
      <c r="K29" s="19">
        <f ca="1">LVX0000ST8W0!B12</f>
        <v>61</v>
      </c>
      <c r="L29" s="1" t="str">
        <f ca="1">LVX0000ST8W0!P3</f>
        <v/>
      </c>
      <c r="M29" s="2">
        <f>LVX0000ST8W0!K3</f>
        <v>0</v>
      </c>
      <c r="N29" s="2">
        <f>LVX0000ST8W0!L3</f>
        <v>0.6</v>
      </c>
      <c r="O29" s="2">
        <f>LVX0000ST8W0!M3</f>
        <v>0.01</v>
      </c>
      <c r="AC29" s="2" t="str">
        <f ca="1">LVX0000ST8W0!Z3</f>
        <v/>
      </c>
    </row>
    <row r="30" spans="1:29" x14ac:dyDescent="0.25">
      <c r="A30" s="1">
        <v>28</v>
      </c>
      <c r="B30" s="5">
        <f>LVX0000TJMX6!B9</f>
        <v>46129</v>
      </c>
      <c r="C30" s="16" t="str">
        <f>LVX0000TJMX6!B1</f>
        <v>LVX0000TJMX6</v>
      </c>
      <c r="D30" s="1" t="str">
        <f>LVX0000TJMX6!B2</f>
        <v>Romania</v>
      </c>
      <c r="E30" s="1" t="str">
        <f>LVX0000TJMX6!B4</f>
        <v>Personal</v>
      </c>
      <c r="F30" s="1" t="str">
        <f>LVX0000TJMX6!B8</f>
        <v>0 m. 10 mėn. 20 d.</v>
      </c>
      <c r="G30" s="6">
        <f>LVX0000TJMX6!B15</f>
        <v>0.125</v>
      </c>
      <c r="H30" s="2">
        <f>LVX0000TJMX6!B16</f>
        <v>31.84</v>
      </c>
      <c r="I30" s="5">
        <f>LVX0000TJMX6!B11</f>
        <v>46455</v>
      </c>
      <c r="J30" s="5" t="str">
        <f>LVX0000TJMX6!O3</f>
        <v/>
      </c>
      <c r="K30" s="19">
        <f ca="1">LVX0000TJMX6!B12</f>
        <v>160</v>
      </c>
      <c r="L30" s="1" t="str">
        <f ca="1">LVX0000TJMX6!P3</f>
        <v/>
      </c>
      <c r="M30" s="2">
        <f>LVX0000TJMX6!K3</f>
        <v>20.99</v>
      </c>
      <c r="N30" s="2">
        <f>LVX0000TJMX6!L3</f>
        <v>1.2599999999999998</v>
      </c>
      <c r="O30" s="2">
        <f>LVX0000TJMX6!M3</f>
        <v>0.06</v>
      </c>
      <c r="AC30" s="2" t="str">
        <f ca="1">LVX0000TJMX6!Z3</f>
        <v/>
      </c>
    </row>
    <row r="31" spans="1:29" x14ac:dyDescent="0.25">
      <c r="A31" s="1">
        <v>29</v>
      </c>
      <c r="B31" s="5">
        <f>LVX0000TL6K6!B9</f>
        <v>46129</v>
      </c>
      <c r="C31" s="16" t="str">
        <f>LVX0000TL6K6!B1</f>
        <v>LVX0000TL6K6</v>
      </c>
      <c r="D31" s="1" t="str">
        <f>LVX0000TL6K6!B2</f>
        <v>Moldova</v>
      </c>
      <c r="E31" s="1" t="str">
        <f>LVX0000TL6K6!B4</f>
        <v>Business</v>
      </c>
      <c r="F31" s="1" t="str">
        <f>LVX0000TL6K6!B8</f>
        <v>0 m. 6 mėn. 5 d.</v>
      </c>
      <c r="G31" s="6">
        <f>LVX0000TL6K6!B15</f>
        <v>0.12</v>
      </c>
      <c r="H31" s="2">
        <f>LVX0000TL6K6!B16</f>
        <v>20</v>
      </c>
      <c r="I31" s="5">
        <f>LVX0000TL6K6!B11</f>
        <v>46317</v>
      </c>
      <c r="J31" s="5">
        <f>LVX0000TL6K6!O3</f>
        <v>46282</v>
      </c>
      <c r="K31" s="19" t="str">
        <f ca="1">LVX0000TL6K6!B12</f>
        <v/>
      </c>
      <c r="L31" s="1" t="str">
        <f ca="1">LVX0000TL6K6!P3</f>
        <v/>
      </c>
      <c r="M31" s="2">
        <f>LVX0000TL6K6!K3</f>
        <v>20</v>
      </c>
      <c r="N31" s="2">
        <f>LVX0000TL6K6!L3</f>
        <v>0.97</v>
      </c>
      <c r="O31" s="2">
        <f>LVX0000TL6K6!M3</f>
        <v>6.0000000000000005E-2</v>
      </c>
      <c r="AC31" s="2" t="str">
        <f ca="1">LVX0000TL6K6!Z3</f>
        <v/>
      </c>
    </row>
    <row r="32" spans="1:29" x14ac:dyDescent="0.25">
      <c r="A32" s="1">
        <v>30</v>
      </c>
      <c r="B32" s="5">
        <f>LVX0000TJR12!B9</f>
        <v>46129</v>
      </c>
      <c r="C32" s="16" t="str">
        <f>LVX0000TJR12!B1</f>
        <v>LVX0000TJR12</v>
      </c>
      <c r="D32" s="1" t="str">
        <f>LVX0000TJR12!B2</f>
        <v>Moldova</v>
      </c>
      <c r="E32" s="1" t="str">
        <f>LVX0000TJR12!B4</f>
        <v>Business</v>
      </c>
      <c r="F32" s="1" t="str">
        <f>LVX0000TJR12!B8</f>
        <v>0 m. 8 mėn. 29 d.</v>
      </c>
      <c r="G32" s="6">
        <f>LVX0000TJR12!B15</f>
        <v>0.125</v>
      </c>
      <c r="H32" s="2">
        <f>LVX0000TJR12!B16</f>
        <v>20</v>
      </c>
      <c r="I32" s="5">
        <f>LVX0000TJR12!B11</f>
        <v>46402</v>
      </c>
      <c r="J32" s="5" t="str">
        <f>LVX0000TJR12!O3</f>
        <v/>
      </c>
      <c r="K32" s="19">
        <f ca="1">LVX0000TJR12!B12</f>
        <v>107</v>
      </c>
      <c r="L32" s="1" t="str">
        <f ca="1">LVX0000TJR12!P3</f>
        <v/>
      </c>
      <c r="M32" s="2">
        <f>LVX0000TJR12!K3</f>
        <v>0</v>
      </c>
      <c r="N32" s="2">
        <f>LVX0000TJR12!L3</f>
        <v>1.01</v>
      </c>
      <c r="O32" s="2">
        <f>LVX0000TJR12!M3</f>
        <v>0.05</v>
      </c>
      <c r="AC32" s="2" t="str">
        <f ca="1">LVX0000TJR12!Z3</f>
        <v/>
      </c>
    </row>
    <row r="33" spans="1:29" x14ac:dyDescent="0.25">
      <c r="A33" s="1">
        <v>31</v>
      </c>
      <c r="B33" s="5">
        <f>LVX0000TJQV1!B9</f>
        <v>46130</v>
      </c>
      <c r="C33" s="16" t="str">
        <f>LVX0000TJQV1!B1</f>
        <v>LVX0000TJQV1</v>
      </c>
      <c r="D33" s="1" t="str">
        <f>LVX0000TJQV1!B2</f>
        <v>Romania</v>
      </c>
      <c r="E33" s="1" t="str">
        <f>LVX0000TJQV1!B4</f>
        <v>Business</v>
      </c>
      <c r="F33" s="1" t="str">
        <f>LVX0000TJQV1!B8</f>
        <v>0 m. 8 mėn. 28 d.</v>
      </c>
      <c r="G33" s="6">
        <f>LVX0000TJQV1!B15</f>
        <v>0.115</v>
      </c>
      <c r="H33" s="2">
        <f>LVX0000TJQV1!B16</f>
        <v>17.46</v>
      </c>
      <c r="I33" s="5">
        <f>LVX0000TJQV1!B11</f>
        <v>46402</v>
      </c>
      <c r="J33" s="5">
        <f>LVX0000TJQV1!O3</f>
        <v>46295</v>
      </c>
      <c r="K33" s="19" t="str">
        <f ca="1">LVX0000TJQV1!B12</f>
        <v/>
      </c>
      <c r="L33" s="1" t="str">
        <f ca="1">LVX0000TJQV1!P3</f>
        <v/>
      </c>
      <c r="M33" s="2">
        <f>LVX0000TJQV1!K3</f>
        <v>17.46</v>
      </c>
      <c r="N33" s="2">
        <f>LVX0000TJQV1!L3</f>
        <v>0.71000000000000008</v>
      </c>
      <c r="O33" s="2">
        <f>LVX0000TJQV1!M3</f>
        <v>0.02</v>
      </c>
      <c r="AC33" s="2" t="str">
        <f ca="1">LVX0000TJQV1!Z3</f>
        <v/>
      </c>
    </row>
    <row r="34" spans="1:29" x14ac:dyDescent="0.25">
      <c r="A34" s="1">
        <v>32</v>
      </c>
      <c r="B34" s="5">
        <f>LVX0000TPE43!B9</f>
        <v>46135</v>
      </c>
      <c r="C34" s="16" t="str">
        <f>LVX0000TPE43!B1</f>
        <v>LVX0000TPE43</v>
      </c>
      <c r="D34" s="1" t="str">
        <f>LVX0000TPE43!B2</f>
        <v>Romania</v>
      </c>
      <c r="E34" s="1" t="str">
        <f>LVX0000TPE43!B4</f>
        <v>Business</v>
      </c>
      <c r="F34" s="1" t="str">
        <f>LVX0000TPE43!B8</f>
        <v>0 m. 5 mėn. 28 d.</v>
      </c>
      <c r="G34" s="6">
        <f>LVX0000TPE43!B15</f>
        <v>0.11</v>
      </c>
      <c r="H34" s="2">
        <f>LVX0000TPE43!B16</f>
        <v>13.66</v>
      </c>
      <c r="I34" s="5">
        <f>LVX0000TPE43!B11</f>
        <v>46316</v>
      </c>
      <c r="J34" s="5">
        <f>LVX0000TPE43!O3</f>
        <v>46295</v>
      </c>
      <c r="K34" s="19" t="str">
        <f ca="1">LVX0000TPE43!B12</f>
        <v/>
      </c>
      <c r="L34" s="1" t="str">
        <f ca="1">LVX0000TPE43!P3</f>
        <v/>
      </c>
      <c r="M34" s="2">
        <f>LVX0000TPE43!K3</f>
        <v>13.66</v>
      </c>
      <c r="N34" s="2">
        <f>LVX0000TPE43!L3</f>
        <v>0.52</v>
      </c>
      <c r="O34" s="2">
        <f>LVX0000TPE43!M3</f>
        <v>0.02</v>
      </c>
      <c r="AC34" s="2" t="str">
        <f ca="1">LVX0000TPE43!Z3</f>
        <v/>
      </c>
    </row>
    <row r="35" spans="1:29" x14ac:dyDescent="0.25">
      <c r="A35" s="1">
        <v>33</v>
      </c>
      <c r="B35" s="5">
        <f>LVX0000TRIW9!B9</f>
        <v>46150</v>
      </c>
      <c r="C35" s="16" t="str">
        <f>LVX0000TRIW9!B1</f>
        <v>LVX0000TRIW9</v>
      </c>
      <c r="D35" s="1" t="str">
        <f>LVX0000TRIW9!B2</f>
        <v>Moldova</v>
      </c>
      <c r="E35" s="1" t="str">
        <f>LVX0000TRIW9!B4</f>
        <v>Business</v>
      </c>
      <c r="F35" s="1" t="str">
        <f>LVX0000TRIW9!B8</f>
        <v>0 m. 5 mėn. 12 d.</v>
      </c>
      <c r="G35" s="6">
        <f>LVX0000TRIW9!B15</f>
        <v>0.12</v>
      </c>
      <c r="H35" s="2">
        <f>LVX0000TRIW9!B16</f>
        <v>14.87</v>
      </c>
      <c r="I35" s="5">
        <f>LVX0000TRIW9!B11</f>
        <v>46315</v>
      </c>
      <c r="J35" s="5">
        <f>LVX0000TRIW9!O3</f>
        <v>46282</v>
      </c>
      <c r="K35" s="19" t="str">
        <f ca="1">LVX0000TRIW9!B12</f>
        <v/>
      </c>
      <c r="L35" s="1" t="str">
        <f ca="1">LVX0000TRIW9!P3</f>
        <v/>
      </c>
      <c r="M35" s="2">
        <f>LVX0000TRIW9!K3</f>
        <v>14.87</v>
      </c>
      <c r="N35" s="2">
        <f>LVX0000TRIW9!L3</f>
        <v>0.62</v>
      </c>
      <c r="O35" s="2">
        <f>LVX0000TRIW9!M3</f>
        <v>0.04</v>
      </c>
      <c r="AC35" s="2" t="str">
        <f ca="1">LVX0000TRIW9!Z3</f>
        <v/>
      </c>
    </row>
    <row r="36" spans="1:29" x14ac:dyDescent="0.25">
      <c r="A36" s="1">
        <v>34</v>
      </c>
      <c r="B36" s="5">
        <f>LVX0000TRJ61!B9</f>
        <v>46151</v>
      </c>
      <c r="C36" s="16" t="str">
        <f>LVX0000TRJ61!B1</f>
        <v>LVX0000TRJ61</v>
      </c>
      <c r="D36" s="1" t="str">
        <f>LVX0000TRJ61!B2</f>
        <v>Philippines</v>
      </c>
      <c r="E36" s="1" t="str">
        <f>LVX0000TRJ61!B4</f>
        <v>Business</v>
      </c>
      <c r="F36" s="1" t="str">
        <f>LVX0000TRJ61!B8</f>
        <v>0 m. 3 mėn. 22 d.</v>
      </c>
      <c r="G36" s="6">
        <f>LVX0000TRJ61!B15</f>
        <v>0.11</v>
      </c>
      <c r="H36" s="2">
        <f>LVX0000TRJ61!B16</f>
        <v>11.66</v>
      </c>
      <c r="I36" s="5">
        <f>LVX0000TRJ61!B11</f>
        <v>46265</v>
      </c>
      <c r="J36" s="5">
        <f>LVX0000TRJ61!O3</f>
        <v>46295</v>
      </c>
      <c r="K36" s="19" t="str">
        <f ca="1">LVX0000TRJ61!B12</f>
        <v/>
      </c>
      <c r="L36" s="1" t="str">
        <f ca="1">LVX0000TRJ61!P3</f>
        <v/>
      </c>
      <c r="M36" s="2">
        <f>LVX0000TRJ61!K3</f>
        <v>11.66</v>
      </c>
      <c r="N36" s="2">
        <f>LVX0000TRJ61!L3</f>
        <v>0.38</v>
      </c>
      <c r="O36" s="2">
        <f>LVX0000TRJ61!M3</f>
        <v>0.02</v>
      </c>
      <c r="AC36" s="2" t="str">
        <f ca="1">LVX0000TRJ61!Z3</f>
        <v/>
      </c>
    </row>
    <row r="37" spans="1:29" x14ac:dyDescent="0.25">
      <c r="A37" s="1">
        <v>35</v>
      </c>
      <c r="B37" s="5">
        <f>LVX0000U4UG8!B9</f>
        <v>46157</v>
      </c>
      <c r="C37" s="16" t="str">
        <f>LVX0000U4UG8!B1</f>
        <v>LVX0000U4UG8</v>
      </c>
      <c r="D37" s="1" t="str">
        <f>LVX0000U4UG8!B2</f>
        <v>Romania</v>
      </c>
      <c r="E37" s="1" t="str">
        <f>LVX0000U4UG8!B4</f>
        <v>Personal</v>
      </c>
      <c r="F37" s="1" t="str">
        <f>LVX0000U4UG8!B8</f>
        <v>0 m. 11 mėn. 21 d.</v>
      </c>
      <c r="G37" s="6">
        <f>LVX0000U4UG8!B15</f>
        <v>0.125</v>
      </c>
      <c r="H37" s="2">
        <f>LVX0000U4UG8!B16</f>
        <v>16.579999999999998</v>
      </c>
      <c r="I37" s="5">
        <f>LVX0000U4UG8!B11</f>
        <v>46513</v>
      </c>
      <c r="J37" s="5" t="str">
        <f>LVX0000U4UG8!O3</f>
        <v/>
      </c>
      <c r="K37" s="19">
        <f ca="1">LVX0000U4UG8!B12</f>
        <v>218</v>
      </c>
      <c r="L37" s="1" t="str">
        <f ca="1">LVX0000U4UG8!P3</f>
        <v/>
      </c>
      <c r="M37" s="2">
        <f>LVX0000U4UG8!K3</f>
        <v>8.0500000000000007</v>
      </c>
      <c r="N37" s="2">
        <f>LVX0000U4UG8!L3</f>
        <v>0.62</v>
      </c>
      <c r="O37" s="2">
        <f>LVX0000U4UG8!M3</f>
        <v>0.03</v>
      </c>
      <c r="AC37" s="2" t="str">
        <f ca="1">LVX0000U4UG8!Z3</f>
        <v/>
      </c>
    </row>
    <row r="38" spans="1:29" x14ac:dyDescent="0.25">
      <c r="A38" s="1">
        <v>36</v>
      </c>
      <c r="B38" s="5">
        <f>LVX0000ULW59!B9</f>
        <v>46188</v>
      </c>
      <c r="C38" s="16" t="str">
        <f>LVX0000ULW59!B1</f>
        <v>LVX0000ULW59</v>
      </c>
      <c r="D38" s="1" t="str">
        <f>LVX0000ULW59!B2</f>
        <v>Moldova</v>
      </c>
      <c r="E38" s="1" t="str">
        <f>LVX0000ULW59!B4</f>
        <v>Personal</v>
      </c>
      <c r="F38" s="1" t="str">
        <f>LVX0000ULW59!B8</f>
        <v>2 m. 5 mėn. 10 d.</v>
      </c>
      <c r="G38" s="6">
        <f>LVX0000ULW59!B15</f>
        <v>0.14000000000000001</v>
      </c>
      <c r="H38" s="2">
        <f>LVX0000ULW59!B16</f>
        <v>10.3</v>
      </c>
      <c r="I38" s="5">
        <f>LVX0000ULW59!B11</f>
        <v>47082</v>
      </c>
      <c r="J38" s="5" t="str">
        <f>LVX0000ULW59!O3</f>
        <v/>
      </c>
      <c r="K38" s="19">
        <f ca="1">LVX0000ULW59!B12</f>
        <v>787</v>
      </c>
      <c r="L38" s="1" t="str">
        <f ca="1">LVX0000ULW59!P3</f>
        <v/>
      </c>
      <c r="M38" s="2">
        <f>LVX0000ULW59!K3</f>
        <v>2.2000000000000002</v>
      </c>
      <c r="N38" s="2">
        <f>LVX0000ULW59!L3</f>
        <v>0.38</v>
      </c>
      <c r="O38" s="2">
        <f>LVX0000ULW59!M3</f>
        <v>0.01</v>
      </c>
      <c r="AC38" s="2" t="str">
        <f ca="1">LVX0000ULW59!Z3</f>
        <v/>
      </c>
    </row>
    <row r="39" spans="1:29" x14ac:dyDescent="0.25">
      <c r="A39" s="1">
        <v>37</v>
      </c>
      <c r="B39" s="5">
        <f>LVX0000UP6R4!B9</f>
        <v>46191</v>
      </c>
      <c r="C39" s="16" t="str">
        <f>LVX0000UP6R4!B1</f>
        <v>LVX0000UP6R4</v>
      </c>
      <c r="D39" s="1" t="str">
        <f>LVX0000UP6R4!B2</f>
        <v>Romania</v>
      </c>
      <c r="E39" s="1" t="str">
        <f>LVX0000UP6R4!B4</f>
        <v>Personal</v>
      </c>
      <c r="F39" s="1" t="str">
        <f>LVX0000UP6R4!B8</f>
        <v>1 m. 10 mėn. 0 d.</v>
      </c>
      <c r="G39" s="6">
        <f>LVX0000UP6R4!B15</f>
        <v>0.125</v>
      </c>
      <c r="H39" s="2">
        <f>LVX0000UP6R4!B16</f>
        <v>14.5</v>
      </c>
      <c r="I39" s="5">
        <f>LVX0000UP6R4!B11</f>
        <v>46861</v>
      </c>
      <c r="J39" s="5" t="str">
        <f>LVX0000UP6R4!O3</f>
        <v/>
      </c>
      <c r="K39" s="19">
        <f ca="1">LVX0000UP6R4!B12</f>
        <v>566</v>
      </c>
      <c r="L39" s="1" t="str">
        <f ca="1">LVX0000UP6R4!P3</f>
        <v/>
      </c>
      <c r="M39" s="2">
        <f>LVX0000UP6R4!K3</f>
        <v>11.850000000000001</v>
      </c>
      <c r="N39" s="2">
        <f>LVX0000UP6R4!L3</f>
        <v>0.41000000000000003</v>
      </c>
      <c r="O39" s="2">
        <f>LVX0000UP6R4!M3</f>
        <v>0.01</v>
      </c>
      <c r="AC39" s="2" t="str">
        <f ca="1">LVX0000UP6R4!Z3</f>
        <v/>
      </c>
    </row>
    <row r="40" spans="1:29" x14ac:dyDescent="0.25">
      <c r="A40" s="1">
        <v>38</v>
      </c>
      <c r="B40" s="5">
        <f>LVX0000URIF2!B9</f>
        <v>46195</v>
      </c>
      <c r="C40" s="16" t="str">
        <f>LVX0000URIF2!B1</f>
        <v>LVX0000URIF2</v>
      </c>
      <c r="D40" s="1" t="str">
        <f>LVX0000URIF2!B2</f>
        <v>Cyprus</v>
      </c>
      <c r="E40" s="1" t="str">
        <f>LVX0000URIF2!B4</f>
        <v>Business</v>
      </c>
      <c r="F40" s="1" t="str">
        <f>LVX0000URIF2!B8</f>
        <v>0 m. 5 mėn. 26 d.</v>
      </c>
      <c r="G40" s="6">
        <f>LVX0000URIF2!B15</f>
        <v>0.12</v>
      </c>
      <c r="H40" s="2">
        <f>LVX0000URIF2!B16</f>
        <v>14.16</v>
      </c>
      <c r="I40" s="5">
        <f>LVX0000URIF2!B11</f>
        <v>46374</v>
      </c>
      <c r="J40" s="5" t="str">
        <f>LVX0000URIF2!O3</f>
        <v/>
      </c>
      <c r="K40" s="19">
        <f ca="1">LVX0000URIF2!B12</f>
        <v>79</v>
      </c>
      <c r="L40" s="1" t="str">
        <f ca="1">LVX0000URIF2!P3</f>
        <v/>
      </c>
      <c r="M40" s="2">
        <f>LVX0000URIF2!K3</f>
        <v>0</v>
      </c>
      <c r="N40" s="2">
        <f>LVX0000URIF2!L3</f>
        <v>0.37</v>
      </c>
      <c r="O40" s="2">
        <f>LVX0000URIF2!M3</f>
        <v>0</v>
      </c>
      <c r="AC40" s="2" t="str">
        <f ca="1">LVX0000URIF2!Z3</f>
        <v/>
      </c>
    </row>
    <row r="41" spans="1:29" x14ac:dyDescent="0.25">
      <c r="A41" s="1">
        <v>39</v>
      </c>
      <c r="B41" s="5">
        <f>'LVX0000URIF2 (2)'!B9</f>
        <v>46207</v>
      </c>
      <c r="C41" s="16" t="str">
        <f>'LVX0000URIF2 (2)'!B1</f>
        <v>LVX0000URIF2</v>
      </c>
      <c r="D41" s="1" t="str">
        <f>'LVX0000URIF2 (2)'!B2</f>
        <v>Cyprus</v>
      </c>
      <c r="E41" s="1" t="str">
        <f>'LVX0000URIF2 (2)'!B4</f>
        <v>Business</v>
      </c>
      <c r="F41" s="1" t="str">
        <f>'LVX0000URIF2 (2)'!B8</f>
        <v>0 m. 5 mėn. 14 d.</v>
      </c>
      <c r="G41" s="6">
        <f>'LVX0000URIF2 (2)'!B15</f>
        <v>0.12</v>
      </c>
      <c r="H41" s="2">
        <f>'LVX0000URIF2 (2)'!B16</f>
        <v>22.13</v>
      </c>
      <c r="I41" s="5">
        <f>'LVX0000URIF2 (2)'!B11</f>
        <v>46374</v>
      </c>
      <c r="J41" s="5" t="str">
        <f>'LVX0000URIF2 (2)'!O3</f>
        <v/>
      </c>
      <c r="K41" s="19">
        <f ca="1">'LVX0000URIF2 (2)'!B12</f>
        <v>79</v>
      </c>
      <c r="L41" s="1" t="str">
        <f ca="1">'LVX0000URIF2 (2)'!P3</f>
        <v/>
      </c>
      <c r="M41" s="2">
        <f>'LVX0000URIF2 (2)'!K3</f>
        <v>0</v>
      </c>
      <c r="N41" s="2">
        <f>'LVX0000URIF2 (2)'!L3</f>
        <v>0.49</v>
      </c>
      <c r="O41" s="2">
        <f>'LVX0000URIF2 (2)'!M3</f>
        <v>0</v>
      </c>
      <c r="AC41" s="2" t="str">
        <f ca="1">'LVX0000URIF2 (2)'!Z3</f>
        <v/>
      </c>
    </row>
    <row r="42" spans="1:29" x14ac:dyDescent="0.25">
      <c r="A42" s="1">
        <v>40</v>
      </c>
      <c r="B42" s="5">
        <f>LVX0000UUJT5!B9</f>
        <v>46213</v>
      </c>
      <c r="C42" s="16" t="str">
        <f>LVX0000UUJT5!B1</f>
        <v>LVX0000UUJT5</v>
      </c>
      <c r="D42" s="1" t="str">
        <f>LVX0000UUJT5!B2</f>
        <v>Romania</v>
      </c>
      <c r="E42" s="1" t="str">
        <f>LVX0000UUJT5!B4</f>
        <v>Business</v>
      </c>
      <c r="F42" s="1" t="str">
        <f>LVX0000UUJT5!B8</f>
        <v>0 m. 5 mėn. 12 d.</v>
      </c>
      <c r="G42" s="6">
        <f>LVX0000UUJT5!B15</f>
        <v>0.11</v>
      </c>
      <c r="H42" s="2">
        <f>LVX0000UUJT5!B16</f>
        <v>12.58</v>
      </c>
      <c r="I42" s="5">
        <f>LVX0000UUJT5!B11</f>
        <v>46378</v>
      </c>
      <c r="J42" s="5">
        <f>LVX0000UUJT5!O3</f>
        <v>46295</v>
      </c>
      <c r="K42" s="19" t="str">
        <f ca="1">LVX0000UUJT5!B12</f>
        <v/>
      </c>
      <c r="L42" s="1" t="str">
        <f ca="1">LVX0000UUJT5!P3</f>
        <v/>
      </c>
      <c r="M42" s="2">
        <f>LVX0000UUJT5!K3</f>
        <v>12.58</v>
      </c>
      <c r="N42" s="2">
        <f>LVX0000UUJT5!L3</f>
        <v>0.16999999999999998</v>
      </c>
      <c r="O42" s="2">
        <f>LVX0000UUJT5!M3</f>
        <v>0</v>
      </c>
      <c r="AC42" s="2" t="str">
        <f ca="1">LVX0000UUJT5!Z3</f>
        <v/>
      </c>
    </row>
    <row r="43" spans="1:29" x14ac:dyDescent="0.25">
      <c r="A43" s="1">
        <v>41</v>
      </c>
      <c r="B43" s="5">
        <f>LVX0000UXVE6!B9</f>
        <v>46213</v>
      </c>
      <c r="C43" s="16" t="str">
        <f>LVX0000UXVE6!B1</f>
        <v>LVX0000UXVE6</v>
      </c>
      <c r="D43" s="1" t="str">
        <f>LVX0000UXVE6!B2</f>
        <v>Latvia</v>
      </c>
      <c r="E43" s="1" t="str">
        <f>LVX0000UXVE6!B4</f>
        <v>Business</v>
      </c>
      <c r="F43" s="1" t="str">
        <f>LVX0000UXVE6!B8</f>
        <v>0 m. 7 mėn. 18 d.</v>
      </c>
      <c r="G43" s="6">
        <f>LVX0000UXVE6!B15</f>
        <v>0.11</v>
      </c>
      <c r="H43" s="2">
        <f>LVX0000UXVE6!B16</f>
        <v>16.02</v>
      </c>
      <c r="I43" s="5">
        <f>LVX0000UXVE6!B11</f>
        <v>46446</v>
      </c>
      <c r="J43" s="5" t="str">
        <f>LVX0000UXVE6!O3</f>
        <v/>
      </c>
      <c r="K43" s="19">
        <f ca="1">LVX0000UXVE6!B12</f>
        <v>151</v>
      </c>
      <c r="L43" s="1" t="str">
        <f ca="1">LVX0000UXVE6!P3</f>
        <v/>
      </c>
      <c r="M43" s="2">
        <f>LVX0000UXVE6!K3</f>
        <v>0</v>
      </c>
      <c r="N43" s="2">
        <f>LVX0000UXVE6!L3</f>
        <v>0.3</v>
      </c>
      <c r="O43" s="2">
        <f>LVX0000UXVE6!M3</f>
        <v>0</v>
      </c>
      <c r="AC43" s="2" t="str">
        <f ca="1">LVX0000UXVE6!Z3</f>
        <v/>
      </c>
    </row>
    <row r="44" spans="1:29" x14ac:dyDescent="0.25">
      <c r="A44" s="1">
        <v>42</v>
      </c>
      <c r="B44" s="5">
        <f>LVX0000UXVI7!B9</f>
        <v>46219</v>
      </c>
      <c r="C44" s="16" t="str">
        <f>LVX0000UXVI7!B1</f>
        <v>LVX0000UXVI7</v>
      </c>
      <c r="D44" s="1" t="str">
        <f>LVX0000UXVI7!B2</f>
        <v>Latvia</v>
      </c>
      <c r="E44" s="1" t="str">
        <f>LVX0000UXVI7!B4</f>
        <v>Business</v>
      </c>
      <c r="F44" s="1" t="str">
        <f>LVX0000UXVI7!B8</f>
        <v>0 m. 7 mėn. 12 d.</v>
      </c>
      <c r="G44" s="6">
        <f>LVX0000UXVI7!B15</f>
        <v>0.11</v>
      </c>
      <c r="H44" s="2">
        <f>LVX0000UXVI7!B16</f>
        <v>15.29</v>
      </c>
      <c r="I44" s="5">
        <f>LVX0000UXVI7!B11</f>
        <v>46446</v>
      </c>
      <c r="J44" s="5" t="str">
        <f>LVX0000UXVI7!O3</f>
        <v/>
      </c>
      <c r="K44" s="19">
        <f ca="1">LVX0000UXVI7!B12</f>
        <v>151</v>
      </c>
      <c r="L44" s="1" t="str">
        <f ca="1">LVX0000UXVI7!P3</f>
        <v/>
      </c>
      <c r="M44" s="2">
        <f>LVX0000UXVI7!K3</f>
        <v>0</v>
      </c>
      <c r="N44" s="2">
        <f>LVX0000UXVI7!L3</f>
        <v>0.26</v>
      </c>
      <c r="O44" s="2">
        <f>LVX0000UXVI7!M3</f>
        <v>0</v>
      </c>
      <c r="AC44" s="2" t="str">
        <f ca="1">LVX0000UXVI7!Z3</f>
        <v/>
      </c>
    </row>
    <row r="45" spans="1:29" x14ac:dyDescent="0.25">
      <c r="A45" s="1">
        <v>43</v>
      </c>
      <c r="B45" s="5">
        <f>LVX0000V3XU4!B9</f>
        <v>46226</v>
      </c>
      <c r="C45" s="16" t="str">
        <f>LVX0000V3XU4!B1</f>
        <v>LVX0000V3XU4</v>
      </c>
      <c r="D45" s="1" t="str">
        <f>LVX0000V3XU4!B2</f>
        <v>Romania</v>
      </c>
      <c r="E45" s="1" t="str">
        <f>LVX0000V3XU4!B4</f>
        <v>Personal</v>
      </c>
      <c r="F45" s="1" t="str">
        <f>LVX0000V3XU4!B8</f>
        <v>1 m. 9 mėn. 1 d.</v>
      </c>
      <c r="G45" s="6">
        <f>LVX0000V3XU4!B15</f>
        <v>0.125</v>
      </c>
      <c r="H45" s="2">
        <f>LVX0000V3XU4!B16</f>
        <v>19.43</v>
      </c>
      <c r="I45" s="5">
        <f>LVX0000V3XU4!B11</f>
        <v>46867</v>
      </c>
      <c r="J45" s="5">
        <f>LVX0000V3XU4!O3</f>
        <v>46290</v>
      </c>
      <c r="K45" s="19" t="str">
        <f ca="1">LVX0000V3XU4!B12</f>
        <v/>
      </c>
      <c r="L45" s="1" t="str">
        <f ca="1">LVX0000V3XU4!P3</f>
        <v/>
      </c>
      <c r="M45" s="2">
        <f>LVX0000V3XU4!K3</f>
        <v>19.43</v>
      </c>
      <c r="N45" s="2">
        <f>LVX0000V3XU4!L3</f>
        <v>0.18</v>
      </c>
      <c r="O45" s="2">
        <f>LVX0000V3XU4!M3</f>
        <v>0.01</v>
      </c>
      <c r="AC45" s="2" t="str">
        <f ca="1">LVX0000V3XU4!Z3</f>
        <v/>
      </c>
    </row>
    <row r="46" spans="1:29" x14ac:dyDescent="0.25">
      <c r="A46" s="1">
        <v>44</v>
      </c>
      <c r="B46" s="5">
        <f>LVX0000V0S54!B9</f>
        <v>46244</v>
      </c>
      <c r="C46" s="16" t="str">
        <f>LVX0000V0S54!B1</f>
        <v>LVX0000V0S54</v>
      </c>
      <c r="D46" s="1" t="str">
        <f>LVX0000V0S54!B2</f>
        <v>Cyprus</v>
      </c>
      <c r="E46" s="1" t="str">
        <f>LVX0000V0S54!B4</f>
        <v>Business</v>
      </c>
      <c r="F46" s="1" t="str">
        <f>LVX0000V0S54!B8</f>
        <v>0 m. 7 mėn. 25 d.</v>
      </c>
      <c r="G46" s="6">
        <f>LVX0000V0S54!B15</f>
        <v>0.125</v>
      </c>
      <c r="H46" s="2">
        <f>LVX0000V0S54!B16</f>
        <v>10.84</v>
      </c>
      <c r="I46" s="5">
        <f>LVX0000V0S54!B11</f>
        <v>46481</v>
      </c>
      <c r="J46" s="5" t="str">
        <f>LVX0000V0S54!O3</f>
        <v/>
      </c>
      <c r="K46" s="19">
        <f ca="1">LVX0000V0S54!B12</f>
        <v>186</v>
      </c>
      <c r="L46" s="1" t="str">
        <f ca="1">LVX0000V0S54!P3</f>
        <v/>
      </c>
      <c r="M46" s="2">
        <f>LVX0000V0S54!K3</f>
        <v>0</v>
      </c>
      <c r="N46" s="2">
        <f>LVX0000V0S54!L3</f>
        <v>0.11</v>
      </c>
      <c r="O46" s="2">
        <f>LVX0000V0S54!M3</f>
        <v>0</v>
      </c>
      <c r="AC46" s="2" t="str">
        <f ca="1">LVX0000V0S54!Z3</f>
        <v/>
      </c>
    </row>
    <row r="47" spans="1:29" x14ac:dyDescent="0.25">
      <c r="A47" s="1">
        <v>45</v>
      </c>
      <c r="B47" s="5">
        <f>LVX0000VDGZ2!B9</f>
        <v>46253</v>
      </c>
      <c r="C47" s="16" t="str">
        <f>LVX0000VDGZ2!B1</f>
        <v>LVX0000VDGZ2</v>
      </c>
      <c r="D47" s="1" t="str">
        <f>LVX0000VDGZ2!B2</f>
        <v>Philippines</v>
      </c>
      <c r="E47" s="1" t="str">
        <f>LVX0000VDGZ2!B4</f>
        <v>Business</v>
      </c>
      <c r="F47" s="1" t="str">
        <f>LVX0000VDGZ2!B8</f>
        <v>0 m. 8 mėn. 25 d.</v>
      </c>
      <c r="G47" s="6">
        <f>LVX0000VDGZ2!B15</f>
        <v>0.12</v>
      </c>
      <c r="H47" s="2">
        <f>LVX0000VDGZ2!B16</f>
        <v>11.01</v>
      </c>
      <c r="I47" s="5">
        <f>LVX0000VDGZ2!B11</f>
        <v>46521</v>
      </c>
      <c r="J47" s="5" t="str">
        <f>LVX0000VDGZ2!O3</f>
        <v/>
      </c>
      <c r="K47" s="19">
        <f ca="1">LVX0000VDGZ2!B12</f>
        <v>226</v>
      </c>
      <c r="L47" s="1" t="str">
        <f ca="1">LVX0000VDGZ2!P3</f>
        <v/>
      </c>
      <c r="M47" s="2">
        <f>LVX0000VDGZ2!K3</f>
        <v>0</v>
      </c>
      <c r="N47" s="2">
        <f>LVX0000VDGZ2!L3</f>
        <v>0.08</v>
      </c>
      <c r="O47" s="2">
        <f>LVX0000VDGZ2!M3</f>
        <v>0</v>
      </c>
      <c r="AC47" s="2" t="str">
        <f ca="1">LVX0000VDGZ2!Z3</f>
        <v/>
      </c>
    </row>
    <row r="48" spans="1:29" x14ac:dyDescent="0.25">
      <c r="A48" s="1">
        <v>46</v>
      </c>
      <c r="B48" s="5">
        <f>LVX0000VG7G5!B9</f>
        <v>46260</v>
      </c>
      <c r="C48" s="16" t="str">
        <f>LVX0000VG7G5!B1</f>
        <v>LVX0000VG7G5</v>
      </c>
      <c r="D48" s="1" t="str">
        <f>LVX0000VG7G5!B2</f>
        <v>Cyprus</v>
      </c>
      <c r="E48" s="1" t="str">
        <f>LVX0000VG7G5!B4</f>
        <v>Business</v>
      </c>
      <c r="F48" s="1" t="str">
        <f>LVX0000VG7G5!B8</f>
        <v>0 m. 11 mėn. 23 d.</v>
      </c>
      <c r="G48" s="6">
        <f>LVX0000VG7G5!B15</f>
        <v>0.13</v>
      </c>
      <c r="H48" s="2">
        <f>LVX0000VG7G5!B16</f>
        <v>20</v>
      </c>
      <c r="I48" s="5">
        <f>LVX0000VG7G5!B11</f>
        <v>46617</v>
      </c>
      <c r="J48" s="5" t="str">
        <f>LVX0000VG7G5!O3</f>
        <v/>
      </c>
      <c r="K48" s="19">
        <f ca="1">LVX0000VG7G5!B12</f>
        <v>322</v>
      </c>
      <c r="L48" s="1" t="str">
        <f ca="1">LVX0000VG7G5!P3</f>
        <v/>
      </c>
      <c r="M48" s="2">
        <f>LVX0000VG7G5!K3</f>
        <v>0</v>
      </c>
      <c r="N48" s="2">
        <f>LVX0000VG7G5!L3</f>
        <v>0.1</v>
      </c>
      <c r="O48" s="2">
        <f>LVX0000VG7G5!M3</f>
        <v>0</v>
      </c>
      <c r="AC48" s="2" t="str">
        <f ca="1">LVX0000VG7G5!Z3</f>
        <v/>
      </c>
    </row>
    <row r="49" spans="1:29" x14ac:dyDescent="0.25">
      <c r="A49" s="1">
        <v>47</v>
      </c>
      <c r="B49" s="5">
        <f>LVX0000VG7N1!B9</f>
        <v>46260</v>
      </c>
      <c r="C49" s="16" t="str">
        <f>LVX0000VG7N1!B1</f>
        <v>LVX0000VG7N1</v>
      </c>
      <c r="D49" s="1" t="str">
        <f>LVX0000VG7N1!B2</f>
        <v>Philippines</v>
      </c>
      <c r="E49" s="1" t="str">
        <f>LVX0000VG7N1!B4</f>
        <v>Business</v>
      </c>
      <c r="F49" s="1" t="str">
        <f>LVX0000VG7N1!B8</f>
        <v>0 m. 8 mėn. 22 d.</v>
      </c>
      <c r="G49" s="6">
        <f>LVX0000VG7N1!B15</f>
        <v>0.12</v>
      </c>
      <c r="H49" s="2">
        <f>LVX0000VG7N1!B16</f>
        <v>20</v>
      </c>
      <c r="I49" s="5">
        <f>LVX0000VG7N1!B11</f>
        <v>46525</v>
      </c>
      <c r="J49" s="5" t="str">
        <f>LVX0000VG7N1!O3</f>
        <v/>
      </c>
      <c r="K49" s="19">
        <f ca="1">LVX0000VG7N1!B12</f>
        <v>230</v>
      </c>
      <c r="L49" s="1" t="str">
        <f ca="1">LVX0000VG7N1!P3</f>
        <v/>
      </c>
      <c r="M49" s="2">
        <f>LVX0000VG7N1!K3</f>
        <v>0</v>
      </c>
      <c r="N49" s="2">
        <f>LVX0000VG7N1!L3</f>
        <v>0.09</v>
      </c>
      <c r="O49" s="2">
        <f>LVX0000VG7N1!M3</f>
        <v>0</v>
      </c>
      <c r="AC49" s="2" t="str">
        <f ca="1">LVX0000VG7N1!Z3</f>
        <v/>
      </c>
    </row>
    <row r="50" spans="1:29" x14ac:dyDescent="0.25">
      <c r="A50" s="1">
        <v>48</v>
      </c>
      <c r="B50" s="5">
        <f>LVX0000VHJ69!B9</f>
        <v>46260</v>
      </c>
      <c r="C50" s="16" t="str">
        <f>LVX0000VHJ69!B1</f>
        <v>LVX0000VHJ69</v>
      </c>
      <c r="D50" s="1" t="str">
        <f>LVX0000VHJ69!B2</f>
        <v>Moldova</v>
      </c>
      <c r="E50" s="1" t="str">
        <f>LVX0000VHJ69!B4</f>
        <v>Business</v>
      </c>
      <c r="F50" s="1" t="str">
        <f>LVX0000VHJ69!B8</f>
        <v>0 m. 11 mėn. 26 d.</v>
      </c>
      <c r="G50" s="6">
        <f>LVX0000VHJ69!B15</f>
        <v>0.1225</v>
      </c>
      <c r="H50" s="2">
        <f>LVX0000VHJ69!B16</f>
        <v>26.67</v>
      </c>
      <c r="I50" s="5">
        <f>LVX0000VHJ69!B11</f>
        <v>46620</v>
      </c>
      <c r="J50" s="5" t="str">
        <f>LVX0000VHJ69!O3</f>
        <v/>
      </c>
      <c r="K50" s="19">
        <f ca="1">LVX0000VHJ69!B12</f>
        <v>325</v>
      </c>
      <c r="L50" s="1" t="str">
        <f ca="1">LVX0000VHJ69!P3</f>
        <v/>
      </c>
      <c r="M50" s="2">
        <f>LVX0000VHJ69!K3</f>
        <v>0</v>
      </c>
      <c r="N50" s="2">
        <f>LVX0000VHJ69!L3</f>
        <v>0.13</v>
      </c>
      <c r="O50" s="2">
        <f>LVX0000VHJ69!M3</f>
        <v>0</v>
      </c>
      <c r="AC50" s="2" t="str">
        <f ca="1">LVX0000VHJ69!Z3</f>
        <v/>
      </c>
    </row>
    <row r="51" spans="1:29" x14ac:dyDescent="0.25">
      <c r="A51" s="1">
        <v>49</v>
      </c>
      <c r="B51" s="5">
        <f>LVX0000VIR76!B9</f>
        <v>46261</v>
      </c>
      <c r="C51" s="16" t="str">
        <f>LVX0000VIR76!B1</f>
        <v>LVX0000VIR76</v>
      </c>
      <c r="D51" s="1" t="str">
        <f>LVX0000VIR76!B2</f>
        <v>Romania</v>
      </c>
      <c r="E51" s="1" t="str">
        <f>LVX0000VIR76!B4</f>
        <v>Personal</v>
      </c>
      <c r="F51" s="1" t="str">
        <f>LVX0000VIR76!B8</f>
        <v>1 m. 10 mėn. 7 d.</v>
      </c>
      <c r="G51" s="6">
        <f>LVX0000VIR76!B15</f>
        <v>0.12</v>
      </c>
      <c r="H51" s="2">
        <f>LVX0000VIR76!B16</f>
        <v>23.81</v>
      </c>
      <c r="I51" s="5">
        <f>LVX0000VIR76!B11</f>
        <v>46938</v>
      </c>
      <c r="J51" s="5" t="str">
        <f>LVX0000VIR76!O3</f>
        <v/>
      </c>
      <c r="K51" s="19">
        <f ca="1">LVX0000VIR76!B12</f>
        <v>643</v>
      </c>
      <c r="L51" s="1" t="str">
        <f ca="1">LVX0000VIR76!P3</f>
        <v/>
      </c>
      <c r="M51" s="2">
        <f>LVX0000VIR76!K3</f>
        <v>6.64</v>
      </c>
      <c r="N51" s="2">
        <f>LVX0000VIR76!L3</f>
        <v>0.21</v>
      </c>
      <c r="O51" s="2">
        <f>LVX0000VIR76!M3</f>
        <v>0</v>
      </c>
      <c r="AC51" s="2" t="str">
        <f ca="1">LVX0000VIR76!Z3</f>
        <v/>
      </c>
    </row>
    <row r="52" spans="1:29" x14ac:dyDescent="0.25">
      <c r="A52" s="1">
        <v>50</v>
      </c>
      <c r="B52" s="5">
        <f>LVX0000VG2M4!B9</f>
        <v>46272</v>
      </c>
      <c r="C52" s="16" t="str">
        <f>LVX0000VG2M4!B1</f>
        <v>LVX0000VG2M4</v>
      </c>
      <c r="D52" s="1" t="str">
        <f>LVX0000VG2M4!B2</f>
        <v>Romania</v>
      </c>
      <c r="E52" s="1" t="str">
        <f>LVX0000VG2M4!B4</f>
        <v>Personal</v>
      </c>
      <c r="F52" s="1" t="str">
        <f>LVX0000VG2M4!B8</f>
        <v>1 m. 5 mėn. 8 d.</v>
      </c>
      <c r="G52" s="6">
        <f>LVX0000VG2M4!B15</f>
        <v>0.12</v>
      </c>
      <c r="H52" s="2">
        <f>LVX0000VG2M4!B16</f>
        <v>25.95</v>
      </c>
      <c r="I52" s="5">
        <f>LVX0000VG2M4!B11</f>
        <v>46798</v>
      </c>
      <c r="J52" s="5" t="str">
        <f>LVX0000VG2M4!O3</f>
        <v/>
      </c>
      <c r="K52" s="19">
        <f ca="1">LVX0000VG2M4!B12</f>
        <v>503</v>
      </c>
      <c r="L52" s="1" t="str">
        <f ca="1">LVX0000VG2M4!P3</f>
        <v/>
      </c>
      <c r="M52" s="2">
        <f>LVX0000VG2M4!K3</f>
        <v>6.73</v>
      </c>
      <c r="N52" s="2">
        <f>LVX0000VG2M4!L3</f>
        <v>0.15</v>
      </c>
      <c r="O52" s="2">
        <f>LVX0000VG2M4!M3</f>
        <v>0</v>
      </c>
      <c r="AC52" s="2" t="str">
        <f ca="1">LVX0000VG2M4!Z3</f>
        <v/>
      </c>
    </row>
    <row r="53" spans="1:29" x14ac:dyDescent="0.25">
      <c r="A53" s="1">
        <v>51</v>
      </c>
      <c r="B53" s="5">
        <f>LVX0000VQWF3!B9</f>
        <v>46281</v>
      </c>
      <c r="C53" s="16" t="str">
        <f>LVX0000VQWF3!B1</f>
        <v>LVX0000VQWF3</v>
      </c>
      <c r="D53" s="1" t="str">
        <f>LVX0000VQWF3!B2</f>
        <v>Romania</v>
      </c>
      <c r="E53" s="1" t="str">
        <f>LVX0000VQWF3!B4</f>
        <v>Personal</v>
      </c>
      <c r="F53" s="1" t="str">
        <f>LVX0000VQWF3!B8</f>
        <v>1 m. 1 mėn. 27 d.</v>
      </c>
      <c r="G53" s="6">
        <f>LVX0000VQWF3!B15</f>
        <v>0.12</v>
      </c>
      <c r="H53" s="2">
        <f>LVX0000VQWF3!B16</f>
        <v>15.63</v>
      </c>
      <c r="I53" s="5">
        <f>LVX0000VQWF3!B11</f>
        <v>46703</v>
      </c>
      <c r="J53" s="5" t="str">
        <f>LVX0000VQWF3!O3</f>
        <v/>
      </c>
      <c r="K53" s="19">
        <f ca="1">LVX0000VQWF3!B12</f>
        <v>408</v>
      </c>
      <c r="L53" s="1" t="str">
        <f ca="1">LVX0000VQWF3!P3</f>
        <v/>
      </c>
      <c r="M53" s="2">
        <f>LVX0000VQWF3!K3</f>
        <v>0.47</v>
      </c>
      <c r="N53" s="2">
        <f>LVX0000VQWF3!L3</f>
        <v>7.0000000000000007E-2</v>
      </c>
      <c r="O53" s="2">
        <f>LVX0000VQWF3!M3</f>
        <v>0</v>
      </c>
      <c r="AC53" s="2" t="str">
        <f ca="1">LVX0000VQWF3!Z3</f>
        <v/>
      </c>
    </row>
    <row r="54" spans="1:29" x14ac:dyDescent="0.25">
      <c r="A54" s="1">
        <v>52</v>
      </c>
      <c r="B54" s="5">
        <f>LVX0000VISL6!B9</f>
        <v>46282</v>
      </c>
      <c r="C54" s="16" t="str">
        <f>LVX0000VISL6!B1</f>
        <v>LVX0000VISL6</v>
      </c>
      <c r="D54" s="1" t="str">
        <f>LVX0000VISL6!B2</f>
        <v>Philippines</v>
      </c>
      <c r="E54" s="1" t="str">
        <f>LVX0000VISL6!B4</f>
        <v>Business</v>
      </c>
      <c r="F54" s="1" t="str">
        <f>LVX0000VISL6!B8</f>
        <v>0 m. 8 mėn. 5 d.</v>
      </c>
      <c r="G54" s="6">
        <f>LVX0000VISL6!B15</f>
        <v>0.12</v>
      </c>
      <c r="H54" s="2">
        <f>LVX0000VISL6!B16</f>
        <v>20</v>
      </c>
      <c r="I54" s="5">
        <f>LVX0000VISL6!B11</f>
        <v>46529</v>
      </c>
      <c r="J54" s="5" t="str">
        <f>LVX0000VISL6!O3</f>
        <v/>
      </c>
      <c r="K54" s="19">
        <f ca="1">LVX0000VISL6!B12</f>
        <v>234</v>
      </c>
      <c r="L54" s="1" t="str">
        <f ca="1">LVX0000VISL6!P3</f>
        <v/>
      </c>
      <c r="M54" s="2">
        <f>LVX0000VISL6!K3</f>
        <v>0</v>
      </c>
      <c r="N54" s="2">
        <f>LVX0000VISL6!L3</f>
        <v>0</v>
      </c>
      <c r="O54" s="2">
        <f>LVX0000VISL6!M3</f>
        <v>0</v>
      </c>
      <c r="AC54" s="2" t="str">
        <f ca="1">LVX0000VISL6!Z3</f>
        <v/>
      </c>
    </row>
    <row r="55" spans="1:29" x14ac:dyDescent="0.25">
      <c r="A55" s="1">
        <v>53</v>
      </c>
      <c r="B55" s="5">
        <f>LVX0000VQWW8!B9</f>
        <v>46282</v>
      </c>
      <c r="C55" s="16" t="str">
        <f>LVX0000VQWW8!B1</f>
        <v>LVX0000VQWW8</v>
      </c>
      <c r="D55" s="1" t="str">
        <f>LVX0000VQWW8!B2</f>
        <v>Romania</v>
      </c>
      <c r="E55" s="1" t="str">
        <f>LVX0000VQWW8!B4</f>
        <v>Personal</v>
      </c>
      <c r="F55" s="1" t="str">
        <f>LVX0000VQWW8!B8</f>
        <v>1 m. 9 mėn. 14 d.</v>
      </c>
      <c r="G55" s="6">
        <f>LVX0000VQWW8!B15</f>
        <v>0.12</v>
      </c>
      <c r="H55" s="2">
        <f>LVX0000VQWW8!B16</f>
        <v>25.39</v>
      </c>
      <c r="I55" s="5">
        <f>LVX0000VQWW8!B11</f>
        <v>46935</v>
      </c>
      <c r="J55" s="5" t="str">
        <f>LVX0000VQWW8!O3</f>
        <v/>
      </c>
      <c r="K55" s="19">
        <f ca="1">LVX0000VQWW8!B12</f>
        <v>640</v>
      </c>
      <c r="L55" s="1" t="str">
        <f ca="1">LVX0000VQWW8!P3</f>
        <v/>
      </c>
      <c r="M55" s="2">
        <f>LVX0000VQWW8!K3</f>
        <v>4.16</v>
      </c>
      <c r="N55" s="2">
        <f>LVX0000VQWW8!L3</f>
        <v>0.1</v>
      </c>
      <c r="O55" s="2">
        <f>LVX0000VQWW8!M3</f>
        <v>0</v>
      </c>
      <c r="AC55" s="2" t="str">
        <f ca="1">LVX0000VQWW8!Z3</f>
        <v/>
      </c>
    </row>
    <row r="56" spans="1:29" x14ac:dyDescent="0.25">
      <c r="A56" s="1">
        <v>54</v>
      </c>
      <c r="B56" s="5">
        <f>LVX0000VRTQ4!B9</f>
        <v>46293</v>
      </c>
      <c r="C56" s="16" t="str">
        <f>LVX0000VRTQ4!B1</f>
        <v>LVX0000VRTQ4</v>
      </c>
      <c r="D56" s="1" t="str">
        <f>LVX0000VRTQ4!B2</f>
        <v>Cyprus</v>
      </c>
      <c r="E56" s="1" t="str">
        <f>LVX0000VRTQ4!B4</f>
        <v>Business</v>
      </c>
      <c r="F56" s="1" t="str">
        <f>LVX0000VRTQ4!B8</f>
        <v>1 m. 2 mėn. 18 d.</v>
      </c>
      <c r="G56" s="6">
        <f>LVX0000VRTQ4!B15</f>
        <v>0.13500000000000001</v>
      </c>
      <c r="H56" s="2">
        <f>LVX0000VRTQ4!B16</f>
        <v>10.050000000000001</v>
      </c>
      <c r="I56" s="5">
        <f>LVX0000VRTQ4!B11</f>
        <v>46737</v>
      </c>
      <c r="J56" s="5" t="str">
        <f>LVX0000VRTQ4!O3</f>
        <v/>
      </c>
      <c r="K56" s="19">
        <f ca="1">LVX0000VRTQ4!B12</f>
        <v>442</v>
      </c>
      <c r="L56" s="1" t="str">
        <f ca="1">LVX0000VRTQ4!P3</f>
        <v/>
      </c>
      <c r="M56" s="2">
        <f>LVX0000VRTQ4!K3</f>
        <v>0</v>
      </c>
      <c r="N56" s="2">
        <f>LVX0000VRTQ4!L3</f>
        <v>0</v>
      </c>
      <c r="O56" s="2">
        <f>LVX0000VRTQ4!M3</f>
        <v>0</v>
      </c>
      <c r="AC56" s="2">
        <f>LVX0000VQWW8!Z4</f>
        <v>0</v>
      </c>
    </row>
  </sheetData>
  <mergeCells count="6">
    <mergeCell ref="W1:Z1"/>
    <mergeCell ref="A1:H1"/>
    <mergeCell ref="I1:L1"/>
    <mergeCell ref="U1:V1"/>
    <mergeCell ref="M1:O1"/>
    <mergeCell ref="Q1:T1"/>
  </mergeCells>
  <conditionalFormatting sqref="A3:O56">
    <cfRule type="expression" dxfId="219" priority="26">
      <formula>$AC3="+"</formula>
    </cfRule>
    <cfRule type="expression" dxfId="218" priority="27">
      <formula>AND($M3&gt;0,$H3=$M3)</formula>
    </cfRule>
  </conditionalFormatting>
  <conditionalFormatting sqref="AC3:AC56">
    <cfRule type="expression" dxfId="217" priority="2">
      <formula>AND($M3&gt;0,$H3=$M3)</formula>
    </cfRule>
  </conditionalFormatting>
  <conditionalFormatting sqref="AC6:AC56">
    <cfRule type="expression" dxfId="216" priority="1">
      <formula>$AC6="+"</formula>
    </cfRule>
  </conditionalFormatting>
  <hyperlinks>
    <hyperlink ref="C3" location="LVX0000P9SY1!A1" display="LVX0000P9SY1!A1" xr:uid="{3D3C87CA-279E-4B78-AD9B-521B24F0EC0B}"/>
    <hyperlink ref="C4" location="LVX0000PFLZ9!A1" display="LVX0000PFLZ9!A1" xr:uid="{F44A5D35-A9EE-4275-B1DC-A90A7213655A}"/>
    <hyperlink ref="C5" location="LVX0000PLPE3!A1" display="LVX0000PLPE3!A1" xr:uid="{ED213878-A563-4CA3-B4D1-91D3A8813983}"/>
    <hyperlink ref="C29" location="LVX0000ST8W0!A1" display="LVX0000ST8W0!A1" xr:uid="{B4F8C85F-E85E-4F08-8D89-45385BB4FDDA}"/>
    <hyperlink ref="C28" location="LVX0000T2IT3!A1" display="LVX0000T2IT3!A1" xr:uid="{1CE3B566-D18F-415E-81A8-5C977790E207}"/>
    <hyperlink ref="C27" location="LVX0000T2IU1!A1" display="LVX0000T2IU1!A1" xr:uid="{16E4A606-D499-49C3-9270-292E8F0DC108}"/>
    <hyperlink ref="C26" location="LVX0000SIO33!A1" display="LVX0000SIO33!A1" xr:uid="{2AAD6A17-8C50-4550-9AFB-91C61C2CD797}"/>
    <hyperlink ref="C25" location="LVX0000RXUV8!A1" display="LVX0000RXUV8!A1" xr:uid="{57A47D1D-05C0-4DDB-8A60-C19B84931109}"/>
    <hyperlink ref="C24" location="LVX0000RLA27!A1" display="LVX0000RLA27!A1" xr:uid="{656ED318-82D4-4E0C-A71D-FA73C1417E2A}"/>
    <hyperlink ref="C23" location="LVX0000RLA68!A1" display="LVX0000RLA68!A1" xr:uid="{3BE08324-EC45-4637-871A-49FBEF6A20C7}"/>
    <hyperlink ref="C22" location="LVX0000RL9Z0!A1" display="LVX0000RL9Z0!A1" xr:uid="{6163D782-20DC-4320-A9F8-10BC9A600506}"/>
    <hyperlink ref="C21" location="LVX0000RL9Y3!A1" display="LVX0000RL9Y3!A1" xr:uid="{E2E5C7E2-3679-4620-AFFC-654B3157372D}"/>
    <hyperlink ref="C20" location="LVX0000R7P58!A1" display="LVX0000R7P58!A1" xr:uid="{7EAB7A07-28AC-449E-AE8C-4B8C54A8F4A2}"/>
    <hyperlink ref="C19" location="LVX0000RAM67!A1" display="LVX0000RAM67!A1" xr:uid="{3554C2D5-BF8D-4002-B31E-753F9EC484A8}"/>
    <hyperlink ref="C18" location="LVX0000RAL27!A1" display="LVX0000RAL27!A1" xr:uid="{D3A2CDE0-7042-4889-99FD-6D36B92639A0}"/>
    <hyperlink ref="C17" location="LVX0000R32A7!A1" display="LVX0000R32A7!A1" xr:uid="{19CA4440-7667-4AEC-8646-DC1D200F501F}"/>
    <hyperlink ref="C16" location="LVX0000R31L6!A1" display="LVX0000R31L6!A1" xr:uid="{5268052E-9CB2-431F-8EFC-05DA05A88020}"/>
    <hyperlink ref="C15" location="LVX0000QSAL3!A1" display="LVX0000QSAL3!A1" xr:uid="{C2589175-0D56-46BE-A197-311783C7585A}"/>
    <hyperlink ref="C14" location="LVX0000QBKH6!A1" display="LVX0000QBKH6!A1" xr:uid="{2EC699ED-6007-49A2-9434-671E9E5E452E}"/>
    <hyperlink ref="C6" location="LVX0000PQRD0!A1" display="LVX0000PQRD0!A1" xr:uid="{EFC9F86D-F675-41F7-954B-2B8C75959A88}"/>
    <hyperlink ref="C7" location="LVX0000PLQM4!A1" display="LVX0000PLQM4!A1" xr:uid="{3A51CB0C-34A8-40D4-B7D6-E87DD04600D9}"/>
    <hyperlink ref="C8" location="LVX0000PQUM5!A1" display="LVX0000PQUM5!A1" xr:uid="{3E32F18D-4A3A-4DAC-88AE-E08CDA45E424}"/>
    <hyperlink ref="C9" location="LVX0000Q7QJ9!A1" display="LVX0000Q7QJ9!A1" xr:uid="{3CB22A0D-C3AB-44B9-B354-81DAE0C2C511}"/>
    <hyperlink ref="C10" location="LVX0000PQUR4!A1" display="LVX0000PQUR4!A1" xr:uid="{1560ECEF-5465-4AB4-A484-B5E9EDC7CAA8}"/>
    <hyperlink ref="C11" location="LVX0000Q0ED3!A1" display="LVX0000Q0ED3!A1" xr:uid="{D05BAED0-45B2-41E9-85DC-15DD532935A4}"/>
    <hyperlink ref="C12" location="LVX0000PQUG7!A1" display="LVX0000PQUG7!A1" xr:uid="{36AE0804-685A-4E7C-8063-A5B678490F96}"/>
    <hyperlink ref="C13" location="LVX0000Q0E27!A1" display="LVX0000Q0E27!A1" xr:uid="{785EA9A7-5975-4CE6-AAC3-D7B46826656E}"/>
    <hyperlink ref="C33" location="LVX0000TJQV1!A1" display="LVX0000TJQV1!A1" xr:uid="{9D26E66A-9F43-495F-9857-007C3DAFA97C}"/>
    <hyperlink ref="C32" location="LVX0000TJR12!A1" display="LVX0000TJR12!A1" xr:uid="{82B55792-0265-4196-8C77-427B84EF3190}"/>
    <hyperlink ref="C31" location="LVX0000TL6K6!A1" display="LVX0000TL6K6!A1" xr:uid="{F97B262E-70C4-42C8-82EB-F77DEBC8ECB3}"/>
    <hyperlink ref="C30" location="LVX0000TJMX6!A1" display="LVX0000TJMX6!A1" xr:uid="{E52E2F7C-C700-4D26-8E9E-D07B40438300}"/>
    <hyperlink ref="C34" location="LVX0000TPE43!A1" display="LVX0000TPE43!A1" xr:uid="{81AD259E-95C7-40B2-BCC6-A0C72749A984}"/>
    <hyperlink ref="C35" location="LVX0000TRIW9!A1" display="LVX0000TRIW9!A1" xr:uid="{C836925A-8177-487A-8EB5-5D1A748C6CC8}"/>
    <hyperlink ref="C36" location="LVX0000TRJ61!A1" display="LVX0000TRJ61!A1" xr:uid="{7D6EAFE1-E9EE-46B0-ABA0-0662F5BEA6A6}"/>
    <hyperlink ref="C37" location="LVX0000U4UG8!A1" display="LVX0000U4UG8!A1" xr:uid="{8E4ECBEE-D437-4522-B0CC-268A39A0EFAB}"/>
    <hyperlink ref="C38" location="LVX0000ULW59!A1" display="LVX0000ULW59!A1" xr:uid="{6D407AB4-B48F-411C-A59F-0AA0E191075D}"/>
    <hyperlink ref="C39" location="LVX0000UP6R4!A1" display="LVX0000UP6R4!A1" xr:uid="{3E74B5DA-3B62-471C-8E09-D374C7289C7C}"/>
    <hyperlink ref="C40" location="LVX0000URIF2!A1" display="LVX0000URIF2!A1" xr:uid="{F7A10291-40E5-455B-95C4-FD66E54BE3BE}"/>
    <hyperlink ref="C41" location="'LVX0000URIF2 (2)'!A1" display="'LVX0000URIF2 (2)'!A1" xr:uid="{8167646C-AA01-4991-A1E7-3E8B3DB8E228}"/>
    <hyperlink ref="C42" location="LVX0000UUJT5!A1" display="LVX0000UUJT5!A1" xr:uid="{52077019-9934-4CAC-893C-C46BE00CF690}"/>
    <hyperlink ref="C43" location="LVX0000UXVE6!A1" display="LVX0000UXVE6!A1" xr:uid="{F3822D4A-B33C-4106-BE2F-E6C5A2509077}"/>
    <hyperlink ref="C44" location="LVX0000UXVI7!A1" display="LVX0000UXVI7!A1" xr:uid="{7C305431-F52C-41E2-8995-DDC79214CC48}"/>
    <hyperlink ref="C45" location="LVX0000V3XU4!A1" display="LVX0000V3XU4!A1" xr:uid="{8C12D496-C511-4102-8852-B2A0DD7B1DF8}"/>
    <hyperlink ref="C46" location="LVX0000V0S54!A1" display="LVX0000V0S54!A1" xr:uid="{3E1B433A-E134-4A82-AAFD-FF24D2EEA45F}"/>
    <hyperlink ref="C47" location="LVX0000VDGZ2!A1" display="LVX0000VDGZ2!A1" xr:uid="{46F24570-CC64-4F31-84C1-996CCACB2F73}"/>
    <hyperlink ref="C48" location="LVX0000VG7G5!A1" display="LVX0000VG7G5!A1" xr:uid="{06B53265-F851-4638-9060-3B386280AEBC}"/>
    <hyperlink ref="C49" location="LVX0000VG7N1!A1" display="LVX0000VG7N1!A1" xr:uid="{15972EBC-9BA3-4CE3-A366-592F6295EFB9}"/>
    <hyperlink ref="C50" location="LVX0000VHJ69!A1" display="LVX0000VHJ69!A1" xr:uid="{21BD9AB5-BFFD-4D27-8C58-6FA68B17D9A5}"/>
    <hyperlink ref="C51" location="LVX0000VIR76!A1" display="LVX0000VIR76!A1" xr:uid="{4B920C94-0506-414E-8F3A-3196A10C69CC}"/>
    <hyperlink ref="C52" location="LVX0000VG2M4!A1" display="LVX0000VG2M4!A1" xr:uid="{F60DC435-161D-41F7-8DC5-99907C213829}"/>
    <hyperlink ref="C53" location="LVX0000VQWF3!A1" display="LVX0000VQWF3!A1" xr:uid="{675E3A9E-F9F8-4025-B7ED-9A3B67E08B93}"/>
    <hyperlink ref="C54" location="LVX0000VISL6!A1" display="LVX0000VISL6!A1" xr:uid="{811F033C-7A37-47F2-BB48-EAACFCCFC383}"/>
    <hyperlink ref="C55" location="LVX0000VQWW8!A1" display="LVX0000VQWW8!A1" xr:uid="{BD32121B-673D-4CF5-90CC-967EC372214E}"/>
    <hyperlink ref="C56" location="LVX0000VRTQ4!A1" display="LVX0000VRTQ4!A1" xr:uid="{65278BAA-C777-4EB1-84B8-46E9194204FE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00"/>
  <sheetViews>
    <sheetView workbookViewId="0">
      <selection activeCell="D21" sqref="D21"/>
    </sheetView>
  </sheetViews>
  <sheetFormatPr defaultRowHeight="15" x14ac:dyDescent="0.25"/>
  <cols>
    <col min="1" max="1" width="15.7109375" style="7" customWidth="1"/>
    <col min="2" max="9" width="10.7109375" customWidth="1"/>
  </cols>
  <sheetData>
    <row r="1" spans="1:15" x14ac:dyDescent="0.25">
      <c r="A1" s="28" t="s">
        <v>2</v>
      </c>
      <c r="B1" s="10" t="s">
        <v>12</v>
      </c>
      <c r="C1" s="10" t="s">
        <v>13</v>
      </c>
      <c r="D1" s="10" t="s">
        <v>4</v>
      </c>
      <c r="E1" s="18"/>
      <c r="F1" s="10" t="s">
        <v>12</v>
      </c>
      <c r="G1" s="10" t="s">
        <v>13</v>
      </c>
      <c r="H1" s="10" t="s">
        <v>4</v>
      </c>
      <c r="I1" s="10" t="s">
        <v>14</v>
      </c>
      <c r="K1" s="10" t="s">
        <v>12</v>
      </c>
    </row>
    <row r="2" spans="1:15" x14ac:dyDescent="0.25">
      <c r="A2" s="5">
        <v>45909</v>
      </c>
      <c r="B2" s="2">
        <v>50</v>
      </c>
      <c r="C2" s="2">
        <v>0</v>
      </c>
      <c r="D2" s="2">
        <v>0</v>
      </c>
      <c r="E2" s="9"/>
      <c r="F2" s="2">
        <f>SUM(B2:B37)</f>
        <v>320</v>
      </c>
      <c r="G2" s="2">
        <f>SUM(C2:C37)</f>
        <v>0</v>
      </c>
      <c r="H2" s="2">
        <f>SUM(D2:D37)</f>
        <v>2.71</v>
      </c>
      <c r="I2" s="2">
        <f>F2-G2</f>
        <v>320</v>
      </c>
      <c r="K2" s="2">
        <f>B2*-1</f>
        <v>-50</v>
      </c>
      <c r="O2" s="25"/>
    </row>
    <row r="3" spans="1:15" x14ac:dyDescent="0.25">
      <c r="A3" s="5">
        <v>45915</v>
      </c>
      <c r="B3" s="2">
        <v>50</v>
      </c>
      <c r="C3" s="2">
        <v>0</v>
      </c>
      <c r="D3" s="2">
        <v>0</v>
      </c>
      <c r="E3" s="9"/>
      <c r="K3" s="2">
        <f t="shared" ref="K3:K24" si="0">B3*-1</f>
        <v>-50</v>
      </c>
    </row>
    <row r="4" spans="1:15" x14ac:dyDescent="0.25">
      <c r="A4" s="5">
        <v>45944</v>
      </c>
      <c r="B4" s="2">
        <v>20</v>
      </c>
      <c r="C4" s="2">
        <v>0</v>
      </c>
      <c r="D4" s="2">
        <v>0</v>
      </c>
      <c r="E4" s="9"/>
      <c r="K4" s="2">
        <f t="shared" si="0"/>
        <v>-20</v>
      </c>
    </row>
    <row r="5" spans="1:15" x14ac:dyDescent="0.25">
      <c r="A5" s="5">
        <v>45947</v>
      </c>
      <c r="B5" s="2">
        <v>20</v>
      </c>
      <c r="C5" s="2">
        <v>0</v>
      </c>
      <c r="D5" s="2">
        <v>0</v>
      </c>
      <c r="E5" s="9"/>
      <c r="K5" s="2">
        <f t="shared" si="0"/>
        <v>-20</v>
      </c>
    </row>
    <row r="6" spans="1:15" x14ac:dyDescent="0.25">
      <c r="A6" s="5">
        <v>45958</v>
      </c>
      <c r="B6" s="2">
        <v>50</v>
      </c>
      <c r="C6" s="2">
        <v>0</v>
      </c>
      <c r="D6" s="2">
        <v>0</v>
      </c>
      <c r="E6" s="9"/>
      <c r="K6" s="2">
        <f t="shared" si="0"/>
        <v>-50</v>
      </c>
    </row>
    <row r="7" spans="1:15" x14ac:dyDescent="0.25">
      <c r="A7" s="5">
        <v>45970</v>
      </c>
      <c r="B7" s="2">
        <v>10</v>
      </c>
      <c r="C7" s="2">
        <v>0</v>
      </c>
      <c r="D7" s="2">
        <v>0</v>
      </c>
      <c r="E7" s="9"/>
      <c r="K7" s="2">
        <f t="shared" si="0"/>
        <v>-10</v>
      </c>
    </row>
    <row r="8" spans="1:15" x14ac:dyDescent="0.25">
      <c r="A8" s="5">
        <v>45975</v>
      </c>
      <c r="B8" s="2">
        <v>0</v>
      </c>
      <c r="C8" s="2">
        <v>0</v>
      </c>
      <c r="D8" s="2">
        <v>0.78</v>
      </c>
      <c r="E8" s="9"/>
      <c r="K8" s="2">
        <f t="shared" si="0"/>
        <v>0</v>
      </c>
    </row>
    <row r="9" spans="1:15" x14ac:dyDescent="0.25">
      <c r="A9" s="5">
        <v>45985</v>
      </c>
      <c r="B9" s="2">
        <v>10</v>
      </c>
      <c r="C9" s="2">
        <v>0</v>
      </c>
      <c r="D9" s="2">
        <v>0</v>
      </c>
      <c r="E9" s="9"/>
      <c r="K9" s="2">
        <f t="shared" si="0"/>
        <v>-10</v>
      </c>
    </row>
    <row r="10" spans="1:15" x14ac:dyDescent="0.25">
      <c r="A10" s="5">
        <v>45996</v>
      </c>
      <c r="B10" s="2">
        <v>10</v>
      </c>
      <c r="C10" s="2">
        <v>0</v>
      </c>
      <c r="D10" s="2">
        <v>0</v>
      </c>
      <c r="E10" s="9"/>
      <c r="K10" s="2">
        <f t="shared" si="0"/>
        <v>-10</v>
      </c>
    </row>
    <row r="11" spans="1:15" x14ac:dyDescent="0.25">
      <c r="A11" s="5">
        <v>46002</v>
      </c>
      <c r="B11" s="2">
        <v>10</v>
      </c>
      <c r="C11" s="2">
        <v>0</v>
      </c>
      <c r="D11" s="2">
        <v>0</v>
      </c>
      <c r="E11" s="9"/>
      <c r="K11" s="2">
        <f t="shared" si="0"/>
        <v>-10</v>
      </c>
    </row>
    <row r="12" spans="1:15" x14ac:dyDescent="0.25">
      <c r="A12" s="5">
        <v>46015</v>
      </c>
      <c r="B12" s="2">
        <v>10</v>
      </c>
      <c r="C12" s="2">
        <v>0</v>
      </c>
      <c r="D12" s="2">
        <v>0</v>
      </c>
      <c r="E12" s="9"/>
      <c r="K12" s="2">
        <f t="shared" si="0"/>
        <v>-10</v>
      </c>
    </row>
    <row r="13" spans="1:15" x14ac:dyDescent="0.25">
      <c r="A13" s="5">
        <v>46024</v>
      </c>
      <c r="B13" s="2">
        <v>20</v>
      </c>
      <c r="C13" s="2">
        <v>0</v>
      </c>
      <c r="D13" s="2">
        <v>0</v>
      </c>
      <c r="E13" s="9"/>
      <c r="K13" s="2">
        <f t="shared" si="0"/>
        <v>-20</v>
      </c>
    </row>
    <row r="14" spans="1:15" x14ac:dyDescent="0.25">
      <c r="A14" s="5">
        <v>46029</v>
      </c>
      <c r="B14" s="2">
        <v>10</v>
      </c>
      <c r="C14" s="2">
        <v>0</v>
      </c>
      <c r="D14" s="2">
        <v>0</v>
      </c>
      <c r="E14" s="9"/>
      <c r="K14" s="2">
        <f t="shared" si="0"/>
        <v>-10</v>
      </c>
    </row>
    <row r="15" spans="1:15" x14ac:dyDescent="0.25">
      <c r="A15" s="5">
        <v>46032</v>
      </c>
      <c r="B15" s="2">
        <v>10</v>
      </c>
      <c r="C15" s="2">
        <v>0</v>
      </c>
      <c r="D15" s="2">
        <v>0</v>
      </c>
      <c r="E15" s="9"/>
      <c r="K15" s="2">
        <f t="shared" si="0"/>
        <v>-10</v>
      </c>
    </row>
    <row r="16" spans="1:15" x14ac:dyDescent="0.25">
      <c r="A16" s="5">
        <v>46037</v>
      </c>
      <c r="B16" s="2">
        <v>10</v>
      </c>
      <c r="C16" s="2">
        <v>0</v>
      </c>
      <c r="D16" s="2">
        <v>0</v>
      </c>
      <c r="K16" s="2">
        <f t="shared" si="0"/>
        <v>-10</v>
      </c>
    </row>
    <row r="17" spans="1:11" x14ac:dyDescent="0.25">
      <c r="A17" s="5">
        <v>46071</v>
      </c>
      <c r="B17" s="2">
        <v>0</v>
      </c>
      <c r="C17" s="2">
        <v>0</v>
      </c>
      <c r="D17" s="2">
        <v>0.21</v>
      </c>
      <c r="K17" s="2">
        <f t="shared" si="0"/>
        <v>0</v>
      </c>
    </row>
    <row r="18" spans="1:11" x14ac:dyDescent="0.25">
      <c r="A18" s="5">
        <v>46125</v>
      </c>
      <c r="B18" s="2">
        <v>0</v>
      </c>
      <c r="C18" s="2">
        <v>0</v>
      </c>
      <c r="D18" s="2">
        <v>0.8</v>
      </c>
      <c r="K18" s="2">
        <f t="shared" si="0"/>
        <v>0</v>
      </c>
    </row>
    <row r="19" spans="1:11" x14ac:dyDescent="0.25">
      <c r="A19" s="5">
        <v>46155</v>
      </c>
      <c r="B19" s="2">
        <v>0</v>
      </c>
      <c r="C19" s="2">
        <v>0</v>
      </c>
      <c r="D19" s="2">
        <v>0.27</v>
      </c>
      <c r="K19" s="2">
        <f t="shared" si="0"/>
        <v>0</v>
      </c>
    </row>
    <row r="20" spans="1:11" x14ac:dyDescent="0.25">
      <c r="A20" s="5">
        <v>46157</v>
      </c>
      <c r="B20" s="2">
        <v>10</v>
      </c>
      <c r="C20" s="2">
        <v>0</v>
      </c>
      <c r="D20" s="2">
        <v>0</v>
      </c>
      <c r="K20" s="2">
        <f t="shared" si="0"/>
        <v>-10</v>
      </c>
    </row>
    <row r="21" spans="1:11" x14ac:dyDescent="0.25">
      <c r="A21" s="5">
        <v>46239</v>
      </c>
      <c r="B21" s="2">
        <v>0</v>
      </c>
      <c r="C21" s="2">
        <v>0</v>
      </c>
      <c r="D21" s="2">
        <v>0.63</v>
      </c>
      <c r="K21" s="2">
        <f t="shared" ref="K21" si="1">B21*-1</f>
        <v>0</v>
      </c>
    </row>
    <row r="22" spans="1:11" x14ac:dyDescent="0.25">
      <c r="A22" s="5">
        <v>46272</v>
      </c>
      <c r="B22" s="2">
        <v>20</v>
      </c>
      <c r="C22" s="2">
        <v>0</v>
      </c>
      <c r="D22" s="2">
        <v>0</v>
      </c>
      <c r="K22" s="2">
        <f t="shared" ref="K22" si="2">B22*-1</f>
        <v>-20</v>
      </c>
    </row>
    <row r="23" spans="1:11" x14ac:dyDescent="0.25">
      <c r="A23" s="5">
        <v>46276</v>
      </c>
      <c r="B23" s="2">
        <v>0</v>
      </c>
      <c r="C23" s="2">
        <v>0</v>
      </c>
      <c r="D23" s="2">
        <v>0.02</v>
      </c>
      <c r="K23" s="2">
        <f t="shared" si="0"/>
        <v>0</v>
      </c>
    </row>
    <row r="24" spans="1:11" x14ac:dyDescent="0.25">
      <c r="K24" s="2">
        <f t="shared" si="0"/>
        <v>0</v>
      </c>
    </row>
    <row r="200" spans="1:11" x14ac:dyDescent="0.25">
      <c r="A200" s="7">
        <f ca="1">TODAY()</f>
        <v>46295</v>
      </c>
      <c r="K200" s="24">
        <f>Overview!W3</f>
        <v>353.94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D4907-B545-44CB-A8C9-509819BCD2A5}">
  <dimension ref="A1:Z53"/>
  <sheetViews>
    <sheetView workbookViewId="0">
      <selection activeCell="J3" sqref="J3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1" customWidth="1"/>
    <col min="25" max="25" width="10.7109375" style="11" customWidth="1"/>
    <col min="26" max="26" width="10.7109375" customWidth="1"/>
  </cols>
  <sheetData>
    <row r="1" spans="1:26" x14ac:dyDescent="0.25">
      <c r="A1" s="4" t="s">
        <v>66</v>
      </c>
      <c r="B1" s="5" t="s">
        <v>104</v>
      </c>
      <c r="D1" s="29" t="s">
        <v>2</v>
      </c>
      <c r="E1" s="30"/>
      <c r="F1" s="31"/>
      <c r="G1" s="29" t="s">
        <v>0</v>
      </c>
      <c r="H1" s="30"/>
      <c r="I1" s="31"/>
      <c r="J1" s="18"/>
      <c r="K1" s="29" t="s">
        <v>58</v>
      </c>
      <c r="L1" s="30"/>
      <c r="M1" s="30"/>
      <c r="N1" s="30"/>
      <c r="O1" s="30"/>
      <c r="P1" s="30"/>
      <c r="Q1" s="31"/>
      <c r="X1" s="29"/>
      <c r="Y1" s="30"/>
      <c r="Z1" s="31"/>
    </row>
    <row r="2" spans="1:26" x14ac:dyDescent="0.25">
      <c r="A2" s="4" t="s">
        <v>21</v>
      </c>
      <c r="B2" s="5" t="s">
        <v>23</v>
      </c>
      <c r="D2" s="10" t="s">
        <v>49</v>
      </c>
      <c r="E2" s="10" t="s">
        <v>50</v>
      </c>
      <c r="F2" s="17" t="s">
        <v>67</v>
      </c>
      <c r="G2" s="10" t="s">
        <v>15</v>
      </c>
      <c r="H2" s="10" t="s">
        <v>16</v>
      </c>
      <c r="I2" s="10" t="s">
        <v>60</v>
      </c>
      <c r="J2" s="9"/>
      <c r="K2" s="10" t="s">
        <v>0</v>
      </c>
      <c r="L2" s="10" t="s">
        <v>1</v>
      </c>
      <c r="M2" s="10" t="s">
        <v>56</v>
      </c>
      <c r="N2" s="10" t="s">
        <v>57</v>
      </c>
      <c r="O2" s="10" t="s">
        <v>2</v>
      </c>
      <c r="P2" s="10" t="s">
        <v>68</v>
      </c>
      <c r="Q2" s="10" t="s">
        <v>67</v>
      </c>
      <c r="X2" s="10" t="s">
        <v>2</v>
      </c>
      <c r="Y2" s="10" t="s">
        <v>59</v>
      </c>
      <c r="Z2" s="10" t="s">
        <v>68</v>
      </c>
    </row>
    <row r="3" spans="1:26" x14ac:dyDescent="0.25">
      <c r="A3" s="4" t="s">
        <v>69</v>
      </c>
      <c r="B3" s="5" t="s">
        <v>78</v>
      </c>
      <c r="D3" s="12">
        <v>46295</v>
      </c>
      <c r="E3" s="12">
        <v>46295</v>
      </c>
      <c r="F3" s="19">
        <f t="shared" ref="F3:F52" si="0">IF(E3&gt;0,E3-D3,"")</f>
        <v>0</v>
      </c>
      <c r="G3" s="2">
        <v>0</v>
      </c>
      <c r="H3" s="2">
        <v>0</v>
      </c>
      <c r="I3" s="2">
        <v>0</v>
      </c>
      <c r="J3" s="11"/>
      <c r="K3" s="2">
        <f>G53</f>
        <v>0</v>
      </c>
      <c r="L3" s="2">
        <f>H53</f>
        <v>0</v>
      </c>
      <c r="M3" s="2">
        <f>I53</f>
        <v>0</v>
      </c>
      <c r="N3" s="6" t="str">
        <f>IF(B16=K3,XIRR(Y3:Y52,X3:X52),"")</f>
        <v/>
      </c>
      <c r="O3" s="5" t="str">
        <f>IF(B16=K3,MAX(E:E),"")</f>
        <v/>
      </c>
      <c r="P3" s="1" t="str">
        <f ca="1">IF(Z3="+",TODAY()-B11,"")</f>
        <v/>
      </c>
      <c r="Q3" s="1" t="str">
        <f>IF(B16=K3,MAX(E:E)-B11,"")</f>
        <v/>
      </c>
      <c r="T3" s="14"/>
      <c r="X3" s="5">
        <f>B9</f>
        <v>46293</v>
      </c>
      <c r="Y3" s="2">
        <f>B16*-1</f>
        <v>-10.050000000000001</v>
      </c>
      <c r="Z3" s="1" t="str">
        <f ca="1">IF(AND(TODAY()&gt;B11, K3&lt;&gt;B16), "+", "")</f>
        <v/>
      </c>
    </row>
    <row r="4" spans="1:26" x14ac:dyDescent="0.25">
      <c r="A4" s="4" t="s">
        <v>19</v>
      </c>
      <c r="B4" s="5" t="s">
        <v>20</v>
      </c>
      <c r="D4" s="12"/>
      <c r="E4" s="12"/>
      <c r="F4" s="19" t="str">
        <f t="shared" si="0"/>
        <v/>
      </c>
      <c r="G4" s="2"/>
      <c r="H4" s="2"/>
      <c r="I4" s="2"/>
      <c r="J4" s="9"/>
      <c r="X4" s="5">
        <f>E3</f>
        <v>46295</v>
      </c>
      <c r="Y4" s="2">
        <f>G3+H3-I3</f>
        <v>0</v>
      </c>
    </row>
    <row r="5" spans="1:26" x14ac:dyDescent="0.25">
      <c r="A5" s="4"/>
      <c r="B5" s="5"/>
      <c r="D5" s="12"/>
      <c r="E5" s="12"/>
      <c r="F5" s="19" t="str">
        <f t="shared" si="0"/>
        <v/>
      </c>
      <c r="G5" s="2"/>
      <c r="H5" s="1"/>
      <c r="I5" s="2"/>
      <c r="J5" s="9"/>
      <c r="X5" s="5">
        <f t="shared" ref="X5:X52" si="1">E4</f>
        <v>0</v>
      </c>
      <c r="Y5" s="2">
        <f t="shared" ref="Y5:Y52" si="2">G4+H4-I4</f>
        <v>0</v>
      </c>
    </row>
    <row r="6" spans="1:26" x14ac:dyDescent="0.25">
      <c r="A6" s="4"/>
      <c r="B6" s="5"/>
      <c r="D6" s="12"/>
      <c r="E6" s="12"/>
      <c r="F6" s="19" t="str">
        <f t="shared" si="0"/>
        <v/>
      </c>
      <c r="G6" s="2"/>
      <c r="H6" s="1"/>
      <c r="I6" s="2"/>
      <c r="J6" s="9"/>
      <c r="X6" s="5">
        <f t="shared" si="1"/>
        <v>0</v>
      </c>
      <c r="Y6" s="2">
        <f t="shared" si="2"/>
        <v>0</v>
      </c>
    </row>
    <row r="7" spans="1:26" x14ac:dyDescent="0.25">
      <c r="A7" s="4"/>
      <c r="B7" s="5"/>
      <c r="D7" s="12"/>
      <c r="E7" s="12"/>
      <c r="F7" s="19" t="str">
        <f t="shared" si="0"/>
        <v/>
      </c>
      <c r="G7" s="2"/>
      <c r="H7" s="1"/>
      <c r="I7" s="2"/>
      <c r="J7" s="11"/>
      <c r="X7" s="5">
        <f t="shared" si="1"/>
        <v>0</v>
      </c>
      <c r="Y7" s="2">
        <f t="shared" si="2"/>
        <v>0</v>
      </c>
    </row>
    <row r="8" spans="1:26" x14ac:dyDescent="0.25">
      <c r="A8" s="4" t="s">
        <v>24</v>
      </c>
      <c r="B8" s="5" t="str">
        <f>DATEDIF(B9,B11,"y") &amp; " m. " &amp; DATEDIF(B9,B11,"ym") &amp; " mėn. " &amp; DATEDIF(B9,B11,"md") &amp; " d."</f>
        <v>1 m. 2 mėn. 18 d.</v>
      </c>
      <c r="D8" s="12"/>
      <c r="E8" s="12"/>
      <c r="F8" s="19" t="str">
        <f t="shared" si="0"/>
        <v/>
      </c>
      <c r="G8" s="1"/>
      <c r="H8" s="1"/>
      <c r="I8" s="2"/>
      <c r="J8" s="9"/>
      <c r="X8" s="5">
        <f t="shared" si="1"/>
        <v>0</v>
      </c>
      <c r="Y8" s="2">
        <f t="shared" si="2"/>
        <v>0</v>
      </c>
    </row>
    <row r="9" spans="1:26" x14ac:dyDescent="0.25">
      <c r="A9" s="4" t="s">
        <v>11</v>
      </c>
      <c r="B9" s="5">
        <v>46293</v>
      </c>
      <c r="D9" s="12"/>
      <c r="E9" s="12"/>
      <c r="F9" s="19"/>
      <c r="G9" s="2"/>
      <c r="H9" s="2"/>
      <c r="I9" s="2"/>
      <c r="J9" s="11"/>
      <c r="X9" s="5">
        <f t="shared" si="1"/>
        <v>0</v>
      </c>
      <c r="Y9" s="2">
        <f t="shared" si="2"/>
        <v>0</v>
      </c>
    </row>
    <row r="10" spans="1:26" x14ac:dyDescent="0.25">
      <c r="A10" s="4" t="s">
        <v>70</v>
      </c>
      <c r="B10" s="5">
        <v>46282</v>
      </c>
      <c r="D10" s="12"/>
      <c r="E10" s="12"/>
      <c r="F10" s="19" t="str">
        <f t="shared" si="0"/>
        <v/>
      </c>
      <c r="G10" s="1"/>
      <c r="H10" s="1"/>
      <c r="I10" s="2"/>
      <c r="J10" s="11"/>
      <c r="X10" s="5">
        <f t="shared" si="1"/>
        <v>0</v>
      </c>
      <c r="Y10" s="2">
        <f t="shared" si="2"/>
        <v>0</v>
      </c>
    </row>
    <row r="11" spans="1:26" x14ac:dyDescent="0.25">
      <c r="A11" s="4" t="s">
        <v>10</v>
      </c>
      <c r="B11" s="5">
        <v>46737</v>
      </c>
      <c r="D11" s="12"/>
      <c r="E11" s="12"/>
      <c r="F11" s="19" t="str">
        <f t="shared" si="0"/>
        <v/>
      </c>
      <c r="G11" s="1"/>
      <c r="H11" s="2"/>
      <c r="I11" s="2"/>
      <c r="J11" s="11"/>
      <c r="X11" s="5">
        <f t="shared" si="1"/>
        <v>0</v>
      </c>
      <c r="Y11" s="2">
        <f t="shared" si="2"/>
        <v>0</v>
      </c>
    </row>
    <row r="12" spans="1:26" x14ac:dyDescent="0.25">
      <c r="A12" s="4" t="s">
        <v>71</v>
      </c>
      <c r="B12" s="19">
        <f ca="1">IF(B16&lt;&gt;K3,(TODAY()-B11)*-1,"")</f>
        <v>442</v>
      </c>
      <c r="D12" s="12"/>
      <c r="E12" s="12"/>
      <c r="F12" s="19" t="str">
        <f t="shared" si="0"/>
        <v/>
      </c>
      <c r="G12" s="2"/>
      <c r="H12" s="1"/>
      <c r="I12" s="1"/>
      <c r="J12" s="11"/>
      <c r="X12" s="5">
        <f t="shared" si="1"/>
        <v>0</v>
      </c>
      <c r="Y12" s="2">
        <f t="shared" si="2"/>
        <v>0</v>
      </c>
    </row>
    <row r="13" spans="1:26" x14ac:dyDescent="0.25">
      <c r="A13" s="4"/>
      <c r="B13" s="2"/>
      <c r="D13" s="12"/>
      <c r="E13" s="12"/>
      <c r="F13" s="19" t="str">
        <f t="shared" si="0"/>
        <v/>
      </c>
      <c r="G13" s="1"/>
      <c r="H13" s="2"/>
      <c r="I13" s="2"/>
      <c r="J13" s="11"/>
      <c r="N13" s="14"/>
      <c r="X13" s="5">
        <f t="shared" si="1"/>
        <v>0</v>
      </c>
      <c r="Y13" s="2">
        <f t="shared" si="2"/>
        <v>0</v>
      </c>
    </row>
    <row r="14" spans="1:26" x14ac:dyDescent="0.25">
      <c r="A14" s="13"/>
      <c r="B14" s="20"/>
      <c r="D14" s="12"/>
      <c r="E14" s="5"/>
      <c r="F14" s="19" t="str">
        <f t="shared" si="0"/>
        <v/>
      </c>
      <c r="G14" s="1"/>
      <c r="H14" s="1"/>
      <c r="I14" s="1"/>
      <c r="J14" s="11"/>
      <c r="X14" s="5">
        <f t="shared" si="1"/>
        <v>0</v>
      </c>
      <c r="Y14" s="2">
        <f t="shared" si="2"/>
        <v>0</v>
      </c>
    </row>
    <row r="15" spans="1:26" x14ac:dyDescent="0.25">
      <c r="A15" s="4" t="s">
        <v>1</v>
      </c>
      <c r="B15" s="6">
        <v>0.13500000000000001</v>
      </c>
      <c r="D15" s="12"/>
      <c r="E15" s="5"/>
      <c r="F15" s="19" t="str">
        <f t="shared" si="0"/>
        <v/>
      </c>
      <c r="G15" s="1"/>
      <c r="H15" s="1"/>
      <c r="I15" s="1"/>
      <c r="J15" s="11"/>
      <c r="K15" s="18"/>
      <c r="L15" s="18"/>
      <c r="M15" s="18"/>
      <c r="N15" s="18"/>
      <c r="O15" s="18"/>
      <c r="P15" s="18"/>
      <c r="Q15" s="18"/>
      <c r="X15" s="5">
        <f t="shared" si="1"/>
        <v>0</v>
      </c>
      <c r="Y15" s="2">
        <f t="shared" si="2"/>
        <v>0</v>
      </c>
    </row>
    <row r="16" spans="1:26" x14ac:dyDescent="0.25">
      <c r="A16" s="4" t="s">
        <v>72</v>
      </c>
      <c r="B16" s="2">
        <v>10.050000000000001</v>
      </c>
      <c r="D16" s="12"/>
      <c r="E16" s="5"/>
      <c r="F16" s="19" t="str">
        <f t="shared" si="0"/>
        <v/>
      </c>
      <c r="G16" s="1"/>
      <c r="H16" s="1"/>
      <c r="I16" s="1"/>
      <c r="J16" s="11"/>
      <c r="K16" s="9"/>
      <c r="L16" s="9"/>
      <c r="M16" s="9"/>
      <c r="N16" s="21"/>
      <c r="O16" s="22"/>
      <c r="P16" s="11"/>
      <c r="Q16" s="11"/>
      <c r="X16" s="5">
        <f t="shared" si="1"/>
        <v>0</v>
      </c>
      <c r="Y16" s="2">
        <f t="shared" si="2"/>
        <v>0</v>
      </c>
    </row>
    <row r="17" spans="2:25" x14ac:dyDescent="0.25">
      <c r="D17" s="12"/>
      <c r="E17" s="5"/>
      <c r="F17" s="19" t="str">
        <f t="shared" si="0"/>
        <v/>
      </c>
      <c r="G17" s="1"/>
      <c r="H17" s="1"/>
      <c r="I17" s="1"/>
      <c r="J17" s="11"/>
      <c r="X17" s="5">
        <f t="shared" si="1"/>
        <v>0</v>
      </c>
      <c r="Y17" s="2">
        <f t="shared" si="2"/>
        <v>0</v>
      </c>
    </row>
    <row r="18" spans="2:25" x14ac:dyDescent="0.25">
      <c r="D18" s="12"/>
      <c r="E18" s="5"/>
      <c r="F18" s="19" t="str">
        <f t="shared" si="0"/>
        <v/>
      </c>
      <c r="G18" s="1"/>
      <c r="H18" s="1"/>
      <c r="I18" s="1"/>
      <c r="J18" s="11"/>
      <c r="X18" s="5">
        <f t="shared" si="1"/>
        <v>0</v>
      </c>
      <c r="Y18" s="2">
        <f t="shared" si="2"/>
        <v>0</v>
      </c>
    </row>
    <row r="19" spans="2:25" x14ac:dyDescent="0.25">
      <c r="D19" s="12"/>
      <c r="E19" s="5"/>
      <c r="F19" s="19" t="str">
        <f t="shared" si="0"/>
        <v/>
      </c>
      <c r="G19" s="1"/>
      <c r="H19" s="1"/>
      <c r="I19" s="1"/>
      <c r="J19" s="11"/>
      <c r="X19" s="5">
        <f t="shared" si="1"/>
        <v>0</v>
      </c>
      <c r="Y19" s="2">
        <f t="shared" si="2"/>
        <v>0</v>
      </c>
    </row>
    <row r="20" spans="2:25" x14ac:dyDescent="0.25">
      <c r="D20" s="12"/>
      <c r="E20" s="5"/>
      <c r="F20" s="19" t="str">
        <f t="shared" si="0"/>
        <v/>
      </c>
      <c r="G20" s="1"/>
      <c r="H20" s="1"/>
      <c r="I20" s="1"/>
      <c r="J20" s="11"/>
      <c r="X20" s="5">
        <f t="shared" si="1"/>
        <v>0</v>
      </c>
      <c r="Y20" s="2">
        <f t="shared" si="2"/>
        <v>0</v>
      </c>
    </row>
    <row r="21" spans="2:25" x14ac:dyDescent="0.25">
      <c r="D21" s="12"/>
      <c r="E21" s="5"/>
      <c r="F21" s="19" t="str">
        <f t="shared" si="0"/>
        <v/>
      </c>
      <c r="G21" s="1"/>
      <c r="H21" s="1"/>
      <c r="I21" s="1"/>
      <c r="J21" s="11"/>
      <c r="X21" s="5">
        <f t="shared" si="1"/>
        <v>0</v>
      </c>
      <c r="Y21" s="2">
        <f t="shared" si="2"/>
        <v>0</v>
      </c>
    </row>
    <row r="22" spans="2:25" x14ac:dyDescent="0.25">
      <c r="D22" s="12"/>
      <c r="E22" s="5"/>
      <c r="F22" s="19" t="str">
        <f t="shared" si="0"/>
        <v/>
      </c>
      <c r="G22" s="1"/>
      <c r="H22" s="1"/>
      <c r="I22" s="1"/>
      <c r="J22" s="11"/>
      <c r="X22" s="5">
        <f t="shared" si="1"/>
        <v>0</v>
      </c>
      <c r="Y22" s="2">
        <f t="shared" si="2"/>
        <v>0</v>
      </c>
    </row>
    <row r="23" spans="2:25" x14ac:dyDescent="0.25">
      <c r="B23" s="22"/>
      <c r="D23" s="12"/>
      <c r="E23" s="5"/>
      <c r="F23" s="19" t="str">
        <f t="shared" si="0"/>
        <v/>
      </c>
      <c r="G23" s="1"/>
      <c r="H23" s="1"/>
      <c r="I23" s="1"/>
      <c r="J23" s="11"/>
      <c r="X23" s="5">
        <f t="shared" si="1"/>
        <v>0</v>
      </c>
      <c r="Y23" s="2">
        <f t="shared" si="2"/>
        <v>0</v>
      </c>
    </row>
    <row r="24" spans="2:25" x14ac:dyDescent="0.25">
      <c r="D24" s="12"/>
      <c r="E24" s="5"/>
      <c r="F24" s="19" t="str">
        <f t="shared" si="0"/>
        <v/>
      </c>
      <c r="G24" s="1"/>
      <c r="H24" s="1"/>
      <c r="I24" s="1"/>
      <c r="J24" s="11"/>
      <c r="X24" s="5">
        <f t="shared" si="1"/>
        <v>0</v>
      </c>
      <c r="Y24" s="2">
        <f t="shared" si="2"/>
        <v>0</v>
      </c>
    </row>
    <row r="25" spans="2:25" x14ac:dyDescent="0.25">
      <c r="D25" s="12"/>
      <c r="E25" s="5"/>
      <c r="F25" s="19" t="str">
        <f t="shared" si="0"/>
        <v/>
      </c>
      <c r="G25" s="1"/>
      <c r="H25" s="1"/>
      <c r="I25" s="1"/>
      <c r="J25" s="11"/>
      <c r="X25" s="5">
        <f t="shared" si="1"/>
        <v>0</v>
      </c>
      <c r="Y25" s="2">
        <f t="shared" si="2"/>
        <v>0</v>
      </c>
    </row>
    <row r="26" spans="2:25" x14ac:dyDescent="0.25">
      <c r="D26" s="12"/>
      <c r="E26" s="5"/>
      <c r="F26" s="19" t="str">
        <f t="shared" si="0"/>
        <v/>
      </c>
      <c r="G26" s="1"/>
      <c r="H26" s="1"/>
      <c r="I26" s="1"/>
      <c r="J26" s="11"/>
      <c r="X26" s="5">
        <f t="shared" si="1"/>
        <v>0</v>
      </c>
      <c r="Y26" s="2">
        <f t="shared" si="2"/>
        <v>0</v>
      </c>
    </row>
    <row r="27" spans="2:25" x14ac:dyDescent="0.25">
      <c r="D27" s="12"/>
      <c r="E27" s="5"/>
      <c r="F27" s="19" t="str">
        <f t="shared" si="0"/>
        <v/>
      </c>
      <c r="G27" s="1"/>
      <c r="H27" s="1"/>
      <c r="I27" s="1"/>
      <c r="J27" s="11"/>
      <c r="X27" s="5">
        <f t="shared" si="1"/>
        <v>0</v>
      </c>
      <c r="Y27" s="2">
        <f t="shared" si="2"/>
        <v>0</v>
      </c>
    </row>
    <row r="28" spans="2:25" x14ac:dyDescent="0.25">
      <c r="D28" s="12"/>
      <c r="E28" s="5"/>
      <c r="F28" s="19" t="str">
        <f t="shared" si="0"/>
        <v/>
      </c>
      <c r="G28" s="1"/>
      <c r="H28" s="1"/>
      <c r="I28" s="1"/>
      <c r="J28" s="11"/>
      <c r="X28" s="5">
        <f t="shared" si="1"/>
        <v>0</v>
      </c>
      <c r="Y28" s="2">
        <f t="shared" si="2"/>
        <v>0</v>
      </c>
    </row>
    <row r="29" spans="2:25" x14ac:dyDescent="0.25">
      <c r="D29" s="12"/>
      <c r="E29" s="5"/>
      <c r="F29" s="19" t="str">
        <f t="shared" si="0"/>
        <v/>
      </c>
      <c r="G29" s="1"/>
      <c r="H29" s="1"/>
      <c r="I29" s="1"/>
      <c r="J29" s="11"/>
      <c r="X29" s="5">
        <f t="shared" si="1"/>
        <v>0</v>
      </c>
      <c r="Y29" s="2">
        <f t="shared" si="2"/>
        <v>0</v>
      </c>
    </row>
    <row r="30" spans="2:25" x14ac:dyDescent="0.25">
      <c r="D30" s="12"/>
      <c r="E30" s="5"/>
      <c r="F30" s="19" t="str">
        <f t="shared" si="0"/>
        <v/>
      </c>
      <c r="G30" s="1"/>
      <c r="H30" s="1"/>
      <c r="I30" s="1"/>
      <c r="J30" s="11"/>
      <c r="X30" s="5">
        <f t="shared" si="1"/>
        <v>0</v>
      </c>
      <c r="Y30" s="2">
        <f t="shared" si="2"/>
        <v>0</v>
      </c>
    </row>
    <row r="31" spans="2:25" x14ac:dyDescent="0.25">
      <c r="D31" s="12"/>
      <c r="E31" s="5"/>
      <c r="F31" s="19" t="str">
        <f t="shared" si="0"/>
        <v/>
      </c>
      <c r="G31" s="1"/>
      <c r="H31" s="1"/>
      <c r="I31" s="1"/>
      <c r="J31" s="11"/>
      <c r="X31" s="5">
        <f t="shared" si="1"/>
        <v>0</v>
      </c>
      <c r="Y31" s="2">
        <f t="shared" si="2"/>
        <v>0</v>
      </c>
    </row>
    <row r="32" spans="2:25" x14ac:dyDescent="0.25">
      <c r="D32" s="12"/>
      <c r="E32" s="5"/>
      <c r="F32" s="19" t="str">
        <f t="shared" si="0"/>
        <v/>
      </c>
      <c r="G32" s="1"/>
      <c r="H32" s="1"/>
      <c r="I32" s="1"/>
      <c r="J32" s="11"/>
      <c r="X32" s="5">
        <f t="shared" si="1"/>
        <v>0</v>
      </c>
      <c r="Y32" s="2">
        <f t="shared" si="2"/>
        <v>0</v>
      </c>
    </row>
    <row r="33" spans="4:25" x14ac:dyDescent="0.25">
      <c r="D33" s="12"/>
      <c r="E33" s="5"/>
      <c r="F33" s="19" t="str">
        <f t="shared" si="0"/>
        <v/>
      </c>
      <c r="G33" s="1"/>
      <c r="H33" s="1"/>
      <c r="I33" s="1"/>
      <c r="J33" s="11"/>
      <c r="X33" s="5">
        <f t="shared" si="1"/>
        <v>0</v>
      </c>
      <c r="Y33" s="2">
        <f t="shared" si="2"/>
        <v>0</v>
      </c>
    </row>
    <row r="34" spans="4:25" x14ac:dyDescent="0.25">
      <c r="D34" s="12"/>
      <c r="E34" s="5"/>
      <c r="F34" s="19" t="str">
        <f t="shared" si="0"/>
        <v/>
      </c>
      <c r="G34" s="1"/>
      <c r="H34" s="1"/>
      <c r="I34" s="1"/>
      <c r="J34" s="11"/>
      <c r="X34" s="5">
        <f t="shared" si="1"/>
        <v>0</v>
      </c>
      <c r="Y34" s="2">
        <f t="shared" si="2"/>
        <v>0</v>
      </c>
    </row>
    <row r="35" spans="4:25" x14ac:dyDescent="0.25">
      <c r="D35" s="12"/>
      <c r="E35" s="5"/>
      <c r="F35" s="19" t="str">
        <f t="shared" si="0"/>
        <v/>
      </c>
      <c r="G35" s="1"/>
      <c r="H35" s="1"/>
      <c r="I35" s="1"/>
      <c r="J35" s="11"/>
      <c r="X35" s="5">
        <f t="shared" si="1"/>
        <v>0</v>
      </c>
      <c r="Y35" s="2">
        <f t="shared" si="2"/>
        <v>0</v>
      </c>
    </row>
    <row r="36" spans="4:25" x14ac:dyDescent="0.25">
      <c r="D36" s="12"/>
      <c r="E36" s="5"/>
      <c r="F36" s="19" t="str">
        <f t="shared" si="0"/>
        <v/>
      </c>
      <c r="G36" s="1"/>
      <c r="H36" s="1"/>
      <c r="I36" s="1"/>
      <c r="J36" s="11"/>
      <c r="X36" s="5">
        <f t="shared" si="1"/>
        <v>0</v>
      </c>
      <c r="Y36" s="2">
        <f t="shared" si="2"/>
        <v>0</v>
      </c>
    </row>
    <row r="37" spans="4:25" x14ac:dyDescent="0.25">
      <c r="D37" s="12"/>
      <c r="E37" s="5"/>
      <c r="F37" s="19" t="str">
        <f t="shared" si="0"/>
        <v/>
      </c>
      <c r="G37" s="1"/>
      <c r="H37" s="1"/>
      <c r="I37" s="1"/>
      <c r="J37" s="11"/>
      <c r="X37" s="5">
        <f t="shared" si="1"/>
        <v>0</v>
      </c>
      <c r="Y37" s="2">
        <f t="shared" si="2"/>
        <v>0</v>
      </c>
    </row>
    <row r="38" spans="4:25" x14ac:dyDescent="0.25">
      <c r="D38" s="12"/>
      <c r="E38" s="5"/>
      <c r="F38" s="19" t="str">
        <f t="shared" si="0"/>
        <v/>
      </c>
      <c r="G38" s="1"/>
      <c r="H38" s="1"/>
      <c r="I38" s="1"/>
      <c r="J38" s="11"/>
      <c r="X38" s="5">
        <f t="shared" si="1"/>
        <v>0</v>
      </c>
      <c r="Y38" s="2">
        <f t="shared" si="2"/>
        <v>0</v>
      </c>
    </row>
    <row r="39" spans="4:25" x14ac:dyDescent="0.25">
      <c r="D39" s="12"/>
      <c r="E39" s="5"/>
      <c r="F39" s="19" t="str">
        <f t="shared" si="0"/>
        <v/>
      </c>
      <c r="G39" s="1"/>
      <c r="H39" s="1"/>
      <c r="I39" s="1"/>
      <c r="J39" s="11"/>
      <c r="X39" s="5">
        <f t="shared" si="1"/>
        <v>0</v>
      </c>
      <c r="Y39" s="2">
        <f t="shared" si="2"/>
        <v>0</v>
      </c>
    </row>
    <row r="40" spans="4:25" x14ac:dyDescent="0.25">
      <c r="D40" s="12"/>
      <c r="E40" s="5"/>
      <c r="F40" s="19" t="str">
        <f t="shared" si="0"/>
        <v/>
      </c>
      <c r="G40" s="1"/>
      <c r="H40" s="1"/>
      <c r="I40" s="1"/>
      <c r="J40" s="11"/>
      <c r="X40" s="5">
        <f t="shared" si="1"/>
        <v>0</v>
      </c>
      <c r="Y40" s="2">
        <f t="shared" si="2"/>
        <v>0</v>
      </c>
    </row>
    <row r="41" spans="4:25" x14ac:dyDescent="0.25">
      <c r="D41" s="12"/>
      <c r="E41" s="5"/>
      <c r="F41" s="19" t="str">
        <f t="shared" si="0"/>
        <v/>
      </c>
      <c r="G41" s="1"/>
      <c r="H41" s="1"/>
      <c r="I41" s="1"/>
      <c r="J41" s="11"/>
      <c r="X41" s="5">
        <f t="shared" si="1"/>
        <v>0</v>
      </c>
      <c r="Y41" s="2">
        <f t="shared" si="2"/>
        <v>0</v>
      </c>
    </row>
    <row r="42" spans="4:25" x14ac:dyDescent="0.25">
      <c r="D42" s="12"/>
      <c r="E42" s="5"/>
      <c r="F42" s="19" t="str">
        <f t="shared" si="0"/>
        <v/>
      </c>
      <c r="G42" s="1"/>
      <c r="H42" s="1"/>
      <c r="I42" s="1"/>
      <c r="J42" s="11"/>
      <c r="X42" s="5">
        <f t="shared" si="1"/>
        <v>0</v>
      </c>
      <c r="Y42" s="2">
        <f t="shared" si="2"/>
        <v>0</v>
      </c>
    </row>
    <row r="43" spans="4:25" x14ac:dyDescent="0.25">
      <c r="D43" s="12"/>
      <c r="E43" s="5"/>
      <c r="F43" s="19" t="str">
        <f t="shared" si="0"/>
        <v/>
      </c>
      <c r="G43" s="1"/>
      <c r="H43" s="1"/>
      <c r="I43" s="1"/>
      <c r="J43" s="11"/>
      <c r="X43" s="5">
        <f t="shared" si="1"/>
        <v>0</v>
      </c>
      <c r="Y43" s="2">
        <f t="shared" si="2"/>
        <v>0</v>
      </c>
    </row>
    <row r="44" spans="4:25" x14ac:dyDescent="0.25">
      <c r="D44" s="12"/>
      <c r="E44" s="5"/>
      <c r="F44" s="19" t="str">
        <f t="shared" si="0"/>
        <v/>
      </c>
      <c r="G44" s="1"/>
      <c r="H44" s="1"/>
      <c r="I44" s="1"/>
      <c r="J44" s="11"/>
      <c r="X44" s="5">
        <f t="shared" si="1"/>
        <v>0</v>
      </c>
      <c r="Y44" s="2">
        <f t="shared" si="2"/>
        <v>0</v>
      </c>
    </row>
    <row r="45" spans="4:25" x14ac:dyDescent="0.25">
      <c r="D45" s="12"/>
      <c r="E45" s="5"/>
      <c r="F45" s="19" t="str">
        <f t="shared" si="0"/>
        <v/>
      </c>
      <c r="G45" s="1"/>
      <c r="H45" s="1"/>
      <c r="I45" s="1"/>
      <c r="J45" s="11"/>
      <c r="X45" s="5">
        <f t="shared" si="1"/>
        <v>0</v>
      </c>
      <c r="Y45" s="2">
        <f t="shared" si="2"/>
        <v>0</v>
      </c>
    </row>
    <row r="46" spans="4:25" x14ac:dyDescent="0.25">
      <c r="D46" s="12"/>
      <c r="E46" s="5"/>
      <c r="F46" s="19" t="str">
        <f t="shared" si="0"/>
        <v/>
      </c>
      <c r="G46" s="1"/>
      <c r="H46" s="1"/>
      <c r="I46" s="1"/>
      <c r="J46" s="11"/>
      <c r="X46" s="5">
        <f t="shared" si="1"/>
        <v>0</v>
      </c>
      <c r="Y46" s="2">
        <f t="shared" si="2"/>
        <v>0</v>
      </c>
    </row>
    <row r="47" spans="4:25" x14ac:dyDescent="0.25">
      <c r="D47" s="12"/>
      <c r="E47" s="5"/>
      <c r="F47" s="19" t="str">
        <f t="shared" si="0"/>
        <v/>
      </c>
      <c r="G47" s="1"/>
      <c r="H47" s="1"/>
      <c r="I47" s="1"/>
      <c r="J47" s="11"/>
      <c r="X47" s="5">
        <f t="shared" si="1"/>
        <v>0</v>
      </c>
      <c r="Y47" s="2">
        <f t="shared" si="2"/>
        <v>0</v>
      </c>
    </row>
    <row r="48" spans="4:25" x14ac:dyDescent="0.25">
      <c r="D48" s="12"/>
      <c r="E48" s="5"/>
      <c r="F48" s="19" t="str">
        <f t="shared" si="0"/>
        <v/>
      </c>
      <c r="G48" s="1"/>
      <c r="H48" s="1"/>
      <c r="I48" s="1"/>
      <c r="J48" s="11"/>
      <c r="X48" s="5">
        <f t="shared" si="1"/>
        <v>0</v>
      </c>
      <c r="Y48" s="2">
        <f t="shared" si="2"/>
        <v>0</v>
      </c>
    </row>
    <row r="49" spans="4:25" x14ac:dyDescent="0.25">
      <c r="D49" s="12"/>
      <c r="E49" s="5"/>
      <c r="F49" s="19" t="str">
        <f t="shared" si="0"/>
        <v/>
      </c>
      <c r="G49" s="1"/>
      <c r="H49" s="1"/>
      <c r="I49" s="1"/>
      <c r="J49" s="11"/>
      <c r="X49" s="5">
        <f t="shared" si="1"/>
        <v>0</v>
      </c>
      <c r="Y49" s="2">
        <f t="shared" si="2"/>
        <v>0</v>
      </c>
    </row>
    <row r="50" spans="4:25" x14ac:dyDescent="0.25">
      <c r="D50" s="12"/>
      <c r="E50" s="5"/>
      <c r="F50" s="19" t="str">
        <f t="shared" si="0"/>
        <v/>
      </c>
      <c r="G50" s="1"/>
      <c r="H50" s="1"/>
      <c r="I50" s="1"/>
      <c r="J50" s="11"/>
      <c r="X50" s="5">
        <f t="shared" si="1"/>
        <v>0</v>
      </c>
      <c r="Y50" s="2">
        <f t="shared" si="2"/>
        <v>0</v>
      </c>
    </row>
    <row r="51" spans="4:25" x14ac:dyDescent="0.25">
      <c r="D51" s="12"/>
      <c r="E51" s="5"/>
      <c r="F51" s="19" t="str">
        <f t="shared" si="0"/>
        <v/>
      </c>
      <c r="G51" s="1"/>
      <c r="H51" s="1"/>
      <c r="I51" s="1"/>
      <c r="J51" s="11"/>
      <c r="X51" s="5">
        <f t="shared" si="1"/>
        <v>0</v>
      </c>
      <c r="Y51" s="2">
        <f t="shared" si="2"/>
        <v>0</v>
      </c>
    </row>
    <row r="52" spans="4:25" x14ac:dyDescent="0.25">
      <c r="D52" s="12"/>
      <c r="E52" s="5"/>
      <c r="F52" s="19" t="str">
        <f t="shared" si="0"/>
        <v/>
      </c>
      <c r="G52" s="1"/>
      <c r="H52" s="1"/>
      <c r="I52" s="1"/>
      <c r="J52" s="9"/>
      <c r="X52" s="5">
        <f t="shared" si="1"/>
        <v>0</v>
      </c>
      <c r="Y52" s="2">
        <f t="shared" si="2"/>
        <v>0</v>
      </c>
    </row>
    <row r="53" spans="4:25" x14ac:dyDescent="0.25">
      <c r="D53" s="1" t="s">
        <v>25</v>
      </c>
      <c r="E53" s="23"/>
      <c r="F53" s="2"/>
      <c r="G53" s="2">
        <f>SUM(G3:G52)</f>
        <v>0</v>
      </c>
      <c r="H53" s="2">
        <f t="shared" ref="H53:I53" si="3">SUM(H3:H52)</f>
        <v>0</v>
      </c>
      <c r="I53" s="2">
        <f t="shared" si="3"/>
        <v>0</v>
      </c>
    </row>
  </sheetData>
  <mergeCells count="4">
    <mergeCell ref="D1:F1"/>
    <mergeCell ref="G1:I1"/>
    <mergeCell ref="K1:Q1"/>
    <mergeCell ref="X1:Z1"/>
  </mergeCells>
  <conditionalFormatting sqref="A1:B1">
    <cfRule type="expression" dxfId="215" priority="1">
      <formula>$Z$3="+"</formula>
    </cfRule>
    <cfRule type="expression" dxfId="214" priority="2">
      <formula>$B$16=$K$3</formula>
    </cfRule>
  </conditionalFormatting>
  <conditionalFormatting sqref="P3">
    <cfRule type="expression" dxfId="213" priority="3">
      <formula>$Z$3="+"</formula>
    </cfRule>
  </conditionalFormatting>
  <conditionalFormatting sqref="Z3">
    <cfRule type="expression" dxfId="212" priority="4">
      <formula>$Z$3="+"</formula>
    </cfRule>
  </conditionalFormatting>
  <dataValidations count="1">
    <dataValidation type="list" allowBlank="1" showInputMessage="1" showErrorMessage="1" sqref="B2" xr:uid="{53F1F5A2-758E-4684-AF2C-2ECCC28AFDB9}">
      <formula1>"Romania,Moldova,Cyprus,Philippines"</formula1>
    </dataValidation>
  </dataValidation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686C4-D250-4858-B51F-1703B31A6E4F}">
  <dimension ref="A1:Z53"/>
  <sheetViews>
    <sheetView workbookViewId="0">
      <selection activeCell="D3" sqref="D3:E3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1" customWidth="1"/>
    <col min="25" max="25" width="10.7109375" style="11" customWidth="1"/>
    <col min="26" max="26" width="10.7109375" customWidth="1"/>
  </cols>
  <sheetData>
    <row r="1" spans="1:26" x14ac:dyDescent="0.25">
      <c r="A1" s="4" t="s">
        <v>66</v>
      </c>
      <c r="B1" s="5" t="s">
        <v>103</v>
      </c>
      <c r="D1" s="29" t="s">
        <v>2</v>
      </c>
      <c r="E1" s="30"/>
      <c r="F1" s="31"/>
      <c r="G1" s="29" t="s">
        <v>0</v>
      </c>
      <c r="H1" s="30"/>
      <c r="I1" s="31"/>
      <c r="J1" s="18"/>
      <c r="K1" s="29" t="s">
        <v>58</v>
      </c>
      <c r="L1" s="30"/>
      <c r="M1" s="30"/>
      <c r="N1" s="30"/>
      <c r="O1" s="30"/>
      <c r="P1" s="30"/>
      <c r="Q1" s="31"/>
      <c r="X1" s="29"/>
      <c r="Y1" s="30"/>
      <c r="Z1" s="31"/>
    </row>
    <row r="2" spans="1:26" x14ac:dyDescent="0.25">
      <c r="A2" s="4" t="s">
        <v>21</v>
      </c>
      <c r="B2" s="5" t="s">
        <v>22</v>
      </c>
      <c r="D2" s="10" t="s">
        <v>49</v>
      </c>
      <c r="E2" s="10" t="s">
        <v>50</v>
      </c>
      <c r="F2" s="17" t="s">
        <v>67</v>
      </c>
      <c r="G2" s="10" t="s">
        <v>15</v>
      </c>
      <c r="H2" s="10" t="s">
        <v>16</v>
      </c>
      <c r="I2" s="10" t="s">
        <v>60</v>
      </c>
      <c r="J2" s="9"/>
      <c r="K2" s="10" t="s">
        <v>0</v>
      </c>
      <c r="L2" s="10" t="s">
        <v>1</v>
      </c>
      <c r="M2" s="10" t="s">
        <v>56</v>
      </c>
      <c r="N2" s="10" t="s">
        <v>57</v>
      </c>
      <c r="O2" s="10" t="s">
        <v>2</v>
      </c>
      <c r="P2" s="10" t="s">
        <v>68</v>
      </c>
      <c r="Q2" s="10" t="s">
        <v>67</v>
      </c>
      <c r="X2" s="10" t="s">
        <v>2</v>
      </c>
      <c r="Y2" s="10" t="s">
        <v>59</v>
      </c>
      <c r="Z2" s="10" t="s">
        <v>68</v>
      </c>
    </row>
    <row r="3" spans="1:26" x14ac:dyDescent="0.25">
      <c r="A3" s="4" t="s">
        <v>69</v>
      </c>
      <c r="B3" s="5" t="s">
        <v>73</v>
      </c>
      <c r="D3" s="12">
        <v>46295</v>
      </c>
      <c r="E3" s="12">
        <v>46295</v>
      </c>
      <c r="F3" s="19">
        <f t="shared" ref="F3:F52" si="0">IF(E3&gt;0,E3-D3,"")</f>
        <v>0</v>
      </c>
      <c r="G3" s="2">
        <v>4.16</v>
      </c>
      <c r="H3" s="2">
        <v>0.1</v>
      </c>
      <c r="I3" s="2">
        <v>0</v>
      </c>
      <c r="J3" s="11"/>
      <c r="K3" s="2">
        <f>G53</f>
        <v>4.16</v>
      </c>
      <c r="L3" s="2">
        <f>H53</f>
        <v>0.1</v>
      </c>
      <c r="M3" s="2">
        <f>I53</f>
        <v>0</v>
      </c>
      <c r="N3" s="6" t="str">
        <f>IF(B16=K3,XIRR(Y3:Y52,X3:X52),"")</f>
        <v/>
      </c>
      <c r="O3" s="5" t="str">
        <f>IF(B16=K3,MAX(E:E),"")</f>
        <v/>
      </c>
      <c r="P3" s="1" t="str">
        <f ca="1">IF(Z3="+",TODAY()-B11,"")</f>
        <v/>
      </c>
      <c r="Q3" s="1" t="str">
        <f>IF(B16=K3,MAX(E:E)-B11,"")</f>
        <v/>
      </c>
      <c r="T3" s="14"/>
      <c r="X3" s="5">
        <f>B9</f>
        <v>46282</v>
      </c>
      <c r="Y3" s="2">
        <f>B16*-1</f>
        <v>-25.39</v>
      </c>
      <c r="Z3" s="1" t="str">
        <f ca="1">IF(AND(TODAY()&gt;B11, K3&lt;&gt;B16), "+", "")</f>
        <v/>
      </c>
    </row>
    <row r="4" spans="1:26" x14ac:dyDescent="0.25">
      <c r="A4" s="4" t="s">
        <v>19</v>
      </c>
      <c r="B4" s="5" t="s">
        <v>79</v>
      </c>
      <c r="D4" s="12"/>
      <c r="E4" s="12"/>
      <c r="F4" s="19" t="str">
        <f t="shared" si="0"/>
        <v/>
      </c>
      <c r="G4" s="2"/>
      <c r="H4" s="2"/>
      <c r="I4" s="2"/>
      <c r="J4" s="9"/>
      <c r="X4" s="5">
        <f>E3</f>
        <v>46295</v>
      </c>
      <c r="Y4" s="2">
        <f>G3+H3-I3</f>
        <v>4.26</v>
      </c>
    </row>
    <row r="5" spans="1:26" x14ac:dyDescent="0.25">
      <c r="A5" s="4"/>
      <c r="B5" s="5"/>
      <c r="D5" s="12"/>
      <c r="E5" s="12"/>
      <c r="F5" s="19" t="str">
        <f t="shared" si="0"/>
        <v/>
      </c>
      <c r="G5" s="2"/>
      <c r="H5" s="1"/>
      <c r="I5" s="2"/>
      <c r="J5" s="9"/>
      <c r="X5" s="5">
        <f t="shared" ref="X5:X52" si="1">E4</f>
        <v>0</v>
      </c>
      <c r="Y5" s="2">
        <f t="shared" ref="Y5:Y52" si="2">G4+H4-I4</f>
        <v>0</v>
      </c>
    </row>
    <row r="6" spans="1:26" x14ac:dyDescent="0.25">
      <c r="A6" s="4"/>
      <c r="B6" s="5"/>
      <c r="D6" s="12"/>
      <c r="E6" s="12"/>
      <c r="F6" s="19" t="str">
        <f t="shared" si="0"/>
        <v/>
      </c>
      <c r="G6" s="2"/>
      <c r="H6" s="1"/>
      <c r="I6" s="2"/>
      <c r="J6" s="9"/>
      <c r="X6" s="5">
        <f t="shared" si="1"/>
        <v>0</v>
      </c>
      <c r="Y6" s="2">
        <f t="shared" si="2"/>
        <v>0</v>
      </c>
    </row>
    <row r="7" spans="1:26" x14ac:dyDescent="0.25">
      <c r="A7" s="4"/>
      <c r="B7" s="5"/>
      <c r="D7" s="12"/>
      <c r="E7" s="12"/>
      <c r="F7" s="19" t="str">
        <f t="shared" si="0"/>
        <v/>
      </c>
      <c r="G7" s="2"/>
      <c r="H7" s="1"/>
      <c r="I7" s="2"/>
      <c r="J7" s="11"/>
      <c r="X7" s="5">
        <f t="shared" si="1"/>
        <v>0</v>
      </c>
      <c r="Y7" s="2">
        <f t="shared" si="2"/>
        <v>0</v>
      </c>
    </row>
    <row r="8" spans="1:26" x14ac:dyDescent="0.25">
      <c r="A8" s="4" t="s">
        <v>24</v>
      </c>
      <c r="B8" s="5" t="str">
        <f>DATEDIF(B9,B11,"y") &amp; " m. " &amp; DATEDIF(B9,B11,"ym") &amp; " mėn. " &amp; DATEDIF(B9,B11,"md") &amp; " d."</f>
        <v>1 m. 9 mėn. 14 d.</v>
      </c>
      <c r="D8" s="12"/>
      <c r="E8" s="12"/>
      <c r="F8" s="19" t="str">
        <f t="shared" si="0"/>
        <v/>
      </c>
      <c r="G8" s="1"/>
      <c r="H8" s="1"/>
      <c r="I8" s="2"/>
      <c r="J8" s="9"/>
      <c r="X8" s="5">
        <f t="shared" si="1"/>
        <v>0</v>
      </c>
      <c r="Y8" s="2">
        <f t="shared" si="2"/>
        <v>0</v>
      </c>
    </row>
    <row r="9" spans="1:26" x14ac:dyDescent="0.25">
      <c r="A9" s="4" t="s">
        <v>11</v>
      </c>
      <c r="B9" s="5">
        <v>46282</v>
      </c>
      <c r="D9" s="12"/>
      <c r="E9" s="12"/>
      <c r="F9" s="19"/>
      <c r="G9" s="2"/>
      <c r="H9" s="2"/>
      <c r="I9" s="2"/>
      <c r="J9" s="11"/>
      <c r="X9" s="5">
        <f t="shared" si="1"/>
        <v>0</v>
      </c>
      <c r="Y9" s="2">
        <f t="shared" si="2"/>
        <v>0</v>
      </c>
    </row>
    <row r="10" spans="1:26" x14ac:dyDescent="0.25">
      <c r="A10" s="4" t="s">
        <v>70</v>
      </c>
      <c r="B10" s="5">
        <v>46280</v>
      </c>
      <c r="D10" s="12"/>
      <c r="E10" s="12"/>
      <c r="F10" s="19" t="str">
        <f t="shared" si="0"/>
        <v/>
      </c>
      <c r="G10" s="1"/>
      <c r="H10" s="1"/>
      <c r="I10" s="2"/>
      <c r="J10" s="11"/>
      <c r="X10" s="5">
        <f t="shared" si="1"/>
        <v>0</v>
      </c>
      <c r="Y10" s="2">
        <f t="shared" si="2"/>
        <v>0</v>
      </c>
    </row>
    <row r="11" spans="1:26" x14ac:dyDescent="0.25">
      <c r="A11" s="4" t="s">
        <v>10</v>
      </c>
      <c r="B11" s="5">
        <v>46935</v>
      </c>
      <c r="D11" s="12"/>
      <c r="E11" s="12"/>
      <c r="F11" s="19" t="str">
        <f t="shared" si="0"/>
        <v/>
      </c>
      <c r="G11" s="1"/>
      <c r="H11" s="2"/>
      <c r="I11" s="2"/>
      <c r="J11" s="11"/>
      <c r="X11" s="5">
        <f t="shared" si="1"/>
        <v>0</v>
      </c>
      <c r="Y11" s="2">
        <f t="shared" si="2"/>
        <v>0</v>
      </c>
    </row>
    <row r="12" spans="1:26" x14ac:dyDescent="0.25">
      <c r="A12" s="4" t="s">
        <v>71</v>
      </c>
      <c r="B12" s="19">
        <f ca="1">IF(B16&lt;&gt;K3,(TODAY()-B11)*-1,"")</f>
        <v>640</v>
      </c>
      <c r="D12" s="12"/>
      <c r="E12" s="12"/>
      <c r="F12" s="19" t="str">
        <f t="shared" si="0"/>
        <v/>
      </c>
      <c r="G12" s="2"/>
      <c r="H12" s="1"/>
      <c r="I12" s="1"/>
      <c r="J12" s="11"/>
      <c r="X12" s="5">
        <f t="shared" si="1"/>
        <v>0</v>
      </c>
      <c r="Y12" s="2">
        <f t="shared" si="2"/>
        <v>0</v>
      </c>
    </row>
    <row r="13" spans="1:26" x14ac:dyDescent="0.25">
      <c r="A13" s="4"/>
      <c r="B13" s="2"/>
      <c r="D13" s="12"/>
      <c r="E13" s="12"/>
      <c r="F13" s="19" t="str">
        <f t="shared" si="0"/>
        <v/>
      </c>
      <c r="G13" s="1"/>
      <c r="H13" s="2"/>
      <c r="I13" s="2"/>
      <c r="J13" s="11"/>
      <c r="N13" s="14"/>
      <c r="X13" s="5">
        <f t="shared" si="1"/>
        <v>0</v>
      </c>
      <c r="Y13" s="2">
        <f t="shared" si="2"/>
        <v>0</v>
      </c>
    </row>
    <row r="14" spans="1:26" x14ac:dyDescent="0.25">
      <c r="A14" s="13"/>
      <c r="B14" s="20"/>
      <c r="D14" s="12"/>
      <c r="E14" s="5"/>
      <c r="F14" s="19" t="str">
        <f t="shared" si="0"/>
        <v/>
      </c>
      <c r="G14" s="1"/>
      <c r="H14" s="1"/>
      <c r="I14" s="1"/>
      <c r="J14" s="11"/>
      <c r="X14" s="5">
        <f t="shared" si="1"/>
        <v>0</v>
      </c>
      <c r="Y14" s="2">
        <f t="shared" si="2"/>
        <v>0</v>
      </c>
    </row>
    <row r="15" spans="1:26" x14ac:dyDescent="0.25">
      <c r="A15" s="4" t="s">
        <v>1</v>
      </c>
      <c r="B15" s="6">
        <v>0.12</v>
      </c>
      <c r="D15" s="12"/>
      <c r="E15" s="5"/>
      <c r="F15" s="19" t="str">
        <f t="shared" si="0"/>
        <v/>
      </c>
      <c r="G15" s="1"/>
      <c r="H15" s="1"/>
      <c r="I15" s="1"/>
      <c r="J15" s="11"/>
      <c r="K15" s="18"/>
      <c r="L15" s="18"/>
      <c r="M15" s="18"/>
      <c r="N15" s="18"/>
      <c r="O15" s="18"/>
      <c r="P15" s="18"/>
      <c r="Q15" s="18"/>
      <c r="X15" s="5">
        <f t="shared" si="1"/>
        <v>0</v>
      </c>
      <c r="Y15" s="2">
        <f t="shared" si="2"/>
        <v>0</v>
      </c>
    </row>
    <row r="16" spans="1:26" x14ac:dyDescent="0.25">
      <c r="A16" s="4" t="s">
        <v>72</v>
      </c>
      <c r="B16" s="2">
        <v>25.39</v>
      </c>
      <c r="D16" s="12"/>
      <c r="E16" s="5"/>
      <c r="F16" s="19" t="str">
        <f t="shared" si="0"/>
        <v/>
      </c>
      <c r="G16" s="1"/>
      <c r="H16" s="1"/>
      <c r="I16" s="1"/>
      <c r="J16" s="11"/>
      <c r="K16" s="9"/>
      <c r="L16" s="9"/>
      <c r="M16" s="9"/>
      <c r="N16" s="21"/>
      <c r="O16" s="22"/>
      <c r="P16" s="11"/>
      <c r="Q16" s="11"/>
      <c r="X16" s="5">
        <f t="shared" si="1"/>
        <v>0</v>
      </c>
      <c r="Y16" s="2">
        <f t="shared" si="2"/>
        <v>0</v>
      </c>
    </row>
    <row r="17" spans="2:25" x14ac:dyDescent="0.25">
      <c r="D17" s="12"/>
      <c r="E17" s="5"/>
      <c r="F17" s="19" t="str">
        <f t="shared" si="0"/>
        <v/>
      </c>
      <c r="G17" s="1"/>
      <c r="H17" s="1"/>
      <c r="I17" s="1"/>
      <c r="J17" s="11"/>
      <c r="X17" s="5">
        <f t="shared" si="1"/>
        <v>0</v>
      </c>
      <c r="Y17" s="2">
        <f t="shared" si="2"/>
        <v>0</v>
      </c>
    </row>
    <row r="18" spans="2:25" x14ac:dyDescent="0.25">
      <c r="D18" s="12"/>
      <c r="E18" s="5"/>
      <c r="F18" s="19" t="str">
        <f t="shared" si="0"/>
        <v/>
      </c>
      <c r="G18" s="1"/>
      <c r="H18" s="1"/>
      <c r="I18" s="1"/>
      <c r="J18" s="11"/>
      <c r="X18" s="5">
        <f t="shared" si="1"/>
        <v>0</v>
      </c>
      <c r="Y18" s="2">
        <f t="shared" si="2"/>
        <v>0</v>
      </c>
    </row>
    <row r="19" spans="2:25" x14ac:dyDescent="0.25">
      <c r="D19" s="12"/>
      <c r="E19" s="5"/>
      <c r="F19" s="19" t="str">
        <f t="shared" si="0"/>
        <v/>
      </c>
      <c r="G19" s="1"/>
      <c r="H19" s="1"/>
      <c r="I19" s="1"/>
      <c r="J19" s="11"/>
      <c r="X19" s="5">
        <f t="shared" si="1"/>
        <v>0</v>
      </c>
      <c r="Y19" s="2">
        <f t="shared" si="2"/>
        <v>0</v>
      </c>
    </row>
    <row r="20" spans="2:25" x14ac:dyDescent="0.25">
      <c r="D20" s="12"/>
      <c r="E20" s="5"/>
      <c r="F20" s="19" t="str">
        <f t="shared" si="0"/>
        <v/>
      </c>
      <c r="G20" s="1"/>
      <c r="H20" s="1"/>
      <c r="I20" s="1"/>
      <c r="J20" s="11"/>
      <c r="X20" s="5">
        <f t="shared" si="1"/>
        <v>0</v>
      </c>
      <c r="Y20" s="2">
        <f t="shared" si="2"/>
        <v>0</v>
      </c>
    </row>
    <row r="21" spans="2:25" x14ac:dyDescent="0.25">
      <c r="D21" s="12"/>
      <c r="E21" s="5"/>
      <c r="F21" s="19" t="str">
        <f t="shared" si="0"/>
        <v/>
      </c>
      <c r="G21" s="1"/>
      <c r="H21" s="1"/>
      <c r="I21" s="1"/>
      <c r="J21" s="11"/>
      <c r="X21" s="5">
        <f t="shared" si="1"/>
        <v>0</v>
      </c>
      <c r="Y21" s="2">
        <f t="shared" si="2"/>
        <v>0</v>
      </c>
    </row>
    <row r="22" spans="2:25" x14ac:dyDescent="0.25">
      <c r="D22" s="12"/>
      <c r="E22" s="5"/>
      <c r="F22" s="19" t="str">
        <f t="shared" si="0"/>
        <v/>
      </c>
      <c r="G22" s="1"/>
      <c r="H22" s="1"/>
      <c r="I22" s="1"/>
      <c r="J22" s="11"/>
      <c r="X22" s="5">
        <f t="shared" si="1"/>
        <v>0</v>
      </c>
      <c r="Y22" s="2">
        <f t="shared" si="2"/>
        <v>0</v>
      </c>
    </row>
    <row r="23" spans="2:25" x14ac:dyDescent="0.25">
      <c r="B23" s="22"/>
      <c r="D23" s="12"/>
      <c r="E23" s="5"/>
      <c r="F23" s="19" t="str">
        <f t="shared" si="0"/>
        <v/>
      </c>
      <c r="G23" s="1"/>
      <c r="H23" s="1"/>
      <c r="I23" s="1"/>
      <c r="J23" s="11"/>
      <c r="X23" s="5">
        <f t="shared" si="1"/>
        <v>0</v>
      </c>
      <c r="Y23" s="2">
        <f t="shared" si="2"/>
        <v>0</v>
      </c>
    </row>
    <row r="24" spans="2:25" x14ac:dyDescent="0.25">
      <c r="D24" s="12"/>
      <c r="E24" s="5"/>
      <c r="F24" s="19" t="str">
        <f t="shared" si="0"/>
        <v/>
      </c>
      <c r="G24" s="1"/>
      <c r="H24" s="1"/>
      <c r="I24" s="1"/>
      <c r="J24" s="11"/>
      <c r="X24" s="5">
        <f t="shared" si="1"/>
        <v>0</v>
      </c>
      <c r="Y24" s="2">
        <f t="shared" si="2"/>
        <v>0</v>
      </c>
    </row>
    <row r="25" spans="2:25" x14ac:dyDescent="0.25">
      <c r="D25" s="12"/>
      <c r="E25" s="5"/>
      <c r="F25" s="19" t="str">
        <f t="shared" si="0"/>
        <v/>
      </c>
      <c r="G25" s="1"/>
      <c r="H25" s="1"/>
      <c r="I25" s="1"/>
      <c r="J25" s="11"/>
      <c r="X25" s="5">
        <f t="shared" si="1"/>
        <v>0</v>
      </c>
      <c r="Y25" s="2">
        <f t="shared" si="2"/>
        <v>0</v>
      </c>
    </row>
    <row r="26" spans="2:25" x14ac:dyDescent="0.25">
      <c r="D26" s="12"/>
      <c r="E26" s="5"/>
      <c r="F26" s="19" t="str">
        <f t="shared" si="0"/>
        <v/>
      </c>
      <c r="G26" s="1"/>
      <c r="H26" s="1"/>
      <c r="I26" s="1"/>
      <c r="J26" s="11"/>
      <c r="X26" s="5">
        <f t="shared" si="1"/>
        <v>0</v>
      </c>
      <c r="Y26" s="2">
        <f t="shared" si="2"/>
        <v>0</v>
      </c>
    </row>
    <row r="27" spans="2:25" x14ac:dyDescent="0.25">
      <c r="D27" s="12"/>
      <c r="E27" s="5"/>
      <c r="F27" s="19" t="str">
        <f t="shared" si="0"/>
        <v/>
      </c>
      <c r="G27" s="1"/>
      <c r="H27" s="1"/>
      <c r="I27" s="1"/>
      <c r="J27" s="11"/>
      <c r="X27" s="5">
        <f t="shared" si="1"/>
        <v>0</v>
      </c>
      <c r="Y27" s="2">
        <f t="shared" si="2"/>
        <v>0</v>
      </c>
    </row>
    <row r="28" spans="2:25" x14ac:dyDescent="0.25">
      <c r="D28" s="12"/>
      <c r="E28" s="5"/>
      <c r="F28" s="19" t="str">
        <f t="shared" si="0"/>
        <v/>
      </c>
      <c r="G28" s="1"/>
      <c r="H28" s="1"/>
      <c r="I28" s="1"/>
      <c r="J28" s="11"/>
      <c r="X28" s="5">
        <f t="shared" si="1"/>
        <v>0</v>
      </c>
      <c r="Y28" s="2">
        <f t="shared" si="2"/>
        <v>0</v>
      </c>
    </row>
    <row r="29" spans="2:25" x14ac:dyDescent="0.25">
      <c r="D29" s="12"/>
      <c r="E29" s="5"/>
      <c r="F29" s="19" t="str">
        <f t="shared" si="0"/>
        <v/>
      </c>
      <c r="G29" s="1"/>
      <c r="H29" s="1"/>
      <c r="I29" s="1"/>
      <c r="J29" s="11"/>
      <c r="X29" s="5">
        <f t="shared" si="1"/>
        <v>0</v>
      </c>
      <c r="Y29" s="2">
        <f t="shared" si="2"/>
        <v>0</v>
      </c>
    </row>
    <row r="30" spans="2:25" x14ac:dyDescent="0.25">
      <c r="D30" s="12"/>
      <c r="E30" s="5"/>
      <c r="F30" s="19" t="str">
        <f t="shared" si="0"/>
        <v/>
      </c>
      <c r="G30" s="1"/>
      <c r="H30" s="1"/>
      <c r="I30" s="1"/>
      <c r="J30" s="11"/>
      <c r="X30" s="5">
        <f t="shared" si="1"/>
        <v>0</v>
      </c>
      <c r="Y30" s="2">
        <f t="shared" si="2"/>
        <v>0</v>
      </c>
    </row>
    <row r="31" spans="2:25" x14ac:dyDescent="0.25">
      <c r="D31" s="12"/>
      <c r="E31" s="5"/>
      <c r="F31" s="19" t="str">
        <f t="shared" si="0"/>
        <v/>
      </c>
      <c r="G31" s="1"/>
      <c r="H31" s="1"/>
      <c r="I31" s="1"/>
      <c r="J31" s="11"/>
      <c r="X31" s="5">
        <f t="shared" si="1"/>
        <v>0</v>
      </c>
      <c r="Y31" s="2">
        <f t="shared" si="2"/>
        <v>0</v>
      </c>
    </row>
    <row r="32" spans="2:25" x14ac:dyDescent="0.25">
      <c r="D32" s="12"/>
      <c r="E32" s="5"/>
      <c r="F32" s="19" t="str">
        <f t="shared" si="0"/>
        <v/>
      </c>
      <c r="G32" s="1"/>
      <c r="H32" s="1"/>
      <c r="I32" s="1"/>
      <c r="J32" s="11"/>
      <c r="X32" s="5">
        <f t="shared" si="1"/>
        <v>0</v>
      </c>
      <c r="Y32" s="2">
        <f t="shared" si="2"/>
        <v>0</v>
      </c>
    </row>
    <row r="33" spans="4:25" x14ac:dyDescent="0.25">
      <c r="D33" s="12"/>
      <c r="E33" s="5"/>
      <c r="F33" s="19" t="str">
        <f t="shared" si="0"/>
        <v/>
      </c>
      <c r="G33" s="1"/>
      <c r="H33" s="1"/>
      <c r="I33" s="1"/>
      <c r="J33" s="11"/>
      <c r="X33" s="5">
        <f t="shared" si="1"/>
        <v>0</v>
      </c>
      <c r="Y33" s="2">
        <f t="shared" si="2"/>
        <v>0</v>
      </c>
    </row>
    <row r="34" spans="4:25" x14ac:dyDescent="0.25">
      <c r="D34" s="12"/>
      <c r="E34" s="5"/>
      <c r="F34" s="19" t="str">
        <f t="shared" si="0"/>
        <v/>
      </c>
      <c r="G34" s="1"/>
      <c r="H34" s="1"/>
      <c r="I34" s="1"/>
      <c r="J34" s="11"/>
      <c r="X34" s="5">
        <f t="shared" si="1"/>
        <v>0</v>
      </c>
      <c r="Y34" s="2">
        <f t="shared" si="2"/>
        <v>0</v>
      </c>
    </row>
    <row r="35" spans="4:25" x14ac:dyDescent="0.25">
      <c r="D35" s="12"/>
      <c r="E35" s="5"/>
      <c r="F35" s="19" t="str">
        <f t="shared" si="0"/>
        <v/>
      </c>
      <c r="G35" s="1"/>
      <c r="H35" s="1"/>
      <c r="I35" s="1"/>
      <c r="J35" s="11"/>
      <c r="X35" s="5">
        <f t="shared" si="1"/>
        <v>0</v>
      </c>
      <c r="Y35" s="2">
        <f t="shared" si="2"/>
        <v>0</v>
      </c>
    </row>
    <row r="36" spans="4:25" x14ac:dyDescent="0.25">
      <c r="D36" s="12"/>
      <c r="E36" s="5"/>
      <c r="F36" s="19" t="str">
        <f t="shared" si="0"/>
        <v/>
      </c>
      <c r="G36" s="1"/>
      <c r="H36" s="1"/>
      <c r="I36" s="1"/>
      <c r="J36" s="11"/>
      <c r="X36" s="5">
        <f t="shared" si="1"/>
        <v>0</v>
      </c>
      <c r="Y36" s="2">
        <f t="shared" si="2"/>
        <v>0</v>
      </c>
    </row>
    <row r="37" spans="4:25" x14ac:dyDescent="0.25">
      <c r="D37" s="12"/>
      <c r="E37" s="5"/>
      <c r="F37" s="19" t="str">
        <f t="shared" si="0"/>
        <v/>
      </c>
      <c r="G37" s="1"/>
      <c r="H37" s="1"/>
      <c r="I37" s="1"/>
      <c r="J37" s="11"/>
      <c r="X37" s="5">
        <f t="shared" si="1"/>
        <v>0</v>
      </c>
      <c r="Y37" s="2">
        <f t="shared" si="2"/>
        <v>0</v>
      </c>
    </row>
    <row r="38" spans="4:25" x14ac:dyDescent="0.25">
      <c r="D38" s="12"/>
      <c r="E38" s="5"/>
      <c r="F38" s="19" t="str">
        <f t="shared" si="0"/>
        <v/>
      </c>
      <c r="G38" s="1"/>
      <c r="H38" s="1"/>
      <c r="I38" s="1"/>
      <c r="J38" s="11"/>
      <c r="X38" s="5">
        <f t="shared" si="1"/>
        <v>0</v>
      </c>
      <c r="Y38" s="2">
        <f t="shared" si="2"/>
        <v>0</v>
      </c>
    </row>
    <row r="39" spans="4:25" x14ac:dyDescent="0.25">
      <c r="D39" s="12"/>
      <c r="E39" s="5"/>
      <c r="F39" s="19" t="str">
        <f t="shared" si="0"/>
        <v/>
      </c>
      <c r="G39" s="1"/>
      <c r="H39" s="1"/>
      <c r="I39" s="1"/>
      <c r="J39" s="11"/>
      <c r="X39" s="5">
        <f t="shared" si="1"/>
        <v>0</v>
      </c>
      <c r="Y39" s="2">
        <f t="shared" si="2"/>
        <v>0</v>
      </c>
    </row>
    <row r="40" spans="4:25" x14ac:dyDescent="0.25">
      <c r="D40" s="12"/>
      <c r="E40" s="5"/>
      <c r="F40" s="19" t="str">
        <f t="shared" si="0"/>
        <v/>
      </c>
      <c r="G40" s="1"/>
      <c r="H40" s="1"/>
      <c r="I40" s="1"/>
      <c r="J40" s="11"/>
      <c r="X40" s="5">
        <f t="shared" si="1"/>
        <v>0</v>
      </c>
      <c r="Y40" s="2">
        <f t="shared" si="2"/>
        <v>0</v>
      </c>
    </row>
    <row r="41" spans="4:25" x14ac:dyDescent="0.25">
      <c r="D41" s="12"/>
      <c r="E41" s="5"/>
      <c r="F41" s="19" t="str">
        <f t="shared" si="0"/>
        <v/>
      </c>
      <c r="G41" s="1"/>
      <c r="H41" s="1"/>
      <c r="I41" s="1"/>
      <c r="J41" s="11"/>
      <c r="X41" s="5">
        <f t="shared" si="1"/>
        <v>0</v>
      </c>
      <c r="Y41" s="2">
        <f t="shared" si="2"/>
        <v>0</v>
      </c>
    </row>
    <row r="42" spans="4:25" x14ac:dyDescent="0.25">
      <c r="D42" s="12"/>
      <c r="E42" s="5"/>
      <c r="F42" s="19" t="str">
        <f t="shared" si="0"/>
        <v/>
      </c>
      <c r="G42" s="1"/>
      <c r="H42" s="1"/>
      <c r="I42" s="1"/>
      <c r="J42" s="11"/>
      <c r="X42" s="5">
        <f t="shared" si="1"/>
        <v>0</v>
      </c>
      <c r="Y42" s="2">
        <f t="shared" si="2"/>
        <v>0</v>
      </c>
    </row>
    <row r="43" spans="4:25" x14ac:dyDescent="0.25">
      <c r="D43" s="12"/>
      <c r="E43" s="5"/>
      <c r="F43" s="19" t="str">
        <f t="shared" si="0"/>
        <v/>
      </c>
      <c r="G43" s="1"/>
      <c r="H43" s="1"/>
      <c r="I43" s="1"/>
      <c r="J43" s="11"/>
      <c r="X43" s="5">
        <f t="shared" si="1"/>
        <v>0</v>
      </c>
      <c r="Y43" s="2">
        <f t="shared" si="2"/>
        <v>0</v>
      </c>
    </row>
    <row r="44" spans="4:25" x14ac:dyDescent="0.25">
      <c r="D44" s="12"/>
      <c r="E44" s="5"/>
      <c r="F44" s="19" t="str">
        <f t="shared" si="0"/>
        <v/>
      </c>
      <c r="G44" s="1"/>
      <c r="H44" s="1"/>
      <c r="I44" s="1"/>
      <c r="J44" s="11"/>
      <c r="X44" s="5">
        <f t="shared" si="1"/>
        <v>0</v>
      </c>
      <c r="Y44" s="2">
        <f t="shared" si="2"/>
        <v>0</v>
      </c>
    </row>
    <row r="45" spans="4:25" x14ac:dyDescent="0.25">
      <c r="D45" s="12"/>
      <c r="E45" s="5"/>
      <c r="F45" s="19" t="str">
        <f t="shared" si="0"/>
        <v/>
      </c>
      <c r="G45" s="1"/>
      <c r="H45" s="1"/>
      <c r="I45" s="1"/>
      <c r="J45" s="11"/>
      <c r="X45" s="5">
        <f t="shared" si="1"/>
        <v>0</v>
      </c>
      <c r="Y45" s="2">
        <f t="shared" si="2"/>
        <v>0</v>
      </c>
    </row>
    <row r="46" spans="4:25" x14ac:dyDescent="0.25">
      <c r="D46" s="12"/>
      <c r="E46" s="5"/>
      <c r="F46" s="19" t="str">
        <f t="shared" si="0"/>
        <v/>
      </c>
      <c r="G46" s="1"/>
      <c r="H46" s="1"/>
      <c r="I46" s="1"/>
      <c r="J46" s="11"/>
      <c r="X46" s="5">
        <f t="shared" si="1"/>
        <v>0</v>
      </c>
      <c r="Y46" s="2">
        <f t="shared" si="2"/>
        <v>0</v>
      </c>
    </row>
    <row r="47" spans="4:25" x14ac:dyDescent="0.25">
      <c r="D47" s="12"/>
      <c r="E47" s="5"/>
      <c r="F47" s="19" t="str">
        <f t="shared" si="0"/>
        <v/>
      </c>
      <c r="G47" s="1"/>
      <c r="H47" s="1"/>
      <c r="I47" s="1"/>
      <c r="J47" s="11"/>
      <c r="X47" s="5">
        <f t="shared" si="1"/>
        <v>0</v>
      </c>
      <c r="Y47" s="2">
        <f t="shared" si="2"/>
        <v>0</v>
      </c>
    </row>
    <row r="48" spans="4:25" x14ac:dyDescent="0.25">
      <c r="D48" s="12"/>
      <c r="E48" s="5"/>
      <c r="F48" s="19" t="str">
        <f t="shared" si="0"/>
        <v/>
      </c>
      <c r="G48" s="1"/>
      <c r="H48" s="1"/>
      <c r="I48" s="1"/>
      <c r="J48" s="11"/>
      <c r="X48" s="5">
        <f t="shared" si="1"/>
        <v>0</v>
      </c>
      <c r="Y48" s="2">
        <f t="shared" si="2"/>
        <v>0</v>
      </c>
    </row>
    <row r="49" spans="4:25" x14ac:dyDescent="0.25">
      <c r="D49" s="12"/>
      <c r="E49" s="5"/>
      <c r="F49" s="19" t="str">
        <f t="shared" si="0"/>
        <v/>
      </c>
      <c r="G49" s="1"/>
      <c r="H49" s="1"/>
      <c r="I49" s="1"/>
      <c r="J49" s="11"/>
      <c r="X49" s="5">
        <f t="shared" si="1"/>
        <v>0</v>
      </c>
      <c r="Y49" s="2">
        <f t="shared" si="2"/>
        <v>0</v>
      </c>
    </row>
    <row r="50" spans="4:25" x14ac:dyDescent="0.25">
      <c r="D50" s="12"/>
      <c r="E50" s="5"/>
      <c r="F50" s="19" t="str">
        <f t="shared" si="0"/>
        <v/>
      </c>
      <c r="G50" s="1"/>
      <c r="H50" s="1"/>
      <c r="I50" s="1"/>
      <c r="J50" s="11"/>
      <c r="X50" s="5">
        <f t="shared" si="1"/>
        <v>0</v>
      </c>
      <c r="Y50" s="2">
        <f t="shared" si="2"/>
        <v>0</v>
      </c>
    </row>
    <row r="51" spans="4:25" x14ac:dyDescent="0.25">
      <c r="D51" s="12"/>
      <c r="E51" s="5"/>
      <c r="F51" s="19" t="str">
        <f t="shared" si="0"/>
        <v/>
      </c>
      <c r="G51" s="1"/>
      <c r="H51" s="1"/>
      <c r="I51" s="1"/>
      <c r="J51" s="11"/>
      <c r="X51" s="5">
        <f t="shared" si="1"/>
        <v>0</v>
      </c>
      <c r="Y51" s="2">
        <f t="shared" si="2"/>
        <v>0</v>
      </c>
    </row>
    <row r="52" spans="4:25" x14ac:dyDescent="0.25">
      <c r="D52" s="12"/>
      <c r="E52" s="5"/>
      <c r="F52" s="19" t="str">
        <f t="shared" si="0"/>
        <v/>
      </c>
      <c r="G52" s="1"/>
      <c r="H52" s="1"/>
      <c r="I52" s="1"/>
      <c r="J52" s="9"/>
      <c r="X52" s="5">
        <f t="shared" si="1"/>
        <v>0</v>
      </c>
      <c r="Y52" s="2">
        <f t="shared" si="2"/>
        <v>0</v>
      </c>
    </row>
    <row r="53" spans="4:25" x14ac:dyDescent="0.25">
      <c r="D53" s="1" t="s">
        <v>25</v>
      </c>
      <c r="E53" s="23"/>
      <c r="F53" s="2"/>
      <c r="G53" s="2">
        <f>SUM(G3:G52)</f>
        <v>4.16</v>
      </c>
      <c r="H53" s="2">
        <f t="shared" ref="H53:I53" si="3">SUM(H3:H52)</f>
        <v>0.1</v>
      </c>
      <c r="I53" s="2">
        <f t="shared" si="3"/>
        <v>0</v>
      </c>
    </row>
  </sheetData>
  <mergeCells count="4">
    <mergeCell ref="D1:F1"/>
    <mergeCell ref="G1:I1"/>
    <mergeCell ref="K1:Q1"/>
    <mergeCell ref="X1:Z1"/>
  </mergeCells>
  <conditionalFormatting sqref="A1:B1">
    <cfRule type="expression" dxfId="211" priority="1">
      <formula>$Z$3="+"</formula>
    </cfRule>
    <cfRule type="expression" dxfId="210" priority="2">
      <formula>$B$16=$K$3</formula>
    </cfRule>
  </conditionalFormatting>
  <conditionalFormatting sqref="P3">
    <cfRule type="expression" dxfId="209" priority="3">
      <formula>$Z$3="+"</formula>
    </cfRule>
  </conditionalFormatting>
  <conditionalFormatting sqref="Z3">
    <cfRule type="expression" dxfId="208" priority="4">
      <formula>$Z$3="+"</formula>
    </cfRule>
  </conditionalFormatting>
  <dataValidations count="1">
    <dataValidation type="list" allowBlank="1" showInputMessage="1" showErrorMessage="1" sqref="B2" xr:uid="{C391F3C2-EFCD-4A6C-BBA9-9F2722D2E823}">
      <formula1>"Romania,Moldova,Cyprus,Philippines"</formula1>
    </dataValidation>
  </dataValidation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98CA2-3934-4937-9BE6-48F87374B002}">
  <dimension ref="A1:Z53"/>
  <sheetViews>
    <sheetView workbookViewId="0">
      <selection activeCell="D3" sqref="D3:E3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1" customWidth="1"/>
    <col min="25" max="25" width="10.7109375" style="11" customWidth="1"/>
    <col min="26" max="26" width="10.7109375" customWidth="1"/>
  </cols>
  <sheetData>
    <row r="1" spans="1:26" x14ac:dyDescent="0.25">
      <c r="A1" s="4" t="s">
        <v>66</v>
      </c>
      <c r="B1" s="5" t="s">
        <v>102</v>
      </c>
      <c r="D1" s="29" t="s">
        <v>2</v>
      </c>
      <c r="E1" s="30"/>
      <c r="F1" s="31"/>
      <c r="G1" s="29" t="s">
        <v>0</v>
      </c>
      <c r="H1" s="30"/>
      <c r="I1" s="31"/>
      <c r="J1" s="18"/>
      <c r="K1" s="29" t="s">
        <v>58</v>
      </c>
      <c r="L1" s="30"/>
      <c r="M1" s="30"/>
      <c r="N1" s="30"/>
      <c r="O1" s="30"/>
      <c r="P1" s="30"/>
      <c r="Q1" s="31"/>
      <c r="X1" s="29"/>
      <c r="Y1" s="30"/>
      <c r="Z1" s="31"/>
    </row>
    <row r="2" spans="1:26" x14ac:dyDescent="0.25">
      <c r="A2" s="4" t="s">
        <v>21</v>
      </c>
      <c r="B2" s="5" t="s">
        <v>32</v>
      </c>
      <c r="D2" s="10" t="s">
        <v>49</v>
      </c>
      <c r="E2" s="10" t="s">
        <v>50</v>
      </c>
      <c r="F2" s="17" t="s">
        <v>67</v>
      </c>
      <c r="G2" s="10" t="s">
        <v>15</v>
      </c>
      <c r="H2" s="10" t="s">
        <v>16</v>
      </c>
      <c r="I2" s="10" t="s">
        <v>60</v>
      </c>
      <c r="J2" s="9"/>
      <c r="K2" s="10" t="s">
        <v>0</v>
      </c>
      <c r="L2" s="10" t="s">
        <v>1</v>
      </c>
      <c r="M2" s="10" t="s">
        <v>56</v>
      </c>
      <c r="N2" s="10" t="s">
        <v>57</v>
      </c>
      <c r="O2" s="10" t="s">
        <v>2</v>
      </c>
      <c r="P2" s="10" t="s">
        <v>68</v>
      </c>
      <c r="Q2" s="10" t="s">
        <v>67</v>
      </c>
      <c r="X2" s="10" t="s">
        <v>2</v>
      </c>
      <c r="Y2" s="10" t="s">
        <v>59</v>
      </c>
      <c r="Z2" s="10" t="s">
        <v>68</v>
      </c>
    </row>
    <row r="3" spans="1:26" x14ac:dyDescent="0.25">
      <c r="A3" s="4" t="s">
        <v>69</v>
      </c>
      <c r="B3" s="5" t="s">
        <v>78</v>
      </c>
      <c r="D3" s="12">
        <v>46295</v>
      </c>
      <c r="E3" s="12">
        <v>46295</v>
      </c>
      <c r="F3" s="19">
        <f t="shared" ref="F3:F52" si="0">IF(E3&gt;0,E3-D3,"")</f>
        <v>0</v>
      </c>
      <c r="G3" s="2">
        <v>0</v>
      </c>
      <c r="H3" s="2">
        <v>0</v>
      </c>
      <c r="I3" s="2">
        <v>0</v>
      </c>
      <c r="J3" s="11"/>
      <c r="K3" s="2">
        <f>G53</f>
        <v>0</v>
      </c>
      <c r="L3" s="2">
        <f>H53</f>
        <v>0</v>
      </c>
      <c r="M3" s="2">
        <f>I53</f>
        <v>0</v>
      </c>
      <c r="N3" s="6" t="str">
        <f>IF(B16=K3,XIRR(Y3:Y52,X3:X52),"")</f>
        <v/>
      </c>
      <c r="O3" s="5" t="str">
        <f>IF(B16=K3,MAX(E:E),"")</f>
        <v/>
      </c>
      <c r="P3" s="1" t="str">
        <f ca="1">IF(Z3="+",TODAY()-B11,"")</f>
        <v/>
      </c>
      <c r="Q3" s="1" t="str">
        <f>IF(B16=K3,MAX(E:E)-B11,"")</f>
        <v/>
      </c>
      <c r="T3" s="14"/>
      <c r="X3" s="5">
        <f>B9</f>
        <v>46282</v>
      </c>
      <c r="Y3" s="2">
        <f>B16*-1</f>
        <v>-20</v>
      </c>
      <c r="Z3" s="1" t="str">
        <f ca="1">IF(AND(TODAY()&gt;B11, K3&lt;&gt;B16), "+", "")</f>
        <v/>
      </c>
    </row>
    <row r="4" spans="1:26" x14ac:dyDescent="0.25">
      <c r="A4" s="4" t="s">
        <v>19</v>
      </c>
      <c r="B4" s="5" t="s">
        <v>20</v>
      </c>
      <c r="D4" s="12"/>
      <c r="E4" s="12"/>
      <c r="F4" s="19" t="str">
        <f t="shared" si="0"/>
        <v/>
      </c>
      <c r="G4" s="2"/>
      <c r="H4" s="2"/>
      <c r="I4" s="2"/>
      <c r="J4" s="9"/>
      <c r="X4" s="5">
        <f>E3</f>
        <v>46295</v>
      </c>
      <c r="Y4" s="2">
        <f>G3+H3-I3</f>
        <v>0</v>
      </c>
    </row>
    <row r="5" spans="1:26" x14ac:dyDescent="0.25">
      <c r="A5" s="4"/>
      <c r="B5" s="5"/>
      <c r="D5" s="12"/>
      <c r="E5" s="12"/>
      <c r="F5" s="19" t="str">
        <f t="shared" si="0"/>
        <v/>
      </c>
      <c r="G5" s="2"/>
      <c r="H5" s="1"/>
      <c r="I5" s="2"/>
      <c r="J5" s="9"/>
      <c r="X5" s="5">
        <f t="shared" ref="X5:X52" si="1">E4</f>
        <v>0</v>
      </c>
      <c r="Y5" s="2">
        <f t="shared" ref="Y5:Y52" si="2">G4+H4-I4</f>
        <v>0</v>
      </c>
    </row>
    <row r="6" spans="1:26" x14ac:dyDescent="0.25">
      <c r="A6" s="4"/>
      <c r="B6" s="5"/>
      <c r="D6" s="12"/>
      <c r="E6" s="12"/>
      <c r="F6" s="19" t="str">
        <f t="shared" si="0"/>
        <v/>
      </c>
      <c r="G6" s="2"/>
      <c r="H6" s="1"/>
      <c r="I6" s="2"/>
      <c r="J6" s="9"/>
      <c r="X6" s="5">
        <f t="shared" si="1"/>
        <v>0</v>
      </c>
      <c r="Y6" s="2">
        <f t="shared" si="2"/>
        <v>0</v>
      </c>
    </row>
    <row r="7" spans="1:26" x14ac:dyDescent="0.25">
      <c r="A7" s="4"/>
      <c r="B7" s="5"/>
      <c r="D7" s="12"/>
      <c r="E7" s="12"/>
      <c r="F7" s="19" t="str">
        <f t="shared" si="0"/>
        <v/>
      </c>
      <c r="G7" s="2"/>
      <c r="H7" s="1"/>
      <c r="I7" s="2"/>
      <c r="J7" s="11"/>
      <c r="X7" s="5">
        <f t="shared" si="1"/>
        <v>0</v>
      </c>
      <c r="Y7" s="2">
        <f t="shared" si="2"/>
        <v>0</v>
      </c>
    </row>
    <row r="8" spans="1:26" x14ac:dyDescent="0.25">
      <c r="A8" s="4" t="s">
        <v>24</v>
      </c>
      <c r="B8" s="5" t="str">
        <f>DATEDIF(B9,B11,"y") &amp; " m. " &amp; DATEDIF(B9,B11,"ym") &amp; " mėn. " &amp; DATEDIF(B9,B11,"md") &amp; " d."</f>
        <v>0 m. 8 mėn. 5 d.</v>
      </c>
      <c r="D8" s="12"/>
      <c r="E8" s="12"/>
      <c r="F8" s="19" t="str">
        <f t="shared" si="0"/>
        <v/>
      </c>
      <c r="G8" s="1"/>
      <c r="H8" s="1"/>
      <c r="I8" s="2"/>
      <c r="J8" s="9"/>
      <c r="X8" s="5">
        <f t="shared" si="1"/>
        <v>0</v>
      </c>
      <c r="Y8" s="2">
        <f t="shared" si="2"/>
        <v>0</v>
      </c>
    </row>
    <row r="9" spans="1:26" x14ac:dyDescent="0.25">
      <c r="A9" s="4" t="s">
        <v>11</v>
      </c>
      <c r="B9" s="5">
        <v>46282</v>
      </c>
      <c r="D9" s="12"/>
      <c r="E9" s="12"/>
      <c r="F9" s="19"/>
      <c r="G9" s="2"/>
      <c r="H9" s="2"/>
      <c r="I9" s="2"/>
      <c r="J9" s="11"/>
      <c r="X9" s="5">
        <f t="shared" si="1"/>
        <v>0</v>
      </c>
      <c r="Y9" s="2">
        <f t="shared" si="2"/>
        <v>0</v>
      </c>
    </row>
    <row r="10" spans="1:26" x14ac:dyDescent="0.25">
      <c r="A10" s="4" t="s">
        <v>70</v>
      </c>
      <c r="B10" s="5">
        <v>46259</v>
      </c>
      <c r="D10" s="12"/>
      <c r="E10" s="12"/>
      <c r="F10" s="19" t="str">
        <f t="shared" si="0"/>
        <v/>
      </c>
      <c r="G10" s="1"/>
      <c r="H10" s="1"/>
      <c r="I10" s="2"/>
      <c r="J10" s="11"/>
      <c r="X10" s="5">
        <f t="shared" si="1"/>
        <v>0</v>
      </c>
      <c r="Y10" s="2">
        <f t="shared" si="2"/>
        <v>0</v>
      </c>
    </row>
    <row r="11" spans="1:26" x14ac:dyDescent="0.25">
      <c r="A11" s="4" t="s">
        <v>10</v>
      </c>
      <c r="B11" s="5">
        <v>46529</v>
      </c>
      <c r="D11" s="12"/>
      <c r="E11" s="12"/>
      <c r="F11" s="19" t="str">
        <f t="shared" si="0"/>
        <v/>
      </c>
      <c r="G11" s="1"/>
      <c r="H11" s="2"/>
      <c r="I11" s="2"/>
      <c r="J11" s="11"/>
      <c r="X11" s="5">
        <f t="shared" si="1"/>
        <v>0</v>
      </c>
      <c r="Y11" s="2">
        <f t="shared" si="2"/>
        <v>0</v>
      </c>
    </row>
    <row r="12" spans="1:26" x14ac:dyDescent="0.25">
      <c r="A12" s="4" t="s">
        <v>71</v>
      </c>
      <c r="B12" s="19">
        <f ca="1">IF(B16&lt;&gt;K3,(TODAY()-B11)*-1,"")</f>
        <v>234</v>
      </c>
      <c r="D12" s="12"/>
      <c r="E12" s="12"/>
      <c r="F12" s="19" t="str">
        <f t="shared" si="0"/>
        <v/>
      </c>
      <c r="G12" s="2"/>
      <c r="H12" s="1"/>
      <c r="I12" s="1"/>
      <c r="J12" s="11"/>
      <c r="X12" s="5">
        <f t="shared" si="1"/>
        <v>0</v>
      </c>
      <c r="Y12" s="2">
        <f t="shared" si="2"/>
        <v>0</v>
      </c>
    </row>
    <row r="13" spans="1:26" x14ac:dyDescent="0.25">
      <c r="A13" s="4"/>
      <c r="B13" s="2"/>
      <c r="D13" s="12"/>
      <c r="E13" s="12"/>
      <c r="F13" s="19" t="str">
        <f t="shared" si="0"/>
        <v/>
      </c>
      <c r="G13" s="1"/>
      <c r="H13" s="2"/>
      <c r="I13" s="2"/>
      <c r="J13" s="11"/>
      <c r="N13" s="14"/>
      <c r="X13" s="5">
        <f t="shared" si="1"/>
        <v>0</v>
      </c>
      <c r="Y13" s="2">
        <f t="shared" si="2"/>
        <v>0</v>
      </c>
    </row>
    <row r="14" spans="1:26" x14ac:dyDescent="0.25">
      <c r="A14" s="13"/>
      <c r="B14" s="20"/>
      <c r="D14" s="12"/>
      <c r="E14" s="5"/>
      <c r="F14" s="19" t="str">
        <f t="shared" si="0"/>
        <v/>
      </c>
      <c r="G14" s="1"/>
      <c r="H14" s="1"/>
      <c r="I14" s="1"/>
      <c r="J14" s="11"/>
      <c r="X14" s="5">
        <f t="shared" si="1"/>
        <v>0</v>
      </c>
      <c r="Y14" s="2">
        <f t="shared" si="2"/>
        <v>0</v>
      </c>
    </row>
    <row r="15" spans="1:26" x14ac:dyDescent="0.25">
      <c r="A15" s="4" t="s">
        <v>1</v>
      </c>
      <c r="B15" s="6">
        <v>0.12</v>
      </c>
      <c r="D15" s="12"/>
      <c r="E15" s="5"/>
      <c r="F15" s="19" t="str">
        <f t="shared" si="0"/>
        <v/>
      </c>
      <c r="G15" s="1"/>
      <c r="H15" s="1"/>
      <c r="I15" s="1"/>
      <c r="J15" s="11"/>
      <c r="K15" s="18"/>
      <c r="L15" s="18"/>
      <c r="M15" s="18"/>
      <c r="N15" s="18"/>
      <c r="O15" s="18"/>
      <c r="P15" s="18"/>
      <c r="Q15" s="18"/>
      <c r="X15" s="5">
        <f t="shared" si="1"/>
        <v>0</v>
      </c>
      <c r="Y15" s="2">
        <f t="shared" si="2"/>
        <v>0</v>
      </c>
    </row>
    <row r="16" spans="1:26" x14ac:dyDescent="0.25">
      <c r="A16" s="4" t="s">
        <v>72</v>
      </c>
      <c r="B16" s="2">
        <v>20</v>
      </c>
      <c r="D16" s="12"/>
      <c r="E16" s="5"/>
      <c r="F16" s="19" t="str">
        <f t="shared" si="0"/>
        <v/>
      </c>
      <c r="G16" s="1"/>
      <c r="H16" s="1"/>
      <c r="I16" s="1"/>
      <c r="J16" s="11"/>
      <c r="K16" s="9"/>
      <c r="L16" s="9"/>
      <c r="M16" s="9"/>
      <c r="N16" s="21"/>
      <c r="O16" s="22"/>
      <c r="P16" s="11"/>
      <c r="Q16" s="11"/>
      <c r="X16" s="5">
        <f t="shared" si="1"/>
        <v>0</v>
      </c>
      <c r="Y16" s="2">
        <f t="shared" si="2"/>
        <v>0</v>
      </c>
    </row>
    <row r="17" spans="2:25" x14ac:dyDescent="0.25">
      <c r="D17" s="12"/>
      <c r="E17" s="5"/>
      <c r="F17" s="19" t="str">
        <f t="shared" si="0"/>
        <v/>
      </c>
      <c r="G17" s="1"/>
      <c r="H17" s="1"/>
      <c r="I17" s="1"/>
      <c r="J17" s="11"/>
      <c r="X17" s="5">
        <f t="shared" si="1"/>
        <v>0</v>
      </c>
      <c r="Y17" s="2">
        <f t="shared" si="2"/>
        <v>0</v>
      </c>
    </row>
    <row r="18" spans="2:25" x14ac:dyDescent="0.25">
      <c r="D18" s="12"/>
      <c r="E18" s="5"/>
      <c r="F18" s="19" t="str">
        <f t="shared" si="0"/>
        <v/>
      </c>
      <c r="G18" s="1"/>
      <c r="H18" s="1"/>
      <c r="I18" s="1"/>
      <c r="J18" s="11"/>
      <c r="X18" s="5">
        <f t="shared" si="1"/>
        <v>0</v>
      </c>
      <c r="Y18" s="2">
        <f t="shared" si="2"/>
        <v>0</v>
      </c>
    </row>
    <row r="19" spans="2:25" x14ac:dyDescent="0.25">
      <c r="D19" s="12"/>
      <c r="E19" s="5"/>
      <c r="F19" s="19" t="str">
        <f t="shared" si="0"/>
        <v/>
      </c>
      <c r="G19" s="1"/>
      <c r="H19" s="1"/>
      <c r="I19" s="1"/>
      <c r="J19" s="11"/>
      <c r="X19" s="5">
        <f t="shared" si="1"/>
        <v>0</v>
      </c>
      <c r="Y19" s="2">
        <f t="shared" si="2"/>
        <v>0</v>
      </c>
    </row>
    <row r="20" spans="2:25" x14ac:dyDescent="0.25">
      <c r="D20" s="12"/>
      <c r="E20" s="5"/>
      <c r="F20" s="19" t="str">
        <f t="shared" si="0"/>
        <v/>
      </c>
      <c r="G20" s="1"/>
      <c r="H20" s="1"/>
      <c r="I20" s="1"/>
      <c r="J20" s="11"/>
      <c r="X20" s="5">
        <f t="shared" si="1"/>
        <v>0</v>
      </c>
      <c r="Y20" s="2">
        <f t="shared" si="2"/>
        <v>0</v>
      </c>
    </row>
    <row r="21" spans="2:25" x14ac:dyDescent="0.25">
      <c r="D21" s="12"/>
      <c r="E21" s="5"/>
      <c r="F21" s="19" t="str">
        <f t="shared" si="0"/>
        <v/>
      </c>
      <c r="G21" s="1"/>
      <c r="H21" s="1"/>
      <c r="I21" s="1"/>
      <c r="J21" s="11"/>
      <c r="X21" s="5">
        <f t="shared" si="1"/>
        <v>0</v>
      </c>
      <c r="Y21" s="2">
        <f t="shared" si="2"/>
        <v>0</v>
      </c>
    </row>
    <row r="22" spans="2:25" x14ac:dyDescent="0.25">
      <c r="D22" s="12"/>
      <c r="E22" s="5"/>
      <c r="F22" s="19" t="str">
        <f t="shared" si="0"/>
        <v/>
      </c>
      <c r="G22" s="1"/>
      <c r="H22" s="1"/>
      <c r="I22" s="1"/>
      <c r="J22" s="11"/>
      <c r="X22" s="5">
        <f t="shared" si="1"/>
        <v>0</v>
      </c>
      <c r="Y22" s="2">
        <f t="shared" si="2"/>
        <v>0</v>
      </c>
    </row>
    <row r="23" spans="2:25" x14ac:dyDescent="0.25">
      <c r="B23" s="22"/>
      <c r="D23" s="12"/>
      <c r="E23" s="5"/>
      <c r="F23" s="19" t="str">
        <f t="shared" si="0"/>
        <v/>
      </c>
      <c r="G23" s="1"/>
      <c r="H23" s="1"/>
      <c r="I23" s="1"/>
      <c r="J23" s="11"/>
      <c r="X23" s="5">
        <f t="shared" si="1"/>
        <v>0</v>
      </c>
      <c r="Y23" s="2">
        <f t="shared" si="2"/>
        <v>0</v>
      </c>
    </row>
    <row r="24" spans="2:25" x14ac:dyDescent="0.25">
      <c r="D24" s="12"/>
      <c r="E24" s="5"/>
      <c r="F24" s="19" t="str">
        <f t="shared" si="0"/>
        <v/>
      </c>
      <c r="G24" s="1"/>
      <c r="H24" s="1"/>
      <c r="I24" s="1"/>
      <c r="J24" s="11"/>
      <c r="X24" s="5">
        <f t="shared" si="1"/>
        <v>0</v>
      </c>
      <c r="Y24" s="2">
        <f t="shared" si="2"/>
        <v>0</v>
      </c>
    </row>
    <row r="25" spans="2:25" x14ac:dyDescent="0.25">
      <c r="D25" s="12"/>
      <c r="E25" s="5"/>
      <c r="F25" s="19" t="str">
        <f t="shared" si="0"/>
        <v/>
      </c>
      <c r="G25" s="1"/>
      <c r="H25" s="1"/>
      <c r="I25" s="1"/>
      <c r="J25" s="11"/>
      <c r="X25" s="5">
        <f t="shared" si="1"/>
        <v>0</v>
      </c>
      <c r="Y25" s="2">
        <f t="shared" si="2"/>
        <v>0</v>
      </c>
    </row>
    <row r="26" spans="2:25" x14ac:dyDescent="0.25">
      <c r="D26" s="12"/>
      <c r="E26" s="5"/>
      <c r="F26" s="19" t="str">
        <f t="shared" si="0"/>
        <v/>
      </c>
      <c r="G26" s="1"/>
      <c r="H26" s="1"/>
      <c r="I26" s="1"/>
      <c r="J26" s="11"/>
      <c r="X26" s="5">
        <f t="shared" si="1"/>
        <v>0</v>
      </c>
      <c r="Y26" s="2">
        <f t="shared" si="2"/>
        <v>0</v>
      </c>
    </row>
    <row r="27" spans="2:25" x14ac:dyDescent="0.25">
      <c r="D27" s="12"/>
      <c r="E27" s="5"/>
      <c r="F27" s="19" t="str">
        <f t="shared" si="0"/>
        <v/>
      </c>
      <c r="G27" s="1"/>
      <c r="H27" s="1"/>
      <c r="I27" s="1"/>
      <c r="J27" s="11"/>
      <c r="X27" s="5">
        <f t="shared" si="1"/>
        <v>0</v>
      </c>
      <c r="Y27" s="2">
        <f t="shared" si="2"/>
        <v>0</v>
      </c>
    </row>
    <row r="28" spans="2:25" x14ac:dyDescent="0.25">
      <c r="D28" s="12"/>
      <c r="E28" s="5"/>
      <c r="F28" s="19" t="str">
        <f t="shared" si="0"/>
        <v/>
      </c>
      <c r="G28" s="1"/>
      <c r="H28" s="1"/>
      <c r="I28" s="1"/>
      <c r="J28" s="11"/>
      <c r="X28" s="5">
        <f t="shared" si="1"/>
        <v>0</v>
      </c>
      <c r="Y28" s="2">
        <f t="shared" si="2"/>
        <v>0</v>
      </c>
    </row>
    <row r="29" spans="2:25" x14ac:dyDescent="0.25">
      <c r="D29" s="12"/>
      <c r="E29" s="5"/>
      <c r="F29" s="19" t="str">
        <f t="shared" si="0"/>
        <v/>
      </c>
      <c r="G29" s="1"/>
      <c r="H29" s="1"/>
      <c r="I29" s="1"/>
      <c r="J29" s="11"/>
      <c r="X29" s="5">
        <f t="shared" si="1"/>
        <v>0</v>
      </c>
      <c r="Y29" s="2">
        <f t="shared" si="2"/>
        <v>0</v>
      </c>
    </row>
    <row r="30" spans="2:25" x14ac:dyDescent="0.25">
      <c r="D30" s="12"/>
      <c r="E30" s="5"/>
      <c r="F30" s="19" t="str">
        <f t="shared" si="0"/>
        <v/>
      </c>
      <c r="G30" s="1"/>
      <c r="H30" s="1"/>
      <c r="I30" s="1"/>
      <c r="J30" s="11"/>
      <c r="X30" s="5">
        <f t="shared" si="1"/>
        <v>0</v>
      </c>
      <c r="Y30" s="2">
        <f t="shared" si="2"/>
        <v>0</v>
      </c>
    </row>
    <row r="31" spans="2:25" x14ac:dyDescent="0.25">
      <c r="D31" s="12"/>
      <c r="E31" s="5"/>
      <c r="F31" s="19" t="str">
        <f t="shared" si="0"/>
        <v/>
      </c>
      <c r="G31" s="1"/>
      <c r="H31" s="1"/>
      <c r="I31" s="1"/>
      <c r="J31" s="11"/>
      <c r="X31" s="5">
        <f t="shared" si="1"/>
        <v>0</v>
      </c>
      <c r="Y31" s="2">
        <f t="shared" si="2"/>
        <v>0</v>
      </c>
    </row>
    <row r="32" spans="2:25" x14ac:dyDescent="0.25">
      <c r="D32" s="12"/>
      <c r="E32" s="5"/>
      <c r="F32" s="19" t="str">
        <f t="shared" si="0"/>
        <v/>
      </c>
      <c r="G32" s="1"/>
      <c r="H32" s="1"/>
      <c r="I32" s="1"/>
      <c r="J32" s="11"/>
      <c r="X32" s="5">
        <f t="shared" si="1"/>
        <v>0</v>
      </c>
      <c r="Y32" s="2">
        <f t="shared" si="2"/>
        <v>0</v>
      </c>
    </row>
    <row r="33" spans="4:25" x14ac:dyDescent="0.25">
      <c r="D33" s="12"/>
      <c r="E33" s="5"/>
      <c r="F33" s="19" t="str">
        <f t="shared" si="0"/>
        <v/>
      </c>
      <c r="G33" s="1"/>
      <c r="H33" s="1"/>
      <c r="I33" s="1"/>
      <c r="J33" s="11"/>
      <c r="X33" s="5">
        <f t="shared" si="1"/>
        <v>0</v>
      </c>
      <c r="Y33" s="2">
        <f t="shared" si="2"/>
        <v>0</v>
      </c>
    </row>
    <row r="34" spans="4:25" x14ac:dyDescent="0.25">
      <c r="D34" s="12"/>
      <c r="E34" s="5"/>
      <c r="F34" s="19" t="str">
        <f t="shared" si="0"/>
        <v/>
      </c>
      <c r="G34" s="1"/>
      <c r="H34" s="1"/>
      <c r="I34" s="1"/>
      <c r="J34" s="11"/>
      <c r="X34" s="5">
        <f t="shared" si="1"/>
        <v>0</v>
      </c>
      <c r="Y34" s="2">
        <f t="shared" si="2"/>
        <v>0</v>
      </c>
    </row>
    <row r="35" spans="4:25" x14ac:dyDescent="0.25">
      <c r="D35" s="12"/>
      <c r="E35" s="5"/>
      <c r="F35" s="19" t="str">
        <f t="shared" si="0"/>
        <v/>
      </c>
      <c r="G35" s="1"/>
      <c r="H35" s="1"/>
      <c r="I35" s="1"/>
      <c r="J35" s="11"/>
      <c r="X35" s="5">
        <f t="shared" si="1"/>
        <v>0</v>
      </c>
      <c r="Y35" s="2">
        <f t="shared" si="2"/>
        <v>0</v>
      </c>
    </row>
    <row r="36" spans="4:25" x14ac:dyDescent="0.25">
      <c r="D36" s="12"/>
      <c r="E36" s="5"/>
      <c r="F36" s="19" t="str">
        <f t="shared" si="0"/>
        <v/>
      </c>
      <c r="G36" s="1"/>
      <c r="H36" s="1"/>
      <c r="I36" s="1"/>
      <c r="J36" s="11"/>
      <c r="X36" s="5">
        <f t="shared" si="1"/>
        <v>0</v>
      </c>
      <c r="Y36" s="2">
        <f t="shared" si="2"/>
        <v>0</v>
      </c>
    </row>
    <row r="37" spans="4:25" x14ac:dyDescent="0.25">
      <c r="D37" s="12"/>
      <c r="E37" s="5"/>
      <c r="F37" s="19" t="str">
        <f t="shared" si="0"/>
        <v/>
      </c>
      <c r="G37" s="1"/>
      <c r="H37" s="1"/>
      <c r="I37" s="1"/>
      <c r="J37" s="11"/>
      <c r="X37" s="5">
        <f t="shared" si="1"/>
        <v>0</v>
      </c>
      <c r="Y37" s="2">
        <f t="shared" si="2"/>
        <v>0</v>
      </c>
    </row>
    <row r="38" spans="4:25" x14ac:dyDescent="0.25">
      <c r="D38" s="12"/>
      <c r="E38" s="5"/>
      <c r="F38" s="19" t="str">
        <f t="shared" si="0"/>
        <v/>
      </c>
      <c r="G38" s="1"/>
      <c r="H38" s="1"/>
      <c r="I38" s="1"/>
      <c r="J38" s="11"/>
      <c r="X38" s="5">
        <f t="shared" si="1"/>
        <v>0</v>
      </c>
      <c r="Y38" s="2">
        <f t="shared" si="2"/>
        <v>0</v>
      </c>
    </row>
    <row r="39" spans="4:25" x14ac:dyDescent="0.25">
      <c r="D39" s="12"/>
      <c r="E39" s="5"/>
      <c r="F39" s="19" t="str">
        <f t="shared" si="0"/>
        <v/>
      </c>
      <c r="G39" s="1"/>
      <c r="H39" s="1"/>
      <c r="I39" s="1"/>
      <c r="J39" s="11"/>
      <c r="X39" s="5">
        <f t="shared" si="1"/>
        <v>0</v>
      </c>
      <c r="Y39" s="2">
        <f t="shared" si="2"/>
        <v>0</v>
      </c>
    </row>
    <row r="40" spans="4:25" x14ac:dyDescent="0.25">
      <c r="D40" s="12"/>
      <c r="E40" s="5"/>
      <c r="F40" s="19" t="str">
        <f t="shared" si="0"/>
        <v/>
      </c>
      <c r="G40" s="1"/>
      <c r="H40" s="1"/>
      <c r="I40" s="1"/>
      <c r="J40" s="11"/>
      <c r="X40" s="5">
        <f t="shared" si="1"/>
        <v>0</v>
      </c>
      <c r="Y40" s="2">
        <f t="shared" si="2"/>
        <v>0</v>
      </c>
    </row>
    <row r="41" spans="4:25" x14ac:dyDescent="0.25">
      <c r="D41" s="12"/>
      <c r="E41" s="5"/>
      <c r="F41" s="19" t="str">
        <f t="shared" si="0"/>
        <v/>
      </c>
      <c r="G41" s="1"/>
      <c r="H41" s="1"/>
      <c r="I41" s="1"/>
      <c r="J41" s="11"/>
      <c r="X41" s="5">
        <f t="shared" si="1"/>
        <v>0</v>
      </c>
      <c r="Y41" s="2">
        <f t="shared" si="2"/>
        <v>0</v>
      </c>
    </row>
    <row r="42" spans="4:25" x14ac:dyDescent="0.25">
      <c r="D42" s="12"/>
      <c r="E42" s="5"/>
      <c r="F42" s="19" t="str">
        <f t="shared" si="0"/>
        <v/>
      </c>
      <c r="G42" s="1"/>
      <c r="H42" s="1"/>
      <c r="I42" s="1"/>
      <c r="J42" s="11"/>
      <c r="X42" s="5">
        <f t="shared" si="1"/>
        <v>0</v>
      </c>
      <c r="Y42" s="2">
        <f t="shared" si="2"/>
        <v>0</v>
      </c>
    </row>
    <row r="43" spans="4:25" x14ac:dyDescent="0.25">
      <c r="D43" s="12"/>
      <c r="E43" s="5"/>
      <c r="F43" s="19" t="str">
        <f t="shared" si="0"/>
        <v/>
      </c>
      <c r="G43" s="1"/>
      <c r="H43" s="1"/>
      <c r="I43" s="1"/>
      <c r="J43" s="11"/>
      <c r="X43" s="5">
        <f t="shared" si="1"/>
        <v>0</v>
      </c>
      <c r="Y43" s="2">
        <f t="shared" si="2"/>
        <v>0</v>
      </c>
    </row>
    <row r="44" spans="4:25" x14ac:dyDescent="0.25">
      <c r="D44" s="12"/>
      <c r="E44" s="5"/>
      <c r="F44" s="19" t="str">
        <f t="shared" si="0"/>
        <v/>
      </c>
      <c r="G44" s="1"/>
      <c r="H44" s="1"/>
      <c r="I44" s="1"/>
      <c r="J44" s="11"/>
      <c r="X44" s="5">
        <f t="shared" si="1"/>
        <v>0</v>
      </c>
      <c r="Y44" s="2">
        <f t="shared" si="2"/>
        <v>0</v>
      </c>
    </row>
    <row r="45" spans="4:25" x14ac:dyDescent="0.25">
      <c r="D45" s="12"/>
      <c r="E45" s="5"/>
      <c r="F45" s="19" t="str">
        <f t="shared" si="0"/>
        <v/>
      </c>
      <c r="G45" s="1"/>
      <c r="H45" s="1"/>
      <c r="I45" s="1"/>
      <c r="J45" s="11"/>
      <c r="X45" s="5">
        <f t="shared" si="1"/>
        <v>0</v>
      </c>
      <c r="Y45" s="2">
        <f t="shared" si="2"/>
        <v>0</v>
      </c>
    </row>
    <row r="46" spans="4:25" x14ac:dyDescent="0.25">
      <c r="D46" s="12"/>
      <c r="E46" s="5"/>
      <c r="F46" s="19" t="str">
        <f t="shared" si="0"/>
        <v/>
      </c>
      <c r="G46" s="1"/>
      <c r="H46" s="1"/>
      <c r="I46" s="1"/>
      <c r="J46" s="11"/>
      <c r="X46" s="5">
        <f t="shared" si="1"/>
        <v>0</v>
      </c>
      <c r="Y46" s="2">
        <f t="shared" si="2"/>
        <v>0</v>
      </c>
    </row>
    <row r="47" spans="4:25" x14ac:dyDescent="0.25">
      <c r="D47" s="12"/>
      <c r="E47" s="5"/>
      <c r="F47" s="19" t="str">
        <f t="shared" si="0"/>
        <v/>
      </c>
      <c r="G47" s="1"/>
      <c r="H47" s="1"/>
      <c r="I47" s="1"/>
      <c r="J47" s="11"/>
      <c r="X47" s="5">
        <f t="shared" si="1"/>
        <v>0</v>
      </c>
      <c r="Y47" s="2">
        <f t="shared" si="2"/>
        <v>0</v>
      </c>
    </row>
    <row r="48" spans="4:25" x14ac:dyDescent="0.25">
      <c r="D48" s="12"/>
      <c r="E48" s="5"/>
      <c r="F48" s="19" t="str">
        <f t="shared" si="0"/>
        <v/>
      </c>
      <c r="G48" s="1"/>
      <c r="H48" s="1"/>
      <c r="I48" s="1"/>
      <c r="J48" s="11"/>
      <c r="X48" s="5">
        <f t="shared" si="1"/>
        <v>0</v>
      </c>
      <c r="Y48" s="2">
        <f t="shared" si="2"/>
        <v>0</v>
      </c>
    </row>
    <row r="49" spans="4:25" x14ac:dyDescent="0.25">
      <c r="D49" s="12"/>
      <c r="E49" s="5"/>
      <c r="F49" s="19" t="str">
        <f t="shared" si="0"/>
        <v/>
      </c>
      <c r="G49" s="1"/>
      <c r="H49" s="1"/>
      <c r="I49" s="1"/>
      <c r="J49" s="11"/>
      <c r="X49" s="5">
        <f t="shared" si="1"/>
        <v>0</v>
      </c>
      <c r="Y49" s="2">
        <f t="shared" si="2"/>
        <v>0</v>
      </c>
    </row>
    <row r="50" spans="4:25" x14ac:dyDescent="0.25">
      <c r="D50" s="12"/>
      <c r="E50" s="5"/>
      <c r="F50" s="19" t="str">
        <f t="shared" si="0"/>
        <v/>
      </c>
      <c r="G50" s="1"/>
      <c r="H50" s="1"/>
      <c r="I50" s="1"/>
      <c r="J50" s="11"/>
      <c r="X50" s="5">
        <f t="shared" si="1"/>
        <v>0</v>
      </c>
      <c r="Y50" s="2">
        <f t="shared" si="2"/>
        <v>0</v>
      </c>
    </row>
    <row r="51" spans="4:25" x14ac:dyDescent="0.25">
      <c r="D51" s="12"/>
      <c r="E51" s="5"/>
      <c r="F51" s="19" t="str">
        <f t="shared" si="0"/>
        <v/>
      </c>
      <c r="G51" s="1"/>
      <c r="H51" s="1"/>
      <c r="I51" s="1"/>
      <c r="J51" s="11"/>
      <c r="X51" s="5">
        <f t="shared" si="1"/>
        <v>0</v>
      </c>
      <c r="Y51" s="2">
        <f t="shared" si="2"/>
        <v>0</v>
      </c>
    </row>
    <row r="52" spans="4:25" x14ac:dyDescent="0.25">
      <c r="D52" s="12"/>
      <c r="E52" s="5"/>
      <c r="F52" s="19" t="str">
        <f t="shared" si="0"/>
        <v/>
      </c>
      <c r="G52" s="1"/>
      <c r="H52" s="1"/>
      <c r="I52" s="1"/>
      <c r="J52" s="9"/>
      <c r="X52" s="5">
        <f t="shared" si="1"/>
        <v>0</v>
      </c>
      <c r="Y52" s="2">
        <f t="shared" si="2"/>
        <v>0</v>
      </c>
    </row>
    <row r="53" spans="4:25" x14ac:dyDescent="0.25">
      <c r="D53" s="1" t="s">
        <v>25</v>
      </c>
      <c r="E53" s="23"/>
      <c r="F53" s="2"/>
      <c r="G53" s="2">
        <f>SUM(G3:G52)</f>
        <v>0</v>
      </c>
      <c r="H53" s="2">
        <f t="shared" ref="H53:I53" si="3">SUM(H3:H52)</f>
        <v>0</v>
      </c>
      <c r="I53" s="2">
        <f t="shared" si="3"/>
        <v>0</v>
      </c>
    </row>
  </sheetData>
  <mergeCells count="4">
    <mergeCell ref="D1:F1"/>
    <mergeCell ref="G1:I1"/>
    <mergeCell ref="K1:Q1"/>
    <mergeCell ref="X1:Z1"/>
  </mergeCells>
  <conditionalFormatting sqref="A1:B1">
    <cfRule type="expression" dxfId="207" priority="1">
      <formula>$Z$3="+"</formula>
    </cfRule>
    <cfRule type="expression" dxfId="206" priority="2">
      <formula>$B$16=$K$3</formula>
    </cfRule>
  </conditionalFormatting>
  <conditionalFormatting sqref="P3">
    <cfRule type="expression" dxfId="205" priority="3">
      <formula>$Z$3="+"</formula>
    </cfRule>
  </conditionalFormatting>
  <conditionalFormatting sqref="Z3">
    <cfRule type="expression" dxfId="204" priority="4">
      <formula>$Z$3="+"</formula>
    </cfRule>
  </conditionalFormatting>
  <dataValidations count="1">
    <dataValidation type="list" allowBlank="1" showInputMessage="1" showErrorMessage="1" sqref="B2" xr:uid="{DE9E72B7-4B47-4467-A9E3-866692516A13}">
      <formula1>"Romania,Moldova,Cyprus,Philippines"</formula1>
    </dataValidation>
  </dataValidation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2174E-4D3A-42D3-AE97-05FE20D3A4BA}">
  <dimension ref="A1:Z53"/>
  <sheetViews>
    <sheetView workbookViewId="0">
      <selection activeCell="D3" sqref="D3:E3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1" customWidth="1"/>
    <col min="25" max="25" width="10.7109375" style="11" customWidth="1"/>
    <col min="26" max="26" width="10.7109375" customWidth="1"/>
  </cols>
  <sheetData>
    <row r="1" spans="1:26" x14ac:dyDescent="0.25">
      <c r="A1" s="4" t="s">
        <v>66</v>
      </c>
      <c r="B1" s="5" t="s">
        <v>101</v>
      </c>
      <c r="D1" s="29" t="s">
        <v>2</v>
      </c>
      <c r="E1" s="30"/>
      <c r="F1" s="31"/>
      <c r="G1" s="29" t="s">
        <v>0</v>
      </c>
      <c r="H1" s="30"/>
      <c r="I1" s="31"/>
      <c r="J1" s="18"/>
      <c r="K1" s="29" t="s">
        <v>58</v>
      </c>
      <c r="L1" s="30"/>
      <c r="M1" s="30"/>
      <c r="N1" s="30"/>
      <c r="O1" s="30"/>
      <c r="P1" s="30"/>
      <c r="Q1" s="31"/>
      <c r="X1" s="29"/>
      <c r="Y1" s="30"/>
      <c r="Z1" s="31"/>
    </row>
    <row r="2" spans="1:26" x14ac:dyDescent="0.25">
      <c r="A2" s="4" t="s">
        <v>21</v>
      </c>
      <c r="B2" s="5" t="s">
        <v>22</v>
      </c>
      <c r="D2" s="10" t="s">
        <v>49</v>
      </c>
      <c r="E2" s="10" t="s">
        <v>50</v>
      </c>
      <c r="F2" s="17" t="s">
        <v>67</v>
      </c>
      <c r="G2" s="10" t="s">
        <v>15</v>
      </c>
      <c r="H2" s="10" t="s">
        <v>16</v>
      </c>
      <c r="I2" s="10" t="s">
        <v>60</v>
      </c>
      <c r="J2" s="9"/>
      <c r="K2" s="10" t="s">
        <v>0</v>
      </c>
      <c r="L2" s="10" t="s">
        <v>1</v>
      </c>
      <c r="M2" s="10" t="s">
        <v>56</v>
      </c>
      <c r="N2" s="10" t="s">
        <v>57</v>
      </c>
      <c r="O2" s="10" t="s">
        <v>2</v>
      </c>
      <c r="P2" s="10" t="s">
        <v>68</v>
      </c>
      <c r="Q2" s="10" t="s">
        <v>67</v>
      </c>
      <c r="X2" s="10" t="s">
        <v>2</v>
      </c>
      <c r="Y2" s="10" t="s">
        <v>59</v>
      </c>
      <c r="Z2" s="10" t="s">
        <v>68</v>
      </c>
    </row>
    <row r="3" spans="1:26" x14ac:dyDescent="0.25">
      <c r="A3" s="4" t="s">
        <v>69</v>
      </c>
      <c r="B3" s="5" t="s">
        <v>73</v>
      </c>
      <c r="D3" s="12">
        <v>46295</v>
      </c>
      <c r="E3" s="12">
        <v>46295</v>
      </c>
      <c r="F3" s="19">
        <f t="shared" ref="F3:F52" si="0">IF(E3&gt;0,E3-D3,"")</f>
        <v>0</v>
      </c>
      <c r="G3" s="2">
        <v>0.47</v>
      </c>
      <c r="H3" s="2">
        <v>7.0000000000000007E-2</v>
      </c>
      <c r="I3" s="2">
        <v>0</v>
      </c>
      <c r="J3" s="11"/>
      <c r="K3" s="2">
        <f>G53</f>
        <v>0.47</v>
      </c>
      <c r="L3" s="2">
        <f>H53</f>
        <v>7.0000000000000007E-2</v>
      </c>
      <c r="M3" s="2">
        <f>I53</f>
        <v>0</v>
      </c>
      <c r="N3" s="6" t="str">
        <f>IF(B16=K3,XIRR(Y3:Y52,X3:X52),"")</f>
        <v/>
      </c>
      <c r="O3" s="5" t="str">
        <f>IF(B16=K3,MAX(E:E),"")</f>
        <v/>
      </c>
      <c r="P3" s="1" t="str">
        <f ca="1">IF(Z3="+",TODAY()-B11,"")</f>
        <v/>
      </c>
      <c r="Q3" s="1" t="str">
        <f>IF(B16=K3,MAX(E:E)-B11,"")</f>
        <v/>
      </c>
      <c r="T3" s="14"/>
      <c r="X3" s="5">
        <f>B9</f>
        <v>46281</v>
      </c>
      <c r="Y3" s="2">
        <f>B16*-1</f>
        <v>-15.63</v>
      </c>
      <c r="Z3" s="1" t="str">
        <f ca="1">IF(AND(TODAY()&gt;B11, K3&lt;&gt;B16), "+", "")</f>
        <v/>
      </c>
    </row>
    <row r="4" spans="1:26" x14ac:dyDescent="0.25">
      <c r="A4" s="4" t="s">
        <v>19</v>
      </c>
      <c r="B4" s="5" t="s">
        <v>79</v>
      </c>
      <c r="D4" s="12"/>
      <c r="E4" s="12"/>
      <c r="F4" s="19" t="str">
        <f t="shared" si="0"/>
        <v/>
      </c>
      <c r="G4" s="2"/>
      <c r="H4" s="2"/>
      <c r="I4" s="2"/>
      <c r="J4" s="9"/>
      <c r="X4" s="5">
        <f>E3</f>
        <v>46295</v>
      </c>
      <c r="Y4" s="2">
        <f>G3+H3-I3</f>
        <v>0.54</v>
      </c>
    </row>
    <row r="5" spans="1:26" x14ac:dyDescent="0.25">
      <c r="A5" s="4"/>
      <c r="B5" s="5"/>
      <c r="D5" s="12"/>
      <c r="E5" s="12"/>
      <c r="F5" s="19" t="str">
        <f t="shared" si="0"/>
        <v/>
      </c>
      <c r="G5" s="2"/>
      <c r="H5" s="1"/>
      <c r="I5" s="2"/>
      <c r="J5" s="9"/>
      <c r="X5" s="5">
        <f t="shared" ref="X5:X52" si="1">E4</f>
        <v>0</v>
      </c>
      <c r="Y5" s="2">
        <f t="shared" ref="Y5:Y52" si="2">G4+H4-I4</f>
        <v>0</v>
      </c>
    </row>
    <row r="6" spans="1:26" x14ac:dyDescent="0.25">
      <c r="A6" s="4"/>
      <c r="B6" s="5"/>
      <c r="D6" s="12"/>
      <c r="E6" s="12"/>
      <c r="F6" s="19" t="str">
        <f t="shared" si="0"/>
        <v/>
      </c>
      <c r="G6" s="2"/>
      <c r="H6" s="1"/>
      <c r="I6" s="2"/>
      <c r="J6" s="9"/>
      <c r="X6" s="5">
        <f t="shared" si="1"/>
        <v>0</v>
      </c>
      <c r="Y6" s="2">
        <f t="shared" si="2"/>
        <v>0</v>
      </c>
    </row>
    <row r="7" spans="1:26" x14ac:dyDescent="0.25">
      <c r="A7" s="4"/>
      <c r="B7" s="5"/>
      <c r="D7" s="12"/>
      <c r="E7" s="12"/>
      <c r="F7" s="19" t="str">
        <f t="shared" si="0"/>
        <v/>
      </c>
      <c r="G7" s="2"/>
      <c r="H7" s="1"/>
      <c r="I7" s="2"/>
      <c r="J7" s="11"/>
      <c r="X7" s="5">
        <f t="shared" si="1"/>
        <v>0</v>
      </c>
      <c r="Y7" s="2">
        <f t="shared" si="2"/>
        <v>0</v>
      </c>
    </row>
    <row r="8" spans="1:26" x14ac:dyDescent="0.25">
      <c r="A8" s="4" t="s">
        <v>24</v>
      </c>
      <c r="B8" s="5" t="str">
        <f>DATEDIF(B9,B11,"y") &amp; " m. " &amp; DATEDIF(B9,B11,"ym") &amp; " mėn. " &amp; DATEDIF(B9,B11,"md") &amp; " d."</f>
        <v>1 m. 1 mėn. 27 d.</v>
      </c>
      <c r="D8" s="12"/>
      <c r="E8" s="12"/>
      <c r="F8" s="19" t="str">
        <f t="shared" si="0"/>
        <v/>
      </c>
      <c r="G8" s="1"/>
      <c r="H8" s="1"/>
      <c r="I8" s="2"/>
      <c r="J8" s="9"/>
      <c r="X8" s="5">
        <f t="shared" si="1"/>
        <v>0</v>
      </c>
      <c r="Y8" s="2">
        <f t="shared" si="2"/>
        <v>0</v>
      </c>
    </row>
    <row r="9" spans="1:26" x14ac:dyDescent="0.25">
      <c r="A9" s="4" t="s">
        <v>11</v>
      </c>
      <c r="B9" s="5">
        <v>46281</v>
      </c>
      <c r="D9" s="12"/>
      <c r="E9" s="12"/>
      <c r="F9" s="19"/>
      <c r="G9" s="2"/>
      <c r="H9" s="2"/>
      <c r="I9" s="2"/>
      <c r="J9" s="11"/>
      <c r="X9" s="5">
        <f t="shared" si="1"/>
        <v>0</v>
      </c>
      <c r="Y9" s="2">
        <f t="shared" si="2"/>
        <v>0</v>
      </c>
    </row>
    <row r="10" spans="1:26" x14ac:dyDescent="0.25">
      <c r="A10" s="4" t="s">
        <v>70</v>
      </c>
      <c r="B10" s="5">
        <v>46280</v>
      </c>
      <c r="D10" s="12"/>
      <c r="E10" s="12"/>
      <c r="F10" s="19" t="str">
        <f t="shared" si="0"/>
        <v/>
      </c>
      <c r="G10" s="1"/>
      <c r="H10" s="1"/>
      <c r="I10" s="2"/>
      <c r="J10" s="11"/>
      <c r="X10" s="5">
        <f t="shared" si="1"/>
        <v>0</v>
      </c>
      <c r="Y10" s="2">
        <f t="shared" si="2"/>
        <v>0</v>
      </c>
    </row>
    <row r="11" spans="1:26" x14ac:dyDescent="0.25">
      <c r="A11" s="4" t="s">
        <v>10</v>
      </c>
      <c r="B11" s="5">
        <v>46703</v>
      </c>
      <c r="D11" s="12"/>
      <c r="E11" s="12"/>
      <c r="F11" s="19" t="str">
        <f t="shared" si="0"/>
        <v/>
      </c>
      <c r="G11" s="1"/>
      <c r="H11" s="2"/>
      <c r="I11" s="2"/>
      <c r="J11" s="11"/>
      <c r="X11" s="5">
        <f t="shared" si="1"/>
        <v>0</v>
      </c>
      <c r="Y11" s="2">
        <f t="shared" si="2"/>
        <v>0</v>
      </c>
    </row>
    <row r="12" spans="1:26" x14ac:dyDescent="0.25">
      <c r="A12" s="4" t="s">
        <v>71</v>
      </c>
      <c r="B12" s="19">
        <f ca="1">IF(B16&lt;&gt;K3,(TODAY()-B11)*-1,"")</f>
        <v>408</v>
      </c>
      <c r="D12" s="12"/>
      <c r="E12" s="12"/>
      <c r="F12" s="19" t="str">
        <f t="shared" si="0"/>
        <v/>
      </c>
      <c r="G12" s="2"/>
      <c r="H12" s="1"/>
      <c r="I12" s="1"/>
      <c r="J12" s="11"/>
      <c r="X12" s="5">
        <f t="shared" si="1"/>
        <v>0</v>
      </c>
      <c r="Y12" s="2">
        <f t="shared" si="2"/>
        <v>0</v>
      </c>
    </row>
    <row r="13" spans="1:26" x14ac:dyDescent="0.25">
      <c r="A13" s="4"/>
      <c r="B13" s="2"/>
      <c r="D13" s="12"/>
      <c r="E13" s="12"/>
      <c r="F13" s="19" t="str">
        <f t="shared" si="0"/>
        <v/>
      </c>
      <c r="G13" s="1"/>
      <c r="H13" s="2"/>
      <c r="I13" s="2"/>
      <c r="J13" s="11"/>
      <c r="N13" s="14"/>
      <c r="X13" s="5">
        <f t="shared" si="1"/>
        <v>0</v>
      </c>
      <c r="Y13" s="2">
        <f t="shared" si="2"/>
        <v>0</v>
      </c>
    </row>
    <row r="14" spans="1:26" x14ac:dyDescent="0.25">
      <c r="A14" s="13"/>
      <c r="B14" s="20"/>
      <c r="D14" s="12"/>
      <c r="E14" s="5"/>
      <c r="F14" s="19" t="str">
        <f t="shared" si="0"/>
        <v/>
      </c>
      <c r="G14" s="1"/>
      <c r="H14" s="1"/>
      <c r="I14" s="1"/>
      <c r="J14" s="11"/>
      <c r="X14" s="5">
        <f t="shared" si="1"/>
        <v>0</v>
      </c>
      <c r="Y14" s="2">
        <f t="shared" si="2"/>
        <v>0</v>
      </c>
    </row>
    <row r="15" spans="1:26" x14ac:dyDescent="0.25">
      <c r="A15" s="4" t="s">
        <v>1</v>
      </c>
      <c r="B15" s="6">
        <v>0.12</v>
      </c>
      <c r="D15" s="12"/>
      <c r="E15" s="5"/>
      <c r="F15" s="19" t="str">
        <f t="shared" si="0"/>
        <v/>
      </c>
      <c r="G15" s="1"/>
      <c r="H15" s="1"/>
      <c r="I15" s="1"/>
      <c r="J15" s="11"/>
      <c r="K15" s="18"/>
      <c r="L15" s="18"/>
      <c r="M15" s="18"/>
      <c r="N15" s="18"/>
      <c r="O15" s="18"/>
      <c r="P15" s="18"/>
      <c r="Q15" s="18"/>
      <c r="X15" s="5">
        <f t="shared" si="1"/>
        <v>0</v>
      </c>
      <c r="Y15" s="2">
        <f t="shared" si="2"/>
        <v>0</v>
      </c>
    </row>
    <row r="16" spans="1:26" x14ac:dyDescent="0.25">
      <c r="A16" s="4" t="s">
        <v>72</v>
      </c>
      <c r="B16" s="2">
        <v>15.63</v>
      </c>
      <c r="D16" s="12"/>
      <c r="E16" s="5"/>
      <c r="F16" s="19" t="str">
        <f t="shared" si="0"/>
        <v/>
      </c>
      <c r="G16" s="1"/>
      <c r="H16" s="1"/>
      <c r="I16" s="1"/>
      <c r="J16" s="11"/>
      <c r="K16" s="9"/>
      <c r="L16" s="9"/>
      <c r="M16" s="9"/>
      <c r="N16" s="21"/>
      <c r="O16" s="22"/>
      <c r="P16" s="11"/>
      <c r="Q16" s="11"/>
      <c r="X16" s="5">
        <f t="shared" si="1"/>
        <v>0</v>
      </c>
      <c r="Y16" s="2">
        <f t="shared" si="2"/>
        <v>0</v>
      </c>
    </row>
    <row r="17" spans="2:25" x14ac:dyDescent="0.25">
      <c r="D17" s="12"/>
      <c r="E17" s="5"/>
      <c r="F17" s="19" t="str">
        <f t="shared" si="0"/>
        <v/>
      </c>
      <c r="G17" s="1"/>
      <c r="H17" s="1"/>
      <c r="I17" s="1"/>
      <c r="J17" s="11"/>
      <c r="X17" s="5">
        <f t="shared" si="1"/>
        <v>0</v>
      </c>
      <c r="Y17" s="2">
        <f t="shared" si="2"/>
        <v>0</v>
      </c>
    </row>
    <row r="18" spans="2:25" x14ac:dyDescent="0.25">
      <c r="D18" s="12"/>
      <c r="E18" s="5"/>
      <c r="F18" s="19" t="str">
        <f t="shared" si="0"/>
        <v/>
      </c>
      <c r="G18" s="1"/>
      <c r="H18" s="1"/>
      <c r="I18" s="1"/>
      <c r="J18" s="11"/>
      <c r="X18" s="5">
        <f t="shared" si="1"/>
        <v>0</v>
      </c>
      <c r="Y18" s="2">
        <f t="shared" si="2"/>
        <v>0</v>
      </c>
    </row>
    <row r="19" spans="2:25" x14ac:dyDescent="0.25">
      <c r="D19" s="12"/>
      <c r="E19" s="5"/>
      <c r="F19" s="19" t="str">
        <f t="shared" si="0"/>
        <v/>
      </c>
      <c r="G19" s="1"/>
      <c r="H19" s="1"/>
      <c r="I19" s="1"/>
      <c r="J19" s="11"/>
      <c r="X19" s="5">
        <f t="shared" si="1"/>
        <v>0</v>
      </c>
      <c r="Y19" s="2">
        <f t="shared" si="2"/>
        <v>0</v>
      </c>
    </row>
    <row r="20" spans="2:25" x14ac:dyDescent="0.25">
      <c r="D20" s="12"/>
      <c r="E20" s="5"/>
      <c r="F20" s="19" t="str">
        <f t="shared" si="0"/>
        <v/>
      </c>
      <c r="G20" s="1"/>
      <c r="H20" s="1"/>
      <c r="I20" s="1"/>
      <c r="J20" s="11"/>
      <c r="X20" s="5">
        <f t="shared" si="1"/>
        <v>0</v>
      </c>
      <c r="Y20" s="2">
        <f t="shared" si="2"/>
        <v>0</v>
      </c>
    </row>
    <row r="21" spans="2:25" x14ac:dyDescent="0.25">
      <c r="D21" s="12"/>
      <c r="E21" s="5"/>
      <c r="F21" s="19" t="str">
        <f t="shared" si="0"/>
        <v/>
      </c>
      <c r="G21" s="1"/>
      <c r="H21" s="1"/>
      <c r="I21" s="1"/>
      <c r="J21" s="11"/>
      <c r="X21" s="5">
        <f t="shared" si="1"/>
        <v>0</v>
      </c>
      <c r="Y21" s="2">
        <f t="shared" si="2"/>
        <v>0</v>
      </c>
    </row>
    <row r="22" spans="2:25" x14ac:dyDescent="0.25">
      <c r="D22" s="12"/>
      <c r="E22" s="5"/>
      <c r="F22" s="19" t="str">
        <f t="shared" si="0"/>
        <v/>
      </c>
      <c r="G22" s="1"/>
      <c r="H22" s="1"/>
      <c r="I22" s="1"/>
      <c r="J22" s="11"/>
      <c r="X22" s="5">
        <f t="shared" si="1"/>
        <v>0</v>
      </c>
      <c r="Y22" s="2">
        <f t="shared" si="2"/>
        <v>0</v>
      </c>
    </row>
    <row r="23" spans="2:25" x14ac:dyDescent="0.25">
      <c r="B23" s="22"/>
      <c r="D23" s="12"/>
      <c r="E23" s="5"/>
      <c r="F23" s="19" t="str">
        <f t="shared" si="0"/>
        <v/>
      </c>
      <c r="G23" s="1"/>
      <c r="H23" s="1"/>
      <c r="I23" s="1"/>
      <c r="J23" s="11"/>
      <c r="X23" s="5">
        <f t="shared" si="1"/>
        <v>0</v>
      </c>
      <c r="Y23" s="2">
        <f t="shared" si="2"/>
        <v>0</v>
      </c>
    </row>
    <row r="24" spans="2:25" x14ac:dyDescent="0.25">
      <c r="D24" s="12"/>
      <c r="E24" s="5"/>
      <c r="F24" s="19" t="str">
        <f t="shared" si="0"/>
        <v/>
      </c>
      <c r="G24" s="1"/>
      <c r="H24" s="1"/>
      <c r="I24" s="1"/>
      <c r="J24" s="11"/>
      <c r="X24" s="5">
        <f t="shared" si="1"/>
        <v>0</v>
      </c>
      <c r="Y24" s="2">
        <f t="shared" si="2"/>
        <v>0</v>
      </c>
    </row>
    <row r="25" spans="2:25" x14ac:dyDescent="0.25">
      <c r="D25" s="12"/>
      <c r="E25" s="5"/>
      <c r="F25" s="19" t="str">
        <f t="shared" si="0"/>
        <v/>
      </c>
      <c r="G25" s="1"/>
      <c r="H25" s="1"/>
      <c r="I25" s="1"/>
      <c r="J25" s="11"/>
      <c r="X25" s="5">
        <f t="shared" si="1"/>
        <v>0</v>
      </c>
      <c r="Y25" s="2">
        <f t="shared" si="2"/>
        <v>0</v>
      </c>
    </row>
    <row r="26" spans="2:25" x14ac:dyDescent="0.25">
      <c r="D26" s="12"/>
      <c r="E26" s="5"/>
      <c r="F26" s="19" t="str">
        <f t="shared" si="0"/>
        <v/>
      </c>
      <c r="G26" s="1"/>
      <c r="H26" s="1"/>
      <c r="I26" s="1"/>
      <c r="J26" s="11"/>
      <c r="X26" s="5">
        <f t="shared" si="1"/>
        <v>0</v>
      </c>
      <c r="Y26" s="2">
        <f t="shared" si="2"/>
        <v>0</v>
      </c>
    </row>
    <row r="27" spans="2:25" x14ac:dyDescent="0.25">
      <c r="D27" s="12"/>
      <c r="E27" s="5"/>
      <c r="F27" s="19" t="str">
        <f t="shared" si="0"/>
        <v/>
      </c>
      <c r="G27" s="1"/>
      <c r="H27" s="1"/>
      <c r="I27" s="1"/>
      <c r="J27" s="11"/>
      <c r="X27" s="5">
        <f t="shared" si="1"/>
        <v>0</v>
      </c>
      <c r="Y27" s="2">
        <f t="shared" si="2"/>
        <v>0</v>
      </c>
    </row>
    <row r="28" spans="2:25" x14ac:dyDescent="0.25">
      <c r="D28" s="12"/>
      <c r="E28" s="5"/>
      <c r="F28" s="19" t="str">
        <f t="shared" si="0"/>
        <v/>
      </c>
      <c r="G28" s="1"/>
      <c r="H28" s="1"/>
      <c r="I28" s="1"/>
      <c r="J28" s="11"/>
      <c r="X28" s="5">
        <f t="shared" si="1"/>
        <v>0</v>
      </c>
      <c r="Y28" s="2">
        <f t="shared" si="2"/>
        <v>0</v>
      </c>
    </row>
    <row r="29" spans="2:25" x14ac:dyDescent="0.25">
      <c r="D29" s="12"/>
      <c r="E29" s="5"/>
      <c r="F29" s="19" t="str">
        <f t="shared" si="0"/>
        <v/>
      </c>
      <c r="G29" s="1"/>
      <c r="H29" s="1"/>
      <c r="I29" s="1"/>
      <c r="J29" s="11"/>
      <c r="X29" s="5">
        <f t="shared" si="1"/>
        <v>0</v>
      </c>
      <c r="Y29" s="2">
        <f t="shared" si="2"/>
        <v>0</v>
      </c>
    </row>
    <row r="30" spans="2:25" x14ac:dyDescent="0.25">
      <c r="D30" s="12"/>
      <c r="E30" s="5"/>
      <c r="F30" s="19" t="str">
        <f t="shared" si="0"/>
        <v/>
      </c>
      <c r="G30" s="1"/>
      <c r="H30" s="1"/>
      <c r="I30" s="1"/>
      <c r="J30" s="11"/>
      <c r="X30" s="5">
        <f t="shared" si="1"/>
        <v>0</v>
      </c>
      <c r="Y30" s="2">
        <f t="shared" si="2"/>
        <v>0</v>
      </c>
    </row>
    <row r="31" spans="2:25" x14ac:dyDescent="0.25">
      <c r="D31" s="12"/>
      <c r="E31" s="5"/>
      <c r="F31" s="19" t="str">
        <f t="shared" si="0"/>
        <v/>
      </c>
      <c r="G31" s="1"/>
      <c r="H31" s="1"/>
      <c r="I31" s="1"/>
      <c r="J31" s="11"/>
      <c r="X31" s="5">
        <f t="shared" si="1"/>
        <v>0</v>
      </c>
      <c r="Y31" s="2">
        <f t="shared" si="2"/>
        <v>0</v>
      </c>
    </row>
    <row r="32" spans="2:25" x14ac:dyDescent="0.25">
      <c r="D32" s="12"/>
      <c r="E32" s="5"/>
      <c r="F32" s="19" t="str">
        <f t="shared" si="0"/>
        <v/>
      </c>
      <c r="G32" s="1"/>
      <c r="H32" s="1"/>
      <c r="I32" s="1"/>
      <c r="J32" s="11"/>
      <c r="X32" s="5">
        <f t="shared" si="1"/>
        <v>0</v>
      </c>
      <c r="Y32" s="2">
        <f t="shared" si="2"/>
        <v>0</v>
      </c>
    </row>
    <row r="33" spans="4:25" x14ac:dyDescent="0.25">
      <c r="D33" s="12"/>
      <c r="E33" s="5"/>
      <c r="F33" s="19" t="str">
        <f t="shared" si="0"/>
        <v/>
      </c>
      <c r="G33" s="1"/>
      <c r="H33" s="1"/>
      <c r="I33" s="1"/>
      <c r="J33" s="11"/>
      <c r="X33" s="5">
        <f t="shared" si="1"/>
        <v>0</v>
      </c>
      <c r="Y33" s="2">
        <f t="shared" si="2"/>
        <v>0</v>
      </c>
    </row>
    <row r="34" spans="4:25" x14ac:dyDescent="0.25">
      <c r="D34" s="12"/>
      <c r="E34" s="5"/>
      <c r="F34" s="19" t="str">
        <f t="shared" si="0"/>
        <v/>
      </c>
      <c r="G34" s="1"/>
      <c r="H34" s="1"/>
      <c r="I34" s="1"/>
      <c r="J34" s="11"/>
      <c r="X34" s="5">
        <f t="shared" si="1"/>
        <v>0</v>
      </c>
      <c r="Y34" s="2">
        <f t="shared" si="2"/>
        <v>0</v>
      </c>
    </row>
    <row r="35" spans="4:25" x14ac:dyDescent="0.25">
      <c r="D35" s="12"/>
      <c r="E35" s="5"/>
      <c r="F35" s="19" t="str">
        <f t="shared" si="0"/>
        <v/>
      </c>
      <c r="G35" s="1"/>
      <c r="H35" s="1"/>
      <c r="I35" s="1"/>
      <c r="J35" s="11"/>
      <c r="X35" s="5">
        <f t="shared" si="1"/>
        <v>0</v>
      </c>
      <c r="Y35" s="2">
        <f t="shared" si="2"/>
        <v>0</v>
      </c>
    </row>
    <row r="36" spans="4:25" x14ac:dyDescent="0.25">
      <c r="D36" s="12"/>
      <c r="E36" s="5"/>
      <c r="F36" s="19" t="str">
        <f t="shared" si="0"/>
        <v/>
      </c>
      <c r="G36" s="1"/>
      <c r="H36" s="1"/>
      <c r="I36" s="1"/>
      <c r="J36" s="11"/>
      <c r="X36" s="5">
        <f t="shared" si="1"/>
        <v>0</v>
      </c>
      <c r="Y36" s="2">
        <f t="shared" si="2"/>
        <v>0</v>
      </c>
    </row>
    <row r="37" spans="4:25" x14ac:dyDescent="0.25">
      <c r="D37" s="12"/>
      <c r="E37" s="5"/>
      <c r="F37" s="19" t="str">
        <f t="shared" si="0"/>
        <v/>
      </c>
      <c r="G37" s="1"/>
      <c r="H37" s="1"/>
      <c r="I37" s="1"/>
      <c r="J37" s="11"/>
      <c r="X37" s="5">
        <f t="shared" si="1"/>
        <v>0</v>
      </c>
      <c r="Y37" s="2">
        <f t="shared" si="2"/>
        <v>0</v>
      </c>
    </row>
    <row r="38" spans="4:25" x14ac:dyDescent="0.25">
      <c r="D38" s="12"/>
      <c r="E38" s="5"/>
      <c r="F38" s="19" t="str">
        <f t="shared" si="0"/>
        <v/>
      </c>
      <c r="G38" s="1"/>
      <c r="H38" s="1"/>
      <c r="I38" s="1"/>
      <c r="J38" s="11"/>
      <c r="X38" s="5">
        <f t="shared" si="1"/>
        <v>0</v>
      </c>
      <c r="Y38" s="2">
        <f t="shared" si="2"/>
        <v>0</v>
      </c>
    </row>
    <row r="39" spans="4:25" x14ac:dyDescent="0.25">
      <c r="D39" s="12"/>
      <c r="E39" s="5"/>
      <c r="F39" s="19" t="str">
        <f t="shared" si="0"/>
        <v/>
      </c>
      <c r="G39" s="1"/>
      <c r="H39" s="1"/>
      <c r="I39" s="1"/>
      <c r="J39" s="11"/>
      <c r="X39" s="5">
        <f t="shared" si="1"/>
        <v>0</v>
      </c>
      <c r="Y39" s="2">
        <f t="shared" si="2"/>
        <v>0</v>
      </c>
    </row>
    <row r="40" spans="4:25" x14ac:dyDescent="0.25">
      <c r="D40" s="12"/>
      <c r="E40" s="5"/>
      <c r="F40" s="19" t="str">
        <f t="shared" si="0"/>
        <v/>
      </c>
      <c r="G40" s="1"/>
      <c r="H40" s="1"/>
      <c r="I40" s="1"/>
      <c r="J40" s="11"/>
      <c r="X40" s="5">
        <f t="shared" si="1"/>
        <v>0</v>
      </c>
      <c r="Y40" s="2">
        <f t="shared" si="2"/>
        <v>0</v>
      </c>
    </row>
    <row r="41" spans="4:25" x14ac:dyDescent="0.25">
      <c r="D41" s="12"/>
      <c r="E41" s="5"/>
      <c r="F41" s="19" t="str">
        <f t="shared" si="0"/>
        <v/>
      </c>
      <c r="G41" s="1"/>
      <c r="H41" s="1"/>
      <c r="I41" s="1"/>
      <c r="J41" s="11"/>
      <c r="X41" s="5">
        <f t="shared" si="1"/>
        <v>0</v>
      </c>
      <c r="Y41" s="2">
        <f t="shared" si="2"/>
        <v>0</v>
      </c>
    </row>
    <row r="42" spans="4:25" x14ac:dyDescent="0.25">
      <c r="D42" s="12"/>
      <c r="E42" s="5"/>
      <c r="F42" s="19" t="str">
        <f t="shared" si="0"/>
        <v/>
      </c>
      <c r="G42" s="1"/>
      <c r="H42" s="1"/>
      <c r="I42" s="1"/>
      <c r="J42" s="11"/>
      <c r="X42" s="5">
        <f t="shared" si="1"/>
        <v>0</v>
      </c>
      <c r="Y42" s="2">
        <f t="shared" si="2"/>
        <v>0</v>
      </c>
    </row>
    <row r="43" spans="4:25" x14ac:dyDescent="0.25">
      <c r="D43" s="12"/>
      <c r="E43" s="5"/>
      <c r="F43" s="19" t="str">
        <f t="shared" si="0"/>
        <v/>
      </c>
      <c r="G43" s="1"/>
      <c r="H43" s="1"/>
      <c r="I43" s="1"/>
      <c r="J43" s="11"/>
      <c r="X43" s="5">
        <f t="shared" si="1"/>
        <v>0</v>
      </c>
      <c r="Y43" s="2">
        <f t="shared" si="2"/>
        <v>0</v>
      </c>
    </row>
    <row r="44" spans="4:25" x14ac:dyDescent="0.25">
      <c r="D44" s="12"/>
      <c r="E44" s="5"/>
      <c r="F44" s="19" t="str">
        <f t="shared" si="0"/>
        <v/>
      </c>
      <c r="G44" s="1"/>
      <c r="H44" s="1"/>
      <c r="I44" s="1"/>
      <c r="J44" s="11"/>
      <c r="X44" s="5">
        <f t="shared" si="1"/>
        <v>0</v>
      </c>
      <c r="Y44" s="2">
        <f t="shared" si="2"/>
        <v>0</v>
      </c>
    </row>
    <row r="45" spans="4:25" x14ac:dyDescent="0.25">
      <c r="D45" s="12"/>
      <c r="E45" s="5"/>
      <c r="F45" s="19" t="str">
        <f t="shared" si="0"/>
        <v/>
      </c>
      <c r="G45" s="1"/>
      <c r="H45" s="1"/>
      <c r="I45" s="1"/>
      <c r="J45" s="11"/>
      <c r="X45" s="5">
        <f t="shared" si="1"/>
        <v>0</v>
      </c>
      <c r="Y45" s="2">
        <f t="shared" si="2"/>
        <v>0</v>
      </c>
    </row>
    <row r="46" spans="4:25" x14ac:dyDescent="0.25">
      <c r="D46" s="12"/>
      <c r="E46" s="5"/>
      <c r="F46" s="19" t="str">
        <f t="shared" si="0"/>
        <v/>
      </c>
      <c r="G46" s="1"/>
      <c r="H46" s="1"/>
      <c r="I46" s="1"/>
      <c r="J46" s="11"/>
      <c r="X46" s="5">
        <f t="shared" si="1"/>
        <v>0</v>
      </c>
      <c r="Y46" s="2">
        <f t="shared" si="2"/>
        <v>0</v>
      </c>
    </row>
    <row r="47" spans="4:25" x14ac:dyDescent="0.25">
      <c r="D47" s="12"/>
      <c r="E47" s="5"/>
      <c r="F47" s="19" t="str">
        <f t="shared" si="0"/>
        <v/>
      </c>
      <c r="G47" s="1"/>
      <c r="H47" s="1"/>
      <c r="I47" s="1"/>
      <c r="J47" s="11"/>
      <c r="X47" s="5">
        <f t="shared" si="1"/>
        <v>0</v>
      </c>
      <c r="Y47" s="2">
        <f t="shared" si="2"/>
        <v>0</v>
      </c>
    </row>
    <row r="48" spans="4:25" x14ac:dyDescent="0.25">
      <c r="D48" s="12"/>
      <c r="E48" s="5"/>
      <c r="F48" s="19" t="str">
        <f t="shared" si="0"/>
        <v/>
      </c>
      <c r="G48" s="1"/>
      <c r="H48" s="1"/>
      <c r="I48" s="1"/>
      <c r="J48" s="11"/>
      <c r="X48" s="5">
        <f t="shared" si="1"/>
        <v>0</v>
      </c>
      <c r="Y48" s="2">
        <f t="shared" si="2"/>
        <v>0</v>
      </c>
    </row>
    <row r="49" spans="4:25" x14ac:dyDescent="0.25">
      <c r="D49" s="12"/>
      <c r="E49" s="5"/>
      <c r="F49" s="19" t="str">
        <f t="shared" si="0"/>
        <v/>
      </c>
      <c r="G49" s="1"/>
      <c r="H49" s="1"/>
      <c r="I49" s="1"/>
      <c r="J49" s="11"/>
      <c r="X49" s="5">
        <f t="shared" si="1"/>
        <v>0</v>
      </c>
      <c r="Y49" s="2">
        <f t="shared" si="2"/>
        <v>0</v>
      </c>
    </row>
    <row r="50" spans="4:25" x14ac:dyDescent="0.25">
      <c r="D50" s="12"/>
      <c r="E50" s="5"/>
      <c r="F50" s="19" t="str">
        <f t="shared" si="0"/>
        <v/>
      </c>
      <c r="G50" s="1"/>
      <c r="H50" s="1"/>
      <c r="I50" s="1"/>
      <c r="J50" s="11"/>
      <c r="X50" s="5">
        <f t="shared" si="1"/>
        <v>0</v>
      </c>
      <c r="Y50" s="2">
        <f t="shared" si="2"/>
        <v>0</v>
      </c>
    </row>
    <row r="51" spans="4:25" x14ac:dyDescent="0.25">
      <c r="D51" s="12"/>
      <c r="E51" s="5"/>
      <c r="F51" s="19" t="str">
        <f t="shared" si="0"/>
        <v/>
      </c>
      <c r="G51" s="1"/>
      <c r="H51" s="1"/>
      <c r="I51" s="1"/>
      <c r="J51" s="11"/>
      <c r="X51" s="5">
        <f t="shared" si="1"/>
        <v>0</v>
      </c>
      <c r="Y51" s="2">
        <f t="shared" si="2"/>
        <v>0</v>
      </c>
    </row>
    <row r="52" spans="4:25" x14ac:dyDescent="0.25">
      <c r="D52" s="12"/>
      <c r="E52" s="5"/>
      <c r="F52" s="19" t="str">
        <f t="shared" si="0"/>
        <v/>
      </c>
      <c r="G52" s="1"/>
      <c r="H52" s="1"/>
      <c r="I52" s="1"/>
      <c r="J52" s="9"/>
      <c r="X52" s="5">
        <f t="shared" si="1"/>
        <v>0</v>
      </c>
      <c r="Y52" s="2">
        <f t="shared" si="2"/>
        <v>0</v>
      </c>
    </row>
    <row r="53" spans="4:25" x14ac:dyDescent="0.25">
      <c r="D53" s="1" t="s">
        <v>25</v>
      </c>
      <c r="E53" s="23"/>
      <c r="F53" s="2"/>
      <c r="G53" s="2">
        <f>SUM(G3:G52)</f>
        <v>0.47</v>
      </c>
      <c r="H53" s="2">
        <f t="shared" ref="H53:I53" si="3">SUM(H3:H52)</f>
        <v>7.0000000000000007E-2</v>
      </c>
      <c r="I53" s="2">
        <f t="shared" si="3"/>
        <v>0</v>
      </c>
    </row>
  </sheetData>
  <mergeCells count="4">
    <mergeCell ref="D1:F1"/>
    <mergeCell ref="G1:I1"/>
    <mergeCell ref="K1:Q1"/>
    <mergeCell ref="X1:Z1"/>
  </mergeCells>
  <conditionalFormatting sqref="A1:B1">
    <cfRule type="expression" dxfId="203" priority="1">
      <formula>$Z$3="+"</formula>
    </cfRule>
    <cfRule type="expression" dxfId="202" priority="2">
      <formula>$B$16=$K$3</formula>
    </cfRule>
  </conditionalFormatting>
  <conditionalFormatting sqref="P3">
    <cfRule type="expression" dxfId="201" priority="3">
      <formula>$Z$3="+"</formula>
    </cfRule>
  </conditionalFormatting>
  <conditionalFormatting sqref="Z3">
    <cfRule type="expression" dxfId="200" priority="4">
      <formula>$Z$3="+"</formula>
    </cfRule>
  </conditionalFormatting>
  <dataValidations count="1">
    <dataValidation type="list" allowBlank="1" showInputMessage="1" showErrorMessage="1" sqref="B2" xr:uid="{92B33F94-C8F3-464B-A120-5698A809F962}">
      <formula1>"Romania,Moldova,Cyprus,Philippines"</formula1>
    </dataValidation>
  </dataValidation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5EF61-9480-4C6A-BC8A-AFA446FFD64E}">
  <dimension ref="A1:Z53"/>
  <sheetViews>
    <sheetView workbookViewId="0">
      <selection activeCell="I4" sqref="I4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1" customWidth="1"/>
    <col min="25" max="25" width="10.7109375" style="11" customWidth="1"/>
    <col min="26" max="26" width="10.7109375" customWidth="1"/>
  </cols>
  <sheetData>
    <row r="1" spans="1:26" x14ac:dyDescent="0.25">
      <c r="A1" s="4" t="s">
        <v>66</v>
      </c>
      <c r="B1" s="5" t="s">
        <v>100</v>
      </c>
      <c r="D1" s="29" t="s">
        <v>2</v>
      </c>
      <c r="E1" s="30"/>
      <c r="F1" s="31"/>
      <c r="G1" s="29" t="s">
        <v>0</v>
      </c>
      <c r="H1" s="30"/>
      <c r="I1" s="31"/>
      <c r="J1" s="18"/>
      <c r="K1" s="29" t="s">
        <v>58</v>
      </c>
      <c r="L1" s="30"/>
      <c r="M1" s="30"/>
      <c r="N1" s="30"/>
      <c r="O1" s="30"/>
      <c r="P1" s="30"/>
      <c r="Q1" s="31"/>
      <c r="X1" s="29"/>
      <c r="Y1" s="30"/>
      <c r="Z1" s="31"/>
    </row>
    <row r="2" spans="1:26" x14ac:dyDescent="0.25">
      <c r="A2" s="4" t="s">
        <v>21</v>
      </c>
      <c r="B2" s="5" t="s">
        <v>22</v>
      </c>
      <c r="D2" s="10" t="s">
        <v>49</v>
      </c>
      <c r="E2" s="10" t="s">
        <v>50</v>
      </c>
      <c r="F2" s="17" t="s">
        <v>67</v>
      </c>
      <c r="G2" s="10" t="s">
        <v>15</v>
      </c>
      <c r="H2" s="10" t="s">
        <v>16</v>
      </c>
      <c r="I2" s="10" t="s">
        <v>60</v>
      </c>
      <c r="J2" s="9"/>
      <c r="K2" s="10" t="s">
        <v>0</v>
      </c>
      <c r="L2" s="10" t="s">
        <v>1</v>
      </c>
      <c r="M2" s="10" t="s">
        <v>56</v>
      </c>
      <c r="N2" s="10" t="s">
        <v>57</v>
      </c>
      <c r="O2" s="10" t="s">
        <v>2</v>
      </c>
      <c r="P2" s="10" t="s">
        <v>68</v>
      </c>
      <c r="Q2" s="10" t="s">
        <v>67</v>
      </c>
      <c r="X2" s="10" t="s">
        <v>2</v>
      </c>
      <c r="Y2" s="10" t="s">
        <v>59</v>
      </c>
      <c r="Z2" s="10" t="s">
        <v>68</v>
      </c>
    </row>
    <row r="3" spans="1:26" x14ac:dyDescent="0.25">
      <c r="A3" s="4" t="s">
        <v>69</v>
      </c>
      <c r="B3" s="5" t="s">
        <v>73</v>
      </c>
      <c r="D3" s="12">
        <v>46295</v>
      </c>
      <c r="E3" s="12">
        <v>46295</v>
      </c>
      <c r="F3" s="19">
        <f t="shared" ref="F3:F52" si="0">IF(E3&gt;0,E3-D3,"")</f>
        <v>0</v>
      </c>
      <c r="G3" s="2">
        <v>6.73</v>
      </c>
      <c r="H3" s="2">
        <v>0.15</v>
      </c>
      <c r="I3" s="2">
        <v>0</v>
      </c>
      <c r="J3" s="11"/>
      <c r="K3" s="2">
        <f>G53</f>
        <v>6.73</v>
      </c>
      <c r="L3" s="2">
        <f>H53</f>
        <v>0.15</v>
      </c>
      <c r="M3" s="2">
        <f>I53</f>
        <v>0</v>
      </c>
      <c r="N3" s="6" t="str">
        <f>IF(B16=K3,XIRR(Y3:Y52,X3:X52),"")</f>
        <v/>
      </c>
      <c r="O3" s="5" t="str">
        <f>IF(B16=K3,MAX(E:E),"")</f>
        <v/>
      </c>
      <c r="P3" s="1" t="str">
        <f ca="1">IF(Z3="+",TODAY()-B11,"")</f>
        <v/>
      </c>
      <c r="Q3" s="1" t="str">
        <f>IF(B16=K3,MAX(E:E)-B11,"")</f>
        <v/>
      </c>
      <c r="T3" s="14"/>
      <c r="X3" s="5">
        <f>B9</f>
        <v>46272</v>
      </c>
      <c r="Y3" s="2">
        <f>B16*-1</f>
        <v>-25.95</v>
      </c>
      <c r="Z3" s="1" t="str">
        <f ca="1">IF(AND(TODAY()&gt;B11, K3&lt;&gt;B16), "+", "")</f>
        <v/>
      </c>
    </row>
    <row r="4" spans="1:26" x14ac:dyDescent="0.25">
      <c r="A4" s="4" t="s">
        <v>19</v>
      </c>
      <c r="B4" s="5" t="s">
        <v>79</v>
      </c>
      <c r="D4" s="12"/>
      <c r="E4" s="12"/>
      <c r="F4" s="19" t="str">
        <f t="shared" si="0"/>
        <v/>
      </c>
      <c r="G4" s="2"/>
      <c r="H4" s="2"/>
      <c r="I4" s="2"/>
      <c r="J4" s="9"/>
      <c r="X4" s="5">
        <f>E3</f>
        <v>46295</v>
      </c>
      <c r="Y4" s="2">
        <f>G3+H3-I3</f>
        <v>6.8800000000000008</v>
      </c>
    </row>
    <row r="5" spans="1:26" x14ac:dyDescent="0.25">
      <c r="A5" s="4"/>
      <c r="B5" s="5"/>
      <c r="D5" s="12"/>
      <c r="E5" s="12"/>
      <c r="F5" s="19" t="str">
        <f t="shared" si="0"/>
        <v/>
      </c>
      <c r="G5" s="2"/>
      <c r="H5" s="1"/>
      <c r="I5" s="2"/>
      <c r="J5" s="9"/>
      <c r="X5" s="5">
        <f t="shared" ref="X5:X52" si="1">E4</f>
        <v>0</v>
      </c>
      <c r="Y5" s="2">
        <f t="shared" ref="Y5:Y52" si="2">G4+H4-I4</f>
        <v>0</v>
      </c>
    </row>
    <row r="6" spans="1:26" x14ac:dyDescent="0.25">
      <c r="A6" s="4"/>
      <c r="B6" s="5"/>
      <c r="D6" s="12"/>
      <c r="E6" s="12"/>
      <c r="F6" s="19" t="str">
        <f t="shared" si="0"/>
        <v/>
      </c>
      <c r="G6" s="2"/>
      <c r="H6" s="1"/>
      <c r="I6" s="2"/>
      <c r="J6" s="9"/>
      <c r="X6" s="5">
        <f t="shared" si="1"/>
        <v>0</v>
      </c>
      <c r="Y6" s="2">
        <f t="shared" si="2"/>
        <v>0</v>
      </c>
    </row>
    <row r="7" spans="1:26" x14ac:dyDescent="0.25">
      <c r="A7" s="4"/>
      <c r="B7" s="5"/>
      <c r="D7" s="12"/>
      <c r="E7" s="12"/>
      <c r="F7" s="19" t="str">
        <f t="shared" si="0"/>
        <v/>
      </c>
      <c r="G7" s="2"/>
      <c r="H7" s="1"/>
      <c r="I7" s="2"/>
      <c r="J7" s="11"/>
      <c r="X7" s="5">
        <f t="shared" si="1"/>
        <v>0</v>
      </c>
      <c r="Y7" s="2">
        <f t="shared" si="2"/>
        <v>0</v>
      </c>
    </row>
    <row r="8" spans="1:26" x14ac:dyDescent="0.25">
      <c r="A8" s="4" t="s">
        <v>24</v>
      </c>
      <c r="B8" s="5" t="str">
        <f>DATEDIF(B9,B11,"y") &amp; " m. " &amp; DATEDIF(B9,B11,"ym") &amp; " mėn. " &amp; DATEDIF(B9,B11,"md") &amp; " d."</f>
        <v>1 m. 5 mėn. 8 d.</v>
      </c>
      <c r="D8" s="12"/>
      <c r="E8" s="12"/>
      <c r="F8" s="19" t="str">
        <f t="shared" si="0"/>
        <v/>
      </c>
      <c r="G8" s="1"/>
      <c r="H8" s="1"/>
      <c r="I8" s="2"/>
      <c r="J8" s="9"/>
      <c r="X8" s="5">
        <f t="shared" si="1"/>
        <v>0</v>
      </c>
      <c r="Y8" s="2">
        <f t="shared" si="2"/>
        <v>0</v>
      </c>
    </row>
    <row r="9" spans="1:26" x14ac:dyDescent="0.25">
      <c r="A9" s="4" t="s">
        <v>11</v>
      </c>
      <c r="B9" s="5">
        <v>46272</v>
      </c>
      <c r="D9" s="12"/>
      <c r="E9" s="12"/>
      <c r="F9" s="19"/>
      <c r="G9" s="2"/>
      <c r="H9" s="2"/>
      <c r="I9" s="2"/>
      <c r="J9" s="11"/>
      <c r="X9" s="5">
        <f t="shared" si="1"/>
        <v>0</v>
      </c>
      <c r="Y9" s="2">
        <f t="shared" si="2"/>
        <v>0</v>
      </c>
    </row>
    <row r="10" spans="1:26" x14ac:dyDescent="0.25">
      <c r="A10" s="4" t="s">
        <v>70</v>
      </c>
      <c r="B10" s="5">
        <v>46252</v>
      </c>
      <c r="D10" s="12"/>
      <c r="E10" s="12"/>
      <c r="F10" s="19" t="str">
        <f t="shared" si="0"/>
        <v/>
      </c>
      <c r="G10" s="1"/>
      <c r="H10" s="1"/>
      <c r="I10" s="2"/>
      <c r="J10" s="11"/>
      <c r="X10" s="5">
        <f t="shared" si="1"/>
        <v>0</v>
      </c>
      <c r="Y10" s="2">
        <f t="shared" si="2"/>
        <v>0</v>
      </c>
    </row>
    <row r="11" spans="1:26" x14ac:dyDescent="0.25">
      <c r="A11" s="4" t="s">
        <v>10</v>
      </c>
      <c r="B11" s="5">
        <v>46798</v>
      </c>
      <c r="D11" s="12"/>
      <c r="E11" s="12"/>
      <c r="F11" s="19" t="str">
        <f t="shared" si="0"/>
        <v/>
      </c>
      <c r="G11" s="1"/>
      <c r="H11" s="2"/>
      <c r="I11" s="2"/>
      <c r="J11" s="11"/>
      <c r="X11" s="5">
        <f t="shared" si="1"/>
        <v>0</v>
      </c>
      <c r="Y11" s="2">
        <f t="shared" si="2"/>
        <v>0</v>
      </c>
    </row>
    <row r="12" spans="1:26" x14ac:dyDescent="0.25">
      <c r="A12" s="4" t="s">
        <v>71</v>
      </c>
      <c r="B12" s="19">
        <f ca="1">IF(B16&lt;&gt;K3,(TODAY()-B11)*-1,"")</f>
        <v>503</v>
      </c>
      <c r="D12" s="12"/>
      <c r="E12" s="12"/>
      <c r="F12" s="19" t="str">
        <f t="shared" si="0"/>
        <v/>
      </c>
      <c r="G12" s="2"/>
      <c r="H12" s="1"/>
      <c r="I12" s="1"/>
      <c r="J12" s="11"/>
      <c r="X12" s="5">
        <f t="shared" si="1"/>
        <v>0</v>
      </c>
      <c r="Y12" s="2">
        <f t="shared" si="2"/>
        <v>0</v>
      </c>
    </row>
    <row r="13" spans="1:26" x14ac:dyDescent="0.25">
      <c r="A13" s="4"/>
      <c r="B13" s="2"/>
      <c r="D13" s="12"/>
      <c r="E13" s="12"/>
      <c r="F13" s="19" t="str">
        <f t="shared" si="0"/>
        <v/>
      </c>
      <c r="G13" s="1"/>
      <c r="H13" s="2"/>
      <c r="I13" s="2"/>
      <c r="J13" s="11"/>
      <c r="N13" s="14"/>
      <c r="X13" s="5">
        <f t="shared" si="1"/>
        <v>0</v>
      </c>
      <c r="Y13" s="2">
        <f t="shared" si="2"/>
        <v>0</v>
      </c>
    </row>
    <row r="14" spans="1:26" x14ac:dyDescent="0.25">
      <c r="A14" s="13"/>
      <c r="B14" s="20"/>
      <c r="D14" s="12"/>
      <c r="E14" s="5"/>
      <c r="F14" s="19" t="str">
        <f t="shared" si="0"/>
        <v/>
      </c>
      <c r="G14" s="1"/>
      <c r="H14" s="1"/>
      <c r="I14" s="1"/>
      <c r="J14" s="11"/>
      <c r="X14" s="5">
        <f t="shared" si="1"/>
        <v>0</v>
      </c>
      <c r="Y14" s="2">
        <f t="shared" si="2"/>
        <v>0</v>
      </c>
    </row>
    <row r="15" spans="1:26" x14ac:dyDescent="0.25">
      <c r="A15" s="4" t="s">
        <v>1</v>
      </c>
      <c r="B15" s="6">
        <v>0.12</v>
      </c>
      <c r="D15" s="12"/>
      <c r="E15" s="5"/>
      <c r="F15" s="19" t="str">
        <f t="shared" si="0"/>
        <v/>
      </c>
      <c r="G15" s="1"/>
      <c r="H15" s="1"/>
      <c r="I15" s="1"/>
      <c r="J15" s="11"/>
      <c r="K15" s="18"/>
      <c r="L15" s="18"/>
      <c r="M15" s="18"/>
      <c r="N15" s="18"/>
      <c r="O15" s="18"/>
      <c r="P15" s="18"/>
      <c r="Q15" s="18"/>
      <c r="X15" s="5">
        <f t="shared" si="1"/>
        <v>0</v>
      </c>
      <c r="Y15" s="2">
        <f t="shared" si="2"/>
        <v>0</v>
      </c>
    </row>
    <row r="16" spans="1:26" x14ac:dyDescent="0.25">
      <c r="A16" s="4" t="s">
        <v>72</v>
      </c>
      <c r="B16" s="2">
        <v>25.95</v>
      </c>
      <c r="D16" s="12"/>
      <c r="E16" s="5"/>
      <c r="F16" s="19" t="str">
        <f t="shared" si="0"/>
        <v/>
      </c>
      <c r="G16" s="1"/>
      <c r="H16" s="1"/>
      <c r="I16" s="1"/>
      <c r="J16" s="11"/>
      <c r="K16" s="9"/>
      <c r="L16" s="9"/>
      <c r="M16" s="9"/>
      <c r="N16" s="21"/>
      <c r="O16" s="22"/>
      <c r="P16" s="11"/>
      <c r="Q16" s="11"/>
      <c r="X16" s="5">
        <f t="shared" si="1"/>
        <v>0</v>
      </c>
      <c r="Y16" s="2">
        <f t="shared" si="2"/>
        <v>0</v>
      </c>
    </row>
    <row r="17" spans="2:25" x14ac:dyDescent="0.25">
      <c r="D17" s="12"/>
      <c r="E17" s="5"/>
      <c r="F17" s="19" t="str">
        <f t="shared" si="0"/>
        <v/>
      </c>
      <c r="G17" s="1"/>
      <c r="H17" s="1"/>
      <c r="I17" s="1"/>
      <c r="J17" s="11"/>
      <c r="X17" s="5">
        <f t="shared" si="1"/>
        <v>0</v>
      </c>
      <c r="Y17" s="2">
        <f t="shared" si="2"/>
        <v>0</v>
      </c>
    </row>
    <row r="18" spans="2:25" x14ac:dyDescent="0.25">
      <c r="D18" s="12"/>
      <c r="E18" s="5"/>
      <c r="F18" s="19" t="str">
        <f t="shared" si="0"/>
        <v/>
      </c>
      <c r="G18" s="1"/>
      <c r="H18" s="1"/>
      <c r="I18" s="1"/>
      <c r="J18" s="11"/>
      <c r="X18" s="5">
        <f t="shared" si="1"/>
        <v>0</v>
      </c>
      <c r="Y18" s="2">
        <f t="shared" si="2"/>
        <v>0</v>
      </c>
    </row>
    <row r="19" spans="2:25" x14ac:dyDescent="0.25">
      <c r="D19" s="12"/>
      <c r="E19" s="5"/>
      <c r="F19" s="19" t="str">
        <f t="shared" si="0"/>
        <v/>
      </c>
      <c r="G19" s="1"/>
      <c r="H19" s="1"/>
      <c r="I19" s="1"/>
      <c r="J19" s="11"/>
      <c r="X19" s="5">
        <f t="shared" si="1"/>
        <v>0</v>
      </c>
      <c r="Y19" s="2">
        <f t="shared" si="2"/>
        <v>0</v>
      </c>
    </row>
    <row r="20" spans="2:25" x14ac:dyDescent="0.25">
      <c r="D20" s="12"/>
      <c r="E20" s="5"/>
      <c r="F20" s="19" t="str">
        <f t="shared" si="0"/>
        <v/>
      </c>
      <c r="G20" s="1"/>
      <c r="H20" s="1"/>
      <c r="I20" s="1"/>
      <c r="J20" s="11"/>
      <c r="X20" s="5">
        <f t="shared" si="1"/>
        <v>0</v>
      </c>
      <c r="Y20" s="2">
        <f t="shared" si="2"/>
        <v>0</v>
      </c>
    </row>
    <row r="21" spans="2:25" x14ac:dyDescent="0.25">
      <c r="D21" s="12"/>
      <c r="E21" s="5"/>
      <c r="F21" s="19" t="str">
        <f t="shared" si="0"/>
        <v/>
      </c>
      <c r="G21" s="1"/>
      <c r="H21" s="1"/>
      <c r="I21" s="1"/>
      <c r="J21" s="11"/>
      <c r="X21" s="5">
        <f t="shared" si="1"/>
        <v>0</v>
      </c>
      <c r="Y21" s="2">
        <f t="shared" si="2"/>
        <v>0</v>
      </c>
    </row>
    <row r="22" spans="2:25" x14ac:dyDescent="0.25">
      <c r="D22" s="12"/>
      <c r="E22" s="5"/>
      <c r="F22" s="19" t="str">
        <f t="shared" si="0"/>
        <v/>
      </c>
      <c r="G22" s="1"/>
      <c r="H22" s="1"/>
      <c r="I22" s="1"/>
      <c r="J22" s="11"/>
      <c r="X22" s="5">
        <f t="shared" si="1"/>
        <v>0</v>
      </c>
      <c r="Y22" s="2">
        <f t="shared" si="2"/>
        <v>0</v>
      </c>
    </row>
    <row r="23" spans="2:25" x14ac:dyDescent="0.25">
      <c r="B23" s="22"/>
      <c r="D23" s="12"/>
      <c r="E23" s="5"/>
      <c r="F23" s="19" t="str">
        <f t="shared" si="0"/>
        <v/>
      </c>
      <c r="G23" s="1"/>
      <c r="H23" s="1"/>
      <c r="I23" s="1"/>
      <c r="J23" s="11"/>
      <c r="X23" s="5">
        <f t="shared" si="1"/>
        <v>0</v>
      </c>
      <c r="Y23" s="2">
        <f t="shared" si="2"/>
        <v>0</v>
      </c>
    </row>
    <row r="24" spans="2:25" x14ac:dyDescent="0.25">
      <c r="D24" s="12"/>
      <c r="E24" s="5"/>
      <c r="F24" s="19" t="str">
        <f t="shared" si="0"/>
        <v/>
      </c>
      <c r="G24" s="1"/>
      <c r="H24" s="1"/>
      <c r="I24" s="1"/>
      <c r="J24" s="11"/>
      <c r="X24" s="5">
        <f t="shared" si="1"/>
        <v>0</v>
      </c>
      <c r="Y24" s="2">
        <f t="shared" si="2"/>
        <v>0</v>
      </c>
    </row>
    <row r="25" spans="2:25" x14ac:dyDescent="0.25">
      <c r="D25" s="12"/>
      <c r="E25" s="5"/>
      <c r="F25" s="19" t="str">
        <f t="shared" si="0"/>
        <v/>
      </c>
      <c r="G25" s="1"/>
      <c r="H25" s="1"/>
      <c r="I25" s="1"/>
      <c r="J25" s="11"/>
      <c r="X25" s="5">
        <f t="shared" si="1"/>
        <v>0</v>
      </c>
      <c r="Y25" s="2">
        <f t="shared" si="2"/>
        <v>0</v>
      </c>
    </row>
    <row r="26" spans="2:25" x14ac:dyDescent="0.25">
      <c r="D26" s="12"/>
      <c r="E26" s="5"/>
      <c r="F26" s="19" t="str">
        <f t="shared" si="0"/>
        <v/>
      </c>
      <c r="G26" s="1"/>
      <c r="H26" s="1"/>
      <c r="I26" s="1"/>
      <c r="J26" s="11"/>
      <c r="X26" s="5">
        <f t="shared" si="1"/>
        <v>0</v>
      </c>
      <c r="Y26" s="2">
        <f t="shared" si="2"/>
        <v>0</v>
      </c>
    </row>
    <row r="27" spans="2:25" x14ac:dyDescent="0.25">
      <c r="D27" s="12"/>
      <c r="E27" s="5"/>
      <c r="F27" s="19" t="str">
        <f t="shared" si="0"/>
        <v/>
      </c>
      <c r="G27" s="1"/>
      <c r="H27" s="1"/>
      <c r="I27" s="1"/>
      <c r="J27" s="11"/>
      <c r="X27" s="5">
        <f t="shared" si="1"/>
        <v>0</v>
      </c>
      <c r="Y27" s="2">
        <f t="shared" si="2"/>
        <v>0</v>
      </c>
    </row>
    <row r="28" spans="2:25" x14ac:dyDescent="0.25">
      <c r="D28" s="12"/>
      <c r="E28" s="5"/>
      <c r="F28" s="19" t="str">
        <f t="shared" si="0"/>
        <v/>
      </c>
      <c r="G28" s="1"/>
      <c r="H28" s="1"/>
      <c r="I28" s="1"/>
      <c r="J28" s="11"/>
      <c r="X28" s="5">
        <f t="shared" si="1"/>
        <v>0</v>
      </c>
      <c r="Y28" s="2">
        <f t="shared" si="2"/>
        <v>0</v>
      </c>
    </row>
    <row r="29" spans="2:25" x14ac:dyDescent="0.25">
      <c r="D29" s="12"/>
      <c r="E29" s="5"/>
      <c r="F29" s="19" t="str">
        <f t="shared" si="0"/>
        <v/>
      </c>
      <c r="G29" s="1"/>
      <c r="H29" s="1"/>
      <c r="I29" s="1"/>
      <c r="J29" s="11"/>
      <c r="X29" s="5">
        <f t="shared" si="1"/>
        <v>0</v>
      </c>
      <c r="Y29" s="2">
        <f t="shared" si="2"/>
        <v>0</v>
      </c>
    </row>
    <row r="30" spans="2:25" x14ac:dyDescent="0.25">
      <c r="D30" s="12"/>
      <c r="E30" s="5"/>
      <c r="F30" s="19" t="str">
        <f t="shared" si="0"/>
        <v/>
      </c>
      <c r="G30" s="1"/>
      <c r="H30" s="1"/>
      <c r="I30" s="1"/>
      <c r="J30" s="11"/>
      <c r="X30" s="5">
        <f t="shared" si="1"/>
        <v>0</v>
      </c>
      <c r="Y30" s="2">
        <f t="shared" si="2"/>
        <v>0</v>
      </c>
    </row>
    <row r="31" spans="2:25" x14ac:dyDescent="0.25">
      <c r="D31" s="12"/>
      <c r="E31" s="5"/>
      <c r="F31" s="19" t="str">
        <f t="shared" si="0"/>
        <v/>
      </c>
      <c r="G31" s="1"/>
      <c r="H31" s="1"/>
      <c r="I31" s="1"/>
      <c r="J31" s="11"/>
      <c r="X31" s="5">
        <f t="shared" si="1"/>
        <v>0</v>
      </c>
      <c r="Y31" s="2">
        <f t="shared" si="2"/>
        <v>0</v>
      </c>
    </row>
    <row r="32" spans="2:25" x14ac:dyDescent="0.25">
      <c r="D32" s="12"/>
      <c r="E32" s="5"/>
      <c r="F32" s="19" t="str">
        <f t="shared" si="0"/>
        <v/>
      </c>
      <c r="G32" s="1"/>
      <c r="H32" s="1"/>
      <c r="I32" s="1"/>
      <c r="J32" s="11"/>
      <c r="X32" s="5">
        <f t="shared" si="1"/>
        <v>0</v>
      </c>
      <c r="Y32" s="2">
        <f t="shared" si="2"/>
        <v>0</v>
      </c>
    </row>
    <row r="33" spans="4:25" x14ac:dyDescent="0.25">
      <c r="D33" s="12"/>
      <c r="E33" s="5"/>
      <c r="F33" s="19" t="str">
        <f t="shared" si="0"/>
        <v/>
      </c>
      <c r="G33" s="1"/>
      <c r="H33" s="1"/>
      <c r="I33" s="1"/>
      <c r="J33" s="11"/>
      <c r="X33" s="5">
        <f t="shared" si="1"/>
        <v>0</v>
      </c>
      <c r="Y33" s="2">
        <f t="shared" si="2"/>
        <v>0</v>
      </c>
    </row>
    <row r="34" spans="4:25" x14ac:dyDescent="0.25">
      <c r="D34" s="12"/>
      <c r="E34" s="5"/>
      <c r="F34" s="19" t="str">
        <f t="shared" si="0"/>
        <v/>
      </c>
      <c r="G34" s="1"/>
      <c r="H34" s="1"/>
      <c r="I34" s="1"/>
      <c r="J34" s="11"/>
      <c r="X34" s="5">
        <f t="shared" si="1"/>
        <v>0</v>
      </c>
      <c r="Y34" s="2">
        <f t="shared" si="2"/>
        <v>0</v>
      </c>
    </row>
    <row r="35" spans="4:25" x14ac:dyDescent="0.25">
      <c r="D35" s="12"/>
      <c r="E35" s="5"/>
      <c r="F35" s="19" t="str">
        <f t="shared" si="0"/>
        <v/>
      </c>
      <c r="G35" s="1"/>
      <c r="H35" s="1"/>
      <c r="I35" s="1"/>
      <c r="J35" s="11"/>
      <c r="X35" s="5">
        <f t="shared" si="1"/>
        <v>0</v>
      </c>
      <c r="Y35" s="2">
        <f t="shared" si="2"/>
        <v>0</v>
      </c>
    </row>
    <row r="36" spans="4:25" x14ac:dyDescent="0.25">
      <c r="D36" s="12"/>
      <c r="E36" s="5"/>
      <c r="F36" s="19" t="str">
        <f t="shared" si="0"/>
        <v/>
      </c>
      <c r="G36" s="1"/>
      <c r="H36" s="1"/>
      <c r="I36" s="1"/>
      <c r="J36" s="11"/>
      <c r="X36" s="5">
        <f t="shared" si="1"/>
        <v>0</v>
      </c>
      <c r="Y36" s="2">
        <f t="shared" si="2"/>
        <v>0</v>
      </c>
    </row>
    <row r="37" spans="4:25" x14ac:dyDescent="0.25">
      <c r="D37" s="12"/>
      <c r="E37" s="5"/>
      <c r="F37" s="19" t="str">
        <f t="shared" si="0"/>
        <v/>
      </c>
      <c r="G37" s="1"/>
      <c r="H37" s="1"/>
      <c r="I37" s="1"/>
      <c r="J37" s="11"/>
      <c r="X37" s="5">
        <f t="shared" si="1"/>
        <v>0</v>
      </c>
      <c r="Y37" s="2">
        <f t="shared" si="2"/>
        <v>0</v>
      </c>
    </row>
    <row r="38" spans="4:25" x14ac:dyDescent="0.25">
      <c r="D38" s="12"/>
      <c r="E38" s="5"/>
      <c r="F38" s="19" t="str">
        <f t="shared" si="0"/>
        <v/>
      </c>
      <c r="G38" s="1"/>
      <c r="H38" s="1"/>
      <c r="I38" s="1"/>
      <c r="J38" s="11"/>
      <c r="X38" s="5">
        <f t="shared" si="1"/>
        <v>0</v>
      </c>
      <c r="Y38" s="2">
        <f t="shared" si="2"/>
        <v>0</v>
      </c>
    </row>
    <row r="39" spans="4:25" x14ac:dyDescent="0.25">
      <c r="D39" s="12"/>
      <c r="E39" s="5"/>
      <c r="F39" s="19" t="str">
        <f t="shared" si="0"/>
        <v/>
      </c>
      <c r="G39" s="1"/>
      <c r="H39" s="1"/>
      <c r="I39" s="1"/>
      <c r="J39" s="11"/>
      <c r="X39" s="5">
        <f t="shared" si="1"/>
        <v>0</v>
      </c>
      <c r="Y39" s="2">
        <f t="shared" si="2"/>
        <v>0</v>
      </c>
    </row>
    <row r="40" spans="4:25" x14ac:dyDescent="0.25">
      <c r="D40" s="12"/>
      <c r="E40" s="5"/>
      <c r="F40" s="19" t="str">
        <f t="shared" si="0"/>
        <v/>
      </c>
      <c r="G40" s="1"/>
      <c r="H40" s="1"/>
      <c r="I40" s="1"/>
      <c r="J40" s="11"/>
      <c r="X40" s="5">
        <f t="shared" si="1"/>
        <v>0</v>
      </c>
      <c r="Y40" s="2">
        <f t="shared" si="2"/>
        <v>0</v>
      </c>
    </row>
    <row r="41" spans="4:25" x14ac:dyDescent="0.25">
      <c r="D41" s="12"/>
      <c r="E41" s="5"/>
      <c r="F41" s="19" t="str">
        <f t="shared" si="0"/>
        <v/>
      </c>
      <c r="G41" s="1"/>
      <c r="H41" s="1"/>
      <c r="I41" s="1"/>
      <c r="J41" s="11"/>
      <c r="X41" s="5">
        <f t="shared" si="1"/>
        <v>0</v>
      </c>
      <c r="Y41" s="2">
        <f t="shared" si="2"/>
        <v>0</v>
      </c>
    </row>
    <row r="42" spans="4:25" x14ac:dyDescent="0.25">
      <c r="D42" s="12"/>
      <c r="E42" s="5"/>
      <c r="F42" s="19" t="str">
        <f t="shared" si="0"/>
        <v/>
      </c>
      <c r="G42" s="1"/>
      <c r="H42" s="1"/>
      <c r="I42" s="1"/>
      <c r="J42" s="11"/>
      <c r="X42" s="5">
        <f t="shared" si="1"/>
        <v>0</v>
      </c>
      <c r="Y42" s="2">
        <f t="shared" si="2"/>
        <v>0</v>
      </c>
    </row>
    <row r="43" spans="4:25" x14ac:dyDescent="0.25">
      <c r="D43" s="12"/>
      <c r="E43" s="5"/>
      <c r="F43" s="19" t="str">
        <f t="shared" si="0"/>
        <v/>
      </c>
      <c r="G43" s="1"/>
      <c r="H43" s="1"/>
      <c r="I43" s="1"/>
      <c r="J43" s="11"/>
      <c r="X43" s="5">
        <f t="shared" si="1"/>
        <v>0</v>
      </c>
      <c r="Y43" s="2">
        <f t="shared" si="2"/>
        <v>0</v>
      </c>
    </row>
    <row r="44" spans="4:25" x14ac:dyDescent="0.25">
      <c r="D44" s="12"/>
      <c r="E44" s="5"/>
      <c r="F44" s="19" t="str">
        <f t="shared" si="0"/>
        <v/>
      </c>
      <c r="G44" s="1"/>
      <c r="H44" s="1"/>
      <c r="I44" s="1"/>
      <c r="J44" s="11"/>
      <c r="X44" s="5">
        <f t="shared" si="1"/>
        <v>0</v>
      </c>
      <c r="Y44" s="2">
        <f t="shared" si="2"/>
        <v>0</v>
      </c>
    </row>
    <row r="45" spans="4:25" x14ac:dyDescent="0.25">
      <c r="D45" s="12"/>
      <c r="E45" s="5"/>
      <c r="F45" s="19" t="str">
        <f t="shared" si="0"/>
        <v/>
      </c>
      <c r="G45" s="1"/>
      <c r="H45" s="1"/>
      <c r="I45" s="1"/>
      <c r="J45" s="11"/>
      <c r="X45" s="5">
        <f t="shared" si="1"/>
        <v>0</v>
      </c>
      <c r="Y45" s="2">
        <f t="shared" si="2"/>
        <v>0</v>
      </c>
    </row>
    <row r="46" spans="4:25" x14ac:dyDescent="0.25">
      <c r="D46" s="12"/>
      <c r="E46" s="5"/>
      <c r="F46" s="19" t="str">
        <f t="shared" si="0"/>
        <v/>
      </c>
      <c r="G46" s="1"/>
      <c r="H46" s="1"/>
      <c r="I46" s="1"/>
      <c r="J46" s="11"/>
      <c r="X46" s="5">
        <f t="shared" si="1"/>
        <v>0</v>
      </c>
      <c r="Y46" s="2">
        <f t="shared" si="2"/>
        <v>0</v>
      </c>
    </row>
    <row r="47" spans="4:25" x14ac:dyDescent="0.25">
      <c r="D47" s="12"/>
      <c r="E47" s="5"/>
      <c r="F47" s="19" t="str">
        <f t="shared" si="0"/>
        <v/>
      </c>
      <c r="G47" s="1"/>
      <c r="H47" s="1"/>
      <c r="I47" s="1"/>
      <c r="J47" s="11"/>
      <c r="X47" s="5">
        <f t="shared" si="1"/>
        <v>0</v>
      </c>
      <c r="Y47" s="2">
        <f t="shared" si="2"/>
        <v>0</v>
      </c>
    </row>
    <row r="48" spans="4:25" x14ac:dyDescent="0.25">
      <c r="D48" s="12"/>
      <c r="E48" s="5"/>
      <c r="F48" s="19" t="str">
        <f t="shared" si="0"/>
        <v/>
      </c>
      <c r="G48" s="1"/>
      <c r="H48" s="1"/>
      <c r="I48" s="1"/>
      <c r="J48" s="11"/>
      <c r="X48" s="5">
        <f t="shared" si="1"/>
        <v>0</v>
      </c>
      <c r="Y48" s="2">
        <f t="shared" si="2"/>
        <v>0</v>
      </c>
    </row>
    <row r="49" spans="4:25" x14ac:dyDescent="0.25">
      <c r="D49" s="12"/>
      <c r="E49" s="5"/>
      <c r="F49" s="19" t="str">
        <f t="shared" si="0"/>
        <v/>
      </c>
      <c r="G49" s="1"/>
      <c r="H49" s="1"/>
      <c r="I49" s="1"/>
      <c r="J49" s="11"/>
      <c r="X49" s="5">
        <f t="shared" si="1"/>
        <v>0</v>
      </c>
      <c r="Y49" s="2">
        <f t="shared" si="2"/>
        <v>0</v>
      </c>
    </row>
    <row r="50" spans="4:25" x14ac:dyDescent="0.25">
      <c r="D50" s="12"/>
      <c r="E50" s="5"/>
      <c r="F50" s="19" t="str">
        <f t="shared" si="0"/>
        <v/>
      </c>
      <c r="G50" s="1"/>
      <c r="H50" s="1"/>
      <c r="I50" s="1"/>
      <c r="J50" s="11"/>
      <c r="X50" s="5">
        <f t="shared" si="1"/>
        <v>0</v>
      </c>
      <c r="Y50" s="2">
        <f t="shared" si="2"/>
        <v>0</v>
      </c>
    </row>
    <row r="51" spans="4:25" x14ac:dyDescent="0.25">
      <c r="D51" s="12"/>
      <c r="E51" s="5"/>
      <c r="F51" s="19" t="str">
        <f t="shared" si="0"/>
        <v/>
      </c>
      <c r="G51" s="1"/>
      <c r="H51" s="1"/>
      <c r="I51" s="1"/>
      <c r="J51" s="11"/>
      <c r="X51" s="5">
        <f t="shared" si="1"/>
        <v>0</v>
      </c>
      <c r="Y51" s="2">
        <f t="shared" si="2"/>
        <v>0</v>
      </c>
    </row>
    <row r="52" spans="4:25" x14ac:dyDescent="0.25">
      <c r="D52" s="12"/>
      <c r="E52" s="5"/>
      <c r="F52" s="19" t="str">
        <f t="shared" si="0"/>
        <v/>
      </c>
      <c r="G52" s="1"/>
      <c r="H52" s="1"/>
      <c r="I52" s="1"/>
      <c r="J52" s="9"/>
      <c r="X52" s="5">
        <f t="shared" si="1"/>
        <v>0</v>
      </c>
      <c r="Y52" s="2">
        <f t="shared" si="2"/>
        <v>0</v>
      </c>
    </row>
    <row r="53" spans="4:25" x14ac:dyDescent="0.25">
      <c r="D53" s="1" t="s">
        <v>25</v>
      </c>
      <c r="E53" s="23"/>
      <c r="F53" s="2"/>
      <c r="G53" s="2">
        <f>SUM(G3:G52)</f>
        <v>6.73</v>
      </c>
      <c r="H53" s="2">
        <f t="shared" ref="H53:I53" si="3">SUM(H3:H52)</f>
        <v>0.15</v>
      </c>
      <c r="I53" s="2">
        <f t="shared" si="3"/>
        <v>0</v>
      </c>
    </row>
  </sheetData>
  <mergeCells count="4">
    <mergeCell ref="D1:F1"/>
    <mergeCell ref="G1:I1"/>
    <mergeCell ref="K1:Q1"/>
    <mergeCell ref="X1:Z1"/>
  </mergeCells>
  <conditionalFormatting sqref="A1:B1">
    <cfRule type="expression" dxfId="199" priority="1">
      <formula>$Z$3="+"</formula>
    </cfRule>
    <cfRule type="expression" dxfId="198" priority="2">
      <formula>$B$16=$K$3</formula>
    </cfRule>
  </conditionalFormatting>
  <conditionalFormatting sqref="P3">
    <cfRule type="expression" dxfId="197" priority="3">
      <formula>$Z$3="+"</formula>
    </cfRule>
  </conditionalFormatting>
  <conditionalFormatting sqref="Z3">
    <cfRule type="expression" dxfId="196" priority="4">
      <formula>$Z$3="+"</formula>
    </cfRule>
  </conditionalFormatting>
  <dataValidations count="1">
    <dataValidation type="list" allowBlank="1" showInputMessage="1" showErrorMessage="1" sqref="B2" xr:uid="{4E891A89-2DBE-4EC3-8FD9-3E4ADAEA88C6}">
      <formula1>"Romania,Moldova,Cyprus,Philippines"</formula1>
    </dataValidation>
  </dataValidation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CD23B-3790-4F05-A66F-A340E422DE11}">
  <dimension ref="A1:Z53"/>
  <sheetViews>
    <sheetView workbookViewId="0">
      <selection activeCell="E5" sqref="E5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1" customWidth="1"/>
    <col min="25" max="25" width="10.7109375" style="11" customWidth="1"/>
    <col min="26" max="26" width="10.7109375" customWidth="1"/>
  </cols>
  <sheetData>
    <row r="1" spans="1:26" x14ac:dyDescent="0.25">
      <c r="A1" s="4" t="s">
        <v>66</v>
      </c>
      <c r="B1" s="5" t="s">
        <v>99</v>
      </c>
      <c r="D1" s="29" t="s">
        <v>2</v>
      </c>
      <c r="E1" s="30"/>
      <c r="F1" s="31"/>
      <c r="G1" s="29" t="s">
        <v>0</v>
      </c>
      <c r="H1" s="30"/>
      <c r="I1" s="31"/>
      <c r="J1" s="18"/>
      <c r="K1" s="29" t="s">
        <v>58</v>
      </c>
      <c r="L1" s="30"/>
      <c r="M1" s="30"/>
      <c r="N1" s="30"/>
      <c r="O1" s="30"/>
      <c r="P1" s="30"/>
      <c r="Q1" s="31"/>
      <c r="X1" s="29"/>
      <c r="Y1" s="30"/>
      <c r="Z1" s="31"/>
    </row>
    <row r="2" spans="1:26" x14ac:dyDescent="0.25">
      <c r="A2" s="4" t="s">
        <v>21</v>
      </c>
      <c r="B2" s="5" t="s">
        <v>22</v>
      </c>
      <c r="D2" s="10" t="s">
        <v>49</v>
      </c>
      <c r="E2" s="10" t="s">
        <v>50</v>
      </c>
      <c r="F2" s="17" t="s">
        <v>67</v>
      </c>
      <c r="G2" s="10" t="s">
        <v>15</v>
      </c>
      <c r="H2" s="10" t="s">
        <v>16</v>
      </c>
      <c r="I2" s="10" t="s">
        <v>60</v>
      </c>
      <c r="J2" s="9"/>
      <c r="K2" s="10" t="s">
        <v>0</v>
      </c>
      <c r="L2" s="10" t="s">
        <v>1</v>
      </c>
      <c r="M2" s="10" t="s">
        <v>56</v>
      </c>
      <c r="N2" s="10" t="s">
        <v>57</v>
      </c>
      <c r="O2" s="10" t="s">
        <v>2</v>
      </c>
      <c r="P2" s="10" t="s">
        <v>68</v>
      </c>
      <c r="Q2" s="10" t="s">
        <v>67</v>
      </c>
      <c r="X2" s="10" t="s">
        <v>2</v>
      </c>
      <c r="Y2" s="10" t="s">
        <v>59</v>
      </c>
      <c r="Z2" s="10" t="s">
        <v>68</v>
      </c>
    </row>
    <row r="3" spans="1:26" x14ac:dyDescent="0.25">
      <c r="A3" s="4" t="s">
        <v>69</v>
      </c>
      <c r="B3" s="5" t="s">
        <v>73</v>
      </c>
      <c r="D3" s="12">
        <v>46265</v>
      </c>
      <c r="E3" s="12">
        <v>46265</v>
      </c>
      <c r="F3" s="19">
        <f t="shared" ref="F3" si="0">IF(E3&gt;0,E3-D3,"")</f>
        <v>0</v>
      </c>
      <c r="G3" s="2">
        <v>0</v>
      </c>
      <c r="H3" s="2">
        <v>0</v>
      </c>
      <c r="I3" s="2">
        <v>0</v>
      </c>
      <c r="J3" s="11"/>
      <c r="K3" s="2">
        <f>G53</f>
        <v>6.64</v>
      </c>
      <c r="L3" s="2">
        <f>H53</f>
        <v>0.21</v>
      </c>
      <c r="M3" s="2">
        <f>I53</f>
        <v>0</v>
      </c>
      <c r="N3" s="6" t="str">
        <f>IF(B16=K3,XIRR(Y3:Y52,X3:X52),"")</f>
        <v/>
      </c>
      <c r="O3" s="5" t="str">
        <f>IF(B16=K3,MAX(E:E),"")</f>
        <v/>
      </c>
      <c r="P3" s="1" t="str">
        <f ca="1">IF(Z3="+",TODAY()-B11,"")</f>
        <v/>
      </c>
      <c r="Q3" s="1" t="str">
        <f>IF(B16=K3,MAX(E:E)-B11,"")</f>
        <v/>
      </c>
      <c r="T3" s="14"/>
      <c r="X3" s="5">
        <f>B9</f>
        <v>46261</v>
      </c>
      <c r="Y3" s="2">
        <f>B16*-1</f>
        <v>-23.81</v>
      </c>
      <c r="Z3" s="1" t="str">
        <f ca="1">IF(AND(TODAY()&gt;B11, K3&lt;&gt;B16), "+", "")</f>
        <v/>
      </c>
    </row>
    <row r="4" spans="1:26" x14ac:dyDescent="0.25">
      <c r="A4" s="4" t="s">
        <v>19</v>
      </c>
      <c r="B4" s="5" t="s">
        <v>79</v>
      </c>
      <c r="D4" s="12">
        <v>46295</v>
      </c>
      <c r="E4" s="12">
        <v>46295</v>
      </c>
      <c r="F4" s="19">
        <f t="shared" ref="F4:F52" si="1">IF(E4&gt;0,E4-D4,"")</f>
        <v>0</v>
      </c>
      <c r="G4" s="2">
        <v>6.64</v>
      </c>
      <c r="H4" s="2">
        <v>0.21</v>
      </c>
      <c r="I4" s="2">
        <v>0</v>
      </c>
      <c r="J4" s="9"/>
      <c r="X4" s="5">
        <f>E3</f>
        <v>46265</v>
      </c>
      <c r="Y4" s="2">
        <f>G3+H3-I3</f>
        <v>0</v>
      </c>
    </row>
    <row r="5" spans="1:26" x14ac:dyDescent="0.25">
      <c r="A5" s="4"/>
      <c r="B5" s="5"/>
      <c r="D5" s="12"/>
      <c r="E5" s="12"/>
      <c r="F5" s="19" t="str">
        <f t="shared" si="1"/>
        <v/>
      </c>
      <c r="G5" s="2"/>
      <c r="H5" s="1"/>
      <c r="I5" s="2"/>
      <c r="J5" s="9"/>
      <c r="X5" s="5">
        <f t="shared" ref="X5:X52" si="2">E4</f>
        <v>46295</v>
      </c>
      <c r="Y5" s="2">
        <f t="shared" ref="Y5:Y52" si="3">G4+H4-I4</f>
        <v>6.85</v>
      </c>
    </row>
    <row r="6" spans="1:26" x14ac:dyDescent="0.25">
      <c r="A6" s="4"/>
      <c r="B6" s="5"/>
      <c r="D6" s="12"/>
      <c r="E6" s="12"/>
      <c r="F6" s="19" t="str">
        <f t="shared" si="1"/>
        <v/>
      </c>
      <c r="G6" s="2"/>
      <c r="H6" s="1"/>
      <c r="I6" s="2"/>
      <c r="J6" s="9"/>
      <c r="X6" s="5">
        <f t="shared" si="2"/>
        <v>0</v>
      </c>
      <c r="Y6" s="2">
        <f t="shared" si="3"/>
        <v>0</v>
      </c>
    </row>
    <row r="7" spans="1:26" x14ac:dyDescent="0.25">
      <c r="A7" s="4"/>
      <c r="B7" s="5"/>
      <c r="D7" s="12"/>
      <c r="E7" s="12"/>
      <c r="F7" s="19" t="str">
        <f t="shared" si="1"/>
        <v/>
      </c>
      <c r="G7" s="2"/>
      <c r="H7" s="1"/>
      <c r="I7" s="2"/>
      <c r="J7" s="11"/>
      <c r="X7" s="5">
        <f t="shared" si="2"/>
        <v>0</v>
      </c>
      <c r="Y7" s="2">
        <f t="shared" si="3"/>
        <v>0</v>
      </c>
    </row>
    <row r="8" spans="1:26" x14ac:dyDescent="0.25">
      <c r="A8" s="4" t="s">
        <v>24</v>
      </c>
      <c r="B8" s="5" t="str">
        <f>DATEDIF(B9,B11,"y") &amp; " m. " &amp; DATEDIF(B9,B11,"ym") &amp; " mėn. " &amp; DATEDIF(B9,B11,"md") &amp; " d."</f>
        <v>1 m. 10 mėn. 7 d.</v>
      </c>
      <c r="D8" s="12"/>
      <c r="E8" s="12"/>
      <c r="F8" s="19" t="str">
        <f t="shared" si="1"/>
        <v/>
      </c>
      <c r="G8" s="1"/>
      <c r="H8" s="1"/>
      <c r="I8" s="2"/>
      <c r="J8" s="9"/>
      <c r="X8" s="5">
        <f t="shared" si="2"/>
        <v>0</v>
      </c>
      <c r="Y8" s="2">
        <f t="shared" si="3"/>
        <v>0</v>
      </c>
    </row>
    <row r="9" spans="1:26" x14ac:dyDescent="0.25">
      <c r="A9" s="4" t="s">
        <v>11</v>
      </c>
      <c r="B9" s="5">
        <v>46261</v>
      </c>
      <c r="D9" s="12"/>
      <c r="E9" s="12"/>
      <c r="F9" s="19"/>
      <c r="G9" s="2"/>
      <c r="H9" s="2"/>
      <c r="I9" s="2"/>
      <c r="J9" s="11"/>
      <c r="X9" s="5">
        <f t="shared" si="2"/>
        <v>0</v>
      </c>
      <c r="Y9" s="2">
        <f t="shared" si="3"/>
        <v>0</v>
      </c>
    </row>
    <row r="10" spans="1:26" x14ac:dyDescent="0.25">
      <c r="A10" s="4" t="s">
        <v>70</v>
      </c>
      <c r="B10" s="5">
        <v>46259</v>
      </c>
      <c r="D10" s="12"/>
      <c r="E10" s="12"/>
      <c r="F10" s="19" t="str">
        <f t="shared" si="1"/>
        <v/>
      </c>
      <c r="G10" s="1"/>
      <c r="H10" s="1"/>
      <c r="I10" s="2"/>
      <c r="J10" s="11"/>
      <c r="X10" s="5">
        <f t="shared" si="2"/>
        <v>0</v>
      </c>
      <c r="Y10" s="2">
        <f t="shared" si="3"/>
        <v>0</v>
      </c>
    </row>
    <row r="11" spans="1:26" x14ac:dyDescent="0.25">
      <c r="A11" s="4" t="s">
        <v>10</v>
      </c>
      <c r="B11" s="5">
        <v>46938</v>
      </c>
      <c r="D11" s="12"/>
      <c r="E11" s="12"/>
      <c r="F11" s="19" t="str">
        <f t="shared" si="1"/>
        <v/>
      </c>
      <c r="G11" s="1"/>
      <c r="H11" s="2"/>
      <c r="I11" s="2"/>
      <c r="J11" s="11"/>
      <c r="X11" s="5">
        <f t="shared" si="2"/>
        <v>0</v>
      </c>
      <c r="Y11" s="2">
        <f t="shared" si="3"/>
        <v>0</v>
      </c>
    </row>
    <row r="12" spans="1:26" x14ac:dyDescent="0.25">
      <c r="A12" s="4" t="s">
        <v>71</v>
      </c>
      <c r="B12" s="19">
        <f ca="1">IF(B16&lt;&gt;K3,(TODAY()-B11)*-1,"")</f>
        <v>643</v>
      </c>
      <c r="D12" s="12"/>
      <c r="E12" s="12"/>
      <c r="F12" s="19" t="str">
        <f t="shared" si="1"/>
        <v/>
      </c>
      <c r="G12" s="2"/>
      <c r="H12" s="1"/>
      <c r="I12" s="1"/>
      <c r="J12" s="11"/>
      <c r="X12" s="5">
        <f t="shared" si="2"/>
        <v>0</v>
      </c>
      <c r="Y12" s="2">
        <f t="shared" si="3"/>
        <v>0</v>
      </c>
    </row>
    <row r="13" spans="1:26" x14ac:dyDescent="0.25">
      <c r="A13" s="4"/>
      <c r="B13" s="2"/>
      <c r="D13" s="12"/>
      <c r="E13" s="12"/>
      <c r="F13" s="19" t="str">
        <f t="shared" si="1"/>
        <v/>
      </c>
      <c r="G13" s="1"/>
      <c r="H13" s="2"/>
      <c r="I13" s="2"/>
      <c r="J13" s="11"/>
      <c r="N13" s="14"/>
      <c r="X13" s="5">
        <f t="shared" si="2"/>
        <v>0</v>
      </c>
      <c r="Y13" s="2">
        <f t="shared" si="3"/>
        <v>0</v>
      </c>
    </row>
    <row r="14" spans="1:26" x14ac:dyDescent="0.25">
      <c r="A14" s="13"/>
      <c r="B14" s="20"/>
      <c r="D14" s="12"/>
      <c r="E14" s="5"/>
      <c r="F14" s="19" t="str">
        <f t="shared" si="1"/>
        <v/>
      </c>
      <c r="G14" s="1"/>
      <c r="H14" s="1"/>
      <c r="I14" s="1"/>
      <c r="J14" s="11"/>
      <c r="X14" s="5">
        <f t="shared" si="2"/>
        <v>0</v>
      </c>
      <c r="Y14" s="2">
        <f t="shared" si="3"/>
        <v>0</v>
      </c>
    </row>
    <row r="15" spans="1:26" x14ac:dyDescent="0.25">
      <c r="A15" s="4" t="s">
        <v>1</v>
      </c>
      <c r="B15" s="6">
        <v>0.12</v>
      </c>
      <c r="D15" s="12"/>
      <c r="E15" s="5"/>
      <c r="F15" s="19" t="str">
        <f t="shared" si="1"/>
        <v/>
      </c>
      <c r="G15" s="1"/>
      <c r="H15" s="1"/>
      <c r="I15" s="1"/>
      <c r="J15" s="11"/>
      <c r="K15" s="18"/>
      <c r="L15" s="18"/>
      <c r="M15" s="18"/>
      <c r="N15" s="18"/>
      <c r="O15" s="18"/>
      <c r="P15" s="18"/>
      <c r="Q15" s="18"/>
      <c r="X15" s="5">
        <f t="shared" si="2"/>
        <v>0</v>
      </c>
      <c r="Y15" s="2">
        <f t="shared" si="3"/>
        <v>0</v>
      </c>
    </row>
    <row r="16" spans="1:26" x14ac:dyDescent="0.25">
      <c r="A16" s="4" t="s">
        <v>72</v>
      </c>
      <c r="B16" s="2">
        <v>23.81</v>
      </c>
      <c r="D16" s="12"/>
      <c r="E16" s="5"/>
      <c r="F16" s="19" t="str">
        <f t="shared" si="1"/>
        <v/>
      </c>
      <c r="G16" s="1"/>
      <c r="H16" s="1"/>
      <c r="I16" s="1"/>
      <c r="J16" s="11"/>
      <c r="K16" s="9"/>
      <c r="L16" s="9"/>
      <c r="M16" s="9"/>
      <c r="N16" s="21"/>
      <c r="O16" s="22"/>
      <c r="P16" s="11"/>
      <c r="Q16" s="11"/>
      <c r="X16" s="5">
        <f t="shared" si="2"/>
        <v>0</v>
      </c>
      <c r="Y16" s="2">
        <f t="shared" si="3"/>
        <v>0</v>
      </c>
    </row>
    <row r="17" spans="2:25" x14ac:dyDescent="0.25">
      <c r="D17" s="12"/>
      <c r="E17" s="5"/>
      <c r="F17" s="19" t="str">
        <f t="shared" si="1"/>
        <v/>
      </c>
      <c r="G17" s="1"/>
      <c r="H17" s="1"/>
      <c r="I17" s="1"/>
      <c r="J17" s="11"/>
      <c r="X17" s="5">
        <f t="shared" si="2"/>
        <v>0</v>
      </c>
      <c r="Y17" s="2">
        <f t="shared" si="3"/>
        <v>0</v>
      </c>
    </row>
    <row r="18" spans="2:25" x14ac:dyDescent="0.25">
      <c r="D18" s="12"/>
      <c r="E18" s="5"/>
      <c r="F18" s="19" t="str">
        <f t="shared" si="1"/>
        <v/>
      </c>
      <c r="G18" s="1"/>
      <c r="H18" s="1"/>
      <c r="I18" s="1"/>
      <c r="J18" s="11"/>
      <c r="X18" s="5">
        <f t="shared" si="2"/>
        <v>0</v>
      </c>
      <c r="Y18" s="2">
        <f t="shared" si="3"/>
        <v>0</v>
      </c>
    </row>
    <row r="19" spans="2:25" x14ac:dyDescent="0.25">
      <c r="D19" s="12"/>
      <c r="E19" s="5"/>
      <c r="F19" s="19" t="str">
        <f t="shared" si="1"/>
        <v/>
      </c>
      <c r="G19" s="1"/>
      <c r="H19" s="1"/>
      <c r="I19" s="1"/>
      <c r="J19" s="11"/>
      <c r="X19" s="5">
        <f t="shared" si="2"/>
        <v>0</v>
      </c>
      <c r="Y19" s="2">
        <f t="shared" si="3"/>
        <v>0</v>
      </c>
    </row>
    <row r="20" spans="2:25" x14ac:dyDescent="0.25">
      <c r="D20" s="12"/>
      <c r="E20" s="5"/>
      <c r="F20" s="19" t="str">
        <f t="shared" si="1"/>
        <v/>
      </c>
      <c r="G20" s="1"/>
      <c r="H20" s="1"/>
      <c r="I20" s="1"/>
      <c r="J20" s="11"/>
      <c r="X20" s="5">
        <f t="shared" si="2"/>
        <v>0</v>
      </c>
      <c r="Y20" s="2">
        <f t="shared" si="3"/>
        <v>0</v>
      </c>
    </row>
    <row r="21" spans="2:25" x14ac:dyDescent="0.25">
      <c r="D21" s="12"/>
      <c r="E21" s="5"/>
      <c r="F21" s="19" t="str">
        <f t="shared" si="1"/>
        <v/>
      </c>
      <c r="G21" s="1"/>
      <c r="H21" s="1"/>
      <c r="I21" s="1"/>
      <c r="J21" s="11"/>
      <c r="X21" s="5">
        <f t="shared" si="2"/>
        <v>0</v>
      </c>
      <c r="Y21" s="2">
        <f t="shared" si="3"/>
        <v>0</v>
      </c>
    </row>
    <row r="22" spans="2:25" x14ac:dyDescent="0.25">
      <c r="D22" s="12"/>
      <c r="E22" s="5"/>
      <c r="F22" s="19" t="str">
        <f t="shared" si="1"/>
        <v/>
      </c>
      <c r="G22" s="1"/>
      <c r="H22" s="1"/>
      <c r="I22" s="1"/>
      <c r="J22" s="11"/>
      <c r="X22" s="5">
        <f t="shared" si="2"/>
        <v>0</v>
      </c>
      <c r="Y22" s="2">
        <f t="shared" si="3"/>
        <v>0</v>
      </c>
    </row>
    <row r="23" spans="2:25" x14ac:dyDescent="0.25">
      <c r="B23" s="22"/>
      <c r="D23" s="12"/>
      <c r="E23" s="5"/>
      <c r="F23" s="19" t="str">
        <f t="shared" si="1"/>
        <v/>
      </c>
      <c r="G23" s="1"/>
      <c r="H23" s="1"/>
      <c r="I23" s="1"/>
      <c r="J23" s="11"/>
      <c r="X23" s="5">
        <f t="shared" si="2"/>
        <v>0</v>
      </c>
      <c r="Y23" s="2">
        <f t="shared" si="3"/>
        <v>0</v>
      </c>
    </row>
    <row r="24" spans="2:25" x14ac:dyDescent="0.25">
      <c r="D24" s="12"/>
      <c r="E24" s="5"/>
      <c r="F24" s="19" t="str">
        <f t="shared" si="1"/>
        <v/>
      </c>
      <c r="G24" s="1"/>
      <c r="H24" s="1"/>
      <c r="I24" s="1"/>
      <c r="J24" s="11"/>
      <c r="X24" s="5">
        <f t="shared" si="2"/>
        <v>0</v>
      </c>
      <c r="Y24" s="2">
        <f t="shared" si="3"/>
        <v>0</v>
      </c>
    </row>
    <row r="25" spans="2:25" x14ac:dyDescent="0.25">
      <c r="D25" s="12"/>
      <c r="E25" s="5"/>
      <c r="F25" s="19" t="str">
        <f t="shared" si="1"/>
        <v/>
      </c>
      <c r="G25" s="1"/>
      <c r="H25" s="1"/>
      <c r="I25" s="1"/>
      <c r="J25" s="11"/>
      <c r="X25" s="5">
        <f t="shared" si="2"/>
        <v>0</v>
      </c>
      <c r="Y25" s="2">
        <f t="shared" si="3"/>
        <v>0</v>
      </c>
    </row>
    <row r="26" spans="2:25" x14ac:dyDescent="0.25">
      <c r="D26" s="12"/>
      <c r="E26" s="5"/>
      <c r="F26" s="19" t="str">
        <f t="shared" si="1"/>
        <v/>
      </c>
      <c r="G26" s="1"/>
      <c r="H26" s="1"/>
      <c r="I26" s="1"/>
      <c r="J26" s="11"/>
      <c r="X26" s="5">
        <f t="shared" si="2"/>
        <v>0</v>
      </c>
      <c r="Y26" s="2">
        <f t="shared" si="3"/>
        <v>0</v>
      </c>
    </row>
    <row r="27" spans="2:25" x14ac:dyDescent="0.25">
      <c r="D27" s="12"/>
      <c r="E27" s="5"/>
      <c r="F27" s="19" t="str">
        <f t="shared" si="1"/>
        <v/>
      </c>
      <c r="G27" s="1"/>
      <c r="H27" s="1"/>
      <c r="I27" s="1"/>
      <c r="J27" s="11"/>
      <c r="X27" s="5">
        <f t="shared" si="2"/>
        <v>0</v>
      </c>
      <c r="Y27" s="2">
        <f t="shared" si="3"/>
        <v>0</v>
      </c>
    </row>
    <row r="28" spans="2:25" x14ac:dyDescent="0.25">
      <c r="D28" s="12"/>
      <c r="E28" s="5"/>
      <c r="F28" s="19" t="str">
        <f t="shared" si="1"/>
        <v/>
      </c>
      <c r="G28" s="1"/>
      <c r="H28" s="1"/>
      <c r="I28" s="1"/>
      <c r="J28" s="11"/>
      <c r="X28" s="5">
        <f t="shared" si="2"/>
        <v>0</v>
      </c>
      <c r="Y28" s="2">
        <f t="shared" si="3"/>
        <v>0</v>
      </c>
    </row>
    <row r="29" spans="2:25" x14ac:dyDescent="0.25">
      <c r="D29" s="12"/>
      <c r="E29" s="5"/>
      <c r="F29" s="19" t="str">
        <f t="shared" si="1"/>
        <v/>
      </c>
      <c r="G29" s="1"/>
      <c r="H29" s="1"/>
      <c r="I29" s="1"/>
      <c r="J29" s="11"/>
      <c r="X29" s="5">
        <f t="shared" si="2"/>
        <v>0</v>
      </c>
      <c r="Y29" s="2">
        <f t="shared" si="3"/>
        <v>0</v>
      </c>
    </row>
    <row r="30" spans="2:25" x14ac:dyDescent="0.25">
      <c r="D30" s="12"/>
      <c r="E30" s="5"/>
      <c r="F30" s="19" t="str">
        <f t="shared" si="1"/>
        <v/>
      </c>
      <c r="G30" s="1"/>
      <c r="H30" s="1"/>
      <c r="I30" s="1"/>
      <c r="J30" s="11"/>
      <c r="X30" s="5">
        <f t="shared" si="2"/>
        <v>0</v>
      </c>
      <c r="Y30" s="2">
        <f t="shared" si="3"/>
        <v>0</v>
      </c>
    </row>
    <row r="31" spans="2:25" x14ac:dyDescent="0.25">
      <c r="D31" s="12"/>
      <c r="E31" s="5"/>
      <c r="F31" s="19" t="str">
        <f t="shared" si="1"/>
        <v/>
      </c>
      <c r="G31" s="1"/>
      <c r="H31" s="1"/>
      <c r="I31" s="1"/>
      <c r="J31" s="11"/>
      <c r="X31" s="5">
        <f t="shared" si="2"/>
        <v>0</v>
      </c>
      <c r="Y31" s="2">
        <f t="shared" si="3"/>
        <v>0</v>
      </c>
    </row>
    <row r="32" spans="2:25" x14ac:dyDescent="0.25">
      <c r="D32" s="12"/>
      <c r="E32" s="5"/>
      <c r="F32" s="19" t="str">
        <f t="shared" si="1"/>
        <v/>
      </c>
      <c r="G32" s="1"/>
      <c r="H32" s="1"/>
      <c r="I32" s="1"/>
      <c r="J32" s="11"/>
      <c r="X32" s="5">
        <f t="shared" si="2"/>
        <v>0</v>
      </c>
      <c r="Y32" s="2">
        <f t="shared" si="3"/>
        <v>0</v>
      </c>
    </row>
    <row r="33" spans="4:25" x14ac:dyDescent="0.25">
      <c r="D33" s="12"/>
      <c r="E33" s="5"/>
      <c r="F33" s="19" t="str">
        <f t="shared" si="1"/>
        <v/>
      </c>
      <c r="G33" s="1"/>
      <c r="H33" s="1"/>
      <c r="I33" s="1"/>
      <c r="J33" s="11"/>
      <c r="X33" s="5">
        <f t="shared" si="2"/>
        <v>0</v>
      </c>
      <c r="Y33" s="2">
        <f t="shared" si="3"/>
        <v>0</v>
      </c>
    </row>
    <row r="34" spans="4:25" x14ac:dyDescent="0.25">
      <c r="D34" s="12"/>
      <c r="E34" s="5"/>
      <c r="F34" s="19" t="str">
        <f t="shared" si="1"/>
        <v/>
      </c>
      <c r="G34" s="1"/>
      <c r="H34" s="1"/>
      <c r="I34" s="1"/>
      <c r="J34" s="11"/>
      <c r="X34" s="5">
        <f t="shared" si="2"/>
        <v>0</v>
      </c>
      <c r="Y34" s="2">
        <f t="shared" si="3"/>
        <v>0</v>
      </c>
    </row>
    <row r="35" spans="4:25" x14ac:dyDescent="0.25">
      <c r="D35" s="12"/>
      <c r="E35" s="5"/>
      <c r="F35" s="19" t="str">
        <f t="shared" si="1"/>
        <v/>
      </c>
      <c r="G35" s="1"/>
      <c r="H35" s="1"/>
      <c r="I35" s="1"/>
      <c r="J35" s="11"/>
      <c r="X35" s="5">
        <f t="shared" si="2"/>
        <v>0</v>
      </c>
      <c r="Y35" s="2">
        <f t="shared" si="3"/>
        <v>0</v>
      </c>
    </row>
    <row r="36" spans="4:25" x14ac:dyDescent="0.25">
      <c r="D36" s="12"/>
      <c r="E36" s="5"/>
      <c r="F36" s="19" t="str">
        <f t="shared" si="1"/>
        <v/>
      </c>
      <c r="G36" s="1"/>
      <c r="H36" s="1"/>
      <c r="I36" s="1"/>
      <c r="J36" s="11"/>
      <c r="X36" s="5">
        <f t="shared" si="2"/>
        <v>0</v>
      </c>
      <c r="Y36" s="2">
        <f t="shared" si="3"/>
        <v>0</v>
      </c>
    </row>
    <row r="37" spans="4:25" x14ac:dyDescent="0.25">
      <c r="D37" s="12"/>
      <c r="E37" s="5"/>
      <c r="F37" s="19" t="str">
        <f t="shared" si="1"/>
        <v/>
      </c>
      <c r="G37" s="1"/>
      <c r="H37" s="1"/>
      <c r="I37" s="1"/>
      <c r="J37" s="11"/>
      <c r="X37" s="5">
        <f t="shared" si="2"/>
        <v>0</v>
      </c>
      <c r="Y37" s="2">
        <f t="shared" si="3"/>
        <v>0</v>
      </c>
    </row>
    <row r="38" spans="4:25" x14ac:dyDescent="0.25">
      <c r="D38" s="12"/>
      <c r="E38" s="5"/>
      <c r="F38" s="19" t="str">
        <f t="shared" si="1"/>
        <v/>
      </c>
      <c r="G38" s="1"/>
      <c r="H38" s="1"/>
      <c r="I38" s="1"/>
      <c r="J38" s="11"/>
      <c r="X38" s="5">
        <f t="shared" si="2"/>
        <v>0</v>
      </c>
      <c r="Y38" s="2">
        <f t="shared" si="3"/>
        <v>0</v>
      </c>
    </row>
    <row r="39" spans="4:25" x14ac:dyDescent="0.25">
      <c r="D39" s="12"/>
      <c r="E39" s="5"/>
      <c r="F39" s="19" t="str">
        <f t="shared" si="1"/>
        <v/>
      </c>
      <c r="G39" s="1"/>
      <c r="H39" s="1"/>
      <c r="I39" s="1"/>
      <c r="J39" s="11"/>
      <c r="X39" s="5">
        <f t="shared" si="2"/>
        <v>0</v>
      </c>
      <c r="Y39" s="2">
        <f t="shared" si="3"/>
        <v>0</v>
      </c>
    </row>
    <row r="40" spans="4:25" x14ac:dyDescent="0.25">
      <c r="D40" s="12"/>
      <c r="E40" s="5"/>
      <c r="F40" s="19" t="str">
        <f t="shared" si="1"/>
        <v/>
      </c>
      <c r="G40" s="1"/>
      <c r="H40" s="1"/>
      <c r="I40" s="1"/>
      <c r="J40" s="11"/>
      <c r="X40" s="5">
        <f t="shared" si="2"/>
        <v>0</v>
      </c>
      <c r="Y40" s="2">
        <f t="shared" si="3"/>
        <v>0</v>
      </c>
    </row>
    <row r="41" spans="4:25" x14ac:dyDescent="0.25">
      <c r="D41" s="12"/>
      <c r="E41" s="5"/>
      <c r="F41" s="19" t="str">
        <f t="shared" si="1"/>
        <v/>
      </c>
      <c r="G41" s="1"/>
      <c r="H41" s="1"/>
      <c r="I41" s="1"/>
      <c r="J41" s="11"/>
      <c r="X41" s="5">
        <f t="shared" si="2"/>
        <v>0</v>
      </c>
      <c r="Y41" s="2">
        <f t="shared" si="3"/>
        <v>0</v>
      </c>
    </row>
    <row r="42" spans="4:25" x14ac:dyDescent="0.25">
      <c r="D42" s="12"/>
      <c r="E42" s="5"/>
      <c r="F42" s="19" t="str">
        <f t="shared" si="1"/>
        <v/>
      </c>
      <c r="G42" s="1"/>
      <c r="H42" s="1"/>
      <c r="I42" s="1"/>
      <c r="J42" s="11"/>
      <c r="X42" s="5">
        <f t="shared" si="2"/>
        <v>0</v>
      </c>
      <c r="Y42" s="2">
        <f t="shared" si="3"/>
        <v>0</v>
      </c>
    </row>
    <row r="43" spans="4:25" x14ac:dyDescent="0.25">
      <c r="D43" s="12"/>
      <c r="E43" s="5"/>
      <c r="F43" s="19" t="str">
        <f t="shared" si="1"/>
        <v/>
      </c>
      <c r="G43" s="1"/>
      <c r="H43" s="1"/>
      <c r="I43" s="1"/>
      <c r="J43" s="11"/>
      <c r="X43" s="5">
        <f t="shared" si="2"/>
        <v>0</v>
      </c>
      <c r="Y43" s="2">
        <f t="shared" si="3"/>
        <v>0</v>
      </c>
    </row>
    <row r="44" spans="4:25" x14ac:dyDescent="0.25">
      <c r="D44" s="12"/>
      <c r="E44" s="5"/>
      <c r="F44" s="19" t="str">
        <f t="shared" si="1"/>
        <v/>
      </c>
      <c r="G44" s="1"/>
      <c r="H44" s="1"/>
      <c r="I44" s="1"/>
      <c r="J44" s="11"/>
      <c r="X44" s="5">
        <f t="shared" si="2"/>
        <v>0</v>
      </c>
      <c r="Y44" s="2">
        <f t="shared" si="3"/>
        <v>0</v>
      </c>
    </row>
    <row r="45" spans="4:25" x14ac:dyDescent="0.25">
      <c r="D45" s="12"/>
      <c r="E45" s="5"/>
      <c r="F45" s="19" t="str">
        <f t="shared" si="1"/>
        <v/>
      </c>
      <c r="G45" s="1"/>
      <c r="H45" s="1"/>
      <c r="I45" s="1"/>
      <c r="J45" s="11"/>
      <c r="X45" s="5">
        <f t="shared" si="2"/>
        <v>0</v>
      </c>
      <c r="Y45" s="2">
        <f t="shared" si="3"/>
        <v>0</v>
      </c>
    </row>
    <row r="46" spans="4:25" x14ac:dyDescent="0.25">
      <c r="D46" s="12"/>
      <c r="E46" s="5"/>
      <c r="F46" s="19" t="str">
        <f t="shared" si="1"/>
        <v/>
      </c>
      <c r="G46" s="1"/>
      <c r="H46" s="1"/>
      <c r="I46" s="1"/>
      <c r="J46" s="11"/>
      <c r="X46" s="5">
        <f t="shared" si="2"/>
        <v>0</v>
      </c>
      <c r="Y46" s="2">
        <f t="shared" si="3"/>
        <v>0</v>
      </c>
    </row>
    <row r="47" spans="4:25" x14ac:dyDescent="0.25">
      <c r="D47" s="12"/>
      <c r="E47" s="5"/>
      <c r="F47" s="19" t="str">
        <f t="shared" si="1"/>
        <v/>
      </c>
      <c r="G47" s="1"/>
      <c r="H47" s="1"/>
      <c r="I47" s="1"/>
      <c r="J47" s="11"/>
      <c r="X47" s="5">
        <f t="shared" si="2"/>
        <v>0</v>
      </c>
      <c r="Y47" s="2">
        <f t="shared" si="3"/>
        <v>0</v>
      </c>
    </row>
    <row r="48" spans="4:25" x14ac:dyDescent="0.25">
      <c r="D48" s="12"/>
      <c r="E48" s="5"/>
      <c r="F48" s="19" t="str">
        <f t="shared" si="1"/>
        <v/>
      </c>
      <c r="G48" s="1"/>
      <c r="H48" s="1"/>
      <c r="I48" s="1"/>
      <c r="J48" s="11"/>
      <c r="X48" s="5">
        <f t="shared" si="2"/>
        <v>0</v>
      </c>
      <c r="Y48" s="2">
        <f t="shared" si="3"/>
        <v>0</v>
      </c>
    </row>
    <row r="49" spans="4:25" x14ac:dyDescent="0.25">
      <c r="D49" s="12"/>
      <c r="E49" s="5"/>
      <c r="F49" s="19" t="str">
        <f t="shared" si="1"/>
        <v/>
      </c>
      <c r="G49" s="1"/>
      <c r="H49" s="1"/>
      <c r="I49" s="1"/>
      <c r="J49" s="11"/>
      <c r="X49" s="5">
        <f t="shared" si="2"/>
        <v>0</v>
      </c>
      <c r="Y49" s="2">
        <f t="shared" si="3"/>
        <v>0</v>
      </c>
    </row>
    <row r="50" spans="4:25" x14ac:dyDescent="0.25">
      <c r="D50" s="12"/>
      <c r="E50" s="5"/>
      <c r="F50" s="19" t="str">
        <f t="shared" si="1"/>
        <v/>
      </c>
      <c r="G50" s="1"/>
      <c r="H50" s="1"/>
      <c r="I50" s="1"/>
      <c r="J50" s="11"/>
      <c r="X50" s="5">
        <f t="shared" si="2"/>
        <v>0</v>
      </c>
      <c r="Y50" s="2">
        <f t="shared" si="3"/>
        <v>0</v>
      </c>
    </row>
    <row r="51" spans="4:25" x14ac:dyDescent="0.25">
      <c r="D51" s="12"/>
      <c r="E51" s="5"/>
      <c r="F51" s="19" t="str">
        <f t="shared" si="1"/>
        <v/>
      </c>
      <c r="G51" s="1"/>
      <c r="H51" s="1"/>
      <c r="I51" s="1"/>
      <c r="J51" s="11"/>
      <c r="X51" s="5">
        <f t="shared" si="2"/>
        <v>0</v>
      </c>
      <c r="Y51" s="2">
        <f t="shared" si="3"/>
        <v>0</v>
      </c>
    </row>
    <row r="52" spans="4:25" x14ac:dyDescent="0.25">
      <c r="D52" s="12"/>
      <c r="E52" s="5"/>
      <c r="F52" s="19" t="str">
        <f t="shared" si="1"/>
        <v/>
      </c>
      <c r="G52" s="1"/>
      <c r="H52" s="1"/>
      <c r="I52" s="1"/>
      <c r="J52" s="9"/>
      <c r="X52" s="5">
        <f t="shared" si="2"/>
        <v>0</v>
      </c>
      <c r="Y52" s="2">
        <f t="shared" si="3"/>
        <v>0</v>
      </c>
    </row>
    <row r="53" spans="4:25" x14ac:dyDescent="0.25">
      <c r="D53" s="1" t="s">
        <v>25</v>
      </c>
      <c r="E53" s="23"/>
      <c r="F53" s="2"/>
      <c r="G53" s="2">
        <f>SUM(G3:G52)</f>
        <v>6.64</v>
      </c>
      <c r="H53" s="2">
        <f t="shared" ref="H53:I53" si="4">SUM(H3:H52)</f>
        <v>0.21</v>
      </c>
      <c r="I53" s="2">
        <f t="shared" si="4"/>
        <v>0</v>
      </c>
    </row>
  </sheetData>
  <mergeCells count="4">
    <mergeCell ref="D1:F1"/>
    <mergeCell ref="G1:I1"/>
    <mergeCell ref="K1:Q1"/>
    <mergeCell ref="X1:Z1"/>
  </mergeCells>
  <conditionalFormatting sqref="A1:B1">
    <cfRule type="expression" dxfId="195" priority="1">
      <formula>$Z$3="+"</formula>
    </cfRule>
    <cfRule type="expression" dxfId="194" priority="2">
      <formula>$B$16=$K$3</formula>
    </cfRule>
  </conditionalFormatting>
  <conditionalFormatting sqref="P3">
    <cfRule type="expression" dxfId="193" priority="3">
      <formula>$Z$3="+"</formula>
    </cfRule>
  </conditionalFormatting>
  <conditionalFormatting sqref="Z3">
    <cfRule type="expression" dxfId="192" priority="4">
      <formula>$Z$3="+"</formula>
    </cfRule>
  </conditionalFormatting>
  <dataValidations count="1">
    <dataValidation type="list" allowBlank="1" showInputMessage="1" showErrorMessage="1" sqref="B2" xr:uid="{C02A32F2-FE08-4B1F-A8BC-8D117F65A04A}">
      <formula1>"Romania,Moldova,Cyprus,Philippines"</formula1>
    </dataValidation>
  </dataValidation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90E7A-C8A4-462C-A626-5474C02F3A38}">
  <dimension ref="A1:Z53"/>
  <sheetViews>
    <sheetView workbookViewId="0">
      <selection activeCell="I5" sqref="I5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1" customWidth="1"/>
    <col min="25" max="25" width="10.7109375" style="11" customWidth="1"/>
    <col min="26" max="26" width="10.7109375" customWidth="1"/>
  </cols>
  <sheetData>
    <row r="1" spans="1:26" x14ac:dyDescent="0.25">
      <c r="A1" s="4" t="s">
        <v>66</v>
      </c>
      <c r="B1" s="5" t="s">
        <v>98</v>
      </c>
      <c r="D1" s="29" t="s">
        <v>2</v>
      </c>
      <c r="E1" s="30"/>
      <c r="F1" s="31"/>
      <c r="G1" s="29" t="s">
        <v>0</v>
      </c>
      <c r="H1" s="30"/>
      <c r="I1" s="31"/>
      <c r="J1" s="18"/>
      <c r="K1" s="29" t="s">
        <v>58</v>
      </c>
      <c r="L1" s="30"/>
      <c r="M1" s="30"/>
      <c r="N1" s="30"/>
      <c r="O1" s="30"/>
      <c r="P1" s="30"/>
      <c r="Q1" s="31"/>
      <c r="X1" s="29"/>
      <c r="Y1" s="30"/>
      <c r="Z1" s="31"/>
    </row>
    <row r="2" spans="1:26" x14ac:dyDescent="0.25">
      <c r="A2" s="4" t="s">
        <v>21</v>
      </c>
      <c r="B2" s="5" t="s">
        <v>27</v>
      </c>
      <c r="D2" s="10" t="s">
        <v>49</v>
      </c>
      <c r="E2" s="10" t="s">
        <v>50</v>
      </c>
      <c r="F2" s="17" t="s">
        <v>67</v>
      </c>
      <c r="G2" s="10" t="s">
        <v>15</v>
      </c>
      <c r="H2" s="10" t="s">
        <v>16</v>
      </c>
      <c r="I2" s="10" t="s">
        <v>60</v>
      </c>
      <c r="J2" s="9"/>
      <c r="K2" s="10" t="s">
        <v>0</v>
      </c>
      <c r="L2" s="10" t="s">
        <v>1</v>
      </c>
      <c r="M2" s="10" t="s">
        <v>56</v>
      </c>
      <c r="N2" s="10" t="s">
        <v>57</v>
      </c>
      <c r="O2" s="10" t="s">
        <v>2</v>
      </c>
      <c r="P2" s="10" t="s">
        <v>68</v>
      </c>
      <c r="Q2" s="10" t="s">
        <v>67</v>
      </c>
      <c r="X2" s="10" t="s">
        <v>2</v>
      </c>
      <c r="Y2" s="10" t="s">
        <v>59</v>
      </c>
      <c r="Z2" s="10" t="s">
        <v>68</v>
      </c>
    </row>
    <row r="3" spans="1:26" x14ac:dyDescent="0.25">
      <c r="A3" s="4" t="s">
        <v>69</v>
      </c>
      <c r="B3" s="5" t="s">
        <v>78</v>
      </c>
      <c r="D3" s="12">
        <v>46265</v>
      </c>
      <c r="E3" s="12">
        <v>46265</v>
      </c>
      <c r="F3" s="19">
        <f t="shared" ref="F3" si="0">IF(E3&gt;0,E3-D3,"")</f>
        <v>0</v>
      </c>
      <c r="G3" s="2">
        <v>0</v>
      </c>
      <c r="H3" s="2">
        <v>0</v>
      </c>
      <c r="I3" s="2">
        <v>0</v>
      </c>
      <c r="J3" s="11"/>
      <c r="K3" s="2">
        <f>G53</f>
        <v>0</v>
      </c>
      <c r="L3" s="2">
        <f>H53</f>
        <v>0.13</v>
      </c>
      <c r="M3" s="2">
        <f>I53</f>
        <v>0</v>
      </c>
      <c r="N3" s="6" t="str">
        <f>IF(B16=K3,XIRR(Y3:Y52,X3:X52),"")</f>
        <v/>
      </c>
      <c r="O3" s="5" t="str">
        <f>IF(B16=K3,MAX(E:E),"")</f>
        <v/>
      </c>
      <c r="P3" s="1" t="str">
        <f ca="1">IF(Z3="+",TODAY()-B11,"")</f>
        <v/>
      </c>
      <c r="Q3" s="1" t="str">
        <f>IF(B16=K3,MAX(E:E)-B11,"")</f>
        <v/>
      </c>
      <c r="T3" s="14"/>
      <c r="X3" s="5">
        <f>B9</f>
        <v>46260</v>
      </c>
      <c r="Y3" s="2">
        <f>B16*-1</f>
        <v>-26.67</v>
      </c>
      <c r="Z3" s="1" t="str">
        <f ca="1">IF(AND(TODAY()&gt;B11, K3&lt;&gt;B16), "+", "")</f>
        <v/>
      </c>
    </row>
    <row r="4" spans="1:26" x14ac:dyDescent="0.25">
      <c r="A4" s="4" t="s">
        <v>19</v>
      </c>
      <c r="B4" s="5" t="s">
        <v>20</v>
      </c>
      <c r="D4" s="12">
        <v>46295</v>
      </c>
      <c r="E4" s="12">
        <v>46295</v>
      </c>
      <c r="F4" s="19">
        <f t="shared" ref="F4:F52" si="1">IF(E4&gt;0,E4-D4,"")</f>
        <v>0</v>
      </c>
      <c r="G4" s="2">
        <v>0</v>
      </c>
      <c r="H4" s="2">
        <v>0.13</v>
      </c>
      <c r="I4" s="2">
        <v>0</v>
      </c>
      <c r="J4" s="9"/>
      <c r="X4" s="5">
        <f>E3</f>
        <v>46265</v>
      </c>
      <c r="Y4" s="2">
        <f>G3+H3-I3</f>
        <v>0</v>
      </c>
    </row>
    <row r="5" spans="1:26" x14ac:dyDescent="0.25">
      <c r="A5" s="4"/>
      <c r="B5" s="5"/>
      <c r="D5" s="12"/>
      <c r="E5" s="12"/>
      <c r="F5" s="19" t="str">
        <f t="shared" si="1"/>
        <v/>
      </c>
      <c r="G5" s="2"/>
      <c r="H5" s="1"/>
      <c r="I5" s="2"/>
      <c r="J5" s="9"/>
      <c r="X5" s="5">
        <f t="shared" ref="X5:X52" si="2">E4</f>
        <v>46295</v>
      </c>
      <c r="Y5" s="2">
        <f t="shared" ref="Y5:Y52" si="3">G4+H4-I4</f>
        <v>0.13</v>
      </c>
    </row>
    <row r="6" spans="1:26" x14ac:dyDescent="0.25">
      <c r="A6" s="4"/>
      <c r="B6" s="5"/>
      <c r="D6" s="12"/>
      <c r="E6" s="12"/>
      <c r="F6" s="19" t="str">
        <f t="shared" si="1"/>
        <v/>
      </c>
      <c r="G6" s="2"/>
      <c r="H6" s="1"/>
      <c r="I6" s="2"/>
      <c r="J6" s="9"/>
      <c r="X6" s="5">
        <f t="shared" si="2"/>
        <v>0</v>
      </c>
      <c r="Y6" s="2">
        <f t="shared" si="3"/>
        <v>0</v>
      </c>
    </row>
    <row r="7" spans="1:26" x14ac:dyDescent="0.25">
      <c r="A7" s="4"/>
      <c r="B7" s="5"/>
      <c r="D7" s="12"/>
      <c r="E7" s="12"/>
      <c r="F7" s="19" t="str">
        <f t="shared" si="1"/>
        <v/>
      </c>
      <c r="G7" s="2"/>
      <c r="H7" s="1"/>
      <c r="I7" s="2"/>
      <c r="J7" s="11"/>
      <c r="X7" s="5">
        <f t="shared" si="2"/>
        <v>0</v>
      </c>
      <c r="Y7" s="2">
        <f t="shared" si="3"/>
        <v>0</v>
      </c>
    </row>
    <row r="8" spans="1:26" x14ac:dyDescent="0.25">
      <c r="A8" s="4" t="s">
        <v>24</v>
      </c>
      <c r="B8" s="5" t="str">
        <f>DATEDIF(B9,B11,"y") &amp; " m. " &amp; DATEDIF(B9,B11,"ym") &amp; " mėn. " &amp; DATEDIF(B9,B11,"md") &amp; " d."</f>
        <v>0 m. 11 mėn. 26 d.</v>
      </c>
      <c r="D8" s="12"/>
      <c r="E8" s="12"/>
      <c r="F8" s="19" t="str">
        <f t="shared" si="1"/>
        <v/>
      </c>
      <c r="G8" s="1"/>
      <c r="H8" s="1"/>
      <c r="I8" s="2"/>
      <c r="J8" s="9"/>
      <c r="X8" s="5">
        <f t="shared" si="2"/>
        <v>0</v>
      </c>
      <c r="Y8" s="2">
        <f t="shared" si="3"/>
        <v>0</v>
      </c>
    </row>
    <row r="9" spans="1:26" x14ac:dyDescent="0.25">
      <c r="A9" s="4" t="s">
        <v>11</v>
      </c>
      <c r="B9" s="5">
        <v>46260</v>
      </c>
      <c r="D9" s="12"/>
      <c r="E9" s="12"/>
      <c r="F9" s="19"/>
      <c r="G9" s="2"/>
      <c r="H9" s="2"/>
      <c r="I9" s="2"/>
      <c r="J9" s="11"/>
      <c r="X9" s="5">
        <f t="shared" si="2"/>
        <v>0</v>
      </c>
      <c r="Y9" s="2">
        <f t="shared" si="3"/>
        <v>0</v>
      </c>
    </row>
    <row r="10" spans="1:26" x14ac:dyDescent="0.25">
      <c r="A10" s="4" t="s">
        <v>70</v>
      </c>
      <c r="B10" s="5">
        <v>46255</v>
      </c>
      <c r="D10" s="12"/>
      <c r="E10" s="12"/>
      <c r="F10" s="19" t="str">
        <f t="shared" si="1"/>
        <v/>
      </c>
      <c r="G10" s="1"/>
      <c r="H10" s="1"/>
      <c r="I10" s="2"/>
      <c r="J10" s="11"/>
      <c r="X10" s="5">
        <f t="shared" si="2"/>
        <v>0</v>
      </c>
      <c r="Y10" s="2">
        <f t="shared" si="3"/>
        <v>0</v>
      </c>
    </row>
    <row r="11" spans="1:26" x14ac:dyDescent="0.25">
      <c r="A11" s="4" t="s">
        <v>10</v>
      </c>
      <c r="B11" s="5">
        <v>46620</v>
      </c>
      <c r="D11" s="12"/>
      <c r="E11" s="12"/>
      <c r="F11" s="19" t="str">
        <f t="shared" si="1"/>
        <v/>
      </c>
      <c r="G11" s="1"/>
      <c r="H11" s="2"/>
      <c r="I11" s="2"/>
      <c r="J11" s="11"/>
      <c r="X11" s="5">
        <f t="shared" si="2"/>
        <v>0</v>
      </c>
      <c r="Y11" s="2">
        <f t="shared" si="3"/>
        <v>0</v>
      </c>
    </row>
    <row r="12" spans="1:26" x14ac:dyDescent="0.25">
      <c r="A12" s="4" t="s">
        <v>71</v>
      </c>
      <c r="B12" s="19">
        <f ca="1">IF(B16&lt;&gt;K3,(TODAY()-B11)*-1,"")</f>
        <v>325</v>
      </c>
      <c r="D12" s="12"/>
      <c r="E12" s="12"/>
      <c r="F12" s="19" t="str">
        <f t="shared" si="1"/>
        <v/>
      </c>
      <c r="G12" s="2"/>
      <c r="H12" s="1"/>
      <c r="I12" s="1"/>
      <c r="J12" s="11"/>
      <c r="X12" s="5">
        <f t="shared" si="2"/>
        <v>0</v>
      </c>
      <c r="Y12" s="2">
        <f t="shared" si="3"/>
        <v>0</v>
      </c>
    </row>
    <row r="13" spans="1:26" x14ac:dyDescent="0.25">
      <c r="A13" s="4"/>
      <c r="B13" s="2"/>
      <c r="D13" s="12"/>
      <c r="E13" s="12"/>
      <c r="F13" s="19" t="str">
        <f t="shared" si="1"/>
        <v/>
      </c>
      <c r="G13" s="1"/>
      <c r="H13" s="2"/>
      <c r="I13" s="2"/>
      <c r="J13" s="11"/>
      <c r="N13" s="14"/>
      <c r="X13" s="5">
        <f t="shared" si="2"/>
        <v>0</v>
      </c>
      <c r="Y13" s="2">
        <f t="shared" si="3"/>
        <v>0</v>
      </c>
    </row>
    <row r="14" spans="1:26" x14ac:dyDescent="0.25">
      <c r="A14" s="13"/>
      <c r="B14" s="20"/>
      <c r="D14" s="12"/>
      <c r="E14" s="5"/>
      <c r="F14" s="19" t="str">
        <f t="shared" si="1"/>
        <v/>
      </c>
      <c r="G14" s="1"/>
      <c r="H14" s="1"/>
      <c r="I14" s="1"/>
      <c r="J14" s="11"/>
      <c r="X14" s="5">
        <f t="shared" si="2"/>
        <v>0</v>
      </c>
      <c r="Y14" s="2">
        <f t="shared" si="3"/>
        <v>0</v>
      </c>
    </row>
    <row r="15" spans="1:26" x14ac:dyDescent="0.25">
      <c r="A15" s="4" t="s">
        <v>1</v>
      </c>
      <c r="B15" s="6">
        <v>0.1225</v>
      </c>
      <c r="D15" s="12"/>
      <c r="E15" s="5"/>
      <c r="F15" s="19" t="str">
        <f t="shared" si="1"/>
        <v/>
      </c>
      <c r="G15" s="1"/>
      <c r="H15" s="1"/>
      <c r="I15" s="1"/>
      <c r="J15" s="11"/>
      <c r="K15" s="18"/>
      <c r="L15" s="18"/>
      <c r="M15" s="18"/>
      <c r="N15" s="18"/>
      <c r="O15" s="18"/>
      <c r="P15" s="18"/>
      <c r="Q15" s="18"/>
      <c r="X15" s="5">
        <f t="shared" si="2"/>
        <v>0</v>
      </c>
      <c r="Y15" s="2">
        <f t="shared" si="3"/>
        <v>0</v>
      </c>
    </row>
    <row r="16" spans="1:26" x14ac:dyDescent="0.25">
      <c r="A16" s="4" t="s">
        <v>72</v>
      </c>
      <c r="B16" s="2">
        <v>26.67</v>
      </c>
      <c r="D16" s="12"/>
      <c r="E16" s="5"/>
      <c r="F16" s="19" t="str">
        <f t="shared" si="1"/>
        <v/>
      </c>
      <c r="G16" s="1"/>
      <c r="H16" s="1"/>
      <c r="I16" s="1"/>
      <c r="J16" s="11"/>
      <c r="K16" s="9"/>
      <c r="L16" s="9"/>
      <c r="M16" s="9"/>
      <c r="N16" s="21"/>
      <c r="O16" s="22"/>
      <c r="P16" s="11"/>
      <c r="Q16" s="11"/>
      <c r="X16" s="5">
        <f t="shared" si="2"/>
        <v>0</v>
      </c>
      <c r="Y16" s="2">
        <f t="shared" si="3"/>
        <v>0</v>
      </c>
    </row>
    <row r="17" spans="2:25" x14ac:dyDescent="0.25">
      <c r="D17" s="12"/>
      <c r="E17" s="5"/>
      <c r="F17" s="19" t="str">
        <f t="shared" si="1"/>
        <v/>
      </c>
      <c r="G17" s="1"/>
      <c r="H17" s="1"/>
      <c r="I17" s="1"/>
      <c r="J17" s="11"/>
      <c r="X17" s="5">
        <f t="shared" si="2"/>
        <v>0</v>
      </c>
      <c r="Y17" s="2">
        <f t="shared" si="3"/>
        <v>0</v>
      </c>
    </row>
    <row r="18" spans="2:25" x14ac:dyDescent="0.25">
      <c r="D18" s="12"/>
      <c r="E18" s="5"/>
      <c r="F18" s="19" t="str">
        <f t="shared" si="1"/>
        <v/>
      </c>
      <c r="G18" s="1"/>
      <c r="H18" s="1"/>
      <c r="I18" s="1"/>
      <c r="J18" s="11"/>
      <c r="X18" s="5">
        <f t="shared" si="2"/>
        <v>0</v>
      </c>
      <c r="Y18" s="2">
        <f t="shared" si="3"/>
        <v>0</v>
      </c>
    </row>
    <row r="19" spans="2:25" x14ac:dyDescent="0.25">
      <c r="D19" s="12"/>
      <c r="E19" s="5"/>
      <c r="F19" s="19" t="str">
        <f t="shared" si="1"/>
        <v/>
      </c>
      <c r="G19" s="1"/>
      <c r="H19" s="1"/>
      <c r="I19" s="1"/>
      <c r="J19" s="11"/>
      <c r="X19" s="5">
        <f t="shared" si="2"/>
        <v>0</v>
      </c>
      <c r="Y19" s="2">
        <f t="shared" si="3"/>
        <v>0</v>
      </c>
    </row>
    <row r="20" spans="2:25" x14ac:dyDescent="0.25">
      <c r="D20" s="12"/>
      <c r="E20" s="5"/>
      <c r="F20" s="19" t="str">
        <f t="shared" si="1"/>
        <v/>
      </c>
      <c r="G20" s="1"/>
      <c r="H20" s="1"/>
      <c r="I20" s="1"/>
      <c r="J20" s="11"/>
      <c r="X20" s="5">
        <f t="shared" si="2"/>
        <v>0</v>
      </c>
      <c r="Y20" s="2">
        <f t="shared" si="3"/>
        <v>0</v>
      </c>
    </row>
    <row r="21" spans="2:25" x14ac:dyDescent="0.25">
      <c r="D21" s="12"/>
      <c r="E21" s="5"/>
      <c r="F21" s="19" t="str">
        <f t="shared" si="1"/>
        <v/>
      </c>
      <c r="G21" s="1"/>
      <c r="H21" s="1"/>
      <c r="I21" s="1"/>
      <c r="J21" s="11"/>
      <c r="X21" s="5">
        <f t="shared" si="2"/>
        <v>0</v>
      </c>
      <c r="Y21" s="2">
        <f t="shared" si="3"/>
        <v>0</v>
      </c>
    </row>
    <row r="22" spans="2:25" x14ac:dyDescent="0.25">
      <c r="D22" s="12"/>
      <c r="E22" s="5"/>
      <c r="F22" s="19" t="str">
        <f t="shared" si="1"/>
        <v/>
      </c>
      <c r="G22" s="1"/>
      <c r="H22" s="1"/>
      <c r="I22" s="1"/>
      <c r="J22" s="11"/>
      <c r="X22" s="5">
        <f t="shared" si="2"/>
        <v>0</v>
      </c>
      <c r="Y22" s="2">
        <f t="shared" si="3"/>
        <v>0</v>
      </c>
    </row>
    <row r="23" spans="2:25" x14ac:dyDescent="0.25">
      <c r="B23" s="22"/>
      <c r="D23" s="12"/>
      <c r="E23" s="5"/>
      <c r="F23" s="19" t="str">
        <f t="shared" si="1"/>
        <v/>
      </c>
      <c r="G23" s="1"/>
      <c r="H23" s="1"/>
      <c r="I23" s="1"/>
      <c r="J23" s="11"/>
      <c r="X23" s="5">
        <f t="shared" si="2"/>
        <v>0</v>
      </c>
      <c r="Y23" s="2">
        <f t="shared" si="3"/>
        <v>0</v>
      </c>
    </row>
    <row r="24" spans="2:25" x14ac:dyDescent="0.25">
      <c r="D24" s="12"/>
      <c r="E24" s="5"/>
      <c r="F24" s="19" t="str">
        <f t="shared" si="1"/>
        <v/>
      </c>
      <c r="G24" s="1"/>
      <c r="H24" s="1"/>
      <c r="I24" s="1"/>
      <c r="J24" s="11"/>
      <c r="X24" s="5">
        <f t="shared" si="2"/>
        <v>0</v>
      </c>
      <c r="Y24" s="2">
        <f t="shared" si="3"/>
        <v>0</v>
      </c>
    </row>
    <row r="25" spans="2:25" x14ac:dyDescent="0.25">
      <c r="D25" s="12"/>
      <c r="E25" s="5"/>
      <c r="F25" s="19" t="str">
        <f t="shared" si="1"/>
        <v/>
      </c>
      <c r="G25" s="1"/>
      <c r="H25" s="1"/>
      <c r="I25" s="1"/>
      <c r="J25" s="11"/>
      <c r="X25" s="5">
        <f t="shared" si="2"/>
        <v>0</v>
      </c>
      <c r="Y25" s="2">
        <f t="shared" si="3"/>
        <v>0</v>
      </c>
    </row>
    <row r="26" spans="2:25" x14ac:dyDescent="0.25">
      <c r="D26" s="12"/>
      <c r="E26" s="5"/>
      <c r="F26" s="19" t="str">
        <f t="shared" si="1"/>
        <v/>
      </c>
      <c r="G26" s="1"/>
      <c r="H26" s="1"/>
      <c r="I26" s="1"/>
      <c r="J26" s="11"/>
      <c r="X26" s="5">
        <f t="shared" si="2"/>
        <v>0</v>
      </c>
      <c r="Y26" s="2">
        <f t="shared" si="3"/>
        <v>0</v>
      </c>
    </row>
    <row r="27" spans="2:25" x14ac:dyDescent="0.25">
      <c r="D27" s="12"/>
      <c r="E27" s="5"/>
      <c r="F27" s="19" t="str">
        <f t="shared" si="1"/>
        <v/>
      </c>
      <c r="G27" s="1"/>
      <c r="H27" s="1"/>
      <c r="I27" s="1"/>
      <c r="J27" s="11"/>
      <c r="X27" s="5">
        <f t="shared" si="2"/>
        <v>0</v>
      </c>
      <c r="Y27" s="2">
        <f t="shared" si="3"/>
        <v>0</v>
      </c>
    </row>
    <row r="28" spans="2:25" x14ac:dyDescent="0.25">
      <c r="D28" s="12"/>
      <c r="E28" s="5"/>
      <c r="F28" s="19" t="str">
        <f t="shared" si="1"/>
        <v/>
      </c>
      <c r="G28" s="1"/>
      <c r="H28" s="1"/>
      <c r="I28" s="1"/>
      <c r="J28" s="11"/>
      <c r="X28" s="5">
        <f t="shared" si="2"/>
        <v>0</v>
      </c>
      <c r="Y28" s="2">
        <f t="shared" si="3"/>
        <v>0</v>
      </c>
    </row>
    <row r="29" spans="2:25" x14ac:dyDescent="0.25">
      <c r="D29" s="12"/>
      <c r="E29" s="5"/>
      <c r="F29" s="19" t="str">
        <f t="shared" si="1"/>
        <v/>
      </c>
      <c r="G29" s="1"/>
      <c r="H29" s="1"/>
      <c r="I29" s="1"/>
      <c r="J29" s="11"/>
      <c r="X29" s="5">
        <f t="shared" si="2"/>
        <v>0</v>
      </c>
      <c r="Y29" s="2">
        <f t="shared" si="3"/>
        <v>0</v>
      </c>
    </row>
    <row r="30" spans="2:25" x14ac:dyDescent="0.25">
      <c r="D30" s="12"/>
      <c r="E30" s="5"/>
      <c r="F30" s="19" t="str">
        <f t="shared" si="1"/>
        <v/>
      </c>
      <c r="G30" s="1"/>
      <c r="H30" s="1"/>
      <c r="I30" s="1"/>
      <c r="J30" s="11"/>
      <c r="X30" s="5">
        <f t="shared" si="2"/>
        <v>0</v>
      </c>
      <c r="Y30" s="2">
        <f t="shared" si="3"/>
        <v>0</v>
      </c>
    </row>
    <row r="31" spans="2:25" x14ac:dyDescent="0.25">
      <c r="D31" s="12"/>
      <c r="E31" s="5"/>
      <c r="F31" s="19" t="str">
        <f t="shared" si="1"/>
        <v/>
      </c>
      <c r="G31" s="1"/>
      <c r="H31" s="1"/>
      <c r="I31" s="1"/>
      <c r="J31" s="11"/>
      <c r="X31" s="5">
        <f t="shared" si="2"/>
        <v>0</v>
      </c>
      <c r="Y31" s="2">
        <f t="shared" si="3"/>
        <v>0</v>
      </c>
    </row>
    <row r="32" spans="2:25" x14ac:dyDescent="0.25">
      <c r="D32" s="12"/>
      <c r="E32" s="5"/>
      <c r="F32" s="19" t="str">
        <f t="shared" si="1"/>
        <v/>
      </c>
      <c r="G32" s="1"/>
      <c r="H32" s="1"/>
      <c r="I32" s="1"/>
      <c r="J32" s="11"/>
      <c r="X32" s="5">
        <f t="shared" si="2"/>
        <v>0</v>
      </c>
      <c r="Y32" s="2">
        <f t="shared" si="3"/>
        <v>0</v>
      </c>
    </row>
    <row r="33" spans="4:25" x14ac:dyDescent="0.25">
      <c r="D33" s="12"/>
      <c r="E33" s="5"/>
      <c r="F33" s="19" t="str">
        <f t="shared" si="1"/>
        <v/>
      </c>
      <c r="G33" s="1"/>
      <c r="H33" s="1"/>
      <c r="I33" s="1"/>
      <c r="J33" s="11"/>
      <c r="X33" s="5">
        <f t="shared" si="2"/>
        <v>0</v>
      </c>
      <c r="Y33" s="2">
        <f t="shared" si="3"/>
        <v>0</v>
      </c>
    </row>
    <row r="34" spans="4:25" x14ac:dyDescent="0.25">
      <c r="D34" s="12"/>
      <c r="E34" s="5"/>
      <c r="F34" s="19" t="str">
        <f t="shared" si="1"/>
        <v/>
      </c>
      <c r="G34" s="1"/>
      <c r="H34" s="1"/>
      <c r="I34" s="1"/>
      <c r="J34" s="11"/>
      <c r="X34" s="5">
        <f t="shared" si="2"/>
        <v>0</v>
      </c>
      <c r="Y34" s="2">
        <f t="shared" si="3"/>
        <v>0</v>
      </c>
    </row>
    <row r="35" spans="4:25" x14ac:dyDescent="0.25">
      <c r="D35" s="12"/>
      <c r="E35" s="5"/>
      <c r="F35" s="19" t="str">
        <f t="shared" si="1"/>
        <v/>
      </c>
      <c r="G35" s="1"/>
      <c r="H35" s="1"/>
      <c r="I35" s="1"/>
      <c r="J35" s="11"/>
      <c r="X35" s="5">
        <f t="shared" si="2"/>
        <v>0</v>
      </c>
      <c r="Y35" s="2">
        <f t="shared" si="3"/>
        <v>0</v>
      </c>
    </row>
    <row r="36" spans="4:25" x14ac:dyDescent="0.25">
      <c r="D36" s="12"/>
      <c r="E36" s="5"/>
      <c r="F36" s="19" t="str">
        <f t="shared" si="1"/>
        <v/>
      </c>
      <c r="G36" s="1"/>
      <c r="H36" s="1"/>
      <c r="I36" s="1"/>
      <c r="J36" s="11"/>
      <c r="X36" s="5">
        <f t="shared" si="2"/>
        <v>0</v>
      </c>
      <c r="Y36" s="2">
        <f t="shared" si="3"/>
        <v>0</v>
      </c>
    </row>
    <row r="37" spans="4:25" x14ac:dyDescent="0.25">
      <c r="D37" s="12"/>
      <c r="E37" s="5"/>
      <c r="F37" s="19" t="str">
        <f t="shared" si="1"/>
        <v/>
      </c>
      <c r="G37" s="1"/>
      <c r="H37" s="1"/>
      <c r="I37" s="1"/>
      <c r="J37" s="11"/>
      <c r="X37" s="5">
        <f t="shared" si="2"/>
        <v>0</v>
      </c>
      <c r="Y37" s="2">
        <f t="shared" si="3"/>
        <v>0</v>
      </c>
    </row>
    <row r="38" spans="4:25" x14ac:dyDescent="0.25">
      <c r="D38" s="12"/>
      <c r="E38" s="5"/>
      <c r="F38" s="19" t="str">
        <f t="shared" si="1"/>
        <v/>
      </c>
      <c r="G38" s="1"/>
      <c r="H38" s="1"/>
      <c r="I38" s="1"/>
      <c r="J38" s="11"/>
      <c r="X38" s="5">
        <f t="shared" si="2"/>
        <v>0</v>
      </c>
      <c r="Y38" s="2">
        <f t="shared" si="3"/>
        <v>0</v>
      </c>
    </row>
    <row r="39" spans="4:25" x14ac:dyDescent="0.25">
      <c r="D39" s="12"/>
      <c r="E39" s="5"/>
      <c r="F39" s="19" t="str">
        <f t="shared" si="1"/>
        <v/>
      </c>
      <c r="G39" s="1"/>
      <c r="H39" s="1"/>
      <c r="I39" s="1"/>
      <c r="J39" s="11"/>
      <c r="X39" s="5">
        <f t="shared" si="2"/>
        <v>0</v>
      </c>
      <c r="Y39" s="2">
        <f t="shared" si="3"/>
        <v>0</v>
      </c>
    </row>
    <row r="40" spans="4:25" x14ac:dyDescent="0.25">
      <c r="D40" s="12"/>
      <c r="E40" s="5"/>
      <c r="F40" s="19" t="str">
        <f t="shared" si="1"/>
        <v/>
      </c>
      <c r="G40" s="1"/>
      <c r="H40" s="1"/>
      <c r="I40" s="1"/>
      <c r="J40" s="11"/>
      <c r="X40" s="5">
        <f t="shared" si="2"/>
        <v>0</v>
      </c>
      <c r="Y40" s="2">
        <f t="shared" si="3"/>
        <v>0</v>
      </c>
    </row>
    <row r="41" spans="4:25" x14ac:dyDescent="0.25">
      <c r="D41" s="12"/>
      <c r="E41" s="5"/>
      <c r="F41" s="19" t="str">
        <f t="shared" si="1"/>
        <v/>
      </c>
      <c r="G41" s="1"/>
      <c r="H41" s="1"/>
      <c r="I41" s="1"/>
      <c r="J41" s="11"/>
      <c r="X41" s="5">
        <f t="shared" si="2"/>
        <v>0</v>
      </c>
      <c r="Y41" s="2">
        <f t="shared" si="3"/>
        <v>0</v>
      </c>
    </row>
    <row r="42" spans="4:25" x14ac:dyDescent="0.25">
      <c r="D42" s="12"/>
      <c r="E42" s="5"/>
      <c r="F42" s="19" t="str">
        <f t="shared" si="1"/>
        <v/>
      </c>
      <c r="G42" s="1"/>
      <c r="H42" s="1"/>
      <c r="I42" s="1"/>
      <c r="J42" s="11"/>
      <c r="X42" s="5">
        <f t="shared" si="2"/>
        <v>0</v>
      </c>
      <c r="Y42" s="2">
        <f t="shared" si="3"/>
        <v>0</v>
      </c>
    </row>
    <row r="43" spans="4:25" x14ac:dyDescent="0.25">
      <c r="D43" s="12"/>
      <c r="E43" s="5"/>
      <c r="F43" s="19" t="str">
        <f t="shared" si="1"/>
        <v/>
      </c>
      <c r="G43" s="1"/>
      <c r="H43" s="1"/>
      <c r="I43" s="1"/>
      <c r="J43" s="11"/>
      <c r="X43" s="5">
        <f t="shared" si="2"/>
        <v>0</v>
      </c>
      <c r="Y43" s="2">
        <f t="shared" si="3"/>
        <v>0</v>
      </c>
    </row>
    <row r="44" spans="4:25" x14ac:dyDescent="0.25">
      <c r="D44" s="12"/>
      <c r="E44" s="5"/>
      <c r="F44" s="19" t="str">
        <f t="shared" si="1"/>
        <v/>
      </c>
      <c r="G44" s="1"/>
      <c r="H44" s="1"/>
      <c r="I44" s="1"/>
      <c r="J44" s="11"/>
      <c r="X44" s="5">
        <f t="shared" si="2"/>
        <v>0</v>
      </c>
      <c r="Y44" s="2">
        <f t="shared" si="3"/>
        <v>0</v>
      </c>
    </row>
    <row r="45" spans="4:25" x14ac:dyDescent="0.25">
      <c r="D45" s="12"/>
      <c r="E45" s="5"/>
      <c r="F45" s="19" t="str">
        <f t="shared" si="1"/>
        <v/>
      </c>
      <c r="G45" s="1"/>
      <c r="H45" s="1"/>
      <c r="I45" s="1"/>
      <c r="J45" s="11"/>
      <c r="X45" s="5">
        <f t="shared" si="2"/>
        <v>0</v>
      </c>
      <c r="Y45" s="2">
        <f t="shared" si="3"/>
        <v>0</v>
      </c>
    </row>
    <row r="46" spans="4:25" x14ac:dyDescent="0.25">
      <c r="D46" s="12"/>
      <c r="E46" s="5"/>
      <c r="F46" s="19" t="str">
        <f t="shared" si="1"/>
        <v/>
      </c>
      <c r="G46" s="1"/>
      <c r="H46" s="1"/>
      <c r="I46" s="1"/>
      <c r="J46" s="11"/>
      <c r="X46" s="5">
        <f t="shared" si="2"/>
        <v>0</v>
      </c>
      <c r="Y46" s="2">
        <f t="shared" si="3"/>
        <v>0</v>
      </c>
    </row>
    <row r="47" spans="4:25" x14ac:dyDescent="0.25">
      <c r="D47" s="12"/>
      <c r="E47" s="5"/>
      <c r="F47" s="19" t="str">
        <f t="shared" si="1"/>
        <v/>
      </c>
      <c r="G47" s="1"/>
      <c r="H47" s="1"/>
      <c r="I47" s="1"/>
      <c r="J47" s="11"/>
      <c r="X47" s="5">
        <f t="shared" si="2"/>
        <v>0</v>
      </c>
      <c r="Y47" s="2">
        <f t="shared" si="3"/>
        <v>0</v>
      </c>
    </row>
    <row r="48" spans="4:25" x14ac:dyDescent="0.25">
      <c r="D48" s="12"/>
      <c r="E48" s="5"/>
      <c r="F48" s="19" t="str">
        <f t="shared" si="1"/>
        <v/>
      </c>
      <c r="G48" s="1"/>
      <c r="H48" s="1"/>
      <c r="I48" s="1"/>
      <c r="J48" s="11"/>
      <c r="X48" s="5">
        <f t="shared" si="2"/>
        <v>0</v>
      </c>
      <c r="Y48" s="2">
        <f t="shared" si="3"/>
        <v>0</v>
      </c>
    </row>
    <row r="49" spans="4:25" x14ac:dyDescent="0.25">
      <c r="D49" s="12"/>
      <c r="E49" s="5"/>
      <c r="F49" s="19" t="str">
        <f t="shared" si="1"/>
        <v/>
      </c>
      <c r="G49" s="1"/>
      <c r="H49" s="1"/>
      <c r="I49" s="1"/>
      <c r="J49" s="11"/>
      <c r="X49" s="5">
        <f t="shared" si="2"/>
        <v>0</v>
      </c>
      <c r="Y49" s="2">
        <f t="shared" si="3"/>
        <v>0</v>
      </c>
    </row>
    <row r="50" spans="4:25" x14ac:dyDescent="0.25">
      <c r="D50" s="12"/>
      <c r="E50" s="5"/>
      <c r="F50" s="19" t="str">
        <f t="shared" si="1"/>
        <v/>
      </c>
      <c r="G50" s="1"/>
      <c r="H50" s="1"/>
      <c r="I50" s="1"/>
      <c r="J50" s="11"/>
      <c r="X50" s="5">
        <f t="shared" si="2"/>
        <v>0</v>
      </c>
      <c r="Y50" s="2">
        <f t="shared" si="3"/>
        <v>0</v>
      </c>
    </row>
    <row r="51" spans="4:25" x14ac:dyDescent="0.25">
      <c r="D51" s="12"/>
      <c r="E51" s="5"/>
      <c r="F51" s="19" t="str">
        <f t="shared" si="1"/>
        <v/>
      </c>
      <c r="G51" s="1"/>
      <c r="H51" s="1"/>
      <c r="I51" s="1"/>
      <c r="J51" s="11"/>
      <c r="X51" s="5">
        <f t="shared" si="2"/>
        <v>0</v>
      </c>
      <c r="Y51" s="2">
        <f t="shared" si="3"/>
        <v>0</v>
      </c>
    </row>
    <row r="52" spans="4:25" x14ac:dyDescent="0.25">
      <c r="D52" s="12"/>
      <c r="E52" s="5"/>
      <c r="F52" s="19" t="str">
        <f t="shared" si="1"/>
        <v/>
      </c>
      <c r="G52" s="1"/>
      <c r="H52" s="1"/>
      <c r="I52" s="1"/>
      <c r="J52" s="9"/>
      <c r="X52" s="5">
        <f t="shared" si="2"/>
        <v>0</v>
      </c>
      <c r="Y52" s="2">
        <f t="shared" si="3"/>
        <v>0</v>
      </c>
    </row>
    <row r="53" spans="4:25" x14ac:dyDescent="0.25">
      <c r="D53" s="1" t="s">
        <v>25</v>
      </c>
      <c r="E53" s="23"/>
      <c r="F53" s="2"/>
      <c r="G53" s="2">
        <f>SUM(G3:G52)</f>
        <v>0</v>
      </c>
      <c r="H53" s="2">
        <f t="shared" ref="H53:I53" si="4">SUM(H3:H52)</f>
        <v>0.13</v>
      </c>
      <c r="I53" s="2">
        <f t="shared" si="4"/>
        <v>0</v>
      </c>
    </row>
  </sheetData>
  <mergeCells count="4">
    <mergeCell ref="D1:F1"/>
    <mergeCell ref="G1:I1"/>
    <mergeCell ref="K1:Q1"/>
    <mergeCell ref="X1:Z1"/>
  </mergeCells>
  <conditionalFormatting sqref="A1:B1">
    <cfRule type="expression" dxfId="191" priority="1">
      <formula>$Z$3="+"</formula>
    </cfRule>
    <cfRule type="expression" dxfId="190" priority="2">
      <formula>$B$16=$K$3</formula>
    </cfRule>
  </conditionalFormatting>
  <conditionalFormatting sqref="P3">
    <cfRule type="expression" dxfId="189" priority="3">
      <formula>$Z$3="+"</formula>
    </cfRule>
  </conditionalFormatting>
  <conditionalFormatting sqref="Z3">
    <cfRule type="expression" dxfId="188" priority="4">
      <formula>$Z$3="+"</formula>
    </cfRule>
  </conditionalFormatting>
  <dataValidations count="1">
    <dataValidation type="list" allowBlank="1" showInputMessage="1" showErrorMessage="1" sqref="B2" xr:uid="{4DB98042-7866-49CF-BB7F-71F4CD4A77D4}">
      <formula1>"Romania,Moldova,Cyprus,Philippines"</formula1>
    </dataValidation>
  </dataValidation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C86D5-0337-40AB-8919-9F7416009620}">
  <dimension ref="A1:Z53"/>
  <sheetViews>
    <sheetView workbookViewId="0">
      <selection activeCell="E5" sqref="E5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1" customWidth="1"/>
    <col min="25" max="25" width="10.7109375" style="11" customWidth="1"/>
    <col min="26" max="26" width="10.7109375" customWidth="1"/>
  </cols>
  <sheetData>
    <row r="1" spans="1:26" x14ac:dyDescent="0.25">
      <c r="A1" s="4" t="s">
        <v>66</v>
      </c>
      <c r="B1" s="5" t="s">
        <v>97</v>
      </c>
      <c r="D1" s="29" t="s">
        <v>2</v>
      </c>
      <c r="E1" s="30"/>
      <c r="F1" s="31"/>
      <c r="G1" s="29" t="s">
        <v>0</v>
      </c>
      <c r="H1" s="30"/>
      <c r="I1" s="31"/>
      <c r="J1" s="18"/>
      <c r="K1" s="29" t="s">
        <v>58</v>
      </c>
      <c r="L1" s="30"/>
      <c r="M1" s="30"/>
      <c r="N1" s="30"/>
      <c r="O1" s="30"/>
      <c r="P1" s="30"/>
      <c r="Q1" s="31"/>
      <c r="X1" s="29"/>
      <c r="Y1" s="30"/>
      <c r="Z1" s="31"/>
    </row>
    <row r="2" spans="1:26" x14ac:dyDescent="0.25">
      <c r="A2" s="4" t="s">
        <v>21</v>
      </c>
      <c r="B2" s="5" t="s">
        <v>32</v>
      </c>
      <c r="D2" s="10" t="s">
        <v>49</v>
      </c>
      <c r="E2" s="10" t="s">
        <v>50</v>
      </c>
      <c r="F2" s="17" t="s">
        <v>67</v>
      </c>
      <c r="G2" s="10" t="s">
        <v>15</v>
      </c>
      <c r="H2" s="10" t="s">
        <v>16</v>
      </c>
      <c r="I2" s="10" t="s">
        <v>60</v>
      </c>
      <c r="J2" s="9"/>
      <c r="K2" s="10" t="s">
        <v>0</v>
      </c>
      <c r="L2" s="10" t="s">
        <v>1</v>
      </c>
      <c r="M2" s="10" t="s">
        <v>56</v>
      </c>
      <c r="N2" s="10" t="s">
        <v>57</v>
      </c>
      <c r="O2" s="10" t="s">
        <v>2</v>
      </c>
      <c r="P2" s="10" t="s">
        <v>68</v>
      </c>
      <c r="Q2" s="10" t="s">
        <v>67</v>
      </c>
      <c r="X2" s="10" t="s">
        <v>2</v>
      </c>
      <c r="Y2" s="10" t="s">
        <v>59</v>
      </c>
      <c r="Z2" s="10" t="s">
        <v>68</v>
      </c>
    </row>
    <row r="3" spans="1:26" x14ac:dyDescent="0.25">
      <c r="A3" s="4" t="s">
        <v>69</v>
      </c>
      <c r="B3" s="5" t="s">
        <v>78</v>
      </c>
      <c r="D3" s="12">
        <v>46265</v>
      </c>
      <c r="E3" s="12">
        <v>46265</v>
      </c>
      <c r="F3" s="19">
        <f t="shared" ref="F3" si="0">IF(E3&gt;0,E3-D3,"")</f>
        <v>0</v>
      </c>
      <c r="G3" s="2">
        <v>0</v>
      </c>
      <c r="H3" s="2">
        <v>0</v>
      </c>
      <c r="I3" s="2">
        <v>0</v>
      </c>
      <c r="J3" s="11"/>
      <c r="K3" s="2">
        <f>G53</f>
        <v>0</v>
      </c>
      <c r="L3" s="2">
        <f>H53</f>
        <v>0.09</v>
      </c>
      <c r="M3" s="2">
        <f>I53</f>
        <v>0</v>
      </c>
      <c r="N3" s="6" t="str">
        <f>IF(B16=K3,XIRR(Y3:Y52,X3:X52),"")</f>
        <v/>
      </c>
      <c r="O3" s="5" t="str">
        <f>IF(B16=K3,MAX(E:E),"")</f>
        <v/>
      </c>
      <c r="P3" s="1" t="str">
        <f ca="1">IF(Z3="+",TODAY()-B11,"")</f>
        <v/>
      </c>
      <c r="Q3" s="1" t="str">
        <f>IF(B16=K3,MAX(E:E)-B11,"")</f>
        <v/>
      </c>
      <c r="T3" s="14"/>
      <c r="X3" s="5">
        <f>B9</f>
        <v>46260</v>
      </c>
      <c r="Y3" s="2">
        <f>B16*-1</f>
        <v>-20</v>
      </c>
      <c r="Z3" s="1" t="str">
        <f ca="1">IF(AND(TODAY()&gt;B11, K3&lt;&gt;B16), "+", "")</f>
        <v/>
      </c>
    </row>
    <row r="4" spans="1:26" x14ac:dyDescent="0.25">
      <c r="A4" s="4" t="s">
        <v>19</v>
      </c>
      <c r="B4" s="5" t="s">
        <v>20</v>
      </c>
      <c r="D4" s="12">
        <v>46295</v>
      </c>
      <c r="E4" s="12">
        <v>46295</v>
      </c>
      <c r="F4" s="19">
        <f t="shared" ref="F4:F52" si="1">IF(E4&gt;0,E4-D4,"")</f>
        <v>0</v>
      </c>
      <c r="G4" s="2">
        <v>0</v>
      </c>
      <c r="H4" s="2">
        <v>0.09</v>
      </c>
      <c r="I4" s="2">
        <v>0</v>
      </c>
      <c r="J4" s="9"/>
      <c r="X4" s="5">
        <f>E3</f>
        <v>46265</v>
      </c>
      <c r="Y4" s="2">
        <f>G3+H3-I3</f>
        <v>0</v>
      </c>
    </row>
    <row r="5" spans="1:26" x14ac:dyDescent="0.25">
      <c r="A5" s="4"/>
      <c r="B5" s="5"/>
      <c r="D5" s="12"/>
      <c r="E5" s="12"/>
      <c r="F5" s="19" t="str">
        <f t="shared" si="1"/>
        <v/>
      </c>
      <c r="G5" s="2"/>
      <c r="H5" s="1"/>
      <c r="I5" s="2"/>
      <c r="J5" s="9"/>
      <c r="X5" s="5">
        <f t="shared" ref="X5:X52" si="2">E4</f>
        <v>46295</v>
      </c>
      <c r="Y5" s="2">
        <f t="shared" ref="Y5:Y52" si="3">G4+H4-I4</f>
        <v>0.09</v>
      </c>
    </row>
    <row r="6" spans="1:26" x14ac:dyDescent="0.25">
      <c r="A6" s="4"/>
      <c r="B6" s="5"/>
      <c r="D6" s="12"/>
      <c r="E6" s="12"/>
      <c r="F6" s="19" t="str">
        <f t="shared" si="1"/>
        <v/>
      </c>
      <c r="G6" s="2"/>
      <c r="H6" s="1"/>
      <c r="I6" s="2"/>
      <c r="J6" s="9"/>
      <c r="X6" s="5">
        <f t="shared" si="2"/>
        <v>0</v>
      </c>
      <c r="Y6" s="2">
        <f t="shared" si="3"/>
        <v>0</v>
      </c>
    </row>
    <row r="7" spans="1:26" x14ac:dyDescent="0.25">
      <c r="A7" s="4"/>
      <c r="B7" s="5"/>
      <c r="D7" s="12"/>
      <c r="E7" s="12"/>
      <c r="F7" s="19" t="str">
        <f t="shared" si="1"/>
        <v/>
      </c>
      <c r="G7" s="2"/>
      <c r="H7" s="1"/>
      <c r="I7" s="2"/>
      <c r="J7" s="11"/>
      <c r="X7" s="5">
        <f t="shared" si="2"/>
        <v>0</v>
      </c>
      <c r="Y7" s="2">
        <f t="shared" si="3"/>
        <v>0</v>
      </c>
    </row>
    <row r="8" spans="1:26" x14ac:dyDescent="0.25">
      <c r="A8" s="4" t="s">
        <v>24</v>
      </c>
      <c r="B8" s="5" t="str">
        <f>DATEDIF(B9,B11,"y") &amp; " m. " &amp; DATEDIF(B9,B11,"ym") &amp; " mėn. " &amp; DATEDIF(B9,B11,"md") &amp; " d."</f>
        <v>0 m. 8 mėn. 22 d.</v>
      </c>
      <c r="D8" s="12"/>
      <c r="E8" s="12"/>
      <c r="F8" s="19" t="str">
        <f t="shared" si="1"/>
        <v/>
      </c>
      <c r="G8" s="1"/>
      <c r="H8" s="1"/>
      <c r="I8" s="2"/>
      <c r="J8" s="9"/>
      <c r="X8" s="5">
        <f t="shared" si="2"/>
        <v>0</v>
      </c>
      <c r="Y8" s="2">
        <f t="shared" si="3"/>
        <v>0</v>
      </c>
    </row>
    <row r="9" spans="1:26" x14ac:dyDescent="0.25">
      <c r="A9" s="4" t="s">
        <v>11</v>
      </c>
      <c r="B9" s="5">
        <v>46260</v>
      </c>
      <c r="D9" s="12"/>
      <c r="E9" s="12"/>
      <c r="F9" s="19"/>
      <c r="G9" s="2"/>
      <c r="H9" s="2"/>
      <c r="I9" s="2"/>
      <c r="J9" s="11"/>
      <c r="X9" s="5">
        <f t="shared" si="2"/>
        <v>0</v>
      </c>
      <c r="Y9" s="2">
        <f t="shared" si="3"/>
        <v>0</v>
      </c>
    </row>
    <row r="10" spans="1:26" x14ac:dyDescent="0.25">
      <c r="A10" s="4" t="s">
        <v>70</v>
      </c>
      <c r="B10" s="5">
        <v>46252</v>
      </c>
      <c r="D10" s="12"/>
      <c r="E10" s="12"/>
      <c r="F10" s="19" t="str">
        <f t="shared" si="1"/>
        <v/>
      </c>
      <c r="G10" s="1"/>
      <c r="H10" s="1"/>
      <c r="I10" s="2"/>
      <c r="J10" s="11"/>
      <c r="X10" s="5">
        <f t="shared" si="2"/>
        <v>0</v>
      </c>
      <c r="Y10" s="2">
        <f t="shared" si="3"/>
        <v>0</v>
      </c>
    </row>
    <row r="11" spans="1:26" x14ac:dyDescent="0.25">
      <c r="A11" s="4" t="s">
        <v>10</v>
      </c>
      <c r="B11" s="5">
        <v>46525</v>
      </c>
      <c r="D11" s="12"/>
      <c r="E11" s="12"/>
      <c r="F11" s="19" t="str">
        <f t="shared" si="1"/>
        <v/>
      </c>
      <c r="G11" s="1"/>
      <c r="H11" s="2"/>
      <c r="I11" s="2"/>
      <c r="J11" s="11"/>
      <c r="X11" s="5">
        <f t="shared" si="2"/>
        <v>0</v>
      </c>
      <c r="Y11" s="2">
        <f t="shared" si="3"/>
        <v>0</v>
      </c>
    </row>
    <row r="12" spans="1:26" x14ac:dyDescent="0.25">
      <c r="A12" s="4" t="s">
        <v>71</v>
      </c>
      <c r="B12" s="19">
        <f ca="1">IF(B16&lt;&gt;K3,(TODAY()-B11)*-1,"")</f>
        <v>230</v>
      </c>
      <c r="D12" s="12"/>
      <c r="E12" s="12"/>
      <c r="F12" s="19" t="str">
        <f t="shared" si="1"/>
        <v/>
      </c>
      <c r="G12" s="2"/>
      <c r="H12" s="1"/>
      <c r="I12" s="1"/>
      <c r="J12" s="11"/>
      <c r="X12" s="5">
        <f t="shared" si="2"/>
        <v>0</v>
      </c>
      <c r="Y12" s="2">
        <f t="shared" si="3"/>
        <v>0</v>
      </c>
    </row>
    <row r="13" spans="1:26" x14ac:dyDescent="0.25">
      <c r="A13" s="4"/>
      <c r="B13" s="2"/>
      <c r="D13" s="12"/>
      <c r="E13" s="12"/>
      <c r="F13" s="19" t="str">
        <f t="shared" si="1"/>
        <v/>
      </c>
      <c r="G13" s="1"/>
      <c r="H13" s="2"/>
      <c r="I13" s="2"/>
      <c r="J13" s="11"/>
      <c r="N13" s="14"/>
      <c r="X13" s="5">
        <f t="shared" si="2"/>
        <v>0</v>
      </c>
      <c r="Y13" s="2">
        <f t="shared" si="3"/>
        <v>0</v>
      </c>
    </row>
    <row r="14" spans="1:26" x14ac:dyDescent="0.25">
      <c r="A14" s="13"/>
      <c r="B14" s="20"/>
      <c r="D14" s="12"/>
      <c r="E14" s="5"/>
      <c r="F14" s="19" t="str">
        <f t="shared" si="1"/>
        <v/>
      </c>
      <c r="G14" s="1"/>
      <c r="H14" s="1"/>
      <c r="I14" s="1"/>
      <c r="J14" s="11"/>
      <c r="X14" s="5">
        <f t="shared" si="2"/>
        <v>0</v>
      </c>
      <c r="Y14" s="2">
        <f t="shared" si="3"/>
        <v>0</v>
      </c>
    </row>
    <row r="15" spans="1:26" x14ac:dyDescent="0.25">
      <c r="A15" s="4" t="s">
        <v>1</v>
      </c>
      <c r="B15" s="6">
        <v>0.12</v>
      </c>
      <c r="D15" s="12"/>
      <c r="E15" s="5"/>
      <c r="F15" s="19" t="str">
        <f t="shared" si="1"/>
        <v/>
      </c>
      <c r="G15" s="1"/>
      <c r="H15" s="1"/>
      <c r="I15" s="1"/>
      <c r="J15" s="11"/>
      <c r="K15" s="18"/>
      <c r="L15" s="18"/>
      <c r="M15" s="18"/>
      <c r="N15" s="18"/>
      <c r="O15" s="18"/>
      <c r="P15" s="18"/>
      <c r="Q15" s="18"/>
      <c r="X15" s="5">
        <f t="shared" si="2"/>
        <v>0</v>
      </c>
      <c r="Y15" s="2">
        <f t="shared" si="3"/>
        <v>0</v>
      </c>
    </row>
    <row r="16" spans="1:26" x14ac:dyDescent="0.25">
      <c r="A16" s="4" t="s">
        <v>72</v>
      </c>
      <c r="B16" s="2">
        <v>20</v>
      </c>
      <c r="D16" s="12"/>
      <c r="E16" s="5"/>
      <c r="F16" s="19" t="str">
        <f t="shared" si="1"/>
        <v/>
      </c>
      <c r="G16" s="1"/>
      <c r="H16" s="1"/>
      <c r="I16" s="1"/>
      <c r="J16" s="11"/>
      <c r="K16" s="9"/>
      <c r="L16" s="9"/>
      <c r="M16" s="9"/>
      <c r="N16" s="21"/>
      <c r="O16" s="22"/>
      <c r="P16" s="11"/>
      <c r="Q16" s="11"/>
      <c r="X16" s="5">
        <f t="shared" si="2"/>
        <v>0</v>
      </c>
      <c r="Y16" s="2">
        <f t="shared" si="3"/>
        <v>0</v>
      </c>
    </row>
    <row r="17" spans="2:25" x14ac:dyDescent="0.25">
      <c r="D17" s="12"/>
      <c r="E17" s="5"/>
      <c r="F17" s="19" t="str">
        <f t="shared" si="1"/>
        <v/>
      </c>
      <c r="G17" s="1"/>
      <c r="H17" s="1"/>
      <c r="I17" s="1"/>
      <c r="J17" s="11"/>
      <c r="X17" s="5">
        <f t="shared" si="2"/>
        <v>0</v>
      </c>
      <c r="Y17" s="2">
        <f t="shared" si="3"/>
        <v>0</v>
      </c>
    </row>
    <row r="18" spans="2:25" x14ac:dyDescent="0.25">
      <c r="D18" s="12"/>
      <c r="E18" s="5"/>
      <c r="F18" s="19" t="str">
        <f t="shared" si="1"/>
        <v/>
      </c>
      <c r="G18" s="1"/>
      <c r="H18" s="1"/>
      <c r="I18" s="1"/>
      <c r="J18" s="11"/>
      <c r="X18" s="5">
        <f t="shared" si="2"/>
        <v>0</v>
      </c>
      <c r="Y18" s="2">
        <f t="shared" si="3"/>
        <v>0</v>
      </c>
    </row>
    <row r="19" spans="2:25" x14ac:dyDescent="0.25">
      <c r="D19" s="12"/>
      <c r="E19" s="5"/>
      <c r="F19" s="19" t="str">
        <f t="shared" si="1"/>
        <v/>
      </c>
      <c r="G19" s="1"/>
      <c r="H19" s="1"/>
      <c r="I19" s="1"/>
      <c r="J19" s="11"/>
      <c r="X19" s="5">
        <f t="shared" si="2"/>
        <v>0</v>
      </c>
      <c r="Y19" s="2">
        <f t="shared" si="3"/>
        <v>0</v>
      </c>
    </row>
    <row r="20" spans="2:25" x14ac:dyDescent="0.25">
      <c r="D20" s="12"/>
      <c r="E20" s="5"/>
      <c r="F20" s="19" t="str">
        <f t="shared" si="1"/>
        <v/>
      </c>
      <c r="G20" s="1"/>
      <c r="H20" s="1"/>
      <c r="I20" s="1"/>
      <c r="J20" s="11"/>
      <c r="X20" s="5">
        <f t="shared" si="2"/>
        <v>0</v>
      </c>
      <c r="Y20" s="2">
        <f t="shared" si="3"/>
        <v>0</v>
      </c>
    </row>
    <row r="21" spans="2:25" x14ac:dyDescent="0.25">
      <c r="D21" s="12"/>
      <c r="E21" s="5"/>
      <c r="F21" s="19" t="str">
        <f t="shared" si="1"/>
        <v/>
      </c>
      <c r="G21" s="1"/>
      <c r="H21" s="1"/>
      <c r="I21" s="1"/>
      <c r="J21" s="11"/>
      <c r="X21" s="5">
        <f t="shared" si="2"/>
        <v>0</v>
      </c>
      <c r="Y21" s="2">
        <f t="shared" si="3"/>
        <v>0</v>
      </c>
    </row>
    <row r="22" spans="2:25" x14ac:dyDescent="0.25">
      <c r="D22" s="12"/>
      <c r="E22" s="5"/>
      <c r="F22" s="19" t="str">
        <f t="shared" si="1"/>
        <v/>
      </c>
      <c r="G22" s="1"/>
      <c r="H22" s="1"/>
      <c r="I22" s="1"/>
      <c r="J22" s="11"/>
      <c r="X22" s="5">
        <f t="shared" si="2"/>
        <v>0</v>
      </c>
      <c r="Y22" s="2">
        <f t="shared" si="3"/>
        <v>0</v>
      </c>
    </row>
    <row r="23" spans="2:25" x14ac:dyDescent="0.25">
      <c r="B23" s="22"/>
      <c r="D23" s="12"/>
      <c r="E23" s="5"/>
      <c r="F23" s="19" t="str">
        <f t="shared" si="1"/>
        <v/>
      </c>
      <c r="G23" s="1"/>
      <c r="H23" s="1"/>
      <c r="I23" s="1"/>
      <c r="J23" s="11"/>
      <c r="X23" s="5">
        <f t="shared" si="2"/>
        <v>0</v>
      </c>
      <c r="Y23" s="2">
        <f t="shared" si="3"/>
        <v>0</v>
      </c>
    </row>
    <row r="24" spans="2:25" x14ac:dyDescent="0.25">
      <c r="D24" s="12"/>
      <c r="E24" s="5"/>
      <c r="F24" s="19" t="str">
        <f t="shared" si="1"/>
        <v/>
      </c>
      <c r="G24" s="1"/>
      <c r="H24" s="1"/>
      <c r="I24" s="1"/>
      <c r="J24" s="11"/>
      <c r="X24" s="5">
        <f t="shared" si="2"/>
        <v>0</v>
      </c>
      <c r="Y24" s="2">
        <f t="shared" si="3"/>
        <v>0</v>
      </c>
    </row>
    <row r="25" spans="2:25" x14ac:dyDescent="0.25">
      <c r="D25" s="12"/>
      <c r="E25" s="5"/>
      <c r="F25" s="19" t="str">
        <f t="shared" si="1"/>
        <v/>
      </c>
      <c r="G25" s="1"/>
      <c r="H25" s="1"/>
      <c r="I25" s="1"/>
      <c r="J25" s="11"/>
      <c r="X25" s="5">
        <f t="shared" si="2"/>
        <v>0</v>
      </c>
      <c r="Y25" s="2">
        <f t="shared" si="3"/>
        <v>0</v>
      </c>
    </row>
    <row r="26" spans="2:25" x14ac:dyDescent="0.25">
      <c r="D26" s="12"/>
      <c r="E26" s="5"/>
      <c r="F26" s="19" t="str">
        <f t="shared" si="1"/>
        <v/>
      </c>
      <c r="G26" s="1"/>
      <c r="H26" s="1"/>
      <c r="I26" s="1"/>
      <c r="J26" s="11"/>
      <c r="X26" s="5">
        <f t="shared" si="2"/>
        <v>0</v>
      </c>
      <c r="Y26" s="2">
        <f t="shared" si="3"/>
        <v>0</v>
      </c>
    </row>
    <row r="27" spans="2:25" x14ac:dyDescent="0.25">
      <c r="D27" s="12"/>
      <c r="E27" s="5"/>
      <c r="F27" s="19" t="str">
        <f t="shared" si="1"/>
        <v/>
      </c>
      <c r="G27" s="1"/>
      <c r="H27" s="1"/>
      <c r="I27" s="1"/>
      <c r="J27" s="11"/>
      <c r="X27" s="5">
        <f t="shared" si="2"/>
        <v>0</v>
      </c>
      <c r="Y27" s="2">
        <f t="shared" si="3"/>
        <v>0</v>
      </c>
    </row>
    <row r="28" spans="2:25" x14ac:dyDescent="0.25">
      <c r="D28" s="12"/>
      <c r="E28" s="5"/>
      <c r="F28" s="19" t="str">
        <f t="shared" si="1"/>
        <v/>
      </c>
      <c r="G28" s="1"/>
      <c r="H28" s="1"/>
      <c r="I28" s="1"/>
      <c r="J28" s="11"/>
      <c r="X28" s="5">
        <f t="shared" si="2"/>
        <v>0</v>
      </c>
      <c r="Y28" s="2">
        <f t="shared" si="3"/>
        <v>0</v>
      </c>
    </row>
    <row r="29" spans="2:25" x14ac:dyDescent="0.25">
      <c r="D29" s="12"/>
      <c r="E29" s="5"/>
      <c r="F29" s="19" t="str">
        <f t="shared" si="1"/>
        <v/>
      </c>
      <c r="G29" s="1"/>
      <c r="H29" s="1"/>
      <c r="I29" s="1"/>
      <c r="J29" s="11"/>
      <c r="X29" s="5">
        <f t="shared" si="2"/>
        <v>0</v>
      </c>
      <c r="Y29" s="2">
        <f t="shared" si="3"/>
        <v>0</v>
      </c>
    </row>
    <row r="30" spans="2:25" x14ac:dyDescent="0.25">
      <c r="D30" s="12"/>
      <c r="E30" s="5"/>
      <c r="F30" s="19" t="str">
        <f t="shared" si="1"/>
        <v/>
      </c>
      <c r="G30" s="1"/>
      <c r="H30" s="1"/>
      <c r="I30" s="1"/>
      <c r="J30" s="11"/>
      <c r="X30" s="5">
        <f t="shared" si="2"/>
        <v>0</v>
      </c>
      <c r="Y30" s="2">
        <f t="shared" si="3"/>
        <v>0</v>
      </c>
    </row>
    <row r="31" spans="2:25" x14ac:dyDescent="0.25">
      <c r="D31" s="12"/>
      <c r="E31" s="5"/>
      <c r="F31" s="19" t="str">
        <f t="shared" si="1"/>
        <v/>
      </c>
      <c r="G31" s="1"/>
      <c r="H31" s="1"/>
      <c r="I31" s="1"/>
      <c r="J31" s="11"/>
      <c r="X31" s="5">
        <f t="shared" si="2"/>
        <v>0</v>
      </c>
      <c r="Y31" s="2">
        <f t="shared" si="3"/>
        <v>0</v>
      </c>
    </row>
    <row r="32" spans="2:25" x14ac:dyDescent="0.25">
      <c r="D32" s="12"/>
      <c r="E32" s="5"/>
      <c r="F32" s="19" t="str">
        <f t="shared" si="1"/>
        <v/>
      </c>
      <c r="G32" s="1"/>
      <c r="H32" s="1"/>
      <c r="I32" s="1"/>
      <c r="J32" s="11"/>
      <c r="X32" s="5">
        <f t="shared" si="2"/>
        <v>0</v>
      </c>
      <c r="Y32" s="2">
        <f t="shared" si="3"/>
        <v>0</v>
      </c>
    </row>
    <row r="33" spans="4:25" x14ac:dyDescent="0.25">
      <c r="D33" s="12"/>
      <c r="E33" s="5"/>
      <c r="F33" s="19" t="str">
        <f t="shared" si="1"/>
        <v/>
      </c>
      <c r="G33" s="1"/>
      <c r="H33" s="1"/>
      <c r="I33" s="1"/>
      <c r="J33" s="11"/>
      <c r="X33" s="5">
        <f t="shared" si="2"/>
        <v>0</v>
      </c>
      <c r="Y33" s="2">
        <f t="shared" si="3"/>
        <v>0</v>
      </c>
    </row>
    <row r="34" spans="4:25" x14ac:dyDescent="0.25">
      <c r="D34" s="12"/>
      <c r="E34" s="5"/>
      <c r="F34" s="19" t="str">
        <f t="shared" si="1"/>
        <v/>
      </c>
      <c r="G34" s="1"/>
      <c r="H34" s="1"/>
      <c r="I34" s="1"/>
      <c r="J34" s="11"/>
      <c r="X34" s="5">
        <f t="shared" si="2"/>
        <v>0</v>
      </c>
      <c r="Y34" s="2">
        <f t="shared" si="3"/>
        <v>0</v>
      </c>
    </row>
    <row r="35" spans="4:25" x14ac:dyDescent="0.25">
      <c r="D35" s="12"/>
      <c r="E35" s="5"/>
      <c r="F35" s="19" t="str">
        <f t="shared" si="1"/>
        <v/>
      </c>
      <c r="G35" s="1"/>
      <c r="H35" s="1"/>
      <c r="I35" s="1"/>
      <c r="J35" s="11"/>
      <c r="X35" s="5">
        <f t="shared" si="2"/>
        <v>0</v>
      </c>
      <c r="Y35" s="2">
        <f t="shared" si="3"/>
        <v>0</v>
      </c>
    </row>
    <row r="36" spans="4:25" x14ac:dyDescent="0.25">
      <c r="D36" s="12"/>
      <c r="E36" s="5"/>
      <c r="F36" s="19" t="str">
        <f t="shared" si="1"/>
        <v/>
      </c>
      <c r="G36" s="1"/>
      <c r="H36" s="1"/>
      <c r="I36" s="1"/>
      <c r="J36" s="11"/>
      <c r="X36" s="5">
        <f t="shared" si="2"/>
        <v>0</v>
      </c>
      <c r="Y36" s="2">
        <f t="shared" si="3"/>
        <v>0</v>
      </c>
    </row>
    <row r="37" spans="4:25" x14ac:dyDescent="0.25">
      <c r="D37" s="12"/>
      <c r="E37" s="5"/>
      <c r="F37" s="19" t="str">
        <f t="shared" si="1"/>
        <v/>
      </c>
      <c r="G37" s="1"/>
      <c r="H37" s="1"/>
      <c r="I37" s="1"/>
      <c r="J37" s="11"/>
      <c r="X37" s="5">
        <f t="shared" si="2"/>
        <v>0</v>
      </c>
      <c r="Y37" s="2">
        <f t="shared" si="3"/>
        <v>0</v>
      </c>
    </row>
    <row r="38" spans="4:25" x14ac:dyDescent="0.25">
      <c r="D38" s="12"/>
      <c r="E38" s="5"/>
      <c r="F38" s="19" t="str">
        <f t="shared" si="1"/>
        <v/>
      </c>
      <c r="G38" s="1"/>
      <c r="H38" s="1"/>
      <c r="I38" s="1"/>
      <c r="J38" s="11"/>
      <c r="X38" s="5">
        <f t="shared" si="2"/>
        <v>0</v>
      </c>
      <c r="Y38" s="2">
        <f t="shared" si="3"/>
        <v>0</v>
      </c>
    </row>
    <row r="39" spans="4:25" x14ac:dyDescent="0.25">
      <c r="D39" s="12"/>
      <c r="E39" s="5"/>
      <c r="F39" s="19" t="str">
        <f t="shared" si="1"/>
        <v/>
      </c>
      <c r="G39" s="1"/>
      <c r="H39" s="1"/>
      <c r="I39" s="1"/>
      <c r="J39" s="11"/>
      <c r="X39" s="5">
        <f t="shared" si="2"/>
        <v>0</v>
      </c>
      <c r="Y39" s="2">
        <f t="shared" si="3"/>
        <v>0</v>
      </c>
    </row>
    <row r="40" spans="4:25" x14ac:dyDescent="0.25">
      <c r="D40" s="12"/>
      <c r="E40" s="5"/>
      <c r="F40" s="19" t="str">
        <f t="shared" si="1"/>
        <v/>
      </c>
      <c r="G40" s="1"/>
      <c r="H40" s="1"/>
      <c r="I40" s="1"/>
      <c r="J40" s="11"/>
      <c r="X40" s="5">
        <f t="shared" si="2"/>
        <v>0</v>
      </c>
      <c r="Y40" s="2">
        <f t="shared" si="3"/>
        <v>0</v>
      </c>
    </row>
    <row r="41" spans="4:25" x14ac:dyDescent="0.25">
      <c r="D41" s="12"/>
      <c r="E41" s="5"/>
      <c r="F41" s="19" t="str">
        <f t="shared" si="1"/>
        <v/>
      </c>
      <c r="G41" s="1"/>
      <c r="H41" s="1"/>
      <c r="I41" s="1"/>
      <c r="J41" s="11"/>
      <c r="X41" s="5">
        <f t="shared" si="2"/>
        <v>0</v>
      </c>
      <c r="Y41" s="2">
        <f t="shared" si="3"/>
        <v>0</v>
      </c>
    </row>
    <row r="42" spans="4:25" x14ac:dyDescent="0.25">
      <c r="D42" s="12"/>
      <c r="E42" s="5"/>
      <c r="F42" s="19" t="str">
        <f t="shared" si="1"/>
        <v/>
      </c>
      <c r="G42" s="1"/>
      <c r="H42" s="1"/>
      <c r="I42" s="1"/>
      <c r="J42" s="11"/>
      <c r="X42" s="5">
        <f t="shared" si="2"/>
        <v>0</v>
      </c>
      <c r="Y42" s="2">
        <f t="shared" si="3"/>
        <v>0</v>
      </c>
    </row>
    <row r="43" spans="4:25" x14ac:dyDescent="0.25">
      <c r="D43" s="12"/>
      <c r="E43" s="5"/>
      <c r="F43" s="19" t="str">
        <f t="shared" si="1"/>
        <v/>
      </c>
      <c r="G43" s="1"/>
      <c r="H43" s="1"/>
      <c r="I43" s="1"/>
      <c r="J43" s="11"/>
      <c r="X43" s="5">
        <f t="shared" si="2"/>
        <v>0</v>
      </c>
      <c r="Y43" s="2">
        <f t="shared" si="3"/>
        <v>0</v>
      </c>
    </row>
    <row r="44" spans="4:25" x14ac:dyDescent="0.25">
      <c r="D44" s="12"/>
      <c r="E44" s="5"/>
      <c r="F44" s="19" t="str">
        <f t="shared" si="1"/>
        <v/>
      </c>
      <c r="G44" s="1"/>
      <c r="H44" s="1"/>
      <c r="I44" s="1"/>
      <c r="J44" s="11"/>
      <c r="X44" s="5">
        <f t="shared" si="2"/>
        <v>0</v>
      </c>
      <c r="Y44" s="2">
        <f t="shared" si="3"/>
        <v>0</v>
      </c>
    </row>
    <row r="45" spans="4:25" x14ac:dyDescent="0.25">
      <c r="D45" s="12"/>
      <c r="E45" s="5"/>
      <c r="F45" s="19" t="str">
        <f t="shared" si="1"/>
        <v/>
      </c>
      <c r="G45" s="1"/>
      <c r="H45" s="1"/>
      <c r="I45" s="1"/>
      <c r="J45" s="11"/>
      <c r="X45" s="5">
        <f t="shared" si="2"/>
        <v>0</v>
      </c>
      <c r="Y45" s="2">
        <f t="shared" si="3"/>
        <v>0</v>
      </c>
    </row>
    <row r="46" spans="4:25" x14ac:dyDescent="0.25">
      <c r="D46" s="12"/>
      <c r="E46" s="5"/>
      <c r="F46" s="19" t="str">
        <f t="shared" si="1"/>
        <v/>
      </c>
      <c r="G46" s="1"/>
      <c r="H46" s="1"/>
      <c r="I46" s="1"/>
      <c r="J46" s="11"/>
      <c r="X46" s="5">
        <f t="shared" si="2"/>
        <v>0</v>
      </c>
      <c r="Y46" s="2">
        <f t="shared" si="3"/>
        <v>0</v>
      </c>
    </row>
    <row r="47" spans="4:25" x14ac:dyDescent="0.25">
      <c r="D47" s="12"/>
      <c r="E47" s="5"/>
      <c r="F47" s="19" t="str">
        <f t="shared" si="1"/>
        <v/>
      </c>
      <c r="G47" s="1"/>
      <c r="H47" s="1"/>
      <c r="I47" s="1"/>
      <c r="J47" s="11"/>
      <c r="X47" s="5">
        <f t="shared" si="2"/>
        <v>0</v>
      </c>
      <c r="Y47" s="2">
        <f t="shared" si="3"/>
        <v>0</v>
      </c>
    </row>
    <row r="48" spans="4:25" x14ac:dyDescent="0.25">
      <c r="D48" s="12"/>
      <c r="E48" s="5"/>
      <c r="F48" s="19" t="str">
        <f t="shared" si="1"/>
        <v/>
      </c>
      <c r="G48" s="1"/>
      <c r="H48" s="1"/>
      <c r="I48" s="1"/>
      <c r="J48" s="11"/>
      <c r="X48" s="5">
        <f t="shared" si="2"/>
        <v>0</v>
      </c>
      <c r="Y48" s="2">
        <f t="shared" si="3"/>
        <v>0</v>
      </c>
    </row>
    <row r="49" spans="4:25" x14ac:dyDescent="0.25">
      <c r="D49" s="12"/>
      <c r="E49" s="5"/>
      <c r="F49" s="19" t="str">
        <f t="shared" si="1"/>
        <v/>
      </c>
      <c r="G49" s="1"/>
      <c r="H49" s="1"/>
      <c r="I49" s="1"/>
      <c r="J49" s="11"/>
      <c r="X49" s="5">
        <f t="shared" si="2"/>
        <v>0</v>
      </c>
      <c r="Y49" s="2">
        <f t="shared" si="3"/>
        <v>0</v>
      </c>
    </row>
    <row r="50" spans="4:25" x14ac:dyDescent="0.25">
      <c r="D50" s="12"/>
      <c r="E50" s="5"/>
      <c r="F50" s="19" t="str">
        <f t="shared" si="1"/>
        <v/>
      </c>
      <c r="G50" s="1"/>
      <c r="H50" s="1"/>
      <c r="I50" s="1"/>
      <c r="J50" s="11"/>
      <c r="X50" s="5">
        <f t="shared" si="2"/>
        <v>0</v>
      </c>
      <c r="Y50" s="2">
        <f t="shared" si="3"/>
        <v>0</v>
      </c>
    </row>
    <row r="51" spans="4:25" x14ac:dyDescent="0.25">
      <c r="D51" s="12"/>
      <c r="E51" s="5"/>
      <c r="F51" s="19" t="str">
        <f t="shared" si="1"/>
        <v/>
      </c>
      <c r="G51" s="1"/>
      <c r="H51" s="1"/>
      <c r="I51" s="1"/>
      <c r="J51" s="11"/>
      <c r="X51" s="5">
        <f t="shared" si="2"/>
        <v>0</v>
      </c>
      <c r="Y51" s="2">
        <f t="shared" si="3"/>
        <v>0</v>
      </c>
    </row>
    <row r="52" spans="4:25" x14ac:dyDescent="0.25">
      <c r="D52" s="12"/>
      <c r="E52" s="5"/>
      <c r="F52" s="19" t="str">
        <f t="shared" si="1"/>
        <v/>
      </c>
      <c r="G52" s="1"/>
      <c r="H52" s="1"/>
      <c r="I52" s="1"/>
      <c r="J52" s="9"/>
      <c r="X52" s="5">
        <f t="shared" si="2"/>
        <v>0</v>
      </c>
      <c r="Y52" s="2">
        <f t="shared" si="3"/>
        <v>0</v>
      </c>
    </row>
    <row r="53" spans="4:25" x14ac:dyDescent="0.25">
      <c r="D53" s="1" t="s">
        <v>25</v>
      </c>
      <c r="E53" s="23"/>
      <c r="F53" s="2"/>
      <c r="G53" s="2">
        <f>SUM(G3:G52)</f>
        <v>0</v>
      </c>
      <c r="H53" s="2">
        <f t="shared" ref="H53:I53" si="4">SUM(H3:H52)</f>
        <v>0.09</v>
      </c>
      <c r="I53" s="2">
        <f t="shared" si="4"/>
        <v>0</v>
      </c>
    </row>
  </sheetData>
  <mergeCells count="4">
    <mergeCell ref="D1:F1"/>
    <mergeCell ref="G1:I1"/>
    <mergeCell ref="K1:Q1"/>
    <mergeCell ref="X1:Z1"/>
  </mergeCells>
  <conditionalFormatting sqref="A1:B1">
    <cfRule type="expression" dxfId="187" priority="1">
      <formula>$Z$3="+"</formula>
    </cfRule>
    <cfRule type="expression" dxfId="186" priority="2">
      <formula>$B$16=$K$3</formula>
    </cfRule>
  </conditionalFormatting>
  <conditionalFormatting sqref="P3">
    <cfRule type="expression" dxfId="185" priority="3">
      <formula>$Z$3="+"</formula>
    </cfRule>
  </conditionalFormatting>
  <conditionalFormatting sqref="Z3">
    <cfRule type="expression" dxfId="184" priority="4">
      <formula>$Z$3="+"</formula>
    </cfRule>
  </conditionalFormatting>
  <dataValidations count="1">
    <dataValidation type="list" allowBlank="1" showInputMessage="1" showErrorMessage="1" sqref="B2" xr:uid="{EAAB00A5-E7D8-48D6-8D54-F9FC53A7B266}">
      <formula1>"Romania,Moldova,Cyprus,Philippines"</formula1>
    </dataValidation>
  </dataValidation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25ADC-DF2E-4A78-97A9-63AF2AE8495A}">
  <dimension ref="A1:Z53"/>
  <sheetViews>
    <sheetView workbookViewId="0">
      <selection activeCell="J4" sqref="J4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1" customWidth="1"/>
    <col min="25" max="25" width="10.7109375" style="11" customWidth="1"/>
    <col min="26" max="26" width="10.7109375" customWidth="1"/>
  </cols>
  <sheetData>
    <row r="1" spans="1:26" x14ac:dyDescent="0.25">
      <c r="A1" s="4" t="s">
        <v>66</v>
      </c>
      <c r="B1" s="5" t="s">
        <v>96</v>
      </c>
      <c r="D1" s="29" t="s">
        <v>2</v>
      </c>
      <c r="E1" s="30"/>
      <c r="F1" s="31"/>
      <c r="G1" s="29" t="s">
        <v>0</v>
      </c>
      <c r="H1" s="30"/>
      <c r="I1" s="31"/>
      <c r="J1" s="18"/>
      <c r="K1" s="29" t="s">
        <v>58</v>
      </c>
      <c r="L1" s="30"/>
      <c r="M1" s="30"/>
      <c r="N1" s="30"/>
      <c r="O1" s="30"/>
      <c r="P1" s="30"/>
      <c r="Q1" s="31"/>
      <c r="X1" s="29"/>
      <c r="Y1" s="30"/>
      <c r="Z1" s="31"/>
    </row>
    <row r="2" spans="1:26" x14ac:dyDescent="0.25">
      <c r="A2" s="4" t="s">
        <v>21</v>
      </c>
      <c r="B2" s="5" t="s">
        <v>23</v>
      </c>
      <c r="D2" s="10" t="s">
        <v>49</v>
      </c>
      <c r="E2" s="10" t="s">
        <v>50</v>
      </c>
      <c r="F2" s="17" t="s">
        <v>67</v>
      </c>
      <c r="G2" s="10" t="s">
        <v>15</v>
      </c>
      <c r="H2" s="10" t="s">
        <v>16</v>
      </c>
      <c r="I2" s="10" t="s">
        <v>60</v>
      </c>
      <c r="J2" s="9"/>
      <c r="K2" s="10" t="s">
        <v>0</v>
      </c>
      <c r="L2" s="10" t="s">
        <v>1</v>
      </c>
      <c r="M2" s="10" t="s">
        <v>56</v>
      </c>
      <c r="N2" s="10" t="s">
        <v>57</v>
      </c>
      <c r="O2" s="10" t="s">
        <v>2</v>
      </c>
      <c r="P2" s="10" t="s">
        <v>68</v>
      </c>
      <c r="Q2" s="10" t="s">
        <v>67</v>
      </c>
      <c r="X2" s="10" t="s">
        <v>2</v>
      </c>
      <c r="Y2" s="10" t="s">
        <v>59</v>
      </c>
      <c r="Z2" s="10" t="s">
        <v>68</v>
      </c>
    </row>
    <row r="3" spans="1:26" x14ac:dyDescent="0.25">
      <c r="A3" s="4" t="s">
        <v>69</v>
      </c>
      <c r="B3" s="5" t="s">
        <v>78</v>
      </c>
      <c r="D3" s="12">
        <v>46265</v>
      </c>
      <c r="E3" s="12">
        <v>46265</v>
      </c>
      <c r="F3" s="19">
        <f t="shared" ref="F3" si="0">IF(E3&gt;0,E3-D3,"")</f>
        <v>0</v>
      </c>
      <c r="G3" s="2">
        <v>0</v>
      </c>
      <c r="H3" s="2">
        <v>0</v>
      </c>
      <c r="I3" s="2">
        <v>0</v>
      </c>
      <c r="J3" s="11"/>
      <c r="K3" s="2">
        <f>G53</f>
        <v>0</v>
      </c>
      <c r="L3" s="2">
        <f>H53</f>
        <v>0.1</v>
      </c>
      <c r="M3" s="2">
        <f>I53</f>
        <v>0</v>
      </c>
      <c r="N3" s="6" t="str">
        <f>IF(B16=K3,XIRR(Y3:Y52,X3:X52),"")</f>
        <v/>
      </c>
      <c r="O3" s="5" t="str">
        <f>IF(B16=K3,MAX(E:E),"")</f>
        <v/>
      </c>
      <c r="P3" s="1" t="str">
        <f ca="1">IF(Z3="+",TODAY()-B11,"")</f>
        <v/>
      </c>
      <c r="Q3" s="1" t="str">
        <f>IF(B16=K3,MAX(E:E)-B11,"")</f>
        <v/>
      </c>
      <c r="T3" s="14"/>
      <c r="X3" s="5">
        <f>B9</f>
        <v>46260</v>
      </c>
      <c r="Y3" s="2">
        <f>B16*-1</f>
        <v>-20</v>
      </c>
      <c r="Z3" s="1" t="str">
        <f ca="1">IF(AND(TODAY()&gt;B11, K3&lt;&gt;B16), "+", "")</f>
        <v/>
      </c>
    </row>
    <row r="4" spans="1:26" x14ac:dyDescent="0.25">
      <c r="A4" s="4" t="s">
        <v>19</v>
      </c>
      <c r="B4" s="5" t="s">
        <v>20</v>
      </c>
      <c r="D4" s="12">
        <v>46295</v>
      </c>
      <c r="E4" s="12">
        <v>46295</v>
      </c>
      <c r="F4" s="19">
        <f t="shared" ref="F4:F52" si="1">IF(E4&gt;0,E4-D4,"")</f>
        <v>0</v>
      </c>
      <c r="G4" s="2">
        <v>0</v>
      </c>
      <c r="H4" s="2">
        <v>0.1</v>
      </c>
      <c r="I4" s="2">
        <v>0</v>
      </c>
      <c r="J4" s="9"/>
      <c r="X4" s="5">
        <f>E3</f>
        <v>46265</v>
      </c>
      <c r="Y4" s="2">
        <f>G3+H3-I3</f>
        <v>0</v>
      </c>
    </row>
    <row r="5" spans="1:26" x14ac:dyDescent="0.25">
      <c r="A5" s="4"/>
      <c r="B5" s="5"/>
      <c r="D5" s="12"/>
      <c r="E5" s="12"/>
      <c r="F5" s="19" t="str">
        <f t="shared" si="1"/>
        <v/>
      </c>
      <c r="G5" s="2"/>
      <c r="H5" s="1"/>
      <c r="I5" s="2"/>
      <c r="J5" s="9"/>
      <c r="X5" s="5">
        <f t="shared" ref="X5:X52" si="2">E4</f>
        <v>46295</v>
      </c>
      <c r="Y5" s="2">
        <f t="shared" ref="Y5:Y52" si="3">G4+H4-I4</f>
        <v>0.1</v>
      </c>
    </row>
    <row r="6" spans="1:26" x14ac:dyDescent="0.25">
      <c r="A6" s="4"/>
      <c r="B6" s="5"/>
      <c r="D6" s="12"/>
      <c r="E6" s="12"/>
      <c r="F6" s="19" t="str">
        <f t="shared" si="1"/>
        <v/>
      </c>
      <c r="G6" s="2"/>
      <c r="H6" s="1"/>
      <c r="I6" s="2"/>
      <c r="J6" s="9"/>
      <c r="X6" s="5">
        <f t="shared" si="2"/>
        <v>0</v>
      </c>
      <c r="Y6" s="2">
        <f t="shared" si="3"/>
        <v>0</v>
      </c>
    </row>
    <row r="7" spans="1:26" x14ac:dyDescent="0.25">
      <c r="A7" s="4"/>
      <c r="B7" s="5"/>
      <c r="D7" s="12"/>
      <c r="E7" s="12"/>
      <c r="F7" s="19" t="str">
        <f t="shared" si="1"/>
        <v/>
      </c>
      <c r="G7" s="2"/>
      <c r="H7" s="1"/>
      <c r="I7" s="2"/>
      <c r="J7" s="11"/>
      <c r="X7" s="5">
        <f t="shared" si="2"/>
        <v>0</v>
      </c>
      <c r="Y7" s="2">
        <f t="shared" si="3"/>
        <v>0</v>
      </c>
    </row>
    <row r="8" spans="1:26" x14ac:dyDescent="0.25">
      <c r="A8" s="4" t="s">
        <v>24</v>
      </c>
      <c r="B8" s="5" t="str">
        <f>DATEDIF(B9,B11,"y") &amp; " m. " &amp; DATEDIF(B9,B11,"ym") &amp; " mėn. " &amp; DATEDIF(B9,B11,"md") &amp; " d."</f>
        <v>0 m. 11 mėn. 23 d.</v>
      </c>
      <c r="D8" s="12"/>
      <c r="E8" s="12"/>
      <c r="F8" s="19" t="str">
        <f t="shared" si="1"/>
        <v/>
      </c>
      <c r="G8" s="1"/>
      <c r="H8" s="1"/>
      <c r="I8" s="2"/>
      <c r="J8" s="9"/>
      <c r="X8" s="5">
        <f t="shared" si="2"/>
        <v>0</v>
      </c>
      <c r="Y8" s="2">
        <f t="shared" si="3"/>
        <v>0</v>
      </c>
    </row>
    <row r="9" spans="1:26" x14ac:dyDescent="0.25">
      <c r="A9" s="4" t="s">
        <v>11</v>
      </c>
      <c r="B9" s="5">
        <v>46260</v>
      </c>
      <c r="D9" s="12"/>
      <c r="E9" s="12"/>
      <c r="F9" s="19"/>
      <c r="G9" s="2"/>
      <c r="H9" s="2"/>
      <c r="I9" s="2"/>
      <c r="J9" s="11"/>
      <c r="X9" s="5">
        <f t="shared" si="2"/>
        <v>0</v>
      </c>
      <c r="Y9" s="2">
        <f t="shared" si="3"/>
        <v>0</v>
      </c>
    </row>
    <row r="10" spans="1:26" x14ac:dyDescent="0.25">
      <c r="A10" s="4" t="s">
        <v>70</v>
      </c>
      <c r="B10" s="5">
        <v>46252</v>
      </c>
      <c r="D10" s="12"/>
      <c r="E10" s="12"/>
      <c r="F10" s="19" t="str">
        <f t="shared" si="1"/>
        <v/>
      </c>
      <c r="G10" s="1"/>
      <c r="H10" s="1"/>
      <c r="I10" s="2"/>
      <c r="J10" s="11"/>
      <c r="X10" s="5">
        <f t="shared" si="2"/>
        <v>0</v>
      </c>
      <c r="Y10" s="2">
        <f t="shared" si="3"/>
        <v>0</v>
      </c>
    </row>
    <row r="11" spans="1:26" x14ac:dyDescent="0.25">
      <c r="A11" s="4" t="s">
        <v>10</v>
      </c>
      <c r="B11" s="5">
        <v>46617</v>
      </c>
      <c r="D11" s="12"/>
      <c r="E11" s="12"/>
      <c r="F11" s="19" t="str">
        <f t="shared" si="1"/>
        <v/>
      </c>
      <c r="G11" s="1"/>
      <c r="H11" s="2"/>
      <c r="I11" s="2"/>
      <c r="J11" s="11"/>
      <c r="X11" s="5">
        <f t="shared" si="2"/>
        <v>0</v>
      </c>
      <c r="Y11" s="2">
        <f t="shared" si="3"/>
        <v>0</v>
      </c>
    </row>
    <row r="12" spans="1:26" x14ac:dyDescent="0.25">
      <c r="A12" s="4" t="s">
        <v>71</v>
      </c>
      <c r="B12" s="19">
        <f ca="1">IF(B16&lt;&gt;K3,(TODAY()-B11)*-1,"")</f>
        <v>322</v>
      </c>
      <c r="D12" s="12"/>
      <c r="E12" s="12"/>
      <c r="F12" s="19" t="str">
        <f t="shared" si="1"/>
        <v/>
      </c>
      <c r="G12" s="2"/>
      <c r="H12" s="1"/>
      <c r="I12" s="1"/>
      <c r="J12" s="11"/>
      <c r="X12" s="5">
        <f t="shared" si="2"/>
        <v>0</v>
      </c>
      <c r="Y12" s="2">
        <f t="shared" si="3"/>
        <v>0</v>
      </c>
    </row>
    <row r="13" spans="1:26" x14ac:dyDescent="0.25">
      <c r="A13" s="4"/>
      <c r="B13" s="2"/>
      <c r="D13" s="12"/>
      <c r="E13" s="12"/>
      <c r="F13" s="19" t="str">
        <f t="shared" si="1"/>
        <v/>
      </c>
      <c r="G13" s="1"/>
      <c r="H13" s="2"/>
      <c r="I13" s="2"/>
      <c r="J13" s="11"/>
      <c r="N13" s="14"/>
      <c r="X13" s="5">
        <f t="shared" si="2"/>
        <v>0</v>
      </c>
      <c r="Y13" s="2">
        <f t="shared" si="3"/>
        <v>0</v>
      </c>
    </row>
    <row r="14" spans="1:26" x14ac:dyDescent="0.25">
      <c r="A14" s="13"/>
      <c r="B14" s="20"/>
      <c r="D14" s="12"/>
      <c r="E14" s="5"/>
      <c r="F14" s="19" t="str">
        <f t="shared" si="1"/>
        <v/>
      </c>
      <c r="G14" s="1"/>
      <c r="H14" s="1"/>
      <c r="I14" s="1"/>
      <c r="J14" s="11"/>
      <c r="X14" s="5">
        <f t="shared" si="2"/>
        <v>0</v>
      </c>
      <c r="Y14" s="2">
        <f t="shared" si="3"/>
        <v>0</v>
      </c>
    </row>
    <row r="15" spans="1:26" x14ac:dyDescent="0.25">
      <c r="A15" s="4" t="s">
        <v>1</v>
      </c>
      <c r="B15" s="6">
        <v>0.13</v>
      </c>
      <c r="D15" s="12"/>
      <c r="E15" s="5"/>
      <c r="F15" s="19" t="str">
        <f t="shared" si="1"/>
        <v/>
      </c>
      <c r="G15" s="1"/>
      <c r="H15" s="1"/>
      <c r="I15" s="1"/>
      <c r="J15" s="11"/>
      <c r="K15" s="18"/>
      <c r="L15" s="18"/>
      <c r="M15" s="18"/>
      <c r="N15" s="18"/>
      <c r="O15" s="18"/>
      <c r="P15" s="18"/>
      <c r="Q15" s="18"/>
      <c r="X15" s="5">
        <f t="shared" si="2"/>
        <v>0</v>
      </c>
      <c r="Y15" s="2">
        <f t="shared" si="3"/>
        <v>0</v>
      </c>
    </row>
    <row r="16" spans="1:26" x14ac:dyDescent="0.25">
      <c r="A16" s="4" t="s">
        <v>72</v>
      </c>
      <c r="B16" s="2">
        <v>20</v>
      </c>
      <c r="D16" s="12"/>
      <c r="E16" s="5"/>
      <c r="F16" s="19" t="str">
        <f t="shared" si="1"/>
        <v/>
      </c>
      <c r="G16" s="1"/>
      <c r="H16" s="1"/>
      <c r="I16" s="1"/>
      <c r="J16" s="11"/>
      <c r="K16" s="9"/>
      <c r="L16" s="9"/>
      <c r="M16" s="9"/>
      <c r="N16" s="21"/>
      <c r="O16" s="22"/>
      <c r="P16" s="11"/>
      <c r="Q16" s="11"/>
      <c r="X16" s="5">
        <f t="shared" si="2"/>
        <v>0</v>
      </c>
      <c r="Y16" s="2">
        <f t="shared" si="3"/>
        <v>0</v>
      </c>
    </row>
    <row r="17" spans="2:25" x14ac:dyDescent="0.25">
      <c r="D17" s="12"/>
      <c r="E17" s="5"/>
      <c r="F17" s="19" t="str">
        <f t="shared" si="1"/>
        <v/>
      </c>
      <c r="G17" s="1"/>
      <c r="H17" s="1"/>
      <c r="I17" s="1"/>
      <c r="J17" s="11"/>
      <c r="X17" s="5">
        <f t="shared" si="2"/>
        <v>0</v>
      </c>
      <c r="Y17" s="2">
        <f t="shared" si="3"/>
        <v>0</v>
      </c>
    </row>
    <row r="18" spans="2:25" x14ac:dyDescent="0.25">
      <c r="D18" s="12"/>
      <c r="E18" s="5"/>
      <c r="F18" s="19" t="str">
        <f t="shared" si="1"/>
        <v/>
      </c>
      <c r="G18" s="1"/>
      <c r="H18" s="1"/>
      <c r="I18" s="1"/>
      <c r="J18" s="11"/>
      <c r="X18" s="5">
        <f t="shared" si="2"/>
        <v>0</v>
      </c>
      <c r="Y18" s="2">
        <f t="shared" si="3"/>
        <v>0</v>
      </c>
    </row>
    <row r="19" spans="2:25" x14ac:dyDescent="0.25">
      <c r="D19" s="12"/>
      <c r="E19" s="5"/>
      <c r="F19" s="19" t="str">
        <f t="shared" si="1"/>
        <v/>
      </c>
      <c r="G19" s="1"/>
      <c r="H19" s="1"/>
      <c r="I19" s="1"/>
      <c r="J19" s="11"/>
      <c r="X19" s="5">
        <f t="shared" si="2"/>
        <v>0</v>
      </c>
      <c r="Y19" s="2">
        <f t="shared" si="3"/>
        <v>0</v>
      </c>
    </row>
    <row r="20" spans="2:25" x14ac:dyDescent="0.25">
      <c r="D20" s="12"/>
      <c r="E20" s="5"/>
      <c r="F20" s="19" t="str">
        <f t="shared" si="1"/>
        <v/>
      </c>
      <c r="G20" s="1"/>
      <c r="H20" s="1"/>
      <c r="I20" s="1"/>
      <c r="J20" s="11"/>
      <c r="X20" s="5">
        <f t="shared" si="2"/>
        <v>0</v>
      </c>
      <c r="Y20" s="2">
        <f t="shared" si="3"/>
        <v>0</v>
      </c>
    </row>
    <row r="21" spans="2:25" x14ac:dyDescent="0.25">
      <c r="D21" s="12"/>
      <c r="E21" s="5"/>
      <c r="F21" s="19" t="str">
        <f t="shared" si="1"/>
        <v/>
      </c>
      <c r="G21" s="1"/>
      <c r="H21" s="1"/>
      <c r="I21" s="1"/>
      <c r="J21" s="11"/>
      <c r="X21" s="5">
        <f t="shared" si="2"/>
        <v>0</v>
      </c>
      <c r="Y21" s="2">
        <f t="shared" si="3"/>
        <v>0</v>
      </c>
    </row>
    <row r="22" spans="2:25" x14ac:dyDescent="0.25">
      <c r="D22" s="12"/>
      <c r="E22" s="5"/>
      <c r="F22" s="19" t="str">
        <f t="shared" si="1"/>
        <v/>
      </c>
      <c r="G22" s="1"/>
      <c r="H22" s="1"/>
      <c r="I22" s="1"/>
      <c r="J22" s="11"/>
      <c r="X22" s="5">
        <f t="shared" si="2"/>
        <v>0</v>
      </c>
      <c r="Y22" s="2">
        <f t="shared" si="3"/>
        <v>0</v>
      </c>
    </row>
    <row r="23" spans="2:25" x14ac:dyDescent="0.25">
      <c r="B23" s="22"/>
      <c r="D23" s="12"/>
      <c r="E23" s="5"/>
      <c r="F23" s="19" t="str">
        <f t="shared" si="1"/>
        <v/>
      </c>
      <c r="G23" s="1"/>
      <c r="H23" s="1"/>
      <c r="I23" s="1"/>
      <c r="J23" s="11"/>
      <c r="X23" s="5">
        <f t="shared" si="2"/>
        <v>0</v>
      </c>
      <c r="Y23" s="2">
        <f t="shared" si="3"/>
        <v>0</v>
      </c>
    </row>
    <row r="24" spans="2:25" x14ac:dyDescent="0.25">
      <c r="D24" s="12"/>
      <c r="E24" s="5"/>
      <c r="F24" s="19" t="str">
        <f t="shared" si="1"/>
        <v/>
      </c>
      <c r="G24" s="1"/>
      <c r="H24" s="1"/>
      <c r="I24" s="1"/>
      <c r="J24" s="11"/>
      <c r="X24" s="5">
        <f t="shared" si="2"/>
        <v>0</v>
      </c>
      <c r="Y24" s="2">
        <f t="shared" si="3"/>
        <v>0</v>
      </c>
    </row>
    <row r="25" spans="2:25" x14ac:dyDescent="0.25">
      <c r="D25" s="12"/>
      <c r="E25" s="5"/>
      <c r="F25" s="19" t="str">
        <f t="shared" si="1"/>
        <v/>
      </c>
      <c r="G25" s="1"/>
      <c r="H25" s="1"/>
      <c r="I25" s="1"/>
      <c r="J25" s="11"/>
      <c r="X25" s="5">
        <f t="shared" si="2"/>
        <v>0</v>
      </c>
      <c r="Y25" s="2">
        <f t="shared" si="3"/>
        <v>0</v>
      </c>
    </row>
    <row r="26" spans="2:25" x14ac:dyDescent="0.25">
      <c r="D26" s="12"/>
      <c r="E26" s="5"/>
      <c r="F26" s="19" t="str">
        <f t="shared" si="1"/>
        <v/>
      </c>
      <c r="G26" s="1"/>
      <c r="H26" s="1"/>
      <c r="I26" s="1"/>
      <c r="J26" s="11"/>
      <c r="X26" s="5">
        <f t="shared" si="2"/>
        <v>0</v>
      </c>
      <c r="Y26" s="2">
        <f t="shared" si="3"/>
        <v>0</v>
      </c>
    </row>
    <row r="27" spans="2:25" x14ac:dyDescent="0.25">
      <c r="D27" s="12"/>
      <c r="E27" s="5"/>
      <c r="F27" s="19" t="str">
        <f t="shared" si="1"/>
        <v/>
      </c>
      <c r="G27" s="1"/>
      <c r="H27" s="1"/>
      <c r="I27" s="1"/>
      <c r="J27" s="11"/>
      <c r="X27" s="5">
        <f t="shared" si="2"/>
        <v>0</v>
      </c>
      <c r="Y27" s="2">
        <f t="shared" si="3"/>
        <v>0</v>
      </c>
    </row>
    <row r="28" spans="2:25" x14ac:dyDescent="0.25">
      <c r="D28" s="12"/>
      <c r="E28" s="5"/>
      <c r="F28" s="19" t="str">
        <f t="shared" si="1"/>
        <v/>
      </c>
      <c r="G28" s="1"/>
      <c r="H28" s="1"/>
      <c r="I28" s="1"/>
      <c r="J28" s="11"/>
      <c r="X28" s="5">
        <f t="shared" si="2"/>
        <v>0</v>
      </c>
      <c r="Y28" s="2">
        <f t="shared" si="3"/>
        <v>0</v>
      </c>
    </row>
    <row r="29" spans="2:25" x14ac:dyDescent="0.25">
      <c r="D29" s="12"/>
      <c r="E29" s="5"/>
      <c r="F29" s="19" t="str">
        <f t="shared" si="1"/>
        <v/>
      </c>
      <c r="G29" s="1"/>
      <c r="H29" s="1"/>
      <c r="I29" s="1"/>
      <c r="J29" s="11"/>
      <c r="X29" s="5">
        <f t="shared" si="2"/>
        <v>0</v>
      </c>
      <c r="Y29" s="2">
        <f t="shared" si="3"/>
        <v>0</v>
      </c>
    </row>
    <row r="30" spans="2:25" x14ac:dyDescent="0.25">
      <c r="D30" s="12"/>
      <c r="E30" s="5"/>
      <c r="F30" s="19" t="str">
        <f t="shared" si="1"/>
        <v/>
      </c>
      <c r="G30" s="1"/>
      <c r="H30" s="1"/>
      <c r="I30" s="1"/>
      <c r="J30" s="11"/>
      <c r="X30" s="5">
        <f t="shared" si="2"/>
        <v>0</v>
      </c>
      <c r="Y30" s="2">
        <f t="shared" si="3"/>
        <v>0</v>
      </c>
    </row>
    <row r="31" spans="2:25" x14ac:dyDescent="0.25">
      <c r="D31" s="12"/>
      <c r="E31" s="5"/>
      <c r="F31" s="19" t="str">
        <f t="shared" si="1"/>
        <v/>
      </c>
      <c r="G31" s="1"/>
      <c r="H31" s="1"/>
      <c r="I31" s="1"/>
      <c r="J31" s="11"/>
      <c r="X31" s="5">
        <f t="shared" si="2"/>
        <v>0</v>
      </c>
      <c r="Y31" s="2">
        <f t="shared" si="3"/>
        <v>0</v>
      </c>
    </row>
    <row r="32" spans="2:25" x14ac:dyDescent="0.25">
      <c r="D32" s="12"/>
      <c r="E32" s="5"/>
      <c r="F32" s="19" t="str">
        <f t="shared" si="1"/>
        <v/>
      </c>
      <c r="G32" s="1"/>
      <c r="H32" s="1"/>
      <c r="I32" s="1"/>
      <c r="J32" s="11"/>
      <c r="X32" s="5">
        <f t="shared" si="2"/>
        <v>0</v>
      </c>
      <c r="Y32" s="2">
        <f t="shared" si="3"/>
        <v>0</v>
      </c>
    </row>
    <row r="33" spans="4:25" x14ac:dyDescent="0.25">
      <c r="D33" s="12"/>
      <c r="E33" s="5"/>
      <c r="F33" s="19" t="str">
        <f t="shared" si="1"/>
        <v/>
      </c>
      <c r="G33" s="1"/>
      <c r="H33" s="1"/>
      <c r="I33" s="1"/>
      <c r="J33" s="11"/>
      <c r="X33" s="5">
        <f t="shared" si="2"/>
        <v>0</v>
      </c>
      <c r="Y33" s="2">
        <f t="shared" si="3"/>
        <v>0</v>
      </c>
    </row>
    <row r="34" spans="4:25" x14ac:dyDescent="0.25">
      <c r="D34" s="12"/>
      <c r="E34" s="5"/>
      <c r="F34" s="19" t="str">
        <f t="shared" si="1"/>
        <v/>
      </c>
      <c r="G34" s="1"/>
      <c r="H34" s="1"/>
      <c r="I34" s="1"/>
      <c r="J34" s="11"/>
      <c r="X34" s="5">
        <f t="shared" si="2"/>
        <v>0</v>
      </c>
      <c r="Y34" s="2">
        <f t="shared" si="3"/>
        <v>0</v>
      </c>
    </row>
    <row r="35" spans="4:25" x14ac:dyDescent="0.25">
      <c r="D35" s="12"/>
      <c r="E35" s="5"/>
      <c r="F35" s="19" t="str">
        <f t="shared" si="1"/>
        <v/>
      </c>
      <c r="G35" s="1"/>
      <c r="H35" s="1"/>
      <c r="I35" s="1"/>
      <c r="J35" s="11"/>
      <c r="X35" s="5">
        <f t="shared" si="2"/>
        <v>0</v>
      </c>
      <c r="Y35" s="2">
        <f t="shared" si="3"/>
        <v>0</v>
      </c>
    </row>
    <row r="36" spans="4:25" x14ac:dyDescent="0.25">
      <c r="D36" s="12"/>
      <c r="E36" s="5"/>
      <c r="F36" s="19" t="str">
        <f t="shared" si="1"/>
        <v/>
      </c>
      <c r="G36" s="1"/>
      <c r="H36" s="1"/>
      <c r="I36" s="1"/>
      <c r="J36" s="11"/>
      <c r="X36" s="5">
        <f t="shared" si="2"/>
        <v>0</v>
      </c>
      <c r="Y36" s="2">
        <f t="shared" si="3"/>
        <v>0</v>
      </c>
    </row>
    <row r="37" spans="4:25" x14ac:dyDescent="0.25">
      <c r="D37" s="12"/>
      <c r="E37" s="5"/>
      <c r="F37" s="19" t="str">
        <f t="shared" si="1"/>
        <v/>
      </c>
      <c r="G37" s="1"/>
      <c r="H37" s="1"/>
      <c r="I37" s="1"/>
      <c r="J37" s="11"/>
      <c r="X37" s="5">
        <f t="shared" si="2"/>
        <v>0</v>
      </c>
      <c r="Y37" s="2">
        <f t="shared" si="3"/>
        <v>0</v>
      </c>
    </row>
    <row r="38" spans="4:25" x14ac:dyDescent="0.25">
      <c r="D38" s="12"/>
      <c r="E38" s="5"/>
      <c r="F38" s="19" t="str">
        <f t="shared" si="1"/>
        <v/>
      </c>
      <c r="G38" s="1"/>
      <c r="H38" s="1"/>
      <c r="I38" s="1"/>
      <c r="J38" s="11"/>
      <c r="X38" s="5">
        <f t="shared" si="2"/>
        <v>0</v>
      </c>
      <c r="Y38" s="2">
        <f t="shared" si="3"/>
        <v>0</v>
      </c>
    </row>
    <row r="39" spans="4:25" x14ac:dyDescent="0.25">
      <c r="D39" s="12"/>
      <c r="E39" s="5"/>
      <c r="F39" s="19" t="str">
        <f t="shared" si="1"/>
        <v/>
      </c>
      <c r="G39" s="1"/>
      <c r="H39" s="1"/>
      <c r="I39" s="1"/>
      <c r="J39" s="11"/>
      <c r="X39" s="5">
        <f t="shared" si="2"/>
        <v>0</v>
      </c>
      <c r="Y39" s="2">
        <f t="shared" si="3"/>
        <v>0</v>
      </c>
    </row>
    <row r="40" spans="4:25" x14ac:dyDescent="0.25">
      <c r="D40" s="12"/>
      <c r="E40" s="5"/>
      <c r="F40" s="19" t="str">
        <f t="shared" si="1"/>
        <v/>
      </c>
      <c r="G40" s="1"/>
      <c r="H40" s="1"/>
      <c r="I40" s="1"/>
      <c r="J40" s="11"/>
      <c r="X40" s="5">
        <f t="shared" si="2"/>
        <v>0</v>
      </c>
      <c r="Y40" s="2">
        <f t="shared" si="3"/>
        <v>0</v>
      </c>
    </row>
    <row r="41" spans="4:25" x14ac:dyDescent="0.25">
      <c r="D41" s="12"/>
      <c r="E41" s="5"/>
      <c r="F41" s="19" t="str">
        <f t="shared" si="1"/>
        <v/>
      </c>
      <c r="G41" s="1"/>
      <c r="H41" s="1"/>
      <c r="I41" s="1"/>
      <c r="J41" s="11"/>
      <c r="X41" s="5">
        <f t="shared" si="2"/>
        <v>0</v>
      </c>
      <c r="Y41" s="2">
        <f t="shared" si="3"/>
        <v>0</v>
      </c>
    </row>
    <row r="42" spans="4:25" x14ac:dyDescent="0.25">
      <c r="D42" s="12"/>
      <c r="E42" s="5"/>
      <c r="F42" s="19" t="str">
        <f t="shared" si="1"/>
        <v/>
      </c>
      <c r="G42" s="1"/>
      <c r="H42" s="1"/>
      <c r="I42" s="1"/>
      <c r="J42" s="11"/>
      <c r="X42" s="5">
        <f t="shared" si="2"/>
        <v>0</v>
      </c>
      <c r="Y42" s="2">
        <f t="shared" si="3"/>
        <v>0</v>
      </c>
    </row>
    <row r="43" spans="4:25" x14ac:dyDescent="0.25">
      <c r="D43" s="12"/>
      <c r="E43" s="5"/>
      <c r="F43" s="19" t="str">
        <f t="shared" si="1"/>
        <v/>
      </c>
      <c r="G43" s="1"/>
      <c r="H43" s="1"/>
      <c r="I43" s="1"/>
      <c r="J43" s="11"/>
      <c r="X43" s="5">
        <f t="shared" si="2"/>
        <v>0</v>
      </c>
      <c r="Y43" s="2">
        <f t="shared" si="3"/>
        <v>0</v>
      </c>
    </row>
    <row r="44" spans="4:25" x14ac:dyDescent="0.25">
      <c r="D44" s="12"/>
      <c r="E44" s="5"/>
      <c r="F44" s="19" t="str">
        <f t="shared" si="1"/>
        <v/>
      </c>
      <c r="G44" s="1"/>
      <c r="H44" s="1"/>
      <c r="I44" s="1"/>
      <c r="J44" s="11"/>
      <c r="X44" s="5">
        <f t="shared" si="2"/>
        <v>0</v>
      </c>
      <c r="Y44" s="2">
        <f t="shared" si="3"/>
        <v>0</v>
      </c>
    </row>
    <row r="45" spans="4:25" x14ac:dyDescent="0.25">
      <c r="D45" s="12"/>
      <c r="E45" s="5"/>
      <c r="F45" s="19" t="str">
        <f t="shared" si="1"/>
        <v/>
      </c>
      <c r="G45" s="1"/>
      <c r="H45" s="1"/>
      <c r="I45" s="1"/>
      <c r="J45" s="11"/>
      <c r="X45" s="5">
        <f t="shared" si="2"/>
        <v>0</v>
      </c>
      <c r="Y45" s="2">
        <f t="shared" si="3"/>
        <v>0</v>
      </c>
    </row>
    <row r="46" spans="4:25" x14ac:dyDescent="0.25">
      <c r="D46" s="12"/>
      <c r="E46" s="5"/>
      <c r="F46" s="19" t="str">
        <f t="shared" si="1"/>
        <v/>
      </c>
      <c r="G46" s="1"/>
      <c r="H46" s="1"/>
      <c r="I46" s="1"/>
      <c r="J46" s="11"/>
      <c r="X46" s="5">
        <f t="shared" si="2"/>
        <v>0</v>
      </c>
      <c r="Y46" s="2">
        <f t="shared" si="3"/>
        <v>0</v>
      </c>
    </row>
    <row r="47" spans="4:25" x14ac:dyDescent="0.25">
      <c r="D47" s="12"/>
      <c r="E47" s="5"/>
      <c r="F47" s="19" t="str">
        <f t="shared" si="1"/>
        <v/>
      </c>
      <c r="G47" s="1"/>
      <c r="H47" s="1"/>
      <c r="I47" s="1"/>
      <c r="J47" s="11"/>
      <c r="X47" s="5">
        <f t="shared" si="2"/>
        <v>0</v>
      </c>
      <c r="Y47" s="2">
        <f t="shared" si="3"/>
        <v>0</v>
      </c>
    </row>
    <row r="48" spans="4:25" x14ac:dyDescent="0.25">
      <c r="D48" s="12"/>
      <c r="E48" s="5"/>
      <c r="F48" s="19" t="str">
        <f t="shared" si="1"/>
        <v/>
      </c>
      <c r="G48" s="1"/>
      <c r="H48" s="1"/>
      <c r="I48" s="1"/>
      <c r="J48" s="11"/>
      <c r="X48" s="5">
        <f t="shared" si="2"/>
        <v>0</v>
      </c>
      <c r="Y48" s="2">
        <f t="shared" si="3"/>
        <v>0</v>
      </c>
    </row>
    <row r="49" spans="4:25" x14ac:dyDescent="0.25">
      <c r="D49" s="12"/>
      <c r="E49" s="5"/>
      <c r="F49" s="19" t="str">
        <f t="shared" si="1"/>
        <v/>
      </c>
      <c r="G49" s="1"/>
      <c r="H49" s="1"/>
      <c r="I49" s="1"/>
      <c r="J49" s="11"/>
      <c r="X49" s="5">
        <f t="shared" si="2"/>
        <v>0</v>
      </c>
      <c r="Y49" s="2">
        <f t="shared" si="3"/>
        <v>0</v>
      </c>
    </row>
    <row r="50" spans="4:25" x14ac:dyDescent="0.25">
      <c r="D50" s="12"/>
      <c r="E50" s="5"/>
      <c r="F50" s="19" t="str">
        <f t="shared" si="1"/>
        <v/>
      </c>
      <c r="G50" s="1"/>
      <c r="H50" s="1"/>
      <c r="I50" s="1"/>
      <c r="J50" s="11"/>
      <c r="X50" s="5">
        <f t="shared" si="2"/>
        <v>0</v>
      </c>
      <c r="Y50" s="2">
        <f t="shared" si="3"/>
        <v>0</v>
      </c>
    </row>
    <row r="51" spans="4:25" x14ac:dyDescent="0.25">
      <c r="D51" s="12"/>
      <c r="E51" s="5"/>
      <c r="F51" s="19" t="str">
        <f t="shared" si="1"/>
        <v/>
      </c>
      <c r="G51" s="1"/>
      <c r="H51" s="1"/>
      <c r="I51" s="1"/>
      <c r="J51" s="11"/>
      <c r="X51" s="5">
        <f t="shared" si="2"/>
        <v>0</v>
      </c>
      <c r="Y51" s="2">
        <f t="shared" si="3"/>
        <v>0</v>
      </c>
    </row>
    <row r="52" spans="4:25" x14ac:dyDescent="0.25">
      <c r="D52" s="12"/>
      <c r="E52" s="5"/>
      <c r="F52" s="19" t="str">
        <f t="shared" si="1"/>
        <v/>
      </c>
      <c r="G52" s="1"/>
      <c r="H52" s="1"/>
      <c r="I52" s="1"/>
      <c r="J52" s="9"/>
      <c r="X52" s="5">
        <f t="shared" si="2"/>
        <v>0</v>
      </c>
      <c r="Y52" s="2">
        <f t="shared" si="3"/>
        <v>0</v>
      </c>
    </row>
    <row r="53" spans="4:25" x14ac:dyDescent="0.25">
      <c r="D53" s="1" t="s">
        <v>25</v>
      </c>
      <c r="E53" s="23"/>
      <c r="F53" s="2"/>
      <c r="G53" s="2">
        <f>SUM(G3:G52)</f>
        <v>0</v>
      </c>
      <c r="H53" s="2">
        <f t="shared" ref="H53:I53" si="4">SUM(H3:H52)</f>
        <v>0.1</v>
      </c>
      <c r="I53" s="2">
        <f t="shared" si="4"/>
        <v>0</v>
      </c>
    </row>
  </sheetData>
  <mergeCells count="4">
    <mergeCell ref="D1:F1"/>
    <mergeCell ref="G1:I1"/>
    <mergeCell ref="K1:Q1"/>
    <mergeCell ref="X1:Z1"/>
  </mergeCells>
  <conditionalFormatting sqref="A1:B1">
    <cfRule type="expression" dxfId="183" priority="1">
      <formula>$Z$3="+"</formula>
    </cfRule>
    <cfRule type="expression" dxfId="182" priority="2">
      <formula>$B$16=$K$3</formula>
    </cfRule>
  </conditionalFormatting>
  <conditionalFormatting sqref="P3">
    <cfRule type="expression" dxfId="181" priority="3">
      <formula>$Z$3="+"</formula>
    </cfRule>
  </conditionalFormatting>
  <conditionalFormatting sqref="Z3">
    <cfRule type="expression" dxfId="180" priority="4">
      <formula>$Z$3="+"</formula>
    </cfRule>
  </conditionalFormatting>
  <dataValidations count="1">
    <dataValidation type="list" allowBlank="1" showInputMessage="1" showErrorMessage="1" sqref="B2" xr:uid="{DAA2A461-DD5C-4B45-B447-9176EA1E2F1A}">
      <formula1>"Romania,Moldova,Cyprus,Philippines"</formula1>
    </dataValidation>
  </dataValidations>
  <pageMargins left="0.7" right="0.7" top="0.75" bottom="0.75" header="0.3" footer="0.3"/>
  <pageSetup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488E7-C216-421B-B469-4418590B4F99}">
  <dimension ref="A1:Z53"/>
  <sheetViews>
    <sheetView workbookViewId="0">
      <selection activeCell="I5" sqref="I5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1" customWidth="1"/>
    <col min="25" max="25" width="10.7109375" style="11" customWidth="1"/>
    <col min="26" max="26" width="10.7109375" customWidth="1"/>
  </cols>
  <sheetData>
    <row r="1" spans="1:26" x14ac:dyDescent="0.25">
      <c r="A1" s="4" t="s">
        <v>66</v>
      </c>
      <c r="B1" s="5" t="s">
        <v>95</v>
      </c>
      <c r="D1" s="29" t="s">
        <v>2</v>
      </c>
      <c r="E1" s="30"/>
      <c r="F1" s="31"/>
      <c r="G1" s="29" t="s">
        <v>0</v>
      </c>
      <c r="H1" s="30"/>
      <c r="I1" s="31"/>
      <c r="J1" s="18"/>
      <c r="K1" s="29" t="s">
        <v>58</v>
      </c>
      <c r="L1" s="30"/>
      <c r="M1" s="30"/>
      <c r="N1" s="30"/>
      <c r="O1" s="30"/>
      <c r="P1" s="30"/>
      <c r="Q1" s="31"/>
      <c r="X1" s="29"/>
      <c r="Y1" s="30"/>
      <c r="Z1" s="31"/>
    </row>
    <row r="2" spans="1:26" x14ac:dyDescent="0.25">
      <c r="A2" s="4" t="s">
        <v>21</v>
      </c>
      <c r="B2" s="5" t="s">
        <v>32</v>
      </c>
      <c r="D2" s="10" t="s">
        <v>49</v>
      </c>
      <c r="E2" s="10" t="s">
        <v>50</v>
      </c>
      <c r="F2" s="17" t="s">
        <v>67</v>
      </c>
      <c r="G2" s="10" t="s">
        <v>15</v>
      </c>
      <c r="H2" s="10" t="s">
        <v>16</v>
      </c>
      <c r="I2" s="10" t="s">
        <v>60</v>
      </c>
      <c r="J2" s="9"/>
      <c r="K2" s="10" t="s">
        <v>0</v>
      </c>
      <c r="L2" s="10" t="s">
        <v>1</v>
      </c>
      <c r="M2" s="10" t="s">
        <v>56</v>
      </c>
      <c r="N2" s="10" t="s">
        <v>57</v>
      </c>
      <c r="O2" s="10" t="s">
        <v>2</v>
      </c>
      <c r="P2" s="10" t="s">
        <v>68</v>
      </c>
      <c r="Q2" s="10" t="s">
        <v>67</v>
      </c>
      <c r="X2" s="10" t="s">
        <v>2</v>
      </c>
      <c r="Y2" s="10" t="s">
        <v>59</v>
      </c>
      <c r="Z2" s="10" t="s">
        <v>68</v>
      </c>
    </row>
    <row r="3" spans="1:26" x14ac:dyDescent="0.25">
      <c r="A3" s="4" t="s">
        <v>69</v>
      </c>
      <c r="B3" s="5" t="s">
        <v>78</v>
      </c>
      <c r="D3" s="12">
        <v>46265</v>
      </c>
      <c r="E3" s="12">
        <v>46265</v>
      </c>
      <c r="F3" s="19">
        <f t="shared" ref="F3" si="0">IF(E3&gt;0,E3-D3,"")</f>
        <v>0</v>
      </c>
      <c r="G3" s="2">
        <v>0</v>
      </c>
      <c r="H3" s="2">
        <v>0</v>
      </c>
      <c r="I3" s="2">
        <v>0</v>
      </c>
      <c r="J3" s="11"/>
      <c r="K3" s="2">
        <f>G53</f>
        <v>0</v>
      </c>
      <c r="L3" s="2">
        <f>H53</f>
        <v>0.08</v>
      </c>
      <c r="M3" s="2">
        <f>I53</f>
        <v>0</v>
      </c>
      <c r="N3" s="6" t="str">
        <f>IF(B16=K3,XIRR(Y3:Y52,X3:X52),"")</f>
        <v/>
      </c>
      <c r="O3" s="5" t="str">
        <f>IF(B16=K3,MAX(E:E),"")</f>
        <v/>
      </c>
      <c r="P3" s="1" t="str">
        <f ca="1">IF(Z3="+",TODAY()-B11,"")</f>
        <v/>
      </c>
      <c r="Q3" s="1" t="str">
        <f>IF(B16=K3,MAX(E:E)-B11,"")</f>
        <v/>
      </c>
      <c r="T3" s="14"/>
      <c r="X3" s="5">
        <f>B9</f>
        <v>46253</v>
      </c>
      <c r="Y3" s="2">
        <f>B16*-1</f>
        <v>-11.01</v>
      </c>
      <c r="Z3" s="1" t="str">
        <f ca="1">IF(AND(TODAY()&gt;B11, K3&lt;&gt;B16), "+", "")</f>
        <v/>
      </c>
    </row>
    <row r="4" spans="1:26" x14ac:dyDescent="0.25">
      <c r="A4" s="4" t="s">
        <v>19</v>
      </c>
      <c r="B4" s="5" t="s">
        <v>20</v>
      </c>
      <c r="D4" s="12">
        <v>46295</v>
      </c>
      <c r="E4" s="12">
        <v>46295</v>
      </c>
      <c r="F4" s="19">
        <f t="shared" ref="F4:F52" si="1">IF(E4&gt;0,E4-D4,"")</f>
        <v>0</v>
      </c>
      <c r="G4" s="2">
        <v>0</v>
      </c>
      <c r="H4" s="2">
        <v>0.08</v>
      </c>
      <c r="I4" s="2">
        <v>0</v>
      </c>
      <c r="J4" s="9"/>
      <c r="X4" s="5">
        <f>E3</f>
        <v>46265</v>
      </c>
      <c r="Y4" s="2">
        <f>G3+H3-I3</f>
        <v>0</v>
      </c>
    </row>
    <row r="5" spans="1:26" x14ac:dyDescent="0.25">
      <c r="A5" s="4"/>
      <c r="B5" s="5"/>
      <c r="D5" s="12"/>
      <c r="E5" s="12"/>
      <c r="F5" s="19" t="str">
        <f t="shared" si="1"/>
        <v/>
      </c>
      <c r="G5" s="2"/>
      <c r="H5" s="1"/>
      <c r="I5" s="2"/>
      <c r="J5" s="9"/>
      <c r="X5" s="5">
        <f t="shared" ref="X5:X52" si="2">E4</f>
        <v>46295</v>
      </c>
      <c r="Y5" s="2">
        <f t="shared" ref="Y5:Y52" si="3">G4+H4-I4</f>
        <v>0.08</v>
      </c>
    </row>
    <row r="6" spans="1:26" x14ac:dyDescent="0.25">
      <c r="A6" s="4"/>
      <c r="B6" s="5"/>
      <c r="D6" s="12"/>
      <c r="E6" s="12"/>
      <c r="F6" s="19" t="str">
        <f t="shared" si="1"/>
        <v/>
      </c>
      <c r="G6" s="2"/>
      <c r="H6" s="1"/>
      <c r="I6" s="2"/>
      <c r="J6" s="9"/>
      <c r="X6" s="5">
        <f t="shared" si="2"/>
        <v>0</v>
      </c>
      <c r="Y6" s="2">
        <f t="shared" si="3"/>
        <v>0</v>
      </c>
    </row>
    <row r="7" spans="1:26" x14ac:dyDescent="0.25">
      <c r="A7" s="4"/>
      <c r="B7" s="5"/>
      <c r="D7" s="12"/>
      <c r="E7" s="12"/>
      <c r="F7" s="19" t="str">
        <f t="shared" si="1"/>
        <v/>
      </c>
      <c r="G7" s="2"/>
      <c r="H7" s="1"/>
      <c r="I7" s="2"/>
      <c r="J7" s="11"/>
      <c r="X7" s="5">
        <f t="shared" si="2"/>
        <v>0</v>
      </c>
      <c r="Y7" s="2">
        <f t="shared" si="3"/>
        <v>0</v>
      </c>
    </row>
    <row r="8" spans="1:26" x14ac:dyDescent="0.25">
      <c r="A8" s="4" t="s">
        <v>24</v>
      </c>
      <c r="B8" s="5" t="str">
        <f>DATEDIF(B9,B11,"y") &amp; " m. " &amp; DATEDIF(B9,B11,"ym") &amp; " mėn. " &amp; DATEDIF(B9,B11,"md") &amp; " d."</f>
        <v>0 m. 8 mėn. 25 d.</v>
      </c>
      <c r="D8" s="12"/>
      <c r="E8" s="12"/>
      <c r="F8" s="19" t="str">
        <f t="shared" si="1"/>
        <v/>
      </c>
      <c r="G8" s="1"/>
      <c r="H8" s="1"/>
      <c r="I8" s="2"/>
      <c r="J8" s="9"/>
      <c r="X8" s="5">
        <f t="shared" si="2"/>
        <v>0</v>
      </c>
      <c r="Y8" s="2">
        <f t="shared" si="3"/>
        <v>0</v>
      </c>
    </row>
    <row r="9" spans="1:26" x14ac:dyDescent="0.25">
      <c r="A9" s="4" t="s">
        <v>11</v>
      </c>
      <c r="B9" s="5">
        <v>46253</v>
      </c>
      <c r="D9" s="12"/>
      <c r="E9" s="12"/>
      <c r="F9" s="19"/>
      <c r="G9" s="2"/>
      <c r="H9" s="2"/>
      <c r="I9" s="2"/>
      <c r="J9" s="11"/>
      <c r="X9" s="5">
        <f t="shared" si="2"/>
        <v>0</v>
      </c>
      <c r="Y9" s="2">
        <f t="shared" si="3"/>
        <v>0</v>
      </c>
    </row>
    <row r="10" spans="1:26" x14ac:dyDescent="0.25">
      <c r="A10" s="4" t="s">
        <v>70</v>
      </c>
      <c r="B10" s="5">
        <v>46246</v>
      </c>
      <c r="D10" s="12"/>
      <c r="E10" s="12"/>
      <c r="F10" s="19" t="str">
        <f t="shared" si="1"/>
        <v/>
      </c>
      <c r="G10" s="1"/>
      <c r="H10" s="1"/>
      <c r="I10" s="2"/>
      <c r="J10" s="11"/>
      <c r="X10" s="5">
        <f t="shared" si="2"/>
        <v>0</v>
      </c>
      <c r="Y10" s="2">
        <f t="shared" si="3"/>
        <v>0</v>
      </c>
    </row>
    <row r="11" spans="1:26" x14ac:dyDescent="0.25">
      <c r="A11" s="4" t="s">
        <v>10</v>
      </c>
      <c r="B11" s="5">
        <v>46521</v>
      </c>
      <c r="D11" s="12"/>
      <c r="E11" s="12"/>
      <c r="F11" s="19" t="str">
        <f t="shared" si="1"/>
        <v/>
      </c>
      <c r="G11" s="1"/>
      <c r="H11" s="2"/>
      <c r="I11" s="2"/>
      <c r="J11" s="11"/>
      <c r="X11" s="5">
        <f t="shared" si="2"/>
        <v>0</v>
      </c>
      <c r="Y11" s="2">
        <f t="shared" si="3"/>
        <v>0</v>
      </c>
    </row>
    <row r="12" spans="1:26" x14ac:dyDescent="0.25">
      <c r="A12" s="4" t="s">
        <v>71</v>
      </c>
      <c r="B12" s="19">
        <f ca="1">IF(B16&lt;&gt;K3,(TODAY()-B11)*-1,"")</f>
        <v>226</v>
      </c>
      <c r="D12" s="12"/>
      <c r="E12" s="12"/>
      <c r="F12" s="19" t="str">
        <f t="shared" si="1"/>
        <v/>
      </c>
      <c r="G12" s="2"/>
      <c r="H12" s="1"/>
      <c r="I12" s="1"/>
      <c r="J12" s="11"/>
      <c r="X12" s="5">
        <f t="shared" si="2"/>
        <v>0</v>
      </c>
      <c r="Y12" s="2">
        <f t="shared" si="3"/>
        <v>0</v>
      </c>
    </row>
    <row r="13" spans="1:26" x14ac:dyDescent="0.25">
      <c r="A13" s="4"/>
      <c r="B13" s="2"/>
      <c r="D13" s="12"/>
      <c r="E13" s="12"/>
      <c r="F13" s="19" t="str">
        <f t="shared" si="1"/>
        <v/>
      </c>
      <c r="G13" s="1"/>
      <c r="H13" s="2"/>
      <c r="I13" s="2"/>
      <c r="J13" s="11"/>
      <c r="N13" s="14"/>
      <c r="X13" s="5">
        <f t="shared" si="2"/>
        <v>0</v>
      </c>
      <c r="Y13" s="2">
        <f t="shared" si="3"/>
        <v>0</v>
      </c>
    </row>
    <row r="14" spans="1:26" x14ac:dyDescent="0.25">
      <c r="A14" s="13"/>
      <c r="B14" s="20"/>
      <c r="D14" s="12"/>
      <c r="E14" s="5"/>
      <c r="F14" s="19" t="str">
        <f t="shared" si="1"/>
        <v/>
      </c>
      <c r="G14" s="1"/>
      <c r="H14" s="1"/>
      <c r="I14" s="1"/>
      <c r="J14" s="11"/>
      <c r="X14" s="5">
        <f t="shared" si="2"/>
        <v>0</v>
      </c>
      <c r="Y14" s="2">
        <f t="shared" si="3"/>
        <v>0</v>
      </c>
    </row>
    <row r="15" spans="1:26" x14ac:dyDescent="0.25">
      <c r="A15" s="4" t="s">
        <v>1</v>
      </c>
      <c r="B15" s="6">
        <v>0.12</v>
      </c>
      <c r="D15" s="12"/>
      <c r="E15" s="5"/>
      <c r="F15" s="19" t="str">
        <f t="shared" si="1"/>
        <v/>
      </c>
      <c r="G15" s="1"/>
      <c r="H15" s="1"/>
      <c r="I15" s="1"/>
      <c r="J15" s="11"/>
      <c r="K15" s="18"/>
      <c r="L15" s="18"/>
      <c r="M15" s="18"/>
      <c r="N15" s="18"/>
      <c r="O15" s="18"/>
      <c r="P15" s="18"/>
      <c r="Q15" s="18"/>
      <c r="X15" s="5">
        <f t="shared" si="2"/>
        <v>0</v>
      </c>
      <c r="Y15" s="2">
        <f t="shared" si="3"/>
        <v>0</v>
      </c>
    </row>
    <row r="16" spans="1:26" x14ac:dyDescent="0.25">
      <c r="A16" s="4" t="s">
        <v>72</v>
      </c>
      <c r="B16" s="2">
        <v>11.01</v>
      </c>
      <c r="D16" s="12"/>
      <c r="E16" s="5"/>
      <c r="F16" s="19" t="str">
        <f t="shared" si="1"/>
        <v/>
      </c>
      <c r="G16" s="1"/>
      <c r="H16" s="1"/>
      <c r="I16" s="1"/>
      <c r="J16" s="11"/>
      <c r="K16" s="9"/>
      <c r="L16" s="9"/>
      <c r="M16" s="9"/>
      <c r="N16" s="21"/>
      <c r="O16" s="22"/>
      <c r="P16" s="11"/>
      <c r="Q16" s="11"/>
      <c r="X16" s="5">
        <f t="shared" si="2"/>
        <v>0</v>
      </c>
      <c r="Y16" s="2">
        <f t="shared" si="3"/>
        <v>0</v>
      </c>
    </row>
    <row r="17" spans="2:25" x14ac:dyDescent="0.25">
      <c r="D17" s="12"/>
      <c r="E17" s="5"/>
      <c r="F17" s="19" t="str">
        <f t="shared" si="1"/>
        <v/>
      </c>
      <c r="G17" s="1"/>
      <c r="H17" s="1"/>
      <c r="I17" s="1"/>
      <c r="J17" s="11"/>
      <c r="X17" s="5">
        <f t="shared" si="2"/>
        <v>0</v>
      </c>
      <c r="Y17" s="2">
        <f t="shared" si="3"/>
        <v>0</v>
      </c>
    </row>
    <row r="18" spans="2:25" x14ac:dyDescent="0.25">
      <c r="D18" s="12"/>
      <c r="E18" s="5"/>
      <c r="F18" s="19" t="str">
        <f t="shared" si="1"/>
        <v/>
      </c>
      <c r="G18" s="1"/>
      <c r="H18" s="1"/>
      <c r="I18" s="1"/>
      <c r="J18" s="11"/>
      <c r="X18" s="5">
        <f t="shared" si="2"/>
        <v>0</v>
      </c>
      <c r="Y18" s="2">
        <f t="shared" si="3"/>
        <v>0</v>
      </c>
    </row>
    <row r="19" spans="2:25" x14ac:dyDescent="0.25">
      <c r="D19" s="12"/>
      <c r="E19" s="5"/>
      <c r="F19" s="19" t="str">
        <f t="shared" si="1"/>
        <v/>
      </c>
      <c r="G19" s="1"/>
      <c r="H19" s="1"/>
      <c r="I19" s="1"/>
      <c r="J19" s="11"/>
      <c r="X19" s="5">
        <f t="shared" si="2"/>
        <v>0</v>
      </c>
      <c r="Y19" s="2">
        <f t="shared" si="3"/>
        <v>0</v>
      </c>
    </row>
    <row r="20" spans="2:25" x14ac:dyDescent="0.25">
      <c r="D20" s="12"/>
      <c r="E20" s="5"/>
      <c r="F20" s="19" t="str">
        <f t="shared" si="1"/>
        <v/>
      </c>
      <c r="G20" s="1"/>
      <c r="H20" s="1"/>
      <c r="I20" s="1"/>
      <c r="J20" s="11"/>
      <c r="X20" s="5">
        <f t="shared" si="2"/>
        <v>0</v>
      </c>
      <c r="Y20" s="2">
        <f t="shared" si="3"/>
        <v>0</v>
      </c>
    </row>
    <row r="21" spans="2:25" x14ac:dyDescent="0.25">
      <c r="D21" s="12"/>
      <c r="E21" s="5"/>
      <c r="F21" s="19" t="str">
        <f t="shared" si="1"/>
        <v/>
      </c>
      <c r="G21" s="1"/>
      <c r="H21" s="1"/>
      <c r="I21" s="1"/>
      <c r="J21" s="11"/>
      <c r="X21" s="5">
        <f t="shared" si="2"/>
        <v>0</v>
      </c>
      <c r="Y21" s="2">
        <f t="shared" si="3"/>
        <v>0</v>
      </c>
    </row>
    <row r="22" spans="2:25" x14ac:dyDescent="0.25">
      <c r="D22" s="12"/>
      <c r="E22" s="5"/>
      <c r="F22" s="19" t="str">
        <f t="shared" si="1"/>
        <v/>
      </c>
      <c r="G22" s="1"/>
      <c r="H22" s="1"/>
      <c r="I22" s="1"/>
      <c r="J22" s="11"/>
      <c r="X22" s="5">
        <f t="shared" si="2"/>
        <v>0</v>
      </c>
      <c r="Y22" s="2">
        <f t="shared" si="3"/>
        <v>0</v>
      </c>
    </row>
    <row r="23" spans="2:25" x14ac:dyDescent="0.25">
      <c r="B23" s="22"/>
      <c r="D23" s="12"/>
      <c r="E23" s="5"/>
      <c r="F23" s="19" t="str">
        <f t="shared" si="1"/>
        <v/>
      </c>
      <c r="G23" s="1"/>
      <c r="H23" s="1"/>
      <c r="I23" s="1"/>
      <c r="J23" s="11"/>
      <c r="X23" s="5">
        <f t="shared" si="2"/>
        <v>0</v>
      </c>
      <c r="Y23" s="2">
        <f t="shared" si="3"/>
        <v>0</v>
      </c>
    </row>
    <row r="24" spans="2:25" x14ac:dyDescent="0.25">
      <c r="D24" s="12"/>
      <c r="E24" s="5"/>
      <c r="F24" s="19" t="str">
        <f t="shared" si="1"/>
        <v/>
      </c>
      <c r="G24" s="1"/>
      <c r="H24" s="1"/>
      <c r="I24" s="1"/>
      <c r="J24" s="11"/>
      <c r="X24" s="5">
        <f t="shared" si="2"/>
        <v>0</v>
      </c>
      <c r="Y24" s="2">
        <f t="shared" si="3"/>
        <v>0</v>
      </c>
    </row>
    <row r="25" spans="2:25" x14ac:dyDescent="0.25">
      <c r="D25" s="12"/>
      <c r="E25" s="5"/>
      <c r="F25" s="19" t="str">
        <f t="shared" si="1"/>
        <v/>
      </c>
      <c r="G25" s="1"/>
      <c r="H25" s="1"/>
      <c r="I25" s="1"/>
      <c r="J25" s="11"/>
      <c r="X25" s="5">
        <f t="shared" si="2"/>
        <v>0</v>
      </c>
      <c r="Y25" s="2">
        <f t="shared" si="3"/>
        <v>0</v>
      </c>
    </row>
    <row r="26" spans="2:25" x14ac:dyDescent="0.25">
      <c r="D26" s="12"/>
      <c r="E26" s="5"/>
      <c r="F26" s="19" t="str">
        <f t="shared" si="1"/>
        <v/>
      </c>
      <c r="G26" s="1"/>
      <c r="H26" s="1"/>
      <c r="I26" s="1"/>
      <c r="J26" s="11"/>
      <c r="X26" s="5">
        <f t="shared" si="2"/>
        <v>0</v>
      </c>
      <c r="Y26" s="2">
        <f t="shared" si="3"/>
        <v>0</v>
      </c>
    </row>
    <row r="27" spans="2:25" x14ac:dyDescent="0.25">
      <c r="D27" s="12"/>
      <c r="E27" s="5"/>
      <c r="F27" s="19" t="str">
        <f t="shared" si="1"/>
        <v/>
      </c>
      <c r="G27" s="1"/>
      <c r="H27" s="1"/>
      <c r="I27" s="1"/>
      <c r="J27" s="11"/>
      <c r="X27" s="5">
        <f t="shared" si="2"/>
        <v>0</v>
      </c>
      <c r="Y27" s="2">
        <f t="shared" si="3"/>
        <v>0</v>
      </c>
    </row>
    <row r="28" spans="2:25" x14ac:dyDescent="0.25">
      <c r="D28" s="12"/>
      <c r="E28" s="5"/>
      <c r="F28" s="19" t="str">
        <f t="shared" si="1"/>
        <v/>
      </c>
      <c r="G28" s="1"/>
      <c r="H28" s="1"/>
      <c r="I28" s="1"/>
      <c r="J28" s="11"/>
      <c r="X28" s="5">
        <f t="shared" si="2"/>
        <v>0</v>
      </c>
      <c r="Y28" s="2">
        <f t="shared" si="3"/>
        <v>0</v>
      </c>
    </row>
    <row r="29" spans="2:25" x14ac:dyDescent="0.25">
      <c r="D29" s="12"/>
      <c r="E29" s="5"/>
      <c r="F29" s="19" t="str">
        <f t="shared" si="1"/>
        <v/>
      </c>
      <c r="G29" s="1"/>
      <c r="H29" s="1"/>
      <c r="I29" s="1"/>
      <c r="J29" s="11"/>
      <c r="X29" s="5">
        <f t="shared" si="2"/>
        <v>0</v>
      </c>
      <c r="Y29" s="2">
        <f t="shared" si="3"/>
        <v>0</v>
      </c>
    </row>
    <row r="30" spans="2:25" x14ac:dyDescent="0.25">
      <c r="D30" s="12"/>
      <c r="E30" s="5"/>
      <c r="F30" s="19" t="str">
        <f t="shared" si="1"/>
        <v/>
      </c>
      <c r="G30" s="1"/>
      <c r="H30" s="1"/>
      <c r="I30" s="1"/>
      <c r="J30" s="11"/>
      <c r="X30" s="5">
        <f t="shared" si="2"/>
        <v>0</v>
      </c>
      <c r="Y30" s="2">
        <f t="shared" si="3"/>
        <v>0</v>
      </c>
    </row>
    <row r="31" spans="2:25" x14ac:dyDescent="0.25">
      <c r="D31" s="12"/>
      <c r="E31" s="5"/>
      <c r="F31" s="19" t="str">
        <f t="shared" si="1"/>
        <v/>
      </c>
      <c r="G31" s="1"/>
      <c r="H31" s="1"/>
      <c r="I31" s="1"/>
      <c r="J31" s="11"/>
      <c r="X31" s="5">
        <f t="shared" si="2"/>
        <v>0</v>
      </c>
      <c r="Y31" s="2">
        <f t="shared" si="3"/>
        <v>0</v>
      </c>
    </row>
    <row r="32" spans="2:25" x14ac:dyDescent="0.25">
      <c r="D32" s="12"/>
      <c r="E32" s="5"/>
      <c r="F32" s="19" t="str">
        <f t="shared" si="1"/>
        <v/>
      </c>
      <c r="G32" s="1"/>
      <c r="H32" s="1"/>
      <c r="I32" s="1"/>
      <c r="J32" s="11"/>
      <c r="X32" s="5">
        <f t="shared" si="2"/>
        <v>0</v>
      </c>
      <c r="Y32" s="2">
        <f t="shared" si="3"/>
        <v>0</v>
      </c>
    </row>
    <row r="33" spans="4:25" x14ac:dyDescent="0.25">
      <c r="D33" s="12"/>
      <c r="E33" s="5"/>
      <c r="F33" s="19" t="str">
        <f t="shared" si="1"/>
        <v/>
      </c>
      <c r="G33" s="1"/>
      <c r="H33" s="1"/>
      <c r="I33" s="1"/>
      <c r="J33" s="11"/>
      <c r="X33" s="5">
        <f t="shared" si="2"/>
        <v>0</v>
      </c>
      <c r="Y33" s="2">
        <f t="shared" si="3"/>
        <v>0</v>
      </c>
    </row>
    <row r="34" spans="4:25" x14ac:dyDescent="0.25">
      <c r="D34" s="12"/>
      <c r="E34" s="5"/>
      <c r="F34" s="19" t="str">
        <f t="shared" si="1"/>
        <v/>
      </c>
      <c r="G34" s="1"/>
      <c r="H34" s="1"/>
      <c r="I34" s="1"/>
      <c r="J34" s="11"/>
      <c r="X34" s="5">
        <f t="shared" si="2"/>
        <v>0</v>
      </c>
      <c r="Y34" s="2">
        <f t="shared" si="3"/>
        <v>0</v>
      </c>
    </row>
    <row r="35" spans="4:25" x14ac:dyDescent="0.25">
      <c r="D35" s="12"/>
      <c r="E35" s="5"/>
      <c r="F35" s="19" t="str">
        <f t="shared" si="1"/>
        <v/>
      </c>
      <c r="G35" s="1"/>
      <c r="H35" s="1"/>
      <c r="I35" s="1"/>
      <c r="J35" s="11"/>
      <c r="X35" s="5">
        <f t="shared" si="2"/>
        <v>0</v>
      </c>
      <c r="Y35" s="2">
        <f t="shared" si="3"/>
        <v>0</v>
      </c>
    </row>
    <row r="36" spans="4:25" x14ac:dyDescent="0.25">
      <c r="D36" s="12"/>
      <c r="E36" s="5"/>
      <c r="F36" s="19" t="str">
        <f t="shared" si="1"/>
        <v/>
      </c>
      <c r="G36" s="1"/>
      <c r="H36" s="1"/>
      <c r="I36" s="1"/>
      <c r="J36" s="11"/>
      <c r="X36" s="5">
        <f t="shared" si="2"/>
        <v>0</v>
      </c>
      <c r="Y36" s="2">
        <f t="shared" si="3"/>
        <v>0</v>
      </c>
    </row>
    <row r="37" spans="4:25" x14ac:dyDescent="0.25">
      <c r="D37" s="12"/>
      <c r="E37" s="5"/>
      <c r="F37" s="19" t="str">
        <f t="shared" si="1"/>
        <v/>
      </c>
      <c r="G37" s="1"/>
      <c r="H37" s="1"/>
      <c r="I37" s="1"/>
      <c r="J37" s="11"/>
      <c r="X37" s="5">
        <f t="shared" si="2"/>
        <v>0</v>
      </c>
      <c r="Y37" s="2">
        <f t="shared" si="3"/>
        <v>0</v>
      </c>
    </row>
    <row r="38" spans="4:25" x14ac:dyDescent="0.25">
      <c r="D38" s="12"/>
      <c r="E38" s="5"/>
      <c r="F38" s="19" t="str">
        <f t="shared" si="1"/>
        <v/>
      </c>
      <c r="G38" s="1"/>
      <c r="H38" s="1"/>
      <c r="I38" s="1"/>
      <c r="J38" s="11"/>
      <c r="X38" s="5">
        <f t="shared" si="2"/>
        <v>0</v>
      </c>
      <c r="Y38" s="2">
        <f t="shared" si="3"/>
        <v>0</v>
      </c>
    </row>
    <row r="39" spans="4:25" x14ac:dyDescent="0.25">
      <c r="D39" s="12"/>
      <c r="E39" s="5"/>
      <c r="F39" s="19" t="str">
        <f t="shared" si="1"/>
        <v/>
      </c>
      <c r="G39" s="1"/>
      <c r="H39" s="1"/>
      <c r="I39" s="1"/>
      <c r="J39" s="11"/>
      <c r="X39" s="5">
        <f t="shared" si="2"/>
        <v>0</v>
      </c>
      <c r="Y39" s="2">
        <f t="shared" si="3"/>
        <v>0</v>
      </c>
    </row>
    <row r="40" spans="4:25" x14ac:dyDescent="0.25">
      <c r="D40" s="12"/>
      <c r="E40" s="5"/>
      <c r="F40" s="19" t="str">
        <f t="shared" si="1"/>
        <v/>
      </c>
      <c r="G40" s="1"/>
      <c r="H40" s="1"/>
      <c r="I40" s="1"/>
      <c r="J40" s="11"/>
      <c r="X40" s="5">
        <f t="shared" si="2"/>
        <v>0</v>
      </c>
      <c r="Y40" s="2">
        <f t="shared" si="3"/>
        <v>0</v>
      </c>
    </row>
    <row r="41" spans="4:25" x14ac:dyDescent="0.25">
      <c r="D41" s="12"/>
      <c r="E41" s="5"/>
      <c r="F41" s="19" t="str">
        <f t="shared" si="1"/>
        <v/>
      </c>
      <c r="G41" s="1"/>
      <c r="H41" s="1"/>
      <c r="I41" s="1"/>
      <c r="J41" s="11"/>
      <c r="X41" s="5">
        <f t="shared" si="2"/>
        <v>0</v>
      </c>
      <c r="Y41" s="2">
        <f t="shared" si="3"/>
        <v>0</v>
      </c>
    </row>
    <row r="42" spans="4:25" x14ac:dyDescent="0.25">
      <c r="D42" s="12"/>
      <c r="E42" s="5"/>
      <c r="F42" s="19" t="str">
        <f t="shared" si="1"/>
        <v/>
      </c>
      <c r="G42" s="1"/>
      <c r="H42" s="1"/>
      <c r="I42" s="1"/>
      <c r="J42" s="11"/>
      <c r="X42" s="5">
        <f t="shared" si="2"/>
        <v>0</v>
      </c>
      <c r="Y42" s="2">
        <f t="shared" si="3"/>
        <v>0</v>
      </c>
    </row>
    <row r="43" spans="4:25" x14ac:dyDescent="0.25">
      <c r="D43" s="12"/>
      <c r="E43" s="5"/>
      <c r="F43" s="19" t="str">
        <f t="shared" si="1"/>
        <v/>
      </c>
      <c r="G43" s="1"/>
      <c r="H43" s="1"/>
      <c r="I43" s="1"/>
      <c r="J43" s="11"/>
      <c r="X43" s="5">
        <f t="shared" si="2"/>
        <v>0</v>
      </c>
      <c r="Y43" s="2">
        <f t="shared" si="3"/>
        <v>0</v>
      </c>
    </row>
    <row r="44" spans="4:25" x14ac:dyDescent="0.25">
      <c r="D44" s="12"/>
      <c r="E44" s="5"/>
      <c r="F44" s="19" t="str">
        <f t="shared" si="1"/>
        <v/>
      </c>
      <c r="G44" s="1"/>
      <c r="H44" s="1"/>
      <c r="I44" s="1"/>
      <c r="J44" s="11"/>
      <c r="X44" s="5">
        <f t="shared" si="2"/>
        <v>0</v>
      </c>
      <c r="Y44" s="2">
        <f t="shared" si="3"/>
        <v>0</v>
      </c>
    </row>
    <row r="45" spans="4:25" x14ac:dyDescent="0.25">
      <c r="D45" s="12"/>
      <c r="E45" s="5"/>
      <c r="F45" s="19" t="str">
        <f t="shared" si="1"/>
        <v/>
      </c>
      <c r="G45" s="1"/>
      <c r="H45" s="1"/>
      <c r="I45" s="1"/>
      <c r="J45" s="11"/>
      <c r="X45" s="5">
        <f t="shared" si="2"/>
        <v>0</v>
      </c>
      <c r="Y45" s="2">
        <f t="shared" si="3"/>
        <v>0</v>
      </c>
    </row>
    <row r="46" spans="4:25" x14ac:dyDescent="0.25">
      <c r="D46" s="12"/>
      <c r="E46" s="5"/>
      <c r="F46" s="19" t="str">
        <f t="shared" si="1"/>
        <v/>
      </c>
      <c r="G46" s="1"/>
      <c r="H46" s="1"/>
      <c r="I46" s="1"/>
      <c r="J46" s="11"/>
      <c r="X46" s="5">
        <f t="shared" si="2"/>
        <v>0</v>
      </c>
      <c r="Y46" s="2">
        <f t="shared" si="3"/>
        <v>0</v>
      </c>
    </row>
    <row r="47" spans="4:25" x14ac:dyDescent="0.25">
      <c r="D47" s="12"/>
      <c r="E47" s="5"/>
      <c r="F47" s="19" t="str">
        <f t="shared" si="1"/>
        <v/>
      </c>
      <c r="G47" s="1"/>
      <c r="H47" s="1"/>
      <c r="I47" s="1"/>
      <c r="J47" s="11"/>
      <c r="X47" s="5">
        <f t="shared" si="2"/>
        <v>0</v>
      </c>
      <c r="Y47" s="2">
        <f t="shared" si="3"/>
        <v>0</v>
      </c>
    </row>
    <row r="48" spans="4:25" x14ac:dyDescent="0.25">
      <c r="D48" s="12"/>
      <c r="E48" s="5"/>
      <c r="F48" s="19" t="str">
        <f t="shared" si="1"/>
        <v/>
      </c>
      <c r="G48" s="1"/>
      <c r="H48" s="1"/>
      <c r="I48" s="1"/>
      <c r="J48" s="11"/>
      <c r="X48" s="5">
        <f t="shared" si="2"/>
        <v>0</v>
      </c>
      <c r="Y48" s="2">
        <f t="shared" si="3"/>
        <v>0</v>
      </c>
    </row>
    <row r="49" spans="4:25" x14ac:dyDescent="0.25">
      <c r="D49" s="12"/>
      <c r="E49" s="5"/>
      <c r="F49" s="19" t="str">
        <f t="shared" si="1"/>
        <v/>
      </c>
      <c r="G49" s="1"/>
      <c r="H49" s="1"/>
      <c r="I49" s="1"/>
      <c r="J49" s="11"/>
      <c r="X49" s="5">
        <f t="shared" si="2"/>
        <v>0</v>
      </c>
      <c r="Y49" s="2">
        <f t="shared" si="3"/>
        <v>0</v>
      </c>
    </row>
    <row r="50" spans="4:25" x14ac:dyDescent="0.25">
      <c r="D50" s="12"/>
      <c r="E50" s="5"/>
      <c r="F50" s="19" t="str">
        <f t="shared" si="1"/>
        <v/>
      </c>
      <c r="G50" s="1"/>
      <c r="H50" s="1"/>
      <c r="I50" s="1"/>
      <c r="J50" s="11"/>
      <c r="X50" s="5">
        <f t="shared" si="2"/>
        <v>0</v>
      </c>
      <c r="Y50" s="2">
        <f t="shared" si="3"/>
        <v>0</v>
      </c>
    </row>
    <row r="51" spans="4:25" x14ac:dyDescent="0.25">
      <c r="D51" s="12"/>
      <c r="E51" s="5"/>
      <c r="F51" s="19" t="str">
        <f t="shared" si="1"/>
        <v/>
      </c>
      <c r="G51" s="1"/>
      <c r="H51" s="1"/>
      <c r="I51" s="1"/>
      <c r="J51" s="11"/>
      <c r="X51" s="5">
        <f t="shared" si="2"/>
        <v>0</v>
      </c>
      <c r="Y51" s="2">
        <f t="shared" si="3"/>
        <v>0</v>
      </c>
    </row>
    <row r="52" spans="4:25" x14ac:dyDescent="0.25">
      <c r="D52" s="12"/>
      <c r="E52" s="5"/>
      <c r="F52" s="19" t="str">
        <f t="shared" si="1"/>
        <v/>
      </c>
      <c r="G52" s="1"/>
      <c r="H52" s="1"/>
      <c r="I52" s="1"/>
      <c r="J52" s="9"/>
      <c r="X52" s="5">
        <f t="shared" si="2"/>
        <v>0</v>
      </c>
      <c r="Y52" s="2">
        <f t="shared" si="3"/>
        <v>0</v>
      </c>
    </row>
    <row r="53" spans="4:25" x14ac:dyDescent="0.25">
      <c r="D53" s="1" t="s">
        <v>25</v>
      </c>
      <c r="E53" s="23"/>
      <c r="F53" s="2"/>
      <c r="G53" s="2">
        <f>SUM(G3:G52)</f>
        <v>0</v>
      </c>
      <c r="H53" s="2">
        <f t="shared" ref="H53:I53" si="4">SUM(H3:H52)</f>
        <v>0.08</v>
      </c>
      <c r="I53" s="2">
        <f t="shared" si="4"/>
        <v>0</v>
      </c>
    </row>
  </sheetData>
  <mergeCells count="4">
    <mergeCell ref="D1:F1"/>
    <mergeCell ref="G1:I1"/>
    <mergeCell ref="K1:Q1"/>
    <mergeCell ref="X1:Z1"/>
  </mergeCells>
  <conditionalFormatting sqref="A1:B1">
    <cfRule type="expression" dxfId="179" priority="1">
      <formula>$Z$3="+"</formula>
    </cfRule>
    <cfRule type="expression" dxfId="178" priority="2">
      <formula>$B$16=$K$3</formula>
    </cfRule>
  </conditionalFormatting>
  <conditionalFormatting sqref="P3">
    <cfRule type="expression" dxfId="177" priority="3">
      <formula>$Z$3="+"</formula>
    </cfRule>
  </conditionalFormatting>
  <conditionalFormatting sqref="Z3">
    <cfRule type="expression" dxfId="176" priority="4">
      <formula>$Z$3="+"</formula>
    </cfRule>
  </conditionalFormatting>
  <dataValidations count="1">
    <dataValidation type="list" allowBlank="1" showInputMessage="1" showErrorMessage="1" sqref="B2" xr:uid="{48A63424-475C-4623-9E7D-FE3BC567DF44}">
      <formula1>"Romania,Moldova,Cyprus,Philippines"</formula1>
    </dataValidation>
  </dataValidations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60818-B5E3-44C5-9002-A6A117B353CB}">
  <dimension ref="A1:Z53"/>
  <sheetViews>
    <sheetView workbookViewId="0">
      <selection activeCell="I5" sqref="I5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1" customWidth="1"/>
    <col min="25" max="25" width="10.7109375" style="11" customWidth="1"/>
    <col min="26" max="26" width="10.7109375" customWidth="1"/>
  </cols>
  <sheetData>
    <row r="1" spans="1:26" x14ac:dyDescent="0.25">
      <c r="A1" s="4" t="s">
        <v>66</v>
      </c>
      <c r="B1" s="5" t="s">
        <v>94</v>
      </c>
      <c r="D1" s="29" t="s">
        <v>2</v>
      </c>
      <c r="E1" s="30"/>
      <c r="F1" s="31"/>
      <c r="G1" s="29" t="s">
        <v>0</v>
      </c>
      <c r="H1" s="30"/>
      <c r="I1" s="31"/>
      <c r="J1" s="18"/>
      <c r="K1" s="29" t="s">
        <v>58</v>
      </c>
      <c r="L1" s="30"/>
      <c r="M1" s="30"/>
      <c r="N1" s="30"/>
      <c r="O1" s="30"/>
      <c r="P1" s="30"/>
      <c r="Q1" s="31"/>
      <c r="X1" s="29"/>
      <c r="Y1" s="30"/>
      <c r="Z1" s="31"/>
    </row>
    <row r="2" spans="1:26" x14ac:dyDescent="0.25">
      <c r="A2" s="4" t="s">
        <v>21</v>
      </c>
      <c r="B2" s="5" t="s">
        <v>23</v>
      </c>
      <c r="D2" s="10" t="s">
        <v>49</v>
      </c>
      <c r="E2" s="10" t="s">
        <v>50</v>
      </c>
      <c r="F2" s="17" t="s">
        <v>67</v>
      </c>
      <c r="G2" s="10" t="s">
        <v>15</v>
      </c>
      <c r="H2" s="10" t="s">
        <v>16</v>
      </c>
      <c r="I2" s="10" t="s">
        <v>60</v>
      </c>
      <c r="J2" s="9"/>
      <c r="K2" s="10" t="s">
        <v>0</v>
      </c>
      <c r="L2" s="10" t="s">
        <v>1</v>
      </c>
      <c r="M2" s="10" t="s">
        <v>56</v>
      </c>
      <c r="N2" s="10" t="s">
        <v>57</v>
      </c>
      <c r="O2" s="10" t="s">
        <v>2</v>
      </c>
      <c r="P2" s="10" t="s">
        <v>68</v>
      </c>
      <c r="Q2" s="10" t="s">
        <v>67</v>
      </c>
      <c r="X2" s="10" t="s">
        <v>2</v>
      </c>
      <c r="Y2" s="10" t="s">
        <v>59</v>
      </c>
      <c r="Z2" s="10" t="s">
        <v>68</v>
      </c>
    </row>
    <row r="3" spans="1:26" x14ac:dyDescent="0.25">
      <c r="A3" s="4" t="s">
        <v>69</v>
      </c>
      <c r="B3" s="5" t="s">
        <v>78</v>
      </c>
      <c r="D3" s="12">
        <v>46265</v>
      </c>
      <c r="E3" s="12">
        <v>46265</v>
      </c>
      <c r="F3" s="19">
        <f t="shared" ref="F3:F52" si="0">IF(E3&gt;0,E3-D3,"")</f>
        <v>0</v>
      </c>
      <c r="G3" s="2">
        <v>0</v>
      </c>
      <c r="H3" s="2">
        <v>0</v>
      </c>
      <c r="I3" s="2">
        <v>0</v>
      </c>
      <c r="J3" s="11"/>
      <c r="K3" s="2">
        <f>G53</f>
        <v>0</v>
      </c>
      <c r="L3" s="2">
        <f>H53</f>
        <v>0.11</v>
      </c>
      <c r="M3" s="2">
        <f>I53</f>
        <v>0</v>
      </c>
      <c r="N3" s="6" t="str">
        <f>IF(B16=K3,XIRR(Y3:Y52,X3:X52),"")</f>
        <v/>
      </c>
      <c r="O3" s="5" t="str">
        <f>IF(B16=K3,MAX(E:E),"")</f>
        <v/>
      </c>
      <c r="P3" s="1" t="str">
        <f ca="1">IF(Z3="+",TODAY()-B11,"")</f>
        <v/>
      </c>
      <c r="Q3" s="1" t="str">
        <f>IF(B16=K3,MAX(E:E)-B11,"")</f>
        <v/>
      </c>
      <c r="T3" s="14"/>
      <c r="X3" s="5">
        <f>B9</f>
        <v>46244</v>
      </c>
      <c r="Y3" s="2">
        <f>B16*-1</f>
        <v>-10.84</v>
      </c>
      <c r="Z3" s="1" t="str">
        <f ca="1">IF(AND(TODAY()&gt;B11, K3&lt;&gt;B16), "+", "")</f>
        <v/>
      </c>
    </row>
    <row r="4" spans="1:26" x14ac:dyDescent="0.25">
      <c r="A4" s="4" t="s">
        <v>19</v>
      </c>
      <c r="B4" s="5" t="s">
        <v>20</v>
      </c>
      <c r="D4" s="12">
        <v>46295</v>
      </c>
      <c r="E4" s="12">
        <v>46295</v>
      </c>
      <c r="F4" s="19">
        <f t="shared" si="0"/>
        <v>0</v>
      </c>
      <c r="G4" s="2">
        <v>0</v>
      </c>
      <c r="H4" s="2">
        <v>0.11</v>
      </c>
      <c r="I4" s="2">
        <v>0</v>
      </c>
      <c r="J4" s="9"/>
      <c r="X4" s="5">
        <f>E3</f>
        <v>46265</v>
      </c>
      <c r="Y4" s="2">
        <f>G3+H3-I3</f>
        <v>0</v>
      </c>
    </row>
    <row r="5" spans="1:26" x14ac:dyDescent="0.25">
      <c r="A5" s="4"/>
      <c r="B5" s="5"/>
      <c r="D5" s="12"/>
      <c r="E5" s="12"/>
      <c r="F5" s="19" t="str">
        <f t="shared" si="0"/>
        <v/>
      </c>
      <c r="G5" s="2"/>
      <c r="H5" s="1"/>
      <c r="I5" s="2"/>
      <c r="J5" s="9"/>
      <c r="X5" s="5">
        <f t="shared" ref="X5:X52" si="1">E4</f>
        <v>46295</v>
      </c>
      <c r="Y5" s="2">
        <f t="shared" ref="Y5:Y52" si="2">G4+H4-I4</f>
        <v>0.11</v>
      </c>
    </row>
    <row r="6" spans="1:26" x14ac:dyDescent="0.25">
      <c r="A6" s="4"/>
      <c r="B6" s="5"/>
      <c r="D6" s="12"/>
      <c r="E6" s="12"/>
      <c r="F6" s="19" t="str">
        <f t="shared" si="0"/>
        <v/>
      </c>
      <c r="G6" s="2"/>
      <c r="H6" s="1"/>
      <c r="I6" s="2"/>
      <c r="J6" s="9"/>
      <c r="X6" s="5">
        <f t="shared" si="1"/>
        <v>0</v>
      </c>
      <c r="Y6" s="2">
        <f t="shared" si="2"/>
        <v>0</v>
      </c>
    </row>
    <row r="7" spans="1:26" x14ac:dyDescent="0.25">
      <c r="A7" s="4"/>
      <c r="B7" s="5"/>
      <c r="D7" s="12"/>
      <c r="E7" s="12"/>
      <c r="F7" s="19" t="str">
        <f t="shared" si="0"/>
        <v/>
      </c>
      <c r="G7" s="2"/>
      <c r="H7" s="1"/>
      <c r="I7" s="2"/>
      <c r="J7" s="11"/>
      <c r="X7" s="5">
        <f t="shared" si="1"/>
        <v>0</v>
      </c>
      <c r="Y7" s="2">
        <f t="shared" si="2"/>
        <v>0</v>
      </c>
    </row>
    <row r="8" spans="1:26" x14ac:dyDescent="0.25">
      <c r="A8" s="4" t="s">
        <v>24</v>
      </c>
      <c r="B8" s="5" t="str">
        <f>DATEDIF(B9,B11,"y") &amp; " m. " &amp; DATEDIF(B9,B11,"ym") &amp; " mėn. " &amp; DATEDIF(B9,B11,"md") &amp; " d."</f>
        <v>0 m. 7 mėn. 25 d.</v>
      </c>
      <c r="D8" s="12"/>
      <c r="E8" s="12"/>
      <c r="F8" s="19" t="str">
        <f t="shared" si="0"/>
        <v/>
      </c>
      <c r="G8" s="1"/>
      <c r="H8" s="1"/>
      <c r="I8" s="2"/>
      <c r="J8" s="9"/>
      <c r="X8" s="5">
        <f t="shared" si="1"/>
        <v>0</v>
      </c>
      <c r="Y8" s="2">
        <f t="shared" si="2"/>
        <v>0</v>
      </c>
    </row>
    <row r="9" spans="1:26" x14ac:dyDescent="0.25">
      <c r="A9" s="4" t="s">
        <v>11</v>
      </c>
      <c r="B9" s="5">
        <v>46244</v>
      </c>
      <c r="D9" s="12"/>
      <c r="E9" s="12"/>
      <c r="F9" s="19"/>
      <c r="G9" s="2"/>
      <c r="H9" s="2"/>
      <c r="I9" s="2"/>
      <c r="J9" s="11"/>
      <c r="X9" s="5">
        <f t="shared" si="1"/>
        <v>0</v>
      </c>
      <c r="Y9" s="2">
        <f t="shared" si="2"/>
        <v>0</v>
      </c>
    </row>
    <row r="10" spans="1:26" x14ac:dyDescent="0.25">
      <c r="A10" s="4" t="s">
        <v>70</v>
      </c>
      <c r="B10" s="5">
        <v>46211</v>
      </c>
      <c r="D10" s="12"/>
      <c r="E10" s="12"/>
      <c r="F10" s="19" t="str">
        <f t="shared" si="0"/>
        <v/>
      </c>
      <c r="G10" s="1"/>
      <c r="H10" s="1"/>
      <c r="I10" s="2"/>
      <c r="J10" s="11"/>
      <c r="X10" s="5">
        <f t="shared" si="1"/>
        <v>0</v>
      </c>
      <c r="Y10" s="2">
        <f t="shared" si="2"/>
        <v>0</v>
      </c>
    </row>
    <row r="11" spans="1:26" x14ac:dyDescent="0.25">
      <c r="A11" s="4" t="s">
        <v>10</v>
      </c>
      <c r="B11" s="5">
        <v>46481</v>
      </c>
      <c r="D11" s="12"/>
      <c r="E11" s="12"/>
      <c r="F11" s="19" t="str">
        <f t="shared" si="0"/>
        <v/>
      </c>
      <c r="G11" s="1"/>
      <c r="H11" s="2"/>
      <c r="I11" s="2"/>
      <c r="J11" s="11"/>
      <c r="X11" s="5">
        <f t="shared" si="1"/>
        <v>0</v>
      </c>
      <c r="Y11" s="2">
        <f t="shared" si="2"/>
        <v>0</v>
      </c>
    </row>
    <row r="12" spans="1:26" x14ac:dyDescent="0.25">
      <c r="A12" s="4" t="s">
        <v>71</v>
      </c>
      <c r="B12" s="19">
        <f ca="1">IF(B16&lt;&gt;K3,(TODAY()-B11)*-1,"")</f>
        <v>186</v>
      </c>
      <c r="D12" s="12"/>
      <c r="E12" s="12"/>
      <c r="F12" s="19" t="str">
        <f t="shared" si="0"/>
        <v/>
      </c>
      <c r="G12" s="2"/>
      <c r="H12" s="1"/>
      <c r="I12" s="1"/>
      <c r="J12" s="11"/>
      <c r="X12" s="5">
        <f t="shared" si="1"/>
        <v>0</v>
      </c>
      <c r="Y12" s="2">
        <f t="shared" si="2"/>
        <v>0</v>
      </c>
    </row>
    <row r="13" spans="1:26" x14ac:dyDescent="0.25">
      <c r="A13" s="4"/>
      <c r="B13" s="2"/>
      <c r="D13" s="12"/>
      <c r="E13" s="12"/>
      <c r="F13" s="19" t="str">
        <f t="shared" si="0"/>
        <v/>
      </c>
      <c r="G13" s="1"/>
      <c r="H13" s="2"/>
      <c r="I13" s="2"/>
      <c r="J13" s="11"/>
      <c r="N13" s="14"/>
      <c r="X13" s="5">
        <f t="shared" si="1"/>
        <v>0</v>
      </c>
      <c r="Y13" s="2">
        <f t="shared" si="2"/>
        <v>0</v>
      </c>
    </row>
    <row r="14" spans="1:26" x14ac:dyDescent="0.25">
      <c r="A14" s="13"/>
      <c r="B14" s="20"/>
      <c r="D14" s="12"/>
      <c r="E14" s="5"/>
      <c r="F14" s="19" t="str">
        <f t="shared" si="0"/>
        <v/>
      </c>
      <c r="G14" s="1"/>
      <c r="H14" s="1"/>
      <c r="I14" s="1"/>
      <c r="J14" s="11"/>
      <c r="X14" s="5">
        <f t="shared" si="1"/>
        <v>0</v>
      </c>
      <c r="Y14" s="2">
        <f t="shared" si="2"/>
        <v>0</v>
      </c>
    </row>
    <row r="15" spans="1:26" x14ac:dyDescent="0.25">
      <c r="A15" s="4" t="s">
        <v>1</v>
      </c>
      <c r="B15" s="6">
        <v>0.125</v>
      </c>
      <c r="D15" s="12"/>
      <c r="E15" s="5"/>
      <c r="F15" s="19" t="str">
        <f t="shared" si="0"/>
        <v/>
      </c>
      <c r="G15" s="1"/>
      <c r="H15" s="1"/>
      <c r="I15" s="1"/>
      <c r="J15" s="11"/>
      <c r="K15" s="18"/>
      <c r="L15" s="18"/>
      <c r="M15" s="18"/>
      <c r="N15" s="18"/>
      <c r="O15" s="18"/>
      <c r="P15" s="18"/>
      <c r="Q15" s="18"/>
      <c r="X15" s="5">
        <f t="shared" si="1"/>
        <v>0</v>
      </c>
      <c r="Y15" s="2">
        <f t="shared" si="2"/>
        <v>0</v>
      </c>
    </row>
    <row r="16" spans="1:26" x14ac:dyDescent="0.25">
      <c r="A16" s="4" t="s">
        <v>72</v>
      </c>
      <c r="B16" s="2">
        <v>10.84</v>
      </c>
      <c r="D16" s="12"/>
      <c r="E16" s="5"/>
      <c r="F16" s="19" t="str">
        <f t="shared" si="0"/>
        <v/>
      </c>
      <c r="G16" s="1"/>
      <c r="H16" s="1"/>
      <c r="I16" s="1"/>
      <c r="J16" s="11"/>
      <c r="K16" s="9"/>
      <c r="L16" s="9"/>
      <c r="M16" s="9"/>
      <c r="N16" s="21"/>
      <c r="O16" s="22"/>
      <c r="P16" s="11"/>
      <c r="Q16" s="11"/>
      <c r="X16" s="5">
        <f t="shared" si="1"/>
        <v>0</v>
      </c>
      <c r="Y16" s="2">
        <f t="shared" si="2"/>
        <v>0</v>
      </c>
    </row>
    <row r="17" spans="2:25" x14ac:dyDescent="0.25">
      <c r="D17" s="12"/>
      <c r="E17" s="5"/>
      <c r="F17" s="19" t="str">
        <f t="shared" si="0"/>
        <v/>
      </c>
      <c r="G17" s="1"/>
      <c r="H17" s="1"/>
      <c r="I17" s="1"/>
      <c r="J17" s="11"/>
      <c r="X17" s="5">
        <f t="shared" si="1"/>
        <v>0</v>
      </c>
      <c r="Y17" s="2">
        <f t="shared" si="2"/>
        <v>0</v>
      </c>
    </row>
    <row r="18" spans="2:25" x14ac:dyDescent="0.25">
      <c r="D18" s="12"/>
      <c r="E18" s="5"/>
      <c r="F18" s="19" t="str">
        <f t="shared" si="0"/>
        <v/>
      </c>
      <c r="G18" s="1"/>
      <c r="H18" s="1"/>
      <c r="I18" s="1"/>
      <c r="J18" s="11"/>
      <c r="X18" s="5">
        <f t="shared" si="1"/>
        <v>0</v>
      </c>
      <c r="Y18" s="2">
        <f t="shared" si="2"/>
        <v>0</v>
      </c>
    </row>
    <row r="19" spans="2:25" x14ac:dyDescent="0.25">
      <c r="D19" s="12"/>
      <c r="E19" s="5"/>
      <c r="F19" s="19" t="str">
        <f t="shared" si="0"/>
        <v/>
      </c>
      <c r="G19" s="1"/>
      <c r="H19" s="1"/>
      <c r="I19" s="1"/>
      <c r="J19" s="11"/>
      <c r="X19" s="5">
        <f t="shared" si="1"/>
        <v>0</v>
      </c>
      <c r="Y19" s="2">
        <f t="shared" si="2"/>
        <v>0</v>
      </c>
    </row>
    <row r="20" spans="2:25" x14ac:dyDescent="0.25">
      <c r="D20" s="12"/>
      <c r="E20" s="5"/>
      <c r="F20" s="19" t="str">
        <f t="shared" si="0"/>
        <v/>
      </c>
      <c r="G20" s="1"/>
      <c r="H20" s="1"/>
      <c r="I20" s="1"/>
      <c r="J20" s="11"/>
      <c r="X20" s="5">
        <f t="shared" si="1"/>
        <v>0</v>
      </c>
      <c r="Y20" s="2">
        <f t="shared" si="2"/>
        <v>0</v>
      </c>
    </row>
    <row r="21" spans="2:25" x14ac:dyDescent="0.25">
      <c r="D21" s="12"/>
      <c r="E21" s="5"/>
      <c r="F21" s="19" t="str">
        <f t="shared" si="0"/>
        <v/>
      </c>
      <c r="G21" s="1"/>
      <c r="H21" s="1"/>
      <c r="I21" s="1"/>
      <c r="J21" s="11"/>
      <c r="X21" s="5">
        <f t="shared" si="1"/>
        <v>0</v>
      </c>
      <c r="Y21" s="2">
        <f t="shared" si="2"/>
        <v>0</v>
      </c>
    </row>
    <row r="22" spans="2:25" x14ac:dyDescent="0.25">
      <c r="D22" s="12"/>
      <c r="E22" s="5"/>
      <c r="F22" s="19" t="str">
        <f t="shared" si="0"/>
        <v/>
      </c>
      <c r="G22" s="1"/>
      <c r="H22" s="1"/>
      <c r="I22" s="1"/>
      <c r="J22" s="11"/>
      <c r="X22" s="5">
        <f t="shared" si="1"/>
        <v>0</v>
      </c>
      <c r="Y22" s="2">
        <f t="shared" si="2"/>
        <v>0</v>
      </c>
    </row>
    <row r="23" spans="2:25" x14ac:dyDescent="0.25">
      <c r="B23" s="22"/>
      <c r="D23" s="12"/>
      <c r="E23" s="5"/>
      <c r="F23" s="19" t="str">
        <f t="shared" si="0"/>
        <v/>
      </c>
      <c r="G23" s="1"/>
      <c r="H23" s="1"/>
      <c r="I23" s="1"/>
      <c r="J23" s="11"/>
      <c r="X23" s="5">
        <f t="shared" si="1"/>
        <v>0</v>
      </c>
      <c r="Y23" s="2">
        <f t="shared" si="2"/>
        <v>0</v>
      </c>
    </row>
    <row r="24" spans="2:25" x14ac:dyDescent="0.25">
      <c r="D24" s="12"/>
      <c r="E24" s="5"/>
      <c r="F24" s="19" t="str">
        <f t="shared" si="0"/>
        <v/>
      </c>
      <c r="G24" s="1"/>
      <c r="H24" s="1"/>
      <c r="I24" s="1"/>
      <c r="J24" s="11"/>
      <c r="X24" s="5">
        <f t="shared" si="1"/>
        <v>0</v>
      </c>
      <c r="Y24" s="2">
        <f t="shared" si="2"/>
        <v>0</v>
      </c>
    </row>
    <row r="25" spans="2:25" x14ac:dyDescent="0.25">
      <c r="D25" s="12"/>
      <c r="E25" s="5"/>
      <c r="F25" s="19" t="str">
        <f t="shared" si="0"/>
        <v/>
      </c>
      <c r="G25" s="1"/>
      <c r="H25" s="1"/>
      <c r="I25" s="1"/>
      <c r="J25" s="11"/>
      <c r="X25" s="5">
        <f t="shared" si="1"/>
        <v>0</v>
      </c>
      <c r="Y25" s="2">
        <f t="shared" si="2"/>
        <v>0</v>
      </c>
    </row>
    <row r="26" spans="2:25" x14ac:dyDescent="0.25">
      <c r="D26" s="12"/>
      <c r="E26" s="5"/>
      <c r="F26" s="19" t="str">
        <f t="shared" si="0"/>
        <v/>
      </c>
      <c r="G26" s="1"/>
      <c r="H26" s="1"/>
      <c r="I26" s="1"/>
      <c r="J26" s="11"/>
      <c r="X26" s="5">
        <f t="shared" si="1"/>
        <v>0</v>
      </c>
      <c r="Y26" s="2">
        <f t="shared" si="2"/>
        <v>0</v>
      </c>
    </row>
    <row r="27" spans="2:25" x14ac:dyDescent="0.25">
      <c r="D27" s="12"/>
      <c r="E27" s="5"/>
      <c r="F27" s="19" t="str">
        <f t="shared" si="0"/>
        <v/>
      </c>
      <c r="G27" s="1"/>
      <c r="H27" s="1"/>
      <c r="I27" s="1"/>
      <c r="J27" s="11"/>
      <c r="X27" s="5">
        <f t="shared" si="1"/>
        <v>0</v>
      </c>
      <c r="Y27" s="2">
        <f t="shared" si="2"/>
        <v>0</v>
      </c>
    </row>
    <row r="28" spans="2:25" x14ac:dyDescent="0.25">
      <c r="D28" s="12"/>
      <c r="E28" s="5"/>
      <c r="F28" s="19" t="str">
        <f t="shared" si="0"/>
        <v/>
      </c>
      <c r="G28" s="1"/>
      <c r="H28" s="1"/>
      <c r="I28" s="1"/>
      <c r="J28" s="11"/>
      <c r="X28" s="5">
        <f t="shared" si="1"/>
        <v>0</v>
      </c>
      <c r="Y28" s="2">
        <f t="shared" si="2"/>
        <v>0</v>
      </c>
    </row>
    <row r="29" spans="2:25" x14ac:dyDescent="0.25">
      <c r="D29" s="12"/>
      <c r="E29" s="5"/>
      <c r="F29" s="19" t="str">
        <f t="shared" si="0"/>
        <v/>
      </c>
      <c r="G29" s="1"/>
      <c r="H29" s="1"/>
      <c r="I29" s="1"/>
      <c r="J29" s="11"/>
      <c r="X29" s="5">
        <f t="shared" si="1"/>
        <v>0</v>
      </c>
      <c r="Y29" s="2">
        <f t="shared" si="2"/>
        <v>0</v>
      </c>
    </row>
    <row r="30" spans="2:25" x14ac:dyDescent="0.25">
      <c r="D30" s="12"/>
      <c r="E30" s="5"/>
      <c r="F30" s="19" t="str">
        <f t="shared" si="0"/>
        <v/>
      </c>
      <c r="G30" s="1"/>
      <c r="H30" s="1"/>
      <c r="I30" s="1"/>
      <c r="J30" s="11"/>
      <c r="X30" s="5">
        <f t="shared" si="1"/>
        <v>0</v>
      </c>
      <c r="Y30" s="2">
        <f t="shared" si="2"/>
        <v>0</v>
      </c>
    </row>
    <row r="31" spans="2:25" x14ac:dyDescent="0.25">
      <c r="D31" s="12"/>
      <c r="E31" s="5"/>
      <c r="F31" s="19" t="str">
        <f t="shared" si="0"/>
        <v/>
      </c>
      <c r="G31" s="1"/>
      <c r="H31" s="1"/>
      <c r="I31" s="1"/>
      <c r="J31" s="11"/>
      <c r="X31" s="5">
        <f t="shared" si="1"/>
        <v>0</v>
      </c>
      <c r="Y31" s="2">
        <f t="shared" si="2"/>
        <v>0</v>
      </c>
    </row>
    <row r="32" spans="2:25" x14ac:dyDescent="0.25">
      <c r="D32" s="12"/>
      <c r="E32" s="5"/>
      <c r="F32" s="19" t="str">
        <f t="shared" si="0"/>
        <v/>
      </c>
      <c r="G32" s="1"/>
      <c r="H32" s="1"/>
      <c r="I32" s="1"/>
      <c r="J32" s="11"/>
      <c r="X32" s="5">
        <f t="shared" si="1"/>
        <v>0</v>
      </c>
      <c r="Y32" s="2">
        <f t="shared" si="2"/>
        <v>0</v>
      </c>
    </row>
    <row r="33" spans="4:25" x14ac:dyDescent="0.25">
      <c r="D33" s="12"/>
      <c r="E33" s="5"/>
      <c r="F33" s="19" t="str">
        <f t="shared" si="0"/>
        <v/>
      </c>
      <c r="G33" s="1"/>
      <c r="H33" s="1"/>
      <c r="I33" s="1"/>
      <c r="J33" s="11"/>
      <c r="X33" s="5">
        <f t="shared" si="1"/>
        <v>0</v>
      </c>
      <c r="Y33" s="2">
        <f t="shared" si="2"/>
        <v>0</v>
      </c>
    </row>
    <row r="34" spans="4:25" x14ac:dyDescent="0.25">
      <c r="D34" s="12"/>
      <c r="E34" s="5"/>
      <c r="F34" s="19" t="str">
        <f t="shared" si="0"/>
        <v/>
      </c>
      <c r="G34" s="1"/>
      <c r="H34" s="1"/>
      <c r="I34" s="1"/>
      <c r="J34" s="11"/>
      <c r="X34" s="5">
        <f t="shared" si="1"/>
        <v>0</v>
      </c>
      <c r="Y34" s="2">
        <f t="shared" si="2"/>
        <v>0</v>
      </c>
    </row>
    <row r="35" spans="4:25" x14ac:dyDescent="0.25">
      <c r="D35" s="12"/>
      <c r="E35" s="5"/>
      <c r="F35" s="19" t="str">
        <f t="shared" si="0"/>
        <v/>
      </c>
      <c r="G35" s="1"/>
      <c r="H35" s="1"/>
      <c r="I35" s="1"/>
      <c r="J35" s="11"/>
      <c r="X35" s="5">
        <f t="shared" si="1"/>
        <v>0</v>
      </c>
      <c r="Y35" s="2">
        <f t="shared" si="2"/>
        <v>0</v>
      </c>
    </row>
    <row r="36" spans="4:25" x14ac:dyDescent="0.25">
      <c r="D36" s="12"/>
      <c r="E36" s="5"/>
      <c r="F36" s="19" t="str">
        <f t="shared" si="0"/>
        <v/>
      </c>
      <c r="G36" s="1"/>
      <c r="H36" s="1"/>
      <c r="I36" s="1"/>
      <c r="J36" s="11"/>
      <c r="X36" s="5">
        <f t="shared" si="1"/>
        <v>0</v>
      </c>
      <c r="Y36" s="2">
        <f t="shared" si="2"/>
        <v>0</v>
      </c>
    </row>
    <row r="37" spans="4:25" x14ac:dyDescent="0.25">
      <c r="D37" s="12"/>
      <c r="E37" s="5"/>
      <c r="F37" s="19" t="str">
        <f t="shared" si="0"/>
        <v/>
      </c>
      <c r="G37" s="1"/>
      <c r="H37" s="1"/>
      <c r="I37" s="1"/>
      <c r="J37" s="11"/>
      <c r="X37" s="5">
        <f t="shared" si="1"/>
        <v>0</v>
      </c>
      <c r="Y37" s="2">
        <f t="shared" si="2"/>
        <v>0</v>
      </c>
    </row>
    <row r="38" spans="4:25" x14ac:dyDescent="0.25">
      <c r="D38" s="12"/>
      <c r="E38" s="5"/>
      <c r="F38" s="19" t="str">
        <f t="shared" si="0"/>
        <v/>
      </c>
      <c r="G38" s="1"/>
      <c r="H38" s="1"/>
      <c r="I38" s="1"/>
      <c r="J38" s="11"/>
      <c r="X38" s="5">
        <f t="shared" si="1"/>
        <v>0</v>
      </c>
      <c r="Y38" s="2">
        <f t="shared" si="2"/>
        <v>0</v>
      </c>
    </row>
    <row r="39" spans="4:25" x14ac:dyDescent="0.25">
      <c r="D39" s="12"/>
      <c r="E39" s="5"/>
      <c r="F39" s="19" t="str">
        <f t="shared" si="0"/>
        <v/>
      </c>
      <c r="G39" s="1"/>
      <c r="H39" s="1"/>
      <c r="I39" s="1"/>
      <c r="J39" s="11"/>
      <c r="X39" s="5">
        <f t="shared" si="1"/>
        <v>0</v>
      </c>
      <c r="Y39" s="2">
        <f t="shared" si="2"/>
        <v>0</v>
      </c>
    </row>
    <row r="40" spans="4:25" x14ac:dyDescent="0.25">
      <c r="D40" s="12"/>
      <c r="E40" s="5"/>
      <c r="F40" s="19" t="str">
        <f t="shared" si="0"/>
        <v/>
      </c>
      <c r="G40" s="1"/>
      <c r="H40" s="1"/>
      <c r="I40" s="1"/>
      <c r="J40" s="11"/>
      <c r="X40" s="5">
        <f t="shared" si="1"/>
        <v>0</v>
      </c>
      <c r="Y40" s="2">
        <f t="shared" si="2"/>
        <v>0</v>
      </c>
    </row>
    <row r="41" spans="4:25" x14ac:dyDescent="0.25">
      <c r="D41" s="12"/>
      <c r="E41" s="5"/>
      <c r="F41" s="19" t="str">
        <f t="shared" si="0"/>
        <v/>
      </c>
      <c r="G41" s="1"/>
      <c r="H41" s="1"/>
      <c r="I41" s="1"/>
      <c r="J41" s="11"/>
      <c r="X41" s="5">
        <f t="shared" si="1"/>
        <v>0</v>
      </c>
      <c r="Y41" s="2">
        <f t="shared" si="2"/>
        <v>0</v>
      </c>
    </row>
    <row r="42" spans="4:25" x14ac:dyDescent="0.25">
      <c r="D42" s="12"/>
      <c r="E42" s="5"/>
      <c r="F42" s="19" t="str">
        <f t="shared" si="0"/>
        <v/>
      </c>
      <c r="G42" s="1"/>
      <c r="H42" s="1"/>
      <c r="I42" s="1"/>
      <c r="J42" s="11"/>
      <c r="X42" s="5">
        <f t="shared" si="1"/>
        <v>0</v>
      </c>
      <c r="Y42" s="2">
        <f t="shared" si="2"/>
        <v>0</v>
      </c>
    </row>
    <row r="43" spans="4:25" x14ac:dyDescent="0.25">
      <c r="D43" s="12"/>
      <c r="E43" s="5"/>
      <c r="F43" s="19" t="str">
        <f t="shared" si="0"/>
        <v/>
      </c>
      <c r="G43" s="1"/>
      <c r="H43" s="1"/>
      <c r="I43" s="1"/>
      <c r="J43" s="11"/>
      <c r="X43" s="5">
        <f t="shared" si="1"/>
        <v>0</v>
      </c>
      <c r="Y43" s="2">
        <f t="shared" si="2"/>
        <v>0</v>
      </c>
    </row>
    <row r="44" spans="4:25" x14ac:dyDescent="0.25">
      <c r="D44" s="12"/>
      <c r="E44" s="5"/>
      <c r="F44" s="19" t="str">
        <f t="shared" si="0"/>
        <v/>
      </c>
      <c r="G44" s="1"/>
      <c r="H44" s="1"/>
      <c r="I44" s="1"/>
      <c r="J44" s="11"/>
      <c r="X44" s="5">
        <f t="shared" si="1"/>
        <v>0</v>
      </c>
      <c r="Y44" s="2">
        <f t="shared" si="2"/>
        <v>0</v>
      </c>
    </row>
    <row r="45" spans="4:25" x14ac:dyDescent="0.25">
      <c r="D45" s="12"/>
      <c r="E45" s="5"/>
      <c r="F45" s="19" t="str">
        <f t="shared" si="0"/>
        <v/>
      </c>
      <c r="G45" s="1"/>
      <c r="H45" s="1"/>
      <c r="I45" s="1"/>
      <c r="J45" s="11"/>
      <c r="X45" s="5">
        <f t="shared" si="1"/>
        <v>0</v>
      </c>
      <c r="Y45" s="2">
        <f t="shared" si="2"/>
        <v>0</v>
      </c>
    </row>
    <row r="46" spans="4:25" x14ac:dyDescent="0.25">
      <c r="D46" s="12"/>
      <c r="E46" s="5"/>
      <c r="F46" s="19" t="str">
        <f t="shared" si="0"/>
        <v/>
      </c>
      <c r="G46" s="1"/>
      <c r="H46" s="1"/>
      <c r="I46" s="1"/>
      <c r="J46" s="11"/>
      <c r="X46" s="5">
        <f t="shared" si="1"/>
        <v>0</v>
      </c>
      <c r="Y46" s="2">
        <f t="shared" si="2"/>
        <v>0</v>
      </c>
    </row>
    <row r="47" spans="4:25" x14ac:dyDescent="0.25">
      <c r="D47" s="12"/>
      <c r="E47" s="5"/>
      <c r="F47" s="19" t="str">
        <f t="shared" si="0"/>
        <v/>
      </c>
      <c r="G47" s="1"/>
      <c r="H47" s="1"/>
      <c r="I47" s="1"/>
      <c r="J47" s="11"/>
      <c r="X47" s="5">
        <f t="shared" si="1"/>
        <v>0</v>
      </c>
      <c r="Y47" s="2">
        <f t="shared" si="2"/>
        <v>0</v>
      </c>
    </row>
    <row r="48" spans="4:25" x14ac:dyDescent="0.25">
      <c r="D48" s="12"/>
      <c r="E48" s="5"/>
      <c r="F48" s="19" t="str">
        <f t="shared" si="0"/>
        <v/>
      </c>
      <c r="G48" s="1"/>
      <c r="H48" s="1"/>
      <c r="I48" s="1"/>
      <c r="J48" s="11"/>
      <c r="X48" s="5">
        <f t="shared" si="1"/>
        <v>0</v>
      </c>
      <c r="Y48" s="2">
        <f t="shared" si="2"/>
        <v>0</v>
      </c>
    </row>
    <row r="49" spans="4:25" x14ac:dyDescent="0.25">
      <c r="D49" s="12"/>
      <c r="E49" s="5"/>
      <c r="F49" s="19" t="str">
        <f t="shared" si="0"/>
        <v/>
      </c>
      <c r="G49" s="1"/>
      <c r="H49" s="1"/>
      <c r="I49" s="1"/>
      <c r="J49" s="11"/>
      <c r="X49" s="5">
        <f t="shared" si="1"/>
        <v>0</v>
      </c>
      <c r="Y49" s="2">
        <f t="shared" si="2"/>
        <v>0</v>
      </c>
    </row>
    <row r="50" spans="4:25" x14ac:dyDescent="0.25">
      <c r="D50" s="12"/>
      <c r="E50" s="5"/>
      <c r="F50" s="19" t="str">
        <f t="shared" si="0"/>
        <v/>
      </c>
      <c r="G50" s="1"/>
      <c r="H50" s="1"/>
      <c r="I50" s="1"/>
      <c r="J50" s="11"/>
      <c r="X50" s="5">
        <f t="shared" si="1"/>
        <v>0</v>
      </c>
      <c r="Y50" s="2">
        <f t="shared" si="2"/>
        <v>0</v>
      </c>
    </row>
    <row r="51" spans="4:25" x14ac:dyDescent="0.25">
      <c r="D51" s="12"/>
      <c r="E51" s="5"/>
      <c r="F51" s="19" t="str">
        <f t="shared" si="0"/>
        <v/>
      </c>
      <c r="G51" s="1"/>
      <c r="H51" s="1"/>
      <c r="I51" s="1"/>
      <c r="J51" s="11"/>
      <c r="X51" s="5">
        <f t="shared" si="1"/>
        <v>0</v>
      </c>
      <c r="Y51" s="2">
        <f t="shared" si="2"/>
        <v>0</v>
      </c>
    </row>
    <row r="52" spans="4:25" x14ac:dyDescent="0.25">
      <c r="D52" s="12"/>
      <c r="E52" s="5"/>
      <c r="F52" s="19" t="str">
        <f t="shared" si="0"/>
        <v/>
      </c>
      <c r="G52" s="1"/>
      <c r="H52" s="1"/>
      <c r="I52" s="1"/>
      <c r="J52" s="9"/>
      <c r="X52" s="5">
        <f t="shared" si="1"/>
        <v>0</v>
      </c>
      <c r="Y52" s="2">
        <f t="shared" si="2"/>
        <v>0</v>
      </c>
    </row>
    <row r="53" spans="4:25" x14ac:dyDescent="0.25">
      <c r="D53" s="1" t="s">
        <v>25</v>
      </c>
      <c r="E53" s="23"/>
      <c r="F53" s="2"/>
      <c r="G53" s="2">
        <f>SUM(G3:G52)</f>
        <v>0</v>
      </c>
      <c r="H53" s="2">
        <f t="shared" ref="H53:I53" si="3">SUM(H3:H52)</f>
        <v>0.11</v>
      </c>
      <c r="I53" s="2">
        <f t="shared" si="3"/>
        <v>0</v>
      </c>
    </row>
  </sheetData>
  <mergeCells count="4">
    <mergeCell ref="D1:F1"/>
    <mergeCell ref="G1:I1"/>
    <mergeCell ref="K1:Q1"/>
    <mergeCell ref="X1:Z1"/>
  </mergeCells>
  <conditionalFormatting sqref="A1:B1">
    <cfRule type="expression" dxfId="175" priority="1">
      <formula>$Z$3="+"</formula>
    </cfRule>
    <cfRule type="expression" dxfId="174" priority="2">
      <formula>$B$16=$K$3</formula>
    </cfRule>
  </conditionalFormatting>
  <conditionalFormatting sqref="P3">
    <cfRule type="expression" dxfId="173" priority="3">
      <formula>$Z$3="+"</formula>
    </cfRule>
  </conditionalFormatting>
  <conditionalFormatting sqref="Z3">
    <cfRule type="expression" dxfId="172" priority="4">
      <formula>$Z$3="+"</formula>
    </cfRule>
  </conditionalFormatting>
  <dataValidations disablePrompts="1" count="1">
    <dataValidation type="list" allowBlank="1" showInputMessage="1" showErrorMessage="1" sqref="B2" xr:uid="{E9AB52EB-6DFD-4901-9947-9641948C231C}">
      <formula1>"Romania,Moldova,Cyprus,Philippines"</formula1>
    </dataValidation>
  </dataValidations>
  <pageMargins left="0.7" right="0.7" top="0.75" bottom="0.75" header="0.3" footer="0.3"/>
  <pageSetup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9A9A6-385B-4DF0-BD75-327A8AFE5F11}">
  <sheetPr>
    <tabColor rgb="FF92D050"/>
  </sheetPr>
  <dimension ref="A1:Z53"/>
  <sheetViews>
    <sheetView workbookViewId="0">
      <selection activeCell="G17" sqref="G17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1" customWidth="1"/>
    <col min="25" max="25" width="10.7109375" style="11" customWidth="1"/>
    <col min="26" max="26" width="10.7109375" customWidth="1"/>
  </cols>
  <sheetData>
    <row r="1" spans="1:26" x14ac:dyDescent="0.25">
      <c r="A1" s="4" t="s">
        <v>66</v>
      </c>
      <c r="B1" s="5" t="s">
        <v>92</v>
      </c>
      <c r="D1" s="29" t="s">
        <v>2</v>
      </c>
      <c r="E1" s="30"/>
      <c r="F1" s="31"/>
      <c r="G1" s="29" t="s">
        <v>0</v>
      </c>
      <c r="H1" s="30"/>
      <c r="I1" s="31"/>
      <c r="J1" s="18"/>
      <c r="K1" s="29" t="s">
        <v>58</v>
      </c>
      <c r="L1" s="30"/>
      <c r="M1" s="30"/>
      <c r="N1" s="30"/>
      <c r="O1" s="30"/>
      <c r="P1" s="30"/>
      <c r="Q1" s="31"/>
      <c r="X1" s="29"/>
      <c r="Y1" s="30"/>
      <c r="Z1" s="31"/>
    </row>
    <row r="2" spans="1:26" x14ac:dyDescent="0.25">
      <c r="A2" s="4" t="s">
        <v>21</v>
      </c>
      <c r="B2" s="5" t="s">
        <v>22</v>
      </c>
      <c r="D2" s="10" t="s">
        <v>49</v>
      </c>
      <c r="E2" s="10" t="s">
        <v>50</v>
      </c>
      <c r="F2" s="17" t="s">
        <v>67</v>
      </c>
      <c r="G2" s="10" t="s">
        <v>15</v>
      </c>
      <c r="H2" s="10" t="s">
        <v>16</v>
      </c>
      <c r="I2" s="10" t="s">
        <v>60</v>
      </c>
      <c r="J2" s="9"/>
      <c r="K2" s="10" t="s">
        <v>0</v>
      </c>
      <c r="L2" s="10" t="s">
        <v>1</v>
      </c>
      <c r="M2" s="10" t="s">
        <v>56</v>
      </c>
      <c r="N2" s="10" t="s">
        <v>57</v>
      </c>
      <c r="O2" s="10" t="s">
        <v>2</v>
      </c>
      <c r="P2" s="10" t="s">
        <v>68</v>
      </c>
      <c r="Q2" s="10" t="s">
        <v>67</v>
      </c>
      <c r="X2" s="10" t="s">
        <v>2</v>
      </c>
      <c r="Y2" s="10" t="s">
        <v>59</v>
      </c>
      <c r="Z2" s="10" t="s">
        <v>68</v>
      </c>
    </row>
    <row r="3" spans="1:26" x14ac:dyDescent="0.25">
      <c r="A3" s="4" t="s">
        <v>69</v>
      </c>
      <c r="B3" s="5" t="s">
        <v>73</v>
      </c>
      <c r="D3" s="12">
        <v>46234</v>
      </c>
      <c r="E3" s="12">
        <v>46234</v>
      </c>
      <c r="F3" s="19">
        <f t="shared" ref="F3:F52" si="0">IF(E3&gt;0,E3-D3,"")</f>
        <v>0</v>
      </c>
      <c r="G3" s="2">
        <v>1.1299999999999999</v>
      </c>
      <c r="H3" s="2">
        <v>0.03</v>
      </c>
      <c r="I3" s="2">
        <v>0</v>
      </c>
      <c r="J3" s="11"/>
      <c r="K3" s="2">
        <f>G53</f>
        <v>19.43</v>
      </c>
      <c r="L3" s="2">
        <f>H53</f>
        <v>0.18</v>
      </c>
      <c r="M3" s="2">
        <f>I53</f>
        <v>0.01</v>
      </c>
      <c r="N3" s="6">
        <f>IF(B16=K3,XIRR(Y3:Y52,X3:X52),"")</f>
        <v>8.0870053172111531E-2</v>
      </c>
      <c r="O3" s="5">
        <f>IF(B16=K3,MAX(E:E),"")</f>
        <v>46290</v>
      </c>
      <c r="P3" s="1" t="str">
        <f ca="1">IF(Z3="+",TODAY()-B11,"")</f>
        <v/>
      </c>
      <c r="Q3" s="1">
        <f>IF(B16=K3,MAX(E:E)-B11,"")</f>
        <v>-577</v>
      </c>
      <c r="T3" s="14"/>
      <c r="X3" s="5">
        <f>B9</f>
        <v>46226</v>
      </c>
      <c r="Y3" s="2">
        <f>B16*-1</f>
        <v>-19.43</v>
      </c>
      <c r="Z3" s="1" t="str">
        <f ca="1">IF(AND(TODAY()&gt;B11, K3&lt;&gt;B16), "+", "")</f>
        <v/>
      </c>
    </row>
    <row r="4" spans="1:26" x14ac:dyDescent="0.25">
      <c r="A4" s="4" t="s">
        <v>19</v>
      </c>
      <c r="B4" s="5" t="s">
        <v>79</v>
      </c>
      <c r="D4" s="12">
        <v>46265</v>
      </c>
      <c r="E4" s="12">
        <v>46265</v>
      </c>
      <c r="F4" s="19">
        <f t="shared" si="0"/>
        <v>0</v>
      </c>
      <c r="G4" s="2">
        <v>15.4</v>
      </c>
      <c r="H4" s="2">
        <v>0.12</v>
      </c>
      <c r="I4" s="2">
        <v>0.01</v>
      </c>
      <c r="J4" s="9"/>
      <c r="X4" s="5">
        <f>E3</f>
        <v>46234</v>
      </c>
      <c r="Y4" s="2">
        <f>G3+H3-I3</f>
        <v>1.1599999999999999</v>
      </c>
    </row>
    <row r="5" spans="1:26" x14ac:dyDescent="0.25">
      <c r="A5" s="4"/>
      <c r="B5" s="5"/>
      <c r="D5" s="12">
        <v>46290</v>
      </c>
      <c r="E5" s="12">
        <v>46290</v>
      </c>
      <c r="F5" s="19">
        <f t="shared" si="0"/>
        <v>0</v>
      </c>
      <c r="G5" s="2">
        <v>2.9</v>
      </c>
      <c r="H5" s="36">
        <v>0.03</v>
      </c>
      <c r="I5" s="2">
        <v>0</v>
      </c>
      <c r="J5" s="9"/>
      <c r="X5" s="5">
        <f t="shared" ref="X5:X52" si="1">E4</f>
        <v>46265</v>
      </c>
      <c r="Y5" s="2">
        <f t="shared" ref="Y5:Y52" si="2">G4+H4-I4</f>
        <v>15.51</v>
      </c>
    </row>
    <row r="6" spans="1:26" x14ac:dyDescent="0.25">
      <c r="A6" s="4"/>
      <c r="B6" s="5"/>
      <c r="D6" s="12"/>
      <c r="E6" s="12"/>
      <c r="F6" s="19" t="str">
        <f t="shared" si="0"/>
        <v/>
      </c>
      <c r="G6" s="2"/>
      <c r="H6" s="1"/>
      <c r="I6" s="2"/>
      <c r="J6" s="9"/>
      <c r="X6" s="5">
        <f t="shared" si="1"/>
        <v>46290</v>
      </c>
      <c r="Y6" s="2">
        <f t="shared" si="2"/>
        <v>2.9299999999999997</v>
      </c>
    </row>
    <row r="7" spans="1:26" x14ac:dyDescent="0.25">
      <c r="A7" s="4"/>
      <c r="B7" s="5"/>
      <c r="D7" s="12"/>
      <c r="E7" s="12"/>
      <c r="F7" s="19" t="str">
        <f t="shared" si="0"/>
        <v/>
      </c>
      <c r="G7" s="2"/>
      <c r="H7" s="1"/>
      <c r="I7" s="2"/>
      <c r="J7" s="11"/>
      <c r="X7" s="5">
        <f t="shared" si="1"/>
        <v>0</v>
      </c>
      <c r="Y7" s="2">
        <f t="shared" si="2"/>
        <v>0</v>
      </c>
    </row>
    <row r="8" spans="1:26" x14ac:dyDescent="0.25">
      <c r="A8" s="4" t="s">
        <v>24</v>
      </c>
      <c r="B8" s="5" t="str">
        <f>DATEDIF(B9,B11,"y") &amp; " m. " &amp; DATEDIF(B9,B11,"ym") &amp; " mėn. " &amp; DATEDIF(B9,B11,"md") &amp; " d."</f>
        <v>1 m. 9 mėn. 1 d.</v>
      </c>
      <c r="D8" s="12"/>
      <c r="E8" s="12"/>
      <c r="F8" s="19" t="str">
        <f t="shared" si="0"/>
        <v/>
      </c>
      <c r="G8" s="1"/>
      <c r="H8" s="1"/>
      <c r="I8" s="2"/>
      <c r="J8" s="9"/>
      <c r="X8" s="5">
        <f t="shared" si="1"/>
        <v>0</v>
      </c>
      <c r="Y8" s="2">
        <f t="shared" si="2"/>
        <v>0</v>
      </c>
    </row>
    <row r="9" spans="1:26" x14ac:dyDescent="0.25">
      <c r="A9" s="4" t="s">
        <v>11</v>
      </c>
      <c r="B9" s="5">
        <v>46226</v>
      </c>
      <c r="D9" s="12"/>
      <c r="E9" s="12"/>
      <c r="F9" s="19"/>
      <c r="G9" s="2"/>
      <c r="H9" s="2"/>
      <c r="I9" s="2"/>
      <c r="J9" s="11"/>
      <c r="X9" s="5">
        <f t="shared" si="1"/>
        <v>0</v>
      </c>
      <c r="Y9" s="2">
        <f t="shared" si="2"/>
        <v>0</v>
      </c>
    </row>
    <row r="10" spans="1:26" x14ac:dyDescent="0.25">
      <c r="A10" s="4" t="s">
        <v>70</v>
      </c>
      <c r="B10" s="5">
        <v>46219</v>
      </c>
      <c r="D10" s="12"/>
      <c r="E10" s="12"/>
      <c r="F10" s="19" t="str">
        <f t="shared" si="0"/>
        <v/>
      </c>
      <c r="G10" s="1"/>
      <c r="H10" s="1"/>
      <c r="I10" s="2"/>
      <c r="J10" s="11"/>
      <c r="X10" s="5">
        <f t="shared" si="1"/>
        <v>0</v>
      </c>
      <c r="Y10" s="2">
        <f t="shared" si="2"/>
        <v>0</v>
      </c>
    </row>
    <row r="11" spans="1:26" x14ac:dyDescent="0.25">
      <c r="A11" s="4" t="s">
        <v>10</v>
      </c>
      <c r="B11" s="5">
        <v>46867</v>
      </c>
      <c r="D11" s="12"/>
      <c r="E11" s="12"/>
      <c r="F11" s="19" t="str">
        <f t="shared" si="0"/>
        <v/>
      </c>
      <c r="G11" s="1"/>
      <c r="H11" s="2"/>
      <c r="I11" s="2"/>
      <c r="J11" s="11"/>
      <c r="X11" s="5">
        <f t="shared" si="1"/>
        <v>0</v>
      </c>
      <c r="Y11" s="2">
        <f t="shared" si="2"/>
        <v>0</v>
      </c>
    </row>
    <row r="12" spans="1:26" x14ac:dyDescent="0.25">
      <c r="A12" s="4" t="s">
        <v>71</v>
      </c>
      <c r="B12" s="19" t="str">
        <f ca="1">IF(B16&lt;&gt;K3,(TODAY()-B11)*-1,"")</f>
        <v/>
      </c>
      <c r="D12" s="12"/>
      <c r="E12" s="12"/>
      <c r="F12" s="19" t="str">
        <f t="shared" si="0"/>
        <v/>
      </c>
      <c r="G12" s="2"/>
      <c r="H12" s="1"/>
      <c r="I12" s="1"/>
      <c r="J12" s="11"/>
      <c r="X12" s="5">
        <f t="shared" si="1"/>
        <v>0</v>
      </c>
      <c r="Y12" s="2">
        <f t="shared" si="2"/>
        <v>0</v>
      </c>
    </row>
    <row r="13" spans="1:26" x14ac:dyDescent="0.25">
      <c r="A13" s="4"/>
      <c r="B13" s="2"/>
      <c r="D13" s="12"/>
      <c r="E13" s="12"/>
      <c r="F13" s="19" t="str">
        <f t="shared" si="0"/>
        <v/>
      </c>
      <c r="G13" s="1"/>
      <c r="H13" s="2"/>
      <c r="I13" s="2"/>
      <c r="J13" s="11"/>
      <c r="N13" s="14"/>
      <c r="X13" s="5">
        <f t="shared" si="1"/>
        <v>0</v>
      </c>
      <c r="Y13" s="2">
        <f t="shared" si="2"/>
        <v>0</v>
      </c>
    </row>
    <row r="14" spans="1:26" x14ac:dyDescent="0.25">
      <c r="A14" s="13"/>
      <c r="B14" s="20"/>
      <c r="D14" s="12"/>
      <c r="E14" s="5"/>
      <c r="F14" s="19" t="str">
        <f t="shared" si="0"/>
        <v/>
      </c>
      <c r="G14" s="1"/>
      <c r="H14" s="1"/>
      <c r="I14" s="1"/>
      <c r="J14" s="11"/>
      <c r="X14" s="5">
        <f t="shared" si="1"/>
        <v>0</v>
      </c>
      <c r="Y14" s="2">
        <f t="shared" si="2"/>
        <v>0</v>
      </c>
    </row>
    <row r="15" spans="1:26" x14ac:dyDescent="0.25">
      <c r="A15" s="4" t="s">
        <v>1</v>
      </c>
      <c r="B15" s="6">
        <v>0.125</v>
      </c>
      <c r="D15" s="12"/>
      <c r="E15" s="5"/>
      <c r="F15" s="19" t="str">
        <f t="shared" si="0"/>
        <v/>
      </c>
      <c r="G15" s="1"/>
      <c r="H15" s="1"/>
      <c r="I15" s="1"/>
      <c r="J15" s="11"/>
      <c r="K15" s="18"/>
      <c r="L15" s="18"/>
      <c r="M15" s="18"/>
      <c r="N15" s="18"/>
      <c r="O15" s="18"/>
      <c r="P15" s="18"/>
      <c r="Q15" s="18"/>
      <c r="X15" s="5">
        <f t="shared" si="1"/>
        <v>0</v>
      </c>
      <c r="Y15" s="2">
        <f t="shared" si="2"/>
        <v>0</v>
      </c>
    </row>
    <row r="16" spans="1:26" x14ac:dyDescent="0.25">
      <c r="A16" s="4" t="s">
        <v>72</v>
      </c>
      <c r="B16" s="2">
        <v>19.43</v>
      </c>
      <c r="D16" s="12"/>
      <c r="E16" s="5"/>
      <c r="F16" s="19" t="str">
        <f t="shared" si="0"/>
        <v/>
      </c>
      <c r="G16" s="1"/>
      <c r="H16" s="1"/>
      <c r="I16" s="1"/>
      <c r="J16" s="11"/>
      <c r="K16" s="9"/>
      <c r="L16" s="9"/>
      <c r="M16" s="9"/>
      <c r="N16" s="21"/>
      <c r="O16" s="22"/>
      <c r="P16" s="11"/>
      <c r="Q16" s="11"/>
      <c r="X16" s="5">
        <f t="shared" si="1"/>
        <v>0</v>
      </c>
      <c r="Y16" s="2">
        <f t="shared" si="2"/>
        <v>0</v>
      </c>
    </row>
    <row r="17" spans="2:25" x14ac:dyDescent="0.25">
      <c r="D17" s="12"/>
      <c r="E17" s="5"/>
      <c r="F17" s="19" t="str">
        <f t="shared" si="0"/>
        <v/>
      </c>
      <c r="G17" s="1"/>
      <c r="H17" s="1"/>
      <c r="I17" s="1"/>
      <c r="J17" s="11"/>
      <c r="X17" s="5">
        <f t="shared" si="1"/>
        <v>0</v>
      </c>
      <c r="Y17" s="2">
        <f t="shared" si="2"/>
        <v>0</v>
      </c>
    </row>
    <row r="18" spans="2:25" x14ac:dyDescent="0.25">
      <c r="D18" s="12"/>
      <c r="E18" s="5"/>
      <c r="F18" s="19" t="str">
        <f t="shared" si="0"/>
        <v/>
      </c>
      <c r="G18" s="1"/>
      <c r="H18" s="1"/>
      <c r="I18" s="1"/>
      <c r="J18" s="11"/>
      <c r="X18" s="5">
        <f t="shared" si="1"/>
        <v>0</v>
      </c>
      <c r="Y18" s="2">
        <f t="shared" si="2"/>
        <v>0</v>
      </c>
    </row>
    <row r="19" spans="2:25" x14ac:dyDescent="0.25">
      <c r="D19" s="12"/>
      <c r="E19" s="5"/>
      <c r="F19" s="19" t="str">
        <f t="shared" si="0"/>
        <v/>
      </c>
      <c r="G19" s="1"/>
      <c r="H19" s="1"/>
      <c r="I19" s="1"/>
      <c r="J19" s="11"/>
      <c r="X19" s="5">
        <f t="shared" si="1"/>
        <v>0</v>
      </c>
      <c r="Y19" s="2">
        <f t="shared" si="2"/>
        <v>0</v>
      </c>
    </row>
    <row r="20" spans="2:25" x14ac:dyDescent="0.25">
      <c r="D20" s="12"/>
      <c r="E20" s="5"/>
      <c r="F20" s="19" t="str">
        <f t="shared" si="0"/>
        <v/>
      </c>
      <c r="G20" s="1"/>
      <c r="H20" s="1"/>
      <c r="I20" s="1"/>
      <c r="J20" s="11"/>
      <c r="X20" s="5">
        <f t="shared" si="1"/>
        <v>0</v>
      </c>
      <c r="Y20" s="2">
        <f t="shared" si="2"/>
        <v>0</v>
      </c>
    </row>
    <row r="21" spans="2:25" x14ac:dyDescent="0.25">
      <c r="D21" s="12"/>
      <c r="E21" s="5"/>
      <c r="F21" s="19" t="str">
        <f t="shared" si="0"/>
        <v/>
      </c>
      <c r="G21" s="1"/>
      <c r="H21" s="1"/>
      <c r="I21" s="1"/>
      <c r="J21" s="11"/>
      <c r="X21" s="5">
        <f t="shared" si="1"/>
        <v>0</v>
      </c>
      <c r="Y21" s="2">
        <f t="shared" si="2"/>
        <v>0</v>
      </c>
    </row>
    <row r="22" spans="2:25" x14ac:dyDescent="0.25">
      <c r="D22" s="12"/>
      <c r="E22" s="5"/>
      <c r="F22" s="19" t="str">
        <f t="shared" si="0"/>
        <v/>
      </c>
      <c r="G22" s="1"/>
      <c r="H22" s="1"/>
      <c r="I22" s="1"/>
      <c r="J22" s="11"/>
      <c r="X22" s="5">
        <f t="shared" si="1"/>
        <v>0</v>
      </c>
      <c r="Y22" s="2">
        <f t="shared" si="2"/>
        <v>0</v>
      </c>
    </row>
    <row r="23" spans="2:25" x14ac:dyDescent="0.25">
      <c r="B23" s="22"/>
      <c r="D23" s="12"/>
      <c r="E23" s="5"/>
      <c r="F23" s="19" t="str">
        <f t="shared" si="0"/>
        <v/>
      </c>
      <c r="G23" s="1"/>
      <c r="H23" s="1"/>
      <c r="I23" s="1"/>
      <c r="J23" s="11"/>
      <c r="X23" s="5">
        <f t="shared" si="1"/>
        <v>0</v>
      </c>
      <c r="Y23" s="2">
        <f t="shared" si="2"/>
        <v>0</v>
      </c>
    </row>
    <row r="24" spans="2:25" x14ac:dyDescent="0.25">
      <c r="D24" s="12"/>
      <c r="E24" s="5"/>
      <c r="F24" s="19" t="str">
        <f t="shared" si="0"/>
        <v/>
      </c>
      <c r="G24" s="1"/>
      <c r="H24" s="1"/>
      <c r="I24" s="1"/>
      <c r="J24" s="11"/>
      <c r="X24" s="5">
        <f t="shared" si="1"/>
        <v>0</v>
      </c>
      <c r="Y24" s="2">
        <f t="shared" si="2"/>
        <v>0</v>
      </c>
    </row>
    <row r="25" spans="2:25" x14ac:dyDescent="0.25">
      <c r="D25" s="12"/>
      <c r="E25" s="5"/>
      <c r="F25" s="19" t="str">
        <f t="shared" si="0"/>
        <v/>
      </c>
      <c r="G25" s="1"/>
      <c r="H25" s="1"/>
      <c r="I25" s="1"/>
      <c r="J25" s="11"/>
      <c r="X25" s="5">
        <f t="shared" si="1"/>
        <v>0</v>
      </c>
      <c r="Y25" s="2">
        <f t="shared" si="2"/>
        <v>0</v>
      </c>
    </row>
    <row r="26" spans="2:25" x14ac:dyDescent="0.25">
      <c r="D26" s="12"/>
      <c r="E26" s="5"/>
      <c r="F26" s="19" t="str">
        <f t="shared" si="0"/>
        <v/>
      </c>
      <c r="G26" s="1"/>
      <c r="H26" s="1"/>
      <c r="I26" s="1"/>
      <c r="J26" s="11"/>
      <c r="X26" s="5">
        <f t="shared" si="1"/>
        <v>0</v>
      </c>
      <c r="Y26" s="2">
        <f t="shared" si="2"/>
        <v>0</v>
      </c>
    </row>
    <row r="27" spans="2:25" x14ac:dyDescent="0.25">
      <c r="D27" s="12"/>
      <c r="E27" s="5"/>
      <c r="F27" s="19" t="str">
        <f t="shared" si="0"/>
        <v/>
      </c>
      <c r="G27" s="1"/>
      <c r="H27" s="1"/>
      <c r="I27" s="1"/>
      <c r="J27" s="11"/>
      <c r="X27" s="5">
        <f t="shared" si="1"/>
        <v>0</v>
      </c>
      <c r="Y27" s="2">
        <f t="shared" si="2"/>
        <v>0</v>
      </c>
    </row>
    <row r="28" spans="2:25" x14ac:dyDescent="0.25">
      <c r="D28" s="12"/>
      <c r="E28" s="5"/>
      <c r="F28" s="19" t="str">
        <f t="shared" si="0"/>
        <v/>
      </c>
      <c r="G28" s="1"/>
      <c r="H28" s="1"/>
      <c r="I28" s="1"/>
      <c r="J28" s="11"/>
      <c r="X28" s="5">
        <f t="shared" si="1"/>
        <v>0</v>
      </c>
      <c r="Y28" s="2">
        <f t="shared" si="2"/>
        <v>0</v>
      </c>
    </row>
    <row r="29" spans="2:25" x14ac:dyDescent="0.25">
      <c r="D29" s="12"/>
      <c r="E29" s="5"/>
      <c r="F29" s="19" t="str">
        <f t="shared" si="0"/>
        <v/>
      </c>
      <c r="G29" s="1"/>
      <c r="H29" s="1"/>
      <c r="I29" s="1"/>
      <c r="J29" s="11"/>
      <c r="X29" s="5">
        <f t="shared" si="1"/>
        <v>0</v>
      </c>
      <c r="Y29" s="2">
        <f t="shared" si="2"/>
        <v>0</v>
      </c>
    </row>
    <row r="30" spans="2:25" x14ac:dyDescent="0.25">
      <c r="D30" s="12"/>
      <c r="E30" s="5"/>
      <c r="F30" s="19" t="str">
        <f t="shared" si="0"/>
        <v/>
      </c>
      <c r="G30" s="1"/>
      <c r="H30" s="1"/>
      <c r="I30" s="1"/>
      <c r="J30" s="11"/>
      <c r="X30" s="5">
        <f t="shared" si="1"/>
        <v>0</v>
      </c>
      <c r="Y30" s="2">
        <f t="shared" si="2"/>
        <v>0</v>
      </c>
    </row>
    <row r="31" spans="2:25" x14ac:dyDescent="0.25">
      <c r="D31" s="12"/>
      <c r="E31" s="5"/>
      <c r="F31" s="19" t="str">
        <f t="shared" si="0"/>
        <v/>
      </c>
      <c r="G31" s="1"/>
      <c r="H31" s="1"/>
      <c r="I31" s="1"/>
      <c r="J31" s="11"/>
      <c r="X31" s="5">
        <f t="shared" si="1"/>
        <v>0</v>
      </c>
      <c r="Y31" s="2">
        <f t="shared" si="2"/>
        <v>0</v>
      </c>
    </row>
    <row r="32" spans="2:25" x14ac:dyDescent="0.25">
      <c r="D32" s="12"/>
      <c r="E32" s="5"/>
      <c r="F32" s="19" t="str">
        <f t="shared" si="0"/>
        <v/>
      </c>
      <c r="G32" s="1"/>
      <c r="H32" s="1"/>
      <c r="I32" s="1"/>
      <c r="J32" s="11"/>
      <c r="X32" s="5">
        <f t="shared" si="1"/>
        <v>0</v>
      </c>
      <c r="Y32" s="2">
        <f t="shared" si="2"/>
        <v>0</v>
      </c>
    </row>
    <row r="33" spans="4:25" x14ac:dyDescent="0.25">
      <c r="D33" s="12"/>
      <c r="E33" s="5"/>
      <c r="F33" s="19" t="str">
        <f t="shared" si="0"/>
        <v/>
      </c>
      <c r="G33" s="1"/>
      <c r="H33" s="1"/>
      <c r="I33" s="1"/>
      <c r="J33" s="11"/>
      <c r="X33" s="5">
        <f t="shared" si="1"/>
        <v>0</v>
      </c>
      <c r="Y33" s="2">
        <f t="shared" si="2"/>
        <v>0</v>
      </c>
    </row>
    <row r="34" spans="4:25" x14ac:dyDescent="0.25">
      <c r="D34" s="12"/>
      <c r="E34" s="5"/>
      <c r="F34" s="19" t="str">
        <f t="shared" si="0"/>
        <v/>
      </c>
      <c r="G34" s="1"/>
      <c r="H34" s="1"/>
      <c r="I34" s="1"/>
      <c r="J34" s="11"/>
      <c r="X34" s="5">
        <f t="shared" si="1"/>
        <v>0</v>
      </c>
      <c r="Y34" s="2">
        <f t="shared" si="2"/>
        <v>0</v>
      </c>
    </row>
    <row r="35" spans="4:25" x14ac:dyDescent="0.25">
      <c r="D35" s="12"/>
      <c r="E35" s="5"/>
      <c r="F35" s="19" t="str">
        <f t="shared" si="0"/>
        <v/>
      </c>
      <c r="G35" s="1"/>
      <c r="H35" s="1"/>
      <c r="I35" s="1"/>
      <c r="J35" s="11"/>
      <c r="X35" s="5">
        <f t="shared" si="1"/>
        <v>0</v>
      </c>
      <c r="Y35" s="2">
        <f t="shared" si="2"/>
        <v>0</v>
      </c>
    </row>
    <row r="36" spans="4:25" x14ac:dyDescent="0.25">
      <c r="D36" s="12"/>
      <c r="E36" s="5"/>
      <c r="F36" s="19" t="str">
        <f t="shared" si="0"/>
        <v/>
      </c>
      <c r="G36" s="1"/>
      <c r="H36" s="1"/>
      <c r="I36" s="1"/>
      <c r="J36" s="11"/>
      <c r="X36" s="5">
        <f t="shared" si="1"/>
        <v>0</v>
      </c>
      <c r="Y36" s="2">
        <f t="shared" si="2"/>
        <v>0</v>
      </c>
    </row>
    <row r="37" spans="4:25" x14ac:dyDescent="0.25">
      <c r="D37" s="12"/>
      <c r="E37" s="5"/>
      <c r="F37" s="19" t="str">
        <f t="shared" si="0"/>
        <v/>
      </c>
      <c r="G37" s="1"/>
      <c r="H37" s="1"/>
      <c r="I37" s="1"/>
      <c r="J37" s="11"/>
      <c r="X37" s="5">
        <f t="shared" si="1"/>
        <v>0</v>
      </c>
      <c r="Y37" s="2">
        <f t="shared" si="2"/>
        <v>0</v>
      </c>
    </row>
    <row r="38" spans="4:25" x14ac:dyDescent="0.25">
      <c r="D38" s="12"/>
      <c r="E38" s="5"/>
      <c r="F38" s="19" t="str">
        <f t="shared" si="0"/>
        <v/>
      </c>
      <c r="G38" s="1"/>
      <c r="H38" s="1"/>
      <c r="I38" s="1"/>
      <c r="J38" s="11"/>
      <c r="X38" s="5">
        <f t="shared" si="1"/>
        <v>0</v>
      </c>
      <c r="Y38" s="2">
        <f t="shared" si="2"/>
        <v>0</v>
      </c>
    </row>
    <row r="39" spans="4:25" x14ac:dyDescent="0.25">
      <c r="D39" s="12"/>
      <c r="E39" s="5"/>
      <c r="F39" s="19" t="str">
        <f t="shared" si="0"/>
        <v/>
      </c>
      <c r="G39" s="1"/>
      <c r="H39" s="1"/>
      <c r="I39" s="1"/>
      <c r="J39" s="11"/>
      <c r="X39" s="5">
        <f t="shared" si="1"/>
        <v>0</v>
      </c>
      <c r="Y39" s="2">
        <f t="shared" si="2"/>
        <v>0</v>
      </c>
    </row>
    <row r="40" spans="4:25" x14ac:dyDescent="0.25">
      <c r="D40" s="12"/>
      <c r="E40" s="5"/>
      <c r="F40" s="19" t="str">
        <f t="shared" si="0"/>
        <v/>
      </c>
      <c r="G40" s="1"/>
      <c r="H40" s="1"/>
      <c r="I40" s="1"/>
      <c r="J40" s="11"/>
      <c r="X40" s="5">
        <f t="shared" si="1"/>
        <v>0</v>
      </c>
      <c r="Y40" s="2">
        <f t="shared" si="2"/>
        <v>0</v>
      </c>
    </row>
    <row r="41" spans="4:25" x14ac:dyDescent="0.25">
      <c r="D41" s="12"/>
      <c r="E41" s="5"/>
      <c r="F41" s="19" t="str">
        <f t="shared" si="0"/>
        <v/>
      </c>
      <c r="G41" s="1"/>
      <c r="H41" s="1"/>
      <c r="I41" s="1"/>
      <c r="J41" s="11"/>
      <c r="X41" s="5">
        <f t="shared" si="1"/>
        <v>0</v>
      </c>
      <c r="Y41" s="2">
        <f t="shared" si="2"/>
        <v>0</v>
      </c>
    </row>
    <row r="42" spans="4:25" x14ac:dyDescent="0.25">
      <c r="D42" s="12"/>
      <c r="E42" s="5"/>
      <c r="F42" s="19" t="str">
        <f t="shared" si="0"/>
        <v/>
      </c>
      <c r="G42" s="1"/>
      <c r="H42" s="1"/>
      <c r="I42" s="1"/>
      <c r="J42" s="11"/>
      <c r="X42" s="5">
        <f t="shared" si="1"/>
        <v>0</v>
      </c>
      <c r="Y42" s="2">
        <f t="shared" si="2"/>
        <v>0</v>
      </c>
    </row>
    <row r="43" spans="4:25" x14ac:dyDescent="0.25">
      <c r="D43" s="12"/>
      <c r="E43" s="5"/>
      <c r="F43" s="19" t="str">
        <f t="shared" si="0"/>
        <v/>
      </c>
      <c r="G43" s="1"/>
      <c r="H43" s="1"/>
      <c r="I43" s="1"/>
      <c r="J43" s="11"/>
      <c r="X43" s="5">
        <f t="shared" si="1"/>
        <v>0</v>
      </c>
      <c r="Y43" s="2">
        <f t="shared" si="2"/>
        <v>0</v>
      </c>
    </row>
    <row r="44" spans="4:25" x14ac:dyDescent="0.25">
      <c r="D44" s="12"/>
      <c r="E44" s="5"/>
      <c r="F44" s="19" t="str">
        <f t="shared" si="0"/>
        <v/>
      </c>
      <c r="G44" s="1"/>
      <c r="H44" s="1"/>
      <c r="I44" s="1"/>
      <c r="J44" s="11"/>
      <c r="X44" s="5">
        <f t="shared" si="1"/>
        <v>0</v>
      </c>
      <c r="Y44" s="2">
        <f t="shared" si="2"/>
        <v>0</v>
      </c>
    </row>
    <row r="45" spans="4:25" x14ac:dyDescent="0.25">
      <c r="D45" s="12"/>
      <c r="E45" s="5"/>
      <c r="F45" s="19" t="str">
        <f t="shared" si="0"/>
        <v/>
      </c>
      <c r="G45" s="1"/>
      <c r="H45" s="1"/>
      <c r="I45" s="1"/>
      <c r="J45" s="11"/>
      <c r="X45" s="5">
        <f t="shared" si="1"/>
        <v>0</v>
      </c>
      <c r="Y45" s="2">
        <f t="shared" si="2"/>
        <v>0</v>
      </c>
    </row>
    <row r="46" spans="4:25" x14ac:dyDescent="0.25">
      <c r="D46" s="12"/>
      <c r="E46" s="5"/>
      <c r="F46" s="19" t="str">
        <f t="shared" si="0"/>
        <v/>
      </c>
      <c r="G46" s="1"/>
      <c r="H46" s="1"/>
      <c r="I46" s="1"/>
      <c r="J46" s="11"/>
      <c r="X46" s="5">
        <f t="shared" si="1"/>
        <v>0</v>
      </c>
      <c r="Y46" s="2">
        <f t="shared" si="2"/>
        <v>0</v>
      </c>
    </row>
    <row r="47" spans="4:25" x14ac:dyDescent="0.25">
      <c r="D47" s="12"/>
      <c r="E47" s="5"/>
      <c r="F47" s="19" t="str">
        <f t="shared" si="0"/>
        <v/>
      </c>
      <c r="G47" s="1"/>
      <c r="H47" s="1"/>
      <c r="I47" s="1"/>
      <c r="J47" s="11"/>
      <c r="X47" s="5">
        <f t="shared" si="1"/>
        <v>0</v>
      </c>
      <c r="Y47" s="2">
        <f t="shared" si="2"/>
        <v>0</v>
      </c>
    </row>
    <row r="48" spans="4:25" x14ac:dyDescent="0.25">
      <c r="D48" s="12"/>
      <c r="E48" s="5"/>
      <c r="F48" s="19" t="str">
        <f t="shared" si="0"/>
        <v/>
      </c>
      <c r="G48" s="1"/>
      <c r="H48" s="1"/>
      <c r="I48" s="1"/>
      <c r="J48" s="11"/>
      <c r="X48" s="5">
        <f t="shared" si="1"/>
        <v>0</v>
      </c>
      <c r="Y48" s="2">
        <f t="shared" si="2"/>
        <v>0</v>
      </c>
    </row>
    <row r="49" spans="4:25" x14ac:dyDescent="0.25">
      <c r="D49" s="12"/>
      <c r="E49" s="5"/>
      <c r="F49" s="19" t="str">
        <f t="shared" si="0"/>
        <v/>
      </c>
      <c r="G49" s="1"/>
      <c r="H49" s="1"/>
      <c r="I49" s="1"/>
      <c r="J49" s="11"/>
      <c r="X49" s="5">
        <f t="shared" si="1"/>
        <v>0</v>
      </c>
      <c r="Y49" s="2">
        <f t="shared" si="2"/>
        <v>0</v>
      </c>
    </row>
    <row r="50" spans="4:25" x14ac:dyDescent="0.25">
      <c r="D50" s="12"/>
      <c r="E50" s="5"/>
      <c r="F50" s="19" t="str">
        <f t="shared" si="0"/>
        <v/>
      </c>
      <c r="G50" s="1"/>
      <c r="H50" s="1"/>
      <c r="I50" s="1"/>
      <c r="J50" s="11"/>
      <c r="X50" s="5">
        <f t="shared" si="1"/>
        <v>0</v>
      </c>
      <c r="Y50" s="2">
        <f t="shared" si="2"/>
        <v>0</v>
      </c>
    </row>
    <row r="51" spans="4:25" x14ac:dyDescent="0.25">
      <c r="D51" s="12"/>
      <c r="E51" s="5"/>
      <c r="F51" s="19" t="str">
        <f t="shared" si="0"/>
        <v/>
      </c>
      <c r="G51" s="1"/>
      <c r="H51" s="1"/>
      <c r="I51" s="1"/>
      <c r="J51" s="11"/>
      <c r="X51" s="5">
        <f t="shared" si="1"/>
        <v>0</v>
      </c>
      <c r="Y51" s="2">
        <f t="shared" si="2"/>
        <v>0</v>
      </c>
    </row>
    <row r="52" spans="4:25" x14ac:dyDescent="0.25">
      <c r="D52" s="12"/>
      <c r="E52" s="5"/>
      <c r="F52" s="19" t="str">
        <f t="shared" si="0"/>
        <v/>
      </c>
      <c r="G52" s="1"/>
      <c r="H52" s="1"/>
      <c r="I52" s="1"/>
      <c r="J52" s="9"/>
      <c r="X52" s="5">
        <f t="shared" si="1"/>
        <v>0</v>
      </c>
      <c r="Y52" s="2">
        <f t="shared" si="2"/>
        <v>0</v>
      </c>
    </row>
    <row r="53" spans="4:25" x14ac:dyDescent="0.25">
      <c r="D53" s="1" t="s">
        <v>25</v>
      </c>
      <c r="E53" s="23"/>
      <c r="F53" s="2"/>
      <c r="G53" s="2">
        <f>SUM(G3:G52)</f>
        <v>19.43</v>
      </c>
      <c r="H53" s="2">
        <f t="shared" ref="H53:I53" si="3">SUM(H3:H52)</f>
        <v>0.18</v>
      </c>
      <c r="I53" s="2">
        <f t="shared" si="3"/>
        <v>0.01</v>
      </c>
    </row>
  </sheetData>
  <mergeCells count="4">
    <mergeCell ref="D1:F1"/>
    <mergeCell ref="G1:I1"/>
    <mergeCell ref="K1:Q1"/>
    <mergeCell ref="X1:Z1"/>
  </mergeCells>
  <conditionalFormatting sqref="A1:B1">
    <cfRule type="expression" dxfId="171" priority="1">
      <formula>$Z$3="+"</formula>
    </cfRule>
    <cfRule type="expression" dxfId="170" priority="2">
      <formula>$B$16=$K$3</formula>
    </cfRule>
  </conditionalFormatting>
  <conditionalFormatting sqref="P3">
    <cfRule type="expression" dxfId="169" priority="3">
      <formula>$Z$3="+"</formula>
    </cfRule>
  </conditionalFormatting>
  <conditionalFormatting sqref="Z3">
    <cfRule type="expression" dxfId="168" priority="4">
      <formula>$Z$3="+"</formula>
    </cfRule>
  </conditionalFormatting>
  <dataValidations count="1">
    <dataValidation type="list" allowBlank="1" showInputMessage="1" showErrorMessage="1" sqref="B2" xr:uid="{56F9400A-505C-4AB5-9D2D-E8450A59CACD}">
      <formula1>"Romania,Moldova,Cyprus,Philippines"</formula1>
    </dataValidation>
  </dataValidations>
  <pageMargins left="0.7" right="0.7" top="0.75" bottom="0.75" header="0.3" footer="0.3"/>
  <pageSetup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64700-AB23-43E6-B90D-2FCA704D73A2}">
  <dimension ref="A1:Z53"/>
  <sheetViews>
    <sheetView workbookViewId="0">
      <selection activeCell="I6" sqref="I6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1" customWidth="1"/>
    <col min="25" max="25" width="10.7109375" style="11" customWidth="1"/>
    <col min="26" max="26" width="10.7109375" customWidth="1"/>
  </cols>
  <sheetData>
    <row r="1" spans="1:26" x14ac:dyDescent="0.25">
      <c r="A1" s="4" t="s">
        <v>66</v>
      </c>
      <c r="B1" s="5" t="s">
        <v>91</v>
      </c>
      <c r="D1" s="29" t="s">
        <v>2</v>
      </c>
      <c r="E1" s="30"/>
      <c r="F1" s="31"/>
      <c r="G1" s="29" t="s">
        <v>0</v>
      </c>
      <c r="H1" s="30"/>
      <c r="I1" s="31"/>
      <c r="J1" s="18"/>
      <c r="K1" s="29" t="s">
        <v>58</v>
      </c>
      <c r="L1" s="30"/>
      <c r="M1" s="30"/>
      <c r="N1" s="30"/>
      <c r="O1" s="30"/>
      <c r="P1" s="30"/>
      <c r="Q1" s="31"/>
      <c r="X1" s="29"/>
      <c r="Y1" s="30"/>
      <c r="Z1" s="31"/>
    </row>
    <row r="2" spans="1:26" x14ac:dyDescent="0.25">
      <c r="A2" s="4" t="s">
        <v>21</v>
      </c>
      <c r="B2" s="5" t="s">
        <v>41</v>
      </c>
      <c r="D2" s="10" t="s">
        <v>49</v>
      </c>
      <c r="E2" s="10" t="s">
        <v>50</v>
      </c>
      <c r="F2" s="17" t="s">
        <v>67</v>
      </c>
      <c r="G2" s="10" t="s">
        <v>15</v>
      </c>
      <c r="H2" s="10" t="s">
        <v>16</v>
      </c>
      <c r="I2" s="10" t="s">
        <v>60</v>
      </c>
      <c r="J2" s="9"/>
      <c r="K2" s="10" t="s">
        <v>0</v>
      </c>
      <c r="L2" s="10" t="s">
        <v>1</v>
      </c>
      <c r="M2" s="10" t="s">
        <v>56</v>
      </c>
      <c r="N2" s="10" t="s">
        <v>57</v>
      </c>
      <c r="O2" s="10" t="s">
        <v>2</v>
      </c>
      <c r="P2" s="10" t="s">
        <v>68</v>
      </c>
      <c r="Q2" s="10" t="s">
        <v>67</v>
      </c>
      <c r="X2" s="10" t="s">
        <v>2</v>
      </c>
      <c r="Y2" s="10" t="s">
        <v>59</v>
      </c>
      <c r="Z2" s="10" t="s">
        <v>68</v>
      </c>
    </row>
    <row r="3" spans="1:26" x14ac:dyDescent="0.25">
      <c r="A3" s="4" t="s">
        <v>69</v>
      </c>
      <c r="B3" s="5" t="s">
        <v>78</v>
      </c>
      <c r="D3" s="12">
        <v>46234</v>
      </c>
      <c r="E3" s="12">
        <v>46234</v>
      </c>
      <c r="F3" s="19">
        <f t="shared" ref="F3:F52" si="0">IF(E3&gt;0,E3-D3,"")</f>
        <v>0</v>
      </c>
      <c r="G3" s="2">
        <v>0</v>
      </c>
      <c r="H3" s="2">
        <v>0</v>
      </c>
      <c r="I3" s="2">
        <v>0</v>
      </c>
      <c r="J3" s="11"/>
      <c r="K3" s="2">
        <f>G53</f>
        <v>0</v>
      </c>
      <c r="L3" s="2">
        <f>H53</f>
        <v>0.26</v>
      </c>
      <c r="M3" s="2">
        <f>I53</f>
        <v>0</v>
      </c>
      <c r="N3" s="6" t="str">
        <f>IF(B16=K3,XIRR(Y3:Y52,X3:X52),"")</f>
        <v/>
      </c>
      <c r="O3" s="5" t="str">
        <f>IF(B16=K3,MAX(E:E),"")</f>
        <v/>
      </c>
      <c r="P3" s="1" t="str">
        <f ca="1">IF(Z3="+",TODAY()-B11,"")</f>
        <v/>
      </c>
      <c r="Q3" s="1" t="str">
        <f>IF(B16=K3,MAX(E:E)-B11,"")</f>
        <v/>
      </c>
      <c r="T3" s="14"/>
      <c r="X3" s="5">
        <f>B9</f>
        <v>46219</v>
      </c>
      <c r="Y3" s="2">
        <f>B16*-1</f>
        <v>-15.29</v>
      </c>
      <c r="Z3" s="1" t="str">
        <f ca="1">IF(AND(TODAY()&gt;B11, K3&lt;&gt;B16), "+", "")</f>
        <v/>
      </c>
    </row>
    <row r="4" spans="1:26" x14ac:dyDescent="0.25">
      <c r="A4" s="4" t="s">
        <v>19</v>
      </c>
      <c r="B4" s="5" t="s">
        <v>20</v>
      </c>
      <c r="D4" s="12">
        <v>46265</v>
      </c>
      <c r="E4" s="12">
        <v>46265</v>
      </c>
      <c r="F4" s="19">
        <f t="shared" si="0"/>
        <v>0</v>
      </c>
      <c r="G4" s="2">
        <v>0</v>
      </c>
      <c r="H4" s="2">
        <v>0.11</v>
      </c>
      <c r="I4" s="2">
        <v>0</v>
      </c>
      <c r="J4" s="9"/>
      <c r="X4" s="5">
        <f>E3</f>
        <v>46234</v>
      </c>
      <c r="Y4" s="2">
        <f>G3+H3-I3</f>
        <v>0</v>
      </c>
    </row>
    <row r="5" spans="1:26" x14ac:dyDescent="0.25">
      <c r="A5" s="4"/>
      <c r="B5" s="5"/>
      <c r="D5" s="12">
        <v>46295</v>
      </c>
      <c r="E5" s="12">
        <v>46295</v>
      </c>
      <c r="F5" s="19">
        <f t="shared" si="0"/>
        <v>0</v>
      </c>
      <c r="G5" s="2">
        <v>0</v>
      </c>
      <c r="H5" s="1">
        <v>0.15</v>
      </c>
      <c r="I5" s="2">
        <v>0</v>
      </c>
      <c r="J5" s="9"/>
      <c r="X5" s="5">
        <f t="shared" ref="X5:X52" si="1">E4</f>
        <v>46265</v>
      </c>
      <c r="Y5" s="2">
        <f t="shared" ref="Y5:Y52" si="2">G4+H4-I4</f>
        <v>0.11</v>
      </c>
    </row>
    <row r="6" spans="1:26" x14ac:dyDescent="0.25">
      <c r="A6" s="4"/>
      <c r="B6" s="5"/>
      <c r="D6" s="12"/>
      <c r="E6" s="12"/>
      <c r="F6" s="19" t="str">
        <f t="shared" si="0"/>
        <v/>
      </c>
      <c r="G6" s="2"/>
      <c r="H6" s="1"/>
      <c r="I6" s="2"/>
      <c r="J6" s="9"/>
      <c r="X6" s="5">
        <f t="shared" si="1"/>
        <v>46295</v>
      </c>
      <c r="Y6" s="2">
        <f t="shared" si="2"/>
        <v>0.15</v>
      </c>
    </row>
    <row r="7" spans="1:26" x14ac:dyDescent="0.25">
      <c r="A7" s="4"/>
      <c r="B7" s="5"/>
      <c r="D7" s="12"/>
      <c r="E7" s="12"/>
      <c r="F7" s="19" t="str">
        <f t="shared" si="0"/>
        <v/>
      </c>
      <c r="G7" s="2"/>
      <c r="H7" s="1"/>
      <c r="I7" s="2"/>
      <c r="J7" s="11"/>
      <c r="X7" s="5">
        <f t="shared" si="1"/>
        <v>0</v>
      </c>
      <c r="Y7" s="2">
        <f t="shared" si="2"/>
        <v>0</v>
      </c>
    </row>
    <row r="8" spans="1:26" x14ac:dyDescent="0.25">
      <c r="A8" s="4" t="s">
        <v>24</v>
      </c>
      <c r="B8" s="5" t="str">
        <f>DATEDIF(B9,B11,"y") &amp; " m. " &amp; DATEDIF(B9,B11,"ym") &amp; " mėn. " &amp; DATEDIF(B9,B11,"md") &amp; " d."</f>
        <v>0 m. 7 mėn. 12 d.</v>
      </c>
      <c r="D8" s="12"/>
      <c r="E8" s="12"/>
      <c r="F8" s="19" t="str">
        <f t="shared" si="0"/>
        <v/>
      </c>
      <c r="G8" s="1"/>
      <c r="H8" s="1"/>
      <c r="I8" s="2"/>
      <c r="J8" s="9"/>
      <c r="X8" s="5">
        <f t="shared" si="1"/>
        <v>0</v>
      </c>
      <c r="Y8" s="2">
        <f t="shared" si="2"/>
        <v>0</v>
      </c>
    </row>
    <row r="9" spans="1:26" x14ac:dyDescent="0.25">
      <c r="A9" s="4" t="s">
        <v>11</v>
      </c>
      <c r="B9" s="5">
        <v>46219</v>
      </c>
      <c r="D9" s="12"/>
      <c r="E9" s="12"/>
      <c r="F9" s="19"/>
      <c r="G9" s="2"/>
      <c r="H9" s="2"/>
      <c r="I9" s="2"/>
      <c r="J9" s="11"/>
      <c r="X9" s="5">
        <f t="shared" si="1"/>
        <v>0</v>
      </c>
      <c r="Y9" s="2">
        <f t="shared" si="2"/>
        <v>0</v>
      </c>
    </row>
    <row r="10" spans="1:26" x14ac:dyDescent="0.25">
      <c r="A10" s="4" t="s">
        <v>70</v>
      </c>
      <c r="B10" s="5">
        <v>46204</v>
      </c>
      <c r="D10" s="12"/>
      <c r="E10" s="12"/>
      <c r="F10" s="19" t="str">
        <f t="shared" si="0"/>
        <v/>
      </c>
      <c r="G10" s="1"/>
      <c r="H10" s="1"/>
      <c r="I10" s="2"/>
      <c r="J10" s="11"/>
      <c r="X10" s="5">
        <f t="shared" si="1"/>
        <v>0</v>
      </c>
      <c r="Y10" s="2">
        <f t="shared" si="2"/>
        <v>0</v>
      </c>
    </row>
    <row r="11" spans="1:26" x14ac:dyDescent="0.25">
      <c r="A11" s="4" t="s">
        <v>10</v>
      </c>
      <c r="B11" s="5">
        <v>46446</v>
      </c>
      <c r="D11" s="12"/>
      <c r="E11" s="12"/>
      <c r="F11" s="19" t="str">
        <f t="shared" si="0"/>
        <v/>
      </c>
      <c r="G11" s="1"/>
      <c r="H11" s="2"/>
      <c r="I11" s="2"/>
      <c r="J11" s="11"/>
      <c r="X11" s="5">
        <f t="shared" si="1"/>
        <v>0</v>
      </c>
      <c r="Y11" s="2">
        <f t="shared" si="2"/>
        <v>0</v>
      </c>
    </row>
    <row r="12" spans="1:26" x14ac:dyDescent="0.25">
      <c r="A12" s="4" t="s">
        <v>71</v>
      </c>
      <c r="B12" s="19">
        <f ca="1">IF(B16&lt;&gt;K3,(TODAY()-B11)*-1,"")</f>
        <v>151</v>
      </c>
      <c r="D12" s="12"/>
      <c r="E12" s="12"/>
      <c r="F12" s="19" t="str">
        <f t="shared" si="0"/>
        <v/>
      </c>
      <c r="G12" s="2"/>
      <c r="H12" s="1"/>
      <c r="I12" s="1"/>
      <c r="J12" s="11"/>
      <c r="X12" s="5">
        <f t="shared" si="1"/>
        <v>0</v>
      </c>
      <c r="Y12" s="2">
        <f t="shared" si="2"/>
        <v>0</v>
      </c>
    </row>
    <row r="13" spans="1:26" x14ac:dyDescent="0.25">
      <c r="A13" s="4"/>
      <c r="B13" s="2"/>
      <c r="D13" s="12"/>
      <c r="E13" s="12"/>
      <c r="F13" s="19" t="str">
        <f t="shared" si="0"/>
        <v/>
      </c>
      <c r="G13" s="1"/>
      <c r="H13" s="2"/>
      <c r="I13" s="2"/>
      <c r="J13" s="11"/>
      <c r="N13" s="14"/>
      <c r="X13" s="5">
        <f t="shared" si="1"/>
        <v>0</v>
      </c>
      <c r="Y13" s="2">
        <f t="shared" si="2"/>
        <v>0</v>
      </c>
    </row>
    <row r="14" spans="1:26" x14ac:dyDescent="0.25">
      <c r="A14" s="13"/>
      <c r="B14" s="20"/>
      <c r="D14" s="12"/>
      <c r="E14" s="5"/>
      <c r="F14" s="19" t="str">
        <f t="shared" si="0"/>
        <v/>
      </c>
      <c r="G14" s="1"/>
      <c r="H14" s="1"/>
      <c r="I14" s="1"/>
      <c r="J14" s="11"/>
      <c r="X14" s="5">
        <f t="shared" si="1"/>
        <v>0</v>
      </c>
      <c r="Y14" s="2">
        <f t="shared" si="2"/>
        <v>0</v>
      </c>
    </row>
    <row r="15" spans="1:26" x14ac:dyDescent="0.25">
      <c r="A15" s="4" t="s">
        <v>1</v>
      </c>
      <c r="B15" s="6">
        <v>0.11</v>
      </c>
      <c r="D15" s="12"/>
      <c r="E15" s="5"/>
      <c r="F15" s="19" t="str">
        <f t="shared" si="0"/>
        <v/>
      </c>
      <c r="G15" s="1"/>
      <c r="H15" s="1"/>
      <c r="I15" s="1"/>
      <c r="J15" s="11"/>
      <c r="K15" s="18"/>
      <c r="L15" s="18"/>
      <c r="M15" s="18"/>
      <c r="N15" s="18"/>
      <c r="O15" s="18"/>
      <c r="P15" s="18"/>
      <c r="Q15" s="18"/>
      <c r="X15" s="5">
        <f t="shared" si="1"/>
        <v>0</v>
      </c>
      <c r="Y15" s="2">
        <f t="shared" si="2"/>
        <v>0</v>
      </c>
    </row>
    <row r="16" spans="1:26" x14ac:dyDescent="0.25">
      <c r="A16" s="4" t="s">
        <v>72</v>
      </c>
      <c r="B16" s="2">
        <v>15.29</v>
      </c>
      <c r="D16" s="12"/>
      <c r="E16" s="5"/>
      <c r="F16" s="19" t="str">
        <f t="shared" si="0"/>
        <v/>
      </c>
      <c r="G16" s="1"/>
      <c r="H16" s="1"/>
      <c r="I16" s="1"/>
      <c r="J16" s="11"/>
      <c r="K16" s="9"/>
      <c r="L16" s="9"/>
      <c r="M16" s="9"/>
      <c r="N16" s="21"/>
      <c r="O16" s="22"/>
      <c r="P16" s="11"/>
      <c r="Q16" s="11"/>
      <c r="X16" s="5">
        <f t="shared" si="1"/>
        <v>0</v>
      </c>
      <c r="Y16" s="2">
        <f t="shared" si="2"/>
        <v>0</v>
      </c>
    </row>
    <row r="17" spans="2:25" x14ac:dyDescent="0.25">
      <c r="D17" s="12"/>
      <c r="E17" s="5"/>
      <c r="F17" s="19" t="str">
        <f t="shared" si="0"/>
        <v/>
      </c>
      <c r="G17" s="1"/>
      <c r="H17" s="1"/>
      <c r="I17" s="1"/>
      <c r="J17" s="11"/>
      <c r="X17" s="5">
        <f t="shared" si="1"/>
        <v>0</v>
      </c>
      <c r="Y17" s="2">
        <f t="shared" si="2"/>
        <v>0</v>
      </c>
    </row>
    <row r="18" spans="2:25" x14ac:dyDescent="0.25">
      <c r="D18" s="12"/>
      <c r="E18" s="5"/>
      <c r="F18" s="19" t="str">
        <f t="shared" si="0"/>
        <v/>
      </c>
      <c r="G18" s="1"/>
      <c r="H18" s="1"/>
      <c r="I18" s="1"/>
      <c r="J18" s="11"/>
      <c r="X18" s="5">
        <f t="shared" si="1"/>
        <v>0</v>
      </c>
      <c r="Y18" s="2">
        <f t="shared" si="2"/>
        <v>0</v>
      </c>
    </row>
    <row r="19" spans="2:25" x14ac:dyDescent="0.25">
      <c r="D19" s="12"/>
      <c r="E19" s="5"/>
      <c r="F19" s="19" t="str">
        <f t="shared" si="0"/>
        <v/>
      </c>
      <c r="G19" s="1"/>
      <c r="H19" s="1"/>
      <c r="I19" s="1"/>
      <c r="J19" s="11"/>
      <c r="X19" s="5">
        <f t="shared" si="1"/>
        <v>0</v>
      </c>
      <c r="Y19" s="2">
        <f t="shared" si="2"/>
        <v>0</v>
      </c>
    </row>
    <row r="20" spans="2:25" x14ac:dyDescent="0.25">
      <c r="D20" s="12"/>
      <c r="E20" s="5"/>
      <c r="F20" s="19" t="str">
        <f t="shared" si="0"/>
        <v/>
      </c>
      <c r="G20" s="1"/>
      <c r="H20" s="1"/>
      <c r="I20" s="1"/>
      <c r="J20" s="11"/>
      <c r="X20" s="5">
        <f t="shared" si="1"/>
        <v>0</v>
      </c>
      <c r="Y20" s="2">
        <f t="shared" si="2"/>
        <v>0</v>
      </c>
    </row>
    <row r="21" spans="2:25" x14ac:dyDescent="0.25">
      <c r="D21" s="12"/>
      <c r="E21" s="5"/>
      <c r="F21" s="19" t="str">
        <f t="shared" si="0"/>
        <v/>
      </c>
      <c r="G21" s="1"/>
      <c r="H21" s="1"/>
      <c r="I21" s="1"/>
      <c r="J21" s="11"/>
      <c r="X21" s="5">
        <f t="shared" si="1"/>
        <v>0</v>
      </c>
      <c r="Y21" s="2">
        <f t="shared" si="2"/>
        <v>0</v>
      </c>
    </row>
    <row r="22" spans="2:25" x14ac:dyDescent="0.25">
      <c r="D22" s="12"/>
      <c r="E22" s="5"/>
      <c r="F22" s="19" t="str">
        <f t="shared" si="0"/>
        <v/>
      </c>
      <c r="G22" s="1"/>
      <c r="H22" s="1"/>
      <c r="I22" s="1"/>
      <c r="J22" s="11"/>
      <c r="X22" s="5">
        <f t="shared" si="1"/>
        <v>0</v>
      </c>
      <c r="Y22" s="2">
        <f t="shared" si="2"/>
        <v>0</v>
      </c>
    </row>
    <row r="23" spans="2:25" x14ac:dyDescent="0.25">
      <c r="B23" s="22"/>
      <c r="D23" s="12"/>
      <c r="E23" s="5"/>
      <c r="F23" s="19" t="str">
        <f t="shared" si="0"/>
        <v/>
      </c>
      <c r="G23" s="1"/>
      <c r="H23" s="1"/>
      <c r="I23" s="1"/>
      <c r="J23" s="11"/>
      <c r="X23" s="5">
        <f t="shared" si="1"/>
        <v>0</v>
      </c>
      <c r="Y23" s="2">
        <f t="shared" si="2"/>
        <v>0</v>
      </c>
    </row>
    <row r="24" spans="2:25" x14ac:dyDescent="0.25">
      <c r="D24" s="12"/>
      <c r="E24" s="5"/>
      <c r="F24" s="19" t="str">
        <f t="shared" si="0"/>
        <v/>
      </c>
      <c r="G24" s="1"/>
      <c r="H24" s="1"/>
      <c r="I24" s="1"/>
      <c r="J24" s="11"/>
      <c r="X24" s="5">
        <f t="shared" si="1"/>
        <v>0</v>
      </c>
      <c r="Y24" s="2">
        <f t="shared" si="2"/>
        <v>0</v>
      </c>
    </row>
    <row r="25" spans="2:25" x14ac:dyDescent="0.25">
      <c r="D25" s="12"/>
      <c r="E25" s="5"/>
      <c r="F25" s="19" t="str">
        <f t="shared" si="0"/>
        <v/>
      </c>
      <c r="G25" s="1"/>
      <c r="H25" s="1"/>
      <c r="I25" s="1"/>
      <c r="J25" s="11"/>
      <c r="X25" s="5">
        <f t="shared" si="1"/>
        <v>0</v>
      </c>
      <c r="Y25" s="2">
        <f t="shared" si="2"/>
        <v>0</v>
      </c>
    </row>
    <row r="26" spans="2:25" x14ac:dyDescent="0.25">
      <c r="D26" s="12"/>
      <c r="E26" s="5"/>
      <c r="F26" s="19" t="str">
        <f t="shared" si="0"/>
        <v/>
      </c>
      <c r="G26" s="1"/>
      <c r="H26" s="1"/>
      <c r="I26" s="1"/>
      <c r="J26" s="11"/>
      <c r="X26" s="5">
        <f t="shared" si="1"/>
        <v>0</v>
      </c>
      <c r="Y26" s="2">
        <f t="shared" si="2"/>
        <v>0</v>
      </c>
    </row>
    <row r="27" spans="2:25" x14ac:dyDescent="0.25">
      <c r="D27" s="12"/>
      <c r="E27" s="5"/>
      <c r="F27" s="19" t="str">
        <f t="shared" si="0"/>
        <v/>
      </c>
      <c r="G27" s="1"/>
      <c r="H27" s="1"/>
      <c r="I27" s="1"/>
      <c r="J27" s="11"/>
      <c r="X27" s="5">
        <f t="shared" si="1"/>
        <v>0</v>
      </c>
      <c r="Y27" s="2">
        <f t="shared" si="2"/>
        <v>0</v>
      </c>
    </row>
    <row r="28" spans="2:25" x14ac:dyDescent="0.25">
      <c r="D28" s="12"/>
      <c r="E28" s="5"/>
      <c r="F28" s="19" t="str">
        <f t="shared" si="0"/>
        <v/>
      </c>
      <c r="G28" s="1"/>
      <c r="H28" s="1"/>
      <c r="I28" s="1"/>
      <c r="J28" s="11"/>
      <c r="X28" s="5">
        <f t="shared" si="1"/>
        <v>0</v>
      </c>
      <c r="Y28" s="2">
        <f t="shared" si="2"/>
        <v>0</v>
      </c>
    </row>
    <row r="29" spans="2:25" x14ac:dyDescent="0.25">
      <c r="D29" s="12"/>
      <c r="E29" s="5"/>
      <c r="F29" s="19" t="str">
        <f t="shared" si="0"/>
        <v/>
      </c>
      <c r="G29" s="1"/>
      <c r="H29" s="1"/>
      <c r="I29" s="1"/>
      <c r="J29" s="11"/>
      <c r="X29" s="5">
        <f t="shared" si="1"/>
        <v>0</v>
      </c>
      <c r="Y29" s="2">
        <f t="shared" si="2"/>
        <v>0</v>
      </c>
    </row>
    <row r="30" spans="2:25" x14ac:dyDescent="0.25">
      <c r="D30" s="12"/>
      <c r="E30" s="5"/>
      <c r="F30" s="19" t="str">
        <f t="shared" si="0"/>
        <v/>
      </c>
      <c r="G30" s="1"/>
      <c r="H30" s="1"/>
      <c r="I30" s="1"/>
      <c r="J30" s="11"/>
      <c r="X30" s="5">
        <f t="shared" si="1"/>
        <v>0</v>
      </c>
      <c r="Y30" s="2">
        <f t="shared" si="2"/>
        <v>0</v>
      </c>
    </row>
    <row r="31" spans="2:25" x14ac:dyDescent="0.25">
      <c r="D31" s="12"/>
      <c r="E31" s="5"/>
      <c r="F31" s="19" t="str">
        <f t="shared" si="0"/>
        <v/>
      </c>
      <c r="G31" s="1"/>
      <c r="H31" s="1"/>
      <c r="I31" s="1"/>
      <c r="J31" s="11"/>
      <c r="X31" s="5">
        <f t="shared" si="1"/>
        <v>0</v>
      </c>
      <c r="Y31" s="2">
        <f t="shared" si="2"/>
        <v>0</v>
      </c>
    </row>
    <row r="32" spans="2:25" x14ac:dyDescent="0.25">
      <c r="D32" s="12"/>
      <c r="E32" s="5"/>
      <c r="F32" s="19" t="str">
        <f t="shared" si="0"/>
        <v/>
      </c>
      <c r="G32" s="1"/>
      <c r="H32" s="1"/>
      <c r="I32" s="1"/>
      <c r="J32" s="11"/>
      <c r="X32" s="5">
        <f t="shared" si="1"/>
        <v>0</v>
      </c>
      <c r="Y32" s="2">
        <f t="shared" si="2"/>
        <v>0</v>
      </c>
    </row>
    <row r="33" spans="4:25" x14ac:dyDescent="0.25">
      <c r="D33" s="12"/>
      <c r="E33" s="5"/>
      <c r="F33" s="19" t="str">
        <f t="shared" si="0"/>
        <v/>
      </c>
      <c r="G33" s="1"/>
      <c r="H33" s="1"/>
      <c r="I33" s="1"/>
      <c r="J33" s="11"/>
      <c r="X33" s="5">
        <f t="shared" si="1"/>
        <v>0</v>
      </c>
      <c r="Y33" s="2">
        <f t="shared" si="2"/>
        <v>0</v>
      </c>
    </row>
    <row r="34" spans="4:25" x14ac:dyDescent="0.25">
      <c r="D34" s="12"/>
      <c r="E34" s="5"/>
      <c r="F34" s="19" t="str">
        <f t="shared" si="0"/>
        <v/>
      </c>
      <c r="G34" s="1"/>
      <c r="H34" s="1"/>
      <c r="I34" s="1"/>
      <c r="J34" s="11"/>
      <c r="X34" s="5">
        <f t="shared" si="1"/>
        <v>0</v>
      </c>
      <c r="Y34" s="2">
        <f t="shared" si="2"/>
        <v>0</v>
      </c>
    </row>
    <row r="35" spans="4:25" x14ac:dyDescent="0.25">
      <c r="D35" s="12"/>
      <c r="E35" s="5"/>
      <c r="F35" s="19" t="str">
        <f t="shared" si="0"/>
        <v/>
      </c>
      <c r="G35" s="1"/>
      <c r="H35" s="1"/>
      <c r="I35" s="1"/>
      <c r="J35" s="11"/>
      <c r="X35" s="5">
        <f t="shared" si="1"/>
        <v>0</v>
      </c>
      <c r="Y35" s="2">
        <f t="shared" si="2"/>
        <v>0</v>
      </c>
    </row>
    <row r="36" spans="4:25" x14ac:dyDescent="0.25">
      <c r="D36" s="12"/>
      <c r="E36" s="5"/>
      <c r="F36" s="19" t="str">
        <f t="shared" si="0"/>
        <v/>
      </c>
      <c r="G36" s="1"/>
      <c r="H36" s="1"/>
      <c r="I36" s="1"/>
      <c r="J36" s="11"/>
      <c r="X36" s="5">
        <f t="shared" si="1"/>
        <v>0</v>
      </c>
      <c r="Y36" s="2">
        <f t="shared" si="2"/>
        <v>0</v>
      </c>
    </row>
    <row r="37" spans="4:25" x14ac:dyDescent="0.25">
      <c r="D37" s="12"/>
      <c r="E37" s="5"/>
      <c r="F37" s="19" t="str">
        <f t="shared" si="0"/>
        <v/>
      </c>
      <c r="G37" s="1"/>
      <c r="H37" s="1"/>
      <c r="I37" s="1"/>
      <c r="J37" s="11"/>
      <c r="X37" s="5">
        <f t="shared" si="1"/>
        <v>0</v>
      </c>
      <c r="Y37" s="2">
        <f t="shared" si="2"/>
        <v>0</v>
      </c>
    </row>
    <row r="38" spans="4:25" x14ac:dyDescent="0.25">
      <c r="D38" s="12"/>
      <c r="E38" s="5"/>
      <c r="F38" s="19" t="str">
        <f t="shared" si="0"/>
        <v/>
      </c>
      <c r="G38" s="1"/>
      <c r="H38" s="1"/>
      <c r="I38" s="1"/>
      <c r="J38" s="11"/>
      <c r="X38" s="5">
        <f t="shared" si="1"/>
        <v>0</v>
      </c>
      <c r="Y38" s="2">
        <f t="shared" si="2"/>
        <v>0</v>
      </c>
    </row>
    <row r="39" spans="4:25" x14ac:dyDescent="0.25">
      <c r="D39" s="12"/>
      <c r="E39" s="5"/>
      <c r="F39" s="19" t="str">
        <f t="shared" si="0"/>
        <v/>
      </c>
      <c r="G39" s="1"/>
      <c r="H39" s="1"/>
      <c r="I39" s="1"/>
      <c r="J39" s="11"/>
      <c r="X39" s="5">
        <f t="shared" si="1"/>
        <v>0</v>
      </c>
      <c r="Y39" s="2">
        <f t="shared" si="2"/>
        <v>0</v>
      </c>
    </row>
    <row r="40" spans="4:25" x14ac:dyDescent="0.25">
      <c r="D40" s="12"/>
      <c r="E40" s="5"/>
      <c r="F40" s="19" t="str">
        <f t="shared" si="0"/>
        <v/>
      </c>
      <c r="G40" s="1"/>
      <c r="H40" s="1"/>
      <c r="I40" s="1"/>
      <c r="J40" s="11"/>
      <c r="X40" s="5">
        <f t="shared" si="1"/>
        <v>0</v>
      </c>
      <c r="Y40" s="2">
        <f t="shared" si="2"/>
        <v>0</v>
      </c>
    </row>
    <row r="41" spans="4:25" x14ac:dyDescent="0.25">
      <c r="D41" s="12"/>
      <c r="E41" s="5"/>
      <c r="F41" s="19" t="str">
        <f t="shared" si="0"/>
        <v/>
      </c>
      <c r="G41" s="1"/>
      <c r="H41" s="1"/>
      <c r="I41" s="1"/>
      <c r="J41" s="11"/>
      <c r="X41" s="5">
        <f t="shared" si="1"/>
        <v>0</v>
      </c>
      <c r="Y41" s="2">
        <f t="shared" si="2"/>
        <v>0</v>
      </c>
    </row>
    <row r="42" spans="4:25" x14ac:dyDescent="0.25">
      <c r="D42" s="12"/>
      <c r="E42" s="5"/>
      <c r="F42" s="19" t="str">
        <f t="shared" si="0"/>
        <v/>
      </c>
      <c r="G42" s="1"/>
      <c r="H42" s="1"/>
      <c r="I42" s="1"/>
      <c r="J42" s="11"/>
      <c r="X42" s="5">
        <f t="shared" si="1"/>
        <v>0</v>
      </c>
      <c r="Y42" s="2">
        <f t="shared" si="2"/>
        <v>0</v>
      </c>
    </row>
    <row r="43" spans="4:25" x14ac:dyDescent="0.25">
      <c r="D43" s="12"/>
      <c r="E43" s="5"/>
      <c r="F43" s="19" t="str">
        <f t="shared" si="0"/>
        <v/>
      </c>
      <c r="G43" s="1"/>
      <c r="H43" s="1"/>
      <c r="I43" s="1"/>
      <c r="J43" s="11"/>
      <c r="X43" s="5">
        <f t="shared" si="1"/>
        <v>0</v>
      </c>
      <c r="Y43" s="2">
        <f t="shared" si="2"/>
        <v>0</v>
      </c>
    </row>
    <row r="44" spans="4:25" x14ac:dyDescent="0.25">
      <c r="D44" s="12"/>
      <c r="E44" s="5"/>
      <c r="F44" s="19" t="str">
        <f t="shared" si="0"/>
        <v/>
      </c>
      <c r="G44" s="1"/>
      <c r="H44" s="1"/>
      <c r="I44" s="1"/>
      <c r="J44" s="11"/>
      <c r="X44" s="5">
        <f t="shared" si="1"/>
        <v>0</v>
      </c>
      <c r="Y44" s="2">
        <f t="shared" si="2"/>
        <v>0</v>
      </c>
    </row>
    <row r="45" spans="4:25" x14ac:dyDescent="0.25">
      <c r="D45" s="12"/>
      <c r="E45" s="5"/>
      <c r="F45" s="19" t="str">
        <f t="shared" si="0"/>
        <v/>
      </c>
      <c r="G45" s="1"/>
      <c r="H45" s="1"/>
      <c r="I45" s="1"/>
      <c r="J45" s="11"/>
      <c r="X45" s="5">
        <f t="shared" si="1"/>
        <v>0</v>
      </c>
      <c r="Y45" s="2">
        <f t="shared" si="2"/>
        <v>0</v>
      </c>
    </row>
    <row r="46" spans="4:25" x14ac:dyDescent="0.25">
      <c r="D46" s="12"/>
      <c r="E46" s="5"/>
      <c r="F46" s="19" t="str">
        <f t="shared" si="0"/>
        <v/>
      </c>
      <c r="G46" s="1"/>
      <c r="H46" s="1"/>
      <c r="I46" s="1"/>
      <c r="J46" s="11"/>
      <c r="X46" s="5">
        <f t="shared" si="1"/>
        <v>0</v>
      </c>
      <c r="Y46" s="2">
        <f t="shared" si="2"/>
        <v>0</v>
      </c>
    </row>
    <row r="47" spans="4:25" x14ac:dyDescent="0.25">
      <c r="D47" s="12"/>
      <c r="E47" s="5"/>
      <c r="F47" s="19" t="str">
        <f t="shared" si="0"/>
        <v/>
      </c>
      <c r="G47" s="1"/>
      <c r="H47" s="1"/>
      <c r="I47" s="1"/>
      <c r="J47" s="11"/>
      <c r="X47" s="5">
        <f t="shared" si="1"/>
        <v>0</v>
      </c>
      <c r="Y47" s="2">
        <f t="shared" si="2"/>
        <v>0</v>
      </c>
    </row>
    <row r="48" spans="4:25" x14ac:dyDescent="0.25">
      <c r="D48" s="12"/>
      <c r="E48" s="5"/>
      <c r="F48" s="19" t="str">
        <f t="shared" si="0"/>
        <v/>
      </c>
      <c r="G48" s="1"/>
      <c r="H48" s="1"/>
      <c r="I48" s="1"/>
      <c r="J48" s="11"/>
      <c r="X48" s="5">
        <f t="shared" si="1"/>
        <v>0</v>
      </c>
      <c r="Y48" s="2">
        <f t="shared" si="2"/>
        <v>0</v>
      </c>
    </row>
    <row r="49" spans="4:25" x14ac:dyDescent="0.25">
      <c r="D49" s="12"/>
      <c r="E49" s="5"/>
      <c r="F49" s="19" t="str">
        <f t="shared" si="0"/>
        <v/>
      </c>
      <c r="G49" s="1"/>
      <c r="H49" s="1"/>
      <c r="I49" s="1"/>
      <c r="J49" s="11"/>
      <c r="X49" s="5">
        <f t="shared" si="1"/>
        <v>0</v>
      </c>
      <c r="Y49" s="2">
        <f t="shared" si="2"/>
        <v>0</v>
      </c>
    </row>
    <row r="50" spans="4:25" x14ac:dyDescent="0.25">
      <c r="D50" s="12"/>
      <c r="E50" s="5"/>
      <c r="F50" s="19" t="str">
        <f t="shared" si="0"/>
        <v/>
      </c>
      <c r="G50" s="1"/>
      <c r="H50" s="1"/>
      <c r="I50" s="1"/>
      <c r="J50" s="11"/>
      <c r="X50" s="5">
        <f t="shared" si="1"/>
        <v>0</v>
      </c>
      <c r="Y50" s="2">
        <f t="shared" si="2"/>
        <v>0</v>
      </c>
    </row>
    <row r="51" spans="4:25" x14ac:dyDescent="0.25">
      <c r="D51" s="12"/>
      <c r="E51" s="5"/>
      <c r="F51" s="19" t="str">
        <f t="shared" si="0"/>
        <v/>
      </c>
      <c r="G51" s="1"/>
      <c r="H51" s="1"/>
      <c r="I51" s="1"/>
      <c r="J51" s="11"/>
      <c r="X51" s="5">
        <f t="shared" si="1"/>
        <v>0</v>
      </c>
      <c r="Y51" s="2">
        <f t="shared" si="2"/>
        <v>0</v>
      </c>
    </row>
    <row r="52" spans="4:25" x14ac:dyDescent="0.25">
      <c r="D52" s="12"/>
      <c r="E52" s="5"/>
      <c r="F52" s="19" t="str">
        <f t="shared" si="0"/>
        <v/>
      </c>
      <c r="G52" s="1"/>
      <c r="H52" s="1"/>
      <c r="I52" s="1"/>
      <c r="J52" s="9"/>
      <c r="X52" s="5">
        <f t="shared" si="1"/>
        <v>0</v>
      </c>
      <c r="Y52" s="2">
        <f t="shared" si="2"/>
        <v>0</v>
      </c>
    </row>
    <row r="53" spans="4:25" x14ac:dyDescent="0.25">
      <c r="D53" s="1" t="s">
        <v>25</v>
      </c>
      <c r="E53" s="23"/>
      <c r="F53" s="2"/>
      <c r="G53" s="2">
        <f>SUM(G3:G52)</f>
        <v>0</v>
      </c>
      <c r="H53" s="2">
        <f t="shared" ref="H53:I53" si="3">SUM(H3:H52)</f>
        <v>0.26</v>
      </c>
      <c r="I53" s="2">
        <f t="shared" si="3"/>
        <v>0</v>
      </c>
    </row>
  </sheetData>
  <mergeCells count="4">
    <mergeCell ref="D1:F1"/>
    <mergeCell ref="G1:I1"/>
    <mergeCell ref="K1:Q1"/>
    <mergeCell ref="X1:Z1"/>
  </mergeCells>
  <conditionalFormatting sqref="A1:B1">
    <cfRule type="expression" dxfId="167" priority="1">
      <formula>$Z$3="+"</formula>
    </cfRule>
    <cfRule type="expression" dxfId="166" priority="2">
      <formula>$B$16=$K$3</formula>
    </cfRule>
  </conditionalFormatting>
  <conditionalFormatting sqref="P3">
    <cfRule type="expression" dxfId="165" priority="3">
      <formula>$Z$3="+"</formula>
    </cfRule>
  </conditionalFormatting>
  <conditionalFormatting sqref="Z3">
    <cfRule type="expression" dxfId="164" priority="4">
      <formula>$Z$3="+"</formula>
    </cfRule>
  </conditionalFormatting>
  <dataValidations count="1">
    <dataValidation type="list" allowBlank="1" showInputMessage="1" showErrorMessage="1" sqref="B2" xr:uid="{FD3F4C62-4E7A-4421-9360-9A3978832DC8}">
      <formula1>"Romania,Moldova,Cyprus,Philippines,Latvia"</formula1>
    </dataValidation>
  </dataValidations>
  <pageMargins left="0.7" right="0.7" top="0.75" bottom="0.75" header="0.3" footer="0.3"/>
  <pageSetup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CB12D-B93D-43A1-8C61-BE966837C948}">
  <dimension ref="A1:Z53"/>
  <sheetViews>
    <sheetView workbookViewId="0">
      <selection activeCell="I6" sqref="I6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1" customWidth="1"/>
    <col min="25" max="25" width="10.7109375" style="11" customWidth="1"/>
    <col min="26" max="26" width="10.7109375" customWidth="1"/>
  </cols>
  <sheetData>
    <row r="1" spans="1:26" x14ac:dyDescent="0.25">
      <c r="A1" s="4" t="s">
        <v>66</v>
      </c>
      <c r="B1" s="5" t="s">
        <v>90</v>
      </c>
      <c r="D1" s="29" t="s">
        <v>2</v>
      </c>
      <c r="E1" s="30"/>
      <c r="F1" s="31"/>
      <c r="G1" s="29" t="s">
        <v>0</v>
      </c>
      <c r="H1" s="30"/>
      <c r="I1" s="31"/>
      <c r="J1" s="18"/>
      <c r="K1" s="29" t="s">
        <v>58</v>
      </c>
      <c r="L1" s="30"/>
      <c r="M1" s="30"/>
      <c r="N1" s="30"/>
      <c r="O1" s="30"/>
      <c r="P1" s="30"/>
      <c r="Q1" s="31"/>
      <c r="X1" s="29"/>
      <c r="Y1" s="30"/>
      <c r="Z1" s="31"/>
    </row>
    <row r="2" spans="1:26" x14ac:dyDescent="0.25">
      <c r="A2" s="4" t="s">
        <v>21</v>
      </c>
      <c r="B2" s="5" t="s">
        <v>41</v>
      </c>
      <c r="D2" s="10" t="s">
        <v>49</v>
      </c>
      <c r="E2" s="10" t="s">
        <v>50</v>
      </c>
      <c r="F2" s="17" t="s">
        <v>67</v>
      </c>
      <c r="G2" s="10" t="s">
        <v>15</v>
      </c>
      <c r="H2" s="10" t="s">
        <v>16</v>
      </c>
      <c r="I2" s="10" t="s">
        <v>60</v>
      </c>
      <c r="J2" s="9"/>
      <c r="K2" s="10" t="s">
        <v>0</v>
      </c>
      <c r="L2" s="10" t="s">
        <v>1</v>
      </c>
      <c r="M2" s="10" t="s">
        <v>56</v>
      </c>
      <c r="N2" s="10" t="s">
        <v>57</v>
      </c>
      <c r="O2" s="10" t="s">
        <v>2</v>
      </c>
      <c r="P2" s="10" t="s">
        <v>68</v>
      </c>
      <c r="Q2" s="10" t="s">
        <v>67</v>
      </c>
      <c r="X2" s="10" t="s">
        <v>2</v>
      </c>
      <c r="Y2" s="10" t="s">
        <v>59</v>
      </c>
      <c r="Z2" s="10" t="s">
        <v>68</v>
      </c>
    </row>
    <row r="3" spans="1:26" x14ac:dyDescent="0.25">
      <c r="A3" s="4" t="s">
        <v>69</v>
      </c>
      <c r="B3" s="5" t="s">
        <v>78</v>
      </c>
      <c r="D3" s="12">
        <v>46234</v>
      </c>
      <c r="E3" s="12">
        <v>46234</v>
      </c>
      <c r="F3" s="19">
        <f t="shared" ref="F3:F52" si="0">IF(E3&gt;0,E3-D3,"")</f>
        <v>0</v>
      </c>
      <c r="G3" s="2">
        <v>0</v>
      </c>
      <c r="H3" s="2">
        <v>0</v>
      </c>
      <c r="I3" s="2">
        <v>0</v>
      </c>
      <c r="J3" s="11"/>
      <c r="K3" s="2">
        <f>G53</f>
        <v>0</v>
      </c>
      <c r="L3" s="2">
        <f>H53</f>
        <v>0.3</v>
      </c>
      <c r="M3" s="2">
        <f>I53</f>
        <v>0</v>
      </c>
      <c r="N3" s="6" t="str">
        <f>IF(B16=K3,XIRR(Y3:Y52,X3:X52),"")</f>
        <v/>
      </c>
      <c r="O3" s="5" t="str">
        <f>IF(B16=K3,MAX(E:E),"")</f>
        <v/>
      </c>
      <c r="P3" s="1" t="str">
        <f ca="1">IF(Z3="+",TODAY()-B11,"")</f>
        <v/>
      </c>
      <c r="Q3" s="1" t="str">
        <f>IF(B16=K3,MAX(E:E)-B11,"")</f>
        <v/>
      </c>
      <c r="T3" s="14"/>
      <c r="X3" s="5">
        <f>B9</f>
        <v>46213</v>
      </c>
      <c r="Y3" s="2">
        <f>B16*-1</f>
        <v>-16.02</v>
      </c>
      <c r="Z3" s="1" t="str">
        <f ca="1">IF(AND(TODAY()&gt;B11, K3&lt;&gt;B16), "+", "")</f>
        <v/>
      </c>
    </row>
    <row r="4" spans="1:26" x14ac:dyDescent="0.25">
      <c r="A4" s="4" t="s">
        <v>19</v>
      </c>
      <c r="B4" s="5" t="s">
        <v>20</v>
      </c>
      <c r="D4" s="12">
        <v>46265</v>
      </c>
      <c r="E4" s="12">
        <v>46265</v>
      </c>
      <c r="F4" s="19">
        <f t="shared" si="0"/>
        <v>0</v>
      </c>
      <c r="G4" s="2">
        <v>0</v>
      </c>
      <c r="H4" s="2">
        <v>0.15</v>
      </c>
      <c r="I4" s="2">
        <v>0</v>
      </c>
      <c r="J4" s="9"/>
      <c r="X4" s="5">
        <f>E3</f>
        <v>46234</v>
      </c>
      <c r="Y4" s="2">
        <f>G3+H3-I3</f>
        <v>0</v>
      </c>
    </row>
    <row r="5" spans="1:26" x14ac:dyDescent="0.25">
      <c r="A5" s="4"/>
      <c r="B5" s="5"/>
      <c r="D5" s="12">
        <v>46295</v>
      </c>
      <c r="E5" s="12">
        <v>46295</v>
      </c>
      <c r="F5" s="19">
        <f t="shared" si="0"/>
        <v>0</v>
      </c>
      <c r="G5" s="2">
        <v>0</v>
      </c>
      <c r="H5" s="1">
        <v>0.15</v>
      </c>
      <c r="I5" s="2">
        <v>0</v>
      </c>
      <c r="J5" s="9"/>
      <c r="X5" s="5">
        <f t="shared" ref="X5:X52" si="1">E4</f>
        <v>46265</v>
      </c>
      <c r="Y5" s="2">
        <f t="shared" ref="Y5:Y52" si="2">G4+H4-I4</f>
        <v>0.15</v>
      </c>
    </row>
    <row r="6" spans="1:26" x14ac:dyDescent="0.25">
      <c r="A6" s="4"/>
      <c r="B6" s="5"/>
      <c r="D6" s="12"/>
      <c r="E6" s="12"/>
      <c r="F6" s="19" t="str">
        <f t="shared" si="0"/>
        <v/>
      </c>
      <c r="G6" s="2"/>
      <c r="H6" s="1"/>
      <c r="I6" s="2"/>
      <c r="J6" s="9"/>
      <c r="X6" s="5">
        <f t="shared" si="1"/>
        <v>46295</v>
      </c>
      <c r="Y6" s="2">
        <f t="shared" si="2"/>
        <v>0.15</v>
      </c>
    </row>
    <row r="7" spans="1:26" x14ac:dyDescent="0.25">
      <c r="A7" s="4"/>
      <c r="B7" s="5"/>
      <c r="D7" s="12"/>
      <c r="E7" s="12"/>
      <c r="F7" s="19" t="str">
        <f t="shared" si="0"/>
        <v/>
      </c>
      <c r="G7" s="2"/>
      <c r="H7" s="1"/>
      <c r="I7" s="2"/>
      <c r="J7" s="11"/>
      <c r="X7" s="5">
        <f t="shared" si="1"/>
        <v>0</v>
      </c>
      <c r="Y7" s="2">
        <f t="shared" si="2"/>
        <v>0</v>
      </c>
    </row>
    <row r="8" spans="1:26" x14ac:dyDescent="0.25">
      <c r="A8" s="4" t="s">
        <v>24</v>
      </c>
      <c r="B8" s="5" t="str">
        <f>DATEDIF(B9,B11,"y") &amp; " m. " &amp; DATEDIF(B9,B11,"ym") &amp; " mėn. " &amp; DATEDIF(B9,B11,"md") &amp; " d."</f>
        <v>0 m. 7 mėn. 18 d.</v>
      </c>
      <c r="D8" s="12"/>
      <c r="E8" s="12"/>
      <c r="F8" s="19" t="str">
        <f t="shared" si="0"/>
        <v/>
      </c>
      <c r="G8" s="1"/>
      <c r="H8" s="1"/>
      <c r="I8" s="2"/>
      <c r="J8" s="9"/>
      <c r="X8" s="5">
        <f t="shared" si="1"/>
        <v>0</v>
      </c>
      <c r="Y8" s="2">
        <f t="shared" si="2"/>
        <v>0</v>
      </c>
    </row>
    <row r="9" spans="1:26" x14ac:dyDescent="0.25">
      <c r="A9" s="4" t="s">
        <v>11</v>
      </c>
      <c r="B9" s="5">
        <v>46213</v>
      </c>
      <c r="D9" s="12"/>
      <c r="E9" s="12"/>
      <c r="F9" s="19"/>
      <c r="G9" s="2"/>
      <c r="H9" s="2"/>
      <c r="I9" s="2"/>
      <c r="J9" s="11"/>
      <c r="X9" s="5">
        <f t="shared" si="1"/>
        <v>0</v>
      </c>
      <c r="Y9" s="2">
        <f t="shared" si="2"/>
        <v>0</v>
      </c>
    </row>
    <row r="10" spans="1:26" x14ac:dyDescent="0.25">
      <c r="A10" s="4" t="s">
        <v>70</v>
      </c>
      <c r="B10" s="5">
        <v>46204</v>
      </c>
      <c r="D10" s="12"/>
      <c r="E10" s="12"/>
      <c r="F10" s="19" t="str">
        <f t="shared" si="0"/>
        <v/>
      </c>
      <c r="G10" s="1"/>
      <c r="H10" s="1"/>
      <c r="I10" s="2"/>
      <c r="J10" s="11"/>
      <c r="X10" s="5">
        <f t="shared" si="1"/>
        <v>0</v>
      </c>
      <c r="Y10" s="2">
        <f t="shared" si="2"/>
        <v>0</v>
      </c>
    </row>
    <row r="11" spans="1:26" x14ac:dyDescent="0.25">
      <c r="A11" s="4" t="s">
        <v>10</v>
      </c>
      <c r="B11" s="5">
        <v>46446</v>
      </c>
      <c r="D11" s="12"/>
      <c r="E11" s="12"/>
      <c r="F11" s="19" t="str">
        <f t="shared" si="0"/>
        <v/>
      </c>
      <c r="G11" s="1"/>
      <c r="H11" s="2"/>
      <c r="I11" s="2"/>
      <c r="J11" s="11"/>
      <c r="X11" s="5">
        <f t="shared" si="1"/>
        <v>0</v>
      </c>
      <c r="Y11" s="2">
        <f t="shared" si="2"/>
        <v>0</v>
      </c>
    </row>
    <row r="12" spans="1:26" x14ac:dyDescent="0.25">
      <c r="A12" s="4" t="s">
        <v>71</v>
      </c>
      <c r="B12" s="19">
        <f ca="1">IF(B16&lt;&gt;K3,(TODAY()-B11)*-1,"")</f>
        <v>151</v>
      </c>
      <c r="D12" s="12"/>
      <c r="E12" s="12"/>
      <c r="F12" s="19" t="str">
        <f t="shared" si="0"/>
        <v/>
      </c>
      <c r="G12" s="2"/>
      <c r="H12" s="1"/>
      <c r="I12" s="1"/>
      <c r="J12" s="11"/>
      <c r="X12" s="5">
        <f t="shared" si="1"/>
        <v>0</v>
      </c>
      <c r="Y12" s="2">
        <f t="shared" si="2"/>
        <v>0</v>
      </c>
    </row>
    <row r="13" spans="1:26" x14ac:dyDescent="0.25">
      <c r="A13" s="4"/>
      <c r="B13" s="2"/>
      <c r="D13" s="12"/>
      <c r="E13" s="12"/>
      <c r="F13" s="19" t="str">
        <f t="shared" si="0"/>
        <v/>
      </c>
      <c r="G13" s="1"/>
      <c r="H13" s="2"/>
      <c r="I13" s="2"/>
      <c r="J13" s="11"/>
      <c r="N13" s="14"/>
      <c r="X13" s="5">
        <f t="shared" si="1"/>
        <v>0</v>
      </c>
      <c r="Y13" s="2">
        <f t="shared" si="2"/>
        <v>0</v>
      </c>
    </row>
    <row r="14" spans="1:26" x14ac:dyDescent="0.25">
      <c r="A14" s="13"/>
      <c r="B14" s="20"/>
      <c r="D14" s="12"/>
      <c r="E14" s="5"/>
      <c r="F14" s="19" t="str">
        <f t="shared" si="0"/>
        <v/>
      </c>
      <c r="G14" s="1"/>
      <c r="H14" s="1"/>
      <c r="I14" s="1"/>
      <c r="J14" s="11"/>
      <c r="X14" s="5">
        <f t="shared" si="1"/>
        <v>0</v>
      </c>
      <c r="Y14" s="2">
        <f t="shared" si="2"/>
        <v>0</v>
      </c>
    </row>
    <row r="15" spans="1:26" x14ac:dyDescent="0.25">
      <c r="A15" s="4" t="s">
        <v>1</v>
      </c>
      <c r="B15" s="6">
        <v>0.11</v>
      </c>
      <c r="D15" s="12"/>
      <c r="E15" s="5"/>
      <c r="F15" s="19" t="str">
        <f t="shared" si="0"/>
        <v/>
      </c>
      <c r="G15" s="1"/>
      <c r="H15" s="1"/>
      <c r="I15" s="1"/>
      <c r="J15" s="11"/>
      <c r="K15" s="18"/>
      <c r="L15" s="18"/>
      <c r="M15" s="18"/>
      <c r="N15" s="18"/>
      <c r="O15" s="18"/>
      <c r="P15" s="18"/>
      <c r="Q15" s="18"/>
      <c r="X15" s="5">
        <f t="shared" si="1"/>
        <v>0</v>
      </c>
      <c r="Y15" s="2">
        <f t="shared" si="2"/>
        <v>0</v>
      </c>
    </row>
    <row r="16" spans="1:26" x14ac:dyDescent="0.25">
      <c r="A16" s="4" t="s">
        <v>72</v>
      </c>
      <c r="B16" s="2">
        <v>16.02</v>
      </c>
      <c r="D16" s="12"/>
      <c r="E16" s="5"/>
      <c r="F16" s="19" t="str">
        <f t="shared" si="0"/>
        <v/>
      </c>
      <c r="G16" s="1"/>
      <c r="H16" s="1"/>
      <c r="I16" s="1"/>
      <c r="J16" s="11"/>
      <c r="K16" s="9"/>
      <c r="L16" s="9"/>
      <c r="M16" s="9"/>
      <c r="N16" s="21"/>
      <c r="O16" s="22"/>
      <c r="P16" s="11"/>
      <c r="Q16" s="11"/>
      <c r="X16" s="5">
        <f t="shared" si="1"/>
        <v>0</v>
      </c>
      <c r="Y16" s="2">
        <f t="shared" si="2"/>
        <v>0</v>
      </c>
    </row>
    <row r="17" spans="2:25" x14ac:dyDescent="0.25">
      <c r="D17" s="12"/>
      <c r="E17" s="5"/>
      <c r="F17" s="19" t="str">
        <f t="shared" si="0"/>
        <v/>
      </c>
      <c r="G17" s="1"/>
      <c r="H17" s="1"/>
      <c r="I17" s="1"/>
      <c r="J17" s="11"/>
      <c r="X17" s="5">
        <f t="shared" si="1"/>
        <v>0</v>
      </c>
      <c r="Y17" s="2">
        <f t="shared" si="2"/>
        <v>0</v>
      </c>
    </row>
    <row r="18" spans="2:25" x14ac:dyDescent="0.25">
      <c r="D18" s="12"/>
      <c r="E18" s="5"/>
      <c r="F18" s="19" t="str">
        <f t="shared" si="0"/>
        <v/>
      </c>
      <c r="G18" s="1"/>
      <c r="H18" s="1"/>
      <c r="I18" s="1"/>
      <c r="J18" s="11"/>
      <c r="X18" s="5">
        <f t="shared" si="1"/>
        <v>0</v>
      </c>
      <c r="Y18" s="2">
        <f t="shared" si="2"/>
        <v>0</v>
      </c>
    </row>
    <row r="19" spans="2:25" x14ac:dyDescent="0.25">
      <c r="D19" s="12"/>
      <c r="E19" s="5"/>
      <c r="F19" s="19" t="str">
        <f t="shared" si="0"/>
        <v/>
      </c>
      <c r="G19" s="1"/>
      <c r="H19" s="1"/>
      <c r="I19" s="1"/>
      <c r="J19" s="11"/>
      <c r="X19" s="5">
        <f t="shared" si="1"/>
        <v>0</v>
      </c>
      <c r="Y19" s="2">
        <f t="shared" si="2"/>
        <v>0</v>
      </c>
    </row>
    <row r="20" spans="2:25" x14ac:dyDescent="0.25">
      <c r="D20" s="12"/>
      <c r="E20" s="5"/>
      <c r="F20" s="19" t="str">
        <f t="shared" si="0"/>
        <v/>
      </c>
      <c r="G20" s="1"/>
      <c r="H20" s="1"/>
      <c r="I20" s="1"/>
      <c r="J20" s="11"/>
      <c r="X20" s="5">
        <f t="shared" si="1"/>
        <v>0</v>
      </c>
      <c r="Y20" s="2">
        <f t="shared" si="2"/>
        <v>0</v>
      </c>
    </row>
    <row r="21" spans="2:25" x14ac:dyDescent="0.25">
      <c r="D21" s="12"/>
      <c r="E21" s="5"/>
      <c r="F21" s="19" t="str">
        <f t="shared" si="0"/>
        <v/>
      </c>
      <c r="G21" s="1"/>
      <c r="H21" s="1"/>
      <c r="I21" s="1"/>
      <c r="J21" s="11"/>
      <c r="X21" s="5">
        <f t="shared" si="1"/>
        <v>0</v>
      </c>
      <c r="Y21" s="2">
        <f t="shared" si="2"/>
        <v>0</v>
      </c>
    </row>
    <row r="22" spans="2:25" x14ac:dyDescent="0.25">
      <c r="D22" s="12"/>
      <c r="E22" s="5"/>
      <c r="F22" s="19" t="str">
        <f t="shared" si="0"/>
        <v/>
      </c>
      <c r="G22" s="1"/>
      <c r="H22" s="1"/>
      <c r="I22" s="1"/>
      <c r="J22" s="11"/>
      <c r="X22" s="5">
        <f t="shared" si="1"/>
        <v>0</v>
      </c>
      <c r="Y22" s="2">
        <f t="shared" si="2"/>
        <v>0</v>
      </c>
    </row>
    <row r="23" spans="2:25" x14ac:dyDescent="0.25">
      <c r="B23" s="22"/>
      <c r="D23" s="12"/>
      <c r="E23" s="5"/>
      <c r="F23" s="19" t="str">
        <f t="shared" si="0"/>
        <v/>
      </c>
      <c r="G23" s="1"/>
      <c r="H23" s="1"/>
      <c r="I23" s="1"/>
      <c r="J23" s="11"/>
      <c r="X23" s="5">
        <f t="shared" si="1"/>
        <v>0</v>
      </c>
      <c r="Y23" s="2">
        <f t="shared" si="2"/>
        <v>0</v>
      </c>
    </row>
    <row r="24" spans="2:25" x14ac:dyDescent="0.25">
      <c r="D24" s="12"/>
      <c r="E24" s="5"/>
      <c r="F24" s="19" t="str">
        <f t="shared" si="0"/>
        <v/>
      </c>
      <c r="G24" s="1"/>
      <c r="H24" s="1"/>
      <c r="I24" s="1"/>
      <c r="J24" s="11"/>
      <c r="X24" s="5">
        <f t="shared" si="1"/>
        <v>0</v>
      </c>
      <c r="Y24" s="2">
        <f t="shared" si="2"/>
        <v>0</v>
      </c>
    </row>
    <row r="25" spans="2:25" x14ac:dyDescent="0.25">
      <c r="D25" s="12"/>
      <c r="E25" s="5"/>
      <c r="F25" s="19" t="str">
        <f t="shared" si="0"/>
        <v/>
      </c>
      <c r="G25" s="1"/>
      <c r="H25" s="1"/>
      <c r="I25" s="1"/>
      <c r="J25" s="11"/>
      <c r="X25" s="5">
        <f t="shared" si="1"/>
        <v>0</v>
      </c>
      <c r="Y25" s="2">
        <f t="shared" si="2"/>
        <v>0</v>
      </c>
    </row>
    <row r="26" spans="2:25" x14ac:dyDescent="0.25">
      <c r="D26" s="12"/>
      <c r="E26" s="5"/>
      <c r="F26" s="19" t="str">
        <f t="shared" si="0"/>
        <v/>
      </c>
      <c r="G26" s="1"/>
      <c r="H26" s="1"/>
      <c r="I26" s="1"/>
      <c r="J26" s="11"/>
      <c r="X26" s="5">
        <f t="shared" si="1"/>
        <v>0</v>
      </c>
      <c r="Y26" s="2">
        <f t="shared" si="2"/>
        <v>0</v>
      </c>
    </row>
    <row r="27" spans="2:25" x14ac:dyDescent="0.25">
      <c r="D27" s="12"/>
      <c r="E27" s="5"/>
      <c r="F27" s="19" t="str">
        <f t="shared" si="0"/>
        <v/>
      </c>
      <c r="G27" s="1"/>
      <c r="H27" s="1"/>
      <c r="I27" s="1"/>
      <c r="J27" s="11"/>
      <c r="X27" s="5">
        <f t="shared" si="1"/>
        <v>0</v>
      </c>
      <c r="Y27" s="2">
        <f t="shared" si="2"/>
        <v>0</v>
      </c>
    </row>
    <row r="28" spans="2:25" x14ac:dyDescent="0.25">
      <c r="D28" s="12"/>
      <c r="E28" s="5"/>
      <c r="F28" s="19" t="str">
        <f t="shared" si="0"/>
        <v/>
      </c>
      <c r="G28" s="1"/>
      <c r="H28" s="1"/>
      <c r="I28" s="1"/>
      <c r="J28" s="11"/>
      <c r="X28" s="5">
        <f t="shared" si="1"/>
        <v>0</v>
      </c>
      <c r="Y28" s="2">
        <f t="shared" si="2"/>
        <v>0</v>
      </c>
    </row>
    <row r="29" spans="2:25" x14ac:dyDescent="0.25">
      <c r="D29" s="12"/>
      <c r="E29" s="5"/>
      <c r="F29" s="19" t="str">
        <f t="shared" si="0"/>
        <v/>
      </c>
      <c r="G29" s="1"/>
      <c r="H29" s="1"/>
      <c r="I29" s="1"/>
      <c r="J29" s="11"/>
      <c r="X29" s="5">
        <f t="shared" si="1"/>
        <v>0</v>
      </c>
      <c r="Y29" s="2">
        <f t="shared" si="2"/>
        <v>0</v>
      </c>
    </row>
    <row r="30" spans="2:25" x14ac:dyDescent="0.25">
      <c r="D30" s="12"/>
      <c r="E30" s="5"/>
      <c r="F30" s="19" t="str">
        <f t="shared" si="0"/>
        <v/>
      </c>
      <c r="G30" s="1"/>
      <c r="H30" s="1"/>
      <c r="I30" s="1"/>
      <c r="J30" s="11"/>
      <c r="X30" s="5">
        <f t="shared" si="1"/>
        <v>0</v>
      </c>
      <c r="Y30" s="2">
        <f t="shared" si="2"/>
        <v>0</v>
      </c>
    </row>
    <row r="31" spans="2:25" x14ac:dyDescent="0.25">
      <c r="D31" s="12"/>
      <c r="E31" s="5"/>
      <c r="F31" s="19" t="str">
        <f t="shared" si="0"/>
        <v/>
      </c>
      <c r="G31" s="1"/>
      <c r="H31" s="1"/>
      <c r="I31" s="1"/>
      <c r="J31" s="11"/>
      <c r="X31" s="5">
        <f t="shared" si="1"/>
        <v>0</v>
      </c>
      <c r="Y31" s="2">
        <f t="shared" si="2"/>
        <v>0</v>
      </c>
    </row>
    <row r="32" spans="2:25" x14ac:dyDescent="0.25">
      <c r="D32" s="12"/>
      <c r="E32" s="5"/>
      <c r="F32" s="19" t="str">
        <f t="shared" si="0"/>
        <v/>
      </c>
      <c r="G32" s="1"/>
      <c r="H32" s="1"/>
      <c r="I32" s="1"/>
      <c r="J32" s="11"/>
      <c r="X32" s="5">
        <f t="shared" si="1"/>
        <v>0</v>
      </c>
      <c r="Y32" s="2">
        <f t="shared" si="2"/>
        <v>0</v>
      </c>
    </row>
    <row r="33" spans="4:25" x14ac:dyDescent="0.25">
      <c r="D33" s="12"/>
      <c r="E33" s="5"/>
      <c r="F33" s="19" t="str">
        <f t="shared" si="0"/>
        <v/>
      </c>
      <c r="G33" s="1"/>
      <c r="H33" s="1"/>
      <c r="I33" s="1"/>
      <c r="J33" s="11"/>
      <c r="X33" s="5">
        <f t="shared" si="1"/>
        <v>0</v>
      </c>
      <c r="Y33" s="2">
        <f t="shared" si="2"/>
        <v>0</v>
      </c>
    </row>
    <row r="34" spans="4:25" x14ac:dyDescent="0.25">
      <c r="D34" s="12"/>
      <c r="E34" s="5"/>
      <c r="F34" s="19" t="str">
        <f t="shared" si="0"/>
        <v/>
      </c>
      <c r="G34" s="1"/>
      <c r="H34" s="1"/>
      <c r="I34" s="1"/>
      <c r="J34" s="11"/>
      <c r="X34" s="5">
        <f t="shared" si="1"/>
        <v>0</v>
      </c>
      <c r="Y34" s="2">
        <f t="shared" si="2"/>
        <v>0</v>
      </c>
    </row>
    <row r="35" spans="4:25" x14ac:dyDescent="0.25">
      <c r="D35" s="12"/>
      <c r="E35" s="5"/>
      <c r="F35" s="19" t="str">
        <f t="shared" si="0"/>
        <v/>
      </c>
      <c r="G35" s="1"/>
      <c r="H35" s="1"/>
      <c r="I35" s="1"/>
      <c r="J35" s="11"/>
      <c r="X35" s="5">
        <f t="shared" si="1"/>
        <v>0</v>
      </c>
      <c r="Y35" s="2">
        <f t="shared" si="2"/>
        <v>0</v>
      </c>
    </row>
    <row r="36" spans="4:25" x14ac:dyDescent="0.25">
      <c r="D36" s="12"/>
      <c r="E36" s="5"/>
      <c r="F36" s="19" t="str">
        <f t="shared" si="0"/>
        <v/>
      </c>
      <c r="G36" s="1"/>
      <c r="H36" s="1"/>
      <c r="I36" s="1"/>
      <c r="J36" s="11"/>
      <c r="X36" s="5">
        <f t="shared" si="1"/>
        <v>0</v>
      </c>
      <c r="Y36" s="2">
        <f t="shared" si="2"/>
        <v>0</v>
      </c>
    </row>
    <row r="37" spans="4:25" x14ac:dyDescent="0.25">
      <c r="D37" s="12"/>
      <c r="E37" s="5"/>
      <c r="F37" s="19" t="str">
        <f t="shared" si="0"/>
        <v/>
      </c>
      <c r="G37" s="1"/>
      <c r="H37" s="1"/>
      <c r="I37" s="1"/>
      <c r="J37" s="11"/>
      <c r="X37" s="5">
        <f t="shared" si="1"/>
        <v>0</v>
      </c>
      <c r="Y37" s="2">
        <f t="shared" si="2"/>
        <v>0</v>
      </c>
    </row>
    <row r="38" spans="4:25" x14ac:dyDescent="0.25">
      <c r="D38" s="12"/>
      <c r="E38" s="5"/>
      <c r="F38" s="19" t="str">
        <f t="shared" si="0"/>
        <v/>
      </c>
      <c r="G38" s="1"/>
      <c r="H38" s="1"/>
      <c r="I38" s="1"/>
      <c r="J38" s="11"/>
      <c r="X38" s="5">
        <f t="shared" si="1"/>
        <v>0</v>
      </c>
      <c r="Y38" s="2">
        <f t="shared" si="2"/>
        <v>0</v>
      </c>
    </row>
    <row r="39" spans="4:25" x14ac:dyDescent="0.25">
      <c r="D39" s="12"/>
      <c r="E39" s="5"/>
      <c r="F39" s="19" t="str">
        <f t="shared" si="0"/>
        <v/>
      </c>
      <c r="G39" s="1"/>
      <c r="H39" s="1"/>
      <c r="I39" s="1"/>
      <c r="J39" s="11"/>
      <c r="X39" s="5">
        <f t="shared" si="1"/>
        <v>0</v>
      </c>
      <c r="Y39" s="2">
        <f t="shared" si="2"/>
        <v>0</v>
      </c>
    </row>
    <row r="40" spans="4:25" x14ac:dyDescent="0.25">
      <c r="D40" s="12"/>
      <c r="E40" s="5"/>
      <c r="F40" s="19" t="str">
        <f t="shared" si="0"/>
        <v/>
      </c>
      <c r="G40" s="1"/>
      <c r="H40" s="1"/>
      <c r="I40" s="1"/>
      <c r="J40" s="11"/>
      <c r="X40" s="5">
        <f t="shared" si="1"/>
        <v>0</v>
      </c>
      <c r="Y40" s="2">
        <f t="shared" si="2"/>
        <v>0</v>
      </c>
    </row>
    <row r="41" spans="4:25" x14ac:dyDescent="0.25">
      <c r="D41" s="12"/>
      <c r="E41" s="5"/>
      <c r="F41" s="19" t="str">
        <f t="shared" si="0"/>
        <v/>
      </c>
      <c r="G41" s="1"/>
      <c r="H41" s="1"/>
      <c r="I41" s="1"/>
      <c r="J41" s="11"/>
      <c r="X41" s="5">
        <f t="shared" si="1"/>
        <v>0</v>
      </c>
      <c r="Y41" s="2">
        <f t="shared" si="2"/>
        <v>0</v>
      </c>
    </row>
    <row r="42" spans="4:25" x14ac:dyDescent="0.25">
      <c r="D42" s="12"/>
      <c r="E42" s="5"/>
      <c r="F42" s="19" t="str">
        <f t="shared" si="0"/>
        <v/>
      </c>
      <c r="G42" s="1"/>
      <c r="H42" s="1"/>
      <c r="I42" s="1"/>
      <c r="J42" s="11"/>
      <c r="X42" s="5">
        <f t="shared" si="1"/>
        <v>0</v>
      </c>
      <c r="Y42" s="2">
        <f t="shared" si="2"/>
        <v>0</v>
      </c>
    </row>
    <row r="43" spans="4:25" x14ac:dyDescent="0.25">
      <c r="D43" s="12"/>
      <c r="E43" s="5"/>
      <c r="F43" s="19" t="str">
        <f t="shared" si="0"/>
        <v/>
      </c>
      <c r="G43" s="1"/>
      <c r="H43" s="1"/>
      <c r="I43" s="1"/>
      <c r="J43" s="11"/>
      <c r="X43" s="5">
        <f t="shared" si="1"/>
        <v>0</v>
      </c>
      <c r="Y43" s="2">
        <f t="shared" si="2"/>
        <v>0</v>
      </c>
    </row>
    <row r="44" spans="4:25" x14ac:dyDescent="0.25">
      <c r="D44" s="12"/>
      <c r="E44" s="5"/>
      <c r="F44" s="19" t="str">
        <f t="shared" si="0"/>
        <v/>
      </c>
      <c r="G44" s="1"/>
      <c r="H44" s="1"/>
      <c r="I44" s="1"/>
      <c r="J44" s="11"/>
      <c r="X44" s="5">
        <f t="shared" si="1"/>
        <v>0</v>
      </c>
      <c r="Y44" s="2">
        <f t="shared" si="2"/>
        <v>0</v>
      </c>
    </row>
    <row r="45" spans="4:25" x14ac:dyDescent="0.25">
      <c r="D45" s="12"/>
      <c r="E45" s="5"/>
      <c r="F45" s="19" t="str">
        <f t="shared" si="0"/>
        <v/>
      </c>
      <c r="G45" s="1"/>
      <c r="H45" s="1"/>
      <c r="I45" s="1"/>
      <c r="J45" s="11"/>
      <c r="X45" s="5">
        <f t="shared" si="1"/>
        <v>0</v>
      </c>
      <c r="Y45" s="2">
        <f t="shared" si="2"/>
        <v>0</v>
      </c>
    </row>
    <row r="46" spans="4:25" x14ac:dyDescent="0.25">
      <c r="D46" s="12"/>
      <c r="E46" s="5"/>
      <c r="F46" s="19" t="str">
        <f t="shared" si="0"/>
        <v/>
      </c>
      <c r="G46" s="1"/>
      <c r="H46" s="1"/>
      <c r="I46" s="1"/>
      <c r="J46" s="11"/>
      <c r="X46" s="5">
        <f t="shared" si="1"/>
        <v>0</v>
      </c>
      <c r="Y46" s="2">
        <f t="shared" si="2"/>
        <v>0</v>
      </c>
    </row>
    <row r="47" spans="4:25" x14ac:dyDescent="0.25">
      <c r="D47" s="12"/>
      <c r="E47" s="5"/>
      <c r="F47" s="19" t="str">
        <f t="shared" si="0"/>
        <v/>
      </c>
      <c r="G47" s="1"/>
      <c r="H47" s="1"/>
      <c r="I47" s="1"/>
      <c r="J47" s="11"/>
      <c r="X47" s="5">
        <f t="shared" si="1"/>
        <v>0</v>
      </c>
      <c r="Y47" s="2">
        <f t="shared" si="2"/>
        <v>0</v>
      </c>
    </row>
    <row r="48" spans="4:25" x14ac:dyDescent="0.25">
      <c r="D48" s="12"/>
      <c r="E48" s="5"/>
      <c r="F48" s="19" t="str">
        <f t="shared" si="0"/>
        <v/>
      </c>
      <c r="G48" s="1"/>
      <c r="H48" s="1"/>
      <c r="I48" s="1"/>
      <c r="J48" s="11"/>
      <c r="X48" s="5">
        <f t="shared" si="1"/>
        <v>0</v>
      </c>
      <c r="Y48" s="2">
        <f t="shared" si="2"/>
        <v>0</v>
      </c>
    </row>
    <row r="49" spans="4:25" x14ac:dyDescent="0.25">
      <c r="D49" s="12"/>
      <c r="E49" s="5"/>
      <c r="F49" s="19" t="str">
        <f t="shared" si="0"/>
        <v/>
      </c>
      <c r="G49" s="1"/>
      <c r="H49" s="1"/>
      <c r="I49" s="1"/>
      <c r="J49" s="11"/>
      <c r="X49" s="5">
        <f t="shared" si="1"/>
        <v>0</v>
      </c>
      <c r="Y49" s="2">
        <f t="shared" si="2"/>
        <v>0</v>
      </c>
    </row>
    <row r="50" spans="4:25" x14ac:dyDescent="0.25">
      <c r="D50" s="12"/>
      <c r="E50" s="5"/>
      <c r="F50" s="19" t="str">
        <f t="shared" si="0"/>
        <v/>
      </c>
      <c r="G50" s="1"/>
      <c r="H50" s="1"/>
      <c r="I50" s="1"/>
      <c r="J50" s="11"/>
      <c r="X50" s="5">
        <f t="shared" si="1"/>
        <v>0</v>
      </c>
      <c r="Y50" s="2">
        <f t="shared" si="2"/>
        <v>0</v>
      </c>
    </row>
    <row r="51" spans="4:25" x14ac:dyDescent="0.25">
      <c r="D51" s="12"/>
      <c r="E51" s="5"/>
      <c r="F51" s="19" t="str">
        <f t="shared" si="0"/>
        <v/>
      </c>
      <c r="G51" s="1"/>
      <c r="H51" s="1"/>
      <c r="I51" s="1"/>
      <c r="J51" s="11"/>
      <c r="X51" s="5">
        <f t="shared" si="1"/>
        <v>0</v>
      </c>
      <c r="Y51" s="2">
        <f t="shared" si="2"/>
        <v>0</v>
      </c>
    </row>
    <row r="52" spans="4:25" x14ac:dyDescent="0.25">
      <c r="D52" s="12"/>
      <c r="E52" s="5"/>
      <c r="F52" s="19" t="str">
        <f t="shared" si="0"/>
        <v/>
      </c>
      <c r="G52" s="1"/>
      <c r="H52" s="1"/>
      <c r="I52" s="1"/>
      <c r="J52" s="9"/>
      <c r="X52" s="5">
        <f t="shared" si="1"/>
        <v>0</v>
      </c>
      <c r="Y52" s="2">
        <f t="shared" si="2"/>
        <v>0</v>
      </c>
    </row>
    <row r="53" spans="4:25" x14ac:dyDescent="0.25">
      <c r="D53" s="1" t="s">
        <v>25</v>
      </c>
      <c r="E53" s="23"/>
      <c r="F53" s="2"/>
      <c r="G53" s="2">
        <f>SUM(G3:G52)</f>
        <v>0</v>
      </c>
      <c r="H53" s="2">
        <f t="shared" ref="H53:I53" si="3">SUM(H3:H52)</f>
        <v>0.3</v>
      </c>
      <c r="I53" s="2">
        <f t="shared" si="3"/>
        <v>0</v>
      </c>
    </row>
  </sheetData>
  <mergeCells count="4">
    <mergeCell ref="D1:F1"/>
    <mergeCell ref="G1:I1"/>
    <mergeCell ref="K1:Q1"/>
    <mergeCell ref="X1:Z1"/>
  </mergeCells>
  <conditionalFormatting sqref="A1:B1">
    <cfRule type="expression" dxfId="163" priority="1">
      <formula>$Z$3="+"</formula>
    </cfRule>
    <cfRule type="expression" dxfId="162" priority="2">
      <formula>$B$16=$K$3</formula>
    </cfRule>
  </conditionalFormatting>
  <conditionalFormatting sqref="P3">
    <cfRule type="expression" dxfId="161" priority="3">
      <formula>$Z$3="+"</formula>
    </cfRule>
  </conditionalFormatting>
  <conditionalFormatting sqref="Z3">
    <cfRule type="expression" dxfId="160" priority="4">
      <formula>$Z$3="+"</formula>
    </cfRule>
  </conditionalFormatting>
  <dataValidations count="1">
    <dataValidation type="list" allowBlank="1" showInputMessage="1" showErrorMessage="1" sqref="B2" xr:uid="{2675664A-65CC-403A-A9D2-31A36BBF81FE}">
      <formula1>"Romania,Moldova,Cyprus,Philippines,Latvia"</formula1>
    </dataValidation>
  </dataValidations>
  <pageMargins left="0.7" right="0.7" top="0.75" bottom="0.75" header="0.3" footer="0.3"/>
  <pageSetup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B846F-28EE-4B5A-AFA3-EADD535CF06A}">
  <sheetPr>
    <tabColor rgb="FF92D050"/>
  </sheetPr>
  <dimension ref="A1:Z53"/>
  <sheetViews>
    <sheetView workbookViewId="0">
      <selection activeCell="I6" sqref="I6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1" customWidth="1"/>
    <col min="25" max="25" width="10.7109375" style="11" customWidth="1"/>
    <col min="26" max="26" width="10.7109375" customWidth="1"/>
  </cols>
  <sheetData>
    <row r="1" spans="1:26" x14ac:dyDescent="0.25">
      <c r="A1" s="4" t="s">
        <v>66</v>
      </c>
      <c r="B1" s="5" t="s">
        <v>89</v>
      </c>
      <c r="D1" s="29" t="s">
        <v>2</v>
      </c>
      <c r="E1" s="30"/>
      <c r="F1" s="31"/>
      <c r="G1" s="29" t="s">
        <v>0</v>
      </c>
      <c r="H1" s="30"/>
      <c r="I1" s="31"/>
      <c r="J1" s="18"/>
      <c r="K1" s="29" t="s">
        <v>58</v>
      </c>
      <c r="L1" s="30"/>
      <c r="M1" s="30"/>
      <c r="N1" s="30"/>
      <c r="O1" s="30"/>
      <c r="P1" s="30"/>
      <c r="Q1" s="31"/>
      <c r="X1" s="29"/>
      <c r="Y1" s="30"/>
      <c r="Z1" s="31"/>
    </row>
    <row r="2" spans="1:26" x14ac:dyDescent="0.25">
      <c r="A2" s="4" t="s">
        <v>21</v>
      </c>
      <c r="B2" s="5" t="s">
        <v>22</v>
      </c>
      <c r="D2" s="10" t="s">
        <v>49</v>
      </c>
      <c r="E2" s="10" t="s">
        <v>50</v>
      </c>
      <c r="F2" s="17" t="s">
        <v>67</v>
      </c>
      <c r="G2" s="10" t="s">
        <v>15</v>
      </c>
      <c r="H2" s="10" t="s">
        <v>16</v>
      </c>
      <c r="I2" s="10" t="s">
        <v>60</v>
      </c>
      <c r="J2" s="9"/>
      <c r="K2" s="10" t="s">
        <v>0</v>
      </c>
      <c r="L2" s="10" t="s">
        <v>1</v>
      </c>
      <c r="M2" s="10" t="s">
        <v>56</v>
      </c>
      <c r="N2" s="10" t="s">
        <v>57</v>
      </c>
      <c r="O2" s="10" t="s">
        <v>2</v>
      </c>
      <c r="P2" s="10" t="s">
        <v>68</v>
      </c>
      <c r="Q2" s="10" t="s">
        <v>67</v>
      </c>
      <c r="X2" s="10" t="s">
        <v>2</v>
      </c>
      <c r="Y2" s="10" t="s">
        <v>59</v>
      </c>
      <c r="Z2" s="10" t="s">
        <v>68</v>
      </c>
    </row>
    <row r="3" spans="1:26" x14ac:dyDescent="0.25">
      <c r="A3" s="4" t="s">
        <v>69</v>
      </c>
      <c r="B3" s="5" t="s">
        <v>78</v>
      </c>
      <c r="D3" s="12">
        <v>46234</v>
      </c>
      <c r="E3" s="12">
        <v>46234</v>
      </c>
      <c r="F3" s="19">
        <f t="shared" ref="F3:F52" si="0">IF(E3&gt;0,E3-D3,"")</f>
        <v>0</v>
      </c>
      <c r="G3" s="2">
        <v>0</v>
      </c>
      <c r="H3" s="2">
        <v>0</v>
      </c>
      <c r="I3" s="2">
        <v>0</v>
      </c>
      <c r="J3" s="11"/>
      <c r="K3" s="2">
        <f>G53</f>
        <v>12.58</v>
      </c>
      <c r="L3" s="2">
        <f>H53</f>
        <v>0.16999999999999998</v>
      </c>
      <c r="M3" s="2">
        <f>I53</f>
        <v>0</v>
      </c>
      <c r="N3" s="6">
        <f>IF(B16=K3,XIRR(Y3:Y52,X3:X52),"")</f>
        <v>0.10715035796165467</v>
      </c>
      <c r="O3" s="5">
        <f>IF(B16=K3,MAX(E:E),"")</f>
        <v>46295</v>
      </c>
      <c r="P3" s="1" t="str">
        <f ca="1">IF(Z3="+",TODAY()-B11,"")</f>
        <v/>
      </c>
      <c r="Q3" s="1">
        <f>IF(B16=K3,MAX(E:E)-B11,"")</f>
        <v>-83</v>
      </c>
      <c r="T3" s="14"/>
      <c r="X3" s="5">
        <f>B9</f>
        <v>46213</v>
      </c>
      <c r="Y3" s="2">
        <f>B16*-1</f>
        <v>-12.58</v>
      </c>
      <c r="Z3" s="1" t="str">
        <f ca="1">IF(AND(TODAY()&gt;B11, K3&lt;&gt;B16), "+", "")</f>
        <v/>
      </c>
    </row>
    <row r="4" spans="1:26" x14ac:dyDescent="0.25">
      <c r="A4" s="4" t="s">
        <v>19</v>
      </c>
      <c r="B4" s="5" t="s">
        <v>20</v>
      </c>
      <c r="D4" s="12">
        <v>46261</v>
      </c>
      <c r="E4" s="12">
        <v>46261</v>
      </c>
      <c r="F4" s="19">
        <f t="shared" si="0"/>
        <v>0</v>
      </c>
      <c r="G4" s="2">
        <v>12.58</v>
      </c>
      <c r="H4" s="2">
        <v>0.12</v>
      </c>
      <c r="I4" s="2">
        <v>0</v>
      </c>
      <c r="J4" s="9"/>
      <c r="X4" s="5">
        <f>E3</f>
        <v>46234</v>
      </c>
      <c r="Y4" s="2">
        <f>G3+H3-I3</f>
        <v>0</v>
      </c>
    </row>
    <row r="5" spans="1:26" x14ac:dyDescent="0.25">
      <c r="A5" s="4"/>
      <c r="B5" s="5"/>
      <c r="D5" s="12">
        <v>46295</v>
      </c>
      <c r="E5" s="12">
        <v>46295</v>
      </c>
      <c r="F5" s="19">
        <f t="shared" si="0"/>
        <v>0</v>
      </c>
      <c r="G5" s="2">
        <v>0</v>
      </c>
      <c r="H5" s="1">
        <v>0.05</v>
      </c>
      <c r="I5" s="2">
        <v>0</v>
      </c>
      <c r="J5" s="9"/>
      <c r="X5" s="5">
        <f t="shared" ref="X5:X52" si="1">E4</f>
        <v>46261</v>
      </c>
      <c r="Y5" s="2">
        <f t="shared" ref="Y5:Y52" si="2">G4+H4-I4</f>
        <v>12.7</v>
      </c>
    </row>
    <row r="6" spans="1:26" x14ac:dyDescent="0.25">
      <c r="A6" s="4"/>
      <c r="B6" s="5"/>
      <c r="D6" s="12"/>
      <c r="E6" s="12"/>
      <c r="F6" s="19" t="str">
        <f t="shared" si="0"/>
        <v/>
      </c>
      <c r="G6" s="2"/>
      <c r="H6" s="1"/>
      <c r="I6" s="2"/>
      <c r="J6" s="9"/>
      <c r="X6" s="5">
        <f t="shared" si="1"/>
        <v>46295</v>
      </c>
      <c r="Y6" s="2">
        <f t="shared" si="2"/>
        <v>0.05</v>
      </c>
    </row>
    <row r="7" spans="1:26" x14ac:dyDescent="0.25">
      <c r="A7" s="4"/>
      <c r="B7" s="5"/>
      <c r="D7" s="12"/>
      <c r="E7" s="12"/>
      <c r="F7" s="19" t="str">
        <f t="shared" si="0"/>
        <v/>
      </c>
      <c r="G7" s="2"/>
      <c r="H7" s="1"/>
      <c r="I7" s="2"/>
      <c r="J7" s="11"/>
      <c r="X7" s="5">
        <f t="shared" si="1"/>
        <v>0</v>
      </c>
      <c r="Y7" s="2">
        <f t="shared" si="2"/>
        <v>0</v>
      </c>
    </row>
    <row r="8" spans="1:26" x14ac:dyDescent="0.25">
      <c r="A8" s="4" t="s">
        <v>24</v>
      </c>
      <c r="B8" s="5" t="str">
        <f>DATEDIF(B9,B11,"y") &amp; " m. " &amp; DATEDIF(B9,B11,"ym") &amp; " mėn. " &amp; DATEDIF(B9,B11,"md") &amp; " d."</f>
        <v>0 m. 5 mėn. 12 d.</v>
      </c>
      <c r="D8" s="12"/>
      <c r="E8" s="12"/>
      <c r="F8" s="19" t="str">
        <f t="shared" si="0"/>
        <v/>
      </c>
      <c r="G8" s="1"/>
      <c r="H8" s="1"/>
      <c r="I8" s="2"/>
      <c r="J8" s="9"/>
      <c r="X8" s="5">
        <f t="shared" si="1"/>
        <v>0</v>
      </c>
      <c r="Y8" s="2">
        <f t="shared" si="2"/>
        <v>0</v>
      </c>
    </row>
    <row r="9" spans="1:26" x14ac:dyDescent="0.25">
      <c r="A9" s="4" t="s">
        <v>11</v>
      </c>
      <c r="B9" s="5">
        <v>46213</v>
      </c>
      <c r="D9" s="12"/>
      <c r="E9" s="12"/>
      <c r="F9" s="19"/>
      <c r="G9" s="2"/>
      <c r="H9" s="2"/>
      <c r="I9" s="2"/>
      <c r="J9" s="11"/>
      <c r="X9" s="5">
        <f t="shared" si="1"/>
        <v>0</v>
      </c>
      <c r="Y9" s="2">
        <f t="shared" si="2"/>
        <v>0</v>
      </c>
    </row>
    <row r="10" spans="1:26" x14ac:dyDescent="0.25">
      <c r="A10" s="4" t="s">
        <v>70</v>
      </c>
      <c r="B10" s="5">
        <v>46198</v>
      </c>
      <c r="D10" s="12"/>
      <c r="E10" s="12"/>
      <c r="F10" s="19" t="str">
        <f t="shared" si="0"/>
        <v/>
      </c>
      <c r="G10" s="1"/>
      <c r="H10" s="1"/>
      <c r="I10" s="2"/>
      <c r="J10" s="11"/>
      <c r="X10" s="5">
        <f t="shared" si="1"/>
        <v>0</v>
      </c>
      <c r="Y10" s="2">
        <f t="shared" si="2"/>
        <v>0</v>
      </c>
    </row>
    <row r="11" spans="1:26" x14ac:dyDescent="0.25">
      <c r="A11" s="4" t="s">
        <v>10</v>
      </c>
      <c r="B11" s="5">
        <v>46378</v>
      </c>
      <c r="D11" s="12"/>
      <c r="E11" s="12"/>
      <c r="F11" s="19" t="str">
        <f t="shared" si="0"/>
        <v/>
      </c>
      <c r="G11" s="1"/>
      <c r="H11" s="2"/>
      <c r="I11" s="2"/>
      <c r="J11" s="11"/>
      <c r="X11" s="5">
        <f t="shared" si="1"/>
        <v>0</v>
      </c>
      <c r="Y11" s="2">
        <f t="shared" si="2"/>
        <v>0</v>
      </c>
    </row>
    <row r="12" spans="1:26" x14ac:dyDescent="0.25">
      <c r="A12" s="4" t="s">
        <v>71</v>
      </c>
      <c r="B12" s="19" t="str">
        <f ca="1">IF(B16&lt;&gt;K3,(TODAY()-B11)*-1,"")</f>
        <v/>
      </c>
      <c r="D12" s="12"/>
      <c r="E12" s="12"/>
      <c r="F12" s="19" t="str">
        <f t="shared" si="0"/>
        <v/>
      </c>
      <c r="G12" s="2"/>
      <c r="H12" s="1"/>
      <c r="I12" s="1"/>
      <c r="J12" s="11"/>
      <c r="X12" s="5">
        <f t="shared" si="1"/>
        <v>0</v>
      </c>
      <c r="Y12" s="2">
        <f t="shared" si="2"/>
        <v>0</v>
      </c>
    </row>
    <row r="13" spans="1:26" x14ac:dyDescent="0.25">
      <c r="A13" s="4"/>
      <c r="B13" s="2"/>
      <c r="D13" s="12"/>
      <c r="E13" s="12"/>
      <c r="F13" s="19" t="str">
        <f t="shared" si="0"/>
        <v/>
      </c>
      <c r="G13" s="1"/>
      <c r="H13" s="2"/>
      <c r="I13" s="2"/>
      <c r="J13" s="11"/>
      <c r="N13" s="14"/>
      <c r="X13" s="5">
        <f t="shared" si="1"/>
        <v>0</v>
      </c>
      <c r="Y13" s="2">
        <f t="shared" si="2"/>
        <v>0</v>
      </c>
    </row>
    <row r="14" spans="1:26" x14ac:dyDescent="0.25">
      <c r="A14" s="13"/>
      <c r="B14" s="20"/>
      <c r="D14" s="12"/>
      <c r="E14" s="5"/>
      <c r="F14" s="19" t="str">
        <f t="shared" si="0"/>
        <v/>
      </c>
      <c r="G14" s="1"/>
      <c r="H14" s="1"/>
      <c r="I14" s="1"/>
      <c r="J14" s="11"/>
      <c r="X14" s="5">
        <f t="shared" si="1"/>
        <v>0</v>
      </c>
      <c r="Y14" s="2">
        <f t="shared" si="2"/>
        <v>0</v>
      </c>
    </row>
    <row r="15" spans="1:26" x14ac:dyDescent="0.25">
      <c r="A15" s="4" t="s">
        <v>1</v>
      </c>
      <c r="B15" s="6">
        <v>0.11</v>
      </c>
      <c r="D15" s="12"/>
      <c r="E15" s="5"/>
      <c r="F15" s="19" t="str">
        <f t="shared" si="0"/>
        <v/>
      </c>
      <c r="G15" s="1"/>
      <c r="H15" s="1"/>
      <c r="I15" s="1"/>
      <c r="J15" s="11"/>
      <c r="K15" s="18"/>
      <c r="L15" s="18"/>
      <c r="M15" s="18"/>
      <c r="N15" s="18"/>
      <c r="O15" s="18"/>
      <c r="P15" s="18"/>
      <c r="Q15" s="18"/>
      <c r="X15" s="5">
        <f t="shared" si="1"/>
        <v>0</v>
      </c>
      <c r="Y15" s="2">
        <f t="shared" si="2"/>
        <v>0</v>
      </c>
    </row>
    <row r="16" spans="1:26" x14ac:dyDescent="0.25">
      <c r="A16" s="4" t="s">
        <v>72</v>
      </c>
      <c r="B16" s="2">
        <v>12.58</v>
      </c>
      <c r="D16" s="12"/>
      <c r="E16" s="5"/>
      <c r="F16" s="19" t="str">
        <f t="shared" si="0"/>
        <v/>
      </c>
      <c r="G16" s="1"/>
      <c r="H16" s="1"/>
      <c r="I16" s="1"/>
      <c r="J16" s="11"/>
      <c r="K16" s="9"/>
      <c r="L16" s="9"/>
      <c r="M16" s="9"/>
      <c r="N16" s="21"/>
      <c r="O16" s="22"/>
      <c r="P16" s="11"/>
      <c r="Q16" s="11"/>
      <c r="X16" s="5">
        <f t="shared" si="1"/>
        <v>0</v>
      </c>
      <c r="Y16" s="2">
        <f t="shared" si="2"/>
        <v>0</v>
      </c>
    </row>
    <row r="17" spans="2:25" x14ac:dyDescent="0.25">
      <c r="D17" s="12"/>
      <c r="E17" s="5"/>
      <c r="F17" s="19" t="str">
        <f t="shared" si="0"/>
        <v/>
      </c>
      <c r="G17" s="1"/>
      <c r="H17" s="1"/>
      <c r="I17" s="1"/>
      <c r="J17" s="11"/>
      <c r="X17" s="5">
        <f t="shared" si="1"/>
        <v>0</v>
      </c>
      <c r="Y17" s="2">
        <f t="shared" si="2"/>
        <v>0</v>
      </c>
    </row>
    <row r="18" spans="2:25" x14ac:dyDescent="0.25">
      <c r="D18" s="12"/>
      <c r="E18" s="5"/>
      <c r="F18" s="19" t="str">
        <f t="shared" si="0"/>
        <v/>
      </c>
      <c r="G18" s="1"/>
      <c r="H18" s="1"/>
      <c r="I18" s="1"/>
      <c r="J18" s="11"/>
      <c r="X18" s="5">
        <f t="shared" si="1"/>
        <v>0</v>
      </c>
      <c r="Y18" s="2">
        <f t="shared" si="2"/>
        <v>0</v>
      </c>
    </row>
    <row r="19" spans="2:25" x14ac:dyDescent="0.25">
      <c r="D19" s="12"/>
      <c r="E19" s="5"/>
      <c r="F19" s="19" t="str">
        <f t="shared" si="0"/>
        <v/>
      </c>
      <c r="G19" s="1"/>
      <c r="H19" s="1"/>
      <c r="I19" s="1"/>
      <c r="J19" s="11"/>
      <c r="X19" s="5">
        <f t="shared" si="1"/>
        <v>0</v>
      </c>
      <c r="Y19" s="2">
        <f t="shared" si="2"/>
        <v>0</v>
      </c>
    </row>
    <row r="20" spans="2:25" x14ac:dyDescent="0.25">
      <c r="D20" s="12"/>
      <c r="E20" s="5"/>
      <c r="F20" s="19" t="str">
        <f t="shared" si="0"/>
        <v/>
      </c>
      <c r="G20" s="1"/>
      <c r="H20" s="1"/>
      <c r="I20" s="1"/>
      <c r="J20" s="11"/>
      <c r="X20" s="5">
        <f t="shared" si="1"/>
        <v>0</v>
      </c>
      <c r="Y20" s="2">
        <f t="shared" si="2"/>
        <v>0</v>
      </c>
    </row>
    <row r="21" spans="2:25" x14ac:dyDescent="0.25">
      <c r="D21" s="12"/>
      <c r="E21" s="5"/>
      <c r="F21" s="19" t="str">
        <f t="shared" si="0"/>
        <v/>
      </c>
      <c r="G21" s="1"/>
      <c r="H21" s="1"/>
      <c r="I21" s="1"/>
      <c r="J21" s="11"/>
      <c r="X21" s="5">
        <f t="shared" si="1"/>
        <v>0</v>
      </c>
      <c r="Y21" s="2">
        <f t="shared" si="2"/>
        <v>0</v>
      </c>
    </row>
    <row r="22" spans="2:25" x14ac:dyDescent="0.25">
      <c r="D22" s="12"/>
      <c r="E22" s="5"/>
      <c r="F22" s="19" t="str">
        <f t="shared" si="0"/>
        <v/>
      </c>
      <c r="G22" s="1"/>
      <c r="H22" s="1"/>
      <c r="I22" s="1"/>
      <c r="J22" s="11"/>
      <c r="X22" s="5">
        <f t="shared" si="1"/>
        <v>0</v>
      </c>
      <c r="Y22" s="2">
        <f t="shared" si="2"/>
        <v>0</v>
      </c>
    </row>
    <row r="23" spans="2:25" x14ac:dyDescent="0.25">
      <c r="B23" s="22"/>
      <c r="D23" s="12"/>
      <c r="E23" s="5"/>
      <c r="F23" s="19" t="str">
        <f t="shared" si="0"/>
        <v/>
      </c>
      <c r="G23" s="1"/>
      <c r="H23" s="1"/>
      <c r="I23" s="1"/>
      <c r="J23" s="11"/>
      <c r="X23" s="5">
        <f t="shared" si="1"/>
        <v>0</v>
      </c>
      <c r="Y23" s="2">
        <f t="shared" si="2"/>
        <v>0</v>
      </c>
    </row>
    <row r="24" spans="2:25" x14ac:dyDescent="0.25">
      <c r="D24" s="12"/>
      <c r="E24" s="5"/>
      <c r="F24" s="19" t="str">
        <f t="shared" si="0"/>
        <v/>
      </c>
      <c r="G24" s="1"/>
      <c r="H24" s="1"/>
      <c r="I24" s="1"/>
      <c r="J24" s="11"/>
      <c r="X24" s="5">
        <f t="shared" si="1"/>
        <v>0</v>
      </c>
      <c r="Y24" s="2">
        <f t="shared" si="2"/>
        <v>0</v>
      </c>
    </row>
    <row r="25" spans="2:25" x14ac:dyDescent="0.25">
      <c r="D25" s="12"/>
      <c r="E25" s="5"/>
      <c r="F25" s="19" t="str">
        <f t="shared" si="0"/>
        <v/>
      </c>
      <c r="G25" s="1"/>
      <c r="H25" s="1"/>
      <c r="I25" s="1"/>
      <c r="J25" s="11"/>
      <c r="X25" s="5">
        <f t="shared" si="1"/>
        <v>0</v>
      </c>
      <c r="Y25" s="2">
        <f t="shared" si="2"/>
        <v>0</v>
      </c>
    </row>
    <row r="26" spans="2:25" x14ac:dyDescent="0.25">
      <c r="D26" s="12"/>
      <c r="E26" s="5"/>
      <c r="F26" s="19" t="str">
        <f t="shared" si="0"/>
        <v/>
      </c>
      <c r="G26" s="1"/>
      <c r="H26" s="1"/>
      <c r="I26" s="1"/>
      <c r="J26" s="11"/>
      <c r="X26" s="5">
        <f t="shared" si="1"/>
        <v>0</v>
      </c>
      <c r="Y26" s="2">
        <f t="shared" si="2"/>
        <v>0</v>
      </c>
    </row>
    <row r="27" spans="2:25" x14ac:dyDescent="0.25">
      <c r="D27" s="12"/>
      <c r="E27" s="5"/>
      <c r="F27" s="19" t="str">
        <f t="shared" si="0"/>
        <v/>
      </c>
      <c r="G27" s="1"/>
      <c r="H27" s="1"/>
      <c r="I27" s="1"/>
      <c r="J27" s="11"/>
      <c r="X27" s="5">
        <f t="shared" si="1"/>
        <v>0</v>
      </c>
      <c r="Y27" s="2">
        <f t="shared" si="2"/>
        <v>0</v>
      </c>
    </row>
    <row r="28" spans="2:25" x14ac:dyDescent="0.25">
      <c r="D28" s="12"/>
      <c r="E28" s="5"/>
      <c r="F28" s="19" t="str">
        <f t="shared" si="0"/>
        <v/>
      </c>
      <c r="G28" s="1"/>
      <c r="H28" s="1"/>
      <c r="I28" s="1"/>
      <c r="J28" s="11"/>
      <c r="X28" s="5">
        <f t="shared" si="1"/>
        <v>0</v>
      </c>
      <c r="Y28" s="2">
        <f t="shared" si="2"/>
        <v>0</v>
      </c>
    </row>
    <row r="29" spans="2:25" x14ac:dyDescent="0.25">
      <c r="D29" s="12"/>
      <c r="E29" s="5"/>
      <c r="F29" s="19" t="str">
        <f t="shared" si="0"/>
        <v/>
      </c>
      <c r="G29" s="1"/>
      <c r="H29" s="1"/>
      <c r="I29" s="1"/>
      <c r="J29" s="11"/>
      <c r="X29" s="5">
        <f t="shared" si="1"/>
        <v>0</v>
      </c>
      <c r="Y29" s="2">
        <f t="shared" si="2"/>
        <v>0</v>
      </c>
    </row>
    <row r="30" spans="2:25" x14ac:dyDescent="0.25">
      <c r="D30" s="12"/>
      <c r="E30" s="5"/>
      <c r="F30" s="19" t="str">
        <f t="shared" si="0"/>
        <v/>
      </c>
      <c r="G30" s="1"/>
      <c r="H30" s="1"/>
      <c r="I30" s="1"/>
      <c r="J30" s="11"/>
      <c r="X30" s="5">
        <f t="shared" si="1"/>
        <v>0</v>
      </c>
      <c r="Y30" s="2">
        <f t="shared" si="2"/>
        <v>0</v>
      </c>
    </row>
    <row r="31" spans="2:25" x14ac:dyDescent="0.25">
      <c r="D31" s="12"/>
      <c r="E31" s="5"/>
      <c r="F31" s="19" t="str">
        <f t="shared" si="0"/>
        <v/>
      </c>
      <c r="G31" s="1"/>
      <c r="H31" s="1"/>
      <c r="I31" s="1"/>
      <c r="J31" s="11"/>
      <c r="X31" s="5">
        <f t="shared" si="1"/>
        <v>0</v>
      </c>
      <c r="Y31" s="2">
        <f t="shared" si="2"/>
        <v>0</v>
      </c>
    </row>
    <row r="32" spans="2:25" x14ac:dyDescent="0.25">
      <c r="D32" s="12"/>
      <c r="E32" s="5"/>
      <c r="F32" s="19" t="str">
        <f t="shared" si="0"/>
        <v/>
      </c>
      <c r="G32" s="1"/>
      <c r="H32" s="1"/>
      <c r="I32" s="1"/>
      <c r="J32" s="11"/>
      <c r="X32" s="5">
        <f t="shared" si="1"/>
        <v>0</v>
      </c>
      <c r="Y32" s="2">
        <f t="shared" si="2"/>
        <v>0</v>
      </c>
    </row>
    <row r="33" spans="4:25" x14ac:dyDescent="0.25">
      <c r="D33" s="12"/>
      <c r="E33" s="5"/>
      <c r="F33" s="19" t="str">
        <f t="shared" si="0"/>
        <v/>
      </c>
      <c r="G33" s="1"/>
      <c r="H33" s="1"/>
      <c r="I33" s="1"/>
      <c r="J33" s="11"/>
      <c r="X33" s="5">
        <f t="shared" si="1"/>
        <v>0</v>
      </c>
      <c r="Y33" s="2">
        <f t="shared" si="2"/>
        <v>0</v>
      </c>
    </row>
    <row r="34" spans="4:25" x14ac:dyDescent="0.25">
      <c r="D34" s="12"/>
      <c r="E34" s="5"/>
      <c r="F34" s="19" t="str">
        <f t="shared" si="0"/>
        <v/>
      </c>
      <c r="G34" s="1"/>
      <c r="H34" s="1"/>
      <c r="I34" s="1"/>
      <c r="J34" s="11"/>
      <c r="X34" s="5">
        <f t="shared" si="1"/>
        <v>0</v>
      </c>
      <c r="Y34" s="2">
        <f t="shared" si="2"/>
        <v>0</v>
      </c>
    </row>
    <row r="35" spans="4:25" x14ac:dyDescent="0.25">
      <c r="D35" s="12"/>
      <c r="E35" s="5"/>
      <c r="F35" s="19" t="str">
        <f t="shared" si="0"/>
        <v/>
      </c>
      <c r="G35" s="1"/>
      <c r="H35" s="1"/>
      <c r="I35" s="1"/>
      <c r="J35" s="11"/>
      <c r="X35" s="5">
        <f t="shared" si="1"/>
        <v>0</v>
      </c>
      <c r="Y35" s="2">
        <f t="shared" si="2"/>
        <v>0</v>
      </c>
    </row>
    <row r="36" spans="4:25" x14ac:dyDescent="0.25">
      <c r="D36" s="12"/>
      <c r="E36" s="5"/>
      <c r="F36" s="19" t="str">
        <f t="shared" si="0"/>
        <v/>
      </c>
      <c r="G36" s="1"/>
      <c r="H36" s="1"/>
      <c r="I36" s="1"/>
      <c r="J36" s="11"/>
      <c r="X36" s="5">
        <f t="shared" si="1"/>
        <v>0</v>
      </c>
      <c r="Y36" s="2">
        <f t="shared" si="2"/>
        <v>0</v>
      </c>
    </row>
    <row r="37" spans="4:25" x14ac:dyDescent="0.25">
      <c r="D37" s="12"/>
      <c r="E37" s="5"/>
      <c r="F37" s="19" t="str">
        <f t="shared" si="0"/>
        <v/>
      </c>
      <c r="G37" s="1"/>
      <c r="H37" s="1"/>
      <c r="I37" s="1"/>
      <c r="J37" s="11"/>
      <c r="X37" s="5">
        <f t="shared" si="1"/>
        <v>0</v>
      </c>
      <c r="Y37" s="2">
        <f t="shared" si="2"/>
        <v>0</v>
      </c>
    </row>
    <row r="38" spans="4:25" x14ac:dyDescent="0.25">
      <c r="D38" s="12"/>
      <c r="E38" s="5"/>
      <c r="F38" s="19" t="str">
        <f t="shared" si="0"/>
        <v/>
      </c>
      <c r="G38" s="1"/>
      <c r="H38" s="1"/>
      <c r="I38" s="1"/>
      <c r="J38" s="11"/>
      <c r="X38" s="5">
        <f t="shared" si="1"/>
        <v>0</v>
      </c>
      <c r="Y38" s="2">
        <f t="shared" si="2"/>
        <v>0</v>
      </c>
    </row>
    <row r="39" spans="4:25" x14ac:dyDescent="0.25">
      <c r="D39" s="12"/>
      <c r="E39" s="5"/>
      <c r="F39" s="19" t="str">
        <f t="shared" si="0"/>
        <v/>
      </c>
      <c r="G39" s="1"/>
      <c r="H39" s="1"/>
      <c r="I39" s="1"/>
      <c r="J39" s="11"/>
      <c r="X39" s="5">
        <f t="shared" si="1"/>
        <v>0</v>
      </c>
      <c r="Y39" s="2">
        <f t="shared" si="2"/>
        <v>0</v>
      </c>
    </row>
    <row r="40" spans="4:25" x14ac:dyDescent="0.25">
      <c r="D40" s="12"/>
      <c r="E40" s="5"/>
      <c r="F40" s="19" t="str">
        <f t="shared" si="0"/>
        <v/>
      </c>
      <c r="G40" s="1"/>
      <c r="H40" s="1"/>
      <c r="I40" s="1"/>
      <c r="J40" s="11"/>
      <c r="X40" s="5">
        <f t="shared" si="1"/>
        <v>0</v>
      </c>
      <c r="Y40" s="2">
        <f t="shared" si="2"/>
        <v>0</v>
      </c>
    </row>
    <row r="41" spans="4:25" x14ac:dyDescent="0.25">
      <c r="D41" s="12"/>
      <c r="E41" s="5"/>
      <c r="F41" s="19" t="str">
        <f t="shared" si="0"/>
        <v/>
      </c>
      <c r="G41" s="1"/>
      <c r="H41" s="1"/>
      <c r="I41" s="1"/>
      <c r="J41" s="11"/>
      <c r="X41" s="5">
        <f t="shared" si="1"/>
        <v>0</v>
      </c>
      <c r="Y41" s="2">
        <f t="shared" si="2"/>
        <v>0</v>
      </c>
    </row>
    <row r="42" spans="4:25" x14ac:dyDescent="0.25">
      <c r="D42" s="12"/>
      <c r="E42" s="5"/>
      <c r="F42" s="19" t="str">
        <f t="shared" si="0"/>
        <v/>
      </c>
      <c r="G42" s="1"/>
      <c r="H42" s="1"/>
      <c r="I42" s="1"/>
      <c r="J42" s="11"/>
      <c r="X42" s="5">
        <f t="shared" si="1"/>
        <v>0</v>
      </c>
      <c r="Y42" s="2">
        <f t="shared" si="2"/>
        <v>0</v>
      </c>
    </row>
    <row r="43" spans="4:25" x14ac:dyDescent="0.25">
      <c r="D43" s="12"/>
      <c r="E43" s="5"/>
      <c r="F43" s="19" t="str">
        <f t="shared" si="0"/>
        <v/>
      </c>
      <c r="G43" s="1"/>
      <c r="H43" s="1"/>
      <c r="I43" s="1"/>
      <c r="J43" s="11"/>
      <c r="X43" s="5">
        <f t="shared" si="1"/>
        <v>0</v>
      </c>
      <c r="Y43" s="2">
        <f t="shared" si="2"/>
        <v>0</v>
      </c>
    </row>
    <row r="44" spans="4:25" x14ac:dyDescent="0.25">
      <c r="D44" s="12"/>
      <c r="E44" s="5"/>
      <c r="F44" s="19" t="str">
        <f t="shared" si="0"/>
        <v/>
      </c>
      <c r="G44" s="1"/>
      <c r="H44" s="1"/>
      <c r="I44" s="1"/>
      <c r="J44" s="11"/>
      <c r="X44" s="5">
        <f t="shared" si="1"/>
        <v>0</v>
      </c>
      <c r="Y44" s="2">
        <f t="shared" si="2"/>
        <v>0</v>
      </c>
    </row>
    <row r="45" spans="4:25" x14ac:dyDescent="0.25">
      <c r="D45" s="12"/>
      <c r="E45" s="5"/>
      <c r="F45" s="19" t="str">
        <f t="shared" si="0"/>
        <v/>
      </c>
      <c r="G45" s="1"/>
      <c r="H45" s="1"/>
      <c r="I45" s="1"/>
      <c r="J45" s="11"/>
      <c r="X45" s="5">
        <f t="shared" si="1"/>
        <v>0</v>
      </c>
      <c r="Y45" s="2">
        <f t="shared" si="2"/>
        <v>0</v>
      </c>
    </row>
    <row r="46" spans="4:25" x14ac:dyDescent="0.25">
      <c r="D46" s="12"/>
      <c r="E46" s="5"/>
      <c r="F46" s="19" t="str">
        <f t="shared" si="0"/>
        <v/>
      </c>
      <c r="G46" s="1"/>
      <c r="H46" s="1"/>
      <c r="I46" s="1"/>
      <c r="J46" s="11"/>
      <c r="X46" s="5">
        <f t="shared" si="1"/>
        <v>0</v>
      </c>
      <c r="Y46" s="2">
        <f t="shared" si="2"/>
        <v>0</v>
      </c>
    </row>
    <row r="47" spans="4:25" x14ac:dyDescent="0.25">
      <c r="D47" s="12"/>
      <c r="E47" s="5"/>
      <c r="F47" s="19" t="str">
        <f t="shared" si="0"/>
        <v/>
      </c>
      <c r="G47" s="1"/>
      <c r="H47" s="1"/>
      <c r="I47" s="1"/>
      <c r="J47" s="11"/>
      <c r="X47" s="5">
        <f t="shared" si="1"/>
        <v>0</v>
      </c>
      <c r="Y47" s="2">
        <f t="shared" si="2"/>
        <v>0</v>
      </c>
    </row>
    <row r="48" spans="4:25" x14ac:dyDescent="0.25">
      <c r="D48" s="12"/>
      <c r="E48" s="5"/>
      <c r="F48" s="19" t="str">
        <f t="shared" si="0"/>
        <v/>
      </c>
      <c r="G48" s="1"/>
      <c r="H48" s="1"/>
      <c r="I48" s="1"/>
      <c r="J48" s="11"/>
      <c r="X48" s="5">
        <f t="shared" si="1"/>
        <v>0</v>
      </c>
      <c r="Y48" s="2">
        <f t="shared" si="2"/>
        <v>0</v>
      </c>
    </row>
    <row r="49" spans="4:25" x14ac:dyDescent="0.25">
      <c r="D49" s="12"/>
      <c r="E49" s="5"/>
      <c r="F49" s="19" t="str">
        <f t="shared" si="0"/>
        <v/>
      </c>
      <c r="G49" s="1"/>
      <c r="H49" s="1"/>
      <c r="I49" s="1"/>
      <c r="J49" s="11"/>
      <c r="X49" s="5">
        <f t="shared" si="1"/>
        <v>0</v>
      </c>
      <c r="Y49" s="2">
        <f t="shared" si="2"/>
        <v>0</v>
      </c>
    </row>
    <row r="50" spans="4:25" x14ac:dyDescent="0.25">
      <c r="D50" s="12"/>
      <c r="E50" s="5"/>
      <c r="F50" s="19" t="str">
        <f t="shared" si="0"/>
        <v/>
      </c>
      <c r="G50" s="1"/>
      <c r="H50" s="1"/>
      <c r="I50" s="1"/>
      <c r="J50" s="11"/>
      <c r="X50" s="5">
        <f t="shared" si="1"/>
        <v>0</v>
      </c>
      <c r="Y50" s="2">
        <f t="shared" si="2"/>
        <v>0</v>
      </c>
    </row>
    <row r="51" spans="4:25" x14ac:dyDescent="0.25">
      <c r="D51" s="12"/>
      <c r="E51" s="5"/>
      <c r="F51" s="19" t="str">
        <f t="shared" si="0"/>
        <v/>
      </c>
      <c r="G51" s="1"/>
      <c r="H51" s="1"/>
      <c r="I51" s="1"/>
      <c r="J51" s="11"/>
      <c r="X51" s="5">
        <f t="shared" si="1"/>
        <v>0</v>
      </c>
      <c r="Y51" s="2">
        <f t="shared" si="2"/>
        <v>0</v>
      </c>
    </row>
    <row r="52" spans="4:25" x14ac:dyDescent="0.25">
      <c r="D52" s="12"/>
      <c r="E52" s="5"/>
      <c r="F52" s="19" t="str">
        <f t="shared" si="0"/>
        <v/>
      </c>
      <c r="G52" s="1"/>
      <c r="H52" s="1"/>
      <c r="I52" s="1"/>
      <c r="J52" s="9"/>
      <c r="X52" s="5">
        <f t="shared" si="1"/>
        <v>0</v>
      </c>
      <c r="Y52" s="2">
        <f t="shared" si="2"/>
        <v>0</v>
      </c>
    </row>
    <row r="53" spans="4:25" x14ac:dyDescent="0.25">
      <c r="D53" s="1" t="s">
        <v>25</v>
      </c>
      <c r="E53" s="23"/>
      <c r="F53" s="2"/>
      <c r="G53" s="2">
        <f>SUM(G3:G52)</f>
        <v>12.58</v>
      </c>
      <c r="H53" s="2">
        <f t="shared" ref="H53:I53" si="3">SUM(H3:H52)</f>
        <v>0.16999999999999998</v>
      </c>
      <c r="I53" s="2">
        <f t="shared" si="3"/>
        <v>0</v>
      </c>
    </row>
  </sheetData>
  <mergeCells count="4">
    <mergeCell ref="D1:F1"/>
    <mergeCell ref="G1:I1"/>
    <mergeCell ref="K1:Q1"/>
    <mergeCell ref="X1:Z1"/>
  </mergeCells>
  <conditionalFormatting sqref="A1:B1">
    <cfRule type="expression" dxfId="159" priority="1">
      <formula>$Z$3="+"</formula>
    </cfRule>
    <cfRule type="expression" dxfId="158" priority="2">
      <formula>$B$16=$K$3</formula>
    </cfRule>
  </conditionalFormatting>
  <conditionalFormatting sqref="P3">
    <cfRule type="expression" dxfId="157" priority="3">
      <formula>$Z$3="+"</formula>
    </cfRule>
  </conditionalFormatting>
  <conditionalFormatting sqref="Z3">
    <cfRule type="expression" dxfId="156" priority="4">
      <formula>$Z$3="+"</formula>
    </cfRule>
  </conditionalFormatting>
  <dataValidations count="1">
    <dataValidation type="list" allowBlank="1" showInputMessage="1" showErrorMessage="1" sqref="B2" xr:uid="{6503D717-FBD0-4909-B48A-96C078BDB364}">
      <formula1>"Romania,Moldova,Cyprus,Philippines"</formula1>
    </dataValidation>
  </dataValidations>
  <pageMargins left="0.7" right="0.7" top="0.75" bottom="0.75" header="0.3" footer="0.3"/>
  <pageSetup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A5B9B-208B-40A0-8261-53B9523539F2}">
  <dimension ref="A1:Z53"/>
  <sheetViews>
    <sheetView workbookViewId="0">
      <selection activeCell="I6" sqref="I6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1" customWidth="1"/>
    <col min="25" max="25" width="10.7109375" style="11" customWidth="1"/>
    <col min="26" max="26" width="10.7109375" customWidth="1"/>
  </cols>
  <sheetData>
    <row r="1" spans="1:26" x14ac:dyDescent="0.25">
      <c r="A1" s="4" t="s">
        <v>66</v>
      </c>
      <c r="B1" s="5" t="s">
        <v>86</v>
      </c>
      <c r="D1" s="29" t="s">
        <v>2</v>
      </c>
      <c r="E1" s="30"/>
      <c r="F1" s="31"/>
      <c r="G1" s="29" t="s">
        <v>0</v>
      </c>
      <c r="H1" s="30"/>
      <c r="I1" s="31"/>
      <c r="J1" s="18"/>
      <c r="K1" s="29" t="s">
        <v>58</v>
      </c>
      <c r="L1" s="30"/>
      <c r="M1" s="30"/>
      <c r="N1" s="30"/>
      <c r="O1" s="30"/>
      <c r="P1" s="30"/>
      <c r="Q1" s="31"/>
      <c r="X1" s="29"/>
      <c r="Y1" s="30"/>
      <c r="Z1" s="31"/>
    </row>
    <row r="2" spans="1:26" x14ac:dyDescent="0.25">
      <c r="A2" s="4" t="s">
        <v>21</v>
      </c>
      <c r="B2" s="5" t="s">
        <v>23</v>
      </c>
      <c r="D2" s="10" t="s">
        <v>49</v>
      </c>
      <c r="E2" s="10" t="s">
        <v>50</v>
      </c>
      <c r="F2" s="17" t="s">
        <v>67</v>
      </c>
      <c r="G2" s="10" t="s">
        <v>15</v>
      </c>
      <c r="H2" s="10" t="s">
        <v>16</v>
      </c>
      <c r="I2" s="10" t="s">
        <v>60</v>
      </c>
      <c r="J2" s="9"/>
      <c r="K2" s="10" t="s">
        <v>0</v>
      </c>
      <c r="L2" s="10" t="s">
        <v>1</v>
      </c>
      <c r="M2" s="10" t="s">
        <v>56</v>
      </c>
      <c r="N2" s="10" t="s">
        <v>57</v>
      </c>
      <c r="O2" s="10" t="s">
        <v>2</v>
      </c>
      <c r="P2" s="10" t="s">
        <v>68</v>
      </c>
      <c r="Q2" s="10" t="s">
        <v>67</v>
      </c>
      <c r="X2" s="10" t="s">
        <v>2</v>
      </c>
      <c r="Y2" s="10" t="s">
        <v>59</v>
      </c>
      <c r="Z2" s="10" t="s">
        <v>68</v>
      </c>
    </row>
    <row r="3" spans="1:26" x14ac:dyDescent="0.25">
      <c r="A3" s="4" t="s">
        <v>69</v>
      </c>
      <c r="B3" s="5" t="s">
        <v>78</v>
      </c>
      <c r="D3" s="12">
        <v>46234</v>
      </c>
      <c r="E3" s="12">
        <v>46234</v>
      </c>
      <c r="F3" s="19">
        <f t="shared" ref="F3:F52" si="0">IF(E3&gt;0,E3-D3,"")</f>
        <v>0</v>
      </c>
      <c r="G3" s="2">
        <v>0</v>
      </c>
      <c r="H3" s="2">
        <v>0.04</v>
      </c>
      <c r="I3" s="2">
        <v>0</v>
      </c>
      <c r="J3" s="11"/>
      <c r="K3" s="2">
        <f>G53</f>
        <v>0</v>
      </c>
      <c r="L3" s="2">
        <f>H53</f>
        <v>0.49</v>
      </c>
      <c r="M3" s="2">
        <f>I53</f>
        <v>0</v>
      </c>
      <c r="N3" s="6" t="str">
        <f>IF(B16=K3,XIRR(Y3:Y52,X3:X52),"")</f>
        <v/>
      </c>
      <c r="O3" s="5" t="str">
        <f>IF(B16=K3,MAX(E:E),"")</f>
        <v/>
      </c>
      <c r="P3" s="1" t="str">
        <f ca="1">IF(Z3="+",TODAY()-B11,"")</f>
        <v/>
      </c>
      <c r="Q3" s="1" t="str">
        <f>IF(B16=K3,MAX(E:E)-B11,"")</f>
        <v/>
      </c>
      <c r="T3" s="14"/>
      <c r="X3" s="5">
        <f>B9</f>
        <v>46207</v>
      </c>
      <c r="Y3" s="2">
        <f>B16*-1</f>
        <v>-22.13</v>
      </c>
      <c r="Z3" s="1" t="str">
        <f ca="1">IF(AND(TODAY()&gt;B11, K3&lt;&gt;B16), "+", "")</f>
        <v/>
      </c>
    </row>
    <row r="4" spans="1:26" x14ac:dyDescent="0.25">
      <c r="A4" s="4" t="s">
        <v>19</v>
      </c>
      <c r="B4" s="5" t="s">
        <v>20</v>
      </c>
      <c r="D4" s="12">
        <v>46265</v>
      </c>
      <c r="E4" s="12">
        <v>46265</v>
      </c>
      <c r="F4" s="19">
        <f t="shared" si="0"/>
        <v>0</v>
      </c>
      <c r="G4" s="2">
        <v>0</v>
      </c>
      <c r="H4" s="2">
        <v>0.23</v>
      </c>
      <c r="I4" s="2">
        <v>0</v>
      </c>
      <c r="J4" s="9"/>
      <c r="X4" s="5">
        <f>E3</f>
        <v>46234</v>
      </c>
      <c r="Y4" s="2">
        <f>G3+H3-I3</f>
        <v>0.04</v>
      </c>
    </row>
    <row r="5" spans="1:26" x14ac:dyDescent="0.25">
      <c r="A5" s="4"/>
      <c r="B5" s="5"/>
      <c r="D5" s="12">
        <v>46295</v>
      </c>
      <c r="E5" s="12">
        <v>46295</v>
      </c>
      <c r="F5" s="19">
        <f t="shared" si="0"/>
        <v>0</v>
      </c>
      <c r="G5" s="2">
        <v>0</v>
      </c>
      <c r="H5" s="1">
        <v>0.22</v>
      </c>
      <c r="I5" s="2">
        <v>0</v>
      </c>
      <c r="J5" s="9"/>
      <c r="X5" s="5">
        <f t="shared" ref="X5:X52" si="1">E4</f>
        <v>46265</v>
      </c>
      <c r="Y5" s="2">
        <f t="shared" ref="Y5:Y52" si="2">G4+H4-I4</f>
        <v>0.23</v>
      </c>
    </row>
    <row r="6" spans="1:26" x14ac:dyDescent="0.25">
      <c r="A6" s="4"/>
      <c r="B6" s="5"/>
      <c r="D6" s="12"/>
      <c r="E6" s="12"/>
      <c r="F6" s="19" t="str">
        <f t="shared" si="0"/>
        <v/>
      </c>
      <c r="G6" s="2"/>
      <c r="H6" s="1"/>
      <c r="I6" s="2"/>
      <c r="J6" s="9"/>
      <c r="X6" s="5">
        <f t="shared" si="1"/>
        <v>46295</v>
      </c>
      <c r="Y6" s="2">
        <f t="shared" si="2"/>
        <v>0.22</v>
      </c>
    </row>
    <row r="7" spans="1:26" x14ac:dyDescent="0.25">
      <c r="A7" s="4"/>
      <c r="B7" s="5"/>
      <c r="D7" s="12"/>
      <c r="E7" s="12"/>
      <c r="F7" s="19" t="str">
        <f t="shared" si="0"/>
        <v/>
      </c>
      <c r="G7" s="2"/>
      <c r="H7" s="1"/>
      <c r="I7" s="2"/>
      <c r="J7" s="11"/>
      <c r="X7" s="5">
        <f t="shared" si="1"/>
        <v>0</v>
      </c>
      <c r="Y7" s="2">
        <f t="shared" si="2"/>
        <v>0</v>
      </c>
    </row>
    <row r="8" spans="1:26" x14ac:dyDescent="0.25">
      <c r="A8" s="4" t="s">
        <v>24</v>
      </c>
      <c r="B8" s="5" t="str">
        <f>DATEDIF(B9,B11,"y") &amp; " m. " &amp; DATEDIF(B9,B11,"ym") &amp; " mėn. " &amp; DATEDIF(B9,B11,"md") &amp; " d."</f>
        <v>0 m. 5 mėn. 14 d.</v>
      </c>
      <c r="D8" s="12"/>
      <c r="E8" s="12"/>
      <c r="F8" s="19" t="str">
        <f t="shared" si="0"/>
        <v/>
      </c>
      <c r="G8" s="1"/>
      <c r="H8" s="1"/>
      <c r="I8" s="2"/>
      <c r="J8" s="9"/>
      <c r="X8" s="5">
        <f t="shared" si="1"/>
        <v>0</v>
      </c>
      <c r="Y8" s="2">
        <f t="shared" si="2"/>
        <v>0</v>
      </c>
    </row>
    <row r="9" spans="1:26" x14ac:dyDescent="0.25">
      <c r="A9" s="4" t="s">
        <v>11</v>
      </c>
      <c r="B9" s="5">
        <v>46207</v>
      </c>
      <c r="D9" s="12"/>
      <c r="E9" s="12"/>
      <c r="F9" s="19"/>
      <c r="G9" s="2"/>
      <c r="H9" s="2"/>
      <c r="I9" s="2"/>
      <c r="J9" s="11"/>
      <c r="X9" s="5">
        <f t="shared" si="1"/>
        <v>0</v>
      </c>
      <c r="Y9" s="2">
        <f t="shared" si="2"/>
        <v>0</v>
      </c>
    </row>
    <row r="10" spans="1:26" x14ac:dyDescent="0.25">
      <c r="A10" s="4" t="s">
        <v>70</v>
      </c>
      <c r="B10" s="5">
        <v>46192</v>
      </c>
      <c r="D10" s="12"/>
      <c r="E10" s="12"/>
      <c r="F10" s="19" t="str">
        <f t="shared" si="0"/>
        <v/>
      </c>
      <c r="G10" s="1"/>
      <c r="H10" s="1"/>
      <c r="I10" s="2"/>
      <c r="J10" s="11"/>
      <c r="X10" s="5">
        <f t="shared" si="1"/>
        <v>0</v>
      </c>
      <c r="Y10" s="2">
        <f t="shared" si="2"/>
        <v>0</v>
      </c>
    </row>
    <row r="11" spans="1:26" x14ac:dyDescent="0.25">
      <c r="A11" s="4" t="s">
        <v>10</v>
      </c>
      <c r="B11" s="5">
        <v>46374</v>
      </c>
      <c r="D11" s="12"/>
      <c r="E11" s="12"/>
      <c r="F11" s="19" t="str">
        <f t="shared" si="0"/>
        <v/>
      </c>
      <c r="G11" s="1"/>
      <c r="H11" s="2"/>
      <c r="I11" s="2"/>
      <c r="J11" s="11"/>
      <c r="X11" s="5">
        <f t="shared" si="1"/>
        <v>0</v>
      </c>
      <c r="Y11" s="2">
        <f t="shared" si="2"/>
        <v>0</v>
      </c>
    </row>
    <row r="12" spans="1:26" x14ac:dyDescent="0.25">
      <c r="A12" s="4" t="s">
        <v>71</v>
      </c>
      <c r="B12" s="19">
        <f ca="1">IF(B16&lt;&gt;K3,(TODAY()-B11)*-1,"")</f>
        <v>79</v>
      </c>
      <c r="D12" s="12"/>
      <c r="E12" s="12"/>
      <c r="F12" s="19" t="str">
        <f t="shared" si="0"/>
        <v/>
      </c>
      <c r="G12" s="2"/>
      <c r="H12" s="1"/>
      <c r="I12" s="1"/>
      <c r="J12" s="11"/>
      <c r="X12" s="5">
        <f t="shared" si="1"/>
        <v>0</v>
      </c>
      <c r="Y12" s="2">
        <f t="shared" si="2"/>
        <v>0</v>
      </c>
    </row>
    <row r="13" spans="1:26" x14ac:dyDescent="0.25">
      <c r="A13" s="4"/>
      <c r="B13" s="2"/>
      <c r="D13" s="12"/>
      <c r="E13" s="12"/>
      <c r="F13" s="19" t="str">
        <f t="shared" si="0"/>
        <v/>
      </c>
      <c r="G13" s="1"/>
      <c r="H13" s="2"/>
      <c r="I13" s="2"/>
      <c r="J13" s="11"/>
      <c r="N13" s="14"/>
      <c r="X13" s="5">
        <f t="shared" si="1"/>
        <v>0</v>
      </c>
      <c r="Y13" s="2">
        <f t="shared" si="2"/>
        <v>0</v>
      </c>
    </row>
    <row r="14" spans="1:26" x14ac:dyDescent="0.25">
      <c r="A14" s="13"/>
      <c r="B14" s="20"/>
      <c r="D14" s="12"/>
      <c r="E14" s="5"/>
      <c r="F14" s="19" t="str">
        <f t="shared" si="0"/>
        <v/>
      </c>
      <c r="G14" s="1"/>
      <c r="H14" s="1"/>
      <c r="I14" s="1"/>
      <c r="J14" s="11"/>
      <c r="X14" s="5">
        <f t="shared" si="1"/>
        <v>0</v>
      </c>
      <c r="Y14" s="2">
        <f t="shared" si="2"/>
        <v>0</v>
      </c>
    </row>
    <row r="15" spans="1:26" x14ac:dyDescent="0.25">
      <c r="A15" s="4" t="s">
        <v>1</v>
      </c>
      <c r="B15" s="6">
        <v>0.12</v>
      </c>
      <c r="D15" s="12"/>
      <c r="E15" s="5"/>
      <c r="F15" s="19" t="str">
        <f t="shared" si="0"/>
        <v/>
      </c>
      <c r="G15" s="1"/>
      <c r="H15" s="1"/>
      <c r="I15" s="1"/>
      <c r="J15" s="11"/>
      <c r="K15" s="18"/>
      <c r="L15" s="18"/>
      <c r="M15" s="18"/>
      <c r="N15" s="18"/>
      <c r="O15" s="18"/>
      <c r="P15" s="18"/>
      <c r="Q15" s="18"/>
      <c r="X15" s="5">
        <f t="shared" si="1"/>
        <v>0</v>
      </c>
      <c r="Y15" s="2">
        <f t="shared" si="2"/>
        <v>0</v>
      </c>
    </row>
    <row r="16" spans="1:26" x14ac:dyDescent="0.25">
      <c r="A16" s="4" t="s">
        <v>72</v>
      </c>
      <c r="B16" s="2">
        <v>22.13</v>
      </c>
      <c r="D16" s="12"/>
      <c r="E16" s="5"/>
      <c r="F16" s="19" t="str">
        <f t="shared" si="0"/>
        <v/>
      </c>
      <c r="G16" s="1"/>
      <c r="H16" s="1"/>
      <c r="I16" s="1"/>
      <c r="J16" s="11"/>
      <c r="K16" s="9"/>
      <c r="L16" s="9"/>
      <c r="M16" s="9"/>
      <c r="N16" s="21"/>
      <c r="O16" s="22"/>
      <c r="P16" s="11"/>
      <c r="Q16" s="11"/>
      <c r="X16" s="5">
        <f t="shared" si="1"/>
        <v>0</v>
      </c>
      <c r="Y16" s="2">
        <f t="shared" si="2"/>
        <v>0</v>
      </c>
    </row>
    <row r="17" spans="2:25" x14ac:dyDescent="0.25">
      <c r="D17" s="12"/>
      <c r="E17" s="5"/>
      <c r="F17" s="19" t="str">
        <f t="shared" si="0"/>
        <v/>
      </c>
      <c r="G17" s="1"/>
      <c r="H17" s="1"/>
      <c r="I17" s="1"/>
      <c r="J17" s="11"/>
      <c r="X17" s="5">
        <f t="shared" si="1"/>
        <v>0</v>
      </c>
      <c r="Y17" s="2">
        <f t="shared" si="2"/>
        <v>0</v>
      </c>
    </row>
    <row r="18" spans="2:25" x14ac:dyDescent="0.25">
      <c r="D18" s="12"/>
      <c r="E18" s="5"/>
      <c r="F18" s="19" t="str">
        <f t="shared" si="0"/>
        <v/>
      </c>
      <c r="G18" s="1"/>
      <c r="H18" s="1"/>
      <c r="I18" s="1"/>
      <c r="J18" s="11"/>
      <c r="X18" s="5">
        <f t="shared" si="1"/>
        <v>0</v>
      </c>
      <c r="Y18" s="2">
        <f t="shared" si="2"/>
        <v>0</v>
      </c>
    </row>
    <row r="19" spans="2:25" x14ac:dyDescent="0.25">
      <c r="D19" s="12"/>
      <c r="E19" s="5"/>
      <c r="F19" s="19" t="str">
        <f t="shared" si="0"/>
        <v/>
      </c>
      <c r="G19" s="1"/>
      <c r="H19" s="1"/>
      <c r="I19" s="1"/>
      <c r="J19" s="11"/>
      <c r="X19" s="5">
        <f t="shared" si="1"/>
        <v>0</v>
      </c>
      <c r="Y19" s="2">
        <f t="shared" si="2"/>
        <v>0</v>
      </c>
    </row>
    <row r="20" spans="2:25" x14ac:dyDescent="0.25">
      <c r="D20" s="12"/>
      <c r="E20" s="5"/>
      <c r="F20" s="19" t="str">
        <f t="shared" si="0"/>
        <v/>
      </c>
      <c r="G20" s="1"/>
      <c r="H20" s="1"/>
      <c r="I20" s="1"/>
      <c r="J20" s="11"/>
      <c r="X20" s="5">
        <f t="shared" si="1"/>
        <v>0</v>
      </c>
      <c r="Y20" s="2">
        <f t="shared" si="2"/>
        <v>0</v>
      </c>
    </row>
    <row r="21" spans="2:25" x14ac:dyDescent="0.25">
      <c r="D21" s="12"/>
      <c r="E21" s="5"/>
      <c r="F21" s="19" t="str">
        <f t="shared" si="0"/>
        <v/>
      </c>
      <c r="G21" s="1"/>
      <c r="H21" s="1"/>
      <c r="I21" s="1"/>
      <c r="J21" s="11"/>
      <c r="X21" s="5">
        <f t="shared" si="1"/>
        <v>0</v>
      </c>
      <c r="Y21" s="2">
        <f t="shared" si="2"/>
        <v>0</v>
      </c>
    </row>
    <row r="22" spans="2:25" x14ac:dyDescent="0.25">
      <c r="D22" s="12"/>
      <c r="E22" s="5"/>
      <c r="F22" s="19" t="str">
        <f t="shared" si="0"/>
        <v/>
      </c>
      <c r="G22" s="1"/>
      <c r="H22" s="1"/>
      <c r="I22" s="1"/>
      <c r="J22" s="11"/>
      <c r="X22" s="5">
        <f t="shared" si="1"/>
        <v>0</v>
      </c>
      <c r="Y22" s="2">
        <f t="shared" si="2"/>
        <v>0</v>
      </c>
    </row>
    <row r="23" spans="2:25" x14ac:dyDescent="0.25">
      <c r="B23" s="22"/>
      <c r="D23" s="12"/>
      <c r="E23" s="5"/>
      <c r="F23" s="19" t="str">
        <f t="shared" si="0"/>
        <v/>
      </c>
      <c r="G23" s="1"/>
      <c r="H23" s="1"/>
      <c r="I23" s="1"/>
      <c r="J23" s="11"/>
      <c r="X23" s="5">
        <f t="shared" si="1"/>
        <v>0</v>
      </c>
      <c r="Y23" s="2">
        <f t="shared" si="2"/>
        <v>0</v>
      </c>
    </row>
    <row r="24" spans="2:25" x14ac:dyDescent="0.25">
      <c r="D24" s="12"/>
      <c r="E24" s="5"/>
      <c r="F24" s="19" t="str">
        <f t="shared" si="0"/>
        <v/>
      </c>
      <c r="G24" s="1"/>
      <c r="H24" s="1"/>
      <c r="I24" s="1"/>
      <c r="J24" s="11"/>
      <c r="X24" s="5">
        <f t="shared" si="1"/>
        <v>0</v>
      </c>
      <c r="Y24" s="2">
        <f t="shared" si="2"/>
        <v>0</v>
      </c>
    </row>
    <row r="25" spans="2:25" x14ac:dyDescent="0.25">
      <c r="D25" s="12"/>
      <c r="E25" s="5"/>
      <c r="F25" s="19" t="str">
        <f t="shared" si="0"/>
        <v/>
      </c>
      <c r="G25" s="1"/>
      <c r="H25" s="1"/>
      <c r="I25" s="1"/>
      <c r="J25" s="11"/>
      <c r="X25" s="5">
        <f t="shared" si="1"/>
        <v>0</v>
      </c>
      <c r="Y25" s="2">
        <f t="shared" si="2"/>
        <v>0</v>
      </c>
    </row>
    <row r="26" spans="2:25" x14ac:dyDescent="0.25">
      <c r="D26" s="12"/>
      <c r="E26" s="5"/>
      <c r="F26" s="19" t="str">
        <f t="shared" si="0"/>
        <v/>
      </c>
      <c r="G26" s="1"/>
      <c r="H26" s="1"/>
      <c r="I26" s="1"/>
      <c r="J26" s="11"/>
      <c r="X26" s="5">
        <f t="shared" si="1"/>
        <v>0</v>
      </c>
      <c r="Y26" s="2">
        <f t="shared" si="2"/>
        <v>0</v>
      </c>
    </row>
    <row r="27" spans="2:25" x14ac:dyDescent="0.25">
      <c r="D27" s="12"/>
      <c r="E27" s="5"/>
      <c r="F27" s="19" t="str">
        <f t="shared" si="0"/>
        <v/>
      </c>
      <c r="G27" s="1"/>
      <c r="H27" s="1"/>
      <c r="I27" s="1"/>
      <c r="J27" s="11"/>
      <c r="X27" s="5">
        <f t="shared" si="1"/>
        <v>0</v>
      </c>
      <c r="Y27" s="2">
        <f t="shared" si="2"/>
        <v>0</v>
      </c>
    </row>
    <row r="28" spans="2:25" x14ac:dyDescent="0.25">
      <c r="D28" s="12"/>
      <c r="E28" s="5"/>
      <c r="F28" s="19" t="str">
        <f t="shared" si="0"/>
        <v/>
      </c>
      <c r="G28" s="1"/>
      <c r="H28" s="1"/>
      <c r="I28" s="1"/>
      <c r="J28" s="11"/>
      <c r="X28" s="5">
        <f t="shared" si="1"/>
        <v>0</v>
      </c>
      <c r="Y28" s="2">
        <f t="shared" si="2"/>
        <v>0</v>
      </c>
    </row>
    <row r="29" spans="2:25" x14ac:dyDescent="0.25">
      <c r="D29" s="12"/>
      <c r="E29" s="5"/>
      <c r="F29" s="19" t="str">
        <f t="shared" si="0"/>
        <v/>
      </c>
      <c r="G29" s="1"/>
      <c r="H29" s="1"/>
      <c r="I29" s="1"/>
      <c r="J29" s="11"/>
      <c r="X29" s="5">
        <f t="shared" si="1"/>
        <v>0</v>
      </c>
      <c r="Y29" s="2">
        <f t="shared" si="2"/>
        <v>0</v>
      </c>
    </row>
    <row r="30" spans="2:25" x14ac:dyDescent="0.25">
      <c r="D30" s="12"/>
      <c r="E30" s="5"/>
      <c r="F30" s="19" t="str">
        <f t="shared" si="0"/>
        <v/>
      </c>
      <c r="G30" s="1"/>
      <c r="H30" s="1"/>
      <c r="I30" s="1"/>
      <c r="J30" s="11"/>
      <c r="X30" s="5">
        <f t="shared" si="1"/>
        <v>0</v>
      </c>
      <c r="Y30" s="2">
        <f t="shared" si="2"/>
        <v>0</v>
      </c>
    </row>
    <row r="31" spans="2:25" x14ac:dyDescent="0.25">
      <c r="D31" s="12"/>
      <c r="E31" s="5"/>
      <c r="F31" s="19" t="str">
        <f t="shared" si="0"/>
        <v/>
      </c>
      <c r="G31" s="1"/>
      <c r="H31" s="1"/>
      <c r="I31" s="1"/>
      <c r="J31" s="11"/>
      <c r="X31" s="5">
        <f t="shared" si="1"/>
        <v>0</v>
      </c>
      <c r="Y31" s="2">
        <f t="shared" si="2"/>
        <v>0</v>
      </c>
    </row>
    <row r="32" spans="2:25" x14ac:dyDescent="0.25">
      <c r="D32" s="12"/>
      <c r="E32" s="5"/>
      <c r="F32" s="19" t="str">
        <f t="shared" si="0"/>
        <v/>
      </c>
      <c r="G32" s="1"/>
      <c r="H32" s="1"/>
      <c r="I32" s="1"/>
      <c r="J32" s="11"/>
      <c r="X32" s="5">
        <f t="shared" si="1"/>
        <v>0</v>
      </c>
      <c r="Y32" s="2">
        <f t="shared" si="2"/>
        <v>0</v>
      </c>
    </row>
    <row r="33" spans="4:25" x14ac:dyDescent="0.25">
      <c r="D33" s="12"/>
      <c r="E33" s="5"/>
      <c r="F33" s="19" t="str">
        <f t="shared" si="0"/>
        <v/>
      </c>
      <c r="G33" s="1"/>
      <c r="H33" s="1"/>
      <c r="I33" s="1"/>
      <c r="J33" s="11"/>
      <c r="X33" s="5">
        <f t="shared" si="1"/>
        <v>0</v>
      </c>
      <c r="Y33" s="2">
        <f t="shared" si="2"/>
        <v>0</v>
      </c>
    </row>
    <row r="34" spans="4:25" x14ac:dyDescent="0.25">
      <c r="D34" s="12"/>
      <c r="E34" s="5"/>
      <c r="F34" s="19" t="str">
        <f t="shared" si="0"/>
        <v/>
      </c>
      <c r="G34" s="1"/>
      <c r="H34" s="1"/>
      <c r="I34" s="1"/>
      <c r="J34" s="11"/>
      <c r="X34" s="5">
        <f t="shared" si="1"/>
        <v>0</v>
      </c>
      <c r="Y34" s="2">
        <f t="shared" si="2"/>
        <v>0</v>
      </c>
    </row>
    <row r="35" spans="4:25" x14ac:dyDescent="0.25">
      <c r="D35" s="12"/>
      <c r="E35" s="5"/>
      <c r="F35" s="19" t="str">
        <f t="shared" si="0"/>
        <v/>
      </c>
      <c r="G35" s="1"/>
      <c r="H35" s="1"/>
      <c r="I35" s="1"/>
      <c r="J35" s="11"/>
      <c r="X35" s="5">
        <f t="shared" si="1"/>
        <v>0</v>
      </c>
      <c r="Y35" s="2">
        <f t="shared" si="2"/>
        <v>0</v>
      </c>
    </row>
    <row r="36" spans="4:25" x14ac:dyDescent="0.25">
      <c r="D36" s="12"/>
      <c r="E36" s="5"/>
      <c r="F36" s="19" t="str">
        <f t="shared" si="0"/>
        <v/>
      </c>
      <c r="G36" s="1"/>
      <c r="H36" s="1"/>
      <c r="I36" s="1"/>
      <c r="J36" s="11"/>
      <c r="X36" s="5">
        <f t="shared" si="1"/>
        <v>0</v>
      </c>
      <c r="Y36" s="2">
        <f t="shared" si="2"/>
        <v>0</v>
      </c>
    </row>
    <row r="37" spans="4:25" x14ac:dyDescent="0.25">
      <c r="D37" s="12"/>
      <c r="E37" s="5"/>
      <c r="F37" s="19" t="str">
        <f t="shared" si="0"/>
        <v/>
      </c>
      <c r="G37" s="1"/>
      <c r="H37" s="1"/>
      <c r="I37" s="1"/>
      <c r="J37" s="11"/>
      <c r="X37" s="5">
        <f t="shared" si="1"/>
        <v>0</v>
      </c>
      <c r="Y37" s="2">
        <f t="shared" si="2"/>
        <v>0</v>
      </c>
    </row>
    <row r="38" spans="4:25" x14ac:dyDescent="0.25">
      <c r="D38" s="12"/>
      <c r="E38" s="5"/>
      <c r="F38" s="19" t="str">
        <f t="shared" si="0"/>
        <v/>
      </c>
      <c r="G38" s="1"/>
      <c r="H38" s="1"/>
      <c r="I38" s="1"/>
      <c r="J38" s="11"/>
      <c r="X38" s="5">
        <f t="shared" si="1"/>
        <v>0</v>
      </c>
      <c r="Y38" s="2">
        <f t="shared" si="2"/>
        <v>0</v>
      </c>
    </row>
    <row r="39" spans="4:25" x14ac:dyDescent="0.25">
      <c r="D39" s="12"/>
      <c r="E39" s="5"/>
      <c r="F39" s="19" t="str">
        <f t="shared" si="0"/>
        <v/>
      </c>
      <c r="G39" s="1"/>
      <c r="H39" s="1"/>
      <c r="I39" s="1"/>
      <c r="J39" s="11"/>
      <c r="X39" s="5">
        <f t="shared" si="1"/>
        <v>0</v>
      </c>
      <c r="Y39" s="2">
        <f t="shared" si="2"/>
        <v>0</v>
      </c>
    </row>
    <row r="40" spans="4:25" x14ac:dyDescent="0.25">
      <c r="D40" s="12"/>
      <c r="E40" s="5"/>
      <c r="F40" s="19" t="str">
        <f t="shared" si="0"/>
        <v/>
      </c>
      <c r="G40" s="1"/>
      <c r="H40" s="1"/>
      <c r="I40" s="1"/>
      <c r="J40" s="11"/>
      <c r="X40" s="5">
        <f t="shared" si="1"/>
        <v>0</v>
      </c>
      <c r="Y40" s="2">
        <f t="shared" si="2"/>
        <v>0</v>
      </c>
    </row>
    <row r="41" spans="4:25" x14ac:dyDescent="0.25">
      <c r="D41" s="12"/>
      <c r="E41" s="5"/>
      <c r="F41" s="19" t="str">
        <f t="shared" si="0"/>
        <v/>
      </c>
      <c r="G41" s="1"/>
      <c r="H41" s="1"/>
      <c r="I41" s="1"/>
      <c r="J41" s="11"/>
      <c r="X41" s="5">
        <f t="shared" si="1"/>
        <v>0</v>
      </c>
      <c r="Y41" s="2">
        <f t="shared" si="2"/>
        <v>0</v>
      </c>
    </row>
    <row r="42" spans="4:25" x14ac:dyDescent="0.25">
      <c r="D42" s="12"/>
      <c r="E42" s="5"/>
      <c r="F42" s="19" t="str">
        <f t="shared" si="0"/>
        <v/>
      </c>
      <c r="G42" s="1"/>
      <c r="H42" s="1"/>
      <c r="I42" s="1"/>
      <c r="J42" s="11"/>
      <c r="X42" s="5">
        <f t="shared" si="1"/>
        <v>0</v>
      </c>
      <c r="Y42" s="2">
        <f t="shared" si="2"/>
        <v>0</v>
      </c>
    </row>
    <row r="43" spans="4:25" x14ac:dyDescent="0.25">
      <c r="D43" s="12"/>
      <c r="E43" s="5"/>
      <c r="F43" s="19" t="str">
        <f t="shared" si="0"/>
        <v/>
      </c>
      <c r="G43" s="1"/>
      <c r="H43" s="1"/>
      <c r="I43" s="1"/>
      <c r="J43" s="11"/>
      <c r="X43" s="5">
        <f t="shared" si="1"/>
        <v>0</v>
      </c>
      <c r="Y43" s="2">
        <f t="shared" si="2"/>
        <v>0</v>
      </c>
    </row>
    <row r="44" spans="4:25" x14ac:dyDescent="0.25">
      <c r="D44" s="12"/>
      <c r="E44" s="5"/>
      <c r="F44" s="19" t="str">
        <f t="shared" si="0"/>
        <v/>
      </c>
      <c r="G44" s="1"/>
      <c r="H44" s="1"/>
      <c r="I44" s="1"/>
      <c r="J44" s="11"/>
      <c r="X44" s="5">
        <f t="shared" si="1"/>
        <v>0</v>
      </c>
      <c r="Y44" s="2">
        <f t="shared" si="2"/>
        <v>0</v>
      </c>
    </row>
    <row r="45" spans="4:25" x14ac:dyDescent="0.25">
      <c r="D45" s="12"/>
      <c r="E45" s="5"/>
      <c r="F45" s="19" t="str">
        <f t="shared" si="0"/>
        <v/>
      </c>
      <c r="G45" s="1"/>
      <c r="H45" s="1"/>
      <c r="I45" s="1"/>
      <c r="J45" s="11"/>
      <c r="X45" s="5">
        <f t="shared" si="1"/>
        <v>0</v>
      </c>
      <c r="Y45" s="2">
        <f t="shared" si="2"/>
        <v>0</v>
      </c>
    </row>
    <row r="46" spans="4:25" x14ac:dyDescent="0.25">
      <c r="D46" s="12"/>
      <c r="E46" s="5"/>
      <c r="F46" s="19" t="str">
        <f t="shared" si="0"/>
        <v/>
      </c>
      <c r="G46" s="1"/>
      <c r="H46" s="1"/>
      <c r="I46" s="1"/>
      <c r="J46" s="11"/>
      <c r="X46" s="5">
        <f t="shared" si="1"/>
        <v>0</v>
      </c>
      <c r="Y46" s="2">
        <f t="shared" si="2"/>
        <v>0</v>
      </c>
    </row>
    <row r="47" spans="4:25" x14ac:dyDescent="0.25">
      <c r="D47" s="12"/>
      <c r="E47" s="5"/>
      <c r="F47" s="19" t="str">
        <f t="shared" si="0"/>
        <v/>
      </c>
      <c r="G47" s="1"/>
      <c r="H47" s="1"/>
      <c r="I47" s="1"/>
      <c r="J47" s="11"/>
      <c r="X47" s="5">
        <f t="shared" si="1"/>
        <v>0</v>
      </c>
      <c r="Y47" s="2">
        <f t="shared" si="2"/>
        <v>0</v>
      </c>
    </row>
    <row r="48" spans="4:25" x14ac:dyDescent="0.25">
      <c r="D48" s="12"/>
      <c r="E48" s="5"/>
      <c r="F48" s="19" t="str">
        <f t="shared" si="0"/>
        <v/>
      </c>
      <c r="G48" s="1"/>
      <c r="H48" s="1"/>
      <c r="I48" s="1"/>
      <c r="J48" s="11"/>
      <c r="X48" s="5">
        <f t="shared" si="1"/>
        <v>0</v>
      </c>
      <c r="Y48" s="2">
        <f t="shared" si="2"/>
        <v>0</v>
      </c>
    </row>
    <row r="49" spans="4:25" x14ac:dyDescent="0.25">
      <c r="D49" s="12"/>
      <c r="E49" s="5"/>
      <c r="F49" s="19" t="str">
        <f t="shared" si="0"/>
        <v/>
      </c>
      <c r="G49" s="1"/>
      <c r="H49" s="1"/>
      <c r="I49" s="1"/>
      <c r="J49" s="11"/>
      <c r="X49" s="5">
        <f t="shared" si="1"/>
        <v>0</v>
      </c>
      <c r="Y49" s="2">
        <f t="shared" si="2"/>
        <v>0</v>
      </c>
    </row>
    <row r="50" spans="4:25" x14ac:dyDescent="0.25">
      <c r="D50" s="12"/>
      <c r="E50" s="5"/>
      <c r="F50" s="19" t="str">
        <f t="shared" si="0"/>
        <v/>
      </c>
      <c r="G50" s="1"/>
      <c r="H50" s="1"/>
      <c r="I50" s="1"/>
      <c r="J50" s="11"/>
      <c r="X50" s="5">
        <f t="shared" si="1"/>
        <v>0</v>
      </c>
      <c r="Y50" s="2">
        <f t="shared" si="2"/>
        <v>0</v>
      </c>
    </row>
    <row r="51" spans="4:25" x14ac:dyDescent="0.25">
      <c r="D51" s="12"/>
      <c r="E51" s="5"/>
      <c r="F51" s="19" t="str">
        <f t="shared" si="0"/>
        <v/>
      </c>
      <c r="G51" s="1"/>
      <c r="H51" s="1"/>
      <c r="I51" s="1"/>
      <c r="J51" s="11"/>
      <c r="X51" s="5">
        <f t="shared" si="1"/>
        <v>0</v>
      </c>
      <c r="Y51" s="2">
        <f t="shared" si="2"/>
        <v>0</v>
      </c>
    </row>
    <row r="52" spans="4:25" x14ac:dyDescent="0.25">
      <c r="D52" s="12"/>
      <c r="E52" s="5"/>
      <c r="F52" s="19" t="str">
        <f t="shared" si="0"/>
        <v/>
      </c>
      <c r="G52" s="1"/>
      <c r="H52" s="1"/>
      <c r="I52" s="1"/>
      <c r="J52" s="9"/>
      <c r="X52" s="5">
        <f t="shared" si="1"/>
        <v>0</v>
      </c>
      <c r="Y52" s="2">
        <f t="shared" si="2"/>
        <v>0</v>
      </c>
    </row>
    <row r="53" spans="4:25" x14ac:dyDescent="0.25">
      <c r="D53" s="1" t="s">
        <v>25</v>
      </c>
      <c r="E53" s="23"/>
      <c r="F53" s="2"/>
      <c r="G53" s="2">
        <f>SUM(G3:G52)</f>
        <v>0</v>
      </c>
      <c r="H53" s="2">
        <f t="shared" ref="H53:I53" si="3">SUM(H3:H52)</f>
        <v>0.49</v>
      </c>
      <c r="I53" s="2">
        <f t="shared" si="3"/>
        <v>0</v>
      </c>
    </row>
  </sheetData>
  <mergeCells count="4">
    <mergeCell ref="D1:F1"/>
    <mergeCell ref="G1:I1"/>
    <mergeCell ref="K1:Q1"/>
    <mergeCell ref="X1:Z1"/>
  </mergeCells>
  <conditionalFormatting sqref="A1:B1">
    <cfRule type="expression" dxfId="155" priority="1">
      <formula>$Z$3="+"</formula>
    </cfRule>
    <cfRule type="expression" dxfId="154" priority="2">
      <formula>$B$16=$K$3</formula>
    </cfRule>
  </conditionalFormatting>
  <conditionalFormatting sqref="P3">
    <cfRule type="expression" dxfId="153" priority="3">
      <formula>$Z$3="+"</formula>
    </cfRule>
  </conditionalFormatting>
  <conditionalFormatting sqref="Z3">
    <cfRule type="expression" dxfId="152" priority="4">
      <formula>$Z$3="+"</formula>
    </cfRule>
  </conditionalFormatting>
  <dataValidations count="1">
    <dataValidation type="list" allowBlank="1" showInputMessage="1" showErrorMessage="1" sqref="B2" xr:uid="{66A4E4B2-BA63-4C69-BD3A-8351C2D3900C}">
      <formula1>"Romania,Moldova,Cyprus,Philippines"</formula1>
    </dataValidation>
  </dataValidations>
  <pageMargins left="0.7" right="0.7" top="0.75" bottom="0.75" header="0.3" footer="0.3"/>
  <pageSetup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9D2D9-6647-43BF-B8B4-EFCC21712C67}">
  <dimension ref="A1:Z53"/>
  <sheetViews>
    <sheetView workbookViewId="0">
      <selection activeCell="I7" sqref="I7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1" customWidth="1"/>
    <col min="25" max="25" width="10.7109375" style="11" customWidth="1"/>
    <col min="26" max="26" width="10.7109375" customWidth="1"/>
  </cols>
  <sheetData>
    <row r="1" spans="1:26" x14ac:dyDescent="0.25">
      <c r="A1" s="4" t="s">
        <v>66</v>
      </c>
      <c r="B1" s="5" t="s">
        <v>86</v>
      </c>
      <c r="D1" s="29" t="s">
        <v>2</v>
      </c>
      <c r="E1" s="30"/>
      <c r="F1" s="31"/>
      <c r="G1" s="29" t="s">
        <v>0</v>
      </c>
      <c r="H1" s="30"/>
      <c r="I1" s="31"/>
      <c r="J1" s="18"/>
      <c r="K1" s="29" t="s">
        <v>58</v>
      </c>
      <c r="L1" s="30"/>
      <c r="M1" s="30"/>
      <c r="N1" s="30"/>
      <c r="O1" s="30"/>
      <c r="P1" s="30"/>
      <c r="Q1" s="31"/>
      <c r="X1" s="29"/>
      <c r="Y1" s="30"/>
      <c r="Z1" s="31"/>
    </row>
    <row r="2" spans="1:26" x14ac:dyDescent="0.25">
      <c r="A2" s="4" t="s">
        <v>21</v>
      </c>
      <c r="B2" s="5" t="s">
        <v>23</v>
      </c>
      <c r="D2" s="10" t="s">
        <v>49</v>
      </c>
      <c r="E2" s="10" t="s">
        <v>50</v>
      </c>
      <c r="F2" s="17" t="s">
        <v>67</v>
      </c>
      <c r="G2" s="10" t="s">
        <v>15</v>
      </c>
      <c r="H2" s="10" t="s">
        <v>16</v>
      </c>
      <c r="I2" s="10" t="s">
        <v>60</v>
      </c>
      <c r="J2" s="9"/>
      <c r="K2" s="10" t="s">
        <v>0</v>
      </c>
      <c r="L2" s="10" t="s">
        <v>1</v>
      </c>
      <c r="M2" s="10" t="s">
        <v>56</v>
      </c>
      <c r="N2" s="10" t="s">
        <v>57</v>
      </c>
      <c r="O2" s="10" t="s">
        <v>2</v>
      </c>
      <c r="P2" s="10" t="s">
        <v>68</v>
      </c>
      <c r="Q2" s="10" t="s">
        <v>67</v>
      </c>
      <c r="X2" s="10" t="s">
        <v>2</v>
      </c>
      <c r="Y2" s="10" t="s">
        <v>59</v>
      </c>
      <c r="Z2" s="10" t="s">
        <v>68</v>
      </c>
    </row>
    <row r="3" spans="1:26" x14ac:dyDescent="0.25">
      <c r="A3" s="4" t="s">
        <v>69</v>
      </c>
      <c r="B3" s="5" t="s">
        <v>78</v>
      </c>
      <c r="D3" s="12">
        <v>46203</v>
      </c>
      <c r="E3" s="12">
        <v>46203</v>
      </c>
      <c r="F3" s="19">
        <f t="shared" ref="F3:F52" si="0">IF(E3&gt;0,E3-D3,"")</f>
        <v>0</v>
      </c>
      <c r="G3" s="2">
        <v>0</v>
      </c>
      <c r="H3" s="2">
        <v>0</v>
      </c>
      <c r="I3" s="2">
        <v>0</v>
      </c>
      <c r="J3" s="11"/>
      <c r="K3" s="2">
        <f>G53</f>
        <v>0</v>
      </c>
      <c r="L3" s="2">
        <f>H53</f>
        <v>0.37</v>
      </c>
      <c r="M3" s="2">
        <f>I53</f>
        <v>0</v>
      </c>
      <c r="N3" s="6" t="str">
        <f>IF(B16=K3,XIRR(Y3:Y52,X3:X52),"")</f>
        <v/>
      </c>
      <c r="O3" s="5" t="str">
        <f>IF(B16=K3,MAX(E:E),"")</f>
        <v/>
      </c>
      <c r="P3" s="1" t="str">
        <f ca="1">IF(Z3="+",TODAY()-B11,"")</f>
        <v/>
      </c>
      <c r="Q3" s="1" t="str">
        <f>IF(B16=K3,MAX(E:E)-B11,"")</f>
        <v/>
      </c>
      <c r="T3" s="14"/>
      <c r="X3" s="5">
        <f>B9</f>
        <v>46195</v>
      </c>
      <c r="Y3" s="2">
        <f>B16*-1</f>
        <v>-14.16</v>
      </c>
      <c r="Z3" s="1" t="str">
        <f ca="1">IF(AND(TODAY()&gt;B11, K3&lt;&gt;B16), "+", "")</f>
        <v/>
      </c>
    </row>
    <row r="4" spans="1:26" x14ac:dyDescent="0.25">
      <c r="A4" s="4" t="s">
        <v>19</v>
      </c>
      <c r="B4" s="5" t="s">
        <v>20</v>
      </c>
      <c r="D4" s="12">
        <v>46234</v>
      </c>
      <c r="E4" s="12">
        <v>46234</v>
      </c>
      <c r="F4" s="19">
        <f t="shared" si="0"/>
        <v>0</v>
      </c>
      <c r="G4" s="2">
        <v>0</v>
      </c>
      <c r="H4" s="2">
        <v>0.08</v>
      </c>
      <c r="I4" s="2">
        <v>0</v>
      </c>
      <c r="J4" s="9"/>
      <c r="X4" s="5">
        <f>E3</f>
        <v>46203</v>
      </c>
      <c r="Y4" s="2">
        <f>G3+H3-I3</f>
        <v>0</v>
      </c>
    </row>
    <row r="5" spans="1:26" x14ac:dyDescent="0.25">
      <c r="A5" s="4"/>
      <c r="B5" s="5"/>
      <c r="D5" s="12">
        <v>46265</v>
      </c>
      <c r="E5" s="12">
        <v>46265</v>
      </c>
      <c r="F5" s="19">
        <f t="shared" si="0"/>
        <v>0</v>
      </c>
      <c r="G5" s="2">
        <v>0</v>
      </c>
      <c r="H5" s="1">
        <v>0.15</v>
      </c>
      <c r="I5" s="2">
        <v>0</v>
      </c>
      <c r="J5" s="9"/>
      <c r="X5" s="5">
        <f t="shared" ref="X5:X52" si="1">E4</f>
        <v>46234</v>
      </c>
      <c r="Y5" s="2">
        <f t="shared" ref="Y5:Y52" si="2">G4+H4-I4</f>
        <v>0.08</v>
      </c>
    </row>
    <row r="6" spans="1:26" x14ac:dyDescent="0.25">
      <c r="A6" s="4"/>
      <c r="B6" s="5"/>
      <c r="D6" s="12" t="s">
        <v>105</v>
      </c>
      <c r="E6" s="12">
        <v>46295</v>
      </c>
      <c r="F6" s="19">
        <f t="shared" si="0"/>
        <v>0</v>
      </c>
      <c r="G6" s="2">
        <v>0</v>
      </c>
      <c r="H6" s="1">
        <v>0.14000000000000001</v>
      </c>
      <c r="I6" s="2">
        <v>0</v>
      </c>
      <c r="J6" s="9"/>
      <c r="X6" s="5">
        <f t="shared" si="1"/>
        <v>46265</v>
      </c>
      <c r="Y6" s="2">
        <f t="shared" si="2"/>
        <v>0.15</v>
      </c>
    </row>
    <row r="7" spans="1:26" x14ac:dyDescent="0.25">
      <c r="A7" s="4"/>
      <c r="B7" s="5"/>
      <c r="D7" s="12"/>
      <c r="E7" s="12"/>
      <c r="F7" s="19" t="str">
        <f t="shared" si="0"/>
        <v/>
      </c>
      <c r="G7" s="2"/>
      <c r="H7" s="1"/>
      <c r="I7" s="2"/>
      <c r="J7" s="11"/>
      <c r="X7" s="5">
        <f t="shared" si="1"/>
        <v>46295</v>
      </c>
      <c r="Y7" s="2">
        <f t="shared" si="2"/>
        <v>0.14000000000000001</v>
      </c>
    </row>
    <row r="8" spans="1:26" x14ac:dyDescent="0.25">
      <c r="A8" s="4" t="s">
        <v>24</v>
      </c>
      <c r="B8" s="5" t="str">
        <f>DATEDIF(B9,B11,"y") &amp; " m. " &amp; DATEDIF(B9,B11,"ym") &amp; " mėn. " &amp; DATEDIF(B9,B11,"md") &amp; " d."</f>
        <v>0 m. 5 mėn. 26 d.</v>
      </c>
      <c r="D8" s="12"/>
      <c r="E8" s="12"/>
      <c r="F8" s="19" t="str">
        <f t="shared" si="0"/>
        <v/>
      </c>
      <c r="G8" s="1"/>
      <c r="H8" s="1"/>
      <c r="I8" s="2"/>
      <c r="J8" s="9"/>
      <c r="X8" s="5">
        <f t="shared" si="1"/>
        <v>0</v>
      </c>
      <c r="Y8" s="2">
        <f t="shared" si="2"/>
        <v>0</v>
      </c>
    </row>
    <row r="9" spans="1:26" x14ac:dyDescent="0.25">
      <c r="A9" s="4" t="s">
        <v>11</v>
      </c>
      <c r="B9" s="5">
        <v>46195</v>
      </c>
      <c r="D9" s="12"/>
      <c r="E9" s="12"/>
      <c r="F9" s="19"/>
      <c r="G9" s="2"/>
      <c r="H9" s="2"/>
      <c r="I9" s="2"/>
      <c r="J9" s="11"/>
      <c r="X9" s="5">
        <f t="shared" si="1"/>
        <v>0</v>
      </c>
      <c r="Y9" s="2">
        <f t="shared" si="2"/>
        <v>0</v>
      </c>
    </row>
    <row r="10" spans="1:26" x14ac:dyDescent="0.25">
      <c r="A10" s="4" t="s">
        <v>70</v>
      </c>
      <c r="B10" s="5">
        <v>46192</v>
      </c>
      <c r="D10" s="12"/>
      <c r="E10" s="12"/>
      <c r="F10" s="19" t="str">
        <f t="shared" si="0"/>
        <v/>
      </c>
      <c r="G10" s="1"/>
      <c r="H10" s="1"/>
      <c r="I10" s="2"/>
      <c r="J10" s="11"/>
      <c r="X10" s="5">
        <f t="shared" si="1"/>
        <v>0</v>
      </c>
      <c r="Y10" s="2">
        <f t="shared" si="2"/>
        <v>0</v>
      </c>
    </row>
    <row r="11" spans="1:26" x14ac:dyDescent="0.25">
      <c r="A11" s="4" t="s">
        <v>10</v>
      </c>
      <c r="B11" s="5">
        <v>46374</v>
      </c>
      <c r="D11" s="12"/>
      <c r="E11" s="12"/>
      <c r="F11" s="19" t="str">
        <f t="shared" si="0"/>
        <v/>
      </c>
      <c r="G11" s="1"/>
      <c r="H11" s="2"/>
      <c r="I11" s="2"/>
      <c r="J11" s="11"/>
      <c r="X11" s="5">
        <f t="shared" si="1"/>
        <v>0</v>
      </c>
      <c r="Y11" s="2">
        <f t="shared" si="2"/>
        <v>0</v>
      </c>
    </row>
    <row r="12" spans="1:26" x14ac:dyDescent="0.25">
      <c r="A12" s="4" t="s">
        <v>71</v>
      </c>
      <c r="B12" s="19">
        <f ca="1">IF(B16&lt;&gt;K3,(TODAY()-B11)*-1,"")</f>
        <v>79</v>
      </c>
      <c r="D12" s="12"/>
      <c r="E12" s="12"/>
      <c r="F12" s="19" t="str">
        <f t="shared" si="0"/>
        <v/>
      </c>
      <c r="G12" s="2"/>
      <c r="H12" s="1"/>
      <c r="I12" s="1"/>
      <c r="J12" s="11"/>
      <c r="X12" s="5">
        <f t="shared" si="1"/>
        <v>0</v>
      </c>
      <c r="Y12" s="2">
        <f t="shared" si="2"/>
        <v>0</v>
      </c>
    </row>
    <row r="13" spans="1:26" x14ac:dyDescent="0.25">
      <c r="A13" s="4"/>
      <c r="B13" s="2"/>
      <c r="D13" s="12"/>
      <c r="E13" s="12"/>
      <c r="F13" s="19" t="str">
        <f t="shared" si="0"/>
        <v/>
      </c>
      <c r="G13" s="1"/>
      <c r="H13" s="2"/>
      <c r="I13" s="2"/>
      <c r="J13" s="11"/>
      <c r="N13" s="14"/>
      <c r="X13" s="5">
        <f t="shared" si="1"/>
        <v>0</v>
      </c>
      <c r="Y13" s="2">
        <f t="shared" si="2"/>
        <v>0</v>
      </c>
    </row>
    <row r="14" spans="1:26" x14ac:dyDescent="0.25">
      <c r="A14" s="13"/>
      <c r="B14" s="20"/>
      <c r="D14" s="12"/>
      <c r="E14" s="5"/>
      <c r="F14" s="19" t="str">
        <f t="shared" si="0"/>
        <v/>
      </c>
      <c r="G14" s="1"/>
      <c r="H14" s="1"/>
      <c r="I14" s="1"/>
      <c r="J14" s="11"/>
      <c r="X14" s="5">
        <f t="shared" si="1"/>
        <v>0</v>
      </c>
      <c r="Y14" s="2">
        <f t="shared" si="2"/>
        <v>0</v>
      </c>
    </row>
    <row r="15" spans="1:26" x14ac:dyDescent="0.25">
      <c r="A15" s="4" t="s">
        <v>1</v>
      </c>
      <c r="B15" s="6">
        <v>0.12</v>
      </c>
      <c r="D15" s="12"/>
      <c r="E15" s="5"/>
      <c r="F15" s="19" t="str">
        <f t="shared" si="0"/>
        <v/>
      </c>
      <c r="G15" s="1"/>
      <c r="H15" s="1"/>
      <c r="I15" s="1"/>
      <c r="J15" s="11"/>
      <c r="K15" s="18"/>
      <c r="L15" s="18"/>
      <c r="M15" s="18"/>
      <c r="N15" s="18"/>
      <c r="O15" s="18"/>
      <c r="P15" s="18"/>
      <c r="Q15" s="18"/>
      <c r="X15" s="5">
        <f t="shared" si="1"/>
        <v>0</v>
      </c>
      <c r="Y15" s="2">
        <f t="shared" si="2"/>
        <v>0</v>
      </c>
    </row>
    <row r="16" spans="1:26" x14ac:dyDescent="0.25">
      <c r="A16" s="4" t="s">
        <v>72</v>
      </c>
      <c r="B16" s="2">
        <v>14.16</v>
      </c>
      <c r="D16" s="12"/>
      <c r="E16" s="5"/>
      <c r="F16" s="19" t="str">
        <f t="shared" si="0"/>
        <v/>
      </c>
      <c r="G16" s="1"/>
      <c r="H16" s="1"/>
      <c r="I16" s="1"/>
      <c r="J16" s="11"/>
      <c r="K16" s="9"/>
      <c r="L16" s="9"/>
      <c r="M16" s="9"/>
      <c r="N16" s="21"/>
      <c r="O16" s="22"/>
      <c r="P16" s="11"/>
      <c r="Q16" s="11"/>
      <c r="X16" s="5">
        <f t="shared" si="1"/>
        <v>0</v>
      </c>
      <c r="Y16" s="2">
        <f t="shared" si="2"/>
        <v>0</v>
      </c>
    </row>
    <row r="17" spans="2:25" x14ac:dyDescent="0.25">
      <c r="D17" s="12"/>
      <c r="E17" s="5"/>
      <c r="F17" s="19" t="str">
        <f t="shared" si="0"/>
        <v/>
      </c>
      <c r="G17" s="1"/>
      <c r="H17" s="1"/>
      <c r="I17" s="1"/>
      <c r="J17" s="11"/>
      <c r="X17" s="5">
        <f t="shared" si="1"/>
        <v>0</v>
      </c>
      <c r="Y17" s="2">
        <f t="shared" si="2"/>
        <v>0</v>
      </c>
    </row>
    <row r="18" spans="2:25" x14ac:dyDescent="0.25">
      <c r="D18" s="12"/>
      <c r="E18" s="5"/>
      <c r="F18" s="19" t="str">
        <f t="shared" si="0"/>
        <v/>
      </c>
      <c r="G18" s="1"/>
      <c r="H18" s="1"/>
      <c r="I18" s="1"/>
      <c r="J18" s="11"/>
      <c r="X18" s="5">
        <f t="shared" si="1"/>
        <v>0</v>
      </c>
      <c r="Y18" s="2">
        <f t="shared" si="2"/>
        <v>0</v>
      </c>
    </row>
    <row r="19" spans="2:25" x14ac:dyDescent="0.25">
      <c r="D19" s="12"/>
      <c r="E19" s="5"/>
      <c r="F19" s="19" t="str">
        <f t="shared" si="0"/>
        <v/>
      </c>
      <c r="G19" s="1"/>
      <c r="H19" s="1"/>
      <c r="I19" s="1"/>
      <c r="J19" s="11"/>
      <c r="X19" s="5">
        <f t="shared" si="1"/>
        <v>0</v>
      </c>
      <c r="Y19" s="2">
        <f t="shared" si="2"/>
        <v>0</v>
      </c>
    </row>
    <row r="20" spans="2:25" x14ac:dyDescent="0.25">
      <c r="D20" s="12"/>
      <c r="E20" s="5"/>
      <c r="F20" s="19" t="str">
        <f t="shared" si="0"/>
        <v/>
      </c>
      <c r="G20" s="1"/>
      <c r="H20" s="1"/>
      <c r="I20" s="1"/>
      <c r="J20" s="11"/>
      <c r="X20" s="5">
        <f t="shared" si="1"/>
        <v>0</v>
      </c>
      <c r="Y20" s="2">
        <f t="shared" si="2"/>
        <v>0</v>
      </c>
    </row>
    <row r="21" spans="2:25" x14ac:dyDescent="0.25">
      <c r="D21" s="12"/>
      <c r="E21" s="5"/>
      <c r="F21" s="19" t="str">
        <f t="shared" si="0"/>
        <v/>
      </c>
      <c r="G21" s="1"/>
      <c r="H21" s="1"/>
      <c r="I21" s="1"/>
      <c r="J21" s="11"/>
      <c r="X21" s="5">
        <f t="shared" si="1"/>
        <v>0</v>
      </c>
      <c r="Y21" s="2">
        <f t="shared" si="2"/>
        <v>0</v>
      </c>
    </row>
    <row r="22" spans="2:25" x14ac:dyDescent="0.25">
      <c r="D22" s="12"/>
      <c r="E22" s="5"/>
      <c r="F22" s="19" t="str">
        <f t="shared" si="0"/>
        <v/>
      </c>
      <c r="G22" s="1"/>
      <c r="H22" s="1"/>
      <c r="I22" s="1"/>
      <c r="J22" s="11"/>
      <c r="X22" s="5">
        <f t="shared" si="1"/>
        <v>0</v>
      </c>
      <c r="Y22" s="2">
        <f t="shared" si="2"/>
        <v>0</v>
      </c>
    </row>
    <row r="23" spans="2:25" x14ac:dyDescent="0.25">
      <c r="B23" s="22"/>
      <c r="D23" s="12"/>
      <c r="E23" s="5"/>
      <c r="F23" s="19" t="str">
        <f t="shared" si="0"/>
        <v/>
      </c>
      <c r="G23" s="1"/>
      <c r="H23" s="1"/>
      <c r="I23" s="1"/>
      <c r="J23" s="11"/>
      <c r="X23" s="5">
        <f t="shared" si="1"/>
        <v>0</v>
      </c>
      <c r="Y23" s="2">
        <f t="shared" si="2"/>
        <v>0</v>
      </c>
    </row>
    <row r="24" spans="2:25" x14ac:dyDescent="0.25">
      <c r="D24" s="12"/>
      <c r="E24" s="5"/>
      <c r="F24" s="19" t="str">
        <f t="shared" si="0"/>
        <v/>
      </c>
      <c r="G24" s="1"/>
      <c r="H24" s="1"/>
      <c r="I24" s="1"/>
      <c r="J24" s="11"/>
      <c r="X24" s="5">
        <f t="shared" si="1"/>
        <v>0</v>
      </c>
      <c r="Y24" s="2">
        <f t="shared" si="2"/>
        <v>0</v>
      </c>
    </row>
    <row r="25" spans="2:25" x14ac:dyDescent="0.25">
      <c r="D25" s="12"/>
      <c r="E25" s="5"/>
      <c r="F25" s="19" t="str">
        <f t="shared" si="0"/>
        <v/>
      </c>
      <c r="G25" s="1"/>
      <c r="H25" s="1"/>
      <c r="I25" s="1"/>
      <c r="J25" s="11"/>
      <c r="X25" s="5">
        <f t="shared" si="1"/>
        <v>0</v>
      </c>
      <c r="Y25" s="2">
        <f t="shared" si="2"/>
        <v>0</v>
      </c>
    </row>
    <row r="26" spans="2:25" x14ac:dyDescent="0.25">
      <c r="D26" s="12"/>
      <c r="E26" s="5"/>
      <c r="F26" s="19" t="str">
        <f t="shared" si="0"/>
        <v/>
      </c>
      <c r="G26" s="1"/>
      <c r="H26" s="1"/>
      <c r="I26" s="1"/>
      <c r="J26" s="11"/>
      <c r="X26" s="5">
        <f t="shared" si="1"/>
        <v>0</v>
      </c>
      <c r="Y26" s="2">
        <f t="shared" si="2"/>
        <v>0</v>
      </c>
    </row>
    <row r="27" spans="2:25" x14ac:dyDescent="0.25">
      <c r="D27" s="12"/>
      <c r="E27" s="5"/>
      <c r="F27" s="19" t="str">
        <f t="shared" si="0"/>
        <v/>
      </c>
      <c r="G27" s="1"/>
      <c r="H27" s="1"/>
      <c r="I27" s="1"/>
      <c r="J27" s="11"/>
      <c r="X27" s="5">
        <f t="shared" si="1"/>
        <v>0</v>
      </c>
      <c r="Y27" s="2">
        <f t="shared" si="2"/>
        <v>0</v>
      </c>
    </row>
    <row r="28" spans="2:25" x14ac:dyDescent="0.25">
      <c r="D28" s="12"/>
      <c r="E28" s="5"/>
      <c r="F28" s="19" t="str">
        <f t="shared" si="0"/>
        <v/>
      </c>
      <c r="G28" s="1"/>
      <c r="H28" s="1"/>
      <c r="I28" s="1"/>
      <c r="J28" s="11"/>
      <c r="X28" s="5">
        <f t="shared" si="1"/>
        <v>0</v>
      </c>
      <c r="Y28" s="2">
        <f t="shared" si="2"/>
        <v>0</v>
      </c>
    </row>
    <row r="29" spans="2:25" x14ac:dyDescent="0.25">
      <c r="D29" s="12"/>
      <c r="E29" s="5"/>
      <c r="F29" s="19" t="str">
        <f t="shared" si="0"/>
        <v/>
      </c>
      <c r="G29" s="1"/>
      <c r="H29" s="1"/>
      <c r="I29" s="1"/>
      <c r="J29" s="11"/>
      <c r="X29" s="5">
        <f t="shared" si="1"/>
        <v>0</v>
      </c>
      <c r="Y29" s="2">
        <f t="shared" si="2"/>
        <v>0</v>
      </c>
    </row>
    <row r="30" spans="2:25" x14ac:dyDescent="0.25">
      <c r="D30" s="12"/>
      <c r="E30" s="5"/>
      <c r="F30" s="19" t="str">
        <f t="shared" si="0"/>
        <v/>
      </c>
      <c r="G30" s="1"/>
      <c r="H30" s="1"/>
      <c r="I30" s="1"/>
      <c r="J30" s="11"/>
      <c r="X30" s="5">
        <f t="shared" si="1"/>
        <v>0</v>
      </c>
      <c r="Y30" s="2">
        <f t="shared" si="2"/>
        <v>0</v>
      </c>
    </row>
    <row r="31" spans="2:25" x14ac:dyDescent="0.25">
      <c r="D31" s="12"/>
      <c r="E31" s="5"/>
      <c r="F31" s="19" t="str">
        <f t="shared" si="0"/>
        <v/>
      </c>
      <c r="G31" s="1"/>
      <c r="H31" s="1"/>
      <c r="I31" s="1"/>
      <c r="J31" s="11"/>
      <c r="X31" s="5">
        <f t="shared" si="1"/>
        <v>0</v>
      </c>
      <c r="Y31" s="2">
        <f t="shared" si="2"/>
        <v>0</v>
      </c>
    </row>
    <row r="32" spans="2:25" x14ac:dyDescent="0.25">
      <c r="D32" s="12"/>
      <c r="E32" s="5"/>
      <c r="F32" s="19" t="str">
        <f t="shared" si="0"/>
        <v/>
      </c>
      <c r="G32" s="1"/>
      <c r="H32" s="1"/>
      <c r="I32" s="1"/>
      <c r="J32" s="11"/>
      <c r="X32" s="5">
        <f t="shared" si="1"/>
        <v>0</v>
      </c>
      <c r="Y32" s="2">
        <f t="shared" si="2"/>
        <v>0</v>
      </c>
    </row>
    <row r="33" spans="4:25" x14ac:dyDescent="0.25">
      <c r="D33" s="12"/>
      <c r="E33" s="5"/>
      <c r="F33" s="19" t="str">
        <f t="shared" si="0"/>
        <v/>
      </c>
      <c r="G33" s="1"/>
      <c r="H33" s="1"/>
      <c r="I33" s="1"/>
      <c r="J33" s="11"/>
      <c r="X33" s="5">
        <f t="shared" si="1"/>
        <v>0</v>
      </c>
      <c r="Y33" s="2">
        <f t="shared" si="2"/>
        <v>0</v>
      </c>
    </row>
    <row r="34" spans="4:25" x14ac:dyDescent="0.25">
      <c r="D34" s="12"/>
      <c r="E34" s="5"/>
      <c r="F34" s="19" t="str">
        <f t="shared" si="0"/>
        <v/>
      </c>
      <c r="G34" s="1"/>
      <c r="H34" s="1"/>
      <c r="I34" s="1"/>
      <c r="J34" s="11"/>
      <c r="X34" s="5">
        <f t="shared" si="1"/>
        <v>0</v>
      </c>
      <c r="Y34" s="2">
        <f t="shared" si="2"/>
        <v>0</v>
      </c>
    </row>
    <row r="35" spans="4:25" x14ac:dyDescent="0.25">
      <c r="D35" s="12"/>
      <c r="E35" s="5"/>
      <c r="F35" s="19" t="str">
        <f t="shared" si="0"/>
        <v/>
      </c>
      <c r="G35" s="1"/>
      <c r="H35" s="1"/>
      <c r="I35" s="1"/>
      <c r="J35" s="11"/>
      <c r="X35" s="5">
        <f t="shared" si="1"/>
        <v>0</v>
      </c>
      <c r="Y35" s="2">
        <f t="shared" si="2"/>
        <v>0</v>
      </c>
    </row>
    <row r="36" spans="4:25" x14ac:dyDescent="0.25">
      <c r="D36" s="12"/>
      <c r="E36" s="5"/>
      <c r="F36" s="19" t="str">
        <f t="shared" si="0"/>
        <v/>
      </c>
      <c r="G36" s="1"/>
      <c r="H36" s="1"/>
      <c r="I36" s="1"/>
      <c r="J36" s="11"/>
      <c r="X36" s="5">
        <f t="shared" si="1"/>
        <v>0</v>
      </c>
      <c r="Y36" s="2">
        <f t="shared" si="2"/>
        <v>0</v>
      </c>
    </row>
    <row r="37" spans="4:25" x14ac:dyDescent="0.25">
      <c r="D37" s="12"/>
      <c r="E37" s="5"/>
      <c r="F37" s="19" t="str">
        <f t="shared" si="0"/>
        <v/>
      </c>
      <c r="G37" s="1"/>
      <c r="H37" s="1"/>
      <c r="I37" s="1"/>
      <c r="J37" s="11"/>
      <c r="X37" s="5">
        <f t="shared" si="1"/>
        <v>0</v>
      </c>
      <c r="Y37" s="2">
        <f t="shared" si="2"/>
        <v>0</v>
      </c>
    </row>
    <row r="38" spans="4:25" x14ac:dyDescent="0.25">
      <c r="D38" s="12"/>
      <c r="E38" s="5"/>
      <c r="F38" s="19" t="str">
        <f t="shared" si="0"/>
        <v/>
      </c>
      <c r="G38" s="1"/>
      <c r="H38" s="1"/>
      <c r="I38" s="1"/>
      <c r="J38" s="11"/>
      <c r="X38" s="5">
        <f t="shared" si="1"/>
        <v>0</v>
      </c>
      <c r="Y38" s="2">
        <f t="shared" si="2"/>
        <v>0</v>
      </c>
    </row>
    <row r="39" spans="4:25" x14ac:dyDescent="0.25">
      <c r="D39" s="12"/>
      <c r="E39" s="5"/>
      <c r="F39" s="19" t="str">
        <f t="shared" si="0"/>
        <v/>
      </c>
      <c r="G39" s="1"/>
      <c r="H39" s="1"/>
      <c r="I39" s="1"/>
      <c r="J39" s="11"/>
      <c r="X39" s="5">
        <f t="shared" si="1"/>
        <v>0</v>
      </c>
      <c r="Y39" s="2">
        <f t="shared" si="2"/>
        <v>0</v>
      </c>
    </row>
    <row r="40" spans="4:25" x14ac:dyDescent="0.25">
      <c r="D40" s="12"/>
      <c r="E40" s="5"/>
      <c r="F40" s="19" t="str">
        <f t="shared" si="0"/>
        <v/>
      </c>
      <c r="G40" s="1"/>
      <c r="H40" s="1"/>
      <c r="I40" s="1"/>
      <c r="J40" s="11"/>
      <c r="X40" s="5">
        <f t="shared" si="1"/>
        <v>0</v>
      </c>
      <c r="Y40" s="2">
        <f t="shared" si="2"/>
        <v>0</v>
      </c>
    </row>
    <row r="41" spans="4:25" x14ac:dyDescent="0.25">
      <c r="D41" s="12"/>
      <c r="E41" s="5"/>
      <c r="F41" s="19" t="str">
        <f t="shared" si="0"/>
        <v/>
      </c>
      <c r="G41" s="1"/>
      <c r="H41" s="1"/>
      <c r="I41" s="1"/>
      <c r="J41" s="11"/>
      <c r="X41" s="5">
        <f t="shared" si="1"/>
        <v>0</v>
      </c>
      <c r="Y41" s="2">
        <f t="shared" si="2"/>
        <v>0</v>
      </c>
    </row>
    <row r="42" spans="4:25" x14ac:dyDescent="0.25">
      <c r="D42" s="12"/>
      <c r="E42" s="5"/>
      <c r="F42" s="19" t="str">
        <f t="shared" si="0"/>
        <v/>
      </c>
      <c r="G42" s="1"/>
      <c r="H42" s="1"/>
      <c r="I42" s="1"/>
      <c r="J42" s="11"/>
      <c r="X42" s="5">
        <f t="shared" si="1"/>
        <v>0</v>
      </c>
      <c r="Y42" s="2">
        <f t="shared" si="2"/>
        <v>0</v>
      </c>
    </row>
    <row r="43" spans="4:25" x14ac:dyDescent="0.25">
      <c r="D43" s="12"/>
      <c r="E43" s="5"/>
      <c r="F43" s="19" t="str">
        <f t="shared" si="0"/>
        <v/>
      </c>
      <c r="G43" s="1"/>
      <c r="H43" s="1"/>
      <c r="I43" s="1"/>
      <c r="J43" s="11"/>
      <c r="X43" s="5">
        <f t="shared" si="1"/>
        <v>0</v>
      </c>
      <c r="Y43" s="2">
        <f t="shared" si="2"/>
        <v>0</v>
      </c>
    </row>
    <row r="44" spans="4:25" x14ac:dyDescent="0.25">
      <c r="D44" s="12"/>
      <c r="E44" s="5"/>
      <c r="F44" s="19" t="str">
        <f t="shared" si="0"/>
        <v/>
      </c>
      <c r="G44" s="1"/>
      <c r="H44" s="1"/>
      <c r="I44" s="1"/>
      <c r="J44" s="11"/>
      <c r="X44" s="5">
        <f t="shared" si="1"/>
        <v>0</v>
      </c>
      <c r="Y44" s="2">
        <f t="shared" si="2"/>
        <v>0</v>
      </c>
    </row>
    <row r="45" spans="4:25" x14ac:dyDescent="0.25">
      <c r="D45" s="12"/>
      <c r="E45" s="5"/>
      <c r="F45" s="19" t="str">
        <f t="shared" si="0"/>
        <v/>
      </c>
      <c r="G45" s="1"/>
      <c r="H45" s="1"/>
      <c r="I45" s="1"/>
      <c r="J45" s="11"/>
      <c r="X45" s="5">
        <f t="shared" si="1"/>
        <v>0</v>
      </c>
      <c r="Y45" s="2">
        <f t="shared" si="2"/>
        <v>0</v>
      </c>
    </row>
    <row r="46" spans="4:25" x14ac:dyDescent="0.25">
      <c r="D46" s="12"/>
      <c r="E46" s="5"/>
      <c r="F46" s="19" t="str">
        <f t="shared" si="0"/>
        <v/>
      </c>
      <c r="G46" s="1"/>
      <c r="H46" s="1"/>
      <c r="I46" s="1"/>
      <c r="J46" s="11"/>
      <c r="X46" s="5">
        <f t="shared" si="1"/>
        <v>0</v>
      </c>
      <c r="Y46" s="2">
        <f t="shared" si="2"/>
        <v>0</v>
      </c>
    </row>
    <row r="47" spans="4:25" x14ac:dyDescent="0.25">
      <c r="D47" s="12"/>
      <c r="E47" s="5"/>
      <c r="F47" s="19" t="str">
        <f t="shared" si="0"/>
        <v/>
      </c>
      <c r="G47" s="1"/>
      <c r="H47" s="1"/>
      <c r="I47" s="1"/>
      <c r="J47" s="11"/>
      <c r="X47" s="5">
        <f t="shared" si="1"/>
        <v>0</v>
      </c>
      <c r="Y47" s="2">
        <f t="shared" si="2"/>
        <v>0</v>
      </c>
    </row>
    <row r="48" spans="4:25" x14ac:dyDescent="0.25">
      <c r="D48" s="12"/>
      <c r="E48" s="5"/>
      <c r="F48" s="19" t="str">
        <f t="shared" si="0"/>
        <v/>
      </c>
      <c r="G48" s="1"/>
      <c r="H48" s="1"/>
      <c r="I48" s="1"/>
      <c r="J48" s="11"/>
      <c r="X48" s="5">
        <f t="shared" si="1"/>
        <v>0</v>
      </c>
      <c r="Y48" s="2">
        <f t="shared" si="2"/>
        <v>0</v>
      </c>
    </row>
    <row r="49" spans="4:25" x14ac:dyDescent="0.25">
      <c r="D49" s="12"/>
      <c r="E49" s="5"/>
      <c r="F49" s="19" t="str">
        <f t="shared" si="0"/>
        <v/>
      </c>
      <c r="G49" s="1"/>
      <c r="H49" s="1"/>
      <c r="I49" s="1"/>
      <c r="J49" s="11"/>
      <c r="X49" s="5">
        <f t="shared" si="1"/>
        <v>0</v>
      </c>
      <c r="Y49" s="2">
        <f t="shared" si="2"/>
        <v>0</v>
      </c>
    </row>
    <row r="50" spans="4:25" x14ac:dyDescent="0.25">
      <c r="D50" s="12"/>
      <c r="E50" s="5"/>
      <c r="F50" s="19" t="str">
        <f t="shared" si="0"/>
        <v/>
      </c>
      <c r="G50" s="1"/>
      <c r="H50" s="1"/>
      <c r="I50" s="1"/>
      <c r="J50" s="11"/>
      <c r="X50" s="5">
        <f t="shared" si="1"/>
        <v>0</v>
      </c>
      <c r="Y50" s="2">
        <f t="shared" si="2"/>
        <v>0</v>
      </c>
    </row>
    <row r="51" spans="4:25" x14ac:dyDescent="0.25">
      <c r="D51" s="12"/>
      <c r="E51" s="5"/>
      <c r="F51" s="19" t="str">
        <f t="shared" si="0"/>
        <v/>
      </c>
      <c r="G51" s="1"/>
      <c r="H51" s="1"/>
      <c r="I51" s="1"/>
      <c r="J51" s="11"/>
      <c r="X51" s="5">
        <f t="shared" si="1"/>
        <v>0</v>
      </c>
      <c r="Y51" s="2">
        <f t="shared" si="2"/>
        <v>0</v>
      </c>
    </row>
    <row r="52" spans="4:25" x14ac:dyDescent="0.25">
      <c r="D52" s="12"/>
      <c r="E52" s="5"/>
      <c r="F52" s="19" t="str">
        <f t="shared" si="0"/>
        <v/>
      </c>
      <c r="G52" s="1"/>
      <c r="H52" s="1"/>
      <c r="I52" s="1"/>
      <c r="J52" s="9"/>
      <c r="X52" s="5">
        <f t="shared" si="1"/>
        <v>0</v>
      </c>
      <c r="Y52" s="2">
        <f t="shared" si="2"/>
        <v>0</v>
      </c>
    </row>
    <row r="53" spans="4:25" x14ac:dyDescent="0.25">
      <c r="D53" s="1" t="s">
        <v>25</v>
      </c>
      <c r="E53" s="23"/>
      <c r="F53" s="2"/>
      <c r="G53" s="2">
        <f>SUM(G3:G52)</f>
        <v>0</v>
      </c>
      <c r="H53" s="2">
        <f t="shared" ref="H53:I53" si="3">SUM(H3:H52)</f>
        <v>0.37</v>
      </c>
      <c r="I53" s="2">
        <f t="shared" si="3"/>
        <v>0</v>
      </c>
    </row>
  </sheetData>
  <mergeCells count="4">
    <mergeCell ref="D1:F1"/>
    <mergeCell ref="G1:I1"/>
    <mergeCell ref="K1:Q1"/>
    <mergeCell ref="X1:Z1"/>
  </mergeCells>
  <conditionalFormatting sqref="A1:B1">
    <cfRule type="expression" dxfId="151" priority="1">
      <formula>$Z$3="+"</formula>
    </cfRule>
    <cfRule type="expression" dxfId="150" priority="2">
      <formula>$B$16=$K$3</formula>
    </cfRule>
  </conditionalFormatting>
  <conditionalFormatting sqref="P3">
    <cfRule type="expression" dxfId="149" priority="3">
      <formula>$Z$3="+"</formula>
    </cfRule>
  </conditionalFormatting>
  <conditionalFormatting sqref="Z3">
    <cfRule type="expression" dxfId="148" priority="4">
      <formula>$Z$3="+"</formula>
    </cfRule>
  </conditionalFormatting>
  <dataValidations count="1">
    <dataValidation type="list" allowBlank="1" showInputMessage="1" showErrorMessage="1" sqref="B2" xr:uid="{9423060F-3636-431D-BFD3-73558283CE32}">
      <formula1>"Romania,Moldova,Cyprus,Philippines"</formula1>
    </dataValidation>
  </dataValidations>
  <pageMargins left="0.7" right="0.7" top="0.75" bottom="0.75" header="0.3" footer="0.3"/>
  <pageSetup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569B9-2C27-4A38-B478-D1EC68150D10}">
  <dimension ref="A1:Z53"/>
  <sheetViews>
    <sheetView workbookViewId="0">
      <selection activeCell="H6" sqref="H6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1" customWidth="1"/>
    <col min="25" max="25" width="10.7109375" style="11" customWidth="1"/>
    <col min="26" max="26" width="10.7109375" customWidth="1"/>
  </cols>
  <sheetData>
    <row r="1" spans="1:26" x14ac:dyDescent="0.25">
      <c r="A1" s="4" t="s">
        <v>66</v>
      </c>
      <c r="B1" s="5" t="s">
        <v>85</v>
      </c>
      <c r="D1" s="29" t="s">
        <v>2</v>
      </c>
      <c r="E1" s="30"/>
      <c r="F1" s="31"/>
      <c r="G1" s="29" t="s">
        <v>0</v>
      </c>
      <c r="H1" s="30"/>
      <c r="I1" s="31"/>
      <c r="J1" s="18"/>
      <c r="K1" s="29" t="s">
        <v>58</v>
      </c>
      <c r="L1" s="30"/>
      <c r="M1" s="30"/>
      <c r="N1" s="30"/>
      <c r="O1" s="30"/>
      <c r="P1" s="30"/>
      <c r="Q1" s="31"/>
      <c r="X1" s="29"/>
      <c r="Y1" s="30"/>
      <c r="Z1" s="31"/>
    </row>
    <row r="2" spans="1:26" x14ac:dyDescent="0.25">
      <c r="A2" s="4" t="s">
        <v>21</v>
      </c>
      <c r="B2" s="5" t="s">
        <v>22</v>
      </c>
      <c r="D2" s="10" t="s">
        <v>49</v>
      </c>
      <c r="E2" s="10" t="s">
        <v>50</v>
      </c>
      <c r="F2" s="17" t="s">
        <v>67</v>
      </c>
      <c r="G2" s="10" t="s">
        <v>15</v>
      </c>
      <c r="H2" s="10" t="s">
        <v>16</v>
      </c>
      <c r="I2" s="10" t="s">
        <v>60</v>
      </c>
      <c r="J2" s="9"/>
      <c r="K2" s="10" t="s">
        <v>0</v>
      </c>
      <c r="L2" s="10" t="s">
        <v>1</v>
      </c>
      <c r="M2" s="10" t="s">
        <v>56</v>
      </c>
      <c r="N2" s="10" t="s">
        <v>57</v>
      </c>
      <c r="O2" s="10" t="s">
        <v>2</v>
      </c>
      <c r="P2" s="10" t="s">
        <v>68</v>
      </c>
      <c r="Q2" s="10" t="s">
        <v>67</v>
      </c>
      <c r="X2" s="10" t="s">
        <v>2</v>
      </c>
      <c r="Y2" s="10" t="s">
        <v>59</v>
      </c>
      <c r="Z2" s="10" t="s">
        <v>68</v>
      </c>
    </row>
    <row r="3" spans="1:26" x14ac:dyDescent="0.25">
      <c r="A3" s="4" t="s">
        <v>69</v>
      </c>
      <c r="B3" s="5" t="s">
        <v>73</v>
      </c>
      <c r="D3" s="12">
        <v>46203</v>
      </c>
      <c r="E3" s="12">
        <v>46203</v>
      </c>
      <c r="F3" s="19">
        <f t="shared" ref="F3:F52" si="0">IF(E3&gt;0,E3-D3,"")</f>
        <v>0</v>
      </c>
      <c r="G3" s="2">
        <v>0.27</v>
      </c>
      <c r="H3" s="2">
        <v>0.03</v>
      </c>
      <c r="I3" s="2">
        <v>0</v>
      </c>
      <c r="J3" s="11"/>
      <c r="K3" s="2">
        <f>G53</f>
        <v>11.850000000000001</v>
      </c>
      <c r="L3" s="2">
        <f>H53</f>
        <v>0.41000000000000003</v>
      </c>
      <c r="M3" s="2">
        <f>I53</f>
        <v>0.01</v>
      </c>
      <c r="N3" s="6" t="str">
        <f>IF(B16=K3,XIRR(Y3:Y52,X3:X52),"")</f>
        <v/>
      </c>
      <c r="O3" s="5" t="str">
        <f>IF(B16=K3,MAX(E:E),"")</f>
        <v/>
      </c>
      <c r="P3" s="1" t="str">
        <f ca="1">IF(Z3="+",TODAY()-B11,"")</f>
        <v/>
      </c>
      <c r="Q3" s="1" t="str">
        <f>IF(B16=K3,MAX(E:E)-B11,"")</f>
        <v/>
      </c>
      <c r="T3" s="14"/>
      <c r="X3" s="5">
        <f>B9</f>
        <v>46191</v>
      </c>
      <c r="Y3" s="2">
        <f>B16*-1</f>
        <v>-14.5</v>
      </c>
      <c r="Z3" s="1" t="str">
        <f ca="1">IF(AND(TODAY()&gt;B11, K3&lt;&gt;B16), "+", "")</f>
        <v/>
      </c>
    </row>
    <row r="4" spans="1:26" x14ac:dyDescent="0.25">
      <c r="A4" s="4" t="s">
        <v>19</v>
      </c>
      <c r="B4" s="5" t="s">
        <v>79</v>
      </c>
      <c r="D4" s="12">
        <v>46234</v>
      </c>
      <c r="E4" s="12">
        <v>46234</v>
      </c>
      <c r="F4" s="19">
        <f t="shared" si="0"/>
        <v>0</v>
      </c>
      <c r="G4" s="2">
        <v>1.06</v>
      </c>
      <c r="H4" s="2">
        <v>0.16</v>
      </c>
      <c r="I4" s="2">
        <v>0.01</v>
      </c>
      <c r="J4" s="9"/>
      <c r="X4" s="5">
        <f>E3</f>
        <v>46203</v>
      </c>
      <c r="Y4" s="2">
        <f>G3+H3-I3</f>
        <v>0.30000000000000004</v>
      </c>
    </row>
    <row r="5" spans="1:26" x14ac:dyDescent="0.25">
      <c r="A5" s="4"/>
      <c r="B5" s="5"/>
      <c r="D5" s="12">
        <v>46265</v>
      </c>
      <c r="E5" s="12">
        <v>46265</v>
      </c>
      <c r="F5" s="19">
        <f t="shared" si="0"/>
        <v>0</v>
      </c>
      <c r="G5" s="2">
        <v>1.87</v>
      </c>
      <c r="H5" s="1">
        <v>0.12</v>
      </c>
      <c r="I5" s="2">
        <v>0</v>
      </c>
      <c r="J5" s="9"/>
      <c r="X5" s="5">
        <f t="shared" ref="X5:X52" si="1">E4</f>
        <v>46234</v>
      </c>
      <c r="Y5" s="2">
        <f t="shared" ref="Y5:Y52" si="2">G4+H4-I4</f>
        <v>1.21</v>
      </c>
    </row>
    <row r="6" spans="1:26" x14ac:dyDescent="0.25">
      <c r="A6" s="4"/>
      <c r="B6" s="5"/>
      <c r="D6" s="12">
        <v>46295</v>
      </c>
      <c r="E6" s="12">
        <v>46295</v>
      </c>
      <c r="F6" s="19">
        <f t="shared" si="0"/>
        <v>0</v>
      </c>
      <c r="G6" s="2">
        <v>8.65</v>
      </c>
      <c r="H6" s="2">
        <v>0.1</v>
      </c>
      <c r="I6" s="2">
        <v>0</v>
      </c>
      <c r="J6" s="9"/>
      <c r="X6" s="5">
        <f t="shared" si="1"/>
        <v>46265</v>
      </c>
      <c r="Y6" s="2">
        <f t="shared" si="2"/>
        <v>1.9900000000000002</v>
      </c>
    </row>
    <row r="7" spans="1:26" x14ac:dyDescent="0.25">
      <c r="A7" s="4"/>
      <c r="B7" s="5"/>
      <c r="D7" s="12"/>
      <c r="E7" s="12"/>
      <c r="F7" s="19" t="str">
        <f t="shared" si="0"/>
        <v/>
      </c>
      <c r="G7" s="2"/>
      <c r="H7" s="1"/>
      <c r="I7" s="2"/>
      <c r="J7" s="11"/>
      <c r="X7" s="5">
        <f t="shared" si="1"/>
        <v>46295</v>
      </c>
      <c r="Y7" s="2">
        <f t="shared" si="2"/>
        <v>8.75</v>
      </c>
    </row>
    <row r="8" spans="1:26" x14ac:dyDescent="0.25">
      <c r="A8" s="4" t="s">
        <v>24</v>
      </c>
      <c r="B8" s="5" t="str">
        <f>DATEDIF(B9,B11,"y") &amp; " m. " &amp; DATEDIF(B9,B11,"ym") &amp; " mėn. " &amp; DATEDIF(B9,B11,"md") &amp; " d."</f>
        <v>1 m. 10 mėn. 0 d.</v>
      </c>
      <c r="D8" s="12"/>
      <c r="E8" s="12"/>
      <c r="F8" s="19" t="str">
        <f t="shared" si="0"/>
        <v/>
      </c>
      <c r="G8" s="1"/>
      <c r="H8" s="1"/>
      <c r="I8" s="2"/>
      <c r="J8" s="9"/>
      <c r="X8" s="5">
        <f t="shared" si="1"/>
        <v>0</v>
      </c>
      <c r="Y8" s="2">
        <f t="shared" si="2"/>
        <v>0</v>
      </c>
    </row>
    <row r="9" spans="1:26" x14ac:dyDescent="0.25">
      <c r="A9" s="4" t="s">
        <v>11</v>
      </c>
      <c r="B9" s="5">
        <v>46191</v>
      </c>
      <c r="D9" s="12"/>
      <c r="E9" s="12"/>
      <c r="F9" s="19"/>
      <c r="G9" s="2"/>
      <c r="H9" s="2"/>
      <c r="I9" s="2"/>
      <c r="J9" s="11"/>
      <c r="X9" s="5">
        <f t="shared" si="1"/>
        <v>0</v>
      </c>
      <c r="Y9" s="2">
        <f t="shared" si="2"/>
        <v>0</v>
      </c>
    </row>
    <row r="10" spans="1:26" x14ac:dyDescent="0.25">
      <c r="A10" s="4" t="s">
        <v>70</v>
      </c>
      <c r="B10" s="5">
        <v>46188</v>
      </c>
      <c r="D10" s="12"/>
      <c r="E10" s="12"/>
      <c r="F10" s="19" t="str">
        <f t="shared" si="0"/>
        <v/>
      </c>
      <c r="G10" s="1"/>
      <c r="H10" s="1"/>
      <c r="I10" s="2"/>
      <c r="J10" s="11"/>
      <c r="X10" s="5">
        <f t="shared" si="1"/>
        <v>0</v>
      </c>
      <c r="Y10" s="2">
        <f t="shared" si="2"/>
        <v>0</v>
      </c>
    </row>
    <row r="11" spans="1:26" x14ac:dyDescent="0.25">
      <c r="A11" s="4" t="s">
        <v>10</v>
      </c>
      <c r="B11" s="5">
        <v>46861</v>
      </c>
      <c r="D11" s="12"/>
      <c r="E11" s="12"/>
      <c r="F11" s="19" t="str">
        <f t="shared" si="0"/>
        <v/>
      </c>
      <c r="G11" s="1"/>
      <c r="H11" s="2"/>
      <c r="I11" s="2"/>
      <c r="J11" s="11"/>
      <c r="X11" s="5">
        <f t="shared" si="1"/>
        <v>0</v>
      </c>
      <c r="Y11" s="2">
        <f t="shared" si="2"/>
        <v>0</v>
      </c>
    </row>
    <row r="12" spans="1:26" x14ac:dyDescent="0.25">
      <c r="A12" s="4" t="s">
        <v>71</v>
      </c>
      <c r="B12" s="19">
        <f ca="1">IF(B16&lt;&gt;K3,(TODAY()-B11)*-1,"")</f>
        <v>566</v>
      </c>
      <c r="D12" s="12"/>
      <c r="E12" s="12"/>
      <c r="F12" s="19" t="str">
        <f t="shared" si="0"/>
        <v/>
      </c>
      <c r="G12" s="2"/>
      <c r="H12" s="1"/>
      <c r="I12" s="1"/>
      <c r="J12" s="11"/>
      <c r="X12" s="5">
        <f t="shared" si="1"/>
        <v>0</v>
      </c>
      <c r="Y12" s="2">
        <f t="shared" si="2"/>
        <v>0</v>
      </c>
    </row>
    <row r="13" spans="1:26" x14ac:dyDescent="0.25">
      <c r="A13" s="4"/>
      <c r="B13" s="2"/>
      <c r="D13" s="12"/>
      <c r="E13" s="12"/>
      <c r="F13" s="19" t="str">
        <f t="shared" si="0"/>
        <v/>
      </c>
      <c r="G13" s="1"/>
      <c r="H13" s="2"/>
      <c r="I13" s="2"/>
      <c r="J13" s="11"/>
      <c r="N13" s="14"/>
      <c r="X13" s="5">
        <f t="shared" si="1"/>
        <v>0</v>
      </c>
      <c r="Y13" s="2">
        <f t="shared" si="2"/>
        <v>0</v>
      </c>
    </row>
    <row r="14" spans="1:26" x14ac:dyDescent="0.25">
      <c r="A14" s="13"/>
      <c r="B14" s="20"/>
      <c r="D14" s="12"/>
      <c r="E14" s="5"/>
      <c r="F14" s="19" t="str">
        <f t="shared" si="0"/>
        <v/>
      </c>
      <c r="G14" s="1"/>
      <c r="H14" s="1"/>
      <c r="I14" s="1"/>
      <c r="J14" s="11"/>
      <c r="X14" s="5">
        <f t="shared" si="1"/>
        <v>0</v>
      </c>
      <c r="Y14" s="2">
        <f t="shared" si="2"/>
        <v>0</v>
      </c>
    </row>
    <row r="15" spans="1:26" x14ac:dyDescent="0.25">
      <c r="A15" s="4" t="s">
        <v>1</v>
      </c>
      <c r="B15" s="6">
        <v>0.125</v>
      </c>
      <c r="D15" s="12"/>
      <c r="E15" s="5"/>
      <c r="F15" s="19" t="str">
        <f t="shared" si="0"/>
        <v/>
      </c>
      <c r="G15" s="1"/>
      <c r="H15" s="1"/>
      <c r="I15" s="1"/>
      <c r="J15" s="11"/>
      <c r="K15" s="18"/>
      <c r="L15" s="18"/>
      <c r="M15" s="18"/>
      <c r="N15" s="18"/>
      <c r="O15" s="18"/>
      <c r="P15" s="18"/>
      <c r="Q15" s="18"/>
      <c r="X15" s="5">
        <f t="shared" si="1"/>
        <v>0</v>
      </c>
      <c r="Y15" s="2">
        <f t="shared" si="2"/>
        <v>0</v>
      </c>
    </row>
    <row r="16" spans="1:26" x14ac:dyDescent="0.25">
      <c r="A16" s="4" t="s">
        <v>72</v>
      </c>
      <c r="B16" s="2">
        <v>14.5</v>
      </c>
      <c r="D16" s="12"/>
      <c r="E16" s="5"/>
      <c r="F16" s="19" t="str">
        <f t="shared" si="0"/>
        <v/>
      </c>
      <c r="G16" s="1"/>
      <c r="H16" s="1"/>
      <c r="I16" s="1"/>
      <c r="J16" s="11"/>
      <c r="K16" s="9"/>
      <c r="L16" s="9"/>
      <c r="M16" s="9"/>
      <c r="N16" s="21"/>
      <c r="O16" s="22"/>
      <c r="P16" s="11"/>
      <c r="Q16" s="11"/>
      <c r="X16" s="5">
        <f t="shared" si="1"/>
        <v>0</v>
      </c>
      <c r="Y16" s="2">
        <f t="shared" si="2"/>
        <v>0</v>
      </c>
    </row>
    <row r="17" spans="2:25" x14ac:dyDescent="0.25">
      <c r="D17" s="12"/>
      <c r="E17" s="5"/>
      <c r="F17" s="19" t="str">
        <f t="shared" si="0"/>
        <v/>
      </c>
      <c r="G17" s="1"/>
      <c r="H17" s="1"/>
      <c r="I17" s="1"/>
      <c r="J17" s="11"/>
      <c r="X17" s="5">
        <f t="shared" si="1"/>
        <v>0</v>
      </c>
      <c r="Y17" s="2">
        <f t="shared" si="2"/>
        <v>0</v>
      </c>
    </row>
    <row r="18" spans="2:25" x14ac:dyDescent="0.25">
      <c r="D18" s="12"/>
      <c r="E18" s="5"/>
      <c r="F18" s="19" t="str">
        <f t="shared" si="0"/>
        <v/>
      </c>
      <c r="G18" s="1"/>
      <c r="H18" s="1"/>
      <c r="I18" s="1"/>
      <c r="J18" s="11"/>
      <c r="X18" s="5">
        <f t="shared" si="1"/>
        <v>0</v>
      </c>
      <c r="Y18" s="2">
        <f t="shared" si="2"/>
        <v>0</v>
      </c>
    </row>
    <row r="19" spans="2:25" x14ac:dyDescent="0.25">
      <c r="D19" s="12"/>
      <c r="E19" s="5"/>
      <c r="F19" s="19" t="str">
        <f t="shared" si="0"/>
        <v/>
      </c>
      <c r="G19" s="1"/>
      <c r="H19" s="1"/>
      <c r="I19" s="1"/>
      <c r="J19" s="11"/>
      <c r="X19" s="5">
        <f t="shared" si="1"/>
        <v>0</v>
      </c>
      <c r="Y19" s="2">
        <f t="shared" si="2"/>
        <v>0</v>
      </c>
    </row>
    <row r="20" spans="2:25" x14ac:dyDescent="0.25">
      <c r="D20" s="12"/>
      <c r="E20" s="5"/>
      <c r="F20" s="19" t="str">
        <f t="shared" si="0"/>
        <v/>
      </c>
      <c r="G20" s="1"/>
      <c r="H20" s="1"/>
      <c r="I20" s="1"/>
      <c r="J20" s="11"/>
      <c r="X20" s="5">
        <f t="shared" si="1"/>
        <v>0</v>
      </c>
      <c r="Y20" s="2">
        <f t="shared" si="2"/>
        <v>0</v>
      </c>
    </row>
    <row r="21" spans="2:25" x14ac:dyDescent="0.25">
      <c r="D21" s="12"/>
      <c r="E21" s="5"/>
      <c r="F21" s="19" t="str">
        <f t="shared" si="0"/>
        <v/>
      </c>
      <c r="G21" s="1"/>
      <c r="H21" s="1"/>
      <c r="I21" s="1"/>
      <c r="J21" s="11"/>
      <c r="X21" s="5">
        <f t="shared" si="1"/>
        <v>0</v>
      </c>
      <c r="Y21" s="2">
        <f t="shared" si="2"/>
        <v>0</v>
      </c>
    </row>
    <row r="22" spans="2:25" x14ac:dyDescent="0.25">
      <c r="D22" s="12"/>
      <c r="E22" s="5"/>
      <c r="F22" s="19" t="str">
        <f t="shared" si="0"/>
        <v/>
      </c>
      <c r="G22" s="1"/>
      <c r="H22" s="1"/>
      <c r="I22" s="1"/>
      <c r="J22" s="11"/>
      <c r="X22" s="5">
        <f t="shared" si="1"/>
        <v>0</v>
      </c>
      <c r="Y22" s="2">
        <f t="shared" si="2"/>
        <v>0</v>
      </c>
    </row>
    <row r="23" spans="2:25" x14ac:dyDescent="0.25">
      <c r="B23" s="22"/>
      <c r="D23" s="12"/>
      <c r="E23" s="5"/>
      <c r="F23" s="19" t="str">
        <f t="shared" si="0"/>
        <v/>
      </c>
      <c r="G23" s="1"/>
      <c r="H23" s="1"/>
      <c r="I23" s="1"/>
      <c r="J23" s="11"/>
      <c r="X23" s="5">
        <f t="shared" si="1"/>
        <v>0</v>
      </c>
      <c r="Y23" s="2">
        <f t="shared" si="2"/>
        <v>0</v>
      </c>
    </row>
    <row r="24" spans="2:25" x14ac:dyDescent="0.25">
      <c r="D24" s="12"/>
      <c r="E24" s="5"/>
      <c r="F24" s="19" t="str">
        <f t="shared" si="0"/>
        <v/>
      </c>
      <c r="G24" s="1"/>
      <c r="H24" s="1"/>
      <c r="I24" s="1"/>
      <c r="J24" s="11"/>
      <c r="X24" s="5">
        <f t="shared" si="1"/>
        <v>0</v>
      </c>
      <c r="Y24" s="2">
        <f t="shared" si="2"/>
        <v>0</v>
      </c>
    </row>
    <row r="25" spans="2:25" x14ac:dyDescent="0.25">
      <c r="D25" s="12"/>
      <c r="E25" s="5"/>
      <c r="F25" s="19" t="str">
        <f t="shared" si="0"/>
        <v/>
      </c>
      <c r="G25" s="1"/>
      <c r="H25" s="1"/>
      <c r="I25" s="1"/>
      <c r="J25" s="11"/>
      <c r="X25" s="5">
        <f t="shared" si="1"/>
        <v>0</v>
      </c>
      <c r="Y25" s="2">
        <f t="shared" si="2"/>
        <v>0</v>
      </c>
    </row>
    <row r="26" spans="2:25" x14ac:dyDescent="0.25">
      <c r="D26" s="12"/>
      <c r="E26" s="5"/>
      <c r="F26" s="19" t="str">
        <f t="shared" si="0"/>
        <v/>
      </c>
      <c r="G26" s="1"/>
      <c r="H26" s="1"/>
      <c r="I26" s="1"/>
      <c r="J26" s="11"/>
      <c r="X26" s="5">
        <f t="shared" si="1"/>
        <v>0</v>
      </c>
      <c r="Y26" s="2">
        <f t="shared" si="2"/>
        <v>0</v>
      </c>
    </row>
    <row r="27" spans="2:25" x14ac:dyDescent="0.25">
      <c r="D27" s="12"/>
      <c r="E27" s="5"/>
      <c r="F27" s="19" t="str">
        <f t="shared" si="0"/>
        <v/>
      </c>
      <c r="G27" s="1"/>
      <c r="H27" s="1"/>
      <c r="I27" s="1"/>
      <c r="J27" s="11"/>
      <c r="X27" s="5">
        <f t="shared" si="1"/>
        <v>0</v>
      </c>
      <c r="Y27" s="2">
        <f t="shared" si="2"/>
        <v>0</v>
      </c>
    </row>
    <row r="28" spans="2:25" x14ac:dyDescent="0.25">
      <c r="D28" s="12"/>
      <c r="E28" s="5"/>
      <c r="F28" s="19" t="str">
        <f t="shared" si="0"/>
        <v/>
      </c>
      <c r="G28" s="1"/>
      <c r="H28" s="1"/>
      <c r="I28" s="1"/>
      <c r="J28" s="11"/>
      <c r="X28" s="5">
        <f t="shared" si="1"/>
        <v>0</v>
      </c>
      <c r="Y28" s="2">
        <f t="shared" si="2"/>
        <v>0</v>
      </c>
    </row>
    <row r="29" spans="2:25" x14ac:dyDescent="0.25">
      <c r="D29" s="12"/>
      <c r="E29" s="5"/>
      <c r="F29" s="19" t="str">
        <f t="shared" si="0"/>
        <v/>
      </c>
      <c r="G29" s="1"/>
      <c r="H29" s="1"/>
      <c r="I29" s="1"/>
      <c r="J29" s="11"/>
      <c r="X29" s="5">
        <f t="shared" si="1"/>
        <v>0</v>
      </c>
      <c r="Y29" s="2">
        <f t="shared" si="2"/>
        <v>0</v>
      </c>
    </row>
    <row r="30" spans="2:25" x14ac:dyDescent="0.25">
      <c r="D30" s="12"/>
      <c r="E30" s="5"/>
      <c r="F30" s="19" t="str">
        <f t="shared" si="0"/>
        <v/>
      </c>
      <c r="G30" s="1"/>
      <c r="H30" s="1"/>
      <c r="I30" s="1"/>
      <c r="J30" s="11"/>
      <c r="X30" s="5">
        <f t="shared" si="1"/>
        <v>0</v>
      </c>
      <c r="Y30" s="2">
        <f t="shared" si="2"/>
        <v>0</v>
      </c>
    </row>
    <row r="31" spans="2:25" x14ac:dyDescent="0.25">
      <c r="D31" s="12"/>
      <c r="E31" s="5"/>
      <c r="F31" s="19" t="str">
        <f t="shared" si="0"/>
        <v/>
      </c>
      <c r="G31" s="1"/>
      <c r="H31" s="1"/>
      <c r="I31" s="1"/>
      <c r="J31" s="11"/>
      <c r="X31" s="5">
        <f t="shared" si="1"/>
        <v>0</v>
      </c>
      <c r="Y31" s="2">
        <f t="shared" si="2"/>
        <v>0</v>
      </c>
    </row>
    <row r="32" spans="2:25" x14ac:dyDescent="0.25">
      <c r="D32" s="12"/>
      <c r="E32" s="5"/>
      <c r="F32" s="19" t="str">
        <f t="shared" si="0"/>
        <v/>
      </c>
      <c r="G32" s="1"/>
      <c r="H32" s="1"/>
      <c r="I32" s="1"/>
      <c r="J32" s="11"/>
      <c r="X32" s="5">
        <f t="shared" si="1"/>
        <v>0</v>
      </c>
      <c r="Y32" s="2">
        <f t="shared" si="2"/>
        <v>0</v>
      </c>
    </row>
    <row r="33" spans="4:25" x14ac:dyDescent="0.25">
      <c r="D33" s="12"/>
      <c r="E33" s="5"/>
      <c r="F33" s="19" t="str">
        <f t="shared" si="0"/>
        <v/>
      </c>
      <c r="G33" s="1"/>
      <c r="H33" s="1"/>
      <c r="I33" s="1"/>
      <c r="J33" s="11"/>
      <c r="X33" s="5">
        <f t="shared" si="1"/>
        <v>0</v>
      </c>
      <c r="Y33" s="2">
        <f t="shared" si="2"/>
        <v>0</v>
      </c>
    </row>
    <row r="34" spans="4:25" x14ac:dyDescent="0.25">
      <c r="D34" s="12"/>
      <c r="E34" s="5"/>
      <c r="F34" s="19" t="str">
        <f t="shared" si="0"/>
        <v/>
      </c>
      <c r="G34" s="1"/>
      <c r="H34" s="1"/>
      <c r="I34" s="1"/>
      <c r="J34" s="11"/>
      <c r="X34" s="5">
        <f t="shared" si="1"/>
        <v>0</v>
      </c>
      <c r="Y34" s="2">
        <f t="shared" si="2"/>
        <v>0</v>
      </c>
    </row>
    <row r="35" spans="4:25" x14ac:dyDescent="0.25">
      <c r="D35" s="12"/>
      <c r="E35" s="5"/>
      <c r="F35" s="19" t="str">
        <f t="shared" si="0"/>
        <v/>
      </c>
      <c r="G35" s="1"/>
      <c r="H35" s="1"/>
      <c r="I35" s="1"/>
      <c r="J35" s="11"/>
      <c r="X35" s="5">
        <f t="shared" si="1"/>
        <v>0</v>
      </c>
      <c r="Y35" s="2">
        <f t="shared" si="2"/>
        <v>0</v>
      </c>
    </row>
    <row r="36" spans="4:25" x14ac:dyDescent="0.25">
      <c r="D36" s="12"/>
      <c r="E36" s="5"/>
      <c r="F36" s="19" t="str">
        <f t="shared" si="0"/>
        <v/>
      </c>
      <c r="G36" s="1"/>
      <c r="H36" s="1"/>
      <c r="I36" s="1"/>
      <c r="J36" s="11"/>
      <c r="X36" s="5">
        <f t="shared" si="1"/>
        <v>0</v>
      </c>
      <c r="Y36" s="2">
        <f t="shared" si="2"/>
        <v>0</v>
      </c>
    </row>
    <row r="37" spans="4:25" x14ac:dyDescent="0.25">
      <c r="D37" s="12"/>
      <c r="E37" s="5"/>
      <c r="F37" s="19" t="str">
        <f t="shared" si="0"/>
        <v/>
      </c>
      <c r="G37" s="1"/>
      <c r="H37" s="1"/>
      <c r="I37" s="1"/>
      <c r="J37" s="11"/>
      <c r="X37" s="5">
        <f t="shared" si="1"/>
        <v>0</v>
      </c>
      <c r="Y37" s="2">
        <f t="shared" si="2"/>
        <v>0</v>
      </c>
    </row>
    <row r="38" spans="4:25" x14ac:dyDescent="0.25">
      <c r="D38" s="12"/>
      <c r="E38" s="5"/>
      <c r="F38" s="19" t="str">
        <f t="shared" si="0"/>
        <v/>
      </c>
      <c r="G38" s="1"/>
      <c r="H38" s="1"/>
      <c r="I38" s="1"/>
      <c r="J38" s="11"/>
      <c r="X38" s="5">
        <f t="shared" si="1"/>
        <v>0</v>
      </c>
      <c r="Y38" s="2">
        <f t="shared" si="2"/>
        <v>0</v>
      </c>
    </row>
    <row r="39" spans="4:25" x14ac:dyDescent="0.25">
      <c r="D39" s="12"/>
      <c r="E39" s="5"/>
      <c r="F39" s="19" t="str">
        <f t="shared" si="0"/>
        <v/>
      </c>
      <c r="G39" s="1"/>
      <c r="H39" s="1"/>
      <c r="I39" s="1"/>
      <c r="J39" s="11"/>
      <c r="X39" s="5">
        <f t="shared" si="1"/>
        <v>0</v>
      </c>
      <c r="Y39" s="2">
        <f t="shared" si="2"/>
        <v>0</v>
      </c>
    </row>
    <row r="40" spans="4:25" x14ac:dyDescent="0.25">
      <c r="D40" s="12"/>
      <c r="E40" s="5"/>
      <c r="F40" s="19" t="str">
        <f t="shared" si="0"/>
        <v/>
      </c>
      <c r="G40" s="1"/>
      <c r="H40" s="1"/>
      <c r="I40" s="1"/>
      <c r="J40" s="11"/>
      <c r="X40" s="5">
        <f t="shared" si="1"/>
        <v>0</v>
      </c>
      <c r="Y40" s="2">
        <f t="shared" si="2"/>
        <v>0</v>
      </c>
    </row>
    <row r="41" spans="4:25" x14ac:dyDescent="0.25">
      <c r="D41" s="12"/>
      <c r="E41" s="5"/>
      <c r="F41" s="19" t="str">
        <f t="shared" si="0"/>
        <v/>
      </c>
      <c r="G41" s="1"/>
      <c r="H41" s="1"/>
      <c r="I41" s="1"/>
      <c r="J41" s="11"/>
      <c r="X41" s="5">
        <f t="shared" si="1"/>
        <v>0</v>
      </c>
      <c r="Y41" s="2">
        <f t="shared" si="2"/>
        <v>0</v>
      </c>
    </row>
    <row r="42" spans="4:25" x14ac:dyDescent="0.25">
      <c r="D42" s="12"/>
      <c r="E42" s="5"/>
      <c r="F42" s="19" t="str">
        <f t="shared" si="0"/>
        <v/>
      </c>
      <c r="G42" s="1"/>
      <c r="H42" s="1"/>
      <c r="I42" s="1"/>
      <c r="J42" s="11"/>
      <c r="X42" s="5">
        <f t="shared" si="1"/>
        <v>0</v>
      </c>
      <c r="Y42" s="2">
        <f t="shared" si="2"/>
        <v>0</v>
      </c>
    </row>
    <row r="43" spans="4:25" x14ac:dyDescent="0.25">
      <c r="D43" s="12"/>
      <c r="E43" s="5"/>
      <c r="F43" s="19" t="str">
        <f t="shared" si="0"/>
        <v/>
      </c>
      <c r="G43" s="1"/>
      <c r="H43" s="1"/>
      <c r="I43" s="1"/>
      <c r="J43" s="11"/>
      <c r="X43" s="5">
        <f t="shared" si="1"/>
        <v>0</v>
      </c>
      <c r="Y43" s="2">
        <f t="shared" si="2"/>
        <v>0</v>
      </c>
    </row>
    <row r="44" spans="4:25" x14ac:dyDescent="0.25">
      <c r="D44" s="12"/>
      <c r="E44" s="5"/>
      <c r="F44" s="19" t="str">
        <f t="shared" si="0"/>
        <v/>
      </c>
      <c r="G44" s="1"/>
      <c r="H44" s="1"/>
      <c r="I44" s="1"/>
      <c r="J44" s="11"/>
      <c r="X44" s="5">
        <f t="shared" si="1"/>
        <v>0</v>
      </c>
      <c r="Y44" s="2">
        <f t="shared" si="2"/>
        <v>0</v>
      </c>
    </row>
    <row r="45" spans="4:25" x14ac:dyDescent="0.25">
      <c r="D45" s="12"/>
      <c r="E45" s="5"/>
      <c r="F45" s="19" t="str">
        <f t="shared" si="0"/>
        <v/>
      </c>
      <c r="G45" s="1"/>
      <c r="H45" s="1"/>
      <c r="I45" s="1"/>
      <c r="J45" s="11"/>
      <c r="X45" s="5">
        <f t="shared" si="1"/>
        <v>0</v>
      </c>
      <c r="Y45" s="2">
        <f t="shared" si="2"/>
        <v>0</v>
      </c>
    </row>
    <row r="46" spans="4:25" x14ac:dyDescent="0.25">
      <c r="D46" s="12"/>
      <c r="E46" s="5"/>
      <c r="F46" s="19" t="str">
        <f t="shared" si="0"/>
        <v/>
      </c>
      <c r="G46" s="1"/>
      <c r="H46" s="1"/>
      <c r="I46" s="1"/>
      <c r="J46" s="11"/>
      <c r="X46" s="5">
        <f t="shared" si="1"/>
        <v>0</v>
      </c>
      <c r="Y46" s="2">
        <f t="shared" si="2"/>
        <v>0</v>
      </c>
    </row>
    <row r="47" spans="4:25" x14ac:dyDescent="0.25">
      <c r="D47" s="12"/>
      <c r="E47" s="5"/>
      <c r="F47" s="19" t="str">
        <f t="shared" si="0"/>
        <v/>
      </c>
      <c r="G47" s="1"/>
      <c r="H47" s="1"/>
      <c r="I47" s="1"/>
      <c r="J47" s="11"/>
      <c r="X47" s="5">
        <f t="shared" si="1"/>
        <v>0</v>
      </c>
      <c r="Y47" s="2">
        <f t="shared" si="2"/>
        <v>0</v>
      </c>
    </row>
    <row r="48" spans="4:25" x14ac:dyDescent="0.25">
      <c r="D48" s="12"/>
      <c r="E48" s="5"/>
      <c r="F48" s="19" t="str">
        <f t="shared" si="0"/>
        <v/>
      </c>
      <c r="G48" s="1"/>
      <c r="H48" s="1"/>
      <c r="I48" s="1"/>
      <c r="J48" s="11"/>
      <c r="X48" s="5">
        <f t="shared" si="1"/>
        <v>0</v>
      </c>
      <c r="Y48" s="2">
        <f t="shared" si="2"/>
        <v>0</v>
      </c>
    </row>
    <row r="49" spans="4:25" x14ac:dyDescent="0.25">
      <c r="D49" s="12"/>
      <c r="E49" s="5"/>
      <c r="F49" s="19" t="str">
        <f t="shared" si="0"/>
        <v/>
      </c>
      <c r="G49" s="1"/>
      <c r="H49" s="1"/>
      <c r="I49" s="1"/>
      <c r="J49" s="11"/>
      <c r="X49" s="5">
        <f t="shared" si="1"/>
        <v>0</v>
      </c>
      <c r="Y49" s="2">
        <f t="shared" si="2"/>
        <v>0</v>
      </c>
    </row>
    <row r="50" spans="4:25" x14ac:dyDescent="0.25">
      <c r="D50" s="12"/>
      <c r="E50" s="5"/>
      <c r="F50" s="19" t="str">
        <f t="shared" si="0"/>
        <v/>
      </c>
      <c r="G50" s="1"/>
      <c r="H50" s="1"/>
      <c r="I50" s="1"/>
      <c r="J50" s="11"/>
      <c r="X50" s="5">
        <f t="shared" si="1"/>
        <v>0</v>
      </c>
      <c r="Y50" s="2">
        <f t="shared" si="2"/>
        <v>0</v>
      </c>
    </row>
    <row r="51" spans="4:25" x14ac:dyDescent="0.25">
      <c r="D51" s="12"/>
      <c r="E51" s="5"/>
      <c r="F51" s="19" t="str">
        <f t="shared" si="0"/>
        <v/>
      </c>
      <c r="G51" s="1"/>
      <c r="H51" s="1"/>
      <c r="I51" s="1"/>
      <c r="J51" s="11"/>
      <c r="X51" s="5">
        <f t="shared" si="1"/>
        <v>0</v>
      </c>
      <c r="Y51" s="2">
        <f t="shared" si="2"/>
        <v>0</v>
      </c>
    </row>
    <row r="52" spans="4:25" x14ac:dyDescent="0.25">
      <c r="D52" s="12"/>
      <c r="E52" s="5"/>
      <c r="F52" s="19" t="str">
        <f t="shared" si="0"/>
        <v/>
      </c>
      <c r="G52" s="1"/>
      <c r="H52" s="1"/>
      <c r="I52" s="1"/>
      <c r="J52" s="9"/>
      <c r="X52" s="5">
        <f t="shared" si="1"/>
        <v>0</v>
      </c>
      <c r="Y52" s="2">
        <f t="shared" si="2"/>
        <v>0</v>
      </c>
    </row>
    <row r="53" spans="4:25" x14ac:dyDescent="0.25">
      <c r="D53" s="1" t="s">
        <v>25</v>
      </c>
      <c r="E53" s="23"/>
      <c r="F53" s="2"/>
      <c r="G53" s="2">
        <f>SUM(G3:G52)</f>
        <v>11.850000000000001</v>
      </c>
      <c r="H53" s="2">
        <f t="shared" ref="H53:I53" si="3">SUM(H3:H52)</f>
        <v>0.41000000000000003</v>
      </c>
      <c r="I53" s="2">
        <f t="shared" si="3"/>
        <v>0.01</v>
      </c>
    </row>
  </sheetData>
  <mergeCells count="4">
    <mergeCell ref="D1:F1"/>
    <mergeCell ref="G1:I1"/>
    <mergeCell ref="K1:Q1"/>
    <mergeCell ref="X1:Z1"/>
  </mergeCells>
  <conditionalFormatting sqref="A1:B1">
    <cfRule type="expression" dxfId="147" priority="1">
      <formula>$Z$3="+"</formula>
    </cfRule>
    <cfRule type="expression" dxfId="146" priority="2">
      <formula>$B$16=$K$3</formula>
    </cfRule>
  </conditionalFormatting>
  <conditionalFormatting sqref="P3">
    <cfRule type="expression" dxfId="145" priority="3">
      <formula>$Z$3="+"</formula>
    </cfRule>
  </conditionalFormatting>
  <conditionalFormatting sqref="Z3">
    <cfRule type="expression" dxfId="144" priority="4">
      <formula>$Z$3="+"</formula>
    </cfRule>
  </conditionalFormatting>
  <dataValidations count="1">
    <dataValidation type="list" allowBlank="1" showInputMessage="1" showErrorMessage="1" sqref="B2" xr:uid="{F42BCDB3-F3FE-4DE8-89D2-B2D99DEFCD06}">
      <formula1>"Romania,Moldova,Cyprus,Philippines"</formula1>
    </dataValidation>
  </dataValidations>
  <pageMargins left="0.7" right="0.7" top="0.75" bottom="0.75" header="0.3" footer="0.3"/>
  <pageSetup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CFD48-DC1F-4877-B244-380948895E6E}">
  <dimension ref="A1:Z53"/>
  <sheetViews>
    <sheetView workbookViewId="0">
      <selection activeCell="I7" sqref="I7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1" customWidth="1"/>
    <col min="25" max="25" width="10.7109375" style="11" customWidth="1"/>
    <col min="26" max="26" width="10.7109375" customWidth="1"/>
  </cols>
  <sheetData>
    <row r="1" spans="1:26" x14ac:dyDescent="0.25">
      <c r="A1" s="4" t="s">
        <v>66</v>
      </c>
      <c r="B1" s="5" t="s">
        <v>83</v>
      </c>
      <c r="D1" s="29" t="s">
        <v>2</v>
      </c>
      <c r="E1" s="30"/>
      <c r="F1" s="31"/>
      <c r="G1" s="29" t="s">
        <v>0</v>
      </c>
      <c r="H1" s="30"/>
      <c r="I1" s="31"/>
      <c r="J1" s="18"/>
      <c r="K1" s="29" t="s">
        <v>58</v>
      </c>
      <c r="L1" s="30"/>
      <c r="M1" s="30"/>
      <c r="N1" s="30"/>
      <c r="O1" s="30"/>
      <c r="P1" s="30"/>
      <c r="Q1" s="31"/>
      <c r="X1" s="29"/>
      <c r="Y1" s="30"/>
      <c r="Z1" s="31"/>
    </row>
    <row r="2" spans="1:26" x14ac:dyDescent="0.25">
      <c r="A2" s="4" t="s">
        <v>21</v>
      </c>
      <c r="B2" s="5" t="s">
        <v>27</v>
      </c>
      <c r="D2" s="10" t="s">
        <v>49</v>
      </c>
      <c r="E2" s="10" t="s">
        <v>50</v>
      </c>
      <c r="F2" s="17" t="s">
        <v>67</v>
      </c>
      <c r="G2" s="10" t="s">
        <v>15</v>
      </c>
      <c r="H2" s="10" t="s">
        <v>16</v>
      </c>
      <c r="I2" s="10" t="s">
        <v>60</v>
      </c>
      <c r="J2" s="9"/>
      <c r="K2" s="10" t="s">
        <v>0</v>
      </c>
      <c r="L2" s="10" t="s">
        <v>1</v>
      </c>
      <c r="M2" s="10" t="s">
        <v>56</v>
      </c>
      <c r="N2" s="10" t="s">
        <v>57</v>
      </c>
      <c r="O2" s="10" t="s">
        <v>2</v>
      </c>
      <c r="P2" s="10" t="s">
        <v>68</v>
      </c>
      <c r="Q2" s="10" t="s">
        <v>67</v>
      </c>
      <c r="X2" s="10" t="s">
        <v>2</v>
      </c>
      <c r="Y2" s="10" t="s">
        <v>59</v>
      </c>
      <c r="Z2" s="10" t="s">
        <v>68</v>
      </c>
    </row>
    <row r="3" spans="1:26" x14ac:dyDescent="0.25">
      <c r="A3" s="4" t="s">
        <v>69</v>
      </c>
      <c r="B3" s="5" t="s">
        <v>84</v>
      </c>
      <c r="D3" s="12">
        <v>46203</v>
      </c>
      <c r="E3" s="12">
        <v>46203</v>
      </c>
      <c r="F3" s="19">
        <f t="shared" ref="F3:F52" si="0">IF(E3&gt;0,E3-D3,"")</f>
        <v>0</v>
      </c>
      <c r="G3" s="2">
        <v>0.25</v>
      </c>
      <c r="H3" s="2">
        <v>0.03</v>
      </c>
      <c r="I3" s="2">
        <v>0</v>
      </c>
      <c r="J3" s="11"/>
      <c r="K3" s="2">
        <f>G53</f>
        <v>2.2000000000000002</v>
      </c>
      <c r="L3" s="2">
        <f>H53</f>
        <v>0.38</v>
      </c>
      <c r="M3" s="2">
        <f>I53</f>
        <v>0.01</v>
      </c>
      <c r="N3" s="6" t="str">
        <f>IF(B16=K3,XIRR(Y3:Y52,X3:X52),"")</f>
        <v/>
      </c>
      <c r="O3" s="5" t="str">
        <f>IF(B16=K3,MAX(E:E),"")</f>
        <v/>
      </c>
      <c r="P3" s="1" t="str">
        <f ca="1">IF(Z3="+",TODAY()-B11,"")</f>
        <v/>
      </c>
      <c r="Q3" s="1" t="str">
        <f>IF(B16=K3,MAX(E:E)-B11,"")</f>
        <v/>
      </c>
      <c r="T3" s="14"/>
      <c r="X3" s="5">
        <f>B9</f>
        <v>46188</v>
      </c>
      <c r="Y3" s="2">
        <f>B16*-1</f>
        <v>-10.3</v>
      </c>
      <c r="Z3" s="1" t="str">
        <f ca="1">IF(AND(TODAY()&gt;B11, K3&lt;&gt;B16), "+", "")</f>
        <v/>
      </c>
    </row>
    <row r="4" spans="1:26" x14ac:dyDescent="0.25">
      <c r="A4" s="4" t="s">
        <v>19</v>
      </c>
      <c r="B4" s="5" t="s">
        <v>79</v>
      </c>
      <c r="D4" s="12">
        <v>46234</v>
      </c>
      <c r="E4" s="12">
        <v>46234</v>
      </c>
      <c r="F4" s="19">
        <f t="shared" si="0"/>
        <v>0</v>
      </c>
      <c r="G4" s="2">
        <v>1.04</v>
      </c>
      <c r="H4" s="2">
        <v>0.14000000000000001</v>
      </c>
      <c r="I4" s="2">
        <v>0.01</v>
      </c>
      <c r="J4" s="9"/>
      <c r="X4" s="5">
        <f>E3</f>
        <v>46203</v>
      </c>
      <c r="Y4" s="2">
        <f>G3+H3-I3</f>
        <v>0.28000000000000003</v>
      </c>
    </row>
    <row r="5" spans="1:26" x14ac:dyDescent="0.25">
      <c r="A5" s="4"/>
      <c r="B5" s="5"/>
      <c r="D5" s="12">
        <v>46265</v>
      </c>
      <c r="E5" s="12">
        <v>46265</v>
      </c>
      <c r="F5" s="19">
        <f t="shared" si="0"/>
        <v>0</v>
      </c>
      <c r="G5" s="2">
        <v>0.34</v>
      </c>
      <c r="H5" s="1">
        <v>0.09</v>
      </c>
      <c r="I5" s="2">
        <v>0</v>
      </c>
      <c r="J5" s="9"/>
      <c r="X5" s="5">
        <f t="shared" ref="X5:X52" si="1">E4</f>
        <v>46234</v>
      </c>
      <c r="Y5" s="2">
        <f t="shared" ref="Y5:Y52" si="2">G4+H4-I4</f>
        <v>1.1700000000000002</v>
      </c>
    </row>
    <row r="6" spans="1:26" x14ac:dyDescent="0.25">
      <c r="A6" s="4"/>
      <c r="B6" s="5"/>
      <c r="D6" s="12">
        <v>46295</v>
      </c>
      <c r="E6" s="12">
        <v>46295</v>
      </c>
      <c r="F6" s="19">
        <f t="shared" si="0"/>
        <v>0</v>
      </c>
      <c r="G6" s="2">
        <v>0.56999999999999995</v>
      </c>
      <c r="H6" s="1">
        <v>0.12</v>
      </c>
      <c r="I6" s="2">
        <v>0</v>
      </c>
      <c r="J6" s="9"/>
      <c r="X6" s="5">
        <f t="shared" si="1"/>
        <v>46265</v>
      </c>
      <c r="Y6" s="2">
        <f t="shared" si="2"/>
        <v>0.43000000000000005</v>
      </c>
    </row>
    <row r="7" spans="1:26" x14ac:dyDescent="0.25">
      <c r="A7" s="4"/>
      <c r="B7" s="5"/>
      <c r="D7" s="12"/>
      <c r="E7" s="12"/>
      <c r="F7" s="19" t="str">
        <f t="shared" si="0"/>
        <v/>
      </c>
      <c r="G7" s="2"/>
      <c r="H7" s="1"/>
      <c r="I7" s="2"/>
      <c r="J7" s="11"/>
      <c r="X7" s="5">
        <f t="shared" si="1"/>
        <v>46295</v>
      </c>
      <c r="Y7" s="2">
        <f t="shared" si="2"/>
        <v>0.69</v>
      </c>
    </row>
    <row r="8" spans="1:26" x14ac:dyDescent="0.25">
      <c r="A8" s="4" t="s">
        <v>24</v>
      </c>
      <c r="B8" s="5" t="str">
        <f>DATEDIF(B9,B11,"y") &amp; " m. " &amp; DATEDIF(B9,B11,"ym") &amp; " mėn. " &amp; DATEDIF(B9,B11,"md") &amp; " d."</f>
        <v>2 m. 5 mėn. 10 d.</v>
      </c>
      <c r="D8" s="12"/>
      <c r="E8" s="12"/>
      <c r="F8" s="19" t="str">
        <f t="shared" si="0"/>
        <v/>
      </c>
      <c r="G8" s="1"/>
      <c r="H8" s="1"/>
      <c r="I8" s="2"/>
      <c r="J8" s="9"/>
      <c r="X8" s="5">
        <f t="shared" si="1"/>
        <v>0</v>
      </c>
      <c r="Y8" s="2">
        <f t="shared" si="2"/>
        <v>0</v>
      </c>
    </row>
    <row r="9" spans="1:26" x14ac:dyDescent="0.25">
      <c r="A9" s="4" t="s">
        <v>11</v>
      </c>
      <c r="B9" s="5">
        <v>46188</v>
      </c>
      <c r="D9" s="12"/>
      <c r="E9" s="12"/>
      <c r="F9" s="19"/>
      <c r="G9" s="2"/>
      <c r="H9" s="2"/>
      <c r="I9" s="2"/>
      <c r="J9" s="11"/>
      <c r="X9" s="5">
        <f t="shared" si="1"/>
        <v>0</v>
      </c>
      <c r="Y9" s="2">
        <f t="shared" si="2"/>
        <v>0</v>
      </c>
    </row>
    <row r="10" spans="1:26" x14ac:dyDescent="0.25">
      <c r="A10" s="4" t="s">
        <v>70</v>
      </c>
      <c r="B10" s="5">
        <v>46183</v>
      </c>
      <c r="D10" s="12"/>
      <c r="E10" s="12"/>
      <c r="F10" s="19" t="str">
        <f t="shared" si="0"/>
        <v/>
      </c>
      <c r="G10" s="1"/>
      <c r="H10" s="1"/>
      <c r="I10" s="2"/>
      <c r="J10" s="11"/>
      <c r="X10" s="5">
        <f t="shared" si="1"/>
        <v>0</v>
      </c>
      <c r="Y10" s="2">
        <f t="shared" si="2"/>
        <v>0</v>
      </c>
    </row>
    <row r="11" spans="1:26" x14ac:dyDescent="0.25">
      <c r="A11" s="4" t="s">
        <v>10</v>
      </c>
      <c r="B11" s="5">
        <v>47082</v>
      </c>
      <c r="D11" s="12"/>
      <c r="E11" s="12"/>
      <c r="F11" s="19" t="str">
        <f t="shared" si="0"/>
        <v/>
      </c>
      <c r="G11" s="1"/>
      <c r="H11" s="2"/>
      <c r="I11" s="2"/>
      <c r="J11" s="11"/>
      <c r="X11" s="5">
        <f t="shared" si="1"/>
        <v>0</v>
      </c>
      <c r="Y11" s="2">
        <f t="shared" si="2"/>
        <v>0</v>
      </c>
    </row>
    <row r="12" spans="1:26" x14ac:dyDescent="0.25">
      <c r="A12" s="4" t="s">
        <v>71</v>
      </c>
      <c r="B12" s="19">
        <f ca="1">IF(B16&lt;&gt;K3,(TODAY()-B11)*-1,"")</f>
        <v>787</v>
      </c>
      <c r="D12" s="12"/>
      <c r="E12" s="12"/>
      <c r="F12" s="19" t="str">
        <f t="shared" si="0"/>
        <v/>
      </c>
      <c r="G12" s="2"/>
      <c r="H12" s="1"/>
      <c r="I12" s="1"/>
      <c r="J12" s="11"/>
      <c r="X12" s="5">
        <f t="shared" si="1"/>
        <v>0</v>
      </c>
      <c r="Y12" s="2">
        <f t="shared" si="2"/>
        <v>0</v>
      </c>
    </row>
    <row r="13" spans="1:26" x14ac:dyDescent="0.25">
      <c r="A13" s="4"/>
      <c r="B13" s="2"/>
      <c r="D13" s="12"/>
      <c r="E13" s="12"/>
      <c r="F13" s="19" t="str">
        <f t="shared" si="0"/>
        <v/>
      </c>
      <c r="G13" s="1"/>
      <c r="H13" s="2"/>
      <c r="I13" s="2"/>
      <c r="J13" s="11"/>
      <c r="N13" s="14"/>
      <c r="X13" s="5">
        <f t="shared" si="1"/>
        <v>0</v>
      </c>
      <c r="Y13" s="2">
        <f t="shared" si="2"/>
        <v>0</v>
      </c>
    </row>
    <row r="14" spans="1:26" x14ac:dyDescent="0.25">
      <c r="A14" s="13"/>
      <c r="B14" s="20"/>
      <c r="D14" s="12"/>
      <c r="E14" s="5"/>
      <c r="F14" s="19" t="str">
        <f t="shared" si="0"/>
        <v/>
      </c>
      <c r="G14" s="1"/>
      <c r="H14" s="1"/>
      <c r="I14" s="1"/>
      <c r="J14" s="11"/>
      <c r="X14" s="5">
        <f t="shared" si="1"/>
        <v>0</v>
      </c>
      <c r="Y14" s="2">
        <f t="shared" si="2"/>
        <v>0</v>
      </c>
    </row>
    <row r="15" spans="1:26" x14ac:dyDescent="0.25">
      <c r="A15" s="4" t="s">
        <v>1</v>
      </c>
      <c r="B15" s="6">
        <v>0.14000000000000001</v>
      </c>
      <c r="D15" s="12"/>
      <c r="E15" s="5"/>
      <c r="F15" s="19" t="str">
        <f t="shared" si="0"/>
        <v/>
      </c>
      <c r="G15" s="1"/>
      <c r="H15" s="1"/>
      <c r="I15" s="1"/>
      <c r="J15" s="11"/>
      <c r="K15" s="18"/>
      <c r="L15" s="18"/>
      <c r="M15" s="18"/>
      <c r="N15" s="18"/>
      <c r="O15" s="18"/>
      <c r="P15" s="18"/>
      <c r="Q15" s="18"/>
      <c r="X15" s="5">
        <f t="shared" si="1"/>
        <v>0</v>
      </c>
      <c r="Y15" s="2">
        <f t="shared" si="2"/>
        <v>0</v>
      </c>
    </row>
    <row r="16" spans="1:26" x14ac:dyDescent="0.25">
      <c r="A16" s="4" t="s">
        <v>72</v>
      </c>
      <c r="B16" s="2">
        <v>10.3</v>
      </c>
      <c r="D16" s="12"/>
      <c r="E16" s="5"/>
      <c r="F16" s="19" t="str">
        <f t="shared" si="0"/>
        <v/>
      </c>
      <c r="G16" s="1"/>
      <c r="H16" s="1"/>
      <c r="I16" s="1"/>
      <c r="J16" s="11"/>
      <c r="K16" s="9"/>
      <c r="L16" s="9"/>
      <c r="M16" s="9"/>
      <c r="N16" s="21"/>
      <c r="O16" s="22"/>
      <c r="P16" s="11"/>
      <c r="Q16" s="11"/>
      <c r="X16" s="5">
        <f t="shared" si="1"/>
        <v>0</v>
      </c>
      <c r="Y16" s="2">
        <f t="shared" si="2"/>
        <v>0</v>
      </c>
    </row>
    <row r="17" spans="2:25" x14ac:dyDescent="0.25">
      <c r="D17" s="12"/>
      <c r="E17" s="5"/>
      <c r="F17" s="19" t="str">
        <f t="shared" si="0"/>
        <v/>
      </c>
      <c r="G17" s="1"/>
      <c r="H17" s="1"/>
      <c r="I17" s="1"/>
      <c r="J17" s="11"/>
      <c r="X17" s="5">
        <f t="shared" si="1"/>
        <v>0</v>
      </c>
      <c r="Y17" s="2">
        <f t="shared" si="2"/>
        <v>0</v>
      </c>
    </row>
    <row r="18" spans="2:25" x14ac:dyDescent="0.25">
      <c r="D18" s="12"/>
      <c r="E18" s="5"/>
      <c r="F18" s="19" t="str">
        <f t="shared" si="0"/>
        <v/>
      </c>
      <c r="G18" s="1"/>
      <c r="H18" s="1"/>
      <c r="I18" s="1"/>
      <c r="J18" s="11"/>
      <c r="X18" s="5">
        <f t="shared" si="1"/>
        <v>0</v>
      </c>
      <c r="Y18" s="2">
        <f t="shared" si="2"/>
        <v>0</v>
      </c>
    </row>
    <row r="19" spans="2:25" x14ac:dyDescent="0.25">
      <c r="D19" s="12"/>
      <c r="E19" s="5"/>
      <c r="F19" s="19" t="str">
        <f t="shared" si="0"/>
        <v/>
      </c>
      <c r="G19" s="1"/>
      <c r="H19" s="1"/>
      <c r="I19" s="1"/>
      <c r="J19" s="11"/>
      <c r="X19" s="5">
        <f t="shared" si="1"/>
        <v>0</v>
      </c>
      <c r="Y19" s="2">
        <f t="shared" si="2"/>
        <v>0</v>
      </c>
    </row>
    <row r="20" spans="2:25" x14ac:dyDescent="0.25">
      <c r="D20" s="12"/>
      <c r="E20" s="5"/>
      <c r="F20" s="19" t="str">
        <f t="shared" si="0"/>
        <v/>
      </c>
      <c r="G20" s="1"/>
      <c r="H20" s="1"/>
      <c r="I20" s="1"/>
      <c r="J20" s="11"/>
      <c r="X20" s="5">
        <f t="shared" si="1"/>
        <v>0</v>
      </c>
      <c r="Y20" s="2">
        <f t="shared" si="2"/>
        <v>0</v>
      </c>
    </row>
    <row r="21" spans="2:25" x14ac:dyDescent="0.25">
      <c r="D21" s="12"/>
      <c r="E21" s="5"/>
      <c r="F21" s="19" t="str">
        <f t="shared" si="0"/>
        <v/>
      </c>
      <c r="G21" s="1"/>
      <c r="H21" s="1"/>
      <c r="I21" s="1"/>
      <c r="J21" s="11"/>
      <c r="X21" s="5">
        <f t="shared" si="1"/>
        <v>0</v>
      </c>
      <c r="Y21" s="2">
        <f t="shared" si="2"/>
        <v>0</v>
      </c>
    </row>
    <row r="22" spans="2:25" x14ac:dyDescent="0.25">
      <c r="D22" s="12"/>
      <c r="E22" s="5"/>
      <c r="F22" s="19" t="str">
        <f t="shared" si="0"/>
        <v/>
      </c>
      <c r="G22" s="1"/>
      <c r="H22" s="1"/>
      <c r="I22" s="1"/>
      <c r="J22" s="11"/>
      <c r="X22" s="5">
        <f t="shared" si="1"/>
        <v>0</v>
      </c>
      <c r="Y22" s="2">
        <f t="shared" si="2"/>
        <v>0</v>
      </c>
    </row>
    <row r="23" spans="2:25" x14ac:dyDescent="0.25">
      <c r="B23" s="22"/>
      <c r="D23" s="12"/>
      <c r="E23" s="5"/>
      <c r="F23" s="19" t="str">
        <f t="shared" si="0"/>
        <v/>
      </c>
      <c r="G23" s="1"/>
      <c r="H23" s="1"/>
      <c r="I23" s="1"/>
      <c r="J23" s="11"/>
      <c r="X23" s="5">
        <f t="shared" si="1"/>
        <v>0</v>
      </c>
      <c r="Y23" s="2">
        <f t="shared" si="2"/>
        <v>0</v>
      </c>
    </row>
    <row r="24" spans="2:25" x14ac:dyDescent="0.25">
      <c r="D24" s="12"/>
      <c r="E24" s="5"/>
      <c r="F24" s="19" t="str">
        <f t="shared" si="0"/>
        <v/>
      </c>
      <c r="G24" s="1"/>
      <c r="H24" s="1"/>
      <c r="I24" s="1"/>
      <c r="J24" s="11"/>
      <c r="X24" s="5">
        <f t="shared" si="1"/>
        <v>0</v>
      </c>
      <c r="Y24" s="2">
        <f t="shared" si="2"/>
        <v>0</v>
      </c>
    </row>
    <row r="25" spans="2:25" x14ac:dyDescent="0.25">
      <c r="D25" s="12"/>
      <c r="E25" s="5"/>
      <c r="F25" s="19" t="str">
        <f t="shared" si="0"/>
        <v/>
      </c>
      <c r="G25" s="1"/>
      <c r="H25" s="1"/>
      <c r="I25" s="1"/>
      <c r="J25" s="11"/>
      <c r="X25" s="5">
        <f t="shared" si="1"/>
        <v>0</v>
      </c>
      <c r="Y25" s="2">
        <f t="shared" si="2"/>
        <v>0</v>
      </c>
    </row>
    <row r="26" spans="2:25" x14ac:dyDescent="0.25">
      <c r="D26" s="12"/>
      <c r="E26" s="5"/>
      <c r="F26" s="19" t="str">
        <f t="shared" si="0"/>
        <v/>
      </c>
      <c r="G26" s="1"/>
      <c r="H26" s="1"/>
      <c r="I26" s="1"/>
      <c r="J26" s="11"/>
      <c r="X26" s="5">
        <f t="shared" si="1"/>
        <v>0</v>
      </c>
      <c r="Y26" s="2">
        <f t="shared" si="2"/>
        <v>0</v>
      </c>
    </row>
    <row r="27" spans="2:25" x14ac:dyDescent="0.25">
      <c r="D27" s="12"/>
      <c r="E27" s="5"/>
      <c r="F27" s="19" t="str">
        <f t="shared" si="0"/>
        <v/>
      </c>
      <c r="G27" s="1"/>
      <c r="H27" s="1"/>
      <c r="I27" s="1"/>
      <c r="J27" s="11"/>
      <c r="X27" s="5">
        <f t="shared" si="1"/>
        <v>0</v>
      </c>
      <c r="Y27" s="2">
        <f t="shared" si="2"/>
        <v>0</v>
      </c>
    </row>
    <row r="28" spans="2:25" x14ac:dyDescent="0.25">
      <c r="D28" s="12"/>
      <c r="E28" s="5"/>
      <c r="F28" s="19" t="str">
        <f t="shared" si="0"/>
        <v/>
      </c>
      <c r="G28" s="1"/>
      <c r="H28" s="1"/>
      <c r="I28" s="1"/>
      <c r="J28" s="11"/>
      <c r="X28" s="5">
        <f t="shared" si="1"/>
        <v>0</v>
      </c>
      <c r="Y28" s="2">
        <f t="shared" si="2"/>
        <v>0</v>
      </c>
    </row>
    <row r="29" spans="2:25" x14ac:dyDescent="0.25">
      <c r="D29" s="12"/>
      <c r="E29" s="5"/>
      <c r="F29" s="19" t="str">
        <f t="shared" si="0"/>
        <v/>
      </c>
      <c r="G29" s="1"/>
      <c r="H29" s="1"/>
      <c r="I29" s="1"/>
      <c r="J29" s="11"/>
      <c r="X29" s="5">
        <f t="shared" si="1"/>
        <v>0</v>
      </c>
      <c r="Y29" s="2">
        <f t="shared" si="2"/>
        <v>0</v>
      </c>
    </row>
    <row r="30" spans="2:25" x14ac:dyDescent="0.25">
      <c r="D30" s="12"/>
      <c r="E30" s="5"/>
      <c r="F30" s="19" t="str">
        <f t="shared" si="0"/>
        <v/>
      </c>
      <c r="G30" s="1"/>
      <c r="H30" s="1"/>
      <c r="I30" s="1"/>
      <c r="J30" s="11"/>
      <c r="X30" s="5">
        <f t="shared" si="1"/>
        <v>0</v>
      </c>
      <c r="Y30" s="2">
        <f t="shared" si="2"/>
        <v>0</v>
      </c>
    </row>
    <row r="31" spans="2:25" x14ac:dyDescent="0.25">
      <c r="D31" s="12"/>
      <c r="E31" s="5"/>
      <c r="F31" s="19" t="str">
        <f t="shared" si="0"/>
        <v/>
      </c>
      <c r="G31" s="1"/>
      <c r="H31" s="1"/>
      <c r="I31" s="1"/>
      <c r="J31" s="11"/>
      <c r="X31" s="5">
        <f t="shared" si="1"/>
        <v>0</v>
      </c>
      <c r="Y31" s="2">
        <f t="shared" si="2"/>
        <v>0</v>
      </c>
    </row>
    <row r="32" spans="2:25" x14ac:dyDescent="0.25">
      <c r="D32" s="12"/>
      <c r="E32" s="5"/>
      <c r="F32" s="19" t="str">
        <f t="shared" si="0"/>
        <v/>
      </c>
      <c r="G32" s="1"/>
      <c r="H32" s="1"/>
      <c r="I32" s="1"/>
      <c r="J32" s="11"/>
      <c r="X32" s="5">
        <f t="shared" si="1"/>
        <v>0</v>
      </c>
      <c r="Y32" s="2">
        <f t="shared" si="2"/>
        <v>0</v>
      </c>
    </row>
    <row r="33" spans="4:25" x14ac:dyDescent="0.25">
      <c r="D33" s="12"/>
      <c r="E33" s="5"/>
      <c r="F33" s="19" t="str">
        <f t="shared" si="0"/>
        <v/>
      </c>
      <c r="G33" s="1"/>
      <c r="H33" s="1"/>
      <c r="I33" s="1"/>
      <c r="J33" s="11"/>
      <c r="X33" s="5">
        <f t="shared" si="1"/>
        <v>0</v>
      </c>
      <c r="Y33" s="2">
        <f t="shared" si="2"/>
        <v>0</v>
      </c>
    </row>
    <row r="34" spans="4:25" x14ac:dyDescent="0.25">
      <c r="D34" s="12"/>
      <c r="E34" s="5"/>
      <c r="F34" s="19" t="str">
        <f t="shared" si="0"/>
        <v/>
      </c>
      <c r="G34" s="1"/>
      <c r="H34" s="1"/>
      <c r="I34" s="1"/>
      <c r="J34" s="11"/>
      <c r="X34" s="5">
        <f t="shared" si="1"/>
        <v>0</v>
      </c>
      <c r="Y34" s="2">
        <f t="shared" si="2"/>
        <v>0</v>
      </c>
    </row>
    <row r="35" spans="4:25" x14ac:dyDescent="0.25">
      <c r="D35" s="12"/>
      <c r="E35" s="5"/>
      <c r="F35" s="19" t="str">
        <f t="shared" si="0"/>
        <v/>
      </c>
      <c r="G35" s="1"/>
      <c r="H35" s="1"/>
      <c r="I35" s="1"/>
      <c r="J35" s="11"/>
      <c r="X35" s="5">
        <f t="shared" si="1"/>
        <v>0</v>
      </c>
      <c r="Y35" s="2">
        <f t="shared" si="2"/>
        <v>0</v>
      </c>
    </row>
    <row r="36" spans="4:25" x14ac:dyDescent="0.25">
      <c r="D36" s="12"/>
      <c r="E36" s="5"/>
      <c r="F36" s="19" t="str">
        <f t="shared" si="0"/>
        <v/>
      </c>
      <c r="G36" s="1"/>
      <c r="H36" s="1"/>
      <c r="I36" s="1"/>
      <c r="J36" s="11"/>
      <c r="X36" s="5">
        <f t="shared" si="1"/>
        <v>0</v>
      </c>
      <c r="Y36" s="2">
        <f t="shared" si="2"/>
        <v>0</v>
      </c>
    </row>
    <row r="37" spans="4:25" x14ac:dyDescent="0.25">
      <c r="D37" s="12"/>
      <c r="E37" s="5"/>
      <c r="F37" s="19" t="str">
        <f t="shared" si="0"/>
        <v/>
      </c>
      <c r="G37" s="1"/>
      <c r="H37" s="1"/>
      <c r="I37" s="1"/>
      <c r="J37" s="11"/>
      <c r="X37" s="5">
        <f t="shared" si="1"/>
        <v>0</v>
      </c>
      <c r="Y37" s="2">
        <f t="shared" si="2"/>
        <v>0</v>
      </c>
    </row>
    <row r="38" spans="4:25" x14ac:dyDescent="0.25">
      <c r="D38" s="12"/>
      <c r="E38" s="5"/>
      <c r="F38" s="19" t="str">
        <f t="shared" si="0"/>
        <v/>
      </c>
      <c r="G38" s="1"/>
      <c r="H38" s="1"/>
      <c r="I38" s="1"/>
      <c r="J38" s="11"/>
      <c r="X38" s="5">
        <f t="shared" si="1"/>
        <v>0</v>
      </c>
      <c r="Y38" s="2">
        <f t="shared" si="2"/>
        <v>0</v>
      </c>
    </row>
    <row r="39" spans="4:25" x14ac:dyDescent="0.25">
      <c r="D39" s="12"/>
      <c r="E39" s="5"/>
      <c r="F39" s="19" t="str">
        <f t="shared" si="0"/>
        <v/>
      </c>
      <c r="G39" s="1"/>
      <c r="H39" s="1"/>
      <c r="I39" s="1"/>
      <c r="J39" s="11"/>
      <c r="X39" s="5">
        <f t="shared" si="1"/>
        <v>0</v>
      </c>
      <c r="Y39" s="2">
        <f t="shared" si="2"/>
        <v>0</v>
      </c>
    </row>
    <row r="40" spans="4:25" x14ac:dyDescent="0.25">
      <c r="D40" s="12"/>
      <c r="E40" s="5"/>
      <c r="F40" s="19" t="str">
        <f t="shared" si="0"/>
        <v/>
      </c>
      <c r="G40" s="1"/>
      <c r="H40" s="1"/>
      <c r="I40" s="1"/>
      <c r="J40" s="11"/>
      <c r="X40" s="5">
        <f t="shared" si="1"/>
        <v>0</v>
      </c>
      <c r="Y40" s="2">
        <f t="shared" si="2"/>
        <v>0</v>
      </c>
    </row>
    <row r="41" spans="4:25" x14ac:dyDescent="0.25">
      <c r="D41" s="12"/>
      <c r="E41" s="5"/>
      <c r="F41" s="19" t="str">
        <f t="shared" si="0"/>
        <v/>
      </c>
      <c r="G41" s="1"/>
      <c r="H41" s="1"/>
      <c r="I41" s="1"/>
      <c r="J41" s="11"/>
      <c r="X41" s="5">
        <f t="shared" si="1"/>
        <v>0</v>
      </c>
      <c r="Y41" s="2">
        <f t="shared" si="2"/>
        <v>0</v>
      </c>
    </row>
    <row r="42" spans="4:25" x14ac:dyDescent="0.25">
      <c r="D42" s="12"/>
      <c r="E42" s="5"/>
      <c r="F42" s="19" t="str">
        <f t="shared" si="0"/>
        <v/>
      </c>
      <c r="G42" s="1"/>
      <c r="H42" s="1"/>
      <c r="I42" s="1"/>
      <c r="J42" s="11"/>
      <c r="X42" s="5">
        <f t="shared" si="1"/>
        <v>0</v>
      </c>
      <c r="Y42" s="2">
        <f t="shared" si="2"/>
        <v>0</v>
      </c>
    </row>
    <row r="43" spans="4:25" x14ac:dyDescent="0.25">
      <c r="D43" s="12"/>
      <c r="E43" s="5"/>
      <c r="F43" s="19" t="str">
        <f t="shared" si="0"/>
        <v/>
      </c>
      <c r="G43" s="1"/>
      <c r="H43" s="1"/>
      <c r="I43" s="1"/>
      <c r="J43" s="11"/>
      <c r="X43" s="5">
        <f t="shared" si="1"/>
        <v>0</v>
      </c>
      <c r="Y43" s="2">
        <f t="shared" si="2"/>
        <v>0</v>
      </c>
    </row>
    <row r="44" spans="4:25" x14ac:dyDescent="0.25">
      <c r="D44" s="12"/>
      <c r="E44" s="5"/>
      <c r="F44" s="19" t="str">
        <f t="shared" si="0"/>
        <v/>
      </c>
      <c r="G44" s="1"/>
      <c r="H44" s="1"/>
      <c r="I44" s="1"/>
      <c r="J44" s="11"/>
      <c r="X44" s="5">
        <f t="shared" si="1"/>
        <v>0</v>
      </c>
      <c r="Y44" s="2">
        <f t="shared" si="2"/>
        <v>0</v>
      </c>
    </row>
    <row r="45" spans="4:25" x14ac:dyDescent="0.25">
      <c r="D45" s="12"/>
      <c r="E45" s="5"/>
      <c r="F45" s="19" t="str">
        <f t="shared" si="0"/>
        <v/>
      </c>
      <c r="G45" s="1"/>
      <c r="H45" s="1"/>
      <c r="I45" s="1"/>
      <c r="J45" s="11"/>
      <c r="X45" s="5">
        <f t="shared" si="1"/>
        <v>0</v>
      </c>
      <c r="Y45" s="2">
        <f t="shared" si="2"/>
        <v>0</v>
      </c>
    </row>
    <row r="46" spans="4:25" x14ac:dyDescent="0.25">
      <c r="D46" s="12"/>
      <c r="E46" s="5"/>
      <c r="F46" s="19" t="str">
        <f t="shared" si="0"/>
        <v/>
      </c>
      <c r="G46" s="1"/>
      <c r="H46" s="1"/>
      <c r="I46" s="1"/>
      <c r="J46" s="11"/>
      <c r="X46" s="5">
        <f t="shared" si="1"/>
        <v>0</v>
      </c>
      <c r="Y46" s="2">
        <f t="shared" si="2"/>
        <v>0</v>
      </c>
    </row>
    <row r="47" spans="4:25" x14ac:dyDescent="0.25">
      <c r="D47" s="12"/>
      <c r="E47" s="5"/>
      <c r="F47" s="19" t="str">
        <f t="shared" si="0"/>
        <v/>
      </c>
      <c r="G47" s="1"/>
      <c r="H47" s="1"/>
      <c r="I47" s="1"/>
      <c r="J47" s="11"/>
      <c r="X47" s="5">
        <f t="shared" si="1"/>
        <v>0</v>
      </c>
      <c r="Y47" s="2">
        <f t="shared" si="2"/>
        <v>0</v>
      </c>
    </row>
    <row r="48" spans="4:25" x14ac:dyDescent="0.25">
      <c r="D48" s="12"/>
      <c r="E48" s="5"/>
      <c r="F48" s="19" t="str">
        <f t="shared" si="0"/>
        <v/>
      </c>
      <c r="G48" s="1"/>
      <c r="H48" s="1"/>
      <c r="I48" s="1"/>
      <c r="J48" s="11"/>
      <c r="X48" s="5">
        <f t="shared" si="1"/>
        <v>0</v>
      </c>
      <c r="Y48" s="2">
        <f t="shared" si="2"/>
        <v>0</v>
      </c>
    </row>
    <row r="49" spans="4:25" x14ac:dyDescent="0.25">
      <c r="D49" s="12"/>
      <c r="E49" s="5"/>
      <c r="F49" s="19" t="str">
        <f t="shared" si="0"/>
        <v/>
      </c>
      <c r="G49" s="1"/>
      <c r="H49" s="1"/>
      <c r="I49" s="1"/>
      <c r="J49" s="11"/>
      <c r="X49" s="5">
        <f t="shared" si="1"/>
        <v>0</v>
      </c>
      <c r="Y49" s="2">
        <f t="shared" si="2"/>
        <v>0</v>
      </c>
    </row>
    <row r="50" spans="4:25" x14ac:dyDescent="0.25">
      <c r="D50" s="12"/>
      <c r="E50" s="5"/>
      <c r="F50" s="19" t="str">
        <f t="shared" si="0"/>
        <v/>
      </c>
      <c r="G50" s="1"/>
      <c r="H50" s="1"/>
      <c r="I50" s="1"/>
      <c r="J50" s="11"/>
      <c r="X50" s="5">
        <f t="shared" si="1"/>
        <v>0</v>
      </c>
      <c r="Y50" s="2">
        <f t="shared" si="2"/>
        <v>0</v>
      </c>
    </row>
    <row r="51" spans="4:25" x14ac:dyDescent="0.25">
      <c r="D51" s="12"/>
      <c r="E51" s="5"/>
      <c r="F51" s="19" t="str">
        <f t="shared" si="0"/>
        <v/>
      </c>
      <c r="G51" s="1"/>
      <c r="H51" s="1"/>
      <c r="I51" s="1"/>
      <c r="J51" s="11"/>
      <c r="X51" s="5">
        <f t="shared" si="1"/>
        <v>0</v>
      </c>
      <c r="Y51" s="2">
        <f t="shared" si="2"/>
        <v>0</v>
      </c>
    </row>
    <row r="52" spans="4:25" x14ac:dyDescent="0.25">
      <c r="D52" s="12"/>
      <c r="E52" s="5"/>
      <c r="F52" s="19" t="str">
        <f t="shared" si="0"/>
        <v/>
      </c>
      <c r="G52" s="1"/>
      <c r="H52" s="1"/>
      <c r="I52" s="1"/>
      <c r="J52" s="9"/>
      <c r="X52" s="5">
        <f t="shared" si="1"/>
        <v>0</v>
      </c>
      <c r="Y52" s="2">
        <f t="shared" si="2"/>
        <v>0</v>
      </c>
    </row>
    <row r="53" spans="4:25" x14ac:dyDescent="0.25">
      <c r="D53" s="1" t="s">
        <v>25</v>
      </c>
      <c r="E53" s="23"/>
      <c r="F53" s="2"/>
      <c r="G53" s="2">
        <f>SUM(G3:G52)</f>
        <v>2.2000000000000002</v>
      </c>
      <c r="H53" s="2">
        <f t="shared" ref="H53:I53" si="3">SUM(H3:H52)</f>
        <v>0.38</v>
      </c>
      <c r="I53" s="2">
        <f t="shared" si="3"/>
        <v>0.01</v>
      </c>
    </row>
  </sheetData>
  <mergeCells count="4">
    <mergeCell ref="D1:F1"/>
    <mergeCell ref="G1:I1"/>
    <mergeCell ref="K1:Q1"/>
    <mergeCell ref="X1:Z1"/>
  </mergeCells>
  <conditionalFormatting sqref="A1:B1">
    <cfRule type="expression" dxfId="143" priority="1">
      <formula>$Z$3="+"</formula>
    </cfRule>
    <cfRule type="expression" dxfId="142" priority="2">
      <formula>$B$16=$K$3</formula>
    </cfRule>
  </conditionalFormatting>
  <conditionalFormatting sqref="P3">
    <cfRule type="expression" dxfId="141" priority="3">
      <formula>$Z$3="+"</formula>
    </cfRule>
  </conditionalFormatting>
  <conditionalFormatting sqref="Z3">
    <cfRule type="expression" dxfId="140" priority="4">
      <formula>$Z$3="+"</formula>
    </cfRule>
  </conditionalFormatting>
  <dataValidations count="1">
    <dataValidation type="list" allowBlank="1" showInputMessage="1" showErrorMessage="1" sqref="B2" xr:uid="{C28F60BF-6F0B-415D-AEF6-595E103F9514}">
      <formula1>"Romania,Moldova,Cyprus,Philippines"</formula1>
    </dataValidation>
  </dataValidations>
  <pageMargins left="0.7" right="0.7" top="0.75" bottom="0.75" header="0.3" footer="0.3"/>
  <pageSetup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01519-DE68-421B-9C6D-37DACC4C76E4}">
  <dimension ref="A1:Z53"/>
  <sheetViews>
    <sheetView workbookViewId="0">
      <selection activeCell="I8" sqref="I8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1" customWidth="1"/>
    <col min="25" max="25" width="10.7109375" style="11" customWidth="1"/>
    <col min="26" max="26" width="10.7109375" customWidth="1"/>
  </cols>
  <sheetData>
    <row r="1" spans="1:26" x14ac:dyDescent="0.25">
      <c r="A1" s="4" t="s">
        <v>66</v>
      </c>
      <c r="B1" s="5" t="s">
        <v>82</v>
      </c>
      <c r="D1" s="29" t="s">
        <v>2</v>
      </c>
      <c r="E1" s="30"/>
      <c r="F1" s="31"/>
      <c r="G1" s="29" t="s">
        <v>0</v>
      </c>
      <c r="H1" s="30"/>
      <c r="I1" s="31"/>
      <c r="J1" s="18"/>
      <c r="K1" s="29" t="s">
        <v>58</v>
      </c>
      <c r="L1" s="30"/>
      <c r="M1" s="30"/>
      <c r="N1" s="30"/>
      <c r="O1" s="30"/>
      <c r="P1" s="30"/>
      <c r="Q1" s="31"/>
      <c r="X1" s="29"/>
      <c r="Y1" s="30"/>
      <c r="Z1" s="31"/>
    </row>
    <row r="2" spans="1:26" x14ac:dyDescent="0.25">
      <c r="A2" s="4" t="s">
        <v>21</v>
      </c>
      <c r="B2" s="5" t="s">
        <v>22</v>
      </c>
      <c r="D2" s="10" t="s">
        <v>49</v>
      </c>
      <c r="E2" s="10" t="s">
        <v>50</v>
      </c>
      <c r="F2" s="17" t="s">
        <v>67</v>
      </c>
      <c r="G2" s="10" t="s">
        <v>15</v>
      </c>
      <c r="H2" s="10" t="s">
        <v>16</v>
      </c>
      <c r="I2" s="10" t="s">
        <v>60</v>
      </c>
      <c r="J2" s="9"/>
      <c r="K2" s="10" t="s">
        <v>0</v>
      </c>
      <c r="L2" s="10" t="s">
        <v>1</v>
      </c>
      <c r="M2" s="10" t="s">
        <v>56</v>
      </c>
      <c r="N2" s="10" t="s">
        <v>57</v>
      </c>
      <c r="O2" s="10" t="s">
        <v>2</v>
      </c>
      <c r="P2" s="10" t="s">
        <v>68</v>
      </c>
      <c r="Q2" s="10" t="s">
        <v>67</v>
      </c>
      <c r="X2" s="10" t="s">
        <v>2</v>
      </c>
      <c r="Y2" s="10" t="s">
        <v>59</v>
      </c>
      <c r="Z2" s="10" t="s">
        <v>68</v>
      </c>
    </row>
    <row r="3" spans="1:26" x14ac:dyDescent="0.25">
      <c r="A3" s="4" t="s">
        <v>69</v>
      </c>
      <c r="B3" s="5" t="s">
        <v>73</v>
      </c>
      <c r="D3" s="12">
        <v>46173</v>
      </c>
      <c r="E3" s="12">
        <v>46173</v>
      </c>
      <c r="F3" s="19">
        <f t="shared" ref="F3:F52" si="0">IF(E3&gt;0,E3-D3,"")</f>
        <v>0</v>
      </c>
      <c r="G3" s="2">
        <v>0.62</v>
      </c>
      <c r="H3" s="2">
        <v>0.06</v>
      </c>
      <c r="I3" s="2">
        <v>0</v>
      </c>
      <c r="J3" s="11"/>
      <c r="K3" s="2">
        <f>G53</f>
        <v>8.0500000000000007</v>
      </c>
      <c r="L3" s="2">
        <f>H53</f>
        <v>0.62</v>
      </c>
      <c r="M3" s="2">
        <f>I53</f>
        <v>0.03</v>
      </c>
      <c r="N3" s="6" t="str">
        <f>IF(B16=K3,XIRR(Y3:Y52,X3:X52),"")</f>
        <v/>
      </c>
      <c r="O3" s="5" t="str">
        <f>IF(B16=K3,MAX(E:E),"")</f>
        <v/>
      </c>
      <c r="P3" s="1" t="str">
        <f ca="1">IF(Z3="+",TODAY()-B11,"")</f>
        <v/>
      </c>
      <c r="Q3" s="1" t="str">
        <f>IF(B16=K3,MAX(E:E)-B11,"")</f>
        <v/>
      </c>
      <c r="T3" s="14"/>
      <c r="X3" s="5">
        <f>B9</f>
        <v>46157</v>
      </c>
      <c r="Y3" s="2">
        <f>B16*-1</f>
        <v>-16.579999999999998</v>
      </c>
      <c r="Z3" s="1" t="str">
        <f ca="1">IF(AND(TODAY()&gt;B11, K3&lt;&gt;B16), "+", "")</f>
        <v/>
      </c>
    </row>
    <row r="4" spans="1:26" x14ac:dyDescent="0.25">
      <c r="A4" s="4" t="s">
        <v>19</v>
      </c>
      <c r="B4" s="5" t="s">
        <v>79</v>
      </c>
      <c r="D4" s="12">
        <v>46203</v>
      </c>
      <c r="E4" s="12">
        <v>46203</v>
      </c>
      <c r="F4" s="19">
        <f t="shared" si="0"/>
        <v>0</v>
      </c>
      <c r="G4" s="2">
        <v>0.95</v>
      </c>
      <c r="H4" s="2">
        <v>0.15</v>
      </c>
      <c r="I4" s="2">
        <v>0.01</v>
      </c>
      <c r="J4" s="9"/>
      <c r="X4" s="5">
        <f>E3</f>
        <v>46173</v>
      </c>
      <c r="Y4" s="2">
        <f>G3+H3-I3</f>
        <v>0.67999999999999994</v>
      </c>
    </row>
    <row r="5" spans="1:26" x14ac:dyDescent="0.25">
      <c r="A5" s="4"/>
      <c r="B5" s="5"/>
      <c r="D5" s="12">
        <v>46234</v>
      </c>
      <c r="E5" s="12">
        <v>46234</v>
      </c>
      <c r="F5" s="19">
        <f t="shared" si="0"/>
        <v>0</v>
      </c>
      <c r="G5" s="2">
        <v>2.65</v>
      </c>
      <c r="H5" s="1">
        <v>0.17</v>
      </c>
      <c r="I5" s="2">
        <v>0.02</v>
      </c>
      <c r="J5" s="9"/>
      <c r="X5" s="5">
        <f t="shared" ref="X5:X52" si="1">E4</f>
        <v>46203</v>
      </c>
      <c r="Y5" s="2">
        <f t="shared" ref="Y5:Y52" si="2">G4+H4-I4</f>
        <v>1.0899999999999999</v>
      </c>
    </row>
    <row r="6" spans="1:26" x14ac:dyDescent="0.25">
      <c r="A6" s="4"/>
      <c r="B6" s="5"/>
      <c r="D6" s="12">
        <v>46265</v>
      </c>
      <c r="E6" s="12">
        <v>46265</v>
      </c>
      <c r="F6" s="19">
        <f t="shared" si="0"/>
        <v>0</v>
      </c>
      <c r="G6" s="2">
        <v>1.1200000000000001</v>
      </c>
      <c r="H6" s="1">
        <v>0.11</v>
      </c>
      <c r="I6" s="2">
        <v>0</v>
      </c>
      <c r="J6" s="9"/>
      <c r="X6" s="5">
        <f t="shared" si="1"/>
        <v>46234</v>
      </c>
      <c r="Y6" s="2">
        <f t="shared" si="2"/>
        <v>2.8</v>
      </c>
    </row>
    <row r="7" spans="1:26" x14ac:dyDescent="0.25">
      <c r="A7" s="4"/>
      <c r="B7" s="5"/>
      <c r="D7" s="12">
        <v>46295</v>
      </c>
      <c r="E7" s="12">
        <v>46295</v>
      </c>
      <c r="F7" s="19">
        <f t="shared" si="0"/>
        <v>0</v>
      </c>
      <c r="G7" s="2">
        <v>2.71</v>
      </c>
      <c r="H7" s="1">
        <v>0.13</v>
      </c>
      <c r="I7" s="2">
        <v>0</v>
      </c>
      <c r="J7" s="11"/>
      <c r="X7" s="5">
        <f t="shared" si="1"/>
        <v>46265</v>
      </c>
      <c r="Y7" s="2">
        <f t="shared" si="2"/>
        <v>1.2300000000000002</v>
      </c>
    </row>
    <row r="8" spans="1:26" x14ac:dyDescent="0.25">
      <c r="A8" s="4" t="s">
        <v>24</v>
      </c>
      <c r="B8" s="5" t="str">
        <f>DATEDIF(B9,B11,"y") &amp; " m. " &amp; DATEDIF(B9,B11,"ym") &amp; " mėn. " &amp; DATEDIF(B9,B11,"md") &amp; " d."</f>
        <v>0 m. 11 mėn. 21 d.</v>
      </c>
      <c r="D8" s="12"/>
      <c r="E8" s="12"/>
      <c r="F8" s="19" t="str">
        <f t="shared" si="0"/>
        <v/>
      </c>
      <c r="G8" s="1"/>
      <c r="H8" s="1"/>
      <c r="I8" s="2"/>
      <c r="J8" s="9"/>
      <c r="X8" s="5">
        <f t="shared" si="1"/>
        <v>46295</v>
      </c>
      <c r="Y8" s="2">
        <f t="shared" si="2"/>
        <v>2.84</v>
      </c>
    </row>
    <row r="9" spans="1:26" x14ac:dyDescent="0.25">
      <c r="A9" s="4" t="s">
        <v>11</v>
      </c>
      <c r="B9" s="5">
        <v>46157</v>
      </c>
      <c r="D9" s="12"/>
      <c r="E9" s="12"/>
      <c r="F9" s="19"/>
      <c r="G9" s="2"/>
      <c r="H9" s="2"/>
      <c r="I9" s="2"/>
      <c r="J9" s="11"/>
      <c r="X9" s="5">
        <f t="shared" si="1"/>
        <v>0</v>
      </c>
      <c r="Y9" s="2">
        <f t="shared" si="2"/>
        <v>0</v>
      </c>
    </row>
    <row r="10" spans="1:26" x14ac:dyDescent="0.25">
      <c r="A10" s="4" t="s">
        <v>70</v>
      </c>
      <c r="B10" s="5">
        <v>46156</v>
      </c>
      <c r="D10" s="12"/>
      <c r="E10" s="12"/>
      <c r="F10" s="19" t="str">
        <f t="shared" si="0"/>
        <v/>
      </c>
      <c r="G10" s="1"/>
      <c r="H10" s="1"/>
      <c r="I10" s="2"/>
      <c r="J10" s="11"/>
      <c r="X10" s="5">
        <f t="shared" si="1"/>
        <v>0</v>
      </c>
      <c r="Y10" s="2">
        <f t="shared" si="2"/>
        <v>0</v>
      </c>
    </row>
    <row r="11" spans="1:26" x14ac:dyDescent="0.25">
      <c r="A11" s="4" t="s">
        <v>10</v>
      </c>
      <c r="B11" s="5">
        <v>46513</v>
      </c>
      <c r="D11" s="12"/>
      <c r="E11" s="12"/>
      <c r="F11" s="19" t="str">
        <f t="shared" si="0"/>
        <v/>
      </c>
      <c r="G11" s="1"/>
      <c r="H11" s="2"/>
      <c r="I11" s="2"/>
      <c r="J11" s="11"/>
      <c r="X11" s="5">
        <f t="shared" si="1"/>
        <v>0</v>
      </c>
      <c r="Y11" s="2">
        <f t="shared" si="2"/>
        <v>0</v>
      </c>
    </row>
    <row r="12" spans="1:26" x14ac:dyDescent="0.25">
      <c r="A12" s="4" t="s">
        <v>71</v>
      </c>
      <c r="B12" s="19">
        <f ca="1">IF(B16&lt;&gt;K3,(TODAY()-B11)*-1,"")</f>
        <v>218</v>
      </c>
      <c r="D12" s="12"/>
      <c r="E12" s="12"/>
      <c r="F12" s="19" t="str">
        <f t="shared" si="0"/>
        <v/>
      </c>
      <c r="G12" s="2"/>
      <c r="H12" s="1"/>
      <c r="I12" s="1"/>
      <c r="J12" s="11"/>
      <c r="X12" s="5">
        <f t="shared" si="1"/>
        <v>0</v>
      </c>
      <c r="Y12" s="2">
        <f t="shared" si="2"/>
        <v>0</v>
      </c>
    </row>
    <row r="13" spans="1:26" x14ac:dyDescent="0.25">
      <c r="A13" s="4"/>
      <c r="B13" s="2"/>
      <c r="D13" s="12"/>
      <c r="E13" s="12"/>
      <c r="F13" s="19" t="str">
        <f t="shared" si="0"/>
        <v/>
      </c>
      <c r="G13" s="1"/>
      <c r="H13" s="2"/>
      <c r="I13" s="2"/>
      <c r="J13" s="11"/>
      <c r="N13" s="14"/>
      <c r="X13" s="5">
        <f t="shared" si="1"/>
        <v>0</v>
      </c>
      <c r="Y13" s="2">
        <f t="shared" si="2"/>
        <v>0</v>
      </c>
    </row>
    <row r="14" spans="1:26" x14ac:dyDescent="0.25">
      <c r="A14" s="13"/>
      <c r="B14" s="20"/>
      <c r="D14" s="12"/>
      <c r="E14" s="5"/>
      <c r="F14" s="19" t="str">
        <f t="shared" si="0"/>
        <v/>
      </c>
      <c r="G14" s="1"/>
      <c r="H14" s="1"/>
      <c r="I14" s="1"/>
      <c r="J14" s="11"/>
      <c r="X14" s="5">
        <f t="shared" si="1"/>
        <v>0</v>
      </c>
      <c r="Y14" s="2">
        <f t="shared" si="2"/>
        <v>0</v>
      </c>
    </row>
    <row r="15" spans="1:26" x14ac:dyDescent="0.25">
      <c r="A15" s="4" t="s">
        <v>1</v>
      </c>
      <c r="B15" s="6">
        <v>0.125</v>
      </c>
      <c r="D15" s="12"/>
      <c r="E15" s="5"/>
      <c r="F15" s="19" t="str">
        <f t="shared" si="0"/>
        <v/>
      </c>
      <c r="G15" s="1"/>
      <c r="H15" s="1"/>
      <c r="I15" s="1"/>
      <c r="J15" s="11"/>
      <c r="K15" s="18"/>
      <c r="L15" s="18"/>
      <c r="M15" s="18"/>
      <c r="N15" s="18"/>
      <c r="O15" s="18"/>
      <c r="P15" s="18"/>
      <c r="Q15" s="18"/>
      <c r="X15" s="5">
        <f t="shared" si="1"/>
        <v>0</v>
      </c>
      <c r="Y15" s="2">
        <f t="shared" si="2"/>
        <v>0</v>
      </c>
    </row>
    <row r="16" spans="1:26" x14ac:dyDescent="0.25">
      <c r="A16" s="4" t="s">
        <v>72</v>
      </c>
      <c r="B16" s="2">
        <v>16.579999999999998</v>
      </c>
      <c r="D16" s="12"/>
      <c r="E16" s="5"/>
      <c r="F16" s="19" t="str">
        <f t="shared" si="0"/>
        <v/>
      </c>
      <c r="G16" s="1"/>
      <c r="H16" s="1"/>
      <c r="I16" s="1"/>
      <c r="J16" s="11"/>
      <c r="K16" s="9"/>
      <c r="L16" s="9"/>
      <c r="M16" s="9"/>
      <c r="N16" s="21"/>
      <c r="O16" s="22"/>
      <c r="P16" s="11"/>
      <c r="Q16" s="11"/>
      <c r="X16" s="5">
        <f t="shared" si="1"/>
        <v>0</v>
      </c>
      <c r="Y16" s="2">
        <f t="shared" si="2"/>
        <v>0</v>
      </c>
    </row>
    <row r="17" spans="2:25" x14ac:dyDescent="0.25">
      <c r="D17" s="12"/>
      <c r="E17" s="5"/>
      <c r="F17" s="19" t="str">
        <f t="shared" si="0"/>
        <v/>
      </c>
      <c r="G17" s="1"/>
      <c r="H17" s="1"/>
      <c r="I17" s="1"/>
      <c r="J17" s="11"/>
      <c r="X17" s="5">
        <f t="shared" si="1"/>
        <v>0</v>
      </c>
      <c r="Y17" s="2">
        <f t="shared" si="2"/>
        <v>0</v>
      </c>
    </row>
    <row r="18" spans="2:25" x14ac:dyDescent="0.25">
      <c r="D18" s="12"/>
      <c r="E18" s="5"/>
      <c r="F18" s="19" t="str">
        <f t="shared" si="0"/>
        <v/>
      </c>
      <c r="G18" s="1"/>
      <c r="H18" s="1"/>
      <c r="I18" s="1"/>
      <c r="J18" s="11"/>
      <c r="X18" s="5">
        <f t="shared" si="1"/>
        <v>0</v>
      </c>
      <c r="Y18" s="2">
        <f t="shared" si="2"/>
        <v>0</v>
      </c>
    </row>
    <row r="19" spans="2:25" x14ac:dyDescent="0.25">
      <c r="D19" s="12"/>
      <c r="E19" s="5"/>
      <c r="F19" s="19" t="str">
        <f t="shared" si="0"/>
        <v/>
      </c>
      <c r="G19" s="1"/>
      <c r="H19" s="1"/>
      <c r="I19" s="1"/>
      <c r="J19" s="11"/>
      <c r="X19" s="5">
        <f t="shared" si="1"/>
        <v>0</v>
      </c>
      <c r="Y19" s="2">
        <f t="shared" si="2"/>
        <v>0</v>
      </c>
    </row>
    <row r="20" spans="2:25" x14ac:dyDescent="0.25">
      <c r="D20" s="12"/>
      <c r="E20" s="5"/>
      <c r="F20" s="19" t="str">
        <f t="shared" si="0"/>
        <v/>
      </c>
      <c r="G20" s="1"/>
      <c r="H20" s="1"/>
      <c r="I20" s="1"/>
      <c r="J20" s="11"/>
      <c r="X20" s="5">
        <f t="shared" si="1"/>
        <v>0</v>
      </c>
      <c r="Y20" s="2">
        <f t="shared" si="2"/>
        <v>0</v>
      </c>
    </row>
    <row r="21" spans="2:25" x14ac:dyDescent="0.25">
      <c r="D21" s="12"/>
      <c r="E21" s="5"/>
      <c r="F21" s="19" t="str">
        <f t="shared" si="0"/>
        <v/>
      </c>
      <c r="G21" s="1"/>
      <c r="H21" s="1"/>
      <c r="I21" s="1"/>
      <c r="J21" s="11"/>
      <c r="X21" s="5">
        <f t="shared" si="1"/>
        <v>0</v>
      </c>
      <c r="Y21" s="2">
        <f t="shared" si="2"/>
        <v>0</v>
      </c>
    </row>
    <row r="22" spans="2:25" x14ac:dyDescent="0.25">
      <c r="D22" s="12"/>
      <c r="E22" s="5"/>
      <c r="F22" s="19" t="str">
        <f t="shared" si="0"/>
        <v/>
      </c>
      <c r="G22" s="1"/>
      <c r="H22" s="1"/>
      <c r="I22" s="1"/>
      <c r="J22" s="11"/>
      <c r="X22" s="5">
        <f t="shared" si="1"/>
        <v>0</v>
      </c>
      <c r="Y22" s="2">
        <f t="shared" si="2"/>
        <v>0</v>
      </c>
    </row>
    <row r="23" spans="2:25" x14ac:dyDescent="0.25">
      <c r="B23" s="22"/>
      <c r="D23" s="12"/>
      <c r="E23" s="5"/>
      <c r="F23" s="19" t="str">
        <f t="shared" si="0"/>
        <v/>
      </c>
      <c r="G23" s="1"/>
      <c r="H23" s="1"/>
      <c r="I23" s="1"/>
      <c r="J23" s="11"/>
      <c r="X23" s="5">
        <f t="shared" si="1"/>
        <v>0</v>
      </c>
      <c r="Y23" s="2">
        <f t="shared" si="2"/>
        <v>0</v>
      </c>
    </row>
    <row r="24" spans="2:25" x14ac:dyDescent="0.25">
      <c r="D24" s="12"/>
      <c r="E24" s="5"/>
      <c r="F24" s="19" t="str">
        <f t="shared" si="0"/>
        <v/>
      </c>
      <c r="G24" s="1"/>
      <c r="H24" s="1"/>
      <c r="I24" s="1"/>
      <c r="J24" s="11"/>
      <c r="X24" s="5">
        <f t="shared" si="1"/>
        <v>0</v>
      </c>
      <c r="Y24" s="2">
        <f t="shared" si="2"/>
        <v>0</v>
      </c>
    </row>
    <row r="25" spans="2:25" x14ac:dyDescent="0.25">
      <c r="D25" s="12"/>
      <c r="E25" s="5"/>
      <c r="F25" s="19" t="str">
        <f t="shared" si="0"/>
        <v/>
      </c>
      <c r="G25" s="1"/>
      <c r="H25" s="1"/>
      <c r="I25" s="1"/>
      <c r="J25" s="11"/>
      <c r="X25" s="5">
        <f t="shared" si="1"/>
        <v>0</v>
      </c>
      <c r="Y25" s="2">
        <f t="shared" si="2"/>
        <v>0</v>
      </c>
    </row>
    <row r="26" spans="2:25" x14ac:dyDescent="0.25">
      <c r="D26" s="12"/>
      <c r="E26" s="5"/>
      <c r="F26" s="19" t="str">
        <f t="shared" si="0"/>
        <v/>
      </c>
      <c r="G26" s="1"/>
      <c r="H26" s="1"/>
      <c r="I26" s="1"/>
      <c r="J26" s="11"/>
      <c r="X26" s="5">
        <f t="shared" si="1"/>
        <v>0</v>
      </c>
      <c r="Y26" s="2">
        <f t="shared" si="2"/>
        <v>0</v>
      </c>
    </row>
    <row r="27" spans="2:25" x14ac:dyDescent="0.25">
      <c r="D27" s="12"/>
      <c r="E27" s="5"/>
      <c r="F27" s="19" t="str">
        <f t="shared" si="0"/>
        <v/>
      </c>
      <c r="G27" s="1"/>
      <c r="H27" s="1"/>
      <c r="I27" s="1"/>
      <c r="J27" s="11"/>
      <c r="X27" s="5">
        <f t="shared" si="1"/>
        <v>0</v>
      </c>
      <c r="Y27" s="2">
        <f t="shared" si="2"/>
        <v>0</v>
      </c>
    </row>
    <row r="28" spans="2:25" x14ac:dyDescent="0.25">
      <c r="D28" s="12"/>
      <c r="E28" s="5"/>
      <c r="F28" s="19" t="str">
        <f t="shared" si="0"/>
        <v/>
      </c>
      <c r="G28" s="1"/>
      <c r="H28" s="1"/>
      <c r="I28" s="1"/>
      <c r="J28" s="11"/>
      <c r="X28" s="5">
        <f t="shared" si="1"/>
        <v>0</v>
      </c>
      <c r="Y28" s="2">
        <f t="shared" si="2"/>
        <v>0</v>
      </c>
    </row>
    <row r="29" spans="2:25" x14ac:dyDescent="0.25">
      <c r="D29" s="12"/>
      <c r="E29" s="5"/>
      <c r="F29" s="19" t="str">
        <f t="shared" si="0"/>
        <v/>
      </c>
      <c r="G29" s="1"/>
      <c r="H29" s="1"/>
      <c r="I29" s="1"/>
      <c r="J29" s="11"/>
      <c r="X29" s="5">
        <f t="shared" si="1"/>
        <v>0</v>
      </c>
      <c r="Y29" s="2">
        <f t="shared" si="2"/>
        <v>0</v>
      </c>
    </row>
    <row r="30" spans="2:25" x14ac:dyDescent="0.25">
      <c r="D30" s="12"/>
      <c r="E30" s="5"/>
      <c r="F30" s="19" t="str">
        <f t="shared" si="0"/>
        <v/>
      </c>
      <c r="G30" s="1"/>
      <c r="H30" s="1"/>
      <c r="I30" s="1"/>
      <c r="J30" s="11"/>
      <c r="X30" s="5">
        <f t="shared" si="1"/>
        <v>0</v>
      </c>
      <c r="Y30" s="2">
        <f t="shared" si="2"/>
        <v>0</v>
      </c>
    </row>
    <row r="31" spans="2:25" x14ac:dyDescent="0.25">
      <c r="D31" s="12"/>
      <c r="E31" s="5"/>
      <c r="F31" s="19" t="str">
        <f t="shared" si="0"/>
        <v/>
      </c>
      <c r="G31" s="1"/>
      <c r="H31" s="1"/>
      <c r="I31" s="1"/>
      <c r="J31" s="11"/>
      <c r="X31" s="5">
        <f t="shared" si="1"/>
        <v>0</v>
      </c>
      <c r="Y31" s="2">
        <f t="shared" si="2"/>
        <v>0</v>
      </c>
    </row>
    <row r="32" spans="2:25" x14ac:dyDescent="0.25">
      <c r="D32" s="12"/>
      <c r="E32" s="5"/>
      <c r="F32" s="19" t="str">
        <f t="shared" si="0"/>
        <v/>
      </c>
      <c r="G32" s="1"/>
      <c r="H32" s="1"/>
      <c r="I32" s="1"/>
      <c r="J32" s="11"/>
      <c r="X32" s="5">
        <f t="shared" si="1"/>
        <v>0</v>
      </c>
      <c r="Y32" s="2">
        <f t="shared" si="2"/>
        <v>0</v>
      </c>
    </row>
    <row r="33" spans="4:25" x14ac:dyDescent="0.25">
      <c r="D33" s="12"/>
      <c r="E33" s="5"/>
      <c r="F33" s="19" t="str">
        <f t="shared" si="0"/>
        <v/>
      </c>
      <c r="G33" s="1"/>
      <c r="H33" s="1"/>
      <c r="I33" s="1"/>
      <c r="J33" s="11"/>
      <c r="X33" s="5">
        <f t="shared" si="1"/>
        <v>0</v>
      </c>
      <c r="Y33" s="2">
        <f t="shared" si="2"/>
        <v>0</v>
      </c>
    </row>
    <row r="34" spans="4:25" x14ac:dyDescent="0.25">
      <c r="D34" s="12"/>
      <c r="E34" s="5"/>
      <c r="F34" s="19" t="str">
        <f t="shared" si="0"/>
        <v/>
      </c>
      <c r="G34" s="1"/>
      <c r="H34" s="1"/>
      <c r="I34" s="1"/>
      <c r="J34" s="11"/>
      <c r="X34" s="5">
        <f t="shared" si="1"/>
        <v>0</v>
      </c>
      <c r="Y34" s="2">
        <f t="shared" si="2"/>
        <v>0</v>
      </c>
    </row>
    <row r="35" spans="4:25" x14ac:dyDescent="0.25">
      <c r="D35" s="12"/>
      <c r="E35" s="5"/>
      <c r="F35" s="19" t="str">
        <f t="shared" si="0"/>
        <v/>
      </c>
      <c r="G35" s="1"/>
      <c r="H35" s="1"/>
      <c r="I35" s="1"/>
      <c r="J35" s="11"/>
      <c r="X35" s="5">
        <f t="shared" si="1"/>
        <v>0</v>
      </c>
      <c r="Y35" s="2">
        <f t="shared" si="2"/>
        <v>0</v>
      </c>
    </row>
    <row r="36" spans="4:25" x14ac:dyDescent="0.25">
      <c r="D36" s="12"/>
      <c r="E36" s="5"/>
      <c r="F36" s="19" t="str">
        <f t="shared" si="0"/>
        <v/>
      </c>
      <c r="G36" s="1"/>
      <c r="H36" s="1"/>
      <c r="I36" s="1"/>
      <c r="J36" s="11"/>
      <c r="X36" s="5">
        <f t="shared" si="1"/>
        <v>0</v>
      </c>
      <c r="Y36" s="2">
        <f t="shared" si="2"/>
        <v>0</v>
      </c>
    </row>
    <row r="37" spans="4:25" x14ac:dyDescent="0.25">
      <c r="D37" s="12"/>
      <c r="E37" s="5"/>
      <c r="F37" s="19" t="str">
        <f t="shared" si="0"/>
        <v/>
      </c>
      <c r="G37" s="1"/>
      <c r="H37" s="1"/>
      <c r="I37" s="1"/>
      <c r="J37" s="11"/>
      <c r="X37" s="5">
        <f t="shared" si="1"/>
        <v>0</v>
      </c>
      <c r="Y37" s="2">
        <f t="shared" si="2"/>
        <v>0</v>
      </c>
    </row>
    <row r="38" spans="4:25" x14ac:dyDescent="0.25">
      <c r="D38" s="12"/>
      <c r="E38" s="5"/>
      <c r="F38" s="19" t="str">
        <f t="shared" si="0"/>
        <v/>
      </c>
      <c r="G38" s="1"/>
      <c r="H38" s="1"/>
      <c r="I38" s="1"/>
      <c r="J38" s="11"/>
      <c r="X38" s="5">
        <f t="shared" si="1"/>
        <v>0</v>
      </c>
      <c r="Y38" s="2">
        <f t="shared" si="2"/>
        <v>0</v>
      </c>
    </row>
    <row r="39" spans="4:25" x14ac:dyDescent="0.25">
      <c r="D39" s="12"/>
      <c r="E39" s="5"/>
      <c r="F39" s="19" t="str">
        <f t="shared" si="0"/>
        <v/>
      </c>
      <c r="G39" s="1"/>
      <c r="H39" s="1"/>
      <c r="I39" s="1"/>
      <c r="J39" s="11"/>
      <c r="X39" s="5">
        <f t="shared" si="1"/>
        <v>0</v>
      </c>
      <c r="Y39" s="2">
        <f t="shared" si="2"/>
        <v>0</v>
      </c>
    </row>
    <row r="40" spans="4:25" x14ac:dyDescent="0.25">
      <c r="D40" s="12"/>
      <c r="E40" s="5"/>
      <c r="F40" s="19" t="str">
        <f t="shared" si="0"/>
        <v/>
      </c>
      <c r="G40" s="1"/>
      <c r="H40" s="1"/>
      <c r="I40" s="1"/>
      <c r="J40" s="11"/>
      <c r="X40" s="5">
        <f t="shared" si="1"/>
        <v>0</v>
      </c>
      <c r="Y40" s="2">
        <f t="shared" si="2"/>
        <v>0</v>
      </c>
    </row>
    <row r="41" spans="4:25" x14ac:dyDescent="0.25">
      <c r="D41" s="12"/>
      <c r="E41" s="5"/>
      <c r="F41" s="19" t="str">
        <f t="shared" si="0"/>
        <v/>
      </c>
      <c r="G41" s="1"/>
      <c r="H41" s="1"/>
      <c r="I41" s="1"/>
      <c r="J41" s="11"/>
      <c r="X41" s="5">
        <f t="shared" si="1"/>
        <v>0</v>
      </c>
      <c r="Y41" s="2">
        <f t="shared" si="2"/>
        <v>0</v>
      </c>
    </row>
    <row r="42" spans="4:25" x14ac:dyDescent="0.25">
      <c r="D42" s="12"/>
      <c r="E42" s="5"/>
      <c r="F42" s="19" t="str">
        <f t="shared" si="0"/>
        <v/>
      </c>
      <c r="G42" s="1"/>
      <c r="H42" s="1"/>
      <c r="I42" s="1"/>
      <c r="J42" s="11"/>
      <c r="X42" s="5">
        <f t="shared" si="1"/>
        <v>0</v>
      </c>
      <c r="Y42" s="2">
        <f t="shared" si="2"/>
        <v>0</v>
      </c>
    </row>
    <row r="43" spans="4:25" x14ac:dyDescent="0.25">
      <c r="D43" s="12"/>
      <c r="E43" s="5"/>
      <c r="F43" s="19" t="str">
        <f t="shared" si="0"/>
        <v/>
      </c>
      <c r="G43" s="1"/>
      <c r="H43" s="1"/>
      <c r="I43" s="1"/>
      <c r="J43" s="11"/>
      <c r="X43" s="5">
        <f t="shared" si="1"/>
        <v>0</v>
      </c>
      <c r="Y43" s="2">
        <f t="shared" si="2"/>
        <v>0</v>
      </c>
    </row>
    <row r="44" spans="4:25" x14ac:dyDescent="0.25">
      <c r="D44" s="12"/>
      <c r="E44" s="5"/>
      <c r="F44" s="19" t="str">
        <f t="shared" si="0"/>
        <v/>
      </c>
      <c r="G44" s="1"/>
      <c r="H44" s="1"/>
      <c r="I44" s="1"/>
      <c r="J44" s="11"/>
      <c r="X44" s="5">
        <f t="shared" si="1"/>
        <v>0</v>
      </c>
      <c r="Y44" s="2">
        <f t="shared" si="2"/>
        <v>0</v>
      </c>
    </row>
    <row r="45" spans="4:25" x14ac:dyDescent="0.25">
      <c r="D45" s="12"/>
      <c r="E45" s="5"/>
      <c r="F45" s="19" t="str">
        <f t="shared" si="0"/>
        <v/>
      </c>
      <c r="G45" s="1"/>
      <c r="H45" s="1"/>
      <c r="I45" s="1"/>
      <c r="J45" s="11"/>
      <c r="X45" s="5">
        <f t="shared" si="1"/>
        <v>0</v>
      </c>
      <c r="Y45" s="2">
        <f t="shared" si="2"/>
        <v>0</v>
      </c>
    </row>
    <row r="46" spans="4:25" x14ac:dyDescent="0.25">
      <c r="D46" s="12"/>
      <c r="E46" s="5"/>
      <c r="F46" s="19" t="str">
        <f t="shared" si="0"/>
        <v/>
      </c>
      <c r="G46" s="1"/>
      <c r="H46" s="1"/>
      <c r="I46" s="1"/>
      <c r="J46" s="11"/>
      <c r="X46" s="5">
        <f t="shared" si="1"/>
        <v>0</v>
      </c>
      <c r="Y46" s="2">
        <f t="shared" si="2"/>
        <v>0</v>
      </c>
    </row>
    <row r="47" spans="4:25" x14ac:dyDescent="0.25">
      <c r="D47" s="12"/>
      <c r="E47" s="5"/>
      <c r="F47" s="19" t="str">
        <f t="shared" si="0"/>
        <v/>
      </c>
      <c r="G47" s="1"/>
      <c r="H47" s="1"/>
      <c r="I47" s="1"/>
      <c r="J47" s="11"/>
      <c r="X47" s="5">
        <f t="shared" si="1"/>
        <v>0</v>
      </c>
      <c r="Y47" s="2">
        <f t="shared" si="2"/>
        <v>0</v>
      </c>
    </row>
    <row r="48" spans="4:25" x14ac:dyDescent="0.25">
      <c r="D48" s="12"/>
      <c r="E48" s="5"/>
      <c r="F48" s="19" t="str">
        <f t="shared" si="0"/>
        <v/>
      </c>
      <c r="G48" s="1"/>
      <c r="H48" s="1"/>
      <c r="I48" s="1"/>
      <c r="J48" s="11"/>
      <c r="X48" s="5">
        <f t="shared" si="1"/>
        <v>0</v>
      </c>
      <c r="Y48" s="2">
        <f t="shared" si="2"/>
        <v>0</v>
      </c>
    </row>
    <row r="49" spans="4:25" x14ac:dyDescent="0.25">
      <c r="D49" s="12"/>
      <c r="E49" s="5"/>
      <c r="F49" s="19" t="str">
        <f t="shared" si="0"/>
        <v/>
      </c>
      <c r="G49" s="1"/>
      <c r="H49" s="1"/>
      <c r="I49" s="1"/>
      <c r="J49" s="11"/>
      <c r="X49" s="5">
        <f t="shared" si="1"/>
        <v>0</v>
      </c>
      <c r="Y49" s="2">
        <f t="shared" si="2"/>
        <v>0</v>
      </c>
    </row>
    <row r="50" spans="4:25" x14ac:dyDescent="0.25">
      <c r="D50" s="12"/>
      <c r="E50" s="5"/>
      <c r="F50" s="19" t="str">
        <f t="shared" si="0"/>
        <v/>
      </c>
      <c r="G50" s="1"/>
      <c r="H50" s="1"/>
      <c r="I50" s="1"/>
      <c r="J50" s="11"/>
      <c r="X50" s="5">
        <f t="shared" si="1"/>
        <v>0</v>
      </c>
      <c r="Y50" s="2">
        <f t="shared" si="2"/>
        <v>0</v>
      </c>
    </row>
    <row r="51" spans="4:25" x14ac:dyDescent="0.25">
      <c r="D51" s="12"/>
      <c r="E51" s="5"/>
      <c r="F51" s="19" t="str">
        <f t="shared" si="0"/>
        <v/>
      </c>
      <c r="G51" s="1"/>
      <c r="H51" s="1"/>
      <c r="I51" s="1"/>
      <c r="J51" s="11"/>
      <c r="X51" s="5">
        <f t="shared" si="1"/>
        <v>0</v>
      </c>
      <c r="Y51" s="2">
        <f t="shared" si="2"/>
        <v>0</v>
      </c>
    </row>
    <row r="52" spans="4:25" x14ac:dyDescent="0.25">
      <c r="D52" s="12"/>
      <c r="E52" s="5"/>
      <c r="F52" s="19" t="str">
        <f t="shared" si="0"/>
        <v/>
      </c>
      <c r="G52" s="1"/>
      <c r="H52" s="1"/>
      <c r="I52" s="1"/>
      <c r="J52" s="9"/>
      <c r="X52" s="5">
        <f t="shared" si="1"/>
        <v>0</v>
      </c>
      <c r="Y52" s="2">
        <f t="shared" si="2"/>
        <v>0</v>
      </c>
    </row>
    <row r="53" spans="4:25" x14ac:dyDescent="0.25">
      <c r="D53" s="1" t="s">
        <v>25</v>
      </c>
      <c r="E53" s="23"/>
      <c r="F53" s="2"/>
      <c r="G53" s="2">
        <f>SUM(G3:G52)</f>
        <v>8.0500000000000007</v>
      </c>
      <c r="H53" s="2">
        <f t="shared" ref="H53:I53" si="3">SUM(H3:H52)</f>
        <v>0.62</v>
      </c>
      <c r="I53" s="2">
        <f t="shared" si="3"/>
        <v>0.03</v>
      </c>
    </row>
  </sheetData>
  <mergeCells count="4">
    <mergeCell ref="D1:F1"/>
    <mergeCell ref="G1:I1"/>
    <mergeCell ref="K1:Q1"/>
    <mergeCell ref="X1:Z1"/>
  </mergeCells>
  <conditionalFormatting sqref="A1:B1">
    <cfRule type="expression" dxfId="139" priority="1">
      <formula>$Z$3="+"</formula>
    </cfRule>
    <cfRule type="expression" dxfId="138" priority="2">
      <formula>$B$16=$K$3</formula>
    </cfRule>
  </conditionalFormatting>
  <conditionalFormatting sqref="P3">
    <cfRule type="expression" dxfId="137" priority="3">
      <formula>$Z$3="+"</formula>
    </cfRule>
  </conditionalFormatting>
  <conditionalFormatting sqref="Z3">
    <cfRule type="expression" dxfId="136" priority="4">
      <formula>$Z$3="+"</formula>
    </cfRule>
  </conditionalFormatting>
  <dataValidations count="1">
    <dataValidation type="list" allowBlank="1" showInputMessage="1" showErrorMessage="1" sqref="B2" xr:uid="{C55D7A2C-1297-456F-8744-AAAAF82DB105}">
      <formula1>"Romania,Moldova,Cyprus,Philippines"</formula1>
    </dataValidation>
  </dataValidations>
  <pageMargins left="0.7" right="0.7" top="0.75" bottom="0.75" header="0.3" footer="0.3"/>
  <pageSetup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C3FA8-AF7A-44D2-9345-173EC63F9C53}">
  <sheetPr>
    <tabColor rgb="FF92D050"/>
  </sheetPr>
  <dimension ref="A1:Z53"/>
  <sheetViews>
    <sheetView workbookViewId="0">
      <selection activeCell="I8" sqref="I8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1" customWidth="1"/>
    <col min="25" max="25" width="10.7109375" style="11" customWidth="1"/>
    <col min="26" max="26" width="10.7109375" customWidth="1"/>
  </cols>
  <sheetData>
    <row r="1" spans="1:26" x14ac:dyDescent="0.25">
      <c r="A1" s="4" t="s">
        <v>66</v>
      </c>
      <c r="B1" s="5" t="s">
        <v>81</v>
      </c>
      <c r="D1" s="29" t="s">
        <v>2</v>
      </c>
      <c r="E1" s="30"/>
      <c r="F1" s="31"/>
      <c r="G1" s="29" t="s">
        <v>0</v>
      </c>
      <c r="H1" s="30"/>
      <c r="I1" s="31"/>
      <c r="J1" s="18"/>
      <c r="K1" s="29" t="s">
        <v>58</v>
      </c>
      <c r="L1" s="30"/>
      <c r="M1" s="30"/>
      <c r="N1" s="30"/>
      <c r="O1" s="30"/>
      <c r="P1" s="30"/>
      <c r="Q1" s="31"/>
      <c r="X1" s="29"/>
      <c r="Y1" s="30"/>
      <c r="Z1" s="31"/>
    </row>
    <row r="2" spans="1:26" x14ac:dyDescent="0.25">
      <c r="A2" s="4" t="s">
        <v>21</v>
      </c>
      <c r="B2" s="5" t="s">
        <v>32</v>
      </c>
      <c r="D2" s="10" t="s">
        <v>49</v>
      </c>
      <c r="E2" s="10" t="s">
        <v>50</v>
      </c>
      <c r="F2" s="17" t="s">
        <v>67</v>
      </c>
      <c r="G2" s="10" t="s">
        <v>15</v>
      </c>
      <c r="H2" s="10" t="s">
        <v>16</v>
      </c>
      <c r="I2" s="10" t="s">
        <v>60</v>
      </c>
      <c r="J2" s="9"/>
      <c r="K2" s="10" t="s">
        <v>0</v>
      </c>
      <c r="L2" s="10" t="s">
        <v>1</v>
      </c>
      <c r="M2" s="10" t="s">
        <v>56</v>
      </c>
      <c r="N2" s="10" t="s">
        <v>57</v>
      </c>
      <c r="O2" s="10" t="s">
        <v>2</v>
      </c>
      <c r="P2" s="10" t="s">
        <v>68</v>
      </c>
      <c r="Q2" s="10" t="s">
        <v>67</v>
      </c>
      <c r="X2" s="10" t="s">
        <v>2</v>
      </c>
      <c r="Y2" s="10" t="s">
        <v>59</v>
      </c>
      <c r="Z2" s="10" t="s">
        <v>68</v>
      </c>
    </row>
    <row r="3" spans="1:26" x14ac:dyDescent="0.25">
      <c r="A3" s="4" t="s">
        <v>69</v>
      </c>
      <c r="B3" s="5" t="s">
        <v>78</v>
      </c>
      <c r="D3" s="12">
        <v>46173</v>
      </c>
      <c r="E3" s="12">
        <v>46173</v>
      </c>
      <c r="F3" s="19">
        <f t="shared" ref="F3:F52" si="0">IF(E3&gt;0,E3-D3,"")</f>
        <v>0</v>
      </c>
      <c r="G3" s="2">
        <v>0</v>
      </c>
      <c r="H3" s="2">
        <v>0</v>
      </c>
      <c r="I3" s="2">
        <v>0</v>
      </c>
      <c r="J3" s="11"/>
      <c r="K3" s="2">
        <f>G53</f>
        <v>11.66</v>
      </c>
      <c r="L3" s="2">
        <f>H53</f>
        <v>0.38</v>
      </c>
      <c r="M3" s="2">
        <f>I53</f>
        <v>0.02</v>
      </c>
      <c r="N3" s="6">
        <f>IF(B16=K3,XIRR(Y3:Y52,X3:X52),"")</f>
        <v>0.10776081681251526</v>
      </c>
      <c r="O3" s="5">
        <f>IF(B16=K3,MAX(E:E),"")</f>
        <v>46295</v>
      </c>
      <c r="P3" s="1" t="str">
        <f ca="1">IF(Z3="+",TODAY()-B11,"")</f>
        <v/>
      </c>
      <c r="Q3" s="1">
        <f>IF(B16=K3,MAX(E:E)-B11,"")</f>
        <v>30</v>
      </c>
      <c r="T3" s="14"/>
      <c r="X3" s="5">
        <f>B9</f>
        <v>46151</v>
      </c>
      <c r="Y3" s="2">
        <f>B16*-1</f>
        <v>-11.66</v>
      </c>
      <c r="Z3" s="1" t="str">
        <f ca="1">IF(AND(TODAY()&gt;B11, K3&lt;&gt;B16), "+", "")</f>
        <v/>
      </c>
    </row>
    <row r="4" spans="1:26" x14ac:dyDescent="0.25">
      <c r="A4" s="4" t="s">
        <v>19</v>
      </c>
      <c r="B4" s="5" t="s">
        <v>20</v>
      </c>
      <c r="D4" s="12">
        <v>46203</v>
      </c>
      <c r="E4" s="12">
        <v>46203</v>
      </c>
      <c r="F4" s="19">
        <f t="shared" si="0"/>
        <v>0</v>
      </c>
      <c r="G4" s="2">
        <v>0</v>
      </c>
      <c r="H4" s="2">
        <v>0.11</v>
      </c>
      <c r="I4" s="2">
        <v>0.01</v>
      </c>
      <c r="J4" s="9"/>
      <c r="X4" s="5">
        <f>E3</f>
        <v>46173</v>
      </c>
      <c r="Y4" s="2">
        <f>G3+H3-I3</f>
        <v>0</v>
      </c>
    </row>
    <row r="5" spans="1:26" x14ac:dyDescent="0.25">
      <c r="A5" s="4"/>
      <c r="B5" s="5"/>
      <c r="D5" s="12">
        <v>46234</v>
      </c>
      <c r="E5" s="12">
        <v>46234</v>
      </c>
      <c r="F5" s="19">
        <f t="shared" si="0"/>
        <v>0</v>
      </c>
      <c r="G5" s="2">
        <v>0</v>
      </c>
      <c r="H5" s="1">
        <v>0.11</v>
      </c>
      <c r="I5" s="2">
        <v>0.01</v>
      </c>
      <c r="J5" s="9"/>
      <c r="X5" s="5">
        <f t="shared" ref="X5:X52" si="1">E4</f>
        <v>46203</v>
      </c>
      <c r="Y5" s="2">
        <f t="shared" ref="Y5:Y52" si="2">G4+H4-I4</f>
        <v>0.1</v>
      </c>
    </row>
    <row r="6" spans="1:26" x14ac:dyDescent="0.25">
      <c r="A6" s="4"/>
      <c r="B6" s="5"/>
      <c r="D6" s="12">
        <v>46260</v>
      </c>
      <c r="E6" s="12">
        <v>46260</v>
      </c>
      <c r="F6" s="19">
        <f t="shared" si="0"/>
        <v>0</v>
      </c>
      <c r="G6" s="2">
        <v>11.66</v>
      </c>
      <c r="H6" s="1">
        <v>0.11</v>
      </c>
      <c r="I6" s="2">
        <v>0</v>
      </c>
      <c r="J6" s="9"/>
      <c r="X6" s="5">
        <f t="shared" si="1"/>
        <v>46234</v>
      </c>
      <c r="Y6" s="2">
        <f t="shared" si="2"/>
        <v>0.1</v>
      </c>
    </row>
    <row r="7" spans="1:26" x14ac:dyDescent="0.25">
      <c r="A7" s="4"/>
      <c r="B7" s="5"/>
      <c r="D7" s="12">
        <v>46295</v>
      </c>
      <c r="E7" s="12">
        <v>46295</v>
      </c>
      <c r="F7" s="19">
        <f t="shared" si="0"/>
        <v>0</v>
      </c>
      <c r="G7" s="2">
        <v>0</v>
      </c>
      <c r="H7" s="1">
        <v>0.05</v>
      </c>
      <c r="I7" s="2">
        <v>0</v>
      </c>
      <c r="J7" s="11"/>
      <c r="X7" s="5">
        <f t="shared" si="1"/>
        <v>46260</v>
      </c>
      <c r="Y7" s="2">
        <f t="shared" si="2"/>
        <v>11.77</v>
      </c>
    </row>
    <row r="8" spans="1:26" x14ac:dyDescent="0.25">
      <c r="A8" s="4" t="s">
        <v>24</v>
      </c>
      <c r="B8" s="5" t="str">
        <f>DATEDIF(B9,B11,"y") &amp; " m. " &amp; DATEDIF(B9,B11,"ym") &amp; " mėn. " &amp; DATEDIF(B9,B11,"md") &amp; " d."</f>
        <v>0 m. 3 mėn. 22 d.</v>
      </c>
      <c r="D8" s="12"/>
      <c r="E8" s="12"/>
      <c r="F8" s="19" t="str">
        <f t="shared" si="0"/>
        <v/>
      </c>
      <c r="G8" s="1"/>
      <c r="H8" s="1"/>
      <c r="I8" s="2"/>
      <c r="J8" s="9"/>
      <c r="X8" s="5">
        <f t="shared" si="1"/>
        <v>46295</v>
      </c>
      <c r="Y8" s="2">
        <f t="shared" si="2"/>
        <v>0.05</v>
      </c>
    </row>
    <row r="9" spans="1:26" x14ac:dyDescent="0.25">
      <c r="A9" s="4" t="s">
        <v>11</v>
      </c>
      <c r="B9" s="5">
        <v>46151</v>
      </c>
      <c r="D9" s="12"/>
      <c r="E9" s="12"/>
      <c r="F9" s="19"/>
      <c r="G9" s="2"/>
      <c r="H9" s="2"/>
      <c r="I9" s="2"/>
      <c r="J9" s="11"/>
      <c r="X9" s="5">
        <f t="shared" si="1"/>
        <v>0</v>
      </c>
      <c r="Y9" s="2">
        <f t="shared" si="2"/>
        <v>0</v>
      </c>
    </row>
    <row r="10" spans="1:26" x14ac:dyDescent="0.25">
      <c r="A10" s="4" t="s">
        <v>70</v>
      </c>
      <c r="B10" s="5">
        <v>46135</v>
      </c>
      <c r="D10" s="12"/>
      <c r="E10" s="12"/>
      <c r="F10" s="19" t="str">
        <f t="shared" si="0"/>
        <v/>
      </c>
      <c r="G10" s="1"/>
      <c r="H10" s="1"/>
      <c r="I10" s="2"/>
      <c r="J10" s="11"/>
      <c r="X10" s="5">
        <f t="shared" si="1"/>
        <v>0</v>
      </c>
      <c r="Y10" s="2">
        <f t="shared" si="2"/>
        <v>0</v>
      </c>
    </row>
    <row r="11" spans="1:26" x14ac:dyDescent="0.25">
      <c r="A11" s="4" t="s">
        <v>10</v>
      </c>
      <c r="B11" s="5">
        <v>46265</v>
      </c>
      <c r="D11" s="12"/>
      <c r="E11" s="12"/>
      <c r="F11" s="19" t="str">
        <f t="shared" si="0"/>
        <v/>
      </c>
      <c r="G11" s="1"/>
      <c r="H11" s="2"/>
      <c r="I11" s="2"/>
      <c r="J11" s="11"/>
      <c r="X11" s="5">
        <f t="shared" si="1"/>
        <v>0</v>
      </c>
      <c r="Y11" s="2">
        <f t="shared" si="2"/>
        <v>0</v>
      </c>
    </row>
    <row r="12" spans="1:26" x14ac:dyDescent="0.25">
      <c r="A12" s="4" t="s">
        <v>71</v>
      </c>
      <c r="B12" s="19" t="str">
        <f ca="1">IF(B16&lt;&gt;K3,(TODAY()-B11)*-1,"")</f>
        <v/>
      </c>
      <c r="D12" s="12"/>
      <c r="E12" s="12"/>
      <c r="F12" s="19" t="str">
        <f t="shared" si="0"/>
        <v/>
      </c>
      <c r="G12" s="2"/>
      <c r="H12" s="1"/>
      <c r="I12" s="1"/>
      <c r="J12" s="11"/>
      <c r="X12" s="5">
        <f t="shared" si="1"/>
        <v>0</v>
      </c>
      <c r="Y12" s="2">
        <f t="shared" si="2"/>
        <v>0</v>
      </c>
    </row>
    <row r="13" spans="1:26" x14ac:dyDescent="0.25">
      <c r="A13" s="4"/>
      <c r="B13" s="2"/>
      <c r="D13" s="12"/>
      <c r="E13" s="12"/>
      <c r="F13" s="19" t="str">
        <f t="shared" si="0"/>
        <v/>
      </c>
      <c r="G13" s="1"/>
      <c r="H13" s="2"/>
      <c r="I13" s="2"/>
      <c r="J13" s="11"/>
      <c r="N13" s="14"/>
      <c r="X13" s="5">
        <f t="shared" si="1"/>
        <v>0</v>
      </c>
      <c r="Y13" s="2">
        <f t="shared" si="2"/>
        <v>0</v>
      </c>
    </row>
    <row r="14" spans="1:26" x14ac:dyDescent="0.25">
      <c r="A14" s="13"/>
      <c r="B14" s="20"/>
      <c r="D14" s="12"/>
      <c r="E14" s="5"/>
      <c r="F14" s="19" t="str">
        <f t="shared" si="0"/>
        <v/>
      </c>
      <c r="G14" s="1"/>
      <c r="H14" s="1"/>
      <c r="I14" s="1"/>
      <c r="J14" s="11"/>
      <c r="X14" s="5">
        <f t="shared" si="1"/>
        <v>0</v>
      </c>
      <c r="Y14" s="2">
        <f t="shared" si="2"/>
        <v>0</v>
      </c>
    </row>
    <row r="15" spans="1:26" x14ac:dyDescent="0.25">
      <c r="A15" s="4" t="s">
        <v>1</v>
      </c>
      <c r="B15" s="6">
        <v>0.11</v>
      </c>
      <c r="D15" s="12"/>
      <c r="E15" s="5"/>
      <c r="F15" s="19" t="str">
        <f t="shared" si="0"/>
        <v/>
      </c>
      <c r="G15" s="1"/>
      <c r="H15" s="1"/>
      <c r="I15" s="1"/>
      <c r="J15" s="11"/>
      <c r="K15" s="18"/>
      <c r="L15" s="18"/>
      <c r="M15" s="18"/>
      <c r="N15" s="18"/>
      <c r="O15" s="18"/>
      <c r="P15" s="18"/>
      <c r="Q15" s="18"/>
      <c r="X15" s="5">
        <f t="shared" si="1"/>
        <v>0</v>
      </c>
      <c r="Y15" s="2">
        <f t="shared" si="2"/>
        <v>0</v>
      </c>
    </row>
    <row r="16" spans="1:26" x14ac:dyDescent="0.25">
      <c r="A16" s="4" t="s">
        <v>72</v>
      </c>
      <c r="B16" s="2">
        <v>11.66</v>
      </c>
      <c r="D16" s="12"/>
      <c r="E16" s="5"/>
      <c r="F16" s="19" t="str">
        <f t="shared" si="0"/>
        <v/>
      </c>
      <c r="G16" s="1"/>
      <c r="H16" s="1"/>
      <c r="I16" s="1"/>
      <c r="J16" s="11"/>
      <c r="K16" s="9"/>
      <c r="L16" s="9"/>
      <c r="M16" s="9"/>
      <c r="N16" s="21"/>
      <c r="O16" s="22"/>
      <c r="P16" s="11"/>
      <c r="Q16" s="11"/>
      <c r="X16" s="5">
        <f t="shared" si="1"/>
        <v>0</v>
      </c>
      <c r="Y16" s="2">
        <f t="shared" si="2"/>
        <v>0</v>
      </c>
    </row>
    <row r="17" spans="2:25" x14ac:dyDescent="0.25">
      <c r="D17" s="12"/>
      <c r="E17" s="5"/>
      <c r="F17" s="19" t="str">
        <f t="shared" si="0"/>
        <v/>
      </c>
      <c r="G17" s="1"/>
      <c r="H17" s="1"/>
      <c r="I17" s="1"/>
      <c r="J17" s="11"/>
      <c r="X17" s="5">
        <f t="shared" si="1"/>
        <v>0</v>
      </c>
      <c r="Y17" s="2">
        <f t="shared" si="2"/>
        <v>0</v>
      </c>
    </row>
    <row r="18" spans="2:25" x14ac:dyDescent="0.25">
      <c r="D18" s="12"/>
      <c r="E18" s="5"/>
      <c r="F18" s="19" t="str">
        <f t="shared" si="0"/>
        <v/>
      </c>
      <c r="G18" s="1"/>
      <c r="H18" s="1"/>
      <c r="I18" s="1"/>
      <c r="J18" s="11"/>
      <c r="X18" s="5">
        <f t="shared" si="1"/>
        <v>0</v>
      </c>
      <c r="Y18" s="2">
        <f t="shared" si="2"/>
        <v>0</v>
      </c>
    </row>
    <row r="19" spans="2:25" x14ac:dyDescent="0.25">
      <c r="D19" s="12"/>
      <c r="E19" s="5"/>
      <c r="F19" s="19" t="str">
        <f t="shared" si="0"/>
        <v/>
      </c>
      <c r="G19" s="1"/>
      <c r="H19" s="1"/>
      <c r="I19" s="1"/>
      <c r="J19" s="11"/>
      <c r="X19" s="5">
        <f t="shared" si="1"/>
        <v>0</v>
      </c>
      <c r="Y19" s="2">
        <f t="shared" si="2"/>
        <v>0</v>
      </c>
    </row>
    <row r="20" spans="2:25" x14ac:dyDescent="0.25">
      <c r="D20" s="12"/>
      <c r="E20" s="5"/>
      <c r="F20" s="19" t="str">
        <f t="shared" si="0"/>
        <v/>
      </c>
      <c r="G20" s="1"/>
      <c r="H20" s="1"/>
      <c r="I20" s="1"/>
      <c r="J20" s="11"/>
      <c r="X20" s="5">
        <f t="shared" si="1"/>
        <v>0</v>
      </c>
      <c r="Y20" s="2">
        <f t="shared" si="2"/>
        <v>0</v>
      </c>
    </row>
    <row r="21" spans="2:25" x14ac:dyDescent="0.25">
      <c r="D21" s="12"/>
      <c r="E21" s="5"/>
      <c r="F21" s="19" t="str">
        <f t="shared" si="0"/>
        <v/>
      </c>
      <c r="G21" s="1"/>
      <c r="H21" s="1"/>
      <c r="I21" s="1"/>
      <c r="J21" s="11"/>
      <c r="X21" s="5">
        <f t="shared" si="1"/>
        <v>0</v>
      </c>
      <c r="Y21" s="2">
        <f t="shared" si="2"/>
        <v>0</v>
      </c>
    </row>
    <row r="22" spans="2:25" x14ac:dyDescent="0.25">
      <c r="D22" s="12"/>
      <c r="E22" s="5"/>
      <c r="F22" s="19" t="str">
        <f t="shared" si="0"/>
        <v/>
      </c>
      <c r="G22" s="1"/>
      <c r="H22" s="1"/>
      <c r="I22" s="1"/>
      <c r="J22" s="11"/>
      <c r="X22" s="5">
        <f t="shared" si="1"/>
        <v>0</v>
      </c>
      <c r="Y22" s="2">
        <f t="shared" si="2"/>
        <v>0</v>
      </c>
    </row>
    <row r="23" spans="2:25" x14ac:dyDescent="0.25">
      <c r="B23" s="22"/>
      <c r="D23" s="12"/>
      <c r="E23" s="5"/>
      <c r="F23" s="19" t="str">
        <f t="shared" si="0"/>
        <v/>
      </c>
      <c r="G23" s="1"/>
      <c r="H23" s="1"/>
      <c r="I23" s="1"/>
      <c r="J23" s="11"/>
      <c r="X23" s="5">
        <f t="shared" si="1"/>
        <v>0</v>
      </c>
      <c r="Y23" s="2">
        <f t="shared" si="2"/>
        <v>0</v>
      </c>
    </row>
    <row r="24" spans="2:25" x14ac:dyDescent="0.25">
      <c r="D24" s="12"/>
      <c r="E24" s="5"/>
      <c r="F24" s="19" t="str">
        <f t="shared" si="0"/>
        <v/>
      </c>
      <c r="G24" s="1"/>
      <c r="H24" s="1"/>
      <c r="I24" s="1"/>
      <c r="J24" s="11"/>
      <c r="X24" s="5">
        <f t="shared" si="1"/>
        <v>0</v>
      </c>
      <c r="Y24" s="2">
        <f t="shared" si="2"/>
        <v>0</v>
      </c>
    </row>
    <row r="25" spans="2:25" x14ac:dyDescent="0.25">
      <c r="D25" s="12"/>
      <c r="E25" s="5"/>
      <c r="F25" s="19" t="str">
        <f t="shared" si="0"/>
        <v/>
      </c>
      <c r="G25" s="1"/>
      <c r="H25" s="1"/>
      <c r="I25" s="1"/>
      <c r="J25" s="11"/>
      <c r="X25" s="5">
        <f t="shared" si="1"/>
        <v>0</v>
      </c>
      <c r="Y25" s="2">
        <f t="shared" si="2"/>
        <v>0</v>
      </c>
    </row>
    <row r="26" spans="2:25" x14ac:dyDescent="0.25">
      <c r="D26" s="12"/>
      <c r="E26" s="5"/>
      <c r="F26" s="19" t="str">
        <f t="shared" si="0"/>
        <v/>
      </c>
      <c r="G26" s="1"/>
      <c r="H26" s="1"/>
      <c r="I26" s="1"/>
      <c r="J26" s="11"/>
      <c r="X26" s="5">
        <f t="shared" si="1"/>
        <v>0</v>
      </c>
      <c r="Y26" s="2">
        <f t="shared" si="2"/>
        <v>0</v>
      </c>
    </row>
    <row r="27" spans="2:25" x14ac:dyDescent="0.25">
      <c r="D27" s="12"/>
      <c r="E27" s="5"/>
      <c r="F27" s="19" t="str">
        <f t="shared" si="0"/>
        <v/>
      </c>
      <c r="G27" s="1"/>
      <c r="H27" s="1"/>
      <c r="I27" s="1"/>
      <c r="J27" s="11"/>
      <c r="X27" s="5">
        <f t="shared" si="1"/>
        <v>0</v>
      </c>
      <c r="Y27" s="2">
        <f t="shared" si="2"/>
        <v>0</v>
      </c>
    </row>
    <row r="28" spans="2:25" x14ac:dyDescent="0.25">
      <c r="D28" s="12"/>
      <c r="E28" s="5"/>
      <c r="F28" s="19" t="str">
        <f t="shared" si="0"/>
        <v/>
      </c>
      <c r="G28" s="1"/>
      <c r="H28" s="1"/>
      <c r="I28" s="1"/>
      <c r="J28" s="11"/>
      <c r="X28" s="5">
        <f t="shared" si="1"/>
        <v>0</v>
      </c>
      <c r="Y28" s="2">
        <f t="shared" si="2"/>
        <v>0</v>
      </c>
    </row>
    <row r="29" spans="2:25" x14ac:dyDescent="0.25">
      <c r="D29" s="12"/>
      <c r="E29" s="5"/>
      <c r="F29" s="19" t="str">
        <f t="shared" si="0"/>
        <v/>
      </c>
      <c r="G29" s="1"/>
      <c r="H29" s="1"/>
      <c r="I29" s="1"/>
      <c r="J29" s="11"/>
      <c r="X29" s="5">
        <f t="shared" si="1"/>
        <v>0</v>
      </c>
      <c r="Y29" s="2">
        <f t="shared" si="2"/>
        <v>0</v>
      </c>
    </row>
    <row r="30" spans="2:25" x14ac:dyDescent="0.25">
      <c r="D30" s="12"/>
      <c r="E30" s="5"/>
      <c r="F30" s="19" t="str">
        <f t="shared" si="0"/>
        <v/>
      </c>
      <c r="G30" s="1"/>
      <c r="H30" s="1"/>
      <c r="I30" s="1"/>
      <c r="J30" s="11"/>
      <c r="X30" s="5">
        <f t="shared" si="1"/>
        <v>0</v>
      </c>
      <c r="Y30" s="2">
        <f t="shared" si="2"/>
        <v>0</v>
      </c>
    </row>
    <row r="31" spans="2:25" x14ac:dyDescent="0.25">
      <c r="D31" s="12"/>
      <c r="E31" s="5"/>
      <c r="F31" s="19" t="str">
        <f t="shared" si="0"/>
        <v/>
      </c>
      <c r="G31" s="1"/>
      <c r="H31" s="1"/>
      <c r="I31" s="1"/>
      <c r="J31" s="11"/>
      <c r="X31" s="5">
        <f t="shared" si="1"/>
        <v>0</v>
      </c>
      <c r="Y31" s="2">
        <f t="shared" si="2"/>
        <v>0</v>
      </c>
    </row>
    <row r="32" spans="2:25" x14ac:dyDescent="0.25">
      <c r="D32" s="12"/>
      <c r="E32" s="5"/>
      <c r="F32" s="19" t="str">
        <f t="shared" si="0"/>
        <v/>
      </c>
      <c r="G32" s="1"/>
      <c r="H32" s="1"/>
      <c r="I32" s="1"/>
      <c r="J32" s="11"/>
      <c r="X32" s="5">
        <f t="shared" si="1"/>
        <v>0</v>
      </c>
      <c r="Y32" s="2">
        <f t="shared" si="2"/>
        <v>0</v>
      </c>
    </row>
    <row r="33" spans="4:25" x14ac:dyDescent="0.25">
      <c r="D33" s="12"/>
      <c r="E33" s="5"/>
      <c r="F33" s="19" t="str">
        <f t="shared" si="0"/>
        <v/>
      </c>
      <c r="G33" s="1"/>
      <c r="H33" s="1"/>
      <c r="I33" s="1"/>
      <c r="J33" s="11"/>
      <c r="X33" s="5">
        <f t="shared" si="1"/>
        <v>0</v>
      </c>
      <c r="Y33" s="2">
        <f t="shared" si="2"/>
        <v>0</v>
      </c>
    </row>
    <row r="34" spans="4:25" x14ac:dyDescent="0.25">
      <c r="D34" s="12"/>
      <c r="E34" s="5"/>
      <c r="F34" s="19" t="str">
        <f t="shared" si="0"/>
        <v/>
      </c>
      <c r="G34" s="1"/>
      <c r="H34" s="1"/>
      <c r="I34" s="1"/>
      <c r="J34" s="11"/>
      <c r="X34" s="5">
        <f t="shared" si="1"/>
        <v>0</v>
      </c>
      <c r="Y34" s="2">
        <f t="shared" si="2"/>
        <v>0</v>
      </c>
    </row>
    <row r="35" spans="4:25" x14ac:dyDescent="0.25">
      <c r="D35" s="12"/>
      <c r="E35" s="5"/>
      <c r="F35" s="19" t="str">
        <f t="shared" si="0"/>
        <v/>
      </c>
      <c r="G35" s="1"/>
      <c r="H35" s="1"/>
      <c r="I35" s="1"/>
      <c r="J35" s="11"/>
      <c r="X35" s="5">
        <f t="shared" si="1"/>
        <v>0</v>
      </c>
      <c r="Y35" s="2">
        <f t="shared" si="2"/>
        <v>0</v>
      </c>
    </row>
    <row r="36" spans="4:25" x14ac:dyDescent="0.25">
      <c r="D36" s="12"/>
      <c r="E36" s="5"/>
      <c r="F36" s="19" t="str">
        <f t="shared" si="0"/>
        <v/>
      </c>
      <c r="G36" s="1"/>
      <c r="H36" s="1"/>
      <c r="I36" s="1"/>
      <c r="J36" s="11"/>
      <c r="X36" s="5">
        <f t="shared" si="1"/>
        <v>0</v>
      </c>
      <c r="Y36" s="2">
        <f t="shared" si="2"/>
        <v>0</v>
      </c>
    </row>
    <row r="37" spans="4:25" x14ac:dyDescent="0.25">
      <c r="D37" s="12"/>
      <c r="E37" s="5"/>
      <c r="F37" s="19" t="str">
        <f t="shared" si="0"/>
        <v/>
      </c>
      <c r="G37" s="1"/>
      <c r="H37" s="1"/>
      <c r="I37" s="1"/>
      <c r="J37" s="11"/>
      <c r="X37" s="5">
        <f t="shared" si="1"/>
        <v>0</v>
      </c>
      <c r="Y37" s="2">
        <f t="shared" si="2"/>
        <v>0</v>
      </c>
    </row>
    <row r="38" spans="4:25" x14ac:dyDescent="0.25">
      <c r="D38" s="12"/>
      <c r="E38" s="5"/>
      <c r="F38" s="19" t="str">
        <f t="shared" si="0"/>
        <v/>
      </c>
      <c r="G38" s="1"/>
      <c r="H38" s="1"/>
      <c r="I38" s="1"/>
      <c r="J38" s="11"/>
      <c r="X38" s="5">
        <f t="shared" si="1"/>
        <v>0</v>
      </c>
      <c r="Y38" s="2">
        <f t="shared" si="2"/>
        <v>0</v>
      </c>
    </row>
    <row r="39" spans="4:25" x14ac:dyDescent="0.25">
      <c r="D39" s="12"/>
      <c r="E39" s="5"/>
      <c r="F39" s="19" t="str">
        <f t="shared" si="0"/>
        <v/>
      </c>
      <c r="G39" s="1"/>
      <c r="H39" s="1"/>
      <c r="I39" s="1"/>
      <c r="J39" s="11"/>
      <c r="X39" s="5">
        <f t="shared" si="1"/>
        <v>0</v>
      </c>
      <c r="Y39" s="2">
        <f t="shared" si="2"/>
        <v>0</v>
      </c>
    </row>
    <row r="40" spans="4:25" x14ac:dyDescent="0.25">
      <c r="D40" s="12"/>
      <c r="E40" s="5"/>
      <c r="F40" s="19" t="str">
        <f t="shared" si="0"/>
        <v/>
      </c>
      <c r="G40" s="1"/>
      <c r="H40" s="1"/>
      <c r="I40" s="1"/>
      <c r="J40" s="11"/>
      <c r="X40" s="5">
        <f t="shared" si="1"/>
        <v>0</v>
      </c>
      <c r="Y40" s="2">
        <f t="shared" si="2"/>
        <v>0</v>
      </c>
    </row>
    <row r="41" spans="4:25" x14ac:dyDescent="0.25">
      <c r="D41" s="12"/>
      <c r="E41" s="5"/>
      <c r="F41" s="19" t="str">
        <f t="shared" si="0"/>
        <v/>
      </c>
      <c r="G41" s="1"/>
      <c r="H41" s="1"/>
      <c r="I41" s="1"/>
      <c r="J41" s="11"/>
      <c r="X41" s="5">
        <f t="shared" si="1"/>
        <v>0</v>
      </c>
      <c r="Y41" s="2">
        <f t="shared" si="2"/>
        <v>0</v>
      </c>
    </row>
    <row r="42" spans="4:25" x14ac:dyDescent="0.25">
      <c r="D42" s="12"/>
      <c r="E42" s="5"/>
      <c r="F42" s="19" t="str">
        <f t="shared" si="0"/>
        <v/>
      </c>
      <c r="G42" s="1"/>
      <c r="H42" s="1"/>
      <c r="I42" s="1"/>
      <c r="J42" s="11"/>
      <c r="X42" s="5">
        <f t="shared" si="1"/>
        <v>0</v>
      </c>
      <c r="Y42" s="2">
        <f t="shared" si="2"/>
        <v>0</v>
      </c>
    </row>
    <row r="43" spans="4:25" x14ac:dyDescent="0.25">
      <c r="D43" s="12"/>
      <c r="E43" s="5"/>
      <c r="F43" s="19" t="str">
        <f t="shared" si="0"/>
        <v/>
      </c>
      <c r="G43" s="1"/>
      <c r="H43" s="1"/>
      <c r="I43" s="1"/>
      <c r="J43" s="11"/>
      <c r="X43" s="5">
        <f t="shared" si="1"/>
        <v>0</v>
      </c>
      <c r="Y43" s="2">
        <f t="shared" si="2"/>
        <v>0</v>
      </c>
    </row>
    <row r="44" spans="4:25" x14ac:dyDescent="0.25">
      <c r="D44" s="12"/>
      <c r="E44" s="5"/>
      <c r="F44" s="19" t="str">
        <f t="shared" si="0"/>
        <v/>
      </c>
      <c r="G44" s="1"/>
      <c r="H44" s="1"/>
      <c r="I44" s="1"/>
      <c r="J44" s="11"/>
      <c r="X44" s="5">
        <f t="shared" si="1"/>
        <v>0</v>
      </c>
      <c r="Y44" s="2">
        <f t="shared" si="2"/>
        <v>0</v>
      </c>
    </row>
    <row r="45" spans="4:25" x14ac:dyDescent="0.25">
      <c r="D45" s="12"/>
      <c r="E45" s="5"/>
      <c r="F45" s="19" t="str">
        <f t="shared" si="0"/>
        <v/>
      </c>
      <c r="G45" s="1"/>
      <c r="H45" s="1"/>
      <c r="I45" s="1"/>
      <c r="J45" s="11"/>
      <c r="X45" s="5">
        <f t="shared" si="1"/>
        <v>0</v>
      </c>
      <c r="Y45" s="2">
        <f t="shared" si="2"/>
        <v>0</v>
      </c>
    </row>
    <row r="46" spans="4:25" x14ac:dyDescent="0.25">
      <c r="D46" s="12"/>
      <c r="E46" s="5"/>
      <c r="F46" s="19" t="str">
        <f t="shared" si="0"/>
        <v/>
      </c>
      <c r="G46" s="1"/>
      <c r="H46" s="1"/>
      <c r="I46" s="1"/>
      <c r="J46" s="11"/>
      <c r="X46" s="5">
        <f t="shared" si="1"/>
        <v>0</v>
      </c>
      <c r="Y46" s="2">
        <f t="shared" si="2"/>
        <v>0</v>
      </c>
    </row>
    <row r="47" spans="4:25" x14ac:dyDescent="0.25">
      <c r="D47" s="12"/>
      <c r="E47" s="5"/>
      <c r="F47" s="19" t="str">
        <f t="shared" si="0"/>
        <v/>
      </c>
      <c r="G47" s="1"/>
      <c r="H47" s="1"/>
      <c r="I47" s="1"/>
      <c r="J47" s="11"/>
      <c r="X47" s="5">
        <f t="shared" si="1"/>
        <v>0</v>
      </c>
      <c r="Y47" s="2">
        <f t="shared" si="2"/>
        <v>0</v>
      </c>
    </row>
    <row r="48" spans="4:25" x14ac:dyDescent="0.25">
      <c r="D48" s="12"/>
      <c r="E48" s="5"/>
      <c r="F48" s="19" t="str">
        <f t="shared" si="0"/>
        <v/>
      </c>
      <c r="G48" s="1"/>
      <c r="H48" s="1"/>
      <c r="I48" s="1"/>
      <c r="J48" s="11"/>
      <c r="X48" s="5">
        <f t="shared" si="1"/>
        <v>0</v>
      </c>
      <c r="Y48" s="2">
        <f t="shared" si="2"/>
        <v>0</v>
      </c>
    </row>
    <row r="49" spans="4:25" x14ac:dyDescent="0.25">
      <c r="D49" s="12"/>
      <c r="E49" s="5"/>
      <c r="F49" s="19" t="str">
        <f t="shared" si="0"/>
        <v/>
      </c>
      <c r="G49" s="1"/>
      <c r="H49" s="1"/>
      <c r="I49" s="1"/>
      <c r="J49" s="11"/>
      <c r="X49" s="5">
        <f t="shared" si="1"/>
        <v>0</v>
      </c>
      <c r="Y49" s="2">
        <f t="shared" si="2"/>
        <v>0</v>
      </c>
    </row>
    <row r="50" spans="4:25" x14ac:dyDescent="0.25">
      <c r="D50" s="12"/>
      <c r="E50" s="5"/>
      <c r="F50" s="19" t="str">
        <f t="shared" si="0"/>
        <v/>
      </c>
      <c r="G50" s="1"/>
      <c r="H50" s="1"/>
      <c r="I50" s="1"/>
      <c r="J50" s="11"/>
      <c r="X50" s="5">
        <f t="shared" si="1"/>
        <v>0</v>
      </c>
      <c r="Y50" s="2">
        <f t="shared" si="2"/>
        <v>0</v>
      </c>
    </row>
    <row r="51" spans="4:25" x14ac:dyDescent="0.25">
      <c r="D51" s="12"/>
      <c r="E51" s="5"/>
      <c r="F51" s="19" t="str">
        <f t="shared" si="0"/>
        <v/>
      </c>
      <c r="G51" s="1"/>
      <c r="H51" s="1"/>
      <c r="I51" s="1"/>
      <c r="J51" s="11"/>
      <c r="X51" s="5">
        <f t="shared" si="1"/>
        <v>0</v>
      </c>
      <c r="Y51" s="2">
        <f t="shared" si="2"/>
        <v>0</v>
      </c>
    </row>
    <row r="52" spans="4:25" x14ac:dyDescent="0.25">
      <c r="D52" s="12"/>
      <c r="E52" s="5"/>
      <c r="F52" s="19" t="str">
        <f t="shared" si="0"/>
        <v/>
      </c>
      <c r="G52" s="1"/>
      <c r="H52" s="1"/>
      <c r="I52" s="1"/>
      <c r="J52" s="9"/>
      <c r="X52" s="5">
        <f t="shared" si="1"/>
        <v>0</v>
      </c>
      <c r="Y52" s="2">
        <f t="shared" si="2"/>
        <v>0</v>
      </c>
    </row>
    <row r="53" spans="4:25" x14ac:dyDescent="0.25">
      <c r="D53" s="1" t="s">
        <v>25</v>
      </c>
      <c r="E53" s="23"/>
      <c r="F53" s="2"/>
      <c r="G53" s="2">
        <f>SUM(G3:G52)</f>
        <v>11.66</v>
      </c>
      <c r="H53" s="2">
        <f t="shared" ref="H53:I53" si="3">SUM(H3:H52)</f>
        <v>0.38</v>
      </c>
      <c r="I53" s="2">
        <f t="shared" si="3"/>
        <v>0.02</v>
      </c>
    </row>
  </sheetData>
  <mergeCells count="4">
    <mergeCell ref="D1:F1"/>
    <mergeCell ref="G1:I1"/>
    <mergeCell ref="K1:Q1"/>
    <mergeCell ref="X1:Z1"/>
  </mergeCells>
  <conditionalFormatting sqref="A1:B1">
    <cfRule type="expression" dxfId="135" priority="1">
      <formula>$Z$3="+"</formula>
    </cfRule>
    <cfRule type="expression" dxfId="134" priority="2">
      <formula>$B$16=$K$3</formula>
    </cfRule>
  </conditionalFormatting>
  <conditionalFormatting sqref="P3">
    <cfRule type="expression" dxfId="133" priority="3">
      <formula>$Z$3="+"</formula>
    </cfRule>
  </conditionalFormatting>
  <conditionalFormatting sqref="Z3">
    <cfRule type="expression" dxfId="132" priority="4">
      <formula>$Z$3="+"</formula>
    </cfRule>
  </conditionalFormatting>
  <dataValidations count="1">
    <dataValidation type="list" allowBlank="1" showInputMessage="1" showErrorMessage="1" sqref="B2" xr:uid="{F583AACC-77D0-406E-B04E-E6106664B3CF}">
      <formula1>"Romania,Moldova,Cyprus,Philippines"</formula1>
    </dataValidation>
  </dataValidations>
  <pageMargins left="0.7" right="0.7" top="0.75" bottom="0.75" header="0.3" footer="0.3"/>
  <pageSetup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EBEBB-ACC3-4C98-BE62-078205A1384A}">
  <sheetPr>
    <tabColor rgb="FF92D050"/>
  </sheetPr>
  <dimension ref="A1:Z53"/>
  <sheetViews>
    <sheetView workbookViewId="0">
      <selection activeCell="I7" sqref="I7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1" customWidth="1"/>
    <col min="25" max="25" width="10.7109375" style="11" customWidth="1"/>
    <col min="26" max="26" width="10.7109375" customWidth="1"/>
  </cols>
  <sheetData>
    <row r="1" spans="1:26" x14ac:dyDescent="0.25">
      <c r="A1" s="4" t="s">
        <v>66</v>
      </c>
      <c r="B1" s="5" t="s">
        <v>80</v>
      </c>
      <c r="D1" s="29" t="s">
        <v>2</v>
      </c>
      <c r="E1" s="30"/>
      <c r="F1" s="31"/>
      <c r="G1" s="29" t="s">
        <v>0</v>
      </c>
      <c r="H1" s="30"/>
      <c r="I1" s="31"/>
      <c r="J1" s="18"/>
      <c r="K1" s="29" t="s">
        <v>58</v>
      </c>
      <c r="L1" s="30"/>
      <c r="M1" s="30"/>
      <c r="N1" s="30"/>
      <c r="O1" s="30"/>
      <c r="P1" s="30"/>
      <c r="Q1" s="31"/>
      <c r="X1" s="29"/>
      <c r="Y1" s="30"/>
      <c r="Z1" s="31"/>
    </row>
    <row r="2" spans="1:26" x14ac:dyDescent="0.25">
      <c r="A2" s="4" t="s">
        <v>21</v>
      </c>
      <c r="B2" s="5" t="s">
        <v>27</v>
      </c>
      <c r="D2" s="10" t="s">
        <v>49</v>
      </c>
      <c r="E2" s="10" t="s">
        <v>50</v>
      </c>
      <c r="F2" s="17" t="s">
        <v>67</v>
      </c>
      <c r="G2" s="10" t="s">
        <v>15</v>
      </c>
      <c r="H2" s="10" t="s">
        <v>16</v>
      </c>
      <c r="I2" s="10" t="s">
        <v>60</v>
      </c>
      <c r="J2" s="9"/>
      <c r="K2" s="10" t="s">
        <v>0</v>
      </c>
      <c r="L2" s="10" t="s">
        <v>1</v>
      </c>
      <c r="M2" s="10" t="s">
        <v>56</v>
      </c>
      <c r="N2" s="10" t="s">
        <v>57</v>
      </c>
      <c r="O2" s="10" t="s">
        <v>2</v>
      </c>
      <c r="P2" s="10" t="s">
        <v>68</v>
      </c>
      <c r="Q2" s="10" t="s">
        <v>67</v>
      </c>
      <c r="X2" s="10" t="s">
        <v>2</v>
      </c>
      <c r="Y2" s="10" t="s">
        <v>59</v>
      </c>
      <c r="Z2" s="10" t="s">
        <v>68</v>
      </c>
    </row>
    <row r="3" spans="1:26" x14ac:dyDescent="0.25">
      <c r="A3" s="4" t="s">
        <v>69</v>
      </c>
      <c r="B3" s="5" t="s">
        <v>78</v>
      </c>
      <c r="D3" s="12">
        <v>46173</v>
      </c>
      <c r="E3" s="12">
        <v>46173</v>
      </c>
      <c r="F3" s="19">
        <f t="shared" ref="F3:F52" si="0">IF(E3&gt;0,E3-D3,"")</f>
        <v>0</v>
      </c>
      <c r="G3" s="2">
        <v>0</v>
      </c>
      <c r="H3" s="2">
        <v>0</v>
      </c>
      <c r="I3" s="2">
        <v>0</v>
      </c>
      <c r="J3" s="11"/>
      <c r="K3" s="2">
        <f>G53</f>
        <v>14.87</v>
      </c>
      <c r="L3" s="2">
        <f>H53</f>
        <v>0.62</v>
      </c>
      <c r="M3" s="2">
        <f>I53</f>
        <v>0.04</v>
      </c>
      <c r="N3" s="6">
        <f>IF(B16=K3,XIRR(Y3:Y52,X3:X52),"")</f>
        <v>0.11279899477958677</v>
      </c>
      <c r="O3" s="5">
        <f>IF(B16=K3,MAX(E:E),"")</f>
        <v>46282</v>
      </c>
      <c r="P3" s="1" t="str">
        <f ca="1">IF(Z3="+",TODAY()-B11,"")</f>
        <v/>
      </c>
      <c r="Q3" s="1">
        <f>IF(B16=K3,MAX(E:E)-B11,"")</f>
        <v>-33</v>
      </c>
      <c r="T3" s="14"/>
      <c r="X3" s="5">
        <f>B9</f>
        <v>46150</v>
      </c>
      <c r="Y3" s="2">
        <f>B16*-1</f>
        <v>-14.87</v>
      </c>
      <c r="Z3" s="1" t="str">
        <f ca="1">IF(AND(TODAY()&gt;B11, K3&lt;&gt;B16), "+", "")</f>
        <v/>
      </c>
    </row>
    <row r="4" spans="1:26" x14ac:dyDescent="0.25">
      <c r="A4" s="4" t="s">
        <v>19</v>
      </c>
      <c r="B4" s="5" t="s">
        <v>20</v>
      </c>
      <c r="D4" s="12">
        <v>46203</v>
      </c>
      <c r="E4" s="12">
        <v>46203</v>
      </c>
      <c r="F4" s="19">
        <f t="shared" si="0"/>
        <v>0</v>
      </c>
      <c r="G4" s="2">
        <v>0</v>
      </c>
      <c r="H4" s="2">
        <v>0.16</v>
      </c>
      <c r="I4" s="2">
        <v>0.02</v>
      </c>
      <c r="J4" s="9"/>
      <c r="X4" s="5">
        <f>E3</f>
        <v>46173</v>
      </c>
      <c r="Y4" s="2">
        <f>G3+H3-I3</f>
        <v>0</v>
      </c>
    </row>
    <row r="5" spans="1:26" x14ac:dyDescent="0.25">
      <c r="A5" s="4"/>
      <c r="B5" s="5"/>
      <c r="D5" s="12">
        <v>46234</v>
      </c>
      <c r="E5" s="12">
        <v>46234</v>
      </c>
      <c r="F5" s="19">
        <f t="shared" si="0"/>
        <v>0</v>
      </c>
      <c r="G5" s="2">
        <v>0</v>
      </c>
      <c r="H5" s="1">
        <v>0.15</v>
      </c>
      <c r="I5" s="2">
        <v>0.01</v>
      </c>
      <c r="J5" s="9"/>
      <c r="X5" s="5">
        <f t="shared" ref="X5:X52" si="1">E4</f>
        <v>46203</v>
      </c>
      <c r="Y5" s="2">
        <f t="shared" ref="Y5:Y52" si="2">G4+H4-I4</f>
        <v>0.14000000000000001</v>
      </c>
    </row>
    <row r="6" spans="1:26" x14ac:dyDescent="0.25">
      <c r="A6" s="4"/>
      <c r="B6" s="5"/>
      <c r="D6" s="12">
        <v>46265</v>
      </c>
      <c r="E6" s="12">
        <v>46265</v>
      </c>
      <c r="F6" s="19">
        <f t="shared" si="0"/>
        <v>0</v>
      </c>
      <c r="G6" s="2">
        <v>0</v>
      </c>
      <c r="H6" s="1">
        <v>0.15</v>
      </c>
      <c r="I6" s="2">
        <v>0</v>
      </c>
      <c r="J6" s="9"/>
      <c r="X6" s="5">
        <f t="shared" si="1"/>
        <v>46234</v>
      </c>
      <c r="Y6" s="2">
        <f t="shared" si="2"/>
        <v>0.13999999999999999</v>
      </c>
    </row>
    <row r="7" spans="1:26" x14ac:dyDescent="0.25">
      <c r="A7" s="4"/>
      <c r="B7" s="5"/>
      <c r="D7" s="12">
        <v>46282</v>
      </c>
      <c r="E7" s="12">
        <v>46282</v>
      </c>
      <c r="F7" s="19">
        <f t="shared" si="0"/>
        <v>0</v>
      </c>
      <c r="G7" s="2">
        <v>14.87</v>
      </c>
      <c r="H7" s="1">
        <v>0.16</v>
      </c>
      <c r="I7" s="2">
        <v>0.01</v>
      </c>
      <c r="J7" s="11"/>
      <c r="X7" s="5">
        <f t="shared" si="1"/>
        <v>46265</v>
      </c>
      <c r="Y7" s="2">
        <f t="shared" si="2"/>
        <v>0.15</v>
      </c>
    </row>
    <row r="8" spans="1:26" x14ac:dyDescent="0.25">
      <c r="A8" s="4" t="s">
        <v>24</v>
      </c>
      <c r="B8" s="5" t="str">
        <f>DATEDIF(B9,B11,"y") &amp; " m. " &amp; DATEDIF(B9,B11,"ym") &amp; " mėn. " &amp; DATEDIF(B9,B11,"md") &amp; " d."</f>
        <v>0 m. 5 mėn. 12 d.</v>
      </c>
      <c r="D8" s="12"/>
      <c r="E8" s="12"/>
      <c r="F8" s="19" t="str">
        <f t="shared" si="0"/>
        <v/>
      </c>
      <c r="G8" s="1"/>
      <c r="H8" s="1"/>
      <c r="I8" s="2"/>
      <c r="J8" s="9"/>
      <c r="X8" s="5">
        <f t="shared" si="1"/>
        <v>46282</v>
      </c>
      <c r="Y8" s="2">
        <f t="shared" si="2"/>
        <v>15.02</v>
      </c>
    </row>
    <row r="9" spans="1:26" x14ac:dyDescent="0.25">
      <c r="A9" s="4" t="s">
        <v>11</v>
      </c>
      <c r="B9" s="5">
        <v>46150</v>
      </c>
      <c r="D9" s="12"/>
      <c r="E9" s="12"/>
      <c r="F9" s="19"/>
      <c r="G9" s="2"/>
      <c r="H9" s="2"/>
      <c r="I9" s="2"/>
      <c r="J9" s="11"/>
      <c r="X9" s="5">
        <f t="shared" si="1"/>
        <v>0</v>
      </c>
      <c r="Y9" s="2">
        <f t="shared" si="2"/>
        <v>0</v>
      </c>
    </row>
    <row r="10" spans="1:26" x14ac:dyDescent="0.25">
      <c r="A10" s="4" t="s">
        <v>70</v>
      </c>
      <c r="B10" s="5">
        <v>46135</v>
      </c>
      <c r="D10" s="12"/>
      <c r="E10" s="12"/>
      <c r="F10" s="19" t="str">
        <f t="shared" si="0"/>
        <v/>
      </c>
      <c r="G10" s="1"/>
      <c r="H10" s="1"/>
      <c r="I10" s="2"/>
      <c r="J10" s="11"/>
      <c r="X10" s="5">
        <f t="shared" si="1"/>
        <v>0</v>
      </c>
      <c r="Y10" s="2">
        <f t="shared" si="2"/>
        <v>0</v>
      </c>
    </row>
    <row r="11" spans="1:26" x14ac:dyDescent="0.25">
      <c r="A11" s="4" t="s">
        <v>10</v>
      </c>
      <c r="B11" s="5">
        <v>46315</v>
      </c>
      <c r="D11" s="12"/>
      <c r="E11" s="12"/>
      <c r="F11" s="19" t="str">
        <f t="shared" si="0"/>
        <v/>
      </c>
      <c r="G11" s="1"/>
      <c r="H11" s="2"/>
      <c r="I11" s="2"/>
      <c r="J11" s="11"/>
      <c r="X11" s="5">
        <f t="shared" si="1"/>
        <v>0</v>
      </c>
      <c r="Y11" s="2">
        <f t="shared" si="2"/>
        <v>0</v>
      </c>
    </row>
    <row r="12" spans="1:26" x14ac:dyDescent="0.25">
      <c r="A12" s="4" t="s">
        <v>71</v>
      </c>
      <c r="B12" s="19" t="str">
        <f ca="1">IF(B16&lt;&gt;K3,(TODAY()-B11)*-1,"")</f>
        <v/>
      </c>
      <c r="D12" s="12"/>
      <c r="E12" s="12"/>
      <c r="F12" s="19" t="str">
        <f t="shared" si="0"/>
        <v/>
      </c>
      <c r="G12" s="2"/>
      <c r="H12" s="1"/>
      <c r="I12" s="1"/>
      <c r="J12" s="11"/>
      <c r="X12" s="5">
        <f t="shared" si="1"/>
        <v>0</v>
      </c>
      <c r="Y12" s="2">
        <f t="shared" si="2"/>
        <v>0</v>
      </c>
    </row>
    <row r="13" spans="1:26" x14ac:dyDescent="0.25">
      <c r="A13" s="4"/>
      <c r="B13" s="2"/>
      <c r="D13" s="12"/>
      <c r="E13" s="12"/>
      <c r="F13" s="19" t="str">
        <f t="shared" si="0"/>
        <v/>
      </c>
      <c r="G13" s="1"/>
      <c r="H13" s="2"/>
      <c r="I13" s="2"/>
      <c r="J13" s="11"/>
      <c r="N13" s="14"/>
      <c r="X13" s="5">
        <f t="shared" si="1"/>
        <v>0</v>
      </c>
      <c r="Y13" s="2">
        <f t="shared" si="2"/>
        <v>0</v>
      </c>
    </row>
    <row r="14" spans="1:26" x14ac:dyDescent="0.25">
      <c r="A14" s="13"/>
      <c r="B14" s="20"/>
      <c r="D14" s="12"/>
      <c r="E14" s="5"/>
      <c r="F14" s="19" t="str">
        <f t="shared" si="0"/>
        <v/>
      </c>
      <c r="G14" s="1"/>
      <c r="H14" s="1"/>
      <c r="I14" s="1"/>
      <c r="J14" s="11"/>
      <c r="X14" s="5">
        <f t="shared" si="1"/>
        <v>0</v>
      </c>
      <c r="Y14" s="2">
        <f t="shared" si="2"/>
        <v>0</v>
      </c>
    </row>
    <row r="15" spans="1:26" x14ac:dyDescent="0.25">
      <c r="A15" s="4" t="s">
        <v>1</v>
      </c>
      <c r="B15" s="6">
        <v>0.12</v>
      </c>
      <c r="D15" s="12"/>
      <c r="E15" s="5"/>
      <c r="F15" s="19" t="str">
        <f t="shared" si="0"/>
        <v/>
      </c>
      <c r="G15" s="1"/>
      <c r="H15" s="1"/>
      <c r="I15" s="1"/>
      <c r="J15" s="11"/>
      <c r="K15" s="18"/>
      <c r="L15" s="18"/>
      <c r="M15" s="18"/>
      <c r="N15" s="18"/>
      <c r="O15" s="18"/>
      <c r="P15" s="18"/>
      <c r="Q15" s="18"/>
      <c r="X15" s="5">
        <f t="shared" si="1"/>
        <v>0</v>
      </c>
      <c r="Y15" s="2">
        <f t="shared" si="2"/>
        <v>0</v>
      </c>
    </row>
    <row r="16" spans="1:26" x14ac:dyDescent="0.25">
      <c r="A16" s="4" t="s">
        <v>72</v>
      </c>
      <c r="B16" s="2">
        <v>14.87</v>
      </c>
      <c r="D16" s="12"/>
      <c r="E16" s="5"/>
      <c r="F16" s="19" t="str">
        <f t="shared" si="0"/>
        <v/>
      </c>
      <c r="G16" s="1"/>
      <c r="H16" s="1"/>
      <c r="I16" s="1"/>
      <c r="J16" s="11"/>
      <c r="K16" s="9"/>
      <c r="L16" s="9"/>
      <c r="M16" s="9"/>
      <c r="N16" s="21"/>
      <c r="O16" s="22"/>
      <c r="P16" s="11"/>
      <c r="Q16" s="11"/>
      <c r="X16" s="5">
        <f t="shared" si="1"/>
        <v>0</v>
      </c>
      <c r="Y16" s="2">
        <f t="shared" si="2"/>
        <v>0</v>
      </c>
    </row>
    <row r="17" spans="2:25" x14ac:dyDescent="0.25">
      <c r="D17" s="12"/>
      <c r="E17" s="5"/>
      <c r="F17" s="19" t="str">
        <f t="shared" si="0"/>
        <v/>
      </c>
      <c r="G17" s="1"/>
      <c r="H17" s="1"/>
      <c r="I17" s="1"/>
      <c r="J17" s="11"/>
      <c r="X17" s="5">
        <f t="shared" si="1"/>
        <v>0</v>
      </c>
      <c r="Y17" s="2">
        <f t="shared" si="2"/>
        <v>0</v>
      </c>
    </row>
    <row r="18" spans="2:25" x14ac:dyDescent="0.25">
      <c r="D18" s="12"/>
      <c r="E18" s="5"/>
      <c r="F18" s="19" t="str">
        <f t="shared" si="0"/>
        <v/>
      </c>
      <c r="G18" s="1"/>
      <c r="H18" s="1"/>
      <c r="I18" s="1"/>
      <c r="J18" s="11"/>
      <c r="X18" s="5">
        <f t="shared" si="1"/>
        <v>0</v>
      </c>
      <c r="Y18" s="2">
        <f t="shared" si="2"/>
        <v>0</v>
      </c>
    </row>
    <row r="19" spans="2:25" x14ac:dyDescent="0.25">
      <c r="D19" s="12"/>
      <c r="E19" s="5"/>
      <c r="F19" s="19" t="str">
        <f t="shared" si="0"/>
        <v/>
      </c>
      <c r="G19" s="1"/>
      <c r="H19" s="1"/>
      <c r="I19" s="1"/>
      <c r="J19" s="11"/>
      <c r="X19" s="5">
        <f t="shared" si="1"/>
        <v>0</v>
      </c>
      <c r="Y19" s="2">
        <f t="shared" si="2"/>
        <v>0</v>
      </c>
    </row>
    <row r="20" spans="2:25" x14ac:dyDescent="0.25">
      <c r="D20" s="12"/>
      <c r="E20" s="5"/>
      <c r="F20" s="19" t="str">
        <f t="shared" si="0"/>
        <v/>
      </c>
      <c r="G20" s="1"/>
      <c r="H20" s="1"/>
      <c r="I20" s="1"/>
      <c r="J20" s="11"/>
      <c r="X20" s="5">
        <f t="shared" si="1"/>
        <v>0</v>
      </c>
      <c r="Y20" s="2">
        <f t="shared" si="2"/>
        <v>0</v>
      </c>
    </row>
    <row r="21" spans="2:25" x14ac:dyDescent="0.25">
      <c r="D21" s="12"/>
      <c r="E21" s="5"/>
      <c r="F21" s="19" t="str">
        <f t="shared" si="0"/>
        <v/>
      </c>
      <c r="G21" s="1"/>
      <c r="H21" s="1"/>
      <c r="I21" s="1"/>
      <c r="J21" s="11"/>
      <c r="X21" s="5">
        <f t="shared" si="1"/>
        <v>0</v>
      </c>
      <c r="Y21" s="2">
        <f t="shared" si="2"/>
        <v>0</v>
      </c>
    </row>
    <row r="22" spans="2:25" x14ac:dyDescent="0.25">
      <c r="D22" s="12"/>
      <c r="E22" s="5"/>
      <c r="F22" s="19" t="str">
        <f t="shared" si="0"/>
        <v/>
      </c>
      <c r="G22" s="1"/>
      <c r="H22" s="1"/>
      <c r="I22" s="1"/>
      <c r="J22" s="11"/>
      <c r="X22" s="5">
        <f t="shared" si="1"/>
        <v>0</v>
      </c>
      <c r="Y22" s="2">
        <f t="shared" si="2"/>
        <v>0</v>
      </c>
    </row>
    <row r="23" spans="2:25" x14ac:dyDescent="0.25">
      <c r="B23" s="22"/>
      <c r="D23" s="12"/>
      <c r="E23" s="5"/>
      <c r="F23" s="19" t="str">
        <f t="shared" si="0"/>
        <v/>
      </c>
      <c r="G23" s="1"/>
      <c r="H23" s="1"/>
      <c r="I23" s="1"/>
      <c r="J23" s="11"/>
      <c r="X23" s="5">
        <f t="shared" si="1"/>
        <v>0</v>
      </c>
      <c r="Y23" s="2">
        <f t="shared" si="2"/>
        <v>0</v>
      </c>
    </row>
    <row r="24" spans="2:25" x14ac:dyDescent="0.25">
      <c r="D24" s="12"/>
      <c r="E24" s="5"/>
      <c r="F24" s="19" t="str">
        <f t="shared" si="0"/>
        <v/>
      </c>
      <c r="G24" s="1"/>
      <c r="H24" s="1"/>
      <c r="I24" s="1"/>
      <c r="J24" s="11"/>
      <c r="X24" s="5">
        <f t="shared" si="1"/>
        <v>0</v>
      </c>
      <c r="Y24" s="2">
        <f t="shared" si="2"/>
        <v>0</v>
      </c>
    </row>
    <row r="25" spans="2:25" x14ac:dyDescent="0.25">
      <c r="D25" s="12"/>
      <c r="E25" s="5"/>
      <c r="F25" s="19" t="str">
        <f t="shared" si="0"/>
        <v/>
      </c>
      <c r="G25" s="1"/>
      <c r="H25" s="1"/>
      <c r="I25" s="1"/>
      <c r="J25" s="11"/>
      <c r="X25" s="5">
        <f t="shared" si="1"/>
        <v>0</v>
      </c>
      <c r="Y25" s="2">
        <f t="shared" si="2"/>
        <v>0</v>
      </c>
    </row>
    <row r="26" spans="2:25" x14ac:dyDescent="0.25">
      <c r="D26" s="12"/>
      <c r="E26" s="5"/>
      <c r="F26" s="19" t="str">
        <f t="shared" si="0"/>
        <v/>
      </c>
      <c r="G26" s="1"/>
      <c r="H26" s="1"/>
      <c r="I26" s="1"/>
      <c r="J26" s="11"/>
      <c r="X26" s="5">
        <f t="shared" si="1"/>
        <v>0</v>
      </c>
      <c r="Y26" s="2">
        <f t="shared" si="2"/>
        <v>0</v>
      </c>
    </row>
    <row r="27" spans="2:25" x14ac:dyDescent="0.25">
      <c r="D27" s="12"/>
      <c r="E27" s="5"/>
      <c r="F27" s="19" t="str">
        <f t="shared" si="0"/>
        <v/>
      </c>
      <c r="G27" s="1"/>
      <c r="H27" s="1"/>
      <c r="I27" s="1"/>
      <c r="J27" s="11"/>
      <c r="X27" s="5">
        <f t="shared" si="1"/>
        <v>0</v>
      </c>
      <c r="Y27" s="2">
        <f t="shared" si="2"/>
        <v>0</v>
      </c>
    </row>
    <row r="28" spans="2:25" x14ac:dyDescent="0.25">
      <c r="D28" s="12"/>
      <c r="E28" s="5"/>
      <c r="F28" s="19" t="str">
        <f t="shared" si="0"/>
        <v/>
      </c>
      <c r="G28" s="1"/>
      <c r="H28" s="1"/>
      <c r="I28" s="1"/>
      <c r="J28" s="11"/>
      <c r="X28" s="5">
        <f t="shared" si="1"/>
        <v>0</v>
      </c>
      <c r="Y28" s="2">
        <f t="shared" si="2"/>
        <v>0</v>
      </c>
    </row>
    <row r="29" spans="2:25" x14ac:dyDescent="0.25">
      <c r="D29" s="12"/>
      <c r="E29" s="5"/>
      <c r="F29" s="19" t="str">
        <f t="shared" si="0"/>
        <v/>
      </c>
      <c r="G29" s="1"/>
      <c r="H29" s="1"/>
      <c r="I29" s="1"/>
      <c r="J29" s="11"/>
      <c r="X29" s="5">
        <f t="shared" si="1"/>
        <v>0</v>
      </c>
      <c r="Y29" s="2">
        <f t="shared" si="2"/>
        <v>0</v>
      </c>
    </row>
    <row r="30" spans="2:25" x14ac:dyDescent="0.25">
      <c r="D30" s="12"/>
      <c r="E30" s="5"/>
      <c r="F30" s="19" t="str">
        <f t="shared" si="0"/>
        <v/>
      </c>
      <c r="G30" s="1"/>
      <c r="H30" s="1"/>
      <c r="I30" s="1"/>
      <c r="J30" s="11"/>
      <c r="X30" s="5">
        <f t="shared" si="1"/>
        <v>0</v>
      </c>
      <c r="Y30" s="2">
        <f t="shared" si="2"/>
        <v>0</v>
      </c>
    </row>
    <row r="31" spans="2:25" x14ac:dyDescent="0.25">
      <c r="D31" s="12"/>
      <c r="E31" s="5"/>
      <c r="F31" s="19" t="str">
        <f t="shared" si="0"/>
        <v/>
      </c>
      <c r="G31" s="1"/>
      <c r="H31" s="1"/>
      <c r="I31" s="1"/>
      <c r="J31" s="11"/>
      <c r="X31" s="5">
        <f t="shared" si="1"/>
        <v>0</v>
      </c>
      <c r="Y31" s="2">
        <f t="shared" si="2"/>
        <v>0</v>
      </c>
    </row>
    <row r="32" spans="2:25" x14ac:dyDescent="0.25">
      <c r="D32" s="12"/>
      <c r="E32" s="5"/>
      <c r="F32" s="19" t="str">
        <f t="shared" si="0"/>
        <v/>
      </c>
      <c r="G32" s="1"/>
      <c r="H32" s="1"/>
      <c r="I32" s="1"/>
      <c r="J32" s="11"/>
      <c r="X32" s="5">
        <f t="shared" si="1"/>
        <v>0</v>
      </c>
      <c r="Y32" s="2">
        <f t="shared" si="2"/>
        <v>0</v>
      </c>
    </row>
    <row r="33" spans="4:25" x14ac:dyDescent="0.25">
      <c r="D33" s="12"/>
      <c r="E33" s="5"/>
      <c r="F33" s="19" t="str">
        <f t="shared" si="0"/>
        <v/>
      </c>
      <c r="G33" s="1"/>
      <c r="H33" s="1"/>
      <c r="I33" s="1"/>
      <c r="J33" s="11"/>
      <c r="X33" s="5">
        <f t="shared" si="1"/>
        <v>0</v>
      </c>
      <c r="Y33" s="2">
        <f t="shared" si="2"/>
        <v>0</v>
      </c>
    </row>
    <row r="34" spans="4:25" x14ac:dyDescent="0.25">
      <c r="D34" s="12"/>
      <c r="E34" s="5"/>
      <c r="F34" s="19" t="str">
        <f t="shared" si="0"/>
        <v/>
      </c>
      <c r="G34" s="1"/>
      <c r="H34" s="1"/>
      <c r="I34" s="1"/>
      <c r="J34" s="11"/>
      <c r="X34" s="5">
        <f t="shared" si="1"/>
        <v>0</v>
      </c>
      <c r="Y34" s="2">
        <f t="shared" si="2"/>
        <v>0</v>
      </c>
    </row>
    <row r="35" spans="4:25" x14ac:dyDescent="0.25">
      <c r="D35" s="12"/>
      <c r="E35" s="5"/>
      <c r="F35" s="19" t="str">
        <f t="shared" si="0"/>
        <v/>
      </c>
      <c r="G35" s="1"/>
      <c r="H35" s="1"/>
      <c r="I35" s="1"/>
      <c r="J35" s="11"/>
      <c r="X35" s="5">
        <f t="shared" si="1"/>
        <v>0</v>
      </c>
      <c r="Y35" s="2">
        <f t="shared" si="2"/>
        <v>0</v>
      </c>
    </row>
    <row r="36" spans="4:25" x14ac:dyDescent="0.25">
      <c r="D36" s="12"/>
      <c r="E36" s="5"/>
      <c r="F36" s="19" t="str">
        <f t="shared" si="0"/>
        <v/>
      </c>
      <c r="G36" s="1"/>
      <c r="H36" s="1"/>
      <c r="I36" s="1"/>
      <c r="J36" s="11"/>
      <c r="X36" s="5">
        <f t="shared" si="1"/>
        <v>0</v>
      </c>
      <c r="Y36" s="2">
        <f t="shared" si="2"/>
        <v>0</v>
      </c>
    </row>
    <row r="37" spans="4:25" x14ac:dyDescent="0.25">
      <c r="D37" s="12"/>
      <c r="E37" s="5"/>
      <c r="F37" s="19" t="str">
        <f t="shared" si="0"/>
        <v/>
      </c>
      <c r="G37" s="1"/>
      <c r="H37" s="1"/>
      <c r="I37" s="1"/>
      <c r="J37" s="11"/>
      <c r="X37" s="5">
        <f t="shared" si="1"/>
        <v>0</v>
      </c>
      <c r="Y37" s="2">
        <f t="shared" si="2"/>
        <v>0</v>
      </c>
    </row>
    <row r="38" spans="4:25" x14ac:dyDescent="0.25">
      <c r="D38" s="12"/>
      <c r="E38" s="5"/>
      <c r="F38" s="19" t="str">
        <f t="shared" si="0"/>
        <v/>
      </c>
      <c r="G38" s="1"/>
      <c r="H38" s="1"/>
      <c r="I38" s="1"/>
      <c r="J38" s="11"/>
      <c r="X38" s="5">
        <f t="shared" si="1"/>
        <v>0</v>
      </c>
      <c r="Y38" s="2">
        <f t="shared" si="2"/>
        <v>0</v>
      </c>
    </row>
    <row r="39" spans="4:25" x14ac:dyDescent="0.25">
      <c r="D39" s="12"/>
      <c r="E39" s="5"/>
      <c r="F39" s="19" t="str">
        <f t="shared" si="0"/>
        <v/>
      </c>
      <c r="G39" s="1"/>
      <c r="H39" s="1"/>
      <c r="I39" s="1"/>
      <c r="J39" s="11"/>
      <c r="X39" s="5">
        <f t="shared" si="1"/>
        <v>0</v>
      </c>
      <c r="Y39" s="2">
        <f t="shared" si="2"/>
        <v>0</v>
      </c>
    </row>
    <row r="40" spans="4:25" x14ac:dyDescent="0.25">
      <c r="D40" s="12"/>
      <c r="E40" s="5"/>
      <c r="F40" s="19" t="str">
        <f t="shared" si="0"/>
        <v/>
      </c>
      <c r="G40" s="1"/>
      <c r="H40" s="1"/>
      <c r="I40" s="1"/>
      <c r="J40" s="11"/>
      <c r="X40" s="5">
        <f t="shared" si="1"/>
        <v>0</v>
      </c>
      <c r="Y40" s="2">
        <f t="shared" si="2"/>
        <v>0</v>
      </c>
    </row>
    <row r="41" spans="4:25" x14ac:dyDescent="0.25">
      <c r="D41" s="12"/>
      <c r="E41" s="5"/>
      <c r="F41" s="19" t="str">
        <f t="shared" si="0"/>
        <v/>
      </c>
      <c r="G41" s="1"/>
      <c r="H41" s="1"/>
      <c r="I41" s="1"/>
      <c r="J41" s="11"/>
      <c r="X41" s="5">
        <f t="shared" si="1"/>
        <v>0</v>
      </c>
      <c r="Y41" s="2">
        <f t="shared" si="2"/>
        <v>0</v>
      </c>
    </row>
    <row r="42" spans="4:25" x14ac:dyDescent="0.25">
      <c r="D42" s="12"/>
      <c r="E42" s="5"/>
      <c r="F42" s="19" t="str">
        <f t="shared" si="0"/>
        <v/>
      </c>
      <c r="G42" s="1"/>
      <c r="H42" s="1"/>
      <c r="I42" s="1"/>
      <c r="J42" s="11"/>
      <c r="X42" s="5">
        <f t="shared" si="1"/>
        <v>0</v>
      </c>
      <c r="Y42" s="2">
        <f t="shared" si="2"/>
        <v>0</v>
      </c>
    </row>
    <row r="43" spans="4:25" x14ac:dyDescent="0.25">
      <c r="D43" s="12"/>
      <c r="E43" s="5"/>
      <c r="F43" s="19" t="str">
        <f t="shared" si="0"/>
        <v/>
      </c>
      <c r="G43" s="1"/>
      <c r="H43" s="1"/>
      <c r="I43" s="1"/>
      <c r="J43" s="11"/>
      <c r="X43" s="5">
        <f t="shared" si="1"/>
        <v>0</v>
      </c>
      <c r="Y43" s="2">
        <f t="shared" si="2"/>
        <v>0</v>
      </c>
    </row>
    <row r="44" spans="4:25" x14ac:dyDescent="0.25">
      <c r="D44" s="12"/>
      <c r="E44" s="5"/>
      <c r="F44" s="19" t="str">
        <f t="shared" si="0"/>
        <v/>
      </c>
      <c r="G44" s="1"/>
      <c r="H44" s="1"/>
      <c r="I44" s="1"/>
      <c r="J44" s="11"/>
      <c r="X44" s="5">
        <f t="shared" si="1"/>
        <v>0</v>
      </c>
      <c r="Y44" s="2">
        <f t="shared" si="2"/>
        <v>0</v>
      </c>
    </row>
    <row r="45" spans="4:25" x14ac:dyDescent="0.25">
      <c r="D45" s="12"/>
      <c r="E45" s="5"/>
      <c r="F45" s="19" t="str">
        <f t="shared" si="0"/>
        <v/>
      </c>
      <c r="G45" s="1"/>
      <c r="H45" s="1"/>
      <c r="I45" s="1"/>
      <c r="J45" s="11"/>
      <c r="X45" s="5">
        <f t="shared" si="1"/>
        <v>0</v>
      </c>
      <c r="Y45" s="2">
        <f t="shared" si="2"/>
        <v>0</v>
      </c>
    </row>
    <row r="46" spans="4:25" x14ac:dyDescent="0.25">
      <c r="D46" s="12"/>
      <c r="E46" s="5"/>
      <c r="F46" s="19" t="str">
        <f t="shared" si="0"/>
        <v/>
      </c>
      <c r="G46" s="1"/>
      <c r="H46" s="1"/>
      <c r="I46" s="1"/>
      <c r="J46" s="11"/>
      <c r="X46" s="5">
        <f t="shared" si="1"/>
        <v>0</v>
      </c>
      <c r="Y46" s="2">
        <f t="shared" si="2"/>
        <v>0</v>
      </c>
    </row>
    <row r="47" spans="4:25" x14ac:dyDescent="0.25">
      <c r="D47" s="12"/>
      <c r="E47" s="5"/>
      <c r="F47" s="19" t="str">
        <f t="shared" si="0"/>
        <v/>
      </c>
      <c r="G47" s="1"/>
      <c r="H47" s="1"/>
      <c r="I47" s="1"/>
      <c r="J47" s="11"/>
      <c r="X47" s="5">
        <f t="shared" si="1"/>
        <v>0</v>
      </c>
      <c r="Y47" s="2">
        <f t="shared" si="2"/>
        <v>0</v>
      </c>
    </row>
    <row r="48" spans="4:25" x14ac:dyDescent="0.25">
      <c r="D48" s="12"/>
      <c r="E48" s="5"/>
      <c r="F48" s="19" t="str">
        <f t="shared" si="0"/>
        <v/>
      </c>
      <c r="G48" s="1"/>
      <c r="H48" s="1"/>
      <c r="I48" s="1"/>
      <c r="J48" s="11"/>
      <c r="X48" s="5">
        <f t="shared" si="1"/>
        <v>0</v>
      </c>
      <c r="Y48" s="2">
        <f t="shared" si="2"/>
        <v>0</v>
      </c>
    </row>
    <row r="49" spans="4:25" x14ac:dyDescent="0.25">
      <c r="D49" s="12"/>
      <c r="E49" s="5"/>
      <c r="F49" s="19" t="str">
        <f t="shared" si="0"/>
        <v/>
      </c>
      <c r="G49" s="1"/>
      <c r="H49" s="1"/>
      <c r="I49" s="1"/>
      <c r="J49" s="11"/>
      <c r="X49" s="5">
        <f t="shared" si="1"/>
        <v>0</v>
      </c>
      <c r="Y49" s="2">
        <f t="shared" si="2"/>
        <v>0</v>
      </c>
    </row>
    <row r="50" spans="4:25" x14ac:dyDescent="0.25">
      <c r="D50" s="12"/>
      <c r="E50" s="5"/>
      <c r="F50" s="19" t="str">
        <f t="shared" si="0"/>
        <v/>
      </c>
      <c r="G50" s="1"/>
      <c r="H50" s="1"/>
      <c r="I50" s="1"/>
      <c r="J50" s="11"/>
      <c r="X50" s="5">
        <f t="shared" si="1"/>
        <v>0</v>
      </c>
      <c r="Y50" s="2">
        <f t="shared" si="2"/>
        <v>0</v>
      </c>
    </row>
    <row r="51" spans="4:25" x14ac:dyDescent="0.25">
      <c r="D51" s="12"/>
      <c r="E51" s="5"/>
      <c r="F51" s="19" t="str">
        <f t="shared" si="0"/>
        <v/>
      </c>
      <c r="G51" s="1"/>
      <c r="H51" s="1"/>
      <c r="I51" s="1"/>
      <c r="J51" s="11"/>
      <c r="X51" s="5">
        <f t="shared" si="1"/>
        <v>0</v>
      </c>
      <c r="Y51" s="2">
        <f t="shared" si="2"/>
        <v>0</v>
      </c>
    </row>
    <row r="52" spans="4:25" x14ac:dyDescent="0.25">
      <c r="D52" s="12"/>
      <c r="E52" s="5"/>
      <c r="F52" s="19" t="str">
        <f t="shared" si="0"/>
        <v/>
      </c>
      <c r="G52" s="1"/>
      <c r="H52" s="1"/>
      <c r="I52" s="1"/>
      <c r="J52" s="9"/>
      <c r="X52" s="5">
        <f t="shared" si="1"/>
        <v>0</v>
      </c>
      <c r="Y52" s="2">
        <f t="shared" si="2"/>
        <v>0</v>
      </c>
    </row>
    <row r="53" spans="4:25" x14ac:dyDescent="0.25">
      <c r="D53" s="1" t="s">
        <v>25</v>
      </c>
      <c r="E53" s="23"/>
      <c r="F53" s="2"/>
      <c r="G53" s="2">
        <f>SUM(G3:G52)</f>
        <v>14.87</v>
      </c>
      <c r="H53" s="2">
        <f t="shared" ref="H53:I53" si="3">SUM(H3:H52)</f>
        <v>0.62</v>
      </c>
      <c r="I53" s="2">
        <f t="shared" si="3"/>
        <v>0.04</v>
      </c>
    </row>
  </sheetData>
  <mergeCells count="4">
    <mergeCell ref="D1:F1"/>
    <mergeCell ref="G1:I1"/>
    <mergeCell ref="K1:Q1"/>
    <mergeCell ref="X1:Z1"/>
  </mergeCells>
  <conditionalFormatting sqref="A1:B1">
    <cfRule type="expression" dxfId="131" priority="1">
      <formula>$Z$3="+"</formula>
    </cfRule>
    <cfRule type="expression" dxfId="130" priority="2">
      <formula>$B$16=$K$3</formula>
    </cfRule>
  </conditionalFormatting>
  <conditionalFormatting sqref="P3">
    <cfRule type="expression" dxfId="129" priority="3">
      <formula>$Z$3="+"</formula>
    </cfRule>
  </conditionalFormatting>
  <conditionalFormatting sqref="Z3">
    <cfRule type="expression" dxfId="128" priority="4">
      <formula>$Z$3="+"</formula>
    </cfRule>
  </conditionalFormatting>
  <dataValidations count="1">
    <dataValidation type="list" allowBlank="1" showInputMessage="1" showErrorMessage="1" sqref="B2" xr:uid="{5F8F2574-D14C-4133-981C-ADEE2900D8DB}">
      <formula1>"Romania,Moldova,Cyprus,Philippines"</formula1>
    </dataValidation>
  </dataValidations>
  <pageMargins left="0.7" right="0.7" top="0.75" bottom="0.75" header="0.3" footer="0.3"/>
  <pageSetup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A76CC-91C1-4E6A-893F-BEA92D95A16A}">
  <sheetPr>
    <tabColor rgb="FF92D050"/>
  </sheetPr>
  <dimension ref="A1:Z53"/>
  <sheetViews>
    <sheetView workbookViewId="0">
      <selection activeCell="H10" sqref="H10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1" customWidth="1"/>
    <col min="25" max="25" width="10.7109375" style="11" customWidth="1"/>
    <col min="26" max="26" width="10.7109375" customWidth="1"/>
  </cols>
  <sheetData>
    <row r="1" spans="1:26" x14ac:dyDescent="0.25">
      <c r="A1" s="4" t="s">
        <v>66</v>
      </c>
      <c r="B1" s="5" t="s">
        <v>65</v>
      </c>
      <c r="D1" s="29" t="s">
        <v>2</v>
      </c>
      <c r="E1" s="30"/>
      <c r="F1" s="31"/>
      <c r="G1" s="29" t="s">
        <v>0</v>
      </c>
      <c r="H1" s="30"/>
      <c r="I1" s="31"/>
      <c r="J1" s="18"/>
      <c r="K1" s="29" t="s">
        <v>58</v>
      </c>
      <c r="L1" s="30"/>
      <c r="M1" s="30"/>
      <c r="N1" s="30"/>
      <c r="O1" s="30"/>
      <c r="P1" s="30"/>
      <c r="Q1" s="31"/>
      <c r="X1" s="29"/>
      <c r="Y1" s="30"/>
      <c r="Z1" s="31"/>
    </row>
    <row r="2" spans="1:26" x14ac:dyDescent="0.25">
      <c r="A2" s="4" t="s">
        <v>21</v>
      </c>
      <c r="B2" s="5" t="s">
        <v>22</v>
      </c>
      <c r="D2" s="10" t="s">
        <v>49</v>
      </c>
      <c r="E2" s="10" t="s">
        <v>50</v>
      </c>
      <c r="F2" s="17" t="s">
        <v>67</v>
      </c>
      <c r="G2" s="10" t="s">
        <v>15</v>
      </c>
      <c r="H2" s="10" t="s">
        <v>16</v>
      </c>
      <c r="I2" s="10" t="s">
        <v>60</v>
      </c>
      <c r="J2" s="9"/>
      <c r="K2" s="10" t="s">
        <v>0</v>
      </c>
      <c r="L2" s="10" t="s">
        <v>1</v>
      </c>
      <c r="M2" s="10" t="s">
        <v>56</v>
      </c>
      <c r="N2" s="10" t="s">
        <v>57</v>
      </c>
      <c r="O2" s="10" t="s">
        <v>2</v>
      </c>
      <c r="P2" s="10" t="s">
        <v>68</v>
      </c>
      <c r="Q2" s="10" t="s">
        <v>67</v>
      </c>
      <c r="X2" s="10" t="s">
        <v>2</v>
      </c>
      <c r="Y2" s="10" t="s">
        <v>59</v>
      </c>
      <c r="Z2" s="10" t="s">
        <v>68</v>
      </c>
    </row>
    <row r="3" spans="1:26" x14ac:dyDescent="0.25">
      <c r="A3" s="4" t="s">
        <v>69</v>
      </c>
      <c r="B3" s="5" t="s">
        <v>78</v>
      </c>
      <c r="D3" s="12">
        <v>46142</v>
      </c>
      <c r="E3" s="12">
        <v>46142</v>
      </c>
      <c r="F3" s="19">
        <f t="shared" ref="F3:F52" si="0">IF(E3&gt;0,E3-D3,"")</f>
        <v>0</v>
      </c>
      <c r="G3" s="2">
        <v>0</v>
      </c>
      <c r="H3" s="2">
        <v>0</v>
      </c>
      <c r="I3" s="2">
        <v>0</v>
      </c>
      <c r="J3" s="11"/>
      <c r="K3" s="2">
        <f>G53</f>
        <v>13.66</v>
      </c>
      <c r="L3" s="2">
        <f>H53</f>
        <v>0.52</v>
      </c>
      <c r="M3" s="2">
        <f>I53</f>
        <v>0.02</v>
      </c>
      <c r="N3" s="6">
        <f>IF(B16=K3,XIRR(Y3:Y52,X3:X52),"")</f>
        <v>0.11157539486885071</v>
      </c>
      <c r="O3" s="5">
        <f>IF(B16=K3,MAX(E:E),"")</f>
        <v>46295</v>
      </c>
      <c r="P3" s="1" t="str">
        <f ca="1">IF(Z3="+",TODAY()-B11,"")</f>
        <v/>
      </c>
      <c r="Q3" s="1">
        <f>IF(B16=K3,MAX(E:E)-B11,"")</f>
        <v>-21</v>
      </c>
      <c r="T3" s="14"/>
      <c r="X3" s="5">
        <f>B9</f>
        <v>46135</v>
      </c>
      <c r="Y3" s="2">
        <f>B16*-1</f>
        <v>-13.66</v>
      </c>
      <c r="Z3" s="1" t="str">
        <f ca="1">IF(AND(TODAY()&gt;B11, K3&lt;&gt;B16), "+", "")</f>
        <v/>
      </c>
    </row>
    <row r="4" spans="1:26" x14ac:dyDescent="0.25">
      <c r="A4" s="4" t="s">
        <v>19</v>
      </c>
      <c r="B4" s="5" t="s">
        <v>20</v>
      </c>
      <c r="D4" s="12">
        <v>46173</v>
      </c>
      <c r="E4" s="12">
        <v>46173</v>
      </c>
      <c r="F4" s="19">
        <f t="shared" si="0"/>
        <v>0</v>
      </c>
      <c r="G4" s="2">
        <v>0</v>
      </c>
      <c r="H4" s="2">
        <v>7.0000000000000007E-2</v>
      </c>
      <c r="I4" s="2">
        <v>0</v>
      </c>
      <c r="J4" s="9"/>
      <c r="X4" s="5">
        <f>E3</f>
        <v>46142</v>
      </c>
      <c r="Y4" s="2">
        <f>G3+H3-I3</f>
        <v>0</v>
      </c>
    </row>
    <row r="5" spans="1:26" x14ac:dyDescent="0.25">
      <c r="A5" s="4"/>
      <c r="B5" s="5"/>
      <c r="D5" s="12">
        <v>46203</v>
      </c>
      <c r="E5" s="12">
        <v>46203</v>
      </c>
      <c r="F5" s="19">
        <f t="shared" si="0"/>
        <v>0</v>
      </c>
      <c r="G5" s="2">
        <v>0</v>
      </c>
      <c r="H5" s="1">
        <v>0.13</v>
      </c>
      <c r="I5" s="2">
        <v>0.01</v>
      </c>
      <c r="J5" s="9"/>
      <c r="X5" s="5">
        <f t="shared" ref="X5:X52" si="1">E4</f>
        <v>46173</v>
      </c>
      <c r="Y5" s="2">
        <f t="shared" ref="Y5:Y52" si="2">G4+H4-I4</f>
        <v>7.0000000000000007E-2</v>
      </c>
    </row>
    <row r="6" spans="1:26" x14ac:dyDescent="0.25">
      <c r="A6" s="4"/>
      <c r="B6" s="5"/>
      <c r="D6" s="12">
        <v>46234</v>
      </c>
      <c r="E6" s="12">
        <v>46234</v>
      </c>
      <c r="F6" s="19">
        <f t="shared" si="0"/>
        <v>0</v>
      </c>
      <c r="G6" s="2">
        <v>0</v>
      </c>
      <c r="H6" s="1">
        <v>0.12</v>
      </c>
      <c r="I6" s="2">
        <v>0.01</v>
      </c>
      <c r="J6" s="9"/>
      <c r="X6" s="5">
        <f t="shared" si="1"/>
        <v>46203</v>
      </c>
      <c r="Y6" s="2">
        <f t="shared" si="2"/>
        <v>0.12000000000000001</v>
      </c>
    </row>
    <row r="7" spans="1:26" x14ac:dyDescent="0.25">
      <c r="A7" s="4"/>
      <c r="B7" s="5"/>
      <c r="D7" s="12">
        <v>46260</v>
      </c>
      <c r="E7" s="12">
        <v>46260</v>
      </c>
      <c r="F7" s="19">
        <f t="shared" si="0"/>
        <v>0</v>
      </c>
      <c r="G7" s="2">
        <v>13.66</v>
      </c>
      <c r="H7" s="1">
        <v>0.13</v>
      </c>
      <c r="I7" s="2">
        <v>0</v>
      </c>
      <c r="J7" s="11"/>
      <c r="X7" s="5">
        <f t="shared" si="1"/>
        <v>46234</v>
      </c>
      <c r="Y7" s="2">
        <f t="shared" si="2"/>
        <v>0.11</v>
      </c>
    </row>
    <row r="8" spans="1:26" x14ac:dyDescent="0.25">
      <c r="A8" s="4" t="s">
        <v>24</v>
      </c>
      <c r="B8" s="5" t="str">
        <f>DATEDIF(B9,B11,"y") &amp; " m. " &amp; DATEDIF(B9,B11,"ym") &amp; " mėn. " &amp; DATEDIF(B9,B11,"md") &amp; " d."</f>
        <v>0 m. 5 mėn. 28 d.</v>
      </c>
      <c r="D8" s="12">
        <v>46295</v>
      </c>
      <c r="E8" s="12">
        <v>46295</v>
      </c>
      <c r="F8" s="19">
        <f t="shared" si="0"/>
        <v>0</v>
      </c>
      <c r="G8" s="2">
        <v>0</v>
      </c>
      <c r="H8" s="1">
        <v>7.0000000000000007E-2</v>
      </c>
      <c r="I8" s="2">
        <v>0</v>
      </c>
      <c r="J8" s="9"/>
      <c r="X8" s="5">
        <f t="shared" si="1"/>
        <v>46260</v>
      </c>
      <c r="Y8" s="2">
        <f t="shared" si="2"/>
        <v>13.790000000000001</v>
      </c>
    </row>
    <row r="9" spans="1:26" x14ac:dyDescent="0.25">
      <c r="A9" s="4" t="s">
        <v>11</v>
      </c>
      <c r="B9" s="5">
        <v>46135</v>
      </c>
      <c r="D9" s="12"/>
      <c r="E9" s="12"/>
      <c r="F9" s="19"/>
      <c r="G9" s="2"/>
      <c r="H9" s="2"/>
      <c r="I9" s="2"/>
      <c r="J9" s="11"/>
      <c r="X9" s="5">
        <f t="shared" si="1"/>
        <v>46295</v>
      </c>
      <c r="Y9" s="2">
        <f t="shared" si="2"/>
        <v>7.0000000000000007E-2</v>
      </c>
    </row>
    <row r="10" spans="1:26" x14ac:dyDescent="0.25">
      <c r="A10" s="4" t="s">
        <v>70</v>
      </c>
      <c r="B10" s="5">
        <v>46132</v>
      </c>
      <c r="D10" s="12"/>
      <c r="E10" s="12"/>
      <c r="F10" s="19" t="str">
        <f t="shared" si="0"/>
        <v/>
      </c>
      <c r="G10" s="1"/>
      <c r="H10" s="1"/>
      <c r="I10" s="2"/>
      <c r="J10" s="11"/>
      <c r="X10" s="5">
        <f t="shared" si="1"/>
        <v>0</v>
      </c>
      <c r="Y10" s="2">
        <f t="shared" si="2"/>
        <v>0</v>
      </c>
    </row>
    <row r="11" spans="1:26" x14ac:dyDescent="0.25">
      <c r="A11" s="4" t="s">
        <v>10</v>
      </c>
      <c r="B11" s="5">
        <v>46316</v>
      </c>
      <c r="D11" s="12"/>
      <c r="E11" s="12"/>
      <c r="F11" s="19" t="str">
        <f t="shared" si="0"/>
        <v/>
      </c>
      <c r="G11" s="1"/>
      <c r="H11" s="2"/>
      <c r="I11" s="2"/>
      <c r="J11" s="11"/>
      <c r="X11" s="5">
        <f t="shared" si="1"/>
        <v>0</v>
      </c>
      <c r="Y11" s="2">
        <f t="shared" si="2"/>
        <v>0</v>
      </c>
    </row>
    <row r="12" spans="1:26" x14ac:dyDescent="0.25">
      <c r="A12" s="4" t="s">
        <v>71</v>
      </c>
      <c r="B12" s="19" t="str">
        <f ca="1">IF(B16&lt;&gt;K3,(TODAY()-B11)*-1,"")</f>
        <v/>
      </c>
      <c r="D12" s="12"/>
      <c r="E12" s="12"/>
      <c r="F12" s="19" t="str">
        <f t="shared" si="0"/>
        <v/>
      </c>
      <c r="G12" s="2"/>
      <c r="H12" s="1"/>
      <c r="I12" s="1"/>
      <c r="J12" s="11"/>
      <c r="X12" s="5">
        <f t="shared" si="1"/>
        <v>0</v>
      </c>
      <c r="Y12" s="2">
        <f t="shared" si="2"/>
        <v>0</v>
      </c>
    </row>
    <row r="13" spans="1:26" x14ac:dyDescent="0.25">
      <c r="A13" s="4"/>
      <c r="B13" s="2"/>
      <c r="D13" s="12"/>
      <c r="E13" s="12"/>
      <c r="F13" s="19" t="str">
        <f t="shared" si="0"/>
        <v/>
      </c>
      <c r="G13" s="1"/>
      <c r="H13" s="2"/>
      <c r="I13" s="2"/>
      <c r="J13" s="11"/>
      <c r="N13" s="14"/>
      <c r="X13" s="5">
        <f t="shared" si="1"/>
        <v>0</v>
      </c>
      <c r="Y13" s="2">
        <f t="shared" si="2"/>
        <v>0</v>
      </c>
    </row>
    <row r="14" spans="1:26" x14ac:dyDescent="0.25">
      <c r="A14" s="13"/>
      <c r="B14" s="20"/>
      <c r="D14" s="12"/>
      <c r="E14" s="5"/>
      <c r="F14" s="19" t="str">
        <f t="shared" si="0"/>
        <v/>
      </c>
      <c r="G14" s="1"/>
      <c r="H14" s="1"/>
      <c r="I14" s="1"/>
      <c r="J14" s="11"/>
      <c r="X14" s="5">
        <f t="shared" si="1"/>
        <v>0</v>
      </c>
      <c r="Y14" s="2">
        <f t="shared" si="2"/>
        <v>0</v>
      </c>
    </row>
    <row r="15" spans="1:26" x14ac:dyDescent="0.25">
      <c r="A15" s="4" t="s">
        <v>1</v>
      </c>
      <c r="B15" s="6">
        <v>0.11</v>
      </c>
      <c r="D15" s="12"/>
      <c r="E15" s="5"/>
      <c r="F15" s="19" t="str">
        <f t="shared" si="0"/>
        <v/>
      </c>
      <c r="G15" s="1"/>
      <c r="H15" s="1"/>
      <c r="I15" s="1"/>
      <c r="J15" s="11"/>
      <c r="K15" s="18"/>
      <c r="L15" s="18"/>
      <c r="M15" s="18"/>
      <c r="N15" s="18"/>
      <c r="O15" s="18"/>
      <c r="P15" s="18"/>
      <c r="Q15" s="18"/>
      <c r="X15" s="5">
        <f t="shared" si="1"/>
        <v>0</v>
      </c>
      <c r="Y15" s="2">
        <f t="shared" si="2"/>
        <v>0</v>
      </c>
    </row>
    <row r="16" spans="1:26" x14ac:dyDescent="0.25">
      <c r="A16" s="4" t="s">
        <v>72</v>
      </c>
      <c r="B16" s="2">
        <v>13.66</v>
      </c>
      <c r="D16" s="12"/>
      <c r="E16" s="5"/>
      <c r="F16" s="19" t="str">
        <f t="shared" si="0"/>
        <v/>
      </c>
      <c r="G16" s="1"/>
      <c r="H16" s="1"/>
      <c r="I16" s="1"/>
      <c r="J16" s="11"/>
      <c r="K16" s="9"/>
      <c r="L16" s="9"/>
      <c r="M16" s="9"/>
      <c r="N16" s="21"/>
      <c r="O16" s="22"/>
      <c r="P16" s="11"/>
      <c r="Q16" s="11"/>
      <c r="X16" s="5">
        <f t="shared" si="1"/>
        <v>0</v>
      </c>
      <c r="Y16" s="2">
        <f t="shared" si="2"/>
        <v>0</v>
      </c>
    </row>
    <row r="17" spans="2:25" x14ac:dyDescent="0.25">
      <c r="D17" s="12"/>
      <c r="E17" s="5"/>
      <c r="F17" s="19" t="str">
        <f t="shared" si="0"/>
        <v/>
      </c>
      <c r="G17" s="1"/>
      <c r="H17" s="1"/>
      <c r="I17" s="1"/>
      <c r="J17" s="11"/>
      <c r="X17" s="5">
        <f t="shared" si="1"/>
        <v>0</v>
      </c>
      <c r="Y17" s="2">
        <f t="shared" si="2"/>
        <v>0</v>
      </c>
    </row>
    <row r="18" spans="2:25" x14ac:dyDescent="0.25">
      <c r="D18" s="12"/>
      <c r="E18" s="5"/>
      <c r="F18" s="19" t="str">
        <f t="shared" si="0"/>
        <v/>
      </c>
      <c r="G18" s="1"/>
      <c r="H18" s="1"/>
      <c r="I18" s="1"/>
      <c r="J18" s="11"/>
      <c r="X18" s="5">
        <f t="shared" si="1"/>
        <v>0</v>
      </c>
      <c r="Y18" s="2">
        <f t="shared" si="2"/>
        <v>0</v>
      </c>
    </row>
    <row r="19" spans="2:25" x14ac:dyDescent="0.25">
      <c r="D19" s="12"/>
      <c r="E19" s="5"/>
      <c r="F19" s="19" t="str">
        <f t="shared" si="0"/>
        <v/>
      </c>
      <c r="G19" s="1"/>
      <c r="H19" s="1"/>
      <c r="I19" s="1"/>
      <c r="J19" s="11"/>
      <c r="X19" s="5">
        <f t="shared" si="1"/>
        <v>0</v>
      </c>
      <c r="Y19" s="2">
        <f t="shared" si="2"/>
        <v>0</v>
      </c>
    </row>
    <row r="20" spans="2:25" x14ac:dyDescent="0.25">
      <c r="D20" s="12"/>
      <c r="E20" s="5"/>
      <c r="F20" s="19" t="str">
        <f t="shared" si="0"/>
        <v/>
      </c>
      <c r="G20" s="1"/>
      <c r="H20" s="1"/>
      <c r="I20" s="1"/>
      <c r="J20" s="11"/>
      <c r="X20" s="5">
        <f t="shared" si="1"/>
        <v>0</v>
      </c>
      <c r="Y20" s="2">
        <f t="shared" si="2"/>
        <v>0</v>
      </c>
    </row>
    <row r="21" spans="2:25" x14ac:dyDescent="0.25">
      <c r="D21" s="12"/>
      <c r="E21" s="5"/>
      <c r="F21" s="19" t="str">
        <f t="shared" si="0"/>
        <v/>
      </c>
      <c r="G21" s="1"/>
      <c r="H21" s="1"/>
      <c r="I21" s="1"/>
      <c r="J21" s="11"/>
      <c r="X21" s="5">
        <f t="shared" si="1"/>
        <v>0</v>
      </c>
      <c r="Y21" s="2">
        <f t="shared" si="2"/>
        <v>0</v>
      </c>
    </row>
    <row r="22" spans="2:25" x14ac:dyDescent="0.25">
      <c r="D22" s="12"/>
      <c r="E22" s="5"/>
      <c r="F22" s="19" t="str">
        <f t="shared" si="0"/>
        <v/>
      </c>
      <c r="G22" s="1"/>
      <c r="H22" s="1"/>
      <c r="I22" s="1"/>
      <c r="J22" s="11"/>
      <c r="X22" s="5">
        <f t="shared" si="1"/>
        <v>0</v>
      </c>
      <c r="Y22" s="2">
        <f t="shared" si="2"/>
        <v>0</v>
      </c>
    </row>
    <row r="23" spans="2:25" x14ac:dyDescent="0.25">
      <c r="B23" s="22"/>
      <c r="D23" s="12"/>
      <c r="E23" s="5"/>
      <c r="F23" s="19" t="str">
        <f t="shared" si="0"/>
        <v/>
      </c>
      <c r="G23" s="1"/>
      <c r="H23" s="1"/>
      <c r="I23" s="1"/>
      <c r="J23" s="11"/>
      <c r="X23" s="5">
        <f t="shared" si="1"/>
        <v>0</v>
      </c>
      <c r="Y23" s="2">
        <f t="shared" si="2"/>
        <v>0</v>
      </c>
    </row>
    <row r="24" spans="2:25" x14ac:dyDescent="0.25">
      <c r="D24" s="12"/>
      <c r="E24" s="5"/>
      <c r="F24" s="19" t="str">
        <f t="shared" si="0"/>
        <v/>
      </c>
      <c r="G24" s="1"/>
      <c r="H24" s="1"/>
      <c r="I24" s="1"/>
      <c r="J24" s="11"/>
      <c r="X24" s="5">
        <f t="shared" si="1"/>
        <v>0</v>
      </c>
      <c r="Y24" s="2">
        <f t="shared" si="2"/>
        <v>0</v>
      </c>
    </row>
    <row r="25" spans="2:25" x14ac:dyDescent="0.25">
      <c r="D25" s="12"/>
      <c r="E25" s="5"/>
      <c r="F25" s="19" t="str">
        <f t="shared" si="0"/>
        <v/>
      </c>
      <c r="G25" s="1"/>
      <c r="H25" s="1"/>
      <c r="I25" s="1"/>
      <c r="J25" s="11"/>
      <c r="X25" s="5">
        <f t="shared" si="1"/>
        <v>0</v>
      </c>
      <c r="Y25" s="2">
        <f t="shared" si="2"/>
        <v>0</v>
      </c>
    </row>
    <row r="26" spans="2:25" x14ac:dyDescent="0.25">
      <c r="D26" s="12"/>
      <c r="E26" s="5"/>
      <c r="F26" s="19" t="str">
        <f t="shared" si="0"/>
        <v/>
      </c>
      <c r="G26" s="1"/>
      <c r="H26" s="1"/>
      <c r="I26" s="1"/>
      <c r="J26" s="11"/>
      <c r="X26" s="5">
        <f t="shared" si="1"/>
        <v>0</v>
      </c>
      <c r="Y26" s="2">
        <f t="shared" si="2"/>
        <v>0</v>
      </c>
    </row>
    <row r="27" spans="2:25" x14ac:dyDescent="0.25">
      <c r="D27" s="12"/>
      <c r="E27" s="5"/>
      <c r="F27" s="19" t="str">
        <f t="shared" si="0"/>
        <v/>
      </c>
      <c r="G27" s="1"/>
      <c r="H27" s="1"/>
      <c r="I27" s="1"/>
      <c r="J27" s="11"/>
      <c r="X27" s="5">
        <f t="shared" si="1"/>
        <v>0</v>
      </c>
      <c r="Y27" s="2">
        <f t="shared" si="2"/>
        <v>0</v>
      </c>
    </row>
    <row r="28" spans="2:25" x14ac:dyDescent="0.25">
      <c r="D28" s="12"/>
      <c r="E28" s="5"/>
      <c r="F28" s="19" t="str">
        <f t="shared" si="0"/>
        <v/>
      </c>
      <c r="G28" s="1"/>
      <c r="H28" s="1"/>
      <c r="I28" s="1"/>
      <c r="J28" s="11"/>
      <c r="X28" s="5">
        <f t="shared" si="1"/>
        <v>0</v>
      </c>
      <c r="Y28" s="2">
        <f t="shared" si="2"/>
        <v>0</v>
      </c>
    </row>
    <row r="29" spans="2:25" x14ac:dyDescent="0.25">
      <c r="D29" s="12"/>
      <c r="E29" s="5"/>
      <c r="F29" s="19" t="str">
        <f t="shared" si="0"/>
        <v/>
      </c>
      <c r="G29" s="1"/>
      <c r="H29" s="1"/>
      <c r="I29" s="1"/>
      <c r="J29" s="11"/>
      <c r="X29" s="5">
        <f t="shared" si="1"/>
        <v>0</v>
      </c>
      <c r="Y29" s="2">
        <f t="shared" si="2"/>
        <v>0</v>
      </c>
    </row>
    <row r="30" spans="2:25" x14ac:dyDescent="0.25">
      <c r="D30" s="12"/>
      <c r="E30" s="5"/>
      <c r="F30" s="19" t="str">
        <f t="shared" si="0"/>
        <v/>
      </c>
      <c r="G30" s="1"/>
      <c r="H30" s="1"/>
      <c r="I30" s="1"/>
      <c r="J30" s="11"/>
      <c r="X30" s="5">
        <f t="shared" si="1"/>
        <v>0</v>
      </c>
      <c r="Y30" s="2">
        <f t="shared" si="2"/>
        <v>0</v>
      </c>
    </row>
    <row r="31" spans="2:25" x14ac:dyDescent="0.25">
      <c r="D31" s="12"/>
      <c r="E31" s="5"/>
      <c r="F31" s="19" t="str">
        <f t="shared" si="0"/>
        <v/>
      </c>
      <c r="G31" s="1"/>
      <c r="H31" s="1"/>
      <c r="I31" s="1"/>
      <c r="J31" s="11"/>
      <c r="X31" s="5">
        <f t="shared" si="1"/>
        <v>0</v>
      </c>
      <c r="Y31" s="2">
        <f t="shared" si="2"/>
        <v>0</v>
      </c>
    </row>
    <row r="32" spans="2:25" x14ac:dyDescent="0.25">
      <c r="D32" s="12"/>
      <c r="E32" s="5"/>
      <c r="F32" s="19" t="str">
        <f t="shared" si="0"/>
        <v/>
      </c>
      <c r="G32" s="1"/>
      <c r="H32" s="1"/>
      <c r="I32" s="1"/>
      <c r="J32" s="11"/>
      <c r="X32" s="5">
        <f t="shared" si="1"/>
        <v>0</v>
      </c>
      <c r="Y32" s="2">
        <f t="shared" si="2"/>
        <v>0</v>
      </c>
    </row>
    <row r="33" spans="4:25" x14ac:dyDescent="0.25">
      <c r="D33" s="12"/>
      <c r="E33" s="5"/>
      <c r="F33" s="19" t="str">
        <f t="shared" si="0"/>
        <v/>
      </c>
      <c r="G33" s="1"/>
      <c r="H33" s="1"/>
      <c r="I33" s="1"/>
      <c r="J33" s="11"/>
      <c r="X33" s="5">
        <f t="shared" si="1"/>
        <v>0</v>
      </c>
      <c r="Y33" s="2">
        <f t="shared" si="2"/>
        <v>0</v>
      </c>
    </row>
    <row r="34" spans="4:25" x14ac:dyDescent="0.25">
      <c r="D34" s="12"/>
      <c r="E34" s="5"/>
      <c r="F34" s="19" t="str">
        <f t="shared" si="0"/>
        <v/>
      </c>
      <c r="G34" s="1"/>
      <c r="H34" s="1"/>
      <c r="I34" s="1"/>
      <c r="J34" s="11"/>
      <c r="X34" s="5">
        <f t="shared" si="1"/>
        <v>0</v>
      </c>
      <c r="Y34" s="2">
        <f t="shared" si="2"/>
        <v>0</v>
      </c>
    </row>
    <row r="35" spans="4:25" x14ac:dyDescent="0.25">
      <c r="D35" s="12"/>
      <c r="E35" s="5"/>
      <c r="F35" s="19" t="str">
        <f t="shared" si="0"/>
        <v/>
      </c>
      <c r="G35" s="1"/>
      <c r="H35" s="1"/>
      <c r="I35" s="1"/>
      <c r="J35" s="11"/>
      <c r="X35" s="5">
        <f t="shared" si="1"/>
        <v>0</v>
      </c>
      <c r="Y35" s="2">
        <f t="shared" si="2"/>
        <v>0</v>
      </c>
    </row>
    <row r="36" spans="4:25" x14ac:dyDescent="0.25">
      <c r="D36" s="12"/>
      <c r="E36" s="5"/>
      <c r="F36" s="19" t="str">
        <f t="shared" si="0"/>
        <v/>
      </c>
      <c r="G36" s="1"/>
      <c r="H36" s="1"/>
      <c r="I36" s="1"/>
      <c r="J36" s="11"/>
      <c r="X36" s="5">
        <f t="shared" si="1"/>
        <v>0</v>
      </c>
      <c r="Y36" s="2">
        <f t="shared" si="2"/>
        <v>0</v>
      </c>
    </row>
    <row r="37" spans="4:25" x14ac:dyDescent="0.25">
      <c r="D37" s="12"/>
      <c r="E37" s="5"/>
      <c r="F37" s="19" t="str">
        <f t="shared" si="0"/>
        <v/>
      </c>
      <c r="G37" s="1"/>
      <c r="H37" s="1"/>
      <c r="I37" s="1"/>
      <c r="J37" s="11"/>
      <c r="X37" s="5">
        <f t="shared" si="1"/>
        <v>0</v>
      </c>
      <c r="Y37" s="2">
        <f t="shared" si="2"/>
        <v>0</v>
      </c>
    </row>
    <row r="38" spans="4:25" x14ac:dyDescent="0.25">
      <c r="D38" s="12"/>
      <c r="E38" s="5"/>
      <c r="F38" s="19" t="str">
        <f t="shared" si="0"/>
        <v/>
      </c>
      <c r="G38" s="1"/>
      <c r="H38" s="1"/>
      <c r="I38" s="1"/>
      <c r="J38" s="11"/>
      <c r="X38" s="5">
        <f t="shared" si="1"/>
        <v>0</v>
      </c>
      <c r="Y38" s="2">
        <f t="shared" si="2"/>
        <v>0</v>
      </c>
    </row>
    <row r="39" spans="4:25" x14ac:dyDescent="0.25">
      <c r="D39" s="12"/>
      <c r="E39" s="5"/>
      <c r="F39" s="19" t="str">
        <f t="shared" si="0"/>
        <v/>
      </c>
      <c r="G39" s="1"/>
      <c r="H39" s="1"/>
      <c r="I39" s="1"/>
      <c r="J39" s="11"/>
      <c r="X39" s="5">
        <f t="shared" si="1"/>
        <v>0</v>
      </c>
      <c r="Y39" s="2">
        <f t="shared" si="2"/>
        <v>0</v>
      </c>
    </row>
    <row r="40" spans="4:25" x14ac:dyDescent="0.25">
      <c r="D40" s="12"/>
      <c r="E40" s="5"/>
      <c r="F40" s="19" t="str">
        <f t="shared" si="0"/>
        <v/>
      </c>
      <c r="G40" s="1"/>
      <c r="H40" s="1"/>
      <c r="I40" s="1"/>
      <c r="J40" s="11"/>
      <c r="X40" s="5">
        <f t="shared" si="1"/>
        <v>0</v>
      </c>
      <c r="Y40" s="2">
        <f t="shared" si="2"/>
        <v>0</v>
      </c>
    </row>
    <row r="41" spans="4:25" x14ac:dyDescent="0.25">
      <c r="D41" s="12"/>
      <c r="E41" s="5"/>
      <c r="F41" s="19" t="str">
        <f t="shared" si="0"/>
        <v/>
      </c>
      <c r="G41" s="1"/>
      <c r="H41" s="1"/>
      <c r="I41" s="1"/>
      <c r="J41" s="11"/>
      <c r="X41" s="5">
        <f t="shared" si="1"/>
        <v>0</v>
      </c>
      <c r="Y41" s="2">
        <f t="shared" si="2"/>
        <v>0</v>
      </c>
    </row>
    <row r="42" spans="4:25" x14ac:dyDescent="0.25">
      <c r="D42" s="12"/>
      <c r="E42" s="5"/>
      <c r="F42" s="19" t="str">
        <f t="shared" si="0"/>
        <v/>
      </c>
      <c r="G42" s="1"/>
      <c r="H42" s="1"/>
      <c r="I42" s="1"/>
      <c r="J42" s="11"/>
      <c r="X42" s="5">
        <f t="shared" si="1"/>
        <v>0</v>
      </c>
      <c r="Y42" s="2">
        <f t="shared" si="2"/>
        <v>0</v>
      </c>
    </row>
    <row r="43" spans="4:25" x14ac:dyDescent="0.25">
      <c r="D43" s="12"/>
      <c r="E43" s="5"/>
      <c r="F43" s="19" t="str">
        <f t="shared" si="0"/>
        <v/>
      </c>
      <c r="G43" s="1"/>
      <c r="H43" s="1"/>
      <c r="I43" s="1"/>
      <c r="J43" s="11"/>
      <c r="X43" s="5">
        <f t="shared" si="1"/>
        <v>0</v>
      </c>
      <c r="Y43" s="2">
        <f t="shared" si="2"/>
        <v>0</v>
      </c>
    </row>
    <row r="44" spans="4:25" x14ac:dyDescent="0.25">
      <c r="D44" s="12"/>
      <c r="E44" s="5"/>
      <c r="F44" s="19" t="str">
        <f t="shared" si="0"/>
        <v/>
      </c>
      <c r="G44" s="1"/>
      <c r="H44" s="1"/>
      <c r="I44" s="1"/>
      <c r="J44" s="11"/>
      <c r="X44" s="5">
        <f t="shared" si="1"/>
        <v>0</v>
      </c>
      <c r="Y44" s="2">
        <f t="shared" si="2"/>
        <v>0</v>
      </c>
    </row>
    <row r="45" spans="4:25" x14ac:dyDescent="0.25">
      <c r="D45" s="12"/>
      <c r="E45" s="5"/>
      <c r="F45" s="19" t="str">
        <f t="shared" si="0"/>
        <v/>
      </c>
      <c r="G45" s="1"/>
      <c r="H45" s="1"/>
      <c r="I45" s="1"/>
      <c r="J45" s="11"/>
      <c r="X45" s="5">
        <f t="shared" si="1"/>
        <v>0</v>
      </c>
      <c r="Y45" s="2">
        <f t="shared" si="2"/>
        <v>0</v>
      </c>
    </row>
    <row r="46" spans="4:25" x14ac:dyDescent="0.25">
      <c r="D46" s="12"/>
      <c r="E46" s="5"/>
      <c r="F46" s="19" t="str">
        <f t="shared" si="0"/>
        <v/>
      </c>
      <c r="G46" s="1"/>
      <c r="H46" s="1"/>
      <c r="I46" s="1"/>
      <c r="J46" s="11"/>
      <c r="X46" s="5">
        <f t="shared" si="1"/>
        <v>0</v>
      </c>
      <c r="Y46" s="2">
        <f t="shared" si="2"/>
        <v>0</v>
      </c>
    </row>
    <row r="47" spans="4:25" x14ac:dyDescent="0.25">
      <c r="D47" s="12"/>
      <c r="E47" s="5"/>
      <c r="F47" s="19" t="str">
        <f t="shared" si="0"/>
        <v/>
      </c>
      <c r="G47" s="1"/>
      <c r="H47" s="1"/>
      <c r="I47" s="1"/>
      <c r="J47" s="11"/>
      <c r="X47" s="5">
        <f t="shared" si="1"/>
        <v>0</v>
      </c>
      <c r="Y47" s="2">
        <f t="shared" si="2"/>
        <v>0</v>
      </c>
    </row>
    <row r="48" spans="4:25" x14ac:dyDescent="0.25">
      <c r="D48" s="12"/>
      <c r="E48" s="5"/>
      <c r="F48" s="19" t="str">
        <f t="shared" si="0"/>
        <v/>
      </c>
      <c r="G48" s="1"/>
      <c r="H48" s="1"/>
      <c r="I48" s="1"/>
      <c r="J48" s="11"/>
      <c r="X48" s="5">
        <f t="shared" si="1"/>
        <v>0</v>
      </c>
      <c r="Y48" s="2">
        <f t="shared" si="2"/>
        <v>0</v>
      </c>
    </row>
    <row r="49" spans="4:25" x14ac:dyDescent="0.25">
      <c r="D49" s="12"/>
      <c r="E49" s="5"/>
      <c r="F49" s="19" t="str">
        <f t="shared" si="0"/>
        <v/>
      </c>
      <c r="G49" s="1"/>
      <c r="H49" s="1"/>
      <c r="I49" s="1"/>
      <c r="J49" s="11"/>
      <c r="X49" s="5">
        <f t="shared" si="1"/>
        <v>0</v>
      </c>
      <c r="Y49" s="2">
        <f t="shared" si="2"/>
        <v>0</v>
      </c>
    </row>
    <row r="50" spans="4:25" x14ac:dyDescent="0.25">
      <c r="D50" s="12"/>
      <c r="E50" s="5"/>
      <c r="F50" s="19" t="str">
        <f t="shared" si="0"/>
        <v/>
      </c>
      <c r="G50" s="1"/>
      <c r="H50" s="1"/>
      <c r="I50" s="1"/>
      <c r="J50" s="11"/>
      <c r="X50" s="5">
        <f t="shared" si="1"/>
        <v>0</v>
      </c>
      <c r="Y50" s="2">
        <f t="shared" si="2"/>
        <v>0</v>
      </c>
    </row>
    <row r="51" spans="4:25" x14ac:dyDescent="0.25">
      <c r="D51" s="12"/>
      <c r="E51" s="5"/>
      <c r="F51" s="19" t="str">
        <f t="shared" si="0"/>
        <v/>
      </c>
      <c r="G51" s="1"/>
      <c r="H51" s="1"/>
      <c r="I51" s="1"/>
      <c r="J51" s="11"/>
      <c r="X51" s="5">
        <f t="shared" si="1"/>
        <v>0</v>
      </c>
      <c r="Y51" s="2">
        <f t="shared" si="2"/>
        <v>0</v>
      </c>
    </row>
    <row r="52" spans="4:25" x14ac:dyDescent="0.25">
      <c r="D52" s="12"/>
      <c r="E52" s="5"/>
      <c r="F52" s="19" t="str">
        <f t="shared" si="0"/>
        <v/>
      </c>
      <c r="G52" s="1"/>
      <c r="H52" s="1"/>
      <c r="I52" s="1"/>
      <c r="J52" s="9"/>
      <c r="X52" s="5">
        <f t="shared" si="1"/>
        <v>0</v>
      </c>
      <c r="Y52" s="2">
        <f t="shared" si="2"/>
        <v>0</v>
      </c>
    </row>
    <row r="53" spans="4:25" x14ac:dyDescent="0.25">
      <c r="D53" s="1" t="s">
        <v>25</v>
      </c>
      <c r="E53" s="23"/>
      <c r="F53" s="2"/>
      <c r="G53" s="2">
        <f>SUM(G3:G52)</f>
        <v>13.66</v>
      </c>
      <c r="H53" s="2">
        <f t="shared" ref="H53:I53" si="3">SUM(H3:H52)</f>
        <v>0.52</v>
      </c>
      <c r="I53" s="2">
        <f t="shared" si="3"/>
        <v>0.02</v>
      </c>
    </row>
  </sheetData>
  <mergeCells count="4">
    <mergeCell ref="D1:F1"/>
    <mergeCell ref="G1:I1"/>
    <mergeCell ref="K1:Q1"/>
    <mergeCell ref="X1:Z1"/>
  </mergeCells>
  <conditionalFormatting sqref="A1:B1">
    <cfRule type="expression" dxfId="127" priority="1">
      <formula>$Z$3="+"</formula>
    </cfRule>
    <cfRule type="expression" dxfId="126" priority="2">
      <formula>$B$16=$K$3</formula>
    </cfRule>
  </conditionalFormatting>
  <conditionalFormatting sqref="P3">
    <cfRule type="expression" dxfId="125" priority="6">
      <formula>$Z$3="+"</formula>
    </cfRule>
  </conditionalFormatting>
  <conditionalFormatting sqref="Z3">
    <cfRule type="expression" dxfId="124" priority="7">
      <formula>$Z$3="+"</formula>
    </cfRule>
  </conditionalFormatting>
  <dataValidations count="1">
    <dataValidation type="list" allowBlank="1" showInputMessage="1" showErrorMessage="1" sqref="B2" xr:uid="{8153974C-89EC-41AB-B4EE-DD137C9EE1AE}">
      <formula1>"Romania,Moldova,Cyprus,Philippines"</formula1>
    </dataValidation>
  </dataValidations>
  <pageMargins left="0.7" right="0.7" top="0.75" bottom="0.75" header="0.3" footer="0.3"/>
  <pageSetup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EFCE1-8BA7-4DF5-AF63-143EAEAAE199}">
  <sheetPr>
    <tabColor rgb="FF92D050"/>
  </sheetPr>
  <dimension ref="A1:Z53"/>
  <sheetViews>
    <sheetView workbookViewId="0">
      <selection activeCell="H11" sqref="H11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1" customWidth="1"/>
    <col min="25" max="25" width="10.7109375" style="11" customWidth="1"/>
    <col min="26" max="26" width="10.7109375" customWidth="1"/>
  </cols>
  <sheetData>
    <row r="1" spans="1:26" x14ac:dyDescent="0.25">
      <c r="A1" s="4" t="s">
        <v>66</v>
      </c>
      <c r="B1" s="5" t="s">
        <v>64</v>
      </c>
      <c r="D1" s="29" t="s">
        <v>2</v>
      </c>
      <c r="E1" s="30"/>
      <c r="F1" s="31"/>
      <c r="G1" s="29" t="s">
        <v>0</v>
      </c>
      <c r="H1" s="30"/>
      <c r="I1" s="31"/>
      <c r="J1" s="18"/>
      <c r="K1" s="29" t="s">
        <v>58</v>
      </c>
      <c r="L1" s="30"/>
      <c r="M1" s="30"/>
      <c r="N1" s="30"/>
      <c r="O1" s="30"/>
      <c r="P1" s="30"/>
      <c r="Q1" s="31"/>
      <c r="X1" s="29"/>
      <c r="Y1" s="30"/>
      <c r="Z1" s="31"/>
    </row>
    <row r="2" spans="1:26" x14ac:dyDescent="0.25">
      <c r="A2" s="4" t="s">
        <v>21</v>
      </c>
      <c r="B2" s="5" t="s">
        <v>22</v>
      </c>
      <c r="D2" s="10" t="s">
        <v>49</v>
      </c>
      <c r="E2" s="10" t="s">
        <v>50</v>
      </c>
      <c r="F2" s="17" t="s">
        <v>67</v>
      </c>
      <c r="G2" s="10" t="s">
        <v>15</v>
      </c>
      <c r="H2" s="10" t="s">
        <v>16</v>
      </c>
      <c r="I2" s="10" t="s">
        <v>60</v>
      </c>
      <c r="J2" s="9"/>
      <c r="K2" s="10" t="s">
        <v>0</v>
      </c>
      <c r="L2" s="10" t="s">
        <v>1</v>
      </c>
      <c r="M2" s="10" t="s">
        <v>56</v>
      </c>
      <c r="N2" s="10" t="s">
        <v>57</v>
      </c>
      <c r="O2" s="10" t="s">
        <v>2</v>
      </c>
      <c r="P2" s="10" t="s">
        <v>68</v>
      </c>
      <c r="Q2" s="10" t="s">
        <v>67</v>
      </c>
      <c r="X2" s="10" t="s">
        <v>2</v>
      </c>
      <c r="Y2" s="10" t="s">
        <v>59</v>
      </c>
      <c r="Z2" s="10" t="s">
        <v>68</v>
      </c>
    </row>
    <row r="3" spans="1:26" x14ac:dyDescent="0.25">
      <c r="A3" s="4" t="s">
        <v>69</v>
      </c>
      <c r="B3" s="5" t="s">
        <v>78</v>
      </c>
      <c r="D3" s="12">
        <v>46142</v>
      </c>
      <c r="E3" s="12">
        <v>46142</v>
      </c>
      <c r="F3" s="19">
        <f t="shared" ref="F3:F52" si="0">IF(E3&gt;0,E3-D3,"")</f>
        <v>0</v>
      </c>
      <c r="G3" s="2">
        <v>0</v>
      </c>
      <c r="H3" s="2">
        <v>0</v>
      </c>
      <c r="I3" s="2">
        <v>0</v>
      </c>
      <c r="J3" s="11"/>
      <c r="K3" s="2">
        <f>G53</f>
        <v>17.46</v>
      </c>
      <c r="L3" s="2">
        <f>H53</f>
        <v>0.71000000000000008</v>
      </c>
      <c r="M3" s="2">
        <f>I53</f>
        <v>0.02</v>
      </c>
      <c r="N3" s="6">
        <f>IF(B16=K3,XIRR(Y3:Y52,X3:X52),"")</f>
        <v>0.1160609543323517</v>
      </c>
      <c r="O3" s="5">
        <f>IF(B16=K3,MAX(E:E),"")</f>
        <v>46295</v>
      </c>
      <c r="P3" s="1" t="str">
        <f ca="1">IF(Z3="+",TODAY()-B11,"")</f>
        <v/>
      </c>
      <c r="Q3" s="1">
        <f>IF(B16=K3,MAX(E:E)-B11,"")</f>
        <v>-107</v>
      </c>
      <c r="T3" s="14"/>
      <c r="X3" s="5">
        <f>B9</f>
        <v>46130</v>
      </c>
      <c r="Y3" s="2">
        <f>B16*-1</f>
        <v>-17.46</v>
      </c>
      <c r="Z3" s="1" t="str">
        <f ca="1">IF(AND(TODAY()&gt;B11, K3&lt;&gt;B16), "+", "")</f>
        <v/>
      </c>
    </row>
    <row r="4" spans="1:26" x14ac:dyDescent="0.25">
      <c r="A4" s="4" t="s">
        <v>19</v>
      </c>
      <c r="B4" s="5" t="s">
        <v>20</v>
      </c>
      <c r="D4" s="12">
        <v>46173</v>
      </c>
      <c r="E4" s="12">
        <v>46173</v>
      </c>
      <c r="F4" s="19">
        <f t="shared" si="0"/>
        <v>0</v>
      </c>
      <c r="G4" s="2">
        <v>0</v>
      </c>
      <c r="H4" s="2">
        <v>0.12</v>
      </c>
      <c r="I4" s="2">
        <v>0</v>
      </c>
      <c r="J4" s="9"/>
      <c r="X4" s="5">
        <f>E3</f>
        <v>46142</v>
      </c>
      <c r="Y4" s="2">
        <f>G3+H3-I3</f>
        <v>0</v>
      </c>
    </row>
    <row r="5" spans="1:26" x14ac:dyDescent="0.25">
      <c r="A5" s="4"/>
      <c r="B5" s="5"/>
      <c r="D5" s="12">
        <v>46203</v>
      </c>
      <c r="E5" s="12">
        <v>46203</v>
      </c>
      <c r="F5" s="19">
        <f t="shared" si="0"/>
        <v>0</v>
      </c>
      <c r="G5" s="2">
        <v>0</v>
      </c>
      <c r="H5" s="1">
        <v>0.17</v>
      </c>
      <c r="I5" s="2">
        <v>0.01</v>
      </c>
      <c r="J5" s="9"/>
      <c r="X5" s="5">
        <f t="shared" ref="X5:X52" si="1">E4</f>
        <v>46173</v>
      </c>
      <c r="Y5" s="2">
        <f t="shared" ref="Y5:Y52" si="2">G4+H4-I4</f>
        <v>0.12</v>
      </c>
    </row>
    <row r="6" spans="1:26" x14ac:dyDescent="0.25">
      <c r="A6" s="4"/>
      <c r="B6" s="5"/>
      <c r="D6" s="12">
        <v>46234</v>
      </c>
      <c r="E6" s="12">
        <v>46234</v>
      </c>
      <c r="F6" s="19">
        <f t="shared" si="0"/>
        <v>0</v>
      </c>
      <c r="G6" s="2">
        <v>0</v>
      </c>
      <c r="H6" s="1">
        <v>0.17</v>
      </c>
      <c r="I6" s="2">
        <v>0.01</v>
      </c>
      <c r="J6" s="9"/>
      <c r="X6" s="5">
        <f t="shared" si="1"/>
        <v>46203</v>
      </c>
      <c r="Y6" s="2">
        <f t="shared" si="2"/>
        <v>0.16</v>
      </c>
    </row>
    <row r="7" spans="1:26" x14ac:dyDescent="0.25">
      <c r="A7" s="4"/>
      <c r="B7" s="5"/>
      <c r="D7" s="12">
        <v>46260</v>
      </c>
      <c r="E7" s="12">
        <v>46260</v>
      </c>
      <c r="F7" s="19">
        <f t="shared" si="0"/>
        <v>0</v>
      </c>
      <c r="G7" s="2">
        <v>17.46</v>
      </c>
      <c r="H7" s="1">
        <v>0.17</v>
      </c>
      <c r="I7" s="2">
        <v>0</v>
      </c>
      <c r="J7" s="11"/>
      <c r="X7" s="5">
        <f t="shared" si="1"/>
        <v>46234</v>
      </c>
      <c r="Y7" s="2">
        <f t="shared" si="2"/>
        <v>0.16</v>
      </c>
    </row>
    <row r="8" spans="1:26" x14ac:dyDescent="0.25">
      <c r="A8" s="4" t="s">
        <v>24</v>
      </c>
      <c r="B8" s="5" t="str">
        <f>DATEDIF(B9,B11,"y") &amp; " m. " &amp; DATEDIF(B9,B11,"ym") &amp; " mėn. " &amp; DATEDIF(B9,B11,"md") &amp; " d."</f>
        <v>0 m. 8 mėn. 28 d.</v>
      </c>
      <c r="D8" s="12">
        <v>46295</v>
      </c>
      <c r="E8" s="12">
        <v>46295</v>
      </c>
      <c r="F8" s="19">
        <f t="shared" si="0"/>
        <v>0</v>
      </c>
      <c r="G8" s="2">
        <v>0</v>
      </c>
      <c r="H8" s="1">
        <v>0.08</v>
      </c>
      <c r="I8" s="2">
        <v>0</v>
      </c>
      <c r="J8" s="9"/>
      <c r="X8" s="5">
        <f t="shared" si="1"/>
        <v>46260</v>
      </c>
      <c r="Y8" s="2">
        <f t="shared" si="2"/>
        <v>17.630000000000003</v>
      </c>
    </row>
    <row r="9" spans="1:26" x14ac:dyDescent="0.25">
      <c r="A9" s="4" t="s">
        <v>11</v>
      </c>
      <c r="B9" s="5">
        <v>46130</v>
      </c>
      <c r="D9" s="12"/>
      <c r="E9" s="12"/>
      <c r="F9" s="19"/>
      <c r="G9" s="2"/>
      <c r="H9" s="2"/>
      <c r="I9" s="2"/>
      <c r="J9" s="11"/>
      <c r="X9" s="5">
        <f t="shared" si="1"/>
        <v>46295</v>
      </c>
      <c r="Y9" s="2">
        <f t="shared" si="2"/>
        <v>0.08</v>
      </c>
    </row>
    <row r="10" spans="1:26" x14ac:dyDescent="0.25">
      <c r="A10" s="4" t="s">
        <v>70</v>
      </c>
      <c r="B10" s="5">
        <v>46125</v>
      </c>
      <c r="D10" s="12"/>
      <c r="E10" s="12"/>
      <c r="F10" s="19" t="str">
        <f t="shared" si="0"/>
        <v/>
      </c>
      <c r="G10" s="1"/>
      <c r="H10" s="1"/>
      <c r="I10" s="2"/>
      <c r="J10" s="11"/>
      <c r="X10" s="5">
        <f t="shared" si="1"/>
        <v>0</v>
      </c>
      <c r="Y10" s="2">
        <f t="shared" si="2"/>
        <v>0</v>
      </c>
    </row>
    <row r="11" spans="1:26" x14ac:dyDescent="0.25">
      <c r="A11" s="4" t="s">
        <v>10</v>
      </c>
      <c r="B11" s="5">
        <v>46402</v>
      </c>
      <c r="D11" s="12"/>
      <c r="E11" s="12"/>
      <c r="F11" s="19" t="str">
        <f t="shared" si="0"/>
        <v/>
      </c>
      <c r="G11" s="1"/>
      <c r="H11" s="2"/>
      <c r="I11" s="2"/>
      <c r="J11" s="11"/>
      <c r="X11" s="5">
        <f t="shared" si="1"/>
        <v>0</v>
      </c>
      <c r="Y11" s="2">
        <f t="shared" si="2"/>
        <v>0</v>
      </c>
    </row>
    <row r="12" spans="1:26" x14ac:dyDescent="0.25">
      <c r="A12" s="4" t="s">
        <v>71</v>
      </c>
      <c r="B12" s="19" t="str">
        <f ca="1">IF(B16&lt;&gt;K3,(TODAY()-B11)*-1,"")</f>
        <v/>
      </c>
      <c r="D12" s="12"/>
      <c r="E12" s="12"/>
      <c r="F12" s="19" t="str">
        <f t="shared" si="0"/>
        <v/>
      </c>
      <c r="G12" s="2"/>
      <c r="H12" s="1"/>
      <c r="I12" s="1"/>
      <c r="J12" s="11"/>
      <c r="X12" s="5">
        <f t="shared" si="1"/>
        <v>0</v>
      </c>
      <c r="Y12" s="2">
        <f t="shared" si="2"/>
        <v>0</v>
      </c>
    </row>
    <row r="13" spans="1:26" x14ac:dyDescent="0.25">
      <c r="A13" s="4"/>
      <c r="B13" s="2"/>
      <c r="D13" s="12"/>
      <c r="E13" s="12"/>
      <c r="F13" s="19" t="str">
        <f t="shared" si="0"/>
        <v/>
      </c>
      <c r="G13" s="1"/>
      <c r="H13" s="2"/>
      <c r="I13" s="2"/>
      <c r="J13" s="11"/>
      <c r="N13" s="14"/>
      <c r="X13" s="5">
        <f t="shared" si="1"/>
        <v>0</v>
      </c>
      <c r="Y13" s="2">
        <f t="shared" si="2"/>
        <v>0</v>
      </c>
    </row>
    <row r="14" spans="1:26" x14ac:dyDescent="0.25">
      <c r="A14" s="13"/>
      <c r="B14" s="20"/>
      <c r="D14" s="12"/>
      <c r="E14" s="5"/>
      <c r="F14" s="19" t="str">
        <f t="shared" si="0"/>
        <v/>
      </c>
      <c r="G14" s="1"/>
      <c r="H14" s="1"/>
      <c r="I14" s="1"/>
      <c r="J14" s="11"/>
      <c r="X14" s="5">
        <f t="shared" si="1"/>
        <v>0</v>
      </c>
      <c r="Y14" s="2">
        <f t="shared" si="2"/>
        <v>0</v>
      </c>
    </row>
    <row r="15" spans="1:26" x14ac:dyDescent="0.25">
      <c r="A15" s="4" t="s">
        <v>1</v>
      </c>
      <c r="B15" s="6">
        <v>0.115</v>
      </c>
      <c r="D15" s="12"/>
      <c r="E15" s="5"/>
      <c r="F15" s="19" t="str">
        <f t="shared" si="0"/>
        <v/>
      </c>
      <c r="G15" s="1"/>
      <c r="H15" s="1"/>
      <c r="I15" s="1"/>
      <c r="J15" s="11"/>
      <c r="K15" s="18"/>
      <c r="L15" s="18"/>
      <c r="M15" s="18"/>
      <c r="N15" s="18"/>
      <c r="O15" s="18"/>
      <c r="P15" s="18"/>
      <c r="Q15" s="18"/>
      <c r="X15" s="5">
        <f t="shared" si="1"/>
        <v>0</v>
      </c>
      <c r="Y15" s="2">
        <f t="shared" si="2"/>
        <v>0</v>
      </c>
    </row>
    <row r="16" spans="1:26" x14ac:dyDescent="0.25">
      <c r="A16" s="4" t="s">
        <v>72</v>
      </c>
      <c r="B16" s="2">
        <v>17.46</v>
      </c>
      <c r="D16" s="12"/>
      <c r="E16" s="5"/>
      <c r="F16" s="19" t="str">
        <f t="shared" si="0"/>
        <v/>
      </c>
      <c r="G16" s="1"/>
      <c r="H16" s="1"/>
      <c r="I16" s="1"/>
      <c r="J16" s="11"/>
      <c r="K16" s="9"/>
      <c r="L16" s="9"/>
      <c r="M16" s="9"/>
      <c r="N16" s="21"/>
      <c r="O16" s="22"/>
      <c r="P16" s="11"/>
      <c r="Q16" s="11"/>
      <c r="X16" s="5">
        <f t="shared" si="1"/>
        <v>0</v>
      </c>
      <c r="Y16" s="2">
        <f t="shared" si="2"/>
        <v>0</v>
      </c>
    </row>
    <row r="17" spans="2:25" x14ac:dyDescent="0.25">
      <c r="D17" s="12"/>
      <c r="E17" s="5"/>
      <c r="F17" s="19" t="str">
        <f t="shared" si="0"/>
        <v/>
      </c>
      <c r="G17" s="1"/>
      <c r="H17" s="1"/>
      <c r="I17" s="1"/>
      <c r="J17" s="11"/>
      <c r="X17" s="5">
        <f t="shared" si="1"/>
        <v>0</v>
      </c>
      <c r="Y17" s="2">
        <f t="shared" si="2"/>
        <v>0</v>
      </c>
    </row>
    <row r="18" spans="2:25" x14ac:dyDescent="0.25">
      <c r="D18" s="12"/>
      <c r="E18" s="5"/>
      <c r="F18" s="19" t="str">
        <f t="shared" si="0"/>
        <v/>
      </c>
      <c r="G18" s="1"/>
      <c r="H18" s="1"/>
      <c r="I18" s="1"/>
      <c r="J18" s="11"/>
      <c r="X18" s="5">
        <f t="shared" si="1"/>
        <v>0</v>
      </c>
      <c r="Y18" s="2">
        <f t="shared" si="2"/>
        <v>0</v>
      </c>
    </row>
    <row r="19" spans="2:25" x14ac:dyDescent="0.25">
      <c r="D19" s="12"/>
      <c r="E19" s="5"/>
      <c r="F19" s="19" t="str">
        <f t="shared" si="0"/>
        <v/>
      </c>
      <c r="G19" s="1"/>
      <c r="H19" s="1"/>
      <c r="I19" s="1"/>
      <c r="J19" s="11"/>
      <c r="X19" s="5">
        <f t="shared" si="1"/>
        <v>0</v>
      </c>
      <c r="Y19" s="2">
        <f t="shared" si="2"/>
        <v>0</v>
      </c>
    </row>
    <row r="20" spans="2:25" x14ac:dyDescent="0.25">
      <c r="D20" s="12"/>
      <c r="E20" s="5"/>
      <c r="F20" s="19" t="str">
        <f t="shared" si="0"/>
        <v/>
      </c>
      <c r="G20" s="1"/>
      <c r="H20" s="1"/>
      <c r="I20" s="1"/>
      <c r="J20" s="11"/>
      <c r="X20" s="5">
        <f t="shared" si="1"/>
        <v>0</v>
      </c>
      <c r="Y20" s="2">
        <f t="shared" si="2"/>
        <v>0</v>
      </c>
    </row>
    <row r="21" spans="2:25" x14ac:dyDescent="0.25">
      <c r="D21" s="12"/>
      <c r="E21" s="5"/>
      <c r="F21" s="19" t="str">
        <f t="shared" si="0"/>
        <v/>
      </c>
      <c r="G21" s="1"/>
      <c r="H21" s="1"/>
      <c r="I21" s="1"/>
      <c r="J21" s="11"/>
      <c r="X21" s="5">
        <f t="shared" si="1"/>
        <v>0</v>
      </c>
      <c r="Y21" s="2">
        <f t="shared" si="2"/>
        <v>0</v>
      </c>
    </row>
    <row r="22" spans="2:25" x14ac:dyDescent="0.25">
      <c r="D22" s="12"/>
      <c r="E22" s="5"/>
      <c r="F22" s="19" t="str">
        <f t="shared" si="0"/>
        <v/>
      </c>
      <c r="G22" s="1"/>
      <c r="H22" s="1"/>
      <c r="I22" s="1"/>
      <c r="J22" s="11"/>
      <c r="X22" s="5">
        <f t="shared" si="1"/>
        <v>0</v>
      </c>
      <c r="Y22" s="2">
        <f t="shared" si="2"/>
        <v>0</v>
      </c>
    </row>
    <row r="23" spans="2:25" x14ac:dyDescent="0.25">
      <c r="B23" s="22"/>
      <c r="D23" s="12"/>
      <c r="E23" s="5"/>
      <c r="F23" s="19" t="str">
        <f t="shared" si="0"/>
        <v/>
      </c>
      <c r="G23" s="1"/>
      <c r="H23" s="1"/>
      <c r="I23" s="1"/>
      <c r="J23" s="11"/>
      <c r="X23" s="5">
        <f t="shared" si="1"/>
        <v>0</v>
      </c>
      <c r="Y23" s="2">
        <f t="shared" si="2"/>
        <v>0</v>
      </c>
    </row>
    <row r="24" spans="2:25" x14ac:dyDescent="0.25">
      <c r="D24" s="12"/>
      <c r="E24" s="5"/>
      <c r="F24" s="19" t="str">
        <f t="shared" si="0"/>
        <v/>
      </c>
      <c r="G24" s="1"/>
      <c r="H24" s="1"/>
      <c r="I24" s="1"/>
      <c r="J24" s="11"/>
      <c r="X24" s="5">
        <f t="shared" si="1"/>
        <v>0</v>
      </c>
      <c r="Y24" s="2">
        <f t="shared" si="2"/>
        <v>0</v>
      </c>
    </row>
    <row r="25" spans="2:25" x14ac:dyDescent="0.25">
      <c r="D25" s="12"/>
      <c r="E25" s="5"/>
      <c r="F25" s="19" t="str">
        <f t="shared" si="0"/>
        <v/>
      </c>
      <c r="G25" s="1"/>
      <c r="H25" s="1"/>
      <c r="I25" s="1"/>
      <c r="J25" s="11"/>
      <c r="X25" s="5">
        <f t="shared" si="1"/>
        <v>0</v>
      </c>
      <c r="Y25" s="2">
        <f t="shared" si="2"/>
        <v>0</v>
      </c>
    </row>
    <row r="26" spans="2:25" x14ac:dyDescent="0.25">
      <c r="D26" s="12"/>
      <c r="E26" s="5"/>
      <c r="F26" s="19" t="str">
        <f t="shared" si="0"/>
        <v/>
      </c>
      <c r="G26" s="1"/>
      <c r="H26" s="1"/>
      <c r="I26" s="1"/>
      <c r="J26" s="11"/>
      <c r="X26" s="5">
        <f t="shared" si="1"/>
        <v>0</v>
      </c>
      <c r="Y26" s="2">
        <f t="shared" si="2"/>
        <v>0</v>
      </c>
    </row>
    <row r="27" spans="2:25" x14ac:dyDescent="0.25">
      <c r="D27" s="12"/>
      <c r="E27" s="5"/>
      <c r="F27" s="19" t="str">
        <f t="shared" si="0"/>
        <v/>
      </c>
      <c r="G27" s="1"/>
      <c r="H27" s="1"/>
      <c r="I27" s="1"/>
      <c r="J27" s="11"/>
      <c r="X27" s="5">
        <f t="shared" si="1"/>
        <v>0</v>
      </c>
      <c r="Y27" s="2">
        <f t="shared" si="2"/>
        <v>0</v>
      </c>
    </row>
    <row r="28" spans="2:25" x14ac:dyDescent="0.25">
      <c r="D28" s="12"/>
      <c r="E28" s="5"/>
      <c r="F28" s="19" t="str">
        <f t="shared" si="0"/>
        <v/>
      </c>
      <c r="G28" s="1"/>
      <c r="H28" s="1"/>
      <c r="I28" s="1"/>
      <c r="J28" s="11"/>
      <c r="X28" s="5">
        <f t="shared" si="1"/>
        <v>0</v>
      </c>
      <c r="Y28" s="2">
        <f t="shared" si="2"/>
        <v>0</v>
      </c>
    </row>
    <row r="29" spans="2:25" x14ac:dyDescent="0.25">
      <c r="D29" s="12"/>
      <c r="E29" s="5"/>
      <c r="F29" s="19" t="str">
        <f t="shared" si="0"/>
        <v/>
      </c>
      <c r="G29" s="1"/>
      <c r="H29" s="1"/>
      <c r="I29" s="1"/>
      <c r="J29" s="11"/>
      <c r="X29" s="5">
        <f t="shared" si="1"/>
        <v>0</v>
      </c>
      <c r="Y29" s="2">
        <f t="shared" si="2"/>
        <v>0</v>
      </c>
    </row>
    <row r="30" spans="2:25" x14ac:dyDescent="0.25">
      <c r="D30" s="12"/>
      <c r="E30" s="5"/>
      <c r="F30" s="19" t="str">
        <f t="shared" si="0"/>
        <v/>
      </c>
      <c r="G30" s="1"/>
      <c r="H30" s="1"/>
      <c r="I30" s="1"/>
      <c r="J30" s="11"/>
      <c r="X30" s="5">
        <f t="shared" si="1"/>
        <v>0</v>
      </c>
      <c r="Y30" s="2">
        <f t="shared" si="2"/>
        <v>0</v>
      </c>
    </row>
    <row r="31" spans="2:25" x14ac:dyDescent="0.25">
      <c r="D31" s="12"/>
      <c r="E31" s="5"/>
      <c r="F31" s="19" t="str">
        <f t="shared" si="0"/>
        <v/>
      </c>
      <c r="G31" s="1"/>
      <c r="H31" s="1"/>
      <c r="I31" s="1"/>
      <c r="J31" s="11"/>
      <c r="X31" s="5">
        <f t="shared" si="1"/>
        <v>0</v>
      </c>
      <c r="Y31" s="2">
        <f t="shared" si="2"/>
        <v>0</v>
      </c>
    </row>
    <row r="32" spans="2:25" x14ac:dyDescent="0.25">
      <c r="D32" s="12"/>
      <c r="E32" s="5"/>
      <c r="F32" s="19" t="str">
        <f t="shared" si="0"/>
        <v/>
      </c>
      <c r="G32" s="1"/>
      <c r="H32" s="1"/>
      <c r="I32" s="1"/>
      <c r="J32" s="11"/>
      <c r="X32" s="5">
        <f t="shared" si="1"/>
        <v>0</v>
      </c>
      <c r="Y32" s="2">
        <f t="shared" si="2"/>
        <v>0</v>
      </c>
    </row>
    <row r="33" spans="4:25" x14ac:dyDescent="0.25">
      <c r="D33" s="12"/>
      <c r="E33" s="5"/>
      <c r="F33" s="19" t="str">
        <f t="shared" si="0"/>
        <v/>
      </c>
      <c r="G33" s="1"/>
      <c r="H33" s="1"/>
      <c r="I33" s="1"/>
      <c r="J33" s="11"/>
      <c r="X33" s="5">
        <f t="shared" si="1"/>
        <v>0</v>
      </c>
      <c r="Y33" s="2">
        <f t="shared" si="2"/>
        <v>0</v>
      </c>
    </row>
    <row r="34" spans="4:25" x14ac:dyDescent="0.25">
      <c r="D34" s="12"/>
      <c r="E34" s="5"/>
      <c r="F34" s="19" t="str">
        <f t="shared" si="0"/>
        <v/>
      </c>
      <c r="G34" s="1"/>
      <c r="H34" s="1"/>
      <c r="I34" s="1"/>
      <c r="J34" s="11"/>
      <c r="X34" s="5">
        <f t="shared" si="1"/>
        <v>0</v>
      </c>
      <c r="Y34" s="2">
        <f t="shared" si="2"/>
        <v>0</v>
      </c>
    </row>
    <row r="35" spans="4:25" x14ac:dyDescent="0.25">
      <c r="D35" s="12"/>
      <c r="E35" s="5"/>
      <c r="F35" s="19" t="str">
        <f t="shared" si="0"/>
        <v/>
      </c>
      <c r="G35" s="1"/>
      <c r="H35" s="1"/>
      <c r="I35" s="1"/>
      <c r="J35" s="11"/>
      <c r="X35" s="5">
        <f t="shared" si="1"/>
        <v>0</v>
      </c>
      <c r="Y35" s="2">
        <f t="shared" si="2"/>
        <v>0</v>
      </c>
    </row>
    <row r="36" spans="4:25" x14ac:dyDescent="0.25">
      <c r="D36" s="12"/>
      <c r="E36" s="5"/>
      <c r="F36" s="19" t="str">
        <f t="shared" si="0"/>
        <v/>
      </c>
      <c r="G36" s="1"/>
      <c r="H36" s="1"/>
      <c r="I36" s="1"/>
      <c r="J36" s="11"/>
      <c r="X36" s="5">
        <f t="shared" si="1"/>
        <v>0</v>
      </c>
      <c r="Y36" s="2">
        <f t="shared" si="2"/>
        <v>0</v>
      </c>
    </row>
    <row r="37" spans="4:25" x14ac:dyDescent="0.25">
      <c r="D37" s="12"/>
      <c r="E37" s="5"/>
      <c r="F37" s="19" t="str">
        <f t="shared" si="0"/>
        <v/>
      </c>
      <c r="G37" s="1"/>
      <c r="H37" s="1"/>
      <c r="I37" s="1"/>
      <c r="J37" s="11"/>
      <c r="X37" s="5">
        <f t="shared" si="1"/>
        <v>0</v>
      </c>
      <c r="Y37" s="2">
        <f t="shared" si="2"/>
        <v>0</v>
      </c>
    </row>
    <row r="38" spans="4:25" x14ac:dyDescent="0.25">
      <c r="D38" s="12"/>
      <c r="E38" s="5"/>
      <c r="F38" s="19" t="str">
        <f t="shared" si="0"/>
        <v/>
      </c>
      <c r="G38" s="1"/>
      <c r="H38" s="1"/>
      <c r="I38" s="1"/>
      <c r="J38" s="11"/>
      <c r="X38" s="5">
        <f t="shared" si="1"/>
        <v>0</v>
      </c>
      <c r="Y38" s="2">
        <f t="shared" si="2"/>
        <v>0</v>
      </c>
    </row>
    <row r="39" spans="4:25" x14ac:dyDescent="0.25">
      <c r="D39" s="12"/>
      <c r="E39" s="5"/>
      <c r="F39" s="19" t="str">
        <f t="shared" si="0"/>
        <v/>
      </c>
      <c r="G39" s="1"/>
      <c r="H39" s="1"/>
      <c r="I39" s="1"/>
      <c r="J39" s="11"/>
      <c r="X39" s="5">
        <f t="shared" si="1"/>
        <v>0</v>
      </c>
      <c r="Y39" s="2">
        <f t="shared" si="2"/>
        <v>0</v>
      </c>
    </row>
    <row r="40" spans="4:25" x14ac:dyDescent="0.25">
      <c r="D40" s="12"/>
      <c r="E40" s="5"/>
      <c r="F40" s="19" t="str">
        <f t="shared" si="0"/>
        <v/>
      </c>
      <c r="G40" s="1"/>
      <c r="H40" s="1"/>
      <c r="I40" s="1"/>
      <c r="J40" s="11"/>
      <c r="X40" s="5">
        <f t="shared" si="1"/>
        <v>0</v>
      </c>
      <c r="Y40" s="2">
        <f t="shared" si="2"/>
        <v>0</v>
      </c>
    </row>
    <row r="41" spans="4:25" x14ac:dyDescent="0.25">
      <c r="D41" s="12"/>
      <c r="E41" s="5"/>
      <c r="F41" s="19" t="str">
        <f t="shared" si="0"/>
        <v/>
      </c>
      <c r="G41" s="1"/>
      <c r="H41" s="1"/>
      <c r="I41" s="1"/>
      <c r="J41" s="11"/>
      <c r="X41" s="5">
        <f t="shared" si="1"/>
        <v>0</v>
      </c>
      <c r="Y41" s="2">
        <f t="shared" si="2"/>
        <v>0</v>
      </c>
    </row>
    <row r="42" spans="4:25" x14ac:dyDescent="0.25">
      <c r="D42" s="12"/>
      <c r="E42" s="5"/>
      <c r="F42" s="19" t="str">
        <f t="shared" si="0"/>
        <v/>
      </c>
      <c r="G42" s="1"/>
      <c r="H42" s="1"/>
      <c r="I42" s="1"/>
      <c r="J42" s="11"/>
      <c r="X42" s="5">
        <f t="shared" si="1"/>
        <v>0</v>
      </c>
      <c r="Y42" s="2">
        <f t="shared" si="2"/>
        <v>0</v>
      </c>
    </row>
    <row r="43" spans="4:25" x14ac:dyDescent="0.25">
      <c r="D43" s="12"/>
      <c r="E43" s="5"/>
      <c r="F43" s="19" t="str">
        <f t="shared" si="0"/>
        <v/>
      </c>
      <c r="G43" s="1"/>
      <c r="H43" s="1"/>
      <c r="I43" s="1"/>
      <c r="J43" s="11"/>
      <c r="X43" s="5">
        <f t="shared" si="1"/>
        <v>0</v>
      </c>
      <c r="Y43" s="2">
        <f t="shared" si="2"/>
        <v>0</v>
      </c>
    </row>
    <row r="44" spans="4:25" x14ac:dyDescent="0.25">
      <c r="D44" s="12"/>
      <c r="E44" s="5"/>
      <c r="F44" s="19" t="str">
        <f t="shared" si="0"/>
        <v/>
      </c>
      <c r="G44" s="1"/>
      <c r="H44" s="1"/>
      <c r="I44" s="1"/>
      <c r="J44" s="11"/>
      <c r="X44" s="5">
        <f t="shared" si="1"/>
        <v>0</v>
      </c>
      <c r="Y44" s="2">
        <f t="shared" si="2"/>
        <v>0</v>
      </c>
    </row>
    <row r="45" spans="4:25" x14ac:dyDescent="0.25">
      <c r="D45" s="12"/>
      <c r="E45" s="5"/>
      <c r="F45" s="19" t="str">
        <f t="shared" si="0"/>
        <v/>
      </c>
      <c r="G45" s="1"/>
      <c r="H45" s="1"/>
      <c r="I45" s="1"/>
      <c r="J45" s="11"/>
      <c r="X45" s="5">
        <f t="shared" si="1"/>
        <v>0</v>
      </c>
      <c r="Y45" s="2">
        <f t="shared" si="2"/>
        <v>0</v>
      </c>
    </row>
    <row r="46" spans="4:25" x14ac:dyDescent="0.25">
      <c r="D46" s="12"/>
      <c r="E46" s="5"/>
      <c r="F46" s="19" t="str">
        <f t="shared" si="0"/>
        <v/>
      </c>
      <c r="G46" s="1"/>
      <c r="H46" s="1"/>
      <c r="I46" s="1"/>
      <c r="J46" s="11"/>
      <c r="X46" s="5">
        <f t="shared" si="1"/>
        <v>0</v>
      </c>
      <c r="Y46" s="2">
        <f t="shared" si="2"/>
        <v>0</v>
      </c>
    </row>
    <row r="47" spans="4:25" x14ac:dyDescent="0.25">
      <c r="D47" s="12"/>
      <c r="E47" s="5"/>
      <c r="F47" s="19" t="str">
        <f t="shared" si="0"/>
        <v/>
      </c>
      <c r="G47" s="1"/>
      <c r="H47" s="1"/>
      <c r="I47" s="1"/>
      <c r="J47" s="11"/>
      <c r="X47" s="5">
        <f t="shared" si="1"/>
        <v>0</v>
      </c>
      <c r="Y47" s="2">
        <f t="shared" si="2"/>
        <v>0</v>
      </c>
    </row>
    <row r="48" spans="4:25" x14ac:dyDescent="0.25">
      <c r="D48" s="12"/>
      <c r="E48" s="5"/>
      <c r="F48" s="19" t="str">
        <f t="shared" si="0"/>
        <v/>
      </c>
      <c r="G48" s="1"/>
      <c r="H48" s="1"/>
      <c r="I48" s="1"/>
      <c r="J48" s="11"/>
      <c r="X48" s="5">
        <f t="shared" si="1"/>
        <v>0</v>
      </c>
      <c r="Y48" s="2">
        <f t="shared" si="2"/>
        <v>0</v>
      </c>
    </row>
    <row r="49" spans="4:25" x14ac:dyDescent="0.25">
      <c r="D49" s="12"/>
      <c r="E49" s="5"/>
      <c r="F49" s="19" t="str">
        <f t="shared" si="0"/>
        <v/>
      </c>
      <c r="G49" s="1"/>
      <c r="H49" s="1"/>
      <c r="I49" s="1"/>
      <c r="J49" s="11"/>
      <c r="X49" s="5">
        <f t="shared" si="1"/>
        <v>0</v>
      </c>
      <c r="Y49" s="2">
        <f t="shared" si="2"/>
        <v>0</v>
      </c>
    </row>
    <row r="50" spans="4:25" x14ac:dyDescent="0.25">
      <c r="D50" s="12"/>
      <c r="E50" s="5"/>
      <c r="F50" s="19" t="str">
        <f t="shared" si="0"/>
        <v/>
      </c>
      <c r="G50" s="1"/>
      <c r="H50" s="1"/>
      <c r="I50" s="1"/>
      <c r="J50" s="11"/>
      <c r="X50" s="5">
        <f t="shared" si="1"/>
        <v>0</v>
      </c>
      <c r="Y50" s="2">
        <f t="shared" si="2"/>
        <v>0</v>
      </c>
    </row>
    <row r="51" spans="4:25" x14ac:dyDescent="0.25">
      <c r="D51" s="12"/>
      <c r="E51" s="5"/>
      <c r="F51" s="19" t="str">
        <f t="shared" si="0"/>
        <v/>
      </c>
      <c r="G51" s="1"/>
      <c r="H51" s="1"/>
      <c r="I51" s="1"/>
      <c r="J51" s="11"/>
      <c r="X51" s="5">
        <f t="shared" si="1"/>
        <v>0</v>
      </c>
      <c r="Y51" s="2">
        <f t="shared" si="2"/>
        <v>0</v>
      </c>
    </row>
    <row r="52" spans="4:25" x14ac:dyDescent="0.25">
      <c r="D52" s="12"/>
      <c r="E52" s="5"/>
      <c r="F52" s="19" t="str">
        <f t="shared" si="0"/>
        <v/>
      </c>
      <c r="G52" s="1"/>
      <c r="H52" s="1"/>
      <c r="I52" s="1"/>
      <c r="J52" s="9"/>
      <c r="X52" s="5">
        <f t="shared" si="1"/>
        <v>0</v>
      </c>
      <c r="Y52" s="2">
        <f t="shared" si="2"/>
        <v>0</v>
      </c>
    </row>
    <row r="53" spans="4:25" x14ac:dyDescent="0.25">
      <c r="D53" s="1" t="s">
        <v>25</v>
      </c>
      <c r="E53" s="23"/>
      <c r="F53" s="2"/>
      <c r="G53" s="2">
        <f>SUM(G3:G52)</f>
        <v>17.46</v>
      </c>
      <c r="H53" s="2">
        <f t="shared" ref="H53:I53" si="3">SUM(H3:H52)</f>
        <v>0.71000000000000008</v>
      </c>
      <c r="I53" s="2">
        <f t="shared" si="3"/>
        <v>0.02</v>
      </c>
    </row>
  </sheetData>
  <mergeCells count="4">
    <mergeCell ref="D1:F1"/>
    <mergeCell ref="G1:I1"/>
    <mergeCell ref="K1:Q1"/>
    <mergeCell ref="X1:Z1"/>
  </mergeCells>
  <conditionalFormatting sqref="A1:B1">
    <cfRule type="expression" dxfId="123" priority="1">
      <formula>$Z$3="+"</formula>
    </cfRule>
    <cfRule type="expression" dxfId="122" priority="2">
      <formula>$B$16=$K$3</formula>
    </cfRule>
  </conditionalFormatting>
  <conditionalFormatting sqref="P3">
    <cfRule type="expression" dxfId="121" priority="6">
      <formula>$Z$3="+"</formula>
    </cfRule>
  </conditionalFormatting>
  <conditionalFormatting sqref="Z3">
    <cfRule type="expression" dxfId="120" priority="7">
      <formula>$Z$3="+"</formula>
    </cfRule>
  </conditionalFormatting>
  <dataValidations count="1">
    <dataValidation type="list" allowBlank="1" showInputMessage="1" showErrorMessage="1" sqref="B2" xr:uid="{BBB9281D-F57B-44EB-AE43-646C5D8A6004}">
      <formula1>"Romania,Moldova,Cyprus,Philippines"</formula1>
    </dataValidation>
  </dataValidations>
  <pageMargins left="0.7" right="0.7" top="0.75" bottom="0.75" header="0.3" footer="0.3"/>
  <pageSetup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A2D0E-7FFC-40E8-8591-39C158814C04}">
  <dimension ref="A1:Z53"/>
  <sheetViews>
    <sheetView workbookViewId="0">
      <selection activeCell="I13" sqref="I13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1" customWidth="1"/>
    <col min="25" max="25" width="10.7109375" style="11" customWidth="1"/>
    <col min="26" max="26" width="10.7109375" customWidth="1"/>
  </cols>
  <sheetData>
    <row r="1" spans="1:26" x14ac:dyDescent="0.25">
      <c r="A1" s="4" t="s">
        <v>66</v>
      </c>
      <c r="B1" s="5" t="s">
        <v>63</v>
      </c>
      <c r="D1" s="29" t="s">
        <v>2</v>
      </c>
      <c r="E1" s="30"/>
      <c r="F1" s="31"/>
      <c r="G1" s="29" t="s">
        <v>0</v>
      </c>
      <c r="H1" s="30"/>
      <c r="I1" s="31"/>
      <c r="J1" s="18"/>
      <c r="K1" s="29" t="s">
        <v>58</v>
      </c>
      <c r="L1" s="30"/>
      <c r="M1" s="30"/>
      <c r="N1" s="30"/>
      <c r="O1" s="30"/>
      <c r="P1" s="30"/>
      <c r="Q1" s="31"/>
      <c r="X1" s="29"/>
      <c r="Y1" s="30"/>
      <c r="Z1" s="31"/>
    </row>
    <row r="2" spans="1:26" x14ac:dyDescent="0.25">
      <c r="A2" s="4" t="s">
        <v>21</v>
      </c>
      <c r="B2" s="5" t="s">
        <v>27</v>
      </c>
      <c r="D2" s="10" t="s">
        <v>49</v>
      </c>
      <c r="E2" s="10" t="s">
        <v>50</v>
      </c>
      <c r="F2" s="17" t="s">
        <v>67</v>
      </c>
      <c r="G2" s="10" t="s">
        <v>15</v>
      </c>
      <c r="H2" s="10" t="s">
        <v>16</v>
      </c>
      <c r="I2" s="10" t="s">
        <v>60</v>
      </c>
      <c r="J2" s="9"/>
      <c r="K2" s="10" t="s">
        <v>0</v>
      </c>
      <c r="L2" s="10" t="s">
        <v>1</v>
      </c>
      <c r="M2" s="10" t="s">
        <v>56</v>
      </c>
      <c r="N2" s="10" t="s">
        <v>57</v>
      </c>
      <c r="O2" s="10" t="s">
        <v>2</v>
      </c>
      <c r="P2" s="10" t="s">
        <v>68</v>
      </c>
      <c r="Q2" s="10" t="s">
        <v>67</v>
      </c>
      <c r="X2" s="10" t="s">
        <v>2</v>
      </c>
      <c r="Y2" s="10" t="s">
        <v>59</v>
      </c>
      <c r="Z2" s="10" t="s">
        <v>68</v>
      </c>
    </row>
    <row r="3" spans="1:26" x14ac:dyDescent="0.25">
      <c r="A3" s="4" t="s">
        <v>69</v>
      </c>
      <c r="B3" s="5" t="s">
        <v>78</v>
      </c>
      <c r="D3" s="12">
        <v>46142</v>
      </c>
      <c r="E3" s="12">
        <v>46142</v>
      </c>
      <c r="F3" s="19">
        <f t="shared" ref="F3:F52" si="0">IF(E3&gt;0,E3-D3,"")</f>
        <v>0</v>
      </c>
      <c r="G3" s="2">
        <v>0</v>
      </c>
      <c r="H3" s="2">
        <v>0</v>
      </c>
      <c r="I3" s="2">
        <v>0</v>
      </c>
      <c r="J3" s="11"/>
      <c r="K3" s="2">
        <f>G53</f>
        <v>0</v>
      </c>
      <c r="L3" s="2">
        <f>H53</f>
        <v>1.01</v>
      </c>
      <c r="M3" s="2">
        <f>I53</f>
        <v>0.05</v>
      </c>
      <c r="N3" s="6" t="str">
        <f>IF(B16=K3,XIRR(Y3:Y52,X3:X52),"")</f>
        <v/>
      </c>
      <c r="O3" s="5" t="str">
        <f>IF(B16=K3,MAX(E:E),"")</f>
        <v/>
      </c>
      <c r="P3" s="1" t="str">
        <f ca="1">IF(Z3="+",TODAY()-B11,"")</f>
        <v/>
      </c>
      <c r="Q3" s="1" t="str">
        <f>IF(B16=K3,MAX(E:E)-B11,"")</f>
        <v/>
      </c>
      <c r="T3" s="14"/>
      <c r="X3" s="5">
        <f>B9</f>
        <v>46129</v>
      </c>
      <c r="Y3" s="2">
        <f>B16*-1</f>
        <v>-20</v>
      </c>
      <c r="Z3" s="1" t="str">
        <f ca="1">IF(AND(TODAY()&gt;B11, K3&lt;&gt;B16), "+", "")</f>
        <v/>
      </c>
    </row>
    <row r="4" spans="1:26" x14ac:dyDescent="0.25">
      <c r="A4" s="4" t="s">
        <v>19</v>
      </c>
      <c r="B4" s="5" t="s">
        <v>20</v>
      </c>
      <c r="D4" s="12">
        <v>46173</v>
      </c>
      <c r="E4" s="12">
        <v>46173</v>
      </c>
      <c r="F4" s="19">
        <f t="shared" si="0"/>
        <v>0</v>
      </c>
      <c r="G4" s="2">
        <v>0</v>
      </c>
      <c r="H4" s="2">
        <v>0.15</v>
      </c>
      <c r="I4" s="2">
        <v>0.01</v>
      </c>
      <c r="J4" s="9"/>
      <c r="X4" s="5">
        <f>E3</f>
        <v>46142</v>
      </c>
      <c r="Y4" s="2">
        <f>G3+H3-I3</f>
        <v>0</v>
      </c>
    </row>
    <row r="5" spans="1:26" x14ac:dyDescent="0.25">
      <c r="A5" s="4"/>
      <c r="B5" s="5"/>
      <c r="D5" s="12">
        <v>46203</v>
      </c>
      <c r="E5" s="12">
        <v>46203</v>
      </c>
      <c r="F5" s="19">
        <f t="shared" si="0"/>
        <v>0</v>
      </c>
      <c r="G5" s="2">
        <v>0</v>
      </c>
      <c r="H5" s="1">
        <v>0.22</v>
      </c>
      <c r="I5" s="2">
        <v>0.02</v>
      </c>
      <c r="J5" s="9"/>
      <c r="X5" s="5">
        <f t="shared" ref="X5:X52" si="1">E4</f>
        <v>46173</v>
      </c>
      <c r="Y5" s="2">
        <f t="shared" ref="Y5:Y52" si="2">G4+H4-I4</f>
        <v>0.13999999999999999</v>
      </c>
    </row>
    <row r="6" spans="1:26" x14ac:dyDescent="0.25">
      <c r="A6" s="4"/>
      <c r="B6" s="5"/>
      <c r="D6" s="12">
        <v>46234</v>
      </c>
      <c r="E6" s="12">
        <v>46234</v>
      </c>
      <c r="F6" s="19">
        <f t="shared" si="0"/>
        <v>0</v>
      </c>
      <c r="G6" s="2">
        <v>0</v>
      </c>
      <c r="H6" s="1">
        <v>0.21</v>
      </c>
      <c r="I6" s="2">
        <v>0.02</v>
      </c>
      <c r="J6" s="9"/>
      <c r="X6" s="5">
        <f t="shared" si="1"/>
        <v>46203</v>
      </c>
      <c r="Y6" s="2">
        <f t="shared" si="2"/>
        <v>0.2</v>
      </c>
    </row>
    <row r="7" spans="1:26" x14ac:dyDescent="0.25">
      <c r="A7" s="4"/>
      <c r="B7" s="5"/>
      <c r="D7" s="12">
        <v>46265</v>
      </c>
      <c r="E7" s="12">
        <v>46265</v>
      </c>
      <c r="F7" s="19">
        <f t="shared" si="0"/>
        <v>0</v>
      </c>
      <c r="G7" s="2">
        <v>0</v>
      </c>
      <c r="H7" s="1">
        <v>0.21</v>
      </c>
      <c r="I7" s="2">
        <v>0</v>
      </c>
      <c r="J7" s="11"/>
      <c r="X7" s="5">
        <f t="shared" si="1"/>
        <v>46234</v>
      </c>
      <c r="Y7" s="2">
        <f t="shared" si="2"/>
        <v>0.19</v>
      </c>
    </row>
    <row r="8" spans="1:26" x14ac:dyDescent="0.25">
      <c r="A8" s="4" t="s">
        <v>24</v>
      </c>
      <c r="B8" s="5" t="str">
        <f>DATEDIF(B9,B11,"y") &amp; " m. " &amp; DATEDIF(B9,B11,"ym") &amp; " mėn. " &amp; DATEDIF(B9,B11,"md") &amp; " d."</f>
        <v>0 m. 8 mėn. 29 d.</v>
      </c>
      <c r="D8" s="12">
        <v>46295</v>
      </c>
      <c r="E8" s="12">
        <v>46295</v>
      </c>
      <c r="F8" s="19">
        <f t="shared" si="0"/>
        <v>0</v>
      </c>
      <c r="G8" s="2">
        <v>0</v>
      </c>
      <c r="H8" s="1">
        <v>0.22</v>
      </c>
      <c r="I8" s="2">
        <v>0</v>
      </c>
      <c r="J8" s="9"/>
      <c r="X8" s="5">
        <f t="shared" si="1"/>
        <v>46265</v>
      </c>
      <c r="Y8" s="2">
        <f t="shared" si="2"/>
        <v>0.21</v>
      </c>
    </row>
    <row r="9" spans="1:26" x14ac:dyDescent="0.25">
      <c r="A9" s="4" t="s">
        <v>11</v>
      </c>
      <c r="B9" s="5">
        <v>46129</v>
      </c>
      <c r="D9" s="12"/>
      <c r="E9" s="12"/>
      <c r="F9" s="19"/>
      <c r="G9" s="2"/>
      <c r="H9" s="2"/>
      <c r="I9" s="2"/>
      <c r="J9" s="11"/>
      <c r="X9" s="5">
        <f t="shared" si="1"/>
        <v>46295</v>
      </c>
      <c r="Y9" s="2">
        <f t="shared" si="2"/>
        <v>0.22</v>
      </c>
    </row>
    <row r="10" spans="1:26" x14ac:dyDescent="0.25">
      <c r="A10" s="4" t="s">
        <v>70</v>
      </c>
      <c r="B10" s="5">
        <v>46125</v>
      </c>
      <c r="D10" s="12"/>
      <c r="E10" s="12"/>
      <c r="F10" s="19" t="str">
        <f t="shared" si="0"/>
        <v/>
      </c>
      <c r="G10" s="1"/>
      <c r="H10" s="1"/>
      <c r="I10" s="2"/>
      <c r="J10" s="11"/>
      <c r="X10" s="5">
        <f t="shared" si="1"/>
        <v>0</v>
      </c>
      <c r="Y10" s="2">
        <f t="shared" si="2"/>
        <v>0</v>
      </c>
    </row>
    <row r="11" spans="1:26" x14ac:dyDescent="0.25">
      <c r="A11" s="4" t="s">
        <v>10</v>
      </c>
      <c r="B11" s="5">
        <v>46402</v>
      </c>
      <c r="D11" s="12"/>
      <c r="E11" s="12"/>
      <c r="F11" s="19" t="str">
        <f t="shared" si="0"/>
        <v/>
      </c>
      <c r="G11" s="1"/>
      <c r="H11" s="2"/>
      <c r="I11" s="2"/>
      <c r="J11" s="11"/>
      <c r="X11" s="5">
        <f t="shared" si="1"/>
        <v>0</v>
      </c>
      <c r="Y11" s="2">
        <f t="shared" si="2"/>
        <v>0</v>
      </c>
    </row>
    <row r="12" spans="1:26" x14ac:dyDescent="0.25">
      <c r="A12" s="4" t="s">
        <v>71</v>
      </c>
      <c r="B12" s="19">
        <f ca="1">IF(B16&lt;&gt;K3,(TODAY()-B11)*-1,"")</f>
        <v>107</v>
      </c>
      <c r="D12" s="12"/>
      <c r="E12" s="12"/>
      <c r="F12" s="19" t="str">
        <f t="shared" si="0"/>
        <v/>
      </c>
      <c r="G12" s="2"/>
      <c r="H12" s="1"/>
      <c r="I12" s="1"/>
      <c r="J12" s="11"/>
      <c r="X12" s="5">
        <f t="shared" si="1"/>
        <v>0</v>
      </c>
      <c r="Y12" s="2">
        <f t="shared" si="2"/>
        <v>0</v>
      </c>
    </row>
    <row r="13" spans="1:26" x14ac:dyDescent="0.25">
      <c r="A13" s="4"/>
      <c r="B13" s="2"/>
      <c r="D13" s="12"/>
      <c r="E13" s="12"/>
      <c r="F13" s="19" t="str">
        <f t="shared" si="0"/>
        <v/>
      </c>
      <c r="G13" s="1"/>
      <c r="H13" s="2"/>
      <c r="I13" s="2"/>
      <c r="J13" s="11"/>
      <c r="N13" s="14"/>
      <c r="X13" s="5">
        <f t="shared" si="1"/>
        <v>0</v>
      </c>
      <c r="Y13" s="2">
        <f t="shared" si="2"/>
        <v>0</v>
      </c>
    </row>
    <row r="14" spans="1:26" x14ac:dyDescent="0.25">
      <c r="A14" s="13"/>
      <c r="B14" s="20"/>
      <c r="D14" s="12"/>
      <c r="E14" s="5"/>
      <c r="F14" s="19" t="str">
        <f t="shared" si="0"/>
        <v/>
      </c>
      <c r="G14" s="1"/>
      <c r="H14" s="1"/>
      <c r="I14" s="1"/>
      <c r="J14" s="11"/>
      <c r="X14" s="5">
        <f t="shared" si="1"/>
        <v>0</v>
      </c>
      <c r="Y14" s="2">
        <f t="shared" si="2"/>
        <v>0</v>
      </c>
    </row>
    <row r="15" spans="1:26" x14ac:dyDescent="0.25">
      <c r="A15" s="4" t="s">
        <v>1</v>
      </c>
      <c r="B15" s="6">
        <v>0.125</v>
      </c>
      <c r="D15" s="12"/>
      <c r="E15" s="5"/>
      <c r="F15" s="19" t="str">
        <f t="shared" si="0"/>
        <v/>
      </c>
      <c r="G15" s="1"/>
      <c r="H15" s="1"/>
      <c r="I15" s="1"/>
      <c r="J15" s="11"/>
      <c r="K15" s="18"/>
      <c r="L15" s="18"/>
      <c r="M15" s="18"/>
      <c r="N15" s="18"/>
      <c r="O15" s="18"/>
      <c r="P15" s="18"/>
      <c r="Q15" s="18"/>
      <c r="X15" s="5">
        <f t="shared" si="1"/>
        <v>0</v>
      </c>
      <c r="Y15" s="2">
        <f t="shared" si="2"/>
        <v>0</v>
      </c>
    </row>
    <row r="16" spans="1:26" x14ac:dyDescent="0.25">
      <c r="A16" s="4" t="s">
        <v>72</v>
      </c>
      <c r="B16" s="2">
        <v>20</v>
      </c>
      <c r="D16" s="12"/>
      <c r="E16" s="5"/>
      <c r="F16" s="19" t="str">
        <f t="shared" si="0"/>
        <v/>
      </c>
      <c r="G16" s="1"/>
      <c r="H16" s="1"/>
      <c r="I16" s="1"/>
      <c r="J16" s="11"/>
      <c r="K16" s="9"/>
      <c r="L16" s="9"/>
      <c r="M16" s="9"/>
      <c r="N16" s="21"/>
      <c r="O16" s="22"/>
      <c r="P16" s="11"/>
      <c r="Q16" s="11"/>
      <c r="X16" s="5">
        <f t="shared" si="1"/>
        <v>0</v>
      </c>
      <c r="Y16" s="2">
        <f t="shared" si="2"/>
        <v>0</v>
      </c>
    </row>
    <row r="17" spans="2:25" x14ac:dyDescent="0.25">
      <c r="D17" s="12"/>
      <c r="E17" s="5"/>
      <c r="F17" s="19" t="str">
        <f t="shared" si="0"/>
        <v/>
      </c>
      <c r="G17" s="1"/>
      <c r="H17" s="1"/>
      <c r="I17" s="1"/>
      <c r="J17" s="11"/>
      <c r="X17" s="5">
        <f t="shared" si="1"/>
        <v>0</v>
      </c>
      <c r="Y17" s="2">
        <f t="shared" si="2"/>
        <v>0</v>
      </c>
    </row>
    <row r="18" spans="2:25" x14ac:dyDescent="0.25">
      <c r="D18" s="12"/>
      <c r="E18" s="5"/>
      <c r="F18" s="19" t="str">
        <f t="shared" si="0"/>
        <v/>
      </c>
      <c r="G18" s="1"/>
      <c r="H18" s="1"/>
      <c r="I18" s="1"/>
      <c r="J18" s="11"/>
      <c r="X18" s="5">
        <f t="shared" si="1"/>
        <v>0</v>
      </c>
      <c r="Y18" s="2">
        <f t="shared" si="2"/>
        <v>0</v>
      </c>
    </row>
    <row r="19" spans="2:25" x14ac:dyDescent="0.25">
      <c r="D19" s="12"/>
      <c r="E19" s="5"/>
      <c r="F19" s="19" t="str">
        <f t="shared" si="0"/>
        <v/>
      </c>
      <c r="G19" s="1"/>
      <c r="H19" s="1"/>
      <c r="I19" s="1"/>
      <c r="J19" s="11"/>
      <c r="X19" s="5">
        <f t="shared" si="1"/>
        <v>0</v>
      </c>
      <c r="Y19" s="2">
        <f t="shared" si="2"/>
        <v>0</v>
      </c>
    </row>
    <row r="20" spans="2:25" x14ac:dyDescent="0.25">
      <c r="D20" s="12"/>
      <c r="E20" s="5"/>
      <c r="F20" s="19" t="str">
        <f t="shared" si="0"/>
        <v/>
      </c>
      <c r="G20" s="1"/>
      <c r="H20" s="1"/>
      <c r="I20" s="1"/>
      <c r="J20" s="11"/>
      <c r="X20" s="5">
        <f t="shared" si="1"/>
        <v>0</v>
      </c>
      <c r="Y20" s="2">
        <f t="shared" si="2"/>
        <v>0</v>
      </c>
    </row>
    <row r="21" spans="2:25" x14ac:dyDescent="0.25">
      <c r="D21" s="12"/>
      <c r="E21" s="5"/>
      <c r="F21" s="19" t="str">
        <f t="shared" si="0"/>
        <v/>
      </c>
      <c r="G21" s="1"/>
      <c r="H21" s="1"/>
      <c r="I21" s="1"/>
      <c r="J21" s="11"/>
      <c r="X21" s="5">
        <f t="shared" si="1"/>
        <v>0</v>
      </c>
      <c r="Y21" s="2">
        <f t="shared" si="2"/>
        <v>0</v>
      </c>
    </row>
    <row r="22" spans="2:25" x14ac:dyDescent="0.25">
      <c r="D22" s="12"/>
      <c r="E22" s="5"/>
      <c r="F22" s="19" t="str">
        <f t="shared" si="0"/>
        <v/>
      </c>
      <c r="G22" s="1"/>
      <c r="H22" s="1"/>
      <c r="I22" s="1"/>
      <c r="J22" s="11"/>
      <c r="X22" s="5">
        <f t="shared" si="1"/>
        <v>0</v>
      </c>
      <c r="Y22" s="2">
        <f t="shared" si="2"/>
        <v>0</v>
      </c>
    </row>
    <row r="23" spans="2:25" x14ac:dyDescent="0.25">
      <c r="B23" s="22"/>
      <c r="D23" s="12"/>
      <c r="E23" s="5"/>
      <c r="F23" s="19" t="str">
        <f t="shared" si="0"/>
        <v/>
      </c>
      <c r="G23" s="1"/>
      <c r="H23" s="1"/>
      <c r="I23" s="1"/>
      <c r="J23" s="11"/>
      <c r="X23" s="5">
        <f t="shared" si="1"/>
        <v>0</v>
      </c>
      <c r="Y23" s="2">
        <f t="shared" si="2"/>
        <v>0</v>
      </c>
    </row>
    <row r="24" spans="2:25" x14ac:dyDescent="0.25">
      <c r="D24" s="12"/>
      <c r="E24" s="5"/>
      <c r="F24" s="19" t="str">
        <f t="shared" si="0"/>
        <v/>
      </c>
      <c r="G24" s="1"/>
      <c r="H24" s="1"/>
      <c r="I24" s="1"/>
      <c r="J24" s="11"/>
      <c r="X24" s="5">
        <f t="shared" si="1"/>
        <v>0</v>
      </c>
      <c r="Y24" s="2">
        <f t="shared" si="2"/>
        <v>0</v>
      </c>
    </row>
    <row r="25" spans="2:25" x14ac:dyDescent="0.25">
      <c r="D25" s="12"/>
      <c r="E25" s="5"/>
      <c r="F25" s="19" t="str">
        <f t="shared" si="0"/>
        <v/>
      </c>
      <c r="G25" s="1"/>
      <c r="H25" s="1"/>
      <c r="I25" s="1"/>
      <c r="J25" s="11"/>
      <c r="X25" s="5">
        <f t="shared" si="1"/>
        <v>0</v>
      </c>
      <c r="Y25" s="2">
        <f t="shared" si="2"/>
        <v>0</v>
      </c>
    </row>
    <row r="26" spans="2:25" x14ac:dyDescent="0.25">
      <c r="D26" s="12"/>
      <c r="E26" s="5"/>
      <c r="F26" s="19" t="str">
        <f t="shared" si="0"/>
        <v/>
      </c>
      <c r="G26" s="1"/>
      <c r="H26" s="1"/>
      <c r="I26" s="1"/>
      <c r="J26" s="11"/>
      <c r="X26" s="5">
        <f t="shared" si="1"/>
        <v>0</v>
      </c>
      <c r="Y26" s="2">
        <f t="shared" si="2"/>
        <v>0</v>
      </c>
    </row>
    <row r="27" spans="2:25" x14ac:dyDescent="0.25">
      <c r="D27" s="12"/>
      <c r="E27" s="5"/>
      <c r="F27" s="19" t="str">
        <f t="shared" si="0"/>
        <v/>
      </c>
      <c r="G27" s="1"/>
      <c r="H27" s="1"/>
      <c r="I27" s="1"/>
      <c r="J27" s="11"/>
      <c r="X27" s="5">
        <f t="shared" si="1"/>
        <v>0</v>
      </c>
      <c r="Y27" s="2">
        <f t="shared" si="2"/>
        <v>0</v>
      </c>
    </row>
    <row r="28" spans="2:25" x14ac:dyDescent="0.25">
      <c r="D28" s="12"/>
      <c r="E28" s="5"/>
      <c r="F28" s="19" t="str">
        <f t="shared" si="0"/>
        <v/>
      </c>
      <c r="G28" s="1"/>
      <c r="H28" s="1"/>
      <c r="I28" s="1"/>
      <c r="J28" s="11"/>
      <c r="X28" s="5">
        <f t="shared" si="1"/>
        <v>0</v>
      </c>
      <c r="Y28" s="2">
        <f t="shared" si="2"/>
        <v>0</v>
      </c>
    </row>
    <row r="29" spans="2:25" x14ac:dyDescent="0.25">
      <c r="D29" s="12"/>
      <c r="E29" s="5"/>
      <c r="F29" s="19" t="str">
        <f t="shared" si="0"/>
        <v/>
      </c>
      <c r="G29" s="1"/>
      <c r="H29" s="1"/>
      <c r="I29" s="1"/>
      <c r="J29" s="11"/>
      <c r="X29" s="5">
        <f t="shared" si="1"/>
        <v>0</v>
      </c>
      <c r="Y29" s="2">
        <f t="shared" si="2"/>
        <v>0</v>
      </c>
    </row>
    <row r="30" spans="2:25" x14ac:dyDescent="0.25">
      <c r="D30" s="12"/>
      <c r="E30" s="5"/>
      <c r="F30" s="19" t="str">
        <f t="shared" si="0"/>
        <v/>
      </c>
      <c r="G30" s="1"/>
      <c r="H30" s="1"/>
      <c r="I30" s="1"/>
      <c r="J30" s="11"/>
      <c r="X30" s="5">
        <f t="shared" si="1"/>
        <v>0</v>
      </c>
      <c r="Y30" s="2">
        <f t="shared" si="2"/>
        <v>0</v>
      </c>
    </row>
    <row r="31" spans="2:25" x14ac:dyDescent="0.25">
      <c r="D31" s="12"/>
      <c r="E31" s="5"/>
      <c r="F31" s="19" t="str">
        <f t="shared" si="0"/>
        <v/>
      </c>
      <c r="G31" s="1"/>
      <c r="H31" s="1"/>
      <c r="I31" s="1"/>
      <c r="J31" s="11"/>
      <c r="X31" s="5">
        <f t="shared" si="1"/>
        <v>0</v>
      </c>
      <c r="Y31" s="2">
        <f t="shared" si="2"/>
        <v>0</v>
      </c>
    </row>
    <row r="32" spans="2:25" x14ac:dyDescent="0.25">
      <c r="D32" s="12"/>
      <c r="E32" s="5"/>
      <c r="F32" s="19" t="str">
        <f t="shared" si="0"/>
        <v/>
      </c>
      <c r="G32" s="1"/>
      <c r="H32" s="1"/>
      <c r="I32" s="1"/>
      <c r="J32" s="11"/>
      <c r="X32" s="5">
        <f t="shared" si="1"/>
        <v>0</v>
      </c>
      <c r="Y32" s="2">
        <f t="shared" si="2"/>
        <v>0</v>
      </c>
    </row>
    <row r="33" spans="4:25" x14ac:dyDescent="0.25">
      <c r="D33" s="12"/>
      <c r="E33" s="5"/>
      <c r="F33" s="19" t="str">
        <f t="shared" si="0"/>
        <v/>
      </c>
      <c r="G33" s="1"/>
      <c r="H33" s="1"/>
      <c r="I33" s="1"/>
      <c r="J33" s="11"/>
      <c r="X33" s="5">
        <f t="shared" si="1"/>
        <v>0</v>
      </c>
      <c r="Y33" s="2">
        <f t="shared" si="2"/>
        <v>0</v>
      </c>
    </row>
    <row r="34" spans="4:25" x14ac:dyDescent="0.25">
      <c r="D34" s="12"/>
      <c r="E34" s="5"/>
      <c r="F34" s="19" t="str">
        <f t="shared" si="0"/>
        <v/>
      </c>
      <c r="G34" s="1"/>
      <c r="H34" s="1"/>
      <c r="I34" s="1"/>
      <c r="J34" s="11"/>
      <c r="X34" s="5">
        <f t="shared" si="1"/>
        <v>0</v>
      </c>
      <c r="Y34" s="2">
        <f t="shared" si="2"/>
        <v>0</v>
      </c>
    </row>
    <row r="35" spans="4:25" x14ac:dyDescent="0.25">
      <c r="D35" s="12"/>
      <c r="E35" s="5"/>
      <c r="F35" s="19" t="str">
        <f t="shared" si="0"/>
        <v/>
      </c>
      <c r="G35" s="1"/>
      <c r="H35" s="1"/>
      <c r="I35" s="1"/>
      <c r="J35" s="11"/>
      <c r="X35" s="5">
        <f t="shared" si="1"/>
        <v>0</v>
      </c>
      <c r="Y35" s="2">
        <f t="shared" si="2"/>
        <v>0</v>
      </c>
    </row>
    <row r="36" spans="4:25" x14ac:dyDescent="0.25">
      <c r="D36" s="12"/>
      <c r="E36" s="5"/>
      <c r="F36" s="19" t="str">
        <f t="shared" si="0"/>
        <v/>
      </c>
      <c r="G36" s="1"/>
      <c r="H36" s="1"/>
      <c r="I36" s="1"/>
      <c r="J36" s="11"/>
      <c r="X36" s="5">
        <f t="shared" si="1"/>
        <v>0</v>
      </c>
      <c r="Y36" s="2">
        <f t="shared" si="2"/>
        <v>0</v>
      </c>
    </row>
    <row r="37" spans="4:25" x14ac:dyDescent="0.25">
      <c r="D37" s="12"/>
      <c r="E37" s="5"/>
      <c r="F37" s="19" t="str">
        <f t="shared" si="0"/>
        <v/>
      </c>
      <c r="G37" s="1"/>
      <c r="H37" s="1"/>
      <c r="I37" s="1"/>
      <c r="J37" s="11"/>
      <c r="X37" s="5">
        <f t="shared" si="1"/>
        <v>0</v>
      </c>
      <c r="Y37" s="2">
        <f t="shared" si="2"/>
        <v>0</v>
      </c>
    </row>
    <row r="38" spans="4:25" x14ac:dyDescent="0.25">
      <c r="D38" s="12"/>
      <c r="E38" s="5"/>
      <c r="F38" s="19" t="str">
        <f t="shared" si="0"/>
        <v/>
      </c>
      <c r="G38" s="1"/>
      <c r="H38" s="1"/>
      <c r="I38" s="1"/>
      <c r="J38" s="11"/>
      <c r="X38" s="5">
        <f t="shared" si="1"/>
        <v>0</v>
      </c>
      <c r="Y38" s="2">
        <f t="shared" si="2"/>
        <v>0</v>
      </c>
    </row>
    <row r="39" spans="4:25" x14ac:dyDescent="0.25">
      <c r="D39" s="12"/>
      <c r="E39" s="5"/>
      <c r="F39" s="19" t="str">
        <f t="shared" si="0"/>
        <v/>
      </c>
      <c r="G39" s="1"/>
      <c r="H39" s="1"/>
      <c r="I39" s="1"/>
      <c r="J39" s="11"/>
      <c r="X39" s="5">
        <f t="shared" si="1"/>
        <v>0</v>
      </c>
      <c r="Y39" s="2">
        <f t="shared" si="2"/>
        <v>0</v>
      </c>
    </row>
    <row r="40" spans="4:25" x14ac:dyDescent="0.25">
      <c r="D40" s="12"/>
      <c r="E40" s="5"/>
      <c r="F40" s="19" t="str">
        <f t="shared" si="0"/>
        <v/>
      </c>
      <c r="G40" s="1"/>
      <c r="H40" s="1"/>
      <c r="I40" s="1"/>
      <c r="J40" s="11"/>
      <c r="X40" s="5">
        <f t="shared" si="1"/>
        <v>0</v>
      </c>
      <c r="Y40" s="2">
        <f t="shared" si="2"/>
        <v>0</v>
      </c>
    </row>
    <row r="41" spans="4:25" x14ac:dyDescent="0.25">
      <c r="D41" s="12"/>
      <c r="E41" s="5"/>
      <c r="F41" s="19" t="str">
        <f t="shared" si="0"/>
        <v/>
      </c>
      <c r="G41" s="1"/>
      <c r="H41" s="1"/>
      <c r="I41" s="1"/>
      <c r="J41" s="11"/>
      <c r="X41" s="5">
        <f t="shared" si="1"/>
        <v>0</v>
      </c>
      <c r="Y41" s="2">
        <f t="shared" si="2"/>
        <v>0</v>
      </c>
    </row>
    <row r="42" spans="4:25" x14ac:dyDescent="0.25">
      <c r="D42" s="12"/>
      <c r="E42" s="5"/>
      <c r="F42" s="19" t="str">
        <f t="shared" si="0"/>
        <v/>
      </c>
      <c r="G42" s="1"/>
      <c r="H42" s="1"/>
      <c r="I42" s="1"/>
      <c r="J42" s="11"/>
      <c r="X42" s="5">
        <f t="shared" si="1"/>
        <v>0</v>
      </c>
      <c r="Y42" s="2">
        <f t="shared" si="2"/>
        <v>0</v>
      </c>
    </row>
    <row r="43" spans="4:25" x14ac:dyDescent="0.25">
      <c r="D43" s="12"/>
      <c r="E43" s="5"/>
      <c r="F43" s="19" t="str">
        <f t="shared" si="0"/>
        <v/>
      </c>
      <c r="G43" s="1"/>
      <c r="H43" s="1"/>
      <c r="I43" s="1"/>
      <c r="J43" s="11"/>
      <c r="X43" s="5">
        <f t="shared" si="1"/>
        <v>0</v>
      </c>
      <c r="Y43" s="2">
        <f t="shared" si="2"/>
        <v>0</v>
      </c>
    </row>
    <row r="44" spans="4:25" x14ac:dyDescent="0.25">
      <c r="D44" s="12"/>
      <c r="E44" s="5"/>
      <c r="F44" s="19" t="str">
        <f t="shared" si="0"/>
        <v/>
      </c>
      <c r="G44" s="1"/>
      <c r="H44" s="1"/>
      <c r="I44" s="1"/>
      <c r="J44" s="11"/>
      <c r="X44" s="5">
        <f t="shared" si="1"/>
        <v>0</v>
      </c>
      <c r="Y44" s="2">
        <f t="shared" si="2"/>
        <v>0</v>
      </c>
    </row>
    <row r="45" spans="4:25" x14ac:dyDescent="0.25">
      <c r="D45" s="12"/>
      <c r="E45" s="5"/>
      <c r="F45" s="19" t="str">
        <f t="shared" si="0"/>
        <v/>
      </c>
      <c r="G45" s="1"/>
      <c r="H45" s="1"/>
      <c r="I45" s="1"/>
      <c r="J45" s="11"/>
      <c r="X45" s="5">
        <f t="shared" si="1"/>
        <v>0</v>
      </c>
      <c r="Y45" s="2">
        <f t="shared" si="2"/>
        <v>0</v>
      </c>
    </row>
    <row r="46" spans="4:25" x14ac:dyDescent="0.25">
      <c r="D46" s="12"/>
      <c r="E46" s="5"/>
      <c r="F46" s="19" t="str">
        <f t="shared" si="0"/>
        <v/>
      </c>
      <c r="G46" s="1"/>
      <c r="H46" s="1"/>
      <c r="I46" s="1"/>
      <c r="J46" s="11"/>
      <c r="X46" s="5">
        <f t="shared" si="1"/>
        <v>0</v>
      </c>
      <c r="Y46" s="2">
        <f t="shared" si="2"/>
        <v>0</v>
      </c>
    </row>
    <row r="47" spans="4:25" x14ac:dyDescent="0.25">
      <c r="D47" s="12"/>
      <c r="E47" s="5"/>
      <c r="F47" s="19" t="str">
        <f t="shared" si="0"/>
        <v/>
      </c>
      <c r="G47" s="1"/>
      <c r="H47" s="1"/>
      <c r="I47" s="1"/>
      <c r="J47" s="11"/>
      <c r="X47" s="5">
        <f t="shared" si="1"/>
        <v>0</v>
      </c>
      <c r="Y47" s="2">
        <f t="shared" si="2"/>
        <v>0</v>
      </c>
    </row>
    <row r="48" spans="4:25" x14ac:dyDescent="0.25">
      <c r="D48" s="12"/>
      <c r="E48" s="5"/>
      <c r="F48" s="19" t="str">
        <f t="shared" si="0"/>
        <v/>
      </c>
      <c r="G48" s="1"/>
      <c r="H48" s="1"/>
      <c r="I48" s="1"/>
      <c r="J48" s="11"/>
      <c r="X48" s="5">
        <f t="shared" si="1"/>
        <v>0</v>
      </c>
      <c r="Y48" s="2">
        <f t="shared" si="2"/>
        <v>0</v>
      </c>
    </row>
    <row r="49" spans="4:25" x14ac:dyDescent="0.25">
      <c r="D49" s="12"/>
      <c r="E49" s="5"/>
      <c r="F49" s="19" t="str">
        <f t="shared" si="0"/>
        <v/>
      </c>
      <c r="G49" s="1"/>
      <c r="H49" s="1"/>
      <c r="I49" s="1"/>
      <c r="J49" s="11"/>
      <c r="X49" s="5">
        <f t="shared" si="1"/>
        <v>0</v>
      </c>
      <c r="Y49" s="2">
        <f t="shared" si="2"/>
        <v>0</v>
      </c>
    </row>
    <row r="50" spans="4:25" x14ac:dyDescent="0.25">
      <c r="D50" s="12"/>
      <c r="E50" s="5"/>
      <c r="F50" s="19" t="str">
        <f t="shared" si="0"/>
        <v/>
      </c>
      <c r="G50" s="1"/>
      <c r="H50" s="1"/>
      <c r="I50" s="1"/>
      <c r="J50" s="11"/>
      <c r="X50" s="5">
        <f t="shared" si="1"/>
        <v>0</v>
      </c>
      <c r="Y50" s="2">
        <f t="shared" si="2"/>
        <v>0</v>
      </c>
    </row>
    <row r="51" spans="4:25" x14ac:dyDescent="0.25">
      <c r="D51" s="12"/>
      <c r="E51" s="5"/>
      <c r="F51" s="19" t="str">
        <f t="shared" si="0"/>
        <v/>
      </c>
      <c r="G51" s="1"/>
      <c r="H51" s="1"/>
      <c r="I51" s="1"/>
      <c r="J51" s="11"/>
      <c r="X51" s="5">
        <f t="shared" si="1"/>
        <v>0</v>
      </c>
      <c r="Y51" s="2">
        <f t="shared" si="2"/>
        <v>0</v>
      </c>
    </row>
    <row r="52" spans="4:25" x14ac:dyDescent="0.25">
      <c r="D52" s="12"/>
      <c r="E52" s="5"/>
      <c r="F52" s="19" t="str">
        <f t="shared" si="0"/>
        <v/>
      </c>
      <c r="G52" s="1"/>
      <c r="H52" s="1"/>
      <c r="I52" s="1"/>
      <c r="J52" s="9"/>
      <c r="X52" s="5">
        <f t="shared" si="1"/>
        <v>0</v>
      </c>
      <c r="Y52" s="2">
        <f t="shared" si="2"/>
        <v>0</v>
      </c>
    </row>
    <row r="53" spans="4:25" x14ac:dyDescent="0.25">
      <c r="D53" s="1" t="s">
        <v>25</v>
      </c>
      <c r="E53" s="23"/>
      <c r="F53" s="2"/>
      <c r="G53" s="2">
        <f>SUM(G3:G52)</f>
        <v>0</v>
      </c>
      <c r="H53" s="2">
        <f t="shared" ref="H53:I53" si="3">SUM(H3:H52)</f>
        <v>1.01</v>
      </c>
      <c r="I53" s="2">
        <f t="shared" si="3"/>
        <v>0.05</v>
      </c>
    </row>
  </sheetData>
  <mergeCells count="4">
    <mergeCell ref="D1:F1"/>
    <mergeCell ref="G1:I1"/>
    <mergeCell ref="K1:Q1"/>
    <mergeCell ref="X1:Z1"/>
  </mergeCells>
  <conditionalFormatting sqref="A1:B1">
    <cfRule type="expression" dxfId="119" priority="1">
      <formula>$Z$3="+"</formula>
    </cfRule>
    <cfRule type="expression" dxfId="118" priority="2">
      <formula>$B$16=$K$3</formula>
    </cfRule>
  </conditionalFormatting>
  <conditionalFormatting sqref="P3">
    <cfRule type="expression" dxfId="117" priority="6">
      <formula>$Z$3="+"</formula>
    </cfRule>
  </conditionalFormatting>
  <conditionalFormatting sqref="Z3">
    <cfRule type="expression" dxfId="116" priority="7">
      <formula>$Z$3="+"</formula>
    </cfRule>
  </conditionalFormatting>
  <dataValidations count="1">
    <dataValidation type="list" allowBlank="1" showInputMessage="1" showErrorMessage="1" sqref="B2" xr:uid="{11ED46ED-4DED-4DDB-AC67-6D7561855B4D}">
      <formula1>"Romania,Moldova,Cyprus,Philippines"</formula1>
    </dataValidation>
  </dataValidations>
  <pageMargins left="0.7" right="0.7" top="0.75" bottom="0.75" header="0.3" footer="0.3"/>
  <pageSetup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E1EDE-5394-4F0E-AF22-BD458B896E30}">
  <dimension ref="A1:Z53"/>
  <sheetViews>
    <sheetView workbookViewId="0">
      <selection activeCell="I9" sqref="I9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1" customWidth="1"/>
    <col min="25" max="25" width="10.7109375" style="11" customWidth="1"/>
    <col min="26" max="26" width="10.7109375" customWidth="1"/>
  </cols>
  <sheetData>
    <row r="1" spans="1:26" x14ac:dyDescent="0.25">
      <c r="A1" s="4" t="s">
        <v>66</v>
      </c>
      <c r="B1" s="5" t="s">
        <v>62</v>
      </c>
      <c r="D1" s="29" t="s">
        <v>2</v>
      </c>
      <c r="E1" s="30"/>
      <c r="F1" s="31"/>
      <c r="G1" s="29" t="s">
        <v>0</v>
      </c>
      <c r="H1" s="30"/>
      <c r="I1" s="31"/>
      <c r="J1" s="18"/>
      <c r="K1" s="29" t="s">
        <v>58</v>
      </c>
      <c r="L1" s="30"/>
      <c r="M1" s="30"/>
      <c r="N1" s="30"/>
      <c r="O1" s="30"/>
      <c r="P1" s="30"/>
      <c r="Q1" s="31"/>
      <c r="X1" s="29"/>
      <c r="Y1" s="30"/>
      <c r="Z1" s="31"/>
    </row>
    <row r="2" spans="1:26" x14ac:dyDescent="0.25">
      <c r="A2" s="4" t="s">
        <v>21</v>
      </c>
      <c r="B2" s="5" t="s">
        <v>27</v>
      </c>
      <c r="D2" s="10" t="s">
        <v>49</v>
      </c>
      <c r="E2" s="10" t="s">
        <v>50</v>
      </c>
      <c r="F2" s="17" t="s">
        <v>67</v>
      </c>
      <c r="G2" s="10" t="s">
        <v>15</v>
      </c>
      <c r="H2" s="10" t="s">
        <v>16</v>
      </c>
      <c r="I2" s="10" t="s">
        <v>60</v>
      </c>
      <c r="J2" s="9"/>
      <c r="K2" s="10" t="s">
        <v>0</v>
      </c>
      <c r="L2" s="10" t="s">
        <v>1</v>
      </c>
      <c r="M2" s="10" t="s">
        <v>56</v>
      </c>
      <c r="N2" s="10" t="s">
        <v>57</v>
      </c>
      <c r="O2" s="10" t="s">
        <v>2</v>
      </c>
      <c r="P2" s="10" t="s">
        <v>68</v>
      </c>
      <c r="Q2" s="10" t="s">
        <v>67</v>
      </c>
      <c r="X2" s="10" t="s">
        <v>2</v>
      </c>
      <c r="Y2" s="10" t="s">
        <v>59</v>
      </c>
      <c r="Z2" s="10" t="s">
        <v>68</v>
      </c>
    </row>
    <row r="3" spans="1:26" x14ac:dyDescent="0.25">
      <c r="A3" s="4" t="s">
        <v>69</v>
      </c>
      <c r="B3" s="5" t="s">
        <v>78</v>
      </c>
      <c r="D3" s="12">
        <v>46142</v>
      </c>
      <c r="E3" s="12">
        <v>46142</v>
      </c>
      <c r="F3" s="19">
        <f t="shared" ref="F3:F52" si="0">IF(E3&gt;0,E3-D3,"")</f>
        <v>0</v>
      </c>
      <c r="G3" s="2">
        <v>0</v>
      </c>
      <c r="H3" s="2">
        <v>0</v>
      </c>
      <c r="I3" s="2">
        <v>0</v>
      </c>
      <c r="J3" s="11"/>
      <c r="K3" s="2">
        <f>G53</f>
        <v>20</v>
      </c>
      <c r="L3" s="2">
        <f>H53</f>
        <v>0.97</v>
      </c>
      <c r="M3" s="2">
        <f>I53</f>
        <v>6.0000000000000005E-2</v>
      </c>
      <c r="N3" s="6">
        <f>IF(B16=K3,XIRR(Y3:Y52,X3:X52),"")</f>
        <v>0.11356478333473208</v>
      </c>
      <c r="O3" s="5">
        <f>IF(B16=K3,MAX(E:E),"")</f>
        <v>46282</v>
      </c>
      <c r="P3" s="1" t="str">
        <f ca="1">IF(Z3="+",TODAY()-B11,"")</f>
        <v/>
      </c>
      <c r="Q3" s="1">
        <f>IF(B16=K3,MAX(E:E)-B11,"")</f>
        <v>-35</v>
      </c>
      <c r="T3" s="14"/>
      <c r="X3" s="5">
        <f>B9</f>
        <v>46129</v>
      </c>
      <c r="Y3" s="2">
        <f>B16*-1</f>
        <v>-20</v>
      </c>
      <c r="Z3" s="1" t="str">
        <f ca="1">IF(AND(TODAY()&gt;B11, K3&lt;&gt;B16), "+", "")</f>
        <v/>
      </c>
    </row>
    <row r="4" spans="1:26" x14ac:dyDescent="0.25">
      <c r="A4" s="4" t="s">
        <v>19</v>
      </c>
      <c r="B4" s="5" t="s">
        <v>20</v>
      </c>
      <c r="D4" s="12">
        <v>46173</v>
      </c>
      <c r="E4" s="12">
        <v>46173</v>
      </c>
      <c r="F4" s="19">
        <f t="shared" si="0"/>
        <v>0</v>
      </c>
      <c r="G4" s="2">
        <v>0</v>
      </c>
      <c r="H4" s="2">
        <v>0.15</v>
      </c>
      <c r="I4" s="2">
        <v>0.01</v>
      </c>
      <c r="J4" s="9"/>
      <c r="X4" s="5">
        <f>E3</f>
        <v>46142</v>
      </c>
      <c r="Y4" s="2">
        <f>G3+H3-I3</f>
        <v>0</v>
      </c>
    </row>
    <row r="5" spans="1:26" x14ac:dyDescent="0.25">
      <c r="A5" s="4"/>
      <c r="B5" s="5"/>
      <c r="D5" s="12">
        <v>46203</v>
      </c>
      <c r="E5" s="12">
        <v>46203</v>
      </c>
      <c r="F5" s="19">
        <f t="shared" si="0"/>
        <v>0</v>
      </c>
      <c r="G5" s="2">
        <v>0</v>
      </c>
      <c r="H5" s="2">
        <v>0.2</v>
      </c>
      <c r="I5" s="2">
        <v>0.02</v>
      </c>
      <c r="J5" s="9"/>
      <c r="X5" s="5">
        <f t="shared" ref="X5:X52" si="1">E4</f>
        <v>46173</v>
      </c>
      <c r="Y5" s="2">
        <f t="shared" ref="Y5:Y52" si="2">G4+H4-I4</f>
        <v>0.13999999999999999</v>
      </c>
    </row>
    <row r="6" spans="1:26" x14ac:dyDescent="0.25">
      <c r="A6" s="4"/>
      <c r="B6" s="5"/>
      <c r="D6" s="12">
        <v>46234</v>
      </c>
      <c r="E6" s="12">
        <v>46234</v>
      </c>
      <c r="F6" s="19">
        <f t="shared" si="0"/>
        <v>0</v>
      </c>
      <c r="G6" s="2">
        <v>0</v>
      </c>
      <c r="H6" s="2">
        <v>0.2</v>
      </c>
      <c r="I6" s="2">
        <v>0.02</v>
      </c>
      <c r="J6" s="9"/>
      <c r="X6" s="5">
        <f t="shared" si="1"/>
        <v>46203</v>
      </c>
      <c r="Y6" s="2">
        <f t="shared" si="2"/>
        <v>0.18000000000000002</v>
      </c>
    </row>
    <row r="7" spans="1:26" x14ac:dyDescent="0.25">
      <c r="A7" s="4"/>
      <c r="B7" s="5"/>
      <c r="D7" s="12">
        <v>46265</v>
      </c>
      <c r="E7" s="12">
        <v>46265</v>
      </c>
      <c r="F7" s="19">
        <f t="shared" si="0"/>
        <v>0</v>
      </c>
      <c r="G7" s="2">
        <v>0</v>
      </c>
      <c r="H7" s="1">
        <v>0.21</v>
      </c>
      <c r="I7" s="2">
        <v>0</v>
      </c>
      <c r="J7" s="11"/>
      <c r="X7" s="5">
        <f t="shared" si="1"/>
        <v>46234</v>
      </c>
      <c r="Y7" s="2">
        <f t="shared" si="2"/>
        <v>0.18000000000000002</v>
      </c>
    </row>
    <row r="8" spans="1:26" x14ac:dyDescent="0.25">
      <c r="A8" s="4" t="s">
        <v>24</v>
      </c>
      <c r="B8" s="5" t="str">
        <f>DATEDIF(B9,B11,"y") &amp; " m. " &amp; DATEDIF(B9,B11,"ym") &amp; " mėn. " &amp; DATEDIF(B9,B11,"md") &amp; " d."</f>
        <v>0 m. 6 mėn. 5 d.</v>
      </c>
      <c r="D8" s="12">
        <v>46282</v>
      </c>
      <c r="E8" s="12">
        <v>46282</v>
      </c>
      <c r="F8" s="19">
        <f t="shared" si="0"/>
        <v>0</v>
      </c>
      <c r="G8" s="2">
        <v>20</v>
      </c>
      <c r="H8" s="1">
        <v>0.21</v>
      </c>
      <c r="I8" s="2">
        <v>0.01</v>
      </c>
      <c r="J8" s="9"/>
      <c r="X8" s="5">
        <f t="shared" si="1"/>
        <v>46265</v>
      </c>
      <c r="Y8" s="2">
        <f t="shared" si="2"/>
        <v>0.21</v>
      </c>
    </row>
    <row r="9" spans="1:26" x14ac:dyDescent="0.25">
      <c r="A9" s="4" t="s">
        <v>11</v>
      </c>
      <c r="B9" s="5">
        <v>46129</v>
      </c>
      <c r="D9" s="12"/>
      <c r="E9" s="12"/>
      <c r="F9" s="19"/>
      <c r="G9" s="2"/>
      <c r="H9" s="2"/>
      <c r="I9" s="2"/>
      <c r="J9" s="11"/>
      <c r="X9" s="5">
        <f t="shared" si="1"/>
        <v>46282</v>
      </c>
      <c r="Y9" s="2">
        <f t="shared" si="2"/>
        <v>20.2</v>
      </c>
    </row>
    <row r="10" spans="1:26" x14ac:dyDescent="0.25">
      <c r="A10" s="4" t="s">
        <v>70</v>
      </c>
      <c r="B10" s="5">
        <v>46127</v>
      </c>
      <c r="D10" s="12"/>
      <c r="E10" s="12"/>
      <c r="F10" s="19" t="str">
        <f t="shared" si="0"/>
        <v/>
      </c>
      <c r="G10" s="1"/>
      <c r="H10" s="1"/>
      <c r="I10" s="2"/>
      <c r="J10" s="11"/>
      <c r="X10" s="5">
        <f t="shared" si="1"/>
        <v>0</v>
      </c>
      <c r="Y10" s="2">
        <f t="shared" si="2"/>
        <v>0</v>
      </c>
    </row>
    <row r="11" spans="1:26" x14ac:dyDescent="0.25">
      <c r="A11" s="4" t="s">
        <v>10</v>
      </c>
      <c r="B11" s="5">
        <v>46317</v>
      </c>
      <c r="D11" s="12"/>
      <c r="E11" s="12"/>
      <c r="F11" s="19" t="str">
        <f t="shared" si="0"/>
        <v/>
      </c>
      <c r="G11" s="1"/>
      <c r="H11" s="2"/>
      <c r="I11" s="2"/>
      <c r="J11" s="11"/>
      <c r="X11" s="5">
        <f t="shared" si="1"/>
        <v>0</v>
      </c>
      <c r="Y11" s="2">
        <f t="shared" si="2"/>
        <v>0</v>
      </c>
    </row>
    <row r="12" spans="1:26" x14ac:dyDescent="0.25">
      <c r="A12" s="4" t="s">
        <v>71</v>
      </c>
      <c r="B12" s="19" t="str">
        <f ca="1">IF(B16&lt;&gt;K3,(TODAY()-B11)*-1,"")</f>
        <v/>
      </c>
      <c r="D12" s="12"/>
      <c r="E12" s="12"/>
      <c r="F12" s="19" t="str">
        <f t="shared" si="0"/>
        <v/>
      </c>
      <c r="G12" s="2"/>
      <c r="H12" s="1"/>
      <c r="I12" s="1"/>
      <c r="J12" s="11"/>
      <c r="X12" s="5">
        <f t="shared" si="1"/>
        <v>0</v>
      </c>
      <c r="Y12" s="2">
        <f t="shared" si="2"/>
        <v>0</v>
      </c>
    </row>
    <row r="13" spans="1:26" x14ac:dyDescent="0.25">
      <c r="A13" s="4"/>
      <c r="B13" s="2"/>
      <c r="D13" s="12"/>
      <c r="E13" s="12"/>
      <c r="F13" s="19" t="str">
        <f t="shared" si="0"/>
        <v/>
      </c>
      <c r="G13" s="1"/>
      <c r="H13" s="2"/>
      <c r="I13" s="2"/>
      <c r="J13" s="11"/>
      <c r="N13" s="14"/>
      <c r="X13" s="5">
        <f t="shared" si="1"/>
        <v>0</v>
      </c>
      <c r="Y13" s="2">
        <f t="shared" si="2"/>
        <v>0</v>
      </c>
    </row>
    <row r="14" spans="1:26" x14ac:dyDescent="0.25">
      <c r="A14" s="13"/>
      <c r="B14" s="20"/>
      <c r="D14" s="12"/>
      <c r="E14" s="5"/>
      <c r="F14" s="19" t="str">
        <f t="shared" si="0"/>
        <v/>
      </c>
      <c r="G14" s="1"/>
      <c r="H14" s="1"/>
      <c r="I14" s="1"/>
      <c r="J14" s="11"/>
      <c r="X14" s="5">
        <f t="shared" si="1"/>
        <v>0</v>
      </c>
      <c r="Y14" s="2">
        <f t="shared" si="2"/>
        <v>0</v>
      </c>
    </row>
    <row r="15" spans="1:26" x14ac:dyDescent="0.25">
      <c r="A15" s="4" t="s">
        <v>1</v>
      </c>
      <c r="B15" s="6">
        <v>0.12</v>
      </c>
      <c r="D15" s="12"/>
      <c r="E15" s="5"/>
      <c r="F15" s="19" t="str">
        <f t="shared" si="0"/>
        <v/>
      </c>
      <c r="G15" s="1"/>
      <c r="H15" s="1"/>
      <c r="I15" s="1"/>
      <c r="J15" s="11"/>
      <c r="K15" s="18"/>
      <c r="L15" s="18"/>
      <c r="M15" s="18"/>
      <c r="N15" s="18"/>
      <c r="O15" s="18"/>
      <c r="P15" s="18"/>
      <c r="Q15" s="18"/>
      <c r="X15" s="5">
        <f t="shared" si="1"/>
        <v>0</v>
      </c>
      <c r="Y15" s="2">
        <f t="shared" si="2"/>
        <v>0</v>
      </c>
    </row>
    <row r="16" spans="1:26" x14ac:dyDescent="0.25">
      <c r="A16" s="4" t="s">
        <v>72</v>
      </c>
      <c r="B16" s="2">
        <v>20</v>
      </c>
      <c r="D16" s="12"/>
      <c r="E16" s="5"/>
      <c r="F16" s="19" t="str">
        <f t="shared" si="0"/>
        <v/>
      </c>
      <c r="G16" s="1"/>
      <c r="H16" s="1"/>
      <c r="I16" s="1"/>
      <c r="J16" s="11"/>
      <c r="K16" s="9"/>
      <c r="L16" s="9"/>
      <c r="M16" s="9"/>
      <c r="N16" s="21"/>
      <c r="O16" s="22"/>
      <c r="P16" s="11"/>
      <c r="Q16" s="11"/>
      <c r="X16" s="5">
        <f t="shared" si="1"/>
        <v>0</v>
      </c>
      <c r="Y16" s="2">
        <f t="shared" si="2"/>
        <v>0</v>
      </c>
    </row>
    <row r="17" spans="2:25" x14ac:dyDescent="0.25">
      <c r="D17" s="12"/>
      <c r="E17" s="5"/>
      <c r="F17" s="19" t="str">
        <f t="shared" si="0"/>
        <v/>
      </c>
      <c r="G17" s="1"/>
      <c r="H17" s="1"/>
      <c r="I17" s="1"/>
      <c r="J17" s="11"/>
      <c r="X17" s="5">
        <f t="shared" si="1"/>
        <v>0</v>
      </c>
      <c r="Y17" s="2">
        <f t="shared" si="2"/>
        <v>0</v>
      </c>
    </row>
    <row r="18" spans="2:25" x14ac:dyDescent="0.25">
      <c r="D18" s="12"/>
      <c r="E18" s="5"/>
      <c r="F18" s="19" t="str">
        <f t="shared" si="0"/>
        <v/>
      </c>
      <c r="G18" s="1"/>
      <c r="H18" s="1"/>
      <c r="I18" s="1"/>
      <c r="J18" s="11"/>
      <c r="X18" s="5">
        <f t="shared" si="1"/>
        <v>0</v>
      </c>
      <c r="Y18" s="2">
        <f t="shared" si="2"/>
        <v>0</v>
      </c>
    </row>
    <row r="19" spans="2:25" x14ac:dyDescent="0.25">
      <c r="D19" s="12"/>
      <c r="E19" s="5"/>
      <c r="F19" s="19" t="str">
        <f t="shared" si="0"/>
        <v/>
      </c>
      <c r="G19" s="1"/>
      <c r="H19" s="1"/>
      <c r="I19" s="1"/>
      <c r="J19" s="11"/>
      <c r="X19" s="5">
        <f t="shared" si="1"/>
        <v>0</v>
      </c>
      <c r="Y19" s="2">
        <f t="shared" si="2"/>
        <v>0</v>
      </c>
    </row>
    <row r="20" spans="2:25" x14ac:dyDescent="0.25">
      <c r="D20" s="12"/>
      <c r="E20" s="5"/>
      <c r="F20" s="19" t="str">
        <f t="shared" si="0"/>
        <v/>
      </c>
      <c r="G20" s="1"/>
      <c r="H20" s="1"/>
      <c r="I20" s="1"/>
      <c r="J20" s="11"/>
      <c r="X20" s="5">
        <f t="shared" si="1"/>
        <v>0</v>
      </c>
      <c r="Y20" s="2">
        <f t="shared" si="2"/>
        <v>0</v>
      </c>
    </row>
    <row r="21" spans="2:25" x14ac:dyDescent="0.25">
      <c r="D21" s="12"/>
      <c r="E21" s="5"/>
      <c r="F21" s="19" t="str">
        <f t="shared" si="0"/>
        <v/>
      </c>
      <c r="G21" s="1"/>
      <c r="H21" s="1"/>
      <c r="I21" s="1"/>
      <c r="J21" s="11"/>
      <c r="X21" s="5">
        <f t="shared" si="1"/>
        <v>0</v>
      </c>
      <c r="Y21" s="2">
        <f t="shared" si="2"/>
        <v>0</v>
      </c>
    </row>
    <row r="22" spans="2:25" x14ac:dyDescent="0.25">
      <c r="D22" s="12"/>
      <c r="E22" s="5"/>
      <c r="F22" s="19" t="str">
        <f t="shared" si="0"/>
        <v/>
      </c>
      <c r="G22" s="1"/>
      <c r="H22" s="1"/>
      <c r="I22" s="1"/>
      <c r="J22" s="11"/>
      <c r="X22" s="5">
        <f t="shared" si="1"/>
        <v>0</v>
      </c>
      <c r="Y22" s="2">
        <f t="shared" si="2"/>
        <v>0</v>
      </c>
    </row>
    <row r="23" spans="2:25" x14ac:dyDescent="0.25">
      <c r="B23" s="22"/>
      <c r="D23" s="12"/>
      <c r="E23" s="5"/>
      <c r="F23" s="19" t="str">
        <f t="shared" si="0"/>
        <v/>
      </c>
      <c r="G23" s="1"/>
      <c r="H23" s="1"/>
      <c r="I23" s="1"/>
      <c r="J23" s="11"/>
      <c r="X23" s="5">
        <f t="shared" si="1"/>
        <v>0</v>
      </c>
      <c r="Y23" s="2">
        <f t="shared" si="2"/>
        <v>0</v>
      </c>
    </row>
    <row r="24" spans="2:25" x14ac:dyDescent="0.25">
      <c r="D24" s="12"/>
      <c r="E24" s="5"/>
      <c r="F24" s="19" t="str">
        <f t="shared" si="0"/>
        <v/>
      </c>
      <c r="G24" s="1"/>
      <c r="H24" s="1"/>
      <c r="I24" s="1"/>
      <c r="J24" s="11"/>
      <c r="X24" s="5">
        <f t="shared" si="1"/>
        <v>0</v>
      </c>
      <c r="Y24" s="2">
        <f t="shared" si="2"/>
        <v>0</v>
      </c>
    </row>
    <row r="25" spans="2:25" x14ac:dyDescent="0.25">
      <c r="D25" s="12"/>
      <c r="E25" s="5"/>
      <c r="F25" s="19" t="str">
        <f t="shared" si="0"/>
        <v/>
      </c>
      <c r="G25" s="1"/>
      <c r="H25" s="1"/>
      <c r="I25" s="1"/>
      <c r="J25" s="11"/>
      <c r="X25" s="5">
        <f t="shared" si="1"/>
        <v>0</v>
      </c>
      <c r="Y25" s="2">
        <f t="shared" si="2"/>
        <v>0</v>
      </c>
    </row>
    <row r="26" spans="2:25" x14ac:dyDescent="0.25">
      <c r="D26" s="12"/>
      <c r="E26" s="5"/>
      <c r="F26" s="19" t="str">
        <f t="shared" si="0"/>
        <v/>
      </c>
      <c r="G26" s="1"/>
      <c r="H26" s="1"/>
      <c r="I26" s="1"/>
      <c r="J26" s="11"/>
      <c r="X26" s="5">
        <f t="shared" si="1"/>
        <v>0</v>
      </c>
      <c r="Y26" s="2">
        <f t="shared" si="2"/>
        <v>0</v>
      </c>
    </row>
    <row r="27" spans="2:25" x14ac:dyDescent="0.25">
      <c r="D27" s="12"/>
      <c r="E27" s="5"/>
      <c r="F27" s="19" t="str">
        <f t="shared" si="0"/>
        <v/>
      </c>
      <c r="G27" s="1"/>
      <c r="H27" s="1"/>
      <c r="I27" s="1"/>
      <c r="J27" s="11"/>
      <c r="X27" s="5">
        <f t="shared" si="1"/>
        <v>0</v>
      </c>
      <c r="Y27" s="2">
        <f t="shared" si="2"/>
        <v>0</v>
      </c>
    </row>
    <row r="28" spans="2:25" x14ac:dyDescent="0.25">
      <c r="D28" s="12"/>
      <c r="E28" s="5"/>
      <c r="F28" s="19" t="str">
        <f t="shared" si="0"/>
        <v/>
      </c>
      <c r="G28" s="1"/>
      <c r="H28" s="1"/>
      <c r="I28" s="1"/>
      <c r="J28" s="11"/>
      <c r="X28" s="5">
        <f t="shared" si="1"/>
        <v>0</v>
      </c>
      <c r="Y28" s="2">
        <f t="shared" si="2"/>
        <v>0</v>
      </c>
    </row>
    <row r="29" spans="2:25" x14ac:dyDescent="0.25">
      <c r="D29" s="12"/>
      <c r="E29" s="5"/>
      <c r="F29" s="19" t="str">
        <f t="shared" si="0"/>
        <v/>
      </c>
      <c r="G29" s="1"/>
      <c r="H29" s="1"/>
      <c r="I29" s="1"/>
      <c r="J29" s="11"/>
      <c r="X29" s="5">
        <f t="shared" si="1"/>
        <v>0</v>
      </c>
      <c r="Y29" s="2">
        <f t="shared" si="2"/>
        <v>0</v>
      </c>
    </row>
    <row r="30" spans="2:25" x14ac:dyDescent="0.25">
      <c r="D30" s="12"/>
      <c r="E30" s="5"/>
      <c r="F30" s="19" t="str">
        <f t="shared" si="0"/>
        <v/>
      </c>
      <c r="G30" s="1"/>
      <c r="H30" s="1"/>
      <c r="I30" s="1"/>
      <c r="J30" s="11"/>
      <c r="X30" s="5">
        <f t="shared" si="1"/>
        <v>0</v>
      </c>
      <c r="Y30" s="2">
        <f t="shared" si="2"/>
        <v>0</v>
      </c>
    </row>
    <row r="31" spans="2:25" x14ac:dyDescent="0.25">
      <c r="D31" s="12"/>
      <c r="E31" s="5"/>
      <c r="F31" s="19" t="str">
        <f t="shared" si="0"/>
        <v/>
      </c>
      <c r="G31" s="1"/>
      <c r="H31" s="1"/>
      <c r="I31" s="1"/>
      <c r="J31" s="11"/>
      <c r="X31" s="5">
        <f t="shared" si="1"/>
        <v>0</v>
      </c>
      <c r="Y31" s="2">
        <f t="shared" si="2"/>
        <v>0</v>
      </c>
    </row>
    <row r="32" spans="2:25" x14ac:dyDescent="0.25">
      <c r="D32" s="12"/>
      <c r="E32" s="5"/>
      <c r="F32" s="19" t="str">
        <f t="shared" si="0"/>
        <v/>
      </c>
      <c r="G32" s="1"/>
      <c r="H32" s="1"/>
      <c r="I32" s="1"/>
      <c r="J32" s="11"/>
      <c r="X32" s="5">
        <f t="shared" si="1"/>
        <v>0</v>
      </c>
      <c r="Y32" s="2">
        <f t="shared" si="2"/>
        <v>0</v>
      </c>
    </row>
    <row r="33" spans="4:25" x14ac:dyDescent="0.25">
      <c r="D33" s="12"/>
      <c r="E33" s="5"/>
      <c r="F33" s="19" t="str">
        <f t="shared" si="0"/>
        <v/>
      </c>
      <c r="G33" s="1"/>
      <c r="H33" s="1"/>
      <c r="I33" s="1"/>
      <c r="J33" s="11"/>
      <c r="X33" s="5">
        <f t="shared" si="1"/>
        <v>0</v>
      </c>
      <c r="Y33" s="2">
        <f t="shared" si="2"/>
        <v>0</v>
      </c>
    </row>
    <row r="34" spans="4:25" x14ac:dyDescent="0.25">
      <c r="D34" s="12"/>
      <c r="E34" s="5"/>
      <c r="F34" s="19" t="str">
        <f t="shared" si="0"/>
        <v/>
      </c>
      <c r="G34" s="1"/>
      <c r="H34" s="1"/>
      <c r="I34" s="1"/>
      <c r="J34" s="11"/>
      <c r="X34" s="5">
        <f t="shared" si="1"/>
        <v>0</v>
      </c>
      <c r="Y34" s="2">
        <f t="shared" si="2"/>
        <v>0</v>
      </c>
    </row>
    <row r="35" spans="4:25" x14ac:dyDescent="0.25">
      <c r="D35" s="12"/>
      <c r="E35" s="5"/>
      <c r="F35" s="19" t="str">
        <f t="shared" si="0"/>
        <v/>
      </c>
      <c r="G35" s="1"/>
      <c r="H35" s="1"/>
      <c r="I35" s="1"/>
      <c r="J35" s="11"/>
      <c r="X35" s="5">
        <f t="shared" si="1"/>
        <v>0</v>
      </c>
      <c r="Y35" s="2">
        <f t="shared" si="2"/>
        <v>0</v>
      </c>
    </row>
    <row r="36" spans="4:25" x14ac:dyDescent="0.25">
      <c r="D36" s="12"/>
      <c r="E36" s="5"/>
      <c r="F36" s="19" t="str">
        <f t="shared" si="0"/>
        <v/>
      </c>
      <c r="G36" s="1"/>
      <c r="H36" s="1"/>
      <c r="I36" s="1"/>
      <c r="J36" s="11"/>
      <c r="X36" s="5">
        <f t="shared" si="1"/>
        <v>0</v>
      </c>
      <c r="Y36" s="2">
        <f t="shared" si="2"/>
        <v>0</v>
      </c>
    </row>
    <row r="37" spans="4:25" x14ac:dyDescent="0.25">
      <c r="D37" s="12"/>
      <c r="E37" s="5"/>
      <c r="F37" s="19" t="str">
        <f t="shared" si="0"/>
        <v/>
      </c>
      <c r="G37" s="1"/>
      <c r="H37" s="1"/>
      <c r="I37" s="1"/>
      <c r="J37" s="11"/>
      <c r="X37" s="5">
        <f t="shared" si="1"/>
        <v>0</v>
      </c>
      <c r="Y37" s="2">
        <f t="shared" si="2"/>
        <v>0</v>
      </c>
    </row>
    <row r="38" spans="4:25" x14ac:dyDescent="0.25">
      <c r="D38" s="12"/>
      <c r="E38" s="5"/>
      <c r="F38" s="19" t="str">
        <f t="shared" si="0"/>
        <v/>
      </c>
      <c r="G38" s="1"/>
      <c r="H38" s="1"/>
      <c r="I38" s="1"/>
      <c r="J38" s="11"/>
      <c r="X38" s="5">
        <f t="shared" si="1"/>
        <v>0</v>
      </c>
      <c r="Y38" s="2">
        <f t="shared" si="2"/>
        <v>0</v>
      </c>
    </row>
    <row r="39" spans="4:25" x14ac:dyDescent="0.25">
      <c r="D39" s="12"/>
      <c r="E39" s="5"/>
      <c r="F39" s="19" t="str">
        <f t="shared" si="0"/>
        <v/>
      </c>
      <c r="G39" s="1"/>
      <c r="H39" s="1"/>
      <c r="I39" s="1"/>
      <c r="J39" s="11"/>
      <c r="X39" s="5">
        <f t="shared" si="1"/>
        <v>0</v>
      </c>
      <c r="Y39" s="2">
        <f t="shared" si="2"/>
        <v>0</v>
      </c>
    </row>
    <row r="40" spans="4:25" x14ac:dyDescent="0.25">
      <c r="D40" s="12"/>
      <c r="E40" s="5"/>
      <c r="F40" s="19" t="str">
        <f t="shared" si="0"/>
        <v/>
      </c>
      <c r="G40" s="1"/>
      <c r="H40" s="1"/>
      <c r="I40" s="1"/>
      <c r="J40" s="11"/>
      <c r="X40" s="5">
        <f t="shared" si="1"/>
        <v>0</v>
      </c>
      <c r="Y40" s="2">
        <f t="shared" si="2"/>
        <v>0</v>
      </c>
    </row>
    <row r="41" spans="4:25" x14ac:dyDescent="0.25">
      <c r="D41" s="12"/>
      <c r="E41" s="5"/>
      <c r="F41" s="19" t="str">
        <f t="shared" si="0"/>
        <v/>
      </c>
      <c r="G41" s="1"/>
      <c r="H41" s="1"/>
      <c r="I41" s="1"/>
      <c r="J41" s="11"/>
      <c r="X41" s="5">
        <f t="shared" si="1"/>
        <v>0</v>
      </c>
      <c r="Y41" s="2">
        <f t="shared" si="2"/>
        <v>0</v>
      </c>
    </row>
    <row r="42" spans="4:25" x14ac:dyDescent="0.25">
      <c r="D42" s="12"/>
      <c r="E42" s="5"/>
      <c r="F42" s="19" t="str">
        <f t="shared" si="0"/>
        <v/>
      </c>
      <c r="G42" s="1"/>
      <c r="H42" s="1"/>
      <c r="I42" s="1"/>
      <c r="J42" s="11"/>
      <c r="X42" s="5">
        <f t="shared" si="1"/>
        <v>0</v>
      </c>
      <c r="Y42" s="2">
        <f t="shared" si="2"/>
        <v>0</v>
      </c>
    </row>
    <row r="43" spans="4:25" x14ac:dyDescent="0.25">
      <c r="D43" s="12"/>
      <c r="E43" s="5"/>
      <c r="F43" s="19" t="str">
        <f t="shared" si="0"/>
        <v/>
      </c>
      <c r="G43" s="1"/>
      <c r="H43" s="1"/>
      <c r="I43" s="1"/>
      <c r="J43" s="11"/>
      <c r="X43" s="5">
        <f t="shared" si="1"/>
        <v>0</v>
      </c>
      <c r="Y43" s="2">
        <f t="shared" si="2"/>
        <v>0</v>
      </c>
    </row>
    <row r="44" spans="4:25" x14ac:dyDescent="0.25">
      <c r="D44" s="12"/>
      <c r="E44" s="5"/>
      <c r="F44" s="19" t="str">
        <f t="shared" si="0"/>
        <v/>
      </c>
      <c r="G44" s="1"/>
      <c r="H44" s="1"/>
      <c r="I44" s="1"/>
      <c r="J44" s="11"/>
      <c r="X44" s="5">
        <f t="shared" si="1"/>
        <v>0</v>
      </c>
      <c r="Y44" s="2">
        <f t="shared" si="2"/>
        <v>0</v>
      </c>
    </row>
    <row r="45" spans="4:25" x14ac:dyDescent="0.25">
      <c r="D45" s="12"/>
      <c r="E45" s="5"/>
      <c r="F45" s="19" t="str">
        <f t="shared" si="0"/>
        <v/>
      </c>
      <c r="G45" s="1"/>
      <c r="H45" s="1"/>
      <c r="I45" s="1"/>
      <c r="J45" s="11"/>
      <c r="X45" s="5">
        <f t="shared" si="1"/>
        <v>0</v>
      </c>
      <c r="Y45" s="2">
        <f t="shared" si="2"/>
        <v>0</v>
      </c>
    </row>
    <row r="46" spans="4:25" x14ac:dyDescent="0.25">
      <c r="D46" s="12"/>
      <c r="E46" s="5"/>
      <c r="F46" s="19" t="str">
        <f t="shared" si="0"/>
        <v/>
      </c>
      <c r="G46" s="1"/>
      <c r="H46" s="1"/>
      <c r="I46" s="1"/>
      <c r="J46" s="11"/>
      <c r="X46" s="5">
        <f t="shared" si="1"/>
        <v>0</v>
      </c>
      <c r="Y46" s="2">
        <f t="shared" si="2"/>
        <v>0</v>
      </c>
    </row>
    <row r="47" spans="4:25" x14ac:dyDescent="0.25">
      <c r="D47" s="12"/>
      <c r="E47" s="5"/>
      <c r="F47" s="19" t="str">
        <f t="shared" si="0"/>
        <v/>
      </c>
      <c r="G47" s="1"/>
      <c r="H47" s="1"/>
      <c r="I47" s="1"/>
      <c r="J47" s="11"/>
      <c r="X47" s="5">
        <f t="shared" si="1"/>
        <v>0</v>
      </c>
      <c r="Y47" s="2">
        <f t="shared" si="2"/>
        <v>0</v>
      </c>
    </row>
    <row r="48" spans="4:25" x14ac:dyDescent="0.25">
      <c r="D48" s="12"/>
      <c r="E48" s="5"/>
      <c r="F48" s="19" t="str">
        <f t="shared" si="0"/>
        <v/>
      </c>
      <c r="G48" s="1"/>
      <c r="H48" s="1"/>
      <c r="I48" s="1"/>
      <c r="J48" s="11"/>
      <c r="X48" s="5">
        <f t="shared" si="1"/>
        <v>0</v>
      </c>
      <c r="Y48" s="2">
        <f t="shared" si="2"/>
        <v>0</v>
      </c>
    </row>
    <row r="49" spans="4:25" x14ac:dyDescent="0.25">
      <c r="D49" s="12"/>
      <c r="E49" s="5"/>
      <c r="F49" s="19" t="str">
        <f t="shared" si="0"/>
        <v/>
      </c>
      <c r="G49" s="1"/>
      <c r="H49" s="1"/>
      <c r="I49" s="1"/>
      <c r="J49" s="11"/>
      <c r="X49" s="5">
        <f t="shared" si="1"/>
        <v>0</v>
      </c>
      <c r="Y49" s="2">
        <f t="shared" si="2"/>
        <v>0</v>
      </c>
    </row>
    <row r="50" spans="4:25" x14ac:dyDescent="0.25">
      <c r="D50" s="12"/>
      <c r="E50" s="5"/>
      <c r="F50" s="19" t="str">
        <f t="shared" si="0"/>
        <v/>
      </c>
      <c r="G50" s="1"/>
      <c r="H50" s="1"/>
      <c r="I50" s="1"/>
      <c r="J50" s="11"/>
      <c r="X50" s="5">
        <f t="shared" si="1"/>
        <v>0</v>
      </c>
      <c r="Y50" s="2">
        <f t="shared" si="2"/>
        <v>0</v>
      </c>
    </row>
    <row r="51" spans="4:25" x14ac:dyDescent="0.25">
      <c r="D51" s="12"/>
      <c r="E51" s="5"/>
      <c r="F51" s="19" t="str">
        <f t="shared" si="0"/>
        <v/>
      </c>
      <c r="G51" s="1"/>
      <c r="H51" s="1"/>
      <c r="I51" s="1"/>
      <c r="J51" s="11"/>
      <c r="X51" s="5">
        <f t="shared" si="1"/>
        <v>0</v>
      </c>
      <c r="Y51" s="2">
        <f t="shared" si="2"/>
        <v>0</v>
      </c>
    </row>
    <row r="52" spans="4:25" x14ac:dyDescent="0.25">
      <c r="D52" s="12"/>
      <c r="E52" s="5"/>
      <c r="F52" s="19" t="str">
        <f t="shared" si="0"/>
        <v/>
      </c>
      <c r="G52" s="1"/>
      <c r="H52" s="1"/>
      <c r="I52" s="1"/>
      <c r="J52" s="9"/>
      <c r="X52" s="5">
        <f t="shared" si="1"/>
        <v>0</v>
      </c>
      <c r="Y52" s="2">
        <f t="shared" si="2"/>
        <v>0</v>
      </c>
    </row>
    <row r="53" spans="4:25" x14ac:dyDescent="0.25">
      <c r="D53" s="1" t="s">
        <v>25</v>
      </c>
      <c r="E53" s="23"/>
      <c r="F53" s="2"/>
      <c r="G53" s="2">
        <f>SUM(G3:G52)</f>
        <v>20</v>
      </c>
      <c r="H53" s="2">
        <f t="shared" ref="H53:I53" si="3">SUM(H3:H52)</f>
        <v>0.97</v>
      </c>
      <c r="I53" s="2">
        <f t="shared" si="3"/>
        <v>6.0000000000000005E-2</v>
      </c>
    </row>
  </sheetData>
  <mergeCells count="4">
    <mergeCell ref="D1:F1"/>
    <mergeCell ref="G1:I1"/>
    <mergeCell ref="K1:Q1"/>
    <mergeCell ref="X1:Z1"/>
  </mergeCells>
  <conditionalFormatting sqref="A1:B1">
    <cfRule type="expression" dxfId="115" priority="1">
      <formula>$Z$3="+"</formula>
    </cfRule>
    <cfRule type="expression" dxfId="114" priority="2">
      <formula>$B$16=$K$3</formula>
    </cfRule>
  </conditionalFormatting>
  <conditionalFormatting sqref="P3">
    <cfRule type="expression" dxfId="113" priority="6">
      <formula>$Z$3="+"</formula>
    </cfRule>
  </conditionalFormatting>
  <conditionalFormatting sqref="Z3">
    <cfRule type="expression" dxfId="112" priority="7">
      <formula>$Z$3="+"</formula>
    </cfRule>
  </conditionalFormatting>
  <dataValidations count="1">
    <dataValidation type="list" allowBlank="1" showInputMessage="1" showErrorMessage="1" sqref="B2" xr:uid="{4B2143EF-F77C-4488-8CBC-8516E0A5BC87}">
      <formula1>"Romania,Moldova,Cyprus,Philippines"</formula1>
    </dataValidation>
  </dataValidations>
  <pageMargins left="0.7" right="0.7" top="0.75" bottom="0.75" header="0.3" footer="0.3"/>
  <pageSetup orientation="portrait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2ACAA-5390-4C17-8A28-4619B27FC675}">
  <dimension ref="A1:Z53"/>
  <sheetViews>
    <sheetView workbookViewId="0">
      <selection activeCell="I9" sqref="I9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1" customWidth="1"/>
    <col min="25" max="25" width="10.7109375" style="11" customWidth="1"/>
    <col min="26" max="26" width="10.7109375" customWidth="1"/>
  </cols>
  <sheetData>
    <row r="1" spans="1:26" x14ac:dyDescent="0.25">
      <c r="A1" s="4" t="s">
        <v>66</v>
      </c>
      <c r="B1" s="5" t="s">
        <v>61</v>
      </c>
      <c r="D1" s="29" t="s">
        <v>2</v>
      </c>
      <c r="E1" s="30"/>
      <c r="F1" s="31"/>
      <c r="G1" s="29" t="s">
        <v>0</v>
      </c>
      <c r="H1" s="30"/>
      <c r="I1" s="31"/>
      <c r="J1" s="18"/>
      <c r="K1" s="29" t="s">
        <v>58</v>
      </c>
      <c r="L1" s="30"/>
      <c r="M1" s="30"/>
      <c r="N1" s="30"/>
      <c r="O1" s="30"/>
      <c r="P1" s="30"/>
      <c r="Q1" s="31"/>
      <c r="X1" s="29"/>
      <c r="Y1" s="30"/>
      <c r="Z1" s="31"/>
    </row>
    <row r="2" spans="1:26" x14ac:dyDescent="0.25">
      <c r="A2" s="4" t="s">
        <v>21</v>
      </c>
      <c r="B2" s="5" t="s">
        <v>22</v>
      </c>
      <c r="D2" s="10" t="s">
        <v>49</v>
      </c>
      <c r="E2" s="10" t="s">
        <v>50</v>
      </c>
      <c r="F2" s="17" t="s">
        <v>67</v>
      </c>
      <c r="G2" s="10" t="s">
        <v>15</v>
      </c>
      <c r="H2" s="10" t="s">
        <v>16</v>
      </c>
      <c r="I2" s="10" t="s">
        <v>60</v>
      </c>
      <c r="J2" s="9"/>
      <c r="K2" s="10" t="s">
        <v>0</v>
      </c>
      <c r="L2" s="10" t="s">
        <v>1</v>
      </c>
      <c r="M2" s="10" t="s">
        <v>56</v>
      </c>
      <c r="N2" s="10" t="s">
        <v>57</v>
      </c>
      <c r="O2" s="10" t="s">
        <v>2</v>
      </c>
      <c r="P2" s="10" t="s">
        <v>68</v>
      </c>
      <c r="Q2" s="10" t="s">
        <v>67</v>
      </c>
      <c r="X2" s="10" t="s">
        <v>2</v>
      </c>
      <c r="Y2" s="10" t="s">
        <v>59</v>
      </c>
      <c r="Z2" s="10" t="s">
        <v>68</v>
      </c>
    </row>
    <row r="3" spans="1:26" x14ac:dyDescent="0.25">
      <c r="A3" s="4" t="s">
        <v>69</v>
      </c>
      <c r="B3" s="5" t="s">
        <v>73</v>
      </c>
      <c r="D3" s="12">
        <v>46142</v>
      </c>
      <c r="E3" s="12">
        <v>46142</v>
      </c>
      <c r="F3" s="19">
        <f t="shared" ref="F3:F52" si="0">IF(E3&gt;0,E3-D3,"")</f>
        <v>0</v>
      </c>
      <c r="G3" s="2">
        <v>0.96</v>
      </c>
      <c r="H3" s="2">
        <v>0.12</v>
      </c>
      <c r="I3" s="2">
        <v>0.01</v>
      </c>
      <c r="J3" s="11"/>
      <c r="K3" s="2">
        <f>G53</f>
        <v>20.99</v>
      </c>
      <c r="L3" s="2">
        <f>H53</f>
        <v>1.2599999999999998</v>
      </c>
      <c r="M3" s="2">
        <f>I53</f>
        <v>0.06</v>
      </c>
      <c r="N3" s="6" t="str">
        <f>IF(B16=K3,XIRR(Y3:Y52,X3:X52),"")</f>
        <v/>
      </c>
      <c r="O3" s="5" t="str">
        <f>IF(B16=K3,MAX(E:E),"")</f>
        <v/>
      </c>
      <c r="P3" s="1" t="str">
        <f ca="1">IF(Z3="+",TODAY()-B11,"")</f>
        <v/>
      </c>
      <c r="Q3" s="1" t="str">
        <f>IF(B16=K3,MAX(E:E)-B11,"")</f>
        <v/>
      </c>
      <c r="T3" s="14"/>
      <c r="X3" s="5">
        <f>B9</f>
        <v>46129</v>
      </c>
      <c r="Y3" s="2">
        <f>B16*-1</f>
        <v>-31.84</v>
      </c>
      <c r="Z3" s="1" t="str">
        <f ca="1">IF(AND(TODAY()&gt;B11, K3&lt;&gt;B16), "+", "")</f>
        <v/>
      </c>
    </row>
    <row r="4" spans="1:26" x14ac:dyDescent="0.25">
      <c r="A4" s="4" t="s">
        <v>19</v>
      </c>
      <c r="B4" s="5" t="s">
        <v>79</v>
      </c>
      <c r="D4" s="12">
        <v>46173</v>
      </c>
      <c r="E4" s="12">
        <v>46173</v>
      </c>
      <c r="F4" s="19">
        <f t="shared" si="0"/>
        <v>0</v>
      </c>
      <c r="G4" s="2">
        <v>2.35</v>
      </c>
      <c r="H4" s="2">
        <v>0.28999999999999998</v>
      </c>
      <c r="I4" s="2">
        <v>0.01</v>
      </c>
      <c r="J4" s="9"/>
      <c r="X4" s="5">
        <f>E3</f>
        <v>46142</v>
      </c>
      <c r="Y4" s="2">
        <f>G3+H3-I3</f>
        <v>1.07</v>
      </c>
    </row>
    <row r="5" spans="1:26" x14ac:dyDescent="0.25">
      <c r="A5" s="4"/>
      <c r="B5" s="5"/>
      <c r="D5" s="12">
        <v>46203</v>
      </c>
      <c r="E5" s="12">
        <v>46203</v>
      </c>
      <c r="F5" s="19">
        <f t="shared" si="0"/>
        <v>0</v>
      </c>
      <c r="G5" s="2">
        <v>6.96</v>
      </c>
      <c r="H5" s="1">
        <v>0.27</v>
      </c>
      <c r="I5" s="2">
        <v>0.02</v>
      </c>
      <c r="J5" s="9"/>
      <c r="X5" s="5">
        <f t="shared" ref="X5:X52" si="1">E4</f>
        <v>46173</v>
      </c>
      <c r="Y5" s="2">
        <f t="shared" ref="Y5:Y52" si="2">G4+H4-I4</f>
        <v>2.6300000000000003</v>
      </c>
    </row>
    <row r="6" spans="1:26" x14ac:dyDescent="0.25">
      <c r="A6" s="4"/>
      <c r="B6" s="5"/>
      <c r="D6" s="12">
        <v>46234</v>
      </c>
      <c r="E6" s="12">
        <v>46234</v>
      </c>
      <c r="F6" s="19">
        <f t="shared" si="0"/>
        <v>0</v>
      </c>
      <c r="G6" s="2">
        <v>3.6</v>
      </c>
      <c r="H6" s="1">
        <v>0.25</v>
      </c>
      <c r="I6" s="2">
        <v>0.02</v>
      </c>
      <c r="J6" s="9"/>
      <c r="X6" s="5">
        <f t="shared" si="1"/>
        <v>46203</v>
      </c>
      <c r="Y6" s="2">
        <f t="shared" si="2"/>
        <v>7.2100000000000009</v>
      </c>
    </row>
    <row r="7" spans="1:26" x14ac:dyDescent="0.25">
      <c r="A7" s="4"/>
      <c r="B7" s="5"/>
      <c r="D7" s="12">
        <v>46265</v>
      </c>
      <c r="E7" s="12">
        <v>46265</v>
      </c>
      <c r="F7" s="19">
        <f t="shared" si="0"/>
        <v>0</v>
      </c>
      <c r="G7" s="2">
        <v>3.25</v>
      </c>
      <c r="H7" s="1">
        <v>0.17</v>
      </c>
      <c r="I7" s="2">
        <v>0</v>
      </c>
      <c r="J7" s="11"/>
      <c r="X7" s="5">
        <f t="shared" si="1"/>
        <v>46234</v>
      </c>
      <c r="Y7" s="2">
        <f t="shared" si="2"/>
        <v>3.83</v>
      </c>
    </row>
    <row r="8" spans="1:26" x14ac:dyDescent="0.25">
      <c r="A8" s="4" t="s">
        <v>24</v>
      </c>
      <c r="B8" s="5" t="str">
        <f>DATEDIF(B9,B11,"y") &amp; " m. " &amp; DATEDIF(B9,B11,"ym") &amp; " mėn. " &amp; DATEDIF(B9,B11,"md") &amp; " d."</f>
        <v>0 m. 10 mėn. 20 d.</v>
      </c>
      <c r="D8" s="12">
        <v>46295</v>
      </c>
      <c r="E8" s="12">
        <v>46295</v>
      </c>
      <c r="F8" s="19">
        <f t="shared" si="0"/>
        <v>0</v>
      </c>
      <c r="G8" s="1">
        <v>3.87</v>
      </c>
      <c r="H8" s="1">
        <v>0.16</v>
      </c>
      <c r="I8" s="2">
        <v>0</v>
      </c>
      <c r="J8" s="9"/>
      <c r="X8" s="5">
        <f t="shared" si="1"/>
        <v>46265</v>
      </c>
      <c r="Y8" s="2">
        <f t="shared" si="2"/>
        <v>3.42</v>
      </c>
    </row>
    <row r="9" spans="1:26" x14ac:dyDescent="0.25">
      <c r="A9" s="4" t="s">
        <v>11</v>
      </c>
      <c r="B9" s="5">
        <v>46129</v>
      </c>
      <c r="D9" s="12"/>
      <c r="E9" s="12"/>
      <c r="F9" s="19"/>
      <c r="G9" s="2"/>
      <c r="H9" s="2"/>
      <c r="I9" s="2"/>
      <c r="J9" s="11"/>
      <c r="X9" s="5">
        <f t="shared" si="1"/>
        <v>46295</v>
      </c>
      <c r="Y9" s="2">
        <f t="shared" si="2"/>
        <v>4.03</v>
      </c>
    </row>
    <row r="10" spans="1:26" x14ac:dyDescent="0.25">
      <c r="A10" s="4" t="s">
        <v>70</v>
      </c>
      <c r="B10" s="5">
        <v>46125</v>
      </c>
      <c r="D10" s="12"/>
      <c r="E10" s="12"/>
      <c r="F10" s="19" t="str">
        <f t="shared" si="0"/>
        <v/>
      </c>
      <c r="G10" s="1"/>
      <c r="H10" s="1"/>
      <c r="I10" s="2"/>
      <c r="J10" s="11"/>
      <c r="X10" s="5">
        <f t="shared" si="1"/>
        <v>0</v>
      </c>
      <c r="Y10" s="2">
        <f t="shared" si="2"/>
        <v>0</v>
      </c>
    </row>
    <row r="11" spans="1:26" x14ac:dyDescent="0.25">
      <c r="A11" s="4" t="s">
        <v>10</v>
      </c>
      <c r="B11" s="5">
        <v>46455</v>
      </c>
      <c r="D11" s="12"/>
      <c r="E11" s="12"/>
      <c r="F11" s="19" t="str">
        <f t="shared" si="0"/>
        <v/>
      </c>
      <c r="G11" s="1"/>
      <c r="H11" s="2"/>
      <c r="I11" s="2"/>
      <c r="J11" s="11"/>
      <c r="X11" s="5">
        <f t="shared" si="1"/>
        <v>0</v>
      </c>
      <c r="Y11" s="2">
        <f t="shared" si="2"/>
        <v>0</v>
      </c>
    </row>
    <row r="12" spans="1:26" x14ac:dyDescent="0.25">
      <c r="A12" s="4" t="s">
        <v>71</v>
      </c>
      <c r="B12" s="19">
        <f ca="1">IF(B16&lt;&gt;K3,(TODAY()-B11)*-1,"")</f>
        <v>160</v>
      </c>
      <c r="D12" s="12"/>
      <c r="E12" s="12"/>
      <c r="F12" s="19" t="str">
        <f t="shared" si="0"/>
        <v/>
      </c>
      <c r="G12" s="2"/>
      <c r="H12" s="1"/>
      <c r="I12" s="1"/>
      <c r="J12" s="11"/>
      <c r="X12" s="5">
        <f t="shared" si="1"/>
        <v>0</v>
      </c>
      <c r="Y12" s="2">
        <f t="shared" si="2"/>
        <v>0</v>
      </c>
    </row>
    <row r="13" spans="1:26" x14ac:dyDescent="0.25">
      <c r="A13" s="4"/>
      <c r="B13" s="2"/>
      <c r="D13" s="12"/>
      <c r="E13" s="12"/>
      <c r="F13" s="19" t="str">
        <f t="shared" si="0"/>
        <v/>
      </c>
      <c r="G13" s="1"/>
      <c r="H13" s="2"/>
      <c r="I13" s="2"/>
      <c r="J13" s="11"/>
      <c r="N13" s="14"/>
      <c r="X13" s="5">
        <f t="shared" si="1"/>
        <v>0</v>
      </c>
      <c r="Y13" s="2">
        <f t="shared" si="2"/>
        <v>0</v>
      </c>
    </row>
    <row r="14" spans="1:26" x14ac:dyDescent="0.25">
      <c r="A14" s="13"/>
      <c r="B14" s="20"/>
      <c r="D14" s="12"/>
      <c r="E14" s="5"/>
      <c r="F14" s="19" t="str">
        <f t="shared" si="0"/>
        <v/>
      </c>
      <c r="G14" s="1"/>
      <c r="H14" s="1"/>
      <c r="I14" s="1"/>
      <c r="J14" s="11"/>
      <c r="X14" s="5">
        <f t="shared" si="1"/>
        <v>0</v>
      </c>
      <c r="Y14" s="2">
        <f t="shared" si="2"/>
        <v>0</v>
      </c>
    </row>
    <row r="15" spans="1:26" x14ac:dyDescent="0.25">
      <c r="A15" s="4" t="s">
        <v>1</v>
      </c>
      <c r="B15" s="6">
        <v>0.125</v>
      </c>
      <c r="D15" s="12"/>
      <c r="E15" s="5"/>
      <c r="F15" s="19" t="str">
        <f t="shared" si="0"/>
        <v/>
      </c>
      <c r="G15" s="1"/>
      <c r="H15" s="1"/>
      <c r="I15" s="1"/>
      <c r="J15" s="11"/>
      <c r="K15" s="18"/>
      <c r="L15" s="18"/>
      <c r="M15" s="18"/>
      <c r="N15" s="18"/>
      <c r="O15" s="18"/>
      <c r="P15" s="18"/>
      <c r="Q15" s="18"/>
      <c r="X15" s="5">
        <f t="shared" si="1"/>
        <v>0</v>
      </c>
      <c r="Y15" s="2">
        <f t="shared" si="2"/>
        <v>0</v>
      </c>
    </row>
    <row r="16" spans="1:26" x14ac:dyDescent="0.25">
      <c r="A16" s="4" t="s">
        <v>72</v>
      </c>
      <c r="B16" s="2">
        <v>31.84</v>
      </c>
      <c r="D16" s="12"/>
      <c r="E16" s="5"/>
      <c r="F16" s="19" t="str">
        <f t="shared" si="0"/>
        <v/>
      </c>
      <c r="G16" s="1"/>
      <c r="H16" s="1"/>
      <c r="I16" s="1"/>
      <c r="J16" s="11"/>
      <c r="K16" s="9"/>
      <c r="L16" s="9"/>
      <c r="M16" s="9"/>
      <c r="N16" s="21"/>
      <c r="O16" s="22"/>
      <c r="P16" s="11"/>
      <c r="Q16" s="11"/>
      <c r="X16" s="5">
        <f t="shared" si="1"/>
        <v>0</v>
      </c>
      <c r="Y16" s="2">
        <f t="shared" si="2"/>
        <v>0</v>
      </c>
    </row>
    <row r="17" spans="2:25" x14ac:dyDescent="0.25">
      <c r="D17" s="12"/>
      <c r="E17" s="5"/>
      <c r="F17" s="19" t="str">
        <f t="shared" si="0"/>
        <v/>
      </c>
      <c r="G17" s="1"/>
      <c r="H17" s="1"/>
      <c r="I17" s="1"/>
      <c r="J17" s="11"/>
      <c r="X17" s="5">
        <f t="shared" si="1"/>
        <v>0</v>
      </c>
      <c r="Y17" s="2">
        <f t="shared" si="2"/>
        <v>0</v>
      </c>
    </row>
    <row r="18" spans="2:25" x14ac:dyDescent="0.25">
      <c r="D18" s="12"/>
      <c r="E18" s="5"/>
      <c r="F18" s="19" t="str">
        <f t="shared" si="0"/>
        <v/>
      </c>
      <c r="G18" s="1"/>
      <c r="H18" s="1"/>
      <c r="I18" s="1"/>
      <c r="J18" s="11"/>
      <c r="X18" s="5">
        <f t="shared" si="1"/>
        <v>0</v>
      </c>
      <c r="Y18" s="2">
        <f t="shared" si="2"/>
        <v>0</v>
      </c>
    </row>
    <row r="19" spans="2:25" x14ac:dyDescent="0.25">
      <c r="D19" s="12"/>
      <c r="E19" s="5"/>
      <c r="F19" s="19" t="str">
        <f t="shared" si="0"/>
        <v/>
      </c>
      <c r="G19" s="1"/>
      <c r="H19" s="1"/>
      <c r="I19" s="1"/>
      <c r="J19" s="11"/>
      <c r="X19" s="5">
        <f t="shared" si="1"/>
        <v>0</v>
      </c>
      <c r="Y19" s="2">
        <f t="shared" si="2"/>
        <v>0</v>
      </c>
    </row>
    <row r="20" spans="2:25" x14ac:dyDescent="0.25">
      <c r="D20" s="12"/>
      <c r="E20" s="5"/>
      <c r="F20" s="19" t="str">
        <f t="shared" si="0"/>
        <v/>
      </c>
      <c r="G20" s="1"/>
      <c r="H20" s="1"/>
      <c r="I20" s="1"/>
      <c r="J20" s="11"/>
      <c r="X20" s="5">
        <f t="shared" si="1"/>
        <v>0</v>
      </c>
      <c r="Y20" s="2">
        <f t="shared" si="2"/>
        <v>0</v>
      </c>
    </row>
    <row r="21" spans="2:25" x14ac:dyDescent="0.25">
      <c r="D21" s="12"/>
      <c r="E21" s="5"/>
      <c r="F21" s="19" t="str">
        <f t="shared" si="0"/>
        <v/>
      </c>
      <c r="G21" s="1"/>
      <c r="H21" s="1"/>
      <c r="I21" s="1"/>
      <c r="J21" s="11"/>
      <c r="X21" s="5">
        <f t="shared" si="1"/>
        <v>0</v>
      </c>
      <c r="Y21" s="2">
        <f t="shared" si="2"/>
        <v>0</v>
      </c>
    </row>
    <row r="22" spans="2:25" x14ac:dyDescent="0.25">
      <c r="D22" s="12"/>
      <c r="E22" s="5"/>
      <c r="F22" s="19" t="str">
        <f t="shared" si="0"/>
        <v/>
      </c>
      <c r="G22" s="1"/>
      <c r="H22" s="1"/>
      <c r="I22" s="1"/>
      <c r="J22" s="11"/>
      <c r="X22" s="5">
        <f t="shared" si="1"/>
        <v>0</v>
      </c>
      <c r="Y22" s="2">
        <f t="shared" si="2"/>
        <v>0</v>
      </c>
    </row>
    <row r="23" spans="2:25" x14ac:dyDescent="0.25">
      <c r="B23" s="22"/>
      <c r="D23" s="12"/>
      <c r="E23" s="5"/>
      <c r="F23" s="19" t="str">
        <f t="shared" si="0"/>
        <v/>
      </c>
      <c r="G23" s="1"/>
      <c r="H23" s="1"/>
      <c r="I23" s="1"/>
      <c r="J23" s="11"/>
      <c r="X23" s="5">
        <f t="shared" si="1"/>
        <v>0</v>
      </c>
      <c r="Y23" s="2">
        <f t="shared" si="2"/>
        <v>0</v>
      </c>
    </row>
    <row r="24" spans="2:25" x14ac:dyDescent="0.25">
      <c r="D24" s="12"/>
      <c r="E24" s="5"/>
      <c r="F24" s="19" t="str">
        <f t="shared" si="0"/>
        <v/>
      </c>
      <c r="G24" s="1"/>
      <c r="H24" s="1"/>
      <c r="I24" s="1"/>
      <c r="J24" s="11"/>
      <c r="X24" s="5">
        <f t="shared" si="1"/>
        <v>0</v>
      </c>
      <c r="Y24" s="2">
        <f t="shared" si="2"/>
        <v>0</v>
      </c>
    </row>
    <row r="25" spans="2:25" x14ac:dyDescent="0.25">
      <c r="D25" s="12"/>
      <c r="E25" s="5"/>
      <c r="F25" s="19" t="str">
        <f t="shared" si="0"/>
        <v/>
      </c>
      <c r="G25" s="1"/>
      <c r="H25" s="1"/>
      <c r="I25" s="1"/>
      <c r="J25" s="11"/>
      <c r="X25" s="5">
        <f t="shared" si="1"/>
        <v>0</v>
      </c>
      <c r="Y25" s="2">
        <f t="shared" si="2"/>
        <v>0</v>
      </c>
    </row>
    <row r="26" spans="2:25" x14ac:dyDescent="0.25">
      <c r="D26" s="12"/>
      <c r="E26" s="5"/>
      <c r="F26" s="19" t="str">
        <f t="shared" si="0"/>
        <v/>
      </c>
      <c r="G26" s="1"/>
      <c r="H26" s="1"/>
      <c r="I26" s="1"/>
      <c r="J26" s="11"/>
      <c r="X26" s="5">
        <f t="shared" si="1"/>
        <v>0</v>
      </c>
      <c r="Y26" s="2">
        <f t="shared" si="2"/>
        <v>0</v>
      </c>
    </row>
    <row r="27" spans="2:25" x14ac:dyDescent="0.25">
      <c r="D27" s="12"/>
      <c r="E27" s="5"/>
      <c r="F27" s="19" t="str">
        <f t="shared" si="0"/>
        <v/>
      </c>
      <c r="G27" s="1"/>
      <c r="H27" s="1"/>
      <c r="I27" s="1"/>
      <c r="J27" s="11"/>
      <c r="X27" s="5">
        <f t="shared" si="1"/>
        <v>0</v>
      </c>
      <c r="Y27" s="2">
        <f t="shared" si="2"/>
        <v>0</v>
      </c>
    </row>
    <row r="28" spans="2:25" x14ac:dyDescent="0.25">
      <c r="D28" s="12"/>
      <c r="E28" s="5"/>
      <c r="F28" s="19" t="str">
        <f t="shared" si="0"/>
        <v/>
      </c>
      <c r="G28" s="1"/>
      <c r="H28" s="1"/>
      <c r="I28" s="1"/>
      <c r="J28" s="11"/>
      <c r="X28" s="5">
        <f t="shared" si="1"/>
        <v>0</v>
      </c>
      <c r="Y28" s="2">
        <f t="shared" si="2"/>
        <v>0</v>
      </c>
    </row>
    <row r="29" spans="2:25" x14ac:dyDescent="0.25">
      <c r="D29" s="12"/>
      <c r="E29" s="5"/>
      <c r="F29" s="19" t="str">
        <f t="shared" si="0"/>
        <v/>
      </c>
      <c r="G29" s="1"/>
      <c r="H29" s="1"/>
      <c r="I29" s="1"/>
      <c r="J29" s="11"/>
      <c r="X29" s="5">
        <f t="shared" si="1"/>
        <v>0</v>
      </c>
      <c r="Y29" s="2">
        <f t="shared" si="2"/>
        <v>0</v>
      </c>
    </row>
    <row r="30" spans="2:25" x14ac:dyDescent="0.25">
      <c r="D30" s="12"/>
      <c r="E30" s="5"/>
      <c r="F30" s="19" t="str">
        <f t="shared" si="0"/>
        <v/>
      </c>
      <c r="G30" s="1"/>
      <c r="H30" s="1"/>
      <c r="I30" s="1"/>
      <c r="J30" s="11"/>
      <c r="X30" s="5">
        <f t="shared" si="1"/>
        <v>0</v>
      </c>
      <c r="Y30" s="2">
        <f t="shared" si="2"/>
        <v>0</v>
      </c>
    </row>
    <row r="31" spans="2:25" x14ac:dyDescent="0.25">
      <c r="D31" s="12"/>
      <c r="E31" s="5"/>
      <c r="F31" s="19" t="str">
        <f t="shared" si="0"/>
        <v/>
      </c>
      <c r="G31" s="1"/>
      <c r="H31" s="1"/>
      <c r="I31" s="1"/>
      <c r="J31" s="11"/>
      <c r="X31" s="5">
        <f t="shared" si="1"/>
        <v>0</v>
      </c>
      <c r="Y31" s="2">
        <f t="shared" si="2"/>
        <v>0</v>
      </c>
    </row>
    <row r="32" spans="2:25" x14ac:dyDescent="0.25">
      <c r="D32" s="12"/>
      <c r="E32" s="5"/>
      <c r="F32" s="19" t="str">
        <f t="shared" si="0"/>
        <v/>
      </c>
      <c r="G32" s="1"/>
      <c r="H32" s="1"/>
      <c r="I32" s="1"/>
      <c r="J32" s="11"/>
      <c r="X32" s="5">
        <f t="shared" si="1"/>
        <v>0</v>
      </c>
      <c r="Y32" s="2">
        <f t="shared" si="2"/>
        <v>0</v>
      </c>
    </row>
    <row r="33" spans="4:25" x14ac:dyDescent="0.25">
      <c r="D33" s="12"/>
      <c r="E33" s="5"/>
      <c r="F33" s="19" t="str">
        <f t="shared" si="0"/>
        <v/>
      </c>
      <c r="G33" s="1"/>
      <c r="H33" s="1"/>
      <c r="I33" s="1"/>
      <c r="J33" s="11"/>
      <c r="X33" s="5">
        <f t="shared" si="1"/>
        <v>0</v>
      </c>
      <c r="Y33" s="2">
        <f t="shared" si="2"/>
        <v>0</v>
      </c>
    </row>
    <row r="34" spans="4:25" x14ac:dyDescent="0.25">
      <c r="D34" s="12"/>
      <c r="E34" s="5"/>
      <c r="F34" s="19" t="str">
        <f t="shared" si="0"/>
        <v/>
      </c>
      <c r="G34" s="1"/>
      <c r="H34" s="1"/>
      <c r="I34" s="1"/>
      <c r="J34" s="11"/>
      <c r="X34" s="5">
        <f t="shared" si="1"/>
        <v>0</v>
      </c>
      <c r="Y34" s="2">
        <f t="shared" si="2"/>
        <v>0</v>
      </c>
    </row>
    <row r="35" spans="4:25" x14ac:dyDescent="0.25">
      <c r="D35" s="12"/>
      <c r="E35" s="5"/>
      <c r="F35" s="19" t="str">
        <f t="shared" si="0"/>
        <v/>
      </c>
      <c r="G35" s="1"/>
      <c r="H35" s="1"/>
      <c r="I35" s="1"/>
      <c r="J35" s="11"/>
      <c r="X35" s="5">
        <f t="shared" si="1"/>
        <v>0</v>
      </c>
      <c r="Y35" s="2">
        <f t="shared" si="2"/>
        <v>0</v>
      </c>
    </row>
    <row r="36" spans="4:25" x14ac:dyDescent="0.25">
      <c r="D36" s="12"/>
      <c r="E36" s="5"/>
      <c r="F36" s="19" t="str">
        <f t="shared" si="0"/>
        <v/>
      </c>
      <c r="G36" s="1"/>
      <c r="H36" s="1"/>
      <c r="I36" s="1"/>
      <c r="J36" s="11"/>
      <c r="X36" s="5">
        <f t="shared" si="1"/>
        <v>0</v>
      </c>
      <c r="Y36" s="2">
        <f t="shared" si="2"/>
        <v>0</v>
      </c>
    </row>
    <row r="37" spans="4:25" x14ac:dyDescent="0.25">
      <c r="D37" s="12"/>
      <c r="E37" s="5"/>
      <c r="F37" s="19" t="str">
        <f t="shared" si="0"/>
        <v/>
      </c>
      <c r="G37" s="1"/>
      <c r="H37" s="1"/>
      <c r="I37" s="1"/>
      <c r="J37" s="11"/>
      <c r="X37" s="5">
        <f t="shared" si="1"/>
        <v>0</v>
      </c>
      <c r="Y37" s="2">
        <f t="shared" si="2"/>
        <v>0</v>
      </c>
    </row>
    <row r="38" spans="4:25" x14ac:dyDescent="0.25">
      <c r="D38" s="12"/>
      <c r="E38" s="5"/>
      <c r="F38" s="19" t="str">
        <f t="shared" si="0"/>
        <v/>
      </c>
      <c r="G38" s="1"/>
      <c r="H38" s="1"/>
      <c r="I38" s="1"/>
      <c r="J38" s="11"/>
      <c r="X38" s="5">
        <f t="shared" si="1"/>
        <v>0</v>
      </c>
      <c r="Y38" s="2">
        <f t="shared" si="2"/>
        <v>0</v>
      </c>
    </row>
    <row r="39" spans="4:25" x14ac:dyDescent="0.25">
      <c r="D39" s="12"/>
      <c r="E39" s="5"/>
      <c r="F39" s="19" t="str">
        <f t="shared" si="0"/>
        <v/>
      </c>
      <c r="G39" s="1"/>
      <c r="H39" s="1"/>
      <c r="I39" s="1"/>
      <c r="J39" s="11"/>
      <c r="X39" s="5">
        <f t="shared" si="1"/>
        <v>0</v>
      </c>
      <c r="Y39" s="2">
        <f t="shared" si="2"/>
        <v>0</v>
      </c>
    </row>
    <row r="40" spans="4:25" x14ac:dyDescent="0.25">
      <c r="D40" s="12"/>
      <c r="E40" s="5"/>
      <c r="F40" s="19" t="str">
        <f t="shared" si="0"/>
        <v/>
      </c>
      <c r="G40" s="1"/>
      <c r="H40" s="1"/>
      <c r="I40" s="1"/>
      <c r="J40" s="11"/>
      <c r="X40" s="5">
        <f t="shared" si="1"/>
        <v>0</v>
      </c>
      <c r="Y40" s="2">
        <f t="shared" si="2"/>
        <v>0</v>
      </c>
    </row>
    <row r="41" spans="4:25" x14ac:dyDescent="0.25">
      <c r="D41" s="12"/>
      <c r="E41" s="5"/>
      <c r="F41" s="19" t="str">
        <f t="shared" si="0"/>
        <v/>
      </c>
      <c r="G41" s="1"/>
      <c r="H41" s="1"/>
      <c r="I41" s="1"/>
      <c r="J41" s="11"/>
      <c r="X41" s="5">
        <f t="shared" si="1"/>
        <v>0</v>
      </c>
      <c r="Y41" s="2">
        <f t="shared" si="2"/>
        <v>0</v>
      </c>
    </row>
    <row r="42" spans="4:25" x14ac:dyDescent="0.25">
      <c r="D42" s="12"/>
      <c r="E42" s="5"/>
      <c r="F42" s="19" t="str">
        <f t="shared" si="0"/>
        <v/>
      </c>
      <c r="G42" s="1"/>
      <c r="H42" s="1"/>
      <c r="I42" s="1"/>
      <c r="J42" s="11"/>
      <c r="X42" s="5">
        <f t="shared" si="1"/>
        <v>0</v>
      </c>
      <c r="Y42" s="2">
        <f t="shared" si="2"/>
        <v>0</v>
      </c>
    </row>
    <row r="43" spans="4:25" x14ac:dyDescent="0.25">
      <c r="D43" s="12"/>
      <c r="E43" s="5"/>
      <c r="F43" s="19" t="str">
        <f t="shared" si="0"/>
        <v/>
      </c>
      <c r="G43" s="1"/>
      <c r="H43" s="1"/>
      <c r="I43" s="1"/>
      <c r="J43" s="11"/>
      <c r="X43" s="5">
        <f t="shared" si="1"/>
        <v>0</v>
      </c>
      <c r="Y43" s="2">
        <f t="shared" si="2"/>
        <v>0</v>
      </c>
    </row>
    <row r="44" spans="4:25" x14ac:dyDescent="0.25">
      <c r="D44" s="12"/>
      <c r="E44" s="5"/>
      <c r="F44" s="19" t="str">
        <f t="shared" si="0"/>
        <v/>
      </c>
      <c r="G44" s="1"/>
      <c r="H44" s="1"/>
      <c r="I44" s="1"/>
      <c r="J44" s="11"/>
      <c r="X44" s="5">
        <f t="shared" si="1"/>
        <v>0</v>
      </c>
      <c r="Y44" s="2">
        <f t="shared" si="2"/>
        <v>0</v>
      </c>
    </row>
    <row r="45" spans="4:25" x14ac:dyDescent="0.25">
      <c r="D45" s="12"/>
      <c r="E45" s="5"/>
      <c r="F45" s="19" t="str">
        <f t="shared" si="0"/>
        <v/>
      </c>
      <c r="G45" s="1"/>
      <c r="H45" s="1"/>
      <c r="I45" s="1"/>
      <c r="J45" s="11"/>
      <c r="X45" s="5">
        <f t="shared" si="1"/>
        <v>0</v>
      </c>
      <c r="Y45" s="2">
        <f t="shared" si="2"/>
        <v>0</v>
      </c>
    </row>
    <row r="46" spans="4:25" x14ac:dyDescent="0.25">
      <c r="D46" s="12"/>
      <c r="E46" s="5"/>
      <c r="F46" s="19" t="str">
        <f t="shared" si="0"/>
        <v/>
      </c>
      <c r="G46" s="1"/>
      <c r="H46" s="1"/>
      <c r="I46" s="1"/>
      <c r="J46" s="11"/>
      <c r="X46" s="5">
        <f t="shared" si="1"/>
        <v>0</v>
      </c>
      <c r="Y46" s="2">
        <f t="shared" si="2"/>
        <v>0</v>
      </c>
    </row>
    <row r="47" spans="4:25" x14ac:dyDescent="0.25">
      <c r="D47" s="12"/>
      <c r="E47" s="5"/>
      <c r="F47" s="19" t="str">
        <f t="shared" si="0"/>
        <v/>
      </c>
      <c r="G47" s="1"/>
      <c r="H47" s="1"/>
      <c r="I47" s="1"/>
      <c r="J47" s="11"/>
      <c r="X47" s="5">
        <f t="shared" si="1"/>
        <v>0</v>
      </c>
      <c r="Y47" s="2">
        <f t="shared" si="2"/>
        <v>0</v>
      </c>
    </row>
    <row r="48" spans="4:25" x14ac:dyDescent="0.25">
      <c r="D48" s="12"/>
      <c r="E48" s="5"/>
      <c r="F48" s="19" t="str">
        <f t="shared" si="0"/>
        <v/>
      </c>
      <c r="G48" s="1"/>
      <c r="H48" s="1"/>
      <c r="I48" s="1"/>
      <c r="J48" s="11"/>
      <c r="X48" s="5">
        <f t="shared" si="1"/>
        <v>0</v>
      </c>
      <c r="Y48" s="2">
        <f t="shared" si="2"/>
        <v>0</v>
      </c>
    </row>
    <row r="49" spans="4:25" x14ac:dyDescent="0.25">
      <c r="D49" s="12"/>
      <c r="E49" s="5"/>
      <c r="F49" s="19" t="str">
        <f t="shared" si="0"/>
        <v/>
      </c>
      <c r="G49" s="1"/>
      <c r="H49" s="1"/>
      <c r="I49" s="1"/>
      <c r="J49" s="11"/>
      <c r="X49" s="5">
        <f t="shared" si="1"/>
        <v>0</v>
      </c>
      <c r="Y49" s="2">
        <f t="shared" si="2"/>
        <v>0</v>
      </c>
    </row>
    <row r="50" spans="4:25" x14ac:dyDescent="0.25">
      <c r="D50" s="12"/>
      <c r="E50" s="5"/>
      <c r="F50" s="19" t="str">
        <f t="shared" si="0"/>
        <v/>
      </c>
      <c r="G50" s="1"/>
      <c r="H50" s="1"/>
      <c r="I50" s="1"/>
      <c r="J50" s="11"/>
      <c r="X50" s="5">
        <f t="shared" si="1"/>
        <v>0</v>
      </c>
      <c r="Y50" s="2">
        <f t="shared" si="2"/>
        <v>0</v>
      </c>
    </row>
    <row r="51" spans="4:25" x14ac:dyDescent="0.25">
      <c r="D51" s="12"/>
      <c r="E51" s="5"/>
      <c r="F51" s="19" t="str">
        <f t="shared" si="0"/>
        <v/>
      </c>
      <c r="G51" s="1"/>
      <c r="H51" s="1"/>
      <c r="I51" s="1"/>
      <c r="J51" s="11"/>
      <c r="X51" s="5">
        <f t="shared" si="1"/>
        <v>0</v>
      </c>
      <c r="Y51" s="2">
        <f t="shared" si="2"/>
        <v>0</v>
      </c>
    </row>
    <row r="52" spans="4:25" x14ac:dyDescent="0.25">
      <c r="D52" s="12"/>
      <c r="E52" s="5"/>
      <c r="F52" s="19" t="str">
        <f t="shared" si="0"/>
        <v/>
      </c>
      <c r="G52" s="1"/>
      <c r="H52" s="1"/>
      <c r="I52" s="1"/>
      <c r="J52" s="9"/>
      <c r="X52" s="5">
        <f t="shared" si="1"/>
        <v>0</v>
      </c>
      <c r="Y52" s="2">
        <f t="shared" si="2"/>
        <v>0</v>
      </c>
    </row>
    <row r="53" spans="4:25" x14ac:dyDescent="0.25">
      <c r="D53" s="1" t="s">
        <v>25</v>
      </c>
      <c r="E53" s="23"/>
      <c r="F53" s="2"/>
      <c r="G53" s="2">
        <f>SUM(G3:G52)</f>
        <v>20.99</v>
      </c>
      <c r="H53" s="2">
        <f t="shared" ref="H53:I53" si="3">SUM(H3:H52)</f>
        <v>1.2599999999999998</v>
      </c>
      <c r="I53" s="2">
        <f t="shared" si="3"/>
        <v>0.06</v>
      </c>
    </row>
  </sheetData>
  <mergeCells count="4">
    <mergeCell ref="D1:F1"/>
    <mergeCell ref="G1:I1"/>
    <mergeCell ref="K1:Q1"/>
    <mergeCell ref="X1:Z1"/>
  </mergeCells>
  <conditionalFormatting sqref="A1:B1">
    <cfRule type="expression" dxfId="111" priority="1">
      <formula>$Z$3="+"</formula>
    </cfRule>
    <cfRule type="expression" dxfId="110" priority="2">
      <formula>$B$16=$K$3</formula>
    </cfRule>
  </conditionalFormatting>
  <conditionalFormatting sqref="P3">
    <cfRule type="expression" dxfId="109" priority="6">
      <formula>$Z$3="+"</formula>
    </cfRule>
  </conditionalFormatting>
  <conditionalFormatting sqref="Z3">
    <cfRule type="expression" dxfId="108" priority="7">
      <formula>$Z$3="+"</formula>
    </cfRule>
  </conditionalFormatting>
  <dataValidations count="1">
    <dataValidation type="list" allowBlank="1" showInputMessage="1" showErrorMessage="1" sqref="B2" xr:uid="{1338B4E7-A101-4750-B7AB-F96831FFCD89}">
      <formula1>"Romania,Moldova,Cyprus,Philippines"</formula1>
    </dataValidation>
  </dataValidations>
  <pageMargins left="0.7" right="0.7" top="0.75" bottom="0.75" header="0.3" footer="0.3"/>
  <pageSetup orientation="portrait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0BC7E-D7CB-4763-BD4B-30BCF924075C}">
  <dimension ref="A1:Z53"/>
  <sheetViews>
    <sheetView workbookViewId="0">
      <selection activeCell="A21" sqref="A21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1" customWidth="1"/>
    <col min="25" max="25" width="10.7109375" style="11" customWidth="1"/>
    <col min="26" max="26" width="10.7109375" customWidth="1"/>
  </cols>
  <sheetData>
    <row r="1" spans="1:26" x14ac:dyDescent="0.25">
      <c r="A1" s="4" t="s">
        <v>66</v>
      </c>
      <c r="B1" s="5" t="s">
        <v>55</v>
      </c>
      <c r="D1" s="29" t="s">
        <v>2</v>
      </c>
      <c r="E1" s="30"/>
      <c r="F1" s="31"/>
      <c r="G1" s="29" t="s">
        <v>0</v>
      </c>
      <c r="H1" s="30"/>
      <c r="I1" s="31"/>
      <c r="J1" s="18"/>
      <c r="K1" s="29" t="s">
        <v>58</v>
      </c>
      <c r="L1" s="30"/>
      <c r="M1" s="30"/>
      <c r="N1" s="30"/>
      <c r="O1" s="30"/>
      <c r="P1" s="30"/>
      <c r="Q1" s="31"/>
      <c r="X1" s="29"/>
      <c r="Y1" s="30"/>
      <c r="Z1" s="31"/>
    </row>
    <row r="2" spans="1:26" x14ac:dyDescent="0.25">
      <c r="A2" s="4" t="s">
        <v>21</v>
      </c>
      <c r="B2" s="5" t="s">
        <v>27</v>
      </c>
      <c r="D2" s="10" t="s">
        <v>49</v>
      </c>
      <c r="E2" s="10" t="s">
        <v>50</v>
      </c>
      <c r="F2" s="17" t="s">
        <v>67</v>
      </c>
      <c r="G2" s="10" t="s">
        <v>15</v>
      </c>
      <c r="H2" s="10" t="s">
        <v>16</v>
      </c>
      <c r="I2" s="10" t="s">
        <v>60</v>
      </c>
      <c r="J2" s="9"/>
      <c r="K2" s="10" t="s">
        <v>0</v>
      </c>
      <c r="L2" s="10" t="s">
        <v>1</v>
      </c>
      <c r="M2" s="10" t="s">
        <v>56</v>
      </c>
      <c r="N2" s="10" t="s">
        <v>57</v>
      </c>
      <c r="O2" s="10" t="s">
        <v>2</v>
      </c>
      <c r="P2" s="10" t="s">
        <v>68</v>
      </c>
      <c r="Q2" s="10" t="s">
        <v>67</v>
      </c>
      <c r="X2" s="10" t="s">
        <v>2</v>
      </c>
      <c r="Y2" s="10" t="s">
        <v>59</v>
      </c>
      <c r="Z2" s="10" t="s">
        <v>68</v>
      </c>
    </row>
    <row r="3" spans="1:26" x14ac:dyDescent="0.25">
      <c r="A3" s="4" t="s">
        <v>69</v>
      </c>
      <c r="B3" s="5" t="s">
        <v>78</v>
      </c>
      <c r="D3" s="12">
        <v>46142</v>
      </c>
      <c r="E3" s="12">
        <v>46142</v>
      </c>
      <c r="F3" s="19">
        <f t="shared" ref="F3:F52" si="0">IF(E3&gt;0,E3-D3,"")</f>
        <v>0</v>
      </c>
      <c r="G3" s="2">
        <v>0</v>
      </c>
      <c r="H3" s="2">
        <v>0</v>
      </c>
      <c r="I3" s="2">
        <v>0</v>
      </c>
      <c r="J3" s="11"/>
      <c r="K3" s="2">
        <f>G53</f>
        <v>0</v>
      </c>
      <c r="L3" s="2">
        <f>H53</f>
        <v>0.6</v>
      </c>
      <c r="M3" s="2">
        <f>I53</f>
        <v>0.01</v>
      </c>
      <c r="N3" s="6" t="str">
        <f>IF(B16=K3,XIRR(Y3:Y52,X3:X52),"")</f>
        <v/>
      </c>
      <c r="O3" s="5" t="str">
        <f>IF(B16=K3,MAX(E:E),"")</f>
        <v/>
      </c>
      <c r="P3" s="1" t="str">
        <f ca="1">IF(Z3="+",TODAY()-B11,"")</f>
        <v/>
      </c>
      <c r="Q3" s="1" t="str">
        <f>IF(B16=K3,MAX(E:E)-B11,"")</f>
        <v/>
      </c>
      <c r="T3" s="14"/>
      <c r="X3" s="5">
        <f>B9</f>
        <v>46120</v>
      </c>
      <c r="Y3" s="2">
        <f>B16*-1</f>
        <v>-11.15</v>
      </c>
      <c r="Z3" s="1" t="str">
        <f ca="1">IF(AND(TODAY()&gt;B11, K3&lt;&gt;B16), "+", "")</f>
        <v/>
      </c>
    </row>
    <row r="4" spans="1:26" x14ac:dyDescent="0.25">
      <c r="A4" s="4" t="s">
        <v>19</v>
      </c>
      <c r="B4" s="5" t="s">
        <v>20</v>
      </c>
      <c r="D4" s="12">
        <v>46173</v>
      </c>
      <c r="E4" s="12">
        <v>46173</v>
      </c>
      <c r="F4" s="19">
        <f t="shared" si="0"/>
        <v>0</v>
      </c>
      <c r="G4" s="2">
        <v>0</v>
      </c>
      <c r="H4" s="2">
        <v>0.12</v>
      </c>
      <c r="I4" s="2">
        <v>0</v>
      </c>
      <c r="J4" s="9"/>
      <c r="X4" s="5">
        <f>E3</f>
        <v>46142</v>
      </c>
      <c r="Y4" s="2">
        <f>G3+H3-I3</f>
        <v>0</v>
      </c>
    </row>
    <row r="5" spans="1:26" x14ac:dyDescent="0.25">
      <c r="A5" s="4"/>
      <c r="B5" s="5"/>
      <c r="D5" s="12">
        <v>46203</v>
      </c>
      <c r="E5" s="12">
        <v>46203</v>
      </c>
      <c r="F5" s="19">
        <f t="shared" si="0"/>
        <v>0</v>
      </c>
      <c r="G5" s="2">
        <v>0</v>
      </c>
      <c r="H5" s="1">
        <v>0.12</v>
      </c>
      <c r="I5" s="2">
        <v>0.01</v>
      </c>
      <c r="J5" s="9"/>
      <c r="X5" s="5">
        <f t="shared" ref="X5:X52" si="1">E4</f>
        <v>46173</v>
      </c>
      <c r="Y5" s="2">
        <f t="shared" ref="Y5:Y52" si="2">G4+H4-I4</f>
        <v>0.12</v>
      </c>
    </row>
    <row r="6" spans="1:26" x14ac:dyDescent="0.25">
      <c r="A6" s="4"/>
      <c r="B6" s="5"/>
      <c r="D6" s="12">
        <v>46234</v>
      </c>
      <c r="E6" s="12">
        <v>46234</v>
      </c>
      <c r="F6" s="19">
        <f t="shared" si="0"/>
        <v>0</v>
      </c>
      <c r="G6" s="2">
        <v>0</v>
      </c>
      <c r="H6" s="1">
        <v>0.12</v>
      </c>
      <c r="I6" s="2">
        <v>0</v>
      </c>
      <c r="J6" s="9"/>
      <c r="X6" s="5">
        <f t="shared" si="1"/>
        <v>46203</v>
      </c>
      <c r="Y6" s="2">
        <f t="shared" si="2"/>
        <v>0.11</v>
      </c>
    </row>
    <row r="7" spans="1:26" x14ac:dyDescent="0.25">
      <c r="A7" s="4"/>
      <c r="B7" s="5"/>
      <c r="D7" s="12">
        <v>46265</v>
      </c>
      <c r="E7" s="12">
        <v>46265</v>
      </c>
      <c r="F7" s="19">
        <f t="shared" si="0"/>
        <v>0</v>
      </c>
      <c r="G7" s="2">
        <v>0</v>
      </c>
      <c r="H7" s="1">
        <v>0.12</v>
      </c>
      <c r="I7" s="2">
        <v>0</v>
      </c>
      <c r="J7" s="11"/>
      <c r="X7" s="5">
        <f t="shared" si="1"/>
        <v>46234</v>
      </c>
      <c r="Y7" s="2">
        <f t="shared" si="2"/>
        <v>0.12</v>
      </c>
    </row>
    <row r="8" spans="1:26" x14ac:dyDescent="0.25">
      <c r="A8" s="4" t="s">
        <v>24</v>
      </c>
      <c r="B8" s="5" t="str">
        <f>DATEDIF(B9,B11,"y") &amp; " m. " &amp; DATEDIF(B9,B11,"ym") &amp; " mėn. " &amp; DATEDIF(B9,B11,"md") &amp; " d."</f>
        <v>0 m. 7 mėn. 22 d.</v>
      </c>
      <c r="D8" s="12">
        <v>46295</v>
      </c>
      <c r="E8" s="12">
        <v>46295</v>
      </c>
      <c r="F8" s="19">
        <f t="shared" si="0"/>
        <v>0</v>
      </c>
      <c r="G8" s="2">
        <v>0</v>
      </c>
      <c r="H8" s="1">
        <v>0.12</v>
      </c>
      <c r="I8" s="2">
        <v>0</v>
      </c>
      <c r="J8" s="9"/>
      <c r="X8" s="5">
        <f t="shared" si="1"/>
        <v>46265</v>
      </c>
      <c r="Y8" s="2">
        <f t="shared" si="2"/>
        <v>0.12</v>
      </c>
    </row>
    <row r="9" spans="1:26" x14ac:dyDescent="0.25">
      <c r="A9" s="4" t="s">
        <v>11</v>
      </c>
      <c r="B9" s="5">
        <v>46120</v>
      </c>
      <c r="D9" s="12"/>
      <c r="E9" s="12"/>
      <c r="F9" s="19"/>
      <c r="G9" s="2"/>
      <c r="H9" s="2"/>
      <c r="I9" s="2"/>
      <c r="J9" s="11"/>
      <c r="X9" s="5">
        <f t="shared" si="1"/>
        <v>46295</v>
      </c>
      <c r="Y9" s="2">
        <f t="shared" si="2"/>
        <v>0.12</v>
      </c>
    </row>
    <row r="10" spans="1:26" x14ac:dyDescent="0.25">
      <c r="A10" s="4" t="s">
        <v>70</v>
      </c>
      <c r="B10" s="5">
        <v>46086</v>
      </c>
      <c r="D10" s="12"/>
      <c r="E10" s="12"/>
      <c r="F10" s="19" t="str">
        <f t="shared" si="0"/>
        <v/>
      </c>
      <c r="G10" s="1"/>
      <c r="H10" s="1"/>
      <c r="I10" s="2"/>
      <c r="J10" s="11"/>
      <c r="X10" s="5">
        <f t="shared" si="1"/>
        <v>0</v>
      </c>
      <c r="Y10" s="2">
        <f t="shared" si="2"/>
        <v>0</v>
      </c>
    </row>
    <row r="11" spans="1:26" x14ac:dyDescent="0.25">
      <c r="A11" s="4" t="s">
        <v>10</v>
      </c>
      <c r="B11" s="5">
        <v>46356</v>
      </c>
      <c r="D11" s="12"/>
      <c r="E11" s="12"/>
      <c r="F11" s="19" t="str">
        <f t="shared" si="0"/>
        <v/>
      </c>
      <c r="G11" s="1"/>
      <c r="H11" s="2"/>
      <c r="I11" s="2"/>
      <c r="J11" s="11"/>
      <c r="X11" s="5">
        <f t="shared" si="1"/>
        <v>0</v>
      </c>
      <c r="Y11" s="2">
        <f t="shared" si="2"/>
        <v>0</v>
      </c>
    </row>
    <row r="12" spans="1:26" x14ac:dyDescent="0.25">
      <c r="A12" s="4" t="s">
        <v>71</v>
      </c>
      <c r="B12" s="19">
        <f ca="1">IF(B16&lt;&gt;K3,(TODAY()-B11)*-1,"")</f>
        <v>61</v>
      </c>
      <c r="D12" s="12"/>
      <c r="E12" s="12"/>
      <c r="F12" s="19" t="str">
        <f t="shared" si="0"/>
        <v/>
      </c>
      <c r="G12" s="2"/>
      <c r="H12" s="1"/>
      <c r="I12" s="1"/>
      <c r="J12" s="11"/>
      <c r="X12" s="5">
        <f t="shared" si="1"/>
        <v>0</v>
      </c>
      <c r="Y12" s="2">
        <f t="shared" si="2"/>
        <v>0</v>
      </c>
    </row>
    <row r="13" spans="1:26" x14ac:dyDescent="0.25">
      <c r="A13" s="4"/>
      <c r="B13" s="2"/>
      <c r="D13" s="12"/>
      <c r="E13" s="12"/>
      <c r="F13" s="19" t="str">
        <f t="shared" si="0"/>
        <v/>
      </c>
      <c r="G13" s="1"/>
      <c r="H13" s="2"/>
      <c r="I13" s="2"/>
      <c r="J13" s="11"/>
      <c r="N13" s="14"/>
      <c r="X13" s="5">
        <f t="shared" si="1"/>
        <v>0</v>
      </c>
      <c r="Y13" s="2">
        <f t="shared" si="2"/>
        <v>0</v>
      </c>
    </row>
    <row r="14" spans="1:26" x14ac:dyDescent="0.25">
      <c r="A14" s="13"/>
      <c r="B14" s="20"/>
      <c r="D14" s="12"/>
      <c r="E14" s="5"/>
      <c r="F14" s="19" t="str">
        <f t="shared" si="0"/>
        <v/>
      </c>
      <c r="G14" s="1"/>
      <c r="H14" s="1"/>
      <c r="I14" s="1"/>
      <c r="J14" s="11"/>
      <c r="X14" s="5">
        <f t="shared" si="1"/>
        <v>0</v>
      </c>
      <c r="Y14" s="2">
        <f t="shared" si="2"/>
        <v>0</v>
      </c>
    </row>
    <row r="15" spans="1:26" x14ac:dyDescent="0.25">
      <c r="A15" s="4" t="s">
        <v>1</v>
      </c>
      <c r="B15" s="6">
        <v>0.125</v>
      </c>
      <c r="D15" s="12"/>
      <c r="E15" s="5"/>
      <c r="F15" s="19" t="str">
        <f t="shared" si="0"/>
        <v/>
      </c>
      <c r="G15" s="1"/>
      <c r="H15" s="1"/>
      <c r="I15" s="1"/>
      <c r="J15" s="11"/>
      <c r="K15" s="18"/>
      <c r="L15" s="18"/>
      <c r="M15" s="18"/>
      <c r="N15" s="18"/>
      <c r="O15" s="18"/>
      <c r="P15" s="18"/>
      <c r="Q15" s="18"/>
      <c r="X15" s="5">
        <f t="shared" si="1"/>
        <v>0</v>
      </c>
      <c r="Y15" s="2">
        <f t="shared" si="2"/>
        <v>0</v>
      </c>
    </row>
    <row r="16" spans="1:26" x14ac:dyDescent="0.25">
      <c r="A16" s="4" t="s">
        <v>72</v>
      </c>
      <c r="B16" s="2">
        <v>11.15</v>
      </c>
      <c r="D16" s="12"/>
      <c r="E16" s="5"/>
      <c r="F16" s="19" t="str">
        <f t="shared" si="0"/>
        <v/>
      </c>
      <c r="G16" s="1"/>
      <c r="H16" s="1"/>
      <c r="I16" s="1"/>
      <c r="J16" s="11"/>
      <c r="K16" s="9"/>
      <c r="L16" s="9"/>
      <c r="M16" s="9"/>
      <c r="N16" s="21"/>
      <c r="O16" s="22"/>
      <c r="P16" s="11"/>
      <c r="Q16" s="11"/>
      <c r="X16" s="5">
        <f t="shared" si="1"/>
        <v>0</v>
      </c>
      <c r="Y16" s="2">
        <f t="shared" si="2"/>
        <v>0</v>
      </c>
    </row>
    <row r="17" spans="2:25" x14ac:dyDescent="0.25">
      <c r="D17" s="12"/>
      <c r="E17" s="5"/>
      <c r="F17" s="19" t="str">
        <f t="shared" si="0"/>
        <v/>
      </c>
      <c r="G17" s="1"/>
      <c r="H17" s="1"/>
      <c r="I17" s="1"/>
      <c r="J17" s="11"/>
      <c r="X17" s="5">
        <f t="shared" si="1"/>
        <v>0</v>
      </c>
      <c r="Y17" s="2">
        <f t="shared" si="2"/>
        <v>0</v>
      </c>
    </row>
    <row r="18" spans="2:25" x14ac:dyDescent="0.25">
      <c r="D18" s="12"/>
      <c r="E18" s="5"/>
      <c r="F18" s="19" t="str">
        <f t="shared" si="0"/>
        <v/>
      </c>
      <c r="G18" s="1"/>
      <c r="H18" s="1"/>
      <c r="I18" s="1"/>
      <c r="J18" s="11"/>
      <c r="X18" s="5">
        <f t="shared" si="1"/>
        <v>0</v>
      </c>
      <c r="Y18" s="2">
        <f t="shared" si="2"/>
        <v>0</v>
      </c>
    </row>
    <row r="19" spans="2:25" x14ac:dyDescent="0.25">
      <c r="D19" s="12"/>
      <c r="E19" s="5"/>
      <c r="F19" s="19" t="str">
        <f t="shared" si="0"/>
        <v/>
      </c>
      <c r="G19" s="1"/>
      <c r="H19" s="1"/>
      <c r="I19" s="1"/>
      <c r="J19" s="11"/>
      <c r="X19" s="5">
        <f t="shared" si="1"/>
        <v>0</v>
      </c>
      <c r="Y19" s="2">
        <f t="shared" si="2"/>
        <v>0</v>
      </c>
    </row>
    <row r="20" spans="2:25" x14ac:dyDescent="0.25">
      <c r="D20" s="12"/>
      <c r="E20" s="5"/>
      <c r="F20" s="19" t="str">
        <f t="shared" si="0"/>
        <v/>
      </c>
      <c r="G20" s="1"/>
      <c r="H20" s="1"/>
      <c r="I20" s="1"/>
      <c r="J20" s="11"/>
      <c r="X20" s="5">
        <f t="shared" si="1"/>
        <v>0</v>
      </c>
      <c r="Y20" s="2">
        <f t="shared" si="2"/>
        <v>0</v>
      </c>
    </row>
    <row r="21" spans="2:25" x14ac:dyDescent="0.25">
      <c r="D21" s="12"/>
      <c r="E21" s="5"/>
      <c r="F21" s="19" t="str">
        <f t="shared" si="0"/>
        <v/>
      </c>
      <c r="G21" s="1"/>
      <c r="H21" s="1"/>
      <c r="I21" s="1"/>
      <c r="J21" s="11"/>
      <c r="X21" s="5">
        <f t="shared" si="1"/>
        <v>0</v>
      </c>
      <c r="Y21" s="2">
        <f t="shared" si="2"/>
        <v>0</v>
      </c>
    </row>
    <row r="22" spans="2:25" x14ac:dyDescent="0.25">
      <c r="D22" s="12"/>
      <c r="E22" s="5"/>
      <c r="F22" s="19" t="str">
        <f t="shared" si="0"/>
        <v/>
      </c>
      <c r="G22" s="1"/>
      <c r="H22" s="1"/>
      <c r="I22" s="1"/>
      <c r="J22" s="11"/>
      <c r="X22" s="5">
        <f t="shared" si="1"/>
        <v>0</v>
      </c>
      <c r="Y22" s="2">
        <f t="shared" si="2"/>
        <v>0</v>
      </c>
    </row>
    <row r="23" spans="2:25" x14ac:dyDescent="0.25">
      <c r="B23" s="22"/>
      <c r="D23" s="12"/>
      <c r="E23" s="5"/>
      <c r="F23" s="19" t="str">
        <f t="shared" si="0"/>
        <v/>
      </c>
      <c r="G23" s="1"/>
      <c r="H23" s="1"/>
      <c r="I23" s="1"/>
      <c r="J23" s="11"/>
      <c r="X23" s="5">
        <f t="shared" si="1"/>
        <v>0</v>
      </c>
      <c r="Y23" s="2">
        <f t="shared" si="2"/>
        <v>0</v>
      </c>
    </row>
    <row r="24" spans="2:25" x14ac:dyDescent="0.25">
      <c r="D24" s="12"/>
      <c r="E24" s="5"/>
      <c r="F24" s="19" t="str">
        <f t="shared" si="0"/>
        <v/>
      </c>
      <c r="G24" s="1"/>
      <c r="H24" s="1"/>
      <c r="I24" s="1"/>
      <c r="J24" s="11"/>
      <c r="X24" s="5">
        <f t="shared" si="1"/>
        <v>0</v>
      </c>
      <c r="Y24" s="2">
        <f t="shared" si="2"/>
        <v>0</v>
      </c>
    </row>
    <row r="25" spans="2:25" x14ac:dyDescent="0.25">
      <c r="D25" s="12"/>
      <c r="E25" s="5"/>
      <c r="F25" s="19" t="str">
        <f t="shared" si="0"/>
        <v/>
      </c>
      <c r="G25" s="1"/>
      <c r="H25" s="1"/>
      <c r="I25" s="1"/>
      <c r="J25" s="11"/>
      <c r="X25" s="5">
        <f t="shared" si="1"/>
        <v>0</v>
      </c>
      <c r="Y25" s="2">
        <f t="shared" si="2"/>
        <v>0</v>
      </c>
    </row>
    <row r="26" spans="2:25" x14ac:dyDescent="0.25">
      <c r="D26" s="12"/>
      <c r="E26" s="5"/>
      <c r="F26" s="19" t="str">
        <f t="shared" si="0"/>
        <v/>
      </c>
      <c r="G26" s="1"/>
      <c r="H26" s="1"/>
      <c r="I26" s="1"/>
      <c r="J26" s="11"/>
      <c r="X26" s="5">
        <f t="shared" si="1"/>
        <v>0</v>
      </c>
      <c r="Y26" s="2">
        <f t="shared" si="2"/>
        <v>0</v>
      </c>
    </row>
    <row r="27" spans="2:25" x14ac:dyDescent="0.25">
      <c r="D27" s="12"/>
      <c r="E27" s="5"/>
      <c r="F27" s="19" t="str">
        <f t="shared" si="0"/>
        <v/>
      </c>
      <c r="G27" s="1"/>
      <c r="H27" s="1"/>
      <c r="I27" s="1"/>
      <c r="J27" s="11"/>
      <c r="X27" s="5">
        <f t="shared" si="1"/>
        <v>0</v>
      </c>
      <c r="Y27" s="2">
        <f t="shared" si="2"/>
        <v>0</v>
      </c>
    </row>
    <row r="28" spans="2:25" x14ac:dyDescent="0.25">
      <c r="D28" s="12"/>
      <c r="E28" s="5"/>
      <c r="F28" s="19" t="str">
        <f t="shared" si="0"/>
        <v/>
      </c>
      <c r="G28" s="1"/>
      <c r="H28" s="1"/>
      <c r="I28" s="1"/>
      <c r="J28" s="11"/>
      <c r="X28" s="5">
        <f t="shared" si="1"/>
        <v>0</v>
      </c>
      <c r="Y28" s="2">
        <f t="shared" si="2"/>
        <v>0</v>
      </c>
    </row>
    <row r="29" spans="2:25" x14ac:dyDescent="0.25">
      <c r="D29" s="12"/>
      <c r="E29" s="5"/>
      <c r="F29" s="19" t="str">
        <f t="shared" si="0"/>
        <v/>
      </c>
      <c r="G29" s="1"/>
      <c r="H29" s="1"/>
      <c r="I29" s="1"/>
      <c r="J29" s="11"/>
      <c r="X29" s="5">
        <f t="shared" si="1"/>
        <v>0</v>
      </c>
      <c r="Y29" s="2">
        <f t="shared" si="2"/>
        <v>0</v>
      </c>
    </row>
    <row r="30" spans="2:25" x14ac:dyDescent="0.25">
      <c r="D30" s="12"/>
      <c r="E30" s="5"/>
      <c r="F30" s="19" t="str">
        <f t="shared" si="0"/>
        <v/>
      </c>
      <c r="G30" s="1"/>
      <c r="H30" s="1"/>
      <c r="I30" s="1"/>
      <c r="J30" s="11"/>
      <c r="X30" s="5">
        <f t="shared" si="1"/>
        <v>0</v>
      </c>
      <c r="Y30" s="2">
        <f t="shared" si="2"/>
        <v>0</v>
      </c>
    </row>
    <row r="31" spans="2:25" x14ac:dyDescent="0.25">
      <c r="D31" s="12"/>
      <c r="E31" s="5"/>
      <c r="F31" s="19" t="str">
        <f t="shared" si="0"/>
        <v/>
      </c>
      <c r="G31" s="1"/>
      <c r="H31" s="1"/>
      <c r="I31" s="1"/>
      <c r="J31" s="11"/>
      <c r="X31" s="5">
        <f t="shared" si="1"/>
        <v>0</v>
      </c>
      <c r="Y31" s="2">
        <f t="shared" si="2"/>
        <v>0</v>
      </c>
    </row>
    <row r="32" spans="2:25" x14ac:dyDescent="0.25">
      <c r="D32" s="12"/>
      <c r="E32" s="5"/>
      <c r="F32" s="19" t="str">
        <f t="shared" si="0"/>
        <v/>
      </c>
      <c r="G32" s="1"/>
      <c r="H32" s="1"/>
      <c r="I32" s="1"/>
      <c r="J32" s="11"/>
      <c r="X32" s="5">
        <f t="shared" si="1"/>
        <v>0</v>
      </c>
      <c r="Y32" s="2">
        <f t="shared" si="2"/>
        <v>0</v>
      </c>
    </row>
    <row r="33" spans="4:25" x14ac:dyDescent="0.25">
      <c r="D33" s="12"/>
      <c r="E33" s="5"/>
      <c r="F33" s="19" t="str">
        <f t="shared" si="0"/>
        <v/>
      </c>
      <c r="G33" s="1"/>
      <c r="H33" s="1"/>
      <c r="I33" s="1"/>
      <c r="J33" s="11"/>
      <c r="X33" s="5">
        <f t="shared" si="1"/>
        <v>0</v>
      </c>
      <c r="Y33" s="2">
        <f t="shared" si="2"/>
        <v>0</v>
      </c>
    </row>
    <row r="34" spans="4:25" x14ac:dyDescent="0.25">
      <c r="D34" s="12"/>
      <c r="E34" s="5"/>
      <c r="F34" s="19" t="str">
        <f t="shared" si="0"/>
        <v/>
      </c>
      <c r="G34" s="1"/>
      <c r="H34" s="1"/>
      <c r="I34" s="1"/>
      <c r="J34" s="11"/>
      <c r="X34" s="5">
        <f t="shared" si="1"/>
        <v>0</v>
      </c>
      <c r="Y34" s="2">
        <f t="shared" si="2"/>
        <v>0</v>
      </c>
    </row>
    <row r="35" spans="4:25" x14ac:dyDescent="0.25">
      <c r="D35" s="12"/>
      <c r="E35" s="5"/>
      <c r="F35" s="19" t="str">
        <f t="shared" si="0"/>
        <v/>
      </c>
      <c r="G35" s="1"/>
      <c r="H35" s="1"/>
      <c r="I35" s="1"/>
      <c r="J35" s="11"/>
      <c r="X35" s="5">
        <f t="shared" si="1"/>
        <v>0</v>
      </c>
      <c r="Y35" s="2">
        <f t="shared" si="2"/>
        <v>0</v>
      </c>
    </row>
    <row r="36" spans="4:25" x14ac:dyDescent="0.25">
      <c r="D36" s="12"/>
      <c r="E36" s="5"/>
      <c r="F36" s="19" t="str">
        <f t="shared" si="0"/>
        <v/>
      </c>
      <c r="G36" s="1"/>
      <c r="H36" s="1"/>
      <c r="I36" s="1"/>
      <c r="J36" s="11"/>
      <c r="X36" s="5">
        <f t="shared" si="1"/>
        <v>0</v>
      </c>
      <c r="Y36" s="2">
        <f t="shared" si="2"/>
        <v>0</v>
      </c>
    </row>
    <row r="37" spans="4:25" x14ac:dyDescent="0.25">
      <c r="D37" s="12"/>
      <c r="E37" s="5"/>
      <c r="F37" s="19" t="str">
        <f t="shared" si="0"/>
        <v/>
      </c>
      <c r="G37" s="1"/>
      <c r="H37" s="1"/>
      <c r="I37" s="1"/>
      <c r="J37" s="11"/>
      <c r="X37" s="5">
        <f t="shared" si="1"/>
        <v>0</v>
      </c>
      <c r="Y37" s="2">
        <f t="shared" si="2"/>
        <v>0</v>
      </c>
    </row>
    <row r="38" spans="4:25" x14ac:dyDescent="0.25">
      <c r="D38" s="12"/>
      <c r="E38" s="5"/>
      <c r="F38" s="19" t="str">
        <f t="shared" si="0"/>
        <v/>
      </c>
      <c r="G38" s="1"/>
      <c r="H38" s="1"/>
      <c r="I38" s="1"/>
      <c r="J38" s="11"/>
      <c r="X38" s="5">
        <f t="shared" si="1"/>
        <v>0</v>
      </c>
      <c r="Y38" s="2">
        <f t="shared" si="2"/>
        <v>0</v>
      </c>
    </row>
    <row r="39" spans="4:25" x14ac:dyDescent="0.25">
      <c r="D39" s="12"/>
      <c r="E39" s="5"/>
      <c r="F39" s="19" t="str">
        <f t="shared" si="0"/>
        <v/>
      </c>
      <c r="G39" s="1"/>
      <c r="H39" s="1"/>
      <c r="I39" s="1"/>
      <c r="J39" s="11"/>
      <c r="X39" s="5">
        <f t="shared" si="1"/>
        <v>0</v>
      </c>
      <c r="Y39" s="2">
        <f t="shared" si="2"/>
        <v>0</v>
      </c>
    </row>
    <row r="40" spans="4:25" x14ac:dyDescent="0.25">
      <c r="D40" s="12"/>
      <c r="E40" s="5"/>
      <c r="F40" s="19" t="str">
        <f t="shared" si="0"/>
        <v/>
      </c>
      <c r="G40" s="1"/>
      <c r="H40" s="1"/>
      <c r="I40" s="1"/>
      <c r="J40" s="11"/>
      <c r="X40" s="5">
        <f t="shared" si="1"/>
        <v>0</v>
      </c>
      <c r="Y40" s="2">
        <f t="shared" si="2"/>
        <v>0</v>
      </c>
    </row>
    <row r="41" spans="4:25" x14ac:dyDescent="0.25">
      <c r="D41" s="12"/>
      <c r="E41" s="5"/>
      <c r="F41" s="19" t="str">
        <f t="shared" si="0"/>
        <v/>
      </c>
      <c r="G41" s="1"/>
      <c r="H41" s="1"/>
      <c r="I41" s="1"/>
      <c r="J41" s="11"/>
      <c r="X41" s="5">
        <f t="shared" si="1"/>
        <v>0</v>
      </c>
      <c r="Y41" s="2">
        <f t="shared" si="2"/>
        <v>0</v>
      </c>
    </row>
    <row r="42" spans="4:25" x14ac:dyDescent="0.25">
      <c r="D42" s="12"/>
      <c r="E42" s="5"/>
      <c r="F42" s="19" t="str">
        <f t="shared" si="0"/>
        <v/>
      </c>
      <c r="G42" s="1"/>
      <c r="H42" s="1"/>
      <c r="I42" s="1"/>
      <c r="J42" s="11"/>
      <c r="X42" s="5">
        <f t="shared" si="1"/>
        <v>0</v>
      </c>
      <c r="Y42" s="2">
        <f t="shared" si="2"/>
        <v>0</v>
      </c>
    </row>
    <row r="43" spans="4:25" x14ac:dyDescent="0.25">
      <c r="D43" s="12"/>
      <c r="E43" s="5"/>
      <c r="F43" s="19" t="str">
        <f t="shared" si="0"/>
        <v/>
      </c>
      <c r="G43" s="1"/>
      <c r="H43" s="1"/>
      <c r="I43" s="1"/>
      <c r="J43" s="11"/>
      <c r="X43" s="5">
        <f t="shared" si="1"/>
        <v>0</v>
      </c>
      <c r="Y43" s="2">
        <f t="shared" si="2"/>
        <v>0</v>
      </c>
    </row>
    <row r="44" spans="4:25" x14ac:dyDescent="0.25">
      <c r="D44" s="12"/>
      <c r="E44" s="5"/>
      <c r="F44" s="19" t="str">
        <f t="shared" si="0"/>
        <v/>
      </c>
      <c r="G44" s="1"/>
      <c r="H44" s="1"/>
      <c r="I44" s="1"/>
      <c r="J44" s="11"/>
      <c r="X44" s="5">
        <f t="shared" si="1"/>
        <v>0</v>
      </c>
      <c r="Y44" s="2">
        <f t="shared" si="2"/>
        <v>0</v>
      </c>
    </row>
    <row r="45" spans="4:25" x14ac:dyDescent="0.25">
      <c r="D45" s="12"/>
      <c r="E45" s="5"/>
      <c r="F45" s="19" t="str">
        <f t="shared" si="0"/>
        <v/>
      </c>
      <c r="G45" s="1"/>
      <c r="H45" s="1"/>
      <c r="I45" s="1"/>
      <c r="J45" s="11"/>
      <c r="X45" s="5">
        <f t="shared" si="1"/>
        <v>0</v>
      </c>
      <c r="Y45" s="2">
        <f t="shared" si="2"/>
        <v>0</v>
      </c>
    </row>
    <row r="46" spans="4:25" x14ac:dyDescent="0.25">
      <c r="D46" s="12"/>
      <c r="E46" s="5"/>
      <c r="F46" s="19" t="str">
        <f t="shared" si="0"/>
        <v/>
      </c>
      <c r="G46" s="1"/>
      <c r="H46" s="1"/>
      <c r="I46" s="1"/>
      <c r="J46" s="11"/>
      <c r="X46" s="5">
        <f t="shared" si="1"/>
        <v>0</v>
      </c>
      <c r="Y46" s="2">
        <f t="shared" si="2"/>
        <v>0</v>
      </c>
    </row>
    <row r="47" spans="4:25" x14ac:dyDescent="0.25">
      <c r="D47" s="12"/>
      <c r="E47" s="5"/>
      <c r="F47" s="19" t="str">
        <f t="shared" si="0"/>
        <v/>
      </c>
      <c r="G47" s="1"/>
      <c r="H47" s="1"/>
      <c r="I47" s="1"/>
      <c r="J47" s="11"/>
      <c r="X47" s="5">
        <f t="shared" si="1"/>
        <v>0</v>
      </c>
      <c r="Y47" s="2">
        <f t="shared" si="2"/>
        <v>0</v>
      </c>
    </row>
    <row r="48" spans="4:25" x14ac:dyDescent="0.25">
      <c r="D48" s="12"/>
      <c r="E48" s="5"/>
      <c r="F48" s="19" t="str">
        <f t="shared" si="0"/>
        <v/>
      </c>
      <c r="G48" s="1"/>
      <c r="H48" s="1"/>
      <c r="I48" s="1"/>
      <c r="J48" s="11"/>
      <c r="X48" s="5">
        <f t="shared" si="1"/>
        <v>0</v>
      </c>
      <c r="Y48" s="2">
        <f t="shared" si="2"/>
        <v>0</v>
      </c>
    </row>
    <row r="49" spans="4:25" x14ac:dyDescent="0.25">
      <c r="D49" s="12"/>
      <c r="E49" s="5"/>
      <c r="F49" s="19" t="str">
        <f t="shared" si="0"/>
        <v/>
      </c>
      <c r="G49" s="1"/>
      <c r="H49" s="1"/>
      <c r="I49" s="1"/>
      <c r="J49" s="11"/>
      <c r="X49" s="5">
        <f t="shared" si="1"/>
        <v>0</v>
      </c>
      <c r="Y49" s="2">
        <f t="shared" si="2"/>
        <v>0</v>
      </c>
    </row>
    <row r="50" spans="4:25" x14ac:dyDescent="0.25">
      <c r="D50" s="12"/>
      <c r="E50" s="5"/>
      <c r="F50" s="19" t="str">
        <f t="shared" si="0"/>
        <v/>
      </c>
      <c r="G50" s="1"/>
      <c r="H50" s="1"/>
      <c r="I50" s="1"/>
      <c r="J50" s="11"/>
      <c r="X50" s="5">
        <f t="shared" si="1"/>
        <v>0</v>
      </c>
      <c r="Y50" s="2">
        <f t="shared" si="2"/>
        <v>0</v>
      </c>
    </row>
    <row r="51" spans="4:25" x14ac:dyDescent="0.25">
      <c r="D51" s="12"/>
      <c r="E51" s="5"/>
      <c r="F51" s="19" t="str">
        <f t="shared" si="0"/>
        <v/>
      </c>
      <c r="G51" s="1"/>
      <c r="H51" s="1"/>
      <c r="I51" s="1"/>
      <c r="J51" s="11"/>
      <c r="X51" s="5">
        <f t="shared" si="1"/>
        <v>0</v>
      </c>
      <c r="Y51" s="2">
        <f t="shared" si="2"/>
        <v>0</v>
      </c>
    </row>
    <row r="52" spans="4:25" x14ac:dyDescent="0.25">
      <c r="D52" s="12"/>
      <c r="E52" s="5"/>
      <c r="F52" s="19" t="str">
        <f t="shared" si="0"/>
        <v/>
      </c>
      <c r="G52" s="1"/>
      <c r="H52" s="1"/>
      <c r="I52" s="1"/>
      <c r="J52" s="9"/>
      <c r="X52" s="5">
        <f t="shared" si="1"/>
        <v>0</v>
      </c>
      <c r="Y52" s="2">
        <f t="shared" si="2"/>
        <v>0</v>
      </c>
    </row>
    <row r="53" spans="4:25" x14ac:dyDescent="0.25">
      <c r="D53" s="1" t="s">
        <v>25</v>
      </c>
      <c r="E53" s="23"/>
      <c r="F53" s="2"/>
      <c r="G53" s="2">
        <f>SUM(G3:G52)</f>
        <v>0</v>
      </c>
      <c r="H53" s="2">
        <f t="shared" ref="H53:I53" si="3">SUM(H3:H52)</f>
        <v>0.6</v>
      </c>
      <c r="I53" s="2">
        <f t="shared" si="3"/>
        <v>0.01</v>
      </c>
    </row>
  </sheetData>
  <mergeCells count="4">
    <mergeCell ref="D1:F1"/>
    <mergeCell ref="G1:I1"/>
    <mergeCell ref="K1:Q1"/>
    <mergeCell ref="X1:Z1"/>
  </mergeCells>
  <conditionalFormatting sqref="A1:B1">
    <cfRule type="expression" dxfId="107" priority="1">
      <formula>$Z$3="+"</formula>
    </cfRule>
    <cfRule type="expression" dxfId="106" priority="2">
      <formula>$B$16=$K$3</formula>
    </cfRule>
  </conditionalFormatting>
  <conditionalFormatting sqref="P3">
    <cfRule type="expression" dxfId="105" priority="6">
      <formula>$Z$3="+"</formula>
    </cfRule>
  </conditionalFormatting>
  <conditionalFormatting sqref="Z3">
    <cfRule type="expression" dxfId="104" priority="7">
      <formula>$Z$3="+"</formula>
    </cfRule>
  </conditionalFormatting>
  <dataValidations count="1">
    <dataValidation type="list" allowBlank="1" showInputMessage="1" showErrorMessage="1" sqref="B2" xr:uid="{CCDFD1BF-993E-448B-9230-6BECDA361C91}">
      <formula1>"Romania,Moldova,Cyprus,Philippines"</formula1>
    </dataValidation>
  </dataValidations>
  <pageMargins left="0.7" right="0.7" top="0.75" bottom="0.75" header="0.3" footer="0.3"/>
  <pageSetup orientation="portrait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D5F81-B023-443E-B95C-0CE3CB6BB98C}">
  <dimension ref="A1:Z53"/>
  <sheetViews>
    <sheetView workbookViewId="0">
      <selection activeCell="G8" sqref="G8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1" customWidth="1"/>
    <col min="25" max="25" width="10.7109375" style="11" customWidth="1"/>
    <col min="26" max="26" width="10.7109375" customWidth="1"/>
  </cols>
  <sheetData>
    <row r="1" spans="1:26" x14ac:dyDescent="0.25">
      <c r="A1" s="4" t="s">
        <v>66</v>
      </c>
      <c r="B1" s="5" t="s">
        <v>54</v>
      </c>
      <c r="D1" s="29" t="s">
        <v>2</v>
      </c>
      <c r="E1" s="30"/>
      <c r="F1" s="31"/>
      <c r="G1" s="29" t="s">
        <v>0</v>
      </c>
      <c r="H1" s="30"/>
      <c r="I1" s="31"/>
      <c r="J1" s="18"/>
      <c r="K1" s="29" t="s">
        <v>58</v>
      </c>
      <c r="L1" s="30"/>
      <c r="M1" s="30"/>
      <c r="N1" s="30"/>
      <c r="O1" s="30"/>
      <c r="P1" s="30"/>
      <c r="Q1" s="31"/>
      <c r="X1" s="29"/>
      <c r="Y1" s="30"/>
      <c r="Z1" s="31"/>
    </row>
    <row r="2" spans="1:26" x14ac:dyDescent="0.25">
      <c r="A2" s="4" t="s">
        <v>21</v>
      </c>
      <c r="B2" s="5" t="s">
        <v>23</v>
      </c>
      <c r="D2" s="10" t="s">
        <v>49</v>
      </c>
      <c r="E2" s="10" t="s">
        <v>50</v>
      </c>
      <c r="F2" s="17" t="s">
        <v>67</v>
      </c>
      <c r="G2" s="10" t="s">
        <v>15</v>
      </c>
      <c r="H2" s="10" t="s">
        <v>16</v>
      </c>
      <c r="I2" s="10" t="s">
        <v>60</v>
      </c>
      <c r="J2" s="9"/>
      <c r="K2" s="10" t="s">
        <v>0</v>
      </c>
      <c r="L2" s="10" t="s">
        <v>1</v>
      </c>
      <c r="M2" s="10" t="s">
        <v>56</v>
      </c>
      <c r="N2" s="10" t="s">
        <v>57</v>
      </c>
      <c r="O2" s="10" t="s">
        <v>2</v>
      </c>
      <c r="P2" s="10" t="s">
        <v>68</v>
      </c>
      <c r="Q2" s="10" t="s">
        <v>67</v>
      </c>
      <c r="X2" s="10" t="s">
        <v>2</v>
      </c>
      <c r="Y2" s="10" t="s">
        <v>59</v>
      </c>
      <c r="Z2" s="10" t="s">
        <v>68</v>
      </c>
    </row>
    <row r="3" spans="1:26" x14ac:dyDescent="0.25">
      <c r="A3" s="4" t="s">
        <v>69</v>
      </c>
      <c r="B3" s="5" t="s">
        <v>78</v>
      </c>
      <c r="D3" s="12">
        <v>46142</v>
      </c>
      <c r="E3" s="12">
        <v>46142</v>
      </c>
      <c r="F3" s="19">
        <f t="shared" ref="F3:F52" si="0">IF(E3&gt;0,E3-D3,"")</f>
        <v>0</v>
      </c>
      <c r="G3" s="2">
        <v>0</v>
      </c>
      <c r="H3" s="2">
        <v>0.03</v>
      </c>
      <c r="I3" s="2">
        <v>0</v>
      </c>
      <c r="J3" s="11"/>
      <c r="K3" s="2">
        <f>G53</f>
        <v>0</v>
      </c>
      <c r="L3" s="2">
        <f>H53</f>
        <v>0.7400000000000001</v>
      </c>
      <c r="M3" s="2">
        <f>I53</f>
        <v>0.03</v>
      </c>
      <c r="N3" s="6" t="str">
        <f>IF(B16=K3,XIRR(Y3:Y52,X3:X52),"")</f>
        <v/>
      </c>
      <c r="O3" s="5" t="str">
        <f>IF(B16=K3,MAX(E:E),"")</f>
        <v/>
      </c>
      <c r="P3" s="1" t="str">
        <f ca="1">IF(Z3="+",TODAY()-B11,"")</f>
        <v/>
      </c>
      <c r="Q3" s="1" t="str">
        <f>IF(B16=K3,MAX(E:E)-B11,"")</f>
        <v/>
      </c>
      <c r="T3" s="14"/>
      <c r="X3" s="5">
        <f>B9</f>
        <v>46115</v>
      </c>
      <c r="Y3" s="2">
        <f>B16*-1</f>
        <v>-14.01</v>
      </c>
      <c r="Z3" s="1" t="str">
        <f ca="1">IF(AND(TODAY()&gt;B11, K3&lt;&gt;B16), "+", "")</f>
        <v/>
      </c>
    </row>
    <row r="4" spans="1:26" x14ac:dyDescent="0.25">
      <c r="A4" s="4" t="s">
        <v>19</v>
      </c>
      <c r="B4" s="5" t="s">
        <v>20</v>
      </c>
      <c r="D4" s="12">
        <v>46173</v>
      </c>
      <c r="E4" s="12">
        <v>46173</v>
      </c>
      <c r="F4" s="19">
        <f t="shared" si="0"/>
        <v>0</v>
      </c>
      <c r="G4" s="2">
        <v>0</v>
      </c>
      <c r="H4" s="2">
        <v>0.14000000000000001</v>
      </c>
      <c r="I4" s="2">
        <v>0.01</v>
      </c>
      <c r="J4" s="9"/>
      <c r="X4" s="5">
        <f>E3</f>
        <v>46142</v>
      </c>
      <c r="Y4" s="2">
        <f>G3+H3-I3</f>
        <v>0.03</v>
      </c>
    </row>
    <row r="5" spans="1:26" x14ac:dyDescent="0.25">
      <c r="A5" s="4"/>
      <c r="B5" s="5"/>
      <c r="D5" s="12">
        <v>46203</v>
      </c>
      <c r="E5" s="12">
        <v>46203</v>
      </c>
      <c r="F5" s="19">
        <f t="shared" si="0"/>
        <v>0</v>
      </c>
      <c r="G5" s="2">
        <v>0</v>
      </c>
      <c r="H5" s="1">
        <v>0.14000000000000001</v>
      </c>
      <c r="I5" s="2">
        <v>0.01</v>
      </c>
      <c r="J5" s="9"/>
      <c r="X5" s="5">
        <f t="shared" ref="X5:X52" si="1">E4</f>
        <v>46173</v>
      </c>
      <c r="Y5" s="2">
        <f t="shared" ref="Y5:Y52" si="2">G4+H4-I4</f>
        <v>0.13</v>
      </c>
    </row>
    <row r="6" spans="1:26" x14ac:dyDescent="0.25">
      <c r="A6" s="4"/>
      <c r="B6" s="5"/>
      <c r="D6" s="12">
        <v>46234</v>
      </c>
      <c r="E6" s="12">
        <v>46234</v>
      </c>
      <c r="F6" s="19">
        <f t="shared" si="0"/>
        <v>0</v>
      </c>
      <c r="G6" s="2">
        <v>0</v>
      </c>
      <c r="H6" s="1">
        <v>0.14000000000000001</v>
      </c>
      <c r="I6" s="2">
        <v>0.01</v>
      </c>
      <c r="J6" s="9"/>
      <c r="X6" s="5">
        <f t="shared" si="1"/>
        <v>46203</v>
      </c>
      <c r="Y6" s="2">
        <f t="shared" si="2"/>
        <v>0.13</v>
      </c>
    </row>
    <row r="7" spans="1:26" x14ac:dyDescent="0.25">
      <c r="A7" s="4"/>
      <c r="B7" s="5"/>
      <c r="D7" s="12">
        <v>46265</v>
      </c>
      <c r="E7" s="12">
        <v>46265</v>
      </c>
      <c r="F7" s="19">
        <f t="shared" si="0"/>
        <v>0</v>
      </c>
      <c r="G7" s="2">
        <v>0</v>
      </c>
      <c r="H7" s="1">
        <v>0.15</v>
      </c>
      <c r="I7" s="2">
        <v>0</v>
      </c>
      <c r="J7" s="11"/>
      <c r="X7" s="5">
        <f t="shared" si="1"/>
        <v>46234</v>
      </c>
      <c r="Y7" s="2">
        <f t="shared" si="2"/>
        <v>0.13</v>
      </c>
    </row>
    <row r="8" spans="1:26" x14ac:dyDescent="0.25">
      <c r="A8" s="4" t="s">
        <v>24</v>
      </c>
      <c r="B8" s="5" t="str">
        <f>DATEDIF(B9,B11,"y") &amp; " m. " &amp; DATEDIF(B9,B11,"ym") &amp; " mėn. " &amp; DATEDIF(B9,B11,"md") &amp; " d."</f>
        <v>0 m. 11 mėn. 29 d.</v>
      </c>
      <c r="D8" s="12">
        <v>46295</v>
      </c>
      <c r="E8" s="12">
        <v>46295</v>
      </c>
      <c r="F8" s="19">
        <f t="shared" si="0"/>
        <v>0</v>
      </c>
      <c r="G8" s="2">
        <v>0</v>
      </c>
      <c r="H8" s="1">
        <v>0.14000000000000001</v>
      </c>
      <c r="I8" s="2">
        <v>0</v>
      </c>
      <c r="J8" s="9"/>
      <c r="X8" s="5">
        <f t="shared" si="1"/>
        <v>46265</v>
      </c>
      <c r="Y8" s="2">
        <f t="shared" si="2"/>
        <v>0.15</v>
      </c>
    </row>
    <row r="9" spans="1:26" x14ac:dyDescent="0.25">
      <c r="A9" s="4" t="s">
        <v>11</v>
      </c>
      <c r="B9" s="5">
        <v>46115</v>
      </c>
      <c r="D9" s="12"/>
      <c r="E9" s="12"/>
      <c r="F9" s="19"/>
      <c r="G9" s="2"/>
      <c r="H9" s="2"/>
      <c r="I9" s="2"/>
      <c r="J9" s="11"/>
      <c r="X9" s="5">
        <f t="shared" si="1"/>
        <v>46295</v>
      </c>
      <c r="Y9" s="2">
        <f t="shared" si="2"/>
        <v>0.14000000000000001</v>
      </c>
    </row>
    <row r="10" spans="1:26" x14ac:dyDescent="0.25">
      <c r="A10" s="4" t="s">
        <v>70</v>
      </c>
      <c r="B10" s="5">
        <v>46098</v>
      </c>
      <c r="D10" s="12"/>
      <c r="E10" s="12"/>
      <c r="F10" s="19" t="str">
        <f t="shared" si="0"/>
        <v/>
      </c>
      <c r="G10" s="1"/>
      <c r="H10" s="1"/>
      <c r="I10" s="2"/>
      <c r="J10" s="11"/>
      <c r="X10" s="5">
        <f t="shared" si="1"/>
        <v>0</v>
      </c>
      <c r="Y10" s="2">
        <f t="shared" si="2"/>
        <v>0</v>
      </c>
    </row>
    <row r="11" spans="1:26" x14ac:dyDescent="0.25">
      <c r="A11" s="4" t="s">
        <v>10</v>
      </c>
      <c r="B11" s="5">
        <v>46478</v>
      </c>
      <c r="D11" s="12"/>
      <c r="E11" s="12"/>
      <c r="F11" s="19" t="str">
        <f t="shared" si="0"/>
        <v/>
      </c>
      <c r="G11" s="1"/>
      <c r="H11" s="2"/>
      <c r="I11" s="2"/>
      <c r="J11" s="11"/>
      <c r="X11" s="5">
        <f t="shared" si="1"/>
        <v>0</v>
      </c>
      <c r="Y11" s="2">
        <f t="shared" si="2"/>
        <v>0</v>
      </c>
    </row>
    <row r="12" spans="1:26" x14ac:dyDescent="0.25">
      <c r="A12" s="4" t="s">
        <v>71</v>
      </c>
      <c r="B12" s="19">
        <f ca="1">IF(B16&lt;&gt;K3,(TODAY()-B11)*-1,"")</f>
        <v>183</v>
      </c>
      <c r="D12" s="12"/>
      <c r="E12" s="12"/>
      <c r="F12" s="19" t="str">
        <f t="shared" si="0"/>
        <v/>
      </c>
      <c r="G12" s="2"/>
      <c r="H12" s="1"/>
      <c r="I12" s="1"/>
      <c r="J12" s="11"/>
      <c r="X12" s="5">
        <f t="shared" si="1"/>
        <v>0</v>
      </c>
      <c r="Y12" s="2">
        <f t="shared" si="2"/>
        <v>0</v>
      </c>
    </row>
    <row r="13" spans="1:26" x14ac:dyDescent="0.25">
      <c r="A13" s="4"/>
      <c r="B13" s="2"/>
      <c r="D13" s="12"/>
      <c r="E13" s="12"/>
      <c r="F13" s="19" t="str">
        <f t="shared" si="0"/>
        <v/>
      </c>
      <c r="G13" s="1"/>
      <c r="H13" s="2"/>
      <c r="I13" s="2"/>
      <c r="J13" s="11"/>
      <c r="N13" s="14"/>
      <c r="X13" s="5">
        <f t="shared" si="1"/>
        <v>0</v>
      </c>
      <c r="Y13" s="2">
        <f t="shared" si="2"/>
        <v>0</v>
      </c>
    </row>
    <row r="14" spans="1:26" x14ac:dyDescent="0.25">
      <c r="A14" s="13"/>
      <c r="B14" s="20"/>
      <c r="D14" s="12"/>
      <c r="E14" s="5"/>
      <c r="F14" s="19" t="str">
        <f t="shared" si="0"/>
        <v/>
      </c>
      <c r="G14" s="1"/>
      <c r="H14" s="1"/>
      <c r="I14" s="1"/>
      <c r="J14" s="11"/>
      <c r="X14" s="5">
        <f t="shared" si="1"/>
        <v>0</v>
      </c>
      <c r="Y14" s="2">
        <f t="shared" si="2"/>
        <v>0</v>
      </c>
    </row>
    <row r="15" spans="1:26" x14ac:dyDescent="0.25">
      <c r="A15" s="4" t="s">
        <v>1</v>
      </c>
      <c r="B15" s="6">
        <v>0.12</v>
      </c>
      <c r="D15" s="12"/>
      <c r="E15" s="5"/>
      <c r="F15" s="19" t="str">
        <f t="shared" si="0"/>
        <v/>
      </c>
      <c r="G15" s="1"/>
      <c r="H15" s="1"/>
      <c r="I15" s="1"/>
      <c r="J15" s="11"/>
      <c r="K15" s="18"/>
      <c r="L15" s="18"/>
      <c r="M15" s="18"/>
      <c r="N15" s="18"/>
      <c r="O15" s="18"/>
      <c r="P15" s="18"/>
      <c r="Q15" s="18"/>
      <c r="X15" s="5">
        <f t="shared" si="1"/>
        <v>0</v>
      </c>
      <c r="Y15" s="2">
        <f t="shared" si="2"/>
        <v>0</v>
      </c>
    </row>
    <row r="16" spans="1:26" x14ac:dyDescent="0.25">
      <c r="A16" s="4" t="s">
        <v>72</v>
      </c>
      <c r="B16" s="2">
        <v>14.01</v>
      </c>
      <c r="D16" s="12"/>
      <c r="E16" s="5"/>
      <c r="F16" s="19" t="str">
        <f t="shared" si="0"/>
        <v/>
      </c>
      <c r="G16" s="1"/>
      <c r="H16" s="1"/>
      <c r="I16" s="1"/>
      <c r="J16" s="11"/>
      <c r="K16" s="9"/>
      <c r="L16" s="9"/>
      <c r="M16" s="9"/>
      <c r="N16" s="21"/>
      <c r="O16" s="22"/>
      <c r="P16" s="11"/>
      <c r="Q16" s="11"/>
      <c r="X16" s="5">
        <f t="shared" si="1"/>
        <v>0</v>
      </c>
      <c r="Y16" s="2">
        <f t="shared" si="2"/>
        <v>0</v>
      </c>
    </row>
    <row r="17" spans="2:25" x14ac:dyDescent="0.25">
      <c r="D17" s="12"/>
      <c r="E17" s="5"/>
      <c r="F17" s="19" t="str">
        <f t="shared" si="0"/>
        <v/>
      </c>
      <c r="G17" s="1"/>
      <c r="H17" s="1"/>
      <c r="I17" s="1"/>
      <c r="J17" s="11"/>
      <c r="X17" s="5">
        <f t="shared" si="1"/>
        <v>0</v>
      </c>
      <c r="Y17" s="2">
        <f t="shared" si="2"/>
        <v>0</v>
      </c>
    </row>
    <row r="18" spans="2:25" x14ac:dyDescent="0.25">
      <c r="D18" s="12"/>
      <c r="E18" s="5"/>
      <c r="F18" s="19" t="str">
        <f t="shared" si="0"/>
        <v/>
      </c>
      <c r="G18" s="1"/>
      <c r="H18" s="1"/>
      <c r="I18" s="1"/>
      <c r="J18" s="11"/>
      <c r="X18" s="5">
        <f t="shared" si="1"/>
        <v>0</v>
      </c>
      <c r="Y18" s="2">
        <f t="shared" si="2"/>
        <v>0</v>
      </c>
    </row>
    <row r="19" spans="2:25" x14ac:dyDescent="0.25">
      <c r="D19" s="12"/>
      <c r="E19" s="5"/>
      <c r="F19" s="19" t="str">
        <f t="shared" si="0"/>
        <v/>
      </c>
      <c r="G19" s="1"/>
      <c r="H19" s="1"/>
      <c r="I19" s="1"/>
      <c r="J19" s="11"/>
      <c r="X19" s="5">
        <f t="shared" si="1"/>
        <v>0</v>
      </c>
      <c r="Y19" s="2">
        <f t="shared" si="2"/>
        <v>0</v>
      </c>
    </row>
    <row r="20" spans="2:25" x14ac:dyDescent="0.25">
      <c r="D20" s="12"/>
      <c r="E20" s="5"/>
      <c r="F20" s="19" t="str">
        <f t="shared" si="0"/>
        <v/>
      </c>
      <c r="G20" s="1"/>
      <c r="H20" s="1"/>
      <c r="I20" s="1"/>
      <c r="J20" s="11"/>
      <c r="X20" s="5">
        <f t="shared" si="1"/>
        <v>0</v>
      </c>
      <c r="Y20" s="2">
        <f t="shared" si="2"/>
        <v>0</v>
      </c>
    </row>
    <row r="21" spans="2:25" x14ac:dyDescent="0.25">
      <c r="D21" s="12"/>
      <c r="E21" s="5"/>
      <c r="F21" s="19" t="str">
        <f t="shared" si="0"/>
        <v/>
      </c>
      <c r="G21" s="1"/>
      <c r="H21" s="1"/>
      <c r="I21" s="1"/>
      <c r="J21" s="11"/>
      <c r="X21" s="5">
        <f t="shared" si="1"/>
        <v>0</v>
      </c>
      <c r="Y21" s="2">
        <f t="shared" si="2"/>
        <v>0</v>
      </c>
    </row>
    <row r="22" spans="2:25" x14ac:dyDescent="0.25">
      <c r="D22" s="12"/>
      <c r="E22" s="5"/>
      <c r="F22" s="19" t="str">
        <f t="shared" si="0"/>
        <v/>
      </c>
      <c r="G22" s="1"/>
      <c r="H22" s="1"/>
      <c r="I22" s="1"/>
      <c r="J22" s="11"/>
      <c r="X22" s="5">
        <f t="shared" si="1"/>
        <v>0</v>
      </c>
      <c r="Y22" s="2">
        <f t="shared" si="2"/>
        <v>0</v>
      </c>
    </row>
    <row r="23" spans="2:25" x14ac:dyDescent="0.25">
      <c r="B23" s="22"/>
      <c r="D23" s="12"/>
      <c r="E23" s="5"/>
      <c r="F23" s="19" t="str">
        <f t="shared" si="0"/>
        <v/>
      </c>
      <c r="G23" s="1"/>
      <c r="H23" s="1"/>
      <c r="I23" s="1"/>
      <c r="J23" s="11"/>
      <c r="X23" s="5">
        <f t="shared" si="1"/>
        <v>0</v>
      </c>
      <c r="Y23" s="2">
        <f t="shared" si="2"/>
        <v>0</v>
      </c>
    </row>
    <row r="24" spans="2:25" x14ac:dyDescent="0.25">
      <c r="D24" s="12"/>
      <c r="E24" s="5"/>
      <c r="F24" s="19" t="str">
        <f t="shared" si="0"/>
        <v/>
      </c>
      <c r="G24" s="1"/>
      <c r="H24" s="1"/>
      <c r="I24" s="1"/>
      <c r="J24" s="11"/>
      <c r="X24" s="5">
        <f t="shared" si="1"/>
        <v>0</v>
      </c>
      <c r="Y24" s="2">
        <f t="shared" si="2"/>
        <v>0</v>
      </c>
    </row>
    <row r="25" spans="2:25" x14ac:dyDescent="0.25">
      <c r="D25" s="12"/>
      <c r="E25" s="5"/>
      <c r="F25" s="19" t="str">
        <f t="shared" si="0"/>
        <v/>
      </c>
      <c r="G25" s="1"/>
      <c r="H25" s="1"/>
      <c r="I25" s="1"/>
      <c r="J25" s="11"/>
      <c r="X25" s="5">
        <f t="shared" si="1"/>
        <v>0</v>
      </c>
      <c r="Y25" s="2">
        <f t="shared" si="2"/>
        <v>0</v>
      </c>
    </row>
    <row r="26" spans="2:25" x14ac:dyDescent="0.25">
      <c r="D26" s="12"/>
      <c r="E26" s="5"/>
      <c r="F26" s="19" t="str">
        <f t="shared" si="0"/>
        <v/>
      </c>
      <c r="G26" s="1"/>
      <c r="H26" s="1"/>
      <c r="I26" s="1"/>
      <c r="J26" s="11"/>
      <c r="X26" s="5">
        <f t="shared" si="1"/>
        <v>0</v>
      </c>
      <c r="Y26" s="2">
        <f t="shared" si="2"/>
        <v>0</v>
      </c>
    </row>
    <row r="27" spans="2:25" x14ac:dyDescent="0.25">
      <c r="D27" s="12"/>
      <c r="E27" s="5"/>
      <c r="F27" s="19" t="str">
        <f t="shared" si="0"/>
        <v/>
      </c>
      <c r="G27" s="1"/>
      <c r="H27" s="1"/>
      <c r="I27" s="1"/>
      <c r="J27" s="11"/>
      <c r="X27" s="5">
        <f t="shared" si="1"/>
        <v>0</v>
      </c>
      <c r="Y27" s="2">
        <f t="shared" si="2"/>
        <v>0</v>
      </c>
    </row>
    <row r="28" spans="2:25" x14ac:dyDescent="0.25">
      <c r="D28" s="12"/>
      <c r="E28" s="5"/>
      <c r="F28" s="19" t="str">
        <f t="shared" si="0"/>
        <v/>
      </c>
      <c r="G28" s="1"/>
      <c r="H28" s="1"/>
      <c r="I28" s="1"/>
      <c r="J28" s="11"/>
      <c r="X28" s="5">
        <f t="shared" si="1"/>
        <v>0</v>
      </c>
      <c r="Y28" s="2">
        <f t="shared" si="2"/>
        <v>0</v>
      </c>
    </row>
    <row r="29" spans="2:25" x14ac:dyDescent="0.25">
      <c r="D29" s="12"/>
      <c r="E29" s="5"/>
      <c r="F29" s="19" t="str">
        <f t="shared" si="0"/>
        <v/>
      </c>
      <c r="G29" s="1"/>
      <c r="H29" s="1"/>
      <c r="I29" s="1"/>
      <c r="J29" s="11"/>
      <c r="X29" s="5">
        <f t="shared" si="1"/>
        <v>0</v>
      </c>
      <c r="Y29" s="2">
        <f t="shared" si="2"/>
        <v>0</v>
      </c>
    </row>
    <row r="30" spans="2:25" x14ac:dyDescent="0.25">
      <c r="D30" s="12"/>
      <c r="E30" s="5"/>
      <c r="F30" s="19" t="str">
        <f t="shared" si="0"/>
        <v/>
      </c>
      <c r="G30" s="1"/>
      <c r="H30" s="1"/>
      <c r="I30" s="1"/>
      <c r="J30" s="11"/>
      <c r="X30" s="5">
        <f t="shared" si="1"/>
        <v>0</v>
      </c>
      <c r="Y30" s="2">
        <f t="shared" si="2"/>
        <v>0</v>
      </c>
    </row>
    <row r="31" spans="2:25" x14ac:dyDescent="0.25">
      <c r="D31" s="12"/>
      <c r="E31" s="5"/>
      <c r="F31" s="19" t="str">
        <f t="shared" si="0"/>
        <v/>
      </c>
      <c r="G31" s="1"/>
      <c r="H31" s="1"/>
      <c r="I31" s="1"/>
      <c r="J31" s="11"/>
      <c r="X31" s="5">
        <f t="shared" si="1"/>
        <v>0</v>
      </c>
      <c r="Y31" s="2">
        <f t="shared" si="2"/>
        <v>0</v>
      </c>
    </row>
    <row r="32" spans="2:25" x14ac:dyDescent="0.25">
      <c r="D32" s="12"/>
      <c r="E32" s="5"/>
      <c r="F32" s="19" t="str">
        <f t="shared" si="0"/>
        <v/>
      </c>
      <c r="G32" s="1"/>
      <c r="H32" s="1"/>
      <c r="I32" s="1"/>
      <c r="J32" s="11"/>
      <c r="X32" s="5">
        <f t="shared" si="1"/>
        <v>0</v>
      </c>
      <c r="Y32" s="2">
        <f t="shared" si="2"/>
        <v>0</v>
      </c>
    </row>
    <row r="33" spans="4:25" x14ac:dyDescent="0.25">
      <c r="D33" s="12"/>
      <c r="E33" s="5"/>
      <c r="F33" s="19" t="str">
        <f t="shared" si="0"/>
        <v/>
      </c>
      <c r="G33" s="1"/>
      <c r="H33" s="1"/>
      <c r="I33" s="1"/>
      <c r="J33" s="11"/>
      <c r="X33" s="5">
        <f t="shared" si="1"/>
        <v>0</v>
      </c>
      <c r="Y33" s="2">
        <f t="shared" si="2"/>
        <v>0</v>
      </c>
    </row>
    <row r="34" spans="4:25" x14ac:dyDescent="0.25">
      <c r="D34" s="12"/>
      <c r="E34" s="5"/>
      <c r="F34" s="19" t="str">
        <f t="shared" si="0"/>
        <v/>
      </c>
      <c r="G34" s="1"/>
      <c r="H34" s="1"/>
      <c r="I34" s="1"/>
      <c r="J34" s="11"/>
      <c r="X34" s="5">
        <f t="shared" si="1"/>
        <v>0</v>
      </c>
      <c r="Y34" s="2">
        <f t="shared" si="2"/>
        <v>0</v>
      </c>
    </row>
    <row r="35" spans="4:25" x14ac:dyDescent="0.25">
      <c r="D35" s="12"/>
      <c r="E35" s="5"/>
      <c r="F35" s="19" t="str">
        <f t="shared" si="0"/>
        <v/>
      </c>
      <c r="G35" s="1"/>
      <c r="H35" s="1"/>
      <c r="I35" s="1"/>
      <c r="J35" s="11"/>
      <c r="X35" s="5">
        <f t="shared" si="1"/>
        <v>0</v>
      </c>
      <c r="Y35" s="2">
        <f t="shared" si="2"/>
        <v>0</v>
      </c>
    </row>
    <row r="36" spans="4:25" x14ac:dyDescent="0.25">
      <c r="D36" s="12"/>
      <c r="E36" s="5"/>
      <c r="F36" s="19" t="str">
        <f t="shared" si="0"/>
        <v/>
      </c>
      <c r="G36" s="1"/>
      <c r="H36" s="1"/>
      <c r="I36" s="1"/>
      <c r="J36" s="11"/>
      <c r="X36" s="5">
        <f t="shared" si="1"/>
        <v>0</v>
      </c>
      <c r="Y36" s="2">
        <f t="shared" si="2"/>
        <v>0</v>
      </c>
    </row>
    <row r="37" spans="4:25" x14ac:dyDescent="0.25">
      <c r="D37" s="12"/>
      <c r="E37" s="5"/>
      <c r="F37" s="19" t="str">
        <f t="shared" si="0"/>
        <v/>
      </c>
      <c r="G37" s="1"/>
      <c r="H37" s="1"/>
      <c r="I37" s="1"/>
      <c r="J37" s="11"/>
      <c r="X37" s="5">
        <f t="shared" si="1"/>
        <v>0</v>
      </c>
      <c r="Y37" s="2">
        <f t="shared" si="2"/>
        <v>0</v>
      </c>
    </row>
    <row r="38" spans="4:25" x14ac:dyDescent="0.25">
      <c r="D38" s="12"/>
      <c r="E38" s="5"/>
      <c r="F38" s="19" t="str">
        <f t="shared" si="0"/>
        <v/>
      </c>
      <c r="G38" s="1"/>
      <c r="H38" s="1"/>
      <c r="I38" s="1"/>
      <c r="J38" s="11"/>
      <c r="X38" s="5">
        <f t="shared" si="1"/>
        <v>0</v>
      </c>
      <c r="Y38" s="2">
        <f t="shared" si="2"/>
        <v>0</v>
      </c>
    </row>
    <row r="39" spans="4:25" x14ac:dyDescent="0.25">
      <c r="D39" s="12"/>
      <c r="E39" s="5"/>
      <c r="F39" s="19" t="str">
        <f t="shared" si="0"/>
        <v/>
      </c>
      <c r="G39" s="1"/>
      <c r="H39" s="1"/>
      <c r="I39" s="1"/>
      <c r="J39" s="11"/>
      <c r="X39" s="5">
        <f t="shared" si="1"/>
        <v>0</v>
      </c>
      <c r="Y39" s="2">
        <f t="shared" si="2"/>
        <v>0</v>
      </c>
    </row>
    <row r="40" spans="4:25" x14ac:dyDescent="0.25">
      <c r="D40" s="12"/>
      <c r="E40" s="5"/>
      <c r="F40" s="19" t="str">
        <f t="shared" si="0"/>
        <v/>
      </c>
      <c r="G40" s="1"/>
      <c r="H40" s="1"/>
      <c r="I40" s="1"/>
      <c r="J40" s="11"/>
      <c r="X40" s="5">
        <f t="shared" si="1"/>
        <v>0</v>
      </c>
      <c r="Y40" s="2">
        <f t="shared" si="2"/>
        <v>0</v>
      </c>
    </row>
    <row r="41" spans="4:25" x14ac:dyDescent="0.25">
      <c r="D41" s="12"/>
      <c r="E41" s="5"/>
      <c r="F41" s="19" t="str">
        <f t="shared" si="0"/>
        <v/>
      </c>
      <c r="G41" s="1"/>
      <c r="H41" s="1"/>
      <c r="I41" s="1"/>
      <c r="J41" s="11"/>
      <c r="X41" s="5">
        <f t="shared" si="1"/>
        <v>0</v>
      </c>
      <c r="Y41" s="2">
        <f t="shared" si="2"/>
        <v>0</v>
      </c>
    </row>
    <row r="42" spans="4:25" x14ac:dyDescent="0.25">
      <c r="D42" s="12"/>
      <c r="E42" s="5"/>
      <c r="F42" s="19" t="str">
        <f t="shared" si="0"/>
        <v/>
      </c>
      <c r="G42" s="1"/>
      <c r="H42" s="1"/>
      <c r="I42" s="1"/>
      <c r="J42" s="11"/>
      <c r="X42" s="5">
        <f t="shared" si="1"/>
        <v>0</v>
      </c>
      <c r="Y42" s="2">
        <f t="shared" si="2"/>
        <v>0</v>
      </c>
    </row>
    <row r="43" spans="4:25" x14ac:dyDescent="0.25">
      <c r="D43" s="12"/>
      <c r="E43" s="5"/>
      <c r="F43" s="19" t="str">
        <f t="shared" si="0"/>
        <v/>
      </c>
      <c r="G43" s="1"/>
      <c r="H43" s="1"/>
      <c r="I43" s="1"/>
      <c r="J43" s="11"/>
      <c r="X43" s="5">
        <f t="shared" si="1"/>
        <v>0</v>
      </c>
      <c r="Y43" s="2">
        <f t="shared" si="2"/>
        <v>0</v>
      </c>
    </row>
    <row r="44" spans="4:25" x14ac:dyDescent="0.25">
      <c r="D44" s="12"/>
      <c r="E44" s="5"/>
      <c r="F44" s="19" t="str">
        <f t="shared" si="0"/>
        <v/>
      </c>
      <c r="G44" s="1"/>
      <c r="H44" s="1"/>
      <c r="I44" s="1"/>
      <c r="J44" s="11"/>
      <c r="X44" s="5">
        <f t="shared" si="1"/>
        <v>0</v>
      </c>
      <c r="Y44" s="2">
        <f t="shared" si="2"/>
        <v>0</v>
      </c>
    </row>
    <row r="45" spans="4:25" x14ac:dyDescent="0.25">
      <c r="D45" s="12"/>
      <c r="E45" s="5"/>
      <c r="F45" s="19" t="str">
        <f t="shared" si="0"/>
        <v/>
      </c>
      <c r="G45" s="1"/>
      <c r="H45" s="1"/>
      <c r="I45" s="1"/>
      <c r="J45" s="11"/>
      <c r="X45" s="5">
        <f t="shared" si="1"/>
        <v>0</v>
      </c>
      <c r="Y45" s="2">
        <f t="shared" si="2"/>
        <v>0</v>
      </c>
    </row>
    <row r="46" spans="4:25" x14ac:dyDescent="0.25">
      <c r="D46" s="12"/>
      <c r="E46" s="5"/>
      <c r="F46" s="19" t="str">
        <f t="shared" si="0"/>
        <v/>
      </c>
      <c r="G46" s="1"/>
      <c r="H46" s="1"/>
      <c r="I46" s="1"/>
      <c r="J46" s="11"/>
      <c r="X46" s="5">
        <f t="shared" si="1"/>
        <v>0</v>
      </c>
      <c r="Y46" s="2">
        <f t="shared" si="2"/>
        <v>0</v>
      </c>
    </row>
    <row r="47" spans="4:25" x14ac:dyDescent="0.25">
      <c r="D47" s="12"/>
      <c r="E47" s="5"/>
      <c r="F47" s="19" t="str">
        <f t="shared" si="0"/>
        <v/>
      </c>
      <c r="G47" s="1"/>
      <c r="H47" s="1"/>
      <c r="I47" s="1"/>
      <c r="J47" s="11"/>
      <c r="X47" s="5">
        <f t="shared" si="1"/>
        <v>0</v>
      </c>
      <c r="Y47" s="2">
        <f t="shared" si="2"/>
        <v>0</v>
      </c>
    </row>
    <row r="48" spans="4:25" x14ac:dyDescent="0.25">
      <c r="D48" s="12"/>
      <c r="E48" s="5"/>
      <c r="F48" s="19" t="str">
        <f t="shared" si="0"/>
        <v/>
      </c>
      <c r="G48" s="1"/>
      <c r="H48" s="1"/>
      <c r="I48" s="1"/>
      <c r="J48" s="11"/>
      <c r="X48" s="5">
        <f t="shared" si="1"/>
        <v>0</v>
      </c>
      <c r="Y48" s="2">
        <f t="shared" si="2"/>
        <v>0</v>
      </c>
    </row>
    <row r="49" spans="4:25" x14ac:dyDescent="0.25">
      <c r="D49" s="12"/>
      <c r="E49" s="5"/>
      <c r="F49" s="19" t="str">
        <f t="shared" si="0"/>
        <v/>
      </c>
      <c r="G49" s="1"/>
      <c r="H49" s="1"/>
      <c r="I49" s="1"/>
      <c r="J49" s="11"/>
      <c r="X49" s="5">
        <f t="shared" si="1"/>
        <v>0</v>
      </c>
      <c r="Y49" s="2">
        <f t="shared" si="2"/>
        <v>0</v>
      </c>
    </row>
    <row r="50" spans="4:25" x14ac:dyDescent="0.25">
      <c r="D50" s="12"/>
      <c r="E50" s="5"/>
      <c r="F50" s="19" t="str">
        <f t="shared" si="0"/>
        <v/>
      </c>
      <c r="G50" s="1"/>
      <c r="H50" s="1"/>
      <c r="I50" s="1"/>
      <c r="J50" s="11"/>
      <c r="X50" s="5">
        <f t="shared" si="1"/>
        <v>0</v>
      </c>
      <c r="Y50" s="2">
        <f t="shared" si="2"/>
        <v>0</v>
      </c>
    </row>
    <row r="51" spans="4:25" x14ac:dyDescent="0.25">
      <c r="D51" s="12"/>
      <c r="E51" s="5"/>
      <c r="F51" s="19" t="str">
        <f t="shared" si="0"/>
        <v/>
      </c>
      <c r="G51" s="1"/>
      <c r="H51" s="1"/>
      <c r="I51" s="1"/>
      <c r="J51" s="11"/>
      <c r="X51" s="5">
        <f t="shared" si="1"/>
        <v>0</v>
      </c>
      <c r="Y51" s="2">
        <f t="shared" si="2"/>
        <v>0</v>
      </c>
    </row>
    <row r="52" spans="4:25" x14ac:dyDescent="0.25">
      <c r="D52" s="12"/>
      <c r="E52" s="5"/>
      <c r="F52" s="19" t="str">
        <f t="shared" si="0"/>
        <v/>
      </c>
      <c r="G52" s="1"/>
      <c r="H52" s="1"/>
      <c r="I52" s="1"/>
      <c r="J52" s="9"/>
      <c r="X52" s="5">
        <f t="shared" si="1"/>
        <v>0</v>
      </c>
      <c r="Y52" s="2">
        <f t="shared" si="2"/>
        <v>0</v>
      </c>
    </row>
    <row r="53" spans="4:25" x14ac:dyDescent="0.25">
      <c r="D53" s="1" t="s">
        <v>25</v>
      </c>
      <c r="E53" s="23"/>
      <c r="F53" s="2"/>
      <c r="G53" s="2">
        <f>SUM(G3:G52)</f>
        <v>0</v>
      </c>
      <c r="H53" s="2">
        <f t="shared" ref="H53:I53" si="3">SUM(H3:H52)</f>
        <v>0.7400000000000001</v>
      </c>
      <c r="I53" s="2">
        <f t="shared" si="3"/>
        <v>0.03</v>
      </c>
    </row>
  </sheetData>
  <mergeCells count="4">
    <mergeCell ref="D1:F1"/>
    <mergeCell ref="G1:I1"/>
    <mergeCell ref="K1:Q1"/>
    <mergeCell ref="X1:Z1"/>
  </mergeCells>
  <conditionalFormatting sqref="A1:B1">
    <cfRule type="expression" dxfId="103" priority="1">
      <formula>$Z$3="+"</formula>
    </cfRule>
    <cfRule type="expression" dxfId="102" priority="2">
      <formula>$B$16=$K$3</formula>
    </cfRule>
  </conditionalFormatting>
  <conditionalFormatting sqref="P3">
    <cfRule type="expression" dxfId="101" priority="6">
      <formula>$Z$3="+"</formula>
    </cfRule>
  </conditionalFormatting>
  <conditionalFormatting sqref="Z3">
    <cfRule type="expression" dxfId="100" priority="7">
      <formula>$Z$3="+"</formula>
    </cfRule>
  </conditionalFormatting>
  <dataValidations count="1">
    <dataValidation type="list" allowBlank="1" showInputMessage="1" showErrorMessage="1" sqref="B2" xr:uid="{6F6F17B1-88C0-4042-BE28-954BEFF02D6D}">
      <formula1>"Romania,Moldova,Cyprus,Philippines"</formula1>
    </dataValidation>
  </dataValidations>
  <pageMargins left="0.7" right="0.7" top="0.75" bottom="0.75" header="0.3" footer="0.3"/>
  <pageSetup orientation="portrait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B5B29-46C2-469A-BF42-B07C9F6E64AD}">
  <dimension ref="A1:Z53"/>
  <sheetViews>
    <sheetView workbookViewId="0">
      <selection activeCell="G10" sqref="G10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1" customWidth="1"/>
    <col min="25" max="25" width="10.7109375" style="11" customWidth="1"/>
    <col min="26" max="26" width="10.7109375" customWidth="1"/>
  </cols>
  <sheetData>
    <row r="1" spans="1:26" x14ac:dyDescent="0.25">
      <c r="A1" s="4" t="s">
        <v>66</v>
      </c>
      <c r="B1" s="5" t="s">
        <v>53</v>
      </c>
      <c r="D1" s="29" t="s">
        <v>2</v>
      </c>
      <c r="E1" s="30"/>
      <c r="F1" s="31"/>
      <c r="G1" s="29" t="s">
        <v>0</v>
      </c>
      <c r="H1" s="30"/>
      <c r="I1" s="31"/>
      <c r="J1" s="18"/>
      <c r="K1" s="29" t="s">
        <v>58</v>
      </c>
      <c r="L1" s="30"/>
      <c r="M1" s="30"/>
      <c r="N1" s="30"/>
      <c r="O1" s="30"/>
      <c r="P1" s="30"/>
      <c r="Q1" s="31"/>
      <c r="X1" s="29"/>
      <c r="Y1" s="30"/>
      <c r="Z1" s="31"/>
    </row>
    <row r="2" spans="1:26" x14ac:dyDescent="0.25">
      <c r="A2" s="4" t="s">
        <v>21</v>
      </c>
      <c r="B2" s="5" t="s">
        <v>23</v>
      </c>
      <c r="D2" s="10" t="s">
        <v>49</v>
      </c>
      <c r="E2" s="10" t="s">
        <v>50</v>
      </c>
      <c r="F2" s="17" t="s">
        <v>67</v>
      </c>
      <c r="G2" s="10" t="s">
        <v>15</v>
      </c>
      <c r="H2" s="10" t="s">
        <v>16</v>
      </c>
      <c r="I2" s="10" t="s">
        <v>60</v>
      </c>
      <c r="J2" s="9"/>
      <c r="K2" s="10" t="s">
        <v>0</v>
      </c>
      <c r="L2" s="10" t="s">
        <v>1</v>
      </c>
      <c r="M2" s="10" t="s">
        <v>56</v>
      </c>
      <c r="N2" s="10" t="s">
        <v>57</v>
      </c>
      <c r="O2" s="10" t="s">
        <v>2</v>
      </c>
      <c r="P2" s="10" t="s">
        <v>68</v>
      </c>
      <c r="Q2" s="10" t="s">
        <v>67</v>
      </c>
      <c r="X2" s="10" t="s">
        <v>2</v>
      </c>
      <c r="Y2" s="10" t="s">
        <v>59</v>
      </c>
      <c r="Z2" s="10" t="s">
        <v>68</v>
      </c>
    </row>
    <row r="3" spans="1:26" x14ac:dyDescent="0.25">
      <c r="A3" s="4" t="s">
        <v>69</v>
      </c>
      <c r="B3" s="5" t="s">
        <v>78</v>
      </c>
      <c r="D3" s="12">
        <v>46112</v>
      </c>
      <c r="E3" s="12">
        <v>46112</v>
      </c>
      <c r="F3" s="19">
        <f t="shared" ref="F3:F52" si="0">IF(E3&gt;0,E3-D3,"")</f>
        <v>0</v>
      </c>
      <c r="G3" s="2">
        <v>0</v>
      </c>
      <c r="H3" s="2">
        <v>0</v>
      </c>
      <c r="I3" s="2">
        <v>0</v>
      </c>
      <c r="J3" s="11"/>
      <c r="K3" s="2">
        <f>G53</f>
        <v>0</v>
      </c>
      <c r="L3" s="2">
        <f>H53</f>
        <v>1.0900000000000001</v>
      </c>
      <c r="M3" s="2">
        <f>I53</f>
        <v>0.05</v>
      </c>
      <c r="N3" s="6" t="str">
        <f>IF(B16=K3,XIRR(Y3:Y52,X3:X52),"")</f>
        <v/>
      </c>
      <c r="O3" s="5" t="str">
        <f>IF(B16=K3,MAX(E:E),"")</f>
        <v/>
      </c>
      <c r="P3" s="1" t="str">
        <f ca="1">IF(Z3="+",TODAY()-B11,"")</f>
        <v/>
      </c>
      <c r="Q3" s="1" t="str">
        <f>IF(B16=K3,MAX(E:E)-B11,"")</f>
        <v/>
      </c>
      <c r="T3" s="14"/>
      <c r="X3" s="5">
        <f>B9</f>
        <v>46106</v>
      </c>
      <c r="Y3" s="2">
        <f>B16*-1</f>
        <v>-18.62</v>
      </c>
      <c r="Z3" s="1" t="str">
        <f ca="1">IF(AND(TODAY()&gt;B11, K3&lt;&gt;B16), "+", "")</f>
        <v/>
      </c>
    </row>
    <row r="4" spans="1:26" x14ac:dyDescent="0.25">
      <c r="A4" s="4" t="s">
        <v>19</v>
      </c>
      <c r="B4" s="5" t="s">
        <v>20</v>
      </c>
      <c r="D4" s="12">
        <v>46142</v>
      </c>
      <c r="E4" s="12">
        <v>46142</v>
      </c>
      <c r="F4" s="19">
        <f t="shared" si="0"/>
        <v>0</v>
      </c>
      <c r="G4" s="2">
        <v>0</v>
      </c>
      <c r="H4" s="2">
        <v>0.1</v>
      </c>
      <c r="I4" s="2">
        <v>0</v>
      </c>
      <c r="J4" s="9"/>
      <c r="X4" s="5">
        <f>E3</f>
        <v>46112</v>
      </c>
      <c r="Y4" s="2">
        <f>G3+H3-I3</f>
        <v>0</v>
      </c>
    </row>
    <row r="5" spans="1:26" x14ac:dyDescent="0.25">
      <c r="A5" s="4"/>
      <c r="B5" s="5"/>
      <c r="D5" s="12">
        <v>46173</v>
      </c>
      <c r="E5" s="12">
        <v>46173</v>
      </c>
      <c r="F5" s="19">
        <f t="shared" si="0"/>
        <v>0</v>
      </c>
      <c r="G5" s="2">
        <v>0</v>
      </c>
      <c r="H5" s="1">
        <v>0.19</v>
      </c>
      <c r="I5" s="2">
        <v>0.01</v>
      </c>
      <c r="J5" s="9"/>
      <c r="X5" s="5">
        <f t="shared" ref="X5:X52" si="1">E4</f>
        <v>46142</v>
      </c>
      <c r="Y5" s="2">
        <f t="shared" ref="Y5:Y52" si="2">G4+H4-I4</f>
        <v>0.1</v>
      </c>
    </row>
    <row r="6" spans="1:26" x14ac:dyDescent="0.25">
      <c r="A6" s="4"/>
      <c r="B6" s="5"/>
      <c r="D6" s="12">
        <v>46203</v>
      </c>
      <c r="E6" s="12">
        <v>46203</v>
      </c>
      <c r="F6" s="19">
        <f t="shared" si="0"/>
        <v>0</v>
      </c>
      <c r="G6" s="2">
        <v>0</v>
      </c>
      <c r="H6" s="2">
        <v>0.2</v>
      </c>
      <c r="I6" s="2">
        <v>0.02</v>
      </c>
      <c r="J6" s="9"/>
      <c r="X6" s="5">
        <f t="shared" si="1"/>
        <v>46173</v>
      </c>
      <c r="Y6" s="2">
        <f t="shared" si="2"/>
        <v>0.18</v>
      </c>
    </row>
    <row r="7" spans="1:26" x14ac:dyDescent="0.25">
      <c r="A7" s="4"/>
      <c r="B7" s="5"/>
      <c r="D7" s="12">
        <v>46234</v>
      </c>
      <c r="E7" s="12">
        <v>46234</v>
      </c>
      <c r="F7" s="19">
        <f t="shared" si="0"/>
        <v>0</v>
      </c>
      <c r="G7" s="2">
        <v>0</v>
      </c>
      <c r="H7" s="2">
        <v>0.2</v>
      </c>
      <c r="I7" s="2">
        <v>0.02</v>
      </c>
      <c r="J7" s="11"/>
      <c r="X7" s="5">
        <f t="shared" si="1"/>
        <v>46203</v>
      </c>
      <c r="Y7" s="2">
        <f t="shared" si="2"/>
        <v>0.18000000000000002</v>
      </c>
    </row>
    <row r="8" spans="1:26" x14ac:dyDescent="0.25">
      <c r="A8" s="4" t="s">
        <v>24</v>
      </c>
      <c r="B8" s="5" t="str">
        <f>DATEDIF(B9,B11,"y") &amp; " m. " &amp; DATEDIF(B9,B11,"ym") &amp; " mėn. " &amp; DATEDIF(B9,B11,"md") &amp; " d."</f>
        <v>1 m. 3 mėn. 0 d.</v>
      </c>
      <c r="D8" s="12">
        <v>46265</v>
      </c>
      <c r="E8" s="12">
        <v>46265</v>
      </c>
      <c r="F8" s="19">
        <f t="shared" si="0"/>
        <v>0</v>
      </c>
      <c r="G8" s="2">
        <v>0</v>
      </c>
      <c r="H8" s="2">
        <v>0.2</v>
      </c>
      <c r="I8" s="2">
        <v>0</v>
      </c>
      <c r="J8" s="9"/>
      <c r="X8" s="5">
        <f t="shared" si="1"/>
        <v>46234</v>
      </c>
      <c r="Y8" s="2">
        <f t="shared" si="2"/>
        <v>0.18000000000000002</v>
      </c>
    </row>
    <row r="9" spans="1:26" x14ac:dyDescent="0.25">
      <c r="A9" s="4" t="s">
        <v>11</v>
      </c>
      <c r="B9" s="5">
        <v>46106</v>
      </c>
      <c r="D9" s="12">
        <v>46295</v>
      </c>
      <c r="E9" s="12">
        <v>46295</v>
      </c>
      <c r="F9" s="19">
        <f t="shared" si="0"/>
        <v>0</v>
      </c>
      <c r="G9" s="2">
        <v>0</v>
      </c>
      <c r="H9" s="2">
        <v>0.2</v>
      </c>
      <c r="I9" s="2">
        <v>0</v>
      </c>
      <c r="J9" s="11"/>
      <c r="X9" s="5">
        <f t="shared" si="1"/>
        <v>46265</v>
      </c>
      <c r="Y9" s="2">
        <f t="shared" si="2"/>
        <v>0.2</v>
      </c>
    </row>
    <row r="10" spans="1:26" x14ac:dyDescent="0.25">
      <c r="A10" s="4" t="s">
        <v>70</v>
      </c>
      <c r="B10" s="5">
        <v>46098</v>
      </c>
      <c r="D10" s="12"/>
      <c r="E10" s="12"/>
      <c r="F10" s="19" t="str">
        <f t="shared" si="0"/>
        <v/>
      </c>
      <c r="G10" s="1"/>
      <c r="H10" s="1"/>
      <c r="I10" s="2"/>
      <c r="J10" s="11"/>
      <c r="X10" s="5">
        <f t="shared" si="1"/>
        <v>46295</v>
      </c>
      <c r="Y10" s="2">
        <f t="shared" si="2"/>
        <v>0.2</v>
      </c>
    </row>
    <row r="11" spans="1:26" x14ac:dyDescent="0.25">
      <c r="A11" s="4" t="s">
        <v>10</v>
      </c>
      <c r="B11" s="5">
        <v>46563</v>
      </c>
      <c r="D11" s="12"/>
      <c r="E11" s="12"/>
      <c r="F11" s="19" t="str">
        <f t="shared" si="0"/>
        <v/>
      </c>
      <c r="G11" s="1"/>
      <c r="H11" s="2"/>
      <c r="I11" s="2"/>
      <c r="J11" s="11"/>
      <c r="X11" s="5">
        <f t="shared" si="1"/>
        <v>0</v>
      </c>
      <c r="Y11" s="2">
        <f t="shared" si="2"/>
        <v>0</v>
      </c>
    </row>
    <row r="12" spans="1:26" x14ac:dyDescent="0.25">
      <c r="A12" s="4" t="s">
        <v>71</v>
      </c>
      <c r="B12" s="19">
        <f ca="1">IF(B16&lt;&gt;K3,(TODAY()-B11)*-1,"")</f>
        <v>268</v>
      </c>
      <c r="D12" s="12"/>
      <c r="E12" s="12"/>
      <c r="F12" s="19" t="str">
        <f t="shared" si="0"/>
        <v/>
      </c>
      <c r="G12" s="2"/>
      <c r="H12" s="1"/>
      <c r="I12" s="1"/>
      <c r="J12" s="11"/>
      <c r="X12" s="5">
        <f t="shared" si="1"/>
        <v>0</v>
      </c>
      <c r="Y12" s="2">
        <f t="shared" si="2"/>
        <v>0</v>
      </c>
    </row>
    <row r="13" spans="1:26" x14ac:dyDescent="0.25">
      <c r="A13" s="4"/>
      <c r="B13" s="2"/>
      <c r="D13" s="12"/>
      <c r="E13" s="12"/>
      <c r="F13" s="19" t="str">
        <f t="shared" si="0"/>
        <v/>
      </c>
      <c r="G13" s="1"/>
      <c r="H13" s="2"/>
      <c r="I13" s="2"/>
      <c r="J13" s="11"/>
      <c r="N13" s="14"/>
      <c r="X13" s="5">
        <f t="shared" si="1"/>
        <v>0</v>
      </c>
      <c r="Y13" s="2">
        <f t="shared" si="2"/>
        <v>0</v>
      </c>
    </row>
    <row r="14" spans="1:26" x14ac:dyDescent="0.25">
      <c r="A14" s="13"/>
      <c r="B14" s="20"/>
      <c r="D14" s="12"/>
      <c r="E14" s="5"/>
      <c r="F14" s="19" t="str">
        <f t="shared" si="0"/>
        <v/>
      </c>
      <c r="G14" s="1"/>
      <c r="H14" s="1"/>
      <c r="I14" s="1"/>
      <c r="J14" s="11"/>
      <c r="X14" s="5">
        <f t="shared" si="1"/>
        <v>0</v>
      </c>
      <c r="Y14" s="2">
        <f t="shared" si="2"/>
        <v>0</v>
      </c>
    </row>
    <row r="15" spans="1:26" x14ac:dyDescent="0.25">
      <c r="A15" s="4" t="s">
        <v>1</v>
      </c>
      <c r="B15" s="6">
        <v>0.125</v>
      </c>
      <c r="D15" s="12"/>
      <c r="E15" s="5"/>
      <c r="F15" s="19" t="str">
        <f t="shared" si="0"/>
        <v/>
      </c>
      <c r="G15" s="1"/>
      <c r="H15" s="1"/>
      <c r="I15" s="1"/>
      <c r="J15" s="11"/>
      <c r="K15" s="18"/>
      <c r="L15" s="18"/>
      <c r="M15" s="18"/>
      <c r="N15" s="18"/>
      <c r="O15" s="18"/>
      <c r="P15" s="18"/>
      <c r="Q15" s="18"/>
      <c r="X15" s="5">
        <f t="shared" si="1"/>
        <v>0</v>
      </c>
      <c r="Y15" s="2">
        <f t="shared" si="2"/>
        <v>0</v>
      </c>
    </row>
    <row r="16" spans="1:26" x14ac:dyDescent="0.25">
      <c r="A16" s="4" t="s">
        <v>72</v>
      </c>
      <c r="B16" s="2">
        <v>18.62</v>
      </c>
      <c r="D16" s="12"/>
      <c r="E16" s="5"/>
      <c r="F16" s="19" t="str">
        <f t="shared" si="0"/>
        <v/>
      </c>
      <c r="G16" s="1"/>
      <c r="H16" s="1"/>
      <c r="I16" s="1"/>
      <c r="J16" s="11"/>
      <c r="K16" s="9"/>
      <c r="L16" s="9"/>
      <c r="M16" s="9"/>
      <c r="N16" s="21"/>
      <c r="O16" s="22"/>
      <c r="P16" s="11"/>
      <c r="Q16" s="11"/>
      <c r="X16" s="5">
        <f t="shared" si="1"/>
        <v>0</v>
      </c>
      <c r="Y16" s="2">
        <f t="shared" si="2"/>
        <v>0</v>
      </c>
    </row>
    <row r="17" spans="2:25" x14ac:dyDescent="0.25">
      <c r="D17" s="12"/>
      <c r="E17" s="5"/>
      <c r="F17" s="19" t="str">
        <f t="shared" si="0"/>
        <v/>
      </c>
      <c r="G17" s="1"/>
      <c r="H17" s="1"/>
      <c r="I17" s="1"/>
      <c r="J17" s="11"/>
      <c r="X17" s="5">
        <f t="shared" si="1"/>
        <v>0</v>
      </c>
      <c r="Y17" s="2">
        <f t="shared" si="2"/>
        <v>0</v>
      </c>
    </row>
    <row r="18" spans="2:25" x14ac:dyDescent="0.25">
      <c r="D18" s="12"/>
      <c r="E18" s="5"/>
      <c r="F18" s="19" t="str">
        <f t="shared" si="0"/>
        <v/>
      </c>
      <c r="G18" s="1"/>
      <c r="H18" s="1"/>
      <c r="I18" s="1"/>
      <c r="J18" s="11"/>
      <c r="X18" s="5">
        <f t="shared" si="1"/>
        <v>0</v>
      </c>
      <c r="Y18" s="2">
        <f t="shared" si="2"/>
        <v>0</v>
      </c>
    </row>
    <row r="19" spans="2:25" x14ac:dyDescent="0.25">
      <c r="D19" s="12"/>
      <c r="E19" s="5"/>
      <c r="F19" s="19" t="str">
        <f t="shared" si="0"/>
        <v/>
      </c>
      <c r="G19" s="1"/>
      <c r="H19" s="1"/>
      <c r="I19" s="1"/>
      <c r="J19" s="11"/>
      <c r="X19" s="5">
        <f t="shared" si="1"/>
        <v>0</v>
      </c>
      <c r="Y19" s="2">
        <f t="shared" si="2"/>
        <v>0</v>
      </c>
    </row>
    <row r="20" spans="2:25" x14ac:dyDescent="0.25">
      <c r="D20" s="12"/>
      <c r="E20" s="5"/>
      <c r="F20" s="19" t="str">
        <f t="shared" si="0"/>
        <v/>
      </c>
      <c r="G20" s="1"/>
      <c r="H20" s="1"/>
      <c r="I20" s="1"/>
      <c r="J20" s="11"/>
      <c r="X20" s="5">
        <f t="shared" si="1"/>
        <v>0</v>
      </c>
      <c r="Y20" s="2">
        <f t="shared" si="2"/>
        <v>0</v>
      </c>
    </row>
    <row r="21" spans="2:25" x14ac:dyDescent="0.25">
      <c r="D21" s="12"/>
      <c r="E21" s="5"/>
      <c r="F21" s="19" t="str">
        <f t="shared" si="0"/>
        <v/>
      </c>
      <c r="G21" s="1"/>
      <c r="H21" s="1"/>
      <c r="I21" s="1"/>
      <c r="J21" s="11"/>
      <c r="X21" s="5">
        <f t="shared" si="1"/>
        <v>0</v>
      </c>
      <c r="Y21" s="2">
        <f t="shared" si="2"/>
        <v>0</v>
      </c>
    </row>
    <row r="22" spans="2:25" x14ac:dyDescent="0.25">
      <c r="D22" s="12"/>
      <c r="E22" s="5"/>
      <c r="F22" s="19" t="str">
        <f t="shared" si="0"/>
        <v/>
      </c>
      <c r="G22" s="1"/>
      <c r="H22" s="1"/>
      <c r="I22" s="1"/>
      <c r="J22" s="11"/>
      <c r="X22" s="5">
        <f t="shared" si="1"/>
        <v>0</v>
      </c>
      <c r="Y22" s="2">
        <f t="shared" si="2"/>
        <v>0</v>
      </c>
    </row>
    <row r="23" spans="2:25" x14ac:dyDescent="0.25">
      <c r="B23" s="22"/>
      <c r="D23" s="12"/>
      <c r="E23" s="5"/>
      <c r="F23" s="19" t="str">
        <f t="shared" si="0"/>
        <v/>
      </c>
      <c r="G23" s="1"/>
      <c r="H23" s="1"/>
      <c r="I23" s="1"/>
      <c r="J23" s="11"/>
      <c r="X23" s="5">
        <f t="shared" si="1"/>
        <v>0</v>
      </c>
      <c r="Y23" s="2">
        <f t="shared" si="2"/>
        <v>0</v>
      </c>
    </row>
    <row r="24" spans="2:25" x14ac:dyDescent="0.25">
      <c r="D24" s="12"/>
      <c r="E24" s="5"/>
      <c r="F24" s="19" t="str">
        <f t="shared" si="0"/>
        <v/>
      </c>
      <c r="G24" s="1"/>
      <c r="H24" s="1"/>
      <c r="I24" s="1"/>
      <c r="J24" s="11"/>
      <c r="X24" s="5">
        <f t="shared" si="1"/>
        <v>0</v>
      </c>
      <c r="Y24" s="2">
        <f t="shared" si="2"/>
        <v>0</v>
      </c>
    </row>
    <row r="25" spans="2:25" x14ac:dyDescent="0.25">
      <c r="D25" s="12"/>
      <c r="E25" s="5"/>
      <c r="F25" s="19" t="str">
        <f t="shared" si="0"/>
        <v/>
      </c>
      <c r="G25" s="1"/>
      <c r="H25" s="1"/>
      <c r="I25" s="1"/>
      <c r="J25" s="11"/>
      <c r="X25" s="5">
        <f t="shared" si="1"/>
        <v>0</v>
      </c>
      <c r="Y25" s="2">
        <f t="shared" si="2"/>
        <v>0</v>
      </c>
    </row>
    <row r="26" spans="2:25" x14ac:dyDescent="0.25">
      <c r="D26" s="12"/>
      <c r="E26" s="5"/>
      <c r="F26" s="19" t="str">
        <f t="shared" si="0"/>
        <v/>
      </c>
      <c r="G26" s="1"/>
      <c r="H26" s="1"/>
      <c r="I26" s="1"/>
      <c r="J26" s="11"/>
      <c r="X26" s="5">
        <f t="shared" si="1"/>
        <v>0</v>
      </c>
      <c r="Y26" s="2">
        <f t="shared" si="2"/>
        <v>0</v>
      </c>
    </row>
    <row r="27" spans="2:25" x14ac:dyDescent="0.25">
      <c r="D27" s="12"/>
      <c r="E27" s="5"/>
      <c r="F27" s="19" t="str">
        <f t="shared" si="0"/>
        <v/>
      </c>
      <c r="G27" s="1"/>
      <c r="H27" s="1"/>
      <c r="I27" s="1"/>
      <c r="J27" s="11"/>
      <c r="X27" s="5">
        <f t="shared" si="1"/>
        <v>0</v>
      </c>
      <c r="Y27" s="2">
        <f t="shared" si="2"/>
        <v>0</v>
      </c>
    </row>
    <row r="28" spans="2:25" x14ac:dyDescent="0.25">
      <c r="D28" s="12"/>
      <c r="E28" s="5"/>
      <c r="F28" s="19" t="str">
        <f t="shared" si="0"/>
        <v/>
      </c>
      <c r="G28" s="1"/>
      <c r="H28" s="1"/>
      <c r="I28" s="1"/>
      <c r="J28" s="11"/>
      <c r="X28" s="5">
        <f t="shared" si="1"/>
        <v>0</v>
      </c>
      <c r="Y28" s="2">
        <f t="shared" si="2"/>
        <v>0</v>
      </c>
    </row>
    <row r="29" spans="2:25" x14ac:dyDescent="0.25">
      <c r="D29" s="12"/>
      <c r="E29" s="5"/>
      <c r="F29" s="19" t="str">
        <f t="shared" si="0"/>
        <v/>
      </c>
      <c r="G29" s="1"/>
      <c r="H29" s="1"/>
      <c r="I29" s="1"/>
      <c r="J29" s="11"/>
      <c r="X29" s="5">
        <f t="shared" si="1"/>
        <v>0</v>
      </c>
      <c r="Y29" s="2">
        <f t="shared" si="2"/>
        <v>0</v>
      </c>
    </row>
    <row r="30" spans="2:25" x14ac:dyDescent="0.25">
      <c r="D30" s="12"/>
      <c r="E30" s="5"/>
      <c r="F30" s="19" t="str">
        <f t="shared" si="0"/>
        <v/>
      </c>
      <c r="G30" s="1"/>
      <c r="H30" s="1"/>
      <c r="I30" s="1"/>
      <c r="J30" s="11"/>
      <c r="X30" s="5">
        <f t="shared" si="1"/>
        <v>0</v>
      </c>
      <c r="Y30" s="2">
        <f t="shared" si="2"/>
        <v>0</v>
      </c>
    </row>
    <row r="31" spans="2:25" x14ac:dyDescent="0.25">
      <c r="D31" s="12"/>
      <c r="E31" s="5"/>
      <c r="F31" s="19" t="str">
        <f t="shared" si="0"/>
        <v/>
      </c>
      <c r="G31" s="1"/>
      <c r="H31" s="1"/>
      <c r="I31" s="1"/>
      <c r="J31" s="11"/>
      <c r="X31" s="5">
        <f t="shared" si="1"/>
        <v>0</v>
      </c>
      <c r="Y31" s="2">
        <f t="shared" si="2"/>
        <v>0</v>
      </c>
    </row>
    <row r="32" spans="2:25" x14ac:dyDescent="0.25">
      <c r="D32" s="12"/>
      <c r="E32" s="5"/>
      <c r="F32" s="19" t="str">
        <f t="shared" si="0"/>
        <v/>
      </c>
      <c r="G32" s="1"/>
      <c r="H32" s="1"/>
      <c r="I32" s="1"/>
      <c r="J32" s="11"/>
      <c r="X32" s="5">
        <f t="shared" si="1"/>
        <v>0</v>
      </c>
      <c r="Y32" s="2">
        <f t="shared" si="2"/>
        <v>0</v>
      </c>
    </row>
    <row r="33" spans="4:25" x14ac:dyDescent="0.25">
      <c r="D33" s="12"/>
      <c r="E33" s="5"/>
      <c r="F33" s="19" t="str">
        <f t="shared" si="0"/>
        <v/>
      </c>
      <c r="G33" s="1"/>
      <c r="H33" s="1"/>
      <c r="I33" s="1"/>
      <c r="J33" s="11"/>
      <c r="X33" s="5">
        <f t="shared" si="1"/>
        <v>0</v>
      </c>
      <c r="Y33" s="2">
        <f t="shared" si="2"/>
        <v>0</v>
      </c>
    </row>
    <row r="34" spans="4:25" x14ac:dyDescent="0.25">
      <c r="D34" s="12"/>
      <c r="E34" s="5"/>
      <c r="F34" s="19" t="str">
        <f t="shared" si="0"/>
        <v/>
      </c>
      <c r="G34" s="1"/>
      <c r="H34" s="1"/>
      <c r="I34" s="1"/>
      <c r="J34" s="11"/>
      <c r="X34" s="5">
        <f t="shared" si="1"/>
        <v>0</v>
      </c>
      <c r="Y34" s="2">
        <f t="shared" si="2"/>
        <v>0</v>
      </c>
    </row>
    <row r="35" spans="4:25" x14ac:dyDescent="0.25">
      <c r="D35" s="12"/>
      <c r="E35" s="5"/>
      <c r="F35" s="19" t="str">
        <f t="shared" si="0"/>
        <v/>
      </c>
      <c r="G35" s="1"/>
      <c r="H35" s="1"/>
      <c r="I35" s="1"/>
      <c r="J35" s="11"/>
      <c r="X35" s="5">
        <f t="shared" si="1"/>
        <v>0</v>
      </c>
      <c r="Y35" s="2">
        <f t="shared" si="2"/>
        <v>0</v>
      </c>
    </row>
    <row r="36" spans="4:25" x14ac:dyDescent="0.25">
      <c r="D36" s="12"/>
      <c r="E36" s="5"/>
      <c r="F36" s="19" t="str">
        <f t="shared" si="0"/>
        <v/>
      </c>
      <c r="G36" s="1"/>
      <c r="H36" s="1"/>
      <c r="I36" s="1"/>
      <c r="J36" s="11"/>
      <c r="X36" s="5">
        <f t="shared" si="1"/>
        <v>0</v>
      </c>
      <c r="Y36" s="2">
        <f t="shared" si="2"/>
        <v>0</v>
      </c>
    </row>
    <row r="37" spans="4:25" x14ac:dyDescent="0.25">
      <c r="D37" s="12"/>
      <c r="E37" s="5"/>
      <c r="F37" s="19" t="str">
        <f t="shared" si="0"/>
        <v/>
      </c>
      <c r="G37" s="1"/>
      <c r="H37" s="1"/>
      <c r="I37" s="1"/>
      <c r="J37" s="11"/>
      <c r="X37" s="5">
        <f t="shared" si="1"/>
        <v>0</v>
      </c>
      <c r="Y37" s="2">
        <f t="shared" si="2"/>
        <v>0</v>
      </c>
    </row>
    <row r="38" spans="4:25" x14ac:dyDescent="0.25">
      <c r="D38" s="12"/>
      <c r="E38" s="5"/>
      <c r="F38" s="19" t="str">
        <f t="shared" si="0"/>
        <v/>
      </c>
      <c r="G38" s="1"/>
      <c r="H38" s="1"/>
      <c r="I38" s="1"/>
      <c r="J38" s="11"/>
      <c r="X38" s="5">
        <f t="shared" si="1"/>
        <v>0</v>
      </c>
      <c r="Y38" s="2">
        <f t="shared" si="2"/>
        <v>0</v>
      </c>
    </row>
    <row r="39" spans="4:25" x14ac:dyDescent="0.25">
      <c r="D39" s="12"/>
      <c r="E39" s="5"/>
      <c r="F39" s="19" t="str">
        <f t="shared" si="0"/>
        <v/>
      </c>
      <c r="G39" s="1"/>
      <c r="H39" s="1"/>
      <c r="I39" s="1"/>
      <c r="J39" s="11"/>
      <c r="X39" s="5">
        <f t="shared" si="1"/>
        <v>0</v>
      </c>
      <c r="Y39" s="2">
        <f t="shared" si="2"/>
        <v>0</v>
      </c>
    </row>
    <row r="40" spans="4:25" x14ac:dyDescent="0.25">
      <c r="D40" s="12"/>
      <c r="E40" s="5"/>
      <c r="F40" s="19" t="str">
        <f t="shared" si="0"/>
        <v/>
      </c>
      <c r="G40" s="1"/>
      <c r="H40" s="1"/>
      <c r="I40" s="1"/>
      <c r="J40" s="11"/>
      <c r="X40" s="5">
        <f t="shared" si="1"/>
        <v>0</v>
      </c>
      <c r="Y40" s="2">
        <f t="shared" si="2"/>
        <v>0</v>
      </c>
    </row>
    <row r="41" spans="4:25" x14ac:dyDescent="0.25">
      <c r="D41" s="12"/>
      <c r="E41" s="5"/>
      <c r="F41" s="19" t="str">
        <f t="shared" si="0"/>
        <v/>
      </c>
      <c r="G41" s="1"/>
      <c r="H41" s="1"/>
      <c r="I41" s="1"/>
      <c r="J41" s="11"/>
      <c r="X41" s="5">
        <f t="shared" si="1"/>
        <v>0</v>
      </c>
      <c r="Y41" s="2">
        <f t="shared" si="2"/>
        <v>0</v>
      </c>
    </row>
    <row r="42" spans="4:25" x14ac:dyDescent="0.25">
      <c r="D42" s="12"/>
      <c r="E42" s="5"/>
      <c r="F42" s="19" t="str">
        <f t="shared" si="0"/>
        <v/>
      </c>
      <c r="G42" s="1"/>
      <c r="H42" s="1"/>
      <c r="I42" s="1"/>
      <c r="J42" s="11"/>
      <c r="X42" s="5">
        <f t="shared" si="1"/>
        <v>0</v>
      </c>
      <c r="Y42" s="2">
        <f t="shared" si="2"/>
        <v>0</v>
      </c>
    </row>
    <row r="43" spans="4:25" x14ac:dyDescent="0.25">
      <c r="D43" s="12"/>
      <c r="E43" s="5"/>
      <c r="F43" s="19" t="str">
        <f t="shared" si="0"/>
        <v/>
      </c>
      <c r="G43" s="1"/>
      <c r="H43" s="1"/>
      <c r="I43" s="1"/>
      <c r="J43" s="11"/>
      <c r="X43" s="5">
        <f t="shared" si="1"/>
        <v>0</v>
      </c>
      <c r="Y43" s="2">
        <f t="shared" si="2"/>
        <v>0</v>
      </c>
    </row>
    <row r="44" spans="4:25" x14ac:dyDescent="0.25">
      <c r="D44" s="12"/>
      <c r="E44" s="5"/>
      <c r="F44" s="19" t="str">
        <f t="shared" si="0"/>
        <v/>
      </c>
      <c r="G44" s="1"/>
      <c r="H44" s="1"/>
      <c r="I44" s="1"/>
      <c r="J44" s="11"/>
      <c r="X44" s="5">
        <f t="shared" si="1"/>
        <v>0</v>
      </c>
      <c r="Y44" s="2">
        <f t="shared" si="2"/>
        <v>0</v>
      </c>
    </row>
    <row r="45" spans="4:25" x14ac:dyDescent="0.25">
      <c r="D45" s="12"/>
      <c r="E45" s="5"/>
      <c r="F45" s="19" t="str">
        <f t="shared" si="0"/>
        <v/>
      </c>
      <c r="G45" s="1"/>
      <c r="H45" s="1"/>
      <c r="I45" s="1"/>
      <c r="J45" s="11"/>
      <c r="X45" s="5">
        <f t="shared" si="1"/>
        <v>0</v>
      </c>
      <c r="Y45" s="2">
        <f t="shared" si="2"/>
        <v>0</v>
      </c>
    </row>
    <row r="46" spans="4:25" x14ac:dyDescent="0.25">
      <c r="D46" s="12"/>
      <c r="E46" s="5"/>
      <c r="F46" s="19" t="str">
        <f t="shared" si="0"/>
        <v/>
      </c>
      <c r="G46" s="1"/>
      <c r="H46" s="1"/>
      <c r="I46" s="1"/>
      <c r="J46" s="11"/>
      <c r="X46" s="5">
        <f t="shared" si="1"/>
        <v>0</v>
      </c>
      <c r="Y46" s="2">
        <f t="shared" si="2"/>
        <v>0</v>
      </c>
    </row>
    <row r="47" spans="4:25" x14ac:dyDescent="0.25">
      <c r="D47" s="12"/>
      <c r="E47" s="5"/>
      <c r="F47" s="19" t="str">
        <f t="shared" si="0"/>
        <v/>
      </c>
      <c r="G47" s="1"/>
      <c r="H47" s="1"/>
      <c r="I47" s="1"/>
      <c r="J47" s="11"/>
      <c r="X47" s="5">
        <f t="shared" si="1"/>
        <v>0</v>
      </c>
      <c r="Y47" s="2">
        <f t="shared" si="2"/>
        <v>0</v>
      </c>
    </row>
    <row r="48" spans="4:25" x14ac:dyDescent="0.25">
      <c r="D48" s="12"/>
      <c r="E48" s="5"/>
      <c r="F48" s="19" t="str">
        <f t="shared" si="0"/>
        <v/>
      </c>
      <c r="G48" s="1"/>
      <c r="H48" s="1"/>
      <c r="I48" s="1"/>
      <c r="J48" s="11"/>
      <c r="X48" s="5">
        <f t="shared" si="1"/>
        <v>0</v>
      </c>
      <c r="Y48" s="2">
        <f t="shared" si="2"/>
        <v>0</v>
      </c>
    </row>
    <row r="49" spans="4:25" x14ac:dyDescent="0.25">
      <c r="D49" s="12"/>
      <c r="E49" s="5"/>
      <c r="F49" s="19" t="str">
        <f t="shared" si="0"/>
        <v/>
      </c>
      <c r="G49" s="1"/>
      <c r="H49" s="1"/>
      <c r="I49" s="1"/>
      <c r="J49" s="11"/>
      <c r="X49" s="5">
        <f t="shared" si="1"/>
        <v>0</v>
      </c>
      <c r="Y49" s="2">
        <f t="shared" si="2"/>
        <v>0</v>
      </c>
    </row>
    <row r="50" spans="4:25" x14ac:dyDescent="0.25">
      <c r="D50" s="12"/>
      <c r="E50" s="5"/>
      <c r="F50" s="19" t="str">
        <f t="shared" si="0"/>
        <v/>
      </c>
      <c r="G50" s="1"/>
      <c r="H50" s="1"/>
      <c r="I50" s="1"/>
      <c r="J50" s="11"/>
      <c r="X50" s="5">
        <f t="shared" si="1"/>
        <v>0</v>
      </c>
      <c r="Y50" s="2">
        <f t="shared" si="2"/>
        <v>0</v>
      </c>
    </row>
    <row r="51" spans="4:25" x14ac:dyDescent="0.25">
      <c r="D51" s="12"/>
      <c r="E51" s="5"/>
      <c r="F51" s="19" t="str">
        <f t="shared" si="0"/>
        <v/>
      </c>
      <c r="G51" s="1"/>
      <c r="H51" s="1"/>
      <c r="I51" s="1"/>
      <c r="J51" s="11"/>
      <c r="X51" s="5">
        <f t="shared" si="1"/>
        <v>0</v>
      </c>
      <c r="Y51" s="2">
        <f t="shared" si="2"/>
        <v>0</v>
      </c>
    </row>
    <row r="52" spans="4:25" x14ac:dyDescent="0.25">
      <c r="D52" s="12"/>
      <c r="E52" s="5"/>
      <c r="F52" s="19" t="str">
        <f t="shared" si="0"/>
        <v/>
      </c>
      <c r="G52" s="1"/>
      <c r="H52" s="1"/>
      <c r="I52" s="1"/>
      <c r="J52" s="9"/>
      <c r="X52" s="5">
        <f t="shared" si="1"/>
        <v>0</v>
      </c>
      <c r="Y52" s="2">
        <f t="shared" si="2"/>
        <v>0</v>
      </c>
    </row>
    <row r="53" spans="4:25" x14ac:dyDescent="0.25">
      <c r="D53" s="1" t="s">
        <v>25</v>
      </c>
      <c r="E53" s="23"/>
      <c r="F53" s="2"/>
      <c r="G53" s="2">
        <f>SUM(G3:G52)</f>
        <v>0</v>
      </c>
      <c r="H53" s="2">
        <f t="shared" ref="H53:I53" si="3">SUM(H3:H52)</f>
        <v>1.0900000000000001</v>
      </c>
      <c r="I53" s="2">
        <f t="shared" si="3"/>
        <v>0.05</v>
      </c>
    </row>
  </sheetData>
  <mergeCells count="4">
    <mergeCell ref="D1:F1"/>
    <mergeCell ref="G1:I1"/>
    <mergeCell ref="K1:Q1"/>
    <mergeCell ref="X1:Z1"/>
  </mergeCells>
  <conditionalFormatting sqref="A1:B1">
    <cfRule type="expression" dxfId="99" priority="1">
      <formula>$Z$3="+"</formula>
    </cfRule>
    <cfRule type="expression" dxfId="98" priority="2">
      <formula>$B$16=$K$3</formula>
    </cfRule>
  </conditionalFormatting>
  <conditionalFormatting sqref="P3">
    <cfRule type="expression" dxfId="97" priority="6">
      <formula>$Z$3="+"</formula>
    </cfRule>
  </conditionalFormatting>
  <conditionalFormatting sqref="Z3">
    <cfRule type="expression" dxfId="96" priority="7">
      <formula>$Z$3="+"</formula>
    </cfRule>
  </conditionalFormatting>
  <dataValidations count="1">
    <dataValidation type="list" allowBlank="1" showInputMessage="1" showErrorMessage="1" sqref="B2" xr:uid="{37A90F2E-99B9-45E7-941A-763AC4A81DF2}">
      <formula1>"Romania,Moldova,Cyprus,Philippines"</formula1>
    </dataValidation>
  </dataValidations>
  <pageMargins left="0.7" right="0.7" top="0.75" bottom="0.75" header="0.3" footer="0.3"/>
  <pageSetup orientation="portrait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8DB97-0AAD-47DA-BA86-879151AD9A74}">
  <sheetPr>
    <tabColor rgb="FF92D050"/>
  </sheetPr>
  <dimension ref="A1:Z53"/>
  <sheetViews>
    <sheetView workbookViewId="0">
      <selection activeCell="I16" sqref="I16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1" customWidth="1"/>
    <col min="25" max="25" width="10.7109375" style="11" customWidth="1"/>
    <col min="26" max="26" width="10.7109375" customWidth="1"/>
  </cols>
  <sheetData>
    <row r="1" spans="1:26" x14ac:dyDescent="0.25">
      <c r="A1" s="4" t="s">
        <v>66</v>
      </c>
      <c r="B1" s="5" t="s">
        <v>52</v>
      </c>
      <c r="D1" s="29" t="s">
        <v>2</v>
      </c>
      <c r="E1" s="30"/>
      <c r="F1" s="31"/>
      <c r="G1" s="29" t="s">
        <v>0</v>
      </c>
      <c r="H1" s="30"/>
      <c r="I1" s="31"/>
      <c r="J1" s="18"/>
      <c r="K1" s="29" t="s">
        <v>58</v>
      </c>
      <c r="L1" s="30"/>
      <c r="M1" s="30"/>
      <c r="N1" s="30"/>
      <c r="O1" s="30"/>
      <c r="P1" s="30"/>
      <c r="Q1" s="31"/>
      <c r="X1" s="29"/>
      <c r="Y1" s="30"/>
      <c r="Z1" s="31"/>
    </row>
    <row r="2" spans="1:26" x14ac:dyDescent="0.25">
      <c r="A2" s="4" t="s">
        <v>21</v>
      </c>
      <c r="B2" s="5" t="s">
        <v>27</v>
      </c>
      <c r="D2" s="10" t="s">
        <v>49</v>
      </c>
      <c r="E2" s="10" t="s">
        <v>50</v>
      </c>
      <c r="F2" s="17" t="s">
        <v>67</v>
      </c>
      <c r="G2" s="10" t="s">
        <v>15</v>
      </c>
      <c r="H2" s="10" t="s">
        <v>16</v>
      </c>
      <c r="I2" s="10" t="s">
        <v>60</v>
      </c>
      <c r="J2" s="9"/>
      <c r="K2" s="10" t="s">
        <v>0</v>
      </c>
      <c r="L2" s="10" t="s">
        <v>1</v>
      </c>
      <c r="M2" s="10" t="s">
        <v>56</v>
      </c>
      <c r="N2" s="10" t="s">
        <v>57</v>
      </c>
      <c r="O2" s="10" t="s">
        <v>2</v>
      </c>
      <c r="P2" s="10" t="s">
        <v>68</v>
      </c>
      <c r="Q2" s="10" t="s">
        <v>67</v>
      </c>
      <c r="X2" s="10" t="s">
        <v>2</v>
      </c>
      <c r="Y2" s="10" t="s">
        <v>59</v>
      </c>
      <c r="Z2" s="10" t="s">
        <v>68</v>
      </c>
    </row>
    <row r="3" spans="1:26" x14ac:dyDescent="0.25">
      <c r="A3" s="4" t="s">
        <v>69</v>
      </c>
      <c r="B3" s="5" t="s">
        <v>78</v>
      </c>
      <c r="D3" s="12">
        <v>46112</v>
      </c>
      <c r="E3" s="12">
        <v>46112</v>
      </c>
      <c r="F3" s="19">
        <f t="shared" ref="F3:F52" si="0">IF(E3&gt;0,E3-D3,"")</f>
        <v>0</v>
      </c>
      <c r="G3" s="2">
        <v>0</v>
      </c>
      <c r="H3" s="2">
        <v>0</v>
      </c>
      <c r="I3" s="2">
        <v>0</v>
      </c>
      <c r="J3" s="11"/>
      <c r="K3" s="2">
        <f>G53</f>
        <v>10.74</v>
      </c>
      <c r="L3" s="2">
        <f>H53</f>
        <v>0.42000000000000004</v>
      </c>
      <c r="M3" s="2">
        <f>I53</f>
        <v>0.01</v>
      </c>
      <c r="N3" s="6">
        <f>IF(B16=K3,XIRR(Y3:Y52,X3:X52),"")</f>
        <v>0.12384453415870669</v>
      </c>
      <c r="O3" s="5">
        <f>IF(B16=K3,MAX(E:E),"")</f>
        <v>46234</v>
      </c>
      <c r="P3" s="1" t="str">
        <f ca="1">IF(Z3="+",TODAY()-B11,"")</f>
        <v/>
      </c>
      <c r="Q3" s="1">
        <f>IF(B16=K3,MAX(E:E)-B11,"")</f>
        <v>-18</v>
      </c>
      <c r="T3" s="14"/>
      <c r="X3" s="5">
        <f>B9</f>
        <v>46094</v>
      </c>
      <c r="Y3" s="2">
        <f>B16*-1</f>
        <v>-10.74</v>
      </c>
      <c r="Z3" s="1" t="str">
        <f ca="1">IF(AND(TODAY()&gt;B11, K3&lt;&gt;B16), "+", "")</f>
        <v/>
      </c>
    </row>
    <row r="4" spans="1:26" x14ac:dyDescent="0.25">
      <c r="A4" s="4" t="s">
        <v>19</v>
      </c>
      <c r="B4" s="5" t="s">
        <v>20</v>
      </c>
      <c r="D4" s="12">
        <v>46142</v>
      </c>
      <c r="E4" s="12">
        <v>46142</v>
      </c>
      <c r="F4" s="19">
        <f t="shared" si="0"/>
        <v>0</v>
      </c>
      <c r="G4" s="2">
        <v>0</v>
      </c>
      <c r="H4" s="2">
        <v>0.1</v>
      </c>
      <c r="I4" s="2">
        <v>0</v>
      </c>
      <c r="J4" s="9"/>
      <c r="X4" s="5">
        <f>E3</f>
        <v>46112</v>
      </c>
      <c r="Y4" s="2">
        <f>G3+H3-I3</f>
        <v>0</v>
      </c>
    </row>
    <row r="5" spans="1:26" x14ac:dyDescent="0.25">
      <c r="A5" s="4"/>
      <c r="B5" s="5"/>
      <c r="D5" s="12">
        <v>46173</v>
      </c>
      <c r="E5" s="12">
        <v>46173</v>
      </c>
      <c r="F5" s="19">
        <f t="shared" si="0"/>
        <v>0</v>
      </c>
      <c r="G5" s="2">
        <v>0</v>
      </c>
      <c r="H5" s="2">
        <v>0.1</v>
      </c>
      <c r="I5" s="2">
        <v>0</v>
      </c>
      <c r="J5" s="9"/>
      <c r="X5" s="5">
        <f t="shared" ref="X5:X52" si="1">E4</f>
        <v>46142</v>
      </c>
      <c r="Y5" s="2">
        <f t="shared" ref="Y5:Y52" si="2">G4+H4-I4</f>
        <v>0.1</v>
      </c>
    </row>
    <row r="6" spans="1:26" x14ac:dyDescent="0.25">
      <c r="A6" s="4"/>
      <c r="B6" s="5"/>
      <c r="D6" s="12">
        <v>46203</v>
      </c>
      <c r="E6" s="12">
        <v>46203</v>
      </c>
      <c r="F6" s="19">
        <f t="shared" si="0"/>
        <v>0</v>
      </c>
      <c r="G6" s="2">
        <v>0</v>
      </c>
      <c r="H6" s="1">
        <v>0.12</v>
      </c>
      <c r="I6" s="2">
        <v>0.01</v>
      </c>
      <c r="J6" s="9"/>
      <c r="X6" s="5">
        <f t="shared" si="1"/>
        <v>46173</v>
      </c>
      <c r="Y6" s="2">
        <f t="shared" si="2"/>
        <v>0.1</v>
      </c>
    </row>
    <row r="7" spans="1:26" x14ac:dyDescent="0.25">
      <c r="A7" s="4"/>
      <c r="B7" s="5"/>
      <c r="D7" s="12">
        <v>46212</v>
      </c>
      <c r="E7" s="12">
        <v>46212</v>
      </c>
      <c r="F7" s="19">
        <f t="shared" si="0"/>
        <v>0</v>
      </c>
      <c r="G7" s="2">
        <v>10.74</v>
      </c>
      <c r="H7" s="2">
        <v>0</v>
      </c>
      <c r="I7" s="2">
        <v>0</v>
      </c>
      <c r="J7" s="11"/>
      <c r="X7" s="5">
        <f t="shared" si="1"/>
        <v>46203</v>
      </c>
      <c r="Y7" s="2">
        <f t="shared" si="2"/>
        <v>0.11</v>
      </c>
    </row>
    <row r="8" spans="1:26" x14ac:dyDescent="0.25">
      <c r="A8" s="4" t="s">
        <v>24</v>
      </c>
      <c r="B8" s="5" t="str">
        <f>DATEDIF(B9,B11,"y") &amp; " m. " &amp; DATEDIF(B9,B11,"ym") &amp; " mėn. " &amp; DATEDIF(B9,B11,"md") &amp; " d."</f>
        <v>0 m. 5 mėn. 5 d.</v>
      </c>
      <c r="D8" s="12">
        <v>46234</v>
      </c>
      <c r="E8" s="12">
        <v>46234</v>
      </c>
      <c r="F8" s="19">
        <f t="shared" si="0"/>
        <v>0</v>
      </c>
      <c r="G8" s="2">
        <v>0</v>
      </c>
      <c r="H8" s="2">
        <v>0.1</v>
      </c>
      <c r="I8" s="2">
        <v>0</v>
      </c>
      <c r="J8" s="9"/>
      <c r="X8" s="5">
        <f t="shared" si="1"/>
        <v>46212</v>
      </c>
      <c r="Y8" s="2">
        <f t="shared" si="2"/>
        <v>10.74</v>
      </c>
    </row>
    <row r="9" spans="1:26" x14ac:dyDescent="0.25">
      <c r="A9" s="4" t="s">
        <v>11</v>
      </c>
      <c r="B9" s="5">
        <v>46094</v>
      </c>
      <c r="D9" s="12"/>
      <c r="E9" s="12"/>
      <c r="F9" s="19"/>
      <c r="G9" s="2"/>
      <c r="H9" s="2"/>
      <c r="I9" s="2"/>
      <c r="J9" s="11"/>
      <c r="X9" s="5">
        <f t="shared" si="1"/>
        <v>46234</v>
      </c>
      <c r="Y9" s="2">
        <f t="shared" si="2"/>
        <v>0.1</v>
      </c>
    </row>
    <row r="10" spans="1:26" x14ac:dyDescent="0.25">
      <c r="A10" s="4" t="s">
        <v>70</v>
      </c>
      <c r="B10" s="5">
        <v>46072</v>
      </c>
      <c r="D10" s="12"/>
      <c r="E10" s="12"/>
      <c r="F10" s="19" t="str">
        <f t="shared" si="0"/>
        <v/>
      </c>
      <c r="G10" s="1"/>
      <c r="H10" s="1"/>
      <c r="I10" s="2"/>
      <c r="J10" s="11"/>
      <c r="X10" s="5">
        <f t="shared" si="1"/>
        <v>0</v>
      </c>
      <c r="Y10" s="2">
        <f t="shared" si="2"/>
        <v>0</v>
      </c>
    </row>
    <row r="11" spans="1:26" x14ac:dyDescent="0.25">
      <c r="A11" s="4" t="s">
        <v>10</v>
      </c>
      <c r="B11" s="5">
        <v>46252</v>
      </c>
      <c r="D11" s="12"/>
      <c r="E11" s="12"/>
      <c r="F11" s="19" t="str">
        <f t="shared" si="0"/>
        <v/>
      </c>
      <c r="G11" s="1"/>
      <c r="H11" s="2"/>
      <c r="I11" s="2"/>
      <c r="J11" s="11"/>
      <c r="X11" s="5">
        <f t="shared" si="1"/>
        <v>0</v>
      </c>
      <c r="Y11" s="2">
        <f t="shared" si="2"/>
        <v>0</v>
      </c>
    </row>
    <row r="12" spans="1:26" x14ac:dyDescent="0.25">
      <c r="A12" s="4" t="s">
        <v>71</v>
      </c>
      <c r="B12" s="19" t="str">
        <f ca="1">IF(B16&lt;&gt;K3,(TODAY()-B11)*-1,"")</f>
        <v/>
      </c>
      <c r="D12" s="12"/>
      <c r="E12" s="12"/>
      <c r="F12" s="19" t="str">
        <f t="shared" si="0"/>
        <v/>
      </c>
      <c r="G12" s="2"/>
      <c r="H12" s="1"/>
      <c r="I12" s="1"/>
      <c r="J12" s="11"/>
      <c r="X12" s="5">
        <f t="shared" si="1"/>
        <v>0</v>
      </c>
      <c r="Y12" s="2">
        <f t="shared" si="2"/>
        <v>0</v>
      </c>
    </row>
    <row r="13" spans="1:26" x14ac:dyDescent="0.25">
      <c r="A13" s="4"/>
      <c r="B13" s="2"/>
      <c r="D13" s="12"/>
      <c r="E13" s="12"/>
      <c r="F13" s="19" t="str">
        <f t="shared" si="0"/>
        <v/>
      </c>
      <c r="G13" s="1"/>
      <c r="H13" s="2"/>
      <c r="I13" s="2"/>
      <c r="J13" s="11"/>
      <c r="N13" s="14"/>
      <c r="X13" s="5">
        <f t="shared" si="1"/>
        <v>0</v>
      </c>
      <c r="Y13" s="2">
        <f t="shared" si="2"/>
        <v>0</v>
      </c>
    </row>
    <row r="14" spans="1:26" x14ac:dyDescent="0.25">
      <c r="A14" s="13"/>
      <c r="B14" s="20"/>
      <c r="D14" s="12"/>
      <c r="E14" s="5"/>
      <c r="F14" s="19" t="str">
        <f t="shared" si="0"/>
        <v/>
      </c>
      <c r="G14" s="1"/>
      <c r="H14" s="1"/>
      <c r="I14" s="1"/>
      <c r="J14" s="11"/>
      <c r="X14" s="5">
        <f t="shared" si="1"/>
        <v>0</v>
      </c>
      <c r="Y14" s="2">
        <f t="shared" si="2"/>
        <v>0</v>
      </c>
    </row>
    <row r="15" spans="1:26" x14ac:dyDescent="0.25">
      <c r="A15" s="4" t="s">
        <v>1</v>
      </c>
      <c r="B15" s="6">
        <v>0.12</v>
      </c>
      <c r="D15" s="12"/>
      <c r="E15" s="5"/>
      <c r="F15" s="19" t="str">
        <f t="shared" si="0"/>
        <v/>
      </c>
      <c r="G15" s="1"/>
      <c r="H15" s="1"/>
      <c r="I15" s="1"/>
      <c r="J15" s="11"/>
      <c r="K15" s="18"/>
      <c r="L15" s="18"/>
      <c r="M15" s="18"/>
      <c r="N15" s="18"/>
      <c r="O15" s="18"/>
      <c r="P15" s="18"/>
      <c r="Q15" s="18"/>
      <c r="X15" s="5">
        <f t="shared" si="1"/>
        <v>0</v>
      </c>
      <c r="Y15" s="2">
        <f t="shared" si="2"/>
        <v>0</v>
      </c>
    </row>
    <row r="16" spans="1:26" x14ac:dyDescent="0.25">
      <c r="A16" s="4" t="s">
        <v>72</v>
      </c>
      <c r="B16" s="2">
        <v>10.74</v>
      </c>
      <c r="D16" s="12"/>
      <c r="E16" s="5"/>
      <c r="F16" s="19" t="str">
        <f t="shared" si="0"/>
        <v/>
      </c>
      <c r="G16" s="1"/>
      <c r="H16" s="1"/>
      <c r="I16" s="1"/>
      <c r="J16" s="11"/>
      <c r="K16" s="9"/>
      <c r="L16" s="9"/>
      <c r="M16" s="9"/>
      <c r="N16" s="21"/>
      <c r="O16" s="22"/>
      <c r="P16" s="11"/>
      <c r="Q16" s="11"/>
      <c r="X16" s="5">
        <f t="shared" si="1"/>
        <v>0</v>
      </c>
      <c r="Y16" s="2">
        <f t="shared" si="2"/>
        <v>0</v>
      </c>
    </row>
    <row r="17" spans="2:25" x14ac:dyDescent="0.25">
      <c r="D17" s="12"/>
      <c r="E17" s="5"/>
      <c r="F17" s="19" t="str">
        <f t="shared" si="0"/>
        <v/>
      </c>
      <c r="G17" s="1"/>
      <c r="H17" s="1"/>
      <c r="I17" s="1"/>
      <c r="J17" s="11"/>
      <c r="X17" s="5">
        <f t="shared" si="1"/>
        <v>0</v>
      </c>
      <c r="Y17" s="2">
        <f t="shared" si="2"/>
        <v>0</v>
      </c>
    </row>
    <row r="18" spans="2:25" x14ac:dyDescent="0.25">
      <c r="D18" s="12"/>
      <c r="E18" s="5"/>
      <c r="F18" s="19" t="str">
        <f t="shared" si="0"/>
        <v/>
      </c>
      <c r="G18" s="1"/>
      <c r="H18" s="1"/>
      <c r="I18" s="1"/>
      <c r="J18" s="11"/>
      <c r="X18" s="5">
        <f t="shared" si="1"/>
        <v>0</v>
      </c>
      <c r="Y18" s="2">
        <f t="shared" si="2"/>
        <v>0</v>
      </c>
    </row>
    <row r="19" spans="2:25" x14ac:dyDescent="0.25">
      <c r="D19" s="12"/>
      <c r="E19" s="5"/>
      <c r="F19" s="19" t="str">
        <f t="shared" si="0"/>
        <v/>
      </c>
      <c r="G19" s="1"/>
      <c r="H19" s="1"/>
      <c r="I19" s="1"/>
      <c r="J19" s="11"/>
      <c r="X19" s="5">
        <f t="shared" si="1"/>
        <v>0</v>
      </c>
      <c r="Y19" s="2">
        <f t="shared" si="2"/>
        <v>0</v>
      </c>
    </row>
    <row r="20" spans="2:25" x14ac:dyDescent="0.25">
      <c r="D20" s="12"/>
      <c r="E20" s="5"/>
      <c r="F20" s="19" t="str">
        <f t="shared" si="0"/>
        <v/>
      </c>
      <c r="G20" s="1"/>
      <c r="H20" s="1"/>
      <c r="I20" s="1"/>
      <c r="J20" s="11"/>
      <c r="X20" s="5">
        <f t="shared" si="1"/>
        <v>0</v>
      </c>
      <c r="Y20" s="2">
        <f t="shared" si="2"/>
        <v>0</v>
      </c>
    </row>
    <row r="21" spans="2:25" x14ac:dyDescent="0.25">
      <c r="D21" s="12"/>
      <c r="E21" s="5"/>
      <c r="F21" s="19" t="str">
        <f t="shared" si="0"/>
        <v/>
      </c>
      <c r="G21" s="1"/>
      <c r="H21" s="1"/>
      <c r="I21" s="1"/>
      <c r="J21" s="11"/>
      <c r="X21" s="5">
        <f t="shared" si="1"/>
        <v>0</v>
      </c>
      <c r="Y21" s="2">
        <f t="shared" si="2"/>
        <v>0</v>
      </c>
    </row>
    <row r="22" spans="2:25" x14ac:dyDescent="0.25">
      <c r="D22" s="12"/>
      <c r="E22" s="5"/>
      <c r="F22" s="19" t="str">
        <f t="shared" si="0"/>
        <v/>
      </c>
      <c r="G22" s="1"/>
      <c r="H22" s="1"/>
      <c r="I22" s="1"/>
      <c r="J22" s="11"/>
      <c r="X22" s="5">
        <f t="shared" si="1"/>
        <v>0</v>
      </c>
      <c r="Y22" s="2">
        <f t="shared" si="2"/>
        <v>0</v>
      </c>
    </row>
    <row r="23" spans="2:25" x14ac:dyDescent="0.25">
      <c r="B23" s="22"/>
      <c r="D23" s="12"/>
      <c r="E23" s="5"/>
      <c r="F23" s="19" t="str">
        <f t="shared" si="0"/>
        <v/>
      </c>
      <c r="G23" s="1"/>
      <c r="H23" s="1"/>
      <c r="I23" s="1"/>
      <c r="J23" s="11"/>
      <c r="X23" s="5">
        <f t="shared" si="1"/>
        <v>0</v>
      </c>
      <c r="Y23" s="2">
        <f t="shared" si="2"/>
        <v>0</v>
      </c>
    </row>
    <row r="24" spans="2:25" x14ac:dyDescent="0.25">
      <c r="D24" s="12"/>
      <c r="E24" s="5"/>
      <c r="F24" s="19" t="str">
        <f t="shared" si="0"/>
        <v/>
      </c>
      <c r="G24" s="1"/>
      <c r="H24" s="1"/>
      <c r="I24" s="1"/>
      <c r="J24" s="11"/>
      <c r="X24" s="5">
        <f t="shared" si="1"/>
        <v>0</v>
      </c>
      <c r="Y24" s="2">
        <f t="shared" si="2"/>
        <v>0</v>
      </c>
    </row>
    <row r="25" spans="2:25" x14ac:dyDescent="0.25">
      <c r="D25" s="12"/>
      <c r="E25" s="5"/>
      <c r="F25" s="19" t="str">
        <f t="shared" si="0"/>
        <v/>
      </c>
      <c r="G25" s="1"/>
      <c r="H25" s="1"/>
      <c r="I25" s="1"/>
      <c r="J25" s="11"/>
      <c r="X25" s="5">
        <f t="shared" si="1"/>
        <v>0</v>
      </c>
      <c r="Y25" s="2">
        <f t="shared" si="2"/>
        <v>0</v>
      </c>
    </row>
    <row r="26" spans="2:25" x14ac:dyDescent="0.25">
      <c r="D26" s="12"/>
      <c r="E26" s="5"/>
      <c r="F26" s="19" t="str">
        <f t="shared" si="0"/>
        <v/>
      </c>
      <c r="G26" s="1"/>
      <c r="H26" s="1"/>
      <c r="I26" s="1"/>
      <c r="J26" s="11"/>
      <c r="X26" s="5">
        <f t="shared" si="1"/>
        <v>0</v>
      </c>
      <c r="Y26" s="2">
        <f t="shared" si="2"/>
        <v>0</v>
      </c>
    </row>
    <row r="27" spans="2:25" x14ac:dyDescent="0.25">
      <c r="D27" s="12"/>
      <c r="E27" s="5"/>
      <c r="F27" s="19" t="str">
        <f t="shared" si="0"/>
        <v/>
      </c>
      <c r="G27" s="1"/>
      <c r="H27" s="1"/>
      <c r="I27" s="1"/>
      <c r="J27" s="11"/>
      <c r="X27" s="5">
        <f t="shared" si="1"/>
        <v>0</v>
      </c>
      <c r="Y27" s="2">
        <f t="shared" si="2"/>
        <v>0</v>
      </c>
    </row>
    <row r="28" spans="2:25" x14ac:dyDescent="0.25">
      <c r="D28" s="12"/>
      <c r="E28" s="5"/>
      <c r="F28" s="19" t="str">
        <f t="shared" si="0"/>
        <v/>
      </c>
      <c r="G28" s="1"/>
      <c r="H28" s="1"/>
      <c r="I28" s="1"/>
      <c r="J28" s="11"/>
      <c r="X28" s="5">
        <f t="shared" si="1"/>
        <v>0</v>
      </c>
      <c r="Y28" s="2">
        <f t="shared" si="2"/>
        <v>0</v>
      </c>
    </row>
    <row r="29" spans="2:25" x14ac:dyDescent="0.25">
      <c r="D29" s="12"/>
      <c r="E29" s="5"/>
      <c r="F29" s="19" t="str">
        <f t="shared" si="0"/>
        <v/>
      </c>
      <c r="G29" s="1"/>
      <c r="H29" s="1"/>
      <c r="I29" s="1"/>
      <c r="J29" s="11"/>
      <c r="X29" s="5">
        <f t="shared" si="1"/>
        <v>0</v>
      </c>
      <c r="Y29" s="2">
        <f t="shared" si="2"/>
        <v>0</v>
      </c>
    </row>
    <row r="30" spans="2:25" x14ac:dyDescent="0.25">
      <c r="D30" s="12"/>
      <c r="E30" s="5"/>
      <c r="F30" s="19" t="str">
        <f t="shared" si="0"/>
        <v/>
      </c>
      <c r="G30" s="1"/>
      <c r="H30" s="1"/>
      <c r="I30" s="1"/>
      <c r="J30" s="11"/>
      <c r="X30" s="5">
        <f t="shared" si="1"/>
        <v>0</v>
      </c>
      <c r="Y30" s="2">
        <f t="shared" si="2"/>
        <v>0</v>
      </c>
    </row>
    <row r="31" spans="2:25" x14ac:dyDescent="0.25">
      <c r="D31" s="12"/>
      <c r="E31" s="5"/>
      <c r="F31" s="19" t="str">
        <f t="shared" si="0"/>
        <v/>
      </c>
      <c r="G31" s="1"/>
      <c r="H31" s="1"/>
      <c r="I31" s="1"/>
      <c r="J31" s="11"/>
      <c r="X31" s="5">
        <f t="shared" si="1"/>
        <v>0</v>
      </c>
      <c r="Y31" s="2">
        <f t="shared" si="2"/>
        <v>0</v>
      </c>
    </row>
    <row r="32" spans="2:25" x14ac:dyDescent="0.25">
      <c r="D32" s="12"/>
      <c r="E32" s="5"/>
      <c r="F32" s="19" t="str">
        <f t="shared" si="0"/>
        <v/>
      </c>
      <c r="G32" s="1"/>
      <c r="H32" s="1"/>
      <c r="I32" s="1"/>
      <c r="J32" s="11"/>
      <c r="X32" s="5">
        <f t="shared" si="1"/>
        <v>0</v>
      </c>
      <c r="Y32" s="2">
        <f t="shared" si="2"/>
        <v>0</v>
      </c>
    </row>
    <row r="33" spans="4:25" x14ac:dyDescent="0.25">
      <c r="D33" s="12"/>
      <c r="E33" s="5"/>
      <c r="F33" s="19" t="str">
        <f t="shared" si="0"/>
        <v/>
      </c>
      <c r="G33" s="1"/>
      <c r="H33" s="1"/>
      <c r="I33" s="1"/>
      <c r="J33" s="11"/>
      <c r="X33" s="5">
        <f t="shared" si="1"/>
        <v>0</v>
      </c>
      <c r="Y33" s="2">
        <f t="shared" si="2"/>
        <v>0</v>
      </c>
    </row>
    <row r="34" spans="4:25" x14ac:dyDescent="0.25">
      <c r="D34" s="12"/>
      <c r="E34" s="5"/>
      <c r="F34" s="19" t="str">
        <f t="shared" si="0"/>
        <v/>
      </c>
      <c r="G34" s="1"/>
      <c r="H34" s="1"/>
      <c r="I34" s="1"/>
      <c r="J34" s="11"/>
      <c r="X34" s="5">
        <f t="shared" si="1"/>
        <v>0</v>
      </c>
      <c r="Y34" s="2">
        <f t="shared" si="2"/>
        <v>0</v>
      </c>
    </row>
    <row r="35" spans="4:25" x14ac:dyDescent="0.25">
      <c r="D35" s="12"/>
      <c r="E35" s="5"/>
      <c r="F35" s="19" t="str">
        <f t="shared" si="0"/>
        <v/>
      </c>
      <c r="G35" s="1"/>
      <c r="H35" s="1"/>
      <c r="I35" s="1"/>
      <c r="J35" s="11"/>
      <c r="X35" s="5">
        <f t="shared" si="1"/>
        <v>0</v>
      </c>
      <c r="Y35" s="2">
        <f t="shared" si="2"/>
        <v>0</v>
      </c>
    </row>
    <row r="36" spans="4:25" x14ac:dyDescent="0.25">
      <c r="D36" s="12"/>
      <c r="E36" s="5"/>
      <c r="F36" s="19" t="str">
        <f t="shared" si="0"/>
        <v/>
      </c>
      <c r="G36" s="1"/>
      <c r="H36" s="1"/>
      <c r="I36" s="1"/>
      <c r="J36" s="11"/>
      <c r="X36" s="5">
        <f t="shared" si="1"/>
        <v>0</v>
      </c>
      <c r="Y36" s="2">
        <f t="shared" si="2"/>
        <v>0</v>
      </c>
    </row>
    <row r="37" spans="4:25" x14ac:dyDescent="0.25">
      <c r="D37" s="12"/>
      <c r="E37" s="5"/>
      <c r="F37" s="19" t="str">
        <f t="shared" si="0"/>
        <v/>
      </c>
      <c r="G37" s="1"/>
      <c r="H37" s="1"/>
      <c r="I37" s="1"/>
      <c r="J37" s="11"/>
      <c r="X37" s="5">
        <f t="shared" si="1"/>
        <v>0</v>
      </c>
      <c r="Y37" s="2">
        <f t="shared" si="2"/>
        <v>0</v>
      </c>
    </row>
    <row r="38" spans="4:25" x14ac:dyDescent="0.25">
      <c r="D38" s="12"/>
      <c r="E38" s="5"/>
      <c r="F38" s="19" t="str">
        <f t="shared" si="0"/>
        <v/>
      </c>
      <c r="G38" s="1"/>
      <c r="H38" s="1"/>
      <c r="I38" s="1"/>
      <c r="J38" s="11"/>
      <c r="X38" s="5">
        <f t="shared" si="1"/>
        <v>0</v>
      </c>
      <c r="Y38" s="2">
        <f t="shared" si="2"/>
        <v>0</v>
      </c>
    </row>
    <row r="39" spans="4:25" x14ac:dyDescent="0.25">
      <c r="D39" s="12"/>
      <c r="E39" s="5"/>
      <c r="F39" s="19" t="str">
        <f t="shared" si="0"/>
        <v/>
      </c>
      <c r="G39" s="1"/>
      <c r="H39" s="1"/>
      <c r="I39" s="1"/>
      <c r="J39" s="11"/>
      <c r="X39" s="5">
        <f t="shared" si="1"/>
        <v>0</v>
      </c>
      <c r="Y39" s="2">
        <f t="shared" si="2"/>
        <v>0</v>
      </c>
    </row>
    <row r="40" spans="4:25" x14ac:dyDescent="0.25">
      <c r="D40" s="12"/>
      <c r="E40" s="5"/>
      <c r="F40" s="19" t="str">
        <f t="shared" si="0"/>
        <v/>
      </c>
      <c r="G40" s="1"/>
      <c r="H40" s="1"/>
      <c r="I40" s="1"/>
      <c r="J40" s="11"/>
      <c r="X40" s="5">
        <f t="shared" si="1"/>
        <v>0</v>
      </c>
      <c r="Y40" s="2">
        <f t="shared" si="2"/>
        <v>0</v>
      </c>
    </row>
    <row r="41" spans="4:25" x14ac:dyDescent="0.25">
      <c r="D41" s="12"/>
      <c r="E41" s="5"/>
      <c r="F41" s="19" t="str">
        <f t="shared" si="0"/>
        <v/>
      </c>
      <c r="G41" s="1"/>
      <c r="H41" s="1"/>
      <c r="I41" s="1"/>
      <c r="J41" s="11"/>
      <c r="X41" s="5">
        <f t="shared" si="1"/>
        <v>0</v>
      </c>
      <c r="Y41" s="2">
        <f t="shared" si="2"/>
        <v>0</v>
      </c>
    </row>
    <row r="42" spans="4:25" x14ac:dyDescent="0.25">
      <c r="D42" s="12"/>
      <c r="E42" s="5"/>
      <c r="F42" s="19" t="str">
        <f t="shared" si="0"/>
        <v/>
      </c>
      <c r="G42" s="1"/>
      <c r="H42" s="1"/>
      <c r="I42" s="1"/>
      <c r="J42" s="11"/>
      <c r="X42" s="5">
        <f t="shared" si="1"/>
        <v>0</v>
      </c>
      <c r="Y42" s="2">
        <f t="shared" si="2"/>
        <v>0</v>
      </c>
    </row>
    <row r="43" spans="4:25" x14ac:dyDescent="0.25">
      <c r="D43" s="12"/>
      <c r="E43" s="5"/>
      <c r="F43" s="19" t="str">
        <f t="shared" si="0"/>
        <v/>
      </c>
      <c r="G43" s="1"/>
      <c r="H43" s="1"/>
      <c r="I43" s="1"/>
      <c r="J43" s="11"/>
      <c r="X43" s="5">
        <f t="shared" si="1"/>
        <v>0</v>
      </c>
      <c r="Y43" s="2">
        <f t="shared" si="2"/>
        <v>0</v>
      </c>
    </row>
    <row r="44" spans="4:25" x14ac:dyDescent="0.25">
      <c r="D44" s="12"/>
      <c r="E44" s="5"/>
      <c r="F44" s="19" t="str">
        <f t="shared" si="0"/>
        <v/>
      </c>
      <c r="G44" s="1"/>
      <c r="H44" s="1"/>
      <c r="I44" s="1"/>
      <c r="J44" s="11"/>
      <c r="X44" s="5">
        <f t="shared" si="1"/>
        <v>0</v>
      </c>
      <c r="Y44" s="2">
        <f t="shared" si="2"/>
        <v>0</v>
      </c>
    </row>
    <row r="45" spans="4:25" x14ac:dyDescent="0.25">
      <c r="D45" s="12"/>
      <c r="E45" s="5"/>
      <c r="F45" s="19" t="str">
        <f t="shared" si="0"/>
        <v/>
      </c>
      <c r="G45" s="1"/>
      <c r="H45" s="1"/>
      <c r="I45" s="1"/>
      <c r="J45" s="11"/>
      <c r="X45" s="5">
        <f t="shared" si="1"/>
        <v>0</v>
      </c>
      <c r="Y45" s="2">
        <f t="shared" si="2"/>
        <v>0</v>
      </c>
    </row>
    <row r="46" spans="4:25" x14ac:dyDescent="0.25">
      <c r="D46" s="12"/>
      <c r="E46" s="5"/>
      <c r="F46" s="19" t="str">
        <f t="shared" si="0"/>
        <v/>
      </c>
      <c r="G46" s="1"/>
      <c r="H46" s="1"/>
      <c r="I46" s="1"/>
      <c r="J46" s="11"/>
      <c r="X46" s="5">
        <f t="shared" si="1"/>
        <v>0</v>
      </c>
      <c r="Y46" s="2">
        <f t="shared" si="2"/>
        <v>0</v>
      </c>
    </row>
    <row r="47" spans="4:25" x14ac:dyDescent="0.25">
      <c r="D47" s="12"/>
      <c r="E47" s="5"/>
      <c r="F47" s="19" t="str">
        <f t="shared" si="0"/>
        <v/>
      </c>
      <c r="G47" s="1"/>
      <c r="H47" s="1"/>
      <c r="I47" s="1"/>
      <c r="J47" s="11"/>
      <c r="X47" s="5">
        <f t="shared" si="1"/>
        <v>0</v>
      </c>
      <c r="Y47" s="2">
        <f t="shared" si="2"/>
        <v>0</v>
      </c>
    </row>
    <row r="48" spans="4:25" x14ac:dyDescent="0.25">
      <c r="D48" s="12"/>
      <c r="E48" s="5"/>
      <c r="F48" s="19" t="str">
        <f t="shared" si="0"/>
        <v/>
      </c>
      <c r="G48" s="1"/>
      <c r="H48" s="1"/>
      <c r="I48" s="1"/>
      <c r="J48" s="11"/>
      <c r="X48" s="5">
        <f t="shared" si="1"/>
        <v>0</v>
      </c>
      <c r="Y48" s="2">
        <f t="shared" si="2"/>
        <v>0</v>
      </c>
    </row>
    <row r="49" spans="4:25" x14ac:dyDescent="0.25">
      <c r="D49" s="12"/>
      <c r="E49" s="5"/>
      <c r="F49" s="19" t="str">
        <f t="shared" si="0"/>
        <v/>
      </c>
      <c r="G49" s="1"/>
      <c r="H49" s="1"/>
      <c r="I49" s="1"/>
      <c r="J49" s="11"/>
      <c r="X49" s="5">
        <f t="shared" si="1"/>
        <v>0</v>
      </c>
      <c r="Y49" s="2">
        <f t="shared" si="2"/>
        <v>0</v>
      </c>
    </row>
    <row r="50" spans="4:25" x14ac:dyDescent="0.25">
      <c r="D50" s="12"/>
      <c r="E50" s="5"/>
      <c r="F50" s="19" t="str">
        <f t="shared" si="0"/>
        <v/>
      </c>
      <c r="G50" s="1"/>
      <c r="H50" s="1"/>
      <c r="I50" s="1"/>
      <c r="J50" s="11"/>
      <c r="X50" s="5">
        <f t="shared" si="1"/>
        <v>0</v>
      </c>
      <c r="Y50" s="2">
        <f t="shared" si="2"/>
        <v>0</v>
      </c>
    </row>
    <row r="51" spans="4:25" x14ac:dyDescent="0.25">
      <c r="D51" s="12"/>
      <c r="E51" s="5"/>
      <c r="F51" s="19" t="str">
        <f t="shared" si="0"/>
        <v/>
      </c>
      <c r="G51" s="1"/>
      <c r="H51" s="1"/>
      <c r="I51" s="1"/>
      <c r="J51" s="11"/>
      <c r="X51" s="5">
        <f t="shared" si="1"/>
        <v>0</v>
      </c>
      <c r="Y51" s="2">
        <f t="shared" si="2"/>
        <v>0</v>
      </c>
    </row>
    <row r="52" spans="4:25" x14ac:dyDescent="0.25">
      <c r="D52" s="12"/>
      <c r="E52" s="5"/>
      <c r="F52" s="19" t="str">
        <f t="shared" si="0"/>
        <v/>
      </c>
      <c r="G52" s="1"/>
      <c r="H52" s="1"/>
      <c r="I52" s="1"/>
      <c r="J52" s="9"/>
      <c r="X52" s="5">
        <f t="shared" si="1"/>
        <v>0</v>
      </c>
      <c r="Y52" s="2">
        <f t="shared" si="2"/>
        <v>0</v>
      </c>
    </row>
    <row r="53" spans="4:25" x14ac:dyDescent="0.25">
      <c r="D53" s="1" t="s">
        <v>25</v>
      </c>
      <c r="E53" s="23"/>
      <c r="F53" s="2"/>
      <c r="G53" s="2">
        <f>SUM(G3:G52)</f>
        <v>10.74</v>
      </c>
      <c r="H53" s="2">
        <f t="shared" ref="H53:I53" si="3">SUM(H3:H52)</f>
        <v>0.42000000000000004</v>
      </c>
      <c r="I53" s="2">
        <f t="shared" si="3"/>
        <v>0.01</v>
      </c>
    </row>
  </sheetData>
  <mergeCells count="4">
    <mergeCell ref="D1:F1"/>
    <mergeCell ref="G1:I1"/>
    <mergeCell ref="K1:Q1"/>
    <mergeCell ref="X1:Z1"/>
  </mergeCells>
  <conditionalFormatting sqref="A1:B1">
    <cfRule type="expression" dxfId="95" priority="1">
      <formula>$Z$3="+"</formula>
    </cfRule>
    <cfRule type="expression" dxfId="94" priority="2">
      <formula>$B$16=$K$3</formula>
    </cfRule>
  </conditionalFormatting>
  <conditionalFormatting sqref="P3">
    <cfRule type="expression" dxfId="93" priority="6">
      <formula>$Z$3="+"</formula>
    </cfRule>
  </conditionalFormatting>
  <conditionalFormatting sqref="Z3">
    <cfRule type="expression" dxfId="92" priority="7">
      <formula>$Z$3="+"</formula>
    </cfRule>
  </conditionalFormatting>
  <dataValidations count="1">
    <dataValidation type="list" allowBlank="1" showInputMessage="1" showErrorMessage="1" sqref="B2" xr:uid="{F8B9CD80-AB6A-4322-8B4E-4AE044FD6CBE}">
      <formula1>"Romania,Moldova,Cyprus,Philippines"</formula1>
    </dataValidation>
  </dataValidations>
  <pageMargins left="0.7" right="0.7" top="0.75" bottom="0.75" header="0.3" footer="0.3"/>
  <pageSetup orientation="portrait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0556D-426F-42AE-B639-E06896F599C6}">
  <sheetPr>
    <tabColor rgb="FF92D050"/>
  </sheetPr>
  <dimension ref="A1:Z53"/>
  <sheetViews>
    <sheetView workbookViewId="0">
      <selection activeCell="H9" sqref="H9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1" customWidth="1"/>
    <col min="25" max="25" width="10.7109375" style="11" customWidth="1"/>
    <col min="26" max="26" width="10.7109375" customWidth="1"/>
  </cols>
  <sheetData>
    <row r="1" spans="1:26" x14ac:dyDescent="0.25">
      <c r="A1" s="4" t="s">
        <v>66</v>
      </c>
      <c r="B1" s="5" t="s">
        <v>48</v>
      </c>
      <c r="D1" s="29" t="s">
        <v>2</v>
      </c>
      <c r="E1" s="30"/>
      <c r="F1" s="31"/>
      <c r="G1" s="29" t="s">
        <v>0</v>
      </c>
      <c r="H1" s="30"/>
      <c r="I1" s="31"/>
      <c r="J1" s="18"/>
      <c r="K1" s="29" t="s">
        <v>58</v>
      </c>
      <c r="L1" s="30"/>
      <c r="M1" s="30"/>
      <c r="N1" s="30"/>
      <c r="O1" s="30"/>
      <c r="P1" s="30"/>
      <c r="Q1" s="31"/>
      <c r="X1" s="29"/>
      <c r="Y1" s="30"/>
      <c r="Z1" s="31"/>
    </row>
    <row r="2" spans="1:26" x14ac:dyDescent="0.25">
      <c r="A2" s="4" t="s">
        <v>21</v>
      </c>
      <c r="B2" s="5" t="s">
        <v>22</v>
      </c>
      <c r="D2" s="10" t="s">
        <v>49</v>
      </c>
      <c r="E2" s="10" t="s">
        <v>50</v>
      </c>
      <c r="F2" s="17" t="s">
        <v>67</v>
      </c>
      <c r="G2" s="10" t="s">
        <v>15</v>
      </c>
      <c r="H2" s="10" t="s">
        <v>16</v>
      </c>
      <c r="I2" s="10" t="s">
        <v>60</v>
      </c>
      <c r="J2" s="9"/>
      <c r="K2" s="10" t="s">
        <v>0</v>
      </c>
      <c r="L2" s="10" t="s">
        <v>1</v>
      </c>
      <c r="M2" s="10" t="s">
        <v>56</v>
      </c>
      <c r="N2" s="10" t="s">
        <v>57</v>
      </c>
      <c r="O2" s="10" t="s">
        <v>2</v>
      </c>
      <c r="P2" s="10" t="s">
        <v>68</v>
      </c>
      <c r="Q2" s="10" t="s">
        <v>67</v>
      </c>
      <c r="X2" s="10" t="s">
        <v>2</v>
      </c>
      <c r="Y2" s="10" t="s">
        <v>59</v>
      </c>
      <c r="Z2" s="10" t="s">
        <v>68</v>
      </c>
    </row>
    <row r="3" spans="1:26" x14ac:dyDescent="0.25">
      <c r="A3" s="4" t="s">
        <v>69</v>
      </c>
      <c r="B3" s="5" t="s">
        <v>78</v>
      </c>
      <c r="D3" s="12">
        <v>46081</v>
      </c>
      <c r="E3" s="12">
        <v>46081</v>
      </c>
      <c r="F3" s="19">
        <f t="shared" ref="F3:F52" si="0">IF(E3&gt;0,E3-D3,"")</f>
        <v>0</v>
      </c>
      <c r="G3" s="2">
        <v>0</v>
      </c>
      <c r="H3" s="2">
        <v>0</v>
      </c>
      <c r="I3" s="2">
        <v>0</v>
      </c>
      <c r="J3" s="11"/>
      <c r="K3" s="2">
        <f>G53</f>
        <v>12.52</v>
      </c>
      <c r="L3" s="2">
        <f>H53</f>
        <v>0.51</v>
      </c>
      <c r="M3" s="2">
        <f>I53</f>
        <v>0.02</v>
      </c>
      <c r="N3" s="6">
        <f>IF(B16=K3,XIRR(Y3:Y52,X3:X52),"")</f>
        <v>0.11124389767646792</v>
      </c>
      <c r="O3" s="5">
        <f>IF(B16=K3,MAX(E:E),"")</f>
        <v>46234</v>
      </c>
      <c r="P3" s="1" t="str">
        <f ca="1">IF(Z3="+",TODAY()-B11,"")</f>
        <v/>
      </c>
      <c r="Q3" s="1">
        <f>IF(B16=K3,MAX(E:E)-B11,"")</f>
        <v>7</v>
      </c>
      <c r="T3" s="14"/>
      <c r="X3" s="5">
        <f>B9</f>
        <v>46079</v>
      </c>
      <c r="Y3" s="2">
        <f>B16*-1</f>
        <v>-12.52</v>
      </c>
      <c r="Z3" s="1" t="str">
        <f ca="1">IF(AND(TODAY()&gt;B11, K3&lt;&gt;B16), "+", "")</f>
        <v/>
      </c>
    </row>
    <row r="4" spans="1:26" x14ac:dyDescent="0.25">
      <c r="A4" s="4" t="s">
        <v>19</v>
      </c>
      <c r="B4" s="5" t="s">
        <v>20</v>
      </c>
      <c r="D4" s="12">
        <v>46112</v>
      </c>
      <c r="E4" s="12">
        <v>46112</v>
      </c>
      <c r="F4" s="19">
        <f t="shared" si="0"/>
        <v>0</v>
      </c>
      <c r="G4" s="2">
        <v>0</v>
      </c>
      <c r="H4" s="1">
        <v>0.04</v>
      </c>
      <c r="I4" s="2">
        <v>0</v>
      </c>
      <c r="J4" s="9"/>
      <c r="X4" s="5">
        <f>E3</f>
        <v>46081</v>
      </c>
      <c r="Y4" s="2">
        <f>G3+H3-I3</f>
        <v>0</v>
      </c>
    </row>
    <row r="5" spans="1:26" x14ac:dyDescent="0.25">
      <c r="A5" s="4"/>
      <c r="B5" s="5"/>
      <c r="D5" s="12">
        <v>46142</v>
      </c>
      <c r="E5" s="12">
        <v>46142</v>
      </c>
      <c r="F5" s="19">
        <f t="shared" si="0"/>
        <v>0</v>
      </c>
      <c r="G5" s="2">
        <v>0</v>
      </c>
      <c r="H5" s="1">
        <v>0.12</v>
      </c>
      <c r="I5" s="2">
        <v>0.01</v>
      </c>
      <c r="J5" s="9"/>
      <c r="X5" s="5">
        <f t="shared" ref="X5:X52" si="1">E4</f>
        <v>46112</v>
      </c>
      <c r="Y5" s="2">
        <f t="shared" ref="Y5:Y52" si="2">G4+H4-I4</f>
        <v>0.04</v>
      </c>
    </row>
    <row r="6" spans="1:26" x14ac:dyDescent="0.25">
      <c r="A6" s="4"/>
      <c r="B6" s="5"/>
      <c r="D6" s="12">
        <v>46173</v>
      </c>
      <c r="E6" s="12">
        <v>46173</v>
      </c>
      <c r="F6" s="19">
        <f t="shared" si="0"/>
        <v>0</v>
      </c>
      <c r="G6" s="2">
        <v>0</v>
      </c>
      <c r="H6" s="1">
        <v>0.12</v>
      </c>
      <c r="I6" s="2">
        <v>0.01</v>
      </c>
      <c r="J6" s="9"/>
      <c r="X6" s="5">
        <f t="shared" si="1"/>
        <v>46142</v>
      </c>
      <c r="Y6" s="2">
        <f t="shared" si="2"/>
        <v>0.11</v>
      </c>
    </row>
    <row r="7" spans="1:26" x14ac:dyDescent="0.25">
      <c r="A7" s="4"/>
      <c r="B7" s="5"/>
      <c r="D7" s="12">
        <v>46203</v>
      </c>
      <c r="E7" s="12">
        <v>46203</v>
      </c>
      <c r="F7" s="19">
        <f t="shared" si="0"/>
        <v>0</v>
      </c>
      <c r="G7" s="2">
        <v>0</v>
      </c>
      <c r="H7" s="1">
        <v>0.11</v>
      </c>
      <c r="I7" s="2">
        <v>0</v>
      </c>
      <c r="J7" s="11"/>
      <c r="X7" s="5">
        <f t="shared" si="1"/>
        <v>46173</v>
      </c>
      <c r="Y7" s="2">
        <f t="shared" si="2"/>
        <v>0.11</v>
      </c>
    </row>
    <row r="8" spans="1:26" x14ac:dyDescent="0.25">
      <c r="A8" s="4" t="s">
        <v>24</v>
      </c>
      <c r="B8" s="5" t="str">
        <f>DATEDIF(B9,B11,"y") &amp; " m. " &amp; DATEDIF(B9,B11,"ym") &amp; " mėn. " &amp; DATEDIF(B9,B11,"md") &amp; " d."</f>
        <v>0 m. 4 mėn. 28 d.</v>
      </c>
      <c r="D8" s="12">
        <v>46227</v>
      </c>
      <c r="E8" s="12">
        <v>46213</v>
      </c>
      <c r="F8" s="19">
        <f t="shared" si="0"/>
        <v>-14</v>
      </c>
      <c r="G8" s="1">
        <v>12.52</v>
      </c>
      <c r="H8" s="2">
        <v>0</v>
      </c>
      <c r="I8" s="2">
        <v>0</v>
      </c>
      <c r="J8" s="9"/>
      <c r="X8" s="5">
        <f t="shared" si="1"/>
        <v>46203</v>
      </c>
      <c r="Y8" s="2">
        <f t="shared" si="2"/>
        <v>0.11</v>
      </c>
    </row>
    <row r="9" spans="1:26" x14ac:dyDescent="0.25">
      <c r="A9" s="4" t="s">
        <v>11</v>
      </c>
      <c r="B9" s="5">
        <v>46079</v>
      </c>
      <c r="D9" s="12">
        <v>46234</v>
      </c>
      <c r="E9" s="12">
        <v>46234</v>
      </c>
      <c r="F9" s="19">
        <f t="shared" si="0"/>
        <v>0</v>
      </c>
      <c r="G9" s="2">
        <v>0</v>
      </c>
      <c r="H9" s="2">
        <v>0.12</v>
      </c>
      <c r="I9" s="2">
        <v>0</v>
      </c>
      <c r="J9" s="11"/>
      <c r="X9" s="5">
        <f t="shared" si="1"/>
        <v>46213</v>
      </c>
      <c r="Y9" s="2">
        <f t="shared" si="2"/>
        <v>12.52</v>
      </c>
    </row>
    <row r="10" spans="1:26" x14ac:dyDescent="0.25">
      <c r="A10" s="4" t="s">
        <v>70</v>
      </c>
      <c r="B10" s="5">
        <v>46044</v>
      </c>
      <c r="D10" s="12"/>
      <c r="E10" s="12"/>
      <c r="F10" s="19" t="str">
        <f t="shared" si="0"/>
        <v/>
      </c>
      <c r="G10" s="1"/>
      <c r="H10" s="1"/>
      <c r="I10" s="2"/>
      <c r="J10" s="11"/>
      <c r="X10" s="5">
        <f t="shared" si="1"/>
        <v>46234</v>
      </c>
      <c r="Y10" s="2">
        <f t="shared" si="2"/>
        <v>0.12</v>
      </c>
    </row>
    <row r="11" spans="1:26" x14ac:dyDescent="0.25">
      <c r="A11" s="4" t="s">
        <v>10</v>
      </c>
      <c r="B11" s="5">
        <v>46227</v>
      </c>
      <c r="D11" s="12"/>
      <c r="E11" s="12"/>
      <c r="F11" s="19" t="str">
        <f t="shared" si="0"/>
        <v/>
      </c>
      <c r="G11" s="1"/>
      <c r="H11" s="2"/>
      <c r="I11" s="2"/>
      <c r="J11" s="11"/>
      <c r="X11" s="5">
        <f t="shared" si="1"/>
        <v>0</v>
      </c>
      <c r="Y11" s="2">
        <f t="shared" si="2"/>
        <v>0</v>
      </c>
    </row>
    <row r="12" spans="1:26" x14ac:dyDescent="0.25">
      <c r="A12" s="4" t="s">
        <v>71</v>
      </c>
      <c r="B12" s="19" t="str">
        <f ca="1">IF(B16&lt;&gt;K3,(TODAY()-B11)*-1,"")</f>
        <v/>
      </c>
      <c r="D12" s="12"/>
      <c r="E12" s="12"/>
      <c r="F12" s="19" t="str">
        <f t="shared" si="0"/>
        <v/>
      </c>
      <c r="G12" s="2"/>
      <c r="H12" s="1"/>
      <c r="I12" s="1"/>
      <c r="J12" s="11"/>
      <c r="X12" s="5">
        <f t="shared" si="1"/>
        <v>0</v>
      </c>
      <c r="Y12" s="2">
        <f t="shared" si="2"/>
        <v>0</v>
      </c>
    </row>
    <row r="13" spans="1:26" x14ac:dyDescent="0.25">
      <c r="A13" s="4"/>
      <c r="B13" s="2"/>
      <c r="D13" s="12"/>
      <c r="E13" s="12"/>
      <c r="F13" s="19" t="str">
        <f t="shared" si="0"/>
        <v/>
      </c>
      <c r="G13" s="1"/>
      <c r="H13" s="2"/>
      <c r="I13" s="2"/>
      <c r="J13" s="11"/>
      <c r="N13" s="14"/>
      <c r="X13" s="5">
        <f t="shared" si="1"/>
        <v>0</v>
      </c>
      <c r="Y13" s="2">
        <f t="shared" si="2"/>
        <v>0</v>
      </c>
    </row>
    <row r="14" spans="1:26" x14ac:dyDescent="0.25">
      <c r="A14" s="13"/>
      <c r="B14" s="20"/>
      <c r="D14" s="12"/>
      <c r="E14" s="5"/>
      <c r="F14" s="19" t="str">
        <f t="shared" si="0"/>
        <v/>
      </c>
      <c r="G14" s="1"/>
      <c r="H14" s="1"/>
      <c r="I14" s="1"/>
      <c r="J14" s="11"/>
      <c r="X14" s="5">
        <f t="shared" si="1"/>
        <v>0</v>
      </c>
      <c r="Y14" s="2">
        <f t="shared" si="2"/>
        <v>0</v>
      </c>
    </row>
    <row r="15" spans="1:26" x14ac:dyDescent="0.25">
      <c r="A15" s="4" t="s">
        <v>1</v>
      </c>
      <c r="B15" s="6">
        <v>0.11</v>
      </c>
      <c r="D15" s="12"/>
      <c r="E15" s="5"/>
      <c r="F15" s="19" t="str">
        <f t="shared" si="0"/>
        <v/>
      </c>
      <c r="G15" s="1"/>
      <c r="H15" s="1"/>
      <c r="I15" s="1"/>
      <c r="J15" s="11"/>
      <c r="K15" s="18"/>
      <c r="L15" s="18"/>
      <c r="M15" s="18"/>
      <c r="N15" s="18"/>
      <c r="O15" s="18"/>
      <c r="P15" s="18"/>
      <c r="Q15" s="18"/>
      <c r="X15" s="5">
        <f t="shared" si="1"/>
        <v>0</v>
      </c>
      <c r="Y15" s="2">
        <f t="shared" si="2"/>
        <v>0</v>
      </c>
    </row>
    <row r="16" spans="1:26" x14ac:dyDescent="0.25">
      <c r="A16" s="4" t="s">
        <v>72</v>
      </c>
      <c r="B16" s="2">
        <v>12.52</v>
      </c>
      <c r="D16" s="12"/>
      <c r="E16" s="5"/>
      <c r="F16" s="19" t="str">
        <f t="shared" si="0"/>
        <v/>
      </c>
      <c r="G16" s="1"/>
      <c r="H16" s="1"/>
      <c r="I16" s="1"/>
      <c r="J16" s="11"/>
      <c r="K16" s="9"/>
      <c r="L16" s="9"/>
      <c r="M16" s="9"/>
      <c r="N16" s="21"/>
      <c r="O16" s="22"/>
      <c r="P16" s="11"/>
      <c r="Q16" s="11"/>
      <c r="X16" s="5">
        <f t="shared" si="1"/>
        <v>0</v>
      </c>
      <c r="Y16" s="2">
        <f t="shared" si="2"/>
        <v>0</v>
      </c>
    </row>
    <row r="17" spans="2:25" x14ac:dyDescent="0.25">
      <c r="D17" s="12"/>
      <c r="E17" s="5"/>
      <c r="F17" s="19" t="str">
        <f t="shared" si="0"/>
        <v/>
      </c>
      <c r="G17" s="1"/>
      <c r="H17" s="1"/>
      <c r="I17" s="1"/>
      <c r="J17" s="11"/>
      <c r="X17" s="5">
        <f t="shared" si="1"/>
        <v>0</v>
      </c>
      <c r="Y17" s="2">
        <f t="shared" si="2"/>
        <v>0</v>
      </c>
    </row>
    <row r="18" spans="2:25" x14ac:dyDescent="0.25">
      <c r="D18" s="12"/>
      <c r="E18" s="5"/>
      <c r="F18" s="19" t="str">
        <f t="shared" si="0"/>
        <v/>
      </c>
      <c r="G18" s="1"/>
      <c r="H18" s="1"/>
      <c r="I18" s="1"/>
      <c r="J18" s="11"/>
      <c r="X18" s="5">
        <f t="shared" si="1"/>
        <v>0</v>
      </c>
      <c r="Y18" s="2">
        <f t="shared" si="2"/>
        <v>0</v>
      </c>
    </row>
    <row r="19" spans="2:25" x14ac:dyDescent="0.25">
      <c r="D19" s="12"/>
      <c r="E19" s="5"/>
      <c r="F19" s="19" t="str">
        <f t="shared" si="0"/>
        <v/>
      </c>
      <c r="G19" s="1"/>
      <c r="H19" s="1"/>
      <c r="I19" s="1"/>
      <c r="J19" s="11"/>
      <c r="X19" s="5">
        <f t="shared" si="1"/>
        <v>0</v>
      </c>
      <c r="Y19" s="2">
        <f t="shared" si="2"/>
        <v>0</v>
      </c>
    </row>
    <row r="20" spans="2:25" x14ac:dyDescent="0.25">
      <c r="D20" s="12"/>
      <c r="E20" s="5"/>
      <c r="F20" s="19" t="str">
        <f t="shared" si="0"/>
        <v/>
      </c>
      <c r="G20" s="1"/>
      <c r="H20" s="1"/>
      <c r="I20" s="1"/>
      <c r="J20" s="11"/>
      <c r="X20" s="5">
        <f t="shared" si="1"/>
        <v>0</v>
      </c>
      <c r="Y20" s="2">
        <f t="shared" si="2"/>
        <v>0</v>
      </c>
    </row>
    <row r="21" spans="2:25" x14ac:dyDescent="0.25">
      <c r="D21" s="12"/>
      <c r="E21" s="5"/>
      <c r="F21" s="19" t="str">
        <f t="shared" si="0"/>
        <v/>
      </c>
      <c r="G21" s="1"/>
      <c r="H21" s="1"/>
      <c r="I21" s="1"/>
      <c r="J21" s="11"/>
      <c r="X21" s="5">
        <f t="shared" si="1"/>
        <v>0</v>
      </c>
      <c r="Y21" s="2">
        <f t="shared" si="2"/>
        <v>0</v>
      </c>
    </row>
    <row r="22" spans="2:25" x14ac:dyDescent="0.25">
      <c r="D22" s="12"/>
      <c r="E22" s="5"/>
      <c r="F22" s="19" t="str">
        <f t="shared" si="0"/>
        <v/>
      </c>
      <c r="G22" s="1"/>
      <c r="H22" s="1"/>
      <c r="I22" s="1"/>
      <c r="J22" s="11"/>
      <c r="X22" s="5">
        <f t="shared" si="1"/>
        <v>0</v>
      </c>
      <c r="Y22" s="2">
        <f t="shared" si="2"/>
        <v>0</v>
      </c>
    </row>
    <row r="23" spans="2:25" x14ac:dyDescent="0.25">
      <c r="B23" s="22"/>
      <c r="D23" s="12"/>
      <c r="E23" s="5"/>
      <c r="F23" s="19" t="str">
        <f t="shared" si="0"/>
        <v/>
      </c>
      <c r="G23" s="1"/>
      <c r="H23" s="1"/>
      <c r="I23" s="1"/>
      <c r="J23" s="11"/>
      <c r="X23" s="5">
        <f t="shared" si="1"/>
        <v>0</v>
      </c>
      <c r="Y23" s="2">
        <f t="shared" si="2"/>
        <v>0</v>
      </c>
    </row>
    <row r="24" spans="2:25" x14ac:dyDescent="0.25">
      <c r="D24" s="12"/>
      <c r="E24" s="5"/>
      <c r="F24" s="19" t="str">
        <f t="shared" si="0"/>
        <v/>
      </c>
      <c r="G24" s="1"/>
      <c r="H24" s="1"/>
      <c r="I24" s="1"/>
      <c r="J24" s="11"/>
      <c r="X24" s="5">
        <f t="shared" si="1"/>
        <v>0</v>
      </c>
      <c r="Y24" s="2">
        <f t="shared" si="2"/>
        <v>0</v>
      </c>
    </row>
    <row r="25" spans="2:25" x14ac:dyDescent="0.25">
      <c r="D25" s="12"/>
      <c r="E25" s="5"/>
      <c r="F25" s="19" t="str">
        <f t="shared" si="0"/>
        <v/>
      </c>
      <c r="G25" s="1"/>
      <c r="H25" s="1"/>
      <c r="I25" s="1"/>
      <c r="J25" s="11"/>
      <c r="X25" s="5">
        <f t="shared" si="1"/>
        <v>0</v>
      </c>
      <c r="Y25" s="2">
        <f t="shared" si="2"/>
        <v>0</v>
      </c>
    </row>
    <row r="26" spans="2:25" x14ac:dyDescent="0.25">
      <c r="D26" s="12"/>
      <c r="E26" s="5"/>
      <c r="F26" s="19" t="str">
        <f t="shared" si="0"/>
        <v/>
      </c>
      <c r="G26" s="1"/>
      <c r="H26" s="1"/>
      <c r="I26" s="1"/>
      <c r="J26" s="11"/>
      <c r="X26" s="5">
        <f t="shared" si="1"/>
        <v>0</v>
      </c>
      <c r="Y26" s="2">
        <f t="shared" si="2"/>
        <v>0</v>
      </c>
    </row>
    <row r="27" spans="2:25" x14ac:dyDescent="0.25">
      <c r="D27" s="12"/>
      <c r="E27" s="5"/>
      <c r="F27" s="19" t="str">
        <f t="shared" si="0"/>
        <v/>
      </c>
      <c r="G27" s="1"/>
      <c r="H27" s="1"/>
      <c r="I27" s="1"/>
      <c r="J27" s="11"/>
      <c r="X27" s="5">
        <f t="shared" si="1"/>
        <v>0</v>
      </c>
      <c r="Y27" s="2">
        <f t="shared" si="2"/>
        <v>0</v>
      </c>
    </row>
    <row r="28" spans="2:25" x14ac:dyDescent="0.25">
      <c r="D28" s="12"/>
      <c r="E28" s="5"/>
      <c r="F28" s="19" t="str">
        <f t="shared" si="0"/>
        <v/>
      </c>
      <c r="G28" s="1"/>
      <c r="H28" s="1"/>
      <c r="I28" s="1"/>
      <c r="J28" s="11"/>
      <c r="X28" s="5">
        <f t="shared" si="1"/>
        <v>0</v>
      </c>
      <c r="Y28" s="2">
        <f t="shared" si="2"/>
        <v>0</v>
      </c>
    </row>
    <row r="29" spans="2:25" x14ac:dyDescent="0.25">
      <c r="D29" s="12"/>
      <c r="E29" s="5"/>
      <c r="F29" s="19" t="str">
        <f t="shared" si="0"/>
        <v/>
      </c>
      <c r="G29" s="1"/>
      <c r="H29" s="1"/>
      <c r="I29" s="1"/>
      <c r="J29" s="11"/>
      <c r="X29" s="5">
        <f t="shared" si="1"/>
        <v>0</v>
      </c>
      <c r="Y29" s="2">
        <f t="shared" si="2"/>
        <v>0</v>
      </c>
    </row>
    <row r="30" spans="2:25" x14ac:dyDescent="0.25">
      <c r="D30" s="12"/>
      <c r="E30" s="5"/>
      <c r="F30" s="19" t="str">
        <f t="shared" si="0"/>
        <v/>
      </c>
      <c r="G30" s="1"/>
      <c r="H30" s="1"/>
      <c r="I30" s="1"/>
      <c r="J30" s="11"/>
      <c r="X30" s="5">
        <f t="shared" si="1"/>
        <v>0</v>
      </c>
      <c r="Y30" s="2">
        <f t="shared" si="2"/>
        <v>0</v>
      </c>
    </row>
    <row r="31" spans="2:25" x14ac:dyDescent="0.25">
      <c r="D31" s="12"/>
      <c r="E31" s="5"/>
      <c r="F31" s="19" t="str">
        <f t="shared" si="0"/>
        <v/>
      </c>
      <c r="G31" s="1"/>
      <c r="H31" s="1"/>
      <c r="I31" s="1"/>
      <c r="J31" s="11"/>
      <c r="X31" s="5">
        <f t="shared" si="1"/>
        <v>0</v>
      </c>
      <c r="Y31" s="2">
        <f t="shared" si="2"/>
        <v>0</v>
      </c>
    </row>
    <row r="32" spans="2:25" x14ac:dyDescent="0.25">
      <c r="D32" s="12"/>
      <c r="E32" s="5"/>
      <c r="F32" s="19" t="str">
        <f t="shared" si="0"/>
        <v/>
      </c>
      <c r="G32" s="1"/>
      <c r="H32" s="1"/>
      <c r="I32" s="1"/>
      <c r="J32" s="11"/>
      <c r="X32" s="5">
        <f t="shared" si="1"/>
        <v>0</v>
      </c>
      <c r="Y32" s="2">
        <f t="shared" si="2"/>
        <v>0</v>
      </c>
    </row>
    <row r="33" spans="4:25" x14ac:dyDescent="0.25">
      <c r="D33" s="12"/>
      <c r="E33" s="5"/>
      <c r="F33" s="19" t="str">
        <f t="shared" si="0"/>
        <v/>
      </c>
      <c r="G33" s="1"/>
      <c r="H33" s="1"/>
      <c r="I33" s="1"/>
      <c r="J33" s="11"/>
      <c r="X33" s="5">
        <f t="shared" si="1"/>
        <v>0</v>
      </c>
      <c r="Y33" s="2">
        <f t="shared" si="2"/>
        <v>0</v>
      </c>
    </row>
    <row r="34" spans="4:25" x14ac:dyDescent="0.25">
      <c r="D34" s="12"/>
      <c r="E34" s="5"/>
      <c r="F34" s="19" t="str">
        <f t="shared" si="0"/>
        <v/>
      </c>
      <c r="G34" s="1"/>
      <c r="H34" s="1"/>
      <c r="I34" s="1"/>
      <c r="J34" s="11"/>
      <c r="X34" s="5">
        <f t="shared" si="1"/>
        <v>0</v>
      </c>
      <c r="Y34" s="2">
        <f t="shared" si="2"/>
        <v>0</v>
      </c>
    </row>
    <row r="35" spans="4:25" x14ac:dyDescent="0.25">
      <c r="D35" s="12"/>
      <c r="E35" s="5"/>
      <c r="F35" s="19" t="str">
        <f t="shared" si="0"/>
        <v/>
      </c>
      <c r="G35" s="1"/>
      <c r="H35" s="1"/>
      <c r="I35" s="1"/>
      <c r="J35" s="11"/>
      <c r="X35" s="5">
        <f t="shared" si="1"/>
        <v>0</v>
      </c>
      <c r="Y35" s="2">
        <f t="shared" si="2"/>
        <v>0</v>
      </c>
    </row>
    <row r="36" spans="4:25" x14ac:dyDescent="0.25">
      <c r="D36" s="12"/>
      <c r="E36" s="5"/>
      <c r="F36" s="19" t="str">
        <f t="shared" si="0"/>
        <v/>
      </c>
      <c r="G36" s="1"/>
      <c r="H36" s="1"/>
      <c r="I36" s="1"/>
      <c r="J36" s="11"/>
      <c r="X36" s="5">
        <f t="shared" si="1"/>
        <v>0</v>
      </c>
      <c r="Y36" s="2">
        <f t="shared" si="2"/>
        <v>0</v>
      </c>
    </row>
    <row r="37" spans="4:25" x14ac:dyDescent="0.25">
      <c r="D37" s="12"/>
      <c r="E37" s="5"/>
      <c r="F37" s="19" t="str">
        <f t="shared" si="0"/>
        <v/>
      </c>
      <c r="G37" s="1"/>
      <c r="H37" s="1"/>
      <c r="I37" s="1"/>
      <c r="J37" s="11"/>
      <c r="X37" s="5">
        <f t="shared" si="1"/>
        <v>0</v>
      </c>
      <c r="Y37" s="2">
        <f t="shared" si="2"/>
        <v>0</v>
      </c>
    </row>
    <row r="38" spans="4:25" x14ac:dyDescent="0.25">
      <c r="D38" s="12"/>
      <c r="E38" s="5"/>
      <c r="F38" s="19" t="str">
        <f t="shared" si="0"/>
        <v/>
      </c>
      <c r="G38" s="1"/>
      <c r="H38" s="1"/>
      <c r="I38" s="1"/>
      <c r="J38" s="11"/>
      <c r="X38" s="5">
        <f t="shared" si="1"/>
        <v>0</v>
      </c>
      <c r="Y38" s="2">
        <f t="shared" si="2"/>
        <v>0</v>
      </c>
    </row>
    <row r="39" spans="4:25" x14ac:dyDescent="0.25">
      <c r="D39" s="12"/>
      <c r="E39" s="5"/>
      <c r="F39" s="19" t="str">
        <f t="shared" si="0"/>
        <v/>
      </c>
      <c r="G39" s="1"/>
      <c r="H39" s="1"/>
      <c r="I39" s="1"/>
      <c r="J39" s="11"/>
      <c r="X39" s="5">
        <f t="shared" si="1"/>
        <v>0</v>
      </c>
      <c r="Y39" s="2">
        <f t="shared" si="2"/>
        <v>0</v>
      </c>
    </row>
    <row r="40" spans="4:25" x14ac:dyDescent="0.25">
      <c r="D40" s="12"/>
      <c r="E40" s="5"/>
      <c r="F40" s="19" t="str">
        <f t="shared" si="0"/>
        <v/>
      </c>
      <c r="G40" s="1"/>
      <c r="H40" s="1"/>
      <c r="I40" s="1"/>
      <c r="J40" s="11"/>
      <c r="X40" s="5">
        <f t="shared" si="1"/>
        <v>0</v>
      </c>
      <c r="Y40" s="2">
        <f t="shared" si="2"/>
        <v>0</v>
      </c>
    </row>
    <row r="41" spans="4:25" x14ac:dyDescent="0.25">
      <c r="D41" s="12"/>
      <c r="E41" s="5"/>
      <c r="F41" s="19" t="str">
        <f t="shared" si="0"/>
        <v/>
      </c>
      <c r="G41" s="1"/>
      <c r="H41" s="1"/>
      <c r="I41" s="1"/>
      <c r="J41" s="11"/>
      <c r="X41" s="5">
        <f t="shared" si="1"/>
        <v>0</v>
      </c>
      <c r="Y41" s="2">
        <f t="shared" si="2"/>
        <v>0</v>
      </c>
    </row>
    <row r="42" spans="4:25" x14ac:dyDescent="0.25">
      <c r="D42" s="12"/>
      <c r="E42" s="5"/>
      <c r="F42" s="19" t="str">
        <f t="shared" si="0"/>
        <v/>
      </c>
      <c r="G42" s="1"/>
      <c r="H42" s="1"/>
      <c r="I42" s="1"/>
      <c r="J42" s="11"/>
      <c r="X42" s="5">
        <f t="shared" si="1"/>
        <v>0</v>
      </c>
      <c r="Y42" s="2">
        <f t="shared" si="2"/>
        <v>0</v>
      </c>
    </row>
    <row r="43" spans="4:25" x14ac:dyDescent="0.25">
      <c r="D43" s="12"/>
      <c r="E43" s="5"/>
      <c r="F43" s="19" t="str">
        <f t="shared" si="0"/>
        <v/>
      </c>
      <c r="G43" s="1"/>
      <c r="H43" s="1"/>
      <c r="I43" s="1"/>
      <c r="J43" s="11"/>
      <c r="X43" s="5">
        <f t="shared" si="1"/>
        <v>0</v>
      </c>
      <c r="Y43" s="2">
        <f t="shared" si="2"/>
        <v>0</v>
      </c>
    </row>
    <row r="44" spans="4:25" x14ac:dyDescent="0.25">
      <c r="D44" s="12"/>
      <c r="E44" s="5"/>
      <c r="F44" s="19" t="str">
        <f t="shared" si="0"/>
        <v/>
      </c>
      <c r="G44" s="1"/>
      <c r="H44" s="1"/>
      <c r="I44" s="1"/>
      <c r="J44" s="11"/>
      <c r="X44" s="5">
        <f t="shared" si="1"/>
        <v>0</v>
      </c>
      <c r="Y44" s="2">
        <f t="shared" si="2"/>
        <v>0</v>
      </c>
    </row>
    <row r="45" spans="4:25" x14ac:dyDescent="0.25">
      <c r="D45" s="12"/>
      <c r="E45" s="5"/>
      <c r="F45" s="19" t="str">
        <f t="shared" si="0"/>
        <v/>
      </c>
      <c r="G45" s="1"/>
      <c r="H45" s="1"/>
      <c r="I45" s="1"/>
      <c r="J45" s="11"/>
      <c r="X45" s="5">
        <f t="shared" si="1"/>
        <v>0</v>
      </c>
      <c r="Y45" s="2">
        <f t="shared" si="2"/>
        <v>0</v>
      </c>
    </row>
    <row r="46" spans="4:25" x14ac:dyDescent="0.25">
      <c r="D46" s="12"/>
      <c r="E46" s="5"/>
      <c r="F46" s="19" t="str">
        <f t="shared" si="0"/>
        <v/>
      </c>
      <c r="G46" s="1"/>
      <c r="H46" s="1"/>
      <c r="I46" s="1"/>
      <c r="J46" s="11"/>
      <c r="X46" s="5">
        <f t="shared" si="1"/>
        <v>0</v>
      </c>
      <c r="Y46" s="2">
        <f t="shared" si="2"/>
        <v>0</v>
      </c>
    </row>
    <row r="47" spans="4:25" x14ac:dyDescent="0.25">
      <c r="D47" s="12"/>
      <c r="E47" s="5"/>
      <c r="F47" s="19" t="str">
        <f t="shared" si="0"/>
        <v/>
      </c>
      <c r="G47" s="1"/>
      <c r="H47" s="1"/>
      <c r="I47" s="1"/>
      <c r="J47" s="11"/>
      <c r="X47" s="5">
        <f t="shared" si="1"/>
        <v>0</v>
      </c>
      <c r="Y47" s="2">
        <f t="shared" si="2"/>
        <v>0</v>
      </c>
    </row>
    <row r="48" spans="4:25" x14ac:dyDescent="0.25">
      <c r="D48" s="12"/>
      <c r="E48" s="5"/>
      <c r="F48" s="19" t="str">
        <f t="shared" si="0"/>
        <v/>
      </c>
      <c r="G48" s="1"/>
      <c r="H48" s="1"/>
      <c r="I48" s="1"/>
      <c r="J48" s="11"/>
      <c r="X48" s="5">
        <f t="shared" si="1"/>
        <v>0</v>
      </c>
      <c r="Y48" s="2">
        <f t="shared" si="2"/>
        <v>0</v>
      </c>
    </row>
    <row r="49" spans="4:25" x14ac:dyDescent="0.25">
      <c r="D49" s="12"/>
      <c r="E49" s="5"/>
      <c r="F49" s="19" t="str">
        <f t="shared" si="0"/>
        <v/>
      </c>
      <c r="G49" s="1"/>
      <c r="H49" s="1"/>
      <c r="I49" s="1"/>
      <c r="J49" s="11"/>
      <c r="X49" s="5">
        <f t="shared" si="1"/>
        <v>0</v>
      </c>
      <c r="Y49" s="2">
        <f t="shared" si="2"/>
        <v>0</v>
      </c>
    </row>
    <row r="50" spans="4:25" x14ac:dyDescent="0.25">
      <c r="D50" s="12"/>
      <c r="E50" s="5"/>
      <c r="F50" s="19" t="str">
        <f t="shared" si="0"/>
        <v/>
      </c>
      <c r="G50" s="1"/>
      <c r="H50" s="1"/>
      <c r="I50" s="1"/>
      <c r="J50" s="11"/>
      <c r="X50" s="5">
        <f t="shared" si="1"/>
        <v>0</v>
      </c>
      <c r="Y50" s="2">
        <f t="shared" si="2"/>
        <v>0</v>
      </c>
    </row>
    <row r="51" spans="4:25" x14ac:dyDescent="0.25">
      <c r="D51" s="12"/>
      <c r="E51" s="5"/>
      <c r="F51" s="19" t="str">
        <f t="shared" si="0"/>
        <v/>
      </c>
      <c r="G51" s="1"/>
      <c r="H51" s="1"/>
      <c r="I51" s="1"/>
      <c r="J51" s="11"/>
      <c r="X51" s="5">
        <f t="shared" si="1"/>
        <v>0</v>
      </c>
      <c r="Y51" s="2">
        <f t="shared" si="2"/>
        <v>0</v>
      </c>
    </row>
    <row r="52" spans="4:25" x14ac:dyDescent="0.25">
      <c r="D52" s="12"/>
      <c r="E52" s="5"/>
      <c r="F52" s="19" t="str">
        <f t="shared" si="0"/>
        <v/>
      </c>
      <c r="G52" s="1"/>
      <c r="H52" s="1"/>
      <c r="I52" s="1"/>
      <c r="J52" s="9"/>
      <c r="X52" s="5">
        <f t="shared" si="1"/>
        <v>0</v>
      </c>
      <c r="Y52" s="2">
        <f t="shared" si="2"/>
        <v>0</v>
      </c>
    </row>
    <row r="53" spans="4:25" x14ac:dyDescent="0.25">
      <c r="D53" s="1" t="s">
        <v>25</v>
      </c>
      <c r="E53" s="23"/>
      <c r="F53" s="2"/>
      <c r="G53" s="2">
        <f>SUM(G3:G52)</f>
        <v>12.52</v>
      </c>
      <c r="H53" s="2">
        <f t="shared" ref="H53:I53" si="3">SUM(H3:H52)</f>
        <v>0.51</v>
      </c>
      <c r="I53" s="2">
        <f t="shared" si="3"/>
        <v>0.02</v>
      </c>
    </row>
  </sheetData>
  <mergeCells count="4">
    <mergeCell ref="D1:F1"/>
    <mergeCell ref="G1:I1"/>
    <mergeCell ref="K1:Q1"/>
    <mergeCell ref="X1:Z1"/>
  </mergeCells>
  <conditionalFormatting sqref="A1:B1">
    <cfRule type="expression" dxfId="91" priority="1">
      <formula>$Z$3="+"</formula>
    </cfRule>
    <cfRule type="expression" dxfId="90" priority="2">
      <formula>$B$16=$K$3</formula>
    </cfRule>
  </conditionalFormatting>
  <conditionalFormatting sqref="P3">
    <cfRule type="expression" dxfId="89" priority="6">
      <formula>$Z$3="+"</formula>
    </cfRule>
  </conditionalFormatting>
  <conditionalFormatting sqref="Z3">
    <cfRule type="expression" dxfId="88" priority="7">
      <formula>$Z$3="+"</formula>
    </cfRule>
  </conditionalFormatting>
  <dataValidations disablePrompts="1" count="1">
    <dataValidation type="list" allowBlank="1" showInputMessage="1" showErrorMessage="1" sqref="B2" xr:uid="{92FF975B-7361-4276-8AAA-4D959E5CFAA7}">
      <formula1>"Romania,Moldova,Cyprus,Philippines"</formula1>
    </dataValidation>
  </dataValidations>
  <pageMargins left="0.7" right="0.7" top="0.75" bottom="0.75" header="0.3" footer="0.3"/>
  <pageSetup orientation="portrait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3121F-E962-4FBB-917F-8D5D1D39E540}">
  <sheetPr>
    <tabColor rgb="FF92D050"/>
  </sheetPr>
  <dimension ref="A1:Z53"/>
  <sheetViews>
    <sheetView workbookViewId="0">
      <selection activeCell="I10" sqref="I10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1" customWidth="1"/>
    <col min="25" max="25" width="10.7109375" style="11" customWidth="1"/>
    <col min="26" max="26" width="10.7109375" customWidth="1"/>
  </cols>
  <sheetData>
    <row r="1" spans="1:26" x14ac:dyDescent="0.25">
      <c r="A1" s="4" t="s">
        <v>66</v>
      </c>
      <c r="B1" s="5" t="s">
        <v>47</v>
      </c>
      <c r="D1" s="29" t="s">
        <v>2</v>
      </c>
      <c r="E1" s="30"/>
      <c r="F1" s="31"/>
      <c r="G1" s="29" t="s">
        <v>0</v>
      </c>
      <c r="H1" s="30"/>
      <c r="I1" s="31"/>
      <c r="J1" s="18"/>
      <c r="K1" s="29" t="s">
        <v>58</v>
      </c>
      <c r="L1" s="30"/>
      <c r="M1" s="30"/>
      <c r="N1" s="30"/>
      <c r="O1" s="30"/>
      <c r="P1" s="30"/>
      <c r="Q1" s="31"/>
      <c r="X1" s="29"/>
      <c r="Y1" s="30"/>
      <c r="Z1" s="31"/>
    </row>
    <row r="2" spans="1:26" x14ac:dyDescent="0.25">
      <c r="A2" s="4" t="s">
        <v>21</v>
      </c>
      <c r="B2" s="5" t="s">
        <v>23</v>
      </c>
      <c r="D2" s="10" t="s">
        <v>49</v>
      </c>
      <c r="E2" s="10" t="s">
        <v>50</v>
      </c>
      <c r="F2" s="17" t="s">
        <v>67</v>
      </c>
      <c r="G2" s="10" t="s">
        <v>15</v>
      </c>
      <c r="H2" s="10" t="s">
        <v>16</v>
      </c>
      <c r="I2" s="10" t="s">
        <v>60</v>
      </c>
      <c r="J2" s="9"/>
      <c r="K2" s="10" t="s">
        <v>0</v>
      </c>
      <c r="L2" s="10" t="s">
        <v>1</v>
      </c>
      <c r="M2" s="10" t="s">
        <v>56</v>
      </c>
      <c r="N2" s="10" t="s">
        <v>57</v>
      </c>
      <c r="O2" s="10" t="s">
        <v>2</v>
      </c>
      <c r="P2" s="10" t="s">
        <v>68</v>
      </c>
      <c r="Q2" s="10" t="s">
        <v>67</v>
      </c>
      <c r="X2" s="10" t="s">
        <v>2</v>
      </c>
      <c r="Y2" s="10" t="s">
        <v>59</v>
      </c>
      <c r="Z2" s="10" t="s">
        <v>68</v>
      </c>
    </row>
    <row r="3" spans="1:26" x14ac:dyDescent="0.25">
      <c r="A3" s="4" t="s">
        <v>69</v>
      </c>
      <c r="B3" s="5" t="s">
        <v>78</v>
      </c>
      <c r="D3" s="12">
        <v>46081</v>
      </c>
      <c r="E3" s="12">
        <v>46081</v>
      </c>
      <c r="F3" s="19">
        <f t="shared" ref="F3:F52" si="0">IF(E3&gt;0,E3-D3,"")</f>
        <v>0</v>
      </c>
      <c r="G3" s="2">
        <v>0</v>
      </c>
      <c r="H3" s="2">
        <v>0</v>
      </c>
      <c r="I3" s="2">
        <v>0</v>
      </c>
      <c r="J3" s="11"/>
      <c r="K3" s="2">
        <f>G53</f>
        <v>14.08</v>
      </c>
      <c r="L3" s="2">
        <f>H53</f>
        <v>0.66</v>
      </c>
      <c r="M3" s="2">
        <f>I53</f>
        <v>0.03</v>
      </c>
      <c r="N3" s="6">
        <f>IF(B16=K3,XIRR(Y3:Y52,X3:X52),"")</f>
        <v>0.10991471409797668</v>
      </c>
      <c r="O3" s="5">
        <f>IF(B16=K3,MAX(E:E),"")</f>
        <v>46265</v>
      </c>
      <c r="P3" s="1" t="str">
        <f ca="1">IF(Z3="+",TODAY()-B11,"")</f>
        <v/>
      </c>
      <c r="Q3" s="1">
        <f>IF(B16=K3,MAX(E:E)-B11,"")</f>
        <v>56</v>
      </c>
      <c r="T3" s="14"/>
      <c r="X3" s="5">
        <f>B9</f>
        <v>46064</v>
      </c>
      <c r="Y3" s="2">
        <f>B16*-1</f>
        <v>-14.08</v>
      </c>
      <c r="Z3" s="1" t="str">
        <f ca="1">IF(AND(TODAY()&gt;B11, K3&lt;&gt;B16), "+", "")</f>
        <v/>
      </c>
    </row>
    <row r="4" spans="1:26" x14ac:dyDescent="0.25">
      <c r="A4" s="4" t="s">
        <v>19</v>
      </c>
      <c r="B4" s="5" t="s">
        <v>20</v>
      </c>
      <c r="D4" s="12">
        <v>46112</v>
      </c>
      <c r="E4" s="12">
        <v>46112</v>
      </c>
      <c r="F4" s="19">
        <f t="shared" si="0"/>
        <v>0</v>
      </c>
      <c r="G4" s="2">
        <v>0</v>
      </c>
      <c r="H4" s="1">
        <v>0.11</v>
      </c>
      <c r="I4" s="2">
        <v>0</v>
      </c>
      <c r="J4" s="9"/>
      <c r="X4" s="5">
        <f>E3</f>
        <v>46081</v>
      </c>
      <c r="Y4" s="2">
        <f>G3+H3-I3</f>
        <v>0</v>
      </c>
    </row>
    <row r="5" spans="1:26" x14ac:dyDescent="0.25">
      <c r="A5" s="4"/>
      <c r="B5" s="5"/>
      <c r="D5" s="12">
        <v>46142</v>
      </c>
      <c r="E5" s="12">
        <v>46142</v>
      </c>
      <c r="F5" s="19">
        <f t="shared" si="0"/>
        <v>0</v>
      </c>
      <c r="G5" s="2">
        <v>0</v>
      </c>
      <c r="H5" s="1">
        <v>0.14000000000000001</v>
      </c>
      <c r="I5" s="2">
        <v>0.01</v>
      </c>
      <c r="J5" s="9"/>
      <c r="X5" s="5">
        <f t="shared" ref="X5:X52" si="1">E4</f>
        <v>46112</v>
      </c>
      <c r="Y5" s="2">
        <f t="shared" ref="Y5:Y52" si="2">G4+H4-I4</f>
        <v>0.11</v>
      </c>
    </row>
    <row r="6" spans="1:26" x14ac:dyDescent="0.25">
      <c r="A6" s="4"/>
      <c r="B6" s="5"/>
      <c r="D6" s="12">
        <v>46173</v>
      </c>
      <c r="E6" s="12">
        <v>46173</v>
      </c>
      <c r="F6" s="19">
        <f t="shared" si="0"/>
        <v>0</v>
      </c>
      <c r="G6" s="2">
        <v>0</v>
      </c>
      <c r="H6" s="1">
        <v>0.12</v>
      </c>
      <c r="I6" s="2">
        <v>0.01</v>
      </c>
      <c r="J6" s="9"/>
      <c r="X6" s="5">
        <f t="shared" si="1"/>
        <v>46142</v>
      </c>
      <c r="Y6" s="2">
        <f t="shared" si="2"/>
        <v>0.13</v>
      </c>
    </row>
    <row r="7" spans="1:26" x14ac:dyDescent="0.25">
      <c r="A7" s="4"/>
      <c r="B7" s="5"/>
      <c r="D7" s="12">
        <v>46203</v>
      </c>
      <c r="E7" s="12">
        <v>46203</v>
      </c>
      <c r="F7" s="19">
        <f t="shared" si="0"/>
        <v>0</v>
      </c>
      <c r="G7" s="2">
        <v>0</v>
      </c>
      <c r="H7" s="1">
        <v>0.14000000000000001</v>
      </c>
      <c r="I7" s="2">
        <v>0.01</v>
      </c>
      <c r="J7" s="11"/>
      <c r="X7" s="5">
        <f t="shared" si="1"/>
        <v>46173</v>
      </c>
      <c r="Y7" s="2">
        <f t="shared" si="2"/>
        <v>0.11</v>
      </c>
    </row>
    <row r="8" spans="1:26" x14ac:dyDescent="0.25">
      <c r="A8" s="4" t="s">
        <v>24</v>
      </c>
      <c r="B8" s="5" t="str">
        <f>DATEDIF(B9,B11,"y") &amp; " m. " &amp; DATEDIF(B9,B11,"ym") &amp; " mėn. " &amp; DATEDIF(B9,B11,"md") &amp; " d."</f>
        <v>0 m. 4 mėn. 25 d.</v>
      </c>
      <c r="D8" s="12">
        <v>46209</v>
      </c>
      <c r="E8" s="12">
        <v>46219</v>
      </c>
      <c r="F8" s="19">
        <f t="shared" si="0"/>
        <v>10</v>
      </c>
      <c r="G8" s="2">
        <v>14.08</v>
      </c>
      <c r="H8" s="2">
        <v>0</v>
      </c>
      <c r="I8" s="2">
        <v>0</v>
      </c>
      <c r="J8" s="9"/>
      <c r="X8" s="5">
        <f t="shared" si="1"/>
        <v>46203</v>
      </c>
      <c r="Y8" s="2">
        <f t="shared" si="2"/>
        <v>0.13</v>
      </c>
    </row>
    <row r="9" spans="1:26" x14ac:dyDescent="0.25">
      <c r="A9" s="4" t="s">
        <v>11</v>
      </c>
      <c r="B9" s="5">
        <v>46064</v>
      </c>
      <c r="D9" s="12">
        <v>46234</v>
      </c>
      <c r="E9" s="12">
        <v>46234</v>
      </c>
      <c r="F9" s="19">
        <f t="shared" si="0"/>
        <v>0</v>
      </c>
      <c r="G9" s="2">
        <v>0</v>
      </c>
      <c r="H9" s="2">
        <v>0.13</v>
      </c>
      <c r="I9" s="2">
        <v>0</v>
      </c>
      <c r="J9" s="11"/>
      <c r="X9" s="5">
        <f t="shared" si="1"/>
        <v>46219</v>
      </c>
      <c r="Y9" s="2">
        <f t="shared" si="2"/>
        <v>14.08</v>
      </c>
    </row>
    <row r="10" spans="1:26" x14ac:dyDescent="0.25">
      <c r="A10" s="4" t="s">
        <v>70</v>
      </c>
      <c r="B10" s="5">
        <v>46029</v>
      </c>
      <c r="D10" s="12">
        <v>46265</v>
      </c>
      <c r="E10" s="12">
        <v>46265</v>
      </c>
      <c r="F10" s="19">
        <f t="shared" si="0"/>
        <v>0</v>
      </c>
      <c r="G10" s="2">
        <v>0</v>
      </c>
      <c r="H10" s="1">
        <v>0.02</v>
      </c>
      <c r="I10" s="2">
        <v>0</v>
      </c>
      <c r="J10" s="11"/>
      <c r="X10" s="5">
        <f t="shared" si="1"/>
        <v>46234</v>
      </c>
      <c r="Y10" s="2">
        <f t="shared" si="2"/>
        <v>0.13</v>
      </c>
    </row>
    <row r="11" spans="1:26" x14ac:dyDescent="0.25">
      <c r="A11" s="4" t="s">
        <v>10</v>
      </c>
      <c r="B11" s="5">
        <v>46209</v>
      </c>
      <c r="D11" s="12"/>
      <c r="E11" s="12"/>
      <c r="F11" s="19" t="str">
        <f t="shared" si="0"/>
        <v/>
      </c>
      <c r="G11" s="1"/>
      <c r="H11" s="2"/>
      <c r="I11" s="2"/>
      <c r="J11" s="11"/>
      <c r="X11" s="5">
        <f t="shared" si="1"/>
        <v>46265</v>
      </c>
      <c r="Y11" s="2">
        <f t="shared" si="2"/>
        <v>0.02</v>
      </c>
    </row>
    <row r="12" spans="1:26" x14ac:dyDescent="0.25">
      <c r="A12" s="4" t="s">
        <v>71</v>
      </c>
      <c r="B12" s="19" t="str">
        <f ca="1">IF(B16&lt;&gt;K3,(TODAY()-B11)*-1,"")</f>
        <v/>
      </c>
      <c r="D12" s="12"/>
      <c r="E12" s="12"/>
      <c r="F12" s="19" t="str">
        <f t="shared" si="0"/>
        <v/>
      </c>
      <c r="G12" s="2"/>
      <c r="H12" s="1"/>
      <c r="I12" s="1"/>
      <c r="J12" s="11"/>
      <c r="X12" s="5">
        <f t="shared" si="1"/>
        <v>0</v>
      </c>
      <c r="Y12" s="2">
        <f t="shared" si="2"/>
        <v>0</v>
      </c>
    </row>
    <row r="13" spans="1:26" x14ac:dyDescent="0.25">
      <c r="A13" s="4"/>
      <c r="B13" s="2"/>
      <c r="D13" s="12"/>
      <c r="E13" s="12"/>
      <c r="F13" s="19" t="str">
        <f t="shared" si="0"/>
        <v/>
      </c>
      <c r="G13" s="1"/>
      <c r="H13" s="2"/>
      <c r="I13" s="2"/>
      <c r="J13" s="11"/>
      <c r="N13" s="14"/>
      <c r="X13" s="5">
        <f t="shared" si="1"/>
        <v>0</v>
      </c>
      <c r="Y13" s="2">
        <f t="shared" si="2"/>
        <v>0</v>
      </c>
    </row>
    <row r="14" spans="1:26" x14ac:dyDescent="0.25">
      <c r="A14" s="13"/>
      <c r="B14" s="20"/>
      <c r="D14" s="12"/>
      <c r="E14" s="5"/>
      <c r="F14" s="19" t="str">
        <f t="shared" si="0"/>
        <v/>
      </c>
      <c r="G14" s="1"/>
      <c r="H14" s="1"/>
      <c r="I14" s="1"/>
      <c r="J14" s="11"/>
      <c r="X14" s="5">
        <f t="shared" si="1"/>
        <v>0</v>
      </c>
      <c r="Y14" s="2">
        <f t="shared" si="2"/>
        <v>0</v>
      </c>
    </row>
    <row r="15" spans="1:26" x14ac:dyDescent="0.25">
      <c r="A15" s="4" t="s">
        <v>1</v>
      </c>
      <c r="B15" s="6">
        <v>0.11</v>
      </c>
      <c r="D15" s="12"/>
      <c r="E15" s="5"/>
      <c r="F15" s="19" t="str">
        <f t="shared" si="0"/>
        <v/>
      </c>
      <c r="G15" s="1"/>
      <c r="H15" s="1"/>
      <c r="I15" s="1"/>
      <c r="J15" s="11"/>
      <c r="K15" s="18"/>
      <c r="L15" s="18"/>
      <c r="M15" s="18"/>
      <c r="N15" s="18"/>
      <c r="O15" s="18"/>
      <c r="P15" s="18"/>
      <c r="Q15" s="18"/>
      <c r="X15" s="5">
        <f t="shared" si="1"/>
        <v>0</v>
      </c>
      <c r="Y15" s="2">
        <f t="shared" si="2"/>
        <v>0</v>
      </c>
    </row>
    <row r="16" spans="1:26" x14ac:dyDescent="0.25">
      <c r="A16" s="4" t="s">
        <v>72</v>
      </c>
      <c r="B16" s="2">
        <v>14.08</v>
      </c>
      <c r="D16" s="12"/>
      <c r="E16" s="5"/>
      <c r="F16" s="19" t="str">
        <f t="shared" si="0"/>
        <v/>
      </c>
      <c r="G16" s="1"/>
      <c r="H16" s="1"/>
      <c r="I16" s="1"/>
      <c r="J16" s="11"/>
      <c r="K16" s="9"/>
      <c r="L16" s="9"/>
      <c r="M16" s="9"/>
      <c r="N16" s="21"/>
      <c r="O16" s="22"/>
      <c r="P16" s="11"/>
      <c r="Q16" s="11"/>
      <c r="X16" s="5">
        <f t="shared" si="1"/>
        <v>0</v>
      </c>
      <c r="Y16" s="2">
        <f t="shared" si="2"/>
        <v>0</v>
      </c>
    </row>
    <row r="17" spans="2:25" x14ac:dyDescent="0.25">
      <c r="D17" s="12"/>
      <c r="E17" s="5"/>
      <c r="F17" s="19" t="str">
        <f t="shared" si="0"/>
        <v/>
      </c>
      <c r="G17" s="1"/>
      <c r="H17" s="1"/>
      <c r="I17" s="1"/>
      <c r="J17" s="11"/>
      <c r="X17" s="5">
        <f t="shared" si="1"/>
        <v>0</v>
      </c>
      <c r="Y17" s="2">
        <f t="shared" si="2"/>
        <v>0</v>
      </c>
    </row>
    <row r="18" spans="2:25" x14ac:dyDescent="0.25">
      <c r="D18" s="12"/>
      <c r="E18" s="5"/>
      <c r="F18" s="19" t="str">
        <f t="shared" si="0"/>
        <v/>
      </c>
      <c r="G18" s="1"/>
      <c r="H18" s="1"/>
      <c r="I18" s="1"/>
      <c r="J18" s="11"/>
      <c r="X18" s="5">
        <f t="shared" si="1"/>
        <v>0</v>
      </c>
      <c r="Y18" s="2">
        <f t="shared" si="2"/>
        <v>0</v>
      </c>
    </row>
    <row r="19" spans="2:25" x14ac:dyDescent="0.25">
      <c r="D19" s="12"/>
      <c r="E19" s="5"/>
      <c r="F19" s="19" t="str">
        <f t="shared" si="0"/>
        <v/>
      </c>
      <c r="G19" s="1"/>
      <c r="H19" s="1"/>
      <c r="I19" s="1"/>
      <c r="J19" s="11"/>
      <c r="X19" s="5">
        <f t="shared" si="1"/>
        <v>0</v>
      </c>
      <c r="Y19" s="2">
        <f t="shared" si="2"/>
        <v>0</v>
      </c>
    </row>
    <row r="20" spans="2:25" x14ac:dyDescent="0.25">
      <c r="D20" s="12"/>
      <c r="E20" s="5"/>
      <c r="F20" s="19" t="str">
        <f t="shared" si="0"/>
        <v/>
      </c>
      <c r="G20" s="1"/>
      <c r="H20" s="1"/>
      <c r="I20" s="1"/>
      <c r="J20" s="11"/>
      <c r="X20" s="5">
        <f t="shared" si="1"/>
        <v>0</v>
      </c>
      <c r="Y20" s="2">
        <f t="shared" si="2"/>
        <v>0</v>
      </c>
    </row>
    <row r="21" spans="2:25" x14ac:dyDescent="0.25">
      <c r="D21" s="12"/>
      <c r="E21" s="5"/>
      <c r="F21" s="19" t="str">
        <f t="shared" si="0"/>
        <v/>
      </c>
      <c r="G21" s="1"/>
      <c r="H21" s="1"/>
      <c r="I21" s="1"/>
      <c r="J21" s="11"/>
      <c r="X21" s="5">
        <f t="shared" si="1"/>
        <v>0</v>
      </c>
      <c r="Y21" s="2">
        <f t="shared" si="2"/>
        <v>0</v>
      </c>
    </row>
    <row r="22" spans="2:25" x14ac:dyDescent="0.25">
      <c r="D22" s="12"/>
      <c r="E22" s="5"/>
      <c r="F22" s="19" t="str">
        <f t="shared" si="0"/>
        <v/>
      </c>
      <c r="G22" s="1"/>
      <c r="H22" s="1"/>
      <c r="I22" s="1"/>
      <c r="J22" s="11"/>
      <c r="X22" s="5">
        <f t="shared" si="1"/>
        <v>0</v>
      </c>
      <c r="Y22" s="2">
        <f t="shared" si="2"/>
        <v>0</v>
      </c>
    </row>
    <row r="23" spans="2:25" x14ac:dyDescent="0.25">
      <c r="B23" s="22"/>
      <c r="D23" s="12"/>
      <c r="E23" s="5"/>
      <c r="F23" s="19" t="str">
        <f t="shared" si="0"/>
        <v/>
      </c>
      <c r="G23" s="1"/>
      <c r="H23" s="1"/>
      <c r="I23" s="1"/>
      <c r="J23" s="11"/>
      <c r="X23" s="5">
        <f t="shared" si="1"/>
        <v>0</v>
      </c>
      <c r="Y23" s="2">
        <f t="shared" si="2"/>
        <v>0</v>
      </c>
    </row>
    <row r="24" spans="2:25" x14ac:dyDescent="0.25">
      <c r="D24" s="12"/>
      <c r="E24" s="5"/>
      <c r="F24" s="19" t="str">
        <f t="shared" si="0"/>
        <v/>
      </c>
      <c r="G24" s="1"/>
      <c r="H24" s="1"/>
      <c r="I24" s="1"/>
      <c r="J24" s="11"/>
      <c r="X24" s="5">
        <f t="shared" si="1"/>
        <v>0</v>
      </c>
      <c r="Y24" s="2">
        <f t="shared" si="2"/>
        <v>0</v>
      </c>
    </row>
    <row r="25" spans="2:25" x14ac:dyDescent="0.25">
      <c r="D25" s="12"/>
      <c r="E25" s="5"/>
      <c r="F25" s="19" t="str">
        <f t="shared" si="0"/>
        <v/>
      </c>
      <c r="G25" s="1"/>
      <c r="H25" s="1"/>
      <c r="I25" s="1"/>
      <c r="J25" s="11"/>
      <c r="X25" s="5">
        <f t="shared" si="1"/>
        <v>0</v>
      </c>
      <c r="Y25" s="2">
        <f t="shared" si="2"/>
        <v>0</v>
      </c>
    </row>
    <row r="26" spans="2:25" x14ac:dyDescent="0.25">
      <c r="D26" s="12"/>
      <c r="E26" s="5"/>
      <c r="F26" s="19" t="str">
        <f t="shared" si="0"/>
        <v/>
      </c>
      <c r="G26" s="1"/>
      <c r="H26" s="1"/>
      <c r="I26" s="1"/>
      <c r="J26" s="11"/>
      <c r="X26" s="5">
        <f t="shared" si="1"/>
        <v>0</v>
      </c>
      <c r="Y26" s="2">
        <f t="shared" si="2"/>
        <v>0</v>
      </c>
    </row>
    <row r="27" spans="2:25" x14ac:dyDescent="0.25">
      <c r="D27" s="12"/>
      <c r="E27" s="5"/>
      <c r="F27" s="19" t="str">
        <f t="shared" si="0"/>
        <v/>
      </c>
      <c r="G27" s="1"/>
      <c r="H27" s="1"/>
      <c r="I27" s="1"/>
      <c r="J27" s="11"/>
      <c r="X27" s="5">
        <f t="shared" si="1"/>
        <v>0</v>
      </c>
      <c r="Y27" s="2">
        <f t="shared" si="2"/>
        <v>0</v>
      </c>
    </row>
    <row r="28" spans="2:25" x14ac:dyDescent="0.25">
      <c r="D28" s="12"/>
      <c r="E28" s="5"/>
      <c r="F28" s="19" t="str">
        <f t="shared" si="0"/>
        <v/>
      </c>
      <c r="G28" s="1"/>
      <c r="H28" s="1"/>
      <c r="I28" s="1"/>
      <c r="J28" s="11"/>
      <c r="X28" s="5">
        <f t="shared" si="1"/>
        <v>0</v>
      </c>
      <c r="Y28" s="2">
        <f t="shared" si="2"/>
        <v>0</v>
      </c>
    </row>
    <row r="29" spans="2:25" x14ac:dyDescent="0.25">
      <c r="D29" s="12"/>
      <c r="E29" s="5"/>
      <c r="F29" s="19" t="str">
        <f t="shared" si="0"/>
        <v/>
      </c>
      <c r="G29" s="1"/>
      <c r="H29" s="1"/>
      <c r="I29" s="1"/>
      <c r="J29" s="11"/>
      <c r="X29" s="5">
        <f t="shared" si="1"/>
        <v>0</v>
      </c>
      <c r="Y29" s="2">
        <f t="shared" si="2"/>
        <v>0</v>
      </c>
    </row>
    <row r="30" spans="2:25" x14ac:dyDescent="0.25">
      <c r="D30" s="12"/>
      <c r="E30" s="5"/>
      <c r="F30" s="19" t="str">
        <f t="shared" si="0"/>
        <v/>
      </c>
      <c r="G30" s="1"/>
      <c r="H30" s="1"/>
      <c r="I30" s="1"/>
      <c r="J30" s="11"/>
      <c r="X30" s="5">
        <f t="shared" si="1"/>
        <v>0</v>
      </c>
      <c r="Y30" s="2">
        <f t="shared" si="2"/>
        <v>0</v>
      </c>
    </row>
    <row r="31" spans="2:25" x14ac:dyDescent="0.25">
      <c r="D31" s="12"/>
      <c r="E31" s="5"/>
      <c r="F31" s="19" t="str">
        <f t="shared" si="0"/>
        <v/>
      </c>
      <c r="G31" s="1"/>
      <c r="H31" s="1"/>
      <c r="I31" s="1"/>
      <c r="J31" s="11"/>
      <c r="X31" s="5">
        <f t="shared" si="1"/>
        <v>0</v>
      </c>
      <c r="Y31" s="2">
        <f t="shared" si="2"/>
        <v>0</v>
      </c>
    </row>
    <row r="32" spans="2:25" x14ac:dyDescent="0.25">
      <c r="D32" s="12"/>
      <c r="E32" s="5"/>
      <c r="F32" s="19" t="str">
        <f t="shared" si="0"/>
        <v/>
      </c>
      <c r="G32" s="1"/>
      <c r="H32" s="1"/>
      <c r="I32" s="1"/>
      <c r="J32" s="11"/>
      <c r="X32" s="5">
        <f t="shared" si="1"/>
        <v>0</v>
      </c>
      <c r="Y32" s="2">
        <f t="shared" si="2"/>
        <v>0</v>
      </c>
    </row>
    <row r="33" spans="4:25" x14ac:dyDescent="0.25">
      <c r="D33" s="12"/>
      <c r="E33" s="5"/>
      <c r="F33" s="19" t="str">
        <f t="shared" si="0"/>
        <v/>
      </c>
      <c r="G33" s="1"/>
      <c r="H33" s="1"/>
      <c r="I33" s="1"/>
      <c r="J33" s="11"/>
      <c r="X33" s="5">
        <f t="shared" si="1"/>
        <v>0</v>
      </c>
      <c r="Y33" s="2">
        <f t="shared" si="2"/>
        <v>0</v>
      </c>
    </row>
    <row r="34" spans="4:25" x14ac:dyDescent="0.25">
      <c r="D34" s="12"/>
      <c r="E34" s="5"/>
      <c r="F34" s="19" t="str">
        <f t="shared" si="0"/>
        <v/>
      </c>
      <c r="G34" s="1"/>
      <c r="H34" s="1"/>
      <c r="I34" s="1"/>
      <c r="J34" s="11"/>
      <c r="X34" s="5">
        <f t="shared" si="1"/>
        <v>0</v>
      </c>
      <c r="Y34" s="2">
        <f t="shared" si="2"/>
        <v>0</v>
      </c>
    </row>
    <row r="35" spans="4:25" x14ac:dyDescent="0.25">
      <c r="D35" s="12"/>
      <c r="E35" s="5"/>
      <c r="F35" s="19" t="str">
        <f t="shared" si="0"/>
        <v/>
      </c>
      <c r="G35" s="1"/>
      <c r="H35" s="1"/>
      <c r="I35" s="1"/>
      <c r="J35" s="11"/>
      <c r="X35" s="5">
        <f t="shared" si="1"/>
        <v>0</v>
      </c>
      <c r="Y35" s="2">
        <f t="shared" si="2"/>
        <v>0</v>
      </c>
    </row>
    <row r="36" spans="4:25" x14ac:dyDescent="0.25">
      <c r="D36" s="12"/>
      <c r="E36" s="5"/>
      <c r="F36" s="19" t="str">
        <f t="shared" si="0"/>
        <v/>
      </c>
      <c r="G36" s="1"/>
      <c r="H36" s="1"/>
      <c r="I36" s="1"/>
      <c r="J36" s="11"/>
      <c r="X36" s="5">
        <f t="shared" si="1"/>
        <v>0</v>
      </c>
      <c r="Y36" s="2">
        <f t="shared" si="2"/>
        <v>0</v>
      </c>
    </row>
    <row r="37" spans="4:25" x14ac:dyDescent="0.25">
      <c r="D37" s="12"/>
      <c r="E37" s="5"/>
      <c r="F37" s="19" t="str">
        <f t="shared" si="0"/>
        <v/>
      </c>
      <c r="G37" s="1"/>
      <c r="H37" s="1"/>
      <c r="I37" s="1"/>
      <c r="J37" s="11"/>
      <c r="X37" s="5">
        <f t="shared" si="1"/>
        <v>0</v>
      </c>
      <c r="Y37" s="2">
        <f t="shared" si="2"/>
        <v>0</v>
      </c>
    </row>
    <row r="38" spans="4:25" x14ac:dyDescent="0.25">
      <c r="D38" s="12"/>
      <c r="E38" s="5"/>
      <c r="F38" s="19" t="str">
        <f t="shared" si="0"/>
        <v/>
      </c>
      <c r="G38" s="1"/>
      <c r="H38" s="1"/>
      <c r="I38" s="1"/>
      <c r="J38" s="11"/>
      <c r="X38" s="5">
        <f t="shared" si="1"/>
        <v>0</v>
      </c>
      <c r="Y38" s="2">
        <f t="shared" si="2"/>
        <v>0</v>
      </c>
    </row>
    <row r="39" spans="4:25" x14ac:dyDescent="0.25">
      <c r="D39" s="12"/>
      <c r="E39" s="5"/>
      <c r="F39" s="19" t="str">
        <f t="shared" si="0"/>
        <v/>
      </c>
      <c r="G39" s="1"/>
      <c r="H39" s="1"/>
      <c r="I39" s="1"/>
      <c r="J39" s="11"/>
      <c r="X39" s="5">
        <f t="shared" si="1"/>
        <v>0</v>
      </c>
      <c r="Y39" s="2">
        <f t="shared" si="2"/>
        <v>0</v>
      </c>
    </row>
    <row r="40" spans="4:25" x14ac:dyDescent="0.25">
      <c r="D40" s="12"/>
      <c r="E40" s="5"/>
      <c r="F40" s="19" t="str">
        <f t="shared" si="0"/>
        <v/>
      </c>
      <c r="G40" s="1"/>
      <c r="H40" s="1"/>
      <c r="I40" s="1"/>
      <c r="J40" s="11"/>
      <c r="X40" s="5">
        <f t="shared" si="1"/>
        <v>0</v>
      </c>
      <c r="Y40" s="2">
        <f t="shared" si="2"/>
        <v>0</v>
      </c>
    </row>
    <row r="41" spans="4:25" x14ac:dyDescent="0.25">
      <c r="D41" s="12"/>
      <c r="E41" s="5"/>
      <c r="F41" s="19" t="str">
        <f t="shared" si="0"/>
        <v/>
      </c>
      <c r="G41" s="1"/>
      <c r="H41" s="1"/>
      <c r="I41" s="1"/>
      <c r="J41" s="11"/>
      <c r="X41" s="5">
        <f t="shared" si="1"/>
        <v>0</v>
      </c>
      <c r="Y41" s="2">
        <f t="shared" si="2"/>
        <v>0</v>
      </c>
    </row>
    <row r="42" spans="4:25" x14ac:dyDescent="0.25">
      <c r="D42" s="12"/>
      <c r="E42" s="5"/>
      <c r="F42" s="19" t="str">
        <f t="shared" si="0"/>
        <v/>
      </c>
      <c r="G42" s="1"/>
      <c r="H42" s="1"/>
      <c r="I42" s="1"/>
      <c r="J42" s="11"/>
      <c r="X42" s="5">
        <f t="shared" si="1"/>
        <v>0</v>
      </c>
      <c r="Y42" s="2">
        <f t="shared" si="2"/>
        <v>0</v>
      </c>
    </row>
    <row r="43" spans="4:25" x14ac:dyDescent="0.25">
      <c r="D43" s="12"/>
      <c r="E43" s="5"/>
      <c r="F43" s="19" t="str">
        <f t="shared" si="0"/>
        <v/>
      </c>
      <c r="G43" s="1"/>
      <c r="H43" s="1"/>
      <c r="I43" s="1"/>
      <c r="J43" s="11"/>
      <c r="X43" s="5">
        <f t="shared" si="1"/>
        <v>0</v>
      </c>
      <c r="Y43" s="2">
        <f t="shared" si="2"/>
        <v>0</v>
      </c>
    </row>
    <row r="44" spans="4:25" x14ac:dyDescent="0.25">
      <c r="D44" s="12"/>
      <c r="E44" s="5"/>
      <c r="F44" s="19" t="str">
        <f t="shared" si="0"/>
        <v/>
      </c>
      <c r="G44" s="1"/>
      <c r="H44" s="1"/>
      <c r="I44" s="1"/>
      <c r="J44" s="11"/>
      <c r="X44" s="5">
        <f t="shared" si="1"/>
        <v>0</v>
      </c>
      <c r="Y44" s="2">
        <f t="shared" si="2"/>
        <v>0</v>
      </c>
    </row>
    <row r="45" spans="4:25" x14ac:dyDescent="0.25">
      <c r="D45" s="12"/>
      <c r="E45" s="5"/>
      <c r="F45" s="19" t="str">
        <f t="shared" si="0"/>
        <v/>
      </c>
      <c r="G45" s="1"/>
      <c r="H45" s="1"/>
      <c r="I45" s="1"/>
      <c r="J45" s="11"/>
      <c r="X45" s="5">
        <f t="shared" si="1"/>
        <v>0</v>
      </c>
      <c r="Y45" s="2">
        <f t="shared" si="2"/>
        <v>0</v>
      </c>
    </row>
    <row r="46" spans="4:25" x14ac:dyDescent="0.25">
      <c r="D46" s="12"/>
      <c r="E46" s="5"/>
      <c r="F46" s="19" t="str">
        <f t="shared" si="0"/>
        <v/>
      </c>
      <c r="G46" s="1"/>
      <c r="H46" s="1"/>
      <c r="I46" s="1"/>
      <c r="J46" s="11"/>
      <c r="X46" s="5">
        <f t="shared" si="1"/>
        <v>0</v>
      </c>
      <c r="Y46" s="2">
        <f t="shared" si="2"/>
        <v>0</v>
      </c>
    </row>
    <row r="47" spans="4:25" x14ac:dyDescent="0.25">
      <c r="D47" s="12"/>
      <c r="E47" s="5"/>
      <c r="F47" s="19" t="str">
        <f t="shared" si="0"/>
        <v/>
      </c>
      <c r="G47" s="1"/>
      <c r="H47" s="1"/>
      <c r="I47" s="1"/>
      <c r="J47" s="11"/>
      <c r="X47" s="5">
        <f t="shared" si="1"/>
        <v>0</v>
      </c>
      <c r="Y47" s="2">
        <f t="shared" si="2"/>
        <v>0</v>
      </c>
    </row>
    <row r="48" spans="4:25" x14ac:dyDescent="0.25">
      <c r="D48" s="12"/>
      <c r="E48" s="5"/>
      <c r="F48" s="19" t="str">
        <f t="shared" si="0"/>
        <v/>
      </c>
      <c r="G48" s="1"/>
      <c r="H48" s="1"/>
      <c r="I48" s="1"/>
      <c r="J48" s="11"/>
      <c r="X48" s="5">
        <f t="shared" si="1"/>
        <v>0</v>
      </c>
      <c r="Y48" s="2">
        <f t="shared" si="2"/>
        <v>0</v>
      </c>
    </row>
    <row r="49" spans="4:25" x14ac:dyDescent="0.25">
      <c r="D49" s="12"/>
      <c r="E49" s="5"/>
      <c r="F49" s="19" t="str">
        <f t="shared" si="0"/>
        <v/>
      </c>
      <c r="G49" s="1"/>
      <c r="H49" s="1"/>
      <c r="I49" s="1"/>
      <c r="J49" s="11"/>
      <c r="X49" s="5">
        <f t="shared" si="1"/>
        <v>0</v>
      </c>
      <c r="Y49" s="2">
        <f t="shared" si="2"/>
        <v>0</v>
      </c>
    </row>
    <row r="50" spans="4:25" x14ac:dyDescent="0.25">
      <c r="D50" s="12"/>
      <c r="E50" s="5"/>
      <c r="F50" s="19" t="str">
        <f t="shared" si="0"/>
        <v/>
      </c>
      <c r="G50" s="1"/>
      <c r="H50" s="1"/>
      <c r="I50" s="1"/>
      <c r="J50" s="11"/>
      <c r="X50" s="5">
        <f t="shared" si="1"/>
        <v>0</v>
      </c>
      <c r="Y50" s="2">
        <f t="shared" si="2"/>
        <v>0</v>
      </c>
    </row>
    <row r="51" spans="4:25" x14ac:dyDescent="0.25">
      <c r="D51" s="12"/>
      <c r="E51" s="5"/>
      <c r="F51" s="19" t="str">
        <f t="shared" si="0"/>
        <v/>
      </c>
      <c r="G51" s="1"/>
      <c r="H51" s="1"/>
      <c r="I51" s="1"/>
      <c r="J51" s="11"/>
      <c r="X51" s="5">
        <f t="shared" si="1"/>
        <v>0</v>
      </c>
      <c r="Y51" s="2">
        <f t="shared" si="2"/>
        <v>0</v>
      </c>
    </row>
    <row r="52" spans="4:25" x14ac:dyDescent="0.25">
      <c r="D52" s="12"/>
      <c r="E52" s="5"/>
      <c r="F52" s="19" t="str">
        <f t="shared" si="0"/>
        <v/>
      </c>
      <c r="G52" s="1"/>
      <c r="H52" s="1"/>
      <c r="I52" s="1"/>
      <c r="J52" s="9"/>
      <c r="X52" s="5">
        <f t="shared" si="1"/>
        <v>0</v>
      </c>
      <c r="Y52" s="2">
        <f t="shared" si="2"/>
        <v>0</v>
      </c>
    </row>
    <row r="53" spans="4:25" x14ac:dyDescent="0.25">
      <c r="D53" s="1" t="s">
        <v>25</v>
      </c>
      <c r="E53" s="23"/>
      <c r="F53" s="2"/>
      <c r="G53" s="2">
        <f>SUM(G3:G52)</f>
        <v>14.08</v>
      </c>
      <c r="H53" s="2">
        <f t="shared" ref="H53:I53" si="3">SUM(H3:H52)</f>
        <v>0.66</v>
      </c>
      <c r="I53" s="2">
        <f t="shared" si="3"/>
        <v>0.03</v>
      </c>
    </row>
  </sheetData>
  <mergeCells count="4">
    <mergeCell ref="D1:F1"/>
    <mergeCell ref="G1:I1"/>
    <mergeCell ref="K1:Q1"/>
    <mergeCell ref="X1:Z1"/>
  </mergeCells>
  <conditionalFormatting sqref="A1:B1">
    <cfRule type="expression" dxfId="87" priority="1">
      <formula>$Z$3="+"</formula>
    </cfRule>
    <cfRule type="expression" dxfId="86" priority="2">
      <formula>$B$16=$K$3</formula>
    </cfRule>
  </conditionalFormatting>
  <conditionalFormatting sqref="P3">
    <cfRule type="expression" dxfId="85" priority="6">
      <formula>$Z$3="+"</formula>
    </cfRule>
  </conditionalFormatting>
  <conditionalFormatting sqref="Z3">
    <cfRule type="expression" dxfId="84" priority="7">
      <formula>$Z$3="+"</formula>
    </cfRule>
  </conditionalFormatting>
  <dataValidations count="1">
    <dataValidation type="list" allowBlank="1" showInputMessage="1" showErrorMessage="1" sqref="B2" xr:uid="{DAFB9B6F-8AC1-4CB5-87C1-B589A2FDC2BC}">
      <formula1>"Romania,Moldova,Cyprus,Philippines"</formula1>
    </dataValidation>
  </dataValidations>
  <pageMargins left="0.7" right="0.7" top="0.75" bottom="0.75" header="0.3" footer="0.3"/>
  <pageSetup orientation="portrait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B8B3F-A7E5-4182-8971-5A53E986D616}">
  <sheetPr>
    <tabColor rgb="FF92D050"/>
  </sheetPr>
  <dimension ref="A1:Z53"/>
  <sheetViews>
    <sheetView workbookViewId="0">
      <selection activeCell="N15" sqref="N15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1" customWidth="1"/>
    <col min="25" max="25" width="10.7109375" style="11" customWidth="1"/>
    <col min="26" max="26" width="10.7109375" customWidth="1"/>
  </cols>
  <sheetData>
    <row r="1" spans="1:26" x14ac:dyDescent="0.25">
      <c r="A1" s="4" t="s">
        <v>66</v>
      </c>
      <c r="B1" s="5" t="s">
        <v>46</v>
      </c>
      <c r="D1" s="29" t="s">
        <v>2</v>
      </c>
      <c r="E1" s="30"/>
      <c r="F1" s="31"/>
      <c r="G1" s="29" t="s">
        <v>0</v>
      </c>
      <c r="H1" s="30"/>
      <c r="I1" s="31"/>
      <c r="J1" s="18"/>
      <c r="K1" s="29" t="s">
        <v>58</v>
      </c>
      <c r="L1" s="30"/>
      <c r="M1" s="30"/>
      <c r="N1" s="30"/>
      <c r="O1" s="30"/>
      <c r="P1" s="30"/>
      <c r="Q1" s="31"/>
      <c r="X1" s="29"/>
      <c r="Y1" s="30"/>
      <c r="Z1" s="31"/>
    </row>
    <row r="2" spans="1:26" x14ac:dyDescent="0.25">
      <c r="A2" s="4" t="s">
        <v>21</v>
      </c>
      <c r="B2" s="5" t="s">
        <v>32</v>
      </c>
      <c r="D2" s="10" t="s">
        <v>49</v>
      </c>
      <c r="E2" s="10" t="s">
        <v>50</v>
      </c>
      <c r="F2" s="17" t="s">
        <v>67</v>
      </c>
      <c r="G2" s="10" t="s">
        <v>15</v>
      </c>
      <c r="H2" s="10" t="s">
        <v>16</v>
      </c>
      <c r="I2" s="10" t="s">
        <v>60</v>
      </c>
      <c r="J2" s="9"/>
      <c r="K2" s="10" t="s">
        <v>0</v>
      </c>
      <c r="L2" s="10" t="s">
        <v>1</v>
      </c>
      <c r="M2" s="10" t="s">
        <v>56</v>
      </c>
      <c r="N2" s="10" t="s">
        <v>57</v>
      </c>
      <c r="O2" s="10" t="s">
        <v>2</v>
      </c>
      <c r="P2" s="10" t="s">
        <v>68</v>
      </c>
      <c r="Q2" s="10" t="s">
        <v>67</v>
      </c>
      <c r="X2" s="10" t="s">
        <v>2</v>
      </c>
      <c r="Y2" s="10" t="s">
        <v>59</v>
      </c>
      <c r="Z2" s="10" t="s">
        <v>68</v>
      </c>
    </row>
    <row r="3" spans="1:26" x14ac:dyDescent="0.25">
      <c r="A3" s="4" t="s">
        <v>69</v>
      </c>
      <c r="B3" s="5" t="s">
        <v>78</v>
      </c>
      <c r="D3" s="12">
        <v>46053</v>
      </c>
      <c r="E3" s="12">
        <v>46053</v>
      </c>
      <c r="F3" s="19">
        <f t="shared" ref="F3:F52" si="0">IF(E3&gt;0,E3-D3,"")</f>
        <v>0</v>
      </c>
      <c r="G3" s="2">
        <v>0</v>
      </c>
      <c r="H3" s="2">
        <v>0</v>
      </c>
      <c r="I3" s="2">
        <v>0</v>
      </c>
      <c r="J3" s="11"/>
      <c r="K3" s="2">
        <f>G53</f>
        <v>11.66</v>
      </c>
      <c r="L3" s="2">
        <f>H53</f>
        <v>0.35</v>
      </c>
      <c r="M3" s="2">
        <f>I53</f>
        <v>0.02</v>
      </c>
      <c r="N3" s="6">
        <f>IF(B16=K3,XIRR(Y3:Y52,X3:X52),"")</f>
        <v>0.10682948231697084</v>
      </c>
      <c r="O3" s="5">
        <f>IF(B16=K3,MAX(E:E),"")</f>
        <v>46151</v>
      </c>
      <c r="P3" s="1" t="str">
        <f ca="1">IF(Z3="+",TODAY()-B11,"")</f>
        <v/>
      </c>
      <c r="Q3" s="1">
        <f>IF(B16=K3,MAX(E:E)-B11,"")</f>
        <v>2</v>
      </c>
      <c r="T3" s="14"/>
      <c r="X3" s="5">
        <f>B9</f>
        <v>46050</v>
      </c>
      <c r="Y3" s="2">
        <f>B16*-1</f>
        <v>-11.66</v>
      </c>
      <c r="Z3" s="1" t="str">
        <f ca="1">IF(AND(TODAY()&gt;B11, K3&lt;&gt;B16), "+", "")</f>
        <v/>
      </c>
    </row>
    <row r="4" spans="1:26" x14ac:dyDescent="0.25">
      <c r="A4" s="4" t="s">
        <v>19</v>
      </c>
      <c r="B4" s="5" t="s">
        <v>20</v>
      </c>
      <c r="D4" s="12">
        <v>46081</v>
      </c>
      <c r="E4" s="12">
        <v>46081</v>
      </c>
      <c r="F4" s="19">
        <f t="shared" si="0"/>
        <v>0</v>
      </c>
      <c r="G4" s="2">
        <v>0</v>
      </c>
      <c r="H4" s="1">
        <v>0.04</v>
      </c>
      <c r="I4" s="2">
        <v>0</v>
      </c>
      <c r="J4" s="9"/>
      <c r="X4" s="5">
        <f>E3</f>
        <v>46053</v>
      </c>
      <c r="Y4" s="2">
        <f>G3+H3-I3</f>
        <v>0</v>
      </c>
    </row>
    <row r="5" spans="1:26" x14ac:dyDescent="0.25">
      <c r="A5" s="4"/>
      <c r="B5" s="5"/>
      <c r="D5" s="12">
        <v>46112</v>
      </c>
      <c r="E5" s="12">
        <v>46112</v>
      </c>
      <c r="F5" s="19">
        <f t="shared" si="0"/>
        <v>0</v>
      </c>
      <c r="G5" s="2">
        <v>0</v>
      </c>
      <c r="H5" s="2">
        <v>0.1</v>
      </c>
      <c r="I5" s="2">
        <v>0</v>
      </c>
      <c r="J5" s="9"/>
      <c r="X5" s="5">
        <f t="shared" ref="X5:X52" si="1">E4</f>
        <v>46081</v>
      </c>
      <c r="Y5" s="2">
        <f t="shared" ref="Y5:Y52" si="2">G4+H4-I4</f>
        <v>0.04</v>
      </c>
    </row>
    <row r="6" spans="1:26" x14ac:dyDescent="0.25">
      <c r="A6" s="4"/>
      <c r="B6" s="5"/>
      <c r="D6" s="12">
        <v>46142</v>
      </c>
      <c r="E6" s="12">
        <v>46142</v>
      </c>
      <c r="F6" s="19">
        <f t="shared" si="0"/>
        <v>0</v>
      </c>
      <c r="G6" s="2">
        <v>0</v>
      </c>
      <c r="H6" s="1">
        <v>0.11</v>
      </c>
      <c r="I6" s="2">
        <v>0.01</v>
      </c>
      <c r="J6" s="9"/>
      <c r="X6" s="5">
        <f t="shared" si="1"/>
        <v>46112</v>
      </c>
      <c r="Y6" s="2">
        <f t="shared" si="2"/>
        <v>0.1</v>
      </c>
    </row>
    <row r="7" spans="1:26" x14ac:dyDescent="0.25">
      <c r="A7" s="4"/>
      <c r="B7" s="5"/>
      <c r="D7" s="12">
        <v>46149</v>
      </c>
      <c r="E7" s="12">
        <v>46151</v>
      </c>
      <c r="F7" s="19">
        <f t="shared" si="0"/>
        <v>2</v>
      </c>
      <c r="G7" s="2">
        <v>11.66</v>
      </c>
      <c r="H7" s="2">
        <v>0.1</v>
      </c>
      <c r="I7" s="2">
        <v>0.01</v>
      </c>
      <c r="J7" s="11"/>
      <c r="X7" s="5">
        <f t="shared" si="1"/>
        <v>46142</v>
      </c>
      <c r="Y7" s="2">
        <f t="shared" si="2"/>
        <v>0.1</v>
      </c>
    </row>
    <row r="8" spans="1:26" x14ac:dyDescent="0.25">
      <c r="A8" s="4" t="s">
        <v>24</v>
      </c>
      <c r="B8" s="5" t="str">
        <f>DATEDIF(B9,B11,"y") &amp; " m. " &amp; DATEDIF(B9,B11,"ym") &amp; " mėn. " &amp; DATEDIF(B9,B11,"md") &amp; " d."</f>
        <v>0 m. 3 mėn. 9 d.</v>
      </c>
      <c r="D8" s="12"/>
      <c r="E8" s="12"/>
      <c r="F8" s="19" t="str">
        <f t="shared" si="0"/>
        <v/>
      </c>
      <c r="G8" s="1"/>
      <c r="H8" s="1"/>
      <c r="I8" s="2"/>
      <c r="J8" s="9"/>
      <c r="X8" s="5">
        <f t="shared" si="1"/>
        <v>46151</v>
      </c>
      <c r="Y8" s="2">
        <f t="shared" si="2"/>
        <v>11.75</v>
      </c>
    </row>
    <row r="9" spans="1:26" x14ac:dyDescent="0.25">
      <c r="A9" s="4" t="s">
        <v>11</v>
      </c>
      <c r="B9" s="5">
        <v>46050</v>
      </c>
      <c r="D9" s="12"/>
      <c r="E9" s="12"/>
      <c r="F9" s="19"/>
      <c r="G9" s="2"/>
      <c r="H9" s="2"/>
      <c r="I9" s="2"/>
      <c r="J9" s="11"/>
      <c r="X9" s="5">
        <f t="shared" si="1"/>
        <v>0</v>
      </c>
      <c r="Y9" s="2">
        <f t="shared" si="2"/>
        <v>0</v>
      </c>
    </row>
    <row r="10" spans="1:26" x14ac:dyDescent="0.25">
      <c r="A10" s="4" t="s">
        <v>70</v>
      </c>
      <c r="B10" s="5">
        <v>46029</v>
      </c>
      <c r="D10" s="12"/>
      <c r="E10" s="12"/>
      <c r="F10" s="19" t="str">
        <f t="shared" si="0"/>
        <v/>
      </c>
      <c r="G10" s="1"/>
      <c r="H10" s="1"/>
      <c r="I10" s="2"/>
      <c r="J10" s="11"/>
      <c r="X10" s="5">
        <f t="shared" si="1"/>
        <v>0</v>
      </c>
      <c r="Y10" s="2">
        <f t="shared" si="2"/>
        <v>0</v>
      </c>
    </row>
    <row r="11" spans="1:26" x14ac:dyDescent="0.25">
      <c r="A11" s="4" t="s">
        <v>10</v>
      </c>
      <c r="B11" s="5">
        <v>46149</v>
      </c>
      <c r="D11" s="12"/>
      <c r="E11" s="12"/>
      <c r="F11" s="19" t="str">
        <f t="shared" si="0"/>
        <v/>
      </c>
      <c r="G11" s="1"/>
      <c r="H11" s="2"/>
      <c r="I11" s="2"/>
      <c r="J11" s="11"/>
      <c r="X11" s="5">
        <f t="shared" si="1"/>
        <v>0</v>
      </c>
      <c r="Y11" s="2">
        <f t="shared" si="2"/>
        <v>0</v>
      </c>
    </row>
    <row r="12" spans="1:26" x14ac:dyDescent="0.25">
      <c r="A12" s="4" t="s">
        <v>71</v>
      </c>
      <c r="B12" s="19" t="str">
        <f ca="1">IF(B16&lt;&gt;K3,(TODAY()-B11)*-1,"")</f>
        <v/>
      </c>
      <c r="D12" s="12"/>
      <c r="E12" s="12"/>
      <c r="F12" s="19" t="str">
        <f t="shared" si="0"/>
        <v/>
      </c>
      <c r="G12" s="2"/>
      <c r="H12" s="1"/>
      <c r="I12" s="1"/>
      <c r="J12" s="11"/>
      <c r="X12" s="5">
        <f t="shared" si="1"/>
        <v>0</v>
      </c>
      <c r="Y12" s="2">
        <f t="shared" si="2"/>
        <v>0</v>
      </c>
    </row>
    <row r="13" spans="1:26" x14ac:dyDescent="0.25">
      <c r="A13" s="4"/>
      <c r="B13" s="2"/>
      <c r="D13" s="12"/>
      <c r="E13" s="12"/>
      <c r="F13" s="19" t="str">
        <f t="shared" si="0"/>
        <v/>
      </c>
      <c r="G13" s="1"/>
      <c r="H13" s="2"/>
      <c r="I13" s="2"/>
      <c r="J13" s="11"/>
      <c r="N13" s="14"/>
      <c r="X13" s="5">
        <f t="shared" si="1"/>
        <v>0</v>
      </c>
      <c r="Y13" s="2">
        <f t="shared" si="2"/>
        <v>0</v>
      </c>
    </row>
    <row r="14" spans="1:26" x14ac:dyDescent="0.25">
      <c r="A14" s="13"/>
      <c r="B14" s="20"/>
      <c r="D14" s="12"/>
      <c r="E14" s="5"/>
      <c r="F14" s="19" t="str">
        <f t="shared" si="0"/>
        <v/>
      </c>
      <c r="G14" s="1"/>
      <c r="H14" s="1"/>
      <c r="I14" s="1"/>
      <c r="J14" s="11"/>
      <c r="X14" s="5">
        <f t="shared" si="1"/>
        <v>0</v>
      </c>
      <c r="Y14" s="2">
        <f t="shared" si="2"/>
        <v>0</v>
      </c>
    </row>
    <row r="15" spans="1:26" x14ac:dyDescent="0.25">
      <c r="A15" s="4" t="s">
        <v>1</v>
      </c>
      <c r="B15" s="6">
        <v>0.11</v>
      </c>
      <c r="D15" s="12"/>
      <c r="E15" s="5"/>
      <c r="F15" s="19" t="str">
        <f t="shared" si="0"/>
        <v/>
      </c>
      <c r="G15" s="1"/>
      <c r="H15" s="1"/>
      <c r="I15" s="1"/>
      <c r="J15" s="11"/>
      <c r="K15" s="18"/>
      <c r="L15" s="18"/>
      <c r="M15" s="18"/>
      <c r="N15" s="18"/>
      <c r="O15" s="18"/>
      <c r="P15" s="18"/>
      <c r="Q15" s="18"/>
      <c r="X15" s="5">
        <f t="shared" si="1"/>
        <v>0</v>
      </c>
      <c r="Y15" s="2">
        <f t="shared" si="2"/>
        <v>0</v>
      </c>
    </row>
    <row r="16" spans="1:26" x14ac:dyDescent="0.25">
      <c r="A16" s="4" t="s">
        <v>72</v>
      </c>
      <c r="B16" s="2">
        <v>11.66</v>
      </c>
      <c r="D16" s="12"/>
      <c r="E16" s="5"/>
      <c r="F16" s="19" t="str">
        <f t="shared" si="0"/>
        <v/>
      </c>
      <c r="G16" s="1"/>
      <c r="H16" s="1"/>
      <c r="I16" s="1"/>
      <c r="J16" s="11"/>
      <c r="K16" s="9"/>
      <c r="L16" s="9"/>
      <c r="M16" s="9"/>
      <c r="N16" s="21"/>
      <c r="O16" s="22"/>
      <c r="P16" s="11"/>
      <c r="Q16" s="11"/>
      <c r="X16" s="5">
        <f t="shared" si="1"/>
        <v>0</v>
      </c>
      <c r="Y16" s="2">
        <f t="shared" si="2"/>
        <v>0</v>
      </c>
    </row>
    <row r="17" spans="2:25" x14ac:dyDescent="0.25">
      <c r="D17" s="12"/>
      <c r="E17" s="5"/>
      <c r="F17" s="19" t="str">
        <f t="shared" si="0"/>
        <v/>
      </c>
      <c r="G17" s="1"/>
      <c r="H17" s="1"/>
      <c r="I17" s="1"/>
      <c r="J17" s="11"/>
      <c r="X17" s="5">
        <f t="shared" si="1"/>
        <v>0</v>
      </c>
      <c r="Y17" s="2">
        <f t="shared" si="2"/>
        <v>0</v>
      </c>
    </row>
    <row r="18" spans="2:25" x14ac:dyDescent="0.25">
      <c r="D18" s="12"/>
      <c r="E18" s="5"/>
      <c r="F18" s="19" t="str">
        <f t="shared" si="0"/>
        <v/>
      </c>
      <c r="G18" s="1"/>
      <c r="H18" s="1"/>
      <c r="I18" s="1"/>
      <c r="J18" s="11"/>
      <c r="X18" s="5">
        <f t="shared" si="1"/>
        <v>0</v>
      </c>
      <c r="Y18" s="2">
        <f t="shared" si="2"/>
        <v>0</v>
      </c>
    </row>
    <row r="19" spans="2:25" x14ac:dyDescent="0.25">
      <c r="D19" s="12"/>
      <c r="E19" s="5"/>
      <c r="F19" s="19" t="str">
        <f t="shared" si="0"/>
        <v/>
      </c>
      <c r="G19" s="1"/>
      <c r="H19" s="1"/>
      <c r="I19" s="1"/>
      <c r="J19" s="11"/>
      <c r="X19" s="5">
        <f t="shared" si="1"/>
        <v>0</v>
      </c>
      <c r="Y19" s="2">
        <f t="shared" si="2"/>
        <v>0</v>
      </c>
    </row>
    <row r="20" spans="2:25" x14ac:dyDescent="0.25">
      <c r="D20" s="12"/>
      <c r="E20" s="5"/>
      <c r="F20" s="19" t="str">
        <f t="shared" si="0"/>
        <v/>
      </c>
      <c r="G20" s="1"/>
      <c r="H20" s="1"/>
      <c r="I20" s="1"/>
      <c r="J20" s="11"/>
      <c r="X20" s="5">
        <f t="shared" si="1"/>
        <v>0</v>
      </c>
      <c r="Y20" s="2">
        <f t="shared" si="2"/>
        <v>0</v>
      </c>
    </row>
    <row r="21" spans="2:25" x14ac:dyDescent="0.25">
      <c r="D21" s="12"/>
      <c r="E21" s="5"/>
      <c r="F21" s="19" t="str">
        <f t="shared" si="0"/>
        <v/>
      </c>
      <c r="G21" s="1"/>
      <c r="H21" s="1"/>
      <c r="I21" s="1"/>
      <c r="J21" s="11"/>
      <c r="X21" s="5">
        <f t="shared" si="1"/>
        <v>0</v>
      </c>
      <c r="Y21" s="2">
        <f t="shared" si="2"/>
        <v>0</v>
      </c>
    </row>
    <row r="22" spans="2:25" x14ac:dyDescent="0.25">
      <c r="D22" s="12"/>
      <c r="E22" s="5"/>
      <c r="F22" s="19" t="str">
        <f t="shared" si="0"/>
        <v/>
      </c>
      <c r="G22" s="1"/>
      <c r="H22" s="1"/>
      <c r="I22" s="1"/>
      <c r="J22" s="11"/>
      <c r="X22" s="5">
        <f t="shared" si="1"/>
        <v>0</v>
      </c>
      <c r="Y22" s="2">
        <f t="shared" si="2"/>
        <v>0</v>
      </c>
    </row>
    <row r="23" spans="2:25" x14ac:dyDescent="0.25">
      <c r="B23" s="22"/>
      <c r="D23" s="12"/>
      <c r="E23" s="5"/>
      <c r="F23" s="19" t="str">
        <f t="shared" si="0"/>
        <v/>
      </c>
      <c r="G23" s="1"/>
      <c r="H23" s="1"/>
      <c r="I23" s="1"/>
      <c r="J23" s="11"/>
      <c r="X23" s="5">
        <f t="shared" si="1"/>
        <v>0</v>
      </c>
      <c r="Y23" s="2">
        <f t="shared" si="2"/>
        <v>0</v>
      </c>
    </row>
    <row r="24" spans="2:25" x14ac:dyDescent="0.25">
      <c r="D24" s="12"/>
      <c r="E24" s="5"/>
      <c r="F24" s="19" t="str">
        <f t="shared" si="0"/>
        <v/>
      </c>
      <c r="G24" s="1"/>
      <c r="H24" s="1"/>
      <c r="I24" s="1"/>
      <c r="J24" s="11"/>
      <c r="X24" s="5">
        <f t="shared" si="1"/>
        <v>0</v>
      </c>
      <c r="Y24" s="2">
        <f t="shared" si="2"/>
        <v>0</v>
      </c>
    </row>
    <row r="25" spans="2:25" x14ac:dyDescent="0.25">
      <c r="D25" s="12"/>
      <c r="E25" s="5"/>
      <c r="F25" s="19" t="str">
        <f t="shared" si="0"/>
        <v/>
      </c>
      <c r="G25" s="1"/>
      <c r="H25" s="1"/>
      <c r="I25" s="1"/>
      <c r="J25" s="11"/>
      <c r="X25" s="5">
        <f t="shared" si="1"/>
        <v>0</v>
      </c>
      <c r="Y25" s="2">
        <f t="shared" si="2"/>
        <v>0</v>
      </c>
    </row>
    <row r="26" spans="2:25" x14ac:dyDescent="0.25">
      <c r="D26" s="12"/>
      <c r="E26" s="5"/>
      <c r="F26" s="19" t="str">
        <f t="shared" si="0"/>
        <v/>
      </c>
      <c r="G26" s="1"/>
      <c r="H26" s="1"/>
      <c r="I26" s="1"/>
      <c r="J26" s="11"/>
      <c r="X26" s="5">
        <f t="shared" si="1"/>
        <v>0</v>
      </c>
      <c r="Y26" s="2">
        <f t="shared" si="2"/>
        <v>0</v>
      </c>
    </row>
    <row r="27" spans="2:25" x14ac:dyDescent="0.25">
      <c r="D27" s="12"/>
      <c r="E27" s="5"/>
      <c r="F27" s="19" t="str">
        <f t="shared" si="0"/>
        <v/>
      </c>
      <c r="G27" s="1"/>
      <c r="H27" s="1"/>
      <c r="I27" s="1"/>
      <c r="J27" s="11"/>
      <c r="X27" s="5">
        <f t="shared" si="1"/>
        <v>0</v>
      </c>
      <c r="Y27" s="2">
        <f t="shared" si="2"/>
        <v>0</v>
      </c>
    </row>
    <row r="28" spans="2:25" x14ac:dyDescent="0.25">
      <c r="D28" s="12"/>
      <c r="E28" s="5"/>
      <c r="F28" s="19" t="str">
        <f t="shared" si="0"/>
        <v/>
      </c>
      <c r="G28" s="1"/>
      <c r="H28" s="1"/>
      <c r="I28" s="1"/>
      <c r="J28" s="11"/>
      <c r="X28" s="5">
        <f t="shared" si="1"/>
        <v>0</v>
      </c>
      <c r="Y28" s="2">
        <f t="shared" si="2"/>
        <v>0</v>
      </c>
    </row>
    <row r="29" spans="2:25" x14ac:dyDescent="0.25">
      <c r="D29" s="12"/>
      <c r="E29" s="5"/>
      <c r="F29" s="19" t="str">
        <f t="shared" si="0"/>
        <v/>
      </c>
      <c r="G29" s="1"/>
      <c r="H29" s="1"/>
      <c r="I29" s="1"/>
      <c r="J29" s="11"/>
      <c r="X29" s="5">
        <f t="shared" si="1"/>
        <v>0</v>
      </c>
      <c r="Y29" s="2">
        <f t="shared" si="2"/>
        <v>0</v>
      </c>
    </row>
    <row r="30" spans="2:25" x14ac:dyDescent="0.25">
      <c r="D30" s="12"/>
      <c r="E30" s="5"/>
      <c r="F30" s="19" t="str">
        <f t="shared" si="0"/>
        <v/>
      </c>
      <c r="G30" s="1"/>
      <c r="H30" s="1"/>
      <c r="I30" s="1"/>
      <c r="J30" s="11"/>
      <c r="X30" s="5">
        <f t="shared" si="1"/>
        <v>0</v>
      </c>
      <c r="Y30" s="2">
        <f t="shared" si="2"/>
        <v>0</v>
      </c>
    </row>
    <row r="31" spans="2:25" x14ac:dyDescent="0.25">
      <c r="D31" s="12"/>
      <c r="E31" s="5"/>
      <c r="F31" s="19" t="str">
        <f t="shared" si="0"/>
        <v/>
      </c>
      <c r="G31" s="1"/>
      <c r="H31" s="1"/>
      <c r="I31" s="1"/>
      <c r="J31" s="11"/>
      <c r="X31" s="5">
        <f t="shared" si="1"/>
        <v>0</v>
      </c>
      <c r="Y31" s="2">
        <f t="shared" si="2"/>
        <v>0</v>
      </c>
    </row>
    <row r="32" spans="2:25" x14ac:dyDescent="0.25">
      <c r="D32" s="12"/>
      <c r="E32" s="5"/>
      <c r="F32" s="19" t="str">
        <f t="shared" si="0"/>
        <v/>
      </c>
      <c r="G32" s="1"/>
      <c r="H32" s="1"/>
      <c r="I32" s="1"/>
      <c r="J32" s="11"/>
      <c r="X32" s="5">
        <f t="shared" si="1"/>
        <v>0</v>
      </c>
      <c r="Y32" s="2">
        <f t="shared" si="2"/>
        <v>0</v>
      </c>
    </row>
    <row r="33" spans="4:25" x14ac:dyDescent="0.25">
      <c r="D33" s="12"/>
      <c r="E33" s="5"/>
      <c r="F33" s="19" t="str">
        <f t="shared" si="0"/>
        <v/>
      </c>
      <c r="G33" s="1"/>
      <c r="H33" s="1"/>
      <c r="I33" s="1"/>
      <c r="J33" s="11"/>
      <c r="X33" s="5">
        <f t="shared" si="1"/>
        <v>0</v>
      </c>
      <c r="Y33" s="2">
        <f t="shared" si="2"/>
        <v>0</v>
      </c>
    </row>
    <row r="34" spans="4:25" x14ac:dyDescent="0.25">
      <c r="D34" s="12"/>
      <c r="E34" s="5"/>
      <c r="F34" s="19" t="str">
        <f t="shared" si="0"/>
        <v/>
      </c>
      <c r="G34" s="1"/>
      <c r="H34" s="1"/>
      <c r="I34" s="1"/>
      <c r="J34" s="11"/>
      <c r="X34" s="5">
        <f t="shared" si="1"/>
        <v>0</v>
      </c>
      <c r="Y34" s="2">
        <f t="shared" si="2"/>
        <v>0</v>
      </c>
    </row>
    <row r="35" spans="4:25" x14ac:dyDescent="0.25">
      <c r="D35" s="12"/>
      <c r="E35" s="5"/>
      <c r="F35" s="19" t="str">
        <f t="shared" si="0"/>
        <v/>
      </c>
      <c r="G35" s="1"/>
      <c r="H35" s="1"/>
      <c r="I35" s="1"/>
      <c r="J35" s="11"/>
      <c r="X35" s="5">
        <f t="shared" si="1"/>
        <v>0</v>
      </c>
      <c r="Y35" s="2">
        <f t="shared" si="2"/>
        <v>0</v>
      </c>
    </row>
    <row r="36" spans="4:25" x14ac:dyDescent="0.25">
      <c r="D36" s="12"/>
      <c r="E36" s="5"/>
      <c r="F36" s="19" t="str">
        <f t="shared" si="0"/>
        <v/>
      </c>
      <c r="G36" s="1"/>
      <c r="H36" s="1"/>
      <c r="I36" s="1"/>
      <c r="J36" s="11"/>
      <c r="X36" s="5">
        <f t="shared" si="1"/>
        <v>0</v>
      </c>
      <c r="Y36" s="2">
        <f t="shared" si="2"/>
        <v>0</v>
      </c>
    </row>
    <row r="37" spans="4:25" x14ac:dyDescent="0.25">
      <c r="D37" s="12"/>
      <c r="E37" s="5"/>
      <c r="F37" s="19" t="str">
        <f t="shared" si="0"/>
        <v/>
      </c>
      <c r="G37" s="1"/>
      <c r="H37" s="1"/>
      <c r="I37" s="1"/>
      <c r="J37" s="11"/>
      <c r="X37" s="5">
        <f t="shared" si="1"/>
        <v>0</v>
      </c>
      <c r="Y37" s="2">
        <f t="shared" si="2"/>
        <v>0</v>
      </c>
    </row>
    <row r="38" spans="4:25" x14ac:dyDescent="0.25">
      <c r="D38" s="12"/>
      <c r="E38" s="5"/>
      <c r="F38" s="19" t="str">
        <f t="shared" si="0"/>
        <v/>
      </c>
      <c r="G38" s="1"/>
      <c r="H38" s="1"/>
      <c r="I38" s="1"/>
      <c r="J38" s="11"/>
      <c r="X38" s="5">
        <f t="shared" si="1"/>
        <v>0</v>
      </c>
      <c r="Y38" s="2">
        <f t="shared" si="2"/>
        <v>0</v>
      </c>
    </row>
    <row r="39" spans="4:25" x14ac:dyDescent="0.25">
      <c r="D39" s="12"/>
      <c r="E39" s="5"/>
      <c r="F39" s="19" t="str">
        <f t="shared" si="0"/>
        <v/>
      </c>
      <c r="G39" s="1"/>
      <c r="H39" s="1"/>
      <c r="I39" s="1"/>
      <c r="J39" s="11"/>
      <c r="X39" s="5">
        <f t="shared" si="1"/>
        <v>0</v>
      </c>
      <c r="Y39" s="2">
        <f t="shared" si="2"/>
        <v>0</v>
      </c>
    </row>
    <row r="40" spans="4:25" x14ac:dyDescent="0.25">
      <c r="D40" s="12"/>
      <c r="E40" s="5"/>
      <c r="F40" s="19" t="str">
        <f t="shared" si="0"/>
        <v/>
      </c>
      <c r="G40" s="1"/>
      <c r="H40" s="1"/>
      <c r="I40" s="1"/>
      <c r="J40" s="11"/>
      <c r="X40" s="5">
        <f t="shared" si="1"/>
        <v>0</v>
      </c>
      <c r="Y40" s="2">
        <f t="shared" si="2"/>
        <v>0</v>
      </c>
    </row>
    <row r="41" spans="4:25" x14ac:dyDescent="0.25">
      <c r="D41" s="12"/>
      <c r="E41" s="5"/>
      <c r="F41" s="19" t="str">
        <f t="shared" si="0"/>
        <v/>
      </c>
      <c r="G41" s="1"/>
      <c r="H41" s="1"/>
      <c r="I41" s="1"/>
      <c r="J41" s="11"/>
      <c r="X41" s="5">
        <f t="shared" si="1"/>
        <v>0</v>
      </c>
      <c r="Y41" s="2">
        <f t="shared" si="2"/>
        <v>0</v>
      </c>
    </row>
    <row r="42" spans="4:25" x14ac:dyDescent="0.25">
      <c r="D42" s="12"/>
      <c r="E42" s="5"/>
      <c r="F42" s="19" t="str">
        <f t="shared" si="0"/>
        <v/>
      </c>
      <c r="G42" s="1"/>
      <c r="H42" s="1"/>
      <c r="I42" s="1"/>
      <c r="J42" s="11"/>
      <c r="X42" s="5">
        <f t="shared" si="1"/>
        <v>0</v>
      </c>
      <c r="Y42" s="2">
        <f t="shared" si="2"/>
        <v>0</v>
      </c>
    </row>
    <row r="43" spans="4:25" x14ac:dyDescent="0.25">
      <c r="D43" s="12"/>
      <c r="E43" s="5"/>
      <c r="F43" s="19" t="str">
        <f t="shared" si="0"/>
        <v/>
      </c>
      <c r="G43" s="1"/>
      <c r="H43" s="1"/>
      <c r="I43" s="1"/>
      <c r="J43" s="11"/>
      <c r="X43" s="5">
        <f t="shared" si="1"/>
        <v>0</v>
      </c>
      <c r="Y43" s="2">
        <f t="shared" si="2"/>
        <v>0</v>
      </c>
    </row>
    <row r="44" spans="4:25" x14ac:dyDescent="0.25">
      <c r="D44" s="12"/>
      <c r="E44" s="5"/>
      <c r="F44" s="19" t="str">
        <f t="shared" si="0"/>
        <v/>
      </c>
      <c r="G44" s="1"/>
      <c r="H44" s="1"/>
      <c r="I44" s="1"/>
      <c r="J44" s="11"/>
      <c r="X44" s="5">
        <f t="shared" si="1"/>
        <v>0</v>
      </c>
      <c r="Y44" s="2">
        <f t="shared" si="2"/>
        <v>0</v>
      </c>
    </row>
    <row r="45" spans="4:25" x14ac:dyDescent="0.25">
      <c r="D45" s="12"/>
      <c r="E45" s="5"/>
      <c r="F45" s="19" t="str">
        <f t="shared" si="0"/>
        <v/>
      </c>
      <c r="G45" s="1"/>
      <c r="H45" s="1"/>
      <c r="I45" s="1"/>
      <c r="J45" s="11"/>
      <c r="X45" s="5">
        <f t="shared" si="1"/>
        <v>0</v>
      </c>
      <c r="Y45" s="2">
        <f t="shared" si="2"/>
        <v>0</v>
      </c>
    </row>
    <row r="46" spans="4:25" x14ac:dyDescent="0.25">
      <c r="D46" s="12"/>
      <c r="E46" s="5"/>
      <c r="F46" s="19" t="str">
        <f t="shared" si="0"/>
        <v/>
      </c>
      <c r="G46" s="1"/>
      <c r="H46" s="1"/>
      <c r="I46" s="1"/>
      <c r="J46" s="11"/>
      <c r="X46" s="5">
        <f t="shared" si="1"/>
        <v>0</v>
      </c>
      <c r="Y46" s="2">
        <f t="shared" si="2"/>
        <v>0</v>
      </c>
    </row>
    <row r="47" spans="4:25" x14ac:dyDescent="0.25">
      <c r="D47" s="12"/>
      <c r="E47" s="5"/>
      <c r="F47" s="19" t="str">
        <f t="shared" si="0"/>
        <v/>
      </c>
      <c r="G47" s="1"/>
      <c r="H47" s="1"/>
      <c r="I47" s="1"/>
      <c r="J47" s="11"/>
      <c r="X47" s="5">
        <f t="shared" si="1"/>
        <v>0</v>
      </c>
      <c r="Y47" s="2">
        <f t="shared" si="2"/>
        <v>0</v>
      </c>
    </row>
    <row r="48" spans="4:25" x14ac:dyDescent="0.25">
      <c r="D48" s="12"/>
      <c r="E48" s="5"/>
      <c r="F48" s="19" t="str">
        <f t="shared" si="0"/>
        <v/>
      </c>
      <c r="G48" s="1"/>
      <c r="H48" s="1"/>
      <c r="I48" s="1"/>
      <c r="J48" s="11"/>
      <c r="X48" s="5">
        <f t="shared" si="1"/>
        <v>0</v>
      </c>
      <c r="Y48" s="2">
        <f t="shared" si="2"/>
        <v>0</v>
      </c>
    </row>
    <row r="49" spans="4:25" x14ac:dyDescent="0.25">
      <c r="D49" s="12"/>
      <c r="E49" s="5"/>
      <c r="F49" s="19" t="str">
        <f t="shared" si="0"/>
        <v/>
      </c>
      <c r="G49" s="1"/>
      <c r="H49" s="1"/>
      <c r="I49" s="1"/>
      <c r="J49" s="11"/>
      <c r="X49" s="5">
        <f t="shared" si="1"/>
        <v>0</v>
      </c>
      <c r="Y49" s="2">
        <f t="shared" si="2"/>
        <v>0</v>
      </c>
    </row>
    <row r="50" spans="4:25" x14ac:dyDescent="0.25">
      <c r="D50" s="12"/>
      <c r="E50" s="5"/>
      <c r="F50" s="19" t="str">
        <f t="shared" si="0"/>
        <v/>
      </c>
      <c r="G50" s="1"/>
      <c r="H50" s="1"/>
      <c r="I50" s="1"/>
      <c r="J50" s="11"/>
      <c r="X50" s="5">
        <f t="shared" si="1"/>
        <v>0</v>
      </c>
      <c r="Y50" s="2">
        <f t="shared" si="2"/>
        <v>0</v>
      </c>
    </row>
    <row r="51" spans="4:25" x14ac:dyDescent="0.25">
      <c r="D51" s="12"/>
      <c r="E51" s="5"/>
      <c r="F51" s="19" t="str">
        <f t="shared" si="0"/>
        <v/>
      </c>
      <c r="G51" s="1"/>
      <c r="H51" s="1"/>
      <c r="I51" s="1"/>
      <c r="J51" s="11"/>
      <c r="X51" s="5">
        <f t="shared" si="1"/>
        <v>0</v>
      </c>
      <c r="Y51" s="2">
        <f t="shared" si="2"/>
        <v>0</v>
      </c>
    </row>
    <row r="52" spans="4:25" x14ac:dyDescent="0.25">
      <c r="D52" s="12"/>
      <c r="E52" s="5"/>
      <c r="F52" s="19" t="str">
        <f t="shared" si="0"/>
        <v/>
      </c>
      <c r="G52" s="1"/>
      <c r="H52" s="1"/>
      <c r="I52" s="1"/>
      <c r="J52" s="9"/>
      <c r="X52" s="5">
        <f t="shared" si="1"/>
        <v>0</v>
      </c>
      <c r="Y52" s="2">
        <f t="shared" si="2"/>
        <v>0</v>
      </c>
    </row>
    <row r="53" spans="4:25" x14ac:dyDescent="0.25">
      <c r="D53" s="1" t="s">
        <v>25</v>
      </c>
      <c r="E53" s="23"/>
      <c r="F53" s="2"/>
      <c r="G53" s="2">
        <f>SUM(G3:G52)</f>
        <v>11.66</v>
      </c>
      <c r="H53" s="2">
        <f t="shared" ref="H53:I53" si="3">SUM(H3:H52)</f>
        <v>0.35</v>
      </c>
      <c r="I53" s="2">
        <f t="shared" si="3"/>
        <v>0.02</v>
      </c>
    </row>
  </sheetData>
  <mergeCells count="4">
    <mergeCell ref="D1:F1"/>
    <mergeCell ref="G1:I1"/>
    <mergeCell ref="K1:Q1"/>
    <mergeCell ref="X1:Z1"/>
  </mergeCells>
  <conditionalFormatting sqref="A1:B1">
    <cfRule type="expression" dxfId="83" priority="1">
      <formula>$Z$3="+"</formula>
    </cfRule>
    <cfRule type="expression" dxfId="82" priority="2">
      <formula>$B$16=$K$3</formula>
    </cfRule>
  </conditionalFormatting>
  <conditionalFormatting sqref="P3">
    <cfRule type="expression" dxfId="81" priority="6">
      <formula>$Z$3="+"</formula>
    </cfRule>
  </conditionalFormatting>
  <conditionalFormatting sqref="Z3">
    <cfRule type="expression" dxfId="80" priority="7">
      <formula>$Z$3="+"</formula>
    </cfRule>
  </conditionalFormatting>
  <dataValidations count="1">
    <dataValidation type="list" allowBlank="1" showInputMessage="1" showErrorMessage="1" sqref="B2" xr:uid="{C2578FFF-1439-470A-A8A0-6138F5BF60D3}">
      <formula1>"Romania,Moldova,Cyprus,Philippines"</formula1>
    </dataValidation>
  </dataValidations>
  <pageMargins left="0.7" right="0.7" top="0.75" bottom="0.75" header="0.3" footer="0.3"/>
  <pageSetup orientation="portrait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CFD71-170D-4214-8519-849FF197C960}">
  <sheetPr>
    <tabColor rgb="FF92D050"/>
  </sheetPr>
  <dimension ref="A1:Z53"/>
  <sheetViews>
    <sheetView workbookViewId="0">
      <selection activeCell="G10" sqref="G10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1" customWidth="1"/>
    <col min="25" max="25" width="10.7109375" style="11" customWidth="1"/>
    <col min="26" max="26" width="10.7109375" customWidth="1"/>
  </cols>
  <sheetData>
    <row r="1" spans="1:26" x14ac:dyDescent="0.25">
      <c r="A1" s="4" t="s">
        <v>66</v>
      </c>
      <c r="B1" s="5" t="s">
        <v>45</v>
      </c>
      <c r="D1" s="29" t="s">
        <v>2</v>
      </c>
      <c r="E1" s="30"/>
      <c r="F1" s="31"/>
      <c r="G1" s="29" t="s">
        <v>0</v>
      </c>
      <c r="H1" s="30"/>
      <c r="I1" s="31"/>
      <c r="J1" s="18"/>
      <c r="K1" s="29" t="s">
        <v>58</v>
      </c>
      <c r="L1" s="30"/>
      <c r="M1" s="30"/>
      <c r="N1" s="30"/>
      <c r="O1" s="30"/>
      <c r="P1" s="30"/>
      <c r="Q1" s="31"/>
      <c r="X1" s="29"/>
      <c r="Y1" s="30"/>
      <c r="Z1" s="31"/>
    </row>
    <row r="2" spans="1:26" x14ac:dyDescent="0.25">
      <c r="A2" s="4" t="s">
        <v>21</v>
      </c>
      <c r="B2" s="5" t="s">
        <v>27</v>
      </c>
      <c r="D2" s="10" t="s">
        <v>49</v>
      </c>
      <c r="E2" s="10" t="s">
        <v>50</v>
      </c>
      <c r="F2" s="17" t="s">
        <v>67</v>
      </c>
      <c r="G2" s="10" t="s">
        <v>15</v>
      </c>
      <c r="H2" s="10" t="s">
        <v>16</v>
      </c>
      <c r="I2" s="10" t="s">
        <v>60</v>
      </c>
      <c r="J2" s="9"/>
      <c r="K2" s="10" t="s">
        <v>0</v>
      </c>
      <c r="L2" s="10" t="s">
        <v>1</v>
      </c>
      <c r="M2" s="10" t="s">
        <v>56</v>
      </c>
      <c r="N2" s="10" t="s">
        <v>57</v>
      </c>
      <c r="O2" s="10" t="s">
        <v>2</v>
      </c>
      <c r="P2" s="10" t="s">
        <v>68</v>
      </c>
      <c r="Q2" s="10" t="s">
        <v>67</v>
      </c>
      <c r="X2" s="10" t="s">
        <v>2</v>
      </c>
      <c r="Y2" s="10" t="s">
        <v>59</v>
      </c>
      <c r="Z2" s="10" t="s">
        <v>68</v>
      </c>
    </row>
    <row r="3" spans="1:26" x14ac:dyDescent="0.25">
      <c r="A3" s="4" t="s">
        <v>69</v>
      </c>
      <c r="B3" s="5" t="s">
        <v>78</v>
      </c>
      <c r="D3" s="12">
        <v>46053</v>
      </c>
      <c r="E3" s="12">
        <v>46053</v>
      </c>
      <c r="F3" s="19">
        <f t="shared" ref="F3:F52" si="0">IF(E3&gt;0,E3-D3,"")</f>
        <v>0</v>
      </c>
      <c r="G3" s="2">
        <v>0</v>
      </c>
      <c r="H3" s="1">
        <v>0.02</v>
      </c>
      <c r="I3" s="2">
        <v>0</v>
      </c>
      <c r="J3" s="11"/>
      <c r="K3" s="2">
        <f>G53</f>
        <v>13.72</v>
      </c>
      <c r="L3" s="2">
        <f>H53</f>
        <v>0.70000000000000007</v>
      </c>
      <c r="M3" s="2">
        <f>I53</f>
        <v>0.04</v>
      </c>
      <c r="N3" s="6">
        <f>IF(B16=K3,XIRR(Y3:Y52,X3:X52),"")</f>
        <v>0.11782535910606384</v>
      </c>
      <c r="O3" s="5">
        <f>IF(B16=K3,MAX(E:E),"")</f>
        <v>46234</v>
      </c>
      <c r="P3" s="1" t="str">
        <f ca="1">IF(Z3="+",TODAY()-B11,"")</f>
        <v/>
      </c>
      <c r="Q3" s="1">
        <f>IF(B16=K3,MAX(E:E)-B11,"")</f>
        <v>25</v>
      </c>
      <c r="T3" s="14"/>
      <c r="X3" s="5">
        <f>B9</f>
        <v>46037</v>
      </c>
      <c r="Y3" s="2">
        <f>B16*-1</f>
        <v>-13.72</v>
      </c>
      <c r="Z3" s="1" t="str">
        <f ca="1">IF(AND(TODAY()&gt;B11, K3&lt;&gt;B16), "+", "")</f>
        <v/>
      </c>
    </row>
    <row r="4" spans="1:26" x14ac:dyDescent="0.25">
      <c r="A4" s="4" t="s">
        <v>19</v>
      </c>
      <c r="B4" s="5" t="s">
        <v>20</v>
      </c>
      <c r="D4" s="12">
        <v>46081</v>
      </c>
      <c r="E4" s="12">
        <v>46081</v>
      </c>
      <c r="F4" s="19">
        <f t="shared" si="0"/>
        <v>0</v>
      </c>
      <c r="G4" s="2">
        <v>0</v>
      </c>
      <c r="H4" s="1">
        <v>0.09</v>
      </c>
      <c r="I4" s="2">
        <v>0</v>
      </c>
      <c r="J4" s="9"/>
      <c r="X4" s="5">
        <f>E3</f>
        <v>46053</v>
      </c>
      <c r="Y4" s="2">
        <f>G3+H3-I3</f>
        <v>0.02</v>
      </c>
    </row>
    <row r="5" spans="1:26" x14ac:dyDescent="0.25">
      <c r="A5" s="4"/>
      <c r="B5" s="5"/>
      <c r="D5" s="12">
        <v>46112</v>
      </c>
      <c r="E5" s="12">
        <v>46112</v>
      </c>
      <c r="F5" s="19">
        <f t="shared" si="0"/>
        <v>0</v>
      </c>
      <c r="G5" s="2">
        <v>0</v>
      </c>
      <c r="H5" s="1">
        <v>0.13</v>
      </c>
      <c r="I5" s="2">
        <v>0.01</v>
      </c>
      <c r="J5" s="9"/>
      <c r="X5" s="5">
        <f t="shared" ref="X5:X52" si="1">E4</f>
        <v>46081</v>
      </c>
      <c r="Y5" s="2">
        <f t="shared" ref="Y5:Y52" si="2">G4+H4-I4</f>
        <v>0.09</v>
      </c>
    </row>
    <row r="6" spans="1:26" x14ac:dyDescent="0.25">
      <c r="A6" s="4"/>
      <c r="B6" s="5"/>
      <c r="D6" s="12">
        <v>46142</v>
      </c>
      <c r="E6" s="12">
        <v>46142</v>
      </c>
      <c r="F6" s="19">
        <f t="shared" si="0"/>
        <v>0</v>
      </c>
      <c r="G6" s="2">
        <v>0</v>
      </c>
      <c r="H6" s="1">
        <v>0.14000000000000001</v>
      </c>
      <c r="I6" s="2">
        <v>0.01</v>
      </c>
      <c r="J6" s="9"/>
      <c r="X6" s="5">
        <f t="shared" si="1"/>
        <v>46112</v>
      </c>
      <c r="Y6" s="2">
        <f t="shared" si="2"/>
        <v>0.12000000000000001</v>
      </c>
    </row>
    <row r="7" spans="1:26" x14ac:dyDescent="0.25">
      <c r="A7" s="4"/>
      <c r="B7" s="5"/>
      <c r="D7" s="12">
        <v>46173</v>
      </c>
      <c r="E7" s="12">
        <v>46173</v>
      </c>
      <c r="F7" s="19">
        <f t="shared" si="0"/>
        <v>0</v>
      </c>
      <c r="G7" s="2">
        <v>0</v>
      </c>
      <c r="H7" s="1">
        <v>0.14000000000000001</v>
      </c>
      <c r="I7" s="2">
        <v>0.01</v>
      </c>
      <c r="J7" s="11"/>
      <c r="X7" s="5">
        <f t="shared" si="1"/>
        <v>46142</v>
      </c>
      <c r="Y7" s="2">
        <f t="shared" si="2"/>
        <v>0.13</v>
      </c>
    </row>
    <row r="8" spans="1:26" x14ac:dyDescent="0.25">
      <c r="A8" s="4" t="s">
        <v>24</v>
      </c>
      <c r="B8" s="5" t="str">
        <f>DATEDIF(B9,B11,"y") &amp; " m. " &amp; DATEDIF(B9,B11,"ym") &amp; " mėn. " &amp; DATEDIF(B9,B11,"md") &amp; " d."</f>
        <v>0 m. 5 mėn. 21 d.</v>
      </c>
      <c r="D8" s="12">
        <v>46209</v>
      </c>
      <c r="E8" s="12">
        <v>46193</v>
      </c>
      <c r="F8" s="19">
        <f t="shared" si="0"/>
        <v>-16</v>
      </c>
      <c r="G8" s="1">
        <v>13.72</v>
      </c>
      <c r="H8" s="2">
        <v>0</v>
      </c>
      <c r="I8" s="2">
        <v>0</v>
      </c>
      <c r="J8" s="9"/>
      <c r="X8" s="5">
        <f t="shared" si="1"/>
        <v>46173</v>
      </c>
      <c r="Y8" s="2">
        <f t="shared" si="2"/>
        <v>0.13</v>
      </c>
    </row>
    <row r="9" spans="1:26" x14ac:dyDescent="0.25">
      <c r="A9" s="4" t="s">
        <v>11</v>
      </c>
      <c r="B9" s="5">
        <v>46037</v>
      </c>
      <c r="D9" s="12">
        <v>46203</v>
      </c>
      <c r="E9" s="12">
        <v>46203</v>
      </c>
      <c r="F9" s="19">
        <f t="shared" si="0"/>
        <v>0</v>
      </c>
      <c r="G9" s="2">
        <v>0</v>
      </c>
      <c r="H9" s="2">
        <v>0.14000000000000001</v>
      </c>
      <c r="I9" s="2">
        <v>0.01</v>
      </c>
      <c r="J9" s="11"/>
      <c r="X9" s="5">
        <f t="shared" si="1"/>
        <v>46193</v>
      </c>
      <c r="Y9" s="2">
        <f t="shared" si="2"/>
        <v>13.72</v>
      </c>
    </row>
    <row r="10" spans="1:26" x14ac:dyDescent="0.25">
      <c r="A10" s="4" t="s">
        <v>70</v>
      </c>
      <c r="B10" s="5">
        <v>46029</v>
      </c>
      <c r="D10" s="12">
        <v>46234</v>
      </c>
      <c r="E10" s="12">
        <v>46234</v>
      </c>
      <c r="F10" s="19">
        <f t="shared" si="0"/>
        <v>0</v>
      </c>
      <c r="G10" s="2">
        <v>0</v>
      </c>
      <c r="H10" s="1">
        <v>0.04</v>
      </c>
      <c r="I10" s="2">
        <v>0</v>
      </c>
      <c r="J10" s="11"/>
      <c r="X10" s="5">
        <f t="shared" si="1"/>
        <v>46203</v>
      </c>
      <c r="Y10" s="2">
        <f t="shared" si="2"/>
        <v>0.13</v>
      </c>
    </row>
    <row r="11" spans="1:26" x14ac:dyDescent="0.25">
      <c r="A11" s="4" t="s">
        <v>10</v>
      </c>
      <c r="B11" s="5">
        <v>46209</v>
      </c>
      <c r="D11" s="12"/>
      <c r="E11" s="12"/>
      <c r="F11" s="19" t="str">
        <f t="shared" si="0"/>
        <v/>
      </c>
      <c r="G11" s="1"/>
      <c r="H11" s="2"/>
      <c r="I11" s="2"/>
      <c r="J11" s="11"/>
      <c r="X11" s="5">
        <f t="shared" si="1"/>
        <v>46234</v>
      </c>
      <c r="Y11" s="2">
        <f t="shared" si="2"/>
        <v>0.04</v>
      </c>
    </row>
    <row r="12" spans="1:26" x14ac:dyDescent="0.25">
      <c r="A12" s="4" t="s">
        <v>71</v>
      </c>
      <c r="B12" s="19" t="str">
        <f ca="1">IF(B16&lt;&gt;K3,(TODAY()-B11)*-1,"")</f>
        <v/>
      </c>
      <c r="D12" s="12"/>
      <c r="E12" s="12"/>
      <c r="F12" s="19" t="str">
        <f t="shared" si="0"/>
        <v/>
      </c>
      <c r="G12" s="2"/>
      <c r="H12" s="1"/>
      <c r="I12" s="1"/>
      <c r="J12" s="11"/>
      <c r="X12" s="5">
        <f t="shared" si="1"/>
        <v>0</v>
      </c>
      <c r="Y12" s="2">
        <f t="shared" si="2"/>
        <v>0</v>
      </c>
    </row>
    <row r="13" spans="1:26" x14ac:dyDescent="0.25">
      <c r="A13" s="4"/>
      <c r="B13" s="2"/>
      <c r="D13" s="12"/>
      <c r="E13" s="12"/>
      <c r="F13" s="19" t="str">
        <f t="shared" si="0"/>
        <v/>
      </c>
      <c r="G13" s="1"/>
      <c r="H13" s="2"/>
      <c r="I13" s="2"/>
      <c r="J13" s="11"/>
      <c r="N13" s="14"/>
      <c r="X13" s="5">
        <f t="shared" si="1"/>
        <v>0</v>
      </c>
      <c r="Y13" s="2">
        <f t="shared" si="2"/>
        <v>0</v>
      </c>
    </row>
    <row r="14" spans="1:26" x14ac:dyDescent="0.25">
      <c r="A14" s="13"/>
      <c r="B14" s="20"/>
      <c r="D14" s="12"/>
      <c r="E14" s="5"/>
      <c r="F14" s="19" t="str">
        <f t="shared" si="0"/>
        <v/>
      </c>
      <c r="G14" s="1"/>
      <c r="H14" s="1"/>
      <c r="I14" s="1"/>
      <c r="J14" s="11"/>
      <c r="X14" s="5">
        <f t="shared" si="1"/>
        <v>0</v>
      </c>
      <c r="Y14" s="2">
        <f t="shared" si="2"/>
        <v>0</v>
      </c>
    </row>
    <row r="15" spans="1:26" x14ac:dyDescent="0.25">
      <c r="A15" s="4" t="s">
        <v>1</v>
      </c>
      <c r="B15" s="6">
        <v>0.12</v>
      </c>
      <c r="D15" s="12"/>
      <c r="E15" s="5"/>
      <c r="F15" s="19" t="str">
        <f t="shared" si="0"/>
        <v/>
      </c>
      <c r="G15" s="1"/>
      <c r="H15" s="1"/>
      <c r="I15" s="1"/>
      <c r="J15" s="11"/>
      <c r="K15" s="18"/>
      <c r="L15" s="18"/>
      <c r="M15" s="18"/>
      <c r="N15" s="18"/>
      <c r="O15" s="18"/>
      <c r="P15" s="18"/>
      <c r="Q15" s="18"/>
      <c r="X15" s="5">
        <f t="shared" si="1"/>
        <v>0</v>
      </c>
      <c r="Y15" s="2">
        <f t="shared" si="2"/>
        <v>0</v>
      </c>
    </row>
    <row r="16" spans="1:26" x14ac:dyDescent="0.25">
      <c r="A16" s="4" t="s">
        <v>72</v>
      </c>
      <c r="B16" s="2">
        <v>13.72</v>
      </c>
      <c r="D16" s="12"/>
      <c r="E16" s="5"/>
      <c r="F16" s="19" t="str">
        <f t="shared" si="0"/>
        <v/>
      </c>
      <c r="G16" s="1"/>
      <c r="H16" s="1"/>
      <c r="I16" s="1"/>
      <c r="J16" s="11"/>
      <c r="K16" s="9"/>
      <c r="L16" s="9"/>
      <c r="M16" s="9"/>
      <c r="N16" s="21"/>
      <c r="O16" s="22"/>
      <c r="P16" s="11"/>
      <c r="Q16" s="11"/>
      <c r="X16" s="5">
        <f t="shared" si="1"/>
        <v>0</v>
      </c>
      <c r="Y16" s="2">
        <f t="shared" si="2"/>
        <v>0</v>
      </c>
    </row>
    <row r="17" spans="2:25" x14ac:dyDescent="0.25">
      <c r="D17" s="12"/>
      <c r="E17" s="5"/>
      <c r="F17" s="19" t="str">
        <f t="shared" si="0"/>
        <v/>
      </c>
      <c r="G17" s="1"/>
      <c r="H17" s="1"/>
      <c r="I17" s="1"/>
      <c r="J17" s="11"/>
      <c r="X17" s="5">
        <f t="shared" si="1"/>
        <v>0</v>
      </c>
      <c r="Y17" s="2">
        <f t="shared" si="2"/>
        <v>0</v>
      </c>
    </row>
    <row r="18" spans="2:25" x14ac:dyDescent="0.25">
      <c r="D18" s="12"/>
      <c r="E18" s="5"/>
      <c r="F18" s="19" t="str">
        <f t="shared" si="0"/>
        <v/>
      </c>
      <c r="G18" s="1"/>
      <c r="H18" s="1"/>
      <c r="I18" s="1"/>
      <c r="J18" s="11"/>
      <c r="X18" s="5">
        <f t="shared" si="1"/>
        <v>0</v>
      </c>
      <c r="Y18" s="2">
        <f t="shared" si="2"/>
        <v>0</v>
      </c>
    </row>
    <row r="19" spans="2:25" x14ac:dyDescent="0.25">
      <c r="D19" s="12"/>
      <c r="E19" s="5"/>
      <c r="F19" s="19" t="str">
        <f t="shared" si="0"/>
        <v/>
      </c>
      <c r="G19" s="1"/>
      <c r="H19" s="1"/>
      <c r="I19" s="1"/>
      <c r="J19" s="11"/>
      <c r="X19" s="5">
        <f t="shared" si="1"/>
        <v>0</v>
      </c>
      <c r="Y19" s="2">
        <f t="shared" si="2"/>
        <v>0</v>
      </c>
    </row>
    <row r="20" spans="2:25" x14ac:dyDescent="0.25">
      <c r="D20" s="12"/>
      <c r="E20" s="5"/>
      <c r="F20" s="19" t="str">
        <f t="shared" si="0"/>
        <v/>
      </c>
      <c r="G20" s="1"/>
      <c r="H20" s="1"/>
      <c r="I20" s="1"/>
      <c r="J20" s="11"/>
      <c r="X20" s="5">
        <f t="shared" si="1"/>
        <v>0</v>
      </c>
      <c r="Y20" s="2">
        <f t="shared" si="2"/>
        <v>0</v>
      </c>
    </row>
    <row r="21" spans="2:25" x14ac:dyDescent="0.25">
      <c r="D21" s="12"/>
      <c r="E21" s="5"/>
      <c r="F21" s="19" t="str">
        <f t="shared" si="0"/>
        <v/>
      </c>
      <c r="G21" s="1"/>
      <c r="H21" s="1"/>
      <c r="I21" s="1"/>
      <c r="J21" s="11"/>
      <c r="X21" s="5">
        <f t="shared" si="1"/>
        <v>0</v>
      </c>
      <c r="Y21" s="2">
        <f t="shared" si="2"/>
        <v>0</v>
      </c>
    </row>
    <row r="22" spans="2:25" x14ac:dyDescent="0.25">
      <c r="D22" s="12"/>
      <c r="E22" s="5"/>
      <c r="F22" s="19" t="str">
        <f t="shared" si="0"/>
        <v/>
      </c>
      <c r="G22" s="1"/>
      <c r="H22" s="1"/>
      <c r="I22" s="1"/>
      <c r="J22" s="11"/>
      <c r="X22" s="5">
        <f t="shared" si="1"/>
        <v>0</v>
      </c>
      <c r="Y22" s="2">
        <f t="shared" si="2"/>
        <v>0</v>
      </c>
    </row>
    <row r="23" spans="2:25" x14ac:dyDescent="0.25">
      <c r="B23" s="22"/>
      <c r="D23" s="12"/>
      <c r="E23" s="5"/>
      <c r="F23" s="19" t="str">
        <f t="shared" si="0"/>
        <v/>
      </c>
      <c r="G23" s="1"/>
      <c r="H23" s="1"/>
      <c r="I23" s="1"/>
      <c r="J23" s="11"/>
      <c r="X23" s="5">
        <f t="shared" si="1"/>
        <v>0</v>
      </c>
      <c r="Y23" s="2">
        <f t="shared" si="2"/>
        <v>0</v>
      </c>
    </row>
    <row r="24" spans="2:25" x14ac:dyDescent="0.25">
      <c r="D24" s="12"/>
      <c r="E24" s="5"/>
      <c r="F24" s="19" t="str">
        <f t="shared" si="0"/>
        <v/>
      </c>
      <c r="G24" s="1"/>
      <c r="H24" s="1"/>
      <c r="I24" s="1"/>
      <c r="J24" s="11"/>
      <c r="X24" s="5">
        <f t="shared" si="1"/>
        <v>0</v>
      </c>
      <c r="Y24" s="2">
        <f t="shared" si="2"/>
        <v>0</v>
      </c>
    </row>
    <row r="25" spans="2:25" x14ac:dyDescent="0.25">
      <c r="D25" s="12"/>
      <c r="E25" s="5"/>
      <c r="F25" s="19" t="str">
        <f t="shared" si="0"/>
        <v/>
      </c>
      <c r="G25" s="1"/>
      <c r="H25" s="1"/>
      <c r="I25" s="1"/>
      <c r="J25" s="11"/>
      <c r="X25" s="5">
        <f t="shared" si="1"/>
        <v>0</v>
      </c>
      <c r="Y25" s="2">
        <f t="shared" si="2"/>
        <v>0</v>
      </c>
    </row>
    <row r="26" spans="2:25" x14ac:dyDescent="0.25">
      <c r="D26" s="12"/>
      <c r="E26" s="5"/>
      <c r="F26" s="19" t="str">
        <f t="shared" si="0"/>
        <v/>
      </c>
      <c r="G26" s="1"/>
      <c r="H26" s="1"/>
      <c r="I26" s="1"/>
      <c r="J26" s="11"/>
      <c r="X26" s="5">
        <f t="shared" si="1"/>
        <v>0</v>
      </c>
      <c r="Y26" s="2">
        <f t="shared" si="2"/>
        <v>0</v>
      </c>
    </row>
    <row r="27" spans="2:25" x14ac:dyDescent="0.25">
      <c r="D27" s="12"/>
      <c r="E27" s="5"/>
      <c r="F27" s="19" t="str">
        <f t="shared" si="0"/>
        <v/>
      </c>
      <c r="G27" s="1"/>
      <c r="H27" s="1"/>
      <c r="I27" s="1"/>
      <c r="J27" s="11"/>
      <c r="X27" s="5">
        <f t="shared" si="1"/>
        <v>0</v>
      </c>
      <c r="Y27" s="2">
        <f t="shared" si="2"/>
        <v>0</v>
      </c>
    </row>
    <row r="28" spans="2:25" x14ac:dyDescent="0.25">
      <c r="D28" s="12"/>
      <c r="E28" s="5"/>
      <c r="F28" s="19" t="str">
        <f t="shared" si="0"/>
        <v/>
      </c>
      <c r="G28" s="1"/>
      <c r="H28" s="1"/>
      <c r="I28" s="1"/>
      <c r="J28" s="11"/>
      <c r="X28" s="5">
        <f t="shared" si="1"/>
        <v>0</v>
      </c>
      <c r="Y28" s="2">
        <f t="shared" si="2"/>
        <v>0</v>
      </c>
    </row>
    <row r="29" spans="2:25" x14ac:dyDescent="0.25">
      <c r="D29" s="12"/>
      <c r="E29" s="5"/>
      <c r="F29" s="19" t="str">
        <f t="shared" si="0"/>
        <v/>
      </c>
      <c r="G29" s="1"/>
      <c r="H29" s="1"/>
      <c r="I29" s="1"/>
      <c r="J29" s="11"/>
      <c r="X29" s="5">
        <f t="shared" si="1"/>
        <v>0</v>
      </c>
      <c r="Y29" s="2">
        <f t="shared" si="2"/>
        <v>0</v>
      </c>
    </row>
    <row r="30" spans="2:25" x14ac:dyDescent="0.25">
      <c r="D30" s="12"/>
      <c r="E30" s="5"/>
      <c r="F30" s="19" t="str">
        <f t="shared" si="0"/>
        <v/>
      </c>
      <c r="G30" s="1"/>
      <c r="H30" s="1"/>
      <c r="I30" s="1"/>
      <c r="J30" s="11"/>
      <c r="X30" s="5">
        <f t="shared" si="1"/>
        <v>0</v>
      </c>
      <c r="Y30" s="2">
        <f t="shared" si="2"/>
        <v>0</v>
      </c>
    </row>
    <row r="31" spans="2:25" x14ac:dyDescent="0.25">
      <c r="D31" s="12"/>
      <c r="E31" s="5"/>
      <c r="F31" s="19" t="str">
        <f t="shared" si="0"/>
        <v/>
      </c>
      <c r="G31" s="1"/>
      <c r="H31" s="1"/>
      <c r="I31" s="1"/>
      <c r="J31" s="11"/>
      <c r="X31" s="5">
        <f t="shared" si="1"/>
        <v>0</v>
      </c>
      <c r="Y31" s="2">
        <f t="shared" si="2"/>
        <v>0</v>
      </c>
    </row>
    <row r="32" spans="2:25" x14ac:dyDescent="0.25">
      <c r="D32" s="12"/>
      <c r="E32" s="5"/>
      <c r="F32" s="19" t="str">
        <f t="shared" si="0"/>
        <v/>
      </c>
      <c r="G32" s="1"/>
      <c r="H32" s="1"/>
      <c r="I32" s="1"/>
      <c r="J32" s="11"/>
      <c r="X32" s="5">
        <f t="shared" si="1"/>
        <v>0</v>
      </c>
      <c r="Y32" s="2">
        <f t="shared" si="2"/>
        <v>0</v>
      </c>
    </row>
    <row r="33" spans="4:25" x14ac:dyDescent="0.25">
      <c r="D33" s="12"/>
      <c r="E33" s="5"/>
      <c r="F33" s="19" t="str">
        <f t="shared" si="0"/>
        <v/>
      </c>
      <c r="G33" s="1"/>
      <c r="H33" s="1"/>
      <c r="I33" s="1"/>
      <c r="J33" s="11"/>
      <c r="X33" s="5">
        <f t="shared" si="1"/>
        <v>0</v>
      </c>
      <c r="Y33" s="2">
        <f t="shared" si="2"/>
        <v>0</v>
      </c>
    </row>
    <row r="34" spans="4:25" x14ac:dyDescent="0.25">
      <c r="D34" s="12"/>
      <c r="E34" s="5"/>
      <c r="F34" s="19" t="str">
        <f t="shared" si="0"/>
        <v/>
      </c>
      <c r="G34" s="1"/>
      <c r="H34" s="1"/>
      <c r="I34" s="1"/>
      <c r="J34" s="11"/>
      <c r="X34" s="5">
        <f t="shared" si="1"/>
        <v>0</v>
      </c>
      <c r="Y34" s="2">
        <f t="shared" si="2"/>
        <v>0</v>
      </c>
    </row>
    <row r="35" spans="4:25" x14ac:dyDescent="0.25">
      <c r="D35" s="12"/>
      <c r="E35" s="5"/>
      <c r="F35" s="19" t="str">
        <f t="shared" si="0"/>
        <v/>
      </c>
      <c r="G35" s="1"/>
      <c r="H35" s="1"/>
      <c r="I35" s="1"/>
      <c r="J35" s="11"/>
      <c r="X35" s="5">
        <f t="shared" si="1"/>
        <v>0</v>
      </c>
      <c r="Y35" s="2">
        <f t="shared" si="2"/>
        <v>0</v>
      </c>
    </row>
    <row r="36" spans="4:25" x14ac:dyDescent="0.25">
      <c r="D36" s="12"/>
      <c r="E36" s="5"/>
      <c r="F36" s="19" t="str">
        <f t="shared" si="0"/>
        <v/>
      </c>
      <c r="G36" s="1"/>
      <c r="H36" s="1"/>
      <c r="I36" s="1"/>
      <c r="J36" s="11"/>
      <c r="X36" s="5">
        <f t="shared" si="1"/>
        <v>0</v>
      </c>
      <c r="Y36" s="2">
        <f t="shared" si="2"/>
        <v>0</v>
      </c>
    </row>
    <row r="37" spans="4:25" x14ac:dyDescent="0.25">
      <c r="D37" s="12"/>
      <c r="E37" s="5"/>
      <c r="F37" s="19" t="str">
        <f t="shared" si="0"/>
        <v/>
      </c>
      <c r="G37" s="1"/>
      <c r="H37" s="1"/>
      <c r="I37" s="1"/>
      <c r="J37" s="11"/>
      <c r="X37" s="5">
        <f t="shared" si="1"/>
        <v>0</v>
      </c>
      <c r="Y37" s="2">
        <f t="shared" si="2"/>
        <v>0</v>
      </c>
    </row>
    <row r="38" spans="4:25" x14ac:dyDescent="0.25">
      <c r="D38" s="12"/>
      <c r="E38" s="5"/>
      <c r="F38" s="19" t="str">
        <f t="shared" si="0"/>
        <v/>
      </c>
      <c r="G38" s="1"/>
      <c r="H38" s="1"/>
      <c r="I38" s="1"/>
      <c r="J38" s="11"/>
      <c r="X38" s="5">
        <f t="shared" si="1"/>
        <v>0</v>
      </c>
      <c r="Y38" s="2">
        <f t="shared" si="2"/>
        <v>0</v>
      </c>
    </row>
    <row r="39" spans="4:25" x14ac:dyDescent="0.25">
      <c r="D39" s="12"/>
      <c r="E39" s="5"/>
      <c r="F39" s="19" t="str">
        <f t="shared" si="0"/>
        <v/>
      </c>
      <c r="G39" s="1"/>
      <c r="H39" s="1"/>
      <c r="I39" s="1"/>
      <c r="J39" s="11"/>
      <c r="X39" s="5">
        <f t="shared" si="1"/>
        <v>0</v>
      </c>
      <c r="Y39" s="2">
        <f t="shared" si="2"/>
        <v>0</v>
      </c>
    </row>
    <row r="40" spans="4:25" x14ac:dyDescent="0.25">
      <c r="D40" s="12"/>
      <c r="E40" s="5"/>
      <c r="F40" s="19" t="str">
        <f t="shared" si="0"/>
        <v/>
      </c>
      <c r="G40" s="1"/>
      <c r="H40" s="1"/>
      <c r="I40" s="1"/>
      <c r="J40" s="11"/>
      <c r="X40" s="5">
        <f t="shared" si="1"/>
        <v>0</v>
      </c>
      <c r="Y40" s="2">
        <f t="shared" si="2"/>
        <v>0</v>
      </c>
    </row>
    <row r="41" spans="4:25" x14ac:dyDescent="0.25">
      <c r="D41" s="12"/>
      <c r="E41" s="5"/>
      <c r="F41" s="19" t="str">
        <f t="shared" si="0"/>
        <v/>
      </c>
      <c r="G41" s="1"/>
      <c r="H41" s="1"/>
      <c r="I41" s="1"/>
      <c r="J41" s="11"/>
      <c r="X41" s="5">
        <f t="shared" si="1"/>
        <v>0</v>
      </c>
      <c r="Y41" s="2">
        <f t="shared" si="2"/>
        <v>0</v>
      </c>
    </row>
    <row r="42" spans="4:25" x14ac:dyDescent="0.25">
      <c r="D42" s="12"/>
      <c r="E42" s="5"/>
      <c r="F42" s="19" t="str">
        <f t="shared" si="0"/>
        <v/>
      </c>
      <c r="G42" s="1"/>
      <c r="H42" s="1"/>
      <c r="I42" s="1"/>
      <c r="J42" s="11"/>
      <c r="X42" s="5">
        <f t="shared" si="1"/>
        <v>0</v>
      </c>
      <c r="Y42" s="2">
        <f t="shared" si="2"/>
        <v>0</v>
      </c>
    </row>
    <row r="43" spans="4:25" x14ac:dyDescent="0.25">
      <c r="D43" s="12"/>
      <c r="E43" s="5"/>
      <c r="F43" s="19" t="str">
        <f t="shared" si="0"/>
        <v/>
      </c>
      <c r="G43" s="1"/>
      <c r="H43" s="1"/>
      <c r="I43" s="1"/>
      <c r="J43" s="11"/>
      <c r="X43" s="5">
        <f t="shared" si="1"/>
        <v>0</v>
      </c>
      <c r="Y43" s="2">
        <f t="shared" si="2"/>
        <v>0</v>
      </c>
    </row>
    <row r="44" spans="4:25" x14ac:dyDescent="0.25">
      <c r="D44" s="12"/>
      <c r="E44" s="5"/>
      <c r="F44" s="19" t="str">
        <f t="shared" si="0"/>
        <v/>
      </c>
      <c r="G44" s="1"/>
      <c r="H44" s="1"/>
      <c r="I44" s="1"/>
      <c r="J44" s="11"/>
      <c r="X44" s="5">
        <f t="shared" si="1"/>
        <v>0</v>
      </c>
      <c r="Y44" s="2">
        <f t="shared" si="2"/>
        <v>0</v>
      </c>
    </row>
    <row r="45" spans="4:25" x14ac:dyDescent="0.25">
      <c r="D45" s="12"/>
      <c r="E45" s="5"/>
      <c r="F45" s="19" t="str">
        <f t="shared" si="0"/>
        <v/>
      </c>
      <c r="G45" s="1"/>
      <c r="H45" s="1"/>
      <c r="I45" s="1"/>
      <c r="J45" s="11"/>
      <c r="X45" s="5">
        <f t="shared" si="1"/>
        <v>0</v>
      </c>
      <c r="Y45" s="2">
        <f t="shared" si="2"/>
        <v>0</v>
      </c>
    </row>
    <row r="46" spans="4:25" x14ac:dyDescent="0.25">
      <c r="D46" s="12"/>
      <c r="E46" s="5"/>
      <c r="F46" s="19" t="str">
        <f t="shared" si="0"/>
        <v/>
      </c>
      <c r="G46" s="1"/>
      <c r="H46" s="1"/>
      <c r="I46" s="1"/>
      <c r="J46" s="11"/>
      <c r="X46" s="5">
        <f t="shared" si="1"/>
        <v>0</v>
      </c>
      <c r="Y46" s="2">
        <f t="shared" si="2"/>
        <v>0</v>
      </c>
    </row>
    <row r="47" spans="4:25" x14ac:dyDescent="0.25">
      <c r="D47" s="12"/>
      <c r="E47" s="5"/>
      <c r="F47" s="19" t="str">
        <f t="shared" si="0"/>
        <v/>
      </c>
      <c r="G47" s="1"/>
      <c r="H47" s="1"/>
      <c r="I47" s="1"/>
      <c r="J47" s="11"/>
      <c r="X47" s="5">
        <f t="shared" si="1"/>
        <v>0</v>
      </c>
      <c r="Y47" s="2">
        <f t="shared" si="2"/>
        <v>0</v>
      </c>
    </row>
    <row r="48" spans="4:25" x14ac:dyDescent="0.25">
      <c r="D48" s="12"/>
      <c r="E48" s="5"/>
      <c r="F48" s="19" t="str">
        <f t="shared" si="0"/>
        <v/>
      </c>
      <c r="G48" s="1"/>
      <c r="H48" s="1"/>
      <c r="I48" s="1"/>
      <c r="J48" s="11"/>
      <c r="X48" s="5">
        <f t="shared" si="1"/>
        <v>0</v>
      </c>
      <c r="Y48" s="2">
        <f t="shared" si="2"/>
        <v>0</v>
      </c>
    </row>
    <row r="49" spans="4:25" x14ac:dyDescent="0.25">
      <c r="D49" s="12"/>
      <c r="E49" s="5"/>
      <c r="F49" s="19" t="str">
        <f t="shared" si="0"/>
        <v/>
      </c>
      <c r="G49" s="1"/>
      <c r="H49" s="1"/>
      <c r="I49" s="1"/>
      <c r="J49" s="11"/>
      <c r="X49" s="5">
        <f t="shared" si="1"/>
        <v>0</v>
      </c>
      <c r="Y49" s="2">
        <f t="shared" si="2"/>
        <v>0</v>
      </c>
    </row>
    <row r="50" spans="4:25" x14ac:dyDescent="0.25">
      <c r="D50" s="12"/>
      <c r="E50" s="5"/>
      <c r="F50" s="19" t="str">
        <f t="shared" si="0"/>
        <v/>
      </c>
      <c r="G50" s="1"/>
      <c r="H50" s="1"/>
      <c r="I50" s="1"/>
      <c r="J50" s="11"/>
      <c r="X50" s="5">
        <f t="shared" si="1"/>
        <v>0</v>
      </c>
      <c r="Y50" s="2">
        <f t="shared" si="2"/>
        <v>0</v>
      </c>
    </row>
    <row r="51" spans="4:25" x14ac:dyDescent="0.25">
      <c r="D51" s="12"/>
      <c r="E51" s="5"/>
      <c r="F51" s="19" t="str">
        <f t="shared" si="0"/>
        <v/>
      </c>
      <c r="G51" s="1"/>
      <c r="H51" s="1"/>
      <c r="I51" s="1"/>
      <c r="J51" s="11"/>
      <c r="X51" s="5">
        <f t="shared" si="1"/>
        <v>0</v>
      </c>
      <c r="Y51" s="2">
        <f t="shared" si="2"/>
        <v>0</v>
      </c>
    </row>
    <row r="52" spans="4:25" x14ac:dyDescent="0.25">
      <c r="D52" s="12"/>
      <c r="E52" s="5"/>
      <c r="F52" s="19" t="str">
        <f t="shared" si="0"/>
        <v/>
      </c>
      <c r="G52" s="1"/>
      <c r="H52" s="1"/>
      <c r="I52" s="1"/>
      <c r="J52" s="9"/>
      <c r="X52" s="5">
        <f t="shared" si="1"/>
        <v>0</v>
      </c>
      <c r="Y52" s="2">
        <f t="shared" si="2"/>
        <v>0</v>
      </c>
    </row>
    <row r="53" spans="4:25" x14ac:dyDescent="0.25">
      <c r="D53" s="1" t="s">
        <v>25</v>
      </c>
      <c r="E53" s="23"/>
      <c r="F53" s="2"/>
      <c r="G53" s="2">
        <f>SUM(G3:G52)</f>
        <v>13.72</v>
      </c>
      <c r="H53" s="2">
        <f t="shared" ref="H53:I53" si="3">SUM(H3:H52)</f>
        <v>0.70000000000000007</v>
      </c>
      <c r="I53" s="2">
        <f t="shared" si="3"/>
        <v>0.04</v>
      </c>
    </row>
  </sheetData>
  <mergeCells count="4">
    <mergeCell ref="D1:F1"/>
    <mergeCell ref="G1:I1"/>
    <mergeCell ref="K1:Q1"/>
    <mergeCell ref="X1:Z1"/>
  </mergeCells>
  <conditionalFormatting sqref="A1:B1">
    <cfRule type="expression" dxfId="79" priority="1">
      <formula>$Z$3="+"</formula>
    </cfRule>
    <cfRule type="expression" dxfId="78" priority="2">
      <formula>$B$16=$K$3</formula>
    </cfRule>
  </conditionalFormatting>
  <conditionalFormatting sqref="P3">
    <cfRule type="expression" dxfId="77" priority="6">
      <formula>$Z$3="+"</formula>
    </cfRule>
  </conditionalFormatting>
  <conditionalFormatting sqref="Z3">
    <cfRule type="expression" dxfId="76" priority="7">
      <formula>$Z$3="+"</formula>
    </cfRule>
  </conditionalFormatting>
  <dataValidations count="1">
    <dataValidation type="list" allowBlank="1" showInputMessage="1" showErrorMessage="1" sqref="B2" xr:uid="{9E9F8322-5EE8-4192-A65C-D87CF992F9C2}">
      <formula1>"Romania,Moldova,Cyprus,Philippines"</formula1>
    </dataValidation>
  </dataValidations>
  <pageMargins left="0.7" right="0.7" top="0.75" bottom="0.75" header="0.3" footer="0.3"/>
  <pageSetup orientation="portrait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D52DC-6457-4FF1-B9E2-63B4E4DE7253}">
  <sheetPr>
    <tabColor rgb="FF92D050"/>
  </sheetPr>
  <dimension ref="A1:Z53"/>
  <sheetViews>
    <sheetView workbookViewId="0">
      <selection activeCell="L33" sqref="L33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1" customWidth="1"/>
    <col min="25" max="25" width="10.7109375" style="11" customWidth="1"/>
    <col min="26" max="26" width="10.7109375" customWidth="1"/>
  </cols>
  <sheetData>
    <row r="1" spans="1:26" x14ac:dyDescent="0.25">
      <c r="A1" s="4" t="s">
        <v>66</v>
      </c>
      <c r="B1" s="5" t="s">
        <v>44</v>
      </c>
      <c r="D1" s="29" t="s">
        <v>2</v>
      </c>
      <c r="E1" s="30"/>
      <c r="F1" s="31"/>
      <c r="G1" s="29" t="s">
        <v>0</v>
      </c>
      <c r="H1" s="30"/>
      <c r="I1" s="31"/>
      <c r="J1" s="18"/>
      <c r="K1" s="29" t="s">
        <v>58</v>
      </c>
      <c r="L1" s="30"/>
      <c r="M1" s="30"/>
      <c r="N1" s="30"/>
      <c r="O1" s="30"/>
      <c r="P1" s="30"/>
      <c r="Q1" s="31"/>
      <c r="X1" s="29"/>
      <c r="Y1" s="30"/>
      <c r="Z1" s="31"/>
    </row>
    <row r="2" spans="1:26" x14ac:dyDescent="0.25">
      <c r="A2" s="4" t="s">
        <v>21</v>
      </c>
      <c r="B2" s="5" t="s">
        <v>27</v>
      </c>
      <c r="D2" s="10" t="s">
        <v>49</v>
      </c>
      <c r="E2" s="10" t="s">
        <v>50</v>
      </c>
      <c r="F2" s="17" t="s">
        <v>67</v>
      </c>
      <c r="G2" s="10" t="s">
        <v>15</v>
      </c>
      <c r="H2" s="10" t="s">
        <v>16</v>
      </c>
      <c r="I2" s="10" t="s">
        <v>60</v>
      </c>
      <c r="J2" s="9"/>
      <c r="K2" s="10" t="s">
        <v>0</v>
      </c>
      <c r="L2" s="10" t="s">
        <v>1</v>
      </c>
      <c r="M2" s="10" t="s">
        <v>56</v>
      </c>
      <c r="N2" s="10" t="s">
        <v>57</v>
      </c>
      <c r="O2" s="10" t="s">
        <v>2</v>
      </c>
      <c r="P2" s="10" t="s">
        <v>68</v>
      </c>
      <c r="Q2" s="10" t="s">
        <v>67</v>
      </c>
      <c r="X2" s="10" t="s">
        <v>2</v>
      </c>
      <c r="Y2" s="10" t="s">
        <v>59</v>
      </c>
      <c r="Z2" s="10" t="s">
        <v>68</v>
      </c>
    </row>
    <row r="3" spans="1:26" x14ac:dyDescent="0.25">
      <c r="A3" s="4" t="s">
        <v>69</v>
      </c>
      <c r="B3" s="5" t="s">
        <v>78</v>
      </c>
      <c r="D3" s="12">
        <v>46053</v>
      </c>
      <c r="E3" s="12">
        <v>46053</v>
      </c>
      <c r="F3" s="19">
        <f t="shared" ref="F3:F52" si="0">IF(E3&gt;0,E3-D3,"")</f>
        <v>0</v>
      </c>
      <c r="G3" s="2">
        <v>0</v>
      </c>
      <c r="H3" s="1">
        <v>0.04</v>
      </c>
      <c r="I3" s="2">
        <v>0</v>
      </c>
      <c r="J3" s="11"/>
      <c r="K3" s="2">
        <f>G53</f>
        <v>13.84</v>
      </c>
      <c r="L3" s="2">
        <f>H53</f>
        <v>0.51</v>
      </c>
      <c r="M3" s="2">
        <f>I53</f>
        <v>0.03</v>
      </c>
      <c r="N3" s="6">
        <f>IF(B16=K3,XIRR(Y3:Y52,X3:X52),"")</f>
        <v>0.11232596039772036</v>
      </c>
      <c r="O3" s="5">
        <f>IF(B16=K3,MAX(E:E),"")</f>
        <v>46150</v>
      </c>
      <c r="P3" s="1" t="str">
        <f ca="1">IF(Z3="+",TODAY()-B11,"")</f>
        <v/>
      </c>
      <c r="Q3" s="1">
        <f>IF(B16=K3,MAX(E:E)-B11,"")</f>
        <v>1</v>
      </c>
      <c r="T3" s="14"/>
      <c r="X3" s="5">
        <f>B9</f>
        <v>46032</v>
      </c>
      <c r="Y3" s="2">
        <f>B16*-1</f>
        <v>-13.84</v>
      </c>
      <c r="Z3" s="1" t="str">
        <f ca="1">IF(AND(TODAY()&gt;B11, K3&lt;&gt;B16), "+", "")</f>
        <v/>
      </c>
    </row>
    <row r="4" spans="1:26" x14ac:dyDescent="0.25">
      <c r="A4" s="4" t="s">
        <v>19</v>
      </c>
      <c r="B4" s="5" t="s">
        <v>20</v>
      </c>
      <c r="D4" s="12">
        <v>46081</v>
      </c>
      <c r="E4" s="12">
        <v>46081</v>
      </c>
      <c r="F4" s="19">
        <f t="shared" si="0"/>
        <v>0</v>
      </c>
      <c r="G4" s="2">
        <v>0</v>
      </c>
      <c r="H4" s="1">
        <v>0.09</v>
      </c>
      <c r="I4" s="2">
        <v>0</v>
      </c>
      <c r="J4" s="9"/>
      <c r="X4" s="5">
        <f>E3</f>
        <v>46053</v>
      </c>
      <c r="Y4" s="2">
        <f>G3+H3-I3</f>
        <v>0.04</v>
      </c>
    </row>
    <row r="5" spans="1:26" x14ac:dyDescent="0.25">
      <c r="A5" s="4"/>
      <c r="B5" s="5"/>
      <c r="D5" s="12">
        <v>46112</v>
      </c>
      <c r="E5" s="12">
        <v>46112</v>
      </c>
      <c r="F5" s="19">
        <f t="shared" si="0"/>
        <v>0</v>
      </c>
      <c r="G5" s="2">
        <v>0</v>
      </c>
      <c r="H5" s="1">
        <v>0.13</v>
      </c>
      <c r="I5" s="2">
        <v>0.01</v>
      </c>
      <c r="J5" s="9"/>
      <c r="X5" s="5">
        <f t="shared" ref="X5:X52" si="1">E4</f>
        <v>46081</v>
      </c>
      <c r="Y5" s="2">
        <f t="shared" ref="Y5:Y52" si="2">G4+H4-I4</f>
        <v>0.09</v>
      </c>
    </row>
    <row r="6" spans="1:26" x14ac:dyDescent="0.25">
      <c r="A6" s="4"/>
      <c r="B6" s="5"/>
      <c r="D6" s="12">
        <v>46142</v>
      </c>
      <c r="E6" s="12">
        <v>46142</v>
      </c>
      <c r="F6" s="19">
        <f t="shared" si="0"/>
        <v>0</v>
      </c>
      <c r="G6" s="2">
        <v>0</v>
      </c>
      <c r="H6" s="1">
        <v>0.13</v>
      </c>
      <c r="I6" s="2">
        <v>0.01</v>
      </c>
      <c r="J6" s="9"/>
      <c r="X6" s="5">
        <f t="shared" si="1"/>
        <v>46112</v>
      </c>
      <c r="Y6" s="2">
        <f t="shared" si="2"/>
        <v>0.12000000000000001</v>
      </c>
    </row>
    <row r="7" spans="1:26" x14ac:dyDescent="0.25">
      <c r="A7" s="4"/>
      <c r="B7" s="5"/>
      <c r="D7" s="12">
        <v>46149</v>
      </c>
      <c r="E7" s="12">
        <v>46150</v>
      </c>
      <c r="F7" s="19">
        <f t="shared" si="0"/>
        <v>1</v>
      </c>
      <c r="G7" s="2">
        <v>13.84</v>
      </c>
      <c r="H7" s="1">
        <v>0.12</v>
      </c>
      <c r="I7" s="2">
        <v>0.01</v>
      </c>
      <c r="J7" s="11"/>
      <c r="X7" s="5">
        <f t="shared" si="1"/>
        <v>46142</v>
      </c>
      <c r="Y7" s="2">
        <f t="shared" si="2"/>
        <v>0.12000000000000001</v>
      </c>
    </row>
    <row r="8" spans="1:26" x14ac:dyDescent="0.25">
      <c r="A8" s="4" t="s">
        <v>24</v>
      </c>
      <c r="B8" s="5" t="str">
        <f>DATEDIF(B9,B11,"y") &amp; " m. " &amp; DATEDIF(B9,B11,"ym") &amp; " mėn. " &amp; DATEDIF(B9,B11,"md") &amp; " d."</f>
        <v>0 m. 3 mėn. 27 d.</v>
      </c>
      <c r="D8" s="12"/>
      <c r="E8" s="12"/>
      <c r="F8" s="19" t="str">
        <f t="shared" si="0"/>
        <v/>
      </c>
      <c r="G8" s="1"/>
      <c r="H8" s="1"/>
      <c r="I8" s="2"/>
      <c r="J8" s="9"/>
      <c r="X8" s="5">
        <f t="shared" si="1"/>
        <v>46150</v>
      </c>
      <c r="Y8" s="2">
        <f t="shared" si="2"/>
        <v>13.95</v>
      </c>
    </row>
    <row r="9" spans="1:26" x14ac:dyDescent="0.25">
      <c r="A9" s="4" t="s">
        <v>11</v>
      </c>
      <c r="B9" s="5">
        <v>46032</v>
      </c>
      <c r="D9" s="12"/>
      <c r="E9" s="12"/>
      <c r="F9" s="19"/>
      <c r="G9" s="2"/>
      <c r="H9" s="2"/>
      <c r="I9" s="2"/>
      <c r="J9" s="11"/>
      <c r="X9" s="5">
        <f t="shared" si="1"/>
        <v>0</v>
      </c>
      <c r="Y9" s="2">
        <f t="shared" si="2"/>
        <v>0</v>
      </c>
    </row>
    <row r="10" spans="1:26" x14ac:dyDescent="0.25">
      <c r="A10" s="4" t="s">
        <v>70</v>
      </c>
      <c r="B10" s="5">
        <v>46029</v>
      </c>
      <c r="D10" s="12"/>
      <c r="E10" s="12"/>
      <c r="F10" s="19" t="str">
        <f t="shared" si="0"/>
        <v/>
      </c>
      <c r="G10" s="1"/>
      <c r="H10" s="1"/>
      <c r="I10" s="2"/>
      <c r="J10" s="11"/>
      <c r="X10" s="5">
        <f t="shared" si="1"/>
        <v>0</v>
      </c>
      <c r="Y10" s="2">
        <f t="shared" si="2"/>
        <v>0</v>
      </c>
    </row>
    <row r="11" spans="1:26" x14ac:dyDescent="0.25">
      <c r="A11" s="4" t="s">
        <v>10</v>
      </c>
      <c r="B11" s="5">
        <v>46149</v>
      </c>
      <c r="D11" s="12"/>
      <c r="E11" s="12"/>
      <c r="F11" s="19" t="str">
        <f t="shared" si="0"/>
        <v/>
      </c>
      <c r="G11" s="1"/>
      <c r="H11" s="2"/>
      <c r="I11" s="2"/>
      <c r="J11" s="11"/>
      <c r="X11" s="5">
        <f t="shared" si="1"/>
        <v>0</v>
      </c>
      <c r="Y11" s="2">
        <f t="shared" si="2"/>
        <v>0</v>
      </c>
    </row>
    <row r="12" spans="1:26" x14ac:dyDescent="0.25">
      <c r="A12" s="4" t="s">
        <v>71</v>
      </c>
      <c r="B12" s="19" t="str">
        <f ca="1">IF(B16&lt;&gt;K3,(TODAY()-B11)*-1,"")</f>
        <v/>
      </c>
      <c r="D12" s="12"/>
      <c r="E12" s="12"/>
      <c r="F12" s="19" t="str">
        <f t="shared" si="0"/>
        <v/>
      </c>
      <c r="G12" s="2"/>
      <c r="H12" s="1"/>
      <c r="I12" s="1"/>
      <c r="J12" s="11"/>
      <c r="X12" s="5">
        <f t="shared" si="1"/>
        <v>0</v>
      </c>
      <c r="Y12" s="2">
        <f t="shared" si="2"/>
        <v>0</v>
      </c>
    </row>
    <row r="13" spans="1:26" x14ac:dyDescent="0.25">
      <c r="A13" s="4"/>
      <c r="B13" s="2"/>
      <c r="D13" s="12"/>
      <c r="E13" s="12"/>
      <c r="F13" s="19" t="str">
        <f t="shared" si="0"/>
        <v/>
      </c>
      <c r="G13" s="1"/>
      <c r="H13" s="2"/>
      <c r="I13" s="2"/>
      <c r="J13" s="11"/>
      <c r="N13" s="14"/>
      <c r="X13" s="5">
        <f t="shared" si="1"/>
        <v>0</v>
      </c>
      <c r="Y13" s="2">
        <f t="shared" si="2"/>
        <v>0</v>
      </c>
    </row>
    <row r="14" spans="1:26" x14ac:dyDescent="0.25">
      <c r="A14" s="13"/>
      <c r="B14" s="20"/>
      <c r="D14" s="12"/>
      <c r="E14" s="5"/>
      <c r="F14" s="19" t="str">
        <f t="shared" si="0"/>
        <v/>
      </c>
      <c r="G14" s="1"/>
      <c r="H14" s="1"/>
      <c r="I14" s="1"/>
      <c r="J14" s="11"/>
      <c r="X14" s="5">
        <f t="shared" si="1"/>
        <v>0</v>
      </c>
      <c r="Y14" s="2">
        <f t="shared" si="2"/>
        <v>0</v>
      </c>
    </row>
    <row r="15" spans="1:26" x14ac:dyDescent="0.25">
      <c r="A15" s="4" t="s">
        <v>1</v>
      </c>
      <c r="B15" s="6">
        <v>0.115</v>
      </c>
      <c r="D15" s="12"/>
      <c r="E15" s="5"/>
      <c r="F15" s="19" t="str">
        <f t="shared" si="0"/>
        <v/>
      </c>
      <c r="G15" s="1"/>
      <c r="H15" s="1"/>
      <c r="I15" s="1"/>
      <c r="J15" s="11"/>
      <c r="K15" s="18"/>
      <c r="L15" s="18"/>
      <c r="M15" s="18"/>
      <c r="N15" s="18"/>
      <c r="O15" s="18"/>
      <c r="P15" s="18"/>
      <c r="Q15" s="18"/>
      <c r="X15" s="5">
        <f t="shared" si="1"/>
        <v>0</v>
      </c>
      <c r="Y15" s="2">
        <f t="shared" si="2"/>
        <v>0</v>
      </c>
    </row>
    <row r="16" spans="1:26" x14ac:dyDescent="0.25">
      <c r="A16" s="4" t="s">
        <v>72</v>
      </c>
      <c r="B16" s="2">
        <v>13.84</v>
      </c>
      <c r="D16" s="12"/>
      <c r="E16" s="5"/>
      <c r="F16" s="19" t="str">
        <f t="shared" si="0"/>
        <v/>
      </c>
      <c r="G16" s="1"/>
      <c r="H16" s="1"/>
      <c r="I16" s="1"/>
      <c r="J16" s="11"/>
      <c r="K16" s="9"/>
      <c r="L16" s="9"/>
      <c r="M16" s="9"/>
      <c r="N16" s="21"/>
      <c r="O16" s="22"/>
      <c r="P16" s="11"/>
      <c r="Q16" s="11"/>
      <c r="X16" s="5">
        <f t="shared" si="1"/>
        <v>0</v>
      </c>
      <c r="Y16" s="2">
        <f t="shared" si="2"/>
        <v>0</v>
      </c>
    </row>
    <row r="17" spans="2:25" x14ac:dyDescent="0.25">
      <c r="D17" s="12"/>
      <c r="E17" s="5"/>
      <c r="F17" s="19" t="str">
        <f t="shared" si="0"/>
        <v/>
      </c>
      <c r="G17" s="1"/>
      <c r="H17" s="1"/>
      <c r="I17" s="1"/>
      <c r="J17" s="11"/>
      <c r="X17" s="5">
        <f t="shared" si="1"/>
        <v>0</v>
      </c>
      <c r="Y17" s="2">
        <f t="shared" si="2"/>
        <v>0</v>
      </c>
    </row>
    <row r="18" spans="2:25" x14ac:dyDescent="0.25">
      <c r="D18" s="12"/>
      <c r="E18" s="5"/>
      <c r="F18" s="19" t="str">
        <f t="shared" si="0"/>
        <v/>
      </c>
      <c r="G18" s="1"/>
      <c r="H18" s="1"/>
      <c r="I18" s="1"/>
      <c r="J18" s="11"/>
      <c r="X18" s="5">
        <f t="shared" si="1"/>
        <v>0</v>
      </c>
      <c r="Y18" s="2">
        <f t="shared" si="2"/>
        <v>0</v>
      </c>
    </row>
    <row r="19" spans="2:25" x14ac:dyDescent="0.25">
      <c r="D19" s="12"/>
      <c r="E19" s="5"/>
      <c r="F19" s="19" t="str">
        <f t="shared" si="0"/>
        <v/>
      </c>
      <c r="G19" s="1"/>
      <c r="H19" s="1"/>
      <c r="I19" s="1"/>
      <c r="J19" s="11"/>
      <c r="X19" s="5">
        <f t="shared" si="1"/>
        <v>0</v>
      </c>
      <c r="Y19" s="2">
        <f t="shared" si="2"/>
        <v>0</v>
      </c>
    </row>
    <row r="20" spans="2:25" x14ac:dyDescent="0.25">
      <c r="D20" s="12"/>
      <c r="E20" s="5"/>
      <c r="F20" s="19" t="str">
        <f t="shared" si="0"/>
        <v/>
      </c>
      <c r="G20" s="1"/>
      <c r="H20" s="1"/>
      <c r="I20" s="1"/>
      <c r="J20" s="11"/>
      <c r="X20" s="5">
        <f t="shared" si="1"/>
        <v>0</v>
      </c>
      <c r="Y20" s="2">
        <f t="shared" si="2"/>
        <v>0</v>
      </c>
    </row>
    <row r="21" spans="2:25" x14ac:dyDescent="0.25">
      <c r="D21" s="12"/>
      <c r="E21" s="5"/>
      <c r="F21" s="19" t="str">
        <f t="shared" si="0"/>
        <v/>
      </c>
      <c r="G21" s="1"/>
      <c r="H21" s="1"/>
      <c r="I21" s="1"/>
      <c r="J21" s="11"/>
      <c r="X21" s="5">
        <f t="shared" si="1"/>
        <v>0</v>
      </c>
      <c r="Y21" s="2">
        <f t="shared" si="2"/>
        <v>0</v>
      </c>
    </row>
    <row r="22" spans="2:25" x14ac:dyDescent="0.25">
      <c r="D22" s="12"/>
      <c r="E22" s="5"/>
      <c r="F22" s="19" t="str">
        <f t="shared" si="0"/>
        <v/>
      </c>
      <c r="G22" s="1"/>
      <c r="H22" s="1"/>
      <c r="I22" s="1"/>
      <c r="J22" s="11"/>
      <c r="X22" s="5">
        <f t="shared" si="1"/>
        <v>0</v>
      </c>
      <c r="Y22" s="2">
        <f t="shared" si="2"/>
        <v>0</v>
      </c>
    </row>
    <row r="23" spans="2:25" x14ac:dyDescent="0.25">
      <c r="B23" s="22"/>
      <c r="D23" s="12"/>
      <c r="E23" s="5"/>
      <c r="F23" s="19" t="str">
        <f t="shared" si="0"/>
        <v/>
      </c>
      <c r="G23" s="1"/>
      <c r="H23" s="1"/>
      <c r="I23" s="1"/>
      <c r="J23" s="11"/>
      <c r="X23" s="5">
        <f t="shared" si="1"/>
        <v>0</v>
      </c>
      <c r="Y23" s="2">
        <f t="shared" si="2"/>
        <v>0</v>
      </c>
    </row>
    <row r="24" spans="2:25" x14ac:dyDescent="0.25">
      <c r="D24" s="12"/>
      <c r="E24" s="5"/>
      <c r="F24" s="19" t="str">
        <f t="shared" si="0"/>
        <v/>
      </c>
      <c r="G24" s="1"/>
      <c r="H24" s="1"/>
      <c r="I24" s="1"/>
      <c r="J24" s="11"/>
      <c r="X24" s="5">
        <f t="shared" si="1"/>
        <v>0</v>
      </c>
      <c r="Y24" s="2">
        <f t="shared" si="2"/>
        <v>0</v>
      </c>
    </row>
    <row r="25" spans="2:25" x14ac:dyDescent="0.25">
      <c r="D25" s="12"/>
      <c r="E25" s="5"/>
      <c r="F25" s="19" t="str">
        <f t="shared" si="0"/>
        <v/>
      </c>
      <c r="G25" s="1"/>
      <c r="H25" s="1"/>
      <c r="I25" s="1"/>
      <c r="J25" s="11"/>
      <c r="X25" s="5">
        <f t="shared" si="1"/>
        <v>0</v>
      </c>
      <c r="Y25" s="2">
        <f t="shared" si="2"/>
        <v>0</v>
      </c>
    </row>
    <row r="26" spans="2:25" x14ac:dyDescent="0.25">
      <c r="D26" s="12"/>
      <c r="E26" s="5"/>
      <c r="F26" s="19" t="str">
        <f t="shared" si="0"/>
        <v/>
      </c>
      <c r="G26" s="1"/>
      <c r="H26" s="1"/>
      <c r="I26" s="1"/>
      <c r="J26" s="11"/>
      <c r="X26" s="5">
        <f t="shared" si="1"/>
        <v>0</v>
      </c>
      <c r="Y26" s="2">
        <f t="shared" si="2"/>
        <v>0</v>
      </c>
    </row>
    <row r="27" spans="2:25" x14ac:dyDescent="0.25">
      <c r="D27" s="12"/>
      <c r="E27" s="5"/>
      <c r="F27" s="19" t="str">
        <f t="shared" si="0"/>
        <v/>
      </c>
      <c r="G27" s="1"/>
      <c r="H27" s="1"/>
      <c r="I27" s="1"/>
      <c r="J27" s="11"/>
      <c r="X27" s="5">
        <f t="shared" si="1"/>
        <v>0</v>
      </c>
      <c r="Y27" s="2">
        <f t="shared" si="2"/>
        <v>0</v>
      </c>
    </row>
    <row r="28" spans="2:25" x14ac:dyDescent="0.25">
      <c r="D28" s="12"/>
      <c r="E28" s="5"/>
      <c r="F28" s="19" t="str">
        <f t="shared" si="0"/>
        <v/>
      </c>
      <c r="G28" s="1"/>
      <c r="H28" s="1"/>
      <c r="I28" s="1"/>
      <c r="J28" s="11"/>
      <c r="X28" s="5">
        <f t="shared" si="1"/>
        <v>0</v>
      </c>
      <c r="Y28" s="2">
        <f t="shared" si="2"/>
        <v>0</v>
      </c>
    </row>
    <row r="29" spans="2:25" x14ac:dyDescent="0.25">
      <c r="D29" s="12"/>
      <c r="E29" s="5"/>
      <c r="F29" s="19" t="str">
        <f t="shared" si="0"/>
        <v/>
      </c>
      <c r="G29" s="1"/>
      <c r="H29" s="1"/>
      <c r="I29" s="1"/>
      <c r="J29" s="11"/>
      <c r="X29" s="5">
        <f t="shared" si="1"/>
        <v>0</v>
      </c>
      <c r="Y29" s="2">
        <f t="shared" si="2"/>
        <v>0</v>
      </c>
    </row>
    <row r="30" spans="2:25" x14ac:dyDescent="0.25">
      <c r="D30" s="12"/>
      <c r="E30" s="5"/>
      <c r="F30" s="19" t="str">
        <f t="shared" si="0"/>
        <v/>
      </c>
      <c r="G30" s="1"/>
      <c r="H30" s="1"/>
      <c r="I30" s="1"/>
      <c r="J30" s="11"/>
      <c r="X30" s="5">
        <f t="shared" si="1"/>
        <v>0</v>
      </c>
      <c r="Y30" s="2">
        <f t="shared" si="2"/>
        <v>0</v>
      </c>
    </row>
    <row r="31" spans="2:25" x14ac:dyDescent="0.25">
      <c r="D31" s="12"/>
      <c r="E31" s="5"/>
      <c r="F31" s="19" t="str">
        <f t="shared" si="0"/>
        <v/>
      </c>
      <c r="G31" s="1"/>
      <c r="H31" s="1"/>
      <c r="I31" s="1"/>
      <c r="J31" s="11"/>
      <c r="X31" s="5">
        <f t="shared" si="1"/>
        <v>0</v>
      </c>
      <c r="Y31" s="2">
        <f t="shared" si="2"/>
        <v>0</v>
      </c>
    </row>
    <row r="32" spans="2:25" x14ac:dyDescent="0.25">
      <c r="D32" s="12"/>
      <c r="E32" s="5"/>
      <c r="F32" s="19" t="str">
        <f t="shared" si="0"/>
        <v/>
      </c>
      <c r="G32" s="1"/>
      <c r="H32" s="1"/>
      <c r="I32" s="1"/>
      <c r="J32" s="11"/>
      <c r="X32" s="5">
        <f t="shared" si="1"/>
        <v>0</v>
      </c>
      <c r="Y32" s="2">
        <f t="shared" si="2"/>
        <v>0</v>
      </c>
    </row>
    <row r="33" spans="4:25" x14ac:dyDescent="0.25">
      <c r="D33" s="12"/>
      <c r="E33" s="5"/>
      <c r="F33" s="19" t="str">
        <f t="shared" si="0"/>
        <v/>
      </c>
      <c r="G33" s="1"/>
      <c r="H33" s="1"/>
      <c r="I33" s="1"/>
      <c r="J33" s="11"/>
      <c r="X33" s="5">
        <f t="shared" si="1"/>
        <v>0</v>
      </c>
      <c r="Y33" s="2">
        <f t="shared" si="2"/>
        <v>0</v>
      </c>
    </row>
    <row r="34" spans="4:25" x14ac:dyDescent="0.25">
      <c r="D34" s="12"/>
      <c r="E34" s="5"/>
      <c r="F34" s="19" t="str">
        <f t="shared" si="0"/>
        <v/>
      </c>
      <c r="G34" s="1"/>
      <c r="H34" s="1"/>
      <c r="I34" s="1"/>
      <c r="J34" s="11"/>
      <c r="X34" s="5">
        <f t="shared" si="1"/>
        <v>0</v>
      </c>
      <c r="Y34" s="2">
        <f t="shared" si="2"/>
        <v>0</v>
      </c>
    </row>
    <row r="35" spans="4:25" x14ac:dyDescent="0.25">
      <c r="D35" s="12"/>
      <c r="E35" s="5"/>
      <c r="F35" s="19" t="str">
        <f t="shared" si="0"/>
        <v/>
      </c>
      <c r="G35" s="1"/>
      <c r="H35" s="1"/>
      <c r="I35" s="1"/>
      <c r="J35" s="11"/>
      <c r="X35" s="5">
        <f t="shared" si="1"/>
        <v>0</v>
      </c>
      <c r="Y35" s="2">
        <f t="shared" si="2"/>
        <v>0</v>
      </c>
    </row>
    <row r="36" spans="4:25" x14ac:dyDescent="0.25">
      <c r="D36" s="12"/>
      <c r="E36" s="5"/>
      <c r="F36" s="19" t="str">
        <f t="shared" si="0"/>
        <v/>
      </c>
      <c r="G36" s="1"/>
      <c r="H36" s="1"/>
      <c r="I36" s="1"/>
      <c r="J36" s="11"/>
      <c r="X36" s="5">
        <f t="shared" si="1"/>
        <v>0</v>
      </c>
      <c r="Y36" s="2">
        <f t="shared" si="2"/>
        <v>0</v>
      </c>
    </row>
    <row r="37" spans="4:25" x14ac:dyDescent="0.25">
      <c r="D37" s="12"/>
      <c r="E37" s="5"/>
      <c r="F37" s="19" t="str">
        <f t="shared" si="0"/>
        <v/>
      </c>
      <c r="G37" s="1"/>
      <c r="H37" s="1"/>
      <c r="I37" s="1"/>
      <c r="J37" s="11"/>
      <c r="X37" s="5">
        <f t="shared" si="1"/>
        <v>0</v>
      </c>
      <c r="Y37" s="2">
        <f t="shared" si="2"/>
        <v>0</v>
      </c>
    </row>
    <row r="38" spans="4:25" x14ac:dyDescent="0.25">
      <c r="D38" s="12"/>
      <c r="E38" s="5"/>
      <c r="F38" s="19" t="str">
        <f t="shared" si="0"/>
        <v/>
      </c>
      <c r="G38" s="1"/>
      <c r="H38" s="1"/>
      <c r="I38" s="1"/>
      <c r="J38" s="11"/>
      <c r="X38" s="5">
        <f t="shared" si="1"/>
        <v>0</v>
      </c>
      <c r="Y38" s="2">
        <f t="shared" si="2"/>
        <v>0</v>
      </c>
    </row>
    <row r="39" spans="4:25" x14ac:dyDescent="0.25">
      <c r="D39" s="12"/>
      <c r="E39" s="5"/>
      <c r="F39" s="19" t="str">
        <f t="shared" si="0"/>
        <v/>
      </c>
      <c r="G39" s="1"/>
      <c r="H39" s="1"/>
      <c r="I39" s="1"/>
      <c r="J39" s="11"/>
      <c r="X39" s="5">
        <f t="shared" si="1"/>
        <v>0</v>
      </c>
      <c r="Y39" s="2">
        <f t="shared" si="2"/>
        <v>0</v>
      </c>
    </row>
    <row r="40" spans="4:25" x14ac:dyDescent="0.25">
      <c r="D40" s="12"/>
      <c r="E40" s="5"/>
      <c r="F40" s="19" t="str">
        <f t="shared" si="0"/>
        <v/>
      </c>
      <c r="G40" s="1"/>
      <c r="H40" s="1"/>
      <c r="I40" s="1"/>
      <c r="J40" s="11"/>
      <c r="X40" s="5">
        <f t="shared" si="1"/>
        <v>0</v>
      </c>
      <c r="Y40" s="2">
        <f t="shared" si="2"/>
        <v>0</v>
      </c>
    </row>
    <row r="41" spans="4:25" x14ac:dyDescent="0.25">
      <c r="D41" s="12"/>
      <c r="E41" s="5"/>
      <c r="F41" s="19" t="str">
        <f t="shared" si="0"/>
        <v/>
      </c>
      <c r="G41" s="1"/>
      <c r="H41" s="1"/>
      <c r="I41" s="1"/>
      <c r="J41" s="11"/>
      <c r="X41" s="5">
        <f t="shared" si="1"/>
        <v>0</v>
      </c>
      <c r="Y41" s="2">
        <f t="shared" si="2"/>
        <v>0</v>
      </c>
    </row>
    <row r="42" spans="4:25" x14ac:dyDescent="0.25">
      <c r="D42" s="12"/>
      <c r="E42" s="5"/>
      <c r="F42" s="19" t="str">
        <f t="shared" si="0"/>
        <v/>
      </c>
      <c r="G42" s="1"/>
      <c r="H42" s="1"/>
      <c r="I42" s="1"/>
      <c r="J42" s="11"/>
      <c r="X42" s="5">
        <f t="shared" si="1"/>
        <v>0</v>
      </c>
      <c r="Y42" s="2">
        <f t="shared" si="2"/>
        <v>0</v>
      </c>
    </row>
    <row r="43" spans="4:25" x14ac:dyDescent="0.25">
      <c r="D43" s="12"/>
      <c r="E43" s="5"/>
      <c r="F43" s="19" t="str">
        <f t="shared" si="0"/>
        <v/>
      </c>
      <c r="G43" s="1"/>
      <c r="H43" s="1"/>
      <c r="I43" s="1"/>
      <c r="J43" s="11"/>
      <c r="X43" s="5">
        <f t="shared" si="1"/>
        <v>0</v>
      </c>
      <c r="Y43" s="2">
        <f t="shared" si="2"/>
        <v>0</v>
      </c>
    </row>
    <row r="44" spans="4:25" x14ac:dyDescent="0.25">
      <c r="D44" s="12"/>
      <c r="E44" s="5"/>
      <c r="F44" s="19" t="str">
        <f t="shared" si="0"/>
        <v/>
      </c>
      <c r="G44" s="1"/>
      <c r="H44" s="1"/>
      <c r="I44" s="1"/>
      <c r="J44" s="11"/>
      <c r="X44" s="5">
        <f t="shared" si="1"/>
        <v>0</v>
      </c>
      <c r="Y44" s="2">
        <f t="shared" si="2"/>
        <v>0</v>
      </c>
    </row>
    <row r="45" spans="4:25" x14ac:dyDescent="0.25">
      <c r="D45" s="12"/>
      <c r="E45" s="5"/>
      <c r="F45" s="19" t="str">
        <f t="shared" si="0"/>
        <v/>
      </c>
      <c r="G45" s="1"/>
      <c r="H45" s="1"/>
      <c r="I45" s="1"/>
      <c r="J45" s="11"/>
      <c r="X45" s="5">
        <f t="shared" si="1"/>
        <v>0</v>
      </c>
      <c r="Y45" s="2">
        <f t="shared" si="2"/>
        <v>0</v>
      </c>
    </row>
    <row r="46" spans="4:25" x14ac:dyDescent="0.25">
      <c r="D46" s="12"/>
      <c r="E46" s="5"/>
      <c r="F46" s="19" t="str">
        <f t="shared" si="0"/>
        <v/>
      </c>
      <c r="G46" s="1"/>
      <c r="H46" s="1"/>
      <c r="I46" s="1"/>
      <c r="J46" s="11"/>
      <c r="X46" s="5">
        <f t="shared" si="1"/>
        <v>0</v>
      </c>
      <c r="Y46" s="2">
        <f t="shared" si="2"/>
        <v>0</v>
      </c>
    </row>
    <row r="47" spans="4:25" x14ac:dyDescent="0.25">
      <c r="D47" s="12"/>
      <c r="E47" s="5"/>
      <c r="F47" s="19" t="str">
        <f t="shared" si="0"/>
        <v/>
      </c>
      <c r="G47" s="1"/>
      <c r="H47" s="1"/>
      <c r="I47" s="1"/>
      <c r="J47" s="11"/>
      <c r="X47" s="5">
        <f t="shared" si="1"/>
        <v>0</v>
      </c>
      <c r="Y47" s="2">
        <f t="shared" si="2"/>
        <v>0</v>
      </c>
    </row>
    <row r="48" spans="4:25" x14ac:dyDescent="0.25">
      <c r="D48" s="12"/>
      <c r="E48" s="5"/>
      <c r="F48" s="19" t="str">
        <f t="shared" si="0"/>
        <v/>
      </c>
      <c r="G48" s="1"/>
      <c r="H48" s="1"/>
      <c r="I48" s="1"/>
      <c r="J48" s="11"/>
      <c r="X48" s="5">
        <f t="shared" si="1"/>
        <v>0</v>
      </c>
      <c r="Y48" s="2">
        <f t="shared" si="2"/>
        <v>0</v>
      </c>
    </row>
    <row r="49" spans="4:25" x14ac:dyDescent="0.25">
      <c r="D49" s="12"/>
      <c r="E49" s="5"/>
      <c r="F49" s="19" t="str">
        <f t="shared" si="0"/>
        <v/>
      </c>
      <c r="G49" s="1"/>
      <c r="H49" s="1"/>
      <c r="I49" s="1"/>
      <c r="J49" s="11"/>
      <c r="X49" s="5">
        <f t="shared" si="1"/>
        <v>0</v>
      </c>
      <c r="Y49" s="2">
        <f t="shared" si="2"/>
        <v>0</v>
      </c>
    </row>
    <row r="50" spans="4:25" x14ac:dyDescent="0.25">
      <c r="D50" s="12"/>
      <c r="E50" s="5"/>
      <c r="F50" s="19" t="str">
        <f t="shared" si="0"/>
        <v/>
      </c>
      <c r="G50" s="1"/>
      <c r="H50" s="1"/>
      <c r="I50" s="1"/>
      <c r="J50" s="11"/>
      <c r="X50" s="5">
        <f t="shared" si="1"/>
        <v>0</v>
      </c>
      <c r="Y50" s="2">
        <f t="shared" si="2"/>
        <v>0</v>
      </c>
    </row>
    <row r="51" spans="4:25" x14ac:dyDescent="0.25">
      <c r="D51" s="12"/>
      <c r="E51" s="5"/>
      <c r="F51" s="19" t="str">
        <f t="shared" si="0"/>
        <v/>
      </c>
      <c r="G51" s="1"/>
      <c r="H51" s="1"/>
      <c r="I51" s="1"/>
      <c r="J51" s="11"/>
      <c r="X51" s="5">
        <f t="shared" si="1"/>
        <v>0</v>
      </c>
      <c r="Y51" s="2">
        <f t="shared" si="2"/>
        <v>0</v>
      </c>
    </row>
    <row r="52" spans="4:25" x14ac:dyDescent="0.25">
      <c r="D52" s="12"/>
      <c r="E52" s="5"/>
      <c r="F52" s="19" t="str">
        <f t="shared" si="0"/>
        <v/>
      </c>
      <c r="G52" s="1"/>
      <c r="H52" s="1"/>
      <c r="I52" s="1"/>
      <c r="J52" s="9"/>
      <c r="X52" s="5">
        <f t="shared" si="1"/>
        <v>0</v>
      </c>
      <c r="Y52" s="2">
        <f t="shared" si="2"/>
        <v>0</v>
      </c>
    </row>
    <row r="53" spans="4:25" x14ac:dyDescent="0.25">
      <c r="D53" s="1" t="s">
        <v>25</v>
      </c>
      <c r="E53" s="23"/>
      <c r="F53" s="2"/>
      <c r="G53" s="2">
        <f>SUM(G3:G52)</f>
        <v>13.84</v>
      </c>
      <c r="H53" s="2">
        <f t="shared" ref="H53:I53" si="3">SUM(H3:H52)</f>
        <v>0.51</v>
      </c>
      <c r="I53" s="2">
        <f t="shared" si="3"/>
        <v>0.03</v>
      </c>
    </row>
  </sheetData>
  <mergeCells count="4">
    <mergeCell ref="D1:F1"/>
    <mergeCell ref="G1:I1"/>
    <mergeCell ref="K1:Q1"/>
    <mergeCell ref="X1:Z1"/>
  </mergeCells>
  <conditionalFormatting sqref="A1:B1">
    <cfRule type="expression" dxfId="75" priority="1">
      <formula>$Z$3="+"</formula>
    </cfRule>
    <cfRule type="expression" dxfId="74" priority="2">
      <formula>$B$16=$K$3</formula>
    </cfRule>
  </conditionalFormatting>
  <conditionalFormatting sqref="P3">
    <cfRule type="expression" dxfId="73" priority="6">
      <formula>$Z$3="+"</formula>
    </cfRule>
  </conditionalFormatting>
  <conditionalFormatting sqref="Z3">
    <cfRule type="expression" dxfId="72" priority="7">
      <formula>$Z$3="+"</formula>
    </cfRule>
  </conditionalFormatting>
  <dataValidations count="1">
    <dataValidation type="list" allowBlank="1" showInputMessage="1" showErrorMessage="1" sqref="B2" xr:uid="{46ECEAA1-705A-4BD1-AB55-885439D3BEFE}">
      <formula1>"Romania,Moldova,Cyprus,Philippines"</formula1>
    </dataValidation>
  </dataValidations>
  <pageMargins left="0.7" right="0.7" top="0.75" bottom="0.75" header="0.3" footer="0.3"/>
  <pageSetup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5A32F-3243-4A16-B0A2-0D9D0B8E9239}">
  <sheetPr>
    <tabColor rgb="FF92D050"/>
  </sheetPr>
  <dimension ref="A1:Z53"/>
  <sheetViews>
    <sheetView workbookViewId="0">
      <selection activeCell="H6" sqref="H6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1" customWidth="1"/>
    <col min="25" max="25" width="10.7109375" style="11" customWidth="1"/>
    <col min="26" max="26" width="10.7109375" customWidth="1"/>
  </cols>
  <sheetData>
    <row r="1" spans="1:26" x14ac:dyDescent="0.25">
      <c r="A1" s="4" t="s">
        <v>66</v>
      </c>
      <c r="B1" s="5" t="s">
        <v>43</v>
      </c>
      <c r="D1" s="29" t="s">
        <v>2</v>
      </c>
      <c r="E1" s="30"/>
      <c r="F1" s="31"/>
      <c r="G1" s="29" t="s">
        <v>0</v>
      </c>
      <c r="H1" s="30"/>
      <c r="I1" s="31"/>
      <c r="J1" s="18"/>
      <c r="K1" s="29" t="s">
        <v>58</v>
      </c>
      <c r="L1" s="30"/>
      <c r="M1" s="30"/>
      <c r="N1" s="30"/>
      <c r="O1" s="30"/>
      <c r="P1" s="30"/>
      <c r="Q1" s="31"/>
      <c r="X1" s="29"/>
      <c r="Y1" s="30"/>
      <c r="Z1" s="31"/>
    </row>
    <row r="2" spans="1:26" x14ac:dyDescent="0.25">
      <c r="A2" s="4" t="s">
        <v>21</v>
      </c>
      <c r="B2" s="5" t="s">
        <v>41</v>
      </c>
      <c r="D2" s="10" t="s">
        <v>49</v>
      </c>
      <c r="E2" s="10" t="s">
        <v>50</v>
      </c>
      <c r="F2" s="17" t="s">
        <v>67</v>
      </c>
      <c r="G2" s="10" t="s">
        <v>15</v>
      </c>
      <c r="H2" s="10" t="s">
        <v>16</v>
      </c>
      <c r="I2" s="10" t="s">
        <v>60</v>
      </c>
      <c r="J2" s="9"/>
      <c r="K2" s="10" t="s">
        <v>0</v>
      </c>
      <c r="L2" s="10" t="s">
        <v>1</v>
      </c>
      <c r="M2" s="10" t="s">
        <v>56</v>
      </c>
      <c r="N2" s="10" t="s">
        <v>57</v>
      </c>
      <c r="O2" s="10" t="s">
        <v>2</v>
      </c>
      <c r="P2" s="10" t="s">
        <v>68</v>
      </c>
      <c r="Q2" s="10" t="s">
        <v>67</v>
      </c>
      <c r="X2" s="10" t="s">
        <v>2</v>
      </c>
      <c r="Y2" s="10" t="s">
        <v>59</v>
      </c>
      <c r="Z2" s="10" t="s">
        <v>68</v>
      </c>
    </row>
    <row r="3" spans="1:26" x14ac:dyDescent="0.25">
      <c r="A3" s="4" t="s">
        <v>69</v>
      </c>
      <c r="B3" s="5" t="s">
        <v>78</v>
      </c>
      <c r="D3" s="12">
        <v>46053</v>
      </c>
      <c r="E3" s="12">
        <v>46053</v>
      </c>
      <c r="F3" s="19">
        <f t="shared" ref="F3:F52" si="0">IF(E3&gt;0,E3-D3,"")</f>
        <v>0</v>
      </c>
      <c r="G3" s="2">
        <v>0</v>
      </c>
      <c r="H3" s="1">
        <v>0.06</v>
      </c>
      <c r="I3" s="2">
        <v>0</v>
      </c>
      <c r="J3" s="11"/>
      <c r="K3" s="2">
        <f>G53</f>
        <v>18.23</v>
      </c>
      <c r="L3" s="2">
        <f>H53</f>
        <v>0.53999999999999992</v>
      </c>
      <c r="M3" s="2">
        <f>I53</f>
        <v>0.03</v>
      </c>
      <c r="N3" s="6">
        <f>IF(B16=K3,XIRR(Y3:Y52,X3:X52),"")</f>
        <v>0.10669211745262147</v>
      </c>
      <c r="O3" s="5">
        <f>IF(B16=K3,MAX(E:E),"")</f>
        <v>46129</v>
      </c>
      <c r="P3" s="1" t="str">
        <f ca="1">IF(Z3="+",TODAY()-B11,"")</f>
        <v/>
      </c>
      <c r="Q3" s="1">
        <f>IF(B16=K3,MAX(E:E)-B11,"")</f>
        <v>0</v>
      </c>
      <c r="T3" s="14"/>
      <c r="X3" s="5">
        <f>B9</f>
        <v>46029</v>
      </c>
      <c r="Y3" s="2">
        <f>B16*-1</f>
        <v>-18.23</v>
      </c>
      <c r="Z3" s="1" t="str">
        <f ca="1">IF(AND(TODAY()&gt;B11, K3&lt;&gt;B16), "+", "")</f>
        <v/>
      </c>
    </row>
    <row r="4" spans="1:26" x14ac:dyDescent="0.25">
      <c r="A4" s="4" t="s">
        <v>19</v>
      </c>
      <c r="B4" s="5" t="s">
        <v>20</v>
      </c>
      <c r="D4" s="12">
        <v>46081</v>
      </c>
      <c r="E4" s="12">
        <v>46081</v>
      </c>
      <c r="F4" s="19">
        <f t="shared" si="0"/>
        <v>0</v>
      </c>
      <c r="G4" s="2">
        <v>0</v>
      </c>
      <c r="H4" s="1">
        <v>0.12</v>
      </c>
      <c r="I4" s="2">
        <v>0.01</v>
      </c>
      <c r="J4" s="9"/>
      <c r="X4" s="5">
        <f>E3</f>
        <v>46053</v>
      </c>
      <c r="Y4" s="2">
        <f>G3+H3-I3</f>
        <v>0.06</v>
      </c>
    </row>
    <row r="5" spans="1:26" x14ac:dyDescent="0.25">
      <c r="A5" s="4"/>
      <c r="B5" s="5"/>
      <c r="D5" s="12">
        <v>46112</v>
      </c>
      <c r="E5" s="12">
        <v>46112</v>
      </c>
      <c r="F5" s="19">
        <f t="shared" si="0"/>
        <v>0</v>
      </c>
      <c r="G5" s="2">
        <v>0</v>
      </c>
      <c r="H5" s="1">
        <v>0.15</v>
      </c>
      <c r="I5" s="2">
        <v>0.01</v>
      </c>
      <c r="J5" s="9"/>
      <c r="X5" s="5">
        <f t="shared" ref="X5:X52" si="1">E4</f>
        <v>46081</v>
      </c>
      <c r="Y5" s="2">
        <f t="shared" ref="Y5:Y52" si="2">G4+H4-I4</f>
        <v>0.11</v>
      </c>
    </row>
    <row r="6" spans="1:26" x14ac:dyDescent="0.25">
      <c r="A6" s="4"/>
      <c r="B6" s="5"/>
      <c r="D6" s="12">
        <v>46129</v>
      </c>
      <c r="E6" s="12">
        <v>46129</v>
      </c>
      <c r="F6" s="19">
        <f t="shared" si="0"/>
        <v>0</v>
      </c>
      <c r="G6" s="1">
        <v>18.23</v>
      </c>
      <c r="H6" s="1">
        <v>0.21</v>
      </c>
      <c r="I6" s="2">
        <v>0.01</v>
      </c>
      <c r="J6" s="9"/>
      <c r="X6" s="5">
        <f t="shared" si="1"/>
        <v>46112</v>
      </c>
      <c r="Y6" s="2">
        <f t="shared" si="2"/>
        <v>0.13999999999999999</v>
      </c>
    </row>
    <row r="7" spans="1:26" x14ac:dyDescent="0.25">
      <c r="A7" s="4"/>
      <c r="B7" s="5"/>
      <c r="D7" s="12"/>
      <c r="E7" s="12"/>
      <c r="F7" s="19" t="str">
        <f t="shared" si="0"/>
        <v/>
      </c>
      <c r="G7" s="1"/>
      <c r="H7" s="1"/>
      <c r="I7" s="2"/>
      <c r="J7" s="11"/>
      <c r="X7" s="5">
        <f t="shared" si="1"/>
        <v>46129</v>
      </c>
      <c r="Y7" s="2">
        <f t="shared" si="2"/>
        <v>18.43</v>
      </c>
    </row>
    <row r="8" spans="1:26" x14ac:dyDescent="0.25">
      <c r="A8" s="4" t="s">
        <v>24</v>
      </c>
      <c r="B8" s="5" t="str">
        <f>DATEDIF(B9,B11,"y") &amp; " m. " &amp; DATEDIF(B9,B11,"ym") &amp; " mėn. " &amp; DATEDIF(B9,B11,"md") &amp; " d."</f>
        <v>0 m. 3 mėn. 10 d.</v>
      </c>
      <c r="D8" s="12"/>
      <c r="E8" s="12"/>
      <c r="F8" s="19" t="str">
        <f t="shared" si="0"/>
        <v/>
      </c>
      <c r="G8" s="1"/>
      <c r="H8" s="1"/>
      <c r="I8" s="2"/>
      <c r="J8" s="9"/>
      <c r="X8" s="5">
        <f t="shared" si="1"/>
        <v>0</v>
      </c>
      <c r="Y8" s="2">
        <f t="shared" si="2"/>
        <v>0</v>
      </c>
    </row>
    <row r="9" spans="1:26" x14ac:dyDescent="0.25">
      <c r="A9" s="4" t="s">
        <v>11</v>
      </c>
      <c r="B9" s="5">
        <v>46029</v>
      </c>
      <c r="D9" s="12"/>
      <c r="E9" s="12"/>
      <c r="F9" s="19"/>
      <c r="G9" s="2"/>
      <c r="H9" s="2"/>
      <c r="I9" s="2"/>
      <c r="J9" s="11"/>
      <c r="X9" s="5">
        <f t="shared" si="1"/>
        <v>0</v>
      </c>
      <c r="Y9" s="2">
        <f t="shared" si="2"/>
        <v>0</v>
      </c>
    </row>
    <row r="10" spans="1:26" x14ac:dyDescent="0.25">
      <c r="A10" s="4" t="s">
        <v>70</v>
      </c>
      <c r="B10" s="5">
        <v>46009</v>
      </c>
      <c r="D10" s="12"/>
      <c r="E10" s="12"/>
      <c r="F10" s="19" t="str">
        <f t="shared" si="0"/>
        <v/>
      </c>
      <c r="G10" s="1"/>
      <c r="H10" s="1"/>
      <c r="I10" s="2"/>
      <c r="J10" s="11"/>
      <c r="X10" s="5">
        <f t="shared" si="1"/>
        <v>0</v>
      </c>
      <c r="Y10" s="2">
        <f t="shared" si="2"/>
        <v>0</v>
      </c>
    </row>
    <row r="11" spans="1:26" x14ac:dyDescent="0.25">
      <c r="A11" s="4" t="s">
        <v>10</v>
      </c>
      <c r="B11" s="5">
        <v>46129</v>
      </c>
      <c r="D11" s="12"/>
      <c r="E11" s="12"/>
      <c r="F11" s="19" t="str">
        <f t="shared" si="0"/>
        <v/>
      </c>
      <c r="G11" s="1"/>
      <c r="H11" s="2"/>
      <c r="I11" s="2"/>
      <c r="J11" s="11"/>
      <c r="X11" s="5">
        <f t="shared" si="1"/>
        <v>0</v>
      </c>
      <c r="Y11" s="2">
        <f t="shared" si="2"/>
        <v>0</v>
      </c>
    </row>
    <row r="12" spans="1:26" x14ac:dyDescent="0.25">
      <c r="A12" s="4" t="s">
        <v>71</v>
      </c>
      <c r="B12" s="19" t="str">
        <f ca="1">IF(B16&lt;&gt;K3,(TODAY()-B11)*-1,"")</f>
        <v/>
      </c>
      <c r="D12" s="12"/>
      <c r="E12" s="12"/>
      <c r="F12" s="19" t="str">
        <f t="shared" si="0"/>
        <v/>
      </c>
      <c r="G12" s="2"/>
      <c r="H12" s="1"/>
      <c r="I12" s="1"/>
      <c r="J12" s="11"/>
      <c r="X12" s="5">
        <f t="shared" si="1"/>
        <v>0</v>
      </c>
      <c r="Y12" s="2">
        <f t="shared" si="2"/>
        <v>0</v>
      </c>
    </row>
    <row r="13" spans="1:26" x14ac:dyDescent="0.25">
      <c r="A13" s="4"/>
      <c r="B13" s="2"/>
      <c r="D13" s="12"/>
      <c r="E13" s="12"/>
      <c r="F13" s="19" t="str">
        <f t="shared" si="0"/>
        <v/>
      </c>
      <c r="G13" s="1"/>
      <c r="H13" s="2"/>
      <c r="I13" s="2"/>
      <c r="J13" s="11"/>
      <c r="N13" s="14"/>
      <c r="X13" s="5">
        <f t="shared" si="1"/>
        <v>0</v>
      </c>
      <c r="Y13" s="2">
        <f t="shared" si="2"/>
        <v>0</v>
      </c>
    </row>
    <row r="14" spans="1:26" x14ac:dyDescent="0.25">
      <c r="A14" s="13"/>
      <c r="B14" s="20"/>
      <c r="D14" s="12"/>
      <c r="E14" s="5"/>
      <c r="F14" s="19" t="str">
        <f t="shared" si="0"/>
        <v/>
      </c>
      <c r="G14" s="1"/>
      <c r="H14" s="1"/>
      <c r="I14" s="1"/>
      <c r="J14" s="11"/>
      <c r="X14" s="5">
        <f t="shared" si="1"/>
        <v>0</v>
      </c>
      <c r="Y14" s="2">
        <f t="shared" si="2"/>
        <v>0</v>
      </c>
    </row>
    <row r="15" spans="1:26" x14ac:dyDescent="0.25">
      <c r="A15" s="4" t="s">
        <v>1</v>
      </c>
      <c r="B15" s="6">
        <v>0.11</v>
      </c>
      <c r="D15" s="12"/>
      <c r="E15" s="5"/>
      <c r="F15" s="19" t="str">
        <f t="shared" si="0"/>
        <v/>
      </c>
      <c r="G15" s="1"/>
      <c r="H15" s="1"/>
      <c r="I15" s="1"/>
      <c r="J15" s="11"/>
      <c r="K15" s="18"/>
      <c r="L15" s="18"/>
      <c r="M15" s="18"/>
      <c r="N15" s="18"/>
      <c r="O15" s="18"/>
      <c r="P15" s="18"/>
      <c r="Q15" s="18"/>
      <c r="X15" s="5">
        <f t="shared" si="1"/>
        <v>0</v>
      </c>
      <c r="Y15" s="2">
        <f t="shared" si="2"/>
        <v>0</v>
      </c>
    </row>
    <row r="16" spans="1:26" x14ac:dyDescent="0.25">
      <c r="A16" s="4" t="s">
        <v>72</v>
      </c>
      <c r="B16" s="2">
        <v>18.23</v>
      </c>
      <c r="D16" s="12"/>
      <c r="E16" s="5"/>
      <c r="F16" s="19" t="str">
        <f t="shared" si="0"/>
        <v/>
      </c>
      <c r="G16" s="1"/>
      <c r="H16" s="1"/>
      <c r="I16" s="1"/>
      <c r="J16" s="11"/>
      <c r="K16" s="9"/>
      <c r="L16" s="9"/>
      <c r="M16" s="9"/>
      <c r="N16" s="21"/>
      <c r="O16" s="22"/>
      <c r="P16" s="11"/>
      <c r="Q16" s="11"/>
      <c r="X16" s="5">
        <f t="shared" si="1"/>
        <v>0</v>
      </c>
      <c r="Y16" s="2">
        <f t="shared" si="2"/>
        <v>0</v>
      </c>
    </row>
    <row r="17" spans="2:25" x14ac:dyDescent="0.25">
      <c r="D17" s="12"/>
      <c r="E17" s="5"/>
      <c r="F17" s="19" t="str">
        <f t="shared" si="0"/>
        <v/>
      </c>
      <c r="G17" s="1"/>
      <c r="H17" s="1"/>
      <c r="I17" s="1"/>
      <c r="J17" s="11"/>
      <c r="X17" s="5">
        <f t="shared" si="1"/>
        <v>0</v>
      </c>
      <c r="Y17" s="2">
        <f t="shared" si="2"/>
        <v>0</v>
      </c>
    </row>
    <row r="18" spans="2:25" x14ac:dyDescent="0.25">
      <c r="D18" s="12"/>
      <c r="E18" s="5"/>
      <c r="F18" s="19" t="str">
        <f t="shared" si="0"/>
        <v/>
      </c>
      <c r="G18" s="1"/>
      <c r="H18" s="1"/>
      <c r="I18" s="1"/>
      <c r="J18" s="11"/>
      <c r="X18" s="5">
        <f t="shared" si="1"/>
        <v>0</v>
      </c>
      <c r="Y18" s="2">
        <f t="shared" si="2"/>
        <v>0</v>
      </c>
    </row>
    <row r="19" spans="2:25" x14ac:dyDescent="0.25">
      <c r="D19" s="12"/>
      <c r="E19" s="5"/>
      <c r="F19" s="19" t="str">
        <f t="shared" si="0"/>
        <v/>
      </c>
      <c r="G19" s="1"/>
      <c r="H19" s="1"/>
      <c r="I19" s="1"/>
      <c r="J19" s="11"/>
      <c r="X19" s="5">
        <f t="shared" si="1"/>
        <v>0</v>
      </c>
      <c r="Y19" s="2">
        <f t="shared" si="2"/>
        <v>0</v>
      </c>
    </row>
    <row r="20" spans="2:25" x14ac:dyDescent="0.25">
      <c r="D20" s="12"/>
      <c r="E20" s="5"/>
      <c r="F20" s="19" t="str">
        <f t="shared" si="0"/>
        <v/>
      </c>
      <c r="G20" s="1"/>
      <c r="H20" s="1"/>
      <c r="I20" s="1"/>
      <c r="J20" s="11"/>
      <c r="X20" s="5">
        <f t="shared" si="1"/>
        <v>0</v>
      </c>
      <c r="Y20" s="2">
        <f t="shared" si="2"/>
        <v>0</v>
      </c>
    </row>
    <row r="21" spans="2:25" x14ac:dyDescent="0.25">
      <c r="D21" s="12"/>
      <c r="E21" s="5"/>
      <c r="F21" s="19" t="str">
        <f t="shared" si="0"/>
        <v/>
      </c>
      <c r="G21" s="1"/>
      <c r="H21" s="1"/>
      <c r="I21" s="1"/>
      <c r="J21" s="11"/>
      <c r="X21" s="5">
        <f t="shared" si="1"/>
        <v>0</v>
      </c>
      <c r="Y21" s="2">
        <f t="shared" si="2"/>
        <v>0</v>
      </c>
    </row>
    <row r="22" spans="2:25" x14ac:dyDescent="0.25">
      <c r="D22" s="12"/>
      <c r="E22" s="5"/>
      <c r="F22" s="19" t="str">
        <f t="shared" si="0"/>
        <v/>
      </c>
      <c r="G22" s="1"/>
      <c r="H22" s="1"/>
      <c r="I22" s="1"/>
      <c r="J22" s="11"/>
      <c r="X22" s="5">
        <f t="shared" si="1"/>
        <v>0</v>
      </c>
      <c r="Y22" s="2">
        <f t="shared" si="2"/>
        <v>0</v>
      </c>
    </row>
    <row r="23" spans="2:25" x14ac:dyDescent="0.25">
      <c r="B23" s="22"/>
      <c r="D23" s="12"/>
      <c r="E23" s="5"/>
      <c r="F23" s="19" t="str">
        <f t="shared" si="0"/>
        <v/>
      </c>
      <c r="G23" s="1"/>
      <c r="H23" s="1"/>
      <c r="I23" s="1"/>
      <c r="J23" s="11"/>
      <c r="X23" s="5">
        <f t="shared" si="1"/>
        <v>0</v>
      </c>
      <c r="Y23" s="2">
        <f t="shared" si="2"/>
        <v>0</v>
      </c>
    </row>
    <row r="24" spans="2:25" x14ac:dyDescent="0.25">
      <c r="D24" s="12"/>
      <c r="E24" s="5"/>
      <c r="F24" s="19" t="str">
        <f t="shared" si="0"/>
        <v/>
      </c>
      <c r="G24" s="1"/>
      <c r="H24" s="1"/>
      <c r="I24" s="1"/>
      <c r="J24" s="11"/>
      <c r="X24" s="5">
        <f t="shared" si="1"/>
        <v>0</v>
      </c>
      <c r="Y24" s="2">
        <f t="shared" si="2"/>
        <v>0</v>
      </c>
    </row>
    <row r="25" spans="2:25" x14ac:dyDescent="0.25">
      <c r="D25" s="12"/>
      <c r="E25" s="5"/>
      <c r="F25" s="19" t="str">
        <f t="shared" si="0"/>
        <v/>
      </c>
      <c r="G25" s="1"/>
      <c r="H25" s="1"/>
      <c r="I25" s="1"/>
      <c r="J25" s="11"/>
      <c r="X25" s="5">
        <f t="shared" si="1"/>
        <v>0</v>
      </c>
      <c r="Y25" s="2">
        <f t="shared" si="2"/>
        <v>0</v>
      </c>
    </row>
    <row r="26" spans="2:25" x14ac:dyDescent="0.25">
      <c r="D26" s="12"/>
      <c r="E26" s="5"/>
      <c r="F26" s="19" t="str">
        <f t="shared" si="0"/>
        <v/>
      </c>
      <c r="G26" s="1"/>
      <c r="H26" s="1"/>
      <c r="I26" s="1"/>
      <c r="J26" s="11"/>
      <c r="X26" s="5">
        <f t="shared" si="1"/>
        <v>0</v>
      </c>
      <c r="Y26" s="2">
        <f t="shared" si="2"/>
        <v>0</v>
      </c>
    </row>
    <row r="27" spans="2:25" x14ac:dyDescent="0.25">
      <c r="D27" s="12"/>
      <c r="E27" s="5"/>
      <c r="F27" s="19" t="str">
        <f t="shared" si="0"/>
        <v/>
      </c>
      <c r="G27" s="1"/>
      <c r="H27" s="1"/>
      <c r="I27" s="1"/>
      <c r="J27" s="11"/>
      <c r="X27" s="5">
        <f t="shared" si="1"/>
        <v>0</v>
      </c>
      <c r="Y27" s="2">
        <f t="shared" si="2"/>
        <v>0</v>
      </c>
    </row>
    <row r="28" spans="2:25" x14ac:dyDescent="0.25">
      <c r="D28" s="12"/>
      <c r="E28" s="5"/>
      <c r="F28" s="19" t="str">
        <f t="shared" si="0"/>
        <v/>
      </c>
      <c r="G28" s="1"/>
      <c r="H28" s="1"/>
      <c r="I28" s="1"/>
      <c r="J28" s="11"/>
      <c r="X28" s="5">
        <f t="shared" si="1"/>
        <v>0</v>
      </c>
      <c r="Y28" s="2">
        <f t="shared" si="2"/>
        <v>0</v>
      </c>
    </row>
    <row r="29" spans="2:25" x14ac:dyDescent="0.25">
      <c r="D29" s="12"/>
      <c r="E29" s="5"/>
      <c r="F29" s="19" t="str">
        <f t="shared" si="0"/>
        <v/>
      </c>
      <c r="G29" s="1"/>
      <c r="H29" s="1"/>
      <c r="I29" s="1"/>
      <c r="J29" s="11"/>
      <c r="X29" s="5">
        <f t="shared" si="1"/>
        <v>0</v>
      </c>
      <c r="Y29" s="2">
        <f t="shared" si="2"/>
        <v>0</v>
      </c>
    </row>
    <row r="30" spans="2:25" x14ac:dyDescent="0.25">
      <c r="D30" s="12"/>
      <c r="E30" s="5"/>
      <c r="F30" s="19" t="str">
        <f t="shared" si="0"/>
        <v/>
      </c>
      <c r="G30" s="1"/>
      <c r="H30" s="1"/>
      <c r="I30" s="1"/>
      <c r="J30" s="11"/>
      <c r="X30" s="5">
        <f t="shared" si="1"/>
        <v>0</v>
      </c>
      <c r="Y30" s="2">
        <f t="shared" si="2"/>
        <v>0</v>
      </c>
    </row>
    <row r="31" spans="2:25" x14ac:dyDescent="0.25">
      <c r="D31" s="12"/>
      <c r="E31" s="5"/>
      <c r="F31" s="19" t="str">
        <f t="shared" si="0"/>
        <v/>
      </c>
      <c r="G31" s="1"/>
      <c r="H31" s="1"/>
      <c r="I31" s="1"/>
      <c r="J31" s="11"/>
      <c r="X31" s="5">
        <f t="shared" si="1"/>
        <v>0</v>
      </c>
      <c r="Y31" s="2">
        <f t="shared" si="2"/>
        <v>0</v>
      </c>
    </row>
    <row r="32" spans="2:25" x14ac:dyDescent="0.25">
      <c r="D32" s="12"/>
      <c r="E32" s="5"/>
      <c r="F32" s="19" t="str">
        <f t="shared" si="0"/>
        <v/>
      </c>
      <c r="G32" s="1"/>
      <c r="H32" s="1"/>
      <c r="I32" s="1"/>
      <c r="J32" s="11"/>
      <c r="X32" s="5">
        <f t="shared" si="1"/>
        <v>0</v>
      </c>
      <c r="Y32" s="2">
        <f t="shared" si="2"/>
        <v>0</v>
      </c>
    </row>
    <row r="33" spans="4:25" x14ac:dyDescent="0.25">
      <c r="D33" s="12"/>
      <c r="E33" s="5"/>
      <c r="F33" s="19" t="str">
        <f t="shared" si="0"/>
        <v/>
      </c>
      <c r="G33" s="1"/>
      <c r="H33" s="1"/>
      <c r="I33" s="1"/>
      <c r="J33" s="11"/>
      <c r="X33" s="5">
        <f t="shared" si="1"/>
        <v>0</v>
      </c>
      <c r="Y33" s="2">
        <f t="shared" si="2"/>
        <v>0</v>
      </c>
    </row>
    <row r="34" spans="4:25" x14ac:dyDescent="0.25">
      <c r="D34" s="12"/>
      <c r="E34" s="5"/>
      <c r="F34" s="19" t="str">
        <f t="shared" si="0"/>
        <v/>
      </c>
      <c r="G34" s="1"/>
      <c r="H34" s="1"/>
      <c r="I34" s="1"/>
      <c r="J34" s="11"/>
      <c r="X34" s="5">
        <f t="shared" si="1"/>
        <v>0</v>
      </c>
      <c r="Y34" s="2">
        <f t="shared" si="2"/>
        <v>0</v>
      </c>
    </row>
    <row r="35" spans="4:25" x14ac:dyDescent="0.25">
      <c r="D35" s="12"/>
      <c r="E35" s="5"/>
      <c r="F35" s="19" t="str">
        <f t="shared" si="0"/>
        <v/>
      </c>
      <c r="G35" s="1"/>
      <c r="H35" s="1"/>
      <c r="I35" s="1"/>
      <c r="J35" s="11"/>
      <c r="X35" s="5">
        <f t="shared" si="1"/>
        <v>0</v>
      </c>
      <c r="Y35" s="2">
        <f t="shared" si="2"/>
        <v>0</v>
      </c>
    </row>
    <row r="36" spans="4:25" x14ac:dyDescent="0.25">
      <c r="D36" s="12"/>
      <c r="E36" s="5"/>
      <c r="F36" s="19" t="str">
        <f t="shared" si="0"/>
        <v/>
      </c>
      <c r="G36" s="1"/>
      <c r="H36" s="1"/>
      <c r="I36" s="1"/>
      <c r="J36" s="11"/>
      <c r="X36" s="5">
        <f t="shared" si="1"/>
        <v>0</v>
      </c>
      <c r="Y36" s="2">
        <f t="shared" si="2"/>
        <v>0</v>
      </c>
    </row>
    <row r="37" spans="4:25" x14ac:dyDescent="0.25">
      <c r="D37" s="12"/>
      <c r="E37" s="5"/>
      <c r="F37" s="19" t="str">
        <f t="shared" si="0"/>
        <v/>
      </c>
      <c r="G37" s="1"/>
      <c r="H37" s="1"/>
      <c r="I37" s="1"/>
      <c r="J37" s="11"/>
      <c r="X37" s="5">
        <f t="shared" si="1"/>
        <v>0</v>
      </c>
      <c r="Y37" s="2">
        <f t="shared" si="2"/>
        <v>0</v>
      </c>
    </row>
    <row r="38" spans="4:25" x14ac:dyDescent="0.25">
      <c r="D38" s="12"/>
      <c r="E38" s="5"/>
      <c r="F38" s="19" t="str">
        <f t="shared" si="0"/>
        <v/>
      </c>
      <c r="G38" s="1"/>
      <c r="H38" s="1"/>
      <c r="I38" s="1"/>
      <c r="J38" s="11"/>
      <c r="X38" s="5">
        <f t="shared" si="1"/>
        <v>0</v>
      </c>
      <c r="Y38" s="2">
        <f t="shared" si="2"/>
        <v>0</v>
      </c>
    </row>
    <row r="39" spans="4:25" x14ac:dyDescent="0.25">
      <c r="D39" s="12"/>
      <c r="E39" s="5"/>
      <c r="F39" s="19" t="str">
        <f t="shared" si="0"/>
        <v/>
      </c>
      <c r="G39" s="1"/>
      <c r="H39" s="1"/>
      <c r="I39" s="1"/>
      <c r="J39" s="11"/>
      <c r="X39" s="5">
        <f t="shared" si="1"/>
        <v>0</v>
      </c>
      <c r="Y39" s="2">
        <f t="shared" si="2"/>
        <v>0</v>
      </c>
    </row>
    <row r="40" spans="4:25" x14ac:dyDescent="0.25">
      <c r="D40" s="12"/>
      <c r="E40" s="5"/>
      <c r="F40" s="19" t="str">
        <f t="shared" si="0"/>
        <v/>
      </c>
      <c r="G40" s="1"/>
      <c r="H40" s="1"/>
      <c r="I40" s="1"/>
      <c r="J40" s="11"/>
      <c r="X40" s="5">
        <f t="shared" si="1"/>
        <v>0</v>
      </c>
      <c r="Y40" s="2">
        <f t="shared" si="2"/>
        <v>0</v>
      </c>
    </row>
    <row r="41" spans="4:25" x14ac:dyDescent="0.25">
      <c r="D41" s="12"/>
      <c r="E41" s="5"/>
      <c r="F41" s="19" t="str">
        <f t="shared" si="0"/>
        <v/>
      </c>
      <c r="G41" s="1"/>
      <c r="H41" s="1"/>
      <c r="I41" s="1"/>
      <c r="J41" s="11"/>
      <c r="X41" s="5">
        <f t="shared" si="1"/>
        <v>0</v>
      </c>
      <c r="Y41" s="2">
        <f t="shared" si="2"/>
        <v>0</v>
      </c>
    </row>
    <row r="42" spans="4:25" x14ac:dyDescent="0.25">
      <c r="D42" s="12"/>
      <c r="E42" s="5"/>
      <c r="F42" s="19" t="str">
        <f t="shared" si="0"/>
        <v/>
      </c>
      <c r="G42" s="1"/>
      <c r="H42" s="1"/>
      <c r="I42" s="1"/>
      <c r="J42" s="11"/>
      <c r="X42" s="5">
        <f t="shared" si="1"/>
        <v>0</v>
      </c>
      <c r="Y42" s="2">
        <f t="shared" si="2"/>
        <v>0</v>
      </c>
    </row>
    <row r="43" spans="4:25" x14ac:dyDescent="0.25">
      <c r="D43" s="12"/>
      <c r="E43" s="5"/>
      <c r="F43" s="19" t="str">
        <f t="shared" si="0"/>
        <v/>
      </c>
      <c r="G43" s="1"/>
      <c r="H43" s="1"/>
      <c r="I43" s="1"/>
      <c r="J43" s="11"/>
      <c r="X43" s="5">
        <f t="shared" si="1"/>
        <v>0</v>
      </c>
      <c r="Y43" s="2">
        <f t="shared" si="2"/>
        <v>0</v>
      </c>
    </row>
    <row r="44" spans="4:25" x14ac:dyDescent="0.25">
      <c r="D44" s="12"/>
      <c r="E44" s="5"/>
      <c r="F44" s="19" t="str">
        <f t="shared" si="0"/>
        <v/>
      </c>
      <c r="G44" s="1"/>
      <c r="H44" s="1"/>
      <c r="I44" s="1"/>
      <c r="J44" s="11"/>
      <c r="X44" s="5">
        <f t="shared" si="1"/>
        <v>0</v>
      </c>
      <c r="Y44" s="2">
        <f t="shared" si="2"/>
        <v>0</v>
      </c>
    </row>
    <row r="45" spans="4:25" x14ac:dyDescent="0.25">
      <c r="D45" s="12"/>
      <c r="E45" s="5"/>
      <c r="F45" s="19" t="str">
        <f t="shared" si="0"/>
        <v/>
      </c>
      <c r="G45" s="1"/>
      <c r="H45" s="1"/>
      <c r="I45" s="1"/>
      <c r="J45" s="11"/>
      <c r="X45" s="5">
        <f t="shared" si="1"/>
        <v>0</v>
      </c>
      <c r="Y45" s="2">
        <f t="shared" si="2"/>
        <v>0</v>
      </c>
    </row>
    <row r="46" spans="4:25" x14ac:dyDescent="0.25">
      <c r="D46" s="12"/>
      <c r="E46" s="5"/>
      <c r="F46" s="19" t="str">
        <f t="shared" si="0"/>
        <v/>
      </c>
      <c r="G46" s="1"/>
      <c r="H46" s="1"/>
      <c r="I46" s="1"/>
      <c r="J46" s="11"/>
      <c r="X46" s="5">
        <f t="shared" si="1"/>
        <v>0</v>
      </c>
      <c r="Y46" s="2">
        <f t="shared" si="2"/>
        <v>0</v>
      </c>
    </row>
    <row r="47" spans="4:25" x14ac:dyDescent="0.25">
      <c r="D47" s="12"/>
      <c r="E47" s="5"/>
      <c r="F47" s="19" t="str">
        <f t="shared" si="0"/>
        <v/>
      </c>
      <c r="G47" s="1"/>
      <c r="H47" s="1"/>
      <c r="I47" s="1"/>
      <c r="J47" s="11"/>
      <c r="X47" s="5">
        <f t="shared" si="1"/>
        <v>0</v>
      </c>
      <c r="Y47" s="2">
        <f t="shared" si="2"/>
        <v>0</v>
      </c>
    </row>
    <row r="48" spans="4:25" x14ac:dyDescent="0.25">
      <c r="D48" s="12"/>
      <c r="E48" s="5"/>
      <c r="F48" s="19" t="str">
        <f t="shared" si="0"/>
        <v/>
      </c>
      <c r="G48" s="1"/>
      <c r="H48" s="1"/>
      <c r="I48" s="1"/>
      <c r="J48" s="11"/>
      <c r="X48" s="5">
        <f t="shared" si="1"/>
        <v>0</v>
      </c>
      <c r="Y48" s="2">
        <f t="shared" si="2"/>
        <v>0</v>
      </c>
    </row>
    <row r="49" spans="4:25" x14ac:dyDescent="0.25">
      <c r="D49" s="12"/>
      <c r="E49" s="5"/>
      <c r="F49" s="19" t="str">
        <f t="shared" si="0"/>
        <v/>
      </c>
      <c r="G49" s="1"/>
      <c r="H49" s="1"/>
      <c r="I49" s="1"/>
      <c r="J49" s="11"/>
      <c r="X49" s="5">
        <f t="shared" si="1"/>
        <v>0</v>
      </c>
      <c r="Y49" s="2">
        <f t="shared" si="2"/>
        <v>0</v>
      </c>
    </row>
    <row r="50" spans="4:25" x14ac:dyDescent="0.25">
      <c r="D50" s="12"/>
      <c r="E50" s="5"/>
      <c r="F50" s="19" t="str">
        <f t="shared" si="0"/>
        <v/>
      </c>
      <c r="G50" s="1"/>
      <c r="H50" s="1"/>
      <c r="I50" s="1"/>
      <c r="J50" s="11"/>
      <c r="X50" s="5">
        <f t="shared" si="1"/>
        <v>0</v>
      </c>
      <c r="Y50" s="2">
        <f t="shared" si="2"/>
        <v>0</v>
      </c>
    </row>
    <row r="51" spans="4:25" x14ac:dyDescent="0.25">
      <c r="D51" s="12"/>
      <c r="E51" s="5"/>
      <c r="F51" s="19" t="str">
        <f t="shared" si="0"/>
        <v/>
      </c>
      <c r="G51" s="1"/>
      <c r="H51" s="1"/>
      <c r="I51" s="1"/>
      <c r="J51" s="11"/>
      <c r="X51" s="5">
        <f t="shared" si="1"/>
        <v>0</v>
      </c>
      <c r="Y51" s="2">
        <f t="shared" si="2"/>
        <v>0</v>
      </c>
    </row>
    <row r="52" spans="4:25" x14ac:dyDescent="0.25">
      <c r="D52" s="12"/>
      <c r="E52" s="5"/>
      <c r="F52" s="19" t="str">
        <f t="shared" si="0"/>
        <v/>
      </c>
      <c r="G52" s="1"/>
      <c r="H52" s="1"/>
      <c r="I52" s="1"/>
      <c r="J52" s="9"/>
      <c r="X52" s="5">
        <f t="shared" si="1"/>
        <v>0</v>
      </c>
      <c r="Y52" s="2">
        <f t="shared" si="2"/>
        <v>0</v>
      </c>
    </row>
    <row r="53" spans="4:25" x14ac:dyDescent="0.25">
      <c r="D53" s="1" t="s">
        <v>25</v>
      </c>
      <c r="E53" s="23"/>
      <c r="F53" s="2"/>
      <c r="G53" s="2">
        <f>SUM(G3:G52)</f>
        <v>18.23</v>
      </c>
      <c r="H53" s="2">
        <f t="shared" ref="H53:I53" si="3">SUM(H3:H52)</f>
        <v>0.53999999999999992</v>
      </c>
      <c r="I53" s="2">
        <f t="shared" si="3"/>
        <v>0.03</v>
      </c>
    </row>
  </sheetData>
  <mergeCells count="4">
    <mergeCell ref="D1:F1"/>
    <mergeCell ref="G1:I1"/>
    <mergeCell ref="K1:Q1"/>
    <mergeCell ref="X1:Z1"/>
  </mergeCells>
  <conditionalFormatting sqref="A1:B1">
    <cfRule type="expression" dxfId="71" priority="1">
      <formula>$Z$3="+"</formula>
    </cfRule>
    <cfRule type="expression" dxfId="70" priority="2">
      <formula>$B$16=$K$3</formula>
    </cfRule>
  </conditionalFormatting>
  <conditionalFormatting sqref="P3">
    <cfRule type="expression" dxfId="69" priority="6">
      <formula>$Z$3="+"</formula>
    </cfRule>
  </conditionalFormatting>
  <conditionalFormatting sqref="Z3">
    <cfRule type="expression" dxfId="68" priority="7">
      <formula>$Z$3="+"</formula>
    </cfRule>
  </conditionalFormatting>
  <dataValidations count="1">
    <dataValidation type="list" allowBlank="1" showInputMessage="1" showErrorMessage="1" sqref="B2" xr:uid="{A3C99751-2229-4220-A74D-6B9FB374F142}">
      <formula1>"Romania,Moldova,Cyprus,Philippines,Latvia"</formula1>
    </dataValidation>
  </dataValidations>
  <pageMargins left="0.7" right="0.7" top="0.75" bottom="0.75" header="0.3" footer="0.3"/>
  <pageSetup orientation="portrait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32A13-9D26-4D37-9A35-A303B8A7E4CE}">
  <sheetPr>
    <tabColor rgb="FF92D050"/>
  </sheetPr>
  <dimension ref="A1:Z53"/>
  <sheetViews>
    <sheetView workbookViewId="0">
      <selection activeCell="H6" sqref="H6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1" customWidth="1"/>
    <col min="25" max="25" width="10.7109375" style="11" customWidth="1"/>
    <col min="26" max="26" width="10.7109375" customWidth="1"/>
  </cols>
  <sheetData>
    <row r="1" spans="1:26" x14ac:dyDescent="0.25">
      <c r="A1" s="4" t="s">
        <v>66</v>
      </c>
      <c r="B1" s="5" t="s">
        <v>42</v>
      </c>
      <c r="D1" s="29" t="s">
        <v>2</v>
      </c>
      <c r="E1" s="30"/>
      <c r="F1" s="31"/>
      <c r="G1" s="29" t="s">
        <v>0</v>
      </c>
      <c r="H1" s="30"/>
      <c r="I1" s="31"/>
      <c r="J1" s="18"/>
      <c r="K1" s="29" t="s">
        <v>58</v>
      </c>
      <c r="L1" s="30"/>
      <c r="M1" s="30"/>
      <c r="N1" s="30"/>
      <c r="O1" s="30"/>
      <c r="P1" s="30"/>
      <c r="Q1" s="31"/>
      <c r="X1" s="29"/>
      <c r="Y1" s="30"/>
      <c r="Z1" s="31"/>
    </row>
    <row r="2" spans="1:26" x14ac:dyDescent="0.25">
      <c r="A2" s="4" t="s">
        <v>21</v>
      </c>
      <c r="B2" s="5" t="s">
        <v>41</v>
      </c>
      <c r="D2" s="10" t="s">
        <v>49</v>
      </c>
      <c r="E2" s="10" t="s">
        <v>50</v>
      </c>
      <c r="F2" s="17" t="s">
        <v>67</v>
      </c>
      <c r="G2" s="10" t="s">
        <v>15</v>
      </c>
      <c r="H2" s="10" t="s">
        <v>16</v>
      </c>
      <c r="I2" s="10" t="s">
        <v>60</v>
      </c>
      <c r="J2" s="9"/>
      <c r="K2" s="10" t="s">
        <v>0</v>
      </c>
      <c r="L2" s="10" t="s">
        <v>1</v>
      </c>
      <c r="M2" s="10" t="s">
        <v>56</v>
      </c>
      <c r="N2" s="10" t="s">
        <v>57</v>
      </c>
      <c r="O2" s="10" t="s">
        <v>2</v>
      </c>
      <c r="P2" s="10" t="s">
        <v>68</v>
      </c>
      <c r="Q2" s="10" t="s">
        <v>67</v>
      </c>
      <c r="X2" s="10" t="s">
        <v>2</v>
      </c>
      <c r="Y2" s="10" t="s">
        <v>59</v>
      </c>
      <c r="Z2" s="10" t="s">
        <v>68</v>
      </c>
    </row>
    <row r="3" spans="1:26" x14ac:dyDescent="0.25">
      <c r="A3" s="4" t="s">
        <v>69</v>
      </c>
      <c r="B3" s="5" t="s">
        <v>78</v>
      </c>
      <c r="D3" s="12">
        <v>46053</v>
      </c>
      <c r="E3" s="12">
        <v>46053</v>
      </c>
      <c r="F3" s="19">
        <f t="shared" ref="F3:F52" si="0">IF(E3&gt;0,E3-D3,"")</f>
        <v>0</v>
      </c>
      <c r="G3" s="2">
        <v>0</v>
      </c>
      <c r="H3" s="1">
        <v>0.11</v>
      </c>
      <c r="I3" s="2">
        <v>0</v>
      </c>
      <c r="J3" s="11"/>
      <c r="K3" s="2">
        <f>G53</f>
        <v>21.95</v>
      </c>
      <c r="L3" s="2">
        <f>H53</f>
        <v>0.69</v>
      </c>
      <c r="M3" s="2">
        <f>I53</f>
        <v>0.03</v>
      </c>
      <c r="N3" s="6">
        <f>IF(B16=K3,XIRR(Y3:Y52,X3:X52),"")</f>
        <v>0.10933483242988587</v>
      </c>
      <c r="O3" s="5">
        <f>IF(B16=K3,MAX(E:E),"")</f>
        <v>46129</v>
      </c>
      <c r="P3" s="1" t="str">
        <f ca="1">IF(Z3="+",TODAY()-B11,"")</f>
        <v/>
      </c>
      <c r="Q3" s="1">
        <f>IF(B16=K3,MAX(E:E)-B11,"")</f>
        <v>0</v>
      </c>
      <c r="T3" s="14"/>
      <c r="X3" s="5">
        <f>B9</f>
        <v>46024</v>
      </c>
      <c r="Y3" s="2">
        <f>B16*-1</f>
        <v>-21.95</v>
      </c>
      <c r="Z3" s="1" t="str">
        <f ca="1">IF(AND(TODAY()&gt;B11, K3&lt;&gt;B16), "+", "")</f>
        <v/>
      </c>
    </row>
    <row r="4" spans="1:26" x14ac:dyDescent="0.25">
      <c r="A4" s="4" t="s">
        <v>19</v>
      </c>
      <c r="B4" s="5" t="s">
        <v>20</v>
      </c>
      <c r="D4" s="12">
        <v>46081</v>
      </c>
      <c r="E4" s="12">
        <v>46081</v>
      </c>
      <c r="F4" s="19">
        <f t="shared" si="0"/>
        <v>0</v>
      </c>
      <c r="G4" s="2">
        <v>0</v>
      </c>
      <c r="H4" s="1">
        <v>0.14000000000000001</v>
      </c>
      <c r="I4" s="2">
        <v>0.01</v>
      </c>
      <c r="J4" s="9"/>
      <c r="X4" s="5">
        <f>E3</f>
        <v>46053</v>
      </c>
      <c r="Y4" s="2">
        <f>G3+H3-I3</f>
        <v>0.11</v>
      </c>
    </row>
    <row r="5" spans="1:26" x14ac:dyDescent="0.25">
      <c r="A5" s="4"/>
      <c r="B5" s="5"/>
      <c r="D5" s="12">
        <v>46112</v>
      </c>
      <c r="E5" s="12">
        <v>46112</v>
      </c>
      <c r="F5" s="19">
        <f t="shared" si="0"/>
        <v>0</v>
      </c>
      <c r="G5" s="2">
        <v>0</v>
      </c>
      <c r="H5" s="1">
        <v>0.19</v>
      </c>
      <c r="I5" s="2">
        <v>0.01</v>
      </c>
      <c r="J5" s="9"/>
      <c r="X5" s="5">
        <f t="shared" ref="X5:X52" si="1">E4</f>
        <v>46081</v>
      </c>
      <c r="Y5" s="2">
        <f t="shared" ref="Y5:Y52" si="2">G4+H4-I4</f>
        <v>0.13</v>
      </c>
    </row>
    <row r="6" spans="1:26" x14ac:dyDescent="0.25">
      <c r="A6" s="4"/>
      <c r="B6" s="5"/>
      <c r="D6" s="12">
        <v>46129</v>
      </c>
      <c r="E6" s="12">
        <v>46129</v>
      </c>
      <c r="F6" s="19">
        <f t="shared" si="0"/>
        <v>0</v>
      </c>
      <c r="G6" s="1">
        <v>21.95</v>
      </c>
      <c r="H6" s="1">
        <v>0.25</v>
      </c>
      <c r="I6" s="2">
        <v>0.01</v>
      </c>
      <c r="J6" s="9"/>
      <c r="X6" s="5">
        <f t="shared" si="1"/>
        <v>46112</v>
      </c>
      <c r="Y6" s="2">
        <f t="shared" si="2"/>
        <v>0.18</v>
      </c>
    </row>
    <row r="7" spans="1:26" x14ac:dyDescent="0.25">
      <c r="A7" s="4"/>
      <c r="B7" s="5"/>
      <c r="D7" s="12"/>
      <c r="E7" s="12"/>
      <c r="F7" s="19" t="str">
        <f t="shared" si="0"/>
        <v/>
      </c>
      <c r="G7" s="1"/>
      <c r="H7" s="1"/>
      <c r="I7" s="2"/>
      <c r="J7" s="11"/>
      <c r="X7" s="5">
        <f t="shared" si="1"/>
        <v>46129</v>
      </c>
      <c r="Y7" s="2">
        <f t="shared" si="2"/>
        <v>22.189999999999998</v>
      </c>
    </row>
    <row r="8" spans="1:26" x14ac:dyDescent="0.25">
      <c r="A8" s="4" t="s">
        <v>24</v>
      </c>
      <c r="B8" s="5" t="str">
        <f>DATEDIF(B9,B11,"y") &amp; " m. " &amp; DATEDIF(B9,B11,"ym") &amp; " mėn. " &amp; DATEDIF(B9,B11,"md") &amp; " d."</f>
        <v>0 m. 3 mėn. 15 d.</v>
      </c>
      <c r="D8" s="12"/>
      <c r="E8" s="12"/>
      <c r="F8" s="19" t="str">
        <f t="shared" si="0"/>
        <v/>
      </c>
      <c r="G8" s="1"/>
      <c r="H8" s="1"/>
      <c r="I8" s="2"/>
      <c r="J8" s="9"/>
      <c r="X8" s="5">
        <f t="shared" si="1"/>
        <v>0</v>
      </c>
      <c r="Y8" s="2">
        <f t="shared" si="2"/>
        <v>0</v>
      </c>
    </row>
    <row r="9" spans="1:26" x14ac:dyDescent="0.25">
      <c r="A9" s="4" t="s">
        <v>11</v>
      </c>
      <c r="B9" s="5">
        <v>46024</v>
      </c>
      <c r="D9" s="12"/>
      <c r="E9" s="12"/>
      <c r="F9" s="19"/>
      <c r="G9" s="2"/>
      <c r="H9" s="2"/>
      <c r="I9" s="2"/>
      <c r="J9" s="11"/>
      <c r="X9" s="5">
        <f t="shared" si="1"/>
        <v>0</v>
      </c>
      <c r="Y9" s="2">
        <f t="shared" si="2"/>
        <v>0</v>
      </c>
    </row>
    <row r="10" spans="1:26" x14ac:dyDescent="0.25">
      <c r="A10" s="4" t="s">
        <v>70</v>
      </c>
      <c r="B10" s="5">
        <v>46013</v>
      </c>
      <c r="D10" s="12"/>
      <c r="E10" s="12"/>
      <c r="F10" s="19" t="str">
        <f t="shared" si="0"/>
        <v/>
      </c>
      <c r="G10" s="1"/>
      <c r="H10" s="1"/>
      <c r="I10" s="2"/>
      <c r="J10" s="11"/>
      <c r="X10" s="5">
        <f t="shared" si="1"/>
        <v>0</v>
      </c>
      <c r="Y10" s="2">
        <f t="shared" si="2"/>
        <v>0</v>
      </c>
    </row>
    <row r="11" spans="1:26" x14ac:dyDescent="0.25">
      <c r="A11" s="4" t="s">
        <v>10</v>
      </c>
      <c r="B11" s="5">
        <v>46129</v>
      </c>
      <c r="D11" s="12"/>
      <c r="E11" s="12"/>
      <c r="F11" s="19" t="str">
        <f t="shared" si="0"/>
        <v/>
      </c>
      <c r="G11" s="1"/>
      <c r="H11" s="2"/>
      <c r="I11" s="2"/>
      <c r="J11" s="11"/>
      <c r="X11" s="5">
        <f t="shared" si="1"/>
        <v>0</v>
      </c>
      <c r="Y11" s="2">
        <f t="shared" si="2"/>
        <v>0</v>
      </c>
    </row>
    <row r="12" spans="1:26" x14ac:dyDescent="0.25">
      <c r="A12" s="4" t="s">
        <v>71</v>
      </c>
      <c r="B12" s="19" t="str">
        <f ca="1">IF(B16&lt;&gt;K3,(TODAY()-B11)*-1,"")</f>
        <v/>
      </c>
      <c r="D12" s="12"/>
      <c r="E12" s="12"/>
      <c r="F12" s="19" t="str">
        <f t="shared" si="0"/>
        <v/>
      </c>
      <c r="G12" s="2"/>
      <c r="H12" s="1"/>
      <c r="I12" s="1"/>
      <c r="J12" s="11"/>
      <c r="X12" s="5">
        <f t="shared" si="1"/>
        <v>0</v>
      </c>
      <c r="Y12" s="2">
        <f t="shared" si="2"/>
        <v>0</v>
      </c>
    </row>
    <row r="13" spans="1:26" x14ac:dyDescent="0.25">
      <c r="A13" s="4"/>
      <c r="B13" s="2"/>
      <c r="D13" s="12"/>
      <c r="E13" s="12"/>
      <c r="F13" s="19" t="str">
        <f t="shared" si="0"/>
        <v/>
      </c>
      <c r="G13" s="1"/>
      <c r="H13" s="2"/>
      <c r="I13" s="2"/>
      <c r="J13" s="11"/>
      <c r="N13" s="14"/>
      <c r="X13" s="5">
        <f t="shared" si="1"/>
        <v>0</v>
      </c>
      <c r="Y13" s="2">
        <f t="shared" si="2"/>
        <v>0</v>
      </c>
    </row>
    <row r="14" spans="1:26" x14ac:dyDescent="0.25">
      <c r="A14" s="13"/>
      <c r="B14" s="20"/>
      <c r="D14" s="12"/>
      <c r="E14" s="5"/>
      <c r="F14" s="19" t="str">
        <f t="shared" si="0"/>
        <v/>
      </c>
      <c r="G14" s="1"/>
      <c r="H14" s="1"/>
      <c r="I14" s="1"/>
      <c r="J14" s="11"/>
      <c r="X14" s="5">
        <f t="shared" si="1"/>
        <v>0</v>
      </c>
      <c r="Y14" s="2">
        <f t="shared" si="2"/>
        <v>0</v>
      </c>
    </row>
    <row r="15" spans="1:26" x14ac:dyDescent="0.25">
      <c r="A15" s="4" t="s">
        <v>1</v>
      </c>
      <c r="B15" s="6">
        <v>0.11</v>
      </c>
      <c r="D15" s="12"/>
      <c r="E15" s="5"/>
      <c r="F15" s="19" t="str">
        <f t="shared" si="0"/>
        <v/>
      </c>
      <c r="G15" s="1"/>
      <c r="H15" s="1"/>
      <c r="I15" s="1"/>
      <c r="J15" s="11"/>
      <c r="K15" s="18"/>
      <c r="L15" s="18"/>
      <c r="M15" s="18"/>
      <c r="N15" s="18"/>
      <c r="O15" s="18"/>
      <c r="P15" s="18"/>
      <c r="Q15" s="18"/>
      <c r="X15" s="5">
        <f t="shared" si="1"/>
        <v>0</v>
      </c>
      <c r="Y15" s="2">
        <f t="shared" si="2"/>
        <v>0</v>
      </c>
    </row>
    <row r="16" spans="1:26" x14ac:dyDescent="0.25">
      <c r="A16" s="4" t="s">
        <v>72</v>
      </c>
      <c r="B16" s="2">
        <v>21.95</v>
      </c>
      <c r="D16" s="12"/>
      <c r="E16" s="5"/>
      <c r="F16" s="19" t="str">
        <f t="shared" si="0"/>
        <v/>
      </c>
      <c r="G16" s="1"/>
      <c r="H16" s="1"/>
      <c r="I16" s="1"/>
      <c r="J16" s="11"/>
      <c r="K16" s="9"/>
      <c r="L16" s="9"/>
      <c r="M16" s="9"/>
      <c r="N16" s="21"/>
      <c r="O16" s="22"/>
      <c r="P16" s="11"/>
      <c r="Q16" s="11"/>
      <c r="X16" s="5">
        <f t="shared" si="1"/>
        <v>0</v>
      </c>
      <c r="Y16" s="2">
        <f t="shared" si="2"/>
        <v>0</v>
      </c>
    </row>
    <row r="17" spans="2:25" x14ac:dyDescent="0.25">
      <c r="D17" s="12"/>
      <c r="E17" s="5"/>
      <c r="F17" s="19" t="str">
        <f t="shared" si="0"/>
        <v/>
      </c>
      <c r="G17" s="1"/>
      <c r="H17" s="1"/>
      <c r="I17" s="1"/>
      <c r="J17" s="11"/>
      <c r="X17" s="5">
        <f t="shared" si="1"/>
        <v>0</v>
      </c>
      <c r="Y17" s="2">
        <f t="shared" si="2"/>
        <v>0</v>
      </c>
    </row>
    <row r="18" spans="2:25" x14ac:dyDescent="0.25">
      <c r="D18" s="12"/>
      <c r="E18" s="5"/>
      <c r="F18" s="19" t="str">
        <f t="shared" si="0"/>
        <v/>
      </c>
      <c r="G18" s="1"/>
      <c r="H18" s="1"/>
      <c r="I18" s="1"/>
      <c r="J18" s="11"/>
      <c r="X18" s="5">
        <f t="shared" si="1"/>
        <v>0</v>
      </c>
      <c r="Y18" s="2">
        <f t="shared" si="2"/>
        <v>0</v>
      </c>
    </row>
    <row r="19" spans="2:25" x14ac:dyDescent="0.25">
      <c r="D19" s="12"/>
      <c r="E19" s="5"/>
      <c r="F19" s="19" t="str">
        <f t="shared" si="0"/>
        <v/>
      </c>
      <c r="G19" s="1"/>
      <c r="H19" s="1"/>
      <c r="I19" s="1"/>
      <c r="J19" s="11"/>
      <c r="X19" s="5">
        <f t="shared" si="1"/>
        <v>0</v>
      </c>
      <c r="Y19" s="2">
        <f t="shared" si="2"/>
        <v>0</v>
      </c>
    </row>
    <row r="20" spans="2:25" x14ac:dyDescent="0.25">
      <c r="D20" s="12"/>
      <c r="E20" s="5"/>
      <c r="F20" s="19" t="str">
        <f t="shared" si="0"/>
        <v/>
      </c>
      <c r="G20" s="1"/>
      <c r="H20" s="1"/>
      <c r="I20" s="1"/>
      <c r="J20" s="11"/>
      <c r="X20" s="5">
        <f t="shared" si="1"/>
        <v>0</v>
      </c>
      <c r="Y20" s="2">
        <f t="shared" si="2"/>
        <v>0</v>
      </c>
    </row>
    <row r="21" spans="2:25" x14ac:dyDescent="0.25">
      <c r="D21" s="12"/>
      <c r="E21" s="5"/>
      <c r="F21" s="19" t="str">
        <f t="shared" si="0"/>
        <v/>
      </c>
      <c r="G21" s="1"/>
      <c r="H21" s="1"/>
      <c r="I21" s="1"/>
      <c r="J21" s="11"/>
      <c r="X21" s="5">
        <f t="shared" si="1"/>
        <v>0</v>
      </c>
      <c r="Y21" s="2">
        <f t="shared" si="2"/>
        <v>0</v>
      </c>
    </row>
    <row r="22" spans="2:25" x14ac:dyDescent="0.25">
      <c r="D22" s="12"/>
      <c r="E22" s="5"/>
      <c r="F22" s="19" t="str">
        <f t="shared" si="0"/>
        <v/>
      </c>
      <c r="G22" s="1"/>
      <c r="H22" s="1"/>
      <c r="I22" s="1"/>
      <c r="J22" s="11"/>
      <c r="X22" s="5">
        <f t="shared" si="1"/>
        <v>0</v>
      </c>
      <c r="Y22" s="2">
        <f t="shared" si="2"/>
        <v>0</v>
      </c>
    </row>
    <row r="23" spans="2:25" x14ac:dyDescent="0.25">
      <c r="B23" s="22"/>
      <c r="D23" s="12"/>
      <c r="E23" s="5"/>
      <c r="F23" s="19" t="str">
        <f t="shared" si="0"/>
        <v/>
      </c>
      <c r="G23" s="1"/>
      <c r="H23" s="1"/>
      <c r="I23" s="1"/>
      <c r="J23" s="11"/>
      <c r="X23" s="5">
        <f t="shared" si="1"/>
        <v>0</v>
      </c>
      <c r="Y23" s="2">
        <f t="shared" si="2"/>
        <v>0</v>
      </c>
    </row>
    <row r="24" spans="2:25" x14ac:dyDescent="0.25">
      <c r="D24" s="12"/>
      <c r="E24" s="5"/>
      <c r="F24" s="19" t="str">
        <f t="shared" si="0"/>
        <v/>
      </c>
      <c r="G24" s="1"/>
      <c r="H24" s="1"/>
      <c r="I24" s="1"/>
      <c r="J24" s="11"/>
      <c r="X24" s="5">
        <f t="shared" si="1"/>
        <v>0</v>
      </c>
      <c r="Y24" s="2">
        <f t="shared" si="2"/>
        <v>0</v>
      </c>
    </row>
    <row r="25" spans="2:25" x14ac:dyDescent="0.25">
      <c r="D25" s="12"/>
      <c r="E25" s="5"/>
      <c r="F25" s="19" t="str">
        <f t="shared" si="0"/>
        <v/>
      </c>
      <c r="G25" s="1"/>
      <c r="H25" s="1"/>
      <c r="I25" s="1"/>
      <c r="J25" s="11"/>
      <c r="X25" s="5">
        <f t="shared" si="1"/>
        <v>0</v>
      </c>
      <c r="Y25" s="2">
        <f t="shared" si="2"/>
        <v>0</v>
      </c>
    </row>
    <row r="26" spans="2:25" x14ac:dyDescent="0.25">
      <c r="D26" s="12"/>
      <c r="E26" s="5"/>
      <c r="F26" s="19" t="str">
        <f t="shared" si="0"/>
        <v/>
      </c>
      <c r="G26" s="1"/>
      <c r="H26" s="1"/>
      <c r="I26" s="1"/>
      <c r="J26" s="11"/>
      <c r="X26" s="5">
        <f t="shared" si="1"/>
        <v>0</v>
      </c>
      <c r="Y26" s="2">
        <f t="shared" si="2"/>
        <v>0</v>
      </c>
    </row>
    <row r="27" spans="2:25" x14ac:dyDescent="0.25">
      <c r="D27" s="12"/>
      <c r="E27" s="5"/>
      <c r="F27" s="19" t="str">
        <f t="shared" si="0"/>
        <v/>
      </c>
      <c r="G27" s="1"/>
      <c r="H27" s="1"/>
      <c r="I27" s="1"/>
      <c r="J27" s="11"/>
      <c r="X27" s="5">
        <f t="shared" si="1"/>
        <v>0</v>
      </c>
      <c r="Y27" s="2">
        <f t="shared" si="2"/>
        <v>0</v>
      </c>
    </row>
    <row r="28" spans="2:25" x14ac:dyDescent="0.25">
      <c r="D28" s="12"/>
      <c r="E28" s="5"/>
      <c r="F28" s="19" t="str">
        <f t="shared" si="0"/>
        <v/>
      </c>
      <c r="G28" s="1"/>
      <c r="H28" s="1"/>
      <c r="I28" s="1"/>
      <c r="J28" s="11"/>
      <c r="X28" s="5">
        <f t="shared" si="1"/>
        <v>0</v>
      </c>
      <c r="Y28" s="2">
        <f t="shared" si="2"/>
        <v>0</v>
      </c>
    </row>
    <row r="29" spans="2:25" x14ac:dyDescent="0.25">
      <c r="D29" s="12"/>
      <c r="E29" s="5"/>
      <c r="F29" s="19" t="str">
        <f t="shared" si="0"/>
        <v/>
      </c>
      <c r="G29" s="1"/>
      <c r="H29" s="1"/>
      <c r="I29" s="1"/>
      <c r="J29" s="11"/>
      <c r="X29" s="5">
        <f t="shared" si="1"/>
        <v>0</v>
      </c>
      <c r="Y29" s="2">
        <f t="shared" si="2"/>
        <v>0</v>
      </c>
    </row>
    <row r="30" spans="2:25" x14ac:dyDescent="0.25">
      <c r="D30" s="12"/>
      <c r="E30" s="5"/>
      <c r="F30" s="19" t="str">
        <f t="shared" si="0"/>
        <v/>
      </c>
      <c r="G30" s="1"/>
      <c r="H30" s="1"/>
      <c r="I30" s="1"/>
      <c r="J30" s="11"/>
      <c r="X30" s="5">
        <f t="shared" si="1"/>
        <v>0</v>
      </c>
      <c r="Y30" s="2">
        <f t="shared" si="2"/>
        <v>0</v>
      </c>
    </row>
    <row r="31" spans="2:25" x14ac:dyDescent="0.25">
      <c r="D31" s="12"/>
      <c r="E31" s="5"/>
      <c r="F31" s="19" t="str">
        <f t="shared" si="0"/>
        <v/>
      </c>
      <c r="G31" s="1"/>
      <c r="H31" s="1"/>
      <c r="I31" s="1"/>
      <c r="J31" s="11"/>
      <c r="X31" s="5">
        <f t="shared" si="1"/>
        <v>0</v>
      </c>
      <c r="Y31" s="2">
        <f t="shared" si="2"/>
        <v>0</v>
      </c>
    </row>
    <row r="32" spans="2:25" x14ac:dyDescent="0.25">
      <c r="D32" s="12"/>
      <c r="E32" s="5"/>
      <c r="F32" s="19" t="str">
        <f t="shared" si="0"/>
        <v/>
      </c>
      <c r="G32" s="1"/>
      <c r="H32" s="1"/>
      <c r="I32" s="1"/>
      <c r="J32" s="11"/>
      <c r="X32" s="5">
        <f t="shared" si="1"/>
        <v>0</v>
      </c>
      <c r="Y32" s="2">
        <f t="shared" si="2"/>
        <v>0</v>
      </c>
    </row>
    <row r="33" spans="4:25" x14ac:dyDescent="0.25">
      <c r="D33" s="12"/>
      <c r="E33" s="5"/>
      <c r="F33" s="19" t="str">
        <f t="shared" si="0"/>
        <v/>
      </c>
      <c r="G33" s="1"/>
      <c r="H33" s="1"/>
      <c r="I33" s="1"/>
      <c r="J33" s="11"/>
      <c r="X33" s="5">
        <f t="shared" si="1"/>
        <v>0</v>
      </c>
      <c r="Y33" s="2">
        <f t="shared" si="2"/>
        <v>0</v>
      </c>
    </row>
    <row r="34" spans="4:25" x14ac:dyDescent="0.25">
      <c r="D34" s="12"/>
      <c r="E34" s="5"/>
      <c r="F34" s="19" t="str">
        <f t="shared" si="0"/>
        <v/>
      </c>
      <c r="G34" s="1"/>
      <c r="H34" s="1"/>
      <c r="I34" s="1"/>
      <c r="J34" s="11"/>
      <c r="X34" s="5">
        <f t="shared" si="1"/>
        <v>0</v>
      </c>
      <c r="Y34" s="2">
        <f t="shared" si="2"/>
        <v>0</v>
      </c>
    </row>
    <row r="35" spans="4:25" x14ac:dyDescent="0.25">
      <c r="D35" s="12"/>
      <c r="E35" s="5"/>
      <c r="F35" s="19" t="str">
        <f t="shared" si="0"/>
        <v/>
      </c>
      <c r="G35" s="1"/>
      <c r="H35" s="1"/>
      <c r="I35" s="1"/>
      <c r="J35" s="11"/>
      <c r="X35" s="5">
        <f t="shared" si="1"/>
        <v>0</v>
      </c>
      <c r="Y35" s="2">
        <f t="shared" si="2"/>
        <v>0</v>
      </c>
    </row>
    <row r="36" spans="4:25" x14ac:dyDescent="0.25">
      <c r="D36" s="12"/>
      <c r="E36" s="5"/>
      <c r="F36" s="19" t="str">
        <f t="shared" si="0"/>
        <v/>
      </c>
      <c r="G36" s="1"/>
      <c r="H36" s="1"/>
      <c r="I36" s="1"/>
      <c r="J36" s="11"/>
      <c r="X36" s="5">
        <f t="shared" si="1"/>
        <v>0</v>
      </c>
      <c r="Y36" s="2">
        <f t="shared" si="2"/>
        <v>0</v>
      </c>
    </row>
    <row r="37" spans="4:25" x14ac:dyDescent="0.25">
      <c r="D37" s="12"/>
      <c r="E37" s="5"/>
      <c r="F37" s="19" t="str">
        <f t="shared" si="0"/>
        <v/>
      </c>
      <c r="G37" s="1"/>
      <c r="H37" s="1"/>
      <c r="I37" s="1"/>
      <c r="J37" s="11"/>
      <c r="X37" s="5">
        <f t="shared" si="1"/>
        <v>0</v>
      </c>
      <c r="Y37" s="2">
        <f t="shared" si="2"/>
        <v>0</v>
      </c>
    </row>
    <row r="38" spans="4:25" x14ac:dyDescent="0.25">
      <c r="D38" s="12"/>
      <c r="E38" s="5"/>
      <c r="F38" s="19" t="str">
        <f t="shared" si="0"/>
        <v/>
      </c>
      <c r="G38" s="1"/>
      <c r="H38" s="1"/>
      <c r="I38" s="1"/>
      <c r="J38" s="11"/>
      <c r="X38" s="5">
        <f t="shared" si="1"/>
        <v>0</v>
      </c>
      <c r="Y38" s="2">
        <f t="shared" si="2"/>
        <v>0</v>
      </c>
    </row>
    <row r="39" spans="4:25" x14ac:dyDescent="0.25">
      <c r="D39" s="12"/>
      <c r="E39" s="5"/>
      <c r="F39" s="19" t="str">
        <f t="shared" si="0"/>
        <v/>
      </c>
      <c r="G39" s="1"/>
      <c r="H39" s="1"/>
      <c r="I39" s="1"/>
      <c r="J39" s="11"/>
      <c r="X39" s="5">
        <f t="shared" si="1"/>
        <v>0</v>
      </c>
      <c r="Y39" s="2">
        <f t="shared" si="2"/>
        <v>0</v>
      </c>
    </row>
    <row r="40" spans="4:25" x14ac:dyDescent="0.25">
      <c r="D40" s="12"/>
      <c r="E40" s="5"/>
      <c r="F40" s="19" t="str">
        <f t="shared" si="0"/>
        <v/>
      </c>
      <c r="G40" s="1"/>
      <c r="H40" s="1"/>
      <c r="I40" s="1"/>
      <c r="J40" s="11"/>
      <c r="X40" s="5">
        <f t="shared" si="1"/>
        <v>0</v>
      </c>
      <c r="Y40" s="2">
        <f t="shared" si="2"/>
        <v>0</v>
      </c>
    </row>
    <row r="41" spans="4:25" x14ac:dyDescent="0.25">
      <c r="D41" s="12"/>
      <c r="E41" s="5"/>
      <c r="F41" s="19" t="str">
        <f t="shared" si="0"/>
        <v/>
      </c>
      <c r="G41" s="1"/>
      <c r="H41" s="1"/>
      <c r="I41" s="1"/>
      <c r="J41" s="11"/>
      <c r="X41" s="5">
        <f t="shared" si="1"/>
        <v>0</v>
      </c>
      <c r="Y41" s="2">
        <f t="shared" si="2"/>
        <v>0</v>
      </c>
    </row>
    <row r="42" spans="4:25" x14ac:dyDescent="0.25">
      <c r="D42" s="12"/>
      <c r="E42" s="5"/>
      <c r="F42" s="19" t="str">
        <f t="shared" si="0"/>
        <v/>
      </c>
      <c r="G42" s="1"/>
      <c r="H42" s="1"/>
      <c r="I42" s="1"/>
      <c r="J42" s="11"/>
      <c r="X42" s="5">
        <f t="shared" si="1"/>
        <v>0</v>
      </c>
      <c r="Y42" s="2">
        <f t="shared" si="2"/>
        <v>0</v>
      </c>
    </row>
    <row r="43" spans="4:25" x14ac:dyDescent="0.25">
      <c r="D43" s="12"/>
      <c r="E43" s="5"/>
      <c r="F43" s="19" t="str">
        <f t="shared" si="0"/>
        <v/>
      </c>
      <c r="G43" s="1"/>
      <c r="H43" s="1"/>
      <c r="I43" s="1"/>
      <c r="J43" s="11"/>
      <c r="X43" s="5">
        <f t="shared" si="1"/>
        <v>0</v>
      </c>
      <c r="Y43" s="2">
        <f t="shared" si="2"/>
        <v>0</v>
      </c>
    </row>
    <row r="44" spans="4:25" x14ac:dyDescent="0.25">
      <c r="D44" s="12"/>
      <c r="E44" s="5"/>
      <c r="F44" s="19" t="str">
        <f t="shared" si="0"/>
        <v/>
      </c>
      <c r="G44" s="1"/>
      <c r="H44" s="1"/>
      <c r="I44" s="1"/>
      <c r="J44" s="11"/>
      <c r="X44" s="5">
        <f t="shared" si="1"/>
        <v>0</v>
      </c>
      <c r="Y44" s="2">
        <f t="shared" si="2"/>
        <v>0</v>
      </c>
    </row>
    <row r="45" spans="4:25" x14ac:dyDescent="0.25">
      <c r="D45" s="12"/>
      <c r="E45" s="5"/>
      <c r="F45" s="19" t="str">
        <f t="shared" si="0"/>
        <v/>
      </c>
      <c r="G45" s="1"/>
      <c r="H45" s="1"/>
      <c r="I45" s="1"/>
      <c r="J45" s="11"/>
      <c r="X45" s="5">
        <f t="shared" si="1"/>
        <v>0</v>
      </c>
      <c r="Y45" s="2">
        <f t="shared" si="2"/>
        <v>0</v>
      </c>
    </row>
    <row r="46" spans="4:25" x14ac:dyDescent="0.25">
      <c r="D46" s="12"/>
      <c r="E46" s="5"/>
      <c r="F46" s="19" t="str">
        <f t="shared" si="0"/>
        <v/>
      </c>
      <c r="G46" s="1"/>
      <c r="H46" s="1"/>
      <c r="I46" s="1"/>
      <c r="J46" s="11"/>
      <c r="X46" s="5">
        <f t="shared" si="1"/>
        <v>0</v>
      </c>
      <c r="Y46" s="2">
        <f t="shared" si="2"/>
        <v>0</v>
      </c>
    </row>
    <row r="47" spans="4:25" x14ac:dyDescent="0.25">
      <c r="D47" s="12"/>
      <c r="E47" s="5"/>
      <c r="F47" s="19" t="str">
        <f t="shared" si="0"/>
        <v/>
      </c>
      <c r="G47" s="1"/>
      <c r="H47" s="1"/>
      <c r="I47" s="1"/>
      <c r="J47" s="11"/>
      <c r="X47" s="5">
        <f t="shared" si="1"/>
        <v>0</v>
      </c>
      <c r="Y47" s="2">
        <f t="shared" si="2"/>
        <v>0</v>
      </c>
    </row>
    <row r="48" spans="4:25" x14ac:dyDescent="0.25">
      <c r="D48" s="12"/>
      <c r="E48" s="5"/>
      <c r="F48" s="19" t="str">
        <f t="shared" si="0"/>
        <v/>
      </c>
      <c r="G48" s="1"/>
      <c r="H48" s="1"/>
      <c r="I48" s="1"/>
      <c r="J48" s="11"/>
      <c r="X48" s="5">
        <f t="shared" si="1"/>
        <v>0</v>
      </c>
      <c r="Y48" s="2">
        <f t="shared" si="2"/>
        <v>0</v>
      </c>
    </row>
    <row r="49" spans="4:25" x14ac:dyDescent="0.25">
      <c r="D49" s="12"/>
      <c r="E49" s="5"/>
      <c r="F49" s="19" t="str">
        <f t="shared" si="0"/>
        <v/>
      </c>
      <c r="G49" s="1"/>
      <c r="H49" s="1"/>
      <c r="I49" s="1"/>
      <c r="J49" s="11"/>
      <c r="X49" s="5">
        <f t="shared" si="1"/>
        <v>0</v>
      </c>
      <c r="Y49" s="2">
        <f t="shared" si="2"/>
        <v>0</v>
      </c>
    </row>
    <row r="50" spans="4:25" x14ac:dyDescent="0.25">
      <c r="D50" s="12"/>
      <c r="E50" s="5"/>
      <c r="F50" s="19" t="str">
        <f t="shared" si="0"/>
        <v/>
      </c>
      <c r="G50" s="1"/>
      <c r="H50" s="1"/>
      <c r="I50" s="1"/>
      <c r="J50" s="11"/>
      <c r="X50" s="5">
        <f t="shared" si="1"/>
        <v>0</v>
      </c>
      <c r="Y50" s="2">
        <f t="shared" si="2"/>
        <v>0</v>
      </c>
    </row>
    <row r="51" spans="4:25" x14ac:dyDescent="0.25">
      <c r="D51" s="12"/>
      <c r="E51" s="5"/>
      <c r="F51" s="19" t="str">
        <f t="shared" si="0"/>
        <v/>
      </c>
      <c r="G51" s="1"/>
      <c r="H51" s="1"/>
      <c r="I51" s="1"/>
      <c r="J51" s="11"/>
      <c r="X51" s="5">
        <f t="shared" si="1"/>
        <v>0</v>
      </c>
      <c r="Y51" s="2">
        <f t="shared" si="2"/>
        <v>0</v>
      </c>
    </row>
    <row r="52" spans="4:25" x14ac:dyDescent="0.25">
      <c r="D52" s="12"/>
      <c r="E52" s="5"/>
      <c r="F52" s="19" t="str">
        <f t="shared" si="0"/>
        <v/>
      </c>
      <c r="G52" s="1"/>
      <c r="H52" s="1"/>
      <c r="I52" s="1"/>
      <c r="J52" s="9"/>
      <c r="X52" s="5">
        <f t="shared" si="1"/>
        <v>0</v>
      </c>
      <c r="Y52" s="2">
        <f t="shared" si="2"/>
        <v>0</v>
      </c>
    </row>
    <row r="53" spans="4:25" x14ac:dyDescent="0.25">
      <c r="D53" s="1" t="s">
        <v>25</v>
      </c>
      <c r="E53" s="23"/>
      <c r="F53" s="2"/>
      <c r="G53" s="2">
        <f>SUM(G3:G52)</f>
        <v>21.95</v>
      </c>
      <c r="H53" s="2">
        <f t="shared" ref="H53:I53" si="3">SUM(H3:H52)</f>
        <v>0.69</v>
      </c>
      <c r="I53" s="2">
        <f t="shared" si="3"/>
        <v>0.03</v>
      </c>
    </row>
  </sheetData>
  <mergeCells count="4">
    <mergeCell ref="D1:F1"/>
    <mergeCell ref="G1:I1"/>
    <mergeCell ref="K1:Q1"/>
    <mergeCell ref="X1:Z1"/>
  </mergeCells>
  <conditionalFormatting sqref="A1:B1">
    <cfRule type="expression" dxfId="67" priority="1">
      <formula>$Z$3="+"</formula>
    </cfRule>
    <cfRule type="expression" dxfId="66" priority="2">
      <formula>$B$16=$K$3</formula>
    </cfRule>
  </conditionalFormatting>
  <conditionalFormatting sqref="P3">
    <cfRule type="expression" dxfId="65" priority="6">
      <formula>$Z$3="+"</formula>
    </cfRule>
  </conditionalFormatting>
  <conditionalFormatting sqref="Z3">
    <cfRule type="expression" dxfId="64" priority="7">
      <formula>$Z$3="+"</formula>
    </cfRule>
  </conditionalFormatting>
  <dataValidations count="1">
    <dataValidation type="list" allowBlank="1" showInputMessage="1" showErrorMessage="1" sqref="B2" xr:uid="{1E61FF13-71B5-4030-A54B-3445BF6E1CD4}">
      <formula1>"Romania,Moldova,Cyprus,Philippines,Latvia"</formula1>
    </dataValidation>
  </dataValidations>
  <pageMargins left="0.7" right="0.7" top="0.75" bottom="0.75" header="0.3" footer="0.3"/>
  <pageSetup orientation="portrait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8EC01-50E6-4FFB-8214-BB302B93F2A6}">
  <sheetPr>
    <tabColor rgb="FF92D050"/>
  </sheetPr>
  <dimension ref="A1:Z53"/>
  <sheetViews>
    <sheetView workbookViewId="0">
      <selection activeCell="B2" sqref="B2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1" customWidth="1"/>
    <col min="25" max="25" width="10.7109375" style="11" customWidth="1"/>
    <col min="26" max="26" width="10.7109375" customWidth="1"/>
  </cols>
  <sheetData>
    <row r="1" spans="1:26" x14ac:dyDescent="0.25">
      <c r="A1" s="4" t="s">
        <v>66</v>
      </c>
      <c r="B1" s="5" t="s">
        <v>40</v>
      </c>
      <c r="D1" s="29" t="s">
        <v>2</v>
      </c>
      <c r="E1" s="30"/>
      <c r="F1" s="31"/>
      <c r="G1" s="29" t="s">
        <v>0</v>
      </c>
      <c r="H1" s="30"/>
      <c r="I1" s="31"/>
      <c r="J1" s="18"/>
      <c r="K1" s="29" t="s">
        <v>58</v>
      </c>
      <c r="L1" s="30"/>
      <c r="M1" s="30"/>
      <c r="N1" s="30"/>
      <c r="O1" s="30"/>
      <c r="P1" s="30"/>
      <c r="Q1" s="31"/>
      <c r="X1" s="29"/>
      <c r="Y1" s="30"/>
      <c r="Z1" s="31"/>
    </row>
    <row r="2" spans="1:26" x14ac:dyDescent="0.25">
      <c r="A2" s="4" t="s">
        <v>21</v>
      </c>
      <c r="B2" s="5" t="s">
        <v>41</v>
      </c>
      <c r="D2" s="10" t="s">
        <v>49</v>
      </c>
      <c r="E2" s="10" t="s">
        <v>50</v>
      </c>
      <c r="F2" s="17" t="s">
        <v>67</v>
      </c>
      <c r="G2" s="10" t="s">
        <v>15</v>
      </c>
      <c r="H2" s="10" t="s">
        <v>16</v>
      </c>
      <c r="I2" s="10" t="s">
        <v>60</v>
      </c>
      <c r="J2" s="9"/>
      <c r="K2" s="10" t="s">
        <v>0</v>
      </c>
      <c r="L2" s="10" t="s">
        <v>1</v>
      </c>
      <c r="M2" s="10" t="s">
        <v>56</v>
      </c>
      <c r="N2" s="10" t="s">
        <v>57</v>
      </c>
      <c r="O2" s="10" t="s">
        <v>2</v>
      </c>
      <c r="P2" s="10" t="s">
        <v>68</v>
      </c>
      <c r="Q2" s="10" t="s">
        <v>67</v>
      </c>
      <c r="X2" s="10" t="s">
        <v>2</v>
      </c>
      <c r="Y2" s="10" t="s">
        <v>59</v>
      </c>
      <c r="Z2" s="10" t="s">
        <v>68</v>
      </c>
    </row>
    <row r="3" spans="1:26" x14ac:dyDescent="0.25">
      <c r="A3" s="4" t="s">
        <v>69</v>
      </c>
      <c r="B3" s="5" t="s">
        <v>78</v>
      </c>
      <c r="D3" s="12">
        <v>46022</v>
      </c>
      <c r="E3" s="12">
        <v>46022</v>
      </c>
      <c r="F3" s="19">
        <f t="shared" ref="F3:F52" si="0">IF(E3&gt;0,E3-D3,"")</f>
        <v>0</v>
      </c>
      <c r="G3" s="2">
        <v>0</v>
      </c>
      <c r="H3" s="1">
        <v>0.03</v>
      </c>
      <c r="I3" s="2">
        <v>0</v>
      </c>
      <c r="J3" s="11"/>
      <c r="K3" s="2">
        <f>G53</f>
        <v>12.36</v>
      </c>
      <c r="L3" s="2">
        <f>H53</f>
        <v>0.42000000000000004</v>
      </c>
      <c r="M3" s="2">
        <f>I53</f>
        <v>0.02</v>
      </c>
      <c r="N3" s="6">
        <f>IF(B16=K3,XIRR(Y3:Y52,X3:X52),"")</f>
        <v>0.10845674872398378</v>
      </c>
      <c r="O3" s="5">
        <f>IF(B16=K3,MAX(E:E),"")</f>
        <v>46129</v>
      </c>
      <c r="P3" s="1" t="str">
        <f ca="1">IF(Z3="+",TODAY()-B11,"")</f>
        <v/>
      </c>
      <c r="Q3" s="1">
        <f>IF(B16=K3,MAX(E:E)-B11,"")</f>
        <v>0</v>
      </c>
      <c r="T3" s="14"/>
      <c r="X3" s="5">
        <f>B9</f>
        <v>46015</v>
      </c>
      <c r="Y3" s="2">
        <f>B16*-1</f>
        <v>-12.36</v>
      </c>
      <c r="Z3" s="1" t="str">
        <f ca="1">IF(AND(TODAY()&gt;B11, K3&lt;&gt;B16), "+", "")</f>
        <v/>
      </c>
    </row>
    <row r="4" spans="1:26" x14ac:dyDescent="0.25">
      <c r="A4" s="4" t="s">
        <v>19</v>
      </c>
      <c r="B4" s="5" t="s">
        <v>20</v>
      </c>
      <c r="D4" s="12">
        <v>46053</v>
      </c>
      <c r="E4" s="12">
        <v>46053</v>
      </c>
      <c r="F4" s="19">
        <f t="shared" si="0"/>
        <v>0</v>
      </c>
      <c r="G4" s="2">
        <v>0</v>
      </c>
      <c r="H4" s="1">
        <v>7.0000000000000007E-2</v>
      </c>
      <c r="I4" s="2">
        <v>0</v>
      </c>
      <c r="J4" s="9"/>
      <c r="X4" s="5">
        <f>E3</f>
        <v>46022</v>
      </c>
      <c r="Y4" s="2">
        <f>G3+H3-I3</f>
        <v>0.03</v>
      </c>
    </row>
    <row r="5" spans="1:26" x14ac:dyDescent="0.25">
      <c r="A5" s="4"/>
      <c r="B5" s="5"/>
      <c r="D5" s="12">
        <v>46081</v>
      </c>
      <c r="E5" s="12">
        <v>46081</v>
      </c>
      <c r="F5" s="19">
        <f t="shared" si="0"/>
        <v>0</v>
      </c>
      <c r="G5" s="2">
        <v>0</v>
      </c>
      <c r="H5" s="1">
        <v>0.08</v>
      </c>
      <c r="I5" s="2">
        <v>0</v>
      </c>
      <c r="J5" s="9"/>
      <c r="X5" s="5">
        <f t="shared" ref="X5:X52" si="1">E4</f>
        <v>46053</v>
      </c>
      <c r="Y5" s="2">
        <f t="shared" ref="Y5:Y52" si="2">G4+H4-I4</f>
        <v>7.0000000000000007E-2</v>
      </c>
    </row>
    <row r="6" spans="1:26" x14ac:dyDescent="0.25">
      <c r="A6" s="4"/>
      <c r="B6" s="5"/>
      <c r="D6" s="12">
        <v>46112</v>
      </c>
      <c r="E6" s="12">
        <v>46112</v>
      </c>
      <c r="F6" s="19">
        <f t="shared" si="0"/>
        <v>0</v>
      </c>
      <c r="G6" s="2">
        <v>0</v>
      </c>
      <c r="H6" s="2">
        <v>0.1</v>
      </c>
      <c r="I6" s="2">
        <v>0.01</v>
      </c>
      <c r="J6" s="9"/>
      <c r="X6" s="5">
        <f t="shared" si="1"/>
        <v>46081</v>
      </c>
      <c r="Y6" s="2">
        <f t="shared" si="2"/>
        <v>0.08</v>
      </c>
    </row>
    <row r="7" spans="1:26" x14ac:dyDescent="0.25">
      <c r="A7" s="4"/>
      <c r="B7" s="5"/>
      <c r="D7" s="12">
        <v>46129</v>
      </c>
      <c r="E7" s="12">
        <v>46129</v>
      </c>
      <c r="F7" s="19">
        <f t="shared" si="0"/>
        <v>0</v>
      </c>
      <c r="G7" s="1">
        <v>12.36</v>
      </c>
      <c r="H7" s="1">
        <v>0.14000000000000001</v>
      </c>
      <c r="I7" s="2">
        <v>0.01</v>
      </c>
      <c r="J7" s="11"/>
      <c r="X7" s="5">
        <f t="shared" si="1"/>
        <v>46112</v>
      </c>
      <c r="Y7" s="2">
        <f t="shared" si="2"/>
        <v>9.0000000000000011E-2</v>
      </c>
    </row>
    <row r="8" spans="1:26" x14ac:dyDescent="0.25">
      <c r="A8" s="4" t="s">
        <v>24</v>
      </c>
      <c r="B8" s="5" t="str">
        <f>DATEDIF(B9,B11,"y") &amp; " m. " &amp; DATEDIF(B9,B11,"ym") &amp; " mėn. " &amp; DATEDIF(B9,B11,"md") &amp; " d."</f>
        <v>0 m. 3 mėn. 24 d.</v>
      </c>
      <c r="D8" s="12"/>
      <c r="E8" s="12"/>
      <c r="F8" s="19" t="str">
        <f t="shared" si="0"/>
        <v/>
      </c>
      <c r="G8" s="1"/>
      <c r="H8" s="1"/>
      <c r="I8" s="2"/>
      <c r="J8" s="9"/>
      <c r="X8" s="5">
        <f t="shared" si="1"/>
        <v>46129</v>
      </c>
      <c r="Y8" s="2">
        <f t="shared" si="2"/>
        <v>12.49</v>
      </c>
    </row>
    <row r="9" spans="1:26" x14ac:dyDescent="0.25">
      <c r="A9" s="4" t="s">
        <v>11</v>
      </c>
      <c r="B9" s="5">
        <v>46015</v>
      </c>
      <c r="D9" s="12"/>
      <c r="E9" s="12"/>
      <c r="F9" s="19"/>
      <c r="G9" s="2"/>
      <c r="H9" s="2"/>
      <c r="I9" s="2"/>
      <c r="J9" s="11"/>
      <c r="X9" s="5">
        <f t="shared" si="1"/>
        <v>0</v>
      </c>
      <c r="Y9" s="2">
        <f t="shared" si="2"/>
        <v>0</v>
      </c>
    </row>
    <row r="10" spans="1:26" x14ac:dyDescent="0.25">
      <c r="A10" s="4" t="s">
        <v>70</v>
      </c>
      <c r="B10" s="5">
        <v>46013</v>
      </c>
      <c r="D10" s="12"/>
      <c r="E10" s="12"/>
      <c r="F10" s="19" t="str">
        <f t="shared" si="0"/>
        <v/>
      </c>
      <c r="G10" s="1"/>
      <c r="H10" s="1"/>
      <c r="I10" s="2"/>
      <c r="J10" s="11"/>
      <c r="X10" s="5">
        <f t="shared" si="1"/>
        <v>0</v>
      </c>
      <c r="Y10" s="2">
        <f t="shared" si="2"/>
        <v>0</v>
      </c>
    </row>
    <row r="11" spans="1:26" x14ac:dyDescent="0.25">
      <c r="A11" s="4" t="s">
        <v>10</v>
      </c>
      <c r="B11" s="5">
        <v>46129</v>
      </c>
      <c r="D11" s="12"/>
      <c r="E11" s="12"/>
      <c r="F11" s="19" t="str">
        <f t="shared" si="0"/>
        <v/>
      </c>
      <c r="G11" s="1"/>
      <c r="H11" s="2"/>
      <c r="I11" s="2"/>
      <c r="J11" s="11"/>
      <c r="X11" s="5">
        <f t="shared" si="1"/>
        <v>0</v>
      </c>
      <c r="Y11" s="2">
        <f t="shared" si="2"/>
        <v>0</v>
      </c>
    </row>
    <row r="12" spans="1:26" x14ac:dyDescent="0.25">
      <c r="A12" s="4" t="s">
        <v>71</v>
      </c>
      <c r="B12" s="19" t="str">
        <f ca="1">IF(B16&lt;&gt;K3,(TODAY()-B11)*-1,"")</f>
        <v/>
      </c>
      <c r="D12" s="12"/>
      <c r="E12" s="12"/>
      <c r="F12" s="19" t="str">
        <f t="shared" si="0"/>
        <v/>
      </c>
      <c r="G12" s="2"/>
      <c r="H12" s="1"/>
      <c r="I12" s="1"/>
      <c r="J12" s="11"/>
      <c r="X12" s="5">
        <f t="shared" si="1"/>
        <v>0</v>
      </c>
      <c r="Y12" s="2">
        <f t="shared" si="2"/>
        <v>0</v>
      </c>
    </row>
    <row r="13" spans="1:26" x14ac:dyDescent="0.25">
      <c r="A13" s="4"/>
      <c r="B13" s="2"/>
      <c r="D13" s="12"/>
      <c r="E13" s="12"/>
      <c r="F13" s="19" t="str">
        <f t="shared" si="0"/>
        <v/>
      </c>
      <c r="G13" s="1"/>
      <c r="H13" s="2"/>
      <c r="I13" s="2"/>
      <c r="J13" s="11"/>
      <c r="N13" s="14"/>
      <c r="X13" s="5">
        <f t="shared" si="1"/>
        <v>0</v>
      </c>
      <c r="Y13" s="2">
        <f t="shared" si="2"/>
        <v>0</v>
      </c>
    </row>
    <row r="14" spans="1:26" x14ac:dyDescent="0.25">
      <c r="A14" s="13"/>
      <c r="B14" s="20"/>
      <c r="D14" s="12"/>
      <c r="E14" s="5"/>
      <c r="F14" s="19" t="str">
        <f t="shared" si="0"/>
        <v/>
      </c>
      <c r="G14" s="1"/>
      <c r="H14" s="1"/>
      <c r="I14" s="1"/>
      <c r="J14" s="11"/>
      <c r="X14" s="5">
        <f t="shared" si="1"/>
        <v>0</v>
      </c>
      <c r="Y14" s="2">
        <f t="shared" si="2"/>
        <v>0</v>
      </c>
    </row>
    <row r="15" spans="1:26" x14ac:dyDescent="0.25">
      <c r="A15" s="4" t="s">
        <v>1</v>
      </c>
      <c r="B15" s="6">
        <v>0.11</v>
      </c>
      <c r="D15" s="12"/>
      <c r="E15" s="5"/>
      <c r="F15" s="19" t="str">
        <f t="shared" si="0"/>
        <v/>
      </c>
      <c r="G15" s="1"/>
      <c r="H15" s="1"/>
      <c r="I15" s="1"/>
      <c r="J15" s="11"/>
      <c r="K15" s="18"/>
      <c r="L15" s="18"/>
      <c r="M15" s="18"/>
      <c r="N15" s="18"/>
      <c r="O15" s="18"/>
      <c r="P15" s="18"/>
      <c r="Q15" s="18"/>
      <c r="X15" s="5">
        <f t="shared" si="1"/>
        <v>0</v>
      </c>
      <c r="Y15" s="2">
        <f t="shared" si="2"/>
        <v>0</v>
      </c>
    </row>
    <row r="16" spans="1:26" x14ac:dyDescent="0.25">
      <c r="A16" s="4" t="s">
        <v>72</v>
      </c>
      <c r="B16" s="2">
        <v>12.36</v>
      </c>
      <c r="D16" s="12"/>
      <c r="E16" s="5"/>
      <c r="F16" s="19" t="str">
        <f t="shared" si="0"/>
        <v/>
      </c>
      <c r="G16" s="1"/>
      <c r="H16" s="1"/>
      <c r="I16" s="1"/>
      <c r="J16" s="11"/>
      <c r="K16" s="9"/>
      <c r="L16" s="9"/>
      <c r="M16" s="9"/>
      <c r="N16" s="21"/>
      <c r="O16" s="22"/>
      <c r="P16" s="11"/>
      <c r="Q16" s="11"/>
      <c r="X16" s="5">
        <f t="shared" si="1"/>
        <v>0</v>
      </c>
      <c r="Y16" s="2">
        <f t="shared" si="2"/>
        <v>0</v>
      </c>
    </row>
    <row r="17" spans="2:25" x14ac:dyDescent="0.25">
      <c r="D17" s="12"/>
      <c r="E17" s="5"/>
      <c r="F17" s="19" t="str">
        <f t="shared" si="0"/>
        <v/>
      </c>
      <c r="G17" s="1"/>
      <c r="H17" s="1"/>
      <c r="I17" s="1"/>
      <c r="J17" s="11"/>
      <c r="X17" s="5">
        <f t="shared" si="1"/>
        <v>0</v>
      </c>
      <c r="Y17" s="2">
        <f t="shared" si="2"/>
        <v>0</v>
      </c>
    </row>
    <row r="18" spans="2:25" x14ac:dyDescent="0.25">
      <c r="D18" s="12"/>
      <c r="E18" s="5"/>
      <c r="F18" s="19" t="str">
        <f t="shared" si="0"/>
        <v/>
      </c>
      <c r="G18" s="1"/>
      <c r="H18" s="1"/>
      <c r="I18" s="1"/>
      <c r="J18" s="11"/>
      <c r="X18" s="5">
        <f t="shared" si="1"/>
        <v>0</v>
      </c>
      <c r="Y18" s="2">
        <f t="shared" si="2"/>
        <v>0</v>
      </c>
    </row>
    <row r="19" spans="2:25" x14ac:dyDescent="0.25">
      <c r="D19" s="12"/>
      <c r="E19" s="5"/>
      <c r="F19" s="19" t="str">
        <f t="shared" si="0"/>
        <v/>
      </c>
      <c r="G19" s="1"/>
      <c r="H19" s="1"/>
      <c r="I19" s="1"/>
      <c r="J19" s="11"/>
      <c r="X19" s="5">
        <f t="shared" si="1"/>
        <v>0</v>
      </c>
      <c r="Y19" s="2">
        <f t="shared" si="2"/>
        <v>0</v>
      </c>
    </row>
    <row r="20" spans="2:25" x14ac:dyDescent="0.25">
      <c r="D20" s="12"/>
      <c r="E20" s="5"/>
      <c r="F20" s="19" t="str">
        <f t="shared" si="0"/>
        <v/>
      </c>
      <c r="G20" s="1"/>
      <c r="H20" s="1"/>
      <c r="I20" s="1"/>
      <c r="J20" s="11"/>
      <c r="X20" s="5">
        <f t="shared" si="1"/>
        <v>0</v>
      </c>
      <c r="Y20" s="2">
        <f t="shared" si="2"/>
        <v>0</v>
      </c>
    </row>
    <row r="21" spans="2:25" x14ac:dyDescent="0.25">
      <c r="D21" s="12"/>
      <c r="E21" s="5"/>
      <c r="F21" s="19" t="str">
        <f t="shared" si="0"/>
        <v/>
      </c>
      <c r="G21" s="1"/>
      <c r="H21" s="1"/>
      <c r="I21" s="1"/>
      <c r="J21" s="11"/>
      <c r="X21" s="5">
        <f t="shared" si="1"/>
        <v>0</v>
      </c>
      <c r="Y21" s="2">
        <f t="shared" si="2"/>
        <v>0</v>
      </c>
    </row>
    <row r="22" spans="2:25" x14ac:dyDescent="0.25">
      <c r="D22" s="12"/>
      <c r="E22" s="5"/>
      <c r="F22" s="19" t="str">
        <f t="shared" si="0"/>
        <v/>
      </c>
      <c r="G22" s="1"/>
      <c r="H22" s="1"/>
      <c r="I22" s="1"/>
      <c r="J22" s="11"/>
      <c r="X22" s="5">
        <f t="shared" si="1"/>
        <v>0</v>
      </c>
      <c r="Y22" s="2">
        <f t="shared" si="2"/>
        <v>0</v>
      </c>
    </row>
    <row r="23" spans="2:25" x14ac:dyDescent="0.25">
      <c r="B23" s="22"/>
      <c r="D23" s="12"/>
      <c r="E23" s="5"/>
      <c r="F23" s="19" t="str">
        <f t="shared" si="0"/>
        <v/>
      </c>
      <c r="G23" s="1"/>
      <c r="H23" s="1"/>
      <c r="I23" s="1"/>
      <c r="J23" s="11"/>
      <c r="X23" s="5">
        <f t="shared" si="1"/>
        <v>0</v>
      </c>
      <c r="Y23" s="2">
        <f t="shared" si="2"/>
        <v>0</v>
      </c>
    </row>
    <row r="24" spans="2:25" x14ac:dyDescent="0.25">
      <c r="D24" s="12"/>
      <c r="E24" s="5"/>
      <c r="F24" s="19" t="str">
        <f t="shared" si="0"/>
        <v/>
      </c>
      <c r="G24" s="1"/>
      <c r="H24" s="1"/>
      <c r="I24" s="1"/>
      <c r="J24" s="11"/>
      <c r="X24" s="5">
        <f t="shared" si="1"/>
        <v>0</v>
      </c>
      <c r="Y24" s="2">
        <f t="shared" si="2"/>
        <v>0</v>
      </c>
    </row>
    <row r="25" spans="2:25" x14ac:dyDescent="0.25">
      <c r="D25" s="12"/>
      <c r="E25" s="5"/>
      <c r="F25" s="19" t="str">
        <f t="shared" si="0"/>
        <v/>
      </c>
      <c r="G25" s="1"/>
      <c r="H25" s="1"/>
      <c r="I25" s="1"/>
      <c r="J25" s="11"/>
      <c r="X25" s="5">
        <f t="shared" si="1"/>
        <v>0</v>
      </c>
      <c r="Y25" s="2">
        <f t="shared" si="2"/>
        <v>0</v>
      </c>
    </row>
    <row r="26" spans="2:25" x14ac:dyDescent="0.25">
      <c r="D26" s="12"/>
      <c r="E26" s="5"/>
      <c r="F26" s="19" t="str">
        <f t="shared" si="0"/>
        <v/>
      </c>
      <c r="G26" s="1"/>
      <c r="H26" s="1"/>
      <c r="I26" s="1"/>
      <c r="J26" s="11"/>
      <c r="X26" s="5">
        <f t="shared" si="1"/>
        <v>0</v>
      </c>
      <c r="Y26" s="2">
        <f t="shared" si="2"/>
        <v>0</v>
      </c>
    </row>
    <row r="27" spans="2:25" x14ac:dyDescent="0.25">
      <c r="D27" s="12"/>
      <c r="E27" s="5"/>
      <c r="F27" s="19" t="str">
        <f t="shared" si="0"/>
        <v/>
      </c>
      <c r="G27" s="1"/>
      <c r="H27" s="1"/>
      <c r="I27" s="1"/>
      <c r="J27" s="11"/>
      <c r="X27" s="5">
        <f t="shared" si="1"/>
        <v>0</v>
      </c>
      <c r="Y27" s="2">
        <f t="shared" si="2"/>
        <v>0</v>
      </c>
    </row>
    <row r="28" spans="2:25" x14ac:dyDescent="0.25">
      <c r="D28" s="12"/>
      <c r="E28" s="5"/>
      <c r="F28" s="19" t="str">
        <f t="shared" si="0"/>
        <v/>
      </c>
      <c r="G28" s="1"/>
      <c r="H28" s="1"/>
      <c r="I28" s="1"/>
      <c r="J28" s="11"/>
      <c r="X28" s="5">
        <f t="shared" si="1"/>
        <v>0</v>
      </c>
      <c r="Y28" s="2">
        <f t="shared" si="2"/>
        <v>0</v>
      </c>
    </row>
    <row r="29" spans="2:25" x14ac:dyDescent="0.25">
      <c r="D29" s="12"/>
      <c r="E29" s="5"/>
      <c r="F29" s="19" t="str">
        <f t="shared" si="0"/>
        <v/>
      </c>
      <c r="G29" s="1"/>
      <c r="H29" s="1"/>
      <c r="I29" s="1"/>
      <c r="J29" s="11"/>
      <c r="X29" s="5">
        <f t="shared" si="1"/>
        <v>0</v>
      </c>
      <c r="Y29" s="2">
        <f t="shared" si="2"/>
        <v>0</v>
      </c>
    </row>
    <row r="30" spans="2:25" x14ac:dyDescent="0.25">
      <c r="D30" s="12"/>
      <c r="E30" s="5"/>
      <c r="F30" s="19" t="str">
        <f t="shared" si="0"/>
        <v/>
      </c>
      <c r="G30" s="1"/>
      <c r="H30" s="1"/>
      <c r="I30" s="1"/>
      <c r="J30" s="11"/>
      <c r="X30" s="5">
        <f t="shared" si="1"/>
        <v>0</v>
      </c>
      <c r="Y30" s="2">
        <f t="shared" si="2"/>
        <v>0</v>
      </c>
    </row>
    <row r="31" spans="2:25" x14ac:dyDescent="0.25">
      <c r="D31" s="12"/>
      <c r="E31" s="5"/>
      <c r="F31" s="19" t="str">
        <f t="shared" si="0"/>
        <v/>
      </c>
      <c r="G31" s="1"/>
      <c r="H31" s="1"/>
      <c r="I31" s="1"/>
      <c r="J31" s="11"/>
      <c r="X31" s="5">
        <f t="shared" si="1"/>
        <v>0</v>
      </c>
      <c r="Y31" s="2">
        <f t="shared" si="2"/>
        <v>0</v>
      </c>
    </row>
    <row r="32" spans="2:25" x14ac:dyDescent="0.25">
      <c r="D32" s="12"/>
      <c r="E32" s="5"/>
      <c r="F32" s="19" t="str">
        <f t="shared" si="0"/>
        <v/>
      </c>
      <c r="G32" s="1"/>
      <c r="H32" s="1"/>
      <c r="I32" s="1"/>
      <c r="J32" s="11"/>
      <c r="X32" s="5">
        <f t="shared" si="1"/>
        <v>0</v>
      </c>
      <c r="Y32" s="2">
        <f t="shared" si="2"/>
        <v>0</v>
      </c>
    </row>
    <row r="33" spans="4:25" x14ac:dyDescent="0.25">
      <c r="D33" s="12"/>
      <c r="E33" s="5"/>
      <c r="F33" s="19" t="str">
        <f t="shared" si="0"/>
        <v/>
      </c>
      <c r="G33" s="1"/>
      <c r="H33" s="1"/>
      <c r="I33" s="1"/>
      <c r="J33" s="11"/>
      <c r="X33" s="5">
        <f t="shared" si="1"/>
        <v>0</v>
      </c>
      <c r="Y33" s="2">
        <f t="shared" si="2"/>
        <v>0</v>
      </c>
    </row>
    <row r="34" spans="4:25" x14ac:dyDescent="0.25">
      <c r="D34" s="12"/>
      <c r="E34" s="5"/>
      <c r="F34" s="19" t="str">
        <f t="shared" si="0"/>
        <v/>
      </c>
      <c r="G34" s="1"/>
      <c r="H34" s="1"/>
      <c r="I34" s="1"/>
      <c r="J34" s="11"/>
      <c r="X34" s="5">
        <f t="shared" si="1"/>
        <v>0</v>
      </c>
      <c r="Y34" s="2">
        <f t="shared" si="2"/>
        <v>0</v>
      </c>
    </row>
    <row r="35" spans="4:25" x14ac:dyDescent="0.25">
      <c r="D35" s="12"/>
      <c r="E35" s="5"/>
      <c r="F35" s="19" t="str">
        <f t="shared" si="0"/>
        <v/>
      </c>
      <c r="G35" s="1"/>
      <c r="H35" s="1"/>
      <c r="I35" s="1"/>
      <c r="J35" s="11"/>
      <c r="X35" s="5">
        <f t="shared" si="1"/>
        <v>0</v>
      </c>
      <c r="Y35" s="2">
        <f t="shared" si="2"/>
        <v>0</v>
      </c>
    </row>
    <row r="36" spans="4:25" x14ac:dyDescent="0.25">
      <c r="D36" s="12"/>
      <c r="E36" s="5"/>
      <c r="F36" s="19" t="str">
        <f t="shared" si="0"/>
        <v/>
      </c>
      <c r="G36" s="1"/>
      <c r="H36" s="1"/>
      <c r="I36" s="1"/>
      <c r="J36" s="11"/>
      <c r="X36" s="5">
        <f t="shared" si="1"/>
        <v>0</v>
      </c>
      <c r="Y36" s="2">
        <f t="shared" si="2"/>
        <v>0</v>
      </c>
    </row>
    <row r="37" spans="4:25" x14ac:dyDescent="0.25">
      <c r="D37" s="12"/>
      <c r="E37" s="5"/>
      <c r="F37" s="19" t="str">
        <f t="shared" si="0"/>
        <v/>
      </c>
      <c r="G37" s="1"/>
      <c r="H37" s="1"/>
      <c r="I37" s="1"/>
      <c r="J37" s="11"/>
      <c r="X37" s="5">
        <f t="shared" si="1"/>
        <v>0</v>
      </c>
      <c r="Y37" s="2">
        <f t="shared" si="2"/>
        <v>0</v>
      </c>
    </row>
    <row r="38" spans="4:25" x14ac:dyDescent="0.25">
      <c r="D38" s="12"/>
      <c r="E38" s="5"/>
      <c r="F38" s="19" t="str">
        <f t="shared" si="0"/>
        <v/>
      </c>
      <c r="G38" s="1"/>
      <c r="H38" s="1"/>
      <c r="I38" s="1"/>
      <c r="J38" s="11"/>
      <c r="X38" s="5">
        <f t="shared" si="1"/>
        <v>0</v>
      </c>
      <c r="Y38" s="2">
        <f t="shared" si="2"/>
        <v>0</v>
      </c>
    </row>
    <row r="39" spans="4:25" x14ac:dyDescent="0.25">
      <c r="D39" s="12"/>
      <c r="E39" s="5"/>
      <c r="F39" s="19" t="str">
        <f t="shared" si="0"/>
        <v/>
      </c>
      <c r="G39" s="1"/>
      <c r="H39" s="1"/>
      <c r="I39" s="1"/>
      <c r="J39" s="11"/>
      <c r="X39" s="5">
        <f t="shared" si="1"/>
        <v>0</v>
      </c>
      <c r="Y39" s="2">
        <f t="shared" si="2"/>
        <v>0</v>
      </c>
    </row>
    <row r="40" spans="4:25" x14ac:dyDescent="0.25">
      <c r="D40" s="12"/>
      <c r="E40" s="5"/>
      <c r="F40" s="19" t="str">
        <f t="shared" si="0"/>
        <v/>
      </c>
      <c r="G40" s="1"/>
      <c r="H40" s="1"/>
      <c r="I40" s="1"/>
      <c r="J40" s="11"/>
      <c r="X40" s="5">
        <f t="shared" si="1"/>
        <v>0</v>
      </c>
      <c r="Y40" s="2">
        <f t="shared" si="2"/>
        <v>0</v>
      </c>
    </row>
    <row r="41" spans="4:25" x14ac:dyDescent="0.25">
      <c r="D41" s="12"/>
      <c r="E41" s="5"/>
      <c r="F41" s="19" t="str">
        <f t="shared" si="0"/>
        <v/>
      </c>
      <c r="G41" s="1"/>
      <c r="H41" s="1"/>
      <c r="I41" s="1"/>
      <c r="J41" s="11"/>
      <c r="X41" s="5">
        <f t="shared" si="1"/>
        <v>0</v>
      </c>
      <c r="Y41" s="2">
        <f t="shared" si="2"/>
        <v>0</v>
      </c>
    </row>
    <row r="42" spans="4:25" x14ac:dyDescent="0.25">
      <c r="D42" s="12"/>
      <c r="E42" s="5"/>
      <c r="F42" s="19" t="str">
        <f t="shared" si="0"/>
        <v/>
      </c>
      <c r="G42" s="1"/>
      <c r="H42" s="1"/>
      <c r="I42" s="1"/>
      <c r="J42" s="11"/>
      <c r="X42" s="5">
        <f t="shared" si="1"/>
        <v>0</v>
      </c>
      <c r="Y42" s="2">
        <f t="shared" si="2"/>
        <v>0</v>
      </c>
    </row>
    <row r="43" spans="4:25" x14ac:dyDescent="0.25">
      <c r="D43" s="12"/>
      <c r="E43" s="5"/>
      <c r="F43" s="19" t="str">
        <f t="shared" si="0"/>
        <v/>
      </c>
      <c r="G43" s="1"/>
      <c r="H43" s="1"/>
      <c r="I43" s="1"/>
      <c r="J43" s="11"/>
      <c r="X43" s="5">
        <f t="shared" si="1"/>
        <v>0</v>
      </c>
      <c r="Y43" s="2">
        <f t="shared" si="2"/>
        <v>0</v>
      </c>
    </row>
    <row r="44" spans="4:25" x14ac:dyDescent="0.25">
      <c r="D44" s="12"/>
      <c r="E44" s="5"/>
      <c r="F44" s="19" t="str">
        <f t="shared" si="0"/>
        <v/>
      </c>
      <c r="G44" s="1"/>
      <c r="H44" s="1"/>
      <c r="I44" s="1"/>
      <c r="J44" s="11"/>
      <c r="X44" s="5">
        <f t="shared" si="1"/>
        <v>0</v>
      </c>
      <c r="Y44" s="2">
        <f t="shared" si="2"/>
        <v>0</v>
      </c>
    </row>
    <row r="45" spans="4:25" x14ac:dyDescent="0.25">
      <c r="D45" s="12"/>
      <c r="E45" s="5"/>
      <c r="F45" s="19" t="str">
        <f t="shared" si="0"/>
        <v/>
      </c>
      <c r="G45" s="1"/>
      <c r="H45" s="1"/>
      <c r="I45" s="1"/>
      <c r="J45" s="11"/>
      <c r="X45" s="5">
        <f t="shared" si="1"/>
        <v>0</v>
      </c>
      <c r="Y45" s="2">
        <f t="shared" si="2"/>
        <v>0</v>
      </c>
    </row>
    <row r="46" spans="4:25" x14ac:dyDescent="0.25">
      <c r="D46" s="12"/>
      <c r="E46" s="5"/>
      <c r="F46" s="19" t="str">
        <f t="shared" si="0"/>
        <v/>
      </c>
      <c r="G46" s="1"/>
      <c r="H46" s="1"/>
      <c r="I46" s="1"/>
      <c r="J46" s="11"/>
      <c r="X46" s="5">
        <f t="shared" si="1"/>
        <v>0</v>
      </c>
      <c r="Y46" s="2">
        <f t="shared" si="2"/>
        <v>0</v>
      </c>
    </row>
    <row r="47" spans="4:25" x14ac:dyDescent="0.25">
      <c r="D47" s="12"/>
      <c r="E47" s="5"/>
      <c r="F47" s="19" t="str">
        <f t="shared" si="0"/>
        <v/>
      </c>
      <c r="G47" s="1"/>
      <c r="H47" s="1"/>
      <c r="I47" s="1"/>
      <c r="J47" s="11"/>
      <c r="X47" s="5">
        <f t="shared" si="1"/>
        <v>0</v>
      </c>
      <c r="Y47" s="2">
        <f t="shared" si="2"/>
        <v>0</v>
      </c>
    </row>
    <row r="48" spans="4:25" x14ac:dyDescent="0.25">
      <c r="D48" s="12"/>
      <c r="E48" s="5"/>
      <c r="F48" s="19" t="str">
        <f t="shared" si="0"/>
        <v/>
      </c>
      <c r="G48" s="1"/>
      <c r="H48" s="1"/>
      <c r="I48" s="1"/>
      <c r="J48" s="11"/>
      <c r="X48" s="5">
        <f t="shared" si="1"/>
        <v>0</v>
      </c>
      <c r="Y48" s="2">
        <f t="shared" si="2"/>
        <v>0</v>
      </c>
    </row>
    <row r="49" spans="4:25" x14ac:dyDescent="0.25">
      <c r="D49" s="12"/>
      <c r="E49" s="5"/>
      <c r="F49" s="19" t="str">
        <f t="shared" si="0"/>
        <v/>
      </c>
      <c r="G49" s="1"/>
      <c r="H49" s="1"/>
      <c r="I49" s="1"/>
      <c r="J49" s="11"/>
      <c r="X49" s="5">
        <f t="shared" si="1"/>
        <v>0</v>
      </c>
      <c r="Y49" s="2">
        <f t="shared" si="2"/>
        <v>0</v>
      </c>
    </row>
    <row r="50" spans="4:25" x14ac:dyDescent="0.25">
      <c r="D50" s="12"/>
      <c r="E50" s="5"/>
      <c r="F50" s="19" t="str">
        <f t="shared" si="0"/>
        <v/>
      </c>
      <c r="G50" s="1"/>
      <c r="H50" s="1"/>
      <c r="I50" s="1"/>
      <c r="J50" s="11"/>
      <c r="X50" s="5">
        <f t="shared" si="1"/>
        <v>0</v>
      </c>
      <c r="Y50" s="2">
        <f t="shared" si="2"/>
        <v>0</v>
      </c>
    </row>
    <row r="51" spans="4:25" x14ac:dyDescent="0.25">
      <c r="D51" s="12"/>
      <c r="E51" s="5"/>
      <c r="F51" s="19" t="str">
        <f t="shared" si="0"/>
        <v/>
      </c>
      <c r="G51" s="1"/>
      <c r="H51" s="1"/>
      <c r="I51" s="1"/>
      <c r="J51" s="11"/>
      <c r="X51" s="5">
        <f t="shared" si="1"/>
        <v>0</v>
      </c>
      <c r="Y51" s="2">
        <f t="shared" si="2"/>
        <v>0</v>
      </c>
    </row>
    <row r="52" spans="4:25" x14ac:dyDescent="0.25">
      <c r="D52" s="12"/>
      <c r="E52" s="5"/>
      <c r="F52" s="19" t="str">
        <f t="shared" si="0"/>
        <v/>
      </c>
      <c r="G52" s="1"/>
      <c r="H52" s="1"/>
      <c r="I52" s="1"/>
      <c r="J52" s="9"/>
      <c r="X52" s="5">
        <f t="shared" si="1"/>
        <v>0</v>
      </c>
      <c r="Y52" s="2">
        <f t="shared" si="2"/>
        <v>0</v>
      </c>
    </row>
    <row r="53" spans="4:25" x14ac:dyDescent="0.25">
      <c r="D53" s="1" t="s">
        <v>25</v>
      </c>
      <c r="E53" s="23"/>
      <c r="F53" s="2"/>
      <c r="G53" s="2">
        <f>SUM(G3:G52)</f>
        <v>12.36</v>
      </c>
      <c r="H53" s="2">
        <f t="shared" ref="H53:I53" si="3">SUM(H3:H52)</f>
        <v>0.42000000000000004</v>
      </c>
      <c r="I53" s="2">
        <f t="shared" si="3"/>
        <v>0.02</v>
      </c>
    </row>
  </sheetData>
  <mergeCells count="4">
    <mergeCell ref="D1:F1"/>
    <mergeCell ref="G1:I1"/>
    <mergeCell ref="K1:Q1"/>
    <mergeCell ref="X1:Z1"/>
  </mergeCells>
  <conditionalFormatting sqref="A1:B1">
    <cfRule type="expression" dxfId="63" priority="1">
      <formula>$Z$3="+"</formula>
    </cfRule>
    <cfRule type="expression" dxfId="62" priority="2">
      <formula>$B$16=$K$3</formula>
    </cfRule>
  </conditionalFormatting>
  <conditionalFormatting sqref="P3">
    <cfRule type="expression" dxfId="61" priority="7">
      <formula>$Z$3="+"</formula>
    </cfRule>
  </conditionalFormatting>
  <conditionalFormatting sqref="Z3">
    <cfRule type="expression" dxfId="60" priority="8">
      <formula>$Z$3="+"</formula>
    </cfRule>
  </conditionalFormatting>
  <dataValidations count="1">
    <dataValidation type="list" allowBlank="1" showInputMessage="1" showErrorMessage="1" sqref="B2" xr:uid="{247C3C8D-848C-4A88-8E4D-70D049C8390A}">
      <formula1>"Romania,Moldova,Cyprus,Philippines,Latvia"</formula1>
    </dataValidation>
  </dataValidations>
  <pageMargins left="0.7" right="0.7" top="0.75" bottom="0.75" header="0.3" footer="0.3"/>
  <pageSetup orientation="portrait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DEC97-F2C3-4B33-8EF7-0C902111F996}">
  <sheetPr>
    <tabColor rgb="FF92D050"/>
  </sheetPr>
  <dimension ref="A1:Z53"/>
  <sheetViews>
    <sheetView workbookViewId="0">
      <selection activeCell="L15" sqref="L15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1" customWidth="1"/>
    <col min="25" max="25" width="10.7109375" style="11" customWidth="1"/>
    <col min="26" max="26" width="10.7109375" customWidth="1"/>
  </cols>
  <sheetData>
    <row r="1" spans="1:26" x14ac:dyDescent="0.25">
      <c r="A1" s="4" t="s">
        <v>66</v>
      </c>
      <c r="B1" s="5" t="s">
        <v>39</v>
      </c>
      <c r="D1" s="29" t="s">
        <v>2</v>
      </c>
      <c r="E1" s="30"/>
      <c r="F1" s="31"/>
      <c r="G1" s="29" t="s">
        <v>0</v>
      </c>
      <c r="H1" s="30"/>
      <c r="I1" s="31"/>
      <c r="J1" s="18"/>
      <c r="K1" s="29" t="s">
        <v>58</v>
      </c>
      <c r="L1" s="30"/>
      <c r="M1" s="30"/>
      <c r="N1" s="30"/>
      <c r="O1" s="30"/>
      <c r="P1" s="30"/>
      <c r="Q1" s="31"/>
      <c r="X1" s="29"/>
      <c r="Y1" s="30"/>
      <c r="Z1" s="31"/>
    </row>
    <row r="2" spans="1:26" x14ac:dyDescent="0.25">
      <c r="A2" s="4" t="s">
        <v>21</v>
      </c>
      <c r="B2" s="5" t="s">
        <v>27</v>
      </c>
      <c r="D2" s="10" t="s">
        <v>49</v>
      </c>
      <c r="E2" s="10" t="s">
        <v>50</v>
      </c>
      <c r="F2" s="17" t="s">
        <v>67</v>
      </c>
      <c r="G2" s="10" t="s">
        <v>15</v>
      </c>
      <c r="H2" s="10" t="s">
        <v>16</v>
      </c>
      <c r="I2" s="10" t="s">
        <v>60</v>
      </c>
      <c r="J2" s="9"/>
      <c r="K2" s="10" t="s">
        <v>0</v>
      </c>
      <c r="L2" s="10" t="s">
        <v>1</v>
      </c>
      <c r="M2" s="10" t="s">
        <v>56</v>
      </c>
      <c r="N2" s="10" t="s">
        <v>57</v>
      </c>
      <c r="O2" s="10" t="s">
        <v>2</v>
      </c>
      <c r="P2" s="10" t="s">
        <v>68</v>
      </c>
      <c r="Q2" s="10" t="s">
        <v>67</v>
      </c>
      <c r="X2" s="10" t="s">
        <v>2</v>
      </c>
      <c r="Y2" s="10" t="s">
        <v>59</v>
      </c>
      <c r="Z2" s="10" t="s">
        <v>68</v>
      </c>
    </row>
    <row r="3" spans="1:26" x14ac:dyDescent="0.25">
      <c r="A3" s="4" t="s">
        <v>69</v>
      </c>
      <c r="B3" s="5" t="s">
        <v>78</v>
      </c>
      <c r="D3" s="12">
        <v>46022</v>
      </c>
      <c r="E3" s="12">
        <v>46022</v>
      </c>
      <c r="F3" s="19">
        <f t="shared" ref="F3:F52" si="0">IF(E3&gt;0,E3-D3,"")</f>
        <v>0</v>
      </c>
      <c r="G3" s="2">
        <v>0</v>
      </c>
      <c r="H3" s="1">
        <v>7.0000000000000007E-2</v>
      </c>
      <c r="I3" s="2">
        <v>0</v>
      </c>
      <c r="J3" s="11"/>
      <c r="K3" s="2">
        <f>G53</f>
        <v>10.58</v>
      </c>
      <c r="L3" s="2">
        <f>H53</f>
        <v>0.94</v>
      </c>
      <c r="M3" s="2">
        <f>I53</f>
        <v>0.04</v>
      </c>
      <c r="N3" s="6">
        <f>IF(B16=K3,XIRR(Y3:Y52,X3:X52),"")</f>
        <v>0.12697151303291324</v>
      </c>
      <c r="O3" s="5">
        <f>IF(B16=K3,MAX(E:E),"")</f>
        <v>46295</v>
      </c>
      <c r="P3" s="1" t="str">
        <f ca="1">IF(Z3="+",TODAY()-B11,"")</f>
        <v/>
      </c>
      <c r="Q3" s="1">
        <f>IF(B16=K3,MAX(E:E)-B11,"")</f>
        <v>23</v>
      </c>
      <c r="T3" s="14"/>
      <c r="X3" s="5">
        <f>B9</f>
        <v>46004</v>
      </c>
      <c r="Y3" s="2">
        <f>B16*-1</f>
        <v>-10.58</v>
      </c>
      <c r="Z3" s="1" t="str">
        <f ca="1">IF(AND(TODAY()&gt;B11, K3&lt;&gt;B16), "+", "")</f>
        <v/>
      </c>
    </row>
    <row r="4" spans="1:26" x14ac:dyDescent="0.25">
      <c r="A4" s="4" t="s">
        <v>19</v>
      </c>
      <c r="B4" s="5" t="s">
        <v>20</v>
      </c>
      <c r="D4" s="12">
        <v>46053</v>
      </c>
      <c r="E4" s="12">
        <v>46053</v>
      </c>
      <c r="F4" s="19">
        <f t="shared" si="0"/>
        <v>0</v>
      </c>
      <c r="G4" s="2">
        <v>0</v>
      </c>
      <c r="H4" s="1">
        <v>7.0000000000000007E-2</v>
      </c>
      <c r="I4" s="2">
        <v>0</v>
      </c>
      <c r="J4" s="9"/>
      <c r="X4" s="5">
        <f>E3</f>
        <v>46022</v>
      </c>
      <c r="Y4" s="2">
        <f>G3+H3-I3</f>
        <v>7.0000000000000007E-2</v>
      </c>
    </row>
    <row r="5" spans="1:26" x14ac:dyDescent="0.25">
      <c r="A5" s="4"/>
      <c r="B5" s="5"/>
      <c r="D5" s="12">
        <v>46081</v>
      </c>
      <c r="E5" s="12">
        <v>46081</v>
      </c>
      <c r="F5" s="19">
        <f t="shared" si="0"/>
        <v>0</v>
      </c>
      <c r="G5" s="2">
        <v>0</v>
      </c>
      <c r="H5" s="1">
        <v>7.0000000000000007E-2</v>
      </c>
      <c r="I5" s="2">
        <v>0</v>
      </c>
      <c r="J5" s="9"/>
      <c r="X5" s="5">
        <f t="shared" ref="X5:X52" si="1">E4</f>
        <v>46053</v>
      </c>
      <c r="Y5" s="2">
        <f t="shared" ref="Y5:Y52" si="2">G4+H4-I4</f>
        <v>7.0000000000000007E-2</v>
      </c>
    </row>
    <row r="6" spans="1:26" x14ac:dyDescent="0.25">
      <c r="A6" s="4"/>
      <c r="B6" s="5"/>
      <c r="D6" s="12">
        <v>46112</v>
      </c>
      <c r="E6" s="12">
        <v>46112</v>
      </c>
      <c r="F6" s="19">
        <f t="shared" si="0"/>
        <v>0</v>
      </c>
      <c r="G6" s="2">
        <v>0</v>
      </c>
      <c r="H6" s="1">
        <v>0.11</v>
      </c>
      <c r="I6" s="2">
        <v>0.01</v>
      </c>
      <c r="J6" s="9"/>
      <c r="X6" s="5">
        <f t="shared" si="1"/>
        <v>46081</v>
      </c>
      <c r="Y6" s="2">
        <f t="shared" si="2"/>
        <v>7.0000000000000007E-2</v>
      </c>
    </row>
    <row r="7" spans="1:26" x14ac:dyDescent="0.25">
      <c r="A7" s="4"/>
      <c r="B7" s="5"/>
      <c r="D7" s="12">
        <v>46142</v>
      </c>
      <c r="E7" s="12">
        <v>46142</v>
      </c>
      <c r="F7" s="19">
        <f t="shared" si="0"/>
        <v>0</v>
      </c>
      <c r="G7" s="2">
        <v>0</v>
      </c>
      <c r="H7" s="1">
        <v>0.11</v>
      </c>
      <c r="I7" s="2">
        <v>0.01</v>
      </c>
      <c r="J7" s="11"/>
      <c r="X7" s="5">
        <f t="shared" si="1"/>
        <v>46112</v>
      </c>
      <c r="Y7" s="2">
        <f t="shared" si="2"/>
        <v>0.1</v>
      </c>
    </row>
    <row r="8" spans="1:26" x14ac:dyDescent="0.25">
      <c r="A8" s="4" t="s">
        <v>24</v>
      </c>
      <c r="B8" s="5" t="str">
        <f>DATEDIF(B9,B11,"y") &amp; " m. " &amp; DATEDIF(B9,B11,"ym") &amp; " mėn. " &amp; DATEDIF(B9,B11,"md") &amp; " d."</f>
        <v>0 m. 8 mėn. 25 d.</v>
      </c>
      <c r="D8" s="12">
        <v>46173</v>
      </c>
      <c r="E8" s="12">
        <v>46173</v>
      </c>
      <c r="F8" s="19">
        <f t="shared" si="0"/>
        <v>0</v>
      </c>
      <c r="G8" s="2">
        <v>0</v>
      </c>
      <c r="H8" s="1">
        <v>0.11</v>
      </c>
      <c r="I8" s="2">
        <v>0.01</v>
      </c>
      <c r="J8" s="9"/>
      <c r="X8" s="5">
        <f t="shared" si="1"/>
        <v>46142</v>
      </c>
      <c r="Y8" s="2">
        <f t="shared" si="2"/>
        <v>0.1</v>
      </c>
    </row>
    <row r="9" spans="1:26" x14ac:dyDescent="0.25">
      <c r="A9" s="4" t="s">
        <v>11</v>
      </c>
      <c r="B9" s="5">
        <v>46004</v>
      </c>
      <c r="D9" s="12">
        <v>46203</v>
      </c>
      <c r="E9" s="12">
        <v>46203</v>
      </c>
      <c r="F9" s="19">
        <f t="shared" si="0"/>
        <v>0</v>
      </c>
      <c r="G9" s="2">
        <v>0</v>
      </c>
      <c r="H9" s="2">
        <v>0.11</v>
      </c>
      <c r="I9" s="2">
        <v>0.01</v>
      </c>
      <c r="J9" s="11"/>
      <c r="X9" s="5">
        <f t="shared" si="1"/>
        <v>46173</v>
      </c>
      <c r="Y9" s="2">
        <f t="shared" si="2"/>
        <v>0.1</v>
      </c>
    </row>
    <row r="10" spans="1:26" x14ac:dyDescent="0.25">
      <c r="A10" s="4" t="s">
        <v>70</v>
      </c>
      <c r="B10" s="5">
        <v>46002</v>
      </c>
      <c r="D10" s="12">
        <v>46234</v>
      </c>
      <c r="E10" s="12">
        <v>46234</v>
      </c>
      <c r="F10" s="19">
        <f t="shared" si="0"/>
        <v>0</v>
      </c>
      <c r="G10" s="2">
        <v>0</v>
      </c>
      <c r="H10" s="1">
        <v>0.11</v>
      </c>
      <c r="I10" s="2">
        <v>0</v>
      </c>
      <c r="J10" s="11"/>
      <c r="X10" s="5">
        <f t="shared" si="1"/>
        <v>46203</v>
      </c>
      <c r="Y10" s="2">
        <f t="shared" si="2"/>
        <v>0.1</v>
      </c>
    </row>
    <row r="11" spans="1:26" x14ac:dyDescent="0.25">
      <c r="A11" s="4" t="s">
        <v>10</v>
      </c>
      <c r="B11" s="5">
        <v>46272</v>
      </c>
      <c r="D11" s="12">
        <v>46261</v>
      </c>
      <c r="E11" s="12">
        <v>46261</v>
      </c>
      <c r="F11" s="19">
        <f t="shared" si="0"/>
        <v>0</v>
      </c>
      <c r="G11" s="1">
        <v>10.58</v>
      </c>
      <c r="H11" s="2">
        <v>0.12</v>
      </c>
      <c r="I11" s="2">
        <v>0</v>
      </c>
      <c r="J11" s="11"/>
      <c r="X11" s="5">
        <f t="shared" si="1"/>
        <v>46234</v>
      </c>
      <c r="Y11" s="2">
        <f t="shared" si="2"/>
        <v>0.11</v>
      </c>
    </row>
    <row r="12" spans="1:26" x14ac:dyDescent="0.25">
      <c r="A12" s="4" t="s">
        <v>71</v>
      </c>
      <c r="B12" s="19" t="str">
        <f ca="1">IF(B16&lt;&gt;K3,(TODAY()-B11)*-1,"")</f>
        <v/>
      </c>
      <c r="D12" s="12">
        <v>46295</v>
      </c>
      <c r="E12" s="12">
        <v>46295</v>
      </c>
      <c r="F12" s="19">
        <f t="shared" si="0"/>
        <v>0</v>
      </c>
      <c r="G12" s="2">
        <v>0</v>
      </c>
      <c r="H12" s="1">
        <v>0.06</v>
      </c>
      <c r="I12" s="2">
        <v>0</v>
      </c>
      <c r="J12" s="11"/>
      <c r="X12" s="5">
        <f t="shared" si="1"/>
        <v>46261</v>
      </c>
      <c r="Y12" s="2">
        <f t="shared" si="2"/>
        <v>10.7</v>
      </c>
    </row>
    <row r="13" spans="1:26" x14ac:dyDescent="0.25">
      <c r="A13" s="4"/>
      <c r="B13" s="2"/>
      <c r="D13" s="12"/>
      <c r="E13" s="12"/>
      <c r="F13" s="19" t="str">
        <f t="shared" si="0"/>
        <v/>
      </c>
      <c r="G13" s="1"/>
      <c r="H13" s="2"/>
      <c r="I13" s="2"/>
      <c r="J13" s="11"/>
      <c r="N13" s="14"/>
      <c r="X13" s="5">
        <f t="shared" si="1"/>
        <v>46295</v>
      </c>
      <c r="Y13" s="2">
        <f t="shared" si="2"/>
        <v>0.06</v>
      </c>
    </row>
    <row r="14" spans="1:26" x14ac:dyDescent="0.25">
      <c r="A14" s="13"/>
      <c r="B14" s="20"/>
      <c r="D14" s="12"/>
      <c r="E14" s="5"/>
      <c r="F14" s="19" t="str">
        <f t="shared" si="0"/>
        <v/>
      </c>
      <c r="G14" s="1"/>
      <c r="H14" s="1"/>
      <c r="I14" s="1"/>
      <c r="J14" s="11"/>
      <c r="X14" s="5">
        <f t="shared" si="1"/>
        <v>0</v>
      </c>
      <c r="Y14" s="2">
        <f t="shared" si="2"/>
        <v>0</v>
      </c>
    </row>
    <row r="15" spans="1:26" x14ac:dyDescent="0.25">
      <c r="A15" s="4" t="s">
        <v>1</v>
      </c>
      <c r="B15" s="6">
        <v>0.125</v>
      </c>
      <c r="D15" s="12"/>
      <c r="E15" s="5"/>
      <c r="F15" s="19" t="str">
        <f t="shared" si="0"/>
        <v/>
      </c>
      <c r="G15" s="1"/>
      <c r="H15" s="1"/>
      <c r="I15" s="1"/>
      <c r="J15" s="11"/>
      <c r="K15" s="18"/>
      <c r="L15" s="18"/>
      <c r="M15" s="18"/>
      <c r="N15" s="18"/>
      <c r="O15" s="18"/>
      <c r="P15" s="18"/>
      <c r="Q15" s="18"/>
      <c r="X15" s="5">
        <f t="shared" si="1"/>
        <v>0</v>
      </c>
      <c r="Y15" s="2">
        <f t="shared" si="2"/>
        <v>0</v>
      </c>
    </row>
    <row r="16" spans="1:26" x14ac:dyDescent="0.25">
      <c r="A16" s="4" t="s">
        <v>72</v>
      </c>
      <c r="B16" s="2">
        <v>10.58</v>
      </c>
      <c r="D16" s="12"/>
      <c r="E16" s="5"/>
      <c r="F16" s="19" t="str">
        <f t="shared" si="0"/>
        <v/>
      </c>
      <c r="G16" s="1"/>
      <c r="H16" s="1"/>
      <c r="I16" s="1"/>
      <c r="J16" s="11"/>
      <c r="K16" s="9"/>
      <c r="L16" s="9"/>
      <c r="M16" s="9"/>
      <c r="N16" s="21"/>
      <c r="O16" s="22"/>
      <c r="P16" s="11"/>
      <c r="Q16" s="11"/>
      <c r="X16" s="5">
        <f t="shared" si="1"/>
        <v>0</v>
      </c>
      <c r="Y16" s="2">
        <f t="shared" si="2"/>
        <v>0</v>
      </c>
    </row>
    <row r="17" spans="2:25" x14ac:dyDescent="0.25">
      <c r="D17" s="12"/>
      <c r="E17" s="5"/>
      <c r="F17" s="19" t="str">
        <f t="shared" si="0"/>
        <v/>
      </c>
      <c r="G17" s="1"/>
      <c r="H17" s="1"/>
      <c r="I17" s="1"/>
      <c r="J17" s="11"/>
      <c r="X17" s="5">
        <f t="shared" si="1"/>
        <v>0</v>
      </c>
      <c r="Y17" s="2">
        <f t="shared" si="2"/>
        <v>0</v>
      </c>
    </row>
    <row r="18" spans="2:25" x14ac:dyDescent="0.25">
      <c r="D18" s="12"/>
      <c r="E18" s="5"/>
      <c r="F18" s="19" t="str">
        <f t="shared" si="0"/>
        <v/>
      </c>
      <c r="G18" s="1"/>
      <c r="H18" s="1"/>
      <c r="I18" s="1"/>
      <c r="J18" s="11"/>
      <c r="X18" s="5">
        <f t="shared" si="1"/>
        <v>0</v>
      </c>
      <c r="Y18" s="2">
        <f t="shared" si="2"/>
        <v>0</v>
      </c>
    </row>
    <row r="19" spans="2:25" x14ac:dyDescent="0.25">
      <c r="D19" s="12"/>
      <c r="E19" s="5"/>
      <c r="F19" s="19" t="str">
        <f t="shared" si="0"/>
        <v/>
      </c>
      <c r="G19" s="1"/>
      <c r="H19" s="1"/>
      <c r="I19" s="1"/>
      <c r="J19" s="11"/>
      <c r="X19" s="5">
        <f t="shared" si="1"/>
        <v>0</v>
      </c>
      <c r="Y19" s="2">
        <f t="shared" si="2"/>
        <v>0</v>
      </c>
    </row>
    <row r="20" spans="2:25" x14ac:dyDescent="0.25">
      <c r="D20" s="12"/>
      <c r="E20" s="5"/>
      <c r="F20" s="19" t="str">
        <f t="shared" si="0"/>
        <v/>
      </c>
      <c r="G20" s="1"/>
      <c r="H20" s="1"/>
      <c r="I20" s="1"/>
      <c r="J20" s="11"/>
      <c r="X20" s="5">
        <f t="shared" si="1"/>
        <v>0</v>
      </c>
      <c r="Y20" s="2">
        <f t="shared" si="2"/>
        <v>0</v>
      </c>
    </row>
    <row r="21" spans="2:25" x14ac:dyDescent="0.25">
      <c r="D21" s="12"/>
      <c r="E21" s="5"/>
      <c r="F21" s="19" t="str">
        <f t="shared" si="0"/>
        <v/>
      </c>
      <c r="G21" s="1"/>
      <c r="H21" s="1"/>
      <c r="I21" s="1"/>
      <c r="J21" s="11"/>
      <c r="X21" s="5">
        <f t="shared" si="1"/>
        <v>0</v>
      </c>
      <c r="Y21" s="2">
        <f t="shared" si="2"/>
        <v>0</v>
      </c>
    </row>
    <row r="22" spans="2:25" x14ac:dyDescent="0.25">
      <c r="D22" s="12"/>
      <c r="E22" s="5"/>
      <c r="F22" s="19" t="str">
        <f t="shared" si="0"/>
        <v/>
      </c>
      <c r="G22" s="1"/>
      <c r="H22" s="1"/>
      <c r="I22" s="1"/>
      <c r="J22" s="11"/>
      <c r="X22" s="5">
        <f t="shared" si="1"/>
        <v>0</v>
      </c>
      <c r="Y22" s="2">
        <f t="shared" si="2"/>
        <v>0</v>
      </c>
    </row>
    <row r="23" spans="2:25" x14ac:dyDescent="0.25">
      <c r="B23" s="22"/>
      <c r="D23" s="12"/>
      <c r="E23" s="5"/>
      <c r="F23" s="19" t="str">
        <f t="shared" si="0"/>
        <v/>
      </c>
      <c r="G23" s="1"/>
      <c r="H23" s="1"/>
      <c r="I23" s="1"/>
      <c r="J23" s="11"/>
      <c r="X23" s="5">
        <f t="shared" si="1"/>
        <v>0</v>
      </c>
      <c r="Y23" s="2">
        <f t="shared" si="2"/>
        <v>0</v>
      </c>
    </row>
    <row r="24" spans="2:25" x14ac:dyDescent="0.25">
      <c r="D24" s="12"/>
      <c r="E24" s="5"/>
      <c r="F24" s="19" t="str">
        <f t="shared" si="0"/>
        <v/>
      </c>
      <c r="G24" s="1"/>
      <c r="H24" s="1"/>
      <c r="I24" s="1"/>
      <c r="J24" s="11"/>
      <c r="X24" s="5">
        <f t="shared" si="1"/>
        <v>0</v>
      </c>
      <c r="Y24" s="2">
        <f t="shared" si="2"/>
        <v>0</v>
      </c>
    </row>
    <row r="25" spans="2:25" x14ac:dyDescent="0.25">
      <c r="D25" s="12"/>
      <c r="E25" s="5"/>
      <c r="F25" s="19" t="str">
        <f t="shared" si="0"/>
        <v/>
      </c>
      <c r="G25" s="1"/>
      <c r="H25" s="1"/>
      <c r="I25" s="1"/>
      <c r="J25" s="11"/>
      <c r="X25" s="5">
        <f t="shared" si="1"/>
        <v>0</v>
      </c>
      <c r="Y25" s="2">
        <f t="shared" si="2"/>
        <v>0</v>
      </c>
    </row>
    <row r="26" spans="2:25" x14ac:dyDescent="0.25">
      <c r="D26" s="12"/>
      <c r="E26" s="5"/>
      <c r="F26" s="19" t="str">
        <f t="shared" si="0"/>
        <v/>
      </c>
      <c r="G26" s="1"/>
      <c r="H26" s="1"/>
      <c r="I26" s="1"/>
      <c r="J26" s="11"/>
      <c r="X26" s="5">
        <f t="shared" si="1"/>
        <v>0</v>
      </c>
      <c r="Y26" s="2">
        <f t="shared" si="2"/>
        <v>0</v>
      </c>
    </row>
    <row r="27" spans="2:25" x14ac:dyDescent="0.25">
      <c r="D27" s="12"/>
      <c r="E27" s="5"/>
      <c r="F27" s="19" t="str">
        <f t="shared" si="0"/>
        <v/>
      </c>
      <c r="G27" s="1"/>
      <c r="H27" s="1"/>
      <c r="I27" s="1"/>
      <c r="J27" s="11"/>
      <c r="X27" s="5">
        <f t="shared" si="1"/>
        <v>0</v>
      </c>
      <c r="Y27" s="2">
        <f t="shared" si="2"/>
        <v>0</v>
      </c>
    </row>
    <row r="28" spans="2:25" x14ac:dyDescent="0.25">
      <c r="D28" s="12"/>
      <c r="E28" s="5"/>
      <c r="F28" s="19" t="str">
        <f t="shared" si="0"/>
        <v/>
      </c>
      <c r="G28" s="1"/>
      <c r="H28" s="1"/>
      <c r="I28" s="1"/>
      <c r="J28" s="11"/>
      <c r="X28" s="5">
        <f t="shared" si="1"/>
        <v>0</v>
      </c>
      <c r="Y28" s="2">
        <f t="shared" si="2"/>
        <v>0</v>
      </c>
    </row>
    <row r="29" spans="2:25" x14ac:dyDescent="0.25">
      <c r="D29" s="12"/>
      <c r="E29" s="5"/>
      <c r="F29" s="19" t="str">
        <f t="shared" si="0"/>
        <v/>
      </c>
      <c r="G29" s="1"/>
      <c r="H29" s="1"/>
      <c r="I29" s="1"/>
      <c r="J29" s="11"/>
      <c r="X29" s="5">
        <f t="shared" si="1"/>
        <v>0</v>
      </c>
      <c r="Y29" s="2">
        <f t="shared" si="2"/>
        <v>0</v>
      </c>
    </row>
    <row r="30" spans="2:25" x14ac:dyDescent="0.25">
      <c r="D30" s="12"/>
      <c r="E30" s="5"/>
      <c r="F30" s="19" t="str">
        <f t="shared" si="0"/>
        <v/>
      </c>
      <c r="G30" s="1"/>
      <c r="H30" s="1"/>
      <c r="I30" s="1"/>
      <c r="J30" s="11"/>
      <c r="X30" s="5">
        <f t="shared" si="1"/>
        <v>0</v>
      </c>
      <c r="Y30" s="2">
        <f t="shared" si="2"/>
        <v>0</v>
      </c>
    </row>
    <row r="31" spans="2:25" x14ac:dyDescent="0.25">
      <c r="D31" s="12"/>
      <c r="E31" s="5"/>
      <c r="F31" s="19" t="str">
        <f t="shared" si="0"/>
        <v/>
      </c>
      <c r="G31" s="1"/>
      <c r="H31" s="1"/>
      <c r="I31" s="1"/>
      <c r="J31" s="11"/>
      <c r="X31" s="5">
        <f t="shared" si="1"/>
        <v>0</v>
      </c>
      <c r="Y31" s="2">
        <f t="shared" si="2"/>
        <v>0</v>
      </c>
    </row>
    <row r="32" spans="2:25" x14ac:dyDescent="0.25">
      <c r="D32" s="12"/>
      <c r="E32" s="5"/>
      <c r="F32" s="19" t="str">
        <f t="shared" si="0"/>
        <v/>
      </c>
      <c r="G32" s="1"/>
      <c r="H32" s="1"/>
      <c r="I32" s="1"/>
      <c r="J32" s="11"/>
      <c r="X32" s="5">
        <f t="shared" si="1"/>
        <v>0</v>
      </c>
      <c r="Y32" s="2">
        <f t="shared" si="2"/>
        <v>0</v>
      </c>
    </row>
    <row r="33" spans="4:25" x14ac:dyDescent="0.25">
      <c r="D33" s="12"/>
      <c r="E33" s="5"/>
      <c r="F33" s="19" t="str">
        <f t="shared" si="0"/>
        <v/>
      </c>
      <c r="G33" s="1"/>
      <c r="H33" s="1"/>
      <c r="I33" s="1"/>
      <c r="J33" s="11"/>
      <c r="X33" s="5">
        <f t="shared" si="1"/>
        <v>0</v>
      </c>
      <c r="Y33" s="2">
        <f t="shared" si="2"/>
        <v>0</v>
      </c>
    </row>
    <row r="34" spans="4:25" x14ac:dyDescent="0.25">
      <c r="D34" s="12"/>
      <c r="E34" s="5"/>
      <c r="F34" s="19" t="str">
        <f t="shared" si="0"/>
        <v/>
      </c>
      <c r="G34" s="1"/>
      <c r="H34" s="1"/>
      <c r="I34" s="1"/>
      <c r="J34" s="11"/>
      <c r="X34" s="5">
        <f t="shared" si="1"/>
        <v>0</v>
      </c>
      <c r="Y34" s="2">
        <f t="shared" si="2"/>
        <v>0</v>
      </c>
    </row>
    <row r="35" spans="4:25" x14ac:dyDescent="0.25">
      <c r="D35" s="12"/>
      <c r="E35" s="5"/>
      <c r="F35" s="19" t="str">
        <f t="shared" si="0"/>
        <v/>
      </c>
      <c r="G35" s="1"/>
      <c r="H35" s="1"/>
      <c r="I35" s="1"/>
      <c r="J35" s="11"/>
      <c r="X35" s="5">
        <f t="shared" si="1"/>
        <v>0</v>
      </c>
      <c r="Y35" s="2">
        <f t="shared" si="2"/>
        <v>0</v>
      </c>
    </row>
    <row r="36" spans="4:25" x14ac:dyDescent="0.25">
      <c r="D36" s="12"/>
      <c r="E36" s="5"/>
      <c r="F36" s="19" t="str">
        <f t="shared" si="0"/>
        <v/>
      </c>
      <c r="G36" s="1"/>
      <c r="H36" s="1"/>
      <c r="I36" s="1"/>
      <c r="J36" s="11"/>
      <c r="X36" s="5">
        <f t="shared" si="1"/>
        <v>0</v>
      </c>
      <c r="Y36" s="2">
        <f t="shared" si="2"/>
        <v>0</v>
      </c>
    </row>
    <row r="37" spans="4:25" x14ac:dyDescent="0.25">
      <c r="D37" s="12"/>
      <c r="E37" s="5"/>
      <c r="F37" s="19" t="str">
        <f t="shared" si="0"/>
        <v/>
      </c>
      <c r="G37" s="1"/>
      <c r="H37" s="1"/>
      <c r="I37" s="1"/>
      <c r="J37" s="11"/>
      <c r="X37" s="5">
        <f t="shared" si="1"/>
        <v>0</v>
      </c>
      <c r="Y37" s="2">
        <f t="shared" si="2"/>
        <v>0</v>
      </c>
    </row>
    <row r="38" spans="4:25" x14ac:dyDescent="0.25">
      <c r="D38" s="12"/>
      <c r="E38" s="5"/>
      <c r="F38" s="19" t="str">
        <f t="shared" si="0"/>
        <v/>
      </c>
      <c r="G38" s="1"/>
      <c r="H38" s="1"/>
      <c r="I38" s="1"/>
      <c r="J38" s="11"/>
      <c r="X38" s="5">
        <f t="shared" si="1"/>
        <v>0</v>
      </c>
      <c r="Y38" s="2">
        <f t="shared" si="2"/>
        <v>0</v>
      </c>
    </row>
    <row r="39" spans="4:25" x14ac:dyDescent="0.25">
      <c r="D39" s="12"/>
      <c r="E39" s="5"/>
      <c r="F39" s="19" t="str">
        <f t="shared" si="0"/>
        <v/>
      </c>
      <c r="G39" s="1"/>
      <c r="H39" s="1"/>
      <c r="I39" s="1"/>
      <c r="J39" s="11"/>
      <c r="X39" s="5">
        <f t="shared" si="1"/>
        <v>0</v>
      </c>
      <c r="Y39" s="2">
        <f t="shared" si="2"/>
        <v>0</v>
      </c>
    </row>
    <row r="40" spans="4:25" x14ac:dyDescent="0.25">
      <c r="D40" s="12"/>
      <c r="E40" s="5"/>
      <c r="F40" s="19" t="str">
        <f t="shared" si="0"/>
        <v/>
      </c>
      <c r="G40" s="1"/>
      <c r="H40" s="1"/>
      <c r="I40" s="1"/>
      <c r="J40" s="11"/>
      <c r="X40" s="5">
        <f t="shared" si="1"/>
        <v>0</v>
      </c>
      <c r="Y40" s="2">
        <f t="shared" si="2"/>
        <v>0</v>
      </c>
    </row>
    <row r="41" spans="4:25" x14ac:dyDescent="0.25">
      <c r="D41" s="12"/>
      <c r="E41" s="5"/>
      <c r="F41" s="19" t="str">
        <f t="shared" si="0"/>
        <v/>
      </c>
      <c r="G41" s="1"/>
      <c r="H41" s="1"/>
      <c r="I41" s="1"/>
      <c r="J41" s="11"/>
      <c r="X41" s="5">
        <f t="shared" si="1"/>
        <v>0</v>
      </c>
      <c r="Y41" s="2">
        <f t="shared" si="2"/>
        <v>0</v>
      </c>
    </row>
    <row r="42" spans="4:25" x14ac:dyDescent="0.25">
      <c r="D42" s="12"/>
      <c r="E42" s="5"/>
      <c r="F42" s="19" t="str">
        <f t="shared" si="0"/>
        <v/>
      </c>
      <c r="G42" s="1"/>
      <c r="H42" s="1"/>
      <c r="I42" s="1"/>
      <c r="J42" s="11"/>
      <c r="X42" s="5">
        <f t="shared" si="1"/>
        <v>0</v>
      </c>
      <c r="Y42" s="2">
        <f t="shared" si="2"/>
        <v>0</v>
      </c>
    </row>
    <row r="43" spans="4:25" x14ac:dyDescent="0.25">
      <c r="D43" s="12"/>
      <c r="E43" s="5"/>
      <c r="F43" s="19" t="str">
        <f t="shared" si="0"/>
        <v/>
      </c>
      <c r="G43" s="1"/>
      <c r="H43" s="1"/>
      <c r="I43" s="1"/>
      <c r="J43" s="11"/>
      <c r="X43" s="5">
        <f t="shared" si="1"/>
        <v>0</v>
      </c>
      <c r="Y43" s="2">
        <f t="shared" si="2"/>
        <v>0</v>
      </c>
    </row>
    <row r="44" spans="4:25" x14ac:dyDescent="0.25">
      <c r="D44" s="12"/>
      <c r="E44" s="5"/>
      <c r="F44" s="19" t="str">
        <f t="shared" si="0"/>
        <v/>
      </c>
      <c r="G44" s="1"/>
      <c r="H44" s="1"/>
      <c r="I44" s="1"/>
      <c r="J44" s="11"/>
      <c r="X44" s="5">
        <f t="shared" si="1"/>
        <v>0</v>
      </c>
      <c r="Y44" s="2">
        <f t="shared" si="2"/>
        <v>0</v>
      </c>
    </row>
    <row r="45" spans="4:25" x14ac:dyDescent="0.25">
      <c r="D45" s="12"/>
      <c r="E45" s="5"/>
      <c r="F45" s="19" t="str">
        <f t="shared" si="0"/>
        <v/>
      </c>
      <c r="G45" s="1"/>
      <c r="H45" s="1"/>
      <c r="I45" s="1"/>
      <c r="J45" s="11"/>
      <c r="X45" s="5">
        <f t="shared" si="1"/>
        <v>0</v>
      </c>
      <c r="Y45" s="2">
        <f t="shared" si="2"/>
        <v>0</v>
      </c>
    </row>
    <row r="46" spans="4:25" x14ac:dyDescent="0.25">
      <c r="D46" s="12"/>
      <c r="E46" s="5"/>
      <c r="F46" s="19" t="str">
        <f t="shared" si="0"/>
        <v/>
      </c>
      <c r="G46" s="1"/>
      <c r="H46" s="1"/>
      <c r="I46" s="1"/>
      <c r="J46" s="11"/>
      <c r="X46" s="5">
        <f t="shared" si="1"/>
        <v>0</v>
      </c>
      <c r="Y46" s="2">
        <f t="shared" si="2"/>
        <v>0</v>
      </c>
    </row>
    <row r="47" spans="4:25" x14ac:dyDescent="0.25">
      <c r="D47" s="12"/>
      <c r="E47" s="5"/>
      <c r="F47" s="19" t="str">
        <f t="shared" si="0"/>
        <v/>
      </c>
      <c r="G47" s="1"/>
      <c r="H47" s="1"/>
      <c r="I47" s="1"/>
      <c r="J47" s="11"/>
      <c r="X47" s="5">
        <f t="shared" si="1"/>
        <v>0</v>
      </c>
      <c r="Y47" s="2">
        <f t="shared" si="2"/>
        <v>0</v>
      </c>
    </row>
    <row r="48" spans="4:25" x14ac:dyDescent="0.25">
      <c r="D48" s="12"/>
      <c r="E48" s="5"/>
      <c r="F48" s="19" t="str">
        <f t="shared" si="0"/>
        <v/>
      </c>
      <c r="G48" s="1"/>
      <c r="H48" s="1"/>
      <c r="I48" s="1"/>
      <c r="J48" s="11"/>
      <c r="X48" s="5">
        <f t="shared" si="1"/>
        <v>0</v>
      </c>
      <c r="Y48" s="2">
        <f t="shared" si="2"/>
        <v>0</v>
      </c>
    </row>
    <row r="49" spans="4:25" x14ac:dyDescent="0.25">
      <c r="D49" s="12"/>
      <c r="E49" s="5"/>
      <c r="F49" s="19" t="str">
        <f t="shared" si="0"/>
        <v/>
      </c>
      <c r="G49" s="1"/>
      <c r="H49" s="1"/>
      <c r="I49" s="1"/>
      <c r="J49" s="11"/>
      <c r="X49" s="5">
        <f t="shared" si="1"/>
        <v>0</v>
      </c>
      <c r="Y49" s="2">
        <f t="shared" si="2"/>
        <v>0</v>
      </c>
    </row>
    <row r="50" spans="4:25" x14ac:dyDescent="0.25">
      <c r="D50" s="12"/>
      <c r="E50" s="5"/>
      <c r="F50" s="19" t="str">
        <f t="shared" si="0"/>
        <v/>
      </c>
      <c r="G50" s="1"/>
      <c r="H50" s="1"/>
      <c r="I50" s="1"/>
      <c r="J50" s="11"/>
      <c r="X50" s="5">
        <f t="shared" si="1"/>
        <v>0</v>
      </c>
      <c r="Y50" s="2">
        <f t="shared" si="2"/>
        <v>0</v>
      </c>
    </row>
    <row r="51" spans="4:25" x14ac:dyDescent="0.25">
      <c r="D51" s="12"/>
      <c r="E51" s="5"/>
      <c r="F51" s="19" t="str">
        <f t="shared" si="0"/>
        <v/>
      </c>
      <c r="G51" s="1"/>
      <c r="H51" s="1"/>
      <c r="I51" s="1"/>
      <c r="J51" s="11"/>
      <c r="X51" s="5">
        <f t="shared" si="1"/>
        <v>0</v>
      </c>
      <c r="Y51" s="2">
        <f t="shared" si="2"/>
        <v>0</v>
      </c>
    </row>
    <row r="52" spans="4:25" x14ac:dyDescent="0.25">
      <c r="D52" s="12"/>
      <c r="E52" s="5"/>
      <c r="F52" s="19" t="str">
        <f t="shared" si="0"/>
        <v/>
      </c>
      <c r="G52" s="1"/>
      <c r="H52" s="1"/>
      <c r="I52" s="1"/>
      <c r="J52" s="9"/>
      <c r="X52" s="5">
        <f t="shared" si="1"/>
        <v>0</v>
      </c>
      <c r="Y52" s="2">
        <f t="shared" si="2"/>
        <v>0</v>
      </c>
    </row>
    <row r="53" spans="4:25" x14ac:dyDescent="0.25">
      <c r="D53" s="1" t="s">
        <v>25</v>
      </c>
      <c r="E53" s="23"/>
      <c r="F53" s="2"/>
      <c r="G53" s="2">
        <f>SUM(G3:G52)</f>
        <v>10.58</v>
      </c>
      <c r="H53" s="2">
        <f t="shared" ref="H53:I53" si="3">SUM(H3:H52)</f>
        <v>0.94</v>
      </c>
      <c r="I53" s="2">
        <f t="shared" si="3"/>
        <v>0.04</v>
      </c>
    </row>
  </sheetData>
  <mergeCells count="4">
    <mergeCell ref="D1:F1"/>
    <mergeCell ref="G1:I1"/>
    <mergeCell ref="K1:Q1"/>
    <mergeCell ref="X1:Z1"/>
  </mergeCells>
  <conditionalFormatting sqref="A1:B1">
    <cfRule type="expression" dxfId="59" priority="1">
      <formula>$Z$3="+"</formula>
    </cfRule>
    <cfRule type="expression" dxfId="58" priority="2">
      <formula>$B$16=$K$3</formula>
    </cfRule>
  </conditionalFormatting>
  <conditionalFormatting sqref="P3">
    <cfRule type="expression" dxfId="57" priority="7">
      <formula>$Z$3="+"</formula>
    </cfRule>
  </conditionalFormatting>
  <conditionalFormatting sqref="Z3">
    <cfRule type="expression" dxfId="56" priority="8">
      <formula>$Z$3="+"</formula>
    </cfRule>
  </conditionalFormatting>
  <dataValidations disablePrompts="1" count="1">
    <dataValidation type="list" allowBlank="1" showInputMessage="1" showErrorMessage="1" sqref="B2" xr:uid="{0AED705E-9C06-4E16-AD25-C8BF4F6B43EA}">
      <formula1>"Romania,Moldova,Cyprus,Philippines"</formula1>
    </dataValidation>
  </dataValidations>
  <pageMargins left="0.7" right="0.7" top="0.75" bottom="0.75" header="0.3" footer="0.3"/>
  <pageSetup orientation="portrait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4C200-D849-4B8B-BF94-683811E3BACD}">
  <sheetPr>
    <tabColor rgb="FF92D050"/>
  </sheetPr>
  <dimension ref="A1:Z53"/>
  <sheetViews>
    <sheetView workbookViewId="0">
      <selection activeCell="I19" sqref="I19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1" customWidth="1"/>
    <col min="25" max="25" width="10.7109375" style="11" customWidth="1"/>
    <col min="26" max="26" width="10.7109375" customWidth="1"/>
  </cols>
  <sheetData>
    <row r="1" spans="1:26" x14ac:dyDescent="0.25">
      <c r="A1" s="4" t="s">
        <v>66</v>
      </c>
      <c r="B1" s="5" t="s">
        <v>38</v>
      </c>
      <c r="D1" s="29" t="s">
        <v>2</v>
      </c>
      <c r="E1" s="30"/>
      <c r="F1" s="31"/>
      <c r="G1" s="29" t="s">
        <v>0</v>
      </c>
      <c r="H1" s="30"/>
      <c r="I1" s="31"/>
      <c r="J1" s="18"/>
      <c r="K1" s="29" t="s">
        <v>58</v>
      </c>
      <c r="L1" s="30"/>
      <c r="M1" s="30"/>
      <c r="N1" s="30"/>
      <c r="O1" s="30"/>
      <c r="P1" s="30"/>
      <c r="Q1" s="31"/>
      <c r="X1" s="29"/>
      <c r="Y1" s="30"/>
      <c r="Z1" s="31"/>
    </row>
    <row r="2" spans="1:26" x14ac:dyDescent="0.25">
      <c r="A2" s="4" t="s">
        <v>21</v>
      </c>
      <c r="B2" s="5" t="s">
        <v>22</v>
      </c>
      <c r="D2" s="10" t="s">
        <v>49</v>
      </c>
      <c r="E2" s="10" t="s">
        <v>50</v>
      </c>
      <c r="F2" s="17" t="s">
        <v>67</v>
      </c>
      <c r="G2" s="10" t="s">
        <v>15</v>
      </c>
      <c r="H2" s="10" t="s">
        <v>16</v>
      </c>
      <c r="I2" s="10" t="s">
        <v>60</v>
      </c>
      <c r="J2" s="9"/>
      <c r="K2" s="10" t="s">
        <v>0</v>
      </c>
      <c r="L2" s="10" t="s">
        <v>1</v>
      </c>
      <c r="M2" s="10" t="s">
        <v>56</v>
      </c>
      <c r="N2" s="10" t="s">
        <v>57</v>
      </c>
      <c r="O2" s="10" t="s">
        <v>2</v>
      </c>
      <c r="P2" s="10" t="s">
        <v>68</v>
      </c>
      <c r="Q2" s="10" t="s">
        <v>67</v>
      </c>
      <c r="X2" s="10" t="s">
        <v>2</v>
      </c>
      <c r="Y2" s="10" t="s">
        <v>59</v>
      </c>
      <c r="Z2" s="10" t="s">
        <v>68</v>
      </c>
    </row>
    <row r="3" spans="1:26" x14ac:dyDescent="0.25">
      <c r="A3" s="4" t="s">
        <v>69</v>
      </c>
      <c r="B3" s="5" t="s">
        <v>78</v>
      </c>
      <c r="D3" s="12">
        <v>46022</v>
      </c>
      <c r="E3" s="12">
        <v>46022</v>
      </c>
      <c r="F3" s="19">
        <f t="shared" ref="F3:F52" si="0">IF(E3&gt;0,E3-D3,"")</f>
        <v>0</v>
      </c>
      <c r="G3" s="2">
        <v>0</v>
      </c>
      <c r="H3" s="1">
        <v>0.11</v>
      </c>
      <c r="I3" s="2">
        <v>0</v>
      </c>
      <c r="J3" s="11"/>
      <c r="K3" s="2">
        <f>G53</f>
        <v>16.45</v>
      </c>
      <c r="L3" s="2">
        <f>H53</f>
        <v>1.2100000000000002</v>
      </c>
      <c r="M3" s="2">
        <f>I53</f>
        <v>0.04</v>
      </c>
      <c r="N3" s="6">
        <f>IF(B16=K3,XIRR(Y3:Y52,X3:X52),"")</f>
        <v>0.12219356894493105</v>
      </c>
      <c r="O3" s="5">
        <f>IF(B16=K3,MAX(E:E),"")</f>
        <v>46265</v>
      </c>
      <c r="P3" s="1" t="str">
        <f ca="1">IF(Z3="+",TODAY()-B11,"")</f>
        <v/>
      </c>
      <c r="Q3" s="1">
        <f>IF(B16=K3,MAX(E:E)-B11,"")</f>
        <v>-7</v>
      </c>
      <c r="T3" s="14"/>
      <c r="X3" s="5">
        <f>B9</f>
        <v>46003</v>
      </c>
      <c r="Y3" s="2">
        <f>B16*-1</f>
        <v>-16.45</v>
      </c>
      <c r="Z3" s="1" t="str">
        <f ca="1">IF(AND(TODAY()&gt;B11, K3&lt;&gt;B16), "+", "")</f>
        <v/>
      </c>
    </row>
    <row r="4" spans="1:26" x14ac:dyDescent="0.25">
      <c r="A4" s="4" t="s">
        <v>19</v>
      </c>
      <c r="B4" s="5" t="s">
        <v>20</v>
      </c>
      <c r="D4" s="12">
        <v>46053</v>
      </c>
      <c r="E4" s="12">
        <v>46053</v>
      </c>
      <c r="F4" s="19">
        <f t="shared" si="0"/>
        <v>0</v>
      </c>
      <c r="G4" s="2">
        <v>0</v>
      </c>
      <c r="H4" s="2">
        <v>0.1</v>
      </c>
      <c r="I4" s="2">
        <v>0</v>
      </c>
      <c r="J4" s="9"/>
      <c r="X4" s="5">
        <f>E3</f>
        <v>46022</v>
      </c>
      <c r="Y4" s="2">
        <f>G3+H3-I3</f>
        <v>0.11</v>
      </c>
    </row>
    <row r="5" spans="1:26" x14ac:dyDescent="0.25">
      <c r="A5" s="4"/>
      <c r="B5" s="5"/>
      <c r="D5" s="12">
        <v>46081</v>
      </c>
      <c r="E5" s="12">
        <v>46081</v>
      </c>
      <c r="F5" s="19">
        <f t="shared" si="0"/>
        <v>0</v>
      </c>
      <c r="G5" s="2">
        <v>0</v>
      </c>
      <c r="H5" s="1">
        <v>0.11</v>
      </c>
      <c r="I5" s="2">
        <v>0</v>
      </c>
      <c r="J5" s="9"/>
      <c r="X5" s="5">
        <f t="shared" ref="X5:X52" si="1">E4</f>
        <v>46053</v>
      </c>
      <c r="Y5" s="2">
        <f t="shared" ref="Y5:Y52" si="2">G4+H4-I4</f>
        <v>0.1</v>
      </c>
    </row>
    <row r="6" spans="1:26" x14ac:dyDescent="0.25">
      <c r="A6" s="4"/>
      <c r="B6" s="5"/>
      <c r="D6" s="12">
        <v>46112</v>
      </c>
      <c r="E6" s="12">
        <v>46112</v>
      </c>
      <c r="F6" s="19">
        <f t="shared" si="0"/>
        <v>0</v>
      </c>
      <c r="G6" s="2">
        <v>0</v>
      </c>
      <c r="H6" s="1">
        <v>0.16</v>
      </c>
      <c r="I6" s="2">
        <v>0.01</v>
      </c>
      <c r="J6" s="9"/>
      <c r="X6" s="5">
        <f t="shared" si="1"/>
        <v>46081</v>
      </c>
      <c r="Y6" s="2">
        <f t="shared" si="2"/>
        <v>0.11</v>
      </c>
    </row>
    <row r="7" spans="1:26" x14ac:dyDescent="0.25">
      <c r="A7" s="4"/>
      <c r="B7" s="5"/>
      <c r="D7" s="12">
        <v>46142</v>
      </c>
      <c r="E7" s="12">
        <v>46142</v>
      </c>
      <c r="F7" s="19">
        <f t="shared" si="0"/>
        <v>0</v>
      </c>
      <c r="G7" s="2">
        <v>0</v>
      </c>
      <c r="H7" s="1">
        <v>0.17</v>
      </c>
      <c r="I7" s="2">
        <v>0.01</v>
      </c>
      <c r="J7" s="11"/>
      <c r="X7" s="5">
        <f t="shared" si="1"/>
        <v>46112</v>
      </c>
      <c r="Y7" s="2">
        <f t="shared" si="2"/>
        <v>0.15</v>
      </c>
    </row>
    <row r="8" spans="1:26" x14ac:dyDescent="0.25">
      <c r="A8" s="4" t="s">
        <v>24</v>
      </c>
      <c r="B8" s="5" t="str">
        <f>DATEDIF(B9,B11,"y") &amp; " m. " &amp; DATEDIF(B9,B11,"ym") &amp; " mėn. " &amp; DATEDIF(B9,B11,"md") &amp; " d."</f>
        <v>0 m. 8 mėn. 26 d.</v>
      </c>
      <c r="D8" s="12">
        <v>46173</v>
      </c>
      <c r="E8" s="12">
        <v>46173</v>
      </c>
      <c r="F8" s="19">
        <f t="shared" si="0"/>
        <v>0</v>
      </c>
      <c r="G8" s="2">
        <v>0</v>
      </c>
      <c r="H8" s="1">
        <v>0.16</v>
      </c>
      <c r="I8" s="2">
        <v>0.01</v>
      </c>
      <c r="J8" s="9"/>
      <c r="X8" s="5">
        <f t="shared" si="1"/>
        <v>46142</v>
      </c>
      <c r="Y8" s="2">
        <f t="shared" si="2"/>
        <v>0.16</v>
      </c>
    </row>
    <row r="9" spans="1:26" x14ac:dyDescent="0.25">
      <c r="A9" s="4" t="s">
        <v>11</v>
      </c>
      <c r="B9" s="5">
        <v>46003</v>
      </c>
      <c r="D9" s="12">
        <v>46203</v>
      </c>
      <c r="E9" s="12">
        <v>46203</v>
      </c>
      <c r="F9" s="19">
        <f t="shared" si="0"/>
        <v>0</v>
      </c>
      <c r="G9" s="2">
        <v>0</v>
      </c>
      <c r="H9" s="2">
        <v>0.17</v>
      </c>
      <c r="I9" s="2">
        <v>0.01</v>
      </c>
      <c r="J9" s="11"/>
      <c r="X9" s="5">
        <f t="shared" si="1"/>
        <v>46173</v>
      </c>
      <c r="Y9" s="2">
        <f t="shared" si="2"/>
        <v>0.15</v>
      </c>
    </row>
    <row r="10" spans="1:26" x14ac:dyDescent="0.25">
      <c r="A10" s="4" t="s">
        <v>70</v>
      </c>
      <c r="B10" s="5">
        <v>46002</v>
      </c>
      <c r="D10" s="12">
        <v>46272</v>
      </c>
      <c r="E10" s="12">
        <v>46226</v>
      </c>
      <c r="F10" s="19">
        <f t="shared" si="0"/>
        <v>-46</v>
      </c>
      <c r="G10" s="1">
        <v>16.45</v>
      </c>
      <c r="H10" s="2">
        <v>0</v>
      </c>
      <c r="I10" s="2">
        <v>0</v>
      </c>
      <c r="J10" s="11"/>
      <c r="X10" s="5">
        <f t="shared" si="1"/>
        <v>46203</v>
      </c>
      <c r="Y10" s="2">
        <f t="shared" si="2"/>
        <v>0.16</v>
      </c>
    </row>
    <row r="11" spans="1:26" x14ac:dyDescent="0.25">
      <c r="A11" s="4" t="s">
        <v>10</v>
      </c>
      <c r="B11" s="5">
        <v>46272</v>
      </c>
      <c r="D11" s="12">
        <v>46234</v>
      </c>
      <c r="E11" s="12">
        <v>46234</v>
      </c>
      <c r="F11" s="19">
        <f t="shared" si="0"/>
        <v>0</v>
      </c>
      <c r="G11" s="2">
        <v>0</v>
      </c>
      <c r="H11" s="2">
        <v>0.17</v>
      </c>
      <c r="I11" s="2">
        <v>0</v>
      </c>
      <c r="J11" s="11"/>
      <c r="X11" s="5">
        <f t="shared" si="1"/>
        <v>46226</v>
      </c>
      <c r="Y11" s="2">
        <f t="shared" si="2"/>
        <v>16.45</v>
      </c>
    </row>
    <row r="12" spans="1:26" x14ac:dyDescent="0.25">
      <c r="A12" s="4" t="s">
        <v>71</v>
      </c>
      <c r="B12" s="19" t="str">
        <f ca="1">IF(B16&lt;&gt;K3,(TODAY()-B11)*-1,"")</f>
        <v/>
      </c>
      <c r="D12" s="12">
        <v>46265</v>
      </c>
      <c r="E12" s="12">
        <v>46265</v>
      </c>
      <c r="F12" s="19">
        <f t="shared" si="0"/>
        <v>0</v>
      </c>
      <c r="G12" s="2">
        <v>0</v>
      </c>
      <c r="H12" s="1">
        <v>0.06</v>
      </c>
      <c r="I12" s="2">
        <v>0</v>
      </c>
      <c r="J12" s="11"/>
      <c r="X12" s="5">
        <f t="shared" si="1"/>
        <v>46234</v>
      </c>
      <c r="Y12" s="2">
        <f t="shared" si="2"/>
        <v>0.17</v>
      </c>
    </row>
    <row r="13" spans="1:26" x14ac:dyDescent="0.25">
      <c r="A13" s="4"/>
      <c r="B13" s="2"/>
      <c r="D13" s="12"/>
      <c r="E13" s="12"/>
      <c r="F13" s="19" t="str">
        <f t="shared" si="0"/>
        <v/>
      </c>
      <c r="G13" s="1"/>
      <c r="H13" s="2"/>
      <c r="I13" s="2"/>
      <c r="J13" s="11"/>
      <c r="N13" s="14"/>
      <c r="X13" s="5">
        <f t="shared" si="1"/>
        <v>46265</v>
      </c>
      <c r="Y13" s="2">
        <f t="shared" si="2"/>
        <v>0.06</v>
      </c>
    </row>
    <row r="14" spans="1:26" x14ac:dyDescent="0.25">
      <c r="A14" s="13"/>
      <c r="B14" s="20"/>
      <c r="D14" s="12"/>
      <c r="E14" s="5"/>
      <c r="F14" s="19" t="str">
        <f t="shared" si="0"/>
        <v/>
      </c>
      <c r="G14" s="1"/>
      <c r="H14" s="1"/>
      <c r="I14" s="1"/>
      <c r="J14" s="11"/>
      <c r="X14" s="5">
        <f t="shared" si="1"/>
        <v>0</v>
      </c>
      <c r="Y14" s="2">
        <f t="shared" si="2"/>
        <v>0</v>
      </c>
    </row>
    <row r="15" spans="1:26" x14ac:dyDescent="0.25">
      <c r="A15" s="4" t="s">
        <v>1</v>
      </c>
      <c r="B15" s="6">
        <v>0.12</v>
      </c>
      <c r="D15" s="12"/>
      <c r="E15" s="5"/>
      <c r="F15" s="19" t="str">
        <f t="shared" si="0"/>
        <v/>
      </c>
      <c r="G15" s="1"/>
      <c r="H15" s="1"/>
      <c r="I15" s="1"/>
      <c r="J15" s="11"/>
      <c r="K15" s="18"/>
      <c r="L15" s="18"/>
      <c r="M15" s="18"/>
      <c r="N15" s="18"/>
      <c r="O15" s="18"/>
      <c r="P15" s="18"/>
      <c r="Q15" s="18"/>
      <c r="X15" s="5">
        <f t="shared" si="1"/>
        <v>0</v>
      </c>
      <c r="Y15" s="2">
        <f t="shared" si="2"/>
        <v>0</v>
      </c>
    </row>
    <row r="16" spans="1:26" x14ac:dyDescent="0.25">
      <c r="A16" s="4" t="s">
        <v>72</v>
      </c>
      <c r="B16" s="2">
        <v>16.45</v>
      </c>
      <c r="D16" s="12"/>
      <c r="E16" s="5"/>
      <c r="F16" s="19" t="str">
        <f t="shared" si="0"/>
        <v/>
      </c>
      <c r="G16" s="1"/>
      <c r="H16" s="1"/>
      <c r="I16" s="1"/>
      <c r="J16" s="11"/>
      <c r="K16" s="9"/>
      <c r="L16" s="9"/>
      <c r="M16" s="9"/>
      <c r="N16" s="21"/>
      <c r="O16" s="22"/>
      <c r="P16" s="11"/>
      <c r="Q16" s="11"/>
      <c r="X16" s="5">
        <f t="shared" si="1"/>
        <v>0</v>
      </c>
      <c r="Y16" s="2">
        <f t="shared" si="2"/>
        <v>0</v>
      </c>
    </row>
    <row r="17" spans="2:25" x14ac:dyDescent="0.25">
      <c r="D17" s="12"/>
      <c r="E17" s="5"/>
      <c r="F17" s="19" t="str">
        <f t="shared" si="0"/>
        <v/>
      </c>
      <c r="G17" s="1"/>
      <c r="H17" s="1"/>
      <c r="I17" s="1"/>
      <c r="J17" s="11"/>
      <c r="X17" s="5">
        <f t="shared" si="1"/>
        <v>0</v>
      </c>
      <c r="Y17" s="2">
        <f t="shared" si="2"/>
        <v>0</v>
      </c>
    </row>
    <row r="18" spans="2:25" x14ac:dyDescent="0.25">
      <c r="D18" s="12"/>
      <c r="E18" s="5"/>
      <c r="F18" s="19" t="str">
        <f t="shared" si="0"/>
        <v/>
      </c>
      <c r="G18" s="1"/>
      <c r="H18" s="1"/>
      <c r="I18" s="1"/>
      <c r="J18" s="11"/>
      <c r="X18" s="5">
        <f t="shared" si="1"/>
        <v>0</v>
      </c>
      <c r="Y18" s="2">
        <f t="shared" si="2"/>
        <v>0</v>
      </c>
    </row>
    <row r="19" spans="2:25" x14ac:dyDescent="0.25">
      <c r="D19" s="12"/>
      <c r="E19" s="5"/>
      <c r="F19" s="19" t="str">
        <f t="shared" si="0"/>
        <v/>
      </c>
      <c r="G19" s="1"/>
      <c r="H19" s="1"/>
      <c r="I19" s="1"/>
      <c r="J19" s="11"/>
      <c r="X19" s="5">
        <f t="shared" si="1"/>
        <v>0</v>
      </c>
      <c r="Y19" s="2">
        <f t="shared" si="2"/>
        <v>0</v>
      </c>
    </row>
    <row r="20" spans="2:25" x14ac:dyDescent="0.25">
      <c r="D20" s="12"/>
      <c r="E20" s="5"/>
      <c r="F20" s="19" t="str">
        <f t="shared" si="0"/>
        <v/>
      </c>
      <c r="G20" s="1"/>
      <c r="H20" s="1"/>
      <c r="I20" s="1"/>
      <c r="J20" s="11"/>
      <c r="X20" s="5">
        <f t="shared" si="1"/>
        <v>0</v>
      </c>
      <c r="Y20" s="2">
        <f t="shared" si="2"/>
        <v>0</v>
      </c>
    </row>
    <row r="21" spans="2:25" x14ac:dyDescent="0.25">
      <c r="D21" s="12"/>
      <c r="E21" s="5"/>
      <c r="F21" s="19" t="str">
        <f t="shared" si="0"/>
        <v/>
      </c>
      <c r="G21" s="1"/>
      <c r="H21" s="1"/>
      <c r="I21" s="1"/>
      <c r="J21" s="11"/>
      <c r="X21" s="5">
        <f t="shared" si="1"/>
        <v>0</v>
      </c>
      <c r="Y21" s="2">
        <f t="shared" si="2"/>
        <v>0</v>
      </c>
    </row>
    <row r="22" spans="2:25" x14ac:dyDescent="0.25">
      <c r="D22" s="12"/>
      <c r="E22" s="5"/>
      <c r="F22" s="19" t="str">
        <f t="shared" si="0"/>
        <v/>
      </c>
      <c r="G22" s="1"/>
      <c r="H22" s="1"/>
      <c r="I22" s="1"/>
      <c r="J22" s="11"/>
      <c r="X22" s="5">
        <f t="shared" si="1"/>
        <v>0</v>
      </c>
      <c r="Y22" s="2">
        <f t="shared" si="2"/>
        <v>0</v>
      </c>
    </row>
    <row r="23" spans="2:25" x14ac:dyDescent="0.25">
      <c r="B23" s="22"/>
      <c r="D23" s="12"/>
      <c r="E23" s="5"/>
      <c r="F23" s="19" t="str">
        <f t="shared" si="0"/>
        <v/>
      </c>
      <c r="G23" s="1"/>
      <c r="H23" s="1"/>
      <c r="I23" s="1"/>
      <c r="J23" s="11"/>
      <c r="X23" s="5">
        <f t="shared" si="1"/>
        <v>0</v>
      </c>
      <c r="Y23" s="2">
        <f t="shared" si="2"/>
        <v>0</v>
      </c>
    </row>
    <row r="24" spans="2:25" x14ac:dyDescent="0.25">
      <c r="D24" s="12"/>
      <c r="E24" s="5"/>
      <c r="F24" s="19" t="str">
        <f t="shared" si="0"/>
        <v/>
      </c>
      <c r="G24" s="1"/>
      <c r="H24" s="1"/>
      <c r="I24" s="1"/>
      <c r="J24" s="11"/>
      <c r="X24" s="5">
        <f t="shared" si="1"/>
        <v>0</v>
      </c>
      <c r="Y24" s="2">
        <f t="shared" si="2"/>
        <v>0</v>
      </c>
    </row>
    <row r="25" spans="2:25" x14ac:dyDescent="0.25">
      <c r="D25" s="12"/>
      <c r="E25" s="5"/>
      <c r="F25" s="19" t="str">
        <f t="shared" si="0"/>
        <v/>
      </c>
      <c r="G25" s="1"/>
      <c r="H25" s="1"/>
      <c r="I25" s="1"/>
      <c r="J25" s="11"/>
      <c r="X25" s="5">
        <f t="shared" si="1"/>
        <v>0</v>
      </c>
      <c r="Y25" s="2">
        <f t="shared" si="2"/>
        <v>0</v>
      </c>
    </row>
    <row r="26" spans="2:25" x14ac:dyDescent="0.25">
      <c r="D26" s="12"/>
      <c r="E26" s="5"/>
      <c r="F26" s="19" t="str">
        <f t="shared" si="0"/>
        <v/>
      </c>
      <c r="G26" s="1"/>
      <c r="H26" s="1"/>
      <c r="I26" s="1"/>
      <c r="J26" s="11"/>
      <c r="X26" s="5">
        <f t="shared" si="1"/>
        <v>0</v>
      </c>
      <c r="Y26" s="2">
        <f t="shared" si="2"/>
        <v>0</v>
      </c>
    </row>
    <row r="27" spans="2:25" x14ac:dyDescent="0.25">
      <c r="D27" s="12"/>
      <c r="E27" s="5"/>
      <c r="F27" s="19" t="str">
        <f t="shared" si="0"/>
        <v/>
      </c>
      <c r="G27" s="1"/>
      <c r="H27" s="1"/>
      <c r="I27" s="1"/>
      <c r="J27" s="11"/>
      <c r="X27" s="5">
        <f t="shared" si="1"/>
        <v>0</v>
      </c>
      <c r="Y27" s="2">
        <f t="shared" si="2"/>
        <v>0</v>
      </c>
    </row>
    <row r="28" spans="2:25" x14ac:dyDescent="0.25">
      <c r="D28" s="12"/>
      <c r="E28" s="5"/>
      <c r="F28" s="19" t="str">
        <f t="shared" si="0"/>
        <v/>
      </c>
      <c r="G28" s="1"/>
      <c r="H28" s="1"/>
      <c r="I28" s="1"/>
      <c r="J28" s="11"/>
      <c r="X28" s="5">
        <f t="shared" si="1"/>
        <v>0</v>
      </c>
      <c r="Y28" s="2">
        <f t="shared" si="2"/>
        <v>0</v>
      </c>
    </row>
    <row r="29" spans="2:25" x14ac:dyDescent="0.25">
      <c r="D29" s="12"/>
      <c r="E29" s="5"/>
      <c r="F29" s="19" t="str">
        <f t="shared" si="0"/>
        <v/>
      </c>
      <c r="G29" s="1"/>
      <c r="H29" s="1"/>
      <c r="I29" s="1"/>
      <c r="J29" s="11"/>
      <c r="X29" s="5">
        <f t="shared" si="1"/>
        <v>0</v>
      </c>
      <c r="Y29" s="2">
        <f t="shared" si="2"/>
        <v>0</v>
      </c>
    </row>
    <row r="30" spans="2:25" x14ac:dyDescent="0.25">
      <c r="D30" s="12"/>
      <c r="E30" s="5"/>
      <c r="F30" s="19" t="str">
        <f t="shared" si="0"/>
        <v/>
      </c>
      <c r="G30" s="1"/>
      <c r="H30" s="1"/>
      <c r="I30" s="1"/>
      <c r="J30" s="11"/>
      <c r="X30" s="5">
        <f t="shared" si="1"/>
        <v>0</v>
      </c>
      <c r="Y30" s="2">
        <f t="shared" si="2"/>
        <v>0</v>
      </c>
    </row>
    <row r="31" spans="2:25" x14ac:dyDescent="0.25">
      <c r="D31" s="12"/>
      <c r="E31" s="5"/>
      <c r="F31" s="19" t="str">
        <f t="shared" si="0"/>
        <v/>
      </c>
      <c r="G31" s="1"/>
      <c r="H31" s="1"/>
      <c r="I31" s="1"/>
      <c r="J31" s="11"/>
      <c r="X31" s="5">
        <f t="shared" si="1"/>
        <v>0</v>
      </c>
      <c r="Y31" s="2">
        <f t="shared" si="2"/>
        <v>0</v>
      </c>
    </row>
    <row r="32" spans="2:25" x14ac:dyDescent="0.25">
      <c r="D32" s="12"/>
      <c r="E32" s="5"/>
      <c r="F32" s="19" t="str">
        <f t="shared" si="0"/>
        <v/>
      </c>
      <c r="G32" s="1"/>
      <c r="H32" s="1"/>
      <c r="I32" s="1"/>
      <c r="J32" s="11"/>
      <c r="X32" s="5">
        <f t="shared" si="1"/>
        <v>0</v>
      </c>
      <c r="Y32" s="2">
        <f t="shared" si="2"/>
        <v>0</v>
      </c>
    </row>
    <row r="33" spans="4:25" x14ac:dyDescent="0.25">
      <c r="D33" s="12"/>
      <c r="E33" s="5"/>
      <c r="F33" s="19" t="str">
        <f t="shared" si="0"/>
        <v/>
      </c>
      <c r="G33" s="1"/>
      <c r="H33" s="1"/>
      <c r="I33" s="1"/>
      <c r="J33" s="11"/>
      <c r="X33" s="5">
        <f t="shared" si="1"/>
        <v>0</v>
      </c>
      <c r="Y33" s="2">
        <f t="shared" si="2"/>
        <v>0</v>
      </c>
    </row>
    <row r="34" spans="4:25" x14ac:dyDescent="0.25">
      <c r="D34" s="12"/>
      <c r="E34" s="5"/>
      <c r="F34" s="19" t="str">
        <f t="shared" si="0"/>
        <v/>
      </c>
      <c r="G34" s="1"/>
      <c r="H34" s="1"/>
      <c r="I34" s="1"/>
      <c r="J34" s="11"/>
      <c r="X34" s="5">
        <f t="shared" si="1"/>
        <v>0</v>
      </c>
      <c r="Y34" s="2">
        <f t="shared" si="2"/>
        <v>0</v>
      </c>
    </row>
    <row r="35" spans="4:25" x14ac:dyDescent="0.25">
      <c r="D35" s="12"/>
      <c r="E35" s="5"/>
      <c r="F35" s="19" t="str">
        <f t="shared" si="0"/>
        <v/>
      </c>
      <c r="G35" s="1"/>
      <c r="H35" s="1"/>
      <c r="I35" s="1"/>
      <c r="J35" s="11"/>
      <c r="X35" s="5">
        <f t="shared" si="1"/>
        <v>0</v>
      </c>
      <c r="Y35" s="2">
        <f t="shared" si="2"/>
        <v>0</v>
      </c>
    </row>
    <row r="36" spans="4:25" x14ac:dyDescent="0.25">
      <c r="D36" s="12"/>
      <c r="E36" s="5"/>
      <c r="F36" s="19" t="str">
        <f t="shared" si="0"/>
        <v/>
      </c>
      <c r="G36" s="1"/>
      <c r="H36" s="1"/>
      <c r="I36" s="1"/>
      <c r="J36" s="11"/>
      <c r="X36" s="5">
        <f t="shared" si="1"/>
        <v>0</v>
      </c>
      <c r="Y36" s="2">
        <f t="shared" si="2"/>
        <v>0</v>
      </c>
    </row>
    <row r="37" spans="4:25" x14ac:dyDescent="0.25">
      <c r="D37" s="12"/>
      <c r="E37" s="5"/>
      <c r="F37" s="19" t="str">
        <f t="shared" si="0"/>
        <v/>
      </c>
      <c r="G37" s="1"/>
      <c r="H37" s="1"/>
      <c r="I37" s="1"/>
      <c r="J37" s="11"/>
      <c r="X37" s="5">
        <f t="shared" si="1"/>
        <v>0</v>
      </c>
      <c r="Y37" s="2">
        <f t="shared" si="2"/>
        <v>0</v>
      </c>
    </row>
    <row r="38" spans="4:25" x14ac:dyDescent="0.25">
      <c r="D38" s="12"/>
      <c r="E38" s="5"/>
      <c r="F38" s="19" t="str">
        <f t="shared" si="0"/>
        <v/>
      </c>
      <c r="G38" s="1"/>
      <c r="H38" s="1"/>
      <c r="I38" s="1"/>
      <c r="J38" s="11"/>
      <c r="X38" s="5">
        <f t="shared" si="1"/>
        <v>0</v>
      </c>
      <c r="Y38" s="2">
        <f t="shared" si="2"/>
        <v>0</v>
      </c>
    </row>
    <row r="39" spans="4:25" x14ac:dyDescent="0.25">
      <c r="D39" s="12"/>
      <c r="E39" s="5"/>
      <c r="F39" s="19" t="str">
        <f t="shared" si="0"/>
        <v/>
      </c>
      <c r="G39" s="1"/>
      <c r="H39" s="1"/>
      <c r="I39" s="1"/>
      <c r="J39" s="11"/>
      <c r="X39" s="5">
        <f t="shared" si="1"/>
        <v>0</v>
      </c>
      <c r="Y39" s="2">
        <f t="shared" si="2"/>
        <v>0</v>
      </c>
    </row>
    <row r="40" spans="4:25" x14ac:dyDescent="0.25">
      <c r="D40" s="12"/>
      <c r="E40" s="5"/>
      <c r="F40" s="19" t="str">
        <f t="shared" si="0"/>
        <v/>
      </c>
      <c r="G40" s="1"/>
      <c r="H40" s="1"/>
      <c r="I40" s="1"/>
      <c r="J40" s="11"/>
      <c r="X40" s="5">
        <f t="shared" si="1"/>
        <v>0</v>
      </c>
      <c r="Y40" s="2">
        <f t="shared" si="2"/>
        <v>0</v>
      </c>
    </row>
    <row r="41" spans="4:25" x14ac:dyDescent="0.25">
      <c r="D41" s="12"/>
      <c r="E41" s="5"/>
      <c r="F41" s="19" t="str">
        <f t="shared" si="0"/>
        <v/>
      </c>
      <c r="G41" s="1"/>
      <c r="H41" s="1"/>
      <c r="I41" s="1"/>
      <c r="J41" s="11"/>
      <c r="X41" s="5">
        <f t="shared" si="1"/>
        <v>0</v>
      </c>
      <c r="Y41" s="2">
        <f t="shared" si="2"/>
        <v>0</v>
      </c>
    </row>
    <row r="42" spans="4:25" x14ac:dyDescent="0.25">
      <c r="D42" s="12"/>
      <c r="E42" s="5"/>
      <c r="F42" s="19" t="str">
        <f t="shared" si="0"/>
        <v/>
      </c>
      <c r="G42" s="1"/>
      <c r="H42" s="1"/>
      <c r="I42" s="1"/>
      <c r="J42" s="11"/>
      <c r="X42" s="5">
        <f t="shared" si="1"/>
        <v>0</v>
      </c>
      <c r="Y42" s="2">
        <f t="shared" si="2"/>
        <v>0</v>
      </c>
    </row>
    <row r="43" spans="4:25" x14ac:dyDescent="0.25">
      <c r="D43" s="12"/>
      <c r="E43" s="5"/>
      <c r="F43" s="19" t="str">
        <f t="shared" si="0"/>
        <v/>
      </c>
      <c r="G43" s="1"/>
      <c r="H43" s="1"/>
      <c r="I43" s="1"/>
      <c r="J43" s="11"/>
      <c r="X43" s="5">
        <f t="shared" si="1"/>
        <v>0</v>
      </c>
      <c r="Y43" s="2">
        <f t="shared" si="2"/>
        <v>0</v>
      </c>
    </row>
    <row r="44" spans="4:25" x14ac:dyDescent="0.25">
      <c r="D44" s="12"/>
      <c r="E44" s="5"/>
      <c r="F44" s="19" t="str">
        <f t="shared" si="0"/>
        <v/>
      </c>
      <c r="G44" s="1"/>
      <c r="H44" s="1"/>
      <c r="I44" s="1"/>
      <c r="J44" s="11"/>
      <c r="X44" s="5">
        <f t="shared" si="1"/>
        <v>0</v>
      </c>
      <c r="Y44" s="2">
        <f t="shared" si="2"/>
        <v>0</v>
      </c>
    </row>
    <row r="45" spans="4:25" x14ac:dyDescent="0.25">
      <c r="D45" s="12"/>
      <c r="E45" s="5"/>
      <c r="F45" s="19" t="str">
        <f t="shared" si="0"/>
        <v/>
      </c>
      <c r="G45" s="1"/>
      <c r="H45" s="1"/>
      <c r="I45" s="1"/>
      <c r="J45" s="11"/>
      <c r="X45" s="5">
        <f t="shared" si="1"/>
        <v>0</v>
      </c>
      <c r="Y45" s="2">
        <f t="shared" si="2"/>
        <v>0</v>
      </c>
    </row>
    <row r="46" spans="4:25" x14ac:dyDescent="0.25">
      <c r="D46" s="12"/>
      <c r="E46" s="5"/>
      <c r="F46" s="19" t="str">
        <f t="shared" si="0"/>
        <v/>
      </c>
      <c r="G46" s="1"/>
      <c r="H46" s="1"/>
      <c r="I46" s="1"/>
      <c r="J46" s="11"/>
      <c r="X46" s="5">
        <f t="shared" si="1"/>
        <v>0</v>
      </c>
      <c r="Y46" s="2">
        <f t="shared" si="2"/>
        <v>0</v>
      </c>
    </row>
    <row r="47" spans="4:25" x14ac:dyDescent="0.25">
      <c r="D47" s="12"/>
      <c r="E47" s="5"/>
      <c r="F47" s="19" t="str">
        <f t="shared" si="0"/>
        <v/>
      </c>
      <c r="G47" s="1"/>
      <c r="H47" s="1"/>
      <c r="I47" s="1"/>
      <c r="J47" s="11"/>
      <c r="X47" s="5">
        <f t="shared" si="1"/>
        <v>0</v>
      </c>
      <c r="Y47" s="2">
        <f t="shared" si="2"/>
        <v>0</v>
      </c>
    </row>
    <row r="48" spans="4:25" x14ac:dyDescent="0.25">
      <c r="D48" s="12"/>
      <c r="E48" s="5"/>
      <c r="F48" s="19" t="str">
        <f t="shared" si="0"/>
        <v/>
      </c>
      <c r="G48" s="1"/>
      <c r="H48" s="1"/>
      <c r="I48" s="1"/>
      <c r="J48" s="11"/>
      <c r="X48" s="5">
        <f t="shared" si="1"/>
        <v>0</v>
      </c>
      <c r="Y48" s="2">
        <f t="shared" si="2"/>
        <v>0</v>
      </c>
    </row>
    <row r="49" spans="4:25" x14ac:dyDescent="0.25">
      <c r="D49" s="12"/>
      <c r="E49" s="5"/>
      <c r="F49" s="19" t="str">
        <f t="shared" si="0"/>
        <v/>
      </c>
      <c r="G49" s="1"/>
      <c r="H49" s="1"/>
      <c r="I49" s="1"/>
      <c r="J49" s="11"/>
      <c r="X49" s="5">
        <f t="shared" si="1"/>
        <v>0</v>
      </c>
      <c r="Y49" s="2">
        <f t="shared" si="2"/>
        <v>0</v>
      </c>
    </row>
    <row r="50" spans="4:25" x14ac:dyDescent="0.25">
      <c r="D50" s="12"/>
      <c r="E50" s="5"/>
      <c r="F50" s="19" t="str">
        <f t="shared" si="0"/>
        <v/>
      </c>
      <c r="G50" s="1"/>
      <c r="H50" s="1"/>
      <c r="I50" s="1"/>
      <c r="J50" s="11"/>
      <c r="X50" s="5">
        <f t="shared" si="1"/>
        <v>0</v>
      </c>
      <c r="Y50" s="2">
        <f t="shared" si="2"/>
        <v>0</v>
      </c>
    </row>
    <row r="51" spans="4:25" x14ac:dyDescent="0.25">
      <c r="D51" s="12"/>
      <c r="E51" s="5"/>
      <c r="F51" s="19" t="str">
        <f t="shared" si="0"/>
        <v/>
      </c>
      <c r="G51" s="1"/>
      <c r="H51" s="1"/>
      <c r="I51" s="1"/>
      <c r="J51" s="11"/>
      <c r="X51" s="5">
        <f t="shared" si="1"/>
        <v>0</v>
      </c>
      <c r="Y51" s="2">
        <f t="shared" si="2"/>
        <v>0</v>
      </c>
    </row>
    <row r="52" spans="4:25" x14ac:dyDescent="0.25">
      <c r="D52" s="12"/>
      <c r="E52" s="5"/>
      <c r="F52" s="19" t="str">
        <f t="shared" si="0"/>
        <v/>
      </c>
      <c r="G52" s="1"/>
      <c r="H52" s="1"/>
      <c r="I52" s="1"/>
      <c r="J52" s="9"/>
      <c r="X52" s="5">
        <f t="shared" si="1"/>
        <v>0</v>
      </c>
      <c r="Y52" s="2">
        <f t="shared" si="2"/>
        <v>0</v>
      </c>
    </row>
    <row r="53" spans="4:25" x14ac:dyDescent="0.25">
      <c r="D53" s="1" t="s">
        <v>25</v>
      </c>
      <c r="E53" s="23"/>
      <c r="F53" s="2"/>
      <c r="G53" s="2">
        <f>SUM(G3:G52)</f>
        <v>16.45</v>
      </c>
      <c r="H53" s="2">
        <f t="shared" ref="H53:I53" si="3">SUM(H3:H52)</f>
        <v>1.2100000000000002</v>
      </c>
      <c r="I53" s="2">
        <f t="shared" si="3"/>
        <v>0.04</v>
      </c>
    </row>
  </sheetData>
  <mergeCells count="4">
    <mergeCell ref="D1:F1"/>
    <mergeCell ref="G1:I1"/>
    <mergeCell ref="K1:Q1"/>
    <mergeCell ref="X1:Z1"/>
  </mergeCells>
  <conditionalFormatting sqref="A1:B1">
    <cfRule type="expression" dxfId="55" priority="1">
      <formula>$Z$3="+"</formula>
    </cfRule>
    <cfRule type="expression" dxfId="54" priority="2">
      <formula>$B$16=$K$3</formula>
    </cfRule>
  </conditionalFormatting>
  <conditionalFormatting sqref="P3">
    <cfRule type="expression" dxfId="53" priority="6">
      <formula>$Z$3="+"</formula>
    </cfRule>
  </conditionalFormatting>
  <conditionalFormatting sqref="Z3">
    <cfRule type="expression" dxfId="52" priority="7">
      <formula>$Z$3="+"</formula>
    </cfRule>
  </conditionalFormatting>
  <dataValidations count="1">
    <dataValidation type="list" allowBlank="1" showInputMessage="1" showErrorMessage="1" sqref="B2" xr:uid="{A6C9D6D2-314E-4512-B2BB-15165E156DF0}">
      <formula1>"Romania,Moldova,Cyprus,Philippines"</formula1>
    </dataValidation>
  </dataValidations>
  <pageMargins left="0.7" right="0.7" top="0.75" bottom="0.75" header="0.3" footer="0.3"/>
  <pageSetup orientation="portrait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2F50C-82EB-4210-879C-FC3B8BF2F59C}">
  <sheetPr>
    <tabColor rgb="FF92D050"/>
  </sheetPr>
  <dimension ref="A1:Z53"/>
  <sheetViews>
    <sheetView workbookViewId="0">
      <selection activeCell="G19" sqref="G19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1" customWidth="1"/>
    <col min="25" max="25" width="10.7109375" style="11" customWidth="1"/>
    <col min="26" max="26" width="10.7109375" customWidth="1"/>
  </cols>
  <sheetData>
    <row r="1" spans="1:26" x14ac:dyDescent="0.25">
      <c r="A1" s="4" t="s">
        <v>66</v>
      </c>
      <c r="B1" s="5" t="s">
        <v>37</v>
      </c>
      <c r="D1" s="29" t="s">
        <v>2</v>
      </c>
      <c r="E1" s="30"/>
      <c r="F1" s="31"/>
      <c r="G1" s="29" t="s">
        <v>0</v>
      </c>
      <c r="H1" s="30"/>
      <c r="I1" s="31"/>
      <c r="J1" s="18"/>
      <c r="K1" s="29" t="s">
        <v>58</v>
      </c>
      <c r="L1" s="30"/>
      <c r="M1" s="30"/>
      <c r="N1" s="30"/>
      <c r="O1" s="30"/>
      <c r="P1" s="30"/>
      <c r="Q1" s="31"/>
      <c r="X1" s="29"/>
      <c r="Y1" s="30"/>
      <c r="Z1" s="31"/>
    </row>
    <row r="2" spans="1:26" x14ac:dyDescent="0.25">
      <c r="A2" s="4" t="s">
        <v>21</v>
      </c>
      <c r="B2" s="5" t="s">
        <v>23</v>
      </c>
      <c r="D2" s="10" t="s">
        <v>49</v>
      </c>
      <c r="E2" s="10" t="s">
        <v>50</v>
      </c>
      <c r="F2" s="17" t="s">
        <v>67</v>
      </c>
      <c r="G2" s="10" t="s">
        <v>15</v>
      </c>
      <c r="H2" s="10" t="s">
        <v>16</v>
      </c>
      <c r="I2" s="10" t="s">
        <v>60</v>
      </c>
      <c r="J2" s="9"/>
      <c r="K2" s="10" t="s">
        <v>0</v>
      </c>
      <c r="L2" s="10" t="s">
        <v>1</v>
      </c>
      <c r="M2" s="10" t="s">
        <v>56</v>
      </c>
      <c r="N2" s="10" t="s">
        <v>57</v>
      </c>
      <c r="O2" s="10" t="s">
        <v>2</v>
      </c>
      <c r="P2" s="10" t="s">
        <v>68</v>
      </c>
      <c r="Q2" s="10" t="s">
        <v>67</v>
      </c>
      <c r="X2" s="10" t="s">
        <v>2</v>
      </c>
      <c r="Y2" s="10" t="s">
        <v>59</v>
      </c>
      <c r="Z2" s="10" t="s">
        <v>68</v>
      </c>
    </row>
    <row r="3" spans="1:26" x14ac:dyDescent="0.25">
      <c r="A3" s="4" t="s">
        <v>69</v>
      </c>
      <c r="B3" s="5" t="s">
        <v>78</v>
      </c>
      <c r="D3" s="12">
        <v>46022</v>
      </c>
      <c r="E3" s="12">
        <v>46022</v>
      </c>
      <c r="F3" s="19">
        <f t="shared" ref="F3:F52" si="0">IF(E3&gt;0,E3-D3,"")</f>
        <v>0</v>
      </c>
      <c r="G3" s="2">
        <v>0</v>
      </c>
      <c r="H3" s="1">
        <v>0.13</v>
      </c>
      <c r="I3" s="2">
        <v>0.01</v>
      </c>
      <c r="J3" s="11"/>
      <c r="K3" s="2">
        <f>G53</f>
        <v>14.43</v>
      </c>
      <c r="L3" s="2">
        <f>H53</f>
        <v>1.26</v>
      </c>
      <c r="M3" s="2">
        <f>I53</f>
        <v>0.05</v>
      </c>
      <c r="N3" s="6">
        <f>IF(B16=K3,XIRR(Y3:Y52,X3:X52),"")</f>
        <v>0.12160450816154481</v>
      </c>
      <c r="O3" s="5">
        <f>IF(B16=K3,MAX(E:E),"")</f>
        <v>46295</v>
      </c>
      <c r="P3" s="1" t="str">
        <f ca="1">IF(Z3="+",TODAY()-B11,"")</f>
        <v/>
      </c>
      <c r="Q3" s="1">
        <f>IF(B16=K3,MAX(E:E)-B11,"")</f>
        <v>38</v>
      </c>
      <c r="T3" s="14"/>
      <c r="X3" s="5">
        <f>B9</f>
        <v>45996</v>
      </c>
      <c r="Y3" s="2">
        <f>B16*-1</f>
        <v>-14.43</v>
      </c>
      <c r="Z3" s="1" t="str">
        <f ca="1">IF(AND(TODAY()&gt;B11, K3&lt;&gt;B16), "+", "")</f>
        <v/>
      </c>
    </row>
    <row r="4" spans="1:26" x14ac:dyDescent="0.25">
      <c r="A4" s="4" t="s">
        <v>19</v>
      </c>
      <c r="B4" s="5" t="s">
        <v>20</v>
      </c>
      <c r="D4" s="12">
        <v>46053</v>
      </c>
      <c r="E4" s="12">
        <v>46053</v>
      </c>
      <c r="F4" s="19">
        <f t="shared" si="0"/>
        <v>0</v>
      </c>
      <c r="G4" s="2">
        <v>0</v>
      </c>
      <c r="H4" s="1">
        <v>0.09</v>
      </c>
      <c r="I4" s="2">
        <v>0</v>
      </c>
      <c r="J4" s="9"/>
      <c r="X4" s="5">
        <f>E3</f>
        <v>46022</v>
      </c>
      <c r="Y4" s="2">
        <f>G3+H3-I3</f>
        <v>0.12000000000000001</v>
      </c>
    </row>
    <row r="5" spans="1:26" x14ac:dyDescent="0.25">
      <c r="A5" s="4"/>
      <c r="B5" s="5"/>
      <c r="D5" s="12">
        <v>46081</v>
      </c>
      <c r="E5" s="12">
        <v>46081</v>
      </c>
      <c r="F5" s="19">
        <f t="shared" si="0"/>
        <v>0</v>
      </c>
      <c r="G5" s="2">
        <v>0</v>
      </c>
      <c r="H5" s="2">
        <v>0.1</v>
      </c>
      <c r="I5" s="2">
        <v>0</v>
      </c>
      <c r="J5" s="9"/>
      <c r="X5" s="5">
        <f t="shared" ref="X5:X52" si="1">E4</f>
        <v>46053</v>
      </c>
      <c r="Y5" s="2">
        <f t="shared" ref="Y5:Y52" si="2">G4+H4-I4</f>
        <v>0.09</v>
      </c>
    </row>
    <row r="6" spans="1:26" x14ac:dyDescent="0.25">
      <c r="A6" s="4"/>
      <c r="B6" s="5"/>
      <c r="D6" s="12">
        <v>46112</v>
      </c>
      <c r="E6" s="12">
        <v>46112</v>
      </c>
      <c r="F6" s="19">
        <f t="shared" si="0"/>
        <v>0</v>
      </c>
      <c r="G6" s="2">
        <v>0</v>
      </c>
      <c r="H6" s="1">
        <v>0.13</v>
      </c>
      <c r="I6" s="2">
        <v>0.01</v>
      </c>
      <c r="J6" s="9"/>
      <c r="X6" s="5">
        <f t="shared" si="1"/>
        <v>46081</v>
      </c>
      <c r="Y6" s="2">
        <f t="shared" si="2"/>
        <v>0.1</v>
      </c>
    </row>
    <row r="7" spans="1:26" x14ac:dyDescent="0.25">
      <c r="A7" s="4"/>
      <c r="B7" s="5"/>
      <c r="D7" s="12">
        <v>46142</v>
      </c>
      <c r="E7" s="12">
        <v>46142</v>
      </c>
      <c r="F7" s="19">
        <f t="shared" si="0"/>
        <v>0</v>
      </c>
      <c r="G7" s="2">
        <v>0</v>
      </c>
      <c r="H7" s="1">
        <v>0.15</v>
      </c>
      <c r="I7" s="2">
        <v>0.01</v>
      </c>
      <c r="J7" s="11"/>
      <c r="X7" s="5">
        <f t="shared" si="1"/>
        <v>46112</v>
      </c>
      <c r="Y7" s="2">
        <f t="shared" si="2"/>
        <v>0.12000000000000001</v>
      </c>
    </row>
    <row r="8" spans="1:26" x14ac:dyDescent="0.25">
      <c r="A8" s="4" t="s">
        <v>24</v>
      </c>
      <c r="B8" s="5" t="str">
        <f>DATEDIF(B9,B11,"y") &amp; " m. " &amp; DATEDIF(B9,B11,"ym") &amp; " mėn. " &amp; DATEDIF(B9,B11,"md") &amp; " d."</f>
        <v>0 m. 8 mėn. 18 d.</v>
      </c>
      <c r="D8" s="12">
        <v>46173</v>
      </c>
      <c r="E8" s="12">
        <v>46173</v>
      </c>
      <c r="F8" s="19">
        <f t="shared" si="0"/>
        <v>0</v>
      </c>
      <c r="G8" s="2">
        <v>0</v>
      </c>
      <c r="H8" s="1">
        <v>0.15</v>
      </c>
      <c r="I8" s="2">
        <v>0.01</v>
      </c>
      <c r="J8" s="9"/>
      <c r="X8" s="5">
        <f t="shared" si="1"/>
        <v>46142</v>
      </c>
      <c r="Y8" s="2">
        <f t="shared" si="2"/>
        <v>0.13999999999999999</v>
      </c>
    </row>
    <row r="9" spans="1:26" x14ac:dyDescent="0.25">
      <c r="A9" s="4" t="s">
        <v>11</v>
      </c>
      <c r="B9" s="5">
        <v>45996</v>
      </c>
      <c r="D9" s="12">
        <v>46203</v>
      </c>
      <c r="E9" s="12">
        <v>46203</v>
      </c>
      <c r="F9" s="19">
        <f t="shared" si="0"/>
        <v>0</v>
      </c>
      <c r="G9" s="2">
        <v>0</v>
      </c>
      <c r="H9" s="2">
        <v>0.14000000000000001</v>
      </c>
      <c r="I9" s="2">
        <v>0.01</v>
      </c>
      <c r="J9" s="11"/>
      <c r="X9" s="5">
        <f t="shared" si="1"/>
        <v>46173</v>
      </c>
      <c r="Y9" s="2">
        <f t="shared" si="2"/>
        <v>0.13999999999999999</v>
      </c>
    </row>
    <row r="10" spans="1:26" x14ac:dyDescent="0.25">
      <c r="A10" s="4" t="s">
        <v>70</v>
      </c>
      <c r="B10" s="5">
        <v>45987</v>
      </c>
      <c r="D10" s="12">
        <v>46234</v>
      </c>
      <c r="E10" s="12">
        <v>46234</v>
      </c>
      <c r="F10" s="19">
        <f t="shared" si="0"/>
        <v>0</v>
      </c>
      <c r="G10" s="2">
        <v>0</v>
      </c>
      <c r="H10" s="1">
        <v>0.15</v>
      </c>
      <c r="I10" s="2">
        <v>0</v>
      </c>
      <c r="J10" s="11"/>
      <c r="X10" s="5">
        <f t="shared" si="1"/>
        <v>46203</v>
      </c>
      <c r="Y10" s="2">
        <f t="shared" si="2"/>
        <v>0.13</v>
      </c>
    </row>
    <row r="11" spans="1:26" x14ac:dyDescent="0.25">
      <c r="A11" s="4" t="s">
        <v>10</v>
      </c>
      <c r="B11" s="5">
        <v>46257</v>
      </c>
      <c r="D11" s="12">
        <v>46260</v>
      </c>
      <c r="E11" s="12">
        <v>46260</v>
      </c>
      <c r="F11" s="19">
        <f t="shared" si="0"/>
        <v>0</v>
      </c>
      <c r="G11" s="1">
        <v>14.43</v>
      </c>
      <c r="H11" s="2">
        <v>0.15</v>
      </c>
      <c r="I11" s="2">
        <v>0</v>
      </c>
      <c r="J11" s="11"/>
      <c r="X11" s="5">
        <f t="shared" si="1"/>
        <v>46234</v>
      </c>
      <c r="Y11" s="2">
        <f t="shared" si="2"/>
        <v>0.15</v>
      </c>
    </row>
    <row r="12" spans="1:26" x14ac:dyDescent="0.25">
      <c r="A12" s="4" t="s">
        <v>71</v>
      </c>
      <c r="B12" s="19" t="str">
        <f ca="1">IF(B16&lt;&gt;K3,(TODAY()-B11)*-1,"")</f>
        <v/>
      </c>
      <c r="D12" s="12">
        <v>46295</v>
      </c>
      <c r="E12" s="12">
        <v>46295</v>
      </c>
      <c r="F12" s="19">
        <f t="shared" si="0"/>
        <v>0</v>
      </c>
      <c r="G12" s="2">
        <v>0</v>
      </c>
      <c r="H12" s="1">
        <v>7.0000000000000007E-2</v>
      </c>
      <c r="I12" s="2">
        <v>0</v>
      </c>
      <c r="J12" s="11"/>
      <c r="X12" s="5">
        <f t="shared" si="1"/>
        <v>46260</v>
      </c>
      <c r="Y12" s="2">
        <f t="shared" si="2"/>
        <v>14.58</v>
      </c>
    </row>
    <row r="13" spans="1:26" x14ac:dyDescent="0.25">
      <c r="A13" s="4"/>
      <c r="B13" s="2"/>
      <c r="D13" s="12"/>
      <c r="E13" s="12"/>
      <c r="F13" s="19" t="str">
        <f t="shared" si="0"/>
        <v/>
      </c>
      <c r="G13" s="1"/>
      <c r="H13" s="2"/>
      <c r="I13" s="2"/>
      <c r="J13" s="11"/>
      <c r="N13" s="14"/>
      <c r="X13" s="5">
        <f t="shared" si="1"/>
        <v>46295</v>
      </c>
      <c r="Y13" s="2">
        <f t="shared" si="2"/>
        <v>7.0000000000000007E-2</v>
      </c>
    </row>
    <row r="14" spans="1:26" x14ac:dyDescent="0.25">
      <c r="A14" s="13"/>
      <c r="B14" s="20"/>
      <c r="D14" s="12"/>
      <c r="E14" s="5"/>
      <c r="F14" s="19" t="str">
        <f t="shared" si="0"/>
        <v/>
      </c>
      <c r="G14" s="1"/>
      <c r="H14" s="1"/>
      <c r="I14" s="1"/>
      <c r="J14" s="11"/>
      <c r="X14" s="5">
        <f t="shared" si="1"/>
        <v>0</v>
      </c>
      <c r="Y14" s="2">
        <f t="shared" si="2"/>
        <v>0</v>
      </c>
    </row>
    <row r="15" spans="1:26" x14ac:dyDescent="0.25">
      <c r="A15" s="4" t="s">
        <v>1</v>
      </c>
      <c r="B15" s="6">
        <v>0.12</v>
      </c>
      <c r="D15" s="12"/>
      <c r="E15" s="5"/>
      <c r="F15" s="19" t="str">
        <f t="shared" si="0"/>
        <v/>
      </c>
      <c r="G15" s="1"/>
      <c r="H15" s="1"/>
      <c r="I15" s="1"/>
      <c r="J15" s="11"/>
      <c r="K15" s="18"/>
      <c r="L15" s="18"/>
      <c r="M15" s="18"/>
      <c r="N15" s="18"/>
      <c r="O15" s="18"/>
      <c r="P15" s="18"/>
      <c r="Q15" s="18"/>
      <c r="X15" s="5">
        <f t="shared" si="1"/>
        <v>0</v>
      </c>
      <c r="Y15" s="2">
        <f t="shared" si="2"/>
        <v>0</v>
      </c>
    </row>
    <row r="16" spans="1:26" x14ac:dyDescent="0.25">
      <c r="A16" s="4" t="s">
        <v>72</v>
      </c>
      <c r="B16" s="2">
        <v>14.43</v>
      </c>
      <c r="D16" s="12"/>
      <c r="E16" s="5"/>
      <c r="F16" s="19" t="str">
        <f t="shared" si="0"/>
        <v/>
      </c>
      <c r="G16" s="1"/>
      <c r="H16" s="1"/>
      <c r="I16" s="1"/>
      <c r="J16" s="11"/>
      <c r="K16" s="9"/>
      <c r="L16" s="9"/>
      <c r="M16" s="9"/>
      <c r="N16" s="21"/>
      <c r="O16" s="22"/>
      <c r="P16" s="11"/>
      <c r="Q16" s="11"/>
      <c r="X16" s="5">
        <f t="shared" si="1"/>
        <v>0</v>
      </c>
      <c r="Y16" s="2">
        <f t="shared" si="2"/>
        <v>0</v>
      </c>
    </row>
    <row r="17" spans="2:25" x14ac:dyDescent="0.25">
      <c r="D17" s="12"/>
      <c r="E17" s="5"/>
      <c r="F17" s="19" t="str">
        <f t="shared" si="0"/>
        <v/>
      </c>
      <c r="G17" s="1"/>
      <c r="H17" s="1"/>
      <c r="I17" s="1"/>
      <c r="J17" s="11"/>
      <c r="X17" s="5">
        <f t="shared" si="1"/>
        <v>0</v>
      </c>
      <c r="Y17" s="2">
        <f t="shared" si="2"/>
        <v>0</v>
      </c>
    </row>
    <row r="18" spans="2:25" x14ac:dyDescent="0.25">
      <c r="D18" s="12"/>
      <c r="E18" s="5"/>
      <c r="F18" s="19" t="str">
        <f t="shared" si="0"/>
        <v/>
      </c>
      <c r="G18" s="1"/>
      <c r="H18" s="1"/>
      <c r="I18" s="1"/>
      <c r="J18" s="11"/>
      <c r="X18" s="5">
        <f t="shared" si="1"/>
        <v>0</v>
      </c>
      <c r="Y18" s="2">
        <f t="shared" si="2"/>
        <v>0</v>
      </c>
    </row>
    <row r="19" spans="2:25" x14ac:dyDescent="0.25">
      <c r="D19" s="12"/>
      <c r="E19" s="5"/>
      <c r="F19" s="19" t="str">
        <f t="shared" si="0"/>
        <v/>
      </c>
      <c r="G19" s="1"/>
      <c r="H19" s="1"/>
      <c r="I19" s="1"/>
      <c r="J19" s="11"/>
      <c r="X19" s="5">
        <f t="shared" si="1"/>
        <v>0</v>
      </c>
      <c r="Y19" s="2">
        <f t="shared" si="2"/>
        <v>0</v>
      </c>
    </row>
    <row r="20" spans="2:25" x14ac:dyDescent="0.25">
      <c r="D20" s="12"/>
      <c r="E20" s="5"/>
      <c r="F20" s="19" t="str">
        <f t="shared" si="0"/>
        <v/>
      </c>
      <c r="G20" s="1"/>
      <c r="H20" s="1"/>
      <c r="I20" s="1"/>
      <c r="J20" s="11"/>
      <c r="X20" s="5">
        <f t="shared" si="1"/>
        <v>0</v>
      </c>
      <c r="Y20" s="2">
        <f t="shared" si="2"/>
        <v>0</v>
      </c>
    </row>
    <row r="21" spans="2:25" x14ac:dyDescent="0.25">
      <c r="D21" s="12"/>
      <c r="E21" s="5"/>
      <c r="F21" s="19" t="str">
        <f t="shared" si="0"/>
        <v/>
      </c>
      <c r="G21" s="1"/>
      <c r="H21" s="1"/>
      <c r="I21" s="1"/>
      <c r="J21" s="11"/>
      <c r="X21" s="5">
        <f t="shared" si="1"/>
        <v>0</v>
      </c>
      <c r="Y21" s="2">
        <f t="shared" si="2"/>
        <v>0</v>
      </c>
    </row>
    <row r="22" spans="2:25" x14ac:dyDescent="0.25">
      <c r="D22" s="12"/>
      <c r="E22" s="5"/>
      <c r="F22" s="19" t="str">
        <f t="shared" si="0"/>
        <v/>
      </c>
      <c r="G22" s="1"/>
      <c r="H22" s="1"/>
      <c r="I22" s="1"/>
      <c r="J22" s="11"/>
      <c r="X22" s="5">
        <f t="shared" si="1"/>
        <v>0</v>
      </c>
      <c r="Y22" s="2">
        <f t="shared" si="2"/>
        <v>0</v>
      </c>
    </row>
    <row r="23" spans="2:25" x14ac:dyDescent="0.25">
      <c r="B23" s="22"/>
      <c r="D23" s="12"/>
      <c r="E23" s="5"/>
      <c r="F23" s="19" t="str">
        <f t="shared" si="0"/>
        <v/>
      </c>
      <c r="G23" s="1"/>
      <c r="H23" s="1"/>
      <c r="I23" s="1"/>
      <c r="J23" s="11"/>
      <c r="X23" s="5">
        <f t="shared" si="1"/>
        <v>0</v>
      </c>
      <c r="Y23" s="2">
        <f t="shared" si="2"/>
        <v>0</v>
      </c>
    </row>
    <row r="24" spans="2:25" x14ac:dyDescent="0.25">
      <c r="D24" s="12"/>
      <c r="E24" s="5"/>
      <c r="F24" s="19" t="str">
        <f t="shared" si="0"/>
        <v/>
      </c>
      <c r="G24" s="1"/>
      <c r="H24" s="1"/>
      <c r="I24" s="1"/>
      <c r="J24" s="11"/>
      <c r="X24" s="5">
        <f t="shared" si="1"/>
        <v>0</v>
      </c>
      <c r="Y24" s="2">
        <f t="shared" si="2"/>
        <v>0</v>
      </c>
    </row>
    <row r="25" spans="2:25" x14ac:dyDescent="0.25">
      <c r="D25" s="12"/>
      <c r="E25" s="5"/>
      <c r="F25" s="19" t="str">
        <f t="shared" si="0"/>
        <v/>
      </c>
      <c r="G25" s="1"/>
      <c r="H25" s="1"/>
      <c r="I25" s="1"/>
      <c r="J25" s="11"/>
      <c r="X25" s="5">
        <f t="shared" si="1"/>
        <v>0</v>
      </c>
      <c r="Y25" s="2">
        <f t="shared" si="2"/>
        <v>0</v>
      </c>
    </row>
    <row r="26" spans="2:25" x14ac:dyDescent="0.25">
      <c r="D26" s="12"/>
      <c r="E26" s="5"/>
      <c r="F26" s="19" t="str">
        <f t="shared" si="0"/>
        <v/>
      </c>
      <c r="G26" s="1"/>
      <c r="H26" s="1"/>
      <c r="I26" s="1"/>
      <c r="J26" s="11"/>
      <c r="X26" s="5">
        <f t="shared" si="1"/>
        <v>0</v>
      </c>
      <c r="Y26" s="2">
        <f t="shared" si="2"/>
        <v>0</v>
      </c>
    </row>
    <row r="27" spans="2:25" x14ac:dyDescent="0.25">
      <c r="D27" s="12"/>
      <c r="E27" s="5"/>
      <c r="F27" s="19" t="str">
        <f t="shared" si="0"/>
        <v/>
      </c>
      <c r="G27" s="1"/>
      <c r="H27" s="1"/>
      <c r="I27" s="1"/>
      <c r="J27" s="11"/>
      <c r="X27" s="5">
        <f t="shared" si="1"/>
        <v>0</v>
      </c>
      <c r="Y27" s="2">
        <f t="shared" si="2"/>
        <v>0</v>
      </c>
    </row>
    <row r="28" spans="2:25" x14ac:dyDescent="0.25">
      <c r="D28" s="12"/>
      <c r="E28" s="5"/>
      <c r="F28" s="19" t="str">
        <f t="shared" si="0"/>
        <v/>
      </c>
      <c r="G28" s="1"/>
      <c r="H28" s="1"/>
      <c r="I28" s="1"/>
      <c r="J28" s="11"/>
      <c r="X28" s="5">
        <f t="shared" si="1"/>
        <v>0</v>
      </c>
      <c r="Y28" s="2">
        <f t="shared" si="2"/>
        <v>0</v>
      </c>
    </row>
    <row r="29" spans="2:25" x14ac:dyDescent="0.25">
      <c r="D29" s="12"/>
      <c r="E29" s="5"/>
      <c r="F29" s="19" t="str">
        <f t="shared" si="0"/>
        <v/>
      </c>
      <c r="G29" s="1"/>
      <c r="H29" s="1"/>
      <c r="I29" s="1"/>
      <c r="J29" s="11"/>
      <c r="X29" s="5">
        <f t="shared" si="1"/>
        <v>0</v>
      </c>
      <c r="Y29" s="2">
        <f t="shared" si="2"/>
        <v>0</v>
      </c>
    </row>
    <row r="30" spans="2:25" x14ac:dyDescent="0.25">
      <c r="D30" s="12"/>
      <c r="E30" s="5"/>
      <c r="F30" s="19" t="str">
        <f t="shared" si="0"/>
        <v/>
      </c>
      <c r="G30" s="1"/>
      <c r="H30" s="1"/>
      <c r="I30" s="1"/>
      <c r="J30" s="11"/>
      <c r="X30" s="5">
        <f t="shared" si="1"/>
        <v>0</v>
      </c>
      <c r="Y30" s="2">
        <f t="shared" si="2"/>
        <v>0</v>
      </c>
    </row>
    <row r="31" spans="2:25" x14ac:dyDescent="0.25">
      <c r="D31" s="12"/>
      <c r="E31" s="5"/>
      <c r="F31" s="19" t="str">
        <f t="shared" si="0"/>
        <v/>
      </c>
      <c r="G31" s="1"/>
      <c r="H31" s="1"/>
      <c r="I31" s="1"/>
      <c r="J31" s="11"/>
      <c r="X31" s="5">
        <f t="shared" si="1"/>
        <v>0</v>
      </c>
      <c r="Y31" s="2">
        <f t="shared" si="2"/>
        <v>0</v>
      </c>
    </row>
    <row r="32" spans="2:25" x14ac:dyDescent="0.25">
      <c r="D32" s="12"/>
      <c r="E32" s="5"/>
      <c r="F32" s="19" t="str">
        <f t="shared" si="0"/>
        <v/>
      </c>
      <c r="G32" s="1"/>
      <c r="H32" s="1"/>
      <c r="I32" s="1"/>
      <c r="J32" s="11"/>
      <c r="X32" s="5">
        <f t="shared" si="1"/>
        <v>0</v>
      </c>
      <c r="Y32" s="2">
        <f t="shared" si="2"/>
        <v>0</v>
      </c>
    </row>
    <row r="33" spans="4:25" x14ac:dyDescent="0.25">
      <c r="D33" s="12"/>
      <c r="E33" s="5"/>
      <c r="F33" s="19" t="str">
        <f t="shared" si="0"/>
        <v/>
      </c>
      <c r="G33" s="1"/>
      <c r="H33" s="1"/>
      <c r="I33" s="1"/>
      <c r="J33" s="11"/>
      <c r="X33" s="5">
        <f t="shared" si="1"/>
        <v>0</v>
      </c>
      <c r="Y33" s="2">
        <f t="shared" si="2"/>
        <v>0</v>
      </c>
    </row>
    <row r="34" spans="4:25" x14ac:dyDescent="0.25">
      <c r="D34" s="12"/>
      <c r="E34" s="5"/>
      <c r="F34" s="19" t="str">
        <f t="shared" si="0"/>
        <v/>
      </c>
      <c r="G34" s="1"/>
      <c r="H34" s="1"/>
      <c r="I34" s="1"/>
      <c r="J34" s="11"/>
      <c r="X34" s="5">
        <f t="shared" si="1"/>
        <v>0</v>
      </c>
      <c r="Y34" s="2">
        <f t="shared" si="2"/>
        <v>0</v>
      </c>
    </row>
    <row r="35" spans="4:25" x14ac:dyDescent="0.25">
      <c r="D35" s="12"/>
      <c r="E35" s="5"/>
      <c r="F35" s="19" t="str">
        <f t="shared" si="0"/>
        <v/>
      </c>
      <c r="G35" s="1"/>
      <c r="H35" s="1"/>
      <c r="I35" s="1"/>
      <c r="J35" s="11"/>
      <c r="X35" s="5">
        <f t="shared" si="1"/>
        <v>0</v>
      </c>
      <c r="Y35" s="2">
        <f t="shared" si="2"/>
        <v>0</v>
      </c>
    </row>
    <row r="36" spans="4:25" x14ac:dyDescent="0.25">
      <c r="D36" s="12"/>
      <c r="E36" s="5"/>
      <c r="F36" s="19" t="str">
        <f t="shared" si="0"/>
        <v/>
      </c>
      <c r="G36" s="1"/>
      <c r="H36" s="1"/>
      <c r="I36" s="1"/>
      <c r="J36" s="11"/>
      <c r="X36" s="5">
        <f t="shared" si="1"/>
        <v>0</v>
      </c>
      <c r="Y36" s="2">
        <f t="shared" si="2"/>
        <v>0</v>
      </c>
    </row>
    <row r="37" spans="4:25" x14ac:dyDescent="0.25">
      <c r="D37" s="12"/>
      <c r="E37" s="5"/>
      <c r="F37" s="19" t="str">
        <f t="shared" si="0"/>
        <v/>
      </c>
      <c r="G37" s="1"/>
      <c r="H37" s="1"/>
      <c r="I37" s="1"/>
      <c r="J37" s="11"/>
      <c r="X37" s="5">
        <f t="shared" si="1"/>
        <v>0</v>
      </c>
      <c r="Y37" s="2">
        <f t="shared" si="2"/>
        <v>0</v>
      </c>
    </row>
    <row r="38" spans="4:25" x14ac:dyDescent="0.25">
      <c r="D38" s="12"/>
      <c r="E38" s="5"/>
      <c r="F38" s="19" t="str">
        <f t="shared" si="0"/>
        <v/>
      </c>
      <c r="G38" s="1"/>
      <c r="H38" s="1"/>
      <c r="I38" s="1"/>
      <c r="J38" s="11"/>
      <c r="X38" s="5">
        <f t="shared" si="1"/>
        <v>0</v>
      </c>
      <c r="Y38" s="2">
        <f t="shared" si="2"/>
        <v>0</v>
      </c>
    </row>
    <row r="39" spans="4:25" x14ac:dyDescent="0.25">
      <c r="D39" s="12"/>
      <c r="E39" s="5"/>
      <c r="F39" s="19" t="str">
        <f t="shared" si="0"/>
        <v/>
      </c>
      <c r="G39" s="1"/>
      <c r="H39" s="1"/>
      <c r="I39" s="1"/>
      <c r="J39" s="11"/>
      <c r="X39" s="5">
        <f t="shared" si="1"/>
        <v>0</v>
      </c>
      <c r="Y39" s="2">
        <f t="shared" si="2"/>
        <v>0</v>
      </c>
    </row>
    <row r="40" spans="4:25" x14ac:dyDescent="0.25">
      <c r="D40" s="12"/>
      <c r="E40" s="5"/>
      <c r="F40" s="19" t="str">
        <f t="shared" si="0"/>
        <v/>
      </c>
      <c r="G40" s="1"/>
      <c r="H40" s="1"/>
      <c r="I40" s="1"/>
      <c r="J40" s="11"/>
      <c r="X40" s="5">
        <f t="shared" si="1"/>
        <v>0</v>
      </c>
      <c r="Y40" s="2">
        <f t="shared" si="2"/>
        <v>0</v>
      </c>
    </row>
    <row r="41" spans="4:25" x14ac:dyDescent="0.25">
      <c r="D41" s="12"/>
      <c r="E41" s="5"/>
      <c r="F41" s="19" t="str">
        <f t="shared" si="0"/>
        <v/>
      </c>
      <c r="G41" s="1"/>
      <c r="H41" s="1"/>
      <c r="I41" s="1"/>
      <c r="J41" s="11"/>
      <c r="X41" s="5">
        <f t="shared" si="1"/>
        <v>0</v>
      </c>
      <c r="Y41" s="2">
        <f t="shared" si="2"/>
        <v>0</v>
      </c>
    </row>
    <row r="42" spans="4:25" x14ac:dyDescent="0.25">
      <c r="D42" s="12"/>
      <c r="E42" s="5"/>
      <c r="F42" s="19" t="str">
        <f t="shared" si="0"/>
        <v/>
      </c>
      <c r="G42" s="1"/>
      <c r="H42" s="1"/>
      <c r="I42" s="1"/>
      <c r="J42" s="11"/>
      <c r="X42" s="5">
        <f t="shared" si="1"/>
        <v>0</v>
      </c>
      <c r="Y42" s="2">
        <f t="shared" si="2"/>
        <v>0</v>
      </c>
    </row>
    <row r="43" spans="4:25" x14ac:dyDescent="0.25">
      <c r="D43" s="12"/>
      <c r="E43" s="5"/>
      <c r="F43" s="19" t="str">
        <f t="shared" si="0"/>
        <v/>
      </c>
      <c r="G43" s="1"/>
      <c r="H43" s="1"/>
      <c r="I43" s="1"/>
      <c r="J43" s="11"/>
      <c r="X43" s="5">
        <f t="shared" si="1"/>
        <v>0</v>
      </c>
      <c r="Y43" s="2">
        <f t="shared" si="2"/>
        <v>0</v>
      </c>
    </row>
    <row r="44" spans="4:25" x14ac:dyDescent="0.25">
      <c r="D44" s="12"/>
      <c r="E44" s="5"/>
      <c r="F44" s="19" t="str">
        <f t="shared" si="0"/>
        <v/>
      </c>
      <c r="G44" s="1"/>
      <c r="H44" s="1"/>
      <c r="I44" s="1"/>
      <c r="J44" s="11"/>
      <c r="X44" s="5">
        <f t="shared" si="1"/>
        <v>0</v>
      </c>
      <c r="Y44" s="2">
        <f t="shared" si="2"/>
        <v>0</v>
      </c>
    </row>
    <row r="45" spans="4:25" x14ac:dyDescent="0.25">
      <c r="D45" s="12"/>
      <c r="E45" s="5"/>
      <c r="F45" s="19" t="str">
        <f t="shared" si="0"/>
        <v/>
      </c>
      <c r="G45" s="1"/>
      <c r="H45" s="1"/>
      <c r="I45" s="1"/>
      <c r="J45" s="11"/>
      <c r="X45" s="5">
        <f t="shared" si="1"/>
        <v>0</v>
      </c>
      <c r="Y45" s="2">
        <f t="shared" si="2"/>
        <v>0</v>
      </c>
    </row>
    <row r="46" spans="4:25" x14ac:dyDescent="0.25">
      <c r="D46" s="12"/>
      <c r="E46" s="5"/>
      <c r="F46" s="19" t="str">
        <f t="shared" si="0"/>
        <v/>
      </c>
      <c r="G46" s="1"/>
      <c r="H46" s="1"/>
      <c r="I46" s="1"/>
      <c r="J46" s="11"/>
      <c r="X46" s="5">
        <f t="shared" si="1"/>
        <v>0</v>
      </c>
      <c r="Y46" s="2">
        <f t="shared" si="2"/>
        <v>0</v>
      </c>
    </row>
    <row r="47" spans="4:25" x14ac:dyDescent="0.25">
      <c r="D47" s="12"/>
      <c r="E47" s="5"/>
      <c r="F47" s="19" t="str">
        <f t="shared" si="0"/>
        <v/>
      </c>
      <c r="G47" s="1"/>
      <c r="H47" s="1"/>
      <c r="I47" s="1"/>
      <c r="J47" s="11"/>
      <c r="X47" s="5">
        <f t="shared" si="1"/>
        <v>0</v>
      </c>
      <c r="Y47" s="2">
        <f t="shared" si="2"/>
        <v>0</v>
      </c>
    </row>
    <row r="48" spans="4:25" x14ac:dyDescent="0.25">
      <c r="D48" s="12"/>
      <c r="E48" s="5"/>
      <c r="F48" s="19" t="str">
        <f t="shared" si="0"/>
        <v/>
      </c>
      <c r="G48" s="1"/>
      <c r="H48" s="1"/>
      <c r="I48" s="1"/>
      <c r="J48" s="11"/>
      <c r="X48" s="5">
        <f t="shared" si="1"/>
        <v>0</v>
      </c>
      <c r="Y48" s="2">
        <f t="shared" si="2"/>
        <v>0</v>
      </c>
    </row>
    <row r="49" spans="4:25" x14ac:dyDescent="0.25">
      <c r="D49" s="12"/>
      <c r="E49" s="5"/>
      <c r="F49" s="19" t="str">
        <f t="shared" si="0"/>
        <v/>
      </c>
      <c r="G49" s="1"/>
      <c r="H49" s="1"/>
      <c r="I49" s="1"/>
      <c r="J49" s="11"/>
      <c r="X49" s="5">
        <f t="shared" si="1"/>
        <v>0</v>
      </c>
      <c r="Y49" s="2">
        <f t="shared" si="2"/>
        <v>0</v>
      </c>
    </row>
    <row r="50" spans="4:25" x14ac:dyDescent="0.25">
      <c r="D50" s="12"/>
      <c r="E50" s="5"/>
      <c r="F50" s="19" t="str">
        <f t="shared" si="0"/>
        <v/>
      </c>
      <c r="G50" s="1"/>
      <c r="H50" s="1"/>
      <c r="I50" s="1"/>
      <c r="J50" s="11"/>
      <c r="X50" s="5">
        <f t="shared" si="1"/>
        <v>0</v>
      </c>
      <c r="Y50" s="2">
        <f t="shared" si="2"/>
        <v>0</v>
      </c>
    </row>
    <row r="51" spans="4:25" x14ac:dyDescent="0.25">
      <c r="D51" s="12"/>
      <c r="E51" s="5"/>
      <c r="F51" s="19" t="str">
        <f t="shared" si="0"/>
        <v/>
      </c>
      <c r="G51" s="1"/>
      <c r="H51" s="1"/>
      <c r="I51" s="1"/>
      <c r="J51" s="11"/>
      <c r="X51" s="5">
        <f t="shared" si="1"/>
        <v>0</v>
      </c>
      <c r="Y51" s="2">
        <f t="shared" si="2"/>
        <v>0</v>
      </c>
    </row>
    <row r="52" spans="4:25" x14ac:dyDescent="0.25">
      <c r="D52" s="12"/>
      <c r="E52" s="5"/>
      <c r="F52" s="19" t="str">
        <f t="shared" si="0"/>
        <v/>
      </c>
      <c r="G52" s="1"/>
      <c r="H52" s="1"/>
      <c r="I52" s="1"/>
      <c r="J52" s="9"/>
      <c r="X52" s="5">
        <f t="shared" si="1"/>
        <v>0</v>
      </c>
      <c r="Y52" s="2">
        <f t="shared" si="2"/>
        <v>0</v>
      </c>
    </row>
    <row r="53" spans="4:25" x14ac:dyDescent="0.25">
      <c r="D53" s="1" t="s">
        <v>25</v>
      </c>
      <c r="E53" s="23"/>
      <c r="F53" s="2"/>
      <c r="G53" s="2">
        <f>SUM(G3:G52)</f>
        <v>14.43</v>
      </c>
      <c r="H53" s="2">
        <f t="shared" ref="H53:I53" si="3">SUM(H3:H52)</f>
        <v>1.26</v>
      </c>
      <c r="I53" s="2">
        <f t="shared" si="3"/>
        <v>0.05</v>
      </c>
    </row>
  </sheetData>
  <mergeCells count="4">
    <mergeCell ref="D1:F1"/>
    <mergeCell ref="G1:I1"/>
    <mergeCell ref="K1:Q1"/>
    <mergeCell ref="X1:Z1"/>
  </mergeCells>
  <conditionalFormatting sqref="A1:B1">
    <cfRule type="expression" dxfId="51" priority="1">
      <formula>$Z$3="+"</formula>
    </cfRule>
    <cfRule type="expression" dxfId="50" priority="2">
      <formula>$B$16=$K$3</formula>
    </cfRule>
  </conditionalFormatting>
  <conditionalFormatting sqref="P3">
    <cfRule type="expression" dxfId="49" priority="8">
      <formula>$Z$3="+"</formula>
    </cfRule>
  </conditionalFormatting>
  <conditionalFormatting sqref="Z3">
    <cfRule type="expression" dxfId="48" priority="9">
      <formula>$Z$3="+"</formula>
    </cfRule>
  </conditionalFormatting>
  <pageMargins left="0.7" right="0.7" top="0.75" bottom="0.75" header="0.3" footer="0.3"/>
  <pageSetup orientation="portrait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92437-A060-4E6C-9770-08544DC5D3D7}">
  <sheetPr>
    <tabColor rgb="FF92D050"/>
  </sheetPr>
  <dimension ref="A1:Z53"/>
  <sheetViews>
    <sheetView workbookViewId="0">
      <selection activeCell="D9" sqref="D9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1" customWidth="1"/>
    <col min="25" max="25" width="10.7109375" style="11" customWidth="1"/>
    <col min="26" max="26" width="10.7109375" customWidth="1"/>
  </cols>
  <sheetData>
    <row r="1" spans="1:26" x14ac:dyDescent="0.25">
      <c r="A1" s="4" t="s">
        <v>66</v>
      </c>
      <c r="B1" s="5" t="s">
        <v>36</v>
      </c>
      <c r="D1" s="29" t="s">
        <v>2</v>
      </c>
      <c r="E1" s="30"/>
      <c r="F1" s="31"/>
      <c r="G1" s="29" t="s">
        <v>0</v>
      </c>
      <c r="H1" s="30"/>
      <c r="I1" s="31"/>
      <c r="J1" s="18"/>
      <c r="K1" s="29" t="s">
        <v>58</v>
      </c>
      <c r="L1" s="30"/>
      <c r="M1" s="30"/>
      <c r="N1" s="30"/>
      <c r="O1" s="30"/>
      <c r="P1" s="30"/>
      <c r="Q1" s="31"/>
      <c r="X1" s="29"/>
      <c r="Y1" s="30"/>
      <c r="Z1" s="31"/>
    </row>
    <row r="2" spans="1:26" x14ac:dyDescent="0.25">
      <c r="A2" s="4" t="s">
        <v>21</v>
      </c>
      <c r="B2" s="5" t="s">
        <v>27</v>
      </c>
      <c r="D2" s="10" t="s">
        <v>49</v>
      </c>
      <c r="E2" s="10" t="s">
        <v>50</v>
      </c>
      <c r="F2" s="17" t="s">
        <v>67</v>
      </c>
      <c r="G2" s="10" t="s">
        <v>15</v>
      </c>
      <c r="H2" s="10" t="s">
        <v>16</v>
      </c>
      <c r="I2" s="10" t="s">
        <v>60</v>
      </c>
      <c r="J2" s="9"/>
      <c r="K2" s="10" t="s">
        <v>0</v>
      </c>
      <c r="L2" s="10" t="s">
        <v>1</v>
      </c>
      <c r="M2" s="10" t="s">
        <v>56</v>
      </c>
      <c r="N2" s="10" t="s">
        <v>57</v>
      </c>
      <c r="O2" s="10" t="s">
        <v>2</v>
      </c>
      <c r="P2" s="10" t="s">
        <v>68</v>
      </c>
      <c r="Q2" s="10" t="s">
        <v>67</v>
      </c>
      <c r="X2" s="10" t="s">
        <v>2</v>
      </c>
      <c r="Y2" s="10" t="s">
        <v>59</v>
      </c>
      <c r="Z2" s="10" t="s">
        <v>68</v>
      </c>
    </row>
    <row r="3" spans="1:26" x14ac:dyDescent="0.25">
      <c r="A3" s="4" t="s">
        <v>69</v>
      </c>
      <c r="B3" s="5" t="s">
        <v>78</v>
      </c>
      <c r="D3" s="12">
        <v>45991</v>
      </c>
      <c r="E3" s="12">
        <v>45991</v>
      </c>
      <c r="F3" s="19">
        <f t="shared" ref="F3:F52" si="0">IF(E3&gt;0,E3-D3,"")</f>
        <v>0</v>
      </c>
      <c r="G3" s="2">
        <v>0</v>
      </c>
      <c r="H3" s="1">
        <v>0.04</v>
      </c>
      <c r="I3" s="2">
        <v>0</v>
      </c>
      <c r="J3" s="11"/>
      <c r="K3" s="2">
        <f>G53</f>
        <v>13.25</v>
      </c>
      <c r="L3" s="2">
        <f>H53</f>
        <v>0.71</v>
      </c>
      <c r="M3" s="2">
        <f>I53</f>
        <v>0.03</v>
      </c>
      <c r="N3" s="6">
        <f>IF(B16=K3,XIRR(Y3:Y52,X3:X52),"")</f>
        <v>0.13193868994712829</v>
      </c>
      <c r="O3" s="5">
        <f>IF(B16=K3,MAX(E:E),"")</f>
        <v>46135</v>
      </c>
      <c r="P3" s="1" t="str">
        <f ca="1">IF(Z3="+",TODAY()-B11,"")</f>
        <v/>
      </c>
      <c r="Q3" s="1">
        <f>IF(B16=K3,MAX(E:E)-B11,"")</f>
        <v>-5</v>
      </c>
      <c r="T3" s="14"/>
      <c r="X3" s="5">
        <f>B9</f>
        <v>45985</v>
      </c>
      <c r="Y3" s="2">
        <f>B16*-1</f>
        <v>-13.25</v>
      </c>
      <c r="Z3" s="1" t="str">
        <f ca="1">IF(AND(TODAY()&gt;B11, K3&lt;&gt;B16), "+", "")</f>
        <v/>
      </c>
    </row>
    <row r="4" spans="1:26" x14ac:dyDescent="0.25">
      <c r="A4" s="4" t="s">
        <v>19</v>
      </c>
      <c r="B4" s="5" t="s">
        <v>20</v>
      </c>
      <c r="D4" s="12">
        <v>46022</v>
      </c>
      <c r="E4" s="12">
        <v>46022</v>
      </c>
      <c r="F4" s="19">
        <f t="shared" si="0"/>
        <v>0</v>
      </c>
      <c r="G4" s="2">
        <v>0</v>
      </c>
      <c r="H4" s="1">
        <v>0.14000000000000001</v>
      </c>
      <c r="I4" s="2">
        <v>0.01</v>
      </c>
      <c r="J4" s="9"/>
      <c r="X4" s="5">
        <f>E3</f>
        <v>45991</v>
      </c>
      <c r="Y4" s="2">
        <f>G3+H3-I3</f>
        <v>0.04</v>
      </c>
    </row>
    <row r="5" spans="1:26" x14ac:dyDescent="0.25">
      <c r="A5" s="4"/>
      <c r="B5" s="5"/>
      <c r="D5" s="12">
        <v>46053</v>
      </c>
      <c r="E5" s="12">
        <v>46053</v>
      </c>
      <c r="F5" s="19">
        <f t="shared" si="0"/>
        <v>0</v>
      </c>
      <c r="G5" s="2">
        <v>0</v>
      </c>
      <c r="H5" s="1">
        <v>0.09</v>
      </c>
      <c r="I5" s="2">
        <v>0</v>
      </c>
      <c r="J5" s="9"/>
      <c r="X5" s="5">
        <f t="shared" ref="X5:X52" si="1">E4</f>
        <v>46022</v>
      </c>
      <c r="Y5" s="2">
        <f t="shared" ref="Y5:Y52" si="2">G4+H4-I4</f>
        <v>0.13</v>
      </c>
    </row>
    <row r="6" spans="1:26" x14ac:dyDescent="0.25">
      <c r="A6" s="4"/>
      <c r="B6" s="5"/>
      <c r="D6" s="12">
        <v>46081</v>
      </c>
      <c r="E6" s="12">
        <v>46081</v>
      </c>
      <c r="F6" s="19">
        <f t="shared" si="0"/>
        <v>0</v>
      </c>
      <c r="G6" s="2">
        <v>0</v>
      </c>
      <c r="H6" s="2">
        <v>0.1</v>
      </c>
      <c r="I6" s="2">
        <v>0.01</v>
      </c>
      <c r="J6" s="9"/>
      <c r="X6" s="5">
        <f t="shared" si="1"/>
        <v>46053</v>
      </c>
      <c r="Y6" s="2">
        <f t="shared" si="2"/>
        <v>0.09</v>
      </c>
    </row>
    <row r="7" spans="1:26" x14ac:dyDescent="0.25">
      <c r="A7" s="4"/>
      <c r="B7" s="5"/>
      <c r="D7" s="12">
        <v>46112</v>
      </c>
      <c r="E7" s="12">
        <v>46112</v>
      </c>
      <c r="F7" s="19">
        <f t="shared" si="0"/>
        <v>0</v>
      </c>
      <c r="G7" s="2">
        <v>0</v>
      </c>
      <c r="H7" s="1">
        <v>0.13</v>
      </c>
      <c r="I7" s="2">
        <v>0</v>
      </c>
      <c r="J7" s="11"/>
      <c r="X7" s="5">
        <f t="shared" si="1"/>
        <v>46081</v>
      </c>
      <c r="Y7" s="2">
        <f t="shared" si="2"/>
        <v>9.0000000000000011E-2</v>
      </c>
    </row>
    <row r="8" spans="1:26" x14ac:dyDescent="0.25">
      <c r="A8" s="4" t="s">
        <v>24</v>
      </c>
      <c r="B8" s="5" t="str">
        <f>DATEDIF(B9,B11,"y") &amp; " m. " &amp; DATEDIF(B9,B11,"ym") &amp; " mėn. " &amp; DATEDIF(B9,B11,"md") &amp; " d."</f>
        <v>0 m. 5 mėn. 4 d.</v>
      </c>
      <c r="D8" s="12">
        <v>46140</v>
      </c>
      <c r="E8" s="12">
        <v>46135</v>
      </c>
      <c r="F8" s="19">
        <f t="shared" si="0"/>
        <v>-5</v>
      </c>
      <c r="G8" s="1">
        <v>13.25</v>
      </c>
      <c r="H8" s="1">
        <v>0.21</v>
      </c>
      <c r="I8" s="2">
        <v>0.01</v>
      </c>
      <c r="J8" s="9"/>
      <c r="X8" s="5">
        <f t="shared" si="1"/>
        <v>46112</v>
      </c>
      <c r="Y8" s="2">
        <f t="shared" si="2"/>
        <v>0.13</v>
      </c>
    </row>
    <row r="9" spans="1:26" x14ac:dyDescent="0.25">
      <c r="A9" s="4" t="s">
        <v>11</v>
      </c>
      <c r="B9" s="5">
        <v>45985</v>
      </c>
      <c r="D9" s="12"/>
      <c r="E9" s="12"/>
      <c r="F9" s="19"/>
      <c r="G9" s="2"/>
      <c r="H9" s="2"/>
      <c r="I9" s="2"/>
      <c r="J9" s="11"/>
      <c r="X9" s="5">
        <f t="shared" si="1"/>
        <v>46135</v>
      </c>
      <c r="Y9" s="2">
        <f t="shared" si="2"/>
        <v>13.450000000000001</v>
      </c>
    </row>
    <row r="10" spans="1:26" x14ac:dyDescent="0.25">
      <c r="A10" s="4" t="s">
        <v>70</v>
      </c>
      <c r="B10" s="5">
        <v>45960</v>
      </c>
      <c r="D10" s="12"/>
      <c r="E10" s="12"/>
      <c r="F10" s="19" t="str">
        <f t="shared" si="0"/>
        <v/>
      </c>
      <c r="G10" s="1"/>
      <c r="H10" s="1"/>
      <c r="I10" s="2"/>
      <c r="J10" s="11"/>
      <c r="X10" s="5">
        <f t="shared" si="1"/>
        <v>0</v>
      </c>
      <c r="Y10" s="2">
        <f t="shared" si="2"/>
        <v>0</v>
      </c>
    </row>
    <row r="11" spans="1:26" x14ac:dyDescent="0.25">
      <c r="A11" s="4" t="s">
        <v>10</v>
      </c>
      <c r="B11" s="5">
        <v>46140</v>
      </c>
      <c r="D11" s="12"/>
      <c r="E11" s="12"/>
      <c r="F11" s="19" t="str">
        <f t="shared" si="0"/>
        <v/>
      </c>
      <c r="G11" s="1"/>
      <c r="H11" s="2"/>
      <c r="I11" s="2"/>
      <c r="J11" s="11"/>
      <c r="X11" s="5">
        <f t="shared" si="1"/>
        <v>0</v>
      </c>
      <c r="Y11" s="2">
        <f t="shared" si="2"/>
        <v>0</v>
      </c>
    </row>
    <row r="12" spans="1:26" x14ac:dyDescent="0.25">
      <c r="A12" s="4" t="s">
        <v>71</v>
      </c>
      <c r="B12" s="19" t="str">
        <f ca="1">IF(B16&lt;&gt;K3,(TODAY()-B11)*-1,"")</f>
        <v/>
      </c>
      <c r="D12" s="12"/>
      <c r="E12" s="12"/>
      <c r="F12" s="19" t="str">
        <f t="shared" si="0"/>
        <v/>
      </c>
      <c r="G12" s="2"/>
      <c r="H12" s="1"/>
      <c r="I12" s="1"/>
      <c r="J12" s="11"/>
      <c r="X12" s="5">
        <f t="shared" si="1"/>
        <v>0</v>
      </c>
      <c r="Y12" s="2">
        <f t="shared" si="2"/>
        <v>0</v>
      </c>
    </row>
    <row r="13" spans="1:26" x14ac:dyDescent="0.25">
      <c r="A13" s="4"/>
      <c r="B13" s="2"/>
      <c r="D13" s="12"/>
      <c r="E13" s="12"/>
      <c r="F13" s="19" t="str">
        <f t="shared" si="0"/>
        <v/>
      </c>
      <c r="G13" s="1"/>
      <c r="H13" s="2"/>
      <c r="I13" s="2"/>
      <c r="J13" s="11"/>
      <c r="N13" s="14"/>
      <c r="X13" s="5">
        <f t="shared" si="1"/>
        <v>0</v>
      </c>
      <c r="Y13" s="2">
        <f t="shared" si="2"/>
        <v>0</v>
      </c>
    </row>
    <row r="14" spans="1:26" x14ac:dyDescent="0.25">
      <c r="A14" s="13"/>
      <c r="B14" s="20"/>
      <c r="D14" s="12"/>
      <c r="E14" s="5"/>
      <c r="F14" s="19" t="str">
        <f t="shared" si="0"/>
        <v/>
      </c>
      <c r="G14" s="1"/>
      <c r="H14" s="1"/>
      <c r="I14" s="1"/>
      <c r="J14" s="11"/>
      <c r="X14" s="5">
        <f t="shared" si="1"/>
        <v>0</v>
      </c>
      <c r="Y14" s="2">
        <f t="shared" si="2"/>
        <v>0</v>
      </c>
    </row>
    <row r="15" spans="1:26" x14ac:dyDescent="0.25">
      <c r="A15" s="4" t="s">
        <v>1</v>
      </c>
      <c r="B15" s="6">
        <v>0.13</v>
      </c>
      <c r="D15" s="12"/>
      <c r="E15" s="5"/>
      <c r="F15" s="19" t="str">
        <f t="shared" si="0"/>
        <v/>
      </c>
      <c r="G15" s="1"/>
      <c r="H15" s="1"/>
      <c r="I15" s="1"/>
      <c r="J15" s="11"/>
      <c r="K15" s="18"/>
      <c r="L15" s="18"/>
      <c r="M15" s="18"/>
      <c r="N15" s="18"/>
      <c r="O15" s="18"/>
      <c r="P15" s="18"/>
      <c r="Q15" s="18"/>
      <c r="X15" s="5">
        <f t="shared" si="1"/>
        <v>0</v>
      </c>
      <c r="Y15" s="2">
        <f t="shared" si="2"/>
        <v>0</v>
      </c>
    </row>
    <row r="16" spans="1:26" x14ac:dyDescent="0.25">
      <c r="A16" s="4" t="s">
        <v>72</v>
      </c>
      <c r="B16" s="2">
        <v>13.25</v>
      </c>
      <c r="D16" s="12"/>
      <c r="E16" s="5"/>
      <c r="F16" s="19" t="str">
        <f t="shared" si="0"/>
        <v/>
      </c>
      <c r="G16" s="1"/>
      <c r="H16" s="1"/>
      <c r="I16" s="1"/>
      <c r="J16" s="11"/>
      <c r="K16" s="9"/>
      <c r="L16" s="9"/>
      <c r="M16" s="9"/>
      <c r="N16" s="21"/>
      <c r="O16" s="22"/>
      <c r="P16" s="11"/>
      <c r="Q16" s="11"/>
      <c r="X16" s="5">
        <f t="shared" si="1"/>
        <v>0</v>
      </c>
      <c r="Y16" s="2">
        <f t="shared" si="2"/>
        <v>0</v>
      </c>
    </row>
    <row r="17" spans="2:25" x14ac:dyDescent="0.25">
      <c r="D17" s="12"/>
      <c r="E17" s="5"/>
      <c r="F17" s="19" t="str">
        <f t="shared" si="0"/>
        <v/>
      </c>
      <c r="G17" s="1"/>
      <c r="H17" s="1"/>
      <c r="I17" s="1"/>
      <c r="J17" s="11"/>
      <c r="X17" s="5">
        <f t="shared" si="1"/>
        <v>0</v>
      </c>
      <c r="Y17" s="2">
        <f t="shared" si="2"/>
        <v>0</v>
      </c>
    </row>
    <row r="18" spans="2:25" x14ac:dyDescent="0.25">
      <c r="D18" s="12"/>
      <c r="E18" s="5"/>
      <c r="F18" s="19" t="str">
        <f t="shared" si="0"/>
        <v/>
      </c>
      <c r="G18" s="1"/>
      <c r="H18" s="1"/>
      <c r="I18" s="1"/>
      <c r="J18" s="11"/>
      <c r="X18" s="5">
        <f t="shared" si="1"/>
        <v>0</v>
      </c>
      <c r="Y18" s="2">
        <f t="shared" si="2"/>
        <v>0</v>
      </c>
    </row>
    <row r="19" spans="2:25" x14ac:dyDescent="0.25">
      <c r="D19" s="12"/>
      <c r="E19" s="5"/>
      <c r="F19" s="19" t="str">
        <f t="shared" si="0"/>
        <v/>
      </c>
      <c r="G19" s="1"/>
      <c r="H19" s="1"/>
      <c r="I19" s="1"/>
      <c r="J19" s="11"/>
      <c r="X19" s="5">
        <f t="shared" si="1"/>
        <v>0</v>
      </c>
      <c r="Y19" s="2">
        <f t="shared" si="2"/>
        <v>0</v>
      </c>
    </row>
    <row r="20" spans="2:25" x14ac:dyDescent="0.25">
      <c r="D20" s="12"/>
      <c r="E20" s="5"/>
      <c r="F20" s="19" t="str">
        <f t="shared" si="0"/>
        <v/>
      </c>
      <c r="G20" s="1"/>
      <c r="H20" s="1"/>
      <c r="I20" s="1"/>
      <c r="J20" s="11"/>
      <c r="X20" s="5">
        <f t="shared" si="1"/>
        <v>0</v>
      </c>
      <c r="Y20" s="2">
        <f t="shared" si="2"/>
        <v>0</v>
      </c>
    </row>
    <row r="21" spans="2:25" x14ac:dyDescent="0.25">
      <c r="D21" s="12"/>
      <c r="E21" s="5"/>
      <c r="F21" s="19" t="str">
        <f t="shared" si="0"/>
        <v/>
      </c>
      <c r="G21" s="1"/>
      <c r="H21" s="1"/>
      <c r="I21" s="1"/>
      <c r="J21" s="11"/>
      <c r="X21" s="5">
        <f t="shared" si="1"/>
        <v>0</v>
      </c>
      <c r="Y21" s="2">
        <f t="shared" si="2"/>
        <v>0</v>
      </c>
    </row>
    <row r="22" spans="2:25" x14ac:dyDescent="0.25">
      <c r="D22" s="12"/>
      <c r="E22" s="5"/>
      <c r="F22" s="19" t="str">
        <f t="shared" si="0"/>
        <v/>
      </c>
      <c r="G22" s="1"/>
      <c r="H22" s="1"/>
      <c r="I22" s="1"/>
      <c r="J22" s="11"/>
      <c r="X22" s="5">
        <f t="shared" si="1"/>
        <v>0</v>
      </c>
      <c r="Y22" s="2">
        <f t="shared" si="2"/>
        <v>0</v>
      </c>
    </row>
    <row r="23" spans="2:25" x14ac:dyDescent="0.25">
      <c r="B23" s="22"/>
      <c r="D23" s="12"/>
      <c r="E23" s="5"/>
      <c r="F23" s="19" t="str">
        <f t="shared" si="0"/>
        <v/>
      </c>
      <c r="G23" s="1"/>
      <c r="H23" s="1"/>
      <c r="I23" s="1"/>
      <c r="J23" s="11"/>
      <c r="X23" s="5">
        <f t="shared" si="1"/>
        <v>0</v>
      </c>
      <c r="Y23" s="2">
        <f t="shared" si="2"/>
        <v>0</v>
      </c>
    </row>
    <row r="24" spans="2:25" x14ac:dyDescent="0.25">
      <c r="D24" s="12"/>
      <c r="E24" s="5"/>
      <c r="F24" s="19" t="str">
        <f t="shared" si="0"/>
        <v/>
      </c>
      <c r="G24" s="1"/>
      <c r="H24" s="1"/>
      <c r="I24" s="1"/>
      <c r="J24" s="11"/>
      <c r="X24" s="5">
        <f t="shared" si="1"/>
        <v>0</v>
      </c>
      <c r="Y24" s="2">
        <f t="shared" si="2"/>
        <v>0</v>
      </c>
    </row>
    <row r="25" spans="2:25" x14ac:dyDescent="0.25">
      <c r="D25" s="12"/>
      <c r="E25" s="5"/>
      <c r="F25" s="19" t="str">
        <f t="shared" si="0"/>
        <v/>
      </c>
      <c r="G25" s="1"/>
      <c r="H25" s="1"/>
      <c r="I25" s="1"/>
      <c r="J25" s="11"/>
      <c r="X25" s="5">
        <f t="shared" si="1"/>
        <v>0</v>
      </c>
      <c r="Y25" s="2">
        <f t="shared" si="2"/>
        <v>0</v>
      </c>
    </row>
    <row r="26" spans="2:25" x14ac:dyDescent="0.25">
      <c r="D26" s="12"/>
      <c r="E26" s="5"/>
      <c r="F26" s="19" t="str">
        <f t="shared" si="0"/>
        <v/>
      </c>
      <c r="G26" s="1"/>
      <c r="H26" s="1"/>
      <c r="I26" s="1"/>
      <c r="J26" s="11"/>
      <c r="X26" s="5">
        <f t="shared" si="1"/>
        <v>0</v>
      </c>
      <c r="Y26" s="2">
        <f t="shared" si="2"/>
        <v>0</v>
      </c>
    </row>
    <row r="27" spans="2:25" x14ac:dyDescent="0.25">
      <c r="D27" s="12"/>
      <c r="E27" s="5"/>
      <c r="F27" s="19" t="str">
        <f t="shared" si="0"/>
        <v/>
      </c>
      <c r="G27" s="1"/>
      <c r="H27" s="1"/>
      <c r="I27" s="1"/>
      <c r="J27" s="11"/>
      <c r="X27" s="5">
        <f t="shared" si="1"/>
        <v>0</v>
      </c>
      <c r="Y27" s="2">
        <f t="shared" si="2"/>
        <v>0</v>
      </c>
    </row>
    <row r="28" spans="2:25" x14ac:dyDescent="0.25">
      <c r="D28" s="12"/>
      <c r="E28" s="5"/>
      <c r="F28" s="19" t="str">
        <f t="shared" si="0"/>
        <v/>
      </c>
      <c r="G28" s="1"/>
      <c r="H28" s="1"/>
      <c r="I28" s="1"/>
      <c r="J28" s="11"/>
      <c r="X28" s="5">
        <f t="shared" si="1"/>
        <v>0</v>
      </c>
      <c r="Y28" s="2">
        <f t="shared" si="2"/>
        <v>0</v>
      </c>
    </row>
    <row r="29" spans="2:25" x14ac:dyDescent="0.25">
      <c r="D29" s="12"/>
      <c r="E29" s="5"/>
      <c r="F29" s="19" t="str">
        <f t="shared" si="0"/>
        <v/>
      </c>
      <c r="G29" s="1"/>
      <c r="H29" s="1"/>
      <c r="I29" s="1"/>
      <c r="J29" s="11"/>
      <c r="X29" s="5">
        <f t="shared" si="1"/>
        <v>0</v>
      </c>
      <c r="Y29" s="2">
        <f t="shared" si="2"/>
        <v>0</v>
      </c>
    </row>
    <row r="30" spans="2:25" x14ac:dyDescent="0.25">
      <c r="D30" s="12"/>
      <c r="E30" s="5"/>
      <c r="F30" s="19" t="str">
        <f t="shared" si="0"/>
        <v/>
      </c>
      <c r="G30" s="1"/>
      <c r="H30" s="1"/>
      <c r="I30" s="1"/>
      <c r="J30" s="11"/>
      <c r="X30" s="5">
        <f t="shared" si="1"/>
        <v>0</v>
      </c>
      <c r="Y30" s="2">
        <f t="shared" si="2"/>
        <v>0</v>
      </c>
    </row>
    <row r="31" spans="2:25" x14ac:dyDescent="0.25">
      <c r="D31" s="12"/>
      <c r="E31" s="5"/>
      <c r="F31" s="19" t="str">
        <f t="shared" si="0"/>
        <v/>
      </c>
      <c r="G31" s="1"/>
      <c r="H31" s="1"/>
      <c r="I31" s="1"/>
      <c r="J31" s="11"/>
      <c r="X31" s="5">
        <f t="shared" si="1"/>
        <v>0</v>
      </c>
      <c r="Y31" s="2">
        <f t="shared" si="2"/>
        <v>0</v>
      </c>
    </row>
    <row r="32" spans="2:25" x14ac:dyDescent="0.25">
      <c r="D32" s="12"/>
      <c r="E32" s="5"/>
      <c r="F32" s="19" t="str">
        <f t="shared" si="0"/>
        <v/>
      </c>
      <c r="G32" s="1"/>
      <c r="H32" s="1"/>
      <c r="I32" s="1"/>
      <c r="J32" s="11"/>
      <c r="X32" s="5">
        <f t="shared" si="1"/>
        <v>0</v>
      </c>
      <c r="Y32" s="2">
        <f t="shared" si="2"/>
        <v>0</v>
      </c>
    </row>
    <row r="33" spans="4:25" x14ac:dyDescent="0.25">
      <c r="D33" s="12"/>
      <c r="E33" s="5"/>
      <c r="F33" s="19" t="str">
        <f t="shared" si="0"/>
        <v/>
      </c>
      <c r="G33" s="1"/>
      <c r="H33" s="1"/>
      <c r="I33" s="1"/>
      <c r="J33" s="11"/>
      <c r="X33" s="5">
        <f t="shared" si="1"/>
        <v>0</v>
      </c>
      <c r="Y33" s="2">
        <f t="shared" si="2"/>
        <v>0</v>
      </c>
    </row>
    <row r="34" spans="4:25" x14ac:dyDescent="0.25">
      <c r="D34" s="12"/>
      <c r="E34" s="5"/>
      <c r="F34" s="19" t="str">
        <f t="shared" si="0"/>
        <v/>
      </c>
      <c r="G34" s="1"/>
      <c r="H34" s="1"/>
      <c r="I34" s="1"/>
      <c r="J34" s="11"/>
      <c r="X34" s="5">
        <f t="shared" si="1"/>
        <v>0</v>
      </c>
      <c r="Y34" s="2">
        <f t="shared" si="2"/>
        <v>0</v>
      </c>
    </row>
    <row r="35" spans="4:25" x14ac:dyDescent="0.25">
      <c r="D35" s="12"/>
      <c r="E35" s="5"/>
      <c r="F35" s="19" t="str">
        <f t="shared" si="0"/>
        <v/>
      </c>
      <c r="G35" s="1"/>
      <c r="H35" s="1"/>
      <c r="I35" s="1"/>
      <c r="J35" s="11"/>
      <c r="X35" s="5">
        <f t="shared" si="1"/>
        <v>0</v>
      </c>
      <c r="Y35" s="2">
        <f t="shared" si="2"/>
        <v>0</v>
      </c>
    </row>
    <row r="36" spans="4:25" x14ac:dyDescent="0.25">
      <c r="D36" s="12"/>
      <c r="E36" s="5"/>
      <c r="F36" s="19" t="str">
        <f t="shared" si="0"/>
        <v/>
      </c>
      <c r="G36" s="1"/>
      <c r="H36" s="1"/>
      <c r="I36" s="1"/>
      <c r="J36" s="11"/>
      <c r="X36" s="5">
        <f t="shared" si="1"/>
        <v>0</v>
      </c>
      <c r="Y36" s="2">
        <f t="shared" si="2"/>
        <v>0</v>
      </c>
    </row>
    <row r="37" spans="4:25" x14ac:dyDescent="0.25">
      <c r="D37" s="12"/>
      <c r="E37" s="5"/>
      <c r="F37" s="19" t="str">
        <f t="shared" si="0"/>
        <v/>
      </c>
      <c r="G37" s="1"/>
      <c r="H37" s="1"/>
      <c r="I37" s="1"/>
      <c r="J37" s="11"/>
      <c r="X37" s="5">
        <f t="shared" si="1"/>
        <v>0</v>
      </c>
      <c r="Y37" s="2">
        <f t="shared" si="2"/>
        <v>0</v>
      </c>
    </row>
    <row r="38" spans="4:25" x14ac:dyDescent="0.25">
      <c r="D38" s="12"/>
      <c r="E38" s="5"/>
      <c r="F38" s="19" t="str">
        <f t="shared" si="0"/>
        <v/>
      </c>
      <c r="G38" s="1"/>
      <c r="H38" s="1"/>
      <c r="I38" s="1"/>
      <c r="J38" s="11"/>
      <c r="X38" s="5">
        <f t="shared" si="1"/>
        <v>0</v>
      </c>
      <c r="Y38" s="2">
        <f t="shared" si="2"/>
        <v>0</v>
      </c>
    </row>
    <row r="39" spans="4:25" x14ac:dyDescent="0.25">
      <c r="D39" s="12"/>
      <c r="E39" s="5"/>
      <c r="F39" s="19" t="str">
        <f t="shared" si="0"/>
        <v/>
      </c>
      <c r="G39" s="1"/>
      <c r="H39" s="1"/>
      <c r="I39" s="1"/>
      <c r="J39" s="11"/>
      <c r="X39" s="5">
        <f t="shared" si="1"/>
        <v>0</v>
      </c>
      <c r="Y39" s="2">
        <f t="shared" si="2"/>
        <v>0</v>
      </c>
    </row>
    <row r="40" spans="4:25" x14ac:dyDescent="0.25">
      <c r="D40" s="12"/>
      <c r="E40" s="5"/>
      <c r="F40" s="19" t="str">
        <f t="shared" si="0"/>
        <v/>
      </c>
      <c r="G40" s="1"/>
      <c r="H40" s="1"/>
      <c r="I40" s="1"/>
      <c r="J40" s="11"/>
      <c r="X40" s="5">
        <f t="shared" si="1"/>
        <v>0</v>
      </c>
      <c r="Y40" s="2">
        <f t="shared" si="2"/>
        <v>0</v>
      </c>
    </row>
    <row r="41" spans="4:25" x14ac:dyDescent="0.25">
      <c r="D41" s="12"/>
      <c r="E41" s="5"/>
      <c r="F41" s="19" t="str">
        <f t="shared" si="0"/>
        <v/>
      </c>
      <c r="G41" s="1"/>
      <c r="H41" s="1"/>
      <c r="I41" s="1"/>
      <c r="J41" s="11"/>
      <c r="X41" s="5">
        <f t="shared" si="1"/>
        <v>0</v>
      </c>
      <c r="Y41" s="2">
        <f t="shared" si="2"/>
        <v>0</v>
      </c>
    </row>
    <row r="42" spans="4:25" x14ac:dyDescent="0.25">
      <c r="D42" s="12"/>
      <c r="E42" s="5"/>
      <c r="F42" s="19" t="str">
        <f t="shared" si="0"/>
        <v/>
      </c>
      <c r="G42" s="1"/>
      <c r="H42" s="1"/>
      <c r="I42" s="1"/>
      <c r="J42" s="11"/>
      <c r="X42" s="5">
        <f t="shared" si="1"/>
        <v>0</v>
      </c>
      <c r="Y42" s="2">
        <f t="shared" si="2"/>
        <v>0</v>
      </c>
    </row>
    <row r="43" spans="4:25" x14ac:dyDescent="0.25">
      <c r="D43" s="12"/>
      <c r="E43" s="5"/>
      <c r="F43" s="19" t="str">
        <f t="shared" si="0"/>
        <v/>
      </c>
      <c r="G43" s="1"/>
      <c r="H43" s="1"/>
      <c r="I43" s="1"/>
      <c r="J43" s="11"/>
      <c r="X43" s="5">
        <f t="shared" si="1"/>
        <v>0</v>
      </c>
      <c r="Y43" s="2">
        <f t="shared" si="2"/>
        <v>0</v>
      </c>
    </row>
    <row r="44" spans="4:25" x14ac:dyDescent="0.25">
      <c r="D44" s="12"/>
      <c r="E44" s="5"/>
      <c r="F44" s="19" t="str">
        <f t="shared" si="0"/>
        <v/>
      </c>
      <c r="G44" s="1"/>
      <c r="H44" s="1"/>
      <c r="I44" s="1"/>
      <c r="J44" s="11"/>
      <c r="X44" s="5">
        <f t="shared" si="1"/>
        <v>0</v>
      </c>
      <c r="Y44" s="2">
        <f t="shared" si="2"/>
        <v>0</v>
      </c>
    </row>
    <row r="45" spans="4:25" x14ac:dyDescent="0.25">
      <c r="D45" s="12"/>
      <c r="E45" s="5"/>
      <c r="F45" s="19" t="str">
        <f t="shared" si="0"/>
        <v/>
      </c>
      <c r="G45" s="1"/>
      <c r="H45" s="1"/>
      <c r="I45" s="1"/>
      <c r="J45" s="11"/>
      <c r="X45" s="5">
        <f t="shared" si="1"/>
        <v>0</v>
      </c>
      <c r="Y45" s="2">
        <f t="shared" si="2"/>
        <v>0</v>
      </c>
    </row>
    <row r="46" spans="4:25" x14ac:dyDescent="0.25">
      <c r="D46" s="12"/>
      <c r="E46" s="5"/>
      <c r="F46" s="19" t="str">
        <f t="shared" si="0"/>
        <v/>
      </c>
      <c r="G46" s="1"/>
      <c r="H46" s="1"/>
      <c r="I46" s="1"/>
      <c r="J46" s="11"/>
      <c r="X46" s="5">
        <f t="shared" si="1"/>
        <v>0</v>
      </c>
      <c r="Y46" s="2">
        <f t="shared" si="2"/>
        <v>0</v>
      </c>
    </row>
    <row r="47" spans="4:25" x14ac:dyDescent="0.25">
      <c r="D47" s="12"/>
      <c r="E47" s="5"/>
      <c r="F47" s="19" t="str">
        <f t="shared" si="0"/>
        <v/>
      </c>
      <c r="G47" s="1"/>
      <c r="H47" s="1"/>
      <c r="I47" s="1"/>
      <c r="J47" s="11"/>
      <c r="X47" s="5">
        <f t="shared" si="1"/>
        <v>0</v>
      </c>
      <c r="Y47" s="2">
        <f t="shared" si="2"/>
        <v>0</v>
      </c>
    </row>
    <row r="48" spans="4:25" x14ac:dyDescent="0.25">
      <c r="D48" s="12"/>
      <c r="E48" s="5"/>
      <c r="F48" s="19" t="str">
        <f t="shared" si="0"/>
        <v/>
      </c>
      <c r="G48" s="1"/>
      <c r="H48" s="1"/>
      <c r="I48" s="1"/>
      <c r="J48" s="11"/>
      <c r="X48" s="5">
        <f t="shared" si="1"/>
        <v>0</v>
      </c>
      <c r="Y48" s="2">
        <f t="shared" si="2"/>
        <v>0</v>
      </c>
    </row>
    <row r="49" spans="4:25" x14ac:dyDescent="0.25">
      <c r="D49" s="12"/>
      <c r="E49" s="5"/>
      <c r="F49" s="19" t="str">
        <f t="shared" si="0"/>
        <v/>
      </c>
      <c r="G49" s="1"/>
      <c r="H49" s="1"/>
      <c r="I49" s="1"/>
      <c r="J49" s="11"/>
      <c r="X49" s="5">
        <f t="shared" si="1"/>
        <v>0</v>
      </c>
      <c r="Y49" s="2">
        <f t="shared" si="2"/>
        <v>0</v>
      </c>
    </row>
    <row r="50" spans="4:25" x14ac:dyDescent="0.25">
      <c r="D50" s="12"/>
      <c r="E50" s="5"/>
      <c r="F50" s="19" t="str">
        <f t="shared" si="0"/>
        <v/>
      </c>
      <c r="G50" s="1"/>
      <c r="H50" s="1"/>
      <c r="I50" s="1"/>
      <c r="J50" s="11"/>
      <c r="X50" s="5">
        <f t="shared" si="1"/>
        <v>0</v>
      </c>
      <c r="Y50" s="2">
        <f t="shared" si="2"/>
        <v>0</v>
      </c>
    </row>
    <row r="51" spans="4:25" x14ac:dyDescent="0.25">
      <c r="D51" s="12"/>
      <c r="E51" s="5"/>
      <c r="F51" s="19" t="str">
        <f t="shared" si="0"/>
        <v/>
      </c>
      <c r="G51" s="1"/>
      <c r="H51" s="1"/>
      <c r="I51" s="1"/>
      <c r="J51" s="11"/>
      <c r="X51" s="5">
        <f t="shared" si="1"/>
        <v>0</v>
      </c>
      <c r="Y51" s="2">
        <f t="shared" si="2"/>
        <v>0</v>
      </c>
    </row>
    <row r="52" spans="4:25" x14ac:dyDescent="0.25">
      <c r="D52" s="12"/>
      <c r="E52" s="5"/>
      <c r="F52" s="19" t="str">
        <f t="shared" si="0"/>
        <v/>
      </c>
      <c r="G52" s="1"/>
      <c r="H52" s="1"/>
      <c r="I52" s="1"/>
      <c r="J52" s="9"/>
      <c r="X52" s="5">
        <f t="shared" si="1"/>
        <v>0</v>
      </c>
      <c r="Y52" s="2">
        <f t="shared" si="2"/>
        <v>0</v>
      </c>
    </row>
    <row r="53" spans="4:25" x14ac:dyDescent="0.25">
      <c r="D53" s="1" t="s">
        <v>25</v>
      </c>
      <c r="E53" s="23"/>
      <c r="F53" s="2"/>
      <c r="G53" s="2">
        <f>SUM(G3:G52)</f>
        <v>13.25</v>
      </c>
      <c r="H53" s="2">
        <f t="shared" ref="H53:I53" si="3">SUM(H3:H52)</f>
        <v>0.71</v>
      </c>
      <c r="I53" s="2">
        <f t="shared" si="3"/>
        <v>0.03</v>
      </c>
    </row>
  </sheetData>
  <mergeCells count="4">
    <mergeCell ref="D1:F1"/>
    <mergeCell ref="G1:I1"/>
    <mergeCell ref="K1:Q1"/>
    <mergeCell ref="X1:Z1"/>
  </mergeCells>
  <conditionalFormatting sqref="A1:B1">
    <cfRule type="expression" dxfId="47" priority="1">
      <formula>$Z$3="+"</formula>
    </cfRule>
    <cfRule type="expression" dxfId="46" priority="2">
      <formula>$B$16=$K$3</formula>
    </cfRule>
  </conditionalFormatting>
  <conditionalFormatting sqref="P3">
    <cfRule type="expression" dxfId="45" priority="6">
      <formula>$Z$3="+"</formula>
    </cfRule>
  </conditionalFormatting>
  <conditionalFormatting sqref="Z3">
    <cfRule type="expression" dxfId="44" priority="7">
      <formula>$Z$3="+"</formula>
    </cfRule>
  </conditionalFormatting>
  <pageMargins left="0.7" right="0.7" top="0.75" bottom="0.75" header="0.3" footer="0.3"/>
  <pageSetup orientation="portrait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09033-A76F-40F7-A318-E9AD8DF86EE5}">
  <sheetPr>
    <tabColor rgb="FF92D050"/>
  </sheetPr>
  <dimension ref="A1:Z53"/>
  <sheetViews>
    <sheetView workbookViewId="0">
      <selection activeCell="H8" sqref="H8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1" customWidth="1"/>
    <col min="25" max="25" width="10.7109375" style="11" customWidth="1"/>
    <col min="26" max="26" width="10.7109375" customWidth="1"/>
  </cols>
  <sheetData>
    <row r="1" spans="1:26" x14ac:dyDescent="0.25">
      <c r="A1" s="4" t="s">
        <v>66</v>
      </c>
      <c r="B1" s="5" t="s">
        <v>35</v>
      </c>
      <c r="D1" s="29" t="s">
        <v>2</v>
      </c>
      <c r="E1" s="30"/>
      <c r="F1" s="31"/>
      <c r="G1" s="29" t="s">
        <v>0</v>
      </c>
      <c r="H1" s="30"/>
      <c r="I1" s="31"/>
      <c r="J1" s="18"/>
      <c r="K1" s="29" t="s">
        <v>58</v>
      </c>
      <c r="L1" s="30"/>
      <c r="M1" s="30"/>
      <c r="N1" s="30"/>
      <c r="O1" s="30"/>
      <c r="P1" s="30"/>
      <c r="Q1" s="31"/>
      <c r="X1" s="29"/>
      <c r="Y1" s="30"/>
      <c r="Z1" s="31"/>
    </row>
    <row r="2" spans="1:26" x14ac:dyDescent="0.25">
      <c r="A2" s="4" t="s">
        <v>21</v>
      </c>
      <c r="B2" s="5" t="s">
        <v>23</v>
      </c>
      <c r="D2" s="10" t="s">
        <v>49</v>
      </c>
      <c r="E2" s="10" t="s">
        <v>50</v>
      </c>
      <c r="F2" s="17" t="s">
        <v>67</v>
      </c>
      <c r="G2" s="10" t="s">
        <v>15</v>
      </c>
      <c r="H2" s="10" t="s">
        <v>16</v>
      </c>
      <c r="I2" s="10" t="s">
        <v>60</v>
      </c>
      <c r="J2" s="9"/>
      <c r="K2" s="10" t="s">
        <v>0</v>
      </c>
      <c r="L2" s="10" t="s">
        <v>1</v>
      </c>
      <c r="M2" s="10" t="s">
        <v>56</v>
      </c>
      <c r="N2" s="10" t="s">
        <v>57</v>
      </c>
      <c r="O2" s="10" t="s">
        <v>2</v>
      </c>
      <c r="P2" s="10" t="s">
        <v>68</v>
      </c>
      <c r="Q2" s="10" t="s">
        <v>67</v>
      </c>
      <c r="X2" s="10" t="s">
        <v>2</v>
      </c>
      <c r="Y2" s="10" t="s">
        <v>59</v>
      </c>
      <c r="Z2" s="10" t="s">
        <v>68</v>
      </c>
    </row>
    <row r="3" spans="1:26" x14ac:dyDescent="0.25">
      <c r="A3" s="4" t="s">
        <v>69</v>
      </c>
      <c r="B3" s="5" t="s">
        <v>78</v>
      </c>
      <c r="D3" s="12">
        <v>45991</v>
      </c>
      <c r="E3" s="12">
        <v>45991</v>
      </c>
      <c r="F3" s="19">
        <f t="shared" ref="F3:F52" si="0">IF(E3&gt;0,E3-D3,"")</f>
        <v>0</v>
      </c>
      <c r="G3" s="2">
        <v>0</v>
      </c>
      <c r="H3" s="1">
        <v>0.04</v>
      </c>
      <c r="I3" s="2">
        <v>0</v>
      </c>
      <c r="J3" s="11"/>
      <c r="K3" s="2">
        <f>G53</f>
        <v>12.74</v>
      </c>
      <c r="L3" s="2">
        <f>H53</f>
        <v>0.62</v>
      </c>
      <c r="M3" s="2">
        <f>I53</f>
        <v>0.03</v>
      </c>
      <c r="N3" s="6">
        <f>IF(B16=K3,XIRR(Y3:Y52,X3:X52),"")</f>
        <v>0.12013761401176451</v>
      </c>
      <c r="O3" s="5">
        <f>IF(B16=K3,MAX(E:E),"")</f>
        <v>46129</v>
      </c>
      <c r="P3" s="1" t="str">
        <f ca="1">IF(Z3="+",TODAY()-B11,"")</f>
        <v/>
      </c>
      <c r="Q3" s="1">
        <f>IF(B16=K3,MAX(E:E)-B11,"")</f>
        <v>3</v>
      </c>
      <c r="T3" s="14"/>
      <c r="X3" s="5">
        <f>B9</f>
        <v>45981</v>
      </c>
      <c r="Y3" s="2">
        <f>B16*-1</f>
        <v>-12.74</v>
      </c>
      <c r="Z3" s="1" t="str">
        <f ca="1">IF(AND(TODAY()&gt;B11, K3&lt;&gt;B16), "+", "")</f>
        <v/>
      </c>
    </row>
    <row r="4" spans="1:26" x14ac:dyDescent="0.25">
      <c r="A4" s="4" t="s">
        <v>19</v>
      </c>
      <c r="B4" s="5" t="s">
        <v>20</v>
      </c>
      <c r="D4" s="12">
        <v>46022</v>
      </c>
      <c r="E4" s="12">
        <v>46022</v>
      </c>
      <c r="F4" s="19">
        <f t="shared" si="0"/>
        <v>0</v>
      </c>
      <c r="G4" s="2">
        <v>0</v>
      </c>
      <c r="H4" s="1">
        <v>0.14000000000000001</v>
      </c>
      <c r="I4" s="2">
        <v>0.01</v>
      </c>
      <c r="J4" s="9"/>
      <c r="X4" s="5">
        <f>E3</f>
        <v>45991</v>
      </c>
      <c r="Y4" s="2">
        <f>G3+H3-I3</f>
        <v>0.04</v>
      </c>
    </row>
    <row r="5" spans="1:26" x14ac:dyDescent="0.25">
      <c r="A5" s="4"/>
      <c r="B5" s="5"/>
      <c r="D5" s="12">
        <v>46053</v>
      </c>
      <c r="E5" s="12">
        <v>46053</v>
      </c>
      <c r="F5" s="19">
        <f t="shared" si="0"/>
        <v>0</v>
      </c>
      <c r="G5" s="2">
        <v>0</v>
      </c>
      <c r="H5" s="1">
        <v>7.0000000000000007E-2</v>
      </c>
      <c r="I5" s="2">
        <v>0</v>
      </c>
      <c r="J5" s="9"/>
      <c r="X5" s="5">
        <f t="shared" ref="X5:X52" si="1">E4</f>
        <v>46022</v>
      </c>
      <c r="Y5" s="2">
        <f t="shared" ref="Y5:Y52" si="2">G4+H4-I4</f>
        <v>0.13</v>
      </c>
    </row>
    <row r="6" spans="1:26" x14ac:dyDescent="0.25">
      <c r="A6" s="4"/>
      <c r="B6" s="5"/>
      <c r="D6" s="12">
        <v>46081</v>
      </c>
      <c r="E6" s="12">
        <v>46081</v>
      </c>
      <c r="F6" s="19">
        <f t="shared" si="0"/>
        <v>0</v>
      </c>
      <c r="G6" s="2">
        <v>0</v>
      </c>
      <c r="H6" s="1">
        <v>0.09</v>
      </c>
      <c r="I6" s="2">
        <v>0</v>
      </c>
      <c r="J6" s="9"/>
      <c r="X6" s="5">
        <f t="shared" si="1"/>
        <v>46053</v>
      </c>
      <c r="Y6" s="2">
        <f t="shared" si="2"/>
        <v>7.0000000000000007E-2</v>
      </c>
    </row>
    <row r="7" spans="1:26" x14ac:dyDescent="0.25">
      <c r="A7" s="4"/>
      <c r="B7" s="5"/>
      <c r="D7" s="12">
        <v>46112</v>
      </c>
      <c r="E7" s="12">
        <v>46112</v>
      </c>
      <c r="F7" s="19">
        <f t="shared" si="0"/>
        <v>0</v>
      </c>
      <c r="G7" s="2">
        <v>0</v>
      </c>
      <c r="H7" s="1">
        <v>0.12</v>
      </c>
      <c r="I7" s="2">
        <v>0.01</v>
      </c>
      <c r="J7" s="11"/>
      <c r="X7" s="5">
        <f t="shared" si="1"/>
        <v>46081</v>
      </c>
      <c r="Y7" s="2">
        <f t="shared" si="2"/>
        <v>0.09</v>
      </c>
    </row>
    <row r="8" spans="1:26" x14ac:dyDescent="0.25">
      <c r="A8" s="4" t="s">
        <v>24</v>
      </c>
      <c r="B8" s="5" t="str">
        <f>DATEDIF(B9,B11,"y") &amp; " m. " &amp; DATEDIF(B9,B11,"ym") &amp; " mėn. " &amp; DATEDIF(B9,B11,"md") &amp; " d."</f>
        <v>0 m. 4 mėn. 25 d.</v>
      </c>
      <c r="D8" s="12">
        <v>46126</v>
      </c>
      <c r="E8" s="12">
        <v>46129</v>
      </c>
      <c r="F8" s="19">
        <f t="shared" si="0"/>
        <v>3</v>
      </c>
      <c r="G8" s="1">
        <v>12.74</v>
      </c>
      <c r="H8" s="1">
        <v>0.16</v>
      </c>
      <c r="I8" s="2">
        <v>0.01</v>
      </c>
      <c r="J8" s="9"/>
      <c r="X8" s="5">
        <f t="shared" si="1"/>
        <v>46112</v>
      </c>
      <c r="Y8" s="2">
        <f t="shared" si="2"/>
        <v>0.11</v>
      </c>
    </row>
    <row r="9" spans="1:26" x14ac:dyDescent="0.25">
      <c r="A9" s="4" t="s">
        <v>11</v>
      </c>
      <c r="B9" s="5">
        <v>45981</v>
      </c>
      <c r="D9" s="12"/>
      <c r="E9" s="12"/>
      <c r="F9" s="19" t="str">
        <f t="shared" si="0"/>
        <v/>
      </c>
      <c r="G9" s="2"/>
      <c r="H9" s="2"/>
      <c r="I9" s="2"/>
      <c r="J9" s="11"/>
      <c r="X9" s="5">
        <f t="shared" si="1"/>
        <v>46129</v>
      </c>
      <c r="Y9" s="2">
        <f t="shared" si="2"/>
        <v>12.89</v>
      </c>
    </row>
    <row r="10" spans="1:26" x14ac:dyDescent="0.25">
      <c r="A10" s="4" t="s">
        <v>70</v>
      </c>
      <c r="B10" s="5">
        <v>45947</v>
      </c>
      <c r="D10" s="12"/>
      <c r="E10" s="12"/>
      <c r="F10" s="19" t="str">
        <f t="shared" si="0"/>
        <v/>
      </c>
      <c r="G10" s="1"/>
      <c r="H10" s="1"/>
      <c r="I10" s="2"/>
      <c r="J10" s="11"/>
      <c r="X10" s="5">
        <f t="shared" si="1"/>
        <v>0</v>
      </c>
      <c r="Y10" s="2">
        <f t="shared" si="2"/>
        <v>0</v>
      </c>
    </row>
    <row r="11" spans="1:26" x14ac:dyDescent="0.25">
      <c r="A11" s="4" t="s">
        <v>10</v>
      </c>
      <c r="B11" s="5">
        <v>46126</v>
      </c>
      <c r="D11" s="12"/>
      <c r="E11" s="12"/>
      <c r="F11" s="19" t="str">
        <f t="shared" si="0"/>
        <v/>
      </c>
      <c r="G11" s="1"/>
      <c r="H11" s="2"/>
      <c r="I11" s="2"/>
      <c r="J11" s="11"/>
      <c r="X11" s="5">
        <f t="shared" si="1"/>
        <v>0</v>
      </c>
      <c r="Y11" s="2">
        <f t="shared" si="2"/>
        <v>0</v>
      </c>
    </row>
    <row r="12" spans="1:26" x14ac:dyDescent="0.25">
      <c r="A12" s="4" t="s">
        <v>71</v>
      </c>
      <c r="B12" s="19" t="str">
        <f ca="1">IF(B16&lt;&gt;K3,(TODAY()-B11)*-1,"")</f>
        <v/>
      </c>
      <c r="D12" s="12"/>
      <c r="E12" s="12"/>
      <c r="F12" s="19" t="str">
        <f t="shared" si="0"/>
        <v/>
      </c>
      <c r="G12" s="2"/>
      <c r="H12" s="1"/>
      <c r="I12" s="1"/>
      <c r="J12" s="11"/>
      <c r="X12" s="5">
        <f t="shared" si="1"/>
        <v>0</v>
      </c>
      <c r="Y12" s="2">
        <f t="shared" si="2"/>
        <v>0</v>
      </c>
    </row>
    <row r="13" spans="1:26" x14ac:dyDescent="0.25">
      <c r="A13" s="4"/>
      <c r="B13" s="2"/>
      <c r="D13" s="12"/>
      <c r="E13" s="12"/>
      <c r="F13" s="19" t="str">
        <f t="shared" si="0"/>
        <v/>
      </c>
      <c r="G13" s="1"/>
      <c r="H13" s="2"/>
      <c r="I13" s="2"/>
      <c r="J13" s="11"/>
      <c r="N13" s="14"/>
      <c r="X13" s="5">
        <f t="shared" si="1"/>
        <v>0</v>
      </c>
      <c r="Y13" s="2">
        <f t="shared" si="2"/>
        <v>0</v>
      </c>
    </row>
    <row r="14" spans="1:26" x14ac:dyDescent="0.25">
      <c r="A14" s="13"/>
      <c r="B14" s="20"/>
      <c r="D14" s="12"/>
      <c r="E14" s="5"/>
      <c r="F14" s="19" t="str">
        <f t="shared" si="0"/>
        <v/>
      </c>
      <c r="G14" s="1"/>
      <c r="H14" s="1"/>
      <c r="I14" s="1"/>
      <c r="J14" s="11"/>
      <c r="X14" s="5">
        <f t="shared" si="1"/>
        <v>0</v>
      </c>
      <c r="Y14" s="2">
        <f t="shared" si="2"/>
        <v>0</v>
      </c>
    </row>
    <row r="15" spans="1:26" x14ac:dyDescent="0.25">
      <c r="A15" s="4" t="s">
        <v>1</v>
      </c>
      <c r="B15" s="6">
        <v>0.12</v>
      </c>
      <c r="D15" s="12"/>
      <c r="E15" s="5"/>
      <c r="F15" s="19" t="str">
        <f t="shared" si="0"/>
        <v/>
      </c>
      <c r="G15" s="1"/>
      <c r="H15" s="1"/>
      <c r="I15" s="1"/>
      <c r="J15" s="11"/>
      <c r="K15" s="18"/>
      <c r="L15" s="18"/>
      <c r="M15" s="18"/>
      <c r="N15" s="18"/>
      <c r="O15" s="18"/>
      <c r="P15" s="18"/>
      <c r="Q15" s="18"/>
      <c r="X15" s="5">
        <f t="shared" si="1"/>
        <v>0</v>
      </c>
      <c r="Y15" s="2">
        <f t="shared" si="2"/>
        <v>0</v>
      </c>
    </row>
    <row r="16" spans="1:26" x14ac:dyDescent="0.25">
      <c r="A16" s="4" t="s">
        <v>72</v>
      </c>
      <c r="B16" s="2">
        <v>12.74</v>
      </c>
      <c r="D16" s="12"/>
      <c r="E16" s="5"/>
      <c r="F16" s="19" t="str">
        <f t="shared" si="0"/>
        <v/>
      </c>
      <c r="G16" s="1"/>
      <c r="H16" s="1"/>
      <c r="I16" s="1"/>
      <c r="J16" s="11"/>
      <c r="K16" s="9"/>
      <c r="L16" s="9"/>
      <c r="M16" s="9"/>
      <c r="N16" s="21"/>
      <c r="O16" s="22"/>
      <c r="P16" s="11"/>
      <c r="Q16" s="11"/>
      <c r="X16" s="5">
        <f t="shared" si="1"/>
        <v>0</v>
      </c>
      <c r="Y16" s="2">
        <f t="shared" si="2"/>
        <v>0</v>
      </c>
    </row>
    <row r="17" spans="2:25" x14ac:dyDescent="0.25">
      <c r="D17" s="12"/>
      <c r="E17" s="5"/>
      <c r="F17" s="19" t="str">
        <f t="shared" si="0"/>
        <v/>
      </c>
      <c r="G17" s="1"/>
      <c r="H17" s="1"/>
      <c r="I17" s="1"/>
      <c r="J17" s="11"/>
      <c r="X17" s="5">
        <f t="shared" si="1"/>
        <v>0</v>
      </c>
      <c r="Y17" s="2">
        <f t="shared" si="2"/>
        <v>0</v>
      </c>
    </row>
    <row r="18" spans="2:25" x14ac:dyDescent="0.25">
      <c r="D18" s="12"/>
      <c r="E18" s="5"/>
      <c r="F18" s="19" t="str">
        <f t="shared" si="0"/>
        <v/>
      </c>
      <c r="G18" s="1"/>
      <c r="H18" s="1"/>
      <c r="I18" s="1"/>
      <c r="J18" s="11"/>
      <c r="X18" s="5">
        <f t="shared" si="1"/>
        <v>0</v>
      </c>
      <c r="Y18" s="2">
        <f t="shared" si="2"/>
        <v>0</v>
      </c>
    </row>
    <row r="19" spans="2:25" x14ac:dyDescent="0.25">
      <c r="D19" s="12"/>
      <c r="E19" s="5"/>
      <c r="F19" s="19" t="str">
        <f t="shared" si="0"/>
        <v/>
      </c>
      <c r="G19" s="1"/>
      <c r="H19" s="1"/>
      <c r="I19" s="1"/>
      <c r="J19" s="11"/>
      <c r="X19" s="5">
        <f t="shared" si="1"/>
        <v>0</v>
      </c>
      <c r="Y19" s="2">
        <f t="shared" si="2"/>
        <v>0</v>
      </c>
    </row>
    <row r="20" spans="2:25" x14ac:dyDescent="0.25">
      <c r="D20" s="12"/>
      <c r="E20" s="5"/>
      <c r="F20" s="19" t="str">
        <f t="shared" si="0"/>
        <v/>
      </c>
      <c r="G20" s="1"/>
      <c r="H20" s="1"/>
      <c r="I20" s="1"/>
      <c r="J20" s="11"/>
      <c r="X20" s="5">
        <f t="shared" si="1"/>
        <v>0</v>
      </c>
      <c r="Y20" s="2">
        <f t="shared" si="2"/>
        <v>0</v>
      </c>
    </row>
    <row r="21" spans="2:25" x14ac:dyDescent="0.25">
      <c r="D21" s="12"/>
      <c r="E21" s="5"/>
      <c r="F21" s="19" t="str">
        <f t="shared" si="0"/>
        <v/>
      </c>
      <c r="G21" s="1"/>
      <c r="H21" s="1"/>
      <c r="I21" s="1"/>
      <c r="J21" s="11"/>
      <c r="X21" s="5">
        <f t="shared" si="1"/>
        <v>0</v>
      </c>
      <c r="Y21" s="2">
        <f t="shared" si="2"/>
        <v>0</v>
      </c>
    </row>
    <row r="22" spans="2:25" x14ac:dyDescent="0.25">
      <c r="D22" s="12"/>
      <c r="E22" s="5"/>
      <c r="F22" s="19" t="str">
        <f t="shared" si="0"/>
        <v/>
      </c>
      <c r="G22" s="1"/>
      <c r="H22" s="1"/>
      <c r="I22" s="1"/>
      <c r="J22" s="11"/>
      <c r="X22" s="5">
        <f t="shared" si="1"/>
        <v>0</v>
      </c>
      <c r="Y22" s="2">
        <f t="shared" si="2"/>
        <v>0</v>
      </c>
    </row>
    <row r="23" spans="2:25" x14ac:dyDescent="0.25">
      <c r="B23" s="22"/>
      <c r="D23" s="12"/>
      <c r="E23" s="5"/>
      <c r="F23" s="19" t="str">
        <f t="shared" si="0"/>
        <v/>
      </c>
      <c r="G23" s="1"/>
      <c r="H23" s="1"/>
      <c r="I23" s="1"/>
      <c r="J23" s="11"/>
      <c r="X23" s="5">
        <f t="shared" si="1"/>
        <v>0</v>
      </c>
      <c r="Y23" s="2">
        <f t="shared" si="2"/>
        <v>0</v>
      </c>
    </row>
    <row r="24" spans="2:25" x14ac:dyDescent="0.25">
      <c r="D24" s="12"/>
      <c r="E24" s="5"/>
      <c r="F24" s="19" t="str">
        <f t="shared" si="0"/>
        <v/>
      </c>
      <c r="G24" s="1"/>
      <c r="H24" s="1"/>
      <c r="I24" s="1"/>
      <c r="J24" s="11"/>
      <c r="X24" s="5">
        <f t="shared" si="1"/>
        <v>0</v>
      </c>
      <c r="Y24" s="2">
        <f t="shared" si="2"/>
        <v>0</v>
      </c>
    </row>
    <row r="25" spans="2:25" x14ac:dyDescent="0.25">
      <c r="D25" s="12"/>
      <c r="E25" s="5"/>
      <c r="F25" s="19" t="str">
        <f t="shared" si="0"/>
        <v/>
      </c>
      <c r="G25" s="1"/>
      <c r="H25" s="1"/>
      <c r="I25" s="1"/>
      <c r="J25" s="11"/>
      <c r="X25" s="5">
        <f t="shared" si="1"/>
        <v>0</v>
      </c>
      <c r="Y25" s="2">
        <f t="shared" si="2"/>
        <v>0</v>
      </c>
    </row>
    <row r="26" spans="2:25" x14ac:dyDescent="0.25">
      <c r="D26" s="12"/>
      <c r="E26" s="5"/>
      <c r="F26" s="19" t="str">
        <f t="shared" si="0"/>
        <v/>
      </c>
      <c r="G26" s="1"/>
      <c r="H26" s="1"/>
      <c r="I26" s="1"/>
      <c r="J26" s="11"/>
      <c r="X26" s="5">
        <f t="shared" si="1"/>
        <v>0</v>
      </c>
      <c r="Y26" s="2">
        <f t="shared" si="2"/>
        <v>0</v>
      </c>
    </row>
    <row r="27" spans="2:25" x14ac:dyDescent="0.25">
      <c r="D27" s="12"/>
      <c r="E27" s="5"/>
      <c r="F27" s="19" t="str">
        <f t="shared" si="0"/>
        <v/>
      </c>
      <c r="G27" s="1"/>
      <c r="H27" s="1"/>
      <c r="I27" s="1"/>
      <c r="J27" s="11"/>
      <c r="X27" s="5">
        <f t="shared" si="1"/>
        <v>0</v>
      </c>
      <c r="Y27" s="2">
        <f t="shared" si="2"/>
        <v>0</v>
      </c>
    </row>
    <row r="28" spans="2:25" x14ac:dyDescent="0.25">
      <c r="D28" s="12"/>
      <c r="E28" s="5"/>
      <c r="F28" s="19" t="str">
        <f t="shared" si="0"/>
        <v/>
      </c>
      <c r="G28" s="1"/>
      <c r="H28" s="1"/>
      <c r="I28" s="1"/>
      <c r="J28" s="11"/>
      <c r="X28" s="5">
        <f t="shared" si="1"/>
        <v>0</v>
      </c>
      <c r="Y28" s="2">
        <f t="shared" si="2"/>
        <v>0</v>
      </c>
    </row>
    <row r="29" spans="2:25" x14ac:dyDescent="0.25">
      <c r="D29" s="12"/>
      <c r="E29" s="5"/>
      <c r="F29" s="19" t="str">
        <f t="shared" si="0"/>
        <v/>
      </c>
      <c r="G29" s="1"/>
      <c r="H29" s="1"/>
      <c r="I29" s="1"/>
      <c r="J29" s="11"/>
      <c r="X29" s="5">
        <f t="shared" si="1"/>
        <v>0</v>
      </c>
      <c r="Y29" s="2">
        <f t="shared" si="2"/>
        <v>0</v>
      </c>
    </row>
    <row r="30" spans="2:25" x14ac:dyDescent="0.25">
      <c r="D30" s="12"/>
      <c r="E30" s="5"/>
      <c r="F30" s="19" t="str">
        <f t="shared" si="0"/>
        <v/>
      </c>
      <c r="G30" s="1"/>
      <c r="H30" s="1"/>
      <c r="I30" s="1"/>
      <c r="J30" s="11"/>
      <c r="X30" s="5">
        <f t="shared" si="1"/>
        <v>0</v>
      </c>
      <c r="Y30" s="2">
        <f t="shared" si="2"/>
        <v>0</v>
      </c>
    </row>
    <row r="31" spans="2:25" x14ac:dyDescent="0.25">
      <c r="D31" s="12"/>
      <c r="E31" s="5"/>
      <c r="F31" s="19" t="str">
        <f t="shared" si="0"/>
        <v/>
      </c>
      <c r="G31" s="1"/>
      <c r="H31" s="1"/>
      <c r="I31" s="1"/>
      <c r="J31" s="11"/>
      <c r="X31" s="5">
        <f t="shared" si="1"/>
        <v>0</v>
      </c>
      <c r="Y31" s="2">
        <f t="shared" si="2"/>
        <v>0</v>
      </c>
    </row>
    <row r="32" spans="2:25" x14ac:dyDescent="0.25">
      <c r="D32" s="12"/>
      <c r="E32" s="5"/>
      <c r="F32" s="19" t="str">
        <f t="shared" si="0"/>
        <v/>
      </c>
      <c r="G32" s="1"/>
      <c r="H32" s="1"/>
      <c r="I32" s="1"/>
      <c r="J32" s="11"/>
      <c r="X32" s="5">
        <f t="shared" si="1"/>
        <v>0</v>
      </c>
      <c r="Y32" s="2">
        <f t="shared" si="2"/>
        <v>0</v>
      </c>
    </row>
    <row r="33" spans="4:25" x14ac:dyDescent="0.25">
      <c r="D33" s="12"/>
      <c r="E33" s="5"/>
      <c r="F33" s="19" t="str">
        <f t="shared" si="0"/>
        <v/>
      </c>
      <c r="G33" s="1"/>
      <c r="H33" s="1"/>
      <c r="I33" s="1"/>
      <c r="J33" s="11"/>
      <c r="X33" s="5">
        <f t="shared" si="1"/>
        <v>0</v>
      </c>
      <c r="Y33" s="2">
        <f t="shared" si="2"/>
        <v>0</v>
      </c>
    </row>
    <row r="34" spans="4:25" x14ac:dyDescent="0.25">
      <c r="D34" s="12"/>
      <c r="E34" s="5"/>
      <c r="F34" s="19" t="str">
        <f t="shared" si="0"/>
        <v/>
      </c>
      <c r="G34" s="1"/>
      <c r="H34" s="1"/>
      <c r="I34" s="1"/>
      <c r="J34" s="11"/>
      <c r="X34" s="5">
        <f t="shared" si="1"/>
        <v>0</v>
      </c>
      <c r="Y34" s="2">
        <f t="shared" si="2"/>
        <v>0</v>
      </c>
    </row>
    <row r="35" spans="4:25" x14ac:dyDescent="0.25">
      <c r="D35" s="12"/>
      <c r="E35" s="5"/>
      <c r="F35" s="19" t="str">
        <f t="shared" si="0"/>
        <v/>
      </c>
      <c r="G35" s="1"/>
      <c r="H35" s="1"/>
      <c r="I35" s="1"/>
      <c r="J35" s="11"/>
      <c r="X35" s="5">
        <f t="shared" si="1"/>
        <v>0</v>
      </c>
      <c r="Y35" s="2">
        <f t="shared" si="2"/>
        <v>0</v>
      </c>
    </row>
    <row r="36" spans="4:25" x14ac:dyDescent="0.25">
      <c r="D36" s="12"/>
      <c r="E36" s="5"/>
      <c r="F36" s="19" t="str">
        <f t="shared" si="0"/>
        <v/>
      </c>
      <c r="G36" s="1"/>
      <c r="H36" s="1"/>
      <c r="I36" s="1"/>
      <c r="J36" s="11"/>
      <c r="X36" s="5">
        <f t="shared" si="1"/>
        <v>0</v>
      </c>
      <c r="Y36" s="2">
        <f t="shared" si="2"/>
        <v>0</v>
      </c>
    </row>
    <row r="37" spans="4:25" x14ac:dyDescent="0.25">
      <c r="D37" s="12"/>
      <c r="E37" s="5"/>
      <c r="F37" s="19" t="str">
        <f t="shared" si="0"/>
        <v/>
      </c>
      <c r="G37" s="1"/>
      <c r="H37" s="1"/>
      <c r="I37" s="1"/>
      <c r="J37" s="11"/>
      <c r="X37" s="5">
        <f t="shared" si="1"/>
        <v>0</v>
      </c>
      <c r="Y37" s="2">
        <f t="shared" si="2"/>
        <v>0</v>
      </c>
    </row>
    <row r="38" spans="4:25" x14ac:dyDescent="0.25">
      <c r="D38" s="12"/>
      <c r="E38" s="5"/>
      <c r="F38" s="19" t="str">
        <f t="shared" si="0"/>
        <v/>
      </c>
      <c r="G38" s="1"/>
      <c r="H38" s="1"/>
      <c r="I38" s="1"/>
      <c r="J38" s="11"/>
      <c r="X38" s="5">
        <f t="shared" si="1"/>
        <v>0</v>
      </c>
      <c r="Y38" s="2">
        <f t="shared" si="2"/>
        <v>0</v>
      </c>
    </row>
    <row r="39" spans="4:25" x14ac:dyDescent="0.25">
      <c r="D39" s="12"/>
      <c r="E39" s="5"/>
      <c r="F39" s="19" t="str">
        <f t="shared" si="0"/>
        <v/>
      </c>
      <c r="G39" s="1"/>
      <c r="H39" s="1"/>
      <c r="I39" s="1"/>
      <c r="J39" s="11"/>
      <c r="X39" s="5">
        <f t="shared" si="1"/>
        <v>0</v>
      </c>
      <c r="Y39" s="2">
        <f t="shared" si="2"/>
        <v>0</v>
      </c>
    </row>
    <row r="40" spans="4:25" x14ac:dyDescent="0.25">
      <c r="D40" s="12"/>
      <c r="E40" s="5"/>
      <c r="F40" s="19" t="str">
        <f t="shared" si="0"/>
        <v/>
      </c>
      <c r="G40" s="1"/>
      <c r="H40" s="1"/>
      <c r="I40" s="1"/>
      <c r="J40" s="11"/>
      <c r="X40" s="5">
        <f t="shared" si="1"/>
        <v>0</v>
      </c>
      <c r="Y40" s="2">
        <f t="shared" si="2"/>
        <v>0</v>
      </c>
    </row>
    <row r="41" spans="4:25" x14ac:dyDescent="0.25">
      <c r="D41" s="12"/>
      <c r="E41" s="5"/>
      <c r="F41" s="19" t="str">
        <f t="shared" si="0"/>
        <v/>
      </c>
      <c r="G41" s="1"/>
      <c r="H41" s="1"/>
      <c r="I41" s="1"/>
      <c r="J41" s="11"/>
      <c r="X41" s="5">
        <f t="shared" si="1"/>
        <v>0</v>
      </c>
      <c r="Y41" s="2">
        <f t="shared" si="2"/>
        <v>0</v>
      </c>
    </row>
    <row r="42" spans="4:25" x14ac:dyDescent="0.25">
      <c r="D42" s="12"/>
      <c r="E42" s="5"/>
      <c r="F42" s="19" t="str">
        <f t="shared" si="0"/>
        <v/>
      </c>
      <c r="G42" s="1"/>
      <c r="H42" s="1"/>
      <c r="I42" s="1"/>
      <c r="J42" s="11"/>
      <c r="X42" s="5">
        <f t="shared" si="1"/>
        <v>0</v>
      </c>
      <c r="Y42" s="2">
        <f t="shared" si="2"/>
        <v>0</v>
      </c>
    </row>
    <row r="43" spans="4:25" x14ac:dyDescent="0.25">
      <c r="D43" s="12"/>
      <c r="E43" s="5"/>
      <c r="F43" s="19" t="str">
        <f t="shared" si="0"/>
        <v/>
      </c>
      <c r="G43" s="1"/>
      <c r="H43" s="1"/>
      <c r="I43" s="1"/>
      <c r="J43" s="11"/>
      <c r="X43" s="5">
        <f t="shared" si="1"/>
        <v>0</v>
      </c>
      <c r="Y43" s="2">
        <f t="shared" si="2"/>
        <v>0</v>
      </c>
    </row>
    <row r="44" spans="4:25" x14ac:dyDescent="0.25">
      <c r="D44" s="12"/>
      <c r="E44" s="5"/>
      <c r="F44" s="19" t="str">
        <f t="shared" si="0"/>
        <v/>
      </c>
      <c r="G44" s="1"/>
      <c r="H44" s="1"/>
      <c r="I44" s="1"/>
      <c r="J44" s="11"/>
      <c r="X44" s="5">
        <f t="shared" si="1"/>
        <v>0</v>
      </c>
      <c r="Y44" s="2">
        <f t="shared" si="2"/>
        <v>0</v>
      </c>
    </row>
    <row r="45" spans="4:25" x14ac:dyDescent="0.25">
      <c r="D45" s="12"/>
      <c r="E45" s="5"/>
      <c r="F45" s="19" t="str">
        <f t="shared" si="0"/>
        <v/>
      </c>
      <c r="G45" s="1"/>
      <c r="H45" s="1"/>
      <c r="I45" s="1"/>
      <c r="J45" s="11"/>
      <c r="X45" s="5">
        <f t="shared" si="1"/>
        <v>0</v>
      </c>
      <c r="Y45" s="2">
        <f t="shared" si="2"/>
        <v>0</v>
      </c>
    </row>
    <row r="46" spans="4:25" x14ac:dyDescent="0.25">
      <c r="D46" s="12"/>
      <c r="E46" s="5"/>
      <c r="F46" s="19" t="str">
        <f t="shared" si="0"/>
        <v/>
      </c>
      <c r="G46" s="1"/>
      <c r="H46" s="1"/>
      <c r="I46" s="1"/>
      <c r="J46" s="11"/>
      <c r="X46" s="5">
        <f t="shared" si="1"/>
        <v>0</v>
      </c>
      <c r="Y46" s="2">
        <f t="shared" si="2"/>
        <v>0</v>
      </c>
    </row>
    <row r="47" spans="4:25" x14ac:dyDescent="0.25">
      <c r="D47" s="12"/>
      <c r="E47" s="5"/>
      <c r="F47" s="19" t="str">
        <f t="shared" si="0"/>
        <v/>
      </c>
      <c r="G47" s="1"/>
      <c r="H47" s="1"/>
      <c r="I47" s="1"/>
      <c r="J47" s="11"/>
      <c r="X47" s="5">
        <f t="shared" si="1"/>
        <v>0</v>
      </c>
      <c r="Y47" s="2">
        <f t="shared" si="2"/>
        <v>0</v>
      </c>
    </row>
    <row r="48" spans="4:25" x14ac:dyDescent="0.25">
      <c r="D48" s="12"/>
      <c r="E48" s="5"/>
      <c r="F48" s="19" t="str">
        <f t="shared" si="0"/>
        <v/>
      </c>
      <c r="G48" s="1"/>
      <c r="H48" s="1"/>
      <c r="I48" s="1"/>
      <c r="J48" s="11"/>
      <c r="X48" s="5">
        <f t="shared" si="1"/>
        <v>0</v>
      </c>
      <c r="Y48" s="2">
        <f t="shared" si="2"/>
        <v>0</v>
      </c>
    </row>
    <row r="49" spans="4:25" x14ac:dyDescent="0.25">
      <c r="D49" s="12"/>
      <c r="E49" s="5"/>
      <c r="F49" s="19" t="str">
        <f t="shared" si="0"/>
        <v/>
      </c>
      <c r="G49" s="1"/>
      <c r="H49" s="1"/>
      <c r="I49" s="1"/>
      <c r="J49" s="11"/>
      <c r="X49" s="5">
        <f t="shared" si="1"/>
        <v>0</v>
      </c>
      <c r="Y49" s="2">
        <f t="shared" si="2"/>
        <v>0</v>
      </c>
    </row>
    <row r="50" spans="4:25" x14ac:dyDescent="0.25">
      <c r="D50" s="12"/>
      <c r="E50" s="5"/>
      <c r="F50" s="19" t="str">
        <f t="shared" si="0"/>
        <v/>
      </c>
      <c r="G50" s="1"/>
      <c r="H50" s="1"/>
      <c r="I50" s="1"/>
      <c r="J50" s="11"/>
      <c r="X50" s="5">
        <f t="shared" si="1"/>
        <v>0</v>
      </c>
      <c r="Y50" s="2">
        <f t="shared" si="2"/>
        <v>0</v>
      </c>
    </row>
    <row r="51" spans="4:25" x14ac:dyDescent="0.25">
      <c r="D51" s="12"/>
      <c r="E51" s="5"/>
      <c r="F51" s="19" t="str">
        <f t="shared" si="0"/>
        <v/>
      </c>
      <c r="G51" s="1"/>
      <c r="H51" s="1"/>
      <c r="I51" s="1"/>
      <c r="J51" s="11"/>
      <c r="X51" s="5">
        <f t="shared" si="1"/>
        <v>0</v>
      </c>
      <c r="Y51" s="2">
        <f t="shared" si="2"/>
        <v>0</v>
      </c>
    </row>
    <row r="52" spans="4:25" x14ac:dyDescent="0.25">
      <c r="D52" s="12"/>
      <c r="E52" s="5"/>
      <c r="F52" s="19" t="str">
        <f t="shared" si="0"/>
        <v/>
      </c>
      <c r="G52" s="1"/>
      <c r="H52" s="1"/>
      <c r="I52" s="1"/>
      <c r="J52" s="9"/>
      <c r="X52" s="5">
        <f t="shared" si="1"/>
        <v>0</v>
      </c>
      <c r="Y52" s="2">
        <f t="shared" si="2"/>
        <v>0</v>
      </c>
    </row>
    <row r="53" spans="4:25" x14ac:dyDescent="0.25">
      <c r="D53" s="1" t="s">
        <v>25</v>
      </c>
      <c r="E53" s="23"/>
      <c r="F53" s="2"/>
      <c r="G53" s="2">
        <f>SUM(G3:G52)</f>
        <v>12.74</v>
      </c>
      <c r="H53" s="2">
        <f t="shared" ref="H53:I53" si="3">SUM(H3:H52)</f>
        <v>0.62</v>
      </c>
      <c r="I53" s="2">
        <f t="shared" si="3"/>
        <v>0.03</v>
      </c>
    </row>
  </sheetData>
  <mergeCells count="4">
    <mergeCell ref="D1:F1"/>
    <mergeCell ref="G1:I1"/>
    <mergeCell ref="K1:Q1"/>
    <mergeCell ref="X1:Z1"/>
  </mergeCells>
  <conditionalFormatting sqref="A1:B1">
    <cfRule type="expression" dxfId="43" priority="1">
      <formula>$Z$3="+"</formula>
    </cfRule>
    <cfRule type="expression" dxfId="42" priority="2">
      <formula>$B$16=$K$3</formula>
    </cfRule>
  </conditionalFormatting>
  <conditionalFormatting sqref="P3">
    <cfRule type="expression" dxfId="41" priority="6">
      <formula>$Z$3="+"</formula>
    </cfRule>
  </conditionalFormatting>
  <conditionalFormatting sqref="Z3">
    <cfRule type="expression" dxfId="40" priority="7">
      <formula>$Z$3="+"</formula>
    </cfRule>
  </conditionalFormatting>
  <pageMargins left="0.7" right="0.7" top="0.75" bottom="0.75" header="0.3" footer="0.3"/>
  <pageSetup orientation="portrait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40DB9-01B8-4B09-8631-95AAA7D7689D}">
  <sheetPr>
    <tabColor rgb="FF92D050"/>
  </sheetPr>
  <dimension ref="A1:Z53"/>
  <sheetViews>
    <sheetView workbookViewId="0">
      <selection activeCell="I8" sqref="I8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1" customWidth="1"/>
    <col min="25" max="25" width="10.7109375" style="11" customWidth="1"/>
    <col min="26" max="26" width="10.7109375" customWidth="1"/>
  </cols>
  <sheetData>
    <row r="1" spans="1:26" x14ac:dyDescent="0.25">
      <c r="A1" s="4" t="s">
        <v>66</v>
      </c>
      <c r="B1" s="5" t="s">
        <v>34</v>
      </c>
      <c r="D1" s="29" t="s">
        <v>2</v>
      </c>
      <c r="E1" s="30"/>
      <c r="F1" s="31"/>
      <c r="G1" s="29" t="s">
        <v>0</v>
      </c>
      <c r="H1" s="30"/>
      <c r="I1" s="31"/>
      <c r="J1" s="18"/>
      <c r="K1" s="29" t="s">
        <v>58</v>
      </c>
      <c r="L1" s="30"/>
      <c r="M1" s="30"/>
      <c r="N1" s="30"/>
      <c r="O1" s="30"/>
      <c r="P1" s="30"/>
      <c r="Q1" s="31"/>
      <c r="X1" s="29"/>
      <c r="Y1" s="30"/>
      <c r="Z1" s="31"/>
    </row>
    <row r="2" spans="1:26" x14ac:dyDescent="0.25">
      <c r="A2" s="4" t="s">
        <v>21</v>
      </c>
      <c r="B2" s="5" t="s">
        <v>22</v>
      </c>
      <c r="D2" s="10" t="s">
        <v>49</v>
      </c>
      <c r="E2" s="10" t="s">
        <v>50</v>
      </c>
      <c r="F2" s="17" t="s">
        <v>67</v>
      </c>
      <c r="G2" s="10" t="s">
        <v>15</v>
      </c>
      <c r="H2" s="10" t="s">
        <v>16</v>
      </c>
      <c r="I2" s="10" t="s">
        <v>60</v>
      </c>
      <c r="J2" s="9"/>
      <c r="K2" s="10" t="s">
        <v>0</v>
      </c>
      <c r="L2" s="10" t="s">
        <v>1</v>
      </c>
      <c r="M2" s="10" t="s">
        <v>56</v>
      </c>
      <c r="N2" s="10" t="s">
        <v>57</v>
      </c>
      <c r="O2" s="10" t="s">
        <v>2</v>
      </c>
      <c r="P2" s="10" t="s">
        <v>68</v>
      </c>
      <c r="Q2" s="10" t="s">
        <v>67</v>
      </c>
      <c r="X2" s="10" t="s">
        <v>2</v>
      </c>
      <c r="Y2" s="10" t="s">
        <v>59</v>
      </c>
      <c r="Z2" s="10" t="s">
        <v>68</v>
      </c>
    </row>
    <row r="3" spans="1:26" x14ac:dyDescent="0.25">
      <c r="A3" s="4" t="s">
        <v>69</v>
      </c>
      <c r="B3" s="5" t="s">
        <v>78</v>
      </c>
      <c r="D3" s="12">
        <v>45991</v>
      </c>
      <c r="E3" s="12">
        <v>45991</v>
      </c>
      <c r="F3" s="19">
        <f t="shared" ref="F3:F52" si="0">IF(E3&gt;0,E3-D3,"")</f>
        <v>0</v>
      </c>
      <c r="G3" s="2">
        <v>0</v>
      </c>
      <c r="H3" s="1">
        <v>0.12</v>
      </c>
      <c r="I3" s="2">
        <v>0.01</v>
      </c>
      <c r="J3" s="11"/>
      <c r="K3" s="2">
        <f>G53</f>
        <v>17.670000000000002</v>
      </c>
      <c r="L3" s="2">
        <f>H53</f>
        <v>0.78</v>
      </c>
      <c r="M3" s="2">
        <f>I53</f>
        <v>0.04</v>
      </c>
      <c r="N3" s="6">
        <f>IF(B16=K3,XIRR(Y3:Y52,X3:X52),"")</f>
        <v>0.11873576045036316</v>
      </c>
      <c r="O3" s="5">
        <f>IF(B16=K3,MAX(E:E),"")</f>
        <v>46142</v>
      </c>
      <c r="P3" s="1" t="str">
        <f ca="1">IF(Z3="+",TODAY()-B11,"")</f>
        <v/>
      </c>
      <c r="Q3" s="1">
        <f>IF(B16=K3,MAX(E:E)-B11,"")</f>
        <v>30</v>
      </c>
      <c r="T3" s="14"/>
      <c r="X3" s="5">
        <f>B9</f>
        <v>45971</v>
      </c>
      <c r="Y3" s="2">
        <f>B16*-1</f>
        <v>-17.670000000000002</v>
      </c>
      <c r="Z3" s="1" t="str">
        <f ca="1">IF(AND(TODAY()&gt;B11, K3&lt;&gt;B16), "+", "")</f>
        <v/>
      </c>
    </row>
    <row r="4" spans="1:26" x14ac:dyDescent="0.25">
      <c r="A4" s="4" t="s">
        <v>19</v>
      </c>
      <c r="B4" s="5" t="s">
        <v>20</v>
      </c>
      <c r="D4" s="12">
        <v>46022</v>
      </c>
      <c r="E4" s="12">
        <v>46022</v>
      </c>
      <c r="F4" s="19">
        <f t="shared" si="0"/>
        <v>0</v>
      </c>
      <c r="G4" s="2">
        <v>0</v>
      </c>
      <c r="H4" s="1">
        <v>0.19</v>
      </c>
      <c r="I4" s="2">
        <v>0.01</v>
      </c>
      <c r="J4" s="9"/>
      <c r="X4" s="5">
        <f>E3</f>
        <v>45991</v>
      </c>
      <c r="Y4" s="2">
        <f>G3+H3-I3</f>
        <v>0.11</v>
      </c>
    </row>
    <row r="5" spans="1:26" x14ac:dyDescent="0.25">
      <c r="A5" s="4"/>
      <c r="B5" s="5"/>
      <c r="D5" s="12">
        <v>46053</v>
      </c>
      <c r="E5" s="12">
        <v>46053</v>
      </c>
      <c r="F5" s="19">
        <f t="shared" si="0"/>
        <v>0</v>
      </c>
      <c r="G5" s="2">
        <v>0</v>
      </c>
      <c r="H5" s="2">
        <v>0.1</v>
      </c>
      <c r="I5" s="2">
        <v>0</v>
      </c>
      <c r="J5" s="9"/>
      <c r="X5" s="5">
        <f t="shared" ref="X5:X52" si="1">E4</f>
        <v>46022</v>
      </c>
      <c r="Y5" s="2">
        <f t="shared" ref="Y5:Y52" si="2">G4+H4-I4</f>
        <v>0.18</v>
      </c>
    </row>
    <row r="6" spans="1:26" x14ac:dyDescent="0.25">
      <c r="A6" s="4"/>
      <c r="B6" s="5"/>
      <c r="D6" s="12">
        <v>46081</v>
      </c>
      <c r="E6" s="12">
        <v>46081</v>
      </c>
      <c r="F6" s="19">
        <f t="shared" si="0"/>
        <v>0</v>
      </c>
      <c r="G6" s="2">
        <v>0</v>
      </c>
      <c r="H6" s="1">
        <v>0.13</v>
      </c>
      <c r="I6" s="2">
        <v>0.01</v>
      </c>
      <c r="J6" s="9"/>
      <c r="X6" s="5">
        <f t="shared" si="1"/>
        <v>46053</v>
      </c>
      <c r="Y6" s="2">
        <f t="shared" si="2"/>
        <v>0.1</v>
      </c>
    </row>
    <row r="7" spans="1:26" x14ac:dyDescent="0.25">
      <c r="A7" s="4"/>
      <c r="B7" s="5"/>
      <c r="D7" s="12">
        <v>46106</v>
      </c>
      <c r="E7" s="12">
        <v>46106</v>
      </c>
      <c r="F7" s="19">
        <f t="shared" si="0"/>
        <v>0</v>
      </c>
      <c r="G7" s="1">
        <v>17.670000000000002</v>
      </c>
      <c r="H7" s="2">
        <v>0</v>
      </c>
      <c r="I7" s="2">
        <v>0</v>
      </c>
      <c r="J7" s="11"/>
      <c r="X7" s="5">
        <f t="shared" si="1"/>
        <v>46081</v>
      </c>
      <c r="Y7" s="2">
        <f t="shared" si="2"/>
        <v>0.12000000000000001</v>
      </c>
    </row>
    <row r="8" spans="1:26" x14ac:dyDescent="0.25">
      <c r="A8" s="4" t="s">
        <v>24</v>
      </c>
      <c r="B8" s="5" t="str">
        <f>DATEDIF(B9,B11,"y") &amp; " m. " &amp; DATEDIF(B9,B11,"ym") &amp; " mėn. " &amp; DATEDIF(B9,B11,"md") &amp; " d."</f>
        <v>0 m. 4 mėn. 21 d.</v>
      </c>
      <c r="D8" s="12">
        <v>46112</v>
      </c>
      <c r="E8" s="12">
        <v>46142</v>
      </c>
      <c r="F8" s="19">
        <f t="shared" si="0"/>
        <v>30</v>
      </c>
      <c r="G8" s="2">
        <v>0</v>
      </c>
      <c r="H8" s="1">
        <v>0.24</v>
      </c>
      <c r="I8" s="2">
        <v>0.01</v>
      </c>
      <c r="J8" s="9"/>
      <c r="X8" s="5">
        <f t="shared" si="1"/>
        <v>46106</v>
      </c>
      <c r="Y8" s="2">
        <f t="shared" si="2"/>
        <v>17.670000000000002</v>
      </c>
    </row>
    <row r="9" spans="1:26" x14ac:dyDescent="0.25">
      <c r="A9" s="4" t="s">
        <v>11</v>
      </c>
      <c r="B9" s="5">
        <v>45971</v>
      </c>
      <c r="D9" s="12"/>
      <c r="E9" s="12"/>
      <c r="F9" s="19" t="str">
        <f t="shared" si="0"/>
        <v/>
      </c>
      <c r="G9" s="2"/>
      <c r="H9" s="2"/>
      <c r="I9" s="2"/>
      <c r="J9" s="11"/>
      <c r="X9" s="5">
        <f t="shared" si="1"/>
        <v>46142</v>
      </c>
      <c r="Y9" s="2">
        <f t="shared" si="2"/>
        <v>0.22999999999999998</v>
      </c>
    </row>
    <row r="10" spans="1:26" x14ac:dyDescent="0.25">
      <c r="A10" s="4" t="s">
        <v>70</v>
      </c>
      <c r="B10" s="5">
        <v>45932</v>
      </c>
      <c r="D10" s="12"/>
      <c r="E10" s="12"/>
      <c r="F10" s="19" t="str">
        <f t="shared" si="0"/>
        <v/>
      </c>
      <c r="G10" s="1"/>
      <c r="H10" s="1"/>
      <c r="I10" s="2"/>
      <c r="J10" s="11"/>
      <c r="X10" s="5">
        <f t="shared" si="1"/>
        <v>0</v>
      </c>
      <c r="Y10" s="2">
        <f t="shared" si="2"/>
        <v>0</v>
      </c>
    </row>
    <row r="11" spans="1:26" x14ac:dyDescent="0.25">
      <c r="A11" s="4" t="s">
        <v>10</v>
      </c>
      <c r="B11" s="5">
        <v>46112</v>
      </c>
      <c r="D11" s="12"/>
      <c r="E11" s="12"/>
      <c r="F11" s="19" t="str">
        <f t="shared" si="0"/>
        <v/>
      </c>
      <c r="G11" s="1"/>
      <c r="H11" s="2"/>
      <c r="I11" s="2"/>
      <c r="J11" s="11"/>
      <c r="X11" s="5">
        <f t="shared" si="1"/>
        <v>0</v>
      </c>
      <c r="Y11" s="2">
        <f t="shared" si="2"/>
        <v>0</v>
      </c>
    </row>
    <row r="12" spans="1:26" x14ac:dyDescent="0.25">
      <c r="A12" s="4" t="s">
        <v>71</v>
      </c>
      <c r="B12" s="19" t="str">
        <f ca="1">IF(B16&lt;&gt;K3,(TODAY()-B11)*-1,"")</f>
        <v/>
      </c>
      <c r="D12" s="12"/>
      <c r="E12" s="12"/>
      <c r="F12" s="19" t="str">
        <f t="shared" si="0"/>
        <v/>
      </c>
      <c r="G12" s="2"/>
      <c r="H12" s="1"/>
      <c r="I12" s="1"/>
      <c r="J12" s="11"/>
      <c r="X12" s="5">
        <f t="shared" si="1"/>
        <v>0</v>
      </c>
      <c r="Y12" s="2">
        <f t="shared" si="2"/>
        <v>0</v>
      </c>
    </row>
    <row r="13" spans="1:26" x14ac:dyDescent="0.25">
      <c r="A13" s="4"/>
      <c r="B13" s="2"/>
      <c r="D13" s="12"/>
      <c r="E13" s="12"/>
      <c r="F13" s="19" t="str">
        <f t="shared" si="0"/>
        <v/>
      </c>
      <c r="G13" s="1"/>
      <c r="H13" s="2"/>
      <c r="I13" s="2"/>
      <c r="J13" s="11"/>
      <c r="N13" s="14"/>
      <c r="X13" s="5">
        <f t="shared" si="1"/>
        <v>0</v>
      </c>
      <c r="Y13" s="2">
        <f t="shared" si="2"/>
        <v>0</v>
      </c>
    </row>
    <row r="14" spans="1:26" x14ac:dyDescent="0.25">
      <c r="A14" s="13"/>
      <c r="B14" s="20"/>
      <c r="D14" s="12"/>
      <c r="E14" s="5"/>
      <c r="F14" s="19" t="str">
        <f t="shared" si="0"/>
        <v/>
      </c>
      <c r="G14" s="1"/>
      <c r="H14" s="1"/>
      <c r="I14" s="1"/>
      <c r="J14" s="11"/>
      <c r="X14" s="5">
        <f t="shared" si="1"/>
        <v>0</v>
      </c>
      <c r="Y14" s="2">
        <f t="shared" si="2"/>
        <v>0</v>
      </c>
    </row>
    <row r="15" spans="1:26" x14ac:dyDescent="0.25">
      <c r="A15" s="4" t="s">
        <v>1</v>
      </c>
      <c r="B15" s="6">
        <v>0.12</v>
      </c>
      <c r="D15" s="12"/>
      <c r="E15" s="5"/>
      <c r="F15" s="19" t="str">
        <f t="shared" si="0"/>
        <v/>
      </c>
      <c r="G15" s="1"/>
      <c r="H15" s="1"/>
      <c r="I15" s="1"/>
      <c r="J15" s="11"/>
      <c r="K15" s="18"/>
      <c r="L15" s="18"/>
      <c r="M15" s="18"/>
      <c r="N15" s="18"/>
      <c r="O15" s="18"/>
      <c r="P15" s="18"/>
      <c r="Q15" s="18"/>
      <c r="X15" s="5">
        <f t="shared" si="1"/>
        <v>0</v>
      </c>
      <c r="Y15" s="2">
        <f t="shared" si="2"/>
        <v>0</v>
      </c>
    </row>
    <row r="16" spans="1:26" x14ac:dyDescent="0.25">
      <c r="A16" s="4" t="s">
        <v>72</v>
      </c>
      <c r="B16" s="2">
        <v>17.670000000000002</v>
      </c>
      <c r="D16" s="12"/>
      <c r="E16" s="5"/>
      <c r="F16" s="19" t="str">
        <f t="shared" si="0"/>
        <v/>
      </c>
      <c r="G16" s="1"/>
      <c r="H16" s="1"/>
      <c r="I16" s="1"/>
      <c r="J16" s="11"/>
      <c r="K16" s="9"/>
      <c r="L16" s="9"/>
      <c r="M16" s="9"/>
      <c r="N16" s="21"/>
      <c r="O16" s="22"/>
      <c r="P16" s="11"/>
      <c r="Q16" s="11"/>
      <c r="X16" s="5">
        <f t="shared" si="1"/>
        <v>0</v>
      </c>
      <c r="Y16" s="2">
        <f t="shared" si="2"/>
        <v>0</v>
      </c>
    </row>
    <row r="17" spans="2:25" x14ac:dyDescent="0.25">
      <c r="D17" s="12"/>
      <c r="E17" s="5"/>
      <c r="F17" s="19" t="str">
        <f t="shared" si="0"/>
        <v/>
      </c>
      <c r="G17" s="1"/>
      <c r="H17" s="1"/>
      <c r="I17" s="1"/>
      <c r="J17" s="11"/>
      <c r="X17" s="5">
        <f t="shared" si="1"/>
        <v>0</v>
      </c>
      <c r="Y17" s="2">
        <f t="shared" si="2"/>
        <v>0</v>
      </c>
    </row>
    <row r="18" spans="2:25" x14ac:dyDescent="0.25">
      <c r="D18" s="12"/>
      <c r="E18" s="5"/>
      <c r="F18" s="19" t="str">
        <f t="shared" si="0"/>
        <v/>
      </c>
      <c r="G18" s="1"/>
      <c r="H18" s="1"/>
      <c r="I18" s="1"/>
      <c r="J18" s="11"/>
      <c r="X18" s="5">
        <f t="shared" si="1"/>
        <v>0</v>
      </c>
      <c r="Y18" s="2">
        <f t="shared" si="2"/>
        <v>0</v>
      </c>
    </row>
    <row r="19" spans="2:25" x14ac:dyDescent="0.25">
      <c r="D19" s="12"/>
      <c r="E19" s="5"/>
      <c r="F19" s="19" t="str">
        <f t="shared" si="0"/>
        <v/>
      </c>
      <c r="G19" s="1"/>
      <c r="H19" s="1"/>
      <c r="I19" s="1"/>
      <c r="J19" s="11"/>
      <c r="X19" s="5">
        <f t="shared" si="1"/>
        <v>0</v>
      </c>
      <c r="Y19" s="2">
        <f t="shared" si="2"/>
        <v>0</v>
      </c>
    </row>
    <row r="20" spans="2:25" x14ac:dyDescent="0.25">
      <c r="D20" s="12"/>
      <c r="E20" s="5"/>
      <c r="F20" s="19" t="str">
        <f t="shared" si="0"/>
        <v/>
      </c>
      <c r="G20" s="1"/>
      <c r="H20" s="1"/>
      <c r="I20" s="1"/>
      <c r="J20" s="11"/>
      <c r="X20" s="5">
        <f t="shared" si="1"/>
        <v>0</v>
      </c>
      <c r="Y20" s="2">
        <f t="shared" si="2"/>
        <v>0</v>
      </c>
    </row>
    <row r="21" spans="2:25" x14ac:dyDescent="0.25">
      <c r="D21" s="12"/>
      <c r="E21" s="5"/>
      <c r="F21" s="19" t="str">
        <f t="shared" si="0"/>
        <v/>
      </c>
      <c r="G21" s="1"/>
      <c r="H21" s="1"/>
      <c r="I21" s="1"/>
      <c r="J21" s="11"/>
      <c r="X21" s="5">
        <f t="shared" si="1"/>
        <v>0</v>
      </c>
      <c r="Y21" s="2">
        <f t="shared" si="2"/>
        <v>0</v>
      </c>
    </row>
    <row r="22" spans="2:25" x14ac:dyDescent="0.25">
      <c r="D22" s="12"/>
      <c r="E22" s="5"/>
      <c r="F22" s="19" t="str">
        <f t="shared" si="0"/>
        <v/>
      </c>
      <c r="G22" s="1"/>
      <c r="H22" s="1"/>
      <c r="I22" s="1"/>
      <c r="J22" s="11"/>
      <c r="X22" s="5">
        <f t="shared" si="1"/>
        <v>0</v>
      </c>
      <c r="Y22" s="2">
        <f t="shared" si="2"/>
        <v>0</v>
      </c>
    </row>
    <row r="23" spans="2:25" x14ac:dyDescent="0.25">
      <c r="B23" s="22"/>
      <c r="D23" s="12"/>
      <c r="E23" s="5"/>
      <c r="F23" s="19" t="str">
        <f t="shared" si="0"/>
        <v/>
      </c>
      <c r="G23" s="1"/>
      <c r="H23" s="1"/>
      <c r="I23" s="1"/>
      <c r="J23" s="11"/>
      <c r="X23" s="5">
        <f t="shared" si="1"/>
        <v>0</v>
      </c>
      <c r="Y23" s="2">
        <f t="shared" si="2"/>
        <v>0</v>
      </c>
    </row>
    <row r="24" spans="2:25" x14ac:dyDescent="0.25">
      <c r="D24" s="12"/>
      <c r="E24" s="5"/>
      <c r="F24" s="19" t="str">
        <f t="shared" si="0"/>
        <v/>
      </c>
      <c r="G24" s="1"/>
      <c r="H24" s="1"/>
      <c r="I24" s="1"/>
      <c r="J24" s="11"/>
      <c r="X24" s="5">
        <f t="shared" si="1"/>
        <v>0</v>
      </c>
      <c r="Y24" s="2">
        <f t="shared" si="2"/>
        <v>0</v>
      </c>
    </row>
    <row r="25" spans="2:25" x14ac:dyDescent="0.25">
      <c r="D25" s="12"/>
      <c r="E25" s="5"/>
      <c r="F25" s="19" t="str">
        <f t="shared" si="0"/>
        <v/>
      </c>
      <c r="G25" s="1"/>
      <c r="H25" s="1"/>
      <c r="I25" s="1"/>
      <c r="J25" s="11"/>
      <c r="X25" s="5">
        <f t="shared" si="1"/>
        <v>0</v>
      </c>
      <c r="Y25" s="2">
        <f t="shared" si="2"/>
        <v>0</v>
      </c>
    </row>
    <row r="26" spans="2:25" x14ac:dyDescent="0.25">
      <c r="D26" s="12"/>
      <c r="E26" s="5"/>
      <c r="F26" s="19" t="str">
        <f t="shared" si="0"/>
        <v/>
      </c>
      <c r="G26" s="1"/>
      <c r="H26" s="1"/>
      <c r="I26" s="1"/>
      <c r="J26" s="11"/>
      <c r="X26" s="5">
        <f t="shared" si="1"/>
        <v>0</v>
      </c>
      <c r="Y26" s="2">
        <f t="shared" si="2"/>
        <v>0</v>
      </c>
    </row>
    <row r="27" spans="2:25" x14ac:dyDescent="0.25">
      <c r="D27" s="12"/>
      <c r="E27" s="5"/>
      <c r="F27" s="19" t="str">
        <f t="shared" si="0"/>
        <v/>
      </c>
      <c r="G27" s="1"/>
      <c r="H27" s="1"/>
      <c r="I27" s="1"/>
      <c r="J27" s="11"/>
      <c r="X27" s="5">
        <f t="shared" si="1"/>
        <v>0</v>
      </c>
      <c r="Y27" s="2">
        <f t="shared" si="2"/>
        <v>0</v>
      </c>
    </row>
    <row r="28" spans="2:25" x14ac:dyDescent="0.25">
      <c r="D28" s="12"/>
      <c r="E28" s="5"/>
      <c r="F28" s="19" t="str">
        <f t="shared" si="0"/>
        <v/>
      </c>
      <c r="G28" s="1"/>
      <c r="H28" s="1"/>
      <c r="I28" s="1"/>
      <c r="J28" s="11"/>
      <c r="X28" s="5">
        <f t="shared" si="1"/>
        <v>0</v>
      </c>
      <c r="Y28" s="2">
        <f t="shared" si="2"/>
        <v>0</v>
      </c>
    </row>
    <row r="29" spans="2:25" x14ac:dyDescent="0.25">
      <c r="D29" s="12"/>
      <c r="E29" s="5"/>
      <c r="F29" s="19" t="str">
        <f t="shared" si="0"/>
        <v/>
      </c>
      <c r="G29" s="1"/>
      <c r="H29" s="1"/>
      <c r="I29" s="1"/>
      <c r="J29" s="11"/>
      <c r="X29" s="5">
        <f t="shared" si="1"/>
        <v>0</v>
      </c>
      <c r="Y29" s="2">
        <f t="shared" si="2"/>
        <v>0</v>
      </c>
    </row>
    <row r="30" spans="2:25" x14ac:dyDescent="0.25">
      <c r="D30" s="12"/>
      <c r="E30" s="5"/>
      <c r="F30" s="19" t="str">
        <f t="shared" si="0"/>
        <v/>
      </c>
      <c r="G30" s="1"/>
      <c r="H30" s="1"/>
      <c r="I30" s="1"/>
      <c r="J30" s="11"/>
      <c r="X30" s="5">
        <f t="shared" si="1"/>
        <v>0</v>
      </c>
      <c r="Y30" s="2">
        <f t="shared" si="2"/>
        <v>0</v>
      </c>
    </row>
    <row r="31" spans="2:25" x14ac:dyDescent="0.25">
      <c r="D31" s="12"/>
      <c r="E31" s="5"/>
      <c r="F31" s="19" t="str">
        <f t="shared" si="0"/>
        <v/>
      </c>
      <c r="G31" s="1"/>
      <c r="H31" s="1"/>
      <c r="I31" s="1"/>
      <c r="J31" s="11"/>
      <c r="X31" s="5">
        <f t="shared" si="1"/>
        <v>0</v>
      </c>
      <c r="Y31" s="2">
        <f t="shared" si="2"/>
        <v>0</v>
      </c>
    </row>
    <row r="32" spans="2:25" x14ac:dyDescent="0.25">
      <c r="D32" s="12"/>
      <c r="E32" s="5"/>
      <c r="F32" s="19" t="str">
        <f t="shared" si="0"/>
        <v/>
      </c>
      <c r="G32" s="1"/>
      <c r="H32" s="1"/>
      <c r="I32" s="1"/>
      <c r="J32" s="11"/>
      <c r="X32" s="5">
        <f t="shared" si="1"/>
        <v>0</v>
      </c>
      <c r="Y32" s="2">
        <f t="shared" si="2"/>
        <v>0</v>
      </c>
    </row>
    <row r="33" spans="4:25" x14ac:dyDescent="0.25">
      <c r="D33" s="12"/>
      <c r="E33" s="5"/>
      <c r="F33" s="19" t="str">
        <f t="shared" si="0"/>
        <v/>
      </c>
      <c r="G33" s="1"/>
      <c r="H33" s="1"/>
      <c r="I33" s="1"/>
      <c r="J33" s="11"/>
      <c r="X33" s="5">
        <f t="shared" si="1"/>
        <v>0</v>
      </c>
      <c r="Y33" s="2">
        <f t="shared" si="2"/>
        <v>0</v>
      </c>
    </row>
    <row r="34" spans="4:25" x14ac:dyDescent="0.25">
      <c r="D34" s="12"/>
      <c r="E34" s="5"/>
      <c r="F34" s="19" t="str">
        <f t="shared" si="0"/>
        <v/>
      </c>
      <c r="G34" s="1"/>
      <c r="H34" s="1"/>
      <c r="I34" s="1"/>
      <c r="J34" s="11"/>
      <c r="X34" s="5">
        <f t="shared" si="1"/>
        <v>0</v>
      </c>
      <c r="Y34" s="2">
        <f t="shared" si="2"/>
        <v>0</v>
      </c>
    </row>
    <row r="35" spans="4:25" x14ac:dyDescent="0.25">
      <c r="D35" s="12"/>
      <c r="E35" s="5"/>
      <c r="F35" s="19" t="str">
        <f t="shared" si="0"/>
        <v/>
      </c>
      <c r="G35" s="1"/>
      <c r="H35" s="1"/>
      <c r="I35" s="1"/>
      <c r="J35" s="11"/>
      <c r="X35" s="5">
        <f t="shared" si="1"/>
        <v>0</v>
      </c>
      <c r="Y35" s="2">
        <f t="shared" si="2"/>
        <v>0</v>
      </c>
    </row>
    <row r="36" spans="4:25" x14ac:dyDescent="0.25">
      <c r="D36" s="12"/>
      <c r="E36" s="5"/>
      <c r="F36" s="19" t="str">
        <f t="shared" si="0"/>
        <v/>
      </c>
      <c r="G36" s="1"/>
      <c r="H36" s="1"/>
      <c r="I36" s="1"/>
      <c r="J36" s="11"/>
      <c r="X36" s="5">
        <f t="shared" si="1"/>
        <v>0</v>
      </c>
      <c r="Y36" s="2">
        <f t="shared" si="2"/>
        <v>0</v>
      </c>
    </row>
    <row r="37" spans="4:25" x14ac:dyDescent="0.25">
      <c r="D37" s="12"/>
      <c r="E37" s="5"/>
      <c r="F37" s="19" t="str">
        <f t="shared" si="0"/>
        <v/>
      </c>
      <c r="G37" s="1"/>
      <c r="H37" s="1"/>
      <c r="I37" s="1"/>
      <c r="J37" s="11"/>
      <c r="X37" s="5">
        <f t="shared" si="1"/>
        <v>0</v>
      </c>
      <c r="Y37" s="2">
        <f t="shared" si="2"/>
        <v>0</v>
      </c>
    </row>
    <row r="38" spans="4:25" x14ac:dyDescent="0.25">
      <c r="D38" s="12"/>
      <c r="E38" s="5"/>
      <c r="F38" s="19" t="str">
        <f t="shared" si="0"/>
        <v/>
      </c>
      <c r="G38" s="1"/>
      <c r="H38" s="1"/>
      <c r="I38" s="1"/>
      <c r="J38" s="11"/>
      <c r="X38" s="5">
        <f t="shared" si="1"/>
        <v>0</v>
      </c>
      <c r="Y38" s="2">
        <f t="shared" si="2"/>
        <v>0</v>
      </c>
    </row>
    <row r="39" spans="4:25" x14ac:dyDescent="0.25">
      <c r="D39" s="12"/>
      <c r="E39" s="5"/>
      <c r="F39" s="19" t="str">
        <f t="shared" si="0"/>
        <v/>
      </c>
      <c r="G39" s="1"/>
      <c r="H39" s="1"/>
      <c r="I39" s="1"/>
      <c r="J39" s="11"/>
      <c r="X39" s="5">
        <f t="shared" si="1"/>
        <v>0</v>
      </c>
      <c r="Y39" s="2">
        <f t="shared" si="2"/>
        <v>0</v>
      </c>
    </row>
    <row r="40" spans="4:25" x14ac:dyDescent="0.25">
      <c r="D40" s="12"/>
      <c r="E40" s="5"/>
      <c r="F40" s="19" t="str">
        <f t="shared" si="0"/>
        <v/>
      </c>
      <c r="G40" s="1"/>
      <c r="H40" s="1"/>
      <c r="I40" s="1"/>
      <c r="J40" s="11"/>
      <c r="X40" s="5">
        <f t="shared" si="1"/>
        <v>0</v>
      </c>
      <c r="Y40" s="2">
        <f t="shared" si="2"/>
        <v>0</v>
      </c>
    </row>
    <row r="41" spans="4:25" x14ac:dyDescent="0.25">
      <c r="D41" s="12"/>
      <c r="E41" s="5"/>
      <c r="F41" s="19" t="str">
        <f t="shared" si="0"/>
        <v/>
      </c>
      <c r="G41" s="1"/>
      <c r="H41" s="1"/>
      <c r="I41" s="1"/>
      <c r="J41" s="11"/>
      <c r="X41" s="5">
        <f t="shared" si="1"/>
        <v>0</v>
      </c>
      <c r="Y41" s="2">
        <f t="shared" si="2"/>
        <v>0</v>
      </c>
    </row>
    <row r="42" spans="4:25" x14ac:dyDescent="0.25">
      <c r="D42" s="12"/>
      <c r="E42" s="5"/>
      <c r="F42" s="19" t="str">
        <f t="shared" si="0"/>
        <v/>
      </c>
      <c r="G42" s="1"/>
      <c r="H42" s="1"/>
      <c r="I42" s="1"/>
      <c r="J42" s="11"/>
      <c r="X42" s="5">
        <f t="shared" si="1"/>
        <v>0</v>
      </c>
      <c r="Y42" s="2">
        <f t="shared" si="2"/>
        <v>0</v>
      </c>
    </row>
    <row r="43" spans="4:25" x14ac:dyDescent="0.25">
      <c r="D43" s="12"/>
      <c r="E43" s="5"/>
      <c r="F43" s="19" t="str">
        <f t="shared" si="0"/>
        <v/>
      </c>
      <c r="G43" s="1"/>
      <c r="H43" s="1"/>
      <c r="I43" s="1"/>
      <c r="J43" s="11"/>
      <c r="X43" s="5">
        <f t="shared" si="1"/>
        <v>0</v>
      </c>
      <c r="Y43" s="2">
        <f t="shared" si="2"/>
        <v>0</v>
      </c>
    </row>
    <row r="44" spans="4:25" x14ac:dyDescent="0.25">
      <c r="D44" s="12"/>
      <c r="E44" s="5"/>
      <c r="F44" s="19" t="str">
        <f t="shared" si="0"/>
        <v/>
      </c>
      <c r="G44" s="1"/>
      <c r="H44" s="1"/>
      <c r="I44" s="1"/>
      <c r="J44" s="11"/>
      <c r="X44" s="5">
        <f t="shared" si="1"/>
        <v>0</v>
      </c>
      <c r="Y44" s="2">
        <f t="shared" si="2"/>
        <v>0</v>
      </c>
    </row>
    <row r="45" spans="4:25" x14ac:dyDescent="0.25">
      <c r="D45" s="12"/>
      <c r="E45" s="5"/>
      <c r="F45" s="19" t="str">
        <f t="shared" si="0"/>
        <v/>
      </c>
      <c r="G45" s="1"/>
      <c r="H45" s="1"/>
      <c r="I45" s="1"/>
      <c r="J45" s="11"/>
      <c r="X45" s="5">
        <f t="shared" si="1"/>
        <v>0</v>
      </c>
      <c r="Y45" s="2">
        <f t="shared" si="2"/>
        <v>0</v>
      </c>
    </row>
    <row r="46" spans="4:25" x14ac:dyDescent="0.25">
      <c r="D46" s="12"/>
      <c r="E46" s="5"/>
      <c r="F46" s="19" t="str">
        <f t="shared" si="0"/>
        <v/>
      </c>
      <c r="G46" s="1"/>
      <c r="H46" s="1"/>
      <c r="I46" s="1"/>
      <c r="J46" s="11"/>
      <c r="X46" s="5">
        <f t="shared" si="1"/>
        <v>0</v>
      </c>
      <c r="Y46" s="2">
        <f t="shared" si="2"/>
        <v>0</v>
      </c>
    </row>
    <row r="47" spans="4:25" x14ac:dyDescent="0.25">
      <c r="D47" s="12"/>
      <c r="E47" s="5"/>
      <c r="F47" s="19" t="str">
        <f t="shared" si="0"/>
        <v/>
      </c>
      <c r="G47" s="1"/>
      <c r="H47" s="1"/>
      <c r="I47" s="1"/>
      <c r="J47" s="11"/>
      <c r="X47" s="5">
        <f t="shared" si="1"/>
        <v>0</v>
      </c>
      <c r="Y47" s="2">
        <f t="shared" si="2"/>
        <v>0</v>
      </c>
    </row>
    <row r="48" spans="4:25" x14ac:dyDescent="0.25">
      <c r="D48" s="12"/>
      <c r="E48" s="5"/>
      <c r="F48" s="19" t="str">
        <f t="shared" si="0"/>
        <v/>
      </c>
      <c r="G48" s="1"/>
      <c r="H48" s="1"/>
      <c r="I48" s="1"/>
      <c r="J48" s="11"/>
      <c r="X48" s="5">
        <f t="shared" si="1"/>
        <v>0</v>
      </c>
      <c r="Y48" s="2">
        <f t="shared" si="2"/>
        <v>0</v>
      </c>
    </row>
    <row r="49" spans="4:25" x14ac:dyDescent="0.25">
      <c r="D49" s="12"/>
      <c r="E49" s="5"/>
      <c r="F49" s="19" t="str">
        <f t="shared" si="0"/>
        <v/>
      </c>
      <c r="G49" s="1"/>
      <c r="H49" s="1"/>
      <c r="I49" s="1"/>
      <c r="J49" s="11"/>
      <c r="X49" s="5">
        <f t="shared" si="1"/>
        <v>0</v>
      </c>
      <c r="Y49" s="2">
        <f t="shared" si="2"/>
        <v>0</v>
      </c>
    </row>
    <row r="50" spans="4:25" x14ac:dyDescent="0.25">
      <c r="D50" s="12"/>
      <c r="E50" s="5"/>
      <c r="F50" s="19" t="str">
        <f t="shared" si="0"/>
        <v/>
      </c>
      <c r="G50" s="1"/>
      <c r="H50" s="1"/>
      <c r="I50" s="1"/>
      <c r="J50" s="11"/>
      <c r="X50" s="5">
        <f t="shared" si="1"/>
        <v>0</v>
      </c>
      <c r="Y50" s="2">
        <f t="shared" si="2"/>
        <v>0</v>
      </c>
    </row>
    <row r="51" spans="4:25" x14ac:dyDescent="0.25">
      <c r="D51" s="12"/>
      <c r="E51" s="5"/>
      <c r="F51" s="19" t="str">
        <f t="shared" si="0"/>
        <v/>
      </c>
      <c r="G51" s="1"/>
      <c r="H51" s="1"/>
      <c r="I51" s="1"/>
      <c r="J51" s="11"/>
      <c r="X51" s="5">
        <f t="shared" si="1"/>
        <v>0</v>
      </c>
      <c r="Y51" s="2">
        <f t="shared" si="2"/>
        <v>0</v>
      </c>
    </row>
    <row r="52" spans="4:25" x14ac:dyDescent="0.25">
      <c r="D52" s="12"/>
      <c r="E52" s="5"/>
      <c r="F52" s="19" t="str">
        <f t="shared" si="0"/>
        <v/>
      </c>
      <c r="G52" s="1"/>
      <c r="H52" s="1"/>
      <c r="I52" s="1"/>
      <c r="J52" s="9"/>
      <c r="X52" s="5">
        <f t="shared" si="1"/>
        <v>0</v>
      </c>
      <c r="Y52" s="2">
        <f t="shared" si="2"/>
        <v>0</v>
      </c>
    </row>
    <row r="53" spans="4:25" x14ac:dyDescent="0.25">
      <c r="D53" s="1" t="s">
        <v>25</v>
      </c>
      <c r="E53" s="23"/>
      <c r="F53" s="2"/>
      <c r="G53" s="2">
        <f>SUM(G3:G52)</f>
        <v>17.670000000000002</v>
      </c>
      <c r="H53" s="2">
        <f t="shared" ref="H53:I53" si="3">SUM(H3:H52)</f>
        <v>0.78</v>
      </c>
      <c r="I53" s="2">
        <f t="shared" si="3"/>
        <v>0.04</v>
      </c>
    </row>
  </sheetData>
  <mergeCells count="4">
    <mergeCell ref="D1:F1"/>
    <mergeCell ref="G1:I1"/>
    <mergeCell ref="K1:Q1"/>
    <mergeCell ref="X1:Z1"/>
  </mergeCells>
  <conditionalFormatting sqref="A1:B1">
    <cfRule type="expression" dxfId="39" priority="1">
      <formula>$Z$3="+"</formula>
    </cfRule>
    <cfRule type="expression" dxfId="38" priority="2">
      <formula>$B$16=$K$3</formula>
    </cfRule>
  </conditionalFormatting>
  <conditionalFormatting sqref="P3">
    <cfRule type="expression" dxfId="37" priority="6">
      <formula>$Z$3="+"</formula>
    </cfRule>
  </conditionalFormatting>
  <conditionalFormatting sqref="Z3">
    <cfRule type="expression" dxfId="36" priority="7">
      <formula>$Z$3="+"</formula>
    </cfRule>
  </conditionalFormatting>
  <pageMargins left="0.7" right="0.7" top="0.75" bottom="0.75" header="0.3" footer="0.3"/>
  <pageSetup orientation="portrait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724C9-B339-4A6B-B381-1E709EB48F6B}">
  <sheetPr>
    <tabColor rgb="FF92D050"/>
  </sheetPr>
  <dimension ref="A1:Z53"/>
  <sheetViews>
    <sheetView workbookViewId="0">
      <selection activeCell="I8" sqref="I8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1" customWidth="1"/>
    <col min="25" max="25" width="10.7109375" style="11" customWidth="1"/>
    <col min="26" max="26" width="10.7109375" customWidth="1"/>
  </cols>
  <sheetData>
    <row r="1" spans="1:26" x14ac:dyDescent="0.25">
      <c r="A1" s="4" t="s">
        <v>66</v>
      </c>
      <c r="B1" s="5" t="s">
        <v>33</v>
      </c>
      <c r="D1" s="29" t="s">
        <v>2</v>
      </c>
      <c r="E1" s="30"/>
      <c r="F1" s="31"/>
      <c r="G1" s="29" t="s">
        <v>0</v>
      </c>
      <c r="H1" s="30"/>
      <c r="I1" s="31"/>
      <c r="J1" s="18"/>
      <c r="K1" s="29" t="s">
        <v>58</v>
      </c>
      <c r="L1" s="30"/>
      <c r="M1" s="30"/>
      <c r="N1" s="30"/>
      <c r="O1" s="30"/>
      <c r="P1" s="30"/>
      <c r="Q1" s="31"/>
      <c r="X1" s="29"/>
      <c r="Y1" s="30"/>
      <c r="Z1" s="31"/>
    </row>
    <row r="2" spans="1:26" x14ac:dyDescent="0.25">
      <c r="A2" s="4" t="s">
        <v>21</v>
      </c>
      <c r="B2" s="5" t="s">
        <v>22</v>
      </c>
      <c r="D2" s="10" t="s">
        <v>49</v>
      </c>
      <c r="E2" s="10" t="s">
        <v>50</v>
      </c>
      <c r="F2" s="17" t="s">
        <v>67</v>
      </c>
      <c r="G2" s="10" t="s">
        <v>15</v>
      </c>
      <c r="H2" s="10" t="s">
        <v>16</v>
      </c>
      <c r="I2" s="10" t="s">
        <v>60</v>
      </c>
      <c r="J2" s="9"/>
      <c r="K2" s="10" t="s">
        <v>0</v>
      </c>
      <c r="L2" s="10" t="s">
        <v>1</v>
      </c>
      <c r="M2" s="10" t="s">
        <v>56</v>
      </c>
      <c r="N2" s="10" t="s">
        <v>57</v>
      </c>
      <c r="O2" s="10" t="s">
        <v>2</v>
      </c>
      <c r="P2" s="10" t="s">
        <v>68</v>
      </c>
      <c r="Q2" s="10" t="s">
        <v>67</v>
      </c>
      <c r="X2" s="10" t="s">
        <v>2</v>
      </c>
      <c r="Y2" s="10" t="s">
        <v>59</v>
      </c>
      <c r="Z2" s="10" t="s">
        <v>68</v>
      </c>
    </row>
    <row r="3" spans="1:26" x14ac:dyDescent="0.25">
      <c r="A3" s="4" t="s">
        <v>69</v>
      </c>
      <c r="B3" s="5" t="s">
        <v>78</v>
      </c>
      <c r="D3" s="12">
        <v>45991</v>
      </c>
      <c r="E3" s="12">
        <v>45991</v>
      </c>
      <c r="F3" s="19">
        <f t="shared" ref="F3:F52" si="0">IF(E3&gt;0,E3-D3,"")</f>
        <v>0</v>
      </c>
      <c r="G3" s="2">
        <v>0</v>
      </c>
      <c r="H3" s="1">
        <v>0.17</v>
      </c>
      <c r="I3" s="2">
        <v>0.01</v>
      </c>
      <c r="J3" s="11"/>
      <c r="K3" s="2">
        <f>G53</f>
        <v>17.46</v>
      </c>
      <c r="L3" s="2">
        <f>H53</f>
        <v>0.97</v>
      </c>
      <c r="M3" s="2">
        <f>I53</f>
        <v>0.05</v>
      </c>
      <c r="N3" s="6">
        <f>IF(B16=K3,XIRR(Y3:Y52,X3:X52),"")</f>
        <v>0.12041870951652525</v>
      </c>
      <c r="O3" s="5">
        <f>IF(B16=K3,MAX(E:E),"")</f>
        <v>46130</v>
      </c>
      <c r="P3" s="1" t="str">
        <f ca="1">IF(Z3="+",TODAY()-B11,"")</f>
        <v/>
      </c>
      <c r="Q3" s="1">
        <f>IF(B16=K3,MAX(E:E)-B11,"")</f>
        <v>3</v>
      </c>
      <c r="T3" s="14"/>
      <c r="X3" s="5">
        <f>B9</f>
        <v>45962</v>
      </c>
      <c r="Y3" s="2">
        <f>B16*-1</f>
        <v>-17.46</v>
      </c>
      <c r="Z3" s="1" t="str">
        <f ca="1">IF(AND(TODAY()&gt;B11, K3&lt;&gt;B16), "+", "")</f>
        <v/>
      </c>
    </row>
    <row r="4" spans="1:26" x14ac:dyDescent="0.25">
      <c r="A4" s="4" t="s">
        <v>19</v>
      </c>
      <c r="B4" s="5" t="s">
        <v>20</v>
      </c>
      <c r="D4" s="12">
        <v>46022</v>
      </c>
      <c r="E4" s="12">
        <v>46022</v>
      </c>
      <c r="F4" s="19">
        <f t="shared" si="0"/>
        <v>0</v>
      </c>
      <c r="G4" s="2">
        <v>0</v>
      </c>
      <c r="H4" s="1">
        <v>0.19</v>
      </c>
      <c r="I4" s="2">
        <v>0.01</v>
      </c>
      <c r="J4" s="9"/>
      <c r="X4" s="5">
        <f>E3</f>
        <v>45991</v>
      </c>
      <c r="Y4" s="2">
        <f>G3+H3-I3</f>
        <v>0.16</v>
      </c>
    </row>
    <row r="5" spans="1:26" x14ac:dyDescent="0.25">
      <c r="A5" s="4"/>
      <c r="B5" s="5"/>
      <c r="D5" s="12">
        <v>46053</v>
      </c>
      <c r="E5" s="12">
        <v>46053</v>
      </c>
      <c r="F5" s="19">
        <f t="shared" si="0"/>
        <v>0</v>
      </c>
      <c r="G5" s="2">
        <v>0</v>
      </c>
      <c r="H5" s="2">
        <v>0.1</v>
      </c>
      <c r="I5" s="2">
        <v>0</v>
      </c>
      <c r="J5" s="9"/>
      <c r="X5" s="5">
        <f t="shared" ref="X5:X52" si="1">E4</f>
        <v>46022</v>
      </c>
      <c r="Y5" s="2">
        <f t="shared" ref="Y5:Y52" si="2">G4+H4-I4</f>
        <v>0.18</v>
      </c>
    </row>
    <row r="6" spans="1:26" x14ac:dyDescent="0.25">
      <c r="A6" s="4"/>
      <c r="B6" s="5"/>
      <c r="D6" s="12">
        <v>46081</v>
      </c>
      <c r="E6" s="12">
        <v>46081</v>
      </c>
      <c r="F6" s="19">
        <f t="shared" si="0"/>
        <v>0</v>
      </c>
      <c r="G6" s="2">
        <v>0</v>
      </c>
      <c r="H6" s="1">
        <v>0.12</v>
      </c>
      <c r="I6" s="2">
        <v>0.01</v>
      </c>
      <c r="J6" s="9"/>
      <c r="X6" s="5">
        <f t="shared" si="1"/>
        <v>46053</v>
      </c>
      <c r="Y6" s="2">
        <f t="shared" si="2"/>
        <v>0.1</v>
      </c>
    </row>
    <row r="7" spans="1:26" x14ac:dyDescent="0.25">
      <c r="A7" s="4"/>
      <c r="B7" s="5"/>
      <c r="D7" s="12">
        <v>46112</v>
      </c>
      <c r="E7" s="12">
        <v>46112</v>
      </c>
      <c r="F7" s="19">
        <f t="shared" si="0"/>
        <v>0</v>
      </c>
      <c r="G7" s="2">
        <v>0</v>
      </c>
      <c r="H7" s="1">
        <v>0.14000000000000001</v>
      </c>
      <c r="I7" s="2">
        <v>0.01</v>
      </c>
      <c r="J7" s="11"/>
      <c r="X7" s="5">
        <f t="shared" si="1"/>
        <v>46081</v>
      </c>
      <c r="Y7" s="2">
        <f t="shared" si="2"/>
        <v>0.11</v>
      </c>
    </row>
    <row r="8" spans="1:26" x14ac:dyDescent="0.25">
      <c r="A8" s="4" t="s">
        <v>24</v>
      </c>
      <c r="B8" s="5" t="str">
        <f>DATEDIF(B9,B11,"y") &amp; " m. " &amp; DATEDIF(B9,B11,"ym") &amp; " mėn. " &amp; DATEDIF(B9,B11,"md") &amp; " d."</f>
        <v>0 m. 5 mėn. 14 d.</v>
      </c>
      <c r="D8" s="12">
        <v>46127</v>
      </c>
      <c r="E8" s="12">
        <v>46130</v>
      </c>
      <c r="F8" s="19">
        <f t="shared" si="0"/>
        <v>3</v>
      </c>
      <c r="G8" s="1">
        <v>17.46</v>
      </c>
      <c r="H8" s="1">
        <v>0.25</v>
      </c>
      <c r="I8" s="2">
        <v>0.01</v>
      </c>
      <c r="J8" s="9"/>
      <c r="X8" s="5">
        <f t="shared" si="1"/>
        <v>46112</v>
      </c>
      <c r="Y8" s="2">
        <f t="shared" si="2"/>
        <v>0.13</v>
      </c>
    </row>
    <row r="9" spans="1:26" x14ac:dyDescent="0.25">
      <c r="A9" s="4" t="s">
        <v>11</v>
      </c>
      <c r="B9" s="5">
        <v>45962</v>
      </c>
      <c r="D9" s="12"/>
      <c r="E9" s="12"/>
      <c r="F9" s="19" t="str">
        <f t="shared" si="0"/>
        <v/>
      </c>
      <c r="G9" s="2"/>
      <c r="H9" s="2"/>
      <c r="I9" s="2"/>
      <c r="J9" s="11"/>
      <c r="X9" s="5">
        <f t="shared" si="1"/>
        <v>46130</v>
      </c>
      <c r="Y9" s="2">
        <f t="shared" si="2"/>
        <v>17.7</v>
      </c>
    </row>
    <row r="10" spans="1:26" x14ac:dyDescent="0.25">
      <c r="A10" s="4" t="s">
        <v>70</v>
      </c>
      <c r="B10" s="5">
        <v>45947</v>
      </c>
      <c r="D10" s="12"/>
      <c r="E10" s="12"/>
      <c r="F10" s="19" t="str">
        <f t="shared" si="0"/>
        <v/>
      </c>
      <c r="G10" s="1"/>
      <c r="H10" s="1"/>
      <c r="I10" s="2"/>
      <c r="J10" s="11"/>
      <c r="X10" s="5">
        <f t="shared" si="1"/>
        <v>0</v>
      </c>
      <c r="Y10" s="2">
        <f t="shared" si="2"/>
        <v>0</v>
      </c>
    </row>
    <row r="11" spans="1:26" x14ac:dyDescent="0.25">
      <c r="A11" s="4" t="s">
        <v>10</v>
      </c>
      <c r="B11" s="5">
        <v>46127</v>
      </c>
      <c r="D11" s="12"/>
      <c r="E11" s="12"/>
      <c r="F11" s="19" t="str">
        <f t="shared" si="0"/>
        <v/>
      </c>
      <c r="G11" s="1"/>
      <c r="H11" s="2"/>
      <c r="I11" s="2"/>
      <c r="J11" s="11"/>
      <c r="X11" s="5">
        <f t="shared" si="1"/>
        <v>0</v>
      </c>
      <c r="Y11" s="2">
        <f t="shared" si="2"/>
        <v>0</v>
      </c>
    </row>
    <row r="12" spans="1:26" x14ac:dyDescent="0.25">
      <c r="A12" s="4" t="s">
        <v>71</v>
      </c>
      <c r="B12" s="19" t="str">
        <f ca="1">IF(B16&lt;&gt;K3,(TODAY()-B11)*-1,"")</f>
        <v/>
      </c>
      <c r="D12" s="12"/>
      <c r="E12" s="12"/>
      <c r="F12" s="19" t="str">
        <f t="shared" si="0"/>
        <v/>
      </c>
      <c r="G12" s="2"/>
      <c r="H12" s="1"/>
      <c r="I12" s="1"/>
      <c r="J12" s="11"/>
      <c r="X12" s="5">
        <f t="shared" si="1"/>
        <v>0</v>
      </c>
      <c r="Y12" s="2">
        <f t="shared" si="2"/>
        <v>0</v>
      </c>
    </row>
    <row r="13" spans="1:26" x14ac:dyDescent="0.25">
      <c r="A13" s="4"/>
      <c r="B13" s="2"/>
      <c r="D13" s="12"/>
      <c r="E13" s="12"/>
      <c r="F13" s="19" t="str">
        <f t="shared" si="0"/>
        <v/>
      </c>
      <c r="G13" s="1"/>
      <c r="H13" s="2"/>
      <c r="I13" s="2"/>
      <c r="J13" s="11"/>
      <c r="N13" s="14"/>
      <c r="X13" s="5">
        <f t="shared" si="1"/>
        <v>0</v>
      </c>
      <c r="Y13" s="2">
        <f t="shared" si="2"/>
        <v>0</v>
      </c>
    </row>
    <row r="14" spans="1:26" x14ac:dyDescent="0.25">
      <c r="A14" s="13"/>
      <c r="B14" s="20"/>
      <c r="D14" s="12"/>
      <c r="E14" s="5"/>
      <c r="F14" s="19" t="str">
        <f t="shared" si="0"/>
        <v/>
      </c>
      <c r="G14" s="1"/>
      <c r="H14" s="1"/>
      <c r="I14" s="1"/>
      <c r="J14" s="11"/>
      <c r="X14" s="5">
        <f t="shared" si="1"/>
        <v>0</v>
      </c>
      <c r="Y14" s="2">
        <f t="shared" si="2"/>
        <v>0</v>
      </c>
    </row>
    <row r="15" spans="1:26" x14ac:dyDescent="0.25">
      <c r="A15" s="4" t="s">
        <v>1</v>
      </c>
      <c r="B15" s="6">
        <v>0.12</v>
      </c>
      <c r="D15" s="12"/>
      <c r="E15" s="5"/>
      <c r="F15" s="19" t="str">
        <f t="shared" si="0"/>
        <v/>
      </c>
      <c r="G15" s="1"/>
      <c r="H15" s="1"/>
      <c r="I15" s="1"/>
      <c r="J15" s="11"/>
      <c r="K15" s="18"/>
      <c r="L15" s="18"/>
      <c r="M15" s="18"/>
      <c r="N15" s="18"/>
      <c r="O15" s="18"/>
      <c r="P15" s="18"/>
      <c r="Q15" s="18"/>
      <c r="X15" s="5">
        <f t="shared" si="1"/>
        <v>0</v>
      </c>
      <c r="Y15" s="2">
        <f t="shared" si="2"/>
        <v>0</v>
      </c>
    </row>
    <row r="16" spans="1:26" x14ac:dyDescent="0.25">
      <c r="A16" s="4" t="s">
        <v>72</v>
      </c>
      <c r="B16" s="2">
        <v>17.46</v>
      </c>
      <c r="D16" s="12"/>
      <c r="E16" s="5"/>
      <c r="F16" s="19" t="str">
        <f t="shared" si="0"/>
        <v/>
      </c>
      <c r="G16" s="1"/>
      <c r="H16" s="1"/>
      <c r="I16" s="1"/>
      <c r="J16" s="11"/>
      <c r="K16" s="9"/>
      <c r="L16" s="9"/>
      <c r="M16" s="9"/>
      <c r="N16" s="21"/>
      <c r="O16" s="22"/>
      <c r="P16" s="11"/>
      <c r="Q16" s="11"/>
      <c r="X16" s="5">
        <f t="shared" si="1"/>
        <v>0</v>
      </c>
      <c r="Y16" s="2">
        <f t="shared" si="2"/>
        <v>0</v>
      </c>
    </row>
    <row r="17" spans="2:25" x14ac:dyDescent="0.25">
      <c r="D17" s="12"/>
      <c r="E17" s="5"/>
      <c r="F17" s="19" t="str">
        <f t="shared" si="0"/>
        <v/>
      </c>
      <c r="G17" s="1"/>
      <c r="H17" s="1"/>
      <c r="I17" s="1"/>
      <c r="J17" s="11"/>
      <c r="X17" s="5">
        <f t="shared" si="1"/>
        <v>0</v>
      </c>
      <c r="Y17" s="2">
        <f t="shared" si="2"/>
        <v>0</v>
      </c>
    </row>
    <row r="18" spans="2:25" x14ac:dyDescent="0.25">
      <c r="D18" s="12"/>
      <c r="E18" s="5"/>
      <c r="F18" s="19" t="str">
        <f t="shared" si="0"/>
        <v/>
      </c>
      <c r="G18" s="1"/>
      <c r="H18" s="1"/>
      <c r="I18" s="1"/>
      <c r="J18" s="11"/>
      <c r="X18" s="5">
        <f t="shared" si="1"/>
        <v>0</v>
      </c>
      <c r="Y18" s="2">
        <f t="shared" si="2"/>
        <v>0</v>
      </c>
    </row>
    <row r="19" spans="2:25" x14ac:dyDescent="0.25">
      <c r="D19" s="12"/>
      <c r="E19" s="5"/>
      <c r="F19" s="19" t="str">
        <f t="shared" si="0"/>
        <v/>
      </c>
      <c r="G19" s="1"/>
      <c r="H19" s="1"/>
      <c r="I19" s="1"/>
      <c r="J19" s="11"/>
      <c r="X19" s="5">
        <f t="shared" si="1"/>
        <v>0</v>
      </c>
      <c r="Y19" s="2">
        <f t="shared" si="2"/>
        <v>0</v>
      </c>
    </row>
    <row r="20" spans="2:25" x14ac:dyDescent="0.25">
      <c r="D20" s="12"/>
      <c r="E20" s="5"/>
      <c r="F20" s="19" t="str">
        <f t="shared" si="0"/>
        <v/>
      </c>
      <c r="G20" s="1"/>
      <c r="H20" s="1"/>
      <c r="I20" s="1"/>
      <c r="J20" s="11"/>
      <c r="X20" s="5">
        <f t="shared" si="1"/>
        <v>0</v>
      </c>
      <c r="Y20" s="2">
        <f t="shared" si="2"/>
        <v>0</v>
      </c>
    </row>
    <row r="21" spans="2:25" x14ac:dyDescent="0.25">
      <c r="D21" s="12"/>
      <c r="E21" s="5"/>
      <c r="F21" s="19" t="str">
        <f t="shared" si="0"/>
        <v/>
      </c>
      <c r="G21" s="1"/>
      <c r="H21" s="1"/>
      <c r="I21" s="1"/>
      <c r="J21" s="11"/>
      <c r="X21" s="5">
        <f t="shared" si="1"/>
        <v>0</v>
      </c>
      <c r="Y21" s="2">
        <f t="shared" si="2"/>
        <v>0</v>
      </c>
    </row>
    <row r="22" spans="2:25" x14ac:dyDescent="0.25">
      <c r="D22" s="12"/>
      <c r="E22" s="5"/>
      <c r="F22" s="19" t="str">
        <f t="shared" si="0"/>
        <v/>
      </c>
      <c r="G22" s="1"/>
      <c r="H22" s="1"/>
      <c r="I22" s="1"/>
      <c r="J22" s="11"/>
      <c r="X22" s="5">
        <f t="shared" si="1"/>
        <v>0</v>
      </c>
      <c r="Y22" s="2">
        <f t="shared" si="2"/>
        <v>0</v>
      </c>
    </row>
    <row r="23" spans="2:25" x14ac:dyDescent="0.25">
      <c r="B23" s="22"/>
      <c r="D23" s="12"/>
      <c r="E23" s="5"/>
      <c r="F23" s="19" t="str">
        <f t="shared" si="0"/>
        <v/>
      </c>
      <c r="G23" s="1"/>
      <c r="H23" s="1"/>
      <c r="I23" s="1"/>
      <c r="J23" s="11"/>
      <c r="X23" s="5">
        <f t="shared" si="1"/>
        <v>0</v>
      </c>
      <c r="Y23" s="2">
        <f t="shared" si="2"/>
        <v>0</v>
      </c>
    </row>
    <row r="24" spans="2:25" x14ac:dyDescent="0.25">
      <c r="D24" s="12"/>
      <c r="E24" s="5"/>
      <c r="F24" s="19" t="str">
        <f t="shared" si="0"/>
        <v/>
      </c>
      <c r="G24" s="1"/>
      <c r="H24" s="1"/>
      <c r="I24" s="1"/>
      <c r="J24" s="11"/>
      <c r="X24" s="5">
        <f t="shared" si="1"/>
        <v>0</v>
      </c>
      <c r="Y24" s="2">
        <f t="shared" si="2"/>
        <v>0</v>
      </c>
    </row>
    <row r="25" spans="2:25" x14ac:dyDescent="0.25">
      <c r="D25" s="12"/>
      <c r="E25" s="5"/>
      <c r="F25" s="19" t="str">
        <f t="shared" si="0"/>
        <v/>
      </c>
      <c r="G25" s="1"/>
      <c r="H25" s="1"/>
      <c r="I25" s="1"/>
      <c r="J25" s="11"/>
      <c r="X25" s="5">
        <f t="shared" si="1"/>
        <v>0</v>
      </c>
      <c r="Y25" s="2">
        <f t="shared" si="2"/>
        <v>0</v>
      </c>
    </row>
    <row r="26" spans="2:25" x14ac:dyDescent="0.25">
      <c r="D26" s="12"/>
      <c r="E26" s="5"/>
      <c r="F26" s="19" t="str">
        <f t="shared" si="0"/>
        <v/>
      </c>
      <c r="G26" s="1"/>
      <c r="H26" s="1"/>
      <c r="I26" s="1"/>
      <c r="J26" s="11"/>
      <c r="X26" s="5">
        <f t="shared" si="1"/>
        <v>0</v>
      </c>
      <c r="Y26" s="2">
        <f t="shared" si="2"/>
        <v>0</v>
      </c>
    </row>
    <row r="27" spans="2:25" x14ac:dyDescent="0.25">
      <c r="D27" s="12"/>
      <c r="E27" s="5"/>
      <c r="F27" s="19" t="str">
        <f t="shared" si="0"/>
        <v/>
      </c>
      <c r="G27" s="1"/>
      <c r="H27" s="1"/>
      <c r="I27" s="1"/>
      <c r="J27" s="11"/>
      <c r="X27" s="5">
        <f t="shared" si="1"/>
        <v>0</v>
      </c>
      <c r="Y27" s="2">
        <f t="shared" si="2"/>
        <v>0</v>
      </c>
    </row>
    <row r="28" spans="2:25" x14ac:dyDescent="0.25">
      <c r="D28" s="12"/>
      <c r="E28" s="5"/>
      <c r="F28" s="19" t="str">
        <f t="shared" si="0"/>
        <v/>
      </c>
      <c r="G28" s="1"/>
      <c r="H28" s="1"/>
      <c r="I28" s="1"/>
      <c r="J28" s="11"/>
      <c r="X28" s="5">
        <f t="shared" si="1"/>
        <v>0</v>
      </c>
      <c r="Y28" s="2">
        <f t="shared" si="2"/>
        <v>0</v>
      </c>
    </row>
    <row r="29" spans="2:25" x14ac:dyDescent="0.25">
      <c r="D29" s="12"/>
      <c r="E29" s="5"/>
      <c r="F29" s="19" t="str">
        <f t="shared" si="0"/>
        <v/>
      </c>
      <c r="G29" s="1"/>
      <c r="H29" s="1"/>
      <c r="I29" s="1"/>
      <c r="J29" s="11"/>
      <c r="X29" s="5">
        <f t="shared" si="1"/>
        <v>0</v>
      </c>
      <c r="Y29" s="2">
        <f t="shared" si="2"/>
        <v>0</v>
      </c>
    </row>
    <row r="30" spans="2:25" x14ac:dyDescent="0.25">
      <c r="D30" s="12"/>
      <c r="E30" s="5"/>
      <c r="F30" s="19" t="str">
        <f t="shared" si="0"/>
        <v/>
      </c>
      <c r="G30" s="1"/>
      <c r="H30" s="1"/>
      <c r="I30" s="1"/>
      <c r="J30" s="11"/>
      <c r="X30" s="5">
        <f t="shared" si="1"/>
        <v>0</v>
      </c>
      <c r="Y30" s="2">
        <f t="shared" si="2"/>
        <v>0</v>
      </c>
    </row>
    <row r="31" spans="2:25" x14ac:dyDescent="0.25">
      <c r="D31" s="12"/>
      <c r="E31" s="5"/>
      <c r="F31" s="19" t="str">
        <f t="shared" si="0"/>
        <v/>
      </c>
      <c r="G31" s="1"/>
      <c r="H31" s="1"/>
      <c r="I31" s="1"/>
      <c r="J31" s="11"/>
      <c r="X31" s="5">
        <f t="shared" si="1"/>
        <v>0</v>
      </c>
      <c r="Y31" s="2">
        <f t="shared" si="2"/>
        <v>0</v>
      </c>
    </row>
    <row r="32" spans="2:25" x14ac:dyDescent="0.25">
      <c r="D32" s="12"/>
      <c r="E32" s="5"/>
      <c r="F32" s="19" t="str">
        <f t="shared" si="0"/>
        <v/>
      </c>
      <c r="G32" s="1"/>
      <c r="H32" s="1"/>
      <c r="I32" s="1"/>
      <c r="J32" s="11"/>
      <c r="X32" s="5">
        <f t="shared" si="1"/>
        <v>0</v>
      </c>
      <c r="Y32" s="2">
        <f t="shared" si="2"/>
        <v>0</v>
      </c>
    </row>
    <row r="33" spans="4:25" x14ac:dyDescent="0.25">
      <c r="D33" s="12"/>
      <c r="E33" s="5"/>
      <c r="F33" s="19" t="str">
        <f t="shared" si="0"/>
        <v/>
      </c>
      <c r="G33" s="1"/>
      <c r="H33" s="1"/>
      <c r="I33" s="1"/>
      <c r="J33" s="11"/>
      <c r="X33" s="5">
        <f t="shared" si="1"/>
        <v>0</v>
      </c>
      <c r="Y33" s="2">
        <f t="shared" si="2"/>
        <v>0</v>
      </c>
    </row>
    <row r="34" spans="4:25" x14ac:dyDescent="0.25">
      <c r="D34" s="12"/>
      <c r="E34" s="5"/>
      <c r="F34" s="19" t="str">
        <f t="shared" si="0"/>
        <v/>
      </c>
      <c r="G34" s="1"/>
      <c r="H34" s="1"/>
      <c r="I34" s="1"/>
      <c r="J34" s="11"/>
      <c r="X34" s="5">
        <f t="shared" si="1"/>
        <v>0</v>
      </c>
      <c r="Y34" s="2">
        <f t="shared" si="2"/>
        <v>0</v>
      </c>
    </row>
    <row r="35" spans="4:25" x14ac:dyDescent="0.25">
      <c r="D35" s="12"/>
      <c r="E35" s="5"/>
      <c r="F35" s="19" t="str">
        <f t="shared" si="0"/>
        <v/>
      </c>
      <c r="G35" s="1"/>
      <c r="H35" s="1"/>
      <c r="I35" s="1"/>
      <c r="J35" s="11"/>
      <c r="X35" s="5">
        <f t="shared" si="1"/>
        <v>0</v>
      </c>
      <c r="Y35" s="2">
        <f t="shared" si="2"/>
        <v>0</v>
      </c>
    </row>
    <row r="36" spans="4:25" x14ac:dyDescent="0.25">
      <c r="D36" s="12"/>
      <c r="E36" s="5"/>
      <c r="F36" s="19" t="str">
        <f t="shared" si="0"/>
        <v/>
      </c>
      <c r="G36" s="1"/>
      <c r="H36" s="1"/>
      <c r="I36" s="1"/>
      <c r="J36" s="11"/>
      <c r="X36" s="5">
        <f t="shared" si="1"/>
        <v>0</v>
      </c>
      <c r="Y36" s="2">
        <f t="shared" si="2"/>
        <v>0</v>
      </c>
    </row>
    <row r="37" spans="4:25" x14ac:dyDescent="0.25">
      <c r="D37" s="12"/>
      <c r="E37" s="5"/>
      <c r="F37" s="19" t="str">
        <f t="shared" si="0"/>
        <v/>
      </c>
      <c r="G37" s="1"/>
      <c r="H37" s="1"/>
      <c r="I37" s="1"/>
      <c r="J37" s="11"/>
      <c r="X37" s="5">
        <f t="shared" si="1"/>
        <v>0</v>
      </c>
      <c r="Y37" s="2">
        <f t="shared" si="2"/>
        <v>0</v>
      </c>
    </row>
    <row r="38" spans="4:25" x14ac:dyDescent="0.25">
      <c r="D38" s="12"/>
      <c r="E38" s="5"/>
      <c r="F38" s="19" t="str">
        <f t="shared" si="0"/>
        <v/>
      </c>
      <c r="G38" s="1"/>
      <c r="H38" s="1"/>
      <c r="I38" s="1"/>
      <c r="J38" s="11"/>
      <c r="X38" s="5">
        <f t="shared" si="1"/>
        <v>0</v>
      </c>
      <c r="Y38" s="2">
        <f t="shared" si="2"/>
        <v>0</v>
      </c>
    </row>
    <row r="39" spans="4:25" x14ac:dyDescent="0.25">
      <c r="D39" s="12"/>
      <c r="E39" s="5"/>
      <c r="F39" s="19" t="str">
        <f t="shared" si="0"/>
        <v/>
      </c>
      <c r="G39" s="1"/>
      <c r="H39" s="1"/>
      <c r="I39" s="1"/>
      <c r="J39" s="11"/>
      <c r="X39" s="5">
        <f t="shared" si="1"/>
        <v>0</v>
      </c>
      <c r="Y39" s="2">
        <f t="shared" si="2"/>
        <v>0</v>
      </c>
    </row>
    <row r="40" spans="4:25" x14ac:dyDescent="0.25">
      <c r="D40" s="12"/>
      <c r="E40" s="5"/>
      <c r="F40" s="19" t="str">
        <f t="shared" si="0"/>
        <v/>
      </c>
      <c r="G40" s="1"/>
      <c r="H40" s="1"/>
      <c r="I40" s="1"/>
      <c r="J40" s="11"/>
      <c r="X40" s="5">
        <f t="shared" si="1"/>
        <v>0</v>
      </c>
      <c r="Y40" s="2">
        <f t="shared" si="2"/>
        <v>0</v>
      </c>
    </row>
    <row r="41" spans="4:25" x14ac:dyDescent="0.25">
      <c r="D41" s="12"/>
      <c r="E41" s="5"/>
      <c r="F41" s="19" t="str">
        <f t="shared" si="0"/>
        <v/>
      </c>
      <c r="G41" s="1"/>
      <c r="H41" s="1"/>
      <c r="I41" s="1"/>
      <c r="J41" s="11"/>
      <c r="X41" s="5">
        <f t="shared" si="1"/>
        <v>0</v>
      </c>
      <c r="Y41" s="2">
        <f t="shared" si="2"/>
        <v>0</v>
      </c>
    </row>
    <row r="42" spans="4:25" x14ac:dyDescent="0.25">
      <c r="D42" s="12"/>
      <c r="E42" s="5"/>
      <c r="F42" s="19" t="str">
        <f t="shared" si="0"/>
        <v/>
      </c>
      <c r="G42" s="1"/>
      <c r="H42" s="1"/>
      <c r="I42" s="1"/>
      <c r="J42" s="11"/>
      <c r="X42" s="5">
        <f t="shared" si="1"/>
        <v>0</v>
      </c>
      <c r="Y42" s="2">
        <f t="shared" si="2"/>
        <v>0</v>
      </c>
    </row>
    <row r="43" spans="4:25" x14ac:dyDescent="0.25">
      <c r="D43" s="12"/>
      <c r="E43" s="5"/>
      <c r="F43" s="19" t="str">
        <f t="shared" si="0"/>
        <v/>
      </c>
      <c r="G43" s="1"/>
      <c r="H43" s="1"/>
      <c r="I43" s="1"/>
      <c r="J43" s="11"/>
      <c r="X43" s="5">
        <f t="shared" si="1"/>
        <v>0</v>
      </c>
      <c r="Y43" s="2">
        <f t="shared" si="2"/>
        <v>0</v>
      </c>
    </row>
    <row r="44" spans="4:25" x14ac:dyDescent="0.25">
      <c r="D44" s="12"/>
      <c r="E44" s="5"/>
      <c r="F44" s="19" t="str">
        <f t="shared" si="0"/>
        <v/>
      </c>
      <c r="G44" s="1"/>
      <c r="H44" s="1"/>
      <c r="I44" s="1"/>
      <c r="J44" s="11"/>
      <c r="X44" s="5">
        <f t="shared" si="1"/>
        <v>0</v>
      </c>
      <c r="Y44" s="2">
        <f t="shared" si="2"/>
        <v>0</v>
      </c>
    </row>
    <row r="45" spans="4:25" x14ac:dyDescent="0.25">
      <c r="D45" s="12"/>
      <c r="E45" s="5"/>
      <c r="F45" s="19" t="str">
        <f t="shared" si="0"/>
        <v/>
      </c>
      <c r="G45" s="1"/>
      <c r="H45" s="1"/>
      <c r="I45" s="1"/>
      <c r="J45" s="11"/>
      <c r="X45" s="5">
        <f t="shared" si="1"/>
        <v>0</v>
      </c>
      <c r="Y45" s="2">
        <f t="shared" si="2"/>
        <v>0</v>
      </c>
    </row>
    <row r="46" spans="4:25" x14ac:dyDescent="0.25">
      <c r="D46" s="12"/>
      <c r="E46" s="5"/>
      <c r="F46" s="19" t="str">
        <f t="shared" si="0"/>
        <v/>
      </c>
      <c r="G46" s="1"/>
      <c r="H46" s="1"/>
      <c r="I46" s="1"/>
      <c r="J46" s="11"/>
      <c r="X46" s="5">
        <f t="shared" si="1"/>
        <v>0</v>
      </c>
      <c r="Y46" s="2">
        <f t="shared" si="2"/>
        <v>0</v>
      </c>
    </row>
    <row r="47" spans="4:25" x14ac:dyDescent="0.25">
      <c r="D47" s="12"/>
      <c r="E47" s="5"/>
      <c r="F47" s="19" t="str">
        <f t="shared" si="0"/>
        <v/>
      </c>
      <c r="G47" s="1"/>
      <c r="H47" s="1"/>
      <c r="I47" s="1"/>
      <c r="J47" s="11"/>
      <c r="X47" s="5">
        <f t="shared" si="1"/>
        <v>0</v>
      </c>
      <c r="Y47" s="2">
        <f t="shared" si="2"/>
        <v>0</v>
      </c>
    </row>
    <row r="48" spans="4:25" x14ac:dyDescent="0.25">
      <c r="D48" s="12"/>
      <c r="E48" s="5"/>
      <c r="F48" s="19" t="str">
        <f t="shared" si="0"/>
        <v/>
      </c>
      <c r="G48" s="1"/>
      <c r="H48" s="1"/>
      <c r="I48" s="1"/>
      <c r="J48" s="11"/>
      <c r="X48" s="5">
        <f t="shared" si="1"/>
        <v>0</v>
      </c>
      <c r="Y48" s="2">
        <f t="shared" si="2"/>
        <v>0</v>
      </c>
    </row>
    <row r="49" spans="4:25" x14ac:dyDescent="0.25">
      <c r="D49" s="12"/>
      <c r="E49" s="5"/>
      <c r="F49" s="19" t="str">
        <f t="shared" si="0"/>
        <v/>
      </c>
      <c r="G49" s="1"/>
      <c r="H49" s="1"/>
      <c r="I49" s="1"/>
      <c r="J49" s="11"/>
      <c r="X49" s="5">
        <f t="shared" si="1"/>
        <v>0</v>
      </c>
      <c r="Y49" s="2">
        <f t="shared" si="2"/>
        <v>0</v>
      </c>
    </row>
    <row r="50" spans="4:25" x14ac:dyDescent="0.25">
      <c r="D50" s="12"/>
      <c r="E50" s="5"/>
      <c r="F50" s="19" t="str">
        <f t="shared" si="0"/>
        <v/>
      </c>
      <c r="G50" s="1"/>
      <c r="H50" s="1"/>
      <c r="I50" s="1"/>
      <c r="J50" s="11"/>
      <c r="X50" s="5">
        <f t="shared" si="1"/>
        <v>0</v>
      </c>
      <c r="Y50" s="2">
        <f t="shared" si="2"/>
        <v>0</v>
      </c>
    </row>
    <row r="51" spans="4:25" x14ac:dyDescent="0.25">
      <c r="D51" s="12"/>
      <c r="E51" s="5"/>
      <c r="F51" s="19" t="str">
        <f t="shared" si="0"/>
        <v/>
      </c>
      <c r="G51" s="1"/>
      <c r="H51" s="1"/>
      <c r="I51" s="1"/>
      <c r="J51" s="11"/>
      <c r="X51" s="5">
        <f t="shared" si="1"/>
        <v>0</v>
      </c>
      <c r="Y51" s="2">
        <f t="shared" si="2"/>
        <v>0</v>
      </c>
    </row>
    <row r="52" spans="4:25" x14ac:dyDescent="0.25">
      <c r="D52" s="12"/>
      <c r="E52" s="5"/>
      <c r="F52" s="19" t="str">
        <f t="shared" si="0"/>
        <v/>
      </c>
      <c r="G52" s="1"/>
      <c r="H52" s="1"/>
      <c r="I52" s="1"/>
      <c r="J52" s="9"/>
      <c r="X52" s="5">
        <f t="shared" si="1"/>
        <v>0</v>
      </c>
      <c r="Y52" s="2">
        <f t="shared" si="2"/>
        <v>0</v>
      </c>
    </row>
    <row r="53" spans="4:25" x14ac:dyDescent="0.25">
      <c r="D53" s="1" t="s">
        <v>25</v>
      </c>
      <c r="E53" s="23"/>
      <c r="F53" s="2"/>
      <c r="G53" s="2">
        <f>SUM(G3:G52)</f>
        <v>17.46</v>
      </c>
      <c r="H53" s="2">
        <f t="shared" ref="H53:I53" si="3">SUM(H3:H52)</f>
        <v>0.97</v>
      </c>
      <c r="I53" s="2">
        <f t="shared" si="3"/>
        <v>0.05</v>
      </c>
    </row>
  </sheetData>
  <mergeCells count="4">
    <mergeCell ref="D1:F1"/>
    <mergeCell ref="G1:I1"/>
    <mergeCell ref="K1:Q1"/>
    <mergeCell ref="X1:Z1"/>
  </mergeCells>
  <conditionalFormatting sqref="A1:B1">
    <cfRule type="expression" dxfId="35" priority="1">
      <formula>$Z$3="+"</formula>
    </cfRule>
    <cfRule type="expression" dxfId="34" priority="2">
      <formula>$B$16=$K$3</formula>
    </cfRule>
  </conditionalFormatting>
  <conditionalFormatting sqref="P3">
    <cfRule type="expression" dxfId="33" priority="6">
      <formula>$Z$3="+"</formula>
    </cfRule>
  </conditionalFormatting>
  <conditionalFormatting sqref="Z3">
    <cfRule type="expression" dxfId="32" priority="7">
      <formula>$Z$3="+"</formula>
    </cfRule>
  </conditionalFormatting>
  <pageMargins left="0.7" right="0.7" top="0.75" bottom="0.75" header="0.3" footer="0.3"/>
  <pageSetup orientation="portrait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C9460-F63C-45C1-A3DC-990D9D24FA50}">
  <sheetPr>
    <tabColor rgb="FF92D050"/>
  </sheetPr>
  <dimension ref="A1:Z53"/>
  <sheetViews>
    <sheetView workbookViewId="0">
      <selection activeCell="I4" sqref="I4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1" customWidth="1"/>
    <col min="25" max="25" width="10.7109375" style="11" customWidth="1"/>
    <col min="26" max="26" width="10.7109375" customWidth="1"/>
  </cols>
  <sheetData>
    <row r="1" spans="1:26" x14ac:dyDescent="0.25">
      <c r="A1" s="4" t="s">
        <v>66</v>
      </c>
      <c r="B1" s="5" t="s">
        <v>31</v>
      </c>
      <c r="D1" s="29" t="s">
        <v>2</v>
      </c>
      <c r="E1" s="30"/>
      <c r="F1" s="31"/>
      <c r="G1" s="29" t="s">
        <v>0</v>
      </c>
      <c r="H1" s="30"/>
      <c r="I1" s="31"/>
      <c r="J1" s="18"/>
      <c r="K1" s="29" t="s">
        <v>58</v>
      </c>
      <c r="L1" s="30"/>
      <c r="M1" s="30"/>
      <c r="N1" s="30"/>
      <c r="O1" s="30"/>
      <c r="P1" s="30"/>
      <c r="Q1" s="31"/>
      <c r="X1" s="29"/>
      <c r="Y1" s="30"/>
      <c r="Z1" s="31"/>
    </row>
    <row r="2" spans="1:26" x14ac:dyDescent="0.25">
      <c r="A2" s="4" t="s">
        <v>21</v>
      </c>
      <c r="B2" s="5" t="s">
        <v>32</v>
      </c>
      <c r="D2" s="10" t="s">
        <v>49</v>
      </c>
      <c r="E2" s="10" t="s">
        <v>50</v>
      </c>
      <c r="F2" s="17" t="s">
        <v>67</v>
      </c>
      <c r="G2" s="10" t="s">
        <v>15</v>
      </c>
      <c r="H2" s="10" t="s">
        <v>16</v>
      </c>
      <c r="I2" s="10" t="s">
        <v>60</v>
      </c>
      <c r="J2" s="9"/>
      <c r="K2" s="10" t="s">
        <v>0</v>
      </c>
      <c r="L2" s="10" t="s">
        <v>1</v>
      </c>
      <c r="M2" s="10" t="s">
        <v>56</v>
      </c>
      <c r="N2" s="10" t="s">
        <v>57</v>
      </c>
      <c r="O2" s="10" t="s">
        <v>2</v>
      </c>
      <c r="P2" s="10" t="s">
        <v>68</v>
      </c>
      <c r="Q2" s="10" t="s">
        <v>67</v>
      </c>
      <c r="X2" s="10" t="s">
        <v>2</v>
      </c>
      <c r="Y2" s="10" t="s">
        <v>59</v>
      </c>
      <c r="Z2" s="10" t="s">
        <v>68</v>
      </c>
    </row>
    <row r="3" spans="1:26" x14ac:dyDescent="0.25">
      <c r="A3" s="4" t="s">
        <v>69</v>
      </c>
      <c r="B3" s="5" t="s">
        <v>78</v>
      </c>
      <c r="D3" s="12">
        <v>45991</v>
      </c>
      <c r="E3" s="12">
        <v>45991</v>
      </c>
      <c r="F3" s="19">
        <f t="shared" ref="F3:F52" si="0">IF(E3&gt;0,E3-D3,"")</f>
        <v>0</v>
      </c>
      <c r="G3" s="2">
        <v>0</v>
      </c>
      <c r="H3" s="1">
        <v>0.09</v>
      </c>
      <c r="I3" s="2">
        <v>0</v>
      </c>
      <c r="J3" s="11"/>
      <c r="K3" s="2">
        <f>G53</f>
        <v>10</v>
      </c>
      <c r="L3" s="2">
        <f>H53</f>
        <v>0.32</v>
      </c>
      <c r="M3" s="2">
        <f>I53</f>
        <v>0.01</v>
      </c>
      <c r="N3" s="6">
        <f>IF(B16=K3,XIRR(Y3:Y52,X3:X52),"")</f>
        <v>0.11673181653022766</v>
      </c>
      <c r="O3" s="5">
        <f>IF(B16=K3,MAX(E:E),"")</f>
        <v>46064</v>
      </c>
      <c r="P3" s="1" t="str">
        <f ca="1">IF(Z3="+",TODAY()-B11,"")</f>
        <v/>
      </c>
      <c r="Q3" s="1">
        <f>IF(B16=K3,MAX(E:E)-B11,"")</f>
        <v>12</v>
      </c>
      <c r="T3" s="14"/>
      <c r="X3" s="5">
        <f>B9</f>
        <v>45962</v>
      </c>
      <c r="Y3" s="2">
        <f>B16*-1</f>
        <v>-10</v>
      </c>
      <c r="Z3" s="1" t="str">
        <f ca="1">IF(AND(TODAY()&gt;B11, K3&lt;&gt;B16), "+", "")</f>
        <v/>
      </c>
    </row>
    <row r="4" spans="1:26" x14ac:dyDescent="0.25">
      <c r="A4" s="4" t="s">
        <v>19</v>
      </c>
      <c r="B4" s="5" t="s">
        <v>20</v>
      </c>
      <c r="D4" s="12">
        <v>46022</v>
      </c>
      <c r="E4" s="12">
        <v>46022</v>
      </c>
      <c r="F4" s="19">
        <f t="shared" si="0"/>
        <v>0</v>
      </c>
      <c r="G4" s="2">
        <v>0</v>
      </c>
      <c r="H4" s="2">
        <v>0.1</v>
      </c>
      <c r="I4" s="2">
        <v>0.01</v>
      </c>
      <c r="J4" s="9"/>
      <c r="X4" s="5">
        <f>E3</f>
        <v>45991</v>
      </c>
      <c r="Y4" s="2">
        <f>G3+H3-I3</f>
        <v>0.09</v>
      </c>
    </row>
    <row r="5" spans="1:26" x14ac:dyDescent="0.25">
      <c r="A5" s="4"/>
      <c r="B5" s="5"/>
      <c r="D5" s="12">
        <v>46052</v>
      </c>
      <c r="E5" s="12">
        <v>46052</v>
      </c>
      <c r="F5" s="19">
        <f t="shared" si="0"/>
        <v>0</v>
      </c>
      <c r="G5" s="2">
        <v>0</v>
      </c>
      <c r="H5" s="1">
        <v>0.05</v>
      </c>
      <c r="I5" s="2">
        <v>0</v>
      </c>
      <c r="J5" s="9"/>
      <c r="X5" s="5">
        <f t="shared" ref="X5:X52" si="1">E4</f>
        <v>46022</v>
      </c>
      <c r="Y5" s="2">
        <f t="shared" ref="Y5:Y52" si="2">G4+H4-I4</f>
        <v>9.0000000000000011E-2</v>
      </c>
    </row>
    <row r="6" spans="1:26" x14ac:dyDescent="0.25">
      <c r="A6" s="4"/>
      <c r="B6" s="5"/>
      <c r="D6" s="12">
        <v>46052</v>
      </c>
      <c r="E6" s="12">
        <v>46064</v>
      </c>
      <c r="F6" s="19">
        <f t="shared" si="0"/>
        <v>12</v>
      </c>
      <c r="G6" s="2">
        <v>10</v>
      </c>
      <c r="H6" s="2">
        <v>0.08</v>
      </c>
      <c r="I6" s="2">
        <v>0</v>
      </c>
      <c r="J6" s="9"/>
      <c r="X6" s="5">
        <f t="shared" si="1"/>
        <v>46052</v>
      </c>
      <c r="Y6" s="2">
        <f t="shared" si="2"/>
        <v>0.05</v>
      </c>
    </row>
    <row r="7" spans="1:26" x14ac:dyDescent="0.25">
      <c r="A7" s="4"/>
      <c r="B7" s="5"/>
      <c r="D7" s="12"/>
      <c r="E7" s="12"/>
      <c r="F7" s="19" t="str">
        <f t="shared" si="0"/>
        <v/>
      </c>
      <c r="G7" s="2"/>
      <c r="H7" s="1"/>
      <c r="I7" s="2"/>
      <c r="J7" s="11"/>
      <c r="X7" s="5">
        <f t="shared" si="1"/>
        <v>46064</v>
      </c>
      <c r="Y7" s="2">
        <f t="shared" si="2"/>
        <v>10.08</v>
      </c>
    </row>
    <row r="8" spans="1:26" x14ac:dyDescent="0.25">
      <c r="A8" s="4" t="s">
        <v>24</v>
      </c>
      <c r="B8" s="5" t="str">
        <f>DATEDIF(B9,B11,"y") &amp; " m. " &amp; DATEDIF(B9,B11,"ym") &amp; " mėn. " &amp; DATEDIF(B9,B11,"md") &amp; " d."</f>
        <v>0 m. 2 mėn. 29 d.</v>
      </c>
      <c r="D8" s="12"/>
      <c r="E8" s="12"/>
      <c r="F8" s="19" t="str">
        <f t="shared" si="0"/>
        <v/>
      </c>
      <c r="G8" s="2"/>
      <c r="H8" s="2"/>
      <c r="I8" s="2"/>
      <c r="J8" s="9"/>
      <c r="X8" s="5">
        <f t="shared" si="1"/>
        <v>0</v>
      </c>
      <c r="Y8" s="2">
        <f t="shared" si="2"/>
        <v>0</v>
      </c>
    </row>
    <row r="9" spans="1:26" x14ac:dyDescent="0.25">
      <c r="A9" s="4" t="s">
        <v>11</v>
      </c>
      <c r="B9" s="5">
        <v>45962</v>
      </c>
      <c r="D9" s="12"/>
      <c r="E9" s="12"/>
      <c r="F9" s="19" t="str">
        <f t="shared" si="0"/>
        <v/>
      </c>
      <c r="G9" s="2"/>
      <c r="H9" s="2"/>
      <c r="I9" s="2"/>
      <c r="J9" s="11"/>
      <c r="X9" s="5">
        <f t="shared" si="1"/>
        <v>0</v>
      </c>
      <c r="Y9" s="2">
        <f t="shared" si="2"/>
        <v>0</v>
      </c>
    </row>
    <row r="10" spans="1:26" x14ac:dyDescent="0.25">
      <c r="A10" s="4" t="s">
        <v>70</v>
      </c>
      <c r="B10" s="5">
        <v>45932</v>
      </c>
      <c r="D10" s="12"/>
      <c r="E10" s="12"/>
      <c r="F10" s="19" t="str">
        <f t="shared" si="0"/>
        <v/>
      </c>
      <c r="G10" s="1"/>
      <c r="H10" s="1"/>
      <c r="I10" s="2"/>
      <c r="J10" s="11"/>
      <c r="X10" s="5">
        <f t="shared" si="1"/>
        <v>0</v>
      </c>
      <c r="Y10" s="2">
        <f t="shared" si="2"/>
        <v>0</v>
      </c>
    </row>
    <row r="11" spans="1:26" x14ac:dyDescent="0.25">
      <c r="A11" s="4" t="s">
        <v>10</v>
      </c>
      <c r="B11" s="5">
        <v>46052</v>
      </c>
      <c r="D11" s="12"/>
      <c r="E11" s="12"/>
      <c r="F11" s="19" t="str">
        <f t="shared" si="0"/>
        <v/>
      </c>
      <c r="G11" s="1"/>
      <c r="H11" s="2"/>
      <c r="I11" s="2"/>
      <c r="J11" s="11"/>
      <c r="X11" s="5">
        <f t="shared" si="1"/>
        <v>0</v>
      </c>
      <c r="Y11" s="2">
        <f t="shared" si="2"/>
        <v>0</v>
      </c>
    </row>
    <row r="12" spans="1:26" x14ac:dyDescent="0.25">
      <c r="A12" s="4" t="s">
        <v>71</v>
      </c>
      <c r="B12" s="19" t="str">
        <f ca="1">IF(B16&lt;&gt;K3,(TODAY()-B11)*-1,"")</f>
        <v/>
      </c>
      <c r="D12" s="12"/>
      <c r="E12" s="12"/>
      <c r="F12" s="19" t="str">
        <f t="shared" si="0"/>
        <v/>
      </c>
      <c r="G12" s="2"/>
      <c r="H12" s="1"/>
      <c r="I12" s="1"/>
      <c r="J12" s="11"/>
      <c r="X12" s="5">
        <f t="shared" si="1"/>
        <v>0</v>
      </c>
      <c r="Y12" s="2">
        <f t="shared" si="2"/>
        <v>0</v>
      </c>
    </row>
    <row r="13" spans="1:26" x14ac:dyDescent="0.25">
      <c r="A13" s="4"/>
      <c r="B13" s="2"/>
      <c r="D13" s="12"/>
      <c r="E13" s="12"/>
      <c r="F13" s="19" t="str">
        <f t="shared" si="0"/>
        <v/>
      </c>
      <c r="G13" s="1"/>
      <c r="H13" s="2"/>
      <c r="I13" s="2"/>
      <c r="J13" s="11"/>
      <c r="N13" s="14"/>
      <c r="X13" s="5">
        <f t="shared" si="1"/>
        <v>0</v>
      </c>
      <c r="Y13" s="2">
        <f t="shared" si="2"/>
        <v>0</v>
      </c>
    </row>
    <row r="14" spans="1:26" x14ac:dyDescent="0.25">
      <c r="A14" s="13"/>
      <c r="B14" s="20"/>
      <c r="D14" s="12"/>
      <c r="E14" s="5"/>
      <c r="F14" s="19" t="str">
        <f t="shared" si="0"/>
        <v/>
      </c>
      <c r="G14" s="1"/>
      <c r="H14" s="1"/>
      <c r="I14" s="1"/>
      <c r="J14" s="11"/>
      <c r="X14" s="5">
        <f t="shared" si="1"/>
        <v>0</v>
      </c>
      <c r="Y14" s="2">
        <f t="shared" si="2"/>
        <v>0</v>
      </c>
    </row>
    <row r="15" spans="1:26" x14ac:dyDescent="0.25">
      <c r="A15" s="4" t="s">
        <v>1</v>
      </c>
      <c r="B15" s="6">
        <v>0.115</v>
      </c>
      <c r="D15" s="12"/>
      <c r="E15" s="5"/>
      <c r="F15" s="19" t="str">
        <f t="shared" si="0"/>
        <v/>
      </c>
      <c r="G15" s="1"/>
      <c r="H15" s="1"/>
      <c r="I15" s="1"/>
      <c r="J15" s="11"/>
      <c r="K15" s="18"/>
      <c r="L15" s="18"/>
      <c r="M15" s="18"/>
      <c r="N15" s="18"/>
      <c r="O15" s="18"/>
      <c r="P15" s="18"/>
      <c r="Q15" s="18"/>
      <c r="X15" s="5">
        <f t="shared" si="1"/>
        <v>0</v>
      </c>
      <c r="Y15" s="2">
        <f t="shared" si="2"/>
        <v>0</v>
      </c>
    </row>
    <row r="16" spans="1:26" x14ac:dyDescent="0.25">
      <c r="A16" s="4" t="s">
        <v>72</v>
      </c>
      <c r="B16" s="2">
        <v>10</v>
      </c>
      <c r="D16" s="12"/>
      <c r="E16" s="5"/>
      <c r="F16" s="19" t="str">
        <f t="shared" si="0"/>
        <v/>
      </c>
      <c r="G16" s="1"/>
      <c r="H16" s="1"/>
      <c r="I16" s="1"/>
      <c r="J16" s="11"/>
      <c r="K16" s="9"/>
      <c r="L16" s="9"/>
      <c r="M16" s="9"/>
      <c r="N16" s="21"/>
      <c r="O16" s="22"/>
      <c r="P16" s="11"/>
      <c r="Q16" s="11"/>
      <c r="X16" s="5">
        <f t="shared" si="1"/>
        <v>0</v>
      </c>
      <c r="Y16" s="2">
        <f t="shared" si="2"/>
        <v>0</v>
      </c>
    </row>
    <row r="17" spans="2:25" x14ac:dyDescent="0.25">
      <c r="D17" s="12"/>
      <c r="E17" s="5"/>
      <c r="F17" s="19" t="str">
        <f t="shared" si="0"/>
        <v/>
      </c>
      <c r="G17" s="1"/>
      <c r="H17" s="1"/>
      <c r="I17" s="1"/>
      <c r="J17" s="11"/>
      <c r="X17" s="5">
        <f t="shared" si="1"/>
        <v>0</v>
      </c>
      <c r="Y17" s="2">
        <f t="shared" si="2"/>
        <v>0</v>
      </c>
    </row>
    <row r="18" spans="2:25" x14ac:dyDescent="0.25">
      <c r="D18" s="12"/>
      <c r="E18" s="5"/>
      <c r="F18" s="19" t="str">
        <f t="shared" si="0"/>
        <v/>
      </c>
      <c r="G18" s="1"/>
      <c r="H18" s="1"/>
      <c r="I18" s="1"/>
      <c r="J18" s="11"/>
      <c r="X18" s="5">
        <f t="shared" si="1"/>
        <v>0</v>
      </c>
      <c r="Y18" s="2">
        <f t="shared" si="2"/>
        <v>0</v>
      </c>
    </row>
    <row r="19" spans="2:25" x14ac:dyDescent="0.25">
      <c r="D19" s="12"/>
      <c r="E19" s="5"/>
      <c r="F19" s="19" t="str">
        <f t="shared" si="0"/>
        <v/>
      </c>
      <c r="G19" s="1"/>
      <c r="H19" s="1"/>
      <c r="I19" s="1"/>
      <c r="J19" s="11"/>
      <c r="X19" s="5">
        <f t="shared" si="1"/>
        <v>0</v>
      </c>
      <c r="Y19" s="2">
        <f t="shared" si="2"/>
        <v>0</v>
      </c>
    </row>
    <row r="20" spans="2:25" x14ac:dyDescent="0.25">
      <c r="D20" s="12"/>
      <c r="E20" s="5"/>
      <c r="F20" s="19" t="str">
        <f t="shared" si="0"/>
        <v/>
      </c>
      <c r="G20" s="1"/>
      <c r="H20" s="1"/>
      <c r="I20" s="1"/>
      <c r="J20" s="11"/>
      <c r="X20" s="5">
        <f t="shared" si="1"/>
        <v>0</v>
      </c>
      <c r="Y20" s="2">
        <f t="shared" si="2"/>
        <v>0</v>
      </c>
    </row>
    <row r="21" spans="2:25" x14ac:dyDescent="0.25">
      <c r="D21" s="12"/>
      <c r="E21" s="5"/>
      <c r="F21" s="19" t="str">
        <f t="shared" si="0"/>
        <v/>
      </c>
      <c r="G21" s="1"/>
      <c r="H21" s="1"/>
      <c r="I21" s="1"/>
      <c r="J21" s="11"/>
      <c r="X21" s="5">
        <f t="shared" si="1"/>
        <v>0</v>
      </c>
      <c r="Y21" s="2">
        <f t="shared" si="2"/>
        <v>0</v>
      </c>
    </row>
    <row r="22" spans="2:25" x14ac:dyDescent="0.25">
      <c r="D22" s="12"/>
      <c r="E22" s="5"/>
      <c r="F22" s="19" t="str">
        <f t="shared" si="0"/>
        <v/>
      </c>
      <c r="G22" s="1"/>
      <c r="H22" s="1"/>
      <c r="I22" s="1"/>
      <c r="J22" s="11"/>
      <c r="X22" s="5">
        <f t="shared" si="1"/>
        <v>0</v>
      </c>
      <c r="Y22" s="2">
        <f t="shared" si="2"/>
        <v>0</v>
      </c>
    </row>
    <row r="23" spans="2:25" x14ac:dyDescent="0.25">
      <c r="B23" s="22"/>
      <c r="D23" s="12"/>
      <c r="E23" s="5"/>
      <c r="F23" s="19" t="str">
        <f t="shared" si="0"/>
        <v/>
      </c>
      <c r="G23" s="1"/>
      <c r="H23" s="1"/>
      <c r="I23" s="1"/>
      <c r="J23" s="11"/>
      <c r="X23" s="5">
        <f t="shared" si="1"/>
        <v>0</v>
      </c>
      <c r="Y23" s="2">
        <f t="shared" si="2"/>
        <v>0</v>
      </c>
    </row>
    <row r="24" spans="2:25" x14ac:dyDescent="0.25">
      <c r="D24" s="12"/>
      <c r="E24" s="5"/>
      <c r="F24" s="19" t="str">
        <f t="shared" si="0"/>
        <v/>
      </c>
      <c r="G24" s="1"/>
      <c r="H24" s="1"/>
      <c r="I24" s="1"/>
      <c r="J24" s="11"/>
      <c r="X24" s="5">
        <f t="shared" si="1"/>
        <v>0</v>
      </c>
      <c r="Y24" s="2">
        <f t="shared" si="2"/>
        <v>0</v>
      </c>
    </row>
    <row r="25" spans="2:25" x14ac:dyDescent="0.25">
      <c r="D25" s="12"/>
      <c r="E25" s="5"/>
      <c r="F25" s="19" t="str">
        <f t="shared" si="0"/>
        <v/>
      </c>
      <c r="G25" s="1"/>
      <c r="H25" s="1"/>
      <c r="I25" s="1"/>
      <c r="J25" s="11"/>
      <c r="X25" s="5">
        <f t="shared" si="1"/>
        <v>0</v>
      </c>
      <c r="Y25" s="2">
        <f t="shared" si="2"/>
        <v>0</v>
      </c>
    </row>
    <row r="26" spans="2:25" x14ac:dyDescent="0.25">
      <c r="D26" s="12"/>
      <c r="E26" s="5"/>
      <c r="F26" s="19" t="str">
        <f t="shared" si="0"/>
        <v/>
      </c>
      <c r="G26" s="1"/>
      <c r="H26" s="1"/>
      <c r="I26" s="1"/>
      <c r="J26" s="11"/>
      <c r="X26" s="5">
        <f t="shared" si="1"/>
        <v>0</v>
      </c>
      <c r="Y26" s="2">
        <f t="shared" si="2"/>
        <v>0</v>
      </c>
    </row>
    <row r="27" spans="2:25" x14ac:dyDescent="0.25">
      <c r="D27" s="12"/>
      <c r="E27" s="5"/>
      <c r="F27" s="19" t="str">
        <f t="shared" si="0"/>
        <v/>
      </c>
      <c r="G27" s="1"/>
      <c r="H27" s="1"/>
      <c r="I27" s="1"/>
      <c r="J27" s="11"/>
      <c r="X27" s="5">
        <f t="shared" si="1"/>
        <v>0</v>
      </c>
      <c r="Y27" s="2">
        <f t="shared" si="2"/>
        <v>0</v>
      </c>
    </row>
    <row r="28" spans="2:25" x14ac:dyDescent="0.25">
      <c r="D28" s="12"/>
      <c r="E28" s="5"/>
      <c r="F28" s="19" t="str">
        <f t="shared" si="0"/>
        <v/>
      </c>
      <c r="G28" s="1"/>
      <c r="H28" s="1"/>
      <c r="I28" s="1"/>
      <c r="J28" s="11"/>
      <c r="X28" s="5">
        <f t="shared" si="1"/>
        <v>0</v>
      </c>
      <c r="Y28" s="2">
        <f t="shared" si="2"/>
        <v>0</v>
      </c>
    </row>
    <row r="29" spans="2:25" x14ac:dyDescent="0.25">
      <c r="D29" s="12"/>
      <c r="E29" s="5"/>
      <c r="F29" s="19" t="str">
        <f t="shared" si="0"/>
        <v/>
      </c>
      <c r="G29" s="1"/>
      <c r="H29" s="1"/>
      <c r="I29" s="1"/>
      <c r="J29" s="11"/>
      <c r="X29" s="5">
        <f t="shared" si="1"/>
        <v>0</v>
      </c>
      <c r="Y29" s="2">
        <f t="shared" si="2"/>
        <v>0</v>
      </c>
    </row>
    <row r="30" spans="2:25" x14ac:dyDescent="0.25">
      <c r="D30" s="12"/>
      <c r="E30" s="5"/>
      <c r="F30" s="19" t="str">
        <f t="shared" si="0"/>
        <v/>
      </c>
      <c r="G30" s="1"/>
      <c r="H30" s="1"/>
      <c r="I30" s="1"/>
      <c r="J30" s="11"/>
      <c r="X30" s="5">
        <f t="shared" si="1"/>
        <v>0</v>
      </c>
      <c r="Y30" s="2">
        <f t="shared" si="2"/>
        <v>0</v>
      </c>
    </row>
    <row r="31" spans="2:25" x14ac:dyDescent="0.25">
      <c r="D31" s="12"/>
      <c r="E31" s="5"/>
      <c r="F31" s="19" t="str">
        <f t="shared" si="0"/>
        <v/>
      </c>
      <c r="G31" s="1"/>
      <c r="H31" s="1"/>
      <c r="I31" s="1"/>
      <c r="J31" s="11"/>
      <c r="X31" s="5">
        <f t="shared" si="1"/>
        <v>0</v>
      </c>
      <c r="Y31" s="2">
        <f t="shared" si="2"/>
        <v>0</v>
      </c>
    </row>
    <row r="32" spans="2:25" x14ac:dyDescent="0.25">
      <c r="D32" s="12"/>
      <c r="E32" s="5"/>
      <c r="F32" s="19" t="str">
        <f t="shared" si="0"/>
        <v/>
      </c>
      <c r="G32" s="1"/>
      <c r="H32" s="1"/>
      <c r="I32" s="1"/>
      <c r="J32" s="11"/>
      <c r="X32" s="5">
        <f t="shared" si="1"/>
        <v>0</v>
      </c>
      <c r="Y32" s="2">
        <f t="shared" si="2"/>
        <v>0</v>
      </c>
    </row>
    <row r="33" spans="4:25" x14ac:dyDescent="0.25">
      <c r="D33" s="12"/>
      <c r="E33" s="5"/>
      <c r="F33" s="19" t="str">
        <f t="shared" si="0"/>
        <v/>
      </c>
      <c r="G33" s="1"/>
      <c r="H33" s="1"/>
      <c r="I33" s="1"/>
      <c r="J33" s="11"/>
      <c r="X33" s="5">
        <f t="shared" si="1"/>
        <v>0</v>
      </c>
      <c r="Y33" s="2">
        <f t="shared" si="2"/>
        <v>0</v>
      </c>
    </row>
    <row r="34" spans="4:25" x14ac:dyDescent="0.25">
      <c r="D34" s="12"/>
      <c r="E34" s="5"/>
      <c r="F34" s="19" t="str">
        <f t="shared" si="0"/>
        <v/>
      </c>
      <c r="G34" s="1"/>
      <c r="H34" s="1"/>
      <c r="I34" s="1"/>
      <c r="J34" s="11"/>
      <c r="X34" s="5">
        <f t="shared" si="1"/>
        <v>0</v>
      </c>
      <c r="Y34" s="2">
        <f t="shared" si="2"/>
        <v>0</v>
      </c>
    </row>
    <row r="35" spans="4:25" x14ac:dyDescent="0.25">
      <c r="D35" s="12"/>
      <c r="E35" s="5"/>
      <c r="F35" s="19" t="str">
        <f t="shared" si="0"/>
        <v/>
      </c>
      <c r="G35" s="1"/>
      <c r="H35" s="1"/>
      <c r="I35" s="1"/>
      <c r="J35" s="11"/>
      <c r="X35" s="5">
        <f t="shared" si="1"/>
        <v>0</v>
      </c>
      <c r="Y35" s="2">
        <f t="shared" si="2"/>
        <v>0</v>
      </c>
    </row>
    <row r="36" spans="4:25" x14ac:dyDescent="0.25">
      <c r="D36" s="12"/>
      <c r="E36" s="5"/>
      <c r="F36" s="19" t="str">
        <f t="shared" si="0"/>
        <v/>
      </c>
      <c r="G36" s="1"/>
      <c r="H36" s="1"/>
      <c r="I36" s="1"/>
      <c r="J36" s="11"/>
      <c r="X36" s="5">
        <f t="shared" si="1"/>
        <v>0</v>
      </c>
      <c r="Y36" s="2">
        <f t="shared" si="2"/>
        <v>0</v>
      </c>
    </row>
    <row r="37" spans="4:25" x14ac:dyDescent="0.25">
      <c r="D37" s="12"/>
      <c r="E37" s="5"/>
      <c r="F37" s="19" t="str">
        <f t="shared" si="0"/>
        <v/>
      </c>
      <c r="G37" s="1"/>
      <c r="H37" s="1"/>
      <c r="I37" s="1"/>
      <c r="J37" s="11"/>
      <c r="X37" s="5">
        <f t="shared" si="1"/>
        <v>0</v>
      </c>
      <c r="Y37" s="2">
        <f t="shared" si="2"/>
        <v>0</v>
      </c>
    </row>
    <row r="38" spans="4:25" x14ac:dyDescent="0.25">
      <c r="D38" s="12"/>
      <c r="E38" s="5"/>
      <c r="F38" s="19" t="str">
        <f t="shared" si="0"/>
        <v/>
      </c>
      <c r="G38" s="1"/>
      <c r="H38" s="1"/>
      <c r="I38" s="1"/>
      <c r="J38" s="11"/>
      <c r="X38" s="5">
        <f t="shared" si="1"/>
        <v>0</v>
      </c>
      <c r="Y38" s="2">
        <f t="shared" si="2"/>
        <v>0</v>
      </c>
    </row>
    <row r="39" spans="4:25" x14ac:dyDescent="0.25">
      <c r="D39" s="12"/>
      <c r="E39" s="5"/>
      <c r="F39" s="19" t="str">
        <f t="shared" si="0"/>
        <v/>
      </c>
      <c r="G39" s="1"/>
      <c r="H39" s="1"/>
      <c r="I39" s="1"/>
      <c r="J39" s="11"/>
      <c r="X39" s="5">
        <f t="shared" si="1"/>
        <v>0</v>
      </c>
      <c r="Y39" s="2">
        <f t="shared" si="2"/>
        <v>0</v>
      </c>
    </row>
    <row r="40" spans="4:25" x14ac:dyDescent="0.25">
      <c r="D40" s="12"/>
      <c r="E40" s="5"/>
      <c r="F40" s="19" t="str">
        <f t="shared" si="0"/>
        <v/>
      </c>
      <c r="G40" s="1"/>
      <c r="H40" s="1"/>
      <c r="I40" s="1"/>
      <c r="J40" s="11"/>
      <c r="X40" s="5">
        <f t="shared" si="1"/>
        <v>0</v>
      </c>
      <c r="Y40" s="2">
        <f t="shared" si="2"/>
        <v>0</v>
      </c>
    </row>
    <row r="41" spans="4:25" x14ac:dyDescent="0.25">
      <c r="D41" s="12"/>
      <c r="E41" s="5"/>
      <c r="F41" s="19" t="str">
        <f t="shared" si="0"/>
        <v/>
      </c>
      <c r="G41" s="1"/>
      <c r="H41" s="1"/>
      <c r="I41" s="1"/>
      <c r="J41" s="11"/>
      <c r="X41" s="5">
        <f t="shared" si="1"/>
        <v>0</v>
      </c>
      <c r="Y41" s="2">
        <f t="shared" si="2"/>
        <v>0</v>
      </c>
    </row>
    <row r="42" spans="4:25" x14ac:dyDescent="0.25">
      <c r="D42" s="12"/>
      <c r="E42" s="5"/>
      <c r="F42" s="19" t="str">
        <f t="shared" si="0"/>
        <v/>
      </c>
      <c r="G42" s="1"/>
      <c r="H42" s="1"/>
      <c r="I42" s="1"/>
      <c r="J42" s="11"/>
      <c r="X42" s="5">
        <f t="shared" si="1"/>
        <v>0</v>
      </c>
      <c r="Y42" s="2">
        <f t="shared" si="2"/>
        <v>0</v>
      </c>
    </row>
    <row r="43" spans="4:25" x14ac:dyDescent="0.25">
      <c r="D43" s="12"/>
      <c r="E43" s="5"/>
      <c r="F43" s="19" t="str">
        <f t="shared" si="0"/>
        <v/>
      </c>
      <c r="G43" s="1"/>
      <c r="H43" s="1"/>
      <c r="I43" s="1"/>
      <c r="J43" s="11"/>
      <c r="X43" s="5">
        <f t="shared" si="1"/>
        <v>0</v>
      </c>
      <c r="Y43" s="2">
        <f t="shared" si="2"/>
        <v>0</v>
      </c>
    </row>
    <row r="44" spans="4:25" x14ac:dyDescent="0.25">
      <c r="D44" s="12"/>
      <c r="E44" s="5"/>
      <c r="F44" s="19" t="str">
        <f t="shared" si="0"/>
        <v/>
      </c>
      <c r="G44" s="1"/>
      <c r="H44" s="1"/>
      <c r="I44" s="1"/>
      <c r="J44" s="11"/>
      <c r="X44" s="5">
        <f t="shared" si="1"/>
        <v>0</v>
      </c>
      <c r="Y44" s="2">
        <f t="shared" si="2"/>
        <v>0</v>
      </c>
    </row>
    <row r="45" spans="4:25" x14ac:dyDescent="0.25">
      <c r="D45" s="12"/>
      <c r="E45" s="5"/>
      <c r="F45" s="19" t="str">
        <f t="shared" si="0"/>
        <v/>
      </c>
      <c r="G45" s="1"/>
      <c r="H45" s="1"/>
      <c r="I45" s="1"/>
      <c r="J45" s="11"/>
      <c r="X45" s="5">
        <f t="shared" si="1"/>
        <v>0</v>
      </c>
      <c r="Y45" s="2">
        <f t="shared" si="2"/>
        <v>0</v>
      </c>
    </row>
    <row r="46" spans="4:25" x14ac:dyDescent="0.25">
      <c r="D46" s="12"/>
      <c r="E46" s="5"/>
      <c r="F46" s="19" t="str">
        <f t="shared" si="0"/>
        <v/>
      </c>
      <c r="G46" s="1"/>
      <c r="H46" s="1"/>
      <c r="I46" s="1"/>
      <c r="J46" s="11"/>
      <c r="X46" s="5">
        <f t="shared" si="1"/>
        <v>0</v>
      </c>
      <c r="Y46" s="2">
        <f t="shared" si="2"/>
        <v>0</v>
      </c>
    </row>
    <row r="47" spans="4:25" x14ac:dyDescent="0.25">
      <c r="D47" s="12"/>
      <c r="E47" s="5"/>
      <c r="F47" s="19" t="str">
        <f t="shared" si="0"/>
        <v/>
      </c>
      <c r="G47" s="1"/>
      <c r="H47" s="1"/>
      <c r="I47" s="1"/>
      <c r="J47" s="11"/>
      <c r="X47" s="5">
        <f t="shared" si="1"/>
        <v>0</v>
      </c>
      <c r="Y47" s="2">
        <f t="shared" si="2"/>
        <v>0</v>
      </c>
    </row>
    <row r="48" spans="4:25" x14ac:dyDescent="0.25">
      <c r="D48" s="12"/>
      <c r="E48" s="5"/>
      <c r="F48" s="19" t="str">
        <f t="shared" si="0"/>
        <v/>
      </c>
      <c r="G48" s="1"/>
      <c r="H48" s="1"/>
      <c r="I48" s="1"/>
      <c r="J48" s="11"/>
      <c r="X48" s="5">
        <f t="shared" si="1"/>
        <v>0</v>
      </c>
      <c r="Y48" s="2">
        <f t="shared" si="2"/>
        <v>0</v>
      </c>
    </row>
    <row r="49" spans="4:25" x14ac:dyDescent="0.25">
      <c r="D49" s="12"/>
      <c r="E49" s="5"/>
      <c r="F49" s="19" t="str">
        <f t="shared" si="0"/>
        <v/>
      </c>
      <c r="G49" s="1"/>
      <c r="H49" s="1"/>
      <c r="I49" s="1"/>
      <c r="J49" s="11"/>
      <c r="X49" s="5">
        <f t="shared" si="1"/>
        <v>0</v>
      </c>
      <c r="Y49" s="2">
        <f t="shared" si="2"/>
        <v>0</v>
      </c>
    </row>
    <row r="50" spans="4:25" x14ac:dyDescent="0.25">
      <c r="D50" s="12"/>
      <c r="E50" s="5"/>
      <c r="F50" s="19" t="str">
        <f t="shared" si="0"/>
        <v/>
      </c>
      <c r="G50" s="1"/>
      <c r="H50" s="1"/>
      <c r="I50" s="1"/>
      <c r="J50" s="11"/>
      <c r="X50" s="5">
        <f t="shared" si="1"/>
        <v>0</v>
      </c>
      <c r="Y50" s="2">
        <f t="shared" si="2"/>
        <v>0</v>
      </c>
    </row>
    <row r="51" spans="4:25" x14ac:dyDescent="0.25">
      <c r="D51" s="12"/>
      <c r="E51" s="5"/>
      <c r="F51" s="19" t="str">
        <f t="shared" si="0"/>
        <v/>
      </c>
      <c r="G51" s="1"/>
      <c r="H51" s="1"/>
      <c r="I51" s="1"/>
      <c r="J51" s="11"/>
      <c r="X51" s="5">
        <f t="shared" si="1"/>
        <v>0</v>
      </c>
      <c r="Y51" s="2">
        <f t="shared" si="2"/>
        <v>0</v>
      </c>
    </row>
    <row r="52" spans="4:25" x14ac:dyDescent="0.25">
      <c r="D52" s="12"/>
      <c r="E52" s="5"/>
      <c r="F52" s="19" t="str">
        <f t="shared" si="0"/>
        <v/>
      </c>
      <c r="G52" s="1"/>
      <c r="H52" s="1"/>
      <c r="I52" s="1"/>
      <c r="J52" s="9"/>
      <c r="X52" s="5">
        <f t="shared" si="1"/>
        <v>0</v>
      </c>
      <c r="Y52" s="2">
        <f t="shared" si="2"/>
        <v>0</v>
      </c>
    </row>
    <row r="53" spans="4:25" x14ac:dyDescent="0.25">
      <c r="D53" s="1" t="s">
        <v>25</v>
      </c>
      <c r="E53" s="23"/>
      <c r="F53" s="2"/>
      <c r="G53" s="2">
        <f>SUM(G3:G52)</f>
        <v>10</v>
      </c>
      <c r="H53" s="2">
        <f t="shared" ref="H53:I53" si="3">SUM(H3:H52)</f>
        <v>0.32</v>
      </c>
      <c r="I53" s="2">
        <f t="shared" si="3"/>
        <v>0.01</v>
      </c>
    </row>
  </sheetData>
  <mergeCells count="4">
    <mergeCell ref="D1:F1"/>
    <mergeCell ref="G1:I1"/>
    <mergeCell ref="K1:Q1"/>
    <mergeCell ref="X1:Z1"/>
  </mergeCells>
  <conditionalFormatting sqref="A1:B1">
    <cfRule type="expression" dxfId="31" priority="1">
      <formula>$Z$3="+"</formula>
    </cfRule>
    <cfRule type="expression" dxfId="30" priority="2">
      <formula>$B$16=$K$3</formula>
    </cfRule>
  </conditionalFormatting>
  <conditionalFormatting sqref="P3">
    <cfRule type="expression" dxfId="29" priority="5">
      <formula>$Z$3="+"</formula>
    </cfRule>
  </conditionalFormatting>
  <conditionalFormatting sqref="Z3">
    <cfRule type="expression" dxfId="28" priority="6">
      <formula>$Z$3="+"</formula>
    </cfRule>
  </conditionalFormatting>
  <pageMargins left="0.7" right="0.7" top="0.75" bottom="0.75" header="0.3" footer="0.3"/>
  <pageSetup orientation="portrait" r:id="rId1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79BD8-C1DC-49D5-B1E6-78E00849D769}">
  <sheetPr>
    <tabColor rgb="FF92D050"/>
  </sheetPr>
  <dimension ref="A1:Z53"/>
  <sheetViews>
    <sheetView workbookViewId="0">
      <selection activeCell="N3" sqref="N3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1" customWidth="1"/>
    <col min="25" max="25" width="10.7109375" style="11" customWidth="1"/>
    <col min="26" max="26" width="10.7109375" customWidth="1"/>
  </cols>
  <sheetData>
    <row r="1" spans="1:26" x14ac:dyDescent="0.25">
      <c r="A1" s="4" t="s">
        <v>66</v>
      </c>
      <c r="B1" s="5" t="s">
        <v>30</v>
      </c>
      <c r="D1" s="29" t="s">
        <v>2</v>
      </c>
      <c r="E1" s="30"/>
      <c r="F1" s="31"/>
      <c r="G1" s="29" t="s">
        <v>0</v>
      </c>
      <c r="H1" s="30"/>
      <c r="I1" s="31"/>
      <c r="J1" s="18"/>
      <c r="K1" s="29" t="s">
        <v>58</v>
      </c>
      <c r="L1" s="30"/>
      <c r="M1" s="30"/>
      <c r="N1" s="30"/>
      <c r="O1" s="30"/>
      <c r="P1" s="30"/>
      <c r="Q1" s="31"/>
      <c r="X1" s="29"/>
      <c r="Y1" s="30"/>
      <c r="Z1" s="31"/>
    </row>
    <row r="2" spans="1:26" x14ac:dyDescent="0.25">
      <c r="A2" s="4" t="s">
        <v>21</v>
      </c>
      <c r="B2" s="5" t="s">
        <v>22</v>
      </c>
      <c r="D2" s="10" t="s">
        <v>49</v>
      </c>
      <c r="E2" s="10" t="s">
        <v>50</v>
      </c>
      <c r="F2" s="17" t="s">
        <v>67</v>
      </c>
      <c r="G2" s="10" t="s">
        <v>15</v>
      </c>
      <c r="H2" s="10" t="s">
        <v>16</v>
      </c>
      <c r="I2" s="10" t="s">
        <v>60</v>
      </c>
      <c r="J2" s="9"/>
      <c r="K2" s="10" t="s">
        <v>0</v>
      </c>
      <c r="L2" s="10" t="s">
        <v>1</v>
      </c>
      <c r="M2" s="10" t="s">
        <v>56</v>
      </c>
      <c r="N2" s="10" t="s">
        <v>57</v>
      </c>
      <c r="O2" s="10" t="s">
        <v>2</v>
      </c>
      <c r="P2" s="10" t="s">
        <v>68</v>
      </c>
      <c r="Q2" s="10" t="s">
        <v>67</v>
      </c>
      <c r="X2" s="10" t="s">
        <v>2</v>
      </c>
      <c r="Y2" s="10" t="s">
        <v>59</v>
      </c>
      <c r="Z2" s="10" t="s">
        <v>68</v>
      </c>
    </row>
    <row r="3" spans="1:26" x14ac:dyDescent="0.25">
      <c r="A3" s="4" t="s">
        <v>69</v>
      </c>
      <c r="B3" s="5" t="s">
        <v>73</v>
      </c>
      <c r="D3" s="12">
        <v>45961</v>
      </c>
      <c r="E3" s="12">
        <v>45961</v>
      </c>
      <c r="F3" s="19">
        <f t="shared" ref="F3:F52" si="0">IF(E3&gt;0,E3-D3,"")</f>
        <v>0</v>
      </c>
      <c r="G3" s="2">
        <v>0</v>
      </c>
      <c r="H3" s="1">
        <v>0.03</v>
      </c>
      <c r="I3" s="2">
        <v>0</v>
      </c>
      <c r="J3" s="11"/>
      <c r="K3" s="2">
        <f>G53</f>
        <v>25.71</v>
      </c>
      <c r="L3" s="2">
        <f>H53</f>
        <v>0.29000000000000004</v>
      </c>
      <c r="M3" s="2">
        <f>I53</f>
        <v>0.01</v>
      </c>
      <c r="N3" s="6">
        <f>IF(B16=K3,XIRR(Y3:Y52,X3:X52),"")</f>
        <v>7.8098800778389002E-2</v>
      </c>
      <c r="O3" s="5">
        <f>IF(B16=K3,MAX(E:E),"")</f>
        <v>46053</v>
      </c>
      <c r="P3" s="1" t="str">
        <f ca="1">IF(Z3="+",TODAY()-B11,"")</f>
        <v/>
      </c>
      <c r="Q3" s="1">
        <f>IF(B16=K3,MAX(E:E)-B11,"")</f>
        <v>-532</v>
      </c>
      <c r="T3" s="14"/>
      <c r="X3" s="5">
        <f>B9</f>
        <v>45958</v>
      </c>
      <c r="Y3" s="2">
        <f>B16*-1</f>
        <v>-25.71</v>
      </c>
      <c r="Z3" s="1" t="str">
        <f ca="1">IF(AND(TODAY()&gt;B11, K3&lt;&gt;B16), "+", "")</f>
        <v/>
      </c>
    </row>
    <row r="4" spans="1:26" x14ac:dyDescent="0.25">
      <c r="A4" s="4" t="s">
        <v>19</v>
      </c>
      <c r="B4" s="5" t="s">
        <v>74</v>
      </c>
      <c r="D4" s="12">
        <v>45991</v>
      </c>
      <c r="E4" s="12">
        <v>45991</v>
      </c>
      <c r="F4" s="19">
        <f t="shared" si="0"/>
        <v>0</v>
      </c>
      <c r="G4" s="1">
        <v>15.55</v>
      </c>
      <c r="H4" s="1">
        <v>0.17</v>
      </c>
      <c r="I4" s="2">
        <v>0.01</v>
      </c>
      <c r="J4" s="9"/>
      <c r="X4" s="5">
        <f>E3</f>
        <v>45961</v>
      </c>
      <c r="Y4" s="2">
        <f>G3+H3-I3</f>
        <v>0.03</v>
      </c>
    </row>
    <row r="5" spans="1:26" x14ac:dyDescent="0.25">
      <c r="A5" s="4"/>
      <c r="B5" s="5"/>
      <c r="D5" s="12">
        <v>46022</v>
      </c>
      <c r="E5" s="12">
        <v>46022</v>
      </c>
      <c r="F5" s="19">
        <f t="shared" si="0"/>
        <v>0</v>
      </c>
      <c r="G5" s="1">
        <v>3.92</v>
      </c>
      <c r="H5" s="1">
        <v>0.08</v>
      </c>
      <c r="I5" s="2">
        <v>0</v>
      </c>
      <c r="J5" s="9"/>
      <c r="X5" s="5">
        <f t="shared" ref="X5:X52" si="1">E4</f>
        <v>45991</v>
      </c>
      <c r="Y5" s="2">
        <f t="shared" ref="Y5:Y52" si="2">G4+H4-I4</f>
        <v>15.71</v>
      </c>
    </row>
    <row r="6" spans="1:26" x14ac:dyDescent="0.25">
      <c r="A6" s="4"/>
      <c r="B6" s="5"/>
      <c r="D6" s="12">
        <v>46053</v>
      </c>
      <c r="E6" s="12">
        <v>46053</v>
      </c>
      <c r="F6" s="19">
        <f t="shared" si="0"/>
        <v>0</v>
      </c>
      <c r="G6" s="1">
        <v>6.24</v>
      </c>
      <c r="H6" s="1">
        <v>0.01</v>
      </c>
      <c r="I6" s="2">
        <v>0</v>
      </c>
      <c r="J6" s="9"/>
      <c r="X6" s="5">
        <f t="shared" si="1"/>
        <v>46022</v>
      </c>
      <c r="Y6" s="2">
        <f t="shared" si="2"/>
        <v>4</v>
      </c>
    </row>
    <row r="7" spans="1:26" x14ac:dyDescent="0.25">
      <c r="A7" s="4"/>
      <c r="B7" s="5"/>
      <c r="D7" s="12"/>
      <c r="E7" s="12"/>
      <c r="F7" s="19" t="str">
        <f t="shared" si="0"/>
        <v/>
      </c>
      <c r="G7" s="2"/>
      <c r="H7" s="1"/>
      <c r="I7" s="2"/>
      <c r="J7" s="11"/>
      <c r="X7" s="5">
        <f t="shared" si="1"/>
        <v>46053</v>
      </c>
      <c r="Y7" s="2">
        <f t="shared" si="2"/>
        <v>6.25</v>
      </c>
    </row>
    <row r="8" spans="1:26" x14ac:dyDescent="0.25">
      <c r="A8" s="4" t="s">
        <v>24</v>
      </c>
      <c r="B8" s="5" t="str">
        <f>DATEDIF(B9,B11,"y") &amp; " m. " &amp; DATEDIF(B9,B11,"ym") &amp; " mėn. " &amp; DATEDIF(B9,B11,"md") &amp; " d."</f>
        <v>1 m. 8 mėn. 19 d.</v>
      </c>
      <c r="D8" s="12"/>
      <c r="E8" s="12"/>
      <c r="F8" s="19" t="str">
        <f t="shared" si="0"/>
        <v/>
      </c>
      <c r="G8" s="2"/>
      <c r="H8" s="2"/>
      <c r="I8" s="2"/>
      <c r="J8" s="9"/>
      <c r="X8" s="5">
        <f t="shared" si="1"/>
        <v>0</v>
      </c>
      <c r="Y8" s="2">
        <f t="shared" si="2"/>
        <v>0</v>
      </c>
    </row>
    <row r="9" spans="1:26" x14ac:dyDescent="0.25">
      <c r="A9" s="4" t="s">
        <v>11</v>
      </c>
      <c r="B9" s="5">
        <v>45958</v>
      </c>
      <c r="D9" s="12"/>
      <c r="E9" s="12"/>
      <c r="F9" s="19" t="str">
        <f t="shared" si="0"/>
        <v/>
      </c>
      <c r="G9" s="2"/>
      <c r="H9" s="2"/>
      <c r="I9" s="2"/>
      <c r="J9" s="11"/>
      <c r="X9" s="5">
        <f t="shared" si="1"/>
        <v>0</v>
      </c>
      <c r="Y9" s="2">
        <f t="shared" si="2"/>
        <v>0</v>
      </c>
    </row>
    <row r="10" spans="1:26" x14ac:dyDescent="0.25">
      <c r="A10" s="4" t="s">
        <v>70</v>
      </c>
      <c r="B10" s="5">
        <v>45957</v>
      </c>
      <c r="D10" s="12"/>
      <c r="E10" s="12"/>
      <c r="F10" s="19" t="str">
        <f t="shared" si="0"/>
        <v/>
      </c>
      <c r="G10" s="1"/>
      <c r="H10" s="1"/>
      <c r="I10" s="2"/>
      <c r="J10" s="11"/>
      <c r="X10" s="5">
        <f t="shared" si="1"/>
        <v>0</v>
      </c>
      <c r="Y10" s="2">
        <f t="shared" si="2"/>
        <v>0</v>
      </c>
    </row>
    <row r="11" spans="1:26" x14ac:dyDescent="0.25">
      <c r="A11" s="4" t="s">
        <v>10</v>
      </c>
      <c r="B11" s="5">
        <v>46585</v>
      </c>
      <c r="D11" s="12"/>
      <c r="E11" s="12"/>
      <c r="F11" s="19" t="str">
        <f t="shared" si="0"/>
        <v/>
      </c>
      <c r="G11" s="1"/>
      <c r="H11" s="2"/>
      <c r="I11" s="2"/>
      <c r="J11" s="11"/>
      <c r="X11" s="5">
        <f t="shared" si="1"/>
        <v>0</v>
      </c>
      <c r="Y11" s="2">
        <f t="shared" si="2"/>
        <v>0</v>
      </c>
    </row>
    <row r="12" spans="1:26" x14ac:dyDescent="0.25">
      <c r="A12" s="4" t="s">
        <v>71</v>
      </c>
      <c r="B12" s="19" t="str">
        <f ca="1">IF(B16&lt;&gt;K3,(TODAY()-B11)*-1,"")</f>
        <v/>
      </c>
      <c r="D12" s="12"/>
      <c r="E12" s="12"/>
      <c r="F12" s="19" t="str">
        <f t="shared" si="0"/>
        <v/>
      </c>
      <c r="G12" s="2"/>
      <c r="H12" s="1"/>
      <c r="I12" s="1"/>
      <c r="J12" s="11"/>
      <c r="X12" s="5">
        <f t="shared" si="1"/>
        <v>0</v>
      </c>
      <c r="Y12" s="2">
        <f t="shared" si="2"/>
        <v>0</v>
      </c>
    </row>
    <row r="13" spans="1:26" x14ac:dyDescent="0.25">
      <c r="A13" s="4"/>
      <c r="B13" s="2"/>
      <c r="D13" s="12"/>
      <c r="E13" s="12"/>
      <c r="F13" s="19" t="str">
        <f t="shared" si="0"/>
        <v/>
      </c>
      <c r="G13" s="1"/>
      <c r="H13" s="2"/>
      <c r="I13" s="2"/>
      <c r="J13" s="11"/>
      <c r="N13" s="14"/>
      <c r="X13" s="5">
        <f t="shared" si="1"/>
        <v>0</v>
      </c>
      <c r="Y13" s="2">
        <f t="shared" si="2"/>
        <v>0</v>
      </c>
    </row>
    <row r="14" spans="1:26" x14ac:dyDescent="0.25">
      <c r="A14" s="13"/>
      <c r="B14" s="20"/>
      <c r="D14" s="12"/>
      <c r="E14" s="5"/>
      <c r="F14" s="19" t="str">
        <f t="shared" si="0"/>
        <v/>
      </c>
      <c r="G14" s="1"/>
      <c r="H14" s="1"/>
      <c r="I14" s="1"/>
      <c r="J14" s="11"/>
      <c r="X14" s="5">
        <f t="shared" si="1"/>
        <v>0</v>
      </c>
      <c r="Y14" s="2">
        <f t="shared" si="2"/>
        <v>0</v>
      </c>
    </row>
    <row r="15" spans="1:26" x14ac:dyDescent="0.25">
      <c r="A15" s="4" t="s">
        <v>1</v>
      </c>
      <c r="B15" s="6">
        <v>0.125</v>
      </c>
      <c r="D15" s="12"/>
      <c r="E15" s="5"/>
      <c r="F15" s="19" t="str">
        <f t="shared" si="0"/>
        <v/>
      </c>
      <c r="G15" s="1"/>
      <c r="H15" s="1"/>
      <c r="I15" s="1"/>
      <c r="J15" s="11"/>
      <c r="K15" s="18"/>
      <c r="L15" s="18"/>
      <c r="M15" s="18"/>
      <c r="N15" s="18"/>
      <c r="O15" s="18"/>
      <c r="P15" s="18"/>
      <c r="Q15" s="18"/>
      <c r="X15" s="5">
        <f t="shared" si="1"/>
        <v>0</v>
      </c>
      <c r="Y15" s="2">
        <f t="shared" si="2"/>
        <v>0</v>
      </c>
    </row>
    <row r="16" spans="1:26" x14ac:dyDescent="0.25">
      <c r="A16" s="4" t="s">
        <v>72</v>
      </c>
      <c r="B16" s="2">
        <v>25.71</v>
      </c>
      <c r="D16" s="12"/>
      <c r="E16" s="5"/>
      <c r="F16" s="19" t="str">
        <f t="shared" si="0"/>
        <v/>
      </c>
      <c r="G16" s="1"/>
      <c r="H16" s="1"/>
      <c r="I16" s="1"/>
      <c r="J16" s="11"/>
      <c r="K16" s="9"/>
      <c r="L16" s="9"/>
      <c r="M16" s="9"/>
      <c r="N16" s="21"/>
      <c r="O16" s="22"/>
      <c r="P16" s="11"/>
      <c r="Q16" s="11"/>
      <c r="X16" s="5">
        <f t="shared" si="1"/>
        <v>0</v>
      </c>
      <c r="Y16" s="2">
        <f t="shared" si="2"/>
        <v>0</v>
      </c>
    </row>
    <row r="17" spans="2:25" x14ac:dyDescent="0.25">
      <c r="D17" s="12"/>
      <c r="E17" s="5"/>
      <c r="F17" s="19" t="str">
        <f t="shared" si="0"/>
        <v/>
      </c>
      <c r="G17" s="1"/>
      <c r="H17" s="1"/>
      <c r="I17" s="1"/>
      <c r="J17" s="11"/>
      <c r="X17" s="5">
        <f t="shared" si="1"/>
        <v>0</v>
      </c>
      <c r="Y17" s="2">
        <f t="shared" si="2"/>
        <v>0</v>
      </c>
    </row>
    <row r="18" spans="2:25" x14ac:dyDescent="0.25">
      <c r="D18" s="12"/>
      <c r="E18" s="5"/>
      <c r="F18" s="19" t="str">
        <f t="shared" si="0"/>
        <v/>
      </c>
      <c r="G18" s="1"/>
      <c r="H18" s="1"/>
      <c r="I18" s="1"/>
      <c r="J18" s="11"/>
      <c r="X18" s="5">
        <f t="shared" si="1"/>
        <v>0</v>
      </c>
      <c r="Y18" s="2">
        <f t="shared" si="2"/>
        <v>0</v>
      </c>
    </row>
    <row r="19" spans="2:25" x14ac:dyDescent="0.25">
      <c r="D19" s="12"/>
      <c r="E19" s="5"/>
      <c r="F19" s="19" t="str">
        <f t="shared" si="0"/>
        <v/>
      </c>
      <c r="G19" s="1"/>
      <c r="H19" s="1"/>
      <c r="I19" s="1"/>
      <c r="J19" s="11"/>
      <c r="X19" s="5">
        <f t="shared" si="1"/>
        <v>0</v>
      </c>
      <c r="Y19" s="2">
        <f t="shared" si="2"/>
        <v>0</v>
      </c>
    </row>
    <row r="20" spans="2:25" x14ac:dyDescent="0.25">
      <c r="D20" s="12"/>
      <c r="E20" s="5"/>
      <c r="F20" s="19" t="str">
        <f t="shared" si="0"/>
        <v/>
      </c>
      <c r="G20" s="1"/>
      <c r="H20" s="1"/>
      <c r="I20" s="1"/>
      <c r="J20" s="11"/>
      <c r="X20" s="5">
        <f t="shared" si="1"/>
        <v>0</v>
      </c>
      <c r="Y20" s="2">
        <f t="shared" si="2"/>
        <v>0</v>
      </c>
    </row>
    <row r="21" spans="2:25" x14ac:dyDescent="0.25">
      <c r="D21" s="12"/>
      <c r="E21" s="5"/>
      <c r="F21" s="19" t="str">
        <f t="shared" si="0"/>
        <v/>
      </c>
      <c r="G21" s="1"/>
      <c r="H21" s="1"/>
      <c r="I21" s="1"/>
      <c r="J21" s="11"/>
      <c r="X21" s="5">
        <f t="shared" si="1"/>
        <v>0</v>
      </c>
      <c r="Y21" s="2">
        <f t="shared" si="2"/>
        <v>0</v>
      </c>
    </row>
    <row r="22" spans="2:25" x14ac:dyDescent="0.25">
      <c r="D22" s="12"/>
      <c r="E22" s="5"/>
      <c r="F22" s="19" t="str">
        <f t="shared" si="0"/>
        <v/>
      </c>
      <c r="G22" s="1"/>
      <c r="H22" s="1"/>
      <c r="I22" s="1"/>
      <c r="J22" s="11"/>
      <c r="X22" s="5">
        <f t="shared" si="1"/>
        <v>0</v>
      </c>
      <c r="Y22" s="2">
        <f t="shared" si="2"/>
        <v>0</v>
      </c>
    </row>
    <row r="23" spans="2:25" x14ac:dyDescent="0.25">
      <c r="B23" s="22"/>
      <c r="D23" s="12"/>
      <c r="E23" s="5"/>
      <c r="F23" s="19" t="str">
        <f t="shared" si="0"/>
        <v/>
      </c>
      <c r="G23" s="1"/>
      <c r="H23" s="1"/>
      <c r="I23" s="1"/>
      <c r="J23" s="11"/>
      <c r="X23" s="5">
        <f t="shared" si="1"/>
        <v>0</v>
      </c>
      <c r="Y23" s="2">
        <f t="shared" si="2"/>
        <v>0</v>
      </c>
    </row>
    <row r="24" spans="2:25" x14ac:dyDescent="0.25">
      <c r="D24" s="12"/>
      <c r="E24" s="5"/>
      <c r="F24" s="19" t="str">
        <f t="shared" si="0"/>
        <v/>
      </c>
      <c r="G24" s="1"/>
      <c r="H24" s="1"/>
      <c r="I24" s="1"/>
      <c r="J24" s="11"/>
      <c r="X24" s="5">
        <f t="shared" si="1"/>
        <v>0</v>
      </c>
      <c r="Y24" s="2">
        <f t="shared" si="2"/>
        <v>0</v>
      </c>
    </row>
    <row r="25" spans="2:25" x14ac:dyDescent="0.25">
      <c r="D25" s="12"/>
      <c r="E25" s="5"/>
      <c r="F25" s="19" t="str">
        <f t="shared" si="0"/>
        <v/>
      </c>
      <c r="G25" s="1"/>
      <c r="H25" s="1"/>
      <c r="I25" s="1"/>
      <c r="J25" s="11"/>
      <c r="X25" s="5">
        <f t="shared" si="1"/>
        <v>0</v>
      </c>
      <c r="Y25" s="2">
        <f t="shared" si="2"/>
        <v>0</v>
      </c>
    </row>
    <row r="26" spans="2:25" x14ac:dyDescent="0.25">
      <c r="D26" s="12"/>
      <c r="E26" s="5"/>
      <c r="F26" s="19" t="str">
        <f t="shared" si="0"/>
        <v/>
      </c>
      <c r="G26" s="1"/>
      <c r="H26" s="1"/>
      <c r="I26" s="1"/>
      <c r="J26" s="11"/>
      <c r="X26" s="5">
        <f t="shared" si="1"/>
        <v>0</v>
      </c>
      <c r="Y26" s="2">
        <f t="shared" si="2"/>
        <v>0</v>
      </c>
    </row>
    <row r="27" spans="2:25" x14ac:dyDescent="0.25">
      <c r="D27" s="12"/>
      <c r="E27" s="5"/>
      <c r="F27" s="19" t="str">
        <f t="shared" si="0"/>
        <v/>
      </c>
      <c r="G27" s="1"/>
      <c r="H27" s="1"/>
      <c r="I27" s="1"/>
      <c r="J27" s="11"/>
      <c r="X27" s="5">
        <f t="shared" si="1"/>
        <v>0</v>
      </c>
      <c r="Y27" s="2">
        <f t="shared" si="2"/>
        <v>0</v>
      </c>
    </row>
    <row r="28" spans="2:25" x14ac:dyDescent="0.25">
      <c r="D28" s="12"/>
      <c r="E28" s="5"/>
      <c r="F28" s="19" t="str">
        <f t="shared" si="0"/>
        <v/>
      </c>
      <c r="G28" s="1"/>
      <c r="H28" s="1"/>
      <c r="I28" s="1"/>
      <c r="J28" s="11"/>
      <c r="X28" s="5">
        <f t="shared" si="1"/>
        <v>0</v>
      </c>
      <c r="Y28" s="2">
        <f t="shared" si="2"/>
        <v>0</v>
      </c>
    </row>
    <row r="29" spans="2:25" x14ac:dyDescent="0.25">
      <c r="D29" s="12"/>
      <c r="E29" s="5"/>
      <c r="F29" s="19" t="str">
        <f t="shared" si="0"/>
        <v/>
      </c>
      <c r="G29" s="1"/>
      <c r="H29" s="1"/>
      <c r="I29" s="1"/>
      <c r="J29" s="11"/>
      <c r="X29" s="5">
        <f t="shared" si="1"/>
        <v>0</v>
      </c>
      <c r="Y29" s="2">
        <f t="shared" si="2"/>
        <v>0</v>
      </c>
    </row>
    <row r="30" spans="2:25" x14ac:dyDescent="0.25">
      <c r="D30" s="12"/>
      <c r="E30" s="5"/>
      <c r="F30" s="19" t="str">
        <f t="shared" si="0"/>
        <v/>
      </c>
      <c r="G30" s="1"/>
      <c r="H30" s="1"/>
      <c r="I30" s="1"/>
      <c r="J30" s="11"/>
      <c r="X30" s="5">
        <f t="shared" si="1"/>
        <v>0</v>
      </c>
      <c r="Y30" s="2">
        <f t="shared" si="2"/>
        <v>0</v>
      </c>
    </row>
    <row r="31" spans="2:25" x14ac:dyDescent="0.25">
      <c r="D31" s="12"/>
      <c r="E31" s="5"/>
      <c r="F31" s="19" t="str">
        <f t="shared" si="0"/>
        <v/>
      </c>
      <c r="G31" s="1"/>
      <c r="H31" s="1"/>
      <c r="I31" s="1"/>
      <c r="J31" s="11"/>
      <c r="X31" s="5">
        <f t="shared" si="1"/>
        <v>0</v>
      </c>
      <c r="Y31" s="2">
        <f t="shared" si="2"/>
        <v>0</v>
      </c>
    </row>
    <row r="32" spans="2:25" x14ac:dyDescent="0.25">
      <c r="D32" s="12"/>
      <c r="E32" s="5"/>
      <c r="F32" s="19" t="str">
        <f t="shared" si="0"/>
        <v/>
      </c>
      <c r="G32" s="1"/>
      <c r="H32" s="1"/>
      <c r="I32" s="1"/>
      <c r="J32" s="11"/>
      <c r="X32" s="5">
        <f t="shared" si="1"/>
        <v>0</v>
      </c>
      <c r="Y32" s="2">
        <f t="shared" si="2"/>
        <v>0</v>
      </c>
    </row>
    <row r="33" spans="4:25" x14ac:dyDescent="0.25">
      <c r="D33" s="12"/>
      <c r="E33" s="5"/>
      <c r="F33" s="19" t="str">
        <f t="shared" si="0"/>
        <v/>
      </c>
      <c r="G33" s="1"/>
      <c r="H33" s="1"/>
      <c r="I33" s="1"/>
      <c r="J33" s="11"/>
      <c r="X33" s="5">
        <f t="shared" si="1"/>
        <v>0</v>
      </c>
      <c r="Y33" s="2">
        <f t="shared" si="2"/>
        <v>0</v>
      </c>
    </row>
    <row r="34" spans="4:25" x14ac:dyDescent="0.25">
      <c r="D34" s="12"/>
      <c r="E34" s="5"/>
      <c r="F34" s="19" t="str">
        <f t="shared" si="0"/>
        <v/>
      </c>
      <c r="G34" s="1"/>
      <c r="H34" s="1"/>
      <c r="I34" s="1"/>
      <c r="J34" s="11"/>
      <c r="X34" s="5">
        <f t="shared" si="1"/>
        <v>0</v>
      </c>
      <c r="Y34" s="2">
        <f t="shared" si="2"/>
        <v>0</v>
      </c>
    </row>
    <row r="35" spans="4:25" x14ac:dyDescent="0.25">
      <c r="D35" s="12"/>
      <c r="E35" s="5"/>
      <c r="F35" s="19" t="str">
        <f t="shared" si="0"/>
        <v/>
      </c>
      <c r="G35" s="1"/>
      <c r="H35" s="1"/>
      <c r="I35" s="1"/>
      <c r="J35" s="11"/>
      <c r="X35" s="5">
        <f t="shared" si="1"/>
        <v>0</v>
      </c>
      <c r="Y35" s="2">
        <f t="shared" si="2"/>
        <v>0</v>
      </c>
    </row>
    <row r="36" spans="4:25" x14ac:dyDescent="0.25">
      <c r="D36" s="12"/>
      <c r="E36" s="5"/>
      <c r="F36" s="19" t="str">
        <f t="shared" si="0"/>
        <v/>
      </c>
      <c r="G36" s="1"/>
      <c r="H36" s="1"/>
      <c r="I36" s="1"/>
      <c r="J36" s="11"/>
      <c r="X36" s="5">
        <f t="shared" si="1"/>
        <v>0</v>
      </c>
      <c r="Y36" s="2">
        <f t="shared" si="2"/>
        <v>0</v>
      </c>
    </row>
    <row r="37" spans="4:25" x14ac:dyDescent="0.25">
      <c r="D37" s="12"/>
      <c r="E37" s="5"/>
      <c r="F37" s="19" t="str">
        <f t="shared" si="0"/>
        <v/>
      </c>
      <c r="G37" s="1"/>
      <c r="H37" s="1"/>
      <c r="I37" s="1"/>
      <c r="J37" s="11"/>
      <c r="X37" s="5">
        <f t="shared" si="1"/>
        <v>0</v>
      </c>
      <c r="Y37" s="2">
        <f t="shared" si="2"/>
        <v>0</v>
      </c>
    </row>
    <row r="38" spans="4:25" x14ac:dyDescent="0.25">
      <c r="D38" s="12"/>
      <c r="E38" s="5"/>
      <c r="F38" s="19" t="str">
        <f t="shared" si="0"/>
        <v/>
      </c>
      <c r="G38" s="1"/>
      <c r="H38" s="1"/>
      <c r="I38" s="1"/>
      <c r="J38" s="11"/>
      <c r="X38" s="5">
        <f t="shared" si="1"/>
        <v>0</v>
      </c>
      <c r="Y38" s="2">
        <f t="shared" si="2"/>
        <v>0</v>
      </c>
    </row>
    <row r="39" spans="4:25" x14ac:dyDescent="0.25">
      <c r="D39" s="12"/>
      <c r="E39" s="5"/>
      <c r="F39" s="19" t="str">
        <f t="shared" si="0"/>
        <v/>
      </c>
      <c r="G39" s="1"/>
      <c r="H39" s="1"/>
      <c r="I39" s="1"/>
      <c r="J39" s="11"/>
      <c r="X39" s="5">
        <f t="shared" si="1"/>
        <v>0</v>
      </c>
      <c r="Y39" s="2">
        <f t="shared" si="2"/>
        <v>0</v>
      </c>
    </row>
    <row r="40" spans="4:25" x14ac:dyDescent="0.25">
      <c r="D40" s="12"/>
      <c r="E40" s="5"/>
      <c r="F40" s="19" t="str">
        <f t="shared" si="0"/>
        <v/>
      </c>
      <c r="G40" s="1"/>
      <c r="H40" s="1"/>
      <c r="I40" s="1"/>
      <c r="J40" s="11"/>
      <c r="X40" s="5">
        <f t="shared" si="1"/>
        <v>0</v>
      </c>
      <c r="Y40" s="2">
        <f t="shared" si="2"/>
        <v>0</v>
      </c>
    </row>
    <row r="41" spans="4:25" x14ac:dyDescent="0.25">
      <c r="D41" s="12"/>
      <c r="E41" s="5"/>
      <c r="F41" s="19" t="str">
        <f t="shared" si="0"/>
        <v/>
      </c>
      <c r="G41" s="1"/>
      <c r="H41" s="1"/>
      <c r="I41" s="1"/>
      <c r="J41" s="11"/>
      <c r="X41" s="5">
        <f t="shared" si="1"/>
        <v>0</v>
      </c>
      <c r="Y41" s="2">
        <f t="shared" si="2"/>
        <v>0</v>
      </c>
    </row>
    <row r="42" spans="4:25" x14ac:dyDescent="0.25">
      <c r="D42" s="12"/>
      <c r="E42" s="5"/>
      <c r="F42" s="19" t="str">
        <f t="shared" si="0"/>
        <v/>
      </c>
      <c r="G42" s="1"/>
      <c r="H42" s="1"/>
      <c r="I42" s="1"/>
      <c r="J42" s="11"/>
      <c r="X42" s="5">
        <f t="shared" si="1"/>
        <v>0</v>
      </c>
      <c r="Y42" s="2">
        <f t="shared" si="2"/>
        <v>0</v>
      </c>
    </row>
    <row r="43" spans="4:25" x14ac:dyDescent="0.25">
      <c r="D43" s="12"/>
      <c r="E43" s="5"/>
      <c r="F43" s="19" t="str">
        <f t="shared" si="0"/>
        <v/>
      </c>
      <c r="G43" s="1"/>
      <c r="H43" s="1"/>
      <c r="I43" s="1"/>
      <c r="J43" s="11"/>
      <c r="X43" s="5">
        <f t="shared" si="1"/>
        <v>0</v>
      </c>
      <c r="Y43" s="2">
        <f t="shared" si="2"/>
        <v>0</v>
      </c>
    </row>
    <row r="44" spans="4:25" x14ac:dyDescent="0.25">
      <c r="D44" s="12"/>
      <c r="E44" s="5"/>
      <c r="F44" s="19" t="str">
        <f t="shared" si="0"/>
        <v/>
      </c>
      <c r="G44" s="1"/>
      <c r="H44" s="1"/>
      <c r="I44" s="1"/>
      <c r="J44" s="11"/>
      <c r="X44" s="5">
        <f t="shared" si="1"/>
        <v>0</v>
      </c>
      <c r="Y44" s="2">
        <f t="shared" si="2"/>
        <v>0</v>
      </c>
    </row>
    <row r="45" spans="4:25" x14ac:dyDescent="0.25">
      <c r="D45" s="12"/>
      <c r="E45" s="5"/>
      <c r="F45" s="19" t="str">
        <f t="shared" si="0"/>
        <v/>
      </c>
      <c r="G45" s="1"/>
      <c r="H45" s="1"/>
      <c r="I45" s="1"/>
      <c r="J45" s="11"/>
      <c r="X45" s="5">
        <f t="shared" si="1"/>
        <v>0</v>
      </c>
      <c r="Y45" s="2">
        <f t="shared" si="2"/>
        <v>0</v>
      </c>
    </row>
    <row r="46" spans="4:25" x14ac:dyDescent="0.25">
      <c r="D46" s="12"/>
      <c r="E46" s="5"/>
      <c r="F46" s="19" t="str">
        <f t="shared" si="0"/>
        <v/>
      </c>
      <c r="G46" s="1"/>
      <c r="H46" s="1"/>
      <c r="I46" s="1"/>
      <c r="J46" s="11"/>
      <c r="X46" s="5">
        <f t="shared" si="1"/>
        <v>0</v>
      </c>
      <c r="Y46" s="2">
        <f t="shared" si="2"/>
        <v>0</v>
      </c>
    </row>
    <row r="47" spans="4:25" x14ac:dyDescent="0.25">
      <c r="D47" s="12"/>
      <c r="E47" s="5"/>
      <c r="F47" s="19" t="str">
        <f t="shared" si="0"/>
        <v/>
      </c>
      <c r="G47" s="1"/>
      <c r="H47" s="1"/>
      <c r="I47" s="1"/>
      <c r="J47" s="11"/>
      <c r="X47" s="5">
        <f t="shared" si="1"/>
        <v>0</v>
      </c>
      <c r="Y47" s="2">
        <f t="shared" si="2"/>
        <v>0</v>
      </c>
    </row>
    <row r="48" spans="4:25" x14ac:dyDescent="0.25">
      <c r="D48" s="12"/>
      <c r="E48" s="5"/>
      <c r="F48" s="19" t="str">
        <f t="shared" si="0"/>
        <v/>
      </c>
      <c r="G48" s="1"/>
      <c r="H48" s="1"/>
      <c r="I48" s="1"/>
      <c r="J48" s="11"/>
      <c r="X48" s="5">
        <f t="shared" si="1"/>
        <v>0</v>
      </c>
      <c r="Y48" s="2">
        <f t="shared" si="2"/>
        <v>0</v>
      </c>
    </row>
    <row r="49" spans="4:25" x14ac:dyDescent="0.25">
      <c r="D49" s="12"/>
      <c r="E49" s="5"/>
      <c r="F49" s="19" t="str">
        <f t="shared" si="0"/>
        <v/>
      </c>
      <c r="G49" s="1"/>
      <c r="H49" s="1"/>
      <c r="I49" s="1"/>
      <c r="J49" s="11"/>
      <c r="X49" s="5">
        <f t="shared" si="1"/>
        <v>0</v>
      </c>
      <c r="Y49" s="2">
        <f t="shared" si="2"/>
        <v>0</v>
      </c>
    </row>
    <row r="50" spans="4:25" x14ac:dyDescent="0.25">
      <c r="D50" s="12"/>
      <c r="E50" s="5"/>
      <c r="F50" s="19" t="str">
        <f t="shared" si="0"/>
        <v/>
      </c>
      <c r="G50" s="1"/>
      <c r="H50" s="1"/>
      <c r="I50" s="1"/>
      <c r="J50" s="11"/>
      <c r="X50" s="5">
        <f t="shared" si="1"/>
        <v>0</v>
      </c>
      <c r="Y50" s="2">
        <f t="shared" si="2"/>
        <v>0</v>
      </c>
    </row>
    <row r="51" spans="4:25" x14ac:dyDescent="0.25">
      <c r="D51" s="12"/>
      <c r="E51" s="5"/>
      <c r="F51" s="19" t="str">
        <f t="shared" si="0"/>
        <v/>
      </c>
      <c r="G51" s="1"/>
      <c r="H51" s="1"/>
      <c r="I51" s="1"/>
      <c r="J51" s="11"/>
      <c r="X51" s="5">
        <f t="shared" si="1"/>
        <v>0</v>
      </c>
      <c r="Y51" s="2">
        <f t="shared" si="2"/>
        <v>0</v>
      </c>
    </row>
    <row r="52" spans="4:25" x14ac:dyDescent="0.25">
      <c r="D52" s="12"/>
      <c r="E52" s="5"/>
      <c r="F52" s="19" t="str">
        <f t="shared" si="0"/>
        <v/>
      </c>
      <c r="G52" s="1"/>
      <c r="H52" s="1"/>
      <c r="I52" s="1"/>
      <c r="J52" s="9"/>
      <c r="X52" s="5">
        <f t="shared" si="1"/>
        <v>0</v>
      </c>
      <c r="Y52" s="2">
        <f t="shared" si="2"/>
        <v>0</v>
      </c>
    </row>
    <row r="53" spans="4:25" x14ac:dyDescent="0.25">
      <c r="D53" s="1" t="s">
        <v>25</v>
      </c>
      <c r="E53" s="23"/>
      <c r="F53" s="2"/>
      <c r="G53" s="2">
        <f>SUM(G3:G52)</f>
        <v>25.71</v>
      </c>
      <c r="H53" s="2">
        <f t="shared" ref="H53:I53" si="3">SUM(H3:H52)</f>
        <v>0.29000000000000004</v>
      </c>
      <c r="I53" s="2">
        <f t="shared" si="3"/>
        <v>0.01</v>
      </c>
    </row>
  </sheetData>
  <mergeCells count="4">
    <mergeCell ref="D1:F1"/>
    <mergeCell ref="G1:I1"/>
    <mergeCell ref="K1:Q1"/>
    <mergeCell ref="X1:Z1"/>
  </mergeCells>
  <conditionalFormatting sqref="A1:B1">
    <cfRule type="expression" dxfId="27" priority="1">
      <formula>$Z$3="+"</formula>
    </cfRule>
    <cfRule type="expression" dxfId="26" priority="2">
      <formula>$B$16=$K$3</formula>
    </cfRule>
  </conditionalFormatting>
  <conditionalFormatting sqref="P3">
    <cfRule type="expression" dxfId="25" priority="3">
      <formula>$Z$3="+"</formula>
    </cfRule>
  </conditionalFormatting>
  <conditionalFormatting sqref="Z3">
    <cfRule type="expression" dxfId="24" priority="4">
      <formula>$Z$3="+"</formula>
    </cfRule>
  </conditionalFormatting>
  <pageMargins left="0.7" right="0.7" top="0.75" bottom="0.75" header="0.3" footer="0.3"/>
  <pageSetup orientation="portrait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FF598-AF0F-4C2C-BA51-6EFA7D6C4D15}">
  <sheetPr>
    <tabColor rgb="FF92D050"/>
  </sheetPr>
  <dimension ref="A1:Z53"/>
  <sheetViews>
    <sheetView workbookViewId="0">
      <selection activeCell="L3" sqref="L3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1" customWidth="1"/>
    <col min="25" max="25" width="10.7109375" style="11" customWidth="1"/>
    <col min="26" max="26" width="10.7109375" customWidth="1"/>
  </cols>
  <sheetData>
    <row r="1" spans="1:26" x14ac:dyDescent="0.25">
      <c r="A1" s="4" t="s">
        <v>66</v>
      </c>
      <c r="B1" s="5" t="s">
        <v>29</v>
      </c>
      <c r="D1" s="29" t="s">
        <v>2</v>
      </c>
      <c r="E1" s="30"/>
      <c r="F1" s="31"/>
      <c r="G1" s="29" t="s">
        <v>0</v>
      </c>
      <c r="H1" s="30"/>
      <c r="I1" s="31"/>
      <c r="J1" s="18"/>
      <c r="K1" s="29" t="s">
        <v>58</v>
      </c>
      <c r="L1" s="30"/>
      <c r="M1" s="30"/>
      <c r="N1" s="30"/>
      <c r="O1" s="30"/>
      <c r="P1" s="30"/>
      <c r="Q1" s="31"/>
      <c r="X1" s="29"/>
      <c r="Y1" s="30"/>
      <c r="Z1" s="31"/>
    </row>
    <row r="2" spans="1:26" x14ac:dyDescent="0.25">
      <c r="A2" s="4" t="s">
        <v>21</v>
      </c>
      <c r="B2" s="5" t="s">
        <v>23</v>
      </c>
      <c r="D2" s="10" t="s">
        <v>49</v>
      </c>
      <c r="E2" s="10" t="s">
        <v>50</v>
      </c>
      <c r="F2" s="17" t="s">
        <v>67</v>
      </c>
      <c r="G2" s="10" t="s">
        <v>15</v>
      </c>
      <c r="H2" s="10" t="s">
        <v>16</v>
      </c>
      <c r="I2" s="10" t="s">
        <v>60</v>
      </c>
      <c r="J2" s="9"/>
      <c r="K2" s="10" t="s">
        <v>0</v>
      </c>
      <c r="L2" s="10" t="s">
        <v>1</v>
      </c>
      <c r="M2" s="10" t="s">
        <v>56</v>
      </c>
      <c r="N2" s="10" t="s">
        <v>57</v>
      </c>
      <c r="O2" s="10" t="s">
        <v>2</v>
      </c>
      <c r="P2" s="10" t="s">
        <v>68</v>
      </c>
      <c r="Q2" s="10" t="s">
        <v>67</v>
      </c>
      <c r="X2" s="10" t="s">
        <v>2</v>
      </c>
      <c r="Y2" s="10" t="s">
        <v>59</v>
      </c>
      <c r="Z2" s="10" t="s">
        <v>68</v>
      </c>
    </row>
    <row r="3" spans="1:26" x14ac:dyDescent="0.25">
      <c r="A3" s="4" t="s">
        <v>69</v>
      </c>
      <c r="B3" s="5" t="s">
        <v>78</v>
      </c>
      <c r="D3" s="12">
        <v>45961</v>
      </c>
      <c r="E3" s="12">
        <v>45961</v>
      </c>
      <c r="F3" s="19">
        <f t="shared" ref="F3:F52" si="0">IF(E3&gt;0,E3-D3,"")</f>
        <v>0</v>
      </c>
      <c r="G3" s="2">
        <v>0</v>
      </c>
      <c r="H3" s="1">
        <v>0.05</v>
      </c>
      <c r="I3" s="2">
        <v>0</v>
      </c>
      <c r="J3" s="11"/>
      <c r="K3" s="2">
        <f>G53</f>
        <v>10</v>
      </c>
      <c r="L3" s="2">
        <f>H53</f>
        <v>0.56999999999999995</v>
      </c>
      <c r="M3" s="2">
        <f>I53</f>
        <v>0.03</v>
      </c>
      <c r="N3" s="6">
        <f>IF(B16=K3,XIRR(Y3:Y52,X3:X52),"")</f>
        <v>0.11988380551338196</v>
      </c>
      <c r="O3" s="5">
        <f>IF(B16=K3,MAX(E:E),"")</f>
        <v>46120</v>
      </c>
      <c r="P3" s="1" t="str">
        <f ca="1">IF(Z3="+",TODAY()-B11,"")</f>
        <v/>
      </c>
      <c r="Q3" s="1">
        <f>IF(B16=K3,MAX(E:E)-B11,"")</f>
        <v>8</v>
      </c>
      <c r="T3" s="14"/>
      <c r="X3" s="5">
        <f>B9</f>
        <v>45947</v>
      </c>
      <c r="Y3" s="2">
        <f>B16*-1</f>
        <v>-10</v>
      </c>
      <c r="Z3" s="1" t="str">
        <f ca="1">IF(AND(TODAY()&gt;B11, K3&lt;&gt;B16), "+", "")</f>
        <v/>
      </c>
    </row>
    <row r="4" spans="1:26" x14ac:dyDescent="0.25">
      <c r="A4" s="4" t="s">
        <v>19</v>
      </c>
      <c r="B4" s="5" t="s">
        <v>20</v>
      </c>
      <c r="D4" s="12">
        <v>45991</v>
      </c>
      <c r="E4" s="12">
        <v>45991</v>
      </c>
      <c r="F4" s="19">
        <f t="shared" si="0"/>
        <v>0</v>
      </c>
      <c r="G4" s="2">
        <v>0</v>
      </c>
      <c r="H4" s="2">
        <v>0.1</v>
      </c>
      <c r="I4" s="2">
        <v>0.01</v>
      </c>
      <c r="J4" s="9"/>
      <c r="X4" s="5">
        <f>E3</f>
        <v>45961</v>
      </c>
      <c r="Y4" s="2">
        <f>G3+H3-I3</f>
        <v>0.05</v>
      </c>
    </row>
    <row r="5" spans="1:26" x14ac:dyDescent="0.25">
      <c r="A5" s="4"/>
      <c r="B5" s="5"/>
      <c r="D5" s="12">
        <v>46022</v>
      </c>
      <c r="E5" s="12">
        <v>46022</v>
      </c>
      <c r="F5" s="19">
        <f t="shared" si="0"/>
        <v>0</v>
      </c>
      <c r="G5" s="2">
        <v>0</v>
      </c>
      <c r="H5" s="2">
        <v>0.1</v>
      </c>
      <c r="I5" s="2">
        <v>0.01</v>
      </c>
      <c r="J5" s="9"/>
      <c r="X5" s="5">
        <f t="shared" ref="X5:X52" si="1">E4</f>
        <v>45991</v>
      </c>
      <c r="Y5" s="2">
        <f t="shared" ref="Y5:Y52" si="2">G4+H4-I4</f>
        <v>9.0000000000000011E-2</v>
      </c>
    </row>
    <row r="6" spans="1:26" x14ac:dyDescent="0.25">
      <c r="A6" s="4"/>
      <c r="B6" s="5"/>
      <c r="D6" s="12">
        <v>46053</v>
      </c>
      <c r="E6" s="12">
        <v>46053</v>
      </c>
      <c r="F6" s="19">
        <f t="shared" si="0"/>
        <v>0</v>
      </c>
      <c r="G6" s="2">
        <v>0</v>
      </c>
      <c r="H6" s="1">
        <v>0.06</v>
      </c>
      <c r="I6" s="2">
        <v>0</v>
      </c>
      <c r="J6" s="9"/>
      <c r="X6" s="5">
        <f t="shared" si="1"/>
        <v>46022</v>
      </c>
      <c r="Y6" s="2">
        <f t="shared" si="2"/>
        <v>9.0000000000000011E-2</v>
      </c>
    </row>
    <row r="7" spans="1:26" x14ac:dyDescent="0.25">
      <c r="A7" s="4"/>
      <c r="B7" s="5"/>
      <c r="D7" s="12">
        <v>46081</v>
      </c>
      <c r="E7" s="12">
        <v>46081</v>
      </c>
      <c r="F7" s="19">
        <f t="shared" si="0"/>
        <v>0</v>
      </c>
      <c r="G7" s="2">
        <v>0</v>
      </c>
      <c r="H7" s="1">
        <v>7.0000000000000007E-2</v>
      </c>
      <c r="I7" s="2">
        <v>0</v>
      </c>
      <c r="J7" s="11"/>
      <c r="X7" s="5">
        <f t="shared" si="1"/>
        <v>46053</v>
      </c>
      <c r="Y7" s="2">
        <f t="shared" si="2"/>
        <v>0.06</v>
      </c>
    </row>
    <row r="8" spans="1:26" x14ac:dyDescent="0.25">
      <c r="A8" s="4" t="s">
        <v>24</v>
      </c>
      <c r="B8" s="5" t="str">
        <f>DATEDIF(B9,B11,"y") &amp; " m. " &amp; DATEDIF(B9,B11,"ym") &amp; " mėn. " &amp; DATEDIF(B9,B11,"md") &amp; " d."</f>
        <v>0 m. 5 mėn. 14 d.</v>
      </c>
      <c r="D8" s="12">
        <v>46112</v>
      </c>
      <c r="E8" s="12">
        <v>46112</v>
      </c>
      <c r="F8" s="19">
        <f t="shared" si="0"/>
        <v>0</v>
      </c>
      <c r="G8" s="2">
        <v>0</v>
      </c>
      <c r="H8" s="2">
        <v>0.1</v>
      </c>
      <c r="I8" s="2">
        <v>0.01</v>
      </c>
      <c r="J8" s="9"/>
      <c r="X8" s="5">
        <f t="shared" si="1"/>
        <v>46081</v>
      </c>
      <c r="Y8" s="2">
        <f t="shared" si="2"/>
        <v>7.0000000000000007E-2</v>
      </c>
    </row>
    <row r="9" spans="1:26" x14ac:dyDescent="0.25">
      <c r="A9" s="4" t="s">
        <v>11</v>
      </c>
      <c r="B9" s="5">
        <v>45947</v>
      </c>
      <c r="D9" s="12">
        <v>46112</v>
      </c>
      <c r="E9" s="12">
        <v>46120</v>
      </c>
      <c r="F9" s="19">
        <f t="shared" si="0"/>
        <v>8</v>
      </c>
      <c r="G9" s="2">
        <v>10</v>
      </c>
      <c r="H9" s="2">
        <v>0.09</v>
      </c>
      <c r="I9" s="2">
        <v>0</v>
      </c>
      <c r="J9" s="11"/>
      <c r="X9" s="5">
        <f t="shared" si="1"/>
        <v>46112</v>
      </c>
      <c r="Y9" s="2">
        <f t="shared" si="2"/>
        <v>9.0000000000000011E-2</v>
      </c>
    </row>
    <row r="10" spans="1:26" x14ac:dyDescent="0.25">
      <c r="A10" s="4" t="s">
        <v>70</v>
      </c>
      <c r="B10" s="5">
        <v>45932</v>
      </c>
      <c r="D10" s="12"/>
      <c r="E10" s="12"/>
      <c r="F10" s="19" t="str">
        <f t="shared" si="0"/>
        <v/>
      </c>
      <c r="G10" s="1"/>
      <c r="H10" s="1"/>
      <c r="I10" s="2"/>
      <c r="J10" s="11"/>
      <c r="X10" s="5">
        <f t="shared" si="1"/>
        <v>46120</v>
      </c>
      <c r="Y10" s="2">
        <f t="shared" si="2"/>
        <v>10.09</v>
      </c>
    </row>
    <row r="11" spans="1:26" x14ac:dyDescent="0.25">
      <c r="A11" s="4" t="s">
        <v>10</v>
      </c>
      <c r="B11" s="5">
        <v>46112</v>
      </c>
      <c r="D11" s="12"/>
      <c r="E11" s="12"/>
      <c r="F11" s="19" t="str">
        <f t="shared" si="0"/>
        <v/>
      </c>
      <c r="G11" s="1"/>
      <c r="H11" s="2"/>
      <c r="I11" s="2"/>
      <c r="J11" s="11"/>
      <c r="X11" s="5">
        <f t="shared" si="1"/>
        <v>0</v>
      </c>
      <c r="Y11" s="2">
        <f t="shared" si="2"/>
        <v>0</v>
      </c>
    </row>
    <row r="12" spans="1:26" x14ac:dyDescent="0.25">
      <c r="A12" s="4" t="s">
        <v>71</v>
      </c>
      <c r="B12" s="19" t="str">
        <f ca="1">IF(B16&lt;&gt;K3,(TODAY()-B11)*-1,"")</f>
        <v/>
      </c>
      <c r="D12" s="12"/>
      <c r="E12" s="12"/>
      <c r="F12" s="19" t="str">
        <f t="shared" si="0"/>
        <v/>
      </c>
      <c r="G12" s="2"/>
      <c r="H12" s="1"/>
      <c r="I12" s="1"/>
      <c r="J12" s="11"/>
      <c r="X12" s="5">
        <f t="shared" si="1"/>
        <v>0</v>
      </c>
      <c r="Y12" s="2">
        <f t="shared" si="2"/>
        <v>0</v>
      </c>
    </row>
    <row r="13" spans="1:26" x14ac:dyDescent="0.25">
      <c r="A13" s="4"/>
      <c r="B13" s="2"/>
      <c r="D13" s="12"/>
      <c r="E13" s="12"/>
      <c r="F13" s="19" t="str">
        <f t="shared" si="0"/>
        <v/>
      </c>
      <c r="G13" s="1"/>
      <c r="H13" s="2"/>
      <c r="I13" s="2"/>
      <c r="J13" s="11"/>
      <c r="N13" s="14"/>
      <c r="X13" s="5">
        <f t="shared" si="1"/>
        <v>0</v>
      </c>
      <c r="Y13" s="2">
        <f t="shared" si="2"/>
        <v>0</v>
      </c>
    </row>
    <row r="14" spans="1:26" x14ac:dyDescent="0.25">
      <c r="A14" s="13"/>
      <c r="B14" s="20"/>
      <c r="D14" s="12"/>
      <c r="E14" s="5"/>
      <c r="F14" s="19" t="str">
        <f t="shared" si="0"/>
        <v/>
      </c>
      <c r="G14" s="1"/>
      <c r="H14" s="1"/>
      <c r="I14" s="1"/>
      <c r="J14" s="11"/>
      <c r="X14" s="5">
        <f t="shared" si="1"/>
        <v>0</v>
      </c>
      <c r="Y14" s="2">
        <f t="shared" si="2"/>
        <v>0</v>
      </c>
    </row>
    <row r="15" spans="1:26" x14ac:dyDescent="0.25">
      <c r="A15" s="4" t="s">
        <v>1</v>
      </c>
      <c r="B15" s="6">
        <v>0.12</v>
      </c>
      <c r="D15" s="12"/>
      <c r="E15" s="5"/>
      <c r="F15" s="19" t="str">
        <f t="shared" si="0"/>
        <v/>
      </c>
      <c r="G15" s="1"/>
      <c r="H15" s="1"/>
      <c r="I15" s="1"/>
      <c r="J15" s="11"/>
      <c r="K15" s="18"/>
      <c r="L15" s="18"/>
      <c r="M15" s="18"/>
      <c r="N15" s="18"/>
      <c r="O15" s="18"/>
      <c r="P15" s="18"/>
      <c r="Q15" s="18"/>
      <c r="X15" s="5">
        <f t="shared" si="1"/>
        <v>0</v>
      </c>
      <c r="Y15" s="2">
        <f t="shared" si="2"/>
        <v>0</v>
      </c>
    </row>
    <row r="16" spans="1:26" x14ac:dyDescent="0.25">
      <c r="A16" s="4" t="s">
        <v>72</v>
      </c>
      <c r="B16" s="2">
        <v>10</v>
      </c>
      <c r="D16" s="12"/>
      <c r="E16" s="5"/>
      <c r="F16" s="19" t="str">
        <f t="shared" si="0"/>
        <v/>
      </c>
      <c r="G16" s="1"/>
      <c r="H16" s="1"/>
      <c r="I16" s="1"/>
      <c r="J16" s="11"/>
      <c r="K16" s="9"/>
      <c r="L16" s="9"/>
      <c r="M16" s="9"/>
      <c r="N16" s="21"/>
      <c r="O16" s="22"/>
      <c r="P16" s="11"/>
      <c r="Q16" s="11"/>
      <c r="X16" s="5">
        <f t="shared" si="1"/>
        <v>0</v>
      </c>
      <c r="Y16" s="2">
        <f t="shared" si="2"/>
        <v>0</v>
      </c>
    </row>
    <row r="17" spans="2:25" x14ac:dyDescent="0.25">
      <c r="D17" s="12"/>
      <c r="E17" s="5"/>
      <c r="F17" s="19" t="str">
        <f t="shared" si="0"/>
        <v/>
      </c>
      <c r="G17" s="1"/>
      <c r="H17" s="1"/>
      <c r="I17" s="1"/>
      <c r="J17" s="11"/>
      <c r="X17" s="5">
        <f t="shared" si="1"/>
        <v>0</v>
      </c>
      <c r="Y17" s="2">
        <f t="shared" si="2"/>
        <v>0</v>
      </c>
    </row>
    <row r="18" spans="2:25" x14ac:dyDescent="0.25">
      <c r="D18" s="12"/>
      <c r="E18" s="5"/>
      <c r="F18" s="19" t="str">
        <f t="shared" si="0"/>
        <v/>
      </c>
      <c r="G18" s="1"/>
      <c r="H18" s="1"/>
      <c r="I18" s="1"/>
      <c r="J18" s="11"/>
      <c r="X18" s="5">
        <f t="shared" si="1"/>
        <v>0</v>
      </c>
      <c r="Y18" s="2">
        <f t="shared" si="2"/>
        <v>0</v>
      </c>
    </row>
    <row r="19" spans="2:25" x14ac:dyDescent="0.25">
      <c r="D19" s="12"/>
      <c r="E19" s="5"/>
      <c r="F19" s="19" t="str">
        <f t="shared" si="0"/>
        <v/>
      </c>
      <c r="G19" s="1"/>
      <c r="H19" s="1"/>
      <c r="I19" s="1"/>
      <c r="J19" s="11"/>
      <c r="X19" s="5">
        <f t="shared" si="1"/>
        <v>0</v>
      </c>
      <c r="Y19" s="2">
        <f t="shared" si="2"/>
        <v>0</v>
      </c>
    </row>
    <row r="20" spans="2:25" x14ac:dyDescent="0.25">
      <c r="D20" s="12"/>
      <c r="E20" s="5"/>
      <c r="F20" s="19" t="str">
        <f t="shared" si="0"/>
        <v/>
      </c>
      <c r="G20" s="1"/>
      <c r="H20" s="1"/>
      <c r="I20" s="1"/>
      <c r="J20" s="11"/>
      <c r="X20" s="5">
        <f t="shared" si="1"/>
        <v>0</v>
      </c>
      <c r="Y20" s="2">
        <f t="shared" si="2"/>
        <v>0</v>
      </c>
    </row>
    <row r="21" spans="2:25" x14ac:dyDescent="0.25">
      <c r="D21" s="12"/>
      <c r="E21" s="5"/>
      <c r="F21" s="19" t="str">
        <f t="shared" si="0"/>
        <v/>
      </c>
      <c r="G21" s="1"/>
      <c r="H21" s="1"/>
      <c r="I21" s="1"/>
      <c r="J21" s="11"/>
      <c r="X21" s="5">
        <f t="shared" si="1"/>
        <v>0</v>
      </c>
      <c r="Y21" s="2">
        <f t="shared" si="2"/>
        <v>0</v>
      </c>
    </row>
    <row r="22" spans="2:25" x14ac:dyDescent="0.25">
      <c r="D22" s="12"/>
      <c r="E22" s="5"/>
      <c r="F22" s="19" t="str">
        <f t="shared" si="0"/>
        <v/>
      </c>
      <c r="G22" s="1"/>
      <c r="H22" s="1"/>
      <c r="I22" s="1"/>
      <c r="J22" s="11"/>
      <c r="X22" s="5">
        <f t="shared" si="1"/>
        <v>0</v>
      </c>
      <c r="Y22" s="2">
        <f t="shared" si="2"/>
        <v>0</v>
      </c>
    </row>
    <row r="23" spans="2:25" x14ac:dyDescent="0.25">
      <c r="B23" s="22"/>
      <c r="D23" s="12"/>
      <c r="E23" s="5"/>
      <c r="F23" s="19" t="str">
        <f t="shared" si="0"/>
        <v/>
      </c>
      <c r="G23" s="1"/>
      <c r="H23" s="1"/>
      <c r="I23" s="1"/>
      <c r="J23" s="11"/>
      <c r="X23" s="5">
        <f t="shared" si="1"/>
        <v>0</v>
      </c>
      <c r="Y23" s="2">
        <f t="shared" si="2"/>
        <v>0</v>
      </c>
    </row>
    <row r="24" spans="2:25" x14ac:dyDescent="0.25">
      <c r="D24" s="12"/>
      <c r="E24" s="5"/>
      <c r="F24" s="19" t="str">
        <f t="shared" si="0"/>
        <v/>
      </c>
      <c r="G24" s="1"/>
      <c r="H24" s="1"/>
      <c r="I24" s="1"/>
      <c r="J24" s="11"/>
      <c r="X24" s="5">
        <f t="shared" si="1"/>
        <v>0</v>
      </c>
      <c r="Y24" s="2">
        <f t="shared" si="2"/>
        <v>0</v>
      </c>
    </row>
    <row r="25" spans="2:25" x14ac:dyDescent="0.25">
      <c r="D25" s="12"/>
      <c r="E25" s="5"/>
      <c r="F25" s="19" t="str">
        <f t="shared" si="0"/>
        <v/>
      </c>
      <c r="G25" s="1"/>
      <c r="H25" s="1"/>
      <c r="I25" s="1"/>
      <c r="J25" s="11"/>
      <c r="X25" s="5">
        <f t="shared" si="1"/>
        <v>0</v>
      </c>
      <c r="Y25" s="2">
        <f t="shared" si="2"/>
        <v>0</v>
      </c>
    </row>
    <row r="26" spans="2:25" x14ac:dyDescent="0.25">
      <c r="D26" s="12"/>
      <c r="E26" s="5"/>
      <c r="F26" s="19" t="str">
        <f t="shared" si="0"/>
        <v/>
      </c>
      <c r="G26" s="1"/>
      <c r="H26" s="1"/>
      <c r="I26" s="1"/>
      <c r="J26" s="11"/>
      <c r="X26" s="5">
        <f t="shared" si="1"/>
        <v>0</v>
      </c>
      <c r="Y26" s="2">
        <f t="shared" si="2"/>
        <v>0</v>
      </c>
    </row>
    <row r="27" spans="2:25" x14ac:dyDescent="0.25">
      <c r="D27" s="12"/>
      <c r="E27" s="5"/>
      <c r="F27" s="19" t="str">
        <f t="shared" si="0"/>
        <v/>
      </c>
      <c r="G27" s="1"/>
      <c r="H27" s="1"/>
      <c r="I27" s="1"/>
      <c r="J27" s="11"/>
      <c r="X27" s="5">
        <f t="shared" si="1"/>
        <v>0</v>
      </c>
      <c r="Y27" s="2">
        <f t="shared" si="2"/>
        <v>0</v>
      </c>
    </row>
    <row r="28" spans="2:25" x14ac:dyDescent="0.25">
      <c r="D28" s="12"/>
      <c r="E28" s="5"/>
      <c r="F28" s="19" t="str">
        <f t="shared" si="0"/>
        <v/>
      </c>
      <c r="G28" s="1"/>
      <c r="H28" s="1"/>
      <c r="I28" s="1"/>
      <c r="J28" s="11"/>
      <c r="X28" s="5">
        <f t="shared" si="1"/>
        <v>0</v>
      </c>
      <c r="Y28" s="2">
        <f t="shared" si="2"/>
        <v>0</v>
      </c>
    </row>
    <row r="29" spans="2:25" x14ac:dyDescent="0.25">
      <c r="D29" s="12"/>
      <c r="E29" s="5"/>
      <c r="F29" s="19" t="str">
        <f t="shared" si="0"/>
        <v/>
      </c>
      <c r="G29" s="1"/>
      <c r="H29" s="1"/>
      <c r="I29" s="1"/>
      <c r="J29" s="11"/>
      <c r="X29" s="5">
        <f t="shared" si="1"/>
        <v>0</v>
      </c>
      <c r="Y29" s="2">
        <f t="shared" si="2"/>
        <v>0</v>
      </c>
    </row>
    <row r="30" spans="2:25" x14ac:dyDescent="0.25">
      <c r="D30" s="12"/>
      <c r="E30" s="5"/>
      <c r="F30" s="19" t="str">
        <f t="shared" si="0"/>
        <v/>
      </c>
      <c r="G30" s="1"/>
      <c r="H30" s="1"/>
      <c r="I30" s="1"/>
      <c r="J30" s="11"/>
      <c r="X30" s="5">
        <f t="shared" si="1"/>
        <v>0</v>
      </c>
      <c r="Y30" s="2">
        <f t="shared" si="2"/>
        <v>0</v>
      </c>
    </row>
    <row r="31" spans="2:25" x14ac:dyDescent="0.25">
      <c r="D31" s="12"/>
      <c r="E31" s="5"/>
      <c r="F31" s="19" t="str">
        <f t="shared" si="0"/>
        <v/>
      </c>
      <c r="G31" s="1"/>
      <c r="H31" s="1"/>
      <c r="I31" s="1"/>
      <c r="J31" s="11"/>
      <c r="X31" s="5">
        <f t="shared" si="1"/>
        <v>0</v>
      </c>
      <c r="Y31" s="2">
        <f t="shared" si="2"/>
        <v>0</v>
      </c>
    </row>
    <row r="32" spans="2:25" x14ac:dyDescent="0.25">
      <c r="D32" s="12"/>
      <c r="E32" s="5"/>
      <c r="F32" s="19" t="str">
        <f t="shared" si="0"/>
        <v/>
      </c>
      <c r="G32" s="1"/>
      <c r="H32" s="1"/>
      <c r="I32" s="1"/>
      <c r="J32" s="11"/>
      <c r="X32" s="5">
        <f t="shared" si="1"/>
        <v>0</v>
      </c>
      <c r="Y32" s="2">
        <f t="shared" si="2"/>
        <v>0</v>
      </c>
    </row>
    <row r="33" spans="4:25" x14ac:dyDescent="0.25">
      <c r="D33" s="12"/>
      <c r="E33" s="5"/>
      <c r="F33" s="19" t="str">
        <f t="shared" si="0"/>
        <v/>
      </c>
      <c r="G33" s="1"/>
      <c r="H33" s="1"/>
      <c r="I33" s="1"/>
      <c r="J33" s="11"/>
      <c r="X33" s="5">
        <f t="shared" si="1"/>
        <v>0</v>
      </c>
      <c r="Y33" s="2">
        <f t="shared" si="2"/>
        <v>0</v>
      </c>
    </row>
    <row r="34" spans="4:25" x14ac:dyDescent="0.25">
      <c r="D34" s="12"/>
      <c r="E34" s="5"/>
      <c r="F34" s="19" t="str">
        <f t="shared" si="0"/>
        <v/>
      </c>
      <c r="G34" s="1"/>
      <c r="H34" s="1"/>
      <c r="I34" s="1"/>
      <c r="J34" s="11"/>
      <c r="X34" s="5">
        <f t="shared" si="1"/>
        <v>0</v>
      </c>
      <c r="Y34" s="2">
        <f t="shared" si="2"/>
        <v>0</v>
      </c>
    </row>
    <row r="35" spans="4:25" x14ac:dyDescent="0.25">
      <c r="D35" s="12"/>
      <c r="E35" s="5"/>
      <c r="F35" s="19" t="str">
        <f t="shared" si="0"/>
        <v/>
      </c>
      <c r="G35" s="1"/>
      <c r="H35" s="1"/>
      <c r="I35" s="1"/>
      <c r="J35" s="11"/>
      <c r="X35" s="5">
        <f t="shared" si="1"/>
        <v>0</v>
      </c>
      <c r="Y35" s="2">
        <f t="shared" si="2"/>
        <v>0</v>
      </c>
    </row>
    <row r="36" spans="4:25" x14ac:dyDescent="0.25">
      <c r="D36" s="12"/>
      <c r="E36" s="5"/>
      <c r="F36" s="19" t="str">
        <f t="shared" si="0"/>
        <v/>
      </c>
      <c r="G36" s="1"/>
      <c r="H36" s="1"/>
      <c r="I36" s="1"/>
      <c r="J36" s="11"/>
      <c r="X36" s="5">
        <f t="shared" si="1"/>
        <v>0</v>
      </c>
      <c r="Y36" s="2">
        <f t="shared" si="2"/>
        <v>0</v>
      </c>
    </row>
    <row r="37" spans="4:25" x14ac:dyDescent="0.25">
      <c r="D37" s="12"/>
      <c r="E37" s="5"/>
      <c r="F37" s="19" t="str">
        <f t="shared" si="0"/>
        <v/>
      </c>
      <c r="G37" s="1"/>
      <c r="H37" s="1"/>
      <c r="I37" s="1"/>
      <c r="J37" s="11"/>
      <c r="X37" s="5">
        <f t="shared" si="1"/>
        <v>0</v>
      </c>
      <c r="Y37" s="2">
        <f t="shared" si="2"/>
        <v>0</v>
      </c>
    </row>
    <row r="38" spans="4:25" x14ac:dyDescent="0.25">
      <c r="D38" s="12"/>
      <c r="E38" s="5"/>
      <c r="F38" s="19" t="str">
        <f t="shared" si="0"/>
        <v/>
      </c>
      <c r="G38" s="1"/>
      <c r="H38" s="1"/>
      <c r="I38" s="1"/>
      <c r="J38" s="11"/>
      <c r="X38" s="5">
        <f t="shared" si="1"/>
        <v>0</v>
      </c>
      <c r="Y38" s="2">
        <f t="shared" si="2"/>
        <v>0</v>
      </c>
    </row>
    <row r="39" spans="4:25" x14ac:dyDescent="0.25">
      <c r="D39" s="12"/>
      <c r="E39" s="5"/>
      <c r="F39" s="19" t="str">
        <f t="shared" si="0"/>
        <v/>
      </c>
      <c r="G39" s="1"/>
      <c r="H39" s="1"/>
      <c r="I39" s="1"/>
      <c r="J39" s="11"/>
      <c r="X39" s="5">
        <f t="shared" si="1"/>
        <v>0</v>
      </c>
      <c r="Y39" s="2">
        <f t="shared" si="2"/>
        <v>0</v>
      </c>
    </row>
    <row r="40" spans="4:25" x14ac:dyDescent="0.25">
      <c r="D40" s="12"/>
      <c r="E40" s="5"/>
      <c r="F40" s="19" t="str">
        <f t="shared" si="0"/>
        <v/>
      </c>
      <c r="G40" s="1"/>
      <c r="H40" s="1"/>
      <c r="I40" s="1"/>
      <c r="J40" s="11"/>
      <c r="X40" s="5">
        <f t="shared" si="1"/>
        <v>0</v>
      </c>
      <c r="Y40" s="2">
        <f t="shared" si="2"/>
        <v>0</v>
      </c>
    </row>
    <row r="41" spans="4:25" x14ac:dyDescent="0.25">
      <c r="D41" s="12"/>
      <c r="E41" s="5"/>
      <c r="F41" s="19" t="str">
        <f t="shared" si="0"/>
        <v/>
      </c>
      <c r="G41" s="1"/>
      <c r="H41" s="1"/>
      <c r="I41" s="1"/>
      <c r="J41" s="11"/>
      <c r="X41" s="5">
        <f t="shared" si="1"/>
        <v>0</v>
      </c>
      <c r="Y41" s="2">
        <f t="shared" si="2"/>
        <v>0</v>
      </c>
    </row>
    <row r="42" spans="4:25" x14ac:dyDescent="0.25">
      <c r="D42" s="12"/>
      <c r="E42" s="5"/>
      <c r="F42" s="19" t="str">
        <f t="shared" si="0"/>
        <v/>
      </c>
      <c r="G42" s="1"/>
      <c r="H42" s="1"/>
      <c r="I42" s="1"/>
      <c r="J42" s="11"/>
      <c r="X42" s="5">
        <f t="shared" si="1"/>
        <v>0</v>
      </c>
      <c r="Y42" s="2">
        <f t="shared" si="2"/>
        <v>0</v>
      </c>
    </row>
    <row r="43" spans="4:25" x14ac:dyDescent="0.25">
      <c r="D43" s="12"/>
      <c r="E43" s="5"/>
      <c r="F43" s="19" t="str">
        <f t="shared" si="0"/>
        <v/>
      </c>
      <c r="G43" s="1"/>
      <c r="H43" s="1"/>
      <c r="I43" s="1"/>
      <c r="J43" s="11"/>
      <c r="X43" s="5">
        <f t="shared" si="1"/>
        <v>0</v>
      </c>
      <c r="Y43" s="2">
        <f t="shared" si="2"/>
        <v>0</v>
      </c>
    </row>
    <row r="44" spans="4:25" x14ac:dyDescent="0.25">
      <c r="D44" s="12"/>
      <c r="E44" s="5"/>
      <c r="F44" s="19" t="str">
        <f t="shared" si="0"/>
        <v/>
      </c>
      <c r="G44" s="1"/>
      <c r="H44" s="1"/>
      <c r="I44" s="1"/>
      <c r="J44" s="11"/>
      <c r="X44" s="5">
        <f t="shared" si="1"/>
        <v>0</v>
      </c>
      <c r="Y44" s="2">
        <f t="shared" si="2"/>
        <v>0</v>
      </c>
    </row>
    <row r="45" spans="4:25" x14ac:dyDescent="0.25">
      <c r="D45" s="12"/>
      <c r="E45" s="5"/>
      <c r="F45" s="19" t="str">
        <f t="shared" si="0"/>
        <v/>
      </c>
      <c r="G45" s="1"/>
      <c r="H45" s="1"/>
      <c r="I45" s="1"/>
      <c r="J45" s="11"/>
      <c r="X45" s="5">
        <f t="shared" si="1"/>
        <v>0</v>
      </c>
      <c r="Y45" s="2">
        <f t="shared" si="2"/>
        <v>0</v>
      </c>
    </row>
    <row r="46" spans="4:25" x14ac:dyDescent="0.25">
      <c r="D46" s="12"/>
      <c r="E46" s="5"/>
      <c r="F46" s="19" t="str">
        <f t="shared" si="0"/>
        <v/>
      </c>
      <c r="G46" s="1"/>
      <c r="H46" s="1"/>
      <c r="I46" s="1"/>
      <c r="J46" s="11"/>
      <c r="X46" s="5">
        <f t="shared" si="1"/>
        <v>0</v>
      </c>
      <c r="Y46" s="2">
        <f t="shared" si="2"/>
        <v>0</v>
      </c>
    </row>
    <row r="47" spans="4:25" x14ac:dyDescent="0.25">
      <c r="D47" s="12"/>
      <c r="E47" s="5"/>
      <c r="F47" s="19" t="str">
        <f t="shared" si="0"/>
        <v/>
      </c>
      <c r="G47" s="1"/>
      <c r="H47" s="1"/>
      <c r="I47" s="1"/>
      <c r="J47" s="11"/>
      <c r="X47" s="5">
        <f t="shared" si="1"/>
        <v>0</v>
      </c>
      <c r="Y47" s="2">
        <f t="shared" si="2"/>
        <v>0</v>
      </c>
    </row>
    <row r="48" spans="4:25" x14ac:dyDescent="0.25">
      <c r="D48" s="12"/>
      <c r="E48" s="5"/>
      <c r="F48" s="19" t="str">
        <f t="shared" si="0"/>
        <v/>
      </c>
      <c r="G48" s="1"/>
      <c r="H48" s="1"/>
      <c r="I48" s="1"/>
      <c r="J48" s="11"/>
      <c r="X48" s="5">
        <f t="shared" si="1"/>
        <v>0</v>
      </c>
      <c r="Y48" s="2">
        <f t="shared" si="2"/>
        <v>0</v>
      </c>
    </row>
    <row r="49" spans="4:25" x14ac:dyDescent="0.25">
      <c r="D49" s="12"/>
      <c r="E49" s="5"/>
      <c r="F49" s="19" t="str">
        <f t="shared" si="0"/>
        <v/>
      </c>
      <c r="G49" s="1"/>
      <c r="H49" s="1"/>
      <c r="I49" s="1"/>
      <c r="J49" s="11"/>
      <c r="X49" s="5">
        <f t="shared" si="1"/>
        <v>0</v>
      </c>
      <c r="Y49" s="2">
        <f t="shared" si="2"/>
        <v>0</v>
      </c>
    </row>
    <row r="50" spans="4:25" x14ac:dyDescent="0.25">
      <c r="D50" s="12"/>
      <c r="E50" s="5"/>
      <c r="F50" s="19" t="str">
        <f t="shared" si="0"/>
        <v/>
      </c>
      <c r="G50" s="1"/>
      <c r="H50" s="1"/>
      <c r="I50" s="1"/>
      <c r="J50" s="11"/>
      <c r="X50" s="5">
        <f t="shared" si="1"/>
        <v>0</v>
      </c>
      <c r="Y50" s="2">
        <f t="shared" si="2"/>
        <v>0</v>
      </c>
    </row>
    <row r="51" spans="4:25" x14ac:dyDescent="0.25">
      <c r="D51" s="12"/>
      <c r="E51" s="5"/>
      <c r="F51" s="19" t="str">
        <f t="shared" si="0"/>
        <v/>
      </c>
      <c r="G51" s="1"/>
      <c r="H51" s="1"/>
      <c r="I51" s="1"/>
      <c r="J51" s="11"/>
      <c r="X51" s="5">
        <f t="shared" si="1"/>
        <v>0</v>
      </c>
      <c r="Y51" s="2">
        <f t="shared" si="2"/>
        <v>0</v>
      </c>
    </row>
    <row r="52" spans="4:25" x14ac:dyDescent="0.25">
      <c r="D52" s="12"/>
      <c r="E52" s="5"/>
      <c r="F52" s="19" t="str">
        <f t="shared" si="0"/>
        <v/>
      </c>
      <c r="G52" s="1"/>
      <c r="H52" s="1"/>
      <c r="I52" s="1"/>
      <c r="J52" s="9"/>
      <c r="X52" s="5">
        <f t="shared" si="1"/>
        <v>0</v>
      </c>
      <c r="Y52" s="2">
        <f t="shared" si="2"/>
        <v>0</v>
      </c>
    </row>
    <row r="53" spans="4:25" x14ac:dyDescent="0.25">
      <c r="D53" s="1" t="s">
        <v>25</v>
      </c>
      <c r="E53" s="23"/>
      <c r="F53" s="2"/>
      <c r="G53" s="2">
        <f>SUM(G3:G52)</f>
        <v>10</v>
      </c>
      <c r="H53" s="2">
        <f t="shared" ref="H53:I53" si="3">SUM(H3:H52)</f>
        <v>0.56999999999999995</v>
      </c>
      <c r="I53" s="2">
        <f t="shared" si="3"/>
        <v>0.03</v>
      </c>
    </row>
  </sheetData>
  <mergeCells count="4">
    <mergeCell ref="D1:F1"/>
    <mergeCell ref="G1:I1"/>
    <mergeCell ref="K1:Q1"/>
    <mergeCell ref="X1:Z1"/>
  </mergeCells>
  <conditionalFormatting sqref="A1:B1">
    <cfRule type="expression" dxfId="23" priority="1">
      <formula>$Z$3="+"</formula>
    </cfRule>
    <cfRule type="expression" dxfId="22" priority="2">
      <formula>$B$16=$K$3</formula>
    </cfRule>
  </conditionalFormatting>
  <conditionalFormatting sqref="P3">
    <cfRule type="expression" dxfId="21" priority="6">
      <formula>$Z$3="+"</formula>
    </cfRule>
  </conditionalFormatting>
  <conditionalFormatting sqref="Z3">
    <cfRule type="expression" dxfId="20" priority="7">
      <formula>$Z$3="+"</formula>
    </cfRule>
  </conditionalFormatting>
  <pageMargins left="0.7" right="0.7" top="0.75" bottom="0.75" header="0.3" footer="0.3"/>
  <pageSetup orientation="portrait" r:id="rId1"/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7EAC1-53FB-41B0-8164-8D12C8802247}">
  <sheetPr>
    <tabColor rgb="FF92D050"/>
  </sheetPr>
  <dimension ref="A1:Z53"/>
  <sheetViews>
    <sheetView workbookViewId="0">
      <selection activeCell="K21" sqref="K21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1" customWidth="1"/>
    <col min="25" max="25" width="10.7109375" style="11" customWidth="1"/>
    <col min="26" max="26" width="10.7109375" customWidth="1"/>
  </cols>
  <sheetData>
    <row r="1" spans="1:26" x14ac:dyDescent="0.25">
      <c r="A1" s="4" t="s">
        <v>66</v>
      </c>
      <c r="B1" s="5" t="s">
        <v>28</v>
      </c>
      <c r="D1" s="29" t="s">
        <v>2</v>
      </c>
      <c r="E1" s="30"/>
      <c r="F1" s="31"/>
      <c r="G1" s="29" t="s">
        <v>0</v>
      </c>
      <c r="H1" s="30"/>
      <c r="I1" s="31"/>
      <c r="J1" s="18"/>
      <c r="K1" s="29" t="s">
        <v>58</v>
      </c>
      <c r="L1" s="30"/>
      <c r="M1" s="30"/>
      <c r="N1" s="30"/>
      <c r="O1" s="30"/>
      <c r="P1" s="30"/>
      <c r="Q1" s="31"/>
      <c r="X1" s="29"/>
      <c r="Y1" s="30"/>
      <c r="Z1" s="31"/>
    </row>
    <row r="2" spans="1:26" x14ac:dyDescent="0.25">
      <c r="A2" s="4" t="s">
        <v>21</v>
      </c>
      <c r="B2" s="5" t="s">
        <v>22</v>
      </c>
      <c r="D2" s="10" t="s">
        <v>49</v>
      </c>
      <c r="E2" s="10" t="s">
        <v>50</v>
      </c>
      <c r="F2" s="17" t="s">
        <v>67</v>
      </c>
      <c r="G2" s="10" t="s">
        <v>15</v>
      </c>
      <c r="H2" s="10" t="s">
        <v>16</v>
      </c>
      <c r="I2" s="10" t="s">
        <v>60</v>
      </c>
      <c r="J2" s="9"/>
      <c r="K2" s="10" t="s">
        <v>0</v>
      </c>
      <c r="L2" s="10" t="s">
        <v>1</v>
      </c>
      <c r="M2" s="10" t="s">
        <v>56</v>
      </c>
      <c r="N2" s="10" t="s">
        <v>57</v>
      </c>
      <c r="O2" s="10" t="s">
        <v>2</v>
      </c>
      <c r="P2" s="10" t="s">
        <v>68</v>
      </c>
      <c r="Q2" s="10" t="s">
        <v>67</v>
      </c>
      <c r="X2" s="10" t="s">
        <v>2</v>
      </c>
      <c r="Y2" s="10" t="s">
        <v>59</v>
      </c>
      <c r="Z2" s="10" t="s">
        <v>68</v>
      </c>
    </row>
    <row r="3" spans="1:26" x14ac:dyDescent="0.25">
      <c r="A3" s="4" t="s">
        <v>69</v>
      </c>
      <c r="B3" s="5" t="s">
        <v>78</v>
      </c>
      <c r="D3" s="12">
        <v>45961</v>
      </c>
      <c r="E3" s="12">
        <v>45961</v>
      </c>
      <c r="F3" s="19">
        <f t="shared" ref="F3:F52" si="0">IF(E3&gt;0,E3-D3,"")</f>
        <v>0</v>
      </c>
      <c r="G3" s="2">
        <v>0</v>
      </c>
      <c r="H3" s="1">
        <v>0.09</v>
      </c>
      <c r="I3" s="2">
        <v>0</v>
      </c>
      <c r="J3" s="11"/>
      <c r="K3" s="2">
        <f>G53</f>
        <v>13.86</v>
      </c>
      <c r="L3" s="2">
        <f>H53</f>
        <v>1.1200000000000001</v>
      </c>
      <c r="M3" s="2">
        <f>I53</f>
        <v>6.0000000000000005E-2</v>
      </c>
      <c r="N3" s="6">
        <f>IF(B16=K3,XIRR(Y3:Y52,X3:X52),"")</f>
        <v>0.12012479901313783</v>
      </c>
      <c r="O3" s="5">
        <f>IF(B16=K3,MAX(E:E),"")</f>
        <v>46234</v>
      </c>
      <c r="P3" s="1" t="str">
        <f ca="1">IF(Z3="+",TODAY()-B11,"")</f>
        <v/>
      </c>
      <c r="Q3" s="1">
        <f>IF(B16=K3,MAX(E:E)-B11,"")</f>
        <v>39</v>
      </c>
      <c r="T3" s="14"/>
      <c r="X3" s="5">
        <f>B9</f>
        <v>45947</v>
      </c>
      <c r="Y3" s="2">
        <f>B16*-1</f>
        <v>-13.86</v>
      </c>
      <c r="Z3" s="1" t="str">
        <f ca="1">IF(AND(TODAY()&gt;B11, K3&lt;&gt;B16), "+", "")</f>
        <v/>
      </c>
    </row>
    <row r="4" spans="1:26" x14ac:dyDescent="0.25">
      <c r="A4" s="4" t="s">
        <v>19</v>
      </c>
      <c r="B4" s="5" t="s">
        <v>20</v>
      </c>
      <c r="D4" s="12">
        <v>45991</v>
      </c>
      <c r="E4" s="12">
        <v>45991</v>
      </c>
      <c r="F4" s="19">
        <f t="shared" si="0"/>
        <v>0</v>
      </c>
      <c r="G4" s="2">
        <v>0</v>
      </c>
      <c r="H4" s="1">
        <v>0.13</v>
      </c>
      <c r="I4" s="2">
        <v>0.01</v>
      </c>
      <c r="J4" s="9"/>
      <c r="X4" s="5">
        <f>E3</f>
        <v>45961</v>
      </c>
      <c r="Y4" s="2">
        <f>G3+H3-I3</f>
        <v>0.09</v>
      </c>
    </row>
    <row r="5" spans="1:26" x14ac:dyDescent="0.25">
      <c r="A5" s="4"/>
      <c r="B5" s="5"/>
      <c r="D5" s="12">
        <v>46022</v>
      </c>
      <c r="E5" s="12">
        <v>46022</v>
      </c>
      <c r="F5" s="19">
        <f t="shared" si="0"/>
        <v>0</v>
      </c>
      <c r="G5" s="2">
        <v>0</v>
      </c>
      <c r="H5" s="1">
        <v>0.13</v>
      </c>
      <c r="I5" s="2">
        <v>0.01</v>
      </c>
      <c r="J5" s="9"/>
      <c r="X5" s="5">
        <f t="shared" ref="X5:X52" si="1">E4</f>
        <v>45991</v>
      </c>
      <c r="Y5" s="2">
        <f t="shared" ref="Y5:Y52" si="2">G4+H4-I4</f>
        <v>0.12000000000000001</v>
      </c>
    </row>
    <row r="6" spans="1:26" x14ac:dyDescent="0.25">
      <c r="A6" s="4"/>
      <c r="B6" s="5"/>
      <c r="D6" s="12">
        <v>46053</v>
      </c>
      <c r="E6" s="12">
        <v>46053</v>
      </c>
      <c r="F6" s="19">
        <f t="shared" si="0"/>
        <v>0</v>
      </c>
      <c r="G6" s="2">
        <v>0</v>
      </c>
      <c r="H6" s="1">
        <v>7.0000000000000007E-2</v>
      </c>
      <c r="I6" s="2">
        <v>0</v>
      </c>
      <c r="J6" s="9"/>
      <c r="X6" s="5">
        <f t="shared" si="1"/>
        <v>46022</v>
      </c>
      <c r="Y6" s="2">
        <f t="shared" si="2"/>
        <v>0.12000000000000001</v>
      </c>
    </row>
    <row r="7" spans="1:26" x14ac:dyDescent="0.25">
      <c r="A7" s="4"/>
      <c r="B7" s="5"/>
      <c r="D7" s="12">
        <v>46081</v>
      </c>
      <c r="E7" s="12">
        <v>46081</v>
      </c>
      <c r="F7" s="19">
        <f t="shared" si="0"/>
        <v>0</v>
      </c>
      <c r="G7" s="2">
        <v>0</v>
      </c>
      <c r="H7" s="1">
        <v>0.09</v>
      </c>
      <c r="I7" s="2">
        <v>0</v>
      </c>
      <c r="J7" s="11"/>
      <c r="X7" s="5">
        <f t="shared" si="1"/>
        <v>46053</v>
      </c>
      <c r="Y7" s="2">
        <f t="shared" si="2"/>
        <v>7.0000000000000007E-2</v>
      </c>
    </row>
    <row r="8" spans="1:26" x14ac:dyDescent="0.25">
      <c r="A8" s="4" t="s">
        <v>24</v>
      </c>
      <c r="B8" s="5" t="str">
        <f>DATEDIF(B9,B11,"y") &amp; " m. " &amp; DATEDIF(B9,B11,"ym") &amp; " mėn. " &amp; DATEDIF(B9,B11,"md") &amp; " d."</f>
        <v>0 m. 8 mėn. 5 d.</v>
      </c>
      <c r="D8" s="12">
        <v>46112</v>
      </c>
      <c r="E8" s="12">
        <v>46112</v>
      </c>
      <c r="F8" s="19">
        <f t="shared" si="0"/>
        <v>0</v>
      </c>
      <c r="G8" s="2">
        <v>0</v>
      </c>
      <c r="H8" s="1">
        <v>0.11</v>
      </c>
      <c r="I8" s="2">
        <v>0.01</v>
      </c>
      <c r="J8" s="9"/>
      <c r="X8" s="5">
        <f t="shared" si="1"/>
        <v>46081</v>
      </c>
      <c r="Y8" s="2">
        <f t="shared" si="2"/>
        <v>0.09</v>
      </c>
    </row>
    <row r="9" spans="1:26" x14ac:dyDescent="0.25">
      <c r="A9" s="4" t="s">
        <v>11</v>
      </c>
      <c r="B9" s="5">
        <v>45947</v>
      </c>
      <c r="D9" s="12">
        <v>46142</v>
      </c>
      <c r="E9" s="12">
        <v>46142</v>
      </c>
      <c r="F9" s="19">
        <f t="shared" si="0"/>
        <v>0</v>
      </c>
      <c r="G9" s="2">
        <v>0</v>
      </c>
      <c r="H9" s="2">
        <v>0.18</v>
      </c>
      <c r="I9" s="2">
        <v>0.01</v>
      </c>
      <c r="J9" s="11"/>
      <c r="X9" s="5">
        <f t="shared" si="1"/>
        <v>46112</v>
      </c>
      <c r="Y9" s="2">
        <f t="shared" si="2"/>
        <v>0.1</v>
      </c>
    </row>
    <row r="10" spans="1:26" x14ac:dyDescent="0.25">
      <c r="A10" s="4" t="s">
        <v>70</v>
      </c>
      <c r="B10" s="5">
        <v>45925</v>
      </c>
      <c r="D10" s="12">
        <v>46173</v>
      </c>
      <c r="E10" s="12">
        <v>46173</v>
      </c>
      <c r="F10" s="19">
        <f t="shared" si="0"/>
        <v>0</v>
      </c>
      <c r="G10" s="2">
        <v>0</v>
      </c>
      <c r="H10" s="1">
        <v>0.14000000000000001</v>
      </c>
      <c r="I10" s="2">
        <v>0.01</v>
      </c>
      <c r="J10" s="11"/>
      <c r="X10" s="5">
        <f t="shared" si="1"/>
        <v>46142</v>
      </c>
      <c r="Y10" s="2">
        <f t="shared" si="2"/>
        <v>0.16999999999999998</v>
      </c>
    </row>
    <row r="11" spans="1:26" x14ac:dyDescent="0.25">
      <c r="A11" s="4" t="s">
        <v>10</v>
      </c>
      <c r="B11" s="5">
        <v>46195</v>
      </c>
      <c r="D11" s="12">
        <v>46195</v>
      </c>
      <c r="E11" s="12">
        <v>46191</v>
      </c>
      <c r="F11" s="19">
        <f t="shared" si="0"/>
        <v>-4</v>
      </c>
      <c r="G11" s="1">
        <v>13.86</v>
      </c>
      <c r="H11" s="2">
        <v>0</v>
      </c>
      <c r="I11" s="2">
        <v>0</v>
      </c>
      <c r="J11" s="11"/>
      <c r="X11" s="5">
        <f t="shared" si="1"/>
        <v>46173</v>
      </c>
      <c r="Y11" s="2">
        <f t="shared" si="2"/>
        <v>0.13</v>
      </c>
    </row>
    <row r="12" spans="1:26" x14ac:dyDescent="0.25">
      <c r="A12" s="4" t="s">
        <v>71</v>
      </c>
      <c r="B12" s="19" t="str">
        <f ca="1">IF(B16&lt;&gt;K3,(TODAY()-B11)*-1,"")</f>
        <v/>
      </c>
      <c r="D12" s="12">
        <v>46203</v>
      </c>
      <c r="E12" s="12">
        <v>46203</v>
      </c>
      <c r="F12" s="19">
        <f t="shared" si="0"/>
        <v>0</v>
      </c>
      <c r="G12" s="2">
        <v>0</v>
      </c>
      <c r="H12" s="1">
        <v>0.15</v>
      </c>
      <c r="I12" s="1">
        <v>0.01</v>
      </c>
      <c r="J12" s="11"/>
      <c r="X12" s="5">
        <f t="shared" si="1"/>
        <v>46191</v>
      </c>
      <c r="Y12" s="2">
        <f t="shared" si="2"/>
        <v>13.86</v>
      </c>
    </row>
    <row r="13" spans="1:26" x14ac:dyDescent="0.25">
      <c r="A13" s="4"/>
      <c r="B13" s="2"/>
      <c r="D13" s="12">
        <v>46234</v>
      </c>
      <c r="E13" s="12">
        <v>46234</v>
      </c>
      <c r="F13" s="19">
        <f t="shared" si="0"/>
        <v>0</v>
      </c>
      <c r="G13" s="2">
        <v>0</v>
      </c>
      <c r="H13" s="2">
        <v>0.03</v>
      </c>
      <c r="I13" s="2">
        <v>0</v>
      </c>
      <c r="J13" s="11"/>
      <c r="N13" s="14"/>
      <c r="X13" s="5">
        <f t="shared" si="1"/>
        <v>46203</v>
      </c>
      <c r="Y13" s="2">
        <f t="shared" si="2"/>
        <v>0.13999999999999999</v>
      </c>
    </row>
    <row r="14" spans="1:26" x14ac:dyDescent="0.25">
      <c r="A14" s="13"/>
      <c r="B14" s="20"/>
      <c r="D14" s="12"/>
      <c r="E14" s="5"/>
      <c r="F14" s="19" t="str">
        <f t="shared" si="0"/>
        <v/>
      </c>
      <c r="G14" s="1"/>
      <c r="H14" s="1"/>
      <c r="I14" s="1"/>
      <c r="J14" s="11"/>
      <c r="X14" s="5">
        <f t="shared" si="1"/>
        <v>46234</v>
      </c>
      <c r="Y14" s="2">
        <f t="shared" si="2"/>
        <v>0.03</v>
      </c>
    </row>
    <row r="15" spans="1:26" x14ac:dyDescent="0.25">
      <c r="A15" s="4" t="s">
        <v>1</v>
      </c>
      <c r="B15" s="6">
        <v>0.12</v>
      </c>
      <c r="D15" s="12"/>
      <c r="E15" s="5"/>
      <c r="F15" s="19" t="str">
        <f t="shared" si="0"/>
        <v/>
      </c>
      <c r="G15" s="1"/>
      <c r="H15" s="1"/>
      <c r="I15" s="1"/>
      <c r="J15" s="11"/>
      <c r="K15" s="18"/>
      <c r="L15" s="18"/>
      <c r="M15" s="18"/>
      <c r="N15" s="18"/>
      <c r="O15" s="18"/>
      <c r="P15" s="18"/>
      <c r="Q15" s="18"/>
      <c r="X15" s="5">
        <f t="shared" si="1"/>
        <v>0</v>
      </c>
      <c r="Y15" s="2">
        <f t="shared" si="2"/>
        <v>0</v>
      </c>
    </row>
    <row r="16" spans="1:26" x14ac:dyDescent="0.25">
      <c r="A16" s="4" t="s">
        <v>72</v>
      </c>
      <c r="B16" s="2">
        <v>13.86</v>
      </c>
      <c r="D16" s="12"/>
      <c r="E16" s="5"/>
      <c r="F16" s="19" t="str">
        <f t="shared" si="0"/>
        <v/>
      </c>
      <c r="G16" s="1"/>
      <c r="H16" s="1"/>
      <c r="I16" s="1"/>
      <c r="J16" s="11"/>
      <c r="K16" s="9"/>
      <c r="L16" s="9"/>
      <c r="M16" s="9"/>
      <c r="N16" s="21"/>
      <c r="O16" s="22"/>
      <c r="P16" s="11"/>
      <c r="Q16" s="11"/>
      <c r="X16" s="5">
        <f t="shared" si="1"/>
        <v>0</v>
      </c>
      <c r="Y16" s="2">
        <f t="shared" si="2"/>
        <v>0</v>
      </c>
    </row>
    <row r="17" spans="2:25" x14ac:dyDescent="0.25">
      <c r="D17" s="12"/>
      <c r="E17" s="5"/>
      <c r="F17" s="19" t="str">
        <f t="shared" si="0"/>
        <v/>
      </c>
      <c r="G17" s="1"/>
      <c r="H17" s="1"/>
      <c r="I17" s="1"/>
      <c r="J17" s="11"/>
      <c r="X17" s="5">
        <f t="shared" si="1"/>
        <v>0</v>
      </c>
      <c r="Y17" s="2">
        <f t="shared" si="2"/>
        <v>0</v>
      </c>
    </row>
    <row r="18" spans="2:25" x14ac:dyDescent="0.25">
      <c r="D18" s="12"/>
      <c r="E18" s="5"/>
      <c r="F18" s="19" t="str">
        <f t="shared" si="0"/>
        <v/>
      </c>
      <c r="G18" s="1"/>
      <c r="H18" s="1"/>
      <c r="I18" s="1"/>
      <c r="J18" s="11"/>
      <c r="X18" s="5">
        <f t="shared" si="1"/>
        <v>0</v>
      </c>
      <c r="Y18" s="2">
        <f t="shared" si="2"/>
        <v>0</v>
      </c>
    </row>
    <row r="19" spans="2:25" x14ac:dyDescent="0.25">
      <c r="D19" s="12"/>
      <c r="E19" s="5"/>
      <c r="F19" s="19" t="str">
        <f t="shared" si="0"/>
        <v/>
      </c>
      <c r="G19" s="1"/>
      <c r="H19" s="1"/>
      <c r="I19" s="1"/>
      <c r="J19" s="11"/>
      <c r="X19" s="5">
        <f t="shared" si="1"/>
        <v>0</v>
      </c>
      <c r="Y19" s="2">
        <f t="shared" si="2"/>
        <v>0</v>
      </c>
    </row>
    <row r="20" spans="2:25" x14ac:dyDescent="0.25">
      <c r="D20" s="12"/>
      <c r="E20" s="5"/>
      <c r="F20" s="19" t="str">
        <f t="shared" si="0"/>
        <v/>
      </c>
      <c r="G20" s="1"/>
      <c r="H20" s="1"/>
      <c r="I20" s="1"/>
      <c r="J20" s="11"/>
      <c r="X20" s="5">
        <f t="shared" si="1"/>
        <v>0</v>
      </c>
      <c r="Y20" s="2">
        <f t="shared" si="2"/>
        <v>0</v>
      </c>
    </row>
    <row r="21" spans="2:25" x14ac:dyDescent="0.25">
      <c r="D21" s="12"/>
      <c r="E21" s="5"/>
      <c r="F21" s="19" t="str">
        <f t="shared" si="0"/>
        <v/>
      </c>
      <c r="G21" s="1"/>
      <c r="H21" s="1"/>
      <c r="I21" s="1"/>
      <c r="J21" s="11"/>
      <c r="X21" s="5">
        <f t="shared" si="1"/>
        <v>0</v>
      </c>
      <c r="Y21" s="2">
        <f t="shared" si="2"/>
        <v>0</v>
      </c>
    </row>
    <row r="22" spans="2:25" x14ac:dyDescent="0.25">
      <c r="D22" s="12"/>
      <c r="E22" s="5"/>
      <c r="F22" s="19" t="str">
        <f t="shared" si="0"/>
        <v/>
      </c>
      <c r="G22" s="1"/>
      <c r="H22" s="1"/>
      <c r="I22" s="1"/>
      <c r="J22" s="11"/>
      <c r="X22" s="5">
        <f t="shared" si="1"/>
        <v>0</v>
      </c>
      <c r="Y22" s="2">
        <f t="shared" si="2"/>
        <v>0</v>
      </c>
    </row>
    <row r="23" spans="2:25" x14ac:dyDescent="0.25">
      <c r="B23" s="22"/>
      <c r="D23" s="12"/>
      <c r="E23" s="5"/>
      <c r="F23" s="19" t="str">
        <f t="shared" si="0"/>
        <v/>
      </c>
      <c r="G23" s="1"/>
      <c r="H23" s="1"/>
      <c r="I23" s="1"/>
      <c r="J23" s="11"/>
      <c r="X23" s="5">
        <f t="shared" si="1"/>
        <v>0</v>
      </c>
      <c r="Y23" s="2">
        <f t="shared" si="2"/>
        <v>0</v>
      </c>
    </row>
    <row r="24" spans="2:25" x14ac:dyDescent="0.25">
      <c r="D24" s="12"/>
      <c r="E24" s="5"/>
      <c r="F24" s="19" t="str">
        <f t="shared" si="0"/>
        <v/>
      </c>
      <c r="G24" s="1"/>
      <c r="H24" s="1"/>
      <c r="I24" s="1"/>
      <c r="J24" s="11"/>
      <c r="X24" s="5">
        <f t="shared" si="1"/>
        <v>0</v>
      </c>
      <c r="Y24" s="2">
        <f t="shared" si="2"/>
        <v>0</v>
      </c>
    </row>
    <row r="25" spans="2:25" x14ac:dyDescent="0.25">
      <c r="D25" s="12"/>
      <c r="E25" s="5"/>
      <c r="F25" s="19" t="str">
        <f t="shared" si="0"/>
        <v/>
      </c>
      <c r="G25" s="1"/>
      <c r="H25" s="1"/>
      <c r="I25" s="1"/>
      <c r="J25" s="11"/>
      <c r="X25" s="5">
        <f t="shared" si="1"/>
        <v>0</v>
      </c>
      <c r="Y25" s="2">
        <f t="shared" si="2"/>
        <v>0</v>
      </c>
    </row>
    <row r="26" spans="2:25" x14ac:dyDescent="0.25">
      <c r="D26" s="12"/>
      <c r="E26" s="5"/>
      <c r="F26" s="19" t="str">
        <f t="shared" si="0"/>
        <v/>
      </c>
      <c r="G26" s="1"/>
      <c r="H26" s="1"/>
      <c r="I26" s="1"/>
      <c r="J26" s="11"/>
      <c r="X26" s="5">
        <f t="shared" si="1"/>
        <v>0</v>
      </c>
      <c r="Y26" s="2">
        <f t="shared" si="2"/>
        <v>0</v>
      </c>
    </row>
    <row r="27" spans="2:25" x14ac:dyDescent="0.25">
      <c r="D27" s="12"/>
      <c r="E27" s="5"/>
      <c r="F27" s="19" t="str">
        <f t="shared" si="0"/>
        <v/>
      </c>
      <c r="G27" s="1"/>
      <c r="H27" s="1"/>
      <c r="I27" s="1"/>
      <c r="J27" s="11"/>
      <c r="X27" s="5">
        <f t="shared" si="1"/>
        <v>0</v>
      </c>
      <c r="Y27" s="2">
        <f t="shared" si="2"/>
        <v>0</v>
      </c>
    </row>
    <row r="28" spans="2:25" x14ac:dyDescent="0.25">
      <c r="D28" s="12"/>
      <c r="E28" s="5"/>
      <c r="F28" s="19" t="str">
        <f t="shared" si="0"/>
        <v/>
      </c>
      <c r="G28" s="1"/>
      <c r="H28" s="1"/>
      <c r="I28" s="1"/>
      <c r="J28" s="11"/>
      <c r="X28" s="5">
        <f t="shared" si="1"/>
        <v>0</v>
      </c>
      <c r="Y28" s="2">
        <f t="shared" si="2"/>
        <v>0</v>
      </c>
    </row>
    <row r="29" spans="2:25" x14ac:dyDescent="0.25">
      <c r="D29" s="12"/>
      <c r="E29" s="5"/>
      <c r="F29" s="19" t="str">
        <f t="shared" si="0"/>
        <v/>
      </c>
      <c r="G29" s="1"/>
      <c r="H29" s="1"/>
      <c r="I29" s="1"/>
      <c r="J29" s="11"/>
      <c r="X29" s="5">
        <f t="shared" si="1"/>
        <v>0</v>
      </c>
      <c r="Y29" s="2">
        <f t="shared" si="2"/>
        <v>0</v>
      </c>
    </row>
    <row r="30" spans="2:25" x14ac:dyDescent="0.25">
      <c r="D30" s="12"/>
      <c r="E30" s="5"/>
      <c r="F30" s="19" t="str">
        <f t="shared" si="0"/>
        <v/>
      </c>
      <c r="G30" s="1"/>
      <c r="H30" s="1"/>
      <c r="I30" s="1"/>
      <c r="J30" s="11"/>
      <c r="X30" s="5">
        <f t="shared" si="1"/>
        <v>0</v>
      </c>
      <c r="Y30" s="2">
        <f t="shared" si="2"/>
        <v>0</v>
      </c>
    </row>
    <row r="31" spans="2:25" x14ac:dyDescent="0.25">
      <c r="D31" s="12"/>
      <c r="E31" s="5"/>
      <c r="F31" s="19" t="str">
        <f t="shared" si="0"/>
        <v/>
      </c>
      <c r="G31" s="1"/>
      <c r="H31" s="1"/>
      <c r="I31" s="1"/>
      <c r="J31" s="11"/>
      <c r="X31" s="5">
        <f t="shared" si="1"/>
        <v>0</v>
      </c>
      <c r="Y31" s="2">
        <f t="shared" si="2"/>
        <v>0</v>
      </c>
    </row>
    <row r="32" spans="2:25" x14ac:dyDescent="0.25">
      <c r="D32" s="12"/>
      <c r="E32" s="5"/>
      <c r="F32" s="19" t="str">
        <f t="shared" si="0"/>
        <v/>
      </c>
      <c r="G32" s="1"/>
      <c r="H32" s="1"/>
      <c r="I32" s="1"/>
      <c r="J32" s="11"/>
      <c r="X32" s="5">
        <f t="shared" si="1"/>
        <v>0</v>
      </c>
      <c r="Y32" s="2">
        <f t="shared" si="2"/>
        <v>0</v>
      </c>
    </row>
    <row r="33" spans="4:25" x14ac:dyDescent="0.25">
      <c r="D33" s="12"/>
      <c r="E33" s="5"/>
      <c r="F33" s="19" t="str">
        <f t="shared" si="0"/>
        <v/>
      </c>
      <c r="G33" s="1"/>
      <c r="H33" s="1"/>
      <c r="I33" s="1"/>
      <c r="J33" s="11"/>
      <c r="X33" s="5">
        <f t="shared" si="1"/>
        <v>0</v>
      </c>
      <c r="Y33" s="2">
        <f t="shared" si="2"/>
        <v>0</v>
      </c>
    </row>
    <row r="34" spans="4:25" x14ac:dyDescent="0.25">
      <c r="D34" s="12"/>
      <c r="E34" s="5"/>
      <c r="F34" s="19" t="str">
        <f t="shared" si="0"/>
        <v/>
      </c>
      <c r="G34" s="1"/>
      <c r="H34" s="1"/>
      <c r="I34" s="1"/>
      <c r="J34" s="11"/>
      <c r="X34" s="5">
        <f t="shared" si="1"/>
        <v>0</v>
      </c>
      <c r="Y34" s="2">
        <f t="shared" si="2"/>
        <v>0</v>
      </c>
    </row>
    <row r="35" spans="4:25" x14ac:dyDescent="0.25">
      <c r="D35" s="12"/>
      <c r="E35" s="5"/>
      <c r="F35" s="19" t="str">
        <f t="shared" si="0"/>
        <v/>
      </c>
      <c r="G35" s="1"/>
      <c r="H35" s="1"/>
      <c r="I35" s="1"/>
      <c r="J35" s="11"/>
      <c r="X35" s="5">
        <f t="shared" si="1"/>
        <v>0</v>
      </c>
      <c r="Y35" s="2">
        <f t="shared" si="2"/>
        <v>0</v>
      </c>
    </row>
    <row r="36" spans="4:25" x14ac:dyDescent="0.25">
      <c r="D36" s="12"/>
      <c r="E36" s="5"/>
      <c r="F36" s="19" t="str">
        <f t="shared" si="0"/>
        <v/>
      </c>
      <c r="G36" s="1"/>
      <c r="H36" s="1"/>
      <c r="I36" s="1"/>
      <c r="J36" s="11"/>
      <c r="X36" s="5">
        <f t="shared" si="1"/>
        <v>0</v>
      </c>
      <c r="Y36" s="2">
        <f t="shared" si="2"/>
        <v>0</v>
      </c>
    </row>
    <row r="37" spans="4:25" x14ac:dyDescent="0.25">
      <c r="D37" s="12"/>
      <c r="E37" s="5"/>
      <c r="F37" s="19" t="str">
        <f t="shared" si="0"/>
        <v/>
      </c>
      <c r="G37" s="1"/>
      <c r="H37" s="1"/>
      <c r="I37" s="1"/>
      <c r="J37" s="11"/>
      <c r="X37" s="5">
        <f t="shared" si="1"/>
        <v>0</v>
      </c>
      <c r="Y37" s="2">
        <f t="shared" si="2"/>
        <v>0</v>
      </c>
    </row>
    <row r="38" spans="4:25" x14ac:dyDescent="0.25">
      <c r="D38" s="12"/>
      <c r="E38" s="5"/>
      <c r="F38" s="19" t="str">
        <f t="shared" si="0"/>
        <v/>
      </c>
      <c r="G38" s="1"/>
      <c r="H38" s="1"/>
      <c r="I38" s="1"/>
      <c r="J38" s="11"/>
      <c r="X38" s="5">
        <f t="shared" si="1"/>
        <v>0</v>
      </c>
      <c r="Y38" s="2">
        <f t="shared" si="2"/>
        <v>0</v>
      </c>
    </row>
    <row r="39" spans="4:25" x14ac:dyDescent="0.25">
      <c r="D39" s="12"/>
      <c r="E39" s="5"/>
      <c r="F39" s="19" t="str">
        <f t="shared" si="0"/>
        <v/>
      </c>
      <c r="G39" s="1"/>
      <c r="H39" s="1"/>
      <c r="I39" s="1"/>
      <c r="J39" s="11"/>
      <c r="X39" s="5">
        <f t="shared" si="1"/>
        <v>0</v>
      </c>
      <c r="Y39" s="2">
        <f t="shared" si="2"/>
        <v>0</v>
      </c>
    </row>
    <row r="40" spans="4:25" x14ac:dyDescent="0.25">
      <c r="D40" s="12"/>
      <c r="E40" s="5"/>
      <c r="F40" s="19" t="str">
        <f t="shared" si="0"/>
        <v/>
      </c>
      <c r="G40" s="1"/>
      <c r="H40" s="1"/>
      <c r="I40" s="1"/>
      <c r="J40" s="11"/>
      <c r="X40" s="5">
        <f t="shared" si="1"/>
        <v>0</v>
      </c>
      <c r="Y40" s="2">
        <f t="shared" si="2"/>
        <v>0</v>
      </c>
    </row>
    <row r="41" spans="4:25" x14ac:dyDescent="0.25">
      <c r="D41" s="12"/>
      <c r="E41" s="5"/>
      <c r="F41" s="19" t="str">
        <f t="shared" si="0"/>
        <v/>
      </c>
      <c r="G41" s="1"/>
      <c r="H41" s="1"/>
      <c r="I41" s="1"/>
      <c r="J41" s="11"/>
      <c r="X41" s="5">
        <f t="shared" si="1"/>
        <v>0</v>
      </c>
      <c r="Y41" s="2">
        <f t="shared" si="2"/>
        <v>0</v>
      </c>
    </row>
    <row r="42" spans="4:25" x14ac:dyDescent="0.25">
      <c r="D42" s="12"/>
      <c r="E42" s="5"/>
      <c r="F42" s="19" t="str">
        <f t="shared" si="0"/>
        <v/>
      </c>
      <c r="G42" s="1"/>
      <c r="H42" s="1"/>
      <c r="I42" s="1"/>
      <c r="J42" s="11"/>
      <c r="X42" s="5">
        <f t="shared" si="1"/>
        <v>0</v>
      </c>
      <c r="Y42" s="2">
        <f t="shared" si="2"/>
        <v>0</v>
      </c>
    </row>
    <row r="43" spans="4:25" x14ac:dyDescent="0.25">
      <c r="D43" s="12"/>
      <c r="E43" s="5"/>
      <c r="F43" s="19" t="str">
        <f t="shared" si="0"/>
        <v/>
      </c>
      <c r="G43" s="1"/>
      <c r="H43" s="1"/>
      <c r="I43" s="1"/>
      <c r="J43" s="11"/>
      <c r="X43" s="5">
        <f t="shared" si="1"/>
        <v>0</v>
      </c>
      <c r="Y43" s="2">
        <f t="shared" si="2"/>
        <v>0</v>
      </c>
    </row>
    <row r="44" spans="4:25" x14ac:dyDescent="0.25">
      <c r="D44" s="12"/>
      <c r="E44" s="5"/>
      <c r="F44" s="19" t="str">
        <f t="shared" si="0"/>
        <v/>
      </c>
      <c r="G44" s="1"/>
      <c r="H44" s="1"/>
      <c r="I44" s="1"/>
      <c r="J44" s="11"/>
      <c r="X44" s="5">
        <f t="shared" si="1"/>
        <v>0</v>
      </c>
      <c r="Y44" s="2">
        <f t="shared" si="2"/>
        <v>0</v>
      </c>
    </row>
    <row r="45" spans="4:25" x14ac:dyDescent="0.25">
      <c r="D45" s="12"/>
      <c r="E45" s="5"/>
      <c r="F45" s="19" t="str">
        <f t="shared" si="0"/>
        <v/>
      </c>
      <c r="G45" s="1"/>
      <c r="H45" s="1"/>
      <c r="I45" s="1"/>
      <c r="J45" s="11"/>
      <c r="X45" s="5">
        <f t="shared" si="1"/>
        <v>0</v>
      </c>
      <c r="Y45" s="2">
        <f t="shared" si="2"/>
        <v>0</v>
      </c>
    </row>
    <row r="46" spans="4:25" x14ac:dyDescent="0.25">
      <c r="D46" s="12"/>
      <c r="E46" s="5"/>
      <c r="F46" s="19" t="str">
        <f t="shared" si="0"/>
        <v/>
      </c>
      <c r="G46" s="1"/>
      <c r="H46" s="1"/>
      <c r="I46" s="1"/>
      <c r="J46" s="11"/>
      <c r="X46" s="5">
        <f t="shared" si="1"/>
        <v>0</v>
      </c>
      <c r="Y46" s="2">
        <f t="shared" si="2"/>
        <v>0</v>
      </c>
    </row>
    <row r="47" spans="4:25" x14ac:dyDescent="0.25">
      <c r="D47" s="12"/>
      <c r="E47" s="5"/>
      <c r="F47" s="19" t="str">
        <f t="shared" si="0"/>
        <v/>
      </c>
      <c r="G47" s="1"/>
      <c r="H47" s="1"/>
      <c r="I47" s="1"/>
      <c r="J47" s="11"/>
      <c r="X47" s="5">
        <f t="shared" si="1"/>
        <v>0</v>
      </c>
      <c r="Y47" s="2">
        <f t="shared" si="2"/>
        <v>0</v>
      </c>
    </row>
    <row r="48" spans="4:25" x14ac:dyDescent="0.25">
      <c r="D48" s="12"/>
      <c r="E48" s="5"/>
      <c r="F48" s="19" t="str">
        <f t="shared" si="0"/>
        <v/>
      </c>
      <c r="G48" s="1"/>
      <c r="H48" s="1"/>
      <c r="I48" s="1"/>
      <c r="J48" s="11"/>
      <c r="X48" s="5">
        <f t="shared" si="1"/>
        <v>0</v>
      </c>
      <c r="Y48" s="2">
        <f t="shared" si="2"/>
        <v>0</v>
      </c>
    </row>
    <row r="49" spans="4:25" x14ac:dyDescent="0.25">
      <c r="D49" s="12"/>
      <c r="E49" s="5"/>
      <c r="F49" s="19" t="str">
        <f t="shared" si="0"/>
        <v/>
      </c>
      <c r="G49" s="1"/>
      <c r="H49" s="1"/>
      <c r="I49" s="1"/>
      <c r="J49" s="11"/>
      <c r="X49" s="5">
        <f t="shared" si="1"/>
        <v>0</v>
      </c>
      <c r="Y49" s="2">
        <f t="shared" si="2"/>
        <v>0</v>
      </c>
    </row>
    <row r="50" spans="4:25" x14ac:dyDescent="0.25">
      <c r="D50" s="12"/>
      <c r="E50" s="5"/>
      <c r="F50" s="19" t="str">
        <f t="shared" si="0"/>
        <v/>
      </c>
      <c r="G50" s="1"/>
      <c r="H50" s="1"/>
      <c r="I50" s="1"/>
      <c r="J50" s="11"/>
      <c r="X50" s="5">
        <f t="shared" si="1"/>
        <v>0</v>
      </c>
      <c r="Y50" s="2">
        <f t="shared" si="2"/>
        <v>0</v>
      </c>
    </row>
    <row r="51" spans="4:25" x14ac:dyDescent="0.25">
      <c r="D51" s="12"/>
      <c r="E51" s="5"/>
      <c r="F51" s="19" t="str">
        <f t="shared" si="0"/>
        <v/>
      </c>
      <c r="G51" s="1"/>
      <c r="H51" s="1"/>
      <c r="I51" s="1"/>
      <c r="J51" s="11"/>
      <c r="X51" s="5">
        <f t="shared" si="1"/>
        <v>0</v>
      </c>
      <c r="Y51" s="2">
        <f t="shared" si="2"/>
        <v>0</v>
      </c>
    </row>
    <row r="52" spans="4:25" x14ac:dyDescent="0.25">
      <c r="D52" s="12"/>
      <c r="E52" s="5"/>
      <c r="F52" s="19" t="str">
        <f t="shared" si="0"/>
        <v/>
      </c>
      <c r="G52" s="1"/>
      <c r="H52" s="1"/>
      <c r="I52" s="1"/>
      <c r="J52" s="9"/>
      <c r="X52" s="5">
        <f t="shared" si="1"/>
        <v>0</v>
      </c>
      <c r="Y52" s="2">
        <f t="shared" si="2"/>
        <v>0</v>
      </c>
    </row>
    <row r="53" spans="4:25" x14ac:dyDescent="0.25">
      <c r="D53" s="1" t="s">
        <v>25</v>
      </c>
      <c r="E53" s="23"/>
      <c r="F53" s="2"/>
      <c r="G53" s="2">
        <f>SUM(G3:G52)</f>
        <v>13.86</v>
      </c>
      <c r="H53" s="2">
        <f t="shared" ref="H53:I53" si="3">SUM(H3:H52)</f>
        <v>1.1200000000000001</v>
      </c>
      <c r="I53" s="2">
        <f t="shared" si="3"/>
        <v>6.0000000000000005E-2</v>
      </c>
    </row>
  </sheetData>
  <mergeCells count="4">
    <mergeCell ref="D1:F1"/>
    <mergeCell ref="G1:I1"/>
    <mergeCell ref="K1:Q1"/>
    <mergeCell ref="X1:Z1"/>
  </mergeCells>
  <conditionalFormatting sqref="A1:B1">
    <cfRule type="expression" dxfId="19" priority="1">
      <formula>$Z$3="+"</formula>
    </cfRule>
    <cfRule type="expression" dxfId="18" priority="2">
      <formula>$B$16=$K$3</formula>
    </cfRule>
  </conditionalFormatting>
  <conditionalFormatting sqref="P3">
    <cfRule type="expression" dxfId="17" priority="6">
      <formula>$Z$3="+"</formula>
    </cfRule>
  </conditionalFormatting>
  <conditionalFormatting sqref="Z3">
    <cfRule type="expression" dxfId="16" priority="7">
      <formula>$Z$3="+"</formula>
    </cfRule>
  </conditionalFormatting>
  <pageMargins left="0.7" right="0.7" top="0.75" bottom="0.75" header="0.3" footer="0.3"/>
  <pageSetup orientation="portrait" r:id="rId1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097B7-7A59-4664-9EC8-D16D9DF78F50}">
  <sheetPr>
    <tabColor rgb="FF92D050"/>
  </sheetPr>
  <dimension ref="A1:Z53"/>
  <sheetViews>
    <sheetView workbookViewId="0">
      <selection activeCell="L3" sqref="L3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1" customWidth="1"/>
    <col min="25" max="25" width="10.7109375" style="11" customWidth="1"/>
    <col min="26" max="26" width="10.7109375" customWidth="1"/>
  </cols>
  <sheetData>
    <row r="1" spans="1:26" x14ac:dyDescent="0.25">
      <c r="A1" s="4" t="s">
        <v>66</v>
      </c>
      <c r="B1" s="5" t="s">
        <v>26</v>
      </c>
      <c r="D1" s="29" t="s">
        <v>2</v>
      </c>
      <c r="E1" s="30"/>
      <c r="F1" s="31"/>
      <c r="G1" s="29" t="s">
        <v>0</v>
      </c>
      <c r="H1" s="30"/>
      <c r="I1" s="31"/>
      <c r="J1" s="18"/>
      <c r="K1" s="29" t="s">
        <v>58</v>
      </c>
      <c r="L1" s="30"/>
      <c r="M1" s="30"/>
      <c r="N1" s="30"/>
      <c r="O1" s="30"/>
      <c r="P1" s="30"/>
      <c r="Q1" s="31"/>
      <c r="X1" s="29"/>
      <c r="Y1" s="30"/>
      <c r="Z1" s="31"/>
    </row>
    <row r="2" spans="1:26" x14ac:dyDescent="0.25">
      <c r="A2" s="4" t="s">
        <v>21</v>
      </c>
      <c r="B2" s="5" t="s">
        <v>27</v>
      </c>
      <c r="D2" s="10" t="s">
        <v>49</v>
      </c>
      <c r="E2" s="10" t="s">
        <v>50</v>
      </c>
      <c r="F2" s="17" t="s">
        <v>67</v>
      </c>
      <c r="G2" s="10" t="s">
        <v>15</v>
      </c>
      <c r="H2" s="10" t="s">
        <v>16</v>
      </c>
      <c r="I2" s="10" t="s">
        <v>60</v>
      </c>
      <c r="J2" s="9"/>
      <c r="K2" s="10" t="s">
        <v>0</v>
      </c>
      <c r="L2" s="10" t="s">
        <v>1</v>
      </c>
      <c r="M2" s="10" t="s">
        <v>56</v>
      </c>
      <c r="N2" s="10" t="s">
        <v>57</v>
      </c>
      <c r="O2" s="10" t="s">
        <v>2</v>
      </c>
      <c r="P2" s="10" t="s">
        <v>68</v>
      </c>
      <c r="Q2" s="10" t="s">
        <v>67</v>
      </c>
      <c r="X2" s="10" t="s">
        <v>2</v>
      </c>
      <c r="Y2" s="10" t="s">
        <v>59</v>
      </c>
      <c r="Z2" s="10" t="s">
        <v>68</v>
      </c>
    </row>
    <row r="3" spans="1:26" x14ac:dyDescent="0.25">
      <c r="A3" s="4" t="s">
        <v>69</v>
      </c>
      <c r="B3" s="5" t="s">
        <v>78</v>
      </c>
      <c r="D3" s="12">
        <v>45961</v>
      </c>
      <c r="E3" s="12">
        <v>45961</v>
      </c>
      <c r="F3" s="19">
        <f t="shared" ref="F3:F52" si="0">IF(E3&gt;0,E3-D3,"")</f>
        <v>0</v>
      </c>
      <c r="G3" s="2">
        <v>0</v>
      </c>
      <c r="H3" s="1">
        <v>0.09</v>
      </c>
      <c r="I3" s="2">
        <v>0.01</v>
      </c>
      <c r="J3" s="11"/>
      <c r="K3" s="2">
        <f>G53</f>
        <v>11.35</v>
      </c>
      <c r="L3" s="2">
        <f>H53</f>
        <v>0.72</v>
      </c>
      <c r="M3" s="2">
        <f>I53</f>
        <v>0.04</v>
      </c>
      <c r="N3" s="6">
        <f>IF(B16=K3,XIRR(Y3:Y52,X3:X52),"")</f>
        <v>0.13053440451622009</v>
      </c>
      <c r="O3" s="5">
        <f>IF(B16=K3,MAX(E:E),"")</f>
        <v>46115</v>
      </c>
      <c r="P3" s="1" t="str">
        <f ca="1">IF(Z3="+",TODAY()-B11,"")</f>
        <v/>
      </c>
      <c r="Q3" s="1">
        <f>IF(B16=K3,MAX(E:E)-B11,"")</f>
        <v>3</v>
      </c>
      <c r="T3" s="14"/>
      <c r="X3" s="5">
        <f>B9</f>
        <v>45938</v>
      </c>
      <c r="Y3" s="2">
        <f>B16*-1</f>
        <v>-11.35</v>
      </c>
      <c r="Z3" s="1" t="str">
        <f ca="1">IF(AND(TODAY()&gt;B11, K3&lt;&gt;B16), "+", "")</f>
        <v/>
      </c>
    </row>
    <row r="4" spans="1:26" x14ac:dyDescent="0.25">
      <c r="A4" s="4" t="s">
        <v>19</v>
      </c>
      <c r="B4" s="5" t="s">
        <v>20</v>
      </c>
      <c r="D4" s="12">
        <v>45991</v>
      </c>
      <c r="E4" s="12">
        <v>45991</v>
      </c>
      <c r="F4" s="19">
        <f t="shared" si="0"/>
        <v>0</v>
      </c>
      <c r="G4" s="2">
        <v>0</v>
      </c>
      <c r="H4" s="1">
        <v>0.13</v>
      </c>
      <c r="I4" s="2">
        <v>0.01</v>
      </c>
      <c r="J4" s="9"/>
      <c r="X4" s="5">
        <f>E3</f>
        <v>45961</v>
      </c>
      <c r="Y4" s="2">
        <f>G3+H3-I3</f>
        <v>0.08</v>
      </c>
    </row>
    <row r="5" spans="1:26" x14ac:dyDescent="0.25">
      <c r="A5" s="4"/>
      <c r="B5" s="5"/>
      <c r="D5" s="12">
        <v>46022</v>
      </c>
      <c r="E5" s="12">
        <v>46022</v>
      </c>
      <c r="F5" s="19">
        <f t="shared" si="0"/>
        <v>0</v>
      </c>
      <c r="G5" s="2">
        <v>0</v>
      </c>
      <c r="H5" s="1">
        <v>0.13</v>
      </c>
      <c r="I5" s="2">
        <v>0.01</v>
      </c>
      <c r="J5" s="9"/>
      <c r="X5" s="5">
        <f t="shared" ref="X5:X52" si="1">E4</f>
        <v>45991</v>
      </c>
      <c r="Y5" s="2">
        <f t="shared" ref="Y5:Y52" si="2">G4+H4-I4</f>
        <v>0.12000000000000001</v>
      </c>
    </row>
    <row r="6" spans="1:26" x14ac:dyDescent="0.25">
      <c r="A6" s="4"/>
      <c r="B6" s="5"/>
      <c r="D6" s="12">
        <v>46053</v>
      </c>
      <c r="E6" s="12">
        <v>46053</v>
      </c>
      <c r="F6" s="19">
        <f t="shared" si="0"/>
        <v>0</v>
      </c>
      <c r="G6" s="2">
        <v>0</v>
      </c>
      <c r="H6" s="1">
        <v>7.0000000000000007E-2</v>
      </c>
      <c r="I6" s="2">
        <v>0</v>
      </c>
      <c r="J6" s="9"/>
      <c r="X6" s="5">
        <f t="shared" si="1"/>
        <v>46022</v>
      </c>
      <c r="Y6" s="2">
        <f t="shared" si="2"/>
        <v>0.12000000000000001</v>
      </c>
    </row>
    <row r="7" spans="1:26" x14ac:dyDescent="0.25">
      <c r="A7" s="4"/>
      <c r="B7" s="5"/>
      <c r="D7" s="12">
        <v>46081</v>
      </c>
      <c r="E7" s="12">
        <v>46081</v>
      </c>
      <c r="F7" s="19">
        <f t="shared" si="0"/>
        <v>0</v>
      </c>
      <c r="G7" s="2">
        <v>0</v>
      </c>
      <c r="H7" s="1">
        <v>0.09</v>
      </c>
      <c r="I7" s="2">
        <v>0</v>
      </c>
      <c r="J7" s="11"/>
      <c r="X7" s="5">
        <f t="shared" si="1"/>
        <v>46053</v>
      </c>
      <c r="Y7" s="2">
        <f t="shared" si="2"/>
        <v>7.0000000000000007E-2</v>
      </c>
    </row>
    <row r="8" spans="1:26" x14ac:dyDescent="0.25">
      <c r="A8" s="4" t="s">
        <v>24</v>
      </c>
      <c r="B8" s="5" t="str">
        <f>DATEDIF(B9,B11,"y") &amp; " m. " &amp; DATEDIF(B9,B11,"ym") &amp; " mėn. " &amp; DATEDIF(B9,B11,"md") &amp; " d."</f>
        <v>0 m. 5 mėn. 23 d.</v>
      </c>
      <c r="D8" s="12">
        <v>46112</v>
      </c>
      <c r="E8" s="12">
        <v>46112</v>
      </c>
      <c r="F8" s="19">
        <f t="shared" si="0"/>
        <v>0</v>
      </c>
      <c r="G8" s="2">
        <v>0</v>
      </c>
      <c r="H8" s="1">
        <v>0.11</v>
      </c>
      <c r="I8" s="2">
        <v>0.01</v>
      </c>
      <c r="J8" s="9"/>
      <c r="X8" s="5">
        <f t="shared" si="1"/>
        <v>46081</v>
      </c>
      <c r="Y8" s="2">
        <f t="shared" si="2"/>
        <v>0.09</v>
      </c>
    </row>
    <row r="9" spans="1:26" x14ac:dyDescent="0.25">
      <c r="A9" s="4" t="s">
        <v>11</v>
      </c>
      <c r="B9" s="5">
        <v>45938</v>
      </c>
      <c r="D9" s="12">
        <v>46112</v>
      </c>
      <c r="E9" s="12">
        <v>46115</v>
      </c>
      <c r="F9" s="19">
        <f t="shared" si="0"/>
        <v>3</v>
      </c>
      <c r="G9" s="2">
        <v>11.35</v>
      </c>
      <c r="H9" s="2">
        <v>0.1</v>
      </c>
      <c r="I9" s="2">
        <v>0</v>
      </c>
      <c r="J9" s="11"/>
      <c r="X9" s="5">
        <f t="shared" si="1"/>
        <v>46112</v>
      </c>
      <c r="Y9" s="2">
        <f t="shared" si="2"/>
        <v>0.1</v>
      </c>
    </row>
    <row r="10" spans="1:26" x14ac:dyDescent="0.25">
      <c r="A10" s="4" t="s">
        <v>70</v>
      </c>
      <c r="B10" s="5">
        <v>45932</v>
      </c>
      <c r="D10" s="12"/>
      <c r="E10" s="12"/>
      <c r="F10" s="19" t="str">
        <f t="shared" si="0"/>
        <v/>
      </c>
      <c r="G10" s="1"/>
      <c r="H10" s="1"/>
      <c r="I10" s="2"/>
      <c r="J10" s="11"/>
      <c r="X10" s="5">
        <f t="shared" si="1"/>
        <v>46115</v>
      </c>
      <c r="Y10" s="2">
        <f t="shared" si="2"/>
        <v>11.45</v>
      </c>
    </row>
    <row r="11" spans="1:26" x14ac:dyDescent="0.25">
      <c r="A11" s="4" t="s">
        <v>10</v>
      </c>
      <c r="B11" s="5">
        <v>46112</v>
      </c>
      <c r="D11" s="12"/>
      <c r="E11" s="12"/>
      <c r="F11" s="19" t="str">
        <f t="shared" si="0"/>
        <v/>
      </c>
      <c r="G11" s="1"/>
      <c r="H11" s="2"/>
      <c r="I11" s="2"/>
      <c r="J11" s="11"/>
      <c r="X11" s="5">
        <f t="shared" si="1"/>
        <v>0</v>
      </c>
      <c r="Y11" s="2">
        <f t="shared" si="2"/>
        <v>0</v>
      </c>
    </row>
    <row r="12" spans="1:26" x14ac:dyDescent="0.25">
      <c r="A12" s="4" t="s">
        <v>71</v>
      </c>
      <c r="B12" s="19" t="str">
        <f ca="1">IF(B16&lt;&gt;K3,(TODAY()-B11)*-1,"")</f>
        <v/>
      </c>
      <c r="D12" s="12"/>
      <c r="E12" s="12"/>
      <c r="F12" s="19" t="str">
        <f t="shared" si="0"/>
        <v/>
      </c>
      <c r="G12" s="2"/>
      <c r="H12" s="1"/>
      <c r="I12" s="1"/>
      <c r="J12" s="11"/>
      <c r="X12" s="5">
        <f t="shared" si="1"/>
        <v>0</v>
      </c>
      <c r="Y12" s="2">
        <f t="shared" si="2"/>
        <v>0</v>
      </c>
    </row>
    <row r="13" spans="1:26" x14ac:dyDescent="0.25">
      <c r="A13" s="4"/>
      <c r="B13" s="2"/>
      <c r="D13" s="12"/>
      <c r="E13" s="12"/>
      <c r="F13" s="19" t="str">
        <f t="shared" si="0"/>
        <v/>
      </c>
      <c r="G13" s="1"/>
      <c r="H13" s="2"/>
      <c r="I13" s="2"/>
      <c r="J13" s="11"/>
      <c r="N13" s="14"/>
      <c r="X13" s="5">
        <f t="shared" si="1"/>
        <v>0</v>
      </c>
      <c r="Y13" s="2">
        <f t="shared" si="2"/>
        <v>0</v>
      </c>
    </row>
    <row r="14" spans="1:26" x14ac:dyDescent="0.25">
      <c r="A14" s="13"/>
      <c r="B14" s="20"/>
      <c r="D14" s="12"/>
      <c r="E14" s="5"/>
      <c r="F14" s="19" t="str">
        <f t="shared" si="0"/>
        <v/>
      </c>
      <c r="G14" s="1"/>
      <c r="H14" s="1"/>
      <c r="I14" s="1"/>
      <c r="J14" s="11"/>
      <c r="X14" s="5">
        <f t="shared" si="1"/>
        <v>0</v>
      </c>
      <c r="Y14" s="2">
        <f t="shared" si="2"/>
        <v>0</v>
      </c>
    </row>
    <row r="15" spans="1:26" x14ac:dyDescent="0.25">
      <c r="A15" s="4" t="s">
        <v>1</v>
      </c>
      <c r="B15" s="6">
        <v>0.13</v>
      </c>
      <c r="D15" s="12"/>
      <c r="E15" s="5"/>
      <c r="F15" s="19" t="str">
        <f t="shared" si="0"/>
        <v/>
      </c>
      <c r="G15" s="1"/>
      <c r="H15" s="1"/>
      <c r="I15" s="1"/>
      <c r="J15" s="11"/>
      <c r="K15" s="18"/>
      <c r="L15" s="18"/>
      <c r="M15" s="18"/>
      <c r="N15" s="18"/>
      <c r="O15" s="18"/>
      <c r="P15" s="18"/>
      <c r="Q15" s="18"/>
      <c r="X15" s="5">
        <f t="shared" si="1"/>
        <v>0</v>
      </c>
      <c r="Y15" s="2">
        <f t="shared" si="2"/>
        <v>0</v>
      </c>
    </row>
    <row r="16" spans="1:26" x14ac:dyDescent="0.25">
      <c r="A16" s="4" t="s">
        <v>72</v>
      </c>
      <c r="B16" s="2">
        <v>11.35</v>
      </c>
      <c r="D16" s="12"/>
      <c r="E16" s="5"/>
      <c r="F16" s="19" t="str">
        <f t="shared" si="0"/>
        <v/>
      </c>
      <c r="G16" s="1"/>
      <c r="H16" s="1"/>
      <c r="I16" s="1"/>
      <c r="J16" s="11"/>
      <c r="K16" s="9"/>
      <c r="L16" s="9"/>
      <c r="M16" s="9"/>
      <c r="N16" s="21"/>
      <c r="O16" s="22"/>
      <c r="P16" s="11"/>
      <c r="Q16" s="11"/>
      <c r="X16" s="5">
        <f t="shared" si="1"/>
        <v>0</v>
      </c>
      <c r="Y16" s="2">
        <f t="shared" si="2"/>
        <v>0</v>
      </c>
    </row>
    <row r="17" spans="2:25" x14ac:dyDescent="0.25">
      <c r="D17" s="12"/>
      <c r="E17" s="5"/>
      <c r="F17" s="19" t="str">
        <f t="shared" si="0"/>
        <v/>
      </c>
      <c r="G17" s="1"/>
      <c r="H17" s="1"/>
      <c r="I17" s="1"/>
      <c r="J17" s="11"/>
      <c r="X17" s="5">
        <f t="shared" si="1"/>
        <v>0</v>
      </c>
      <c r="Y17" s="2">
        <f t="shared" si="2"/>
        <v>0</v>
      </c>
    </row>
    <row r="18" spans="2:25" x14ac:dyDescent="0.25">
      <c r="D18" s="12"/>
      <c r="E18" s="5"/>
      <c r="F18" s="19" t="str">
        <f t="shared" si="0"/>
        <v/>
      </c>
      <c r="G18" s="1"/>
      <c r="H18" s="1"/>
      <c r="I18" s="1"/>
      <c r="J18" s="11"/>
      <c r="X18" s="5">
        <f t="shared" si="1"/>
        <v>0</v>
      </c>
      <c r="Y18" s="2">
        <f t="shared" si="2"/>
        <v>0</v>
      </c>
    </row>
    <row r="19" spans="2:25" x14ac:dyDescent="0.25">
      <c r="D19" s="12"/>
      <c r="E19" s="5"/>
      <c r="F19" s="19" t="str">
        <f t="shared" si="0"/>
        <v/>
      </c>
      <c r="G19" s="1"/>
      <c r="H19" s="1"/>
      <c r="I19" s="1"/>
      <c r="J19" s="11"/>
      <c r="X19" s="5">
        <f t="shared" si="1"/>
        <v>0</v>
      </c>
      <c r="Y19" s="2">
        <f t="shared" si="2"/>
        <v>0</v>
      </c>
    </row>
    <row r="20" spans="2:25" x14ac:dyDescent="0.25">
      <c r="D20" s="12"/>
      <c r="E20" s="5"/>
      <c r="F20" s="19" t="str">
        <f t="shared" si="0"/>
        <v/>
      </c>
      <c r="G20" s="1"/>
      <c r="H20" s="1"/>
      <c r="I20" s="1"/>
      <c r="J20" s="11"/>
      <c r="X20" s="5">
        <f t="shared" si="1"/>
        <v>0</v>
      </c>
      <c r="Y20" s="2">
        <f t="shared" si="2"/>
        <v>0</v>
      </c>
    </row>
    <row r="21" spans="2:25" x14ac:dyDescent="0.25">
      <c r="D21" s="12"/>
      <c r="E21" s="5"/>
      <c r="F21" s="19" t="str">
        <f t="shared" si="0"/>
        <v/>
      </c>
      <c r="G21" s="1"/>
      <c r="H21" s="1"/>
      <c r="I21" s="1"/>
      <c r="J21" s="11"/>
      <c r="X21" s="5">
        <f t="shared" si="1"/>
        <v>0</v>
      </c>
      <c r="Y21" s="2">
        <f t="shared" si="2"/>
        <v>0</v>
      </c>
    </row>
    <row r="22" spans="2:25" x14ac:dyDescent="0.25">
      <c r="D22" s="12"/>
      <c r="E22" s="5"/>
      <c r="F22" s="19" t="str">
        <f t="shared" si="0"/>
        <v/>
      </c>
      <c r="G22" s="1"/>
      <c r="H22" s="1"/>
      <c r="I22" s="1"/>
      <c r="J22" s="11"/>
      <c r="X22" s="5">
        <f t="shared" si="1"/>
        <v>0</v>
      </c>
      <c r="Y22" s="2">
        <f t="shared" si="2"/>
        <v>0</v>
      </c>
    </row>
    <row r="23" spans="2:25" x14ac:dyDescent="0.25">
      <c r="B23" s="22"/>
      <c r="D23" s="12"/>
      <c r="E23" s="5"/>
      <c r="F23" s="19" t="str">
        <f t="shared" si="0"/>
        <v/>
      </c>
      <c r="G23" s="1"/>
      <c r="H23" s="1"/>
      <c r="I23" s="1"/>
      <c r="J23" s="11"/>
      <c r="X23" s="5">
        <f t="shared" si="1"/>
        <v>0</v>
      </c>
      <c r="Y23" s="2">
        <f t="shared" si="2"/>
        <v>0</v>
      </c>
    </row>
    <row r="24" spans="2:25" x14ac:dyDescent="0.25">
      <c r="D24" s="12"/>
      <c r="E24" s="5"/>
      <c r="F24" s="19" t="str">
        <f t="shared" si="0"/>
        <v/>
      </c>
      <c r="G24" s="1"/>
      <c r="H24" s="1"/>
      <c r="I24" s="1"/>
      <c r="J24" s="11"/>
      <c r="X24" s="5">
        <f t="shared" si="1"/>
        <v>0</v>
      </c>
      <c r="Y24" s="2">
        <f t="shared" si="2"/>
        <v>0</v>
      </c>
    </row>
    <row r="25" spans="2:25" x14ac:dyDescent="0.25">
      <c r="D25" s="12"/>
      <c r="E25" s="5"/>
      <c r="F25" s="19" t="str">
        <f t="shared" si="0"/>
        <v/>
      </c>
      <c r="G25" s="1"/>
      <c r="H25" s="1"/>
      <c r="I25" s="1"/>
      <c r="J25" s="11"/>
      <c r="X25" s="5">
        <f t="shared" si="1"/>
        <v>0</v>
      </c>
      <c r="Y25" s="2">
        <f t="shared" si="2"/>
        <v>0</v>
      </c>
    </row>
    <row r="26" spans="2:25" x14ac:dyDescent="0.25">
      <c r="D26" s="12"/>
      <c r="E26" s="5"/>
      <c r="F26" s="19" t="str">
        <f t="shared" si="0"/>
        <v/>
      </c>
      <c r="G26" s="1"/>
      <c r="H26" s="1"/>
      <c r="I26" s="1"/>
      <c r="J26" s="11"/>
      <c r="X26" s="5">
        <f t="shared" si="1"/>
        <v>0</v>
      </c>
      <c r="Y26" s="2">
        <f t="shared" si="2"/>
        <v>0</v>
      </c>
    </row>
    <row r="27" spans="2:25" x14ac:dyDescent="0.25">
      <c r="D27" s="12"/>
      <c r="E27" s="5"/>
      <c r="F27" s="19" t="str">
        <f t="shared" si="0"/>
        <v/>
      </c>
      <c r="G27" s="1"/>
      <c r="H27" s="1"/>
      <c r="I27" s="1"/>
      <c r="J27" s="11"/>
      <c r="X27" s="5">
        <f t="shared" si="1"/>
        <v>0</v>
      </c>
      <c r="Y27" s="2">
        <f t="shared" si="2"/>
        <v>0</v>
      </c>
    </row>
    <row r="28" spans="2:25" x14ac:dyDescent="0.25">
      <c r="D28" s="12"/>
      <c r="E28" s="5"/>
      <c r="F28" s="19" t="str">
        <f t="shared" si="0"/>
        <v/>
      </c>
      <c r="G28" s="1"/>
      <c r="H28" s="1"/>
      <c r="I28" s="1"/>
      <c r="J28" s="11"/>
      <c r="X28" s="5">
        <f t="shared" si="1"/>
        <v>0</v>
      </c>
      <c r="Y28" s="2">
        <f t="shared" si="2"/>
        <v>0</v>
      </c>
    </row>
    <row r="29" spans="2:25" x14ac:dyDescent="0.25">
      <c r="D29" s="12"/>
      <c r="E29" s="5"/>
      <c r="F29" s="19" t="str">
        <f t="shared" si="0"/>
        <v/>
      </c>
      <c r="G29" s="1"/>
      <c r="H29" s="1"/>
      <c r="I29" s="1"/>
      <c r="J29" s="11"/>
      <c r="X29" s="5">
        <f t="shared" si="1"/>
        <v>0</v>
      </c>
      <c r="Y29" s="2">
        <f t="shared" si="2"/>
        <v>0</v>
      </c>
    </row>
    <row r="30" spans="2:25" x14ac:dyDescent="0.25">
      <c r="D30" s="12"/>
      <c r="E30" s="5"/>
      <c r="F30" s="19" t="str">
        <f t="shared" si="0"/>
        <v/>
      </c>
      <c r="G30" s="1"/>
      <c r="H30" s="1"/>
      <c r="I30" s="1"/>
      <c r="J30" s="11"/>
      <c r="X30" s="5">
        <f t="shared" si="1"/>
        <v>0</v>
      </c>
      <c r="Y30" s="2">
        <f t="shared" si="2"/>
        <v>0</v>
      </c>
    </row>
    <row r="31" spans="2:25" x14ac:dyDescent="0.25">
      <c r="D31" s="12"/>
      <c r="E31" s="5"/>
      <c r="F31" s="19" t="str">
        <f t="shared" si="0"/>
        <v/>
      </c>
      <c r="G31" s="1"/>
      <c r="H31" s="1"/>
      <c r="I31" s="1"/>
      <c r="J31" s="11"/>
      <c r="X31" s="5">
        <f t="shared" si="1"/>
        <v>0</v>
      </c>
      <c r="Y31" s="2">
        <f t="shared" si="2"/>
        <v>0</v>
      </c>
    </row>
    <row r="32" spans="2:25" x14ac:dyDescent="0.25">
      <c r="D32" s="12"/>
      <c r="E32" s="5"/>
      <c r="F32" s="19" t="str">
        <f t="shared" si="0"/>
        <v/>
      </c>
      <c r="G32" s="1"/>
      <c r="H32" s="1"/>
      <c r="I32" s="1"/>
      <c r="J32" s="11"/>
      <c r="X32" s="5">
        <f t="shared" si="1"/>
        <v>0</v>
      </c>
      <c r="Y32" s="2">
        <f t="shared" si="2"/>
        <v>0</v>
      </c>
    </row>
    <row r="33" spans="4:25" x14ac:dyDescent="0.25">
      <c r="D33" s="12"/>
      <c r="E33" s="5"/>
      <c r="F33" s="19" t="str">
        <f t="shared" si="0"/>
        <v/>
      </c>
      <c r="G33" s="1"/>
      <c r="H33" s="1"/>
      <c r="I33" s="1"/>
      <c r="J33" s="11"/>
      <c r="X33" s="5">
        <f t="shared" si="1"/>
        <v>0</v>
      </c>
      <c r="Y33" s="2">
        <f t="shared" si="2"/>
        <v>0</v>
      </c>
    </row>
    <row r="34" spans="4:25" x14ac:dyDescent="0.25">
      <c r="D34" s="12"/>
      <c r="E34" s="5"/>
      <c r="F34" s="19" t="str">
        <f t="shared" si="0"/>
        <v/>
      </c>
      <c r="G34" s="1"/>
      <c r="H34" s="1"/>
      <c r="I34" s="1"/>
      <c r="J34" s="11"/>
      <c r="X34" s="5">
        <f t="shared" si="1"/>
        <v>0</v>
      </c>
      <c r="Y34" s="2">
        <f t="shared" si="2"/>
        <v>0</v>
      </c>
    </row>
    <row r="35" spans="4:25" x14ac:dyDescent="0.25">
      <c r="D35" s="12"/>
      <c r="E35" s="5"/>
      <c r="F35" s="19" t="str">
        <f t="shared" si="0"/>
        <v/>
      </c>
      <c r="G35" s="1"/>
      <c r="H35" s="1"/>
      <c r="I35" s="1"/>
      <c r="J35" s="11"/>
      <c r="X35" s="5">
        <f t="shared" si="1"/>
        <v>0</v>
      </c>
      <c r="Y35" s="2">
        <f t="shared" si="2"/>
        <v>0</v>
      </c>
    </row>
    <row r="36" spans="4:25" x14ac:dyDescent="0.25">
      <c r="D36" s="12"/>
      <c r="E36" s="5"/>
      <c r="F36" s="19" t="str">
        <f t="shared" si="0"/>
        <v/>
      </c>
      <c r="G36" s="1"/>
      <c r="H36" s="1"/>
      <c r="I36" s="1"/>
      <c r="J36" s="11"/>
      <c r="X36" s="5">
        <f t="shared" si="1"/>
        <v>0</v>
      </c>
      <c r="Y36" s="2">
        <f t="shared" si="2"/>
        <v>0</v>
      </c>
    </row>
    <row r="37" spans="4:25" x14ac:dyDescent="0.25">
      <c r="D37" s="12"/>
      <c r="E37" s="5"/>
      <c r="F37" s="19" t="str">
        <f t="shared" si="0"/>
        <v/>
      </c>
      <c r="G37" s="1"/>
      <c r="H37" s="1"/>
      <c r="I37" s="1"/>
      <c r="J37" s="11"/>
      <c r="X37" s="5">
        <f t="shared" si="1"/>
        <v>0</v>
      </c>
      <c r="Y37" s="2">
        <f t="shared" si="2"/>
        <v>0</v>
      </c>
    </row>
    <row r="38" spans="4:25" x14ac:dyDescent="0.25">
      <c r="D38" s="12"/>
      <c r="E38" s="5"/>
      <c r="F38" s="19" t="str">
        <f t="shared" si="0"/>
        <v/>
      </c>
      <c r="G38" s="1"/>
      <c r="H38" s="1"/>
      <c r="I38" s="1"/>
      <c r="J38" s="11"/>
      <c r="X38" s="5">
        <f t="shared" si="1"/>
        <v>0</v>
      </c>
      <c r="Y38" s="2">
        <f t="shared" si="2"/>
        <v>0</v>
      </c>
    </row>
    <row r="39" spans="4:25" x14ac:dyDescent="0.25">
      <c r="D39" s="12"/>
      <c r="E39" s="5"/>
      <c r="F39" s="19" t="str">
        <f t="shared" si="0"/>
        <v/>
      </c>
      <c r="G39" s="1"/>
      <c r="H39" s="1"/>
      <c r="I39" s="1"/>
      <c r="J39" s="11"/>
      <c r="X39" s="5">
        <f t="shared" si="1"/>
        <v>0</v>
      </c>
      <c r="Y39" s="2">
        <f t="shared" si="2"/>
        <v>0</v>
      </c>
    </row>
    <row r="40" spans="4:25" x14ac:dyDescent="0.25">
      <c r="D40" s="12"/>
      <c r="E40" s="5"/>
      <c r="F40" s="19" t="str">
        <f t="shared" si="0"/>
        <v/>
      </c>
      <c r="G40" s="1"/>
      <c r="H40" s="1"/>
      <c r="I40" s="1"/>
      <c r="J40" s="11"/>
      <c r="X40" s="5">
        <f t="shared" si="1"/>
        <v>0</v>
      </c>
      <c r="Y40" s="2">
        <f t="shared" si="2"/>
        <v>0</v>
      </c>
    </row>
    <row r="41" spans="4:25" x14ac:dyDescent="0.25">
      <c r="D41" s="12"/>
      <c r="E41" s="5"/>
      <c r="F41" s="19" t="str">
        <f t="shared" si="0"/>
        <v/>
      </c>
      <c r="G41" s="1"/>
      <c r="H41" s="1"/>
      <c r="I41" s="1"/>
      <c r="J41" s="11"/>
      <c r="X41" s="5">
        <f t="shared" si="1"/>
        <v>0</v>
      </c>
      <c r="Y41" s="2">
        <f t="shared" si="2"/>
        <v>0</v>
      </c>
    </row>
    <row r="42" spans="4:25" x14ac:dyDescent="0.25">
      <c r="D42" s="12"/>
      <c r="E42" s="5"/>
      <c r="F42" s="19" t="str">
        <f t="shared" si="0"/>
        <v/>
      </c>
      <c r="G42" s="1"/>
      <c r="H42" s="1"/>
      <c r="I42" s="1"/>
      <c r="J42" s="11"/>
      <c r="X42" s="5">
        <f t="shared" si="1"/>
        <v>0</v>
      </c>
      <c r="Y42" s="2">
        <f t="shared" si="2"/>
        <v>0</v>
      </c>
    </row>
    <row r="43" spans="4:25" x14ac:dyDescent="0.25">
      <c r="D43" s="12"/>
      <c r="E43" s="5"/>
      <c r="F43" s="19" t="str">
        <f t="shared" si="0"/>
        <v/>
      </c>
      <c r="G43" s="1"/>
      <c r="H43" s="1"/>
      <c r="I43" s="1"/>
      <c r="J43" s="11"/>
      <c r="X43" s="5">
        <f t="shared" si="1"/>
        <v>0</v>
      </c>
      <c r="Y43" s="2">
        <f t="shared" si="2"/>
        <v>0</v>
      </c>
    </row>
    <row r="44" spans="4:25" x14ac:dyDescent="0.25">
      <c r="D44" s="12"/>
      <c r="E44" s="5"/>
      <c r="F44" s="19" t="str">
        <f t="shared" si="0"/>
        <v/>
      </c>
      <c r="G44" s="1"/>
      <c r="H44" s="1"/>
      <c r="I44" s="1"/>
      <c r="J44" s="11"/>
      <c r="X44" s="5">
        <f t="shared" si="1"/>
        <v>0</v>
      </c>
      <c r="Y44" s="2">
        <f t="shared" si="2"/>
        <v>0</v>
      </c>
    </row>
    <row r="45" spans="4:25" x14ac:dyDescent="0.25">
      <c r="D45" s="12"/>
      <c r="E45" s="5"/>
      <c r="F45" s="19" t="str">
        <f t="shared" si="0"/>
        <v/>
      </c>
      <c r="G45" s="1"/>
      <c r="H45" s="1"/>
      <c r="I45" s="1"/>
      <c r="J45" s="11"/>
      <c r="X45" s="5">
        <f t="shared" si="1"/>
        <v>0</v>
      </c>
      <c r="Y45" s="2">
        <f t="shared" si="2"/>
        <v>0</v>
      </c>
    </row>
    <row r="46" spans="4:25" x14ac:dyDescent="0.25">
      <c r="D46" s="12"/>
      <c r="E46" s="5"/>
      <c r="F46" s="19" t="str">
        <f t="shared" si="0"/>
        <v/>
      </c>
      <c r="G46" s="1"/>
      <c r="H46" s="1"/>
      <c r="I46" s="1"/>
      <c r="J46" s="11"/>
      <c r="X46" s="5">
        <f t="shared" si="1"/>
        <v>0</v>
      </c>
      <c r="Y46" s="2">
        <f t="shared" si="2"/>
        <v>0</v>
      </c>
    </row>
    <row r="47" spans="4:25" x14ac:dyDescent="0.25">
      <c r="D47" s="12"/>
      <c r="E47" s="5"/>
      <c r="F47" s="19" t="str">
        <f t="shared" si="0"/>
        <v/>
      </c>
      <c r="G47" s="1"/>
      <c r="H47" s="1"/>
      <c r="I47" s="1"/>
      <c r="J47" s="11"/>
      <c r="X47" s="5">
        <f t="shared" si="1"/>
        <v>0</v>
      </c>
      <c r="Y47" s="2">
        <f t="shared" si="2"/>
        <v>0</v>
      </c>
    </row>
    <row r="48" spans="4:25" x14ac:dyDescent="0.25">
      <c r="D48" s="12"/>
      <c r="E48" s="5"/>
      <c r="F48" s="19" t="str">
        <f t="shared" si="0"/>
        <v/>
      </c>
      <c r="G48" s="1"/>
      <c r="H48" s="1"/>
      <c r="I48" s="1"/>
      <c r="J48" s="11"/>
      <c r="X48" s="5">
        <f t="shared" si="1"/>
        <v>0</v>
      </c>
      <c r="Y48" s="2">
        <f t="shared" si="2"/>
        <v>0</v>
      </c>
    </row>
    <row r="49" spans="4:25" x14ac:dyDescent="0.25">
      <c r="D49" s="12"/>
      <c r="E49" s="5"/>
      <c r="F49" s="19" t="str">
        <f t="shared" si="0"/>
        <v/>
      </c>
      <c r="G49" s="1"/>
      <c r="H49" s="1"/>
      <c r="I49" s="1"/>
      <c r="J49" s="11"/>
      <c r="X49" s="5">
        <f t="shared" si="1"/>
        <v>0</v>
      </c>
      <c r="Y49" s="2">
        <f t="shared" si="2"/>
        <v>0</v>
      </c>
    </row>
    <row r="50" spans="4:25" x14ac:dyDescent="0.25">
      <c r="D50" s="12"/>
      <c r="E50" s="5"/>
      <c r="F50" s="19" t="str">
        <f t="shared" si="0"/>
        <v/>
      </c>
      <c r="G50" s="1"/>
      <c r="H50" s="1"/>
      <c r="I50" s="1"/>
      <c r="J50" s="11"/>
      <c r="X50" s="5">
        <f t="shared" si="1"/>
        <v>0</v>
      </c>
      <c r="Y50" s="2">
        <f t="shared" si="2"/>
        <v>0</v>
      </c>
    </row>
    <row r="51" spans="4:25" x14ac:dyDescent="0.25">
      <c r="D51" s="12"/>
      <c r="E51" s="5"/>
      <c r="F51" s="19" t="str">
        <f t="shared" si="0"/>
        <v/>
      </c>
      <c r="G51" s="1"/>
      <c r="H51" s="1"/>
      <c r="I51" s="1"/>
      <c r="J51" s="11"/>
      <c r="X51" s="5">
        <f t="shared" si="1"/>
        <v>0</v>
      </c>
      <c r="Y51" s="2">
        <f t="shared" si="2"/>
        <v>0</v>
      </c>
    </row>
    <row r="52" spans="4:25" x14ac:dyDescent="0.25">
      <c r="D52" s="12"/>
      <c r="E52" s="5"/>
      <c r="F52" s="19" t="str">
        <f t="shared" si="0"/>
        <v/>
      </c>
      <c r="G52" s="1"/>
      <c r="H52" s="1"/>
      <c r="I52" s="1"/>
      <c r="J52" s="9"/>
      <c r="X52" s="5">
        <f t="shared" si="1"/>
        <v>0</v>
      </c>
      <c r="Y52" s="2">
        <f t="shared" si="2"/>
        <v>0</v>
      </c>
    </row>
    <row r="53" spans="4:25" x14ac:dyDescent="0.25">
      <c r="D53" s="1" t="s">
        <v>25</v>
      </c>
      <c r="E53" s="23"/>
      <c r="F53" s="2"/>
      <c r="G53" s="2">
        <f>SUM(G3:G52)</f>
        <v>11.35</v>
      </c>
      <c r="H53" s="2">
        <f t="shared" ref="H53:I53" si="3">SUM(H3:H52)</f>
        <v>0.72</v>
      </c>
      <c r="I53" s="2">
        <f t="shared" si="3"/>
        <v>0.04</v>
      </c>
    </row>
  </sheetData>
  <mergeCells count="4">
    <mergeCell ref="D1:F1"/>
    <mergeCell ref="G1:I1"/>
    <mergeCell ref="K1:Q1"/>
    <mergeCell ref="X1:Z1"/>
  </mergeCells>
  <conditionalFormatting sqref="A1:B1">
    <cfRule type="expression" dxfId="15" priority="1">
      <formula>$Z$3="+"</formula>
    </cfRule>
    <cfRule type="expression" dxfId="14" priority="2">
      <formula>$B$16=$K$3</formula>
    </cfRule>
  </conditionalFormatting>
  <conditionalFormatting sqref="P3">
    <cfRule type="expression" dxfId="13" priority="6">
      <formula>$Z$3="+"</formula>
    </cfRule>
  </conditionalFormatting>
  <conditionalFormatting sqref="Z3">
    <cfRule type="expression" dxfId="12" priority="7">
      <formula>$Z$3="+"</formula>
    </cfRule>
  </conditionalFormatting>
  <pageMargins left="0.7" right="0.7" top="0.75" bottom="0.75" header="0.3" footer="0.3"/>
  <pageSetup orientation="portrait" r:id="rId1"/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7F416-C53B-4782-B138-160AFF9CA6BD}">
  <sheetPr>
    <tabColor rgb="FF92D050"/>
  </sheetPr>
  <dimension ref="A1:Z53"/>
  <sheetViews>
    <sheetView workbookViewId="0"/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1" customWidth="1"/>
    <col min="25" max="25" width="10.7109375" style="11" customWidth="1"/>
    <col min="26" max="26" width="10.7109375" customWidth="1"/>
  </cols>
  <sheetData>
    <row r="1" spans="1:26" x14ac:dyDescent="0.25">
      <c r="A1" s="4" t="s">
        <v>66</v>
      </c>
      <c r="B1" s="5" t="s">
        <v>18</v>
      </c>
      <c r="D1" s="29" t="s">
        <v>2</v>
      </c>
      <c r="E1" s="30"/>
      <c r="F1" s="31"/>
      <c r="G1" s="29" t="s">
        <v>0</v>
      </c>
      <c r="H1" s="30"/>
      <c r="I1" s="31"/>
      <c r="J1" s="18"/>
      <c r="K1" s="29" t="s">
        <v>58</v>
      </c>
      <c r="L1" s="30"/>
      <c r="M1" s="30"/>
      <c r="N1" s="30"/>
      <c r="O1" s="30"/>
      <c r="P1" s="30"/>
      <c r="Q1" s="31"/>
      <c r="X1" s="29"/>
      <c r="Y1" s="30"/>
      <c r="Z1" s="31"/>
    </row>
    <row r="2" spans="1:26" x14ac:dyDescent="0.25">
      <c r="A2" s="4" t="s">
        <v>21</v>
      </c>
      <c r="B2" s="5" t="s">
        <v>23</v>
      </c>
      <c r="D2" s="10" t="s">
        <v>49</v>
      </c>
      <c r="E2" s="10" t="s">
        <v>50</v>
      </c>
      <c r="F2" s="17" t="s">
        <v>67</v>
      </c>
      <c r="G2" s="10" t="s">
        <v>15</v>
      </c>
      <c r="H2" s="10" t="s">
        <v>16</v>
      </c>
      <c r="I2" s="10" t="s">
        <v>60</v>
      </c>
      <c r="J2" s="9"/>
      <c r="K2" s="10" t="s">
        <v>0</v>
      </c>
      <c r="L2" s="10" t="s">
        <v>1</v>
      </c>
      <c r="M2" s="10" t="s">
        <v>56</v>
      </c>
      <c r="N2" s="10" t="s">
        <v>57</v>
      </c>
      <c r="O2" s="10" t="s">
        <v>2</v>
      </c>
      <c r="P2" s="10" t="s">
        <v>68</v>
      </c>
      <c r="Q2" s="10" t="s">
        <v>67</v>
      </c>
      <c r="X2" s="10" t="s">
        <v>2</v>
      </c>
      <c r="Y2" s="10" t="s">
        <v>59</v>
      </c>
      <c r="Z2" s="10" t="s">
        <v>68</v>
      </c>
    </row>
    <row r="3" spans="1:26" x14ac:dyDescent="0.25">
      <c r="A3" s="4" t="s">
        <v>69</v>
      </c>
      <c r="B3" s="5" t="s">
        <v>78</v>
      </c>
      <c r="D3" s="12">
        <v>45961</v>
      </c>
      <c r="E3" s="12">
        <v>45961</v>
      </c>
      <c r="F3" s="19">
        <f t="shared" ref="F3:F52" si="0">IF(E3&gt;0,E3-D3,"")</f>
        <v>0</v>
      </c>
      <c r="G3" s="2">
        <v>0</v>
      </c>
      <c r="H3" s="1">
        <v>0.12</v>
      </c>
      <c r="I3" s="2">
        <v>0</v>
      </c>
      <c r="J3" s="11"/>
      <c r="K3" s="2">
        <f>G53</f>
        <v>13.66</v>
      </c>
      <c r="L3" s="2">
        <f>H53</f>
        <v>1.23</v>
      </c>
      <c r="M3" s="2">
        <f>I53</f>
        <v>6.0000000000000005E-2</v>
      </c>
      <c r="N3" s="6">
        <f>IF(B16=K3,XIRR(Y3:Y52,X3:X52),"")</f>
        <v>0.12540492415428164</v>
      </c>
      <c r="O3" s="5">
        <f>IF(B16=K3,MAX(E:E),"")</f>
        <v>46234</v>
      </c>
      <c r="P3" s="1" t="str">
        <f ca="1">IF(Z3="+",TODAY()-B11,"")</f>
        <v/>
      </c>
      <c r="Q3" s="1">
        <f>IF(B16=K3,MAX(E:E)-B11,"")</f>
        <v>38</v>
      </c>
      <c r="T3" s="14"/>
      <c r="X3" s="5">
        <f>B9</f>
        <v>45934</v>
      </c>
      <c r="Y3" s="2">
        <f>B16*-1</f>
        <v>-13.66</v>
      </c>
      <c r="Z3" s="1" t="str">
        <f ca="1">IF(AND(TODAY()&gt;B11, K3&lt;&gt;B16), "+", "")</f>
        <v/>
      </c>
    </row>
    <row r="4" spans="1:26" x14ac:dyDescent="0.25">
      <c r="A4" s="4" t="s">
        <v>19</v>
      </c>
      <c r="B4" s="5" t="s">
        <v>20</v>
      </c>
      <c r="D4" s="12">
        <v>45991</v>
      </c>
      <c r="E4" s="12">
        <v>45991</v>
      </c>
      <c r="F4" s="19">
        <f t="shared" si="0"/>
        <v>0</v>
      </c>
      <c r="G4" s="2">
        <v>0</v>
      </c>
      <c r="H4" s="1">
        <v>0.14000000000000001</v>
      </c>
      <c r="I4" s="2">
        <v>0.01</v>
      </c>
      <c r="J4" s="9"/>
      <c r="X4" s="5">
        <f>E3</f>
        <v>45961</v>
      </c>
      <c r="Y4" s="2">
        <f>G3+H3-I3</f>
        <v>0.12</v>
      </c>
    </row>
    <row r="5" spans="1:26" x14ac:dyDescent="0.25">
      <c r="A5" s="4"/>
      <c r="B5" s="5"/>
      <c r="D5" s="12">
        <v>46022</v>
      </c>
      <c r="E5" s="12">
        <v>46022</v>
      </c>
      <c r="F5" s="19">
        <f t="shared" si="0"/>
        <v>0</v>
      </c>
      <c r="G5" s="2">
        <v>0</v>
      </c>
      <c r="H5" s="1">
        <v>0.14000000000000001</v>
      </c>
      <c r="I5" s="2">
        <v>0.01</v>
      </c>
      <c r="J5" s="9"/>
      <c r="X5" s="5">
        <f t="shared" ref="X5:X52" si="1">E4</f>
        <v>45991</v>
      </c>
      <c r="Y5" s="2">
        <f t="shared" ref="Y5:Y52" si="2">G4+H4-I4</f>
        <v>0.13</v>
      </c>
    </row>
    <row r="6" spans="1:26" x14ac:dyDescent="0.25">
      <c r="A6" s="4"/>
      <c r="B6" s="5"/>
      <c r="D6" s="12">
        <v>46053</v>
      </c>
      <c r="E6" s="12">
        <v>46053</v>
      </c>
      <c r="F6" s="19">
        <f t="shared" si="0"/>
        <v>0</v>
      </c>
      <c r="G6" s="2">
        <v>0</v>
      </c>
      <c r="H6" s="1">
        <v>0.09</v>
      </c>
      <c r="I6" s="2">
        <v>0</v>
      </c>
      <c r="J6" s="9"/>
      <c r="X6" s="5">
        <f t="shared" si="1"/>
        <v>46022</v>
      </c>
      <c r="Y6" s="2">
        <f t="shared" si="2"/>
        <v>0.13</v>
      </c>
    </row>
    <row r="7" spans="1:26" x14ac:dyDescent="0.25">
      <c r="A7" s="4"/>
      <c r="B7" s="5"/>
      <c r="D7" s="12">
        <v>46081</v>
      </c>
      <c r="E7" s="12">
        <v>46081</v>
      </c>
      <c r="F7" s="19">
        <f t="shared" si="0"/>
        <v>0</v>
      </c>
      <c r="G7" s="2">
        <v>0</v>
      </c>
      <c r="H7" s="1">
        <v>0.09</v>
      </c>
      <c r="I7" s="2">
        <v>0</v>
      </c>
      <c r="J7" s="11"/>
      <c r="X7" s="5">
        <f t="shared" si="1"/>
        <v>46053</v>
      </c>
      <c r="Y7" s="2">
        <f t="shared" si="2"/>
        <v>0.09</v>
      </c>
    </row>
    <row r="8" spans="1:26" x14ac:dyDescent="0.25">
      <c r="A8" s="4" t="s">
        <v>24</v>
      </c>
      <c r="B8" s="5" t="str">
        <f>DATEDIF(B9,B11,"y") &amp; " m. " &amp; DATEDIF(B9,B11,"ym") &amp; " mėn. " &amp; DATEDIF(B9,B11,"md") &amp; " d."</f>
        <v>0 m. 8 mėn. 19 d.</v>
      </c>
      <c r="D8" s="12">
        <v>46112</v>
      </c>
      <c r="E8" s="12">
        <v>46112</v>
      </c>
      <c r="F8" s="19">
        <f t="shared" si="0"/>
        <v>0</v>
      </c>
      <c r="G8" s="2">
        <v>0</v>
      </c>
      <c r="H8" s="1">
        <v>0.13</v>
      </c>
      <c r="I8" s="2">
        <v>0.01</v>
      </c>
      <c r="J8" s="9"/>
      <c r="X8" s="5">
        <f t="shared" si="1"/>
        <v>46081</v>
      </c>
      <c r="Y8" s="2">
        <f t="shared" si="2"/>
        <v>0.09</v>
      </c>
    </row>
    <row r="9" spans="1:26" x14ac:dyDescent="0.25">
      <c r="A9" s="4" t="s">
        <v>11</v>
      </c>
      <c r="B9" s="5">
        <v>45934</v>
      </c>
      <c r="D9" s="12">
        <v>46142</v>
      </c>
      <c r="E9" s="12">
        <v>46142</v>
      </c>
      <c r="F9" s="19">
        <f t="shared" si="0"/>
        <v>0</v>
      </c>
      <c r="G9" s="2">
        <v>0</v>
      </c>
      <c r="H9" s="1">
        <v>0.14000000000000001</v>
      </c>
      <c r="I9" s="2">
        <v>0.01</v>
      </c>
      <c r="J9" s="11"/>
      <c r="X9" s="5">
        <f t="shared" si="1"/>
        <v>46112</v>
      </c>
      <c r="Y9" s="2">
        <f t="shared" si="2"/>
        <v>0.12000000000000001</v>
      </c>
    </row>
    <row r="10" spans="1:26" x14ac:dyDescent="0.25">
      <c r="A10" s="4" t="s">
        <v>70</v>
      </c>
      <c r="B10" s="5">
        <v>45925</v>
      </c>
      <c r="D10" s="12">
        <v>46173</v>
      </c>
      <c r="E10" s="12">
        <v>46173</v>
      </c>
      <c r="F10" s="19">
        <f t="shared" si="0"/>
        <v>0</v>
      </c>
      <c r="G10" s="2">
        <v>0</v>
      </c>
      <c r="H10" s="1">
        <v>0.14000000000000001</v>
      </c>
      <c r="I10" s="2">
        <v>0.01</v>
      </c>
      <c r="J10" s="11"/>
      <c r="X10" s="5">
        <f t="shared" si="1"/>
        <v>46142</v>
      </c>
      <c r="Y10" s="2">
        <f t="shared" si="2"/>
        <v>0.13</v>
      </c>
    </row>
    <row r="11" spans="1:26" x14ac:dyDescent="0.25">
      <c r="A11" s="4" t="s">
        <v>10</v>
      </c>
      <c r="B11" s="5">
        <v>46196</v>
      </c>
      <c r="D11" s="12">
        <v>46196</v>
      </c>
      <c r="E11" s="12">
        <v>46196</v>
      </c>
      <c r="F11" s="19">
        <f t="shared" si="0"/>
        <v>0</v>
      </c>
      <c r="G11" s="1">
        <v>13.66</v>
      </c>
      <c r="H11" s="2">
        <v>0.14000000000000001</v>
      </c>
      <c r="I11" s="2">
        <v>0.01</v>
      </c>
      <c r="J11" s="11"/>
      <c r="X11" s="5">
        <f t="shared" si="1"/>
        <v>46173</v>
      </c>
      <c r="Y11" s="2">
        <f t="shared" si="2"/>
        <v>0.13</v>
      </c>
    </row>
    <row r="12" spans="1:26" x14ac:dyDescent="0.25">
      <c r="A12" s="4" t="s">
        <v>71</v>
      </c>
      <c r="B12" s="19" t="str">
        <f ca="1">IF(B16&lt;&gt;K3,(TODAY()-B11)*-1,"")</f>
        <v/>
      </c>
      <c r="D12" s="12">
        <v>46234</v>
      </c>
      <c r="E12" s="12">
        <v>46234</v>
      </c>
      <c r="F12" s="19">
        <f t="shared" si="0"/>
        <v>0</v>
      </c>
      <c r="G12" s="2">
        <v>0</v>
      </c>
      <c r="H12" s="2">
        <v>0.1</v>
      </c>
      <c r="I12" s="2">
        <v>0</v>
      </c>
      <c r="J12" s="11"/>
      <c r="X12" s="5">
        <f t="shared" si="1"/>
        <v>46196</v>
      </c>
      <c r="Y12" s="2">
        <f t="shared" si="2"/>
        <v>13.790000000000001</v>
      </c>
    </row>
    <row r="13" spans="1:26" x14ac:dyDescent="0.25">
      <c r="A13" s="4"/>
      <c r="B13" s="2"/>
      <c r="D13" s="12"/>
      <c r="E13" s="12"/>
      <c r="F13" s="19" t="str">
        <f t="shared" si="0"/>
        <v/>
      </c>
      <c r="G13" s="1"/>
      <c r="H13" s="2"/>
      <c r="I13" s="2"/>
      <c r="J13" s="11"/>
      <c r="N13" s="14"/>
      <c r="X13" s="5">
        <f t="shared" si="1"/>
        <v>46234</v>
      </c>
      <c r="Y13" s="2">
        <f t="shared" si="2"/>
        <v>0.1</v>
      </c>
    </row>
    <row r="14" spans="1:26" x14ac:dyDescent="0.25">
      <c r="A14" s="13"/>
      <c r="B14" s="20"/>
      <c r="D14" s="12"/>
      <c r="E14" s="5"/>
      <c r="F14" s="19" t="str">
        <f t="shared" si="0"/>
        <v/>
      </c>
      <c r="G14" s="1"/>
      <c r="H14" s="1"/>
      <c r="I14" s="1"/>
      <c r="J14" s="11"/>
      <c r="X14" s="5">
        <f t="shared" si="1"/>
        <v>0</v>
      </c>
      <c r="Y14" s="2">
        <f t="shared" si="2"/>
        <v>0</v>
      </c>
    </row>
    <row r="15" spans="1:26" x14ac:dyDescent="0.25">
      <c r="A15" s="4" t="s">
        <v>1</v>
      </c>
      <c r="B15" s="6">
        <v>0.12</v>
      </c>
      <c r="D15" s="12"/>
      <c r="E15" s="5"/>
      <c r="F15" s="19" t="str">
        <f t="shared" si="0"/>
        <v/>
      </c>
      <c r="G15" s="1"/>
      <c r="H15" s="1"/>
      <c r="I15" s="1"/>
      <c r="J15" s="11"/>
      <c r="K15" s="18"/>
      <c r="L15" s="18"/>
      <c r="M15" s="18"/>
      <c r="N15" s="18"/>
      <c r="O15" s="18"/>
      <c r="P15" s="18"/>
      <c r="Q15" s="18"/>
      <c r="X15" s="5">
        <f t="shared" si="1"/>
        <v>0</v>
      </c>
      <c r="Y15" s="2">
        <f t="shared" si="2"/>
        <v>0</v>
      </c>
    </row>
    <row r="16" spans="1:26" x14ac:dyDescent="0.25">
      <c r="A16" s="4" t="s">
        <v>72</v>
      </c>
      <c r="B16" s="2">
        <v>13.66</v>
      </c>
      <c r="D16" s="12"/>
      <c r="E16" s="5"/>
      <c r="F16" s="19" t="str">
        <f t="shared" si="0"/>
        <v/>
      </c>
      <c r="G16" s="1"/>
      <c r="H16" s="1"/>
      <c r="I16" s="1"/>
      <c r="J16" s="11"/>
      <c r="K16" s="9"/>
      <c r="L16" s="9"/>
      <c r="M16" s="9"/>
      <c r="N16" s="21"/>
      <c r="O16" s="22"/>
      <c r="P16" s="11"/>
      <c r="Q16" s="11"/>
      <c r="X16" s="5">
        <f t="shared" si="1"/>
        <v>0</v>
      </c>
      <c r="Y16" s="2">
        <f t="shared" si="2"/>
        <v>0</v>
      </c>
    </row>
    <row r="17" spans="2:25" x14ac:dyDescent="0.25">
      <c r="D17" s="12"/>
      <c r="E17" s="5"/>
      <c r="F17" s="19" t="str">
        <f t="shared" si="0"/>
        <v/>
      </c>
      <c r="G17" s="1"/>
      <c r="H17" s="1"/>
      <c r="I17" s="1"/>
      <c r="J17" s="11"/>
      <c r="X17" s="5">
        <f t="shared" si="1"/>
        <v>0</v>
      </c>
      <c r="Y17" s="2">
        <f t="shared" si="2"/>
        <v>0</v>
      </c>
    </row>
    <row r="18" spans="2:25" x14ac:dyDescent="0.25">
      <c r="D18" s="12"/>
      <c r="E18" s="5"/>
      <c r="F18" s="19" t="str">
        <f t="shared" si="0"/>
        <v/>
      </c>
      <c r="G18" s="1"/>
      <c r="H18" s="1"/>
      <c r="I18" s="1"/>
      <c r="J18" s="11"/>
      <c r="X18" s="5">
        <f t="shared" si="1"/>
        <v>0</v>
      </c>
      <c r="Y18" s="2">
        <f t="shared" si="2"/>
        <v>0</v>
      </c>
    </row>
    <row r="19" spans="2:25" x14ac:dyDescent="0.25">
      <c r="D19" s="12"/>
      <c r="E19" s="5"/>
      <c r="F19" s="19" t="str">
        <f t="shared" si="0"/>
        <v/>
      </c>
      <c r="G19" s="1"/>
      <c r="H19" s="1"/>
      <c r="I19" s="1"/>
      <c r="J19" s="11"/>
      <c r="X19" s="5">
        <f t="shared" si="1"/>
        <v>0</v>
      </c>
      <c r="Y19" s="2">
        <f t="shared" si="2"/>
        <v>0</v>
      </c>
    </row>
    <row r="20" spans="2:25" x14ac:dyDescent="0.25">
      <c r="D20" s="12"/>
      <c r="E20" s="5"/>
      <c r="F20" s="19" t="str">
        <f t="shared" si="0"/>
        <v/>
      </c>
      <c r="G20" s="1"/>
      <c r="H20" s="1"/>
      <c r="I20" s="1"/>
      <c r="J20" s="11"/>
      <c r="X20" s="5">
        <f t="shared" si="1"/>
        <v>0</v>
      </c>
      <c r="Y20" s="2">
        <f t="shared" si="2"/>
        <v>0</v>
      </c>
    </row>
    <row r="21" spans="2:25" x14ac:dyDescent="0.25">
      <c r="D21" s="12"/>
      <c r="E21" s="5"/>
      <c r="F21" s="19" t="str">
        <f t="shared" si="0"/>
        <v/>
      </c>
      <c r="G21" s="1"/>
      <c r="H21" s="1"/>
      <c r="I21" s="1"/>
      <c r="J21" s="11"/>
      <c r="X21" s="5">
        <f t="shared" si="1"/>
        <v>0</v>
      </c>
      <c r="Y21" s="2">
        <f t="shared" si="2"/>
        <v>0</v>
      </c>
    </row>
    <row r="22" spans="2:25" x14ac:dyDescent="0.25">
      <c r="D22" s="12"/>
      <c r="E22" s="5"/>
      <c r="F22" s="19" t="str">
        <f t="shared" si="0"/>
        <v/>
      </c>
      <c r="G22" s="1"/>
      <c r="H22" s="1"/>
      <c r="I22" s="1"/>
      <c r="J22" s="11"/>
      <c r="X22" s="5">
        <f t="shared" si="1"/>
        <v>0</v>
      </c>
      <c r="Y22" s="2">
        <f t="shared" si="2"/>
        <v>0</v>
      </c>
    </row>
    <row r="23" spans="2:25" x14ac:dyDescent="0.25">
      <c r="B23" s="22"/>
      <c r="D23" s="12"/>
      <c r="E23" s="5"/>
      <c r="F23" s="19" t="str">
        <f t="shared" si="0"/>
        <v/>
      </c>
      <c r="G23" s="1"/>
      <c r="H23" s="1"/>
      <c r="I23" s="1"/>
      <c r="J23" s="11"/>
      <c r="X23" s="5">
        <f t="shared" si="1"/>
        <v>0</v>
      </c>
      <c r="Y23" s="2">
        <f t="shared" si="2"/>
        <v>0</v>
      </c>
    </row>
    <row r="24" spans="2:25" x14ac:dyDescent="0.25">
      <c r="D24" s="12"/>
      <c r="E24" s="5"/>
      <c r="F24" s="19" t="str">
        <f t="shared" si="0"/>
        <v/>
      </c>
      <c r="G24" s="1"/>
      <c r="H24" s="1"/>
      <c r="I24" s="1"/>
      <c r="J24" s="11"/>
      <c r="X24" s="5">
        <f t="shared" si="1"/>
        <v>0</v>
      </c>
      <c r="Y24" s="2">
        <f t="shared" si="2"/>
        <v>0</v>
      </c>
    </row>
    <row r="25" spans="2:25" x14ac:dyDescent="0.25">
      <c r="D25" s="12"/>
      <c r="E25" s="5"/>
      <c r="F25" s="19" t="str">
        <f t="shared" si="0"/>
        <v/>
      </c>
      <c r="G25" s="1"/>
      <c r="H25" s="1"/>
      <c r="I25" s="1"/>
      <c r="J25" s="11"/>
      <c r="X25" s="5">
        <f t="shared" si="1"/>
        <v>0</v>
      </c>
      <c r="Y25" s="2">
        <f t="shared" si="2"/>
        <v>0</v>
      </c>
    </row>
    <row r="26" spans="2:25" x14ac:dyDescent="0.25">
      <c r="D26" s="12"/>
      <c r="E26" s="5"/>
      <c r="F26" s="19" t="str">
        <f t="shared" si="0"/>
        <v/>
      </c>
      <c r="G26" s="1"/>
      <c r="H26" s="1"/>
      <c r="I26" s="1"/>
      <c r="J26" s="11"/>
      <c r="X26" s="5">
        <f t="shared" si="1"/>
        <v>0</v>
      </c>
      <c r="Y26" s="2">
        <f t="shared" si="2"/>
        <v>0</v>
      </c>
    </row>
    <row r="27" spans="2:25" x14ac:dyDescent="0.25">
      <c r="D27" s="12"/>
      <c r="E27" s="5"/>
      <c r="F27" s="19" t="str">
        <f t="shared" si="0"/>
        <v/>
      </c>
      <c r="G27" s="1"/>
      <c r="H27" s="1"/>
      <c r="I27" s="1"/>
      <c r="J27" s="11"/>
      <c r="X27" s="5">
        <f t="shared" si="1"/>
        <v>0</v>
      </c>
      <c r="Y27" s="2">
        <f t="shared" si="2"/>
        <v>0</v>
      </c>
    </row>
    <row r="28" spans="2:25" x14ac:dyDescent="0.25">
      <c r="D28" s="12"/>
      <c r="E28" s="5"/>
      <c r="F28" s="19" t="str">
        <f t="shared" si="0"/>
        <v/>
      </c>
      <c r="G28" s="1"/>
      <c r="H28" s="1"/>
      <c r="I28" s="1"/>
      <c r="J28" s="11"/>
      <c r="X28" s="5">
        <f t="shared" si="1"/>
        <v>0</v>
      </c>
      <c r="Y28" s="2">
        <f t="shared" si="2"/>
        <v>0</v>
      </c>
    </row>
    <row r="29" spans="2:25" x14ac:dyDescent="0.25">
      <c r="D29" s="12"/>
      <c r="E29" s="5"/>
      <c r="F29" s="19" t="str">
        <f t="shared" si="0"/>
        <v/>
      </c>
      <c r="G29" s="1"/>
      <c r="H29" s="1"/>
      <c r="I29" s="1"/>
      <c r="J29" s="11"/>
      <c r="X29" s="5">
        <f t="shared" si="1"/>
        <v>0</v>
      </c>
      <c r="Y29" s="2">
        <f t="shared" si="2"/>
        <v>0</v>
      </c>
    </row>
    <row r="30" spans="2:25" x14ac:dyDescent="0.25">
      <c r="D30" s="12"/>
      <c r="E30" s="5"/>
      <c r="F30" s="19" t="str">
        <f t="shared" si="0"/>
        <v/>
      </c>
      <c r="G30" s="1"/>
      <c r="H30" s="1"/>
      <c r="I30" s="1"/>
      <c r="J30" s="11"/>
      <c r="X30" s="5">
        <f t="shared" si="1"/>
        <v>0</v>
      </c>
      <c r="Y30" s="2">
        <f t="shared" si="2"/>
        <v>0</v>
      </c>
    </row>
    <row r="31" spans="2:25" x14ac:dyDescent="0.25">
      <c r="D31" s="12"/>
      <c r="E31" s="5"/>
      <c r="F31" s="19" t="str">
        <f t="shared" si="0"/>
        <v/>
      </c>
      <c r="G31" s="1"/>
      <c r="H31" s="1"/>
      <c r="I31" s="1"/>
      <c r="J31" s="11"/>
      <c r="X31" s="5">
        <f t="shared" si="1"/>
        <v>0</v>
      </c>
      <c r="Y31" s="2">
        <f t="shared" si="2"/>
        <v>0</v>
      </c>
    </row>
    <row r="32" spans="2:25" x14ac:dyDescent="0.25">
      <c r="D32" s="12"/>
      <c r="E32" s="5"/>
      <c r="F32" s="19" t="str">
        <f t="shared" si="0"/>
        <v/>
      </c>
      <c r="G32" s="1"/>
      <c r="H32" s="1"/>
      <c r="I32" s="1"/>
      <c r="J32" s="11"/>
      <c r="X32" s="5">
        <f t="shared" si="1"/>
        <v>0</v>
      </c>
      <c r="Y32" s="2">
        <f t="shared" si="2"/>
        <v>0</v>
      </c>
    </row>
    <row r="33" spans="4:25" x14ac:dyDescent="0.25">
      <c r="D33" s="12"/>
      <c r="E33" s="5"/>
      <c r="F33" s="19" t="str">
        <f t="shared" si="0"/>
        <v/>
      </c>
      <c r="G33" s="1"/>
      <c r="H33" s="1"/>
      <c r="I33" s="1"/>
      <c r="J33" s="11"/>
      <c r="X33" s="5">
        <f t="shared" si="1"/>
        <v>0</v>
      </c>
      <c r="Y33" s="2">
        <f t="shared" si="2"/>
        <v>0</v>
      </c>
    </row>
    <row r="34" spans="4:25" x14ac:dyDescent="0.25">
      <c r="D34" s="12"/>
      <c r="E34" s="5"/>
      <c r="F34" s="19" t="str">
        <f t="shared" si="0"/>
        <v/>
      </c>
      <c r="G34" s="1"/>
      <c r="H34" s="1"/>
      <c r="I34" s="1"/>
      <c r="J34" s="11"/>
      <c r="X34" s="5">
        <f t="shared" si="1"/>
        <v>0</v>
      </c>
      <c r="Y34" s="2">
        <f t="shared" si="2"/>
        <v>0</v>
      </c>
    </row>
    <row r="35" spans="4:25" x14ac:dyDescent="0.25">
      <c r="D35" s="12"/>
      <c r="E35" s="5"/>
      <c r="F35" s="19" t="str">
        <f t="shared" si="0"/>
        <v/>
      </c>
      <c r="G35" s="1"/>
      <c r="H35" s="1"/>
      <c r="I35" s="1"/>
      <c r="J35" s="11"/>
      <c r="X35" s="5">
        <f t="shared" si="1"/>
        <v>0</v>
      </c>
      <c r="Y35" s="2">
        <f t="shared" si="2"/>
        <v>0</v>
      </c>
    </row>
    <row r="36" spans="4:25" x14ac:dyDescent="0.25">
      <c r="D36" s="12"/>
      <c r="E36" s="5"/>
      <c r="F36" s="19" t="str">
        <f t="shared" si="0"/>
        <v/>
      </c>
      <c r="G36" s="1"/>
      <c r="H36" s="1"/>
      <c r="I36" s="1"/>
      <c r="J36" s="11"/>
      <c r="X36" s="5">
        <f t="shared" si="1"/>
        <v>0</v>
      </c>
      <c r="Y36" s="2">
        <f t="shared" si="2"/>
        <v>0</v>
      </c>
    </row>
    <row r="37" spans="4:25" x14ac:dyDescent="0.25">
      <c r="D37" s="12"/>
      <c r="E37" s="5"/>
      <c r="F37" s="19" t="str">
        <f t="shared" si="0"/>
        <v/>
      </c>
      <c r="G37" s="1"/>
      <c r="H37" s="1"/>
      <c r="I37" s="1"/>
      <c r="J37" s="11"/>
      <c r="X37" s="5">
        <f t="shared" si="1"/>
        <v>0</v>
      </c>
      <c r="Y37" s="2">
        <f t="shared" si="2"/>
        <v>0</v>
      </c>
    </row>
    <row r="38" spans="4:25" x14ac:dyDescent="0.25">
      <c r="D38" s="12"/>
      <c r="E38" s="5"/>
      <c r="F38" s="19" t="str">
        <f t="shared" si="0"/>
        <v/>
      </c>
      <c r="G38" s="1"/>
      <c r="H38" s="1"/>
      <c r="I38" s="1"/>
      <c r="J38" s="11"/>
      <c r="X38" s="5">
        <f t="shared" si="1"/>
        <v>0</v>
      </c>
      <c r="Y38" s="2">
        <f t="shared" si="2"/>
        <v>0</v>
      </c>
    </row>
    <row r="39" spans="4:25" x14ac:dyDescent="0.25">
      <c r="D39" s="12"/>
      <c r="E39" s="5"/>
      <c r="F39" s="19" t="str">
        <f t="shared" si="0"/>
        <v/>
      </c>
      <c r="G39" s="1"/>
      <c r="H39" s="1"/>
      <c r="I39" s="1"/>
      <c r="J39" s="11"/>
      <c r="X39" s="5">
        <f t="shared" si="1"/>
        <v>0</v>
      </c>
      <c r="Y39" s="2">
        <f t="shared" si="2"/>
        <v>0</v>
      </c>
    </row>
    <row r="40" spans="4:25" x14ac:dyDescent="0.25">
      <c r="D40" s="12"/>
      <c r="E40" s="5"/>
      <c r="F40" s="19" t="str">
        <f t="shared" si="0"/>
        <v/>
      </c>
      <c r="G40" s="1"/>
      <c r="H40" s="1"/>
      <c r="I40" s="1"/>
      <c r="J40" s="11"/>
      <c r="X40" s="5">
        <f t="shared" si="1"/>
        <v>0</v>
      </c>
      <c r="Y40" s="2">
        <f t="shared" si="2"/>
        <v>0</v>
      </c>
    </row>
    <row r="41" spans="4:25" x14ac:dyDescent="0.25">
      <c r="D41" s="12"/>
      <c r="E41" s="5"/>
      <c r="F41" s="19" t="str">
        <f t="shared" si="0"/>
        <v/>
      </c>
      <c r="G41" s="1"/>
      <c r="H41" s="1"/>
      <c r="I41" s="1"/>
      <c r="J41" s="11"/>
      <c r="X41" s="5">
        <f t="shared" si="1"/>
        <v>0</v>
      </c>
      <c r="Y41" s="2">
        <f t="shared" si="2"/>
        <v>0</v>
      </c>
    </row>
    <row r="42" spans="4:25" x14ac:dyDescent="0.25">
      <c r="D42" s="12"/>
      <c r="E42" s="5"/>
      <c r="F42" s="19" t="str">
        <f t="shared" si="0"/>
        <v/>
      </c>
      <c r="G42" s="1"/>
      <c r="H42" s="1"/>
      <c r="I42" s="1"/>
      <c r="J42" s="11"/>
      <c r="X42" s="5">
        <f t="shared" si="1"/>
        <v>0</v>
      </c>
      <c r="Y42" s="2">
        <f t="shared" si="2"/>
        <v>0</v>
      </c>
    </row>
    <row r="43" spans="4:25" x14ac:dyDescent="0.25">
      <c r="D43" s="12"/>
      <c r="E43" s="5"/>
      <c r="F43" s="19" t="str">
        <f t="shared" si="0"/>
        <v/>
      </c>
      <c r="G43" s="1"/>
      <c r="H43" s="1"/>
      <c r="I43" s="1"/>
      <c r="J43" s="11"/>
      <c r="X43" s="5">
        <f t="shared" si="1"/>
        <v>0</v>
      </c>
      <c r="Y43" s="2">
        <f t="shared" si="2"/>
        <v>0</v>
      </c>
    </row>
    <row r="44" spans="4:25" x14ac:dyDescent="0.25">
      <c r="D44" s="12"/>
      <c r="E44" s="5"/>
      <c r="F44" s="19" t="str">
        <f t="shared" si="0"/>
        <v/>
      </c>
      <c r="G44" s="1"/>
      <c r="H44" s="1"/>
      <c r="I44" s="1"/>
      <c r="J44" s="11"/>
      <c r="X44" s="5">
        <f t="shared" si="1"/>
        <v>0</v>
      </c>
      <c r="Y44" s="2">
        <f t="shared" si="2"/>
        <v>0</v>
      </c>
    </row>
    <row r="45" spans="4:25" x14ac:dyDescent="0.25">
      <c r="D45" s="12"/>
      <c r="E45" s="5"/>
      <c r="F45" s="19" t="str">
        <f t="shared" si="0"/>
        <v/>
      </c>
      <c r="G45" s="1"/>
      <c r="H45" s="1"/>
      <c r="I45" s="1"/>
      <c r="J45" s="11"/>
      <c r="X45" s="5">
        <f t="shared" si="1"/>
        <v>0</v>
      </c>
      <c r="Y45" s="2">
        <f t="shared" si="2"/>
        <v>0</v>
      </c>
    </row>
    <row r="46" spans="4:25" x14ac:dyDescent="0.25">
      <c r="D46" s="12"/>
      <c r="E46" s="5"/>
      <c r="F46" s="19" t="str">
        <f t="shared" si="0"/>
        <v/>
      </c>
      <c r="G46" s="1"/>
      <c r="H46" s="1"/>
      <c r="I46" s="1"/>
      <c r="J46" s="11"/>
      <c r="X46" s="5">
        <f t="shared" si="1"/>
        <v>0</v>
      </c>
      <c r="Y46" s="2">
        <f t="shared" si="2"/>
        <v>0</v>
      </c>
    </row>
    <row r="47" spans="4:25" x14ac:dyDescent="0.25">
      <c r="D47" s="12"/>
      <c r="E47" s="5"/>
      <c r="F47" s="19" t="str">
        <f t="shared" si="0"/>
        <v/>
      </c>
      <c r="G47" s="1"/>
      <c r="H47" s="1"/>
      <c r="I47" s="1"/>
      <c r="J47" s="11"/>
      <c r="X47" s="5">
        <f t="shared" si="1"/>
        <v>0</v>
      </c>
      <c r="Y47" s="2">
        <f t="shared" si="2"/>
        <v>0</v>
      </c>
    </row>
    <row r="48" spans="4:25" x14ac:dyDescent="0.25">
      <c r="D48" s="12"/>
      <c r="E48" s="5"/>
      <c r="F48" s="19" t="str">
        <f t="shared" si="0"/>
        <v/>
      </c>
      <c r="G48" s="1"/>
      <c r="H48" s="1"/>
      <c r="I48" s="1"/>
      <c r="J48" s="11"/>
      <c r="X48" s="5">
        <f t="shared" si="1"/>
        <v>0</v>
      </c>
      <c r="Y48" s="2">
        <f t="shared" si="2"/>
        <v>0</v>
      </c>
    </row>
    <row r="49" spans="4:25" x14ac:dyDescent="0.25">
      <c r="D49" s="12"/>
      <c r="E49" s="5"/>
      <c r="F49" s="19" t="str">
        <f t="shared" si="0"/>
        <v/>
      </c>
      <c r="G49" s="1"/>
      <c r="H49" s="1"/>
      <c r="I49" s="1"/>
      <c r="J49" s="11"/>
      <c r="X49" s="5">
        <f t="shared" si="1"/>
        <v>0</v>
      </c>
      <c r="Y49" s="2">
        <f t="shared" si="2"/>
        <v>0</v>
      </c>
    </row>
    <row r="50" spans="4:25" x14ac:dyDescent="0.25">
      <c r="D50" s="12"/>
      <c r="E50" s="5"/>
      <c r="F50" s="19" t="str">
        <f t="shared" si="0"/>
        <v/>
      </c>
      <c r="G50" s="1"/>
      <c r="H50" s="1"/>
      <c r="I50" s="1"/>
      <c r="J50" s="11"/>
      <c r="X50" s="5">
        <f t="shared" si="1"/>
        <v>0</v>
      </c>
      <c r="Y50" s="2">
        <f t="shared" si="2"/>
        <v>0</v>
      </c>
    </row>
    <row r="51" spans="4:25" x14ac:dyDescent="0.25">
      <c r="D51" s="12"/>
      <c r="E51" s="5"/>
      <c r="F51" s="19" t="str">
        <f t="shared" si="0"/>
        <v/>
      </c>
      <c r="G51" s="1"/>
      <c r="H51" s="1"/>
      <c r="I51" s="1"/>
      <c r="J51" s="11"/>
      <c r="X51" s="5">
        <f t="shared" si="1"/>
        <v>0</v>
      </c>
      <c r="Y51" s="2">
        <f t="shared" si="2"/>
        <v>0</v>
      </c>
    </row>
    <row r="52" spans="4:25" x14ac:dyDescent="0.25">
      <c r="D52" s="12"/>
      <c r="E52" s="5"/>
      <c r="F52" s="19" t="str">
        <f t="shared" si="0"/>
        <v/>
      </c>
      <c r="G52" s="1"/>
      <c r="H52" s="1"/>
      <c r="I52" s="1"/>
      <c r="J52" s="9"/>
      <c r="X52" s="5">
        <f t="shared" si="1"/>
        <v>0</v>
      </c>
      <c r="Y52" s="2">
        <f t="shared" si="2"/>
        <v>0</v>
      </c>
    </row>
    <row r="53" spans="4:25" x14ac:dyDescent="0.25">
      <c r="D53" s="1" t="s">
        <v>25</v>
      </c>
      <c r="E53" s="23"/>
      <c r="F53" s="2"/>
      <c r="G53" s="2">
        <f>SUM(G3:G52)</f>
        <v>13.66</v>
      </c>
      <c r="H53" s="2">
        <f t="shared" ref="H53:I53" si="3">SUM(H3:H52)</f>
        <v>1.23</v>
      </c>
      <c r="I53" s="2">
        <f t="shared" si="3"/>
        <v>6.0000000000000005E-2</v>
      </c>
    </row>
  </sheetData>
  <mergeCells count="4">
    <mergeCell ref="D1:F1"/>
    <mergeCell ref="G1:I1"/>
    <mergeCell ref="K1:Q1"/>
    <mergeCell ref="X1:Z1"/>
  </mergeCells>
  <conditionalFormatting sqref="A1:B1">
    <cfRule type="expression" dxfId="11" priority="1">
      <formula>$Z$3="+"</formula>
    </cfRule>
    <cfRule type="expression" dxfId="10" priority="2">
      <formula>$B$16=$K$3</formula>
    </cfRule>
  </conditionalFormatting>
  <conditionalFormatting sqref="P3">
    <cfRule type="expression" dxfId="9" priority="6">
      <formula>$Z$3="+"</formula>
    </cfRule>
  </conditionalFormatting>
  <conditionalFormatting sqref="Z3">
    <cfRule type="expression" dxfId="8" priority="7">
      <formula>$Z$3="+"</formula>
    </cfRule>
  </conditionalFormatting>
  <pageMargins left="0.7" right="0.7" top="0.75" bottom="0.75" header="0.3" footer="0.3"/>
  <pageSetup orientation="portrait" r:id="rId1"/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04203-D6B9-4D67-A4EF-EB3F3AE6B4C7}">
  <sheetPr>
    <tabColor rgb="FF92D050"/>
  </sheetPr>
  <dimension ref="A1:Z53"/>
  <sheetViews>
    <sheetView workbookViewId="0"/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1" customWidth="1"/>
    <col min="25" max="25" width="10.7109375" style="11" customWidth="1"/>
    <col min="26" max="26" width="10.7109375" customWidth="1"/>
  </cols>
  <sheetData>
    <row r="1" spans="1:26" x14ac:dyDescent="0.25">
      <c r="A1" s="4" t="s">
        <v>66</v>
      </c>
      <c r="B1" s="5" t="s">
        <v>17</v>
      </c>
      <c r="D1" s="29" t="s">
        <v>2</v>
      </c>
      <c r="E1" s="30"/>
      <c r="F1" s="31"/>
      <c r="G1" s="29" t="s">
        <v>0</v>
      </c>
      <c r="H1" s="30"/>
      <c r="I1" s="31"/>
      <c r="J1" s="18"/>
      <c r="K1" s="29" t="s">
        <v>58</v>
      </c>
      <c r="L1" s="30"/>
      <c r="M1" s="30"/>
      <c r="N1" s="30"/>
      <c r="O1" s="30"/>
      <c r="P1" s="30"/>
      <c r="Q1" s="31"/>
      <c r="X1" s="29"/>
      <c r="Y1" s="30"/>
      <c r="Z1" s="31"/>
    </row>
    <row r="2" spans="1:26" x14ac:dyDescent="0.25">
      <c r="A2" s="4" t="s">
        <v>21</v>
      </c>
      <c r="B2" s="5" t="s">
        <v>22</v>
      </c>
      <c r="D2" s="10" t="s">
        <v>49</v>
      </c>
      <c r="E2" s="10" t="s">
        <v>50</v>
      </c>
      <c r="F2" s="17" t="s">
        <v>67</v>
      </c>
      <c r="G2" s="10" t="s">
        <v>15</v>
      </c>
      <c r="H2" s="10" t="s">
        <v>16</v>
      </c>
      <c r="I2" s="10" t="s">
        <v>60</v>
      </c>
      <c r="J2" s="9"/>
      <c r="K2" s="10" t="s">
        <v>0</v>
      </c>
      <c r="L2" s="10" t="s">
        <v>1</v>
      </c>
      <c r="M2" s="10" t="s">
        <v>56</v>
      </c>
      <c r="N2" s="10" t="s">
        <v>57</v>
      </c>
      <c r="O2" s="10" t="s">
        <v>2</v>
      </c>
      <c r="P2" s="10" t="s">
        <v>68</v>
      </c>
      <c r="Q2" s="10" t="s">
        <v>67</v>
      </c>
      <c r="X2" s="10" t="s">
        <v>2</v>
      </c>
      <c r="Y2" s="10" t="s">
        <v>59</v>
      </c>
      <c r="Z2" s="10" t="s">
        <v>68</v>
      </c>
    </row>
    <row r="3" spans="1:26" x14ac:dyDescent="0.25">
      <c r="A3" s="4" t="s">
        <v>69</v>
      </c>
      <c r="B3" s="5" t="s">
        <v>73</v>
      </c>
      <c r="D3" s="12">
        <v>45930</v>
      </c>
      <c r="E3" s="12">
        <v>45930</v>
      </c>
      <c r="F3" s="19">
        <f t="shared" ref="F3:F52" si="0">IF(E3&gt;0,E3-D3,"")</f>
        <v>0</v>
      </c>
      <c r="G3" s="2">
        <v>0</v>
      </c>
      <c r="H3" s="1">
        <v>0.21</v>
      </c>
      <c r="I3" s="2">
        <v>0.01</v>
      </c>
      <c r="J3" s="11"/>
      <c r="K3" s="2">
        <f>G53</f>
        <v>53.900000000000006</v>
      </c>
      <c r="L3" s="2">
        <f>H53</f>
        <v>3.0699999999999994</v>
      </c>
      <c r="M3" s="2">
        <f>I53</f>
        <v>0.15000000000000002</v>
      </c>
      <c r="N3" s="6">
        <f>IF(B16=K3,XIRR(Y3:Y52,X3:X52),"")</f>
        <v>0.11304016709327697</v>
      </c>
      <c r="O3" s="5">
        <f>IF(B16=K3,MAX(E:E),"")</f>
        <v>46271</v>
      </c>
      <c r="P3" s="1" t="str">
        <f ca="1">IF(Z3="+",TODAY()-B11,"")</f>
        <v/>
      </c>
      <c r="Q3" s="1">
        <f>IF(B16=K3,MAX(E:E)-B11,"")</f>
        <v>-2</v>
      </c>
      <c r="T3" s="14"/>
      <c r="X3" s="5">
        <f>B9</f>
        <v>45918</v>
      </c>
      <c r="Y3" s="2">
        <f>B16*-1</f>
        <v>-53.9</v>
      </c>
      <c r="Z3" s="1" t="str">
        <f ca="1">IF(AND(TODAY()&gt;B11, K3&lt;&gt;B16), "+", "")</f>
        <v/>
      </c>
    </row>
    <row r="4" spans="1:26" x14ac:dyDescent="0.25">
      <c r="A4" s="4" t="s">
        <v>19</v>
      </c>
      <c r="B4" s="5" t="s">
        <v>74</v>
      </c>
      <c r="D4" s="12">
        <v>45961</v>
      </c>
      <c r="E4" s="12">
        <v>45961</v>
      </c>
      <c r="F4" s="19">
        <f t="shared" si="0"/>
        <v>0</v>
      </c>
      <c r="G4" s="1">
        <v>3.83</v>
      </c>
      <c r="H4" s="1">
        <v>0.56999999999999995</v>
      </c>
      <c r="I4" s="2">
        <v>0.03</v>
      </c>
      <c r="J4" s="9"/>
      <c r="X4" s="5">
        <f>E3</f>
        <v>45930</v>
      </c>
      <c r="Y4" s="2">
        <f>G3+H3-I3</f>
        <v>0.19999999999999998</v>
      </c>
    </row>
    <row r="5" spans="1:26" x14ac:dyDescent="0.25">
      <c r="A5" s="4"/>
      <c r="B5" s="5"/>
      <c r="D5" s="12">
        <v>45991</v>
      </c>
      <c r="E5" s="12">
        <v>45991</v>
      </c>
      <c r="F5" s="19">
        <f t="shared" si="0"/>
        <v>0</v>
      </c>
      <c r="G5" s="1">
        <v>4.24</v>
      </c>
      <c r="H5" s="2">
        <v>0.5</v>
      </c>
      <c r="I5" s="2">
        <v>0.03</v>
      </c>
      <c r="J5" s="9"/>
      <c r="X5" s="5">
        <f t="shared" ref="X5:X52" si="1">E4</f>
        <v>45961</v>
      </c>
      <c r="Y5" s="2">
        <f t="shared" ref="Y5:Y52" si="2">G4+H4-I4</f>
        <v>4.37</v>
      </c>
    </row>
    <row r="6" spans="1:26" x14ac:dyDescent="0.25">
      <c r="A6" s="4"/>
      <c r="B6" s="5"/>
      <c r="D6" s="12">
        <v>46022</v>
      </c>
      <c r="E6" s="12">
        <v>46022</v>
      </c>
      <c r="F6" s="19">
        <f t="shared" si="0"/>
        <v>0</v>
      </c>
      <c r="G6" s="1">
        <v>7.41</v>
      </c>
      <c r="H6" s="1">
        <v>0.45</v>
      </c>
      <c r="I6" s="2">
        <v>0.02</v>
      </c>
      <c r="J6" s="9"/>
      <c r="X6" s="5">
        <f t="shared" si="1"/>
        <v>45991</v>
      </c>
      <c r="Y6" s="2">
        <f t="shared" si="2"/>
        <v>4.71</v>
      </c>
    </row>
    <row r="7" spans="1:26" x14ac:dyDescent="0.25">
      <c r="A7" s="4"/>
      <c r="B7" s="5"/>
      <c r="D7" s="12">
        <v>46053</v>
      </c>
      <c r="E7" s="12">
        <v>46053</v>
      </c>
      <c r="F7" s="19">
        <f t="shared" si="0"/>
        <v>0</v>
      </c>
      <c r="G7" s="1">
        <v>8.26</v>
      </c>
      <c r="H7" s="1">
        <v>0.28999999999999998</v>
      </c>
      <c r="I7" s="2">
        <v>0.02</v>
      </c>
      <c r="J7" s="11"/>
      <c r="X7" s="5">
        <f t="shared" si="1"/>
        <v>46022</v>
      </c>
      <c r="Y7" s="2">
        <f t="shared" si="2"/>
        <v>7.8400000000000007</v>
      </c>
    </row>
    <row r="8" spans="1:26" x14ac:dyDescent="0.25">
      <c r="A8" s="4" t="s">
        <v>24</v>
      </c>
      <c r="B8" s="5" t="str">
        <f>DATEDIF(B9,B11,"y") &amp; " m. " &amp; DATEDIF(B9,B11,"ym") &amp; " mėn. " &amp; DATEDIF(B9,B11,"md") &amp; " d."</f>
        <v>0 m. 11 mėn. 21 d.</v>
      </c>
      <c r="D8" s="12">
        <v>46081</v>
      </c>
      <c r="E8" s="12">
        <v>46081</v>
      </c>
      <c r="F8" s="19">
        <f t="shared" si="0"/>
        <v>0</v>
      </c>
      <c r="G8" s="1">
        <v>3.05</v>
      </c>
      <c r="H8" s="1">
        <v>0.28000000000000003</v>
      </c>
      <c r="I8" s="2">
        <v>0.01</v>
      </c>
      <c r="J8" s="9"/>
      <c r="X8" s="5">
        <f t="shared" si="1"/>
        <v>46053</v>
      </c>
      <c r="Y8" s="2">
        <f t="shared" si="2"/>
        <v>8.5299999999999994</v>
      </c>
    </row>
    <row r="9" spans="1:26" x14ac:dyDescent="0.25">
      <c r="A9" s="4" t="s">
        <v>11</v>
      </c>
      <c r="B9" s="5">
        <v>45918</v>
      </c>
      <c r="D9" s="12">
        <v>46112</v>
      </c>
      <c r="E9" s="12">
        <v>46112</v>
      </c>
      <c r="F9" s="19">
        <f t="shared" si="0"/>
        <v>0</v>
      </c>
      <c r="G9" s="1">
        <v>8.84</v>
      </c>
      <c r="H9" s="1">
        <v>0.26</v>
      </c>
      <c r="I9" s="2">
        <v>0.01</v>
      </c>
      <c r="J9" s="11"/>
      <c r="X9" s="5">
        <f t="shared" si="1"/>
        <v>46081</v>
      </c>
      <c r="Y9" s="2">
        <f t="shared" si="2"/>
        <v>3.3200000000000003</v>
      </c>
    </row>
    <row r="10" spans="1:26" x14ac:dyDescent="0.25">
      <c r="A10" s="4" t="s">
        <v>70</v>
      </c>
      <c r="B10" s="5">
        <v>45915</v>
      </c>
      <c r="D10" s="12">
        <v>46142</v>
      </c>
      <c r="E10" s="12">
        <v>46142</v>
      </c>
      <c r="F10" s="19">
        <f t="shared" si="0"/>
        <v>0</v>
      </c>
      <c r="G10" s="1">
        <v>3.21</v>
      </c>
      <c r="H10" s="1">
        <v>0.16</v>
      </c>
      <c r="I10" s="2">
        <v>0.01</v>
      </c>
      <c r="J10" s="11"/>
      <c r="X10" s="5">
        <f t="shared" si="1"/>
        <v>46112</v>
      </c>
      <c r="Y10" s="2">
        <f t="shared" si="2"/>
        <v>9.09</v>
      </c>
    </row>
    <row r="11" spans="1:26" x14ac:dyDescent="0.25">
      <c r="A11" s="4" t="s">
        <v>10</v>
      </c>
      <c r="B11" s="5">
        <v>46273</v>
      </c>
      <c r="D11" s="12">
        <v>46173</v>
      </c>
      <c r="E11" s="12">
        <v>46173</v>
      </c>
      <c r="F11" s="19">
        <f t="shared" si="0"/>
        <v>0</v>
      </c>
      <c r="G11" s="1">
        <v>3.02</v>
      </c>
      <c r="H11" s="2">
        <v>0.13</v>
      </c>
      <c r="I11" s="2">
        <v>0.01</v>
      </c>
      <c r="J11" s="11"/>
      <c r="X11" s="5">
        <f t="shared" si="1"/>
        <v>46142</v>
      </c>
      <c r="Y11" s="2">
        <f t="shared" si="2"/>
        <v>3.3600000000000003</v>
      </c>
    </row>
    <row r="12" spans="1:26" x14ac:dyDescent="0.25">
      <c r="A12" s="4" t="s">
        <v>71</v>
      </c>
      <c r="B12" s="19" t="str">
        <f ca="1">IF(B16&lt;&gt;K3,(TODAY()-B11)*-1,"")</f>
        <v/>
      </c>
      <c r="D12" s="12">
        <v>46203</v>
      </c>
      <c r="E12" s="12">
        <v>46203</v>
      </c>
      <c r="F12" s="19">
        <f t="shared" si="0"/>
        <v>0</v>
      </c>
      <c r="G12" s="2">
        <v>3.71</v>
      </c>
      <c r="H12" s="2">
        <v>0.1</v>
      </c>
      <c r="I12" s="2">
        <v>0</v>
      </c>
      <c r="J12" s="11"/>
      <c r="X12" s="5">
        <f t="shared" si="1"/>
        <v>46173</v>
      </c>
      <c r="Y12" s="2">
        <f t="shared" si="2"/>
        <v>3.14</v>
      </c>
    </row>
    <row r="13" spans="1:26" x14ac:dyDescent="0.25">
      <c r="A13" s="4"/>
      <c r="B13" s="2"/>
      <c r="D13" s="12">
        <v>46234</v>
      </c>
      <c r="E13" s="12">
        <v>46234</v>
      </c>
      <c r="F13" s="19">
        <f t="shared" si="0"/>
        <v>0</v>
      </c>
      <c r="G13" s="1">
        <v>3.37</v>
      </c>
      <c r="H13" s="2">
        <v>0.08</v>
      </c>
      <c r="I13" s="2">
        <v>0</v>
      </c>
      <c r="J13" s="11"/>
      <c r="N13" s="14"/>
      <c r="X13" s="5">
        <f t="shared" si="1"/>
        <v>46203</v>
      </c>
      <c r="Y13" s="2">
        <f t="shared" si="2"/>
        <v>3.81</v>
      </c>
    </row>
    <row r="14" spans="1:26" x14ac:dyDescent="0.25">
      <c r="A14" s="13"/>
      <c r="B14" s="20"/>
      <c r="D14" s="12">
        <v>46265</v>
      </c>
      <c r="E14" s="5">
        <v>46265</v>
      </c>
      <c r="F14" s="19">
        <f t="shared" si="0"/>
        <v>0</v>
      </c>
      <c r="G14" s="1">
        <v>2.11</v>
      </c>
      <c r="H14" s="1">
        <v>0.03</v>
      </c>
      <c r="I14" s="2">
        <v>0</v>
      </c>
      <c r="J14" s="11"/>
      <c r="X14" s="5">
        <f t="shared" si="1"/>
        <v>46234</v>
      </c>
      <c r="Y14" s="2">
        <f t="shared" si="2"/>
        <v>3.45</v>
      </c>
    </row>
    <row r="15" spans="1:26" x14ac:dyDescent="0.25">
      <c r="A15" s="4" t="s">
        <v>1</v>
      </c>
      <c r="B15" s="6">
        <v>0.125</v>
      </c>
      <c r="D15" s="12">
        <v>46273</v>
      </c>
      <c r="E15" s="5">
        <v>46271</v>
      </c>
      <c r="F15" s="19">
        <f t="shared" si="0"/>
        <v>-2</v>
      </c>
      <c r="G15" s="1">
        <v>2.85</v>
      </c>
      <c r="H15" s="1">
        <v>0.01</v>
      </c>
      <c r="I15" s="2">
        <v>0</v>
      </c>
      <c r="J15" s="11"/>
      <c r="K15" s="18"/>
      <c r="L15" s="18"/>
      <c r="M15" s="18"/>
      <c r="N15" s="18"/>
      <c r="O15" s="18"/>
      <c r="P15" s="18"/>
      <c r="Q15" s="18"/>
      <c r="X15" s="5">
        <f t="shared" si="1"/>
        <v>46265</v>
      </c>
      <c r="Y15" s="2">
        <f t="shared" si="2"/>
        <v>2.1399999999999997</v>
      </c>
    </row>
    <row r="16" spans="1:26" x14ac:dyDescent="0.25">
      <c r="A16" s="4" t="s">
        <v>72</v>
      </c>
      <c r="B16" s="2">
        <v>53.9</v>
      </c>
      <c r="D16" s="12"/>
      <c r="E16" s="5"/>
      <c r="F16" s="19" t="str">
        <f t="shared" si="0"/>
        <v/>
      </c>
      <c r="G16" s="1"/>
      <c r="H16" s="1"/>
      <c r="I16" s="1"/>
      <c r="J16" s="11"/>
      <c r="K16" s="9"/>
      <c r="L16" s="9"/>
      <c r="M16" s="9"/>
      <c r="N16" s="21"/>
      <c r="O16" s="22"/>
      <c r="P16" s="11"/>
      <c r="Q16" s="11"/>
      <c r="X16" s="5">
        <f t="shared" si="1"/>
        <v>46271</v>
      </c>
      <c r="Y16" s="2">
        <f t="shared" si="2"/>
        <v>2.86</v>
      </c>
    </row>
    <row r="17" spans="4:25" x14ac:dyDescent="0.25">
      <c r="D17" s="12"/>
      <c r="E17" s="5"/>
      <c r="F17" s="19" t="str">
        <f t="shared" si="0"/>
        <v/>
      </c>
      <c r="G17" s="1"/>
      <c r="H17" s="1"/>
      <c r="I17" s="1"/>
      <c r="J17" s="11"/>
      <c r="X17" s="5">
        <f t="shared" si="1"/>
        <v>0</v>
      </c>
      <c r="Y17" s="2">
        <f t="shared" si="2"/>
        <v>0</v>
      </c>
    </row>
    <row r="18" spans="4:25" x14ac:dyDescent="0.25">
      <c r="D18" s="12"/>
      <c r="E18" s="5"/>
      <c r="F18" s="19" t="str">
        <f t="shared" si="0"/>
        <v/>
      </c>
      <c r="G18" s="1"/>
      <c r="H18" s="1"/>
      <c r="I18" s="1"/>
      <c r="J18" s="11"/>
      <c r="X18" s="5">
        <f t="shared" si="1"/>
        <v>0</v>
      </c>
      <c r="Y18" s="2">
        <f t="shared" si="2"/>
        <v>0</v>
      </c>
    </row>
    <row r="19" spans="4:25" x14ac:dyDescent="0.25">
      <c r="D19" s="12"/>
      <c r="E19" s="5"/>
      <c r="F19" s="19" t="str">
        <f t="shared" si="0"/>
        <v/>
      </c>
      <c r="G19" s="1"/>
      <c r="H19" s="1"/>
      <c r="I19" s="1"/>
      <c r="J19" s="11"/>
      <c r="X19" s="5">
        <f t="shared" si="1"/>
        <v>0</v>
      </c>
      <c r="Y19" s="2">
        <f t="shared" si="2"/>
        <v>0</v>
      </c>
    </row>
    <row r="20" spans="4:25" x14ac:dyDescent="0.25">
      <c r="D20" s="12"/>
      <c r="E20" s="5"/>
      <c r="F20" s="19" t="str">
        <f t="shared" si="0"/>
        <v/>
      </c>
      <c r="G20" s="1"/>
      <c r="H20" s="1"/>
      <c r="I20" s="1"/>
      <c r="J20" s="11"/>
      <c r="X20" s="5">
        <f t="shared" si="1"/>
        <v>0</v>
      </c>
      <c r="Y20" s="2">
        <f t="shared" si="2"/>
        <v>0</v>
      </c>
    </row>
    <row r="21" spans="4:25" x14ac:dyDescent="0.25">
      <c r="D21" s="12"/>
      <c r="E21" s="5"/>
      <c r="F21" s="19" t="str">
        <f t="shared" si="0"/>
        <v/>
      </c>
      <c r="G21" s="1"/>
      <c r="H21" s="1"/>
      <c r="I21" s="1"/>
      <c r="J21" s="11"/>
      <c r="X21" s="5">
        <f t="shared" si="1"/>
        <v>0</v>
      </c>
      <c r="Y21" s="2">
        <f t="shared" si="2"/>
        <v>0</v>
      </c>
    </row>
    <row r="22" spans="4:25" x14ac:dyDescent="0.25">
      <c r="D22" s="12"/>
      <c r="E22" s="5"/>
      <c r="F22" s="19" t="str">
        <f t="shared" si="0"/>
        <v/>
      </c>
      <c r="G22" s="1"/>
      <c r="H22" s="1"/>
      <c r="I22" s="1"/>
      <c r="J22" s="11"/>
      <c r="X22" s="5">
        <f t="shared" si="1"/>
        <v>0</v>
      </c>
      <c r="Y22" s="2">
        <f t="shared" si="2"/>
        <v>0</v>
      </c>
    </row>
    <row r="23" spans="4:25" x14ac:dyDescent="0.25">
      <c r="D23" s="12"/>
      <c r="E23" s="5"/>
      <c r="F23" s="19" t="str">
        <f t="shared" si="0"/>
        <v/>
      </c>
      <c r="G23" s="1"/>
      <c r="H23" s="1"/>
      <c r="I23" s="1"/>
      <c r="J23" s="11"/>
      <c r="X23" s="5">
        <f t="shared" si="1"/>
        <v>0</v>
      </c>
      <c r="Y23" s="2">
        <f t="shared" si="2"/>
        <v>0</v>
      </c>
    </row>
    <row r="24" spans="4:25" x14ac:dyDescent="0.25">
      <c r="D24" s="12"/>
      <c r="E24" s="5"/>
      <c r="F24" s="19" t="str">
        <f t="shared" si="0"/>
        <v/>
      </c>
      <c r="G24" s="1"/>
      <c r="H24" s="1"/>
      <c r="I24" s="1"/>
      <c r="J24" s="11"/>
      <c r="X24" s="5">
        <f t="shared" si="1"/>
        <v>0</v>
      </c>
      <c r="Y24" s="2">
        <f t="shared" si="2"/>
        <v>0</v>
      </c>
    </row>
    <row r="25" spans="4:25" x14ac:dyDescent="0.25">
      <c r="D25" s="12"/>
      <c r="E25" s="5"/>
      <c r="F25" s="19" t="str">
        <f t="shared" si="0"/>
        <v/>
      </c>
      <c r="G25" s="1"/>
      <c r="H25" s="1"/>
      <c r="I25" s="1"/>
      <c r="J25" s="11"/>
      <c r="X25" s="5">
        <f t="shared" si="1"/>
        <v>0</v>
      </c>
      <c r="Y25" s="2">
        <f t="shared" si="2"/>
        <v>0</v>
      </c>
    </row>
    <row r="26" spans="4:25" x14ac:dyDescent="0.25">
      <c r="D26" s="12"/>
      <c r="E26" s="5"/>
      <c r="F26" s="19" t="str">
        <f t="shared" si="0"/>
        <v/>
      </c>
      <c r="G26" s="1"/>
      <c r="H26" s="1"/>
      <c r="I26" s="1"/>
      <c r="J26" s="11"/>
      <c r="X26" s="5">
        <f t="shared" si="1"/>
        <v>0</v>
      </c>
      <c r="Y26" s="2">
        <f t="shared" si="2"/>
        <v>0</v>
      </c>
    </row>
    <row r="27" spans="4:25" x14ac:dyDescent="0.25">
      <c r="D27" s="12"/>
      <c r="E27" s="5"/>
      <c r="F27" s="19" t="str">
        <f t="shared" si="0"/>
        <v/>
      </c>
      <c r="G27" s="1"/>
      <c r="H27" s="1"/>
      <c r="I27" s="1"/>
      <c r="J27" s="11"/>
      <c r="X27" s="5">
        <f t="shared" si="1"/>
        <v>0</v>
      </c>
      <c r="Y27" s="2">
        <f t="shared" si="2"/>
        <v>0</v>
      </c>
    </row>
    <row r="28" spans="4:25" x14ac:dyDescent="0.25">
      <c r="D28" s="12"/>
      <c r="E28" s="5"/>
      <c r="F28" s="19" t="str">
        <f t="shared" si="0"/>
        <v/>
      </c>
      <c r="G28" s="1"/>
      <c r="H28" s="1"/>
      <c r="I28" s="1"/>
      <c r="J28" s="11"/>
      <c r="X28" s="5">
        <f t="shared" si="1"/>
        <v>0</v>
      </c>
      <c r="Y28" s="2">
        <f t="shared" si="2"/>
        <v>0</v>
      </c>
    </row>
    <row r="29" spans="4:25" x14ac:dyDescent="0.25">
      <c r="D29" s="12"/>
      <c r="E29" s="5"/>
      <c r="F29" s="19" t="str">
        <f t="shared" si="0"/>
        <v/>
      </c>
      <c r="G29" s="1"/>
      <c r="H29" s="1"/>
      <c r="I29" s="1"/>
      <c r="J29" s="11"/>
      <c r="X29" s="5">
        <f t="shared" si="1"/>
        <v>0</v>
      </c>
      <c r="Y29" s="2">
        <f t="shared" si="2"/>
        <v>0</v>
      </c>
    </row>
    <row r="30" spans="4:25" x14ac:dyDescent="0.25">
      <c r="D30" s="12"/>
      <c r="E30" s="5"/>
      <c r="F30" s="19" t="str">
        <f t="shared" si="0"/>
        <v/>
      </c>
      <c r="G30" s="1"/>
      <c r="H30" s="1"/>
      <c r="I30" s="1"/>
      <c r="J30" s="11"/>
      <c r="X30" s="5">
        <f t="shared" si="1"/>
        <v>0</v>
      </c>
      <c r="Y30" s="2">
        <f t="shared" si="2"/>
        <v>0</v>
      </c>
    </row>
    <row r="31" spans="4:25" x14ac:dyDescent="0.25">
      <c r="D31" s="12"/>
      <c r="E31" s="5"/>
      <c r="F31" s="19" t="str">
        <f t="shared" si="0"/>
        <v/>
      </c>
      <c r="G31" s="1"/>
      <c r="H31" s="1"/>
      <c r="I31" s="1"/>
      <c r="J31" s="11"/>
      <c r="X31" s="5">
        <f t="shared" si="1"/>
        <v>0</v>
      </c>
      <c r="Y31" s="2">
        <f t="shared" si="2"/>
        <v>0</v>
      </c>
    </row>
    <row r="32" spans="4:25" x14ac:dyDescent="0.25">
      <c r="D32" s="12"/>
      <c r="E32" s="5"/>
      <c r="F32" s="19" t="str">
        <f t="shared" si="0"/>
        <v/>
      </c>
      <c r="G32" s="1"/>
      <c r="H32" s="1"/>
      <c r="I32" s="1"/>
      <c r="J32" s="11"/>
      <c r="X32" s="5">
        <f t="shared" si="1"/>
        <v>0</v>
      </c>
      <c r="Y32" s="2">
        <f t="shared" si="2"/>
        <v>0</v>
      </c>
    </row>
    <row r="33" spans="4:25" x14ac:dyDescent="0.25">
      <c r="D33" s="12"/>
      <c r="E33" s="5"/>
      <c r="F33" s="19" t="str">
        <f t="shared" si="0"/>
        <v/>
      </c>
      <c r="G33" s="1"/>
      <c r="H33" s="1"/>
      <c r="I33" s="1"/>
      <c r="J33" s="11"/>
      <c r="X33" s="5">
        <f t="shared" si="1"/>
        <v>0</v>
      </c>
      <c r="Y33" s="2">
        <f t="shared" si="2"/>
        <v>0</v>
      </c>
    </row>
    <row r="34" spans="4:25" x14ac:dyDescent="0.25">
      <c r="D34" s="12"/>
      <c r="E34" s="5"/>
      <c r="F34" s="19" t="str">
        <f t="shared" si="0"/>
        <v/>
      </c>
      <c r="G34" s="1"/>
      <c r="H34" s="1"/>
      <c r="I34" s="1"/>
      <c r="J34" s="11"/>
      <c r="X34" s="5">
        <f t="shared" si="1"/>
        <v>0</v>
      </c>
      <c r="Y34" s="2">
        <f t="shared" si="2"/>
        <v>0</v>
      </c>
    </row>
    <row r="35" spans="4:25" x14ac:dyDescent="0.25">
      <c r="D35" s="12"/>
      <c r="E35" s="5"/>
      <c r="F35" s="19" t="str">
        <f t="shared" si="0"/>
        <v/>
      </c>
      <c r="G35" s="1"/>
      <c r="H35" s="1"/>
      <c r="I35" s="1"/>
      <c r="J35" s="11"/>
      <c r="X35" s="5">
        <f t="shared" si="1"/>
        <v>0</v>
      </c>
      <c r="Y35" s="2">
        <f t="shared" si="2"/>
        <v>0</v>
      </c>
    </row>
    <row r="36" spans="4:25" x14ac:dyDescent="0.25">
      <c r="D36" s="12"/>
      <c r="E36" s="5"/>
      <c r="F36" s="19" t="str">
        <f t="shared" si="0"/>
        <v/>
      </c>
      <c r="G36" s="1"/>
      <c r="H36" s="1"/>
      <c r="I36" s="1"/>
      <c r="J36" s="11"/>
      <c r="X36" s="5">
        <f t="shared" si="1"/>
        <v>0</v>
      </c>
      <c r="Y36" s="2">
        <f t="shared" si="2"/>
        <v>0</v>
      </c>
    </row>
    <row r="37" spans="4:25" x14ac:dyDescent="0.25">
      <c r="D37" s="12"/>
      <c r="E37" s="5"/>
      <c r="F37" s="19" t="str">
        <f t="shared" si="0"/>
        <v/>
      </c>
      <c r="G37" s="1"/>
      <c r="H37" s="1"/>
      <c r="I37" s="1"/>
      <c r="J37" s="11"/>
      <c r="X37" s="5">
        <f t="shared" si="1"/>
        <v>0</v>
      </c>
      <c r="Y37" s="2">
        <f t="shared" si="2"/>
        <v>0</v>
      </c>
    </row>
    <row r="38" spans="4:25" x14ac:dyDescent="0.25">
      <c r="D38" s="12"/>
      <c r="E38" s="5"/>
      <c r="F38" s="19" t="str">
        <f t="shared" si="0"/>
        <v/>
      </c>
      <c r="G38" s="1"/>
      <c r="H38" s="1"/>
      <c r="I38" s="1"/>
      <c r="J38" s="11"/>
      <c r="X38" s="5">
        <f t="shared" si="1"/>
        <v>0</v>
      </c>
      <c r="Y38" s="2">
        <f t="shared" si="2"/>
        <v>0</v>
      </c>
    </row>
    <row r="39" spans="4:25" x14ac:dyDescent="0.25">
      <c r="D39" s="12"/>
      <c r="E39" s="5"/>
      <c r="F39" s="19" t="str">
        <f t="shared" si="0"/>
        <v/>
      </c>
      <c r="G39" s="1"/>
      <c r="H39" s="1"/>
      <c r="I39" s="1"/>
      <c r="J39" s="11"/>
      <c r="X39" s="5">
        <f t="shared" si="1"/>
        <v>0</v>
      </c>
      <c r="Y39" s="2">
        <f t="shared" si="2"/>
        <v>0</v>
      </c>
    </row>
    <row r="40" spans="4:25" x14ac:dyDescent="0.25">
      <c r="D40" s="12"/>
      <c r="E40" s="5"/>
      <c r="F40" s="19" t="str">
        <f t="shared" si="0"/>
        <v/>
      </c>
      <c r="G40" s="1"/>
      <c r="H40" s="1"/>
      <c r="I40" s="1"/>
      <c r="J40" s="11"/>
      <c r="X40" s="5">
        <f t="shared" si="1"/>
        <v>0</v>
      </c>
      <c r="Y40" s="2">
        <f t="shared" si="2"/>
        <v>0</v>
      </c>
    </row>
    <row r="41" spans="4:25" x14ac:dyDescent="0.25">
      <c r="D41" s="12"/>
      <c r="E41" s="5"/>
      <c r="F41" s="19" t="str">
        <f t="shared" si="0"/>
        <v/>
      </c>
      <c r="G41" s="1"/>
      <c r="H41" s="1"/>
      <c r="I41" s="1"/>
      <c r="J41" s="11"/>
      <c r="X41" s="5">
        <f t="shared" si="1"/>
        <v>0</v>
      </c>
      <c r="Y41" s="2">
        <f t="shared" si="2"/>
        <v>0</v>
      </c>
    </row>
    <row r="42" spans="4:25" x14ac:dyDescent="0.25">
      <c r="D42" s="12"/>
      <c r="E42" s="5"/>
      <c r="F42" s="19" t="str">
        <f t="shared" si="0"/>
        <v/>
      </c>
      <c r="G42" s="1"/>
      <c r="H42" s="1"/>
      <c r="I42" s="1"/>
      <c r="J42" s="11"/>
      <c r="X42" s="5">
        <f t="shared" si="1"/>
        <v>0</v>
      </c>
      <c r="Y42" s="2">
        <f t="shared" si="2"/>
        <v>0</v>
      </c>
    </row>
    <row r="43" spans="4:25" x14ac:dyDescent="0.25">
      <c r="D43" s="12"/>
      <c r="E43" s="5"/>
      <c r="F43" s="19" t="str">
        <f t="shared" si="0"/>
        <v/>
      </c>
      <c r="G43" s="1"/>
      <c r="H43" s="1"/>
      <c r="I43" s="1"/>
      <c r="J43" s="11"/>
      <c r="X43" s="5">
        <f t="shared" si="1"/>
        <v>0</v>
      </c>
      <c r="Y43" s="2">
        <f t="shared" si="2"/>
        <v>0</v>
      </c>
    </row>
    <row r="44" spans="4:25" x14ac:dyDescent="0.25">
      <c r="D44" s="12"/>
      <c r="E44" s="5"/>
      <c r="F44" s="19" t="str">
        <f t="shared" si="0"/>
        <v/>
      </c>
      <c r="G44" s="1"/>
      <c r="H44" s="1"/>
      <c r="I44" s="1"/>
      <c r="J44" s="11"/>
      <c r="X44" s="5">
        <f t="shared" si="1"/>
        <v>0</v>
      </c>
      <c r="Y44" s="2">
        <f t="shared" si="2"/>
        <v>0</v>
      </c>
    </row>
    <row r="45" spans="4:25" x14ac:dyDescent="0.25">
      <c r="D45" s="12"/>
      <c r="E45" s="5"/>
      <c r="F45" s="19" t="str">
        <f t="shared" si="0"/>
        <v/>
      </c>
      <c r="G45" s="1"/>
      <c r="H45" s="1"/>
      <c r="I45" s="1"/>
      <c r="J45" s="11"/>
      <c r="X45" s="5">
        <f t="shared" si="1"/>
        <v>0</v>
      </c>
      <c r="Y45" s="2">
        <f t="shared" si="2"/>
        <v>0</v>
      </c>
    </row>
    <row r="46" spans="4:25" x14ac:dyDescent="0.25">
      <c r="D46" s="12"/>
      <c r="E46" s="5"/>
      <c r="F46" s="19" t="str">
        <f t="shared" si="0"/>
        <v/>
      </c>
      <c r="G46" s="1"/>
      <c r="H46" s="1"/>
      <c r="I46" s="1"/>
      <c r="J46" s="11"/>
      <c r="X46" s="5">
        <f t="shared" si="1"/>
        <v>0</v>
      </c>
      <c r="Y46" s="2">
        <f t="shared" si="2"/>
        <v>0</v>
      </c>
    </row>
    <row r="47" spans="4:25" x14ac:dyDescent="0.25">
      <c r="D47" s="12"/>
      <c r="E47" s="5"/>
      <c r="F47" s="19" t="str">
        <f t="shared" si="0"/>
        <v/>
      </c>
      <c r="G47" s="1"/>
      <c r="H47" s="1"/>
      <c r="I47" s="1"/>
      <c r="J47" s="11"/>
      <c r="X47" s="5">
        <f t="shared" si="1"/>
        <v>0</v>
      </c>
      <c r="Y47" s="2">
        <f t="shared" si="2"/>
        <v>0</v>
      </c>
    </row>
    <row r="48" spans="4:25" x14ac:dyDescent="0.25">
      <c r="D48" s="12"/>
      <c r="E48" s="5"/>
      <c r="F48" s="19" t="str">
        <f t="shared" si="0"/>
        <v/>
      </c>
      <c r="G48" s="1"/>
      <c r="H48" s="1"/>
      <c r="I48" s="1"/>
      <c r="J48" s="11"/>
      <c r="X48" s="5">
        <f t="shared" si="1"/>
        <v>0</v>
      </c>
      <c r="Y48" s="2">
        <f t="shared" si="2"/>
        <v>0</v>
      </c>
    </row>
    <row r="49" spans="4:25" x14ac:dyDescent="0.25">
      <c r="D49" s="12"/>
      <c r="E49" s="5"/>
      <c r="F49" s="19" t="str">
        <f t="shared" si="0"/>
        <v/>
      </c>
      <c r="G49" s="1"/>
      <c r="H49" s="1"/>
      <c r="I49" s="1"/>
      <c r="J49" s="11"/>
      <c r="X49" s="5">
        <f t="shared" si="1"/>
        <v>0</v>
      </c>
      <c r="Y49" s="2">
        <f t="shared" si="2"/>
        <v>0</v>
      </c>
    </row>
    <row r="50" spans="4:25" x14ac:dyDescent="0.25">
      <c r="D50" s="12"/>
      <c r="E50" s="5"/>
      <c r="F50" s="19" t="str">
        <f t="shared" si="0"/>
        <v/>
      </c>
      <c r="G50" s="1"/>
      <c r="H50" s="1"/>
      <c r="I50" s="1"/>
      <c r="J50" s="11"/>
      <c r="X50" s="5">
        <f t="shared" si="1"/>
        <v>0</v>
      </c>
      <c r="Y50" s="2">
        <f t="shared" si="2"/>
        <v>0</v>
      </c>
    </row>
    <row r="51" spans="4:25" x14ac:dyDescent="0.25">
      <c r="D51" s="12"/>
      <c r="E51" s="5"/>
      <c r="F51" s="19" t="str">
        <f t="shared" si="0"/>
        <v/>
      </c>
      <c r="G51" s="1"/>
      <c r="H51" s="1"/>
      <c r="I51" s="1"/>
      <c r="J51" s="11"/>
      <c r="X51" s="5">
        <f t="shared" si="1"/>
        <v>0</v>
      </c>
      <c r="Y51" s="2">
        <f t="shared" si="2"/>
        <v>0</v>
      </c>
    </row>
    <row r="52" spans="4:25" x14ac:dyDescent="0.25">
      <c r="D52" s="12"/>
      <c r="E52" s="5"/>
      <c r="F52" s="19" t="str">
        <f t="shared" si="0"/>
        <v/>
      </c>
      <c r="G52" s="1"/>
      <c r="H52" s="1"/>
      <c r="I52" s="1"/>
      <c r="J52" s="9"/>
      <c r="X52" s="5">
        <f t="shared" si="1"/>
        <v>0</v>
      </c>
      <c r="Y52" s="2">
        <f t="shared" si="2"/>
        <v>0</v>
      </c>
    </row>
    <row r="53" spans="4:25" x14ac:dyDescent="0.25">
      <c r="D53" s="1" t="s">
        <v>25</v>
      </c>
      <c r="E53" s="23"/>
      <c r="F53" s="2"/>
      <c r="G53" s="2">
        <f>SUM(G3:G52)</f>
        <v>53.900000000000006</v>
      </c>
      <c r="H53" s="2">
        <f t="shared" ref="H53:I53" si="3">SUM(H3:H52)</f>
        <v>3.0699999999999994</v>
      </c>
      <c r="I53" s="2">
        <f t="shared" si="3"/>
        <v>0.15000000000000002</v>
      </c>
    </row>
  </sheetData>
  <mergeCells count="4">
    <mergeCell ref="D1:F1"/>
    <mergeCell ref="G1:I1"/>
    <mergeCell ref="K1:Q1"/>
    <mergeCell ref="X1:Z1"/>
  </mergeCells>
  <conditionalFormatting sqref="A1:B1">
    <cfRule type="expression" dxfId="7" priority="1">
      <formula>$Z$3="+"</formula>
    </cfRule>
    <cfRule type="expression" dxfId="6" priority="2">
      <formula>$B$16=$K$3</formula>
    </cfRule>
  </conditionalFormatting>
  <conditionalFormatting sqref="P3">
    <cfRule type="expression" dxfId="5" priority="6">
      <formula>$Z$3="+"</formula>
    </cfRule>
  </conditionalFormatting>
  <conditionalFormatting sqref="Z3">
    <cfRule type="expression" dxfId="4" priority="7">
      <formula>$Z$3="+"</formula>
    </cfRule>
  </conditionalFormatting>
  <pageMargins left="0.7" right="0.7" top="0.75" bottom="0.75" header="0.3" footer="0.3"/>
  <pageSetup orientation="portrait" r:id="rId1"/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8802F-0E02-4774-9ED7-6007F9379947}">
  <dimension ref="A1:Z53"/>
  <sheetViews>
    <sheetView workbookViewId="0"/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1" customWidth="1"/>
    <col min="25" max="25" width="10.7109375" style="11" customWidth="1"/>
    <col min="26" max="26" width="10.7109375" customWidth="1"/>
  </cols>
  <sheetData>
    <row r="1" spans="1:26" x14ac:dyDescent="0.25">
      <c r="A1" s="4" t="s">
        <v>66</v>
      </c>
      <c r="B1" s="5" t="s">
        <v>9</v>
      </c>
      <c r="D1" s="29" t="s">
        <v>2</v>
      </c>
      <c r="E1" s="30"/>
      <c r="F1" s="31"/>
      <c r="G1" s="29" t="s">
        <v>0</v>
      </c>
      <c r="H1" s="30"/>
      <c r="I1" s="31"/>
      <c r="J1" s="18"/>
      <c r="K1" s="29" t="s">
        <v>58</v>
      </c>
      <c r="L1" s="30"/>
      <c r="M1" s="30"/>
      <c r="N1" s="30"/>
      <c r="O1" s="30"/>
      <c r="P1" s="30"/>
      <c r="Q1" s="31"/>
      <c r="X1" s="29"/>
      <c r="Y1" s="30"/>
      <c r="Z1" s="31"/>
    </row>
    <row r="2" spans="1:26" x14ac:dyDescent="0.25">
      <c r="A2" s="4" t="s">
        <v>21</v>
      </c>
      <c r="B2" s="5" t="s">
        <v>22</v>
      </c>
      <c r="D2" s="10" t="s">
        <v>49</v>
      </c>
      <c r="E2" s="10" t="s">
        <v>50</v>
      </c>
      <c r="F2" s="17" t="s">
        <v>67</v>
      </c>
      <c r="G2" s="10" t="s">
        <v>15</v>
      </c>
      <c r="H2" s="10" t="s">
        <v>16</v>
      </c>
      <c r="I2" s="10" t="s">
        <v>60</v>
      </c>
      <c r="J2" s="9"/>
      <c r="K2" s="10" t="s">
        <v>0</v>
      </c>
      <c r="L2" s="10" t="s">
        <v>1</v>
      </c>
      <c r="M2" s="10" t="s">
        <v>56</v>
      </c>
      <c r="N2" s="10" t="s">
        <v>57</v>
      </c>
      <c r="O2" s="10" t="s">
        <v>2</v>
      </c>
      <c r="P2" s="10" t="s">
        <v>68</v>
      </c>
      <c r="Q2" s="10" t="s">
        <v>67</v>
      </c>
      <c r="X2" s="10" t="s">
        <v>2</v>
      </c>
      <c r="Y2" s="10" t="s">
        <v>59</v>
      </c>
      <c r="Z2" s="10" t="s">
        <v>68</v>
      </c>
    </row>
    <row r="3" spans="1:26" x14ac:dyDescent="0.25">
      <c r="A3" s="4" t="s">
        <v>69</v>
      </c>
      <c r="B3" s="5" t="s">
        <v>73</v>
      </c>
      <c r="D3" s="12">
        <v>45930</v>
      </c>
      <c r="E3" s="12">
        <v>45930</v>
      </c>
      <c r="F3" s="19">
        <f t="shared" ref="F3:F52" si="0">IF(E3&gt;0,E3-D3,"")</f>
        <v>0</v>
      </c>
      <c r="G3" s="1">
        <v>6.29</v>
      </c>
      <c r="H3" s="1">
        <v>0.32</v>
      </c>
      <c r="I3" s="2">
        <v>0.02</v>
      </c>
      <c r="J3" s="11"/>
      <c r="K3" s="2">
        <f>G53</f>
        <v>49.99</v>
      </c>
      <c r="L3" s="2">
        <f>H53</f>
        <v>1.9000000000000004</v>
      </c>
      <c r="M3" s="2">
        <f>I53</f>
        <v>0.11</v>
      </c>
      <c r="N3" s="6" t="str">
        <f>IF(B16=K3,XIRR(Y3:Y52,X3:X52),"")</f>
        <v/>
      </c>
      <c r="O3" s="5" t="str">
        <f>IF(B16=K3,MAX(E:E),"")</f>
        <v/>
      </c>
      <c r="P3" s="1">
        <f ca="1">IF(Z3="+",TODAY()-B11,"")</f>
        <v>36</v>
      </c>
      <c r="Q3" s="1" t="str">
        <f>IF(B16=K3,MAX(E:E)-B11,"")</f>
        <v/>
      </c>
      <c r="T3" s="14"/>
      <c r="X3" s="5">
        <f>B9</f>
        <v>45909</v>
      </c>
      <c r="Y3" s="2">
        <f>B16*-1</f>
        <v>-50</v>
      </c>
      <c r="Z3" s="1" t="str">
        <f ca="1">IF(AND(TODAY()&gt;B11, K3&lt;&gt;B16), "+", "")</f>
        <v>+</v>
      </c>
    </row>
    <row r="4" spans="1:26" x14ac:dyDescent="0.25">
      <c r="A4" s="4" t="s">
        <v>19</v>
      </c>
      <c r="B4" s="5" t="s">
        <v>74</v>
      </c>
      <c r="D4" s="12">
        <v>45961</v>
      </c>
      <c r="E4" s="12">
        <v>45961</v>
      </c>
      <c r="F4" s="19">
        <f t="shared" si="0"/>
        <v>0</v>
      </c>
      <c r="G4" s="2">
        <v>4</v>
      </c>
      <c r="H4" s="1">
        <v>0.46</v>
      </c>
      <c r="I4" s="2">
        <v>0.03</v>
      </c>
      <c r="J4" s="9"/>
      <c r="X4" s="5">
        <f>E3</f>
        <v>45930</v>
      </c>
      <c r="Y4" s="2">
        <f>G3+H3-I3</f>
        <v>6.5900000000000007</v>
      </c>
    </row>
    <row r="5" spans="1:26" x14ac:dyDescent="0.25">
      <c r="A5" s="4"/>
      <c r="B5" s="5"/>
      <c r="D5" s="12">
        <v>45991</v>
      </c>
      <c r="E5" s="12">
        <v>45991</v>
      </c>
      <c r="F5" s="19">
        <f t="shared" si="0"/>
        <v>0</v>
      </c>
      <c r="G5" s="1">
        <v>4.8499999999999996</v>
      </c>
      <c r="H5" s="2">
        <v>0.4</v>
      </c>
      <c r="I5" s="2">
        <v>0.02</v>
      </c>
      <c r="J5" s="9"/>
      <c r="X5" s="5">
        <f t="shared" ref="X5:X52" si="1">E4</f>
        <v>45961</v>
      </c>
      <c r="Y5" s="2">
        <f t="shared" ref="Y5:Y52" si="2">G4+H4-I4</f>
        <v>4.43</v>
      </c>
    </row>
    <row r="6" spans="1:26" x14ac:dyDescent="0.25">
      <c r="A6" s="4"/>
      <c r="B6" s="5"/>
      <c r="D6" s="12">
        <v>46022</v>
      </c>
      <c r="E6" s="12">
        <v>46022</v>
      </c>
      <c r="F6" s="19">
        <f t="shared" si="0"/>
        <v>0</v>
      </c>
      <c r="G6" s="2">
        <v>8.4</v>
      </c>
      <c r="H6" s="1">
        <v>0.32</v>
      </c>
      <c r="I6" s="2">
        <v>0.02</v>
      </c>
      <c r="J6" s="9"/>
      <c r="X6" s="5">
        <f t="shared" si="1"/>
        <v>45991</v>
      </c>
      <c r="Y6" s="2">
        <f t="shared" si="2"/>
        <v>5.23</v>
      </c>
    </row>
    <row r="7" spans="1:26" x14ac:dyDescent="0.25">
      <c r="A7" s="4"/>
      <c r="B7" s="5"/>
      <c r="D7" s="12">
        <v>46053</v>
      </c>
      <c r="E7" s="12">
        <v>46053</v>
      </c>
      <c r="F7" s="19">
        <f t="shared" si="0"/>
        <v>0</v>
      </c>
      <c r="G7" s="1">
        <v>11.91</v>
      </c>
      <c r="H7" s="1">
        <v>0.23</v>
      </c>
      <c r="I7" s="2">
        <v>0.01</v>
      </c>
      <c r="J7" s="11"/>
      <c r="X7" s="5">
        <f t="shared" si="1"/>
        <v>46022</v>
      </c>
      <c r="Y7" s="2">
        <f t="shared" si="2"/>
        <v>8.7000000000000011</v>
      </c>
    </row>
    <row r="8" spans="1:26" x14ac:dyDescent="0.25">
      <c r="A8" s="4" t="s">
        <v>24</v>
      </c>
      <c r="B8" s="5" t="str">
        <f>DATEDIF(B9,B11,"y") &amp; " m. " &amp; DATEDIF(B9,B11,"ym") &amp; " mėn. " &amp; DATEDIF(B9,B11,"md") &amp; " d."</f>
        <v>0 m. 11 mėn. 16 d.</v>
      </c>
      <c r="D8" s="12">
        <v>46081</v>
      </c>
      <c r="E8" s="12">
        <v>46081</v>
      </c>
      <c r="F8" s="19">
        <f t="shared" si="0"/>
        <v>0</v>
      </c>
      <c r="G8" s="2">
        <v>10.9</v>
      </c>
      <c r="H8" s="1">
        <v>0.13</v>
      </c>
      <c r="I8" s="2">
        <v>0.01</v>
      </c>
      <c r="J8" s="9"/>
      <c r="X8" s="5">
        <f t="shared" si="1"/>
        <v>46053</v>
      </c>
      <c r="Y8" s="2">
        <f t="shared" si="2"/>
        <v>12.13</v>
      </c>
    </row>
    <row r="9" spans="1:26" x14ac:dyDescent="0.25">
      <c r="A9" s="4" t="s">
        <v>11</v>
      </c>
      <c r="B9" s="5">
        <v>45909</v>
      </c>
      <c r="D9" s="12">
        <v>46112</v>
      </c>
      <c r="E9" s="12">
        <v>46112</v>
      </c>
      <c r="F9" s="19">
        <f t="shared" si="0"/>
        <v>0</v>
      </c>
      <c r="G9" s="1">
        <v>3.38</v>
      </c>
      <c r="H9" s="1">
        <v>0.04</v>
      </c>
      <c r="I9" s="2">
        <v>0</v>
      </c>
      <c r="J9" s="11"/>
      <c r="X9" s="5">
        <f t="shared" si="1"/>
        <v>46081</v>
      </c>
      <c r="Y9" s="2">
        <f t="shared" si="2"/>
        <v>11.020000000000001</v>
      </c>
    </row>
    <row r="10" spans="1:26" x14ac:dyDescent="0.25">
      <c r="A10" s="4" t="s">
        <v>70</v>
      </c>
      <c r="B10" s="5">
        <v>45905</v>
      </c>
      <c r="D10" s="12">
        <v>46142</v>
      </c>
      <c r="E10" s="12">
        <v>46142</v>
      </c>
      <c r="F10" s="19">
        <f t="shared" si="0"/>
        <v>0</v>
      </c>
      <c r="G10" s="2">
        <v>0.26</v>
      </c>
      <c r="H10" s="2">
        <v>0</v>
      </c>
      <c r="I10" s="2">
        <v>0</v>
      </c>
      <c r="J10" s="11"/>
      <c r="X10" s="5">
        <f t="shared" si="1"/>
        <v>46112</v>
      </c>
      <c r="Y10" s="2">
        <f t="shared" si="2"/>
        <v>3.42</v>
      </c>
    </row>
    <row r="11" spans="1:26" x14ac:dyDescent="0.25">
      <c r="A11" s="4" t="s">
        <v>10</v>
      </c>
      <c r="B11" s="5">
        <v>46259</v>
      </c>
      <c r="D11" s="12">
        <v>46173</v>
      </c>
      <c r="E11" s="12">
        <v>46173</v>
      </c>
      <c r="F11" s="19">
        <f t="shared" si="0"/>
        <v>0</v>
      </c>
      <c r="G11" s="2">
        <v>0</v>
      </c>
      <c r="H11" s="2">
        <v>0</v>
      </c>
      <c r="I11" s="2">
        <v>0</v>
      </c>
      <c r="J11" s="11"/>
      <c r="X11" s="5">
        <f t="shared" si="1"/>
        <v>46142</v>
      </c>
      <c r="Y11" s="2">
        <f t="shared" si="2"/>
        <v>0.26</v>
      </c>
    </row>
    <row r="12" spans="1:26" x14ac:dyDescent="0.25">
      <c r="A12" s="4" t="s">
        <v>71</v>
      </c>
      <c r="B12" s="19">
        <f ca="1">IF(B16&lt;&gt;K3,(TODAY()-B11)*-1,"")</f>
        <v>-36</v>
      </c>
      <c r="D12" s="12">
        <v>46203</v>
      </c>
      <c r="E12" s="12">
        <v>46203</v>
      </c>
      <c r="F12" s="19">
        <f t="shared" si="0"/>
        <v>0</v>
      </c>
      <c r="G12" s="2">
        <v>0</v>
      </c>
      <c r="H12" s="2">
        <v>0</v>
      </c>
      <c r="I12" s="2">
        <v>0</v>
      </c>
      <c r="J12" s="11"/>
      <c r="X12" s="5">
        <f t="shared" si="1"/>
        <v>46173</v>
      </c>
      <c r="Y12" s="2">
        <f t="shared" si="2"/>
        <v>0</v>
      </c>
    </row>
    <row r="13" spans="1:26" x14ac:dyDescent="0.25">
      <c r="A13" s="4"/>
      <c r="B13" s="2"/>
      <c r="D13" s="12"/>
      <c r="E13" s="12"/>
      <c r="F13" s="19" t="str">
        <f t="shared" si="0"/>
        <v/>
      </c>
      <c r="G13" s="1"/>
      <c r="H13" s="2"/>
      <c r="I13" s="2"/>
      <c r="J13" s="11"/>
      <c r="N13" s="14"/>
      <c r="X13" s="5">
        <f t="shared" si="1"/>
        <v>46203</v>
      </c>
      <c r="Y13" s="2">
        <f t="shared" si="2"/>
        <v>0</v>
      </c>
    </row>
    <row r="14" spans="1:26" x14ac:dyDescent="0.25">
      <c r="A14" s="13"/>
      <c r="B14" s="20"/>
      <c r="D14" s="12"/>
      <c r="E14" s="5"/>
      <c r="F14" s="19" t="str">
        <f t="shared" si="0"/>
        <v/>
      </c>
      <c r="G14" s="1"/>
      <c r="H14" s="1"/>
      <c r="I14" s="1"/>
      <c r="J14" s="11"/>
      <c r="X14" s="5">
        <f t="shared" si="1"/>
        <v>0</v>
      </c>
      <c r="Y14" s="2">
        <f t="shared" si="2"/>
        <v>0</v>
      </c>
    </row>
    <row r="15" spans="1:26" x14ac:dyDescent="0.25">
      <c r="A15" s="4" t="s">
        <v>1</v>
      </c>
      <c r="B15" s="6">
        <v>0.125</v>
      </c>
      <c r="D15" s="12"/>
      <c r="E15" s="5"/>
      <c r="F15" s="19" t="str">
        <f t="shared" si="0"/>
        <v/>
      </c>
      <c r="G15" s="1"/>
      <c r="H15" s="1"/>
      <c r="I15" s="1"/>
      <c r="J15" s="11"/>
      <c r="K15" s="18"/>
      <c r="L15" s="18"/>
      <c r="M15" s="18"/>
      <c r="N15" s="18"/>
      <c r="O15" s="18"/>
      <c r="P15" s="18"/>
      <c r="Q15" s="18"/>
      <c r="X15" s="5">
        <f t="shared" si="1"/>
        <v>0</v>
      </c>
      <c r="Y15" s="2">
        <f t="shared" si="2"/>
        <v>0</v>
      </c>
    </row>
    <row r="16" spans="1:26" x14ac:dyDescent="0.25">
      <c r="A16" s="4" t="s">
        <v>72</v>
      </c>
      <c r="B16" s="2">
        <v>50</v>
      </c>
      <c r="D16" s="12"/>
      <c r="E16" s="5"/>
      <c r="F16" s="19" t="str">
        <f t="shared" si="0"/>
        <v/>
      </c>
      <c r="G16" s="1"/>
      <c r="H16" s="1"/>
      <c r="I16" s="1"/>
      <c r="J16" s="11"/>
      <c r="K16" s="9"/>
      <c r="L16" s="9"/>
      <c r="M16" s="9"/>
      <c r="N16" s="21"/>
      <c r="O16" s="22"/>
      <c r="P16" s="11"/>
      <c r="Q16" s="11"/>
      <c r="X16" s="5">
        <f t="shared" si="1"/>
        <v>0</v>
      </c>
      <c r="Y16" s="2">
        <f t="shared" si="2"/>
        <v>0</v>
      </c>
    </row>
    <row r="17" spans="4:25" x14ac:dyDescent="0.25">
      <c r="D17" s="12"/>
      <c r="E17" s="5"/>
      <c r="F17" s="19" t="str">
        <f t="shared" si="0"/>
        <v/>
      </c>
      <c r="G17" s="1"/>
      <c r="H17" s="1"/>
      <c r="I17" s="1"/>
      <c r="J17" s="11"/>
      <c r="X17" s="5">
        <f t="shared" si="1"/>
        <v>0</v>
      </c>
      <c r="Y17" s="2">
        <f t="shared" si="2"/>
        <v>0</v>
      </c>
    </row>
    <row r="18" spans="4:25" x14ac:dyDescent="0.25">
      <c r="D18" s="12"/>
      <c r="E18" s="5"/>
      <c r="F18" s="19" t="str">
        <f t="shared" si="0"/>
        <v/>
      </c>
      <c r="G18" s="1"/>
      <c r="H18" s="1"/>
      <c r="I18" s="1"/>
      <c r="J18" s="11"/>
      <c r="X18" s="5">
        <f t="shared" si="1"/>
        <v>0</v>
      </c>
      <c r="Y18" s="2">
        <f t="shared" si="2"/>
        <v>0</v>
      </c>
    </row>
    <row r="19" spans="4:25" x14ac:dyDescent="0.25">
      <c r="D19" s="12"/>
      <c r="E19" s="5"/>
      <c r="F19" s="19" t="str">
        <f t="shared" si="0"/>
        <v/>
      </c>
      <c r="G19" s="1"/>
      <c r="H19" s="1"/>
      <c r="I19" s="1"/>
      <c r="J19" s="11"/>
      <c r="X19" s="5">
        <f t="shared" si="1"/>
        <v>0</v>
      </c>
      <c r="Y19" s="2">
        <f t="shared" si="2"/>
        <v>0</v>
      </c>
    </row>
    <row r="20" spans="4:25" x14ac:dyDescent="0.25">
      <c r="D20" s="12"/>
      <c r="E20" s="5"/>
      <c r="F20" s="19" t="str">
        <f t="shared" si="0"/>
        <v/>
      </c>
      <c r="G20" s="1"/>
      <c r="H20" s="1"/>
      <c r="I20" s="1"/>
      <c r="J20" s="11"/>
      <c r="X20" s="5">
        <f t="shared" si="1"/>
        <v>0</v>
      </c>
      <c r="Y20" s="2">
        <f t="shared" si="2"/>
        <v>0</v>
      </c>
    </row>
    <row r="21" spans="4:25" x14ac:dyDescent="0.25">
      <c r="D21" s="12"/>
      <c r="E21" s="5"/>
      <c r="F21" s="19" t="str">
        <f t="shared" si="0"/>
        <v/>
      </c>
      <c r="G21" s="1"/>
      <c r="H21" s="1"/>
      <c r="I21" s="1"/>
      <c r="J21" s="11"/>
      <c r="X21" s="5">
        <f t="shared" si="1"/>
        <v>0</v>
      </c>
      <c r="Y21" s="2">
        <f t="shared" si="2"/>
        <v>0</v>
      </c>
    </row>
    <row r="22" spans="4:25" x14ac:dyDescent="0.25">
      <c r="D22" s="12"/>
      <c r="E22" s="5"/>
      <c r="F22" s="19" t="str">
        <f t="shared" si="0"/>
        <v/>
      </c>
      <c r="G22" s="1"/>
      <c r="H22" s="1"/>
      <c r="I22" s="1"/>
      <c r="J22" s="11"/>
      <c r="X22" s="5">
        <f t="shared" si="1"/>
        <v>0</v>
      </c>
      <c r="Y22" s="2">
        <f t="shared" si="2"/>
        <v>0</v>
      </c>
    </row>
    <row r="23" spans="4:25" x14ac:dyDescent="0.25">
      <c r="D23" s="12"/>
      <c r="E23" s="5"/>
      <c r="F23" s="19" t="str">
        <f t="shared" si="0"/>
        <v/>
      </c>
      <c r="G23" s="1"/>
      <c r="H23" s="1"/>
      <c r="I23" s="1"/>
      <c r="J23" s="11"/>
      <c r="X23" s="5">
        <f t="shared" si="1"/>
        <v>0</v>
      </c>
      <c r="Y23" s="2">
        <f t="shared" si="2"/>
        <v>0</v>
      </c>
    </row>
    <row r="24" spans="4:25" x14ac:dyDescent="0.25">
      <c r="D24" s="12"/>
      <c r="E24" s="5"/>
      <c r="F24" s="19" t="str">
        <f t="shared" si="0"/>
        <v/>
      </c>
      <c r="G24" s="1"/>
      <c r="H24" s="1"/>
      <c r="I24" s="1"/>
      <c r="J24" s="11"/>
      <c r="X24" s="5">
        <f t="shared" si="1"/>
        <v>0</v>
      </c>
      <c r="Y24" s="2">
        <f t="shared" si="2"/>
        <v>0</v>
      </c>
    </row>
    <row r="25" spans="4:25" x14ac:dyDescent="0.25">
      <c r="D25" s="12"/>
      <c r="E25" s="5"/>
      <c r="F25" s="19" t="str">
        <f t="shared" si="0"/>
        <v/>
      </c>
      <c r="G25" s="1"/>
      <c r="H25" s="1"/>
      <c r="I25" s="1"/>
      <c r="J25" s="11"/>
      <c r="X25" s="5">
        <f t="shared" si="1"/>
        <v>0</v>
      </c>
      <c r="Y25" s="2">
        <f t="shared" si="2"/>
        <v>0</v>
      </c>
    </row>
    <row r="26" spans="4:25" x14ac:dyDescent="0.25">
      <c r="D26" s="12"/>
      <c r="E26" s="5"/>
      <c r="F26" s="19" t="str">
        <f t="shared" si="0"/>
        <v/>
      </c>
      <c r="G26" s="1"/>
      <c r="H26" s="1"/>
      <c r="I26" s="1"/>
      <c r="J26" s="11"/>
      <c r="X26" s="5">
        <f t="shared" si="1"/>
        <v>0</v>
      </c>
      <c r="Y26" s="2">
        <f t="shared" si="2"/>
        <v>0</v>
      </c>
    </row>
    <row r="27" spans="4:25" x14ac:dyDescent="0.25">
      <c r="D27" s="12"/>
      <c r="E27" s="5"/>
      <c r="F27" s="19" t="str">
        <f t="shared" si="0"/>
        <v/>
      </c>
      <c r="G27" s="1"/>
      <c r="H27" s="1"/>
      <c r="I27" s="1"/>
      <c r="J27" s="11"/>
      <c r="X27" s="5">
        <f t="shared" si="1"/>
        <v>0</v>
      </c>
      <c r="Y27" s="2">
        <f t="shared" si="2"/>
        <v>0</v>
      </c>
    </row>
    <row r="28" spans="4:25" x14ac:dyDescent="0.25">
      <c r="D28" s="12"/>
      <c r="E28" s="5"/>
      <c r="F28" s="19" t="str">
        <f t="shared" si="0"/>
        <v/>
      </c>
      <c r="G28" s="1"/>
      <c r="H28" s="1"/>
      <c r="I28" s="1"/>
      <c r="J28" s="11"/>
      <c r="X28" s="5">
        <f t="shared" si="1"/>
        <v>0</v>
      </c>
      <c r="Y28" s="2">
        <f t="shared" si="2"/>
        <v>0</v>
      </c>
    </row>
    <row r="29" spans="4:25" x14ac:dyDescent="0.25">
      <c r="D29" s="12"/>
      <c r="E29" s="5"/>
      <c r="F29" s="19" t="str">
        <f t="shared" si="0"/>
        <v/>
      </c>
      <c r="G29" s="1"/>
      <c r="H29" s="1"/>
      <c r="I29" s="1"/>
      <c r="J29" s="11"/>
      <c r="X29" s="5">
        <f t="shared" si="1"/>
        <v>0</v>
      </c>
      <c r="Y29" s="2">
        <f t="shared" si="2"/>
        <v>0</v>
      </c>
    </row>
    <row r="30" spans="4:25" x14ac:dyDescent="0.25">
      <c r="D30" s="12"/>
      <c r="E30" s="5"/>
      <c r="F30" s="19" t="str">
        <f t="shared" si="0"/>
        <v/>
      </c>
      <c r="G30" s="1"/>
      <c r="H30" s="1"/>
      <c r="I30" s="1"/>
      <c r="J30" s="11"/>
      <c r="X30" s="5">
        <f t="shared" si="1"/>
        <v>0</v>
      </c>
      <c r="Y30" s="2">
        <f t="shared" si="2"/>
        <v>0</v>
      </c>
    </row>
    <row r="31" spans="4:25" x14ac:dyDescent="0.25">
      <c r="D31" s="12"/>
      <c r="E31" s="5"/>
      <c r="F31" s="19" t="str">
        <f t="shared" si="0"/>
        <v/>
      </c>
      <c r="G31" s="1"/>
      <c r="H31" s="1"/>
      <c r="I31" s="1"/>
      <c r="J31" s="11"/>
      <c r="X31" s="5">
        <f t="shared" si="1"/>
        <v>0</v>
      </c>
      <c r="Y31" s="2">
        <f t="shared" si="2"/>
        <v>0</v>
      </c>
    </row>
    <row r="32" spans="4:25" x14ac:dyDescent="0.25">
      <c r="D32" s="12"/>
      <c r="E32" s="5"/>
      <c r="F32" s="19" t="str">
        <f t="shared" si="0"/>
        <v/>
      </c>
      <c r="G32" s="1"/>
      <c r="H32" s="1"/>
      <c r="I32" s="1"/>
      <c r="J32" s="11"/>
      <c r="X32" s="5">
        <f t="shared" si="1"/>
        <v>0</v>
      </c>
      <c r="Y32" s="2">
        <f t="shared" si="2"/>
        <v>0</v>
      </c>
    </row>
    <row r="33" spans="4:25" x14ac:dyDescent="0.25">
      <c r="D33" s="12"/>
      <c r="E33" s="5"/>
      <c r="F33" s="19" t="str">
        <f t="shared" si="0"/>
        <v/>
      </c>
      <c r="G33" s="1"/>
      <c r="H33" s="1"/>
      <c r="I33" s="1"/>
      <c r="J33" s="11"/>
      <c r="X33" s="5">
        <f t="shared" si="1"/>
        <v>0</v>
      </c>
      <c r="Y33" s="2">
        <f t="shared" si="2"/>
        <v>0</v>
      </c>
    </row>
    <row r="34" spans="4:25" x14ac:dyDescent="0.25">
      <c r="D34" s="12"/>
      <c r="E34" s="5"/>
      <c r="F34" s="19" t="str">
        <f t="shared" si="0"/>
        <v/>
      </c>
      <c r="G34" s="1"/>
      <c r="H34" s="1"/>
      <c r="I34" s="1"/>
      <c r="J34" s="11"/>
      <c r="X34" s="5">
        <f t="shared" si="1"/>
        <v>0</v>
      </c>
      <c r="Y34" s="2">
        <f t="shared" si="2"/>
        <v>0</v>
      </c>
    </row>
    <row r="35" spans="4:25" x14ac:dyDescent="0.25">
      <c r="D35" s="12"/>
      <c r="E35" s="5"/>
      <c r="F35" s="19" t="str">
        <f t="shared" si="0"/>
        <v/>
      </c>
      <c r="G35" s="1"/>
      <c r="H35" s="1"/>
      <c r="I35" s="1"/>
      <c r="J35" s="11"/>
      <c r="X35" s="5">
        <f t="shared" si="1"/>
        <v>0</v>
      </c>
      <c r="Y35" s="2">
        <f t="shared" si="2"/>
        <v>0</v>
      </c>
    </row>
    <row r="36" spans="4:25" x14ac:dyDescent="0.25">
      <c r="D36" s="12"/>
      <c r="E36" s="5"/>
      <c r="F36" s="19" t="str">
        <f t="shared" si="0"/>
        <v/>
      </c>
      <c r="G36" s="1"/>
      <c r="H36" s="1"/>
      <c r="I36" s="1"/>
      <c r="J36" s="11"/>
      <c r="X36" s="5">
        <f t="shared" si="1"/>
        <v>0</v>
      </c>
      <c r="Y36" s="2">
        <f t="shared" si="2"/>
        <v>0</v>
      </c>
    </row>
    <row r="37" spans="4:25" x14ac:dyDescent="0.25">
      <c r="D37" s="12"/>
      <c r="E37" s="5"/>
      <c r="F37" s="19" t="str">
        <f t="shared" si="0"/>
        <v/>
      </c>
      <c r="G37" s="1"/>
      <c r="H37" s="1"/>
      <c r="I37" s="1"/>
      <c r="J37" s="11"/>
      <c r="X37" s="5">
        <f t="shared" si="1"/>
        <v>0</v>
      </c>
      <c r="Y37" s="2">
        <f t="shared" si="2"/>
        <v>0</v>
      </c>
    </row>
    <row r="38" spans="4:25" x14ac:dyDescent="0.25">
      <c r="D38" s="12"/>
      <c r="E38" s="5"/>
      <c r="F38" s="19" t="str">
        <f t="shared" si="0"/>
        <v/>
      </c>
      <c r="G38" s="1"/>
      <c r="H38" s="1"/>
      <c r="I38" s="1"/>
      <c r="J38" s="11"/>
      <c r="X38" s="5">
        <f t="shared" si="1"/>
        <v>0</v>
      </c>
      <c r="Y38" s="2">
        <f t="shared" si="2"/>
        <v>0</v>
      </c>
    </row>
    <row r="39" spans="4:25" x14ac:dyDescent="0.25">
      <c r="D39" s="12"/>
      <c r="E39" s="5"/>
      <c r="F39" s="19" t="str">
        <f t="shared" si="0"/>
        <v/>
      </c>
      <c r="G39" s="1"/>
      <c r="H39" s="1"/>
      <c r="I39" s="1"/>
      <c r="J39" s="11"/>
      <c r="X39" s="5">
        <f t="shared" si="1"/>
        <v>0</v>
      </c>
      <c r="Y39" s="2">
        <f t="shared" si="2"/>
        <v>0</v>
      </c>
    </row>
    <row r="40" spans="4:25" x14ac:dyDescent="0.25">
      <c r="D40" s="12"/>
      <c r="E40" s="5"/>
      <c r="F40" s="19" t="str">
        <f t="shared" si="0"/>
        <v/>
      </c>
      <c r="G40" s="1"/>
      <c r="H40" s="1"/>
      <c r="I40" s="1"/>
      <c r="J40" s="11"/>
      <c r="X40" s="5">
        <f t="shared" si="1"/>
        <v>0</v>
      </c>
      <c r="Y40" s="2">
        <f t="shared" si="2"/>
        <v>0</v>
      </c>
    </row>
    <row r="41" spans="4:25" x14ac:dyDescent="0.25">
      <c r="D41" s="12"/>
      <c r="E41" s="5"/>
      <c r="F41" s="19" t="str">
        <f t="shared" si="0"/>
        <v/>
      </c>
      <c r="G41" s="1"/>
      <c r="H41" s="1"/>
      <c r="I41" s="1"/>
      <c r="J41" s="11"/>
      <c r="X41" s="5">
        <f t="shared" si="1"/>
        <v>0</v>
      </c>
      <c r="Y41" s="2">
        <f t="shared" si="2"/>
        <v>0</v>
      </c>
    </row>
    <row r="42" spans="4:25" x14ac:dyDescent="0.25">
      <c r="D42" s="12"/>
      <c r="E42" s="5"/>
      <c r="F42" s="19" t="str">
        <f t="shared" si="0"/>
        <v/>
      </c>
      <c r="G42" s="1"/>
      <c r="H42" s="1"/>
      <c r="I42" s="1"/>
      <c r="J42" s="11"/>
      <c r="X42" s="5">
        <f t="shared" si="1"/>
        <v>0</v>
      </c>
      <c r="Y42" s="2">
        <f t="shared" si="2"/>
        <v>0</v>
      </c>
    </row>
    <row r="43" spans="4:25" x14ac:dyDescent="0.25">
      <c r="D43" s="12"/>
      <c r="E43" s="5"/>
      <c r="F43" s="19" t="str">
        <f t="shared" si="0"/>
        <v/>
      </c>
      <c r="G43" s="1"/>
      <c r="H43" s="1"/>
      <c r="I43" s="1"/>
      <c r="J43" s="11"/>
      <c r="X43" s="5">
        <f t="shared" si="1"/>
        <v>0</v>
      </c>
      <c r="Y43" s="2">
        <f t="shared" si="2"/>
        <v>0</v>
      </c>
    </row>
    <row r="44" spans="4:25" x14ac:dyDescent="0.25">
      <c r="D44" s="12"/>
      <c r="E44" s="5"/>
      <c r="F44" s="19" t="str">
        <f t="shared" si="0"/>
        <v/>
      </c>
      <c r="G44" s="1"/>
      <c r="H44" s="1"/>
      <c r="I44" s="1"/>
      <c r="J44" s="11"/>
      <c r="X44" s="5">
        <f t="shared" si="1"/>
        <v>0</v>
      </c>
      <c r="Y44" s="2">
        <f t="shared" si="2"/>
        <v>0</v>
      </c>
    </row>
    <row r="45" spans="4:25" x14ac:dyDescent="0.25">
      <c r="D45" s="12"/>
      <c r="E45" s="5"/>
      <c r="F45" s="19" t="str">
        <f t="shared" si="0"/>
        <v/>
      </c>
      <c r="G45" s="1"/>
      <c r="H45" s="1"/>
      <c r="I45" s="1"/>
      <c r="J45" s="11"/>
      <c r="X45" s="5">
        <f t="shared" si="1"/>
        <v>0</v>
      </c>
      <c r="Y45" s="2">
        <f t="shared" si="2"/>
        <v>0</v>
      </c>
    </row>
    <row r="46" spans="4:25" x14ac:dyDescent="0.25">
      <c r="D46" s="12"/>
      <c r="E46" s="5"/>
      <c r="F46" s="19" t="str">
        <f t="shared" si="0"/>
        <v/>
      </c>
      <c r="G46" s="1"/>
      <c r="H46" s="1"/>
      <c r="I46" s="1"/>
      <c r="J46" s="11"/>
      <c r="X46" s="5">
        <f t="shared" si="1"/>
        <v>0</v>
      </c>
      <c r="Y46" s="2">
        <f t="shared" si="2"/>
        <v>0</v>
      </c>
    </row>
    <row r="47" spans="4:25" x14ac:dyDescent="0.25">
      <c r="D47" s="12"/>
      <c r="E47" s="5"/>
      <c r="F47" s="19" t="str">
        <f t="shared" si="0"/>
        <v/>
      </c>
      <c r="G47" s="1"/>
      <c r="H47" s="1"/>
      <c r="I47" s="1"/>
      <c r="J47" s="11"/>
      <c r="X47" s="5">
        <f t="shared" si="1"/>
        <v>0</v>
      </c>
      <c r="Y47" s="2">
        <f t="shared" si="2"/>
        <v>0</v>
      </c>
    </row>
    <row r="48" spans="4:25" x14ac:dyDescent="0.25">
      <c r="D48" s="12"/>
      <c r="E48" s="5"/>
      <c r="F48" s="19" t="str">
        <f t="shared" si="0"/>
        <v/>
      </c>
      <c r="G48" s="1"/>
      <c r="H48" s="1"/>
      <c r="I48" s="1"/>
      <c r="J48" s="11"/>
      <c r="X48" s="5">
        <f t="shared" si="1"/>
        <v>0</v>
      </c>
      <c r="Y48" s="2">
        <f t="shared" si="2"/>
        <v>0</v>
      </c>
    </row>
    <row r="49" spans="4:25" x14ac:dyDescent="0.25">
      <c r="D49" s="12"/>
      <c r="E49" s="5"/>
      <c r="F49" s="19" t="str">
        <f t="shared" si="0"/>
        <v/>
      </c>
      <c r="G49" s="1"/>
      <c r="H49" s="1"/>
      <c r="I49" s="1"/>
      <c r="J49" s="11"/>
      <c r="X49" s="5">
        <f t="shared" si="1"/>
        <v>0</v>
      </c>
      <c r="Y49" s="2">
        <f t="shared" si="2"/>
        <v>0</v>
      </c>
    </row>
    <row r="50" spans="4:25" x14ac:dyDescent="0.25">
      <c r="D50" s="12"/>
      <c r="E50" s="5"/>
      <c r="F50" s="19" t="str">
        <f t="shared" si="0"/>
        <v/>
      </c>
      <c r="G50" s="1"/>
      <c r="H50" s="1"/>
      <c r="I50" s="1"/>
      <c r="J50" s="11"/>
      <c r="X50" s="5">
        <f t="shared" si="1"/>
        <v>0</v>
      </c>
      <c r="Y50" s="2">
        <f t="shared" si="2"/>
        <v>0</v>
      </c>
    </row>
    <row r="51" spans="4:25" x14ac:dyDescent="0.25">
      <c r="D51" s="12"/>
      <c r="E51" s="5"/>
      <c r="F51" s="19" t="str">
        <f t="shared" si="0"/>
        <v/>
      </c>
      <c r="G51" s="1"/>
      <c r="H51" s="1"/>
      <c r="I51" s="1"/>
      <c r="J51" s="11"/>
      <c r="X51" s="5">
        <f t="shared" si="1"/>
        <v>0</v>
      </c>
      <c r="Y51" s="2">
        <f t="shared" si="2"/>
        <v>0</v>
      </c>
    </row>
    <row r="52" spans="4:25" x14ac:dyDescent="0.25">
      <c r="D52" s="12"/>
      <c r="E52" s="5"/>
      <c r="F52" s="19" t="str">
        <f t="shared" si="0"/>
        <v/>
      </c>
      <c r="G52" s="1"/>
      <c r="H52" s="1"/>
      <c r="I52" s="1"/>
      <c r="J52" s="9"/>
      <c r="X52" s="5">
        <f t="shared" si="1"/>
        <v>0</v>
      </c>
      <c r="Y52" s="2">
        <f t="shared" si="2"/>
        <v>0</v>
      </c>
    </row>
    <row r="53" spans="4:25" x14ac:dyDescent="0.25">
      <c r="D53" s="1" t="s">
        <v>25</v>
      </c>
      <c r="E53" s="23"/>
      <c r="F53" s="2"/>
      <c r="G53" s="2">
        <f>SUM(G3:G52)</f>
        <v>49.99</v>
      </c>
      <c r="H53" s="2">
        <f t="shared" ref="H53:I53" si="3">SUM(H3:H52)</f>
        <v>1.9000000000000004</v>
      </c>
      <c r="I53" s="2">
        <f t="shared" si="3"/>
        <v>0.11</v>
      </c>
    </row>
  </sheetData>
  <mergeCells count="4">
    <mergeCell ref="D1:F1"/>
    <mergeCell ref="G1:I1"/>
    <mergeCell ref="K1:Q1"/>
    <mergeCell ref="X1:Z1"/>
  </mergeCells>
  <conditionalFormatting sqref="A1:B1">
    <cfRule type="expression" dxfId="3" priority="1">
      <formula>$Z$3="+"</formula>
    </cfRule>
    <cfRule type="expression" dxfId="2" priority="2">
      <formula>$B$16=$K$3</formula>
    </cfRule>
  </conditionalFormatting>
  <conditionalFormatting sqref="P3">
    <cfRule type="expression" dxfId="1" priority="6">
      <formula>$Z$3="+"</formula>
    </cfRule>
  </conditionalFormatting>
  <conditionalFormatting sqref="Z3">
    <cfRule type="expression" dxfId="0" priority="7">
      <formula>$Z$3="+"</formula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56</vt:i4>
      </vt:variant>
    </vt:vector>
  </HeadingPairs>
  <TitlesOfParts>
    <vt:vector size="56" baseType="lpstr">
      <vt:lpstr>Overview</vt:lpstr>
      <vt:lpstr>Pinigai</vt:lpstr>
      <vt:lpstr>LVX0000VRTQ4</vt:lpstr>
      <vt:lpstr>LVX0000VQWW8</vt:lpstr>
      <vt:lpstr>LVX0000VISL6</vt:lpstr>
      <vt:lpstr>LVX0000VQWF3</vt:lpstr>
      <vt:lpstr>LVX0000VG2M4</vt:lpstr>
      <vt:lpstr>LVX0000VIR76</vt:lpstr>
      <vt:lpstr>LVX0000VHJ69</vt:lpstr>
      <vt:lpstr>LVX0000VG7N1</vt:lpstr>
      <vt:lpstr>LVX0000VG7G5</vt:lpstr>
      <vt:lpstr>LVX0000VDGZ2</vt:lpstr>
      <vt:lpstr>LVX0000V0S54</vt:lpstr>
      <vt:lpstr>LVX0000V3XU4</vt:lpstr>
      <vt:lpstr>LVX0000UXVI7</vt:lpstr>
      <vt:lpstr>LVX0000UXVE6</vt:lpstr>
      <vt:lpstr>LVX0000UUJT5</vt:lpstr>
      <vt:lpstr>LVX0000URIF2 (2)</vt:lpstr>
      <vt:lpstr>LVX0000URIF2</vt:lpstr>
      <vt:lpstr>LVX0000UP6R4</vt:lpstr>
      <vt:lpstr>LVX0000ULW59</vt:lpstr>
      <vt:lpstr>LVX0000U4UG8</vt:lpstr>
      <vt:lpstr>LVX0000TRJ61</vt:lpstr>
      <vt:lpstr>LVX0000TRIW9</vt:lpstr>
      <vt:lpstr>LVX0000TPE43</vt:lpstr>
      <vt:lpstr>LVX0000TJQV1</vt:lpstr>
      <vt:lpstr>LVX0000TJR12</vt:lpstr>
      <vt:lpstr>LVX0000TL6K6</vt:lpstr>
      <vt:lpstr>LVX0000TJMX6</vt:lpstr>
      <vt:lpstr>LVX0000ST8W0</vt:lpstr>
      <vt:lpstr>LVX0000T2IT3</vt:lpstr>
      <vt:lpstr>LVX0000T2IU1</vt:lpstr>
      <vt:lpstr>LVX0000SIO33</vt:lpstr>
      <vt:lpstr>LVX0000RXUV8</vt:lpstr>
      <vt:lpstr>LVX0000RLA27</vt:lpstr>
      <vt:lpstr>LVX0000RLA68</vt:lpstr>
      <vt:lpstr>LVX0000RL9Z0</vt:lpstr>
      <vt:lpstr>LVX0000RL9Y3</vt:lpstr>
      <vt:lpstr>LVX0000R7P58</vt:lpstr>
      <vt:lpstr>LVX0000RAM67</vt:lpstr>
      <vt:lpstr>LVX0000RAL27</vt:lpstr>
      <vt:lpstr>LVX0000R32A7</vt:lpstr>
      <vt:lpstr>LVX0000R31L6</vt:lpstr>
      <vt:lpstr>LVX0000QSAL3</vt:lpstr>
      <vt:lpstr>LVX0000QBKH6</vt:lpstr>
      <vt:lpstr>LVX0000Q0E27</vt:lpstr>
      <vt:lpstr>LVX0000PQUG7</vt:lpstr>
      <vt:lpstr>LVX0000Q0ED3</vt:lpstr>
      <vt:lpstr>LVX0000PQUR4</vt:lpstr>
      <vt:lpstr>LVX0000Q7QJ9</vt:lpstr>
      <vt:lpstr>LVX0000PQUM5</vt:lpstr>
      <vt:lpstr>LVX0000PLQM4</vt:lpstr>
      <vt:lpstr>LVX0000PQRD0</vt:lpstr>
      <vt:lpstr>LVX0000PLPE3</vt:lpstr>
      <vt:lpstr>LVX0000PFLZ9</vt:lpstr>
      <vt:lpstr>LVX0000P9SY1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Evaldas</dc:creator>
  <cp:lastModifiedBy>Evaldas Čeilytkas</cp:lastModifiedBy>
  <dcterms:created xsi:type="dcterms:W3CDTF">2025-05-22T07:09:11Z</dcterms:created>
  <dcterms:modified xsi:type="dcterms:W3CDTF">2026-09-30T18:03:17Z</dcterms:modified>
</cp:coreProperties>
</file>