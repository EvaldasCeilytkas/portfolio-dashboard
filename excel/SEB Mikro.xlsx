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nvestavimas 2026.08.08\SEB\Mikro\"/>
    </mc:Choice>
  </mc:AlternateContent>
  <xr:revisionPtr revIDLastSave="0" documentId="13_ncr:1_{792D50AE-1A2C-4689-B335-AE46C1F3DF0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žvalga" sheetId="81" r:id="rId1"/>
    <sheet name="SLMC" sheetId="46" r:id="rId2"/>
    <sheet name="AYEM" sheetId="48" r:id="rId3"/>
    <sheet name="SGAJ" sheetId="57" r:id="rId4"/>
    <sheet name="WEBN" sheetId="78" r:id="rId5"/>
    <sheet name="XNAS" sheetId="79" r:id="rId6"/>
    <sheet name="SGAS" sheetId="35" r:id="rId7"/>
    <sheet name="SLMG" sheetId="58" r:id="rId8"/>
    <sheet name="SECA" sheetId="72" r:id="rId9"/>
    <sheet name="AYE2" sheetId="73" r:id="rId10"/>
    <sheet name="ECRP" sheetId="74" r:id="rId11"/>
    <sheet name="IUSN" sheetId="75" r:id="rId12"/>
    <sheet name="ECR3" sheetId="76" r:id="rId13"/>
    <sheet name="SPYL" sheetId="77" r:id="rId14"/>
    <sheet name="2026.09" sheetId="101" r:id="rId15"/>
    <sheet name="2026.08" sheetId="100" r:id="rId16"/>
    <sheet name="2026.07" sheetId="99" r:id="rId17"/>
    <sheet name="2026.06" sheetId="98" r:id="rId18"/>
    <sheet name="2026.05" sheetId="97" r:id="rId19"/>
    <sheet name="2026.04" sheetId="96" r:id="rId20"/>
    <sheet name="2026.03" sheetId="95" r:id="rId21"/>
    <sheet name="2026.02" sheetId="94" r:id="rId22"/>
    <sheet name="2026.01" sheetId="93" r:id="rId23"/>
    <sheet name="2025.12" sheetId="87" r:id="rId24"/>
    <sheet name="2025.11" sheetId="86" r:id="rId25"/>
    <sheet name="2025.10" sheetId="85" r:id="rId26"/>
    <sheet name="2025.09" sheetId="84" r:id="rId27"/>
    <sheet name="2025.08" sheetId="83" r:id="rId28"/>
    <sheet name="2025.07" sheetId="82" r:id="rId29"/>
    <sheet name="2025.06" sheetId="80" r:id="rId30"/>
    <sheet name="2025.05" sheetId="64" r:id="rId31"/>
    <sheet name="2025.04" sheetId="71" r:id="rId32"/>
    <sheet name="2025.03" sheetId="63" r:id="rId33"/>
    <sheet name="2025.02" sheetId="56" r:id="rId34"/>
    <sheet name="2025.01" sheetId="70" r:id="rId35"/>
    <sheet name="2024.12" sheetId="69" r:id="rId36"/>
    <sheet name="2024.11" sheetId="62" r:id="rId37"/>
    <sheet name="2024.10" sheetId="68" r:id="rId38"/>
    <sheet name="2024.09" sheetId="67" r:id="rId39"/>
    <sheet name="2024.08" sheetId="66" r:id="rId40"/>
    <sheet name="2024.07" sheetId="65" r:id="rId41"/>
    <sheet name="2024.06" sheetId="60" r:id="rId42"/>
    <sheet name="2024.05" sheetId="59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" i="79" l="1"/>
  <c r="AF14" i="79"/>
  <c r="AE24" i="79"/>
  <c r="AD24" i="79"/>
  <c r="AC24" i="79"/>
  <c r="AG16" i="78"/>
  <c r="AF16" i="78"/>
  <c r="AG14" i="57"/>
  <c r="AF14" i="57"/>
  <c r="AG16" i="48"/>
  <c r="AF16" i="48"/>
  <c r="AF200" i="48"/>
  <c r="AF200" i="46"/>
  <c r="AG14" i="46"/>
  <c r="AF14" i="46"/>
  <c r="M23" i="79"/>
  <c r="L23" i="79"/>
  <c r="K23" i="79"/>
  <c r="A23" i="79"/>
  <c r="AC23" i="79"/>
  <c r="AD23" i="79"/>
  <c r="AE23" i="79"/>
  <c r="AE22" i="79"/>
  <c r="AD22" i="79"/>
  <c r="AC22" i="79"/>
  <c r="M23" i="78"/>
  <c r="L23" i="78"/>
  <c r="K23" i="78"/>
  <c r="C23" i="78"/>
  <c r="D23" i="78" s="1"/>
  <c r="B23" i="78"/>
  <c r="A23" i="78"/>
  <c r="AE22" i="78"/>
  <c r="AD22" i="78"/>
  <c r="AC22" i="78"/>
  <c r="AC32" i="57"/>
  <c r="M32" i="57"/>
  <c r="L32" i="57"/>
  <c r="K32" i="57"/>
  <c r="A32" i="57"/>
  <c r="AE31" i="57"/>
  <c r="AD31" i="57"/>
  <c r="AC31" i="57"/>
  <c r="M33" i="48"/>
  <c r="L33" i="48"/>
  <c r="K33" i="48"/>
  <c r="C33" i="48"/>
  <c r="D33" i="48" s="1"/>
  <c r="B33" i="48"/>
  <c r="A33" i="48"/>
  <c r="AE32" i="48"/>
  <c r="AD32" i="48"/>
  <c r="AC32" i="48"/>
  <c r="M33" i="46"/>
  <c r="L33" i="46"/>
  <c r="K33" i="46"/>
  <c r="A33" i="46"/>
  <c r="AE32" i="46"/>
  <c r="AD32" i="46"/>
  <c r="AC32" i="46"/>
  <c r="X31" i="81"/>
  <c r="W31" i="81"/>
  <c r="V31" i="81"/>
  <c r="U31" i="81"/>
  <c r="C31" i="81"/>
  <c r="A31" i="81"/>
  <c r="U5" i="101"/>
  <c r="O139" i="101"/>
  <c r="L139" i="101"/>
  <c r="J139" i="101"/>
  <c r="I139" i="101"/>
  <c r="D139" i="101"/>
  <c r="B139" i="101"/>
  <c r="B23" i="79" s="1"/>
  <c r="C135" i="101"/>
  <c r="C139" i="101" s="1"/>
  <c r="C23" i="79" s="1"/>
  <c r="D23" i="79" s="1"/>
  <c r="O129" i="101"/>
  <c r="L129" i="101"/>
  <c r="J129" i="101"/>
  <c r="I129" i="101"/>
  <c r="D129" i="101"/>
  <c r="B129" i="101"/>
  <c r="C125" i="101"/>
  <c r="C129" i="101" s="1"/>
  <c r="AC23" i="78" s="1"/>
  <c r="O119" i="101"/>
  <c r="L119" i="101"/>
  <c r="J119" i="101"/>
  <c r="I119" i="101"/>
  <c r="F119" i="101"/>
  <c r="D119" i="101"/>
  <c r="C119" i="101"/>
  <c r="B119" i="101"/>
  <c r="E119" i="101" s="1"/>
  <c r="O109" i="101"/>
  <c r="L109" i="101"/>
  <c r="J109" i="101"/>
  <c r="I109" i="101"/>
  <c r="F109" i="101"/>
  <c r="D109" i="101"/>
  <c r="C109" i="101"/>
  <c r="B109" i="101"/>
  <c r="E109" i="101" s="1"/>
  <c r="O99" i="101"/>
  <c r="L99" i="101"/>
  <c r="J99" i="101"/>
  <c r="I99" i="101"/>
  <c r="F99" i="101"/>
  <c r="E99" i="101"/>
  <c r="D99" i="101"/>
  <c r="C99" i="101"/>
  <c r="B99" i="101"/>
  <c r="O89" i="101"/>
  <c r="L89" i="101"/>
  <c r="J89" i="101"/>
  <c r="I89" i="101"/>
  <c r="F89" i="101"/>
  <c r="D89" i="101"/>
  <c r="C89" i="101"/>
  <c r="B89" i="101"/>
  <c r="E89" i="101" s="1"/>
  <c r="O79" i="101"/>
  <c r="L79" i="101"/>
  <c r="J79" i="101"/>
  <c r="I79" i="101"/>
  <c r="F79" i="101"/>
  <c r="D79" i="101"/>
  <c r="C79" i="101"/>
  <c r="B79" i="101"/>
  <c r="E79" i="101" s="1"/>
  <c r="O69" i="101"/>
  <c r="L69" i="101"/>
  <c r="J69" i="101"/>
  <c r="W5" i="101" s="1"/>
  <c r="I69" i="101"/>
  <c r="F69" i="101"/>
  <c r="E69" i="101"/>
  <c r="D69" i="101"/>
  <c r="C69" i="101"/>
  <c r="B69" i="101"/>
  <c r="O59" i="101"/>
  <c r="L59" i="101"/>
  <c r="J59" i="101"/>
  <c r="I59" i="101"/>
  <c r="F59" i="101"/>
  <c r="E59" i="101"/>
  <c r="D59" i="101"/>
  <c r="C59" i="101"/>
  <c r="B59" i="101"/>
  <c r="O49" i="101"/>
  <c r="L49" i="101"/>
  <c r="J49" i="101"/>
  <c r="I49" i="101"/>
  <c r="D49" i="101"/>
  <c r="B49" i="101"/>
  <c r="B32" i="57" s="1"/>
  <c r="C45" i="101"/>
  <c r="C49" i="101" s="1"/>
  <c r="C32" i="57" s="1"/>
  <c r="D32" i="57" s="1"/>
  <c r="O39" i="101"/>
  <c r="L39" i="101"/>
  <c r="J39" i="101"/>
  <c r="I39" i="101"/>
  <c r="D39" i="101"/>
  <c r="B39" i="101"/>
  <c r="C35" i="101"/>
  <c r="C39" i="101" s="1"/>
  <c r="AC33" i="48" s="1"/>
  <c r="O29" i="101"/>
  <c r="X5" i="101" s="1"/>
  <c r="L29" i="101"/>
  <c r="J29" i="101"/>
  <c r="I29" i="101"/>
  <c r="D29" i="101"/>
  <c r="B29" i="101"/>
  <c r="B33" i="46" s="1"/>
  <c r="C25" i="101"/>
  <c r="C29" i="101" s="1"/>
  <c r="AC33" i="46" s="1"/>
  <c r="O19" i="101"/>
  <c r="L19" i="101"/>
  <c r="J19" i="101"/>
  <c r="I19" i="101"/>
  <c r="F19" i="101"/>
  <c r="D19" i="101"/>
  <c r="C19" i="101"/>
  <c r="B19" i="101"/>
  <c r="E19" i="101" s="1"/>
  <c r="AG13" i="79"/>
  <c r="AF13" i="79"/>
  <c r="AG15" i="78"/>
  <c r="AF15" i="78"/>
  <c r="AG13" i="57"/>
  <c r="AF13" i="57"/>
  <c r="AG15" i="48"/>
  <c r="AF15" i="48"/>
  <c r="AG13" i="46"/>
  <c r="AF13" i="46"/>
  <c r="X30" i="81"/>
  <c r="R30" i="81" s="1"/>
  <c r="S30" i="81" s="1"/>
  <c r="T30" i="81" s="1"/>
  <c r="W30" i="81"/>
  <c r="V30" i="81"/>
  <c r="U30" i="81"/>
  <c r="D30" i="81"/>
  <c r="C30" i="81"/>
  <c r="B30" i="81"/>
  <c r="A30" i="81"/>
  <c r="E30" i="81"/>
  <c r="F30" i="81"/>
  <c r="G30" i="81"/>
  <c r="H30" i="81"/>
  <c r="I30" i="81"/>
  <c r="M22" i="79"/>
  <c r="L22" i="79"/>
  <c r="K22" i="79"/>
  <c r="E22" i="79"/>
  <c r="C22" i="79"/>
  <c r="B22" i="79"/>
  <c r="A22" i="79"/>
  <c r="D22" i="79"/>
  <c r="F22" i="79"/>
  <c r="H22" i="79" s="1"/>
  <c r="M22" i="78"/>
  <c r="L22" i="78"/>
  <c r="K22" i="78"/>
  <c r="E22" i="78"/>
  <c r="C22" i="78"/>
  <c r="B22" i="78"/>
  <c r="A22" i="78"/>
  <c r="D22" i="78"/>
  <c r="F22" i="78"/>
  <c r="H22" i="78" s="1"/>
  <c r="M31" i="57"/>
  <c r="L31" i="57"/>
  <c r="K31" i="57"/>
  <c r="E31" i="57"/>
  <c r="C31" i="57"/>
  <c r="B31" i="57"/>
  <c r="A31" i="57"/>
  <c r="D31" i="57"/>
  <c r="F31" i="57"/>
  <c r="H31" i="57" s="1"/>
  <c r="M32" i="48"/>
  <c r="L32" i="48"/>
  <c r="K32" i="48"/>
  <c r="E32" i="48"/>
  <c r="C32" i="48"/>
  <c r="B32" i="48"/>
  <c r="A32" i="48"/>
  <c r="D32" i="48"/>
  <c r="F32" i="48"/>
  <c r="H32" i="48" s="1"/>
  <c r="M32" i="46"/>
  <c r="L32" i="46"/>
  <c r="K32" i="46"/>
  <c r="E32" i="46"/>
  <c r="C32" i="46"/>
  <c r="B32" i="46"/>
  <c r="A32" i="46"/>
  <c r="D32" i="46"/>
  <c r="F32" i="46"/>
  <c r="H32" i="46" s="1"/>
  <c r="C135" i="100"/>
  <c r="O139" i="100"/>
  <c r="L139" i="100"/>
  <c r="J139" i="100"/>
  <c r="I139" i="100"/>
  <c r="D139" i="100"/>
  <c r="B139" i="100"/>
  <c r="C139" i="100"/>
  <c r="O129" i="100"/>
  <c r="L129" i="100"/>
  <c r="J129" i="100"/>
  <c r="I129" i="100"/>
  <c r="D129" i="100"/>
  <c r="B129" i="100"/>
  <c r="C125" i="100"/>
  <c r="C129" i="100" s="1"/>
  <c r="O119" i="100"/>
  <c r="L119" i="100"/>
  <c r="J119" i="100"/>
  <c r="I119" i="100"/>
  <c r="F119" i="100"/>
  <c r="E119" i="100"/>
  <c r="D119" i="100"/>
  <c r="C119" i="100"/>
  <c r="B119" i="100"/>
  <c r="O109" i="100"/>
  <c r="L109" i="100"/>
  <c r="J109" i="100"/>
  <c r="I109" i="100"/>
  <c r="F109" i="100"/>
  <c r="D109" i="100"/>
  <c r="C109" i="100"/>
  <c r="B109" i="100"/>
  <c r="E109" i="100" s="1"/>
  <c r="O99" i="100"/>
  <c r="L99" i="100"/>
  <c r="J99" i="100"/>
  <c r="I99" i="100"/>
  <c r="F99" i="100"/>
  <c r="D99" i="100"/>
  <c r="C99" i="100"/>
  <c r="B99" i="100"/>
  <c r="E99" i="100" s="1"/>
  <c r="O89" i="100"/>
  <c r="L89" i="100"/>
  <c r="J89" i="100"/>
  <c r="I89" i="100"/>
  <c r="F89" i="100"/>
  <c r="D89" i="100"/>
  <c r="C89" i="100"/>
  <c r="B89" i="100"/>
  <c r="E89" i="100" s="1"/>
  <c r="O79" i="100"/>
  <c r="L79" i="100"/>
  <c r="J79" i="100"/>
  <c r="I79" i="100"/>
  <c r="F79" i="100"/>
  <c r="D79" i="100"/>
  <c r="C79" i="100"/>
  <c r="B79" i="100"/>
  <c r="E79" i="100" s="1"/>
  <c r="O69" i="100"/>
  <c r="L69" i="100"/>
  <c r="J69" i="100"/>
  <c r="W5" i="100" s="1"/>
  <c r="I69" i="100"/>
  <c r="F69" i="100"/>
  <c r="E69" i="100"/>
  <c r="D69" i="100"/>
  <c r="C69" i="100"/>
  <c r="B69" i="100"/>
  <c r="O59" i="100"/>
  <c r="L59" i="100"/>
  <c r="J59" i="100"/>
  <c r="I59" i="100"/>
  <c r="F59" i="100"/>
  <c r="E59" i="100"/>
  <c r="D59" i="100"/>
  <c r="C59" i="100"/>
  <c r="B59" i="100"/>
  <c r="O49" i="100"/>
  <c r="L49" i="100"/>
  <c r="J49" i="100"/>
  <c r="I49" i="100"/>
  <c r="D49" i="100"/>
  <c r="B49" i="100"/>
  <c r="C45" i="100"/>
  <c r="C49" i="100" s="1"/>
  <c r="O39" i="100"/>
  <c r="X5" i="100" s="1"/>
  <c r="L39" i="100"/>
  <c r="J39" i="100"/>
  <c r="I39" i="100"/>
  <c r="D39" i="100"/>
  <c r="B39" i="100"/>
  <c r="C35" i="100"/>
  <c r="C39" i="100" s="1"/>
  <c r="O29" i="100"/>
  <c r="L29" i="100"/>
  <c r="J29" i="100"/>
  <c r="I29" i="100"/>
  <c r="D29" i="100"/>
  <c r="B29" i="100"/>
  <c r="C25" i="100"/>
  <c r="C29" i="100" s="1"/>
  <c r="O19" i="100"/>
  <c r="L19" i="100"/>
  <c r="J19" i="100"/>
  <c r="I19" i="100"/>
  <c r="T5" i="100" s="1"/>
  <c r="F19" i="100"/>
  <c r="D19" i="100"/>
  <c r="C19" i="100"/>
  <c r="B19" i="100"/>
  <c r="E19" i="100" s="1"/>
  <c r="AU2" i="81"/>
  <c r="AG12" i="79"/>
  <c r="AF12" i="79"/>
  <c r="AE21" i="79"/>
  <c r="AE20" i="79"/>
  <c r="AD21" i="79"/>
  <c r="AD20" i="79"/>
  <c r="AC21" i="79"/>
  <c r="AC20" i="79"/>
  <c r="AG14" i="78"/>
  <c r="AF14" i="78"/>
  <c r="AE21" i="78"/>
  <c r="AE20" i="78"/>
  <c r="AD21" i="78"/>
  <c r="AD20" i="78"/>
  <c r="AC21" i="78"/>
  <c r="AC20" i="78"/>
  <c r="AG12" i="57"/>
  <c r="AF12" i="57"/>
  <c r="AE30" i="57"/>
  <c r="AE29" i="57"/>
  <c r="AD30" i="57"/>
  <c r="AD29" i="57"/>
  <c r="AC30" i="57"/>
  <c r="AC29" i="57"/>
  <c r="AG14" i="48"/>
  <c r="AF14" i="48"/>
  <c r="AE31" i="48"/>
  <c r="AD31" i="48"/>
  <c r="AC31" i="48"/>
  <c r="AE30" i="48"/>
  <c r="AD30" i="48"/>
  <c r="AC30" i="48"/>
  <c r="AE31" i="46"/>
  <c r="AE30" i="46"/>
  <c r="AD31" i="46"/>
  <c r="AD30" i="46"/>
  <c r="AC31" i="46"/>
  <c r="AC30" i="46"/>
  <c r="AG12" i="46"/>
  <c r="AF12" i="46"/>
  <c r="X29" i="81"/>
  <c r="W29" i="81"/>
  <c r="V29" i="81"/>
  <c r="U29" i="81"/>
  <c r="C29" i="81"/>
  <c r="A29" i="81"/>
  <c r="E29" i="81"/>
  <c r="G29" i="81"/>
  <c r="H29" i="81"/>
  <c r="M21" i="79"/>
  <c r="L21" i="79"/>
  <c r="K21" i="79"/>
  <c r="E21" i="79"/>
  <c r="C21" i="79"/>
  <c r="B21" i="79"/>
  <c r="A21" i="79"/>
  <c r="D21" i="79"/>
  <c r="F21" i="79"/>
  <c r="H21" i="79" s="1"/>
  <c r="I29" i="81" s="1"/>
  <c r="M21" i="78"/>
  <c r="L21" i="78"/>
  <c r="K21" i="78"/>
  <c r="E21" i="78"/>
  <c r="C21" i="78"/>
  <c r="B21" i="78"/>
  <c r="A21" i="78"/>
  <c r="D21" i="78"/>
  <c r="F21" i="78"/>
  <c r="H21" i="78" s="1"/>
  <c r="I21" i="78" s="1"/>
  <c r="M30" i="57"/>
  <c r="L30" i="57"/>
  <c r="K30" i="57"/>
  <c r="E30" i="57"/>
  <c r="C30" i="57"/>
  <c r="B30" i="57"/>
  <c r="A30" i="57"/>
  <c r="D30" i="57"/>
  <c r="F30" i="57"/>
  <c r="H30" i="57" s="1"/>
  <c r="M31" i="48"/>
  <c r="L31" i="48"/>
  <c r="K31" i="48"/>
  <c r="E31" i="48"/>
  <c r="C31" i="48"/>
  <c r="B31" i="48"/>
  <c r="A31" i="48"/>
  <c r="D31" i="48"/>
  <c r="F31" i="48"/>
  <c r="H31" i="48" s="1"/>
  <c r="F29" i="81" s="1"/>
  <c r="M31" i="46"/>
  <c r="L31" i="46"/>
  <c r="K31" i="46"/>
  <c r="E31" i="46"/>
  <c r="C31" i="46"/>
  <c r="B31" i="46"/>
  <c r="A31" i="46"/>
  <c r="D31" i="46"/>
  <c r="F31" i="46"/>
  <c r="H31" i="46" s="1"/>
  <c r="O139" i="99"/>
  <c r="L139" i="99"/>
  <c r="J139" i="99"/>
  <c r="I139" i="99"/>
  <c r="D139" i="99"/>
  <c r="B139" i="99"/>
  <c r="C135" i="99"/>
  <c r="F135" i="99" s="1"/>
  <c r="F139" i="99" s="1"/>
  <c r="O129" i="99"/>
  <c r="L129" i="99"/>
  <c r="J129" i="99"/>
  <c r="I129" i="99"/>
  <c r="D129" i="99"/>
  <c r="B129" i="99"/>
  <c r="C125" i="99"/>
  <c r="C129" i="99" s="1"/>
  <c r="O119" i="99"/>
  <c r="L119" i="99"/>
  <c r="J119" i="99"/>
  <c r="I119" i="99"/>
  <c r="F119" i="99"/>
  <c r="D119" i="99"/>
  <c r="C119" i="99"/>
  <c r="B119" i="99"/>
  <c r="E119" i="99" s="1"/>
  <c r="O109" i="99"/>
  <c r="L109" i="99"/>
  <c r="J109" i="99"/>
  <c r="I109" i="99"/>
  <c r="F109" i="99"/>
  <c r="D109" i="99"/>
  <c r="C109" i="99"/>
  <c r="B109" i="99"/>
  <c r="E109" i="99" s="1"/>
  <c r="O99" i="99"/>
  <c r="L99" i="99"/>
  <c r="J99" i="99"/>
  <c r="I99" i="99"/>
  <c r="F99" i="99"/>
  <c r="E99" i="99"/>
  <c r="D99" i="99"/>
  <c r="C99" i="99"/>
  <c r="B99" i="99"/>
  <c r="O89" i="99"/>
  <c r="L89" i="99"/>
  <c r="J89" i="99"/>
  <c r="I89" i="99"/>
  <c r="F89" i="99"/>
  <c r="E89" i="99"/>
  <c r="D89" i="99"/>
  <c r="C89" i="99"/>
  <c r="B89" i="99"/>
  <c r="O79" i="99"/>
  <c r="L79" i="99"/>
  <c r="J79" i="99"/>
  <c r="I79" i="99"/>
  <c r="F79" i="99"/>
  <c r="D79" i="99"/>
  <c r="C79" i="99"/>
  <c r="B79" i="99"/>
  <c r="E79" i="99" s="1"/>
  <c r="O69" i="99"/>
  <c r="L69" i="99"/>
  <c r="J69" i="99"/>
  <c r="I69" i="99"/>
  <c r="F69" i="99"/>
  <c r="D69" i="99"/>
  <c r="C69" i="99"/>
  <c r="B69" i="99"/>
  <c r="E69" i="99" s="1"/>
  <c r="O59" i="99"/>
  <c r="L59" i="99"/>
  <c r="J59" i="99"/>
  <c r="I59" i="99"/>
  <c r="F59" i="99"/>
  <c r="E59" i="99"/>
  <c r="D59" i="99"/>
  <c r="C59" i="99"/>
  <c r="B59" i="99"/>
  <c r="O49" i="99"/>
  <c r="L49" i="99"/>
  <c r="J49" i="99"/>
  <c r="I49" i="99"/>
  <c r="D49" i="99"/>
  <c r="B49" i="99"/>
  <c r="C45" i="99"/>
  <c r="C49" i="99" s="1"/>
  <c r="O39" i="99"/>
  <c r="L39" i="99"/>
  <c r="J39" i="99"/>
  <c r="I39" i="99"/>
  <c r="D39" i="99"/>
  <c r="C39" i="99"/>
  <c r="B39" i="99"/>
  <c r="F35" i="99"/>
  <c r="F39" i="99" s="1"/>
  <c r="C35" i="99"/>
  <c r="O29" i="99"/>
  <c r="L29" i="99"/>
  <c r="J29" i="99"/>
  <c r="W5" i="99" s="1"/>
  <c r="T5" i="99" s="1"/>
  <c r="I29" i="99"/>
  <c r="D29" i="99"/>
  <c r="B29" i="99"/>
  <c r="C25" i="99"/>
  <c r="C29" i="99" s="1"/>
  <c r="O19" i="99"/>
  <c r="X5" i="99" s="1"/>
  <c r="L19" i="99"/>
  <c r="J19" i="99"/>
  <c r="I19" i="99"/>
  <c r="F19" i="99"/>
  <c r="D19" i="99"/>
  <c r="C19" i="99"/>
  <c r="B19" i="99"/>
  <c r="AG11" i="79"/>
  <c r="AF11" i="79"/>
  <c r="AG13" i="78"/>
  <c r="AF13" i="78"/>
  <c r="AG11" i="57"/>
  <c r="AF11" i="57"/>
  <c r="AG13" i="48"/>
  <c r="AF13" i="48"/>
  <c r="AG11" i="46"/>
  <c r="AF11" i="46"/>
  <c r="C136" i="98"/>
  <c r="F136" i="98" s="1"/>
  <c r="C126" i="98"/>
  <c r="F126" i="98" s="1"/>
  <c r="C46" i="98"/>
  <c r="F46" i="98" s="1"/>
  <c r="F35" i="98"/>
  <c r="F39" i="98" s="1"/>
  <c r="E30" i="48" s="1"/>
  <c r="F30" i="48" s="1"/>
  <c r="H30" i="48" s="1"/>
  <c r="C35" i="98"/>
  <c r="F26" i="98"/>
  <c r="C26" i="98"/>
  <c r="X28" i="81"/>
  <c r="W28" i="81"/>
  <c r="U28" i="81"/>
  <c r="C28" i="81"/>
  <c r="AG10" i="79"/>
  <c r="AF10" i="79"/>
  <c r="M20" i="79"/>
  <c r="L20" i="79"/>
  <c r="A20" i="79"/>
  <c r="AG12" i="78"/>
  <c r="AF12" i="78"/>
  <c r="M20" i="78"/>
  <c r="L20" i="78"/>
  <c r="K20" i="78"/>
  <c r="A20" i="78"/>
  <c r="AG10" i="57"/>
  <c r="AF10" i="57"/>
  <c r="M29" i="57"/>
  <c r="L29" i="57"/>
  <c r="A29" i="57"/>
  <c r="M30" i="48"/>
  <c r="L30" i="48"/>
  <c r="A30" i="48"/>
  <c r="AG10" i="46"/>
  <c r="AF10" i="46"/>
  <c r="AF9" i="46"/>
  <c r="M30" i="46"/>
  <c r="L30" i="46"/>
  <c r="K30" i="46"/>
  <c r="A30" i="46"/>
  <c r="A28" i="81"/>
  <c r="O139" i="98"/>
  <c r="L139" i="98"/>
  <c r="J139" i="98"/>
  <c r="I139" i="98"/>
  <c r="D139" i="98"/>
  <c r="K20" i="79" s="1"/>
  <c r="B139" i="98"/>
  <c r="B20" i="79" s="1"/>
  <c r="C135" i="98"/>
  <c r="O129" i="98"/>
  <c r="L129" i="98"/>
  <c r="J129" i="98"/>
  <c r="I129" i="98"/>
  <c r="D129" i="98"/>
  <c r="B129" i="98"/>
  <c r="B20" i="78" s="1"/>
  <c r="C125" i="98"/>
  <c r="O119" i="98"/>
  <c r="L119" i="98"/>
  <c r="J119" i="98"/>
  <c r="I119" i="98"/>
  <c r="F119" i="98"/>
  <c r="D119" i="98"/>
  <c r="C119" i="98"/>
  <c r="B119" i="98"/>
  <c r="E119" i="98" s="1"/>
  <c r="O109" i="98"/>
  <c r="L109" i="98"/>
  <c r="J109" i="98"/>
  <c r="I109" i="98"/>
  <c r="F109" i="98"/>
  <c r="E109" i="98"/>
  <c r="D109" i="98"/>
  <c r="C109" i="98"/>
  <c r="B109" i="98"/>
  <c r="O99" i="98"/>
  <c r="L99" i="98"/>
  <c r="J99" i="98"/>
  <c r="I99" i="98"/>
  <c r="F99" i="98"/>
  <c r="D99" i="98"/>
  <c r="C99" i="98"/>
  <c r="B99" i="98"/>
  <c r="E99" i="98" s="1"/>
  <c r="O89" i="98"/>
  <c r="L89" i="98"/>
  <c r="J89" i="98"/>
  <c r="I89" i="98"/>
  <c r="F89" i="98"/>
  <c r="E89" i="98"/>
  <c r="D89" i="98"/>
  <c r="C89" i="98"/>
  <c r="B89" i="98"/>
  <c r="O79" i="98"/>
  <c r="L79" i="98"/>
  <c r="J79" i="98"/>
  <c r="I79" i="98"/>
  <c r="F79" i="98"/>
  <c r="D79" i="98"/>
  <c r="C79" i="98"/>
  <c r="B79" i="98"/>
  <c r="E79" i="98" s="1"/>
  <c r="O69" i="98"/>
  <c r="L69" i="98"/>
  <c r="J69" i="98"/>
  <c r="I69" i="98"/>
  <c r="F69" i="98"/>
  <c r="E69" i="98"/>
  <c r="D69" i="98"/>
  <c r="C69" i="98"/>
  <c r="B69" i="98"/>
  <c r="O59" i="98"/>
  <c r="L59" i="98"/>
  <c r="J59" i="98"/>
  <c r="I59" i="98"/>
  <c r="F59" i="98"/>
  <c r="D59" i="98"/>
  <c r="C59" i="98"/>
  <c r="B59" i="98"/>
  <c r="E59" i="98" s="1"/>
  <c r="O49" i="98"/>
  <c r="L49" i="98"/>
  <c r="J49" i="98"/>
  <c r="I49" i="98"/>
  <c r="D49" i="98"/>
  <c r="K29" i="57" s="1"/>
  <c r="B49" i="98"/>
  <c r="B29" i="57" s="1"/>
  <c r="C45" i="98"/>
  <c r="O39" i="98"/>
  <c r="L39" i="98"/>
  <c r="J39" i="98"/>
  <c r="W5" i="98" s="1"/>
  <c r="T5" i="98" s="1"/>
  <c r="I39" i="98"/>
  <c r="D39" i="98"/>
  <c r="K30" i="48" s="1"/>
  <c r="B39" i="98"/>
  <c r="B30" i="48" s="1"/>
  <c r="O29" i="98"/>
  <c r="L29" i="98"/>
  <c r="J29" i="98"/>
  <c r="I29" i="98"/>
  <c r="D29" i="98"/>
  <c r="B29" i="98"/>
  <c r="B30" i="46" s="1"/>
  <c r="C25" i="98"/>
  <c r="O19" i="98"/>
  <c r="X5" i="98" s="1"/>
  <c r="L19" i="98"/>
  <c r="J19" i="98"/>
  <c r="I19" i="98"/>
  <c r="F19" i="98"/>
  <c r="D19" i="98"/>
  <c r="C19" i="98"/>
  <c r="B19" i="98"/>
  <c r="E19" i="98" s="1"/>
  <c r="U5" i="77"/>
  <c r="AG7" i="77"/>
  <c r="AF7" i="77"/>
  <c r="AG6" i="77"/>
  <c r="AF6" i="77"/>
  <c r="AG5" i="77"/>
  <c r="AF5" i="77"/>
  <c r="AG5" i="75"/>
  <c r="U5" i="75" s="1"/>
  <c r="AG5" i="76"/>
  <c r="AF5" i="76"/>
  <c r="U5" i="76" s="1"/>
  <c r="AG65" i="76"/>
  <c r="T5" i="76"/>
  <c r="S5" i="76"/>
  <c r="AF5" i="75"/>
  <c r="AG65" i="75"/>
  <c r="AG5" i="74"/>
  <c r="AF5" i="74"/>
  <c r="U5" i="74" s="1"/>
  <c r="AG5" i="73"/>
  <c r="U5" i="73" s="1"/>
  <c r="AF5" i="73"/>
  <c r="AF5" i="72"/>
  <c r="AG5" i="72"/>
  <c r="U5" i="72" s="1"/>
  <c r="AG5" i="58"/>
  <c r="AF5" i="58"/>
  <c r="AG65" i="35"/>
  <c r="AG5" i="35"/>
  <c r="AF5" i="35"/>
  <c r="AG9" i="79"/>
  <c r="AG8" i="79"/>
  <c r="AF9" i="79"/>
  <c r="AF8" i="79"/>
  <c r="AG7" i="79"/>
  <c r="AF7" i="79"/>
  <c r="AG6" i="79"/>
  <c r="AF6" i="79"/>
  <c r="AG5" i="79"/>
  <c r="AF5" i="79"/>
  <c r="AF65" i="79"/>
  <c r="AG11" i="78"/>
  <c r="AF11" i="78"/>
  <c r="AG10" i="78"/>
  <c r="AF10" i="78"/>
  <c r="AF9" i="78"/>
  <c r="AG9" i="78"/>
  <c r="AF8" i="78"/>
  <c r="AG8" i="78"/>
  <c r="AF7" i="78"/>
  <c r="AG7" i="78"/>
  <c r="AF6" i="78"/>
  <c r="AG6" i="78"/>
  <c r="AF5" i="78"/>
  <c r="AG5" i="78"/>
  <c r="AF65" i="78"/>
  <c r="AF9" i="57"/>
  <c r="AG9" i="57"/>
  <c r="AG8" i="57"/>
  <c r="AF8" i="57"/>
  <c r="AG7" i="57"/>
  <c r="AF7" i="57"/>
  <c r="AG6" i="57"/>
  <c r="AF6" i="57"/>
  <c r="AG5" i="57"/>
  <c r="AF5" i="57"/>
  <c r="AF65" i="57"/>
  <c r="AG9" i="46"/>
  <c r="AG12" i="48"/>
  <c r="AG11" i="48"/>
  <c r="AF12" i="48"/>
  <c r="AF11" i="48"/>
  <c r="AG10" i="48"/>
  <c r="AG9" i="48"/>
  <c r="AF10" i="48"/>
  <c r="AF9" i="48"/>
  <c r="AG8" i="48"/>
  <c r="AF8" i="48"/>
  <c r="AG7" i="48"/>
  <c r="AF7" i="48"/>
  <c r="AG6" i="48"/>
  <c r="AF6" i="48"/>
  <c r="AG5" i="48"/>
  <c r="AF5" i="48"/>
  <c r="AG8" i="46"/>
  <c r="AF8" i="46"/>
  <c r="AG7" i="46"/>
  <c r="AF7" i="46"/>
  <c r="AG6" i="46"/>
  <c r="AF6" i="46"/>
  <c r="AG5" i="46"/>
  <c r="AF5" i="46"/>
  <c r="C33" i="46" l="1"/>
  <c r="D33" i="46" s="1"/>
  <c r="F135" i="101"/>
  <c r="F139" i="101" s="1"/>
  <c r="E23" i="79" s="1"/>
  <c r="F23" i="79" s="1"/>
  <c r="H23" i="79" s="1"/>
  <c r="I23" i="79" s="1"/>
  <c r="F35" i="101"/>
  <c r="F39" i="101" s="1"/>
  <c r="T5" i="101"/>
  <c r="Q5" i="101"/>
  <c r="B31" i="81" s="1"/>
  <c r="S5" i="101"/>
  <c r="D31" i="81" s="1"/>
  <c r="F45" i="101"/>
  <c r="F49" i="101" s="1"/>
  <c r="F25" i="101"/>
  <c r="F29" i="101" s="1"/>
  <c r="F125" i="101"/>
  <c r="F129" i="101" s="1"/>
  <c r="E39" i="101"/>
  <c r="AD33" i="48" s="1"/>
  <c r="I22" i="79"/>
  <c r="J22" i="79"/>
  <c r="I22" i="78"/>
  <c r="J22" i="78"/>
  <c r="I31" i="57"/>
  <c r="J31" i="57"/>
  <c r="I32" i="48"/>
  <c r="J32" i="48"/>
  <c r="I32" i="46"/>
  <c r="J32" i="46"/>
  <c r="F35" i="100"/>
  <c r="F39" i="100" s="1"/>
  <c r="F45" i="100"/>
  <c r="F49" i="100" s="1"/>
  <c r="U5" i="100"/>
  <c r="F125" i="100"/>
  <c r="F129" i="100" s="1"/>
  <c r="F135" i="100"/>
  <c r="F139" i="100" s="1"/>
  <c r="E139" i="100"/>
  <c r="S5" i="100"/>
  <c r="Q5" i="100"/>
  <c r="F25" i="100"/>
  <c r="F29" i="100" s="1"/>
  <c r="R29" i="81"/>
  <c r="I21" i="79"/>
  <c r="J21" i="79"/>
  <c r="J21" i="78"/>
  <c r="I30" i="57"/>
  <c r="J30" i="57"/>
  <c r="I31" i="48"/>
  <c r="J31" i="48"/>
  <c r="I31" i="46"/>
  <c r="J31" i="46"/>
  <c r="E139" i="99"/>
  <c r="Q5" i="99"/>
  <c r="E39" i="99"/>
  <c r="U5" i="99"/>
  <c r="S5" i="99"/>
  <c r="E19" i="99"/>
  <c r="C139" i="99"/>
  <c r="F25" i="99"/>
  <c r="F45" i="99"/>
  <c r="F125" i="99"/>
  <c r="C139" i="98"/>
  <c r="C20" i="79" s="1"/>
  <c r="D20" i="79" s="1"/>
  <c r="C129" i="98"/>
  <c r="C20" i="78" s="1"/>
  <c r="D20" i="78" s="1"/>
  <c r="C49" i="98"/>
  <c r="C29" i="57" s="1"/>
  <c r="D29" i="57" s="1"/>
  <c r="C29" i="98"/>
  <c r="C30" i="46" s="1"/>
  <c r="D30" i="46" s="1"/>
  <c r="F28" i="81"/>
  <c r="F135" i="98"/>
  <c r="F139" i="98" s="1"/>
  <c r="E20" i="79" s="1"/>
  <c r="F20" i="79" s="1"/>
  <c r="H20" i="79" s="1"/>
  <c r="I28" i="81" s="1"/>
  <c r="F125" i="98"/>
  <c r="E129" i="98" s="1"/>
  <c r="U5" i="98"/>
  <c r="V28" i="81" s="1"/>
  <c r="F45" i="98"/>
  <c r="F49" i="98" s="1"/>
  <c r="E29" i="57" s="1"/>
  <c r="F29" i="57" s="1"/>
  <c r="H29" i="57" s="1"/>
  <c r="G28" i="81" s="1"/>
  <c r="F25" i="98"/>
  <c r="F29" i="98" s="1"/>
  <c r="E30" i="46" s="1"/>
  <c r="F30" i="46" s="1"/>
  <c r="H30" i="46" s="1"/>
  <c r="E28" i="81" s="1"/>
  <c r="E39" i="98"/>
  <c r="Q5" i="98"/>
  <c r="C39" i="98"/>
  <c r="U5" i="58"/>
  <c r="U5" i="35"/>
  <c r="I31" i="81" l="1"/>
  <c r="E139" i="101"/>
  <c r="J23" i="79"/>
  <c r="AE23" i="78"/>
  <c r="E23" i="78"/>
  <c r="F23" i="78" s="1"/>
  <c r="H23" i="78" s="1"/>
  <c r="AE32" i="57"/>
  <c r="E32" i="57"/>
  <c r="F32" i="57" s="1"/>
  <c r="H32" i="57" s="1"/>
  <c r="E33" i="48"/>
  <c r="F33" i="48" s="1"/>
  <c r="H33" i="48" s="1"/>
  <c r="AE33" i="48"/>
  <c r="AE33" i="46"/>
  <c r="E33" i="46"/>
  <c r="F33" i="46" s="1"/>
  <c r="H33" i="46" s="1"/>
  <c r="E29" i="101"/>
  <c r="AD33" i="46" s="1"/>
  <c r="E49" i="101"/>
  <c r="AD32" i="57" s="1"/>
  <c r="E129" i="101"/>
  <c r="AD23" i="78" s="1"/>
  <c r="E49" i="100"/>
  <c r="E39" i="100"/>
  <c r="E129" i="100"/>
  <c r="E29" i="100"/>
  <c r="F49" i="99"/>
  <c r="E49" i="99"/>
  <c r="F29" i="99"/>
  <c r="E29" i="99"/>
  <c r="F129" i="99"/>
  <c r="E129" i="99"/>
  <c r="I30" i="46"/>
  <c r="J20" i="79"/>
  <c r="I20" i="79"/>
  <c r="AG65" i="57" a="1"/>
  <c r="AG65" i="57" s="1"/>
  <c r="U5" i="57" s="1"/>
  <c r="I29" i="57"/>
  <c r="J29" i="57"/>
  <c r="S5" i="98"/>
  <c r="C30" i="48"/>
  <c r="D30" i="48" s="1"/>
  <c r="J30" i="46"/>
  <c r="E139" i="98"/>
  <c r="F129" i="98"/>
  <c r="E20" i="78" s="1"/>
  <c r="F20" i="78" s="1"/>
  <c r="H20" i="78" s="1"/>
  <c r="E29" i="98"/>
  <c r="E49" i="98"/>
  <c r="AE13" i="77"/>
  <c r="AE12" i="77"/>
  <c r="AE11" i="77"/>
  <c r="AE10" i="77"/>
  <c r="AE9" i="77"/>
  <c r="AE8" i="77"/>
  <c r="AE7" i="77"/>
  <c r="AE6" i="77"/>
  <c r="AE5" i="77"/>
  <c r="AD13" i="77"/>
  <c r="AD12" i="77"/>
  <c r="AD11" i="77"/>
  <c r="AD10" i="77"/>
  <c r="AD9" i="77"/>
  <c r="AD8" i="77"/>
  <c r="AD7" i="77"/>
  <c r="Y5" i="77" s="1" a="1"/>
  <c r="Y5" i="77" s="1"/>
  <c r="AD6" i="77"/>
  <c r="AD5" i="77"/>
  <c r="AC13" i="77"/>
  <c r="AC12" i="77"/>
  <c r="AC11" i="77"/>
  <c r="AC10" i="77"/>
  <c r="AC9" i="77"/>
  <c r="AC8" i="77"/>
  <c r="AC7" i="77"/>
  <c r="AC6" i="77"/>
  <c r="AC5" i="77"/>
  <c r="E119" i="86"/>
  <c r="E119" i="85"/>
  <c r="E119" i="84"/>
  <c r="E119" i="83"/>
  <c r="E119" i="82"/>
  <c r="E119" i="80"/>
  <c r="E119" i="64"/>
  <c r="E119" i="71"/>
  <c r="E119" i="63"/>
  <c r="AE13" i="76"/>
  <c r="AE12" i="76"/>
  <c r="AE11" i="76"/>
  <c r="AE10" i="76"/>
  <c r="AE9" i="76"/>
  <c r="AE8" i="76"/>
  <c r="AE7" i="76"/>
  <c r="AE6" i="76"/>
  <c r="AD13" i="76"/>
  <c r="AD12" i="76"/>
  <c r="AD11" i="76"/>
  <c r="AD10" i="76"/>
  <c r="AD9" i="76"/>
  <c r="AD8" i="76"/>
  <c r="AD7" i="76"/>
  <c r="AD6" i="76"/>
  <c r="Y5" i="76" s="1" a="1"/>
  <c r="Y5" i="76" s="1"/>
  <c r="AC13" i="76"/>
  <c r="AC12" i="76"/>
  <c r="AC11" i="76"/>
  <c r="AC10" i="76"/>
  <c r="AC9" i="76"/>
  <c r="AC8" i="76"/>
  <c r="AC7" i="76"/>
  <c r="AC6" i="76"/>
  <c r="AE5" i="76"/>
  <c r="AD5" i="76"/>
  <c r="AC5" i="76"/>
  <c r="E109" i="86"/>
  <c r="E109" i="85"/>
  <c r="E109" i="84"/>
  <c r="E109" i="83"/>
  <c r="E109" i="82"/>
  <c r="E109" i="80"/>
  <c r="E109" i="64"/>
  <c r="E109" i="71"/>
  <c r="E109" i="63"/>
  <c r="AE13" i="75"/>
  <c r="AE12" i="75"/>
  <c r="AE11" i="75"/>
  <c r="AE10" i="75"/>
  <c r="AE9" i="75"/>
  <c r="AE8" i="75"/>
  <c r="AE7" i="75"/>
  <c r="AE6" i="75"/>
  <c r="AD13" i="75"/>
  <c r="AD12" i="75"/>
  <c r="AD11" i="75"/>
  <c r="AD10" i="75"/>
  <c r="AD9" i="75"/>
  <c r="AD8" i="75"/>
  <c r="AD7" i="75"/>
  <c r="AD6" i="75"/>
  <c r="AC13" i="75"/>
  <c r="AC12" i="75"/>
  <c r="AC11" i="75"/>
  <c r="AC10" i="75"/>
  <c r="AC9" i="75"/>
  <c r="AC8" i="75"/>
  <c r="AC7" i="75"/>
  <c r="AC6" i="75"/>
  <c r="AE5" i="75"/>
  <c r="AD5" i="75"/>
  <c r="AC5" i="75"/>
  <c r="E99" i="86"/>
  <c r="E99" i="85"/>
  <c r="E99" i="84"/>
  <c r="E99" i="83"/>
  <c r="E99" i="82"/>
  <c r="E99" i="80"/>
  <c r="E99" i="64"/>
  <c r="Y5" i="75" a="1"/>
  <c r="Y5" i="75" s="1"/>
  <c r="E99" i="71"/>
  <c r="E99" i="63"/>
  <c r="AE13" i="74"/>
  <c r="AE12" i="74"/>
  <c r="AE11" i="74"/>
  <c r="AE10" i="74"/>
  <c r="AE9" i="74"/>
  <c r="AE8" i="74"/>
  <c r="AE7" i="74"/>
  <c r="AE6" i="74"/>
  <c r="AD13" i="74"/>
  <c r="AD12" i="74"/>
  <c r="AD11" i="74"/>
  <c r="AD10" i="74"/>
  <c r="AD9" i="74"/>
  <c r="AD8" i="74"/>
  <c r="AD7" i="74"/>
  <c r="AD6" i="74"/>
  <c r="AC13" i="74"/>
  <c r="AC12" i="74"/>
  <c r="AC11" i="74"/>
  <c r="AC10" i="74"/>
  <c r="AC9" i="74"/>
  <c r="AC8" i="74"/>
  <c r="AC7" i="74"/>
  <c r="AC6" i="74"/>
  <c r="AE5" i="74"/>
  <c r="AD5" i="74"/>
  <c r="AC5" i="74"/>
  <c r="E89" i="86"/>
  <c r="E89" i="85"/>
  <c r="E89" i="84"/>
  <c r="E89" i="83"/>
  <c r="E89" i="82"/>
  <c r="E89" i="80"/>
  <c r="E89" i="64"/>
  <c r="E89" i="71"/>
  <c r="E89" i="63"/>
  <c r="AE14" i="73"/>
  <c r="AE13" i="73"/>
  <c r="AE12" i="73"/>
  <c r="AE11" i="73"/>
  <c r="AE10" i="73"/>
  <c r="AE9" i="73"/>
  <c r="AE8" i="73"/>
  <c r="AE7" i="73"/>
  <c r="AE6" i="73"/>
  <c r="AD14" i="73"/>
  <c r="AD13" i="73"/>
  <c r="AD12" i="73"/>
  <c r="AD11" i="73"/>
  <c r="AD10" i="73"/>
  <c r="AD9" i="73"/>
  <c r="AD8" i="73"/>
  <c r="AD7" i="73"/>
  <c r="AD6" i="73"/>
  <c r="AC14" i="73"/>
  <c r="AC13" i="73"/>
  <c r="AC12" i="73"/>
  <c r="AC11" i="73"/>
  <c r="AC10" i="73"/>
  <c r="AC9" i="73"/>
  <c r="AC8" i="73"/>
  <c r="AC7" i="73"/>
  <c r="AC6" i="73"/>
  <c r="AE5" i="73"/>
  <c r="AD5" i="73"/>
  <c r="AC5" i="73"/>
  <c r="E79" i="86"/>
  <c r="E79" i="85"/>
  <c r="E79" i="84"/>
  <c r="E79" i="83"/>
  <c r="E79" i="82"/>
  <c r="E79" i="80"/>
  <c r="E79" i="64"/>
  <c r="E79" i="71"/>
  <c r="E79" i="63"/>
  <c r="E79" i="56"/>
  <c r="AE17" i="72"/>
  <c r="AE16" i="72"/>
  <c r="AE15" i="72"/>
  <c r="AE14" i="72"/>
  <c r="AE13" i="72"/>
  <c r="AE12" i="72"/>
  <c r="AE11" i="72"/>
  <c r="AE10" i="72"/>
  <c r="AE9" i="72"/>
  <c r="AE8" i="72"/>
  <c r="AE7" i="72"/>
  <c r="AE6" i="72"/>
  <c r="AE5" i="72"/>
  <c r="AD17" i="72"/>
  <c r="AD16" i="72"/>
  <c r="AD15" i="72"/>
  <c r="AD14" i="72"/>
  <c r="AD13" i="72"/>
  <c r="AD12" i="72"/>
  <c r="AD11" i="72"/>
  <c r="AD10" i="72"/>
  <c r="AD9" i="72"/>
  <c r="AD8" i="72"/>
  <c r="AD7" i="72"/>
  <c r="AD6" i="72"/>
  <c r="AD5" i="72"/>
  <c r="AC17" i="72"/>
  <c r="AC16" i="72"/>
  <c r="AC15" i="72"/>
  <c r="AC14" i="72"/>
  <c r="AC13" i="72"/>
  <c r="AC12" i="72"/>
  <c r="AC11" i="72"/>
  <c r="AC10" i="72"/>
  <c r="AC9" i="72"/>
  <c r="AC8" i="72"/>
  <c r="AC7" i="72"/>
  <c r="AC6" i="72"/>
  <c r="AC5" i="72"/>
  <c r="E69" i="86"/>
  <c r="E69" i="85"/>
  <c r="E69" i="84"/>
  <c r="E69" i="83"/>
  <c r="E69" i="82"/>
  <c r="E69" i="80"/>
  <c r="E69" i="64"/>
  <c r="E69" i="71"/>
  <c r="E69" i="63"/>
  <c r="E69" i="56"/>
  <c r="E69" i="70"/>
  <c r="E69" i="69"/>
  <c r="E69" i="62"/>
  <c r="AE17" i="58"/>
  <c r="AE16" i="58"/>
  <c r="AE15" i="58"/>
  <c r="AE14" i="58"/>
  <c r="AE13" i="58"/>
  <c r="AE12" i="58"/>
  <c r="AE11" i="58"/>
  <c r="AE10" i="58"/>
  <c r="AE9" i="58"/>
  <c r="AD17" i="58"/>
  <c r="AD16" i="58"/>
  <c r="AD15" i="58"/>
  <c r="AD14" i="58"/>
  <c r="AD13" i="58"/>
  <c r="AD12" i="58"/>
  <c r="AD11" i="58"/>
  <c r="AD10" i="58"/>
  <c r="AD9" i="58"/>
  <c r="AD8" i="58"/>
  <c r="AC17" i="58"/>
  <c r="AC16" i="58"/>
  <c r="AC15" i="58"/>
  <c r="AC14" i="58"/>
  <c r="AC13" i="58"/>
  <c r="AC12" i="58"/>
  <c r="AC11" i="58"/>
  <c r="AC10" i="58"/>
  <c r="AC9" i="58"/>
  <c r="AE8" i="58"/>
  <c r="AC8" i="58"/>
  <c r="AE7" i="58"/>
  <c r="AD7" i="58"/>
  <c r="AC7" i="58"/>
  <c r="AE6" i="58"/>
  <c r="AD6" i="58"/>
  <c r="AC6" i="58"/>
  <c r="AE5" i="58"/>
  <c r="AD5" i="58"/>
  <c r="AC5" i="58"/>
  <c r="E59" i="86"/>
  <c r="E59" i="85"/>
  <c r="E59" i="84"/>
  <c r="E59" i="83"/>
  <c r="E59" i="82"/>
  <c r="E59" i="80"/>
  <c r="E59" i="64"/>
  <c r="E59" i="71"/>
  <c r="E59" i="63"/>
  <c r="E59" i="56"/>
  <c r="E59" i="70"/>
  <c r="E59" i="69"/>
  <c r="E59" i="62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D23" i="35"/>
  <c r="AD22" i="35"/>
  <c r="AD21" i="35"/>
  <c r="AD20" i="35"/>
  <c r="AD19" i="35"/>
  <c r="AD18" i="35"/>
  <c r="AD17" i="35"/>
  <c r="AD16" i="35"/>
  <c r="AD15" i="35"/>
  <c r="AD14" i="35"/>
  <c r="AD13" i="35"/>
  <c r="AD12" i="35"/>
  <c r="AD11" i="35"/>
  <c r="AD10" i="35"/>
  <c r="AD9" i="35"/>
  <c r="AD8" i="35"/>
  <c r="AD7" i="35"/>
  <c r="AD6" i="35"/>
  <c r="AC23" i="35"/>
  <c r="AC22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AC6" i="35"/>
  <c r="AE5" i="35"/>
  <c r="AD5" i="35"/>
  <c r="AC5" i="35"/>
  <c r="E19" i="86"/>
  <c r="E19" i="85"/>
  <c r="E19" i="84"/>
  <c r="E19" i="83"/>
  <c r="E19" i="82"/>
  <c r="E19" i="80"/>
  <c r="E19" i="64"/>
  <c r="E19" i="71"/>
  <c r="E19" i="63"/>
  <c r="E19" i="56"/>
  <c r="E19" i="70"/>
  <c r="E19" i="69"/>
  <c r="E19" i="62"/>
  <c r="E19" i="68"/>
  <c r="E19" i="67"/>
  <c r="E19" i="66"/>
  <c r="E19" i="65"/>
  <c r="E19" i="60"/>
  <c r="E19" i="59"/>
  <c r="A28" i="57"/>
  <c r="A27" i="57"/>
  <c r="A26" i="57"/>
  <c r="A25" i="57"/>
  <c r="A24" i="57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E8" i="57"/>
  <c r="AD8" i="57"/>
  <c r="AC8" i="57"/>
  <c r="AE7" i="57"/>
  <c r="AD7" i="57"/>
  <c r="AC7" i="57"/>
  <c r="AE6" i="57"/>
  <c r="AD6" i="57"/>
  <c r="AC6" i="57"/>
  <c r="AE5" i="57"/>
  <c r="AD5" i="57"/>
  <c r="AC5" i="57"/>
  <c r="E49" i="86"/>
  <c r="E49" i="85"/>
  <c r="E49" i="84"/>
  <c r="E49" i="83"/>
  <c r="E49" i="82"/>
  <c r="E49" i="80"/>
  <c r="E49" i="64"/>
  <c r="E49" i="71"/>
  <c r="E39" i="63"/>
  <c r="E49" i="63"/>
  <c r="E49" i="56"/>
  <c r="E49" i="70"/>
  <c r="E49" i="69"/>
  <c r="E49" i="62"/>
  <c r="E49" i="68"/>
  <c r="E49" i="67"/>
  <c r="E49" i="66"/>
  <c r="E49" i="65"/>
  <c r="E49" i="60"/>
  <c r="AE23" i="46"/>
  <c r="AD23" i="46"/>
  <c r="AC23" i="46"/>
  <c r="AE22" i="46"/>
  <c r="AD22" i="46"/>
  <c r="AC22" i="46"/>
  <c r="AE21" i="46"/>
  <c r="AD21" i="46"/>
  <c r="AC21" i="46"/>
  <c r="AE20" i="46"/>
  <c r="AD20" i="46"/>
  <c r="AC20" i="46"/>
  <c r="AE19" i="46"/>
  <c r="AD19" i="46"/>
  <c r="AC19" i="46"/>
  <c r="AE18" i="46"/>
  <c r="AD18" i="46"/>
  <c r="AE17" i="46"/>
  <c r="AD17" i="46"/>
  <c r="AE16" i="46"/>
  <c r="AD16" i="46"/>
  <c r="AE15" i="46"/>
  <c r="AD15" i="46"/>
  <c r="AE14" i="46"/>
  <c r="AD14" i="46"/>
  <c r="AE13" i="46"/>
  <c r="AD13" i="46"/>
  <c r="AE12" i="46"/>
  <c r="AD12" i="46"/>
  <c r="AE11" i="46"/>
  <c r="AD11" i="46"/>
  <c r="AE10" i="46"/>
  <c r="AD10" i="46"/>
  <c r="AE9" i="46"/>
  <c r="AD9" i="46"/>
  <c r="AE8" i="46"/>
  <c r="AD8" i="46"/>
  <c r="AE7" i="46"/>
  <c r="AD7" i="46"/>
  <c r="AE6" i="46"/>
  <c r="AD6" i="46"/>
  <c r="AC18" i="46"/>
  <c r="AC17" i="46"/>
  <c r="AC16" i="46"/>
  <c r="AC15" i="46"/>
  <c r="AC14" i="46"/>
  <c r="AC13" i="46"/>
  <c r="AC12" i="46"/>
  <c r="AC11" i="46"/>
  <c r="AC10" i="46"/>
  <c r="AC9" i="46"/>
  <c r="AC8" i="46"/>
  <c r="AC7" i="46"/>
  <c r="AC6" i="46"/>
  <c r="AE5" i="46"/>
  <c r="AD5" i="46"/>
  <c r="AC5" i="46"/>
  <c r="E29" i="86"/>
  <c r="E29" i="85"/>
  <c r="E29" i="84"/>
  <c r="E29" i="83"/>
  <c r="E29" i="82"/>
  <c r="E29" i="80"/>
  <c r="E29" i="64"/>
  <c r="E29" i="71"/>
  <c r="E29" i="56"/>
  <c r="E29" i="70"/>
  <c r="E29" i="69"/>
  <c r="E29" i="62"/>
  <c r="E29" i="68"/>
  <c r="E29" i="67"/>
  <c r="E29" i="66"/>
  <c r="E29" i="65"/>
  <c r="E29" i="60"/>
  <c r="E29" i="59"/>
  <c r="AE23" i="48"/>
  <c r="AD23" i="48"/>
  <c r="AC23" i="48"/>
  <c r="AE22" i="48"/>
  <c r="AD22" i="48"/>
  <c r="AC22" i="48"/>
  <c r="AE21" i="48"/>
  <c r="AD21" i="48"/>
  <c r="AC21" i="48"/>
  <c r="AE20" i="48"/>
  <c r="AD20" i="48"/>
  <c r="AC20" i="48"/>
  <c r="AE19" i="48"/>
  <c r="AD19" i="48"/>
  <c r="AC19" i="48"/>
  <c r="AE18" i="48"/>
  <c r="AD18" i="48"/>
  <c r="AC18" i="48"/>
  <c r="AE17" i="48"/>
  <c r="AD17" i="48"/>
  <c r="AC17" i="48"/>
  <c r="AE16" i="48"/>
  <c r="AD16" i="48"/>
  <c r="AC16" i="48"/>
  <c r="AE15" i="48"/>
  <c r="AD15" i="48"/>
  <c r="AC15" i="48"/>
  <c r="AE14" i="48"/>
  <c r="AD14" i="48"/>
  <c r="AC14" i="48"/>
  <c r="AE13" i="48"/>
  <c r="AD13" i="48"/>
  <c r="AC13" i="48"/>
  <c r="AE12" i="48"/>
  <c r="AD12" i="48"/>
  <c r="AC12" i="48"/>
  <c r="AE11" i="48"/>
  <c r="AD11" i="48"/>
  <c r="AC11" i="48"/>
  <c r="AE10" i="48"/>
  <c r="AD10" i="48"/>
  <c r="AC10" i="48"/>
  <c r="AE9" i="48"/>
  <c r="AD9" i="48"/>
  <c r="AC9" i="48"/>
  <c r="AE8" i="48"/>
  <c r="AD8" i="48"/>
  <c r="AC8" i="48"/>
  <c r="AE7" i="48"/>
  <c r="AD7" i="48"/>
  <c r="AC7" i="48"/>
  <c r="AE6" i="48"/>
  <c r="AD6" i="48"/>
  <c r="AC6" i="48"/>
  <c r="AE5" i="48"/>
  <c r="AD5" i="48"/>
  <c r="AC5" i="48"/>
  <c r="E39" i="59"/>
  <c r="E39" i="60"/>
  <c r="E39" i="65"/>
  <c r="E39" i="66"/>
  <c r="E39" i="67"/>
  <c r="E39" i="68"/>
  <c r="E39" i="62"/>
  <c r="E39" i="69"/>
  <c r="E39" i="70"/>
  <c r="E39" i="56"/>
  <c r="E29" i="63"/>
  <c r="E39" i="71"/>
  <c r="E39" i="64"/>
  <c r="E39" i="80"/>
  <c r="E39" i="82"/>
  <c r="E39" i="83"/>
  <c r="E39" i="84"/>
  <c r="E39" i="85"/>
  <c r="E39" i="86"/>
  <c r="AE13" i="79"/>
  <c r="AD13" i="79"/>
  <c r="AC13" i="79"/>
  <c r="AE12" i="79"/>
  <c r="AD12" i="79"/>
  <c r="AC12" i="79"/>
  <c r="AE11" i="79"/>
  <c r="AD11" i="79"/>
  <c r="AC11" i="79"/>
  <c r="AE10" i="79"/>
  <c r="AD10" i="79"/>
  <c r="AC10" i="79"/>
  <c r="AE9" i="79"/>
  <c r="AD9" i="79"/>
  <c r="AC9" i="79"/>
  <c r="AE8" i="79"/>
  <c r="AD8" i="79"/>
  <c r="AC8" i="79"/>
  <c r="AE7" i="79"/>
  <c r="AD7" i="79"/>
  <c r="AC7" i="79"/>
  <c r="AE6" i="79"/>
  <c r="AD6" i="79"/>
  <c r="AC6" i="79"/>
  <c r="AE5" i="79"/>
  <c r="AD5" i="79"/>
  <c r="AC5" i="79"/>
  <c r="E139" i="63"/>
  <c r="E139" i="71"/>
  <c r="E139" i="64"/>
  <c r="E139" i="80"/>
  <c r="E139" i="82"/>
  <c r="E139" i="83"/>
  <c r="E139" i="84"/>
  <c r="E139" i="85"/>
  <c r="E139" i="86"/>
  <c r="AE13" i="78"/>
  <c r="AD13" i="78"/>
  <c r="AC13" i="78"/>
  <c r="AE12" i="78"/>
  <c r="AD12" i="78"/>
  <c r="AC12" i="78"/>
  <c r="AE11" i="78"/>
  <c r="AD11" i="78"/>
  <c r="AC11" i="78"/>
  <c r="AE10" i="78"/>
  <c r="AD10" i="78"/>
  <c r="AC10" i="78"/>
  <c r="AE9" i="78"/>
  <c r="AD9" i="78"/>
  <c r="AC9" i="78"/>
  <c r="E129" i="86"/>
  <c r="E129" i="85"/>
  <c r="E129" i="84"/>
  <c r="E129" i="83"/>
  <c r="E129" i="82"/>
  <c r="E129" i="80"/>
  <c r="E129" i="64"/>
  <c r="AD7" i="78" s="1"/>
  <c r="E129" i="71"/>
  <c r="AD6" i="78" s="1"/>
  <c r="E129" i="63"/>
  <c r="AD5" i="78" s="1"/>
  <c r="AE8" i="78"/>
  <c r="AD8" i="78"/>
  <c r="AC8" i="78"/>
  <c r="AE7" i="78"/>
  <c r="AC7" i="78"/>
  <c r="AE6" i="78"/>
  <c r="AC6" i="78"/>
  <c r="AE5" i="78"/>
  <c r="AC5" i="78"/>
  <c r="I23" i="78" l="1"/>
  <c r="H31" i="81"/>
  <c r="J23" i="78"/>
  <c r="G31" i="81"/>
  <c r="J32" i="57"/>
  <c r="I32" i="57"/>
  <c r="AG200" i="48" a="1"/>
  <c r="AG200" i="48" s="1"/>
  <c r="F31" i="81"/>
  <c r="I33" i="48"/>
  <c r="J33" i="48"/>
  <c r="AG200" i="46" a="1"/>
  <c r="AG200" i="46" s="1"/>
  <c r="U5" i="46" s="1"/>
  <c r="J33" i="46"/>
  <c r="E31" i="81"/>
  <c r="I33" i="46"/>
  <c r="I20" i="78"/>
  <c r="J20" i="78"/>
  <c r="H28" i="81"/>
  <c r="R28" i="81" s="1"/>
  <c r="I30" i="48"/>
  <c r="J30" i="48"/>
  <c r="Y5" i="73" a="1"/>
  <c r="Y5" i="73" s="1"/>
  <c r="Y5" i="58" a="1"/>
  <c r="Y5" i="58" s="1"/>
  <c r="Y5" i="35" a="1"/>
  <c r="Y5" i="35" s="1"/>
  <c r="Y5" i="74" a="1"/>
  <c r="Y5" i="74" s="1"/>
  <c r="Y5" i="72" a="1"/>
  <c r="Y5" i="72" s="1"/>
  <c r="X27" i="81"/>
  <c r="R31" i="81" l="1"/>
  <c r="S31" i="81" s="1"/>
  <c r="T31" i="81" s="1"/>
  <c r="C27" i="81"/>
  <c r="A27" i="81"/>
  <c r="K19" i="79"/>
  <c r="B19" i="79"/>
  <c r="A19" i="79"/>
  <c r="M28" i="57"/>
  <c r="L28" i="57"/>
  <c r="B29" i="46"/>
  <c r="A29" i="46"/>
  <c r="M29" i="48"/>
  <c r="B19" i="78"/>
  <c r="A19" i="78"/>
  <c r="O139" i="97"/>
  <c r="M19" i="79" s="1"/>
  <c r="L139" i="97"/>
  <c r="J139" i="97"/>
  <c r="I139" i="97"/>
  <c r="L19" i="79" s="1"/>
  <c r="D139" i="97"/>
  <c r="B139" i="97"/>
  <c r="C135" i="97"/>
  <c r="C139" i="97" s="1"/>
  <c r="AC19" i="79" s="1"/>
  <c r="O49" i="97"/>
  <c r="L49" i="97"/>
  <c r="J49" i="97"/>
  <c r="I49" i="97"/>
  <c r="D49" i="97"/>
  <c r="K28" i="57" s="1"/>
  <c r="B49" i="97"/>
  <c r="C45" i="97"/>
  <c r="C49" i="97" s="1"/>
  <c r="AC28" i="57" s="1"/>
  <c r="O29" i="97"/>
  <c r="M29" i="46" s="1"/>
  <c r="L29" i="97"/>
  <c r="J29" i="97"/>
  <c r="I29" i="97"/>
  <c r="L29" i="46" s="1"/>
  <c r="D29" i="97"/>
  <c r="K29" i="46" s="1"/>
  <c r="B29" i="97"/>
  <c r="C25" i="97"/>
  <c r="F25" i="97" s="1"/>
  <c r="F29" i="97" s="1"/>
  <c r="AE29" i="46" s="1"/>
  <c r="O39" i="97"/>
  <c r="L39" i="97"/>
  <c r="J39" i="97"/>
  <c r="I39" i="97"/>
  <c r="L29" i="48" s="1"/>
  <c r="D39" i="97"/>
  <c r="K29" i="48" s="1"/>
  <c r="B39" i="97"/>
  <c r="E39" i="97" s="1"/>
  <c r="AD29" i="48" s="1"/>
  <c r="C35" i="97"/>
  <c r="F35" i="97" s="1"/>
  <c r="F39" i="97" s="1"/>
  <c r="AE29" i="48" s="1"/>
  <c r="O129" i="97"/>
  <c r="M19" i="78" s="1"/>
  <c r="L129" i="97"/>
  <c r="J129" i="97"/>
  <c r="I129" i="97"/>
  <c r="L19" i="78" s="1"/>
  <c r="D129" i="97"/>
  <c r="K19" i="78" s="1"/>
  <c r="B129" i="97"/>
  <c r="C125" i="97"/>
  <c r="F125" i="97" s="1"/>
  <c r="F129" i="97" s="1"/>
  <c r="AE19" i="78" s="1"/>
  <c r="O119" i="97"/>
  <c r="L119" i="97"/>
  <c r="J119" i="97"/>
  <c r="I119" i="97"/>
  <c r="F119" i="97"/>
  <c r="D119" i="97"/>
  <c r="C119" i="97"/>
  <c r="B119" i="97"/>
  <c r="E119" i="97" s="1"/>
  <c r="O109" i="97"/>
  <c r="L109" i="97"/>
  <c r="J109" i="97"/>
  <c r="I109" i="97"/>
  <c r="F109" i="97"/>
  <c r="D109" i="97"/>
  <c r="C109" i="97"/>
  <c r="B109" i="97"/>
  <c r="E109" i="97" s="1"/>
  <c r="O99" i="97"/>
  <c r="L99" i="97"/>
  <c r="J99" i="97"/>
  <c r="I99" i="97"/>
  <c r="F99" i="97"/>
  <c r="D99" i="97"/>
  <c r="C99" i="97"/>
  <c r="B99" i="97"/>
  <c r="E99" i="97" s="1"/>
  <c r="O89" i="97"/>
  <c r="L89" i="97"/>
  <c r="J89" i="97"/>
  <c r="I89" i="97"/>
  <c r="F89" i="97"/>
  <c r="D89" i="97"/>
  <c r="C89" i="97"/>
  <c r="B89" i="97"/>
  <c r="E89" i="97" s="1"/>
  <c r="O79" i="97"/>
  <c r="L79" i="97"/>
  <c r="J79" i="97"/>
  <c r="I79" i="97"/>
  <c r="F79" i="97"/>
  <c r="D79" i="97"/>
  <c r="C79" i="97"/>
  <c r="B79" i="97"/>
  <c r="E79" i="97" s="1"/>
  <c r="O69" i="97"/>
  <c r="L69" i="97"/>
  <c r="J69" i="97"/>
  <c r="I69" i="97"/>
  <c r="F69" i="97"/>
  <c r="D69" i="97"/>
  <c r="C69" i="97"/>
  <c r="B69" i="97"/>
  <c r="E69" i="97" s="1"/>
  <c r="O59" i="97"/>
  <c r="L59" i="97"/>
  <c r="J59" i="97"/>
  <c r="I59" i="97"/>
  <c r="F59" i="97"/>
  <c r="D59" i="97"/>
  <c r="C59" i="97"/>
  <c r="B59" i="97"/>
  <c r="E59" i="97" s="1"/>
  <c r="O19" i="97"/>
  <c r="L19" i="97"/>
  <c r="J19" i="97"/>
  <c r="I19" i="97"/>
  <c r="F19" i="97"/>
  <c r="D19" i="97"/>
  <c r="C19" i="97"/>
  <c r="B19" i="97"/>
  <c r="E19" i="97" s="1"/>
  <c r="X26" i="81"/>
  <c r="C26" i="81"/>
  <c r="A26" i="81"/>
  <c r="L18" i="79"/>
  <c r="K18" i="79"/>
  <c r="A18" i="79"/>
  <c r="B27" i="57"/>
  <c r="M28" i="46"/>
  <c r="E28" i="46"/>
  <c r="A28" i="46"/>
  <c r="B28" i="48"/>
  <c r="M18" i="78"/>
  <c r="K18" i="78"/>
  <c r="A18" i="78"/>
  <c r="O139" i="96"/>
  <c r="M18" i="79" s="1"/>
  <c r="L139" i="96"/>
  <c r="J139" i="96"/>
  <c r="I139" i="96"/>
  <c r="D139" i="96"/>
  <c r="B139" i="96"/>
  <c r="C135" i="96"/>
  <c r="F135" i="96" s="1"/>
  <c r="F139" i="96" s="1"/>
  <c r="AE18" i="79" s="1"/>
  <c r="O49" i="96"/>
  <c r="M27" i="57" s="1"/>
  <c r="L49" i="96"/>
  <c r="J49" i="96"/>
  <c r="I49" i="96"/>
  <c r="L27" i="57" s="1"/>
  <c r="D49" i="96"/>
  <c r="K27" i="57" s="1"/>
  <c r="B49" i="96"/>
  <c r="C45" i="96"/>
  <c r="C49" i="96" s="1"/>
  <c r="AC27" i="57" s="1"/>
  <c r="O29" i="96"/>
  <c r="L29" i="96"/>
  <c r="J29" i="96"/>
  <c r="I29" i="96"/>
  <c r="L28" i="46" s="1"/>
  <c r="D29" i="96"/>
  <c r="K28" i="46" s="1"/>
  <c r="B29" i="96"/>
  <c r="E29" i="96" s="1"/>
  <c r="AD28" i="46" s="1"/>
  <c r="C25" i="96"/>
  <c r="F25" i="96" s="1"/>
  <c r="F29" i="96" s="1"/>
  <c r="AE28" i="46" s="1"/>
  <c r="O39" i="96"/>
  <c r="M28" i="48" s="1"/>
  <c r="L39" i="96"/>
  <c r="J39" i="96"/>
  <c r="I39" i="96"/>
  <c r="L28" i="48" s="1"/>
  <c r="D39" i="96"/>
  <c r="K28" i="48" s="1"/>
  <c r="B39" i="96"/>
  <c r="E39" i="96" s="1"/>
  <c r="AD28" i="48" s="1"/>
  <c r="C35" i="96"/>
  <c r="F35" i="96" s="1"/>
  <c r="F39" i="96" s="1"/>
  <c r="AE28" i="48" s="1"/>
  <c r="O129" i="96"/>
  <c r="L129" i="96"/>
  <c r="J129" i="96"/>
  <c r="I129" i="96"/>
  <c r="L18" i="78" s="1"/>
  <c r="F129" i="96"/>
  <c r="AE18" i="78" s="1"/>
  <c r="D129" i="96"/>
  <c r="B129" i="96"/>
  <c r="E129" i="96" s="1"/>
  <c r="AD18" i="78" s="1"/>
  <c r="C125" i="96"/>
  <c r="C129" i="96" s="1"/>
  <c r="AC18" i="78" s="1"/>
  <c r="O119" i="96"/>
  <c r="L119" i="96"/>
  <c r="J119" i="96"/>
  <c r="I119" i="96"/>
  <c r="F119" i="96"/>
  <c r="D119" i="96"/>
  <c r="C119" i="96"/>
  <c r="B119" i="96"/>
  <c r="E119" i="96" s="1"/>
  <c r="O109" i="96"/>
  <c r="L109" i="96"/>
  <c r="J109" i="96"/>
  <c r="I109" i="96"/>
  <c r="F109" i="96"/>
  <c r="D109" i="96"/>
  <c r="C109" i="96"/>
  <c r="B109" i="96"/>
  <c r="E109" i="96" s="1"/>
  <c r="O99" i="96"/>
  <c r="L99" i="96"/>
  <c r="J99" i="96"/>
  <c r="I99" i="96"/>
  <c r="F99" i="96"/>
  <c r="D99" i="96"/>
  <c r="C99" i="96"/>
  <c r="B99" i="96"/>
  <c r="E99" i="96" s="1"/>
  <c r="O89" i="96"/>
  <c r="L89" i="96"/>
  <c r="J89" i="96"/>
  <c r="I89" i="96"/>
  <c r="F89" i="96"/>
  <c r="D89" i="96"/>
  <c r="C89" i="96"/>
  <c r="B89" i="96"/>
  <c r="E89" i="96" s="1"/>
  <c r="O79" i="96"/>
  <c r="L79" i="96"/>
  <c r="J79" i="96"/>
  <c r="I79" i="96"/>
  <c r="F79" i="96"/>
  <c r="D79" i="96"/>
  <c r="C79" i="96"/>
  <c r="B79" i="96"/>
  <c r="E79" i="96" s="1"/>
  <c r="O69" i="96"/>
  <c r="L69" i="96"/>
  <c r="J69" i="96"/>
  <c r="I69" i="96"/>
  <c r="F69" i="96"/>
  <c r="D69" i="96"/>
  <c r="C69" i="96"/>
  <c r="B69" i="96"/>
  <c r="E69" i="96" s="1"/>
  <c r="O59" i="96"/>
  <c r="L59" i="96"/>
  <c r="J59" i="96"/>
  <c r="I59" i="96"/>
  <c r="F59" i="96"/>
  <c r="D59" i="96"/>
  <c r="C59" i="96"/>
  <c r="B59" i="96"/>
  <c r="E59" i="96" s="1"/>
  <c r="O19" i="96"/>
  <c r="L19" i="96"/>
  <c r="J19" i="96"/>
  <c r="I19" i="96"/>
  <c r="F19" i="96"/>
  <c r="D19" i="96"/>
  <c r="C19" i="96"/>
  <c r="B19" i="96"/>
  <c r="E19" i="96" s="1"/>
  <c r="X25" i="81"/>
  <c r="C25" i="81"/>
  <c r="A25" i="81"/>
  <c r="C17" i="79"/>
  <c r="B17" i="79"/>
  <c r="A17" i="79"/>
  <c r="M26" i="57"/>
  <c r="L26" i="57"/>
  <c r="K26" i="57"/>
  <c r="C27" i="46"/>
  <c r="B27" i="46"/>
  <c r="A27" i="46"/>
  <c r="M27" i="48"/>
  <c r="L27" i="48"/>
  <c r="L17" i="78"/>
  <c r="K17" i="78"/>
  <c r="E17" i="78"/>
  <c r="B17" i="78"/>
  <c r="A17" i="78"/>
  <c r="O129" i="95"/>
  <c r="M17" i="78" s="1"/>
  <c r="L129" i="95"/>
  <c r="J129" i="95"/>
  <c r="I129" i="95"/>
  <c r="F129" i="95"/>
  <c r="AE17" i="78" s="1"/>
  <c r="D129" i="95"/>
  <c r="B129" i="95"/>
  <c r="E129" i="95" s="1"/>
  <c r="AD17" i="78" s="1"/>
  <c r="C125" i="95"/>
  <c r="C129" i="95" s="1"/>
  <c r="AC17" i="78" s="1"/>
  <c r="O139" i="95"/>
  <c r="M17" i="79" s="1"/>
  <c r="L139" i="95"/>
  <c r="J139" i="95"/>
  <c r="I139" i="95"/>
  <c r="L17" i="79" s="1"/>
  <c r="D139" i="95"/>
  <c r="K17" i="79" s="1"/>
  <c r="B139" i="95"/>
  <c r="C135" i="95"/>
  <c r="C139" i="95" s="1"/>
  <c r="AC17" i="79" s="1"/>
  <c r="O49" i="95"/>
  <c r="L49" i="95"/>
  <c r="J49" i="95"/>
  <c r="I49" i="95"/>
  <c r="D49" i="95"/>
  <c r="B49" i="95"/>
  <c r="C45" i="95"/>
  <c r="C49" i="95" s="1"/>
  <c r="AC26" i="57" s="1"/>
  <c r="O29" i="95"/>
  <c r="M27" i="46" s="1"/>
  <c r="L29" i="95"/>
  <c r="J29" i="95"/>
  <c r="I29" i="95"/>
  <c r="L27" i="46" s="1"/>
  <c r="D29" i="95"/>
  <c r="K27" i="46" s="1"/>
  <c r="B29" i="95"/>
  <c r="C25" i="95"/>
  <c r="C29" i="95" s="1"/>
  <c r="AC27" i="46" s="1"/>
  <c r="O39" i="95"/>
  <c r="L39" i="95"/>
  <c r="J39" i="95"/>
  <c r="I39" i="95"/>
  <c r="D39" i="95"/>
  <c r="K27" i="48" s="1"/>
  <c r="B39" i="95"/>
  <c r="B27" i="48" s="1"/>
  <c r="C35" i="95"/>
  <c r="F35" i="95" s="1"/>
  <c r="F39" i="95" s="1"/>
  <c r="AE27" i="48" s="1"/>
  <c r="O119" i="95"/>
  <c r="L119" i="95"/>
  <c r="J119" i="95"/>
  <c r="I119" i="95"/>
  <c r="F119" i="95"/>
  <c r="D119" i="95"/>
  <c r="C119" i="95"/>
  <c r="B119" i="95"/>
  <c r="E119" i="95" s="1"/>
  <c r="O109" i="95"/>
  <c r="L109" i="95"/>
  <c r="J109" i="95"/>
  <c r="I109" i="95"/>
  <c r="F109" i="95"/>
  <c r="D109" i="95"/>
  <c r="C109" i="95"/>
  <c r="B109" i="95"/>
  <c r="E109" i="95" s="1"/>
  <c r="O99" i="95"/>
  <c r="L99" i="95"/>
  <c r="J99" i="95"/>
  <c r="I99" i="95"/>
  <c r="F99" i="95"/>
  <c r="D99" i="95"/>
  <c r="C99" i="95"/>
  <c r="B99" i="95"/>
  <c r="E99" i="95" s="1"/>
  <c r="O89" i="95"/>
  <c r="L89" i="95"/>
  <c r="J89" i="95"/>
  <c r="I89" i="95"/>
  <c r="F89" i="95"/>
  <c r="D89" i="95"/>
  <c r="C89" i="95"/>
  <c r="B89" i="95"/>
  <c r="E89" i="95" s="1"/>
  <c r="O79" i="95"/>
  <c r="L79" i="95"/>
  <c r="J79" i="95"/>
  <c r="I79" i="95"/>
  <c r="F79" i="95"/>
  <c r="D79" i="95"/>
  <c r="C79" i="95"/>
  <c r="B79" i="95"/>
  <c r="E79" i="95" s="1"/>
  <c r="O69" i="95"/>
  <c r="L69" i="95"/>
  <c r="J69" i="95"/>
  <c r="I69" i="95"/>
  <c r="F69" i="95"/>
  <c r="D69" i="95"/>
  <c r="C69" i="95"/>
  <c r="B69" i="95"/>
  <c r="E69" i="95" s="1"/>
  <c r="O59" i="95"/>
  <c r="L59" i="95"/>
  <c r="J59" i="95"/>
  <c r="I59" i="95"/>
  <c r="F59" i="95"/>
  <c r="D59" i="95"/>
  <c r="C59" i="95"/>
  <c r="B59" i="95"/>
  <c r="E59" i="95" s="1"/>
  <c r="O19" i="95"/>
  <c r="L19" i="95"/>
  <c r="J19" i="95"/>
  <c r="I19" i="95"/>
  <c r="F19" i="95"/>
  <c r="D19" i="95"/>
  <c r="C19" i="95"/>
  <c r="B19" i="95"/>
  <c r="E19" i="95" s="1"/>
  <c r="X24" i="81"/>
  <c r="X23" i="81"/>
  <c r="X22" i="81"/>
  <c r="E19" i="78" l="1"/>
  <c r="E129" i="97"/>
  <c r="AD19" i="78" s="1"/>
  <c r="X5" i="97"/>
  <c r="U27" i="81" s="1"/>
  <c r="E29" i="97"/>
  <c r="AD29" i="46" s="1"/>
  <c r="E29" i="46"/>
  <c r="C19" i="79"/>
  <c r="B29" i="48"/>
  <c r="B28" i="57"/>
  <c r="E29" i="48"/>
  <c r="C28" i="57"/>
  <c r="E18" i="79"/>
  <c r="E28" i="48"/>
  <c r="C27" i="57"/>
  <c r="W5" i="96"/>
  <c r="W26" i="81" s="1"/>
  <c r="B18" i="78"/>
  <c r="C18" i="78"/>
  <c r="B28" i="46"/>
  <c r="E139" i="96"/>
  <c r="AD18" i="79" s="1"/>
  <c r="X5" i="96"/>
  <c r="U26" i="81" s="1"/>
  <c r="E18" i="78"/>
  <c r="B18" i="79"/>
  <c r="C17" i="78"/>
  <c r="X5" i="95"/>
  <c r="U25" i="81" s="1"/>
  <c r="W5" i="95"/>
  <c r="W25" i="81" s="1"/>
  <c r="B26" i="57"/>
  <c r="E27" i="48"/>
  <c r="C26" i="57"/>
  <c r="E39" i="95"/>
  <c r="AD27" i="48" s="1"/>
  <c r="E139" i="95"/>
  <c r="AD17" i="79" s="1"/>
  <c r="F135" i="97"/>
  <c r="F139" i="97" s="1"/>
  <c r="F45" i="97"/>
  <c r="F49" i="97" s="1"/>
  <c r="W5" i="97"/>
  <c r="C29" i="97"/>
  <c r="C39" i="97"/>
  <c r="C129" i="97"/>
  <c r="U5" i="97"/>
  <c r="V27" i="81" s="1"/>
  <c r="C139" i="96"/>
  <c r="F45" i="96"/>
  <c r="F49" i="96" s="1"/>
  <c r="T5" i="96"/>
  <c r="C29" i="96"/>
  <c r="C39" i="96"/>
  <c r="U5" i="96"/>
  <c r="V26" i="81" s="1"/>
  <c r="Q5" i="96"/>
  <c r="S5" i="96"/>
  <c r="U5" i="95"/>
  <c r="V25" i="81" s="1"/>
  <c r="F135" i="95"/>
  <c r="F139" i="95" s="1"/>
  <c r="F45" i="95"/>
  <c r="F49" i="95" s="1"/>
  <c r="F25" i="95"/>
  <c r="F29" i="95" s="1"/>
  <c r="C39" i="95"/>
  <c r="C24" i="81"/>
  <c r="C23" i="81"/>
  <c r="C22" i="81"/>
  <c r="A24" i="81"/>
  <c r="A23" i="81"/>
  <c r="A22" i="81"/>
  <c r="A16" i="79"/>
  <c r="M25" i="57"/>
  <c r="L25" i="57"/>
  <c r="E26" i="46"/>
  <c r="A26" i="46"/>
  <c r="M26" i="48"/>
  <c r="K16" i="78"/>
  <c r="C16" i="78"/>
  <c r="B16" i="78"/>
  <c r="A16" i="78"/>
  <c r="O39" i="94"/>
  <c r="L39" i="94"/>
  <c r="J39" i="94"/>
  <c r="I39" i="94"/>
  <c r="L26" i="48" s="1"/>
  <c r="D39" i="94"/>
  <c r="K26" i="48" s="1"/>
  <c r="B39" i="94"/>
  <c r="C35" i="94"/>
  <c r="C39" i="94" s="1"/>
  <c r="AC26" i="48" s="1"/>
  <c r="O129" i="94"/>
  <c r="M16" i="78" s="1"/>
  <c r="L129" i="94"/>
  <c r="J129" i="94"/>
  <c r="I129" i="94"/>
  <c r="L16" i="78" s="1"/>
  <c r="D129" i="94"/>
  <c r="B129" i="94"/>
  <c r="C125" i="94"/>
  <c r="C129" i="94" s="1"/>
  <c r="AC16" i="78" s="1"/>
  <c r="O139" i="94"/>
  <c r="M16" i="79" s="1"/>
  <c r="L139" i="94"/>
  <c r="J139" i="94"/>
  <c r="I139" i="94"/>
  <c r="L16" i="79" s="1"/>
  <c r="F139" i="94"/>
  <c r="AE16" i="79" s="1"/>
  <c r="D139" i="94"/>
  <c r="K16" i="79" s="1"/>
  <c r="C139" i="94"/>
  <c r="AC16" i="79" s="1"/>
  <c r="B139" i="94"/>
  <c r="E139" i="94" s="1"/>
  <c r="AD16" i="79" s="1"/>
  <c r="O119" i="94"/>
  <c r="L119" i="94"/>
  <c r="J119" i="94"/>
  <c r="I119" i="94"/>
  <c r="F119" i="94"/>
  <c r="D119" i="94"/>
  <c r="C119" i="94"/>
  <c r="B119" i="94"/>
  <c r="E119" i="94" s="1"/>
  <c r="O109" i="94"/>
  <c r="L109" i="94"/>
  <c r="J109" i="94"/>
  <c r="I109" i="94"/>
  <c r="F109" i="94"/>
  <c r="D109" i="94"/>
  <c r="C109" i="94"/>
  <c r="B109" i="94"/>
  <c r="E109" i="94" s="1"/>
  <c r="O99" i="94"/>
  <c r="L99" i="94"/>
  <c r="J99" i="94"/>
  <c r="I99" i="94"/>
  <c r="F99" i="94"/>
  <c r="D99" i="94"/>
  <c r="C99" i="94"/>
  <c r="B99" i="94"/>
  <c r="E99" i="94" s="1"/>
  <c r="O89" i="94"/>
  <c r="L89" i="94"/>
  <c r="J89" i="94"/>
  <c r="I89" i="94"/>
  <c r="F89" i="94"/>
  <c r="D89" i="94"/>
  <c r="C89" i="94"/>
  <c r="B89" i="94"/>
  <c r="E89" i="94" s="1"/>
  <c r="O79" i="94"/>
  <c r="L79" i="94"/>
  <c r="J79" i="94"/>
  <c r="I79" i="94"/>
  <c r="F79" i="94"/>
  <c r="D79" i="94"/>
  <c r="C79" i="94"/>
  <c r="B79" i="94"/>
  <c r="E79" i="94" s="1"/>
  <c r="O69" i="94"/>
  <c r="L69" i="94"/>
  <c r="J69" i="94"/>
  <c r="I69" i="94"/>
  <c r="F69" i="94"/>
  <c r="D69" i="94"/>
  <c r="C69" i="94"/>
  <c r="B69" i="94"/>
  <c r="E69" i="94" s="1"/>
  <c r="O59" i="94"/>
  <c r="L59" i="94"/>
  <c r="J59" i="94"/>
  <c r="I59" i="94"/>
  <c r="F59" i="94"/>
  <c r="D59" i="94"/>
  <c r="C59" i="94"/>
  <c r="B59" i="94"/>
  <c r="E59" i="94" s="1"/>
  <c r="O49" i="94"/>
  <c r="L49" i="94"/>
  <c r="J49" i="94"/>
  <c r="I49" i="94"/>
  <c r="F49" i="94"/>
  <c r="AE25" i="57" s="1"/>
  <c r="D49" i="94"/>
  <c r="K25" i="57" s="1"/>
  <c r="C49" i="94"/>
  <c r="AC25" i="57" s="1"/>
  <c r="B49" i="94"/>
  <c r="E49" i="94" s="1"/>
  <c r="AD25" i="57" s="1"/>
  <c r="O29" i="94"/>
  <c r="M26" i="46" s="1"/>
  <c r="L29" i="94"/>
  <c r="J29" i="94"/>
  <c r="I29" i="94"/>
  <c r="L26" i="46" s="1"/>
  <c r="F29" i="94"/>
  <c r="AE26" i="46" s="1"/>
  <c r="D29" i="94"/>
  <c r="K26" i="46" s="1"/>
  <c r="C29" i="94"/>
  <c r="AC26" i="46" s="1"/>
  <c r="B29" i="94"/>
  <c r="E29" i="94" s="1"/>
  <c r="AD26" i="46" s="1"/>
  <c r="O19" i="94"/>
  <c r="L19" i="94"/>
  <c r="J19" i="94"/>
  <c r="I19" i="94"/>
  <c r="F19" i="94"/>
  <c r="D19" i="94"/>
  <c r="C19" i="94"/>
  <c r="B19" i="94"/>
  <c r="E19" i="94" s="1"/>
  <c r="A15" i="79"/>
  <c r="M24" i="57"/>
  <c r="A25" i="46"/>
  <c r="L25" i="48"/>
  <c r="K25" i="48"/>
  <c r="A15" i="78"/>
  <c r="O39" i="93"/>
  <c r="M25" i="48" s="1"/>
  <c r="L39" i="93"/>
  <c r="J39" i="93"/>
  <c r="I39" i="93"/>
  <c r="D39" i="93"/>
  <c r="B39" i="93"/>
  <c r="C35" i="93"/>
  <c r="C39" i="93" s="1"/>
  <c r="O129" i="93"/>
  <c r="M15" i="78" s="1"/>
  <c r="L129" i="93"/>
  <c r="J129" i="93"/>
  <c r="I129" i="93"/>
  <c r="L15" i="78" s="1"/>
  <c r="D129" i="93"/>
  <c r="K15" i="78" s="1"/>
  <c r="B129" i="93"/>
  <c r="C125" i="93"/>
  <c r="C129" i="93" s="1"/>
  <c r="O139" i="93"/>
  <c r="M15" i="79" s="1"/>
  <c r="L139" i="93"/>
  <c r="J139" i="93"/>
  <c r="I139" i="93"/>
  <c r="L15" i="79" s="1"/>
  <c r="F139" i="93"/>
  <c r="D139" i="93"/>
  <c r="K15" i="79" s="1"/>
  <c r="C139" i="93"/>
  <c r="B139" i="93"/>
  <c r="O119" i="93"/>
  <c r="L119" i="93"/>
  <c r="J119" i="93"/>
  <c r="I119" i="93"/>
  <c r="F119" i="93"/>
  <c r="D119" i="93"/>
  <c r="C119" i="93"/>
  <c r="B119" i="93"/>
  <c r="E119" i="93" s="1"/>
  <c r="O109" i="93"/>
  <c r="L109" i="93"/>
  <c r="J109" i="93"/>
  <c r="I109" i="93"/>
  <c r="F109" i="93"/>
  <c r="D109" i="93"/>
  <c r="C109" i="93"/>
  <c r="B109" i="93"/>
  <c r="E109" i="93" s="1"/>
  <c r="O99" i="93"/>
  <c r="L99" i="93"/>
  <c r="J99" i="93"/>
  <c r="I99" i="93"/>
  <c r="F99" i="93"/>
  <c r="D99" i="93"/>
  <c r="C99" i="93"/>
  <c r="B99" i="93"/>
  <c r="E99" i="93" s="1"/>
  <c r="O89" i="93"/>
  <c r="L89" i="93"/>
  <c r="J89" i="93"/>
  <c r="I89" i="93"/>
  <c r="F89" i="93"/>
  <c r="D89" i="93"/>
  <c r="C89" i="93"/>
  <c r="B89" i="93"/>
  <c r="E89" i="93" s="1"/>
  <c r="O79" i="93"/>
  <c r="L79" i="93"/>
  <c r="J79" i="93"/>
  <c r="I79" i="93"/>
  <c r="F79" i="93"/>
  <c r="D79" i="93"/>
  <c r="C79" i="93"/>
  <c r="B79" i="93"/>
  <c r="E79" i="93" s="1"/>
  <c r="O69" i="93"/>
  <c r="L69" i="93"/>
  <c r="J69" i="93"/>
  <c r="I69" i="93"/>
  <c r="F69" i="93"/>
  <c r="D69" i="93"/>
  <c r="C69" i="93"/>
  <c r="B69" i="93"/>
  <c r="E69" i="93" s="1"/>
  <c r="O59" i="93"/>
  <c r="L59" i="93"/>
  <c r="J59" i="93"/>
  <c r="I59" i="93"/>
  <c r="F59" i="93"/>
  <c r="D59" i="93"/>
  <c r="C59" i="93"/>
  <c r="B59" i="93"/>
  <c r="E59" i="93" s="1"/>
  <c r="O49" i="93"/>
  <c r="L49" i="93"/>
  <c r="J49" i="93"/>
  <c r="I49" i="93"/>
  <c r="L24" i="57" s="1"/>
  <c r="F49" i="93"/>
  <c r="AE24" i="57" s="1"/>
  <c r="D49" i="93"/>
  <c r="K24" i="57" s="1"/>
  <c r="C49" i="93"/>
  <c r="AC24" i="57" s="1"/>
  <c r="B49" i="93"/>
  <c r="O29" i="93"/>
  <c r="M25" i="46" s="1"/>
  <c r="L29" i="93"/>
  <c r="J29" i="93"/>
  <c r="I29" i="93"/>
  <c r="L25" i="46" s="1"/>
  <c r="F29" i="93"/>
  <c r="D29" i="93"/>
  <c r="K25" i="46" s="1"/>
  <c r="C29" i="93"/>
  <c r="AC25" i="46" s="1"/>
  <c r="B29" i="93"/>
  <c r="E29" i="93" s="1"/>
  <c r="AD25" i="46" s="1"/>
  <c r="O19" i="93"/>
  <c r="L19" i="93"/>
  <c r="J19" i="93"/>
  <c r="I19" i="93"/>
  <c r="F19" i="93"/>
  <c r="D19" i="93"/>
  <c r="C19" i="93"/>
  <c r="B19" i="93"/>
  <c r="E19" i="93" s="1"/>
  <c r="T5" i="95" l="1"/>
  <c r="Q5" i="95" s="1"/>
  <c r="AC29" i="48"/>
  <c r="C29" i="48"/>
  <c r="AC29" i="46"/>
  <c r="C29" i="46"/>
  <c r="AE28" i="57"/>
  <c r="E28" i="57"/>
  <c r="E139" i="97"/>
  <c r="AD19" i="79" s="1"/>
  <c r="T5" i="97"/>
  <c r="S5" i="97" s="1"/>
  <c r="W27" i="81"/>
  <c r="AE19" i="79"/>
  <c r="E19" i="79"/>
  <c r="AC19" i="78"/>
  <c r="C19" i="78"/>
  <c r="E49" i="97"/>
  <c r="AD28" i="57" s="1"/>
  <c r="AC28" i="46"/>
  <c r="C28" i="46"/>
  <c r="AC28" i="48"/>
  <c r="C28" i="48"/>
  <c r="AE27" i="57"/>
  <c r="E27" i="57"/>
  <c r="AC18" i="79"/>
  <c r="C18" i="79"/>
  <c r="E49" i="96"/>
  <c r="AD27" i="57" s="1"/>
  <c r="AE26" i="57"/>
  <c r="E26" i="57"/>
  <c r="AC27" i="48"/>
  <c r="C27" i="48"/>
  <c r="AE17" i="79"/>
  <c r="E17" i="79"/>
  <c r="E29" i="95"/>
  <c r="AD27" i="46" s="1"/>
  <c r="E49" i="95"/>
  <c r="AD26" i="57" s="1"/>
  <c r="AE27" i="46"/>
  <c r="E27" i="46"/>
  <c r="C26" i="46"/>
  <c r="B16" i="79"/>
  <c r="F35" i="94"/>
  <c r="F39" i="94" s="1"/>
  <c r="E16" i="79"/>
  <c r="B26" i="46"/>
  <c r="E39" i="94"/>
  <c r="AD26" i="48" s="1"/>
  <c r="C16" i="79"/>
  <c r="U5" i="94"/>
  <c r="V24" i="81" s="1"/>
  <c r="B26" i="48"/>
  <c r="C26" i="48"/>
  <c r="B25" i="57"/>
  <c r="C25" i="57"/>
  <c r="X5" i="94"/>
  <c r="U24" i="81" s="1"/>
  <c r="E25" i="57"/>
  <c r="B15" i="78"/>
  <c r="B15" i="79"/>
  <c r="E139" i="93"/>
  <c r="AD15" i="79" s="1"/>
  <c r="C15" i="79"/>
  <c r="AC15" i="79"/>
  <c r="B25" i="46"/>
  <c r="B25" i="48"/>
  <c r="E39" i="93"/>
  <c r="AD25" i="48" s="1"/>
  <c r="C25" i="46"/>
  <c r="E25" i="46"/>
  <c r="AE25" i="46"/>
  <c r="E15" i="79"/>
  <c r="AE15" i="79"/>
  <c r="C24" i="57"/>
  <c r="C25" i="48"/>
  <c r="AC25" i="48"/>
  <c r="E24" i="57"/>
  <c r="B24" i="57"/>
  <c r="E49" i="93"/>
  <c r="AD24" i="57" s="1"/>
  <c r="C15" i="78"/>
  <c r="AC15" i="78"/>
  <c r="F125" i="94"/>
  <c r="F129" i="94" s="1"/>
  <c r="W5" i="94"/>
  <c r="W24" i="81" s="1"/>
  <c r="W5" i="93"/>
  <c r="W23" i="81" s="1"/>
  <c r="X5" i="93"/>
  <c r="U23" i="81" s="1"/>
  <c r="U5" i="93"/>
  <c r="V23" i="81" s="1"/>
  <c r="F35" i="93"/>
  <c r="F39" i="93" s="1"/>
  <c r="F125" i="93"/>
  <c r="F129" i="93" s="1"/>
  <c r="T5" i="93"/>
  <c r="S5" i="93" s="1"/>
  <c r="Q5" i="97" l="1"/>
  <c r="S5" i="95"/>
  <c r="T5" i="94"/>
  <c r="Q5" i="94" s="1"/>
  <c r="AE26" i="48"/>
  <c r="E26" i="48"/>
  <c r="AE16" i="78"/>
  <c r="E16" i="78"/>
  <c r="E129" i="94"/>
  <c r="AD16" i="78" s="1"/>
  <c r="E15" i="78"/>
  <c r="AE15" i="78"/>
  <c r="E25" i="48"/>
  <c r="AE25" i="48"/>
  <c r="E129" i="93"/>
  <c r="AD15" i="78" s="1"/>
  <c r="S5" i="94"/>
  <c r="Q5" i="93"/>
  <c r="A14" i="79" l="1"/>
  <c r="A14" i="78"/>
  <c r="A24" i="46"/>
  <c r="O139" i="87"/>
  <c r="M14" i="79" s="1"/>
  <c r="L139" i="87"/>
  <c r="J139" i="87"/>
  <c r="I139" i="87"/>
  <c r="L14" i="79" s="1"/>
  <c r="D139" i="87"/>
  <c r="K14" i="79" s="1"/>
  <c r="B139" i="87"/>
  <c r="F139" i="87"/>
  <c r="O129" i="87"/>
  <c r="M14" i="78" s="1"/>
  <c r="L129" i="87"/>
  <c r="J129" i="87"/>
  <c r="I129" i="87"/>
  <c r="L14" i="78" s="1"/>
  <c r="D129" i="87"/>
  <c r="K14" i="78" s="1"/>
  <c r="B129" i="87"/>
  <c r="C125" i="87"/>
  <c r="C129" i="87" s="1"/>
  <c r="O119" i="87"/>
  <c r="J119" i="87"/>
  <c r="I119" i="87"/>
  <c r="F119" i="87"/>
  <c r="D119" i="87"/>
  <c r="C119" i="87"/>
  <c r="B119" i="87"/>
  <c r="E119" i="87" s="1"/>
  <c r="L119" i="87"/>
  <c r="O109" i="87"/>
  <c r="J109" i="87"/>
  <c r="I109" i="87"/>
  <c r="F109" i="87"/>
  <c r="D109" i="87"/>
  <c r="C109" i="87"/>
  <c r="B109" i="87"/>
  <c r="E109" i="87" s="1"/>
  <c r="L109" i="87"/>
  <c r="O99" i="87"/>
  <c r="L99" i="87"/>
  <c r="J99" i="87"/>
  <c r="I99" i="87"/>
  <c r="F99" i="87"/>
  <c r="D99" i="87"/>
  <c r="C99" i="87"/>
  <c r="B99" i="87"/>
  <c r="E99" i="87" s="1"/>
  <c r="O89" i="87"/>
  <c r="J89" i="87"/>
  <c r="I89" i="87"/>
  <c r="F89" i="87"/>
  <c r="D89" i="87"/>
  <c r="C89" i="87"/>
  <c r="B89" i="87"/>
  <c r="E89" i="87" s="1"/>
  <c r="L89" i="87"/>
  <c r="O79" i="87"/>
  <c r="J79" i="87"/>
  <c r="I79" i="87"/>
  <c r="F79" i="87"/>
  <c r="D79" i="87"/>
  <c r="C79" i="87"/>
  <c r="B79" i="87"/>
  <c r="E79" i="87" s="1"/>
  <c r="L79" i="87"/>
  <c r="O69" i="87"/>
  <c r="J69" i="87"/>
  <c r="I69" i="87"/>
  <c r="F69" i="87"/>
  <c r="D69" i="87"/>
  <c r="C69" i="87"/>
  <c r="B69" i="87"/>
  <c r="E69" i="87" s="1"/>
  <c r="L69" i="87"/>
  <c r="O59" i="87"/>
  <c r="L59" i="87"/>
  <c r="J59" i="87"/>
  <c r="I59" i="87"/>
  <c r="F59" i="87"/>
  <c r="D59" i="87"/>
  <c r="C59" i="87"/>
  <c r="B59" i="87"/>
  <c r="E59" i="87" s="1"/>
  <c r="O49" i="87"/>
  <c r="M23" i="57" s="1"/>
  <c r="L49" i="87"/>
  <c r="J49" i="87"/>
  <c r="I49" i="87"/>
  <c r="L23" i="57" s="1"/>
  <c r="D49" i="87"/>
  <c r="K23" i="57" s="1"/>
  <c r="B49" i="87"/>
  <c r="F49" i="87"/>
  <c r="C49" i="87"/>
  <c r="O39" i="87"/>
  <c r="M24" i="48" s="1"/>
  <c r="L39" i="87"/>
  <c r="J39" i="87"/>
  <c r="I39" i="87"/>
  <c r="L24" i="48" s="1"/>
  <c r="D39" i="87"/>
  <c r="K24" i="48" s="1"/>
  <c r="C39" i="87"/>
  <c r="B39" i="87"/>
  <c r="F39" i="87"/>
  <c r="O29" i="87"/>
  <c r="M24" i="46" s="1"/>
  <c r="L29" i="87"/>
  <c r="J29" i="87"/>
  <c r="I29" i="87"/>
  <c r="L24" i="46" s="1"/>
  <c r="D29" i="87"/>
  <c r="K24" i="46" s="1"/>
  <c r="C29" i="87"/>
  <c r="B29" i="87"/>
  <c r="F29" i="87"/>
  <c r="O19" i="87"/>
  <c r="L19" i="87"/>
  <c r="J19" i="87"/>
  <c r="I19" i="87"/>
  <c r="F19" i="87"/>
  <c r="D19" i="87"/>
  <c r="C19" i="87"/>
  <c r="B19" i="87"/>
  <c r="E19" i="87" s="1"/>
  <c r="B14" i="79" l="1"/>
  <c r="E139" i="87"/>
  <c r="AD14" i="79" s="1"/>
  <c r="C23" i="57"/>
  <c r="AC23" i="57"/>
  <c r="E23" i="57"/>
  <c r="AE23" i="57"/>
  <c r="E24" i="48"/>
  <c r="AE24" i="48"/>
  <c r="C14" i="78"/>
  <c r="AC14" i="78"/>
  <c r="B24" i="46"/>
  <c r="E29" i="87"/>
  <c r="AD24" i="46" s="1"/>
  <c r="Y5" i="46" s="1" a="1"/>
  <c r="Y5" i="46" s="1"/>
  <c r="B24" i="48"/>
  <c r="E39" i="87"/>
  <c r="AD24" i="48" s="1"/>
  <c r="Y5" i="48" s="1" a="1"/>
  <c r="Y5" i="48" s="1"/>
  <c r="B14" i="78"/>
  <c r="C24" i="46"/>
  <c r="AC24" i="46"/>
  <c r="B23" i="57"/>
  <c r="E49" i="87"/>
  <c r="AD23" i="57" s="1"/>
  <c r="Y5" i="57" s="1" a="1"/>
  <c r="Y5" i="57" s="1"/>
  <c r="C24" i="48"/>
  <c r="AC24" i="48"/>
  <c r="E14" i="79"/>
  <c r="AE14" i="79"/>
  <c r="E24" i="46"/>
  <c r="AE24" i="46"/>
  <c r="X5" i="87"/>
  <c r="U22" i="81" s="1"/>
  <c r="U5" i="87"/>
  <c r="V22" i="81" s="1"/>
  <c r="W5" i="87"/>
  <c r="F125" i="87"/>
  <c r="F129" i="87" s="1"/>
  <c r="C139" i="87"/>
  <c r="Y5" i="79" l="1" a="1"/>
  <c r="Y5" i="79" s="1"/>
  <c r="C14" i="79"/>
  <c r="AC14" i="79"/>
  <c r="E129" i="87"/>
  <c r="AD14" i="78" s="1"/>
  <c r="Y5" i="78" s="1" a="1"/>
  <c r="Y5" i="78" s="1"/>
  <c r="E14" i="78"/>
  <c r="AE14" i="78"/>
  <c r="T5" i="87"/>
  <c r="Q5" i="87" s="1"/>
  <c r="W22" i="81"/>
  <c r="C135" i="86"/>
  <c r="F135" i="86" s="1"/>
  <c r="C25" i="86"/>
  <c r="F25" i="86" s="1"/>
  <c r="C45" i="86"/>
  <c r="F45" i="86" s="1"/>
  <c r="C36" i="86"/>
  <c r="F36" i="86" s="1"/>
  <c r="X21" i="81"/>
  <c r="S5" i="87" l="1"/>
  <c r="C125" i="86"/>
  <c r="F125" i="86" s="1"/>
  <c r="A13" i="79"/>
  <c r="A13" i="78"/>
  <c r="A23" i="46"/>
  <c r="L115" i="86"/>
  <c r="A13" i="77"/>
  <c r="C35" i="86"/>
  <c r="F35" i="86" s="1"/>
  <c r="A17" i="58"/>
  <c r="A17" i="72"/>
  <c r="A14" i="73"/>
  <c r="C21" i="81"/>
  <c r="A21" i="81"/>
  <c r="A13" i="75"/>
  <c r="A23" i="35"/>
  <c r="L15" i="86"/>
  <c r="A13" i="74" l="1"/>
  <c r="A13" i="76"/>
  <c r="L105" i="86"/>
  <c r="L109" i="86" s="1"/>
  <c r="L95" i="86"/>
  <c r="L99" i="86" s="1"/>
  <c r="L85" i="86"/>
  <c r="L89" i="86" s="1"/>
  <c r="L75" i="86"/>
  <c r="L79" i="86" s="1"/>
  <c r="L65" i="86"/>
  <c r="L69" i="86" s="1"/>
  <c r="L55" i="86"/>
  <c r="L59" i="86" s="1"/>
  <c r="O139" i="86"/>
  <c r="M13" i="79" s="1"/>
  <c r="L139" i="86"/>
  <c r="J139" i="86"/>
  <c r="I139" i="86"/>
  <c r="L13" i="79" s="1"/>
  <c r="F139" i="86"/>
  <c r="E13" i="79" s="1"/>
  <c r="D139" i="86"/>
  <c r="K13" i="79" s="1"/>
  <c r="C139" i="86"/>
  <c r="C13" i="79" s="1"/>
  <c r="B139" i="86"/>
  <c r="B13" i="79" s="1"/>
  <c r="O129" i="86"/>
  <c r="M13" i="78" s="1"/>
  <c r="L129" i="86"/>
  <c r="J129" i="86"/>
  <c r="I129" i="86"/>
  <c r="L13" i="78" s="1"/>
  <c r="F129" i="86"/>
  <c r="E13" i="78" s="1"/>
  <c r="D129" i="86"/>
  <c r="K13" i="78" s="1"/>
  <c r="C129" i="86"/>
  <c r="C13" i="78" s="1"/>
  <c r="B129" i="86"/>
  <c r="B13" i="78" s="1"/>
  <c r="O119" i="86"/>
  <c r="M13" i="77" s="1"/>
  <c r="L119" i="86"/>
  <c r="J119" i="86"/>
  <c r="L13" i="77" s="1"/>
  <c r="I119" i="86"/>
  <c r="F119" i="86"/>
  <c r="E13" i="77" s="1"/>
  <c r="D119" i="86"/>
  <c r="K13" i="77" s="1"/>
  <c r="C119" i="86"/>
  <c r="C13" i="77" s="1"/>
  <c r="B119" i="86"/>
  <c r="B13" i="77" s="1"/>
  <c r="O109" i="86"/>
  <c r="M13" i="76" s="1"/>
  <c r="J109" i="86"/>
  <c r="L13" i="76" s="1"/>
  <c r="I109" i="86"/>
  <c r="F109" i="86"/>
  <c r="E13" i="76" s="1"/>
  <c r="D109" i="86"/>
  <c r="K13" i="76" s="1"/>
  <c r="C109" i="86"/>
  <c r="C13" i="76" s="1"/>
  <c r="B109" i="86"/>
  <c r="B13" i="76" s="1"/>
  <c r="O99" i="86"/>
  <c r="M13" i="75" s="1"/>
  <c r="J99" i="86"/>
  <c r="L13" i="75" s="1"/>
  <c r="I99" i="86"/>
  <c r="F99" i="86"/>
  <c r="E13" i="75" s="1"/>
  <c r="D99" i="86"/>
  <c r="K13" i="75" s="1"/>
  <c r="C99" i="86"/>
  <c r="C13" i="75" s="1"/>
  <c r="B99" i="86"/>
  <c r="B13" i="75" s="1"/>
  <c r="O89" i="86"/>
  <c r="M13" i="74" s="1"/>
  <c r="J89" i="86"/>
  <c r="L13" i="74" s="1"/>
  <c r="I89" i="86"/>
  <c r="F89" i="86"/>
  <c r="E13" i="74" s="1"/>
  <c r="D89" i="86"/>
  <c r="K13" i="74" s="1"/>
  <c r="C89" i="86"/>
  <c r="C13" i="74" s="1"/>
  <c r="B89" i="86"/>
  <c r="B13" i="74" s="1"/>
  <c r="O79" i="86"/>
  <c r="M14" i="73" s="1"/>
  <c r="J79" i="86"/>
  <c r="L14" i="73" s="1"/>
  <c r="I79" i="86"/>
  <c r="F79" i="86"/>
  <c r="E14" i="73" s="1"/>
  <c r="D79" i="86"/>
  <c r="K14" i="73" s="1"/>
  <c r="C79" i="86"/>
  <c r="C14" i="73" s="1"/>
  <c r="B79" i="86"/>
  <c r="B14" i="73" s="1"/>
  <c r="O69" i="86"/>
  <c r="M17" i="72" s="1"/>
  <c r="J69" i="86"/>
  <c r="L17" i="72" s="1"/>
  <c r="I69" i="86"/>
  <c r="F69" i="86"/>
  <c r="E17" i="72" s="1"/>
  <c r="D69" i="86"/>
  <c r="K17" i="72" s="1"/>
  <c r="C69" i="86"/>
  <c r="C17" i="72" s="1"/>
  <c r="B69" i="86"/>
  <c r="B17" i="72" s="1"/>
  <c r="O59" i="86"/>
  <c r="M17" i="58" s="1"/>
  <c r="J59" i="86"/>
  <c r="L17" i="58" s="1"/>
  <c r="I59" i="86"/>
  <c r="F59" i="86"/>
  <c r="E17" i="58" s="1"/>
  <c r="D59" i="86"/>
  <c r="K17" i="58" s="1"/>
  <c r="C59" i="86"/>
  <c r="C17" i="58" s="1"/>
  <c r="B59" i="86"/>
  <c r="B17" i="58" s="1"/>
  <c r="O49" i="86"/>
  <c r="M22" i="57" s="1"/>
  <c r="L49" i="86"/>
  <c r="J49" i="86"/>
  <c r="I49" i="86"/>
  <c r="L22" i="57" s="1"/>
  <c r="F49" i="86"/>
  <c r="E22" i="57" s="1"/>
  <c r="D49" i="86"/>
  <c r="K22" i="57" s="1"/>
  <c r="C49" i="86"/>
  <c r="C22" i="57" s="1"/>
  <c r="B49" i="86"/>
  <c r="B22" i="57" s="1"/>
  <c r="O39" i="86"/>
  <c r="M23" i="48" s="1"/>
  <c r="L39" i="86"/>
  <c r="J39" i="86"/>
  <c r="I39" i="86"/>
  <c r="L23" i="48" s="1"/>
  <c r="F39" i="86"/>
  <c r="E23" i="48" s="1"/>
  <c r="D39" i="86"/>
  <c r="K23" i="48" s="1"/>
  <c r="C39" i="86"/>
  <c r="C23" i="48" s="1"/>
  <c r="B39" i="86"/>
  <c r="B23" i="48" s="1"/>
  <c r="O29" i="86"/>
  <c r="M23" i="46" s="1"/>
  <c r="L29" i="86"/>
  <c r="J29" i="86"/>
  <c r="I29" i="86"/>
  <c r="L23" i="46" s="1"/>
  <c r="F29" i="86"/>
  <c r="E23" i="46" s="1"/>
  <c r="D29" i="86"/>
  <c r="K23" i="46" s="1"/>
  <c r="C29" i="86"/>
  <c r="C23" i="46" s="1"/>
  <c r="B29" i="86"/>
  <c r="B23" i="46" s="1"/>
  <c r="O19" i="86"/>
  <c r="L19" i="86"/>
  <c r="J19" i="86"/>
  <c r="L23" i="35" s="1"/>
  <c r="I19" i="86"/>
  <c r="F19" i="86"/>
  <c r="E23" i="35" s="1"/>
  <c r="D19" i="86"/>
  <c r="C19" i="86"/>
  <c r="C23" i="35" s="1"/>
  <c r="B19" i="86"/>
  <c r="B23" i="35" s="1"/>
  <c r="X20" i="81"/>
  <c r="C20" i="81"/>
  <c r="A20" i="81"/>
  <c r="A12" i="79"/>
  <c r="A12" i="78"/>
  <c r="A12" i="77"/>
  <c r="A12" i="76"/>
  <c r="A12" i="75"/>
  <c r="A12" i="74"/>
  <c r="A13" i="73"/>
  <c r="A16" i="72"/>
  <c r="A16" i="58"/>
  <c r="A22" i="46"/>
  <c r="A22" i="35"/>
  <c r="O139" i="85"/>
  <c r="M12" i="79" s="1"/>
  <c r="L139" i="85"/>
  <c r="J139" i="85"/>
  <c r="I139" i="85"/>
  <c r="L12" i="79" s="1"/>
  <c r="F139" i="85"/>
  <c r="E12" i="79" s="1"/>
  <c r="D139" i="85"/>
  <c r="K12" i="79" s="1"/>
  <c r="C139" i="85"/>
  <c r="C12" i="79" s="1"/>
  <c r="B139" i="85"/>
  <c r="B12" i="79" s="1"/>
  <c r="O129" i="85"/>
  <c r="M12" i="78" s="1"/>
  <c r="L129" i="85"/>
  <c r="J129" i="85"/>
  <c r="I129" i="85"/>
  <c r="L12" i="78" s="1"/>
  <c r="F129" i="85"/>
  <c r="E12" i="78" s="1"/>
  <c r="D129" i="85"/>
  <c r="K12" i="78" s="1"/>
  <c r="C129" i="85"/>
  <c r="C12" i="78" s="1"/>
  <c r="B129" i="85"/>
  <c r="B12" i="78" s="1"/>
  <c r="O119" i="85"/>
  <c r="M12" i="77" s="1"/>
  <c r="L119" i="85"/>
  <c r="J119" i="85"/>
  <c r="L12" i="77" s="1"/>
  <c r="I119" i="85"/>
  <c r="F119" i="85"/>
  <c r="E12" i="77" s="1"/>
  <c r="D119" i="85"/>
  <c r="K12" i="77" s="1"/>
  <c r="C119" i="85"/>
  <c r="C12" i="77" s="1"/>
  <c r="B119" i="85"/>
  <c r="B12" i="77" s="1"/>
  <c r="O109" i="85"/>
  <c r="M12" i="76" s="1"/>
  <c r="L109" i="85"/>
  <c r="J109" i="85"/>
  <c r="L12" i="76" s="1"/>
  <c r="I109" i="85"/>
  <c r="F109" i="85"/>
  <c r="E12" i="76" s="1"/>
  <c r="D109" i="85"/>
  <c r="K12" i="76" s="1"/>
  <c r="C109" i="85"/>
  <c r="C12" i="76" s="1"/>
  <c r="B109" i="85"/>
  <c r="B12" i="76" s="1"/>
  <c r="O99" i="85"/>
  <c r="M12" i="75" s="1"/>
  <c r="L99" i="85"/>
  <c r="J99" i="85"/>
  <c r="L12" i="75" s="1"/>
  <c r="I99" i="85"/>
  <c r="F99" i="85"/>
  <c r="E12" i="75" s="1"/>
  <c r="D99" i="85"/>
  <c r="K12" i="75" s="1"/>
  <c r="C99" i="85"/>
  <c r="C12" i="75" s="1"/>
  <c r="B99" i="85"/>
  <c r="B12" i="75" s="1"/>
  <c r="O89" i="85"/>
  <c r="M12" i="74" s="1"/>
  <c r="L89" i="85"/>
  <c r="J89" i="85"/>
  <c r="L12" i="74" s="1"/>
  <c r="I89" i="85"/>
  <c r="F89" i="85"/>
  <c r="E12" i="74" s="1"/>
  <c r="D89" i="85"/>
  <c r="K12" i="74" s="1"/>
  <c r="C89" i="85"/>
  <c r="C12" i="74" s="1"/>
  <c r="B89" i="85"/>
  <c r="B12" i="74" s="1"/>
  <c r="O79" i="85"/>
  <c r="M13" i="73" s="1"/>
  <c r="L79" i="85"/>
  <c r="J79" i="85"/>
  <c r="L13" i="73" s="1"/>
  <c r="I79" i="85"/>
  <c r="F79" i="85"/>
  <c r="E13" i="73" s="1"/>
  <c r="D79" i="85"/>
  <c r="K13" i="73" s="1"/>
  <c r="C79" i="85"/>
  <c r="C13" i="73" s="1"/>
  <c r="B79" i="85"/>
  <c r="B13" i="73" s="1"/>
  <c r="O69" i="85"/>
  <c r="M16" i="72" s="1"/>
  <c r="L69" i="85"/>
  <c r="J69" i="85"/>
  <c r="L16" i="72" s="1"/>
  <c r="I69" i="85"/>
  <c r="F69" i="85"/>
  <c r="E16" i="72" s="1"/>
  <c r="D69" i="85"/>
  <c r="K16" i="72" s="1"/>
  <c r="C69" i="85"/>
  <c r="C16" i="72" s="1"/>
  <c r="B69" i="85"/>
  <c r="B16" i="72" s="1"/>
  <c r="O59" i="85"/>
  <c r="M16" i="58" s="1"/>
  <c r="L59" i="85"/>
  <c r="J59" i="85"/>
  <c r="L16" i="58" s="1"/>
  <c r="I59" i="85"/>
  <c r="F59" i="85"/>
  <c r="E16" i="58" s="1"/>
  <c r="D59" i="85"/>
  <c r="K16" i="58" s="1"/>
  <c r="C59" i="85"/>
  <c r="C16" i="58" s="1"/>
  <c r="B59" i="85"/>
  <c r="B16" i="58" s="1"/>
  <c r="O49" i="85"/>
  <c r="M21" i="57" s="1"/>
  <c r="L49" i="85"/>
  <c r="J49" i="85"/>
  <c r="I49" i="85"/>
  <c r="L21" i="57" s="1"/>
  <c r="F49" i="85"/>
  <c r="E21" i="57" s="1"/>
  <c r="D49" i="85"/>
  <c r="K21" i="57" s="1"/>
  <c r="C49" i="85"/>
  <c r="C21" i="57" s="1"/>
  <c r="B49" i="85"/>
  <c r="B21" i="57" s="1"/>
  <c r="O39" i="85"/>
  <c r="M22" i="48" s="1"/>
  <c r="L39" i="85"/>
  <c r="J39" i="85"/>
  <c r="I39" i="85"/>
  <c r="L22" i="48" s="1"/>
  <c r="F39" i="85"/>
  <c r="E22" i="48" s="1"/>
  <c r="D39" i="85"/>
  <c r="K22" i="48" s="1"/>
  <c r="C39" i="85"/>
  <c r="C22" i="48" s="1"/>
  <c r="B39" i="85"/>
  <c r="B22" i="48" s="1"/>
  <c r="O29" i="85"/>
  <c r="M22" i="46" s="1"/>
  <c r="L29" i="85"/>
  <c r="J29" i="85"/>
  <c r="I29" i="85"/>
  <c r="L22" i="46" s="1"/>
  <c r="F29" i="85"/>
  <c r="E22" i="46" s="1"/>
  <c r="D29" i="85"/>
  <c r="K22" i="46" s="1"/>
  <c r="C29" i="85"/>
  <c r="C22" i="46" s="1"/>
  <c r="B29" i="85"/>
  <c r="B22" i="46" s="1"/>
  <c r="O19" i="85"/>
  <c r="M23" i="35" s="1"/>
  <c r="L19" i="85"/>
  <c r="J19" i="85"/>
  <c r="I19" i="85"/>
  <c r="F19" i="85"/>
  <c r="E22" i="35" s="1"/>
  <c r="D19" i="85"/>
  <c r="C19" i="85"/>
  <c r="B19" i="85"/>
  <c r="X19" i="81"/>
  <c r="C19" i="81"/>
  <c r="A19" i="81"/>
  <c r="A11" i="79"/>
  <c r="A11" i="78"/>
  <c r="A11" i="77"/>
  <c r="A11" i="76"/>
  <c r="A11" i="75"/>
  <c r="A11" i="74"/>
  <c r="A12" i="73"/>
  <c r="A15" i="72"/>
  <c r="A15" i="58"/>
  <c r="A21" i="46"/>
  <c r="A21" i="35"/>
  <c r="O139" i="84"/>
  <c r="M11" i="79" s="1"/>
  <c r="L139" i="84"/>
  <c r="J139" i="84"/>
  <c r="I139" i="84"/>
  <c r="L11" i="79" s="1"/>
  <c r="F139" i="84"/>
  <c r="E11" i="79" s="1"/>
  <c r="D139" i="84"/>
  <c r="K11" i="79" s="1"/>
  <c r="C139" i="84"/>
  <c r="C11" i="79" s="1"/>
  <c r="B139" i="84"/>
  <c r="B11" i="79" s="1"/>
  <c r="O129" i="84"/>
  <c r="M11" i="78" s="1"/>
  <c r="L129" i="84"/>
  <c r="J129" i="84"/>
  <c r="I129" i="84"/>
  <c r="F129" i="84"/>
  <c r="E11" i="78" s="1"/>
  <c r="D129" i="84"/>
  <c r="K11" i="78" s="1"/>
  <c r="C129" i="84"/>
  <c r="C11" i="78" s="1"/>
  <c r="B129" i="84"/>
  <c r="B11" i="78" s="1"/>
  <c r="O119" i="84"/>
  <c r="M11" i="77" s="1"/>
  <c r="L119" i="84"/>
  <c r="J119" i="84"/>
  <c r="L11" i="77" s="1"/>
  <c r="I119" i="84"/>
  <c r="F119" i="84"/>
  <c r="E11" i="77" s="1"/>
  <c r="D119" i="84"/>
  <c r="K11" i="77" s="1"/>
  <c r="C119" i="84"/>
  <c r="C11" i="77" s="1"/>
  <c r="B119" i="84"/>
  <c r="B11" i="77" s="1"/>
  <c r="O109" i="84"/>
  <c r="M11" i="76" s="1"/>
  <c r="L109" i="84"/>
  <c r="J109" i="84"/>
  <c r="L11" i="76" s="1"/>
  <c r="I109" i="84"/>
  <c r="F109" i="84"/>
  <c r="E11" i="76" s="1"/>
  <c r="D109" i="84"/>
  <c r="K11" i="76" s="1"/>
  <c r="C109" i="84"/>
  <c r="C11" i="76" s="1"/>
  <c r="B109" i="84"/>
  <c r="B11" i="76" s="1"/>
  <c r="O99" i="84"/>
  <c r="M11" i="75" s="1"/>
  <c r="L99" i="84"/>
  <c r="J99" i="84"/>
  <c r="L11" i="75" s="1"/>
  <c r="I99" i="84"/>
  <c r="F99" i="84"/>
  <c r="E11" i="75" s="1"/>
  <c r="D99" i="84"/>
  <c r="K11" i="75" s="1"/>
  <c r="C99" i="84"/>
  <c r="C11" i="75" s="1"/>
  <c r="B99" i="84"/>
  <c r="B11" i="75" s="1"/>
  <c r="O89" i="84"/>
  <c r="M11" i="74" s="1"/>
  <c r="L89" i="84"/>
  <c r="J89" i="84"/>
  <c r="L11" i="74" s="1"/>
  <c r="I89" i="84"/>
  <c r="F89" i="84"/>
  <c r="E11" i="74" s="1"/>
  <c r="D89" i="84"/>
  <c r="K11" i="74" s="1"/>
  <c r="C89" i="84"/>
  <c r="C11" i="74" s="1"/>
  <c r="B89" i="84"/>
  <c r="B11" i="74" s="1"/>
  <c r="O79" i="84"/>
  <c r="M12" i="73" s="1"/>
  <c r="L79" i="84"/>
  <c r="J79" i="84"/>
  <c r="L12" i="73" s="1"/>
  <c r="I79" i="84"/>
  <c r="F79" i="84"/>
  <c r="E12" i="73" s="1"/>
  <c r="D79" i="84"/>
  <c r="K12" i="73" s="1"/>
  <c r="C79" i="84"/>
  <c r="C12" i="73" s="1"/>
  <c r="B79" i="84"/>
  <c r="B12" i="73" s="1"/>
  <c r="O69" i="84"/>
  <c r="M15" i="72" s="1"/>
  <c r="L69" i="84"/>
  <c r="J69" i="84"/>
  <c r="L15" i="72" s="1"/>
  <c r="I69" i="84"/>
  <c r="F69" i="84"/>
  <c r="E15" i="72" s="1"/>
  <c r="D69" i="84"/>
  <c r="K15" i="72" s="1"/>
  <c r="C69" i="84"/>
  <c r="C15" i="72" s="1"/>
  <c r="B69" i="84"/>
  <c r="B15" i="72" s="1"/>
  <c r="O59" i="84"/>
  <c r="M15" i="58" s="1"/>
  <c r="L59" i="84"/>
  <c r="J59" i="84"/>
  <c r="L15" i="58" s="1"/>
  <c r="I59" i="84"/>
  <c r="F59" i="84"/>
  <c r="E15" i="58" s="1"/>
  <c r="D59" i="84"/>
  <c r="K15" i="58" s="1"/>
  <c r="C59" i="84"/>
  <c r="C15" i="58" s="1"/>
  <c r="B59" i="84"/>
  <c r="B15" i="58" s="1"/>
  <c r="O49" i="84"/>
  <c r="M20" i="57" s="1"/>
  <c r="L49" i="84"/>
  <c r="J49" i="84"/>
  <c r="I49" i="84"/>
  <c r="L20" i="57" s="1"/>
  <c r="F49" i="84"/>
  <c r="E20" i="57" s="1"/>
  <c r="D49" i="84"/>
  <c r="K20" i="57" s="1"/>
  <c r="C49" i="84"/>
  <c r="C20" i="57" s="1"/>
  <c r="B49" i="84"/>
  <c r="B20" i="57" s="1"/>
  <c r="O39" i="84"/>
  <c r="M21" i="48" s="1"/>
  <c r="L39" i="84"/>
  <c r="J39" i="84"/>
  <c r="I39" i="84"/>
  <c r="L21" i="48" s="1"/>
  <c r="F39" i="84"/>
  <c r="E21" i="48" s="1"/>
  <c r="D39" i="84"/>
  <c r="K21" i="48" s="1"/>
  <c r="C39" i="84"/>
  <c r="C21" i="48" s="1"/>
  <c r="B39" i="84"/>
  <c r="B21" i="48" s="1"/>
  <c r="O29" i="84"/>
  <c r="M21" i="46" s="1"/>
  <c r="L29" i="84"/>
  <c r="J29" i="84"/>
  <c r="I29" i="84"/>
  <c r="L21" i="46" s="1"/>
  <c r="F29" i="84"/>
  <c r="E21" i="46" s="1"/>
  <c r="D29" i="84"/>
  <c r="K21" i="46" s="1"/>
  <c r="C29" i="84"/>
  <c r="C21" i="46" s="1"/>
  <c r="B29" i="84"/>
  <c r="B21" i="46" s="1"/>
  <c r="O19" i="84"/>
  <c r="M21" i="35" s="1"/>
  <c r="L19" i="84"/>
  <c r="J19" i="84"/>
  <c r="I19" i="84"/>
  <c r="F19" i="84"/>
  <c r="E21" i="35" s="1"/>
  <c r="D19" i="84"/>
  <c r="K21" i="35" s="1"/>
  <c r="C19" i="84"/>
  <c r="C21" i="35" s="1"/>
  <c r="B19" i="84"/>
  <c r="B21" i="35" s="1"/>
  <c r="X18" i="81"/>
  <c r="C18" i="81"/>
  <c r="A18" i="81"/>
  <c r="A10" i="79"/>
  <c r="A10" i="78"/>
  <c r="A10" i="77"/>
  <c r="A10" i="76"/>
  <c r="A10" i="75"/>
  <c r="A10" i="74"/>
  <c r="A11" i="73"/>
  <c r="A14" i="72"/>
  <c r="A14" i="58"/>
  <c r="A20" i="46"/>
  <c r="A20" i="35"/>
  <c r="O139" i="83"/>
  <c r="M10" i="79" s="1"/>
  <c r="L139" i="83"/>
  <c r="J139" i="83"/>
  <c r="I139" i="83"/>
  <c r="L10" i="79" s="1"/>
  <c r="F139" i="83"/>
  <c r="E10" i="79" s="1"/>
  <c r="D139" i="83"/>
  <c r="K10" i="79" s="1"/>
  <c r="C139" i="83"/>
  <c r="C10" i="79" s="1"/>
  <c r="B139" i="83"/>
  <c r="B10" i="79" s="1"/>
  <c r="O129" i="83"/>
  <c r="M10" i="78" s="1"/>
  <c r="L129" i="83"/>
  <c r="J129" i="83"/>
  <c r="I129" i="83"/>
  <c r="L10" i="78" s="1"/>
  <c r="F129" i="83"/>
  <c r="E10" i="78" s="1"/>
  <c r="D129" i="83"/>
  <c r="K10" i="78" s="1"/>
  <c r="C129" i="83"/>
  <c r="C10" i="78" s="1"/>
  <c r="B129" i="83"/>
  <c r="B10" i="78" s="1"/>
  <c r="O119" i="83"/>
  <c r="M10" i="77" s="1"/>
  <c r="L119" i="83"/>
  <c r="J119" i="83"/>
  <c r="L10" i="77" s="1"/>
  <c r="I119" i="83"/>
  <c r="D119" i="83"/>
  <c r="C119" i="83"/>
  <c r="C10" i="77" s="1"/>
  <c r="B119" i="83"/>
  <c r="B10" i="77" s="1"/>
  <c r="F119" i="83"/>
  <c r="E10" i="77" s="1"/>
  <c r="O109" i="83"/>
  <c r="M10" i="76" s="1"/>
  <c r="L109" i="83"/>
  <c r="J109" i="83"/>
  <c r="L10" i="76" s="1"/>
  <c r="I109" i="83"/>
  <c r="F109" i="83"/>
  <c r="E10" i="76" s="1"/>
  <c r="D109" i="83"/>
  <c r="K10" i="76" s="1"/>
  <c r="C109" i="83"/>
  <c r="C10" i="76" s="1"/>
  <c r="B109" i="83"/>
  <c r="B10" i="76" s="1"/>
  <c r="O99" i="83"/>
  <c r="M10" i="75" s="1"/>
  <c r="L99" i="83"/>
  <c r="J99" i="83"/>
  <c r="L10" i="75" s="1"/>
  <c r="I99" i="83"/>
  <c r="F99" i="83"/>
  <c r="E10" i="75" s="1"/>
  <c r="D99" i="83"/>
  <c r="K10" i="75" s="1"/>
  <c r="C99" i="83"/>
  <c r="C10" i="75" s="1"/>
  <c r="B99" i="83"/>
  <c r="B10" i="75" s="1"/>
  <c r="O89" i="83"/>
  <c r="M10" i="74" s="1"/>
  <c r="L89" i="83"/>
  <c r="J89" i="83"/>
  <c r="L10" i="74" s="1"/>
  <c r="I89" i="83"/>
  <c r="F89" i="83"/>
  <c r="E10" i="74" s="1"/>
  <c r="D89" i="83"/>
  <c r="K10" i="74" s="1"/>
  <c r="C89" i="83"/>
  <c r="C10" i="74" s="1"/>
  <c r="B89" i="83"/>
  <c r="B10" i="74" s="1"/>
  <c r="O79" i="83"/>
  <c r="M11" i="73" s="1"/>
  <c r="L79" i="83"/>
  <c r="J79" i="83"/>
  <c r="L11" i="73" s="1"/>
  <c r="I79" i="83"/>
  <c r="F79" i="83"/>
  <c r="E11" i="73" s="1"/>
  <c r="D79" i="83"/>
  <c r="K11" i="73" s="1"/>
  <c r="C79" i="83"/>
  <c r="C11" i="73" s="1"/>
  <c r="B79" i="83"/>
  <c r="B11" i="73" s="1"/>
  <c r="O69" i="83"/>
  <c r="M14" i="72" s="1"/>
  <c r="L69" i="83"/>
  <c r="J69" i="83"/>
  <c r="L14" i="72" s="1"/>
  <c r="I69" i="83"/>
  <c r="F69" i="83"/>
  <c r="E14" i="72" s="1"/>
  <c r="D69" i="83"/>
  <c r="K14" i="72" s="1"/>
  <c r="C69" i="83"/>
  <c r="C14" i="72" s="1"/>
  <c r="B69" i="83"/>
  <c r="B14" i="72" s="1"/>
  <c r="O59" i="83"/>
  <c r="M14" i="58" s="1"/>
  <c r="L59" i="83"/>
  <c r="J59" i="83"/>
  <c r="L14" i="58" s="1"/>
  <c r="I59" i="83"/>
  <c r="F59" i="83"/>
  <c r="E14" i="58" s="1"/>
  <c r="D59" i="83"/>
  <c r="K14" i="58" s="1"/>
  <c r="C59" i="83"/>
  <c r="C14" i="58" s="1"/>
  <c r="B59" i="83"/>
  <c r="B14" i="58" s="1"/>
  <c r="O49" i="83"/>
  <c r="M19" i="57" s="1"/>
  <c r="L49" i="83"/>
  <c r="J49" i="83"/>
  <c r="I49" i="83"/>
  <c r="L19" i="57" s="1"/>
  <c r="F49" i="83"/>
  <c r="E19" i="57" s="1"/>
  <c r="D49" i="83"/>
  <c r="K19" i="57" s="1"/>
  <c r="C49" i="83"/>
  <c r="C19" i="57" s="1"/>
  <c r="B49" i="83"/>
  <c r="B19" i="57" s="1"/>
  <c r="O39" i="83"/>
  <c r="M20" i="48" s="1"/>
  <c r="L39" i="83"/>
  <c r="J39" i="83"/>
  <c r="I39" i="83"/>
  <c r="L20" i="48" s="1"/>
  <c r="F39" i="83"/>
  <c r="E20" i="48" s="1"/>
  <c r="D39" i="83"/>
  <c r="K20" i="48" s="1"/>
  <c r="C39" i="83"/>
  <c r="C20" i="48" s="1"/>
  <c r="B39" i="83"/>
  <c r="B20" i="48" s="1"/>
  <c r="O29" i="83"/>
  <c r="M20" i="46" s="1"/>
  <c r="L29" i="83"/>
  <c r="J29" i="83"/>
  <c r="I29" i="83"/>
  <c r="L20" i="46" s="1"/>
  <c r="F29" i="83"/>
  <c r="E20" i="46" s="1"/>
  <c r="D29" i="83"/>
  <c r="K20" i="46" s="1"/>
  <c r="C29" i="83"/>
  <c r="C20" i="46" s="1"/>
  <c r="B29" i="83"/>
  <c r="B20" i="46" s="1"/>
  <c r="O19" i="83"/>
  <c r="M20" i="35" s="1"/>
  <c r="L19" i="83"/>
  <c r="J19" i="83"/>
  <c r="L20" i="35" s="1"/>
  <c r="I19" i="83"/>
  <c r="F19" i="83"/>
  <c r="E20" i="35" s="1"/>
  <c r="D19" i="83"/>
  <c r="K20" i="35" s="1"/>
  <c r="C19" i="83"/>
  <c r="B19" i="83"/>
  <c r="B20" i="35" s="1"/>
  <c r="X17" i="81"/>
  <c r="C17" i="81"/>
  <c r="A17" i="81"/>
  <c r="A9" i="79"/>
  <c r="A9" i="78"/>
  <c r="A9" i="77"/>
  <c r="A9" i="76"/>
  <c r="A9" i="75"/>
  <c r="A9" i="74"/>
  <c r="A10" i="73"/>
  <c r="A13" i="72"/>
  <c r="A13" i="58"/>
  <c r="A19" i="46"/>
  <c r="A19" i="35"/>
  <c r="F115" i="82"/>
  <c r="F119" i="82" s="1"/>
  <c r="E9" i="77" s="1"/>
  <c r="O139" i="82"/>
  <c r="M9" i="79" s="1"/>
  <c r="L139" i="82"/>
  <c r="J139" i="82"/>
  <c r="I139" i="82"/>
  <c r="L9" i="79" s="1"/>
  <c r="F139" i="82"/>
  <c r="E9" i="79" s="1"/>
  <c r="D139" i="82"/>
  <c r="K9" i="79" s="1"/>
  <c r="C139" i="82"/>
  <c r="C9" i="79" s="1"/>
  <c r="B139" i="82"/>
  <c r="B9" i="79" s="1"/>
  <c r="O129" i="82"/>
  <c r="M9" i="78" s="1"/>
  <c r="L129" i="82"/>
  <c r="J129" i="82"/>
  <c r="I129" i="82"/>
  <c r="L9" i="78" s="1"/>
  <c r="F129" i="82"/>
  <c r="E9" i="78" s="1"/>
  <c r="D129" i="82"/>
  <c r="K9" i="78" s="1"/>
  <c r="C129" i="82"/>
  <c r="C9" i="78" s="1"/>
  <c r="B129" i="82"/>
  <c r="B9" i="78" s="1"/>
  <c r="O119" i="82"/>
  <c r="M9" i="77" s="1"/>
  <c r="L119" i="82"/>
  <c r="J119" i="82"/>
  <c r="L9" i="77" s="1"/>
  <c r="I119" i="82"/>
  <c r="D119" i="82"/>
  <c r="K9" i="77" s="1"/>
  <c r="C119" i="82"/>
  <c r="C9" i="77" s="1"/>
  <c r="B119" i="82"/>
  <c r="B9" i="77" s="1"/>
  <c r="O109" i="82"/>
  <c r="M9" i="76" s="1"/>
  <c r="L109" i="82"/>
  <c r="J109" i="82"/>
  <c r="L9" i="76" s="1"/>
  <c r="I109" i="82"/>
  <c r="F109" i="82"/>
  <c r="E9" i="76" s="1"/>
  <c r="D109" i="82"/>
  <c r="K9" i="76" s="1"/>
  <c r="C109" i="82"/>
  <c r="C9" i="76" s="1"/>
  <c r="B109" i="82"/>
  <c r="B9" i="76" s="1"/>
  <c r="O99" i="82"/>
  <c r="M9" i="75" s="1"/>
  <c r="L99" i="82"/>
  <c r="J99" i="82"/>
  <c r="L9" i="75" s="1"/>
  <c r="I99" i="82"/>
  <c r="F99" i="82"/>
  <c r="E9" i="75" s="1"/>
  <c r="D99" i="82"/>
  <c r="K9" i="75" s="1"/>
  <c r="C99" i="82"/>
  <c r="C9" i="75" s="1"/>
  <c r="B99" i="82"/>
  <c r="B9" i="75" s="1"/>
  <c r="O89" i="82"/>
  <c r="M9" i="74" s="1"/>
  <c r="L89" i="82"/>
  <c r="J89" i="82"/>
  <c r="L9" i="74" s="1"/>
  <c r="I89" i="82"/>
  <c r="F89" i="82"/>
  <c r="E9" i="74" s="1"/>
  <c r="D89" i="82"/>
  <c r="K9" i="74" s="1"/>
  <c r="C89" i="82"/>
  <c r="C9" i="74" s="1"/>
  <c r="B89" i="82"/>
  <c r="B9" i="74" s="1"/>
  <c r="O79" i="82"/>
  <c r="M10" i="73" s="1"/>
  <c r="L79" i="82"/>
  <c r="J79" i="82"/>
  <c r="L10" i="73" s="1"/>
  <c r="I79" i="82"/>
  <c r="F79" i="82"/>
  <c r="E10" i="73" s="1"/>
  <c r="D79" i="82"/>
  <c r="K10" i="73" s="1"/>
  <c r="C79" i="82"/>
  <c r="C10" i="73" s="1"/>
  <c r="B79" i="82"/>
  <c r="B10" i="73" s="1"/>
  <c r="O69" i="82"/>
  <c r="M13" i="72" s="1"/>
  <c r="L69" i="82"/>
  <c r="J69" i="82"/>
  <c r="L13" i="72" s="1"/>
  <c r="I69" i="82"/>
  <c r="F69" i="82"/>
  <c r="E13" i="72" s="1"/>
  <c r="D69" i="82"/>
  <c r="K13" i="72" s="1"/>
  <c r="C69" i="82"/>
  <c r="C13" i="72" s="1"/>
  <c r="B69" i="82"/>
  <c r="B13" i="72" s="1"/>
  <c r="O59" i="82"/>
  <c r="M13" i="58" s="1"/>
  <c r="L59" i="82"/>
  <c r="J59" i="82"/>
  <c r="L13" i="58" s="1"/>
  <c r="I59" i="82"/>
  <c r="F59" i="82"/>
  <c r="E13" i="58" s="1"/>
  <c r="D59" i="82"/>
  <c r="K13" i="58" s="1"/>
  <c r="C59" i="82"/>
  <c r="C13" i="58" s="1"/>
  <c r="B59" i="82"/>
  <c r="B13" i="58" s="1"/>
  <c r="O49" i="82"/>
  <c r="M18" i="57" s="1"/>
  <c r="L49" i="82"/>
  <c r="J49" i="82"/>
  <c r="I49" i="82"/>
  <c r="L18" i="57" s="1"/>
  <c r="F49" i="82"/>
  <c r="E18" i="57" s="1"/>
  <c r="D49" i="82"/>
  <c r="K18" i="57" s="1"/>
  <c r="C49" i="82"/>
  <c r="C18" i="57" s="1"/>
  <c r="B49" i="82"/>
  <c r="B18" i="57" s="1"/>
  <c r="O39" i="82"/>
  <c r="M19" i="48" s="1"/>
  <c r="L39" i="82"/>
  <c r="J39" i="82"/>
  <c r="I39" i="82"/>
  <c r="L19" i="48" s="1"/>
  <c r="F39" i="82"/>
  <c r="E19" i="48" s="1"/>
  <c r="D39" i="82"/>
  <c r="K19" i="48" s="1"/>
  <c r="C39" i="82"/>
  <c r="C19" i="48" s="1"/>
  <c r="B39" i="82"/>
  <c r="B19" i="48" s="1"/>
  <c r="O29" i="82"/>
  <c r="M19" i="46" s="1"/>
  <c r="L29" i="82"/>
  <c r="J29" i="82"/>
  <c r="I29" i="82"/>
  <c r="L19" i="46" s="1"/>
  <c r="F29" i="82"/>
  <c r="E19" i="46" s="1"/>
  <c r="D29" i="82"/>
  <c r="K19" i="46" s="1"/>
  <c r="C29" i="82"/>
  <c r="C19" i="46" s="1"/>
  <c r="B29" i="82"/>
  <c r="B19" i="46" s="1"/>
  <c r="O19" i="82"/>
  <c r="M19" i="35" s="1"/>
  <c r="L19" i="82"/>
  <c r="J19" i="82"/>
  <c r="I19" i="82"/>
  <c r="F19" i="82"/>
  <c r="E19" i="35" s="1"/>
  <c r="D19" i="82"/>
  <c r="K19" i="35" s="1"/>
  <c r="C19" i="82"/>
  <c r="C19" i="35" s="1"/>
  <c r="B19" i="82"/>
  <c r="B19" i="35" s="1"/>
  <c r="X16" i="81"/>
  <c r="C16" i="81"/>
  <c r="A16" i="81"/>
  <c r="A8" i="79"/>
  <c r="A8" i="78"/>
  <c r="A8" i="77"/>
  <c r="A8" i="76"/>
  <c r="A8" i="75"/>
  <c r="A8" i="74"/>
  <c r="A9" i="73"/>
  <c r="A12" i="72"/>
  <c r="A12" i="58"/>
  <c r="A18" i="46"/>
  <c r="A18" i="35"/>
  <c r="O139" i="80"/>
  <c r="M8" i="79" s="1"/>
  <c r="L139" i="80"/>
  <c r="J139" i="80"/>
  <c r="I139" i="80"/>
  <c r="F139" i="80"/>
  <c r="E8" i="79" s="1"/>
  <c r="D139" i="80"/>
  <c r="K8" i="79" s="1"/>
  <c r="C139" i="80"/>
  <c r="C8" i="79" s="1"/>
  <c r="B139" i="80"/>
  <c r="B8" i="79" s="1"/>
  <c r="O129" i="80"/>
  <c r="L129" i="80"/>
  <c r="J129" i="80"/>
  <c r="I129" i="80"/>
  <c r="L8" i="78" s="1"/>
  <c r="C129" i="80"/>
  <c r="C8" i="78" s="1"/>
  <c r="B129" i="80"/>
  <c r="B8" i="78" s="1"/>
  <c r="F129" i="80"/>
  <c r="E8" i="78" s="1"/>
  <c r="D129" i="80"/>
  <c r="O119" i="80"/>
  <c r="M8" i="77" s="1"/>
  <c r="L119" i="80"/>
  <c r="J119" i="80"/>
  <c r="L8" i="77" s="1"/>
  <c r="I119" i="80"/>
  <c r="F119" i="80"/>
  <c r="E8" i="77" s="1"/>
  <c r="D119" i="80"/>
  <c r="K8" i="77" s="1"/>
  <c r="C119" i="80"/>
  <c r="C8" i="77" s="1"/>
  <c r="B119" i="80"/>
  <c r="B8" i="77" s="1"/>
  <c r="O109" i="80"/>
  <c r="M8" i="76" s="1"/>
  <c r="L109" i="80"/>
  <c r="J109" i="80"/>
  <c r="L8" i="76" s="1"/>
  <c r="I109" i="80"/>
  <c r="F109" i="80"/>
  <c r="E8" i="76" s="1"/>
  <c r="D109" i="80"/>
  <c r="K8" i="76" s="1"/>
  <c r="C109" i="80"/>
  <c r="C8" i="76" s="1"/>
  <c r="B109" i="80"/>
  <c r="B8" i="76" s="1"/>
  <c r="O99" i="80"/>
  <c r="M8" i="75" s="1"/>
  <c r="L99" i="80"/>
  <c r="J99" i="80"/>
  <c r="L8" i="75" s="1"/>
  <c r="I99" i="80"/>
  <c r="F99" i="80"/>
  <c r="E8" i="75" s="1"/>
  <c r="D99" i="80"/>
  <c r="K8" i="75" s="1"/>
  <c r="C99" i="80"/>
  <c r="C8" i="75" s="1"/>
  <c r="B99" i="80"/>
  <c r="B8" i="75" s="1"/>
  <c r="O89" i="80"/>
  <c r="M8" i="74" s="1"/>
  <c r="L89" i="80"/>
  <c r="J89" i="80"/>
  <c r="L8" i="74" s="1"/>
  <c r="I89" i="80"/>
  <c r="F89" i="80"/>
  <c r="E8" i="74" s="1"/>
  <c r="D89" i="80"/>
  <c r="K8" i="74" s="1"/>
  <c r="C89" i="80"/>
  <c r="C8" i="74" s="1"/>
  <c r="B89" i="80"/>
  <c r="B8" i="74" s="1"/>
  <c r="O79" i="80"/>
  <c r="M9" i="73" s="1"/>
  <c r="L79" i="80"/>
  <c r="J79" i="80"/>
  <c r="L9" i="73" s="1"/>
  <c r="I79" i="80"/>
  <c r="F79" i="80"/>
  <c r="E9" i="73" s="1"/>
  <c r="D79" i="80"/>
  <c r="K9" i="73" s="1"/>
  <c r="C79" i="80"/>
  <c r="C9" i="73" s="1"/>
  <c r="B79" i="80"/>
  <c r="B9" i="73" s="1"/>
  <c r="O69" i="80"/>
  <c r="M12" i="72" s="1"/>
  <c r="L69" i="80"/>
  <c r="J69" i="80"/>
  <c r="L12" i="72" s="1"/>
  <c r="I69" i="80"/>
  <c r="F69" i="80"/>
  <c r="E12" i="72" s="1"/>
  <c r="D69" i="80"/>
  <c r="K12" i="72" s="1"/>
  <c r="C69" i="80"/>
  <c r="C12" i="72" s="1"/>
  <c r="B69" i="80"/>
  <c r="B12" i="72" s="1"/>
  <c r="O59" i="80"/>
  <c r="M12" i="58" s="1"/>
  <c r="L59" i="80"/>
  <c r="J59" i="80"/>
  <c r="L12" i="58" s="1"/>
  <c r="I59" i="80"/>
  <c r="F59" i="80"/>
  <c r="E12" i="58" s="1"/>
  <c r="D59" i="80"/>
  <c r="K12" i="58" s="1"/>
  <c r="C59" i="80"/>
  <c r="C12" i="58" s="1"/>
  <c r="B59" i="80"/>
  <c r="B12" i="58" s="1"/>
  <c r="O49" i="80"/>
  <c r="M17" i="57" s="1"/>
  <c r="L49" i="80"/>
  <c r="J49" i="80"/>
  <c r="I49" i="80"/>
  <c r="L17" i="57" s="1"/>
  <c r="F49" i="80"/>
  <c r="E17" i="57" s="1"/>
  <c r="D49" i="80"/>
  <c r="K17" i="57" s="1"/>
  <c r="C49" i="80"/>
  <c r="C17" i="57" s="1"/>
  <c r="B49" i="80"/>
  <c r="B17" i="57" s="1"/>
  <c r="O39" i="80"/>
  <c r="M18" i="48" s="1"/>
  <c r="L39" i="80"/>
  <c r="J39" i="80"/>
  <c r="I39" i="80"/>
  <c r="L18" i="48" s="1"/>
  <c r="F39" i="80"/>
  <c r="E18" i="48" s="1"/>
  <c r="D39" i="80"/>
  <c r="K18" i="48" s="1"/>
  <c r="C39" i="80"/>
  <c r="C18" i="48" s="1"/>
  <c r="B39" i="80"/>
  <c r="B18" i="48" s="1"/>
  <c r="O29" i="80"/>
  <c r="M18" i="46" s="1"/>
  <c r="L29" i="80"/>
  <c r="J29" i="80"/>
  <c r="I29" i="80"/>
  <c r="L18" i="46" s="1"/>
  <c r="F29" i="80"/>
  <c r="E18" i="46" s="1"/>
  <c r="D29" i="80"/>
  <c r="K18" i="46" s="1"/>
  <c r="C29" i="80"/>
  <c r="C18" i="46" s="1"/>
  <c r="B29" i="80"/>
  <c r="B18" i="46" s="1"/>
  <c r="O19" i="80"/>
  <c r="M18" i="35" s="1"/>
  <c r="L19" i="80"/>
  <c r="J19" i="80"/>
  <c r="I19" i="80"/>
  <c r="F19" i="80"/>
  <c r="E18" i="35" s="1"/>
  <c r="D19" i="80"/>
  <c r="K18" i="35" s="1"/>
  <c r="C19" i="80"/>
  <c r="C18" i="35" s="1"/>
  <c r="B19" i="80"/>
  <c r="X15" i="81"/>
  <c r="C15" i="81"/>
  <c r="A15" i="81"/>
  <c r="A7" i="79"/>
  <c r="A7" i="78"/>
  <c r="A7" i="77"/>
  <c r="A7" i="76"/>
  <c r="A7" i="75"/>
  <c r="A7" i="74"/>
  <c r="A8" i="73"/>
  <c r="A11" i="72"/>
  <c r="A11" i="58"/>
  <c r="A17" i="46"/>
  <c r="A17" i="35"/>
  <c r="F125" i="64"/>
  <c r="F129" i="64" s="1"/>
  <c r="E7" i="78" s="1"/>
  <c r="D125" i="64"/>
  <c r="D129" i="64" s="1"/>
  <c r="K7" i="78" s="1"/>
  <c r="O139" i="64"/>
  <c r="M7" i="79" s="1"/>
  <c r="L139" i="64"/>
  <c r="J139" i="64"/>
  <c r="I139" i="64"/>
  <c r="L7" i="79" s="1"/>
  <c r="F139" i="64"/>
  <c r="E7" i="79" s="1"/>
  <c r="D139" i="64"/>
  <c r="K7" i="79" s="1"/>
  <c r="C139" i="64"/>
  <c r="C7" i="79" s="1"/>
  <c r="B139" i="64"/>
  <c r="B7" i="79" s="1"/>
  <c r="O129" i="64"/>
  <c r="M7" i="78" s="1"/>
  <c r="L129" i="64"/>
  <c r="J129" i="64"/>
  <c r="I129" i="64"/>
  <c r="L7" i="78" s="1"/>
  <c r="C129" i="64"/>
  <c r="C7" i="78" s="1"/>
  <c r="B129" i="64"/>
  <c r="B7" i="78" s="1"/>
  <c r="O119" i="64"/>
  <c r="M7" i="77" s="1"/>
  <c r="L119" i="64"/>
  <c r="J119" i="64"/>
  <c r="L7" i="77" s="1"/>
  <c r="I119" i="64"/>
  <c r="F119" i="64"/>
  <c r="E7" i="77" s="1"/>
  <c r="D119" i="64"/>
  <c r="K7" i="77" s="1"/>
  <c r="C119" i="64"/>
  <c r="C7" i="77" s="1"/>
  <c r="B119" i="64"/>
  <c r="B7" i="77" s="1"/>
  <c r="O109" i="64"/>
  <c r="M7" i="76" s="1"/>
  <c r="L109" i="64"/>
  <c r="J109" i="64"/>
  <c r="L7" i="76" s="1"/>
  <c r="I109" i="64"/>
  <c r="F109" i="64"/>
  <c r="E7" i="76" s="1"/>
  <c r="D109" i="64"/>
  <c r="K7" i="76" s="1"/>
  <c r="C109" i="64"/>
  <c r="C7" i="76" s="1"/>
  <c r="B109" i="64"/>
  <c r="B7" i="76" s="1"/>
  <c r="O99" i="64"/>
  <c r="M7" i="75" s="1"/>
  <c r="L99" i="64"/>
  <c r="J99" i="64"/>
  <c r="L7" i="75" s="1"/>
  <c r="I99" i="64"/>
  <c r="F99" i="64"/>
  <c r="E7" i="75" s="1"/>
  <c r="D99" i="64"/>
  <c r="K7" i="75" s="1"/>
  <c r="C99" i="64"/>
  <c r="C7" i="75" s="1"/>
  <c r="B99" i="64"/>
  <c r="B7" i="75" s="1"/>
  <c r="O89" i="64"/>
  <c r="M7" i="74" s="1"/>
  <c r="L89" i="64"/>
  <c r="J89" i="64"/>
  <c r="L7" i="74" s="1"/>
  <c r="I89" i="64"/>
  <c r="F89" i="64"/>
  <c r="E7" i="74" s="1"/>
  <c r="D89" i="64"/>
  <c r="K7" i="74" s="1"/>
  <c r="C89" i="64"/>
  <c r="C7" i="74" s="1"/>
  <c r="B89" i="64"/>
  <c r="B7" i="74" s="1"/>
  <c r="O79" i="64"/>
  <c r="M8" i="73" s="1"/>
  <c r="L79" i="64"/>
  <c r="J79" i="64"/>
  <c r="L8" i="73" s="1"/>
  <c r="I79" i="64"/>
  <c r="F79" i="64"/>
  <c r="E8" i="73" s="1"/>
  <c r="D79" i="64"/>
  <c r="K8" i="73" s="1"/>
  <c r="C79" i="64"/>
  <c r="C8" i="73" s="1"/>
  <c r="B79" i="64"/>
  <c r="B8" i="73" s="1"/>
  <c r="O69" i="64"/>
  <c r="M11" i="72" s="1"/>
  <c r="L69" i="64"/>
  <c r="J69" i="64"/>
  <c r="L11" i="72" s="1"/>
  <c r="I69" i="64"/>
  <c r="F69" i="64"/>
  <c r="E11" i="72" s="1"/>
  <c r="D69" i="64"/>
  <c r="K11" i="72" s="1"/>
  <c r="C69" i="64"/>
  <c r="C11" i="72" s="1"/>
  <c r="B69" i="64"/>
  <c r="B11" i="72" s="1"/>
  <c r="O59" i="64"/>
  <c r="M11" i="58" s="1"/>
  <c r="L59" i="64"/>
  <c r="J59" i="64"/>
  <c r="L11" i="58" s="1"/>
  <c r="I59" i="64"/>
  <c r="F59" i="64"/>
  <c r="E11" i="58" s="1"/>
  <c r="D59" i="64"/>
  <c r="K11" i="58" s="1"/>
  <c r="C59" i="64"/>
  <c r="C11" i="58" s="1"/>
  <c r="B59" i="64"/>
  <c r="B11" i="58" s="1"/>
  <c r="O49" i="64"/>
  <c r="M16" i="57" s="1"/>
  <c r="L49" i="64"/>
  <c r="J49" i="64"/>
  <c r="I49" i="64"/>
  <c r="L16" i="57" s="1"/>
  <c r="F49" i="64"/>
  <c r="E16" i="57" s="1"/>
  <c r="D49" i="64"/>
  <c r="K16" i="57" s="1"/>
  <c r="C49" i="64"/>
  <c r="C16" i="57" s="1"/>
  <c r="B49" i="64"/>
  <c r="B16" i="57" s="1"/>
  <c r="O39" i="64"/>
  <c r="M17" i="48" s="1"/>
  <c r="L39" i="64"/>
  <c r="J39" i="64"/>
  <c r="I39" i="64"/>
  <c r="L17" i="48" s="1"/>
  <c r="F39" i="64"/>
  <c r="E17" i="48" s="1"/>
  <c r="D39" i="64"/>
  <c r="K17" i="48" s="1"/>
  <c r="C39" i="64"/>
  <c r="C17" i="48" s="1"/>
  <c r="B39" i="64"/>
  <c r="B17" i="48" s="1"/>
  <c r="O29" i="64"/>
  <c r="M17" i="46" s="1"/>
  <c r="L29" i="64"/>
  <c r="J29" i="64"/>
  <c r="I29" i="64"/>
  <c r="L17" i="46" s="1"/>
  <c r="F29" i="64"/>
  <c r="E17" i="46" s="1"/>
  <c r="D29" i="64"/>
  <c r="K17" i="46" s="1"/>
  <c r="C29" i="64"/>
  <c r="C17" i="46" s="1"/>
  <c r="B29" i="64"/>
  <c r="B17" i="46" s="1"/>
  <c r="O19" i="64"/>
  <c r="M17" i="35" s="1"/>
  <c r="L19" i="64"/>
  <c r="J19" i="64"/>
  <c r="L17" i="35" s="1"/>
  <c r="I19" i="64"/>
  <c r="F19" i="64"/>
  <c r="E17" i="35" s="1"/>
  <c r="D19" i="64"/>
  <c r="K17" i="35" s="1"/>
  <c r="C19" i="64"/>
  <c r="C17" i="35" s="1"/>
  <c r="B19" i="64"/>
  <c r="B17" i="35" s="1"/>
  <c r="X14" i="81"/>
  <c r="C14" i="81"/>
  <c r="A14" i="81"/>
  <c r="A6" i="79"/>
  <c r="A6" i="78"/>
  <c r="A6" i="77"/>
  <c r="A6" i="76"/>
  <c r="A6" i="75"/>
  <c r="A6" i="74"/>
  <c r="A7" i="73"/>
  <c r="A10" i="72"/>
  <c r="A10" i="58"/>
  <c r="A16" i="46"/>
  <c r="A16" i="35"/>
  <c r="O139" i="71"/>
  <c r="M6" i="79" s="1"/>
  <c r="L139" i="71"/>
  <c r="J139" i="71"/>
  <c r="I139" i="71"/>
  <c r="L6" i="79" s="1"/>
  <c r="C139" i="71"/>
  <c r="C6" i="79" s="1"/>
  <c r="B139" i="71"/>
  <c r="B6" i="79" s="1"/>
  <c r="F139" i="71"/>
  <c r="E6" i="79" s="1"/>
  <c r="D139" i="71"/>
  <c r="K6" i="79" s="1"/>
  <c r="O129" i="71"/>
  <c r="M6" i="78" s="1"/>
  <c r="L129" i="71"/>
  <c r="J129" i="71"/>
  <c r="I129" i="71"/>
  <c r="L6" i="78" s="1"/>
  <c r="C129" i="71"/>
  <c r="C6" i="78" s="1"/>
  <c r="B129" i="71"/>
  <c r="B6" i="78" s="1"/>
  <c r="F129" i="71"/>
  <c r="E6" i="78" s="1"/>
  <c r="D129" i="71"/>
  <c r="K6" i="78" s="1"/>
  <c r="O119" i="71"/>
  <c r="M6" i="77" s="1"/>
  <c r="L119" i="71"/>
  <c r="J119" i="71"/>
  <c r="L6" i="77" s="1"/>
  <c r="I119" i="71"/>
  <c r="C119" i="71"/>
  <c r="C6" i="77" s="1"/>
  <c r="B119" i="71"/>
  <c r="B6" i="77" s="1"/>
  <c r="D119" i="71"/>
  <c r="K6" i="77" s="1"/>
  <c r="F119" i="71"/>
  <c r="E6" i="77" s="1"/>
  <c r="O109" i="71"/>
  <c r="M6" i="76" s="1"/>
  <c r="L109" i="71"/>
  <c r="J109" i="71"/>
  <c r="L6" i="76" s="1"/>
  <c r="I109" i="71"/>
  <c r="C109" i="71"/>
  <c r="C6" i="76" s="1"/>
  <c r="B109" i="71"/>
  <c r="B6" i="76" s="1"/>
  <c r="F109" i="71"/>
  <c r="E6" i="76" s="1"/>
  <c r="D109" i="71"/>
  <c r="K6" i="76" s="1"/>
  <c r="O99" i="71"/>
  <c r="L99" i="71"/>
  <c r="J99" i="71"/>
  <c r="L6" i="75" s="1"/>
  <c r="I99" i="71"/>
  <c r="F99" i="71"/>
  <c r="E6" i="75" s="1"/>
  <c r="C99" i="71"/>
  <c r="C6" i="75" s="1"/>
  <c r="B99" i="71"/>
  <c r="B6" i="75" s="1"/>
  <c r="D99" i="71"/>
  <c r="K6" i="75" s="1"/>
  <c r="O89" i="71"/>
  <c r="M6" i="74" s="1"/>
  <c r="L89" i="71"/>
  <c r="J89" i="71"/>
  <c r="L6" i="74" s="1"/>
  <c r="I89" i="71"/>
  <c r="C89" i="71"/>
  <c r="C6" i="74" s="1"/>
  <c r="B89" i="71"/>
  <c r="B6" i="74" s="1"/>
  <c r="F89" i="71"/>
  <c r="E6" i="74" s="1"/>
  <c r="D89" i="71"/>
  <c r="K6" i="74" s="1"/>
  <c r="O79" i="71"/>
  <c r="M7" i="73" s="1"/>
  <c r="L79" i="71"/>
  <c r="J79" i="71"/>
  <c r="L7" i="73" s="1"/>
  <c r="I79" i="71"/>
  <c r="F79" i="71"/>
  <c r="E7" i="73" s="1"/>
  <c r="D79" i="71"/>
  <c r="K7" i="73" s="1"/>
  <c r="C79" i="71"/>
  <c r="C7" i="73" s="1"/>
  <c r="B79" i="71"/>
  <c r="B7" i="73" s="1"/>
  <c r="O69" i="71"/>
  <c r="M10" i="72" s="1"/>
  <c r="L69" i="71"/>
  <c r="J69" i="71"/>
  <c r="L10" i="72" s="1"/>
  <c r="I69" i="71"/>
  <c r="F69" i="71"/>
  <c r="E10" i="72" s="1"/>
  <c r="D69" i="71"/>
  <c r="K10" i="72" s="1"/>
  <c r="C69" i="71"/>
  <c r="C10" i="72" s="1"/>
  <c r="B69" i="71"/>
  <c r="B10" i="72" s="1"/>
  <c r="O59" i="71"/>
  <c r="M10" i="58" s="1"/>
  <c r="L59" i="71"/>
  <c r="J59" i="71"/>
  <c r="L10" i="58" s="1"/>
  <c r="I59" i="71"/>
  <c r="F59" i="71"/>
  <c r="E10" i="58" s="1"/>
  <c r="D59" i="71"/>
  <c r="K10" i="58" s="1"/>
  <c r="C59" i="71"/>
  <c r="C10" i="58" s="1"/>
  <c r="B59" i="71"/>
  <c r="B10" i="58" s="1"/>
  <c r="O49" i="71"/>
  <c r="M15" i="57" s="1"/>
  <c r="L49" i="71"/>
  <c r="J49" i="71"/>
  <c r="I49" i="71"/>
  <c r="L15" i="57" s="1"/>
  <c r="F49" i="71"/>
  <c r="E15" i="57" s="1"/>
  <c r="D49" i="71"/>
  <c r="K15" i="57" s="1"/>
  <c r="C49" i="71"/>
  <c r="C15" i="57" s="1"/>
  <c r="B49" i="71"/>
  <c r="B15" i="57" s="1"/>
  <c r="O39" i="71"/>
  <c r="M16" i="48" s="1"/>
  <c r="L39" i="71"/>
  <c r="J39" i="71"/>
  <c r="I39" i="71"/>
  <c r="L16" i="48" s="1"/>
  <c r="F39" i="71"/>
  <c r="E16" i="48" s="1"/>
  <c r="D39" i="71"/>
  <c r="K16" i="48" s="1"/>
  <c r="C39" i="71"/>
  <c r="C16" i="48" s="1"/>
  <c r="B39" i="71"/>
  <c r="B16" i="48" s="1"/>
  <c r="O29" i="71"/>
  <c r="M16" i="46" s="1"/>
  <c r="L29" i="71"/>
  <c r="J29" i="71"/>
  <c r="I29" i="71"/>
  <c r="L16" i="46" s="1"/>
  <c r="F29" i="71"/>
  <c r="E16" i="46" s="1"/>
  <c r="D29" i="71"/>
  <c r="K16" i="46" s="1"/>
  <c r="C29" i="71"/>
  <c r="C16" i="46" s="1"/>
  <c r="B29" i="71"/>
  <c r="B16" i="46" s="1"/>
  <c r="O19" i="71"/>
  <c r="M16" i="35" s="1"/>
  <c r="L19" i="71"/>
  <c r="J19" i="71"/>
  <c r="L16" i="35" s="1"/>
  <c r="I19" i="71"/>
  <c r="F19" i="71"/>
  <c r="E16" i="35" s="1"/>
  <c r="D19" i="71"/>
  <c r="K16" i="35" s="1"/>
  <c r="C19" i="71"/>
  <c r="C16" i="35" s="1"/>
  <c r="B19" i="71"/>
  <c r="B16" i="35" s="1"/>
  <c r="X13" i="81"/>
  <c r="C13" i="81"/>
  <c r="A13" i="81"/>
  <c r="A5" i="79"/>
  <c r="A5" i="78"/>
  <c r="A5" i="77"/>
  <c r="A5" i="76"/>
  <c r="A5" i="75"/>
  <c r="A5" i="74"/>
  <c r="A6" i="73"/>
  <c r="A9" i="72"/>
  <c r="A9" i="58"/>
  <c r="A15" i="46"/>
  <c r="A15" i="35"/>
  <c r="F135" i="63"/>
  <c r="F139" i="63" s="1"/>
  <c r="E5" i="79" s="1"/>
  <c r="D135" i="63"/>
  <c r="D139" i="63" s="1"/>
  <c r="K5" i="79" s="1"/>
  <c r="O139" i="63"/>
  <c r="M5" i="79" s="1"/>
  <c r="L139" i="63"/>
  <c r="J139" i="63"/>
  <c r="I139" i="63"/>
  <c r="L5" i="79" s="1"/>
  <c r="C139" i="63"/>
  <c r="C5" i="79" s="1"/>
  <c r="B139" i="63"/>
  <c r="B5" i="79" s="1"/>
  <c r="F125" i="63"/>
  <c r="F129" i="63" s="1"/>
  <c r="E5" i="78" s="1"/>
  <c r="D125" i="63"/>
  <c r="D129" i="63" s="1"/>
  <c r="K5" i="78" s="1"/>
  <c r="O129" i="63"/>
  <c r="M5" i="78" s="1"/>
  <c r="L129" i="63"/>
  <c r="J129" i="63"/>
  <c r="I129" i="63"/>
  <c r="L5" i="78" s="1"/>
  <c r="C129" i="63"/>
  <c r="C5" i="78" s="1"/>
  <c r="B129" i="63"/>
  <c r="B5" i="78" s="1"/>
  <c r="F116" i="63"/>
  <c r="D116" i="63"/>
  <c r="F115" i="63"/>
  <c r="D115" i="63"/>
  <c r="O119" i="63"/>
  <c r="M5" i="77" s="1"/>
  <c r="L119" i="63"/>
  <c r="J119" i="63"/>
  <c r="L5" i="77" s="1"/>
  <c r="I119" i="63"/>
  <c r="C119" i="63"/>
  <c r="C5" i="77" s="1"/>
  <c r="B119" i="63"/>
  <c r="B5" i="77" s="1"/>
  <c r="F105" i="63"/>
  <c r="F109" i="63" s="1"/>
  <c r="E5" i="76" s="1"/>
  <c r="D105" i="63"/>
  <c r="D109" i="63" s="1"/>
  <c r="K5" i="76" s="1"/>
  <c r="O109" i="63"/>
  <c r="M5" i="76" s="1"/>
  <c r="L109" i="63"/>
  <c r="J109" i="63"/>
  <c r="L5" i="76" s="1"/>
  <c r="I109" i="63"/>
  <c r="C109" i="63"/>
  <c r="C5" i="76" s="1"/>
  <c r="B109" i="63"/>
  <c r="B5" i="76" s="1"/>
  <c r="D95" i="63"/>
  <c r="D99" i="63" s="1"/>
  <c r="K5" i="75" s="1"/>
  <c r="O99" i="63"/>
  <c r="M5" i="75" s="1"/>
  <c r="L99" i="63"/>
  <c r="J99" i="63"/>
  <c r="L5" i="75" s="1"/>
  <c r="I99" i="63"/>
  <c r="C99" i="63"/>
  <c r="C5" i="75" s="1"/>
  <c r="B99" i="63"/>
  <c r="B5" i="75" s="1"/>
  <c r="F99" i="63"/>
  <c r="E5" i="75" s="1"/>
  <c r="F85" i="63"/>
  <c r="F89" i="63" s="1"/>
  <c r="E5" i="74" s="1"/>
  <c r="D85" i="63"/>
  <c r="D89" i="63" s="1"/>
  <c r="K5" i="74" s="1"/>
  <c r="O89" i="63"/>
  <c r="M5" i="74" s="1"/>
  <c r="L89" i="63"/>
  <c r="J89" i="63"/>
  <c r="L5" i="74" s="1"/>
  <c r="I89" i="63"/>
  <c r="C89" i="63"/>
  <c r="C5" i="74" s="1"/>
  <c r="B89" i="63"/>
  <c r="B5" i="74" s="1"/>
  <c r="O79" i="63"/>
  <c r="M6" i="73" s="1"/>
  <c r="L79" i="63"/>
  <c r="J79" i="63"/>
  <c r="L6" i="73" s="1"/>
  <c r="I79" i="63"/>
  <c r="C79" i="63"/>
  <c r="C6" i="73" s="1"/>
  <c r="B79" i="63"/>
  <c r="B6" i="73" s="1"/>
  <c r="F79" i="63"/>
  <c r="E6" i="73" s="1"/>
  <c r="D79" i="63"/>
  <c r="K6" i="73" s="1"/>
  <c r="O69" i="63"/>
  <c r="M9" i="72" s="1"/>
  <c r="L69" i="63"/>
  <c r="J69" i="63"/>
  <c r="L9" i="72" s="1"/>
  <c r="I69" i="63"/>
  <c r="F69" i="63"/>
  <c r="E9" i="72" s="1"/>
  <c r="D69" i="63"/>
  <c r="K9" i="72" s="1"/>
  <c r="C69" i="63"/>
  <c r="C9" i="72" s="1"/>
  <c r="B69" i="63"/>
  <c r="B9" i="72" s="1"/>
  <c r="O59" i="63"/>
  <c r="M9" i="58" s="1"/>
  <c r="L59" i="63"/>
  <c r="J59" i="63"/>
  <c r="L9" i="58" s="1"/>
  <c r="I59" i="63"/>
  <c r="F59" i="63"/>
  <c r="E9" i="58" s="1"/>
  <c r="D59" i="63"/>
  <c r="K9" i="58" s="1"/>
  <c r="C59" i="63"/>
  <c r="C9" i="58" s="1"/>
  <c r="B59" i="63"/>
  <c r="B9" i="58" s="1"/>
  <c r="O49" i="63"/>
  <c r="M14" i="57" s="1"/>
  <c r="L49" i="63"/>
  <c r="J49" i="63"/>
  <c r="I49" i="63"/>
  <c r="L14" i="57" s="1"/>
  <c r="F49" i="63"/>
  <c r="E14" i="57" s="1"/>
  <c r="D49" i="63"/>
  <c r="K14" i="57" s="1"/>
  <c r="C49" i="63"/>
  <c r="C14" i="57" s="1"/>
  <c r="B49" i="63"/>
  <c r="B14" i="57" s="1"/>
  <c r="O39" i="63"/>
  <c r="M15" i="48" s="1"/>
  <c r="L39" i="63"/>
  <c r="J39" i="63"/>
  <c r="I39" i="63"/>
  <c r="L15" i="48" s="1"/>
  <c r="F39" i="63"/>
  <c r="E15" i="48" s="1"/>
  <c r="D39" i="63"/>
  <c r="K15" i="48" s="1"/>
  <c r="C39" i="63"/>
  <c r="C15" i="48" s="1"/>
  <c r="B39" i="63"/>
  <c r="B15" i="48" s="1"/>
  <c r="O29" i="63"/>
  <c r="M15" i="46" s="1"/>
  <c r="L29" i="63"/>
  <c r="J29" i="63"/>
  <c r="I29" i="63"/>
  <c r="L15" i="46" s="1"/>
  <c r="F29" i="63"/>
  <c r="E15" i="46" s="1"/>
  <c r="D29" i="63"/>
  <c r="K15" i="46" s="1"/>
  <c r="C29" i="63"/>
  <c r="C15" i="46" s="1"/>
  <c r="B29" i="63"/>
  <c r="B15" i="46" s="1"/>
  <c r="O19" i="63"/>
  <c r="M15" i="35" s="1"/>
  <c r="L19" i="63"/>
  <c r="J19" i="63"/>
  <c r="L15" i="35" s="1"/>
  <c r="I19" i="63"/>
  <c r="F19" i="63"/>
  <c r="E15" i="35" s="1"/>
  <c r="D19" i="63"/>
  <c r="K15" i="35" s="1"/>
  <c r="C19" i="63"/>
  <c r="C15" i="35" s="1"/>
  <c r="B19" i="63"/>
  <c r="B15" i="35" s="1"/>
  <c r="X12" i="81"/>
  <c r="C12" i="81"/>
  <c r="A12" i="81"/>
  <c r="A5" i="73"/>
  <c r="A8" i="72"/>
  <c r="A8" i="58"/>
  <c r="A14" i="46"/>
  <c r="A14" i="35"/>
  <c r="F75" i="56"/>
  <c r="F79" i="56" s="1"/>
  <c r="E5" i="73" s="1"/>
  <c r="D75" i="56"/>
  <c r="D79" i="56" s="1"/>
  <c r="K5" i="73" s="1"/>
  <c r="O79" i="56"/>
  <c r="M5" i="73" s="1"/>
  <c r="L79" i="56"/>
  <c r="J79" i="56"/>
  <c r="L5" i="73" s="1"/>
  <c r="I79" i="56"/>
  <c r="C79" i="56"/>
  <c r="C5" i="73" s="1"/>
  <c r="B79" i="56"/>
  <c r="B5" i="73" s="1"/>
  <c r="O69" i="56"/>
  <c r="M8" i="72" s="1"/>
  <c r="L69" i="56"/>
  <c r="J69" i="56"/>
  <c r="L8" i="72" s="1"/>
  <c r="I69" i="56"/>
  <c r="F69" i="56"/>
  <c r="E8" i="72" s="1"/>
  <c r="D69" i="56"/>
  <c r="K8" i="72" s="1"/>
  <c r="C69" i="56"/>
  <c r="C8" i="72" s="1"/>
  <c r="B69" i="56"/>
  <c r="B8" i="72" s="1"/>
  <c r="O59" i="56"/>
  <c r="M8" i="58" s="1"/>
  <c r="L59" i="56"/>
  <c r="J59" i="56"/>
  <c r="L8" i="58" s="1"/>
  <c r="I59" i="56"/>
  <c r="F59" i="56"/>
  <c r="E8" i="58" s="1"/>
  <c r="D59" i="56"/>
  <c r="K8" i="58" s="1"/>
  <c r="C59" i="56"/>
  <c r="C8" i="58" s="1"/>
  <c r="B59" i="56"/>
  <c r="B8" i="58" s="1"/>
  <c r="O49" i="56"/>
  <c r="M13" i="57" s="1"/>
  <c r="L49" i="56"/>
  <c r="J49" i="56"/>
  <c r="I49" i="56"/>
  <c r="L13" i="57" s="1"/>
  <c r="F49" i="56"/>
  <c r="E13" i="57" s="1"/>
  <c r="D49" i="56"/>
  <c r="K13" i="57" s="1"/>
  <c r="C49" i="56"/>
  <c r="C13" i="57" s="1"/>
  <c r="B49" i="56"/>
  <c r="B13" i="57" s="1"/>
  <c r="O39" i="56"/>
  <c r="M14" i="48" s="1"/>
  <c r="L39" i="56"/>
  <c r="J39" i="56"/>
  <c r="I39" i="56"/>
  <c r="L14" i="48" s="1"/>
  <c r="F39" i="56"/>
  <c r="E14" i="48" s="1"/>
  <c r="D39" i="56"/>
  <c r="K14" i="48" s="1"/>
  <c r="C39" i="56"/>
  <c r="C14" i="48" s="1"/>
  <c r="B39" i="56"/>
  <c r="B14" i="48" s="1"/>
  <c r="O29" i="56"/>
  <c r="M14" i="46" s="1"/>
  <c r="L29" i="56"/>
  <c r="J29" i="56"/>
  <c r="I29" i="56"/>
  <c r="L14" i="46" s="1"/>
  <c r="F29" i="56"/>
  <c r="E14" i="46" s="1"/>
  <c r="D29" i="56"/>
  <c r="K14" i="46" s="1"/>
  <c r="C29" i="56"/>
  <c r="C14" i="46" s="1"/>
  <c r="B29" i="56"/>
  <c r="B14" i="46" s="1"/>
  <c r="O19" i="56"/>
  <c r="M14" i="35" s="1"/>
  <c r="L19" i="56"/>
  <c r="J19" i="56"/>
  <c r="L14" i="35" s="1"/>
  <c r="I19" i="56"/>
  <c r="F19" i="56"/>
  <c r="E14" i="35" s="1"/>
  <c r="D19" i="56"/>
  <c r="K14" i="35" s="1"/>
  <c r="C19" i="56"/>
  <c r="C14" i="35" s="1"/>
  <c r="B19" i="56"/>
  <c r="B14" i="35" s="1"/>
  <c r="X11" i="81"/>
  <c r="C11" i="81"/>
  <c r="A11" i="81"/>
  <c r="A7" i="72"/>
  <c r="A13" i="46"/>
  <c r="A13" i="35"/>
  <c r="A7" i="58"/>
  <c r="O69" i="70"/>
  <c r="M7" i="72" s="1"/>
  <c r="L69" i="70"/>
  <c r="J69" i="70"/>
  <c r="L7" i="72" s="1"/>
  <c r="I69" i="70"/>
  <c r="F69" i="70"/>
  <c r="E7" i="72" s="1"/>
  <c r="D69" i="70"/>
  <c r="K7" i="72" s="1"/>
  <c r="C69" i="70"/>
  <c r="C7" i="72" s="1"/>
  <c r="B69" i="70"/>
  <c r="B7" i="72" s="1"/>
  <c r="O59" i="70"/>
  <c r="M7" i="58" s="1"/>
  <c r="L59" i="70"/>
  <c r="J59" i="70"/>
  <c r="L7" i="58" s="1"/>
  <c r="I59" i="70"/>
  <c r="F59" i="70"/>
  <c r="E7" i="58" s="1"/>
  <c r="D59" i="70"/>
  <c r="K7" i="58" s="1"/>
  <c r="C59" i="70"/>
  <c r="C7" i="58" s="1"/>
  <c r="B59" i="70"/>
  <c r="B7" i="58" s="1"/>
  <c r="O49" i="70"/>
  <c r="M12" i="57" s="1"/>
  <c r="L49" i="70"/>
  <c r="J49" i="70"/>
  <c r="I49" i="70"/>
  <c r="L12" i="57" s="1"/>
  <c r="F49" i="70"/>
  <c r="E12" i="57" s="1"/>
  <c r="D49" i="70"/>
  <c r="K12" i="57" s="1"/>
  <c r="C49" i="70"/>
  <c r="C12" i="57" s="1"/>
  <c r="B49" i="70"/>
  <c r="B12" i="57" s="1"/>
  <c r="O39" i="70"/>
  <c r="M13" i="48" s="1"/>
  <c r="L39" i="70"/>
  <c r="J39" i="70"/>
  <c r="I39" i="70"/>
  <c r="L13" i="48" s="1"/>
  <c r="F39" i="70"/>
  <c r="E13" i="48" s="1"/>
  <c r="D39" i="70"/>
  <c r="K13" i="48" s="1"/>
  <c r="C39" i="70"/>
  <c r="C13" i="48" s="1"/>
  <c r="B39" i="70"/>
  <c r="B13" i="48" s="1"/>
  <c r="O29" i="70"/>
  <c r="M13" i="46" s="1"/>
  <c r="L29" i="70"/>
  <c r="J29" i="70"/>
  <c r="I29" i="70"/>
  <c r="L13" i="46" s="1"/>
  <c r="F29" i="70"/>
  <c r="E13" i="46" s="1"/>
  <c r="D29" i="70"/>
  <c r="K13" i="46" s="1"/>
  <c r="C29" i="70"/>
  <c r="C13" i="46" s="1"/>
  <c r="B29" i="70"/>
  <c r="B13" i="46" s="1"/>
  <c r="O19" i="70"/>
  <c r="M13" i="35" s="1"/>
  <c r="L19" i="70"/>
  <c r="J19" i="70"/>
  <c r="I19" i="70"/>
  <c r="F19" i="70"/>
  <c r="E13" i="35" s="1"/>
  <c r="D19" i="70"/>
  <c r="K13" i="35" s="1"/>
  <c r="C19" i="70"/>
  <c r="C13" i="35" s="1"/>
  <c r="B19" i="70"/>
  <c r="B13" i="35" s="1"/>
  <c r="X10" i="81"/>
  <c r="C10" i="81"/>
  <c r="A10" i="81"/>
  <c r="A6" i="72"/>
  <c r="A6" i="58"/>
  <c r="A12" i="46"/>
  <c r="A12" i="35"/>
  <c r="X9" i="81"/>
  <c r="C9" i="81"/>
  <c r="A9" i="81"/>
  <c r="O69" i="69"/>
  <c r="M6" i="72" s="1"/>
  <c r="L69" i="69"/>
  <c r="J69" i="69"/>
  <c r="L6" i="72" s="1"/>
  <c r="I69" i="69"/>
  <c r="C69" i="69"/>
  <c r="C6" i="72" s="1"/>
  <c r="B69" i="69"/>
  <c r="B6" i="72" s="1"/>
  <c r="F69" i="69"/>
  <c r="E6" i="72" s="1"/>
  <c r="D69" i="69"/>
  <c r="K6" i="72" s="1"/>
  <c r="O59" i="69"/>
  <c r="M6" i="58" s="1"/>
  <c r="L59" i="69"/>
  <c r="J59" i="69"/>
  <c r="L6" i="58" s="1"/>
  <c r="I59" i="69"/>
  <c r="C59" i="69"/>
  <c r="C6" i="58" s="1"/>
  <c r="B59" i="69"/>
  <c r="B6" i="58" s="1"/>
  <c r="F59" i="69"/>
  <c r="E6" i="58" s="1"/>
  <c r="D59" i="69"/>
  <c r="K6" i="58" s="1"/>
  <c r="O49" i="69"/>
  <c r="M11" i="57" s="1"/>
  <c r="L49" i="69"/>
  <c r="J49" i="69"/>
  <c r="I49" i="69"/>
  <c r="L11" i="57" s="1"/>
  <c r="F49" i="69"/>
  <c r="E11" i="57" s="1"/>
  <c r="D49" i="69"/>
  <c r="K11" i="57" s="1"/>
  <c r="C49" i="69"/>
  <c r="C11" i="57" s="1"/>
  <c r="B49" i="69"/>
  <c r="B11" i="57" s="1"/>
  <c r="O39" i="69"/>
  <c r="M12" i="48" s="1"/>
  <c r="L39" i="69"/>
  <c r="J39" i="69"/>
  <c r="I39" i="69"/>
  <c r="L12" i="48" s="1"/>
  <c r="F39" i="69"/>
  <c r="E12" i="48" s="1"/>
  <c r="D39" i="69"/>
  <c r="K12" i="48" s="1"/>
  <c r="C39" i="69"/>
  <c r="C12" i="48" s="1"/>
  <c r="B39" i="69"/>
  <c r="B12" i="48" s="1"/>
  <c r="O29" i="69"/>
  <c r="M12" i="46" s="1"/>
  <c r="L29" i="69"/>
  <c r="J29" i="69"/>
  <c r="I29" i="69"/>
  <c r="L12" i="46" s="1"/>
  <c r="F29" i="69"/>
  <c r="D29" i="69"/>
  <c r="K12" i="46" s="1"/>
  <c r="C29" i="69"/>
  <c r="C12" i="46" s="1"/>
  <c r="B29" i="69"/>
  <c r="B12" i="46" s="1"/>
  <c r="O19" i="69"/>
  <c r="M12" i="35" s="1"/>
  <c r="L19" i="69"/>
  <c r="J19" i="69"/>
  <c r="L12" i="35" s="1"/>
  <c r="I19" i="69"/>
  <c r="F19" i="69"/>
  <c r="E12" i="46" s="1"/>
  <c r="D19" i="69"/>
  <c r="K12" i="35" s="1"/>
  <c r="C19" i="69"/>
  <c r="C12" i="35" s="1"/>
  <c r="B19" i="69"/>
  <c r="B12" i="35" s="1"/>
  <c r="A5" i="72"/>
  <c r="A5" i="58"/>
  <c r="A11" i="46"/>
  <c r="A11" i="35"/>
  <c r="X8" i="81"/>
  <c r="C8" i="81"/>
  <c r="A8" i="81"/>
  <c r="F65" i="62"/>
  <c r="F69" i="62" s="1"/>
  <c r="E5" i="72" s="1"/>
  <c r="D65" i="62"/>
  <c r="D69" i="62" s="1"/>
  <c r="K5" i="72" s="1"/>
  <c r="O69" i="62"/>
  <c r="M5" i="72" s="1"/>
  <c r="L69" i="62"/>
  <c r="J69" i="62"/>
  <c r="L5" i="72" s="1"/>
  <c r="I69" i="62"/>
  <c r="C69" i="62"/>
  <c r="C5" i="72" s="1"/>
  <c r="B69" i="62"/>
  <c r="B5" i="72" s="1"/>
  <c r="F55" i="62"/>
  <c r="F59" i="62" s="1"/>
  <c r="E5" i="58" s="1"/>
  <c r="D55" i="62"/>
  <c r="D59" i="62" s="1"/>
  <c r="K5" i="58" s="1"/>
  <c r="O59" i="62"/>
  <c r="M5" i="58" s="1"/>
  <c r="L59" i="62"/>
  <c r="J59" i="62"/>
  <c r="L5" i="58" s="1"/>
  <c r="I59" i="62"/>
  <c r="C59" i="62"/>
  <c r="C5" i="58" s="1"/>
  <c r="B59" i="62"/>
  <c r="B5" i="58" s="1"/>
  <c r="O49" i="62"/>
  <c r="M10" i="57" s="1"/>
  <c r="L49" i="62"/>
  <c r="J49" i="62"/>
  <c r="I49" i="62"/>
  <c r="L10" i="57" s="1"/>
  <c r="F49" i="62"/>
  <c r="E10" i="57" s="1"/>
  <c r="D49" i="62"/>
  <c r="K10" i="57" s="1"/>
  <c r="C49" i="62"/>
  <c r="C10" i="57" s="1"/>
  <c r="B49" i="62"/>
  <c r="B10" i="57" s="1"/>
  <c r="O39" i="62"/>
  <c r="M11" i="48" s="1"/>
  <c r="L39" i="62"/>
  <c r="J39" i="62"/>
  <c r="I39" i="62"/>
  <c r="L11" i="48" s="1"/>
  <c r="F39" i="62"/>
  <c r="E11" i="48" s="1"/>
  <c r="D39" i="62"/>
  <c r="K11" i="48" s="1"/>
  <c r="C39" i="62"/>
  <c r="C11" i="48" s="1"/>
  <c r="B39" i="62"/>
  <c r="B11" i="48" s="1"/>
  <c r="O29" i="62"/>
  <c r="M11" i="46" s="1"/>
  <c r="L29" i="62"/>
  <c r="J29" i="62"/>
  <c r="I29" i="62"/>
  <c r="L11" i="46" s="1"/>
  <c r="F29" i="62"/>
  <c r="E11" i="46" s="1"/>
  <c r="D29" i="62"/>
  <c r="K11" i="46" s="1"/>
  <c r="C29" i="62"/>
  <c r="C11" i="46" s="1"/>
  <c r="B29" i="62"/>
  <c r="B11" i="46" s="1"/>
  <c r="O19" i="62"/>
  <c r="M11" i="35" s="1"/>
  <c r="L19" i="62"/>
  <c r="J19" i="62"/>
  <c r="L11" i="35" s="1"/>
  <c r="I19" i="62"/>
  <c r="F19" i="62"/>
  <c r="E11" i="35" s="1"/>
  <c r="D19" i="62"/>
  <c r="C19" i="62"/>
  <c r="C11" i="35" s="1"/>
  <c r="B19" i="62"/>
  <c r="B11" i="35" s="1"/>
  <c r="A10" i="46"/>
  <c r="A10" i="35"/>
  <c r="O49" i="68"/>
  <c r="M9" i="57" s="1"/>
  <c r="L49" i="68"/>
  <c r="J49" i="68"/>
  <c r="I49" i="68"/>
  <c r="L9" i="57" s="1"/>
  <c r="F49" i="68"/>
  <c r="E9" i="57" s="1"/>
  <c r="D49" i="68"/>
  <c r="K9" i="57" s="1"/>
  <c r="C49" i="68"/>
  <c r="C9" i="57" s="1"/>
  <c r="B49" i="68"/>
  <c r="B9" i="57" s="1"/>
  <c r="O39" i="68"/>
  <c r="M10" i="48" s="1"/>
  <c r="L39" i="68"/>
  <c r="J39" i="68"/>
  <c r="I39" i="68"/>
  <c r="L10" i="48" s="1"/>
  <c r="F39" i="68"/>
  <c r="E10" i="48" s="1"/>
  <c r="D39" i="68"/>
  <c r="K10" i="48" s="1"/>
  <c r="C39" i="68"/>
  <c r="C10" i="48" s="1"/>
  <c r="B39" i="68"/>
  <c r="B10" i="48" s="1"/>
  <c r="O29" i="68"/>
  <c r="M10" i="46" s="1"/>
  <c r="L29" i="68"/>
  <c r="J29" i="68"/>
  <c r="I29" i="68"/>
  <c r="L10" i="46" s="1"/>
  <c r="F29" i="68"/>
  <c r="E10" i="46" s="1"/>
  <c r="D29" i="68"/>
  <c r="K10" i="46" s="1"/>
  <c r="C29" i="68"/>
  <c r="C10" i="46" s="1"/>
  <c r="B29" i="68"/>
  <c r="B10" i="46" s="1"/>
  <c r="O19" i="68"/>
  <c r="M10" i="35" s="1"/>
  <c r="L19" i="68"/>
  <c r="J19" i="68"/>
  <c r="I19" i="68"/>
  <c r="F19" i="68"/>
  <c r="E10" i="35" s="1"/>
  <c r="D19" i="68"/>
  <c r="K10" i="35" s="1"/>
  <c r="C19" i="68"/>
  <c r="C10" i="35" s="1"/>
  <c r="B19" i="68"/>
  <c r="B10" i="35" s="1"/>
  <c r="X7" i="81"/>
  <c r="C7" i="81"/>
  <c r="A7" i="81"/>
  <c r="A9" i="46"/>
  <c r="A9" i="35"/>
  <c r="O49" i="67"/>
  <c r="M8" i="57" s="1"/>
  <c r="L49" i="67"/>
  <c r="J49" i="67"/>
  <c r="I49" i="67"/>
  <c r="L8" i="57" s="1"/>
  <c r="F49" i="67"/>
  <c r="E8" i="57" s="1"/>
  <c r="D49" i="67"/>
  <c r="K8" i="57" s="1"/>
  <c r="C49" i="67"/>
  <c r="C8" i="57" s="1"/>
  <c r="B49" i="67"/>
  <c r="B8" i="57" s="1"/>
  <c r="O39" i="67"/>
  <c r="M9" i="48" s="1"/>
  <c r="L39" i="67"/>
  <c r="J39" i="67"/>
  <c r="I39" i="67"/>
  <c r="L9" i="48" s="1"/>
  <c r="F39" i="67"/>
  <c r="E9" i="48" s="1"/>
  <c r="D39" i="67"/>
  <c r="K9" i="48" s="1"/>
  <c r="C39" i="67"/>
  <c r="C9" i="48" s="1"/>
  <c r="B39" i="67"/>
  <c r="B9" i="48" s="1"/>
  <c r="O29" i="67"/>
  <c r="M9" i="46" s="1"/>
  <c r="L29" i="67"/>
  <c r="J29" i="67"/>
  <c r="I29" i="67"/>
  <c r="L9" i="46" s="1"/>
  <c r="F29" i="67"/>
  <c r="E9" i="46" s="1"/>
  <c r="D29" i="67"/>
  <c r="K9" i="46" s="1"/>
  <c r="C29" i="67"/>
  <c r="C9" i="46" s="1"/>
  <c r="B29" i="67"/>
  <c r="B9" i="46" s="1"/>
  <c r="O19" i="67"/>
  <c r="M9" i="35" s="1"/>
  <c r="L19" i="67"/>
  <c r="J19" i="67"/>
  <c r="L9" i="35" s="1"/>
  <c r="I19" i="67"/>
  <c r="F19" i="67"/>
  <c r="E9" i="35" s="1"/>
  <c r="D19" i="67"/>
  <c r="C19" i="67"/>
  <c r="C9" i="35" s="1"/>
  <c r="B19" i="67"/>
  <c r="B9" i="35" s="1"/>
  <c r="X6" i="81"/>
  <c r="C6" i="81"/>
  <c r="A6" i="81"/>
  <c r="A8" i="46"/>
  <c r="A8" i="35"/>
  <c r="X5" i="81"/>
  <c r="C5" i="81"/>
  <c r="A5" i="81"/>
  <c r="O49" i="66"/>
  <c r="M7" i="57" s="1"/>
  <c r="L49" i="66"/>
  <c r="J49" i="66"/>
  <c r="I49" i="66"/>
  <c r="L7" i="57" s="1"/>
  <c r="F49" i="66"/>
  <c r="E7" i="57" s="1"/>
  <c r="D49" i="66"/>
  <c r="K7" i="57" s="1"/>
  <c r="C49" i="66"/>
  <c r="C7" i="57" s="1"/>
  <c r="B49" i="66"/>
  <c r="B7" i="57" s="1"/>
  <c r="O39" i="66"/>
  <c r="M8" i="48" s="1"/>
  <c r="L39" i="66"/>
  <c r="J39" i="66"/>
  <c r="I39" i="66"/>
  <c r="L8" i="48" s="1"/>
  <c r="F39" i="66"/>
  <c r="E8" i="48" s="1"/>
  <c r="D39" i="66"/>
  <c r="K8" i="48" s="1"/>
  <c r="C39" i="66"/>
  <c r="C8" i="48" s="1"/>
  <c r="B39" i="66"/>
  <c r="B8" i="48" s="1"/>
  <c r="O29" i="66"/>
  <c r="M8" i="46" s="1"/>
  <c r="L29" i="66"/>
  <c r="J29" i="66"/>
  <c r="I29" i="66"/>
  <c r="L8" i="46" s="1"/>
  <c r="F29" i="66"/>
  <c r="E8" i="46" s="1"/>
  <c r="D29" i="66"/>
  <c r="K8" i="46" s="1"/>
  <c r="C29" i="66"/>
  <c r="C8" i="46" s="1"/>
  <c r="B29" i="66"/>
  <c r="B8" i="46" s="1"/>
  <c r="O19" i="66"/>
  <c r="M8" i="35" s="1"/>
  <c r="L19" i="66"/>
  <c r="J19" i="66"/>
  <c r="L8" i="35" s="1"/>
  <c r="I19" i="66"/>
  <c r="F19" i="66"/>
  <c r="E8" i="35" s="1"/>
  <c r="D19" i="66"/>
  <c r="K8" i="35" s="1"/>
  <c r="C19" i="66"/>
  <c r="B19" i="66"/>
  <c r="B8" i="35" s="1"/>
  <c r="A7" i="46"/>
  <c r="A7" i="35"/>
  <c r="O49" i="65"/>
  <c r="M6" i="57" s="1"/>
  <c r="L49" i="65"/>
  <c r="J49" i="65"/>
  <c r="I49" i="65"/>
  <c r="L6" i="57" s="1"/>
  <c r="F49" i="65"/>
  <c r="E6" i="57" s="1"/>
  <c r="D49" i="65"/>
  <c r="C49" i="65"/>
  <c r="C6" i="57" s="1"/>
  <c r="B49" i="65"/>
  <c r="B6" i="57" s="1"/>
  <c r="O39" i="65"/>
  <c r="M7" i="48" s="1"/>
  <c r="L39" i="65"/>
  <c r="J39" i="65"/>
  <c r="I39" i="65"/>
  <c r="L7" i="48" s="1"/>
  <c r="F39" i="65"/>
  <c r="E7" i="48" s="1"/>
  <c r="D39" i="65"/>
  <c r="K7" i="48" s="1"/>
  <c r="C39" i="65"/>
  <c r="C7" i="48" s="1"/>
  <c r="B39" i="65"/>
  <c r="B7" i="48" s="1"/>
  <c r="O29" i="65"/>
  <c r="M7" i="46" s="1"/>
  <c r="L29" i="65"/>
  <c r="J29" i="65"/>
  <c r="I29" i="65"/>
  <c r="L7" i="46" s="1"/>
  <c r="F29" i="65"/>
  <c r="E7" i="46" s="1"/>
  <c r="D29" i="65"/>
  <c r="K7" i="46" s="1"/>
  <c r="C29" i="65"/>
  <c r="C7" i="46" s="1"/>
  <c r="B29" i="65"/>
  <c r="B7" i="46" s="1"/>
  <c r="O19" i="65"/>
  <c r="M7" i="35" s="1"/>
  <c r="L19" i="65"/>
  <c r="J19" i="65"/>
  <c r="I19" i="65"/>
  <c r="F19" i="65"/>
  <c r="E7" i="35" s="1"/>
  <c r="D19" i="65"/>
  <c r="K7" i="35" s="1"/>
  <c r="C19" i="65"/>
  <c r="C7" i="35" s="1"/>
  <c r="B19" i="65"/>
  <c r="B7" i="35" s="1"/>
  <c r="X4" i="81"/>
  <c r="C4" i="81"/>
  <c r="A4" i="81"/>
  <c r="X3" i="81"/>
  <c r="C3" i="81"/>
  <c r="A3" i="81"/>
  <c r="A6" i="46"/>
  <c r="A5" i="46"/>
  <c r="A6" i="35"/>
  <c r="A5" i="35"/>
  <c r="R5" i="73" l="1"/>
  <c r="AG65" i="73" s="1"/>
  <c r="P5" i="79"/>
  <c r="V5" i="79"/>
  <c r="Q5" i="79"/>
  <c r="P5" i="78"/>
  <c r="Q5" i="78"/>
  <c r="X5" i="79"/>
  <c r="X5" i="69"/>
  <c r="U10" i="81" s="1"/>
  <c r="U5" i="85"/>
  <c r="V20" i="81" s="1"/>
  <c r="U5" i="68"/>
  <c r="V8" i="81" s="1"/>
  <c r="X5" i="65"/>
  <c r="U5" i="81" s="1"/>
  <c r="U5" i="66"/>
  <c r="V6" i="81" s="1"/>
  <c r="U5" i="62"/>
  <c r="V9" i="81" s="1"/>
  <c r="X5" i="70"/>
  <c r="U11" i="81" s="1"/>
  <c r="U5" i="70"/>
  <c r="V11" i="81" s="1"/>
  <c r="X5" i="83"/>
  <c r="U18" i="81" s="1"/>
  <c r="X5" i="68"/>
  <c r="U8" i="81" s="1"/>
  <c r="U5" i="84"/>
  <c r="V19" i="81" s="1"/>
  <c r="U5" i="67"/>
  <c r="V7" i="81" s="1"/>
  <c r="X5" i="85"/>
  <c r="U20" i="81" s="1"/>
  <c r="X5" i="84"/>
  <c r="U19" i="81" s="1"/>
  <c r="X5" i="64"/>
  <c r="U15" i="81" s="1"/>
  <c r="W5" i="64"/>
  <c r="W15" i="81" s="1"/>
  <c r="U5" i="80"/>
  <c r="V16" i="81" s="1"/>
  <c r="X5" i="66"/>
  <c r="U6" i="81" s="1"/>
  <c r="W5" i="71"/>
  <c r="W14" i="81" s="1"/>
  <c r="U5" i="82"/>
  <c r="V17" i="81" s="1"/>
  <c r="X5" i="82"/>
  <c r="U17" i="81" s="1"/>
  <c r="W5" i="69"/>
  <c r="W10" i="81" s="1"/>
  <c r="K23" i="35"/>
  <c r="K22" i="35"/>
  <c r="K11" i="35"/>
  <c r="R5" i="72"/>
  <c r="AG65" i="72" s="1"/>
  <c r="W5" i="65"/>
  <c r="L7" i="35"/>
  <c r="U5" i="65"/>
  <c r="V5" i="81" s="1"/>
  <c r="K9" i="35"/>
  <c r="X5" i="62"/>
  <c r="U9" i="81" s="1"/>
  <c r="V5" i="72"/>
  <c r="W5" i="70"/>
  <c r="L13" i="35"/>
  <c r="W5" i="63"/>
  <c r="K6" i="57"/>
  <c r="W5" i="66"/>
  <c r="C8" i="35"/>
  <c r="W5" i="68"/>
  <c r="L10" i="35"/>
  <c r="E12" i="35"/>
  <c r="X5" i="63"/>
  <c r="U13" i="81" s="1"/>
  <c r="W5" i="67"/>
  <c r="X5" i="67"/>
  <c r="U7" i="81" s="1"/>
  <c r="W5" i="62"/>
  <c r="B18" i="35"/>
  <c r="X5" i="71"/>
  <c r="U14" i="81" s="1"/>
  <c r="M6" i="75"/>
  <c r="X5" i="75" s="1"/>
  <c r="X5" i="80"/>
  <c r="U16" i="81" s="1"/>
  <c r="M8" i="78"/>
  <c r="X5" i="78" s="1"/>
  <c r="W5" i="80"/>
  <c r="W16" i="81" s="1"/>
  <c r="L18" i="35"/>
  <c r="W5" i="82"/>
  <c r="L19" i="35"/>
  <c r="W5" i="83"/>
  <c r="C20" i="35"/>
  <c r="L21" i="35"/>
  <c r="W5" i="84"/>
  <c r="W19" i="81" s="1"/>
  <c r="K8" i="78"/>
  <c r="V5" i="78" s="1"/>
  <c r="L8" i="79"/>
  <c r="W5" i="79" s="1"/>
  <c r="B22" i="35"/>
  <c r="R5" i="74"/>
  <c r="AG65" i="74" s="1"/>
  <c r="U5" i="83"/>
  <c r="V18" i="81" s="1"/>
  <c r="K10" i="77"/>
  <c r="L11" i="78"/>
  <c r="W5" i="78" s="1"/>
  <c r="W5" i="85"/>
  <c r="L22" i="35"/>
  <c r="M22" i="35"/>
  <c r="C22" i="35"/>
  <c r="R5" i="35"/>
  <c r="R5" i="58"/>
  <c r="AG65" i="58" s="1"/>
  <c r="R5" i="75"/>
  <c r="R5" i="76"/>
  <c r="R5" i="77"/>
  <c r="U5" i="86"/>
  <c r="V21" i="81" s="1"/>
  <c r="X5" i="86"/>
  <c r="U21" i="81" s="1"/>
  <c r="W5" i="86"/>
  <c r="X5" i="77"/>
  <c r="W5" i="77"/>
  <c r="X5" i="58"/>
  <c r="V5" i="76"/>
  <c r="W5" i="73"/>
  <c r="X5" i="76"/>
  <c r="W5" i="75"/>
  <c r="V5" i="75"/>
  <c r="W5" i="74"/>
  <c r="X5" i="74"/>
  <c r="U5" i="64"/>
  <c r="V15" i="81" s="1"/>
  <c r="W5" i="76"/>
  <c r="V5" i="74"/>
  <c r="U5" i="71"/>
  <c r="V14" i="81" s="1"/>
  <c r="V5" i="73"/>
  <c r="D119" i="63"/>
  <c r="K5" i="77" s="1"/>
  <c r="F119" i="63"/>
  <c r="E5" i="77" s="1"/>
  <c r="X5" i="73"/>
  <c r="W5" i="72"/>
  <c r="V5" i="58"/>
  <c r="U5" i="56"/>
  <c r="V12" i="81" s="1"/>
  <c r="X5" i="56"/>
  <c r="U12" i="81" s="1"/>
  <c r="W5" i="56"/>
  <c r="U5" i="69"/>
  <c r="V10" i="81" s="1"/>
  <c r="X5" i="72"/>
  <c r="W5" i="58"/>
  <c r="D45" i="60"/>
  <c r="D49" i="60" s="1"/>
  <c r="K5" i="57" s="1"/>
  <c r="O49" i="60"/>
  <c r="M5" i="57" s="1"/>
  <c r="X5" i="57" s="1"/>
  <c r="L49" i="60"/>
  <c r="J49" i="60"/>
  <c r="I49" i="60"/>
  <c r="L5" i="57" s="1"/>
  <c r="W5" i="57" s="1"/>
  <c r="F49" i="60"/>
  <c r="E5" i="57" s="1"/>
  <c r="Q5" i="57" s="1"/>
  <c r="C49" i="60"/>
  <c r="C5" i="57" s="1"/>
  <c r="B49" i="60"/>
  <c r="B5" i="57" s="1"/>
  <c r="P5" i="57" s="1"/>
  <c r="O39" i="60"/>
  <c r="M6" i="48" s="1"/>
  <c r="L39" i="60"/>
  <c r="J39" i="60"/>
  <c r="I39" i="60"/>
  <c r="L6" i="48" s="1"/>
  <c r="C39" i="60"/>
  <c r="C6" i="48" s="1"/>
  <c r="B39" i="60"/>
  <c r="B6" i="48" s="1"/>
  <c r="F39" i="60"/>
  <c r="E6" i="48" s="1"/>
  <c r="D39" i="60"/>
  <c r="K6" i="48" s="1"/>
  <c r="O29" i="60"/>
  <c r="M6" i="46" s="1"/>
  <c r="L29" i="60"/>
  <c r="J29" i="60"/>
  <c r="I29" i="60"/>
  <c r="L6" i="46" s="1"/>
  <c r="C29" i="60"/>
  <c r="C6" i="46" s="1"/>
  <c r="B29" i="60"/>
  <c r="B6" i="46" s="1"/>
  <c r="F29" i="60"/>
  <c r="E6" i="46" s="1"/>
  <c r="D29" i="60"/>
  <c r="K6" i="46" s="1"/>
  <c r="O19" i="60"/>
  <c r="L19" i="60"/>
  <c r="J19" i="60"/>
  <c r="I19" i="60"/>
  <c r="F19" i="60"/>
  <c r="E6" i="35" s="1"/>
  <c r="D19" i="60"/>
  <c r="C19" i="60"/>
  <c r="C6" i="35" s="1"/>
  <c r="B19" i="60"/>
  <c r="B6" i="35" s="1"/>
  <c r="AG65" i="77" l="1"/>
  <c r="T5" i="79"/>
  <c r="S5" i="79"/>
  <c r="T5" i="78"/>
  <c r="S5" i="78"/>
  <c r="T5" i="57"/>
  <c r="S5" i="57"/>
  <c r="V5" i="77"/>
  <c r="V5" i="57"/>
  <c r="T5" i="71"/>
  <c r="S5" i="71" s="1"/>
  <c r="T5" i="64"/>
  <c r="T5" i="69"/>
  <c r="T5" i="80"/>
  <c r="W18" i="81"/>
  <c r="T5" i="83"/>
  <c r="T5" i="67"/>
  <c r="W7" i="81"/>
  <c r="T5" i="68"/>
  <c r="W8" i="81"/>
  <c r="T5" i="70"/>
  <c r="W11" i="81"/>
  <c r="L6" i="35"/>
  <c r="W5" i="60"/>
  <c r="W4" i="81" s="1"/>
  <c r="U5" i="60"/>
  <c r="V4" i="81" s="1"/>
  <c r="K6" i="35"/>
  <c r="T5" i="85"/>
  <c r="W20" i="81"/>
  <c r="T5" i="84"/>
  <c r="W9" i="81"/>
  <c r="T5" i="62"/>
  <c r="T5" i="60"/>
  <c r="S5" i="60" s="1"/>
  <c r="M6" i="35"/>
  <c r="X5" i="60"/>
  <c r="U4" i="81" s="1"/>
  <c r="T5" i="56"/>
  <c r="Q5" i="56" s="1"/>
  <c r="W12" i="81"/>
  <c r="T5" i="86"/>
  <c r="S5" i="86" s="1"/>
  <c r="W21" i="81"/>
  <c r="T5" i="82"/>
  <c r="W17" i="81"/>
  <c r="T5" i="66"/>
  <c r="W6" i="81"/>
  <c r="T5" i="63"/>
  <c r="W13" i="81"/>
  <c r="U5" i="63"/>
  <c r="V13" i="81" s="1"/>
  <c r="T5" i="65"/>
  <c r="W5" i="81"/>
  <c r="F35" i="59"/>
  <c r="D35" i="59"/>
  <c r="D39" i="59" s="1"/>
  <c r="K5" i="48" s="1"/>
  <c r="V5" i="48" s="1"/>
  <c r="O39" i="59"/>
  <c r="M5" i="48" s="1"/>
  <c r="X5" i="48" s="1"/>
  <c r="L39" i="59"/>
  <c r="J39" i="59"/>
  <c r="I39" i="59"/>
  <c r="L5" i="48" s="1"/>
  <c r="W5" i="48" s="1"/>
  <c r="C39" i="59"/>
  <c r="C5" i="48" s="1"/>
  <c r="B39" i="59"/>
  <c r="B5" i="48" s="1"/>
  <c r="P5" i="48" s="1"/>
  <c r="F39" i="59"/>
  <c r="E5" i="48" s="1"/>
  <c r="Q5" i="48" s="1"/>
  <c r="F25" i="59"/>
  <c r="F29" i="59" s="1"/>
  <c r="E5" i="46" s="1"/>
  <c r="Q5" i="46" s="1"/>
  <c r="D25" i="59"/>
  <c r="D29" i="59" s="1"/>
  <c r="K5" i="46" s="1"/>
  <c r="V5" i="46" s="1"/>
  <c r="O29" i="59"/>
  <c r="M5" i="46" s="1"/>
  <c r="X5" i="46" s="1"/>
  <c r="L29" i="59"/>
  <c r="J29" i="59"/>
  <c r="I29" i="59"/>
  <c r="L5" i="46" s="1"/>
  <c r="W5" i="46" s="1"/>
  <c r="C29" i="59"/>
  <c r="C5" i="46" s="1"/>
  <c r="B29" i="59"/>
  <c r="B5" i="46" s="1"/>
  <c r="P5" i="46" s="1"/>
  <c r="F15" i="59"/>
  <c r="F19" i="59" s="1"/>
  <c r="E5" i="35" s="1"/>
  <c r="D15" i="59"/>
  <c r="D19" i="59" s="1"/>
  <c r="K5" i="35" s="1"/>
  <c r="V5" i="35" s="1"/>
  <c r="O19" i="59"/>
  <c r="M5" i="35" s="1"/>
  <c r="L19" i="59"/>
  <c r="J19" i="59"/>
  <c r="L5" i="35" s="1"/>
  <c r="I19" i="59"/>
  <c r="C19" i="59"/>
  <c r="C5" i="35" s="1"/>
  <c r="B19" i="59"/>
  <c r="B5" i="35" s="1"/>
  <c r="T5" i="48" l="1"/>
  <c r="S5" i="48"/>
  <c r="T5" i="46"/>
  <c r="S5" i="46"/>
  <c r="X5" i="35"/>
  <c r="Q5" i="71"/>
  <c r="S5" i="64"/>
  <c r="Q5" i="64"/>
  <c r="Q5" i="86"/>
  <c r="S5" i="56"/>
  <c r="S5" i="69"/>
  <c r="Q5" i="69"/>
  <c r="Q5" i="60"/>
  <c r="U5" i="59"/>
  <c r="V3" i="81" s="1"/>
  <c r="S5" i="85"/>
  <c r="Q5" i="85"/>
  <c r="W5" i="35"/>
  <c r="X5" i="59"/>
  <c r="U3" i="81" s="1"/>
  <c r="S5" i="84"/>
  <c r="Q5" i="84"/>
  <c r="Q5" i="70"/>
  <c r="S5" i="70"/>
  <c r="Q5" i="67"/>
  <c r="S5" i="67"/>
  <c r="S5" i="65"/>
  <c r="Q5" i="65"/>
  <c r="Q5" i="63"/>
  <c r="S5" i="63"/>
  <c r="S5" i="82"/>
  <c r="Q5" i="82"/>
  <c r="Q5" i="83"/>
  <c r="S5" i="83"/>
  <c r="Q5" i="62"/>
  <c r="S5" i="62"/>
  <c r="Q5" i="68"/>
  <c r="S5" i="68"/>
  <c r="W5" i="59"/>
  <c r="W3" i="81" s="1"/>
  <c r="S5" i="66"/>
  <c r="Q5" i="66"/>
  <c r="Q5" i="80"/>
  <c r="S5" i="80"/>
  <c r="T5" i="59" l="1"/>
  <c r="S5" i="59" s="1"/>
  <c r="D3" i="81" s="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Q5" i="59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P5" i="77"/>
  <c r="Q5" i="77"/>
  <c r="P5" i="76"/>
  <c r="Q5" i="76"/>
  <c r="P5" i="75"/>
  <c r="Q5" i="75"/>
  <c r="P5" i="74"/>
  <c r="Q5" i="74"/>
  <c r="P5" i="58"/>
  <c r="Q5" i="35"/>
  <c r="D5" i="79"/>
  <c r="D5" i="78"/>
  <c r="D6" i="78" s="1"/>
  <c r="D7" i="78" s="1"/>
  <c r="D8" i="78" s="1"/>
  <c r="D9" i="78" s="1"/>
  <c r="D10" i="78" s="1"/>
  <c r="D11" i="78" s="1"/>
  <c r="D12" i="78" s="1"/>
  <c r="D13" i="78" s="1"/>
  <c r="D14" i="78" s="1"/>
  <c r="D15" i="78" s="1"/>
  <c r="D16" i="78" s="1"/>
  <c r="D17" i="78" s="1"/>
  <c r="D18" i="78" s="1"/>
  <c r="D19" i="78" s="1"/>
  <c r="D5" i="77"/>
  <c r="D5" i="76"/>
  <c r="D5" i="75"/>
  <c r="D5" i="74"/>
  <c r="Q5" i="58"/>
  <c r="D5" i="73"/>
  <c r="D5" i="72"/>
  <c r="F5" i="72"/>
  <c r="H5" i="72" s="1"/>
  <c r="L9" i="81" s="1"/>
  <c r="F5" i="58"/>
  <c r="H5" i="58" s="1"/>
  <c r="K9" i="81" s="1"/>
  <c r="D5" i="57"/>
  <c r="D5" i="48"/>
  <c r="F5" i="48"/>
  <c r="D5" i="46"/>
  <c r="F5" i="46"/>
  <c r="B29" i="81" l="1"/>
  <c r="S29" i="81" s="1"/>
  <c r="T29" i="81" s="1"/>
  <c r="S28" i="81"/>
  <c r="T28" i="81" s="1"/>
  <c r="T5" i="77"/>
  <c r="S5" i="77"/>
  <c r="T5" i="75"/>
  <c r="S5" i="75"/>
  <c r="S5" i="74"/>
  <c r="T5" i="74"/>
  <c r="T5" i="58"/>
  <c r="S5" i="58"/>
  <c r="D6" i="79"/>
  <c r="D7" i="79" s="1"/>
  <c r="D8" i="79" s="1"/>
  <c r="D9" i="79" s="1"/>
  <c r="D10" i="79" s="1"/>
  <c r="D11" i="79" s="1"/>
  <c r="D12" i="79" s="1"/>
  <c r="D13" i="79" s="1"/>
  <c r="D14" i="79" s="1"/>
  <c r="D15" i="79" s="1"/>
  <c r="D16" i="79" s="1"/>
  <c r="D17" i="79" s="1"/>
  <c r="D18" i="79" s="1"/>
  <c r="D19" i="79" s="1"/>
  <c r="F5" i="73"/>
  <c r="H5" i="73" s="1"/>
  <c r="I5" i="73" s="1"/>
  <c r="D5" i="58"/>
  <c r="J5" i="58" s="1"/>
  <c r="D6" i="48"/>
  <c r="D7" i="48" s="1"/>
  <c r="D8" i="48" s="1"/>
  <c r="D9" i="48" s="1"/>
  <c r="D10" i="48" s="1"/>
  <c r="D11" i="48" s="1"/>
  <c r="D12" i="48" s="1"/>
  <c r="D13" i="48" s="1"/>
  <c r="D14" i="48" s="1"/>
  <c r="D15" i="48" s="1"/>
  <c r="D16" i="48" s="1"/>
  <c r="D17" i="48" s="1"/>
  <c r="D18" i="48" s="1"/>
  <c r="D19" i="48" s="1"/>
  <c r="D20" i="48" s="1"/>
  <c r="D21" i="48" s="1"/>
  <c r="D22" i="48" s="1"/>
  <c r="D23" i="48" s="1"/>
  <c r="D24" i="48" s="1"/>
  <c r="D25" i="48" s="1"/>
  <c r="D26" i="48" s="1"/>
  <c r="D27" i="48" s="1"/>
  <c r="D28" i="48" s="1"/>
  <c r="D29" i="48" s="1"/>
  <c r="D6" i="46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6" i="77"/>
  <c r="D7" i="77" s="1"/>
  <c r="D8" i="77" s="1"/>
  <c r="D9" i="77" s="1"/>
  <c r="D10" i="77" s="1"/>
  <c r="D11" i="77" s="1"/>
  <c r="D12" i="77" s="1"/>
  <c r="D13" i="77" s="1"/>
  <c r="D6" i="74"/>
  <c r="D7" i="74" s="1"/>
  <c r="D8" i="74" s="1"/>
  <c r="D9" i="74" s="1"/>
  <c r="D10" i="74" s="1"/>
  <c r="D11" i="74" s="1"/>
  <c r="D12" i="74" s="1"/>
  <c r="D13" i="74" s="1"/>
  <c r="D6" i="76"/>
  <c r="D7" i="76" s="1"/>
  <c r="D8" i="76" s="1"/>
  <c r="D9" i="76" s="1"/>
  <c r="D10" i="76" s="1"/>
  <c r="D11" i="76" s="1"/>
  <c r="D12" i="76" s="1"/>
  <c r="D13" i="76" s="1"/>
  <c r="D6" i="75"/>
  <c r="D7" i="75" s="1"/>
  <c r="D8" i="75" s="1"/>
  <c r="D9" i="75" s="1"/>
  <c r="D10" i="75" s="1"/>
  <c r="D11" i="75" s="1"/>
  <c r="D12" i="75" s="1"/>
  <c r="D13" i="75" s="1"/>
  <c r="P5" i="35"/>
  <c r="D6" i="72"/>
  <c r="D5" i="35"/>
  <c r="D6" i="57"/>
  <c r="D7" i="57" s="1"/>
  <c r="D8" i="57" s="1"/>
  <c r="D9" i="57" s="1"/>
  <c r="D10" i="57" s="1"/>
  <c r="D11" i="57" s="1"/>
  <c r="D12" i="57" s="1"/>
  <c r="D13" i="57" s="1"/>
  <c r="D14" i="57" s="1"/>
  <c r="D15" i="57" s="1"/>
  <c r="D16" i="57" s="1"/>
  <c r="D17" i="57" s="1"/>
  <c r="D18" i="57" s="1"/>
  <c r="D19" i="57" s="1"/>
  <c r="D20" i="57" s="1"/>
  <c r="D21" i="57" s="1"/>
  <c r="D22" i="57" s="1"/>
  <c r="D23" i="57" s="1"/>
  <c r="D24" i="57" s="1"/>
  <c r="D25" i="57" s="1"/>
  <c r="D26" i="57" s="1"/>
  <c r="D27" i="57" s="1"/>
  <c r="D28" i="57" s="1"/>
  <c r="P5" i="72"/>
  <c r="F5" i="57"/>
  <c r="H5" i="48"/>
  <c r="F6" i="48"/>
  <c r="F5" i="74"/>
  <c r="F6" i="74" s="1"/>
  <c r="F6" i="72"/>
  <c r="H6" i="72" s="1"/>
  <c r="L10" i="81" s="1"/>
  <c r="F5" i="79"/>
  <c r="F6" i="79" s="1"/>
  <c r="F5" i="75"/>
  <c r="F6" i="75" s="1"/>
  <c r="F5" i="76"/>
  <c r="F6" i="76" s="1"/>
  <c r="F6" i="46"/>
  <c r="H5" i="46"/>
  <c r="Q5" i="72"/>
  <c r="D6" i="73"/>
  <c r="D7" i="73" s="1"/>
  <c r="D8" i="73" s="1"/>
  <c r="D9" i="73" s="1"/>
  <c r="D10" i="73" s="1"/>
  <c r="D11" i="73" s="1"/>
  <c r="D12" i="73" s="1"/>
  <c r="D13" i="73" s="1"/>
  <c r="D14" i="73" s="1"/>
  <c r="F6" i="58"/>
  <c r="Q5" i="73"/>
  <c r="P5" i="73"/>
  <c r="F5" i="77"/>
  <c r="F6" i="77" s="1"/>
  <c r="J5" i="72"/>
  <c r="I5" i="72"/>
  <c r="T5" i="73" l="1"/>
  <c r="S5" i="73"/>
  <c r="T5" i="72"/>
  <c r="S5" i="72"/>
  <c r="T5" i="35"/>
  <c r="S5" i="35"/>
  <c r="E3" i="81"/>
  <c r="J5" i="46"/>
  <c r="F3" i="81"/>
  <c r="J5" i="48"/>
  <c r="J5" i="73"/>
  <c r="M12" i="81"/>
  <c r="F6" i="73"/>
  <c r="F7" i="73" s="1"/>
  <c r="H7" i="73" s="1"/>
  <c r="M14" i="81" s="1"/>
  <c r="I5" i="58"/>
  <c r="D6" i="58"/>
  <c r="D7" i="58" s="1"/>
  <c r="D8" i="58" s="1"/>
  <c r="D9" i="58" s="1"/>
  <c r="D10" i="58" s="1"/>
  <c r="D11" i="58" s="1"/>
  <c r="D12" i="58" s="1"/>
  <c r="D13" i="58" s="1"/>
  <c r="D14" i="58" s="1"/>
  <c r="D15" i="58" s="1"/>
  <c r="D16" i="58" s="1"/>
  <c r="D17" i="58" s="1"/>
  <c r="D7" i="72"/>
  <c r="D8" i="72" s="1"/>
  <c r="D9" i="72" s="1"/>
  <c r="D10" i="72" s="1"/>
  <c r="D11" i="72" s="1"/>
  <c r="D12" i="72" s="1"/>
  <c r="D13" i="72" s="1"/>
  <c r="D14" i="72" s="1"/>
  <c r="D15" i="72" s="1"/>
  <c r="D16" i="72" s="1"/>
  <c r="D17" i="72" s="1"/>
  <c r="I5" i="48"/>
  <c r="D6" i="35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D17" i="35" s="1"/>
  <c r="D18" i="35" s="1"/>
  <c r="D19" i="35" s="1"/>
  <c r="D20" i="35" s="1"/>
  <c r="D21" i="35" s="1"/>
  <c r="D22" i="35" s="1"/>
  <c r="D23" i="35" s="1"/>
  <c r="H6" i="75"/>
  <c r="O14" i="81" s="1"/>
  <c r="F7" i="75"/>
  <c r="H6" i="77"/>
  <c r="Q14" i="81" s="1"/>
  <c r="F7" i="77"/>
  <c r="F7" i="76"/>
  <c r="H6" i="76"/>
  <c r="P14" i="81" s="1"/>
  <c r="H6" i="79"/>
  <c r="F7" i="79"/>
  <c r="H6" i="74"/>
  <c r="N14" i="81" s="1"/>
  <c r="F7" i="74"/>
  <c r="F6" i="57"/>
  <c r="H5" i="57"/>
  <c r="H5" i="77"/>
  <c r="Q13" i="81" s="1"/>
  <c r="H5" i="79"/>
  <c r="F7" i="46"/>
  <c r="H6" i="46"/>
  <c r="F7" i="72"/>
  <c r="H6" i="48"/>
  <c r="F7" i="48"/>
  <c r="J6" i="72"/>
  <c r="I6" i="72"/>
  <c r="I5" i="46"/>
  <c r="H5" i="75"/>
  <c r="O13" i="81" s="1"/>
  <c r="F5" i="78"/>
  <c r="F6" i="78" s="1"/>
  <c r="H6" i="58"/>
  <c r="K10" i="81" s="1"/>
  <c r="F7" i="58"/>
  <c r="H5" i="76"/>
  <c r="P13" i="81" s="1"/>
  <c r="H5" i="74"/>
  <c r="N13" i="81" s="1"/>
  <c r="F5" i="35"/>
  <c r="F4" i="81" l="1"/>
  <c r="J6" i="48"/>
  <c r="I13" i="81"/>
  <c r="J5" i="79"/>
  <c r="I14" i="81"/>
  <c r="J6" i="79"/>
  <c r="E4" i="81"/>
  <c r="J6" i="46"/>
  <c r="G4" i="81"/>
  <c r="J5" i="57"/>
  <c r="H6" i="73"/>
  <c r="M13" i="81" s="1"/>
  <c r="F8" i="73"/>
  <c r="F9" i="73" s="1"/>
  <c r="H7" i="77"/>
  <c r="Q15" i="81" s="1"/>
  <c r="F8" i="77"/>
  <c r="I6" i="79"/>
  <c r="J6" i="77"/>
  <c r="I6" i="77"/>
  <c r="H6" i="78"/>
  <c r="F7" i="78"/>
  <c r="H7" i="74"/>
  <c r="N15" i="81" s="1"/>
  <c r="F8" i="74"/>
  <c r="J6" i="76"/>
  <c r="I6" i="76"/>
  <c r="H7" i="75"/>
  <c r="O15" i="81" s="1"/>
  <c r="F8" i="75"/>
  <c r="H7" i="79"/>
  <c r="F8" i="79"/>
  <c r="J6" i="74"/>
  <c r="I6" i="74"/>
  <c r="H7" i="76"/>
  <c r="P15" i="81" s="1"/>
  <c r="F8" i="76"/>
  <c r="J6" i="75"/>
  <c r="I6" i="75"/>
  <c r="J7" i="73"/>
  <c r="I7" i="73"/>
  <c r="H7" i="48"/>
  <c r="F8" i="48"/>
  <c r="J5" i="75"/>
  <c r="I5" i="75"/>
  <c r="I6" i="48"/>
  <c r="I5" i="79"/>
  <c r="I5" i="76"/>
  <c r="J5" i="76"/>
  <c r="H7" i="72"/>
  <c r="L11" i="81" s="1"/>
  <c r="F8" i="72"/>
  <c r="H6" i="57"/>
  <c r="F7" i="57"/>
  <c r="H7" i="46"/>
  <c r="F8" i="46"/>
  <c r="H7" i="58"/>
  <c r="K11" i="81" s="1"/>
  <c r="F8" i="58"/>
  <c r="I5" i="57"/>
  <c r="I6" i="58"/>
  <c r="J6" i="58"/>
  <c r="I5" i="74"/>
  <c r="J5" i="74"/>
  <c r="H5" i="78"/>
  <c r="I6" i="46"/>
  <c r="I5" i="77"/>
  <c r="J5" i="77"/>
  <c r="F6" i="35"/>
  <c r="H5" i="35"/>
  <c r="J3" i="81" s="1"/>
  <c r="R3" i="81" l="1"/>
  <c r="S3" i="81" s="1"/>
  <c r="T3" i="81" s="1"/>
  <c r="J6" i="73"/>
  <c r="E5" i="81"/>
  <c r="J7" i="46"/>
  <c r="F5" i="81"/>
  <c r="J7" i="48"/>
  <c r="G5" i="81"/>
  <c r="J6" i="57"/>
  <c r="I15" i="81"/>
  <c r="J7" i="79"/>
  <c r="H14" i="81"/>
  <c r="J6" i="78"/>
  <c r="H13" i="81"/>
  <c r="J5" i="78"/>
  <c r="I6" i="73"/>
  <c r="H8" i="73"/>
  <c r="M15" i="81" s="1"/>
  <c r="H9" i="73"/>
  <c r="M16" i="81" s="1"/>
  <c r="F10" i="73"/>
  <c r="H8" i="74"/>
  <c r="N16" i="81" s="1"/>
  <c r="F9" i="74"/>
  <c r="H8" i="77"/>
  <c r="Q16" i="81" s="1"/>
  <c r="F9" i="77"/>
  <c r="H8" i="76"/>
  <c r="P16" i="81" s="1"/>
  <c r="F9" i="76"/>
  <c r="H8" i="79"/>
  <c r="F9" i="79"/>
  <c r="H8" i="75"/>
  <c r="O16" i="81" s="1"/>
  <c r="F9" i="75"/>
  <c r="J7" i="76"/>
  <c r="I7" i="76"/>
  <c r="I7" i="79"/>
  <c r="I6" i="78"/>
  <c r="H7" i="78"/>
  <c r="F8" i="78"/>
  <c r="I7" i="75"/>
  <c r="J7" i="75"/>
  <c r="I7" i="74"/>
  <c r="J7" i="74"/>
  <c r="J7" i="77"/>
  <c r="I7" i="77"/>
  <c r="H8" i="46"/>
  <c r="F9" i="46"/>
  <c r="H8" i="72"/>
  <c r="L12" i="81" s="1"/>
  <c r="F9" i="72"/>
  <c r="I7" i="46"/>
  <c r="H8" i="48"/>
  <c r="F9" i="48"/>
  <c r="I5" i="78"/>
  <c r="H7" i="57"/>
  <c r="F8" i="57"/>
  <c r="I6" i="57"/>
  <c r="I7" i="72"/>
  <c r="J7" i="72"/>
  <c r="H8" i="58"/>
  <c r="K12" i="81" s="1"/>
  <c r="F9" i="58"/>
  <c r="I7" i="58"/>
  <c r="J7" i="58"/>
  <c r="I7" i="48"/>
  <c r="H6" i="35"/>
  <c r="F7" i="35"/>
  <c r="J5" i="35"/>
  <c r="I5" i="35"/>
  <c r="F6" i="81" l="1"/>
  <c r="J8" i="48"/>
  <c r="G6" i="81"/>
  <c r="J7" i="57"/>
  <c r="E6" i="81"/>
  <c r="J8" i="46"/>
  <c r="H15" i="81"/>
  <c r="J7" i="78"/>
  <c r="I16" i="81"/>
  <c r="J8" i="79"/>
  <c r="I8" i="73"/>
  <c r="J8" i="73"/>
  <c r="I8" i="79"/>
  <c r="I8" i="77"/>
  <c r="J8" i="77"/>
  <c r="I8" i="74"/>
  <c r="J8" i="74"/>
  <c r="J9" i="73"/>
  <c r="I9" i="73"/>
  <c r="I8" i="76"/>
  <c r="J8" i="76"/>
  <c r="H9" i="74"/>
  <c r="I9" i="74" s="1"/>
  <c r="F10" i="74"/>
  <c r="H9" i="76"/>
  <c r="I9" i="76" s="1"/>
  <c r="F10" i="76"/>
  <c r="H9" i="79"/>
  <c r="F10" i="79"/>
  <c r="H9" i="77"/>
  <c r="I9" i="77" s="1"/>
  <c r="F10" i="77"/>
  <c r="H10" i="73"/>
  <c r="J10" i="73" s="1"/>
  <c r="F11" i="73"/>
  <c r="H9" i="75"/>
  <c r="I9" i="75" s="1"/>
  <c r="F10" i="75"/>
  <c r="J8" i="75"/>
  <c r="H8" i="78"/>
  <c r="F9" i="78"/>
  <c r="I8" i="75"/>
  <c r="J6" i="35"/>
  <c r="J4" i="81"/>
  <c r="I7" i="78"/>
  <c r="H9" i="72"/>
  <c r="F10" i="72"/>
  <c r="H9" i="58"/>
  <c r="F10" i="58"/>
  <c r="I6" i="35"/>
  <c r="I8" i="72"/>
  <c r="J8" i="72"/>
  <c r="J8" i="58"/>
  <c r="I8" i="58"/>
  <c r="H7" i="35"/>
  <c r="F8" i="35"/>
  <c r="H8" i="57"/>
  <c r="F9" i="57"/>
  <c r="H9" i="48"/>
  <c r="F10" i="48"/>
  <c r="H9" i="46"/>
  <c r="F10" i="46"/>
  <c r="I7" i="57"/>
  <c r="I8" i="48"/>
  <c r="I8" i="46"/>
  <c r="R4" i="81" l="1"/>
  <c r="S4" i="81" s="1"/>
  <c r="T4" i="81" s="1"/>
  <c r="G7" i="81"/>
  <c r="J8" i="57"/>
  <c r="E7" i="81"/>
  <c r="J9" i="46"/>
  <c r="H16" i="81"/>
  <c r="J8" i="78"/>
  <c r="F7" i="81"/>
  <c r="J9" i="48"/>
  <c r="I17" i="81"/>
  <c r="J9" i="79"/>
  <c r="J9" i="74"/>
  <c r="J9" i="77"/>
  <c r="I9" i="79"/>
  <c r="Q17" i="81"/>
  <c r="J9" i="76"/>
  <c r="P17" i="81"/>
  <c r="J9" i="75"/>
  <c r="I10" i="73"/>
  <c r="I8" i="78"/>
  <c r="M17" i="81"/>
  <c r="N17" i="81"/>
  <c r="O17" i="81"/>
  <c r="H10" i="75"/>
  <c r="F11" i="75"/>
  <c r="H10" i="77"/>
  <c r="F11" i="77"/>
  <c r="H10" i="76"/>
  <c r="F11" i="76"/>
  <c r="H9" i="78"/>
  <c r="F10" i="78"/>
  <c r="H11" i="73"/>
  <c r="F12" i="73"/>
  <c r="H10" i="79"/>
  <c r="J10" i="79" s="1"/>
  <c r="F11" i="79"/>
  <c r="H10" i="74"/>
  <c r="F11" i="74"/>
  <c r="J9" i="58"/>
  <c r="K13" i="81"/>
  <c r="I9" i="72"/>
  <c r="L13" i="81"/>
  <c r="J9" i="72"/>
  <c r="I9" i="58"/>
  <c r="I7" i="35"/>
  <c r="J5" i="81"/>
  <c r="J7" i="35"/>
  <c r="H10" i="58"/>
  <c r="K14" i="81" s="1"/>
  <c r="F11" i="58"/>
  <c r="H10" i="72"/>
  <c r="L14" i="81" s="1"/>
  <c r="F11" i="72"/>
  <c r="I9" i="48"/>
  <c r="H10" i="46"/>
  <c r="F11" i="46"/>
  <c r="H9" i="57"/>
  <c r="F10" i="57"/>
  <c r="H8" i="35"/>
  <c r="J6" i="81" s="1"/>
  <c r="F9" i="35"/>
  <c r="H10" i="48"/>
  <c r="F11" i="48"/>
  <c r="I9" i="46"/>
  <c r="I8" i="57"/>
  <c r="R5" i="81" l="1"/>
  <c r="S5" i="81" s="1"/>
  <c r="T5" i="81" s="1"/>
  <c r="R6" i="81"/>
  <c r="S6" i="81" s="1"/>
  <c r="T6" i="81" s="1"/>
  <c r="E8" i="81"/>
  <c r="J10" i="46"/>
  <c r="F8" i="81"/>
  <c r="J10" i="48"/>
  <c r="G8" i="81"/>
  <c r="J9" i="57"/>
  <c r="I9" i="78"/>
  <c r="J9" i="78"/>
  <c r="H17" i="81"/>
  <c r="H11" i="79"/>
  <c r="F12" i="79"/>
  <c r="H11" i="77"/>
  <c r="J11" i="77" s="1"/>
  <c r="F12" i="77"/>
  <c r="H11" i="74"/>
  <c r="I11" i="74" s="1"/>
  <c r="F12" i="74"/>
  <c r="H12" i="73"/>
  <c r="J12" i="73" s="1"/>
  <c r="F13" i="73"/>
  <c r="H11" i="76"/>
  <c r="P19" i="81" s="1"/>
  <c r="F12" i="76"/>
  <c r="H11" i="75"/>
  <c r="J11" i="75" s="1"/>
  <c r="F12" i="75"/>
  <c r="I18" i="81"/>
  <c r="I10" i="79"/>
  <c r="J10" i="77"/>
  <c r="Q18" i="81"/>
  <c r="I10" i="77"/>
  <c r="H10" i="78"/>
  <c r="J10" i="78" s="1"/>
  <c r="F11" i="78"/>
  <c r="N18" i="81"/>
  <c r="J10" i="74"/>
  <c r="I10" i="74"/>
  <c r="M18" i="81"/>
  <c r="I11" i="73"/>
  <c r="J11" i="73"/>
  <c r="P18" i="81"/>
  <c r="J10" i="76"/>
  <c r="I10" i="76"/>
  <c r="O18" i="81"/>
  <c r="J10" i="75"/>
  <c r="I10" i="75"/>
  <c r="J10" i="72"/>
  <c r="I10" i="72"/>
  <c r="H11" i="72"/>
  <c r="L15" i="81" s="1"/>
  <c r="F12" i="72"/>
  <c r="H11" i="58"/>
  <c r="K15" i="81" s="1"/>
  <c r="F12" i="58"/>
  <c r="I10" i="58"/>
  <c r="J10" i="58"/>
  <c r="H9" i="35"/>
  <c r="J7" i="81" s="1"/>
  <c r="F10" i="35"/>
  <c r="I10" i="46"/>
  <c r="H11" i="48"/>
  <c r="F12" i="48"/>
  <c r="H10" i="57"/>
  <c r="F11" i="57"/>
  <c r="H11" i="46"/>
  <c r="F12" i="46"/>
  <c r="J8" i="35"/>
  <c r="I8" i="35"/>
  <c r="I10" i="48"/>
  <c r="I9" i="57"/>
  <c r="R7" i="81" l="1"/>
  <c r="S7" i="81" s="1"/>
  <c r="T7" i="81" s="1"/>
  <c r="E9" i="81"/>
  <c r="J11" i="46"/>
  <c r="F9" i="81"/>
  <c r="J11" i="48"/>
  <c r="G9" i="81"/>
  <c r="J10" i="57"/>
  <c r="I11" i="79"/>
  <c r="J11" i="79"/>
  <c r="H12" i="79"/>
  <c r="J12" i="79" s="1"/>
  <c r="F13" i="79"/>
  <c r="H12" i="77"/>
  <c r="J12" i="77" s="1"/>
  <c r="F13" i="77"/>
  <c r="H13" i="77" s="1"/>
  <c r="J11" i="76"/>
  <c r="I11" i="76"/>
  <c r="I19" i="81"/>
  <c r="I11" i="75"/>
  <c r="I11" i="77"/>
  <c r="I12" i="73"/>
  <c r="M19" i="81"/>
  <c r="H12" i="75"/>
  <c r="J12" i="75" s="1"/>
  <c r="F13" i="75"/>
  <c r="H13" i="75" s="1"/>
  <c r="H11" i="78"/>
  <c r="F12" i="78"/>
  <c r="Q19" i="81"/>
  <c r="N19" i="81"/>
  <c r="J11" i="74"/>
  <c r="H12" i="74"/>
  <c r="F13" i="74"/>
  <c r="H13" i="74" s="1"/>
  <c r="H13" i="73"/>
  <c r="F14" i="73"/>
  <c r="H14" i="73" s="1"/>
  <c r="H12" i="76"/>
  <c r="F13" i="76"/>
  <c r="H13" i="76" s="1"/>
  <c r="O19" i="81"/>
  <c r="H18" i="81"/>
  <c r="I10" i="78"/>
  <c r="H12" i="72"/>
  <c r="L16" i="81" s="1"/>
  <c r="F13" i="72"/>
  <c r="H12" i="58"/>
  <c r="K16" i="81" s="1"/>
  <c r="F13" i="58"/>
  <c r="J11" i="72"/>
  <c r="I11" i="72"/>
  <c r="I11" i="58"/>
  <c r="J11" i="58"/>
  <c r="H11" i="57"/>
  <c r="F12" i="57"/>
  <c r="I10" i="57"/>
  <c r="H12" i="46"/>
  <c r="F13" i="46"/>
  <c r="H12" i="48"/>
  <c r="F13" i="48"/>
  <c r="H10" i="35"/>
  <c r="J8" i="81" s="1"/>
  <c r="F11" i="35"/>
  <c r="I11" i="46"/>
  <c r="I11" i="48"/>
  <c r="I9" i="35"/>
  <c r="J9" i="35"/>
  <c r="R8" i="81" l="1"/>
  <c r="S8" i="81" s="1"/>
  <c r="T8" i="81" s="1"/>
  <c r="I12" i="79"/>
  <c r="I20" i="81"/>
  <c r="Q20" i="81"/>
  <c r="F10" i="81"/>
  <c r="J12" i="48"/>
  <c r="I11" i="78"/>
  <c r="J11" i="78"/>
  <c r="G10" i="81"/>
  <c r="J11" i="57"/>
  <c r="E10" i="81"/>
  <c r="J12" i="46"/>
  <c r="H13" i="79"/>
  <c r="J13" i="79" s="1"/>
  <c r="F14" i="79"/>
  <c r="H12" i="78"/>
  <c r="J12" i="78" s="1"/>
  <c r="F13" i="78"/>
  <c r="I12" i="77"/>
  <c r="I13" i="77"/>
  <c r="J13" i="77"/>
  <c r="I12" i="75"/>
  <c r="O20" i="81"/>
  <c r="H19" i="81"/>
  <c r="I13" i="75"/>
  <c r="J13" i="75"/>
  <c r="J12" i="58"/>
  <c r="I12" i="72"/>
  <c r="J13" i="74"/>
  <c r="I13" i="74"/>
  <c r="N20" i="81"/>
  <c r="J12" i="74"/>
  <c r="I12" i="74"/>
  <c r="M20" i="81"/>
  <c r="I13" i="73"/>
  <c r="J13" i="73"/>
  <c r="J14" i="73"/>
  <c r="I14" i="73"/>
  <c r="P20" i="81"/>
  <c r="I12" i="76"/>
  <c r="J12" i="76"/>
  <c r="J13" i="76"/>
  <c r="I13" i="76"/>
  <c r="J12" i="72"/>
  <c r="H13" i="72"/>
  <c r="I13" i="72" s="1"/>
  <c r="F14" i="72"/>
  <c r="I12" i="58"/>
  <c r="H13" i="58"/>
  <c r="J13" i="58" s="1"/>
  <c r="F14" i="58"/>
  <c r="H11" i="35"/>
  <c r="J9" i="81" s="1"/>
  <c r="F12" i="35"/>
  <c r="H13" i="46"/>
  <c r="F14" i="46"/>
  <c r="H12" i="57"/>
  <c r="F13" i="57"/>
  <c r="H13" i="48"/>
  <c r="F14" i="48"/>
  <c r="I12" i="48"/>
  <c r="I10" i="35"/>
  <c r="J10" i="35"/>
  <c r="I12" i="46"/>
  <c r="I11" i="57"/>
  <c r="R9" i="81" l="1"/>
  <c r="S9" i="81" s="1"/>
  <c r="T9" i="81" s="1"/>
  <c r="I21" i="81"/>
  <c r="I13" i="79"/>
  <c r="I12" i="78"/>
  <c r="H20" i="81"/>
  <c r="H14" i="79"/>
  <c r="I22" i="81" s="1"/>
  <c r="F15" i="79"/>
  <c r="F16" i="79" s="1"/>
  <c r="F11" i="81"/>
  <c r="J13" i="48"/>
  <c r="E11" i="81"/>
  <c r="J13" i="46"/>
  <c r="H13" i="78"/>
  <c r="J13" i="78" s="1"/>
  <c r="F14" i="78"/>
  <c r="G11" i="81"/>
  <c r="J12" i="57"/>
  <c r="L17" i="81"/>
  <c r="J13" i="72"/>
  <c r="I13" i="58"/>
  <c r="K17" i="81"/>
  <c r="H14" i="72"/>
  <c r="F15" i="72"/>
  <c r="H14" i="58"/>
  <c r="F15" i="58"/>
  <c r="I13" i="48"/>
  <c r="H12" i="35"/>
  <c r="J10" i="81" s="1"/>
  <c r="F13" i="35"/>
  <c r="H14" i="48"/>
  <c r="F15" i="48"/>
  <c r="H14" i="46"/>
  <c r="F15" i="46"/>
  <c r="I13" i="46"/>
  <c r="H13" i="57"/>
  <c r="F14" i="57"/>
  <c r="I12" i="57"/>
  <c r="J11" i="35"/>
  <c r="I11" i="35"/>
  <c r="F17" i="79" l="1"/>
  <c r="H16" i="79"/>
  <c r="R10" i="81"/>
  <c r="S10" i="81" s="1"/>
  <c r="T10" i="81" s="1"/>
  <c r="I14" i="79"/>
  <c r="J14" i="79"/>
  <c r="H21" i="81"/>
  <c r="H15" i="79"/>
  <c r="I15" i="79" s="1"/>
  <c r="H14" i="78"/>
  <c r="H22" i="81" s="1"/>
  <c r="F15" i="78"/>
  <c r="F16" i="78" s="1"/>
  <c r="I13" i="78"/>
  <c r="I23" i="81"/>
  <c r="J15" i="79"/>
  <c r="E12" i="81"/>
  <c r="J14" i="46"/>
  <c r="G12" i="81"/>
  <c r="J13" i="57"/>
  <c r="F12" i="81"/>
  <c r="J14" i="48"/>
  <c r="H15" i="72"/>
  <c r="J15" i="72" s="1"/>
  <c r="F16" i="72"/>
  <c r="H15" i="58"/>
  <c r="I15" i="58" s="1"/>
  <c r="F16" i="58"/>
  <c r="K18" i="81"/>
  <c r="J14" i="58"/>
  <c r="I14" i="58"/>
  <c r="L18" i="81"/>
  <c r="J14" i="72"/>
  <c r="I14" i="72"/>
  <c r="H14" i="57"/>
  <c r="J14" i="57" s="1"/>
  <c r="F15" i="57"/>
  <c r="H15" i="46"/>
  <c r="J15" i="46" s="1"/>
  <c r="F16" i="46"/>
  <c r="H15" i="48"/>
  <c r="J15" i="48" s="1"/>
  <c r="F16" i="48"/>
  <c r="I14" i="46"/>
  <c r="H13" i="35"/>
  <c r="J11" i="81" s="1"/>
  <c r="F14" i="35"/>
  <c r="I13" i="57"/>
  <c r="I12" i="35"/>
  <c r="J12" i="35"/>
  <c r="I14" i="48"/>
  <c r="J16" i="79" l="1"/>
  <c r="I16" i="79"/>
  <c r="F18" i="79"/>
  <c r="H17" i="79"/>
  <c r="R11" i="81"/>
  <c r="S11" i="81" s="1"/>
  <c r="T11" i="81" s="1"/>
  <c r="F17" i="78"/>
  <c r="H16" i="78"/>
  <c r="I15" i="72"/>
  <c r="I24" i="81"/>
  <c r="J14" i="78"/>
  <c r="I14" i="78"/>
  <c r="H15" i="78"/>
  <c r="J15" i="78" s="1"/>
  <c r="J15" i="58"/>
  <c r="K19" i="81"/>
  <c r="H16" i="72"/>
  <c r="J16" i="72" s="1"/>
  <c r="F17" i="72"/>
  <c r="H17" i="72" s="1"/>
  <c r="L19" i="81"/>
  <c r="H16" i="58"/>
  <c r="F17" i="58"/>
  <c r="H17" i="58" s="1"/>
  <c r="E13" i="81"/>
  <c r="F13" i="81"/>
  <c r="I14" i="57"/>
  <c r="G13" i="81"/>
  <c r="I15" i="46"/>
  <c r="H15" i="57"/>
  <c r="F16" i="57"/>
  <c r="H16" i="48"/>
  <c r="F17" i="48"/>
  <c r="I15" i="48"/>
  <c r="F17" i="46"/>
  <c r="H16" i="46"/>
  <c r="H14" i="35"/>
  <c r="J12" i="81" s="1"/>
  <c r="R12" i="81" s="1"/>
  <c r="F15" i="35"/>
  <c r="I13" i="35"/>
  <c r="J13" i="35"/>
  <c r="J17" i="79" l="1"/>
  <c r="I17" i="79"/>
  <c r="F19" i="79"/>
  <c r="H19" i="79" s="1"/>
  <c r="H18" i="79"/>
  <c r="AG65" i="79" s="1" a="1"/>
  <c r="AG65" i="79" s="1"/>
  <c r="S12" i="81"/>
  <c r="T12" i="81" s="1"/>
  <c r="I16" i="78"/>
  <c r="J16" i="78"/>
  <c r="H17" i="78"/>
  <c r="F18" i="78"/>
  <c r="I15" i="78"/>
  <c r="H23" i="81"/>
  <c r="I25" i="81"/>
  <c r="E14" i="81"/>
  <c r="J16" i="46"/>
  <c r="F14" i="81"/>
  <c r="J16" i="48"/>
  <c r="G14" i="81"/>
  <c r="J15" i="57"/>
  <c r="I16" i="72"/>
  <c r="L20" i="81"/>
  <c r="J17" i="72"/>
  <c r="I17" i="72"/>
  <c r="I17" i="58"/>
  <c r="J17" i="58"/>
  <c r="K20" i="81"/>
  <c r="I16" i="58"/>
  <c r="J16" i="58"/>
  <c r="H16" i="57"/>
  <c r="F17" i="57"/>
  <c r="I15" i="57"/>
  <c r="H15" i="35"/>
  <c r="F16" i="35"/>
  <c r="H17" i="46"/>
  <c r="F18" i="46"/>
  <c r="H17" i="48"/>
  <c r="F18" i="48"/>
  <c r="I16" i="46"/>
  <c r="I16" i="48"/>
  <c r="J14" i="35"/>
  <c r="I14" i="35"/>
  <c r="U5" i="79" l="1"/>
  <c r="I19" i="79"/>
  <c r="J19" i="79"/>
  <c r="I18" i="79"/>
  <c r="J18" i="79"/>
  <c r="H18" i="78"/>
  <c r="AG65" i="78" s="1" a="1"/>
  <c r="AG65" i="78" s="1"/>
  <c r="U5" i="78" s="1"/>
  <c r="F19" i="78"/>
  <c r="H19" i="78" s="1"/>
  <c r="J17" i="78"/>
  <c r="I17" i="78"/>
  <c r="H24" i="81"/>
  <c r="I27" i="81"/>
  <c r="G15" i="81"/>
  <c r="J16" i="57"/>
  <c r="F15" i="81"/>
  <c r="J17" i="48"/>
  <c r="E15" i="81"/>
  <c r="J17" i="46"/>
  <c r="H18" i="48"/>
  <c r="F19" i="48"/>
  <c r="H18" i="46"/>
  <c r="F19" i="46"/>
  <c r="J15" i="35"/>
  <c r="J13" i="81"/>
  <c r="H17" i="57"/>
  <c r="F18" i="57"/>
  <c r="I15" i="35"/>
  <c r="I16" i="57"/>
  <c r="I17" i="46"/>
  <c r="H16" i="35"/>
  <c r="F17" i="35"/>
  <c r="I17" i="48"/>
  <c r="J14" i="81" l="1"/>
  <c r="R14" i="81" s="1"/>
  <c r="S14" i="81" s="1"/>
  <c r="T14" i="81" s="1"/>
  <c r="R13" i="81"/>
  <c r="S13" i="81" s="1"/>
  <c r="T13" i="81" s="1"/>
  <c r="I19" i="78"/>
  <c r="J19" i="78"/>
  <c r="J18" i="78"/>
  <c r="I18" i="78"/>
  <c r="I26" i="81"/>
  <c r="H25" i="81"/>
  <c r="H27" i="81"/>
  <c r="F16" i="81"/>
  <c r="J18" i="48"/>
  <c r="G16" i="81"/>
  <c r="J17" i="57"/>
  <c r="E16" i="81"/>
  <c r="J18" i="46"/>
  <c r="I18" i="48"/>
  <c r="I18" i="46"/>
  <c r="H19" i="48"/>
  <c r="F20" i="48"/>
  <c r="H18" i="57"/>
  <c r="J18" i="57" s="1"/>
  <c r="F19" i="57"/>
  <c r="H19" i="46"/>
  <c r="J19" i="46" s="1"/>
  <c r="F20" i="46"/>
  <c r="I17" i="57"/>
  <c r="H17" i="35"/>
  <c r="J15" i="81" s="1"/>
  <c r="F18" i="35"/>
  <c r="J16" i="35"/>
  <c r="I16" i="35"/>
  <c r="R15" i="81" l="1"/>
  <c r="S15" i="81" s="1"/>
  <c r="T15" i="81" s="1"/>
  <c r="H26" i="81"/>
  <c r="F17" i="81"/>
  <c r="J19" i="48"/>
  <c r="I19" i="48"/>
  <c r="E17" i="81"/>
  <c r="I19" i="46"/>
  <c r="I18" i="57"/>
  <c r="G17" i="81"/>
  <c r="H19" i="57"/>
  <c r="J19" i="57" s="1"/>
  <c r="F20" i="57"/>
  <c r="H20" i="46"/>
  <c r="J20" i="46" s="1"/>
  <c r="F21" i="46"/>
  <c r="H20" i="48"/>
  <c r="J20" i="48" s="1"/>
  <c r="F21" i="48"/>
  <c r="H18" i="35"/>
  <c r="J16" i="81" s="1"/>
  <c r="F19" i="35"/>
  <c r="J17" i="35"/>
  <c r="I17" i="35"/>
  <c r="R16" i="81" l="1"/>
  <c r="S16" i="81" s="1"/>
  <c r="T16" i="81" s="1"/>
  <c r="H21" i="48"/>
  <c r="J21" i="48" s="1"/>
  <c r="F22" i="48"/>
  <c r="H20" i="57"/>
  <c r="J20" i="57" s="1"/>
  <c r="F21" i="57"/>
  <c r="H21" i="46"/>
  <c r="F22" i="46"/>
  <c r="H19" i="35"/>
  <c r="J19" i="35" s="1"/>
  <c r="F20" i="35"/>
  <c r="E18" i="81"/>
  <c r="I20" i="46"/>
  <c r="J18" i="35"/>
  <c r="F18" i="81"/>
  <c r="I20" i="48"/>
  <c r="G18" i="81"/>
  <c r="I19" i="57"/>
  <c r="I18" i="35"/>
  <c r="E19" i="81" l="1"/>
  <c r="J21" i="46"/>
  <c r="H21" i="57"/>
  <c r="J21" i="57" s="1"/>
  <c r="F22" i="57"/>
  <c r="H22" i="46"/>
  <c r="E20" i="81" s="1"/>
  <c r="F23" i="46"/>
  <c r="H22" i="48"/>
  <c r="F23" i="48"/>
  <c r="G19" i="81"/>
  <c r="I20" i="57"/>
  <c r="I21" i="48"/>
  <c r="J17" i="81"/>
  <c r="F19" i="81"/>
  <c r="I21" i="46"/>
  <c r="I19" i="35"/>
  <c r="H20" i="35"/>
  <c r="F21" i="35"/>
  <c r="R17" i="81" l="1"/>
  <c r="S17" i="81" s="1"/>
  <c r="T17" i="81" s="1"/>
  <c r="I21" i="57"/>
  <c r="G20" i="81"/>
  <c r="H23" i="48"/>
  <c r="J23" i="48" s="1"/>
  <c r="F24" i="48"/>
  <c r="I22" i="48"/>
  <c r="J22" i="48"/>
  <c r="H22" i="57"/>
  <c r="J22" i="57" s="1"/>
  <c r="F23" i="57"/>
  <c r="H23" i="46"/>
  <c r="J23" i="46" s="1"/>
  <c r="F24" i="46"/>
  <c r="F20" i="81"/>
  <c r="I22" i="46"/>
  <c r="J22" i="46"/>
  <c r="H21" i="35"/>
  <c r="J21" i="35" s="1"/>
  <c r="F22" i="35"/>
  <c r="J18" i="81"/>
  <c r="J20" i="35"/>
  <c r="I20" i="35"/>
  <c r="R18" i="81" l="1"/>
  <c r="S18" i="81" s="1"/>
  <c r="T18" i="81" s="1"/>
  <c r="I22" i="57"/>
  <c r="I23" i="48"/>
  <c r="E21" i="81"/>
  <c r="I23" i="46"/>
  <c r="H23" i="57"/>
  <c r="G22" i="81" s="1"/>
  <c r="F24" i="57"/>
  <c r="F25" i="57" s="1"/>
  <c r="H24" i="48"/>
  <c r="F25" i="48"/>
  <c r="F26" i="48" s="1"/>
  <c r="G21" i="81"/>
  <c r="H24" i="46"/>
  <c r="E22" i="81" s="1"/>
  <c r="F25" i="46"/>
  <c r="F26" i="46" s="1"/>
  <c r="F21" i="81"/>
  <c r="H22" i="35"/>
  <c r="F23" i="35"/>
  <c r="H23" i="35" s="1"/>
  <c r="J19" i="81"/>
  <c r="I21" i="35"/>
  <c r="I22" i="35" l="1"/>
  <c r="J24" i="48"/>
  <c r="F27" i="46"/>
  <c r="H26" i="46"/>
  <c r="F26" i="57"/>
  <c r="H25" i="57"/>
  <c r="R19" i="81"/>
  <c r="S19" i="81" s="1"/>
  <c r="T19" i="81" s="1"/>
  <c r="R21" i="81"/>
  <c r="S21" i="81" s="1"/>
  <c r="T21" i="81" s="1"/>
  <c r="F27" i="48"/>
  <c r="H26" i="48"/>
  <c r="J20" i="81"/>
  <c r="I24" i="48"/>
  <c r="F22" i="81"/>
  <c r="I23" i="57"/>
  <c r="J24" i="46"/>
  <c r="I24" i="46"/>
  <c r="J22" i="35"/>
  <c r="H24" i="57"/>
  <c r="G23" i="81" s="1"/>
  <c r="J23" i="57"/>
  <c r="H25" i="48"/>
  <c r="F23" i="81" s="1"/>
  <c r="H25" i="46"/>
  <c r="J25" i="46" s="1"/>
  <c r="I23" i="35"/>
  <c r="J23" i="35"/>
  <c r="I26" i="46" l="1"/>
  <c r="J26" i="46"/>
  <c r="H27" i="46"/>
  <c r="F28" i="46"/>
  <c r="J25" i="57"/>
  <c r="I25" i="57"/>
  <c r="H26" i="57"/>
  <c r="F27" i="57"/>
  <c r="R20" i="81"/>
  <c r="S20" i="81" s="1"/>
  <c r="T20" i="81" s="1"/>
  <c r="I26" i="48"/>
  <c r="J26" i="48"/>
  <c r="F28" i="48"/>
  <c r="H27" i="48"/>
  <c r="R22" i="81"/>
  <c r="S22" i="81" s="1"/>
  <c r="T22" i="81" s="1"/>
  <c r="I24" i="57"/>
  <c r="J24" i="57"/>
  <c r="F24" i="81"/>
  <c r="G24" i="81"/>
  <c r="I25" i="48"/>
  <c r="E23" i="81"/>
  <c r="J25" i="48"/>
  <c r="I25" i="46"/>
  <c r="H28" i="46" l="1"/>
  <c r="F29" i="46"/>
  <c r="H29" i="46" s="1"/>
  <c r="I27" i="46"/>
  <c r="J27" i="46"/>
  <c r="I26" i="57"/>
  <c r="J26" i="57"/>
  <c r="H27" i="57"/>
  <c r="F28" i="57"/>
  <c r="H28" i="57" s="1"/>
  <c r="R23" i="81"/>
  <c r="S23" i="81" s="1"/>
  <c r="T23" i="81" s="1"/>
  <c r="J27" i="48"/>
  <c r="I27" i="48"/>
  <c r="H28" i="48"/>
  <c r="F29" i="48"/>
  <c r="H29" i="48" s="1"/>
  <c r="E24" i="81"/>
  <c r="AT2" i="81" l="1"/>
  <c r="AS2" i="81"/>
  <c r="U5" i="48"/>
  <c r="J29" i="46"/>
  <c r="I29" i="46"/>
  <c r="I28" i="46"/>
  <c r="J28" i="46"/>
  <c r="I28" i="57"/>
  <c r="J28" i="57"/>
  <c r="I27" i="57"/>
  <c r="J27" i="57"/>
  <c r="R24" i="81"/>
  <c r="S24" i="81" s="1"/>
  <c r="T24" i="81" s="1"/>
  <c r="I28" i="48"/>
  <c r="J28" i="48"/>
  <c r="I29" i="48"/>
  <c r="J29" i="48"/>
  <c r="F27" i="81"/>
  <c r="E26" i="81"/>
  <c r="E27" i="81"/>
  <c r="G26" i="81"/>
  <c r="G27" i="81"/>
  <c r="G25" i="81"/>
  <c r="F25" i="81"/>
  <c r="E25" i="81"/>
  <c r="R25" i="81" l="1"/>
  <c r="S25" i="81" s="1"/>
  <c r="T25" i="81" s="1"/>
  <c r="R27" i="81"/>
  <c r="S27" i="81" s="1"/>
  <c r="T27" i="81" s="1"/>
  <c r="F26" i="81"/>
  <c r="R26" i="81" l="1"/>
  <c r="S26" i="81" s="1"/>
  <c r="T26" i="8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<sst xmlns="http://schemas.openxmlformats.org/spreadsheetml/2006/main" count="6686" uniqueCount="62">
  <si>
    <t>Kaina</t>
  </si>
  <si>
    <t>Kiekis</t>
  </si>
  <si>
    <t>Viso:</t>
  </si>
  <si>
    <t>Suma, EUR</t>
  </si>
  <si>
    <t>Vertė gale</t>
  </si>
  <si>
    <t>%</t>
  </si>
  <si>
    <t>SGAS GY iShares MSCI USA ESG Screened</t>
  </si>
  <si>
    <t>SLMC GY iShares MSCI Europe ESG Screened</t>
  </si>
  <si>
    <t>AYEM GY iShares MSCI EM IMI ESG Screened</t>
  </si>
  <si>
    <t>SGAJ GY iShares MSCI Japan ESG Screened</t>
  </si>
  <si>
    <t>SGAS</t>
  </si>
  <si>
    <t>Pelnas</t>
  </si>
  <si>
    <t>SLMC</t>
  </si>
  <si>
    <t>AYEM</t>
  </si>
  <si>
    <t>SGAJ</t>
  </si>
  <si>
    <t>Mokestis</t>
  </si>
  <si>
    <t>SECA GY iShares Euro Govt Bond Climate</t>
  </si>
  <si>
    <t>Invest.</t>
  </si>
  <si>
    <t>AYE2 GY iShares EUR High Yield Corp Bond</t>
  </si>
  <si>
    <t>ECRP FP Amundi EUR Corporate Bond</t>
  </si>
  <si>
    <t>IUSN GY iShares MSCI World Small Cap</t>
  </si>
  <si>
    <t>ECR3 GY Amundi EUR Corporate Bond 0-3Y</t>
  </si>
  <si>
    <t>SPYL GY SPDR S|P 500 UCITS</t>
  </si>
  <si>
    <t>WEBN GY Amundi Prime All Country World</t>
  </si>
  <si>
    <t>XNAS GY Xtrackers NASDAQ 100 UCITS</t>
  </si>
  <si>
    <t>Saugojimas</t>
  </si>
  <si>
    <t>Investuota</t>
  </si>
  <si>
    <t>SLMG</t>
  </si>
  <si>
    <t>SLMG GY iShares JP Morgan ESG USD Bond</t>
  </si>
  <si>
    <t>SECA</t>
  </si>
  <si>
    <t>WEBN</t>
  </si>
  <si>
    <t>AYE2</t>
  </si>
  <si>
    <t>ECRP</t>
  </si>
  <si>
    <t>IUSN</t>
  </si>
  <si>
    <t>ECR3</t>
  </si>
  <si>
    <t>SPYL</t>
  </si>
  <si>
    <t>XNAS</t>
  </si>
  <si>
    <t>Inešta</t>
  </si>
  <si>
    <t>Vertė</t>
  </si>
  <si>
    <t>Įnešta</t>
  </si>
  <si>
    <t>Pirkimas</t>
  </si>
  <si>
    <t>Laikymas</t>
  </si>
  <si>
    <t>Pardavimas</t>
  </si>
  <si>
    <t>Suma,EUR</t>
  </si>
  <si>
    <t>Parduota</t>
  </si>
  <si>
    <t>Mokesčiai</t>
  </si>
  <si>
    <t>Dividendai</t>
  </si>
  <si>
    <t>Išvesta</t>
  </si>
  <si>
    <t>Data</t>
  </si>
  <si>
    <t>Mėnesio gale</t>
  </si>
  <si>
    <t>Mėn. Inv.</t>
  </si>
  <si>
    <t>Viso Inv.</t>
  </si>
  <si>
    <t>Mėnesio</t>
  </si>
  <si>
    <t>Viso</t>
  </si>
  <si>
    <t>2025.12</t>
  </si>
  <si>
    <t>Vid. Kaina</t>
  </si>
  <si>
    <t>Suma</t>
  </si>
  <si>
    <t>Eur.</t>
  </si>
  <si>
    <t>XIRR</t>
  </si>
  <si>
    <t>Pirkimas/pardavimas</t>
  </si>
  <si>
    <t>XIRR akt.</t>
  </si>
  <si>
    <t>XIRR pard.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</si>
</sst>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yyyy\.mm\.dd;@"/>
    <numFmt numFmtId="167" formatCode="0.00000000"/>
  </numFmts>
  <fonts count="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1" xfId="0" applyFont="1" applyBorder="1"/>
    <xf numFmtId="164" fontId="0" fillId="0" borderId="0" xfId="0" applyNumberForma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2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0" borderId="6" xfId="0" applyBorder="1"/>
    <xf numFmtId="167" fontId="0" fillId="2" borderId="3" xfId="0" applyNumberFormat="1" applyFill="1" applyBorder="1" applyAlignment="1">
      <alignment horizontal="center"/>
    </xf>
    <xf numFmtId="0" fontId="2" fillId="0" borderId="1" xfId="0" applyFont="1" applyBorder="1"/>
    <xf numFmtId="10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166" fontId="2" fillId="0" borderId="1" xfId="0" applyNumberFormat="1" applyFont="1" applyBorder="1"/>
    <xf numFmtId="166" fontId="5" fillId="0" borderId="1" xfId="0" applyNumberFormat="1" applyFont="1" applyBorder="1"/>
    <xf numFmtId="166" fontId="3" fillId="0" borderId="1" xfId="0" applyNumberFormat="1" applyFont="1" applyBorder="1"/>
    <xf numFmtId="166" fontId="1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7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center"/>
    </xf>
    <xf numFmtId="2" fontId="7" fillId="0" borderId="1" xfId="1" applyNumberFormat="1" applyBorder="1" applyAlignment="1">
      <alignment horizontal="center"/>
    </xf>
    <xf numFmtId="2" fontId="7" fillId="3" borderId="1" xfId="1" applyNumberForma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0" fontId="0" fillId="0" borderId="0" xfId="0" applyNumberFormat="1"/>
    <xf numFmtId="166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3" borderId="4" xfId="1" applyFill="1" applyBorder="1" applyAlignment="1">
      <alignment horizontal="center" vertical="center"/>
    </xf>
    <xf numFmtId="0" fontId="7" fillId="3" borderId="5" xfId="1" applyFill="1" applyBorder="1" applyAlignment="1">
      <alignment horizontal="center" vertical="center"/>
    </xf>
    <xf numFmtId="0" fontId="7" fillId="3" borderId="6" xfId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1" xfId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7" fillId="0" borderId="5" xfId="1" applyBorder="1" applyAlignment="1">
      <alignment horizontal="center" vertical="center"/>
    </xf>
    <xf numFmtId="0" fontId="7" fillId="0" borderId="6" xfId="1" applyBorder="1" applyAlignment="1">
      <alignment horizontal="center" vertical="center"/>
    </xf>
    <xf numFmtId="0" fontId="7" fillId="3" borderId="4" xfId="1" applyFill="1" applyBorder="1" applyAlignment="1">
      <alignment horizontal="center"/>
    </xf>
    <xf numFmtId="0" fontId="7" fillId="3" borderId="5" xfId="1" applyFill="1" applyBorder="1" applyAlignment="1">
      <alignment horizontal="center"/>
    </xf>
    <xf numFmtId="0" fontId="7" fillId="3" borderId="6" xfId="1" applyFill="1" applyBorder="1" applyAlignment="1">
      <alignment horizontal="center"/>
    </xf>
    <xf numFmtId="0" fontId="7" fillId="0" borderId="4" xfId="1" applyBorder="1" applyAlignment="1">
      <alignment horizontal="center"/>
    </xf>
    <xf numFmtId="0" fontId="7" fillId="0" borderId="5" xfId="1" applyBorder="1" applyAlignment="1">
      <alignment horizontal="center"/>
    </xf>
    <xf numFmtId="0" fontId="7" fillId="0" borderId="6" xfId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5AC96-DC8D-493B-B339-C4C491C0B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D4999-19F5-461A-9493-AD0C7B192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B32C7-F3DD-4143-89B2-0FFD73E1C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C80D7-09C1-4C98-AA96-3BBEACB0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FD6A33-3FE9-4455-9F68-EE3B5A66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505B4-C9BC-4E26-BEE3-CEF94745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264CD-21EA-496F-88C6-E51AC32BF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FD116F-69E4-4FD8-94DB-849C9D63D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6E3148-EE28-4077-8A20-E1DA9596B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01250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10E8A3-0B17-42E3-98EA-960F4702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6787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7CB8D-BBB0-4EBE-86C5-A13F10C09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6787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CA4B2-5E88-4E9B-8188-DE0061535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6787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C0E0E-8A0E-469C-9B3D-B19EB58C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6787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5F679-B53B-4917-B525-5563C904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FB4C7-538E-443C-8230-A084009F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D4988-20FD-4A88-B0AD-363B72E3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8988E-269E-4D3B-BC42-95C7AD46A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674EE0-4470-4A23-9461-ED265E15B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BCB370-562D-4D36-B57B-CF38A1C8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D5477D-9726-43E8-B633-F4EF3566A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13ACB-F7ED-47C6-A80D-A7B7854E4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D24391-29F7-4CE8-9ED0-84A9D0F3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20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57F6B-FC52-4770-92B4-DAAA58D7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A8B10-6FBC-45D4-A759-574FC37F3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1095B-78DF-4CD4-BB2B-08A04943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841EB-352C-4D87-8226-EB66E79A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D2CE9-3F8E-4242-B1D8-4DE4E048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A18DD-92E9-4909-8E23-0BA912146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1313E-995B-40AE-86B5-4DD8DC74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BABB1-4762-42DC-9F08-01F353EA0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146FE-015A-420E-AD42-F6CFB018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D6FF6-B523-4F50-BCB5-A6DC7905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C675B-639B-4ABF-A72D-C17EE613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943DA-D76E-4821-B993-86244154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34CE61-19E9-4416-90ED-D6EAE62D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6167D-FAA0-45C1-9D66-F77FAE33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6F8C2-5EF1-4A61-B8A8-518109832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9B219-D9D5-45A1-B594-8B68E170D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E6246-2560-4117-8EBE-CD4B0C377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35F89-E1F7-4F41-AF8E-7D58898E3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A51EA-11CB-438F-82FC-1E0BEF68B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17</xdr:col>
      <xdr:colOff>304800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CBC80-A9F7-435C-9400-F29A17EB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29825" y="1143000"/>
          <a:ext cx="10191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"/>
  <sheetViews>
    <sheetView tabSelected="1" workbookViewId="0">
      <pane ySplit="2" topLeftCell="A3" activePane="bottomLeft" state="frozen"/>
      <selection pane="bottomLeft" activeCell="R31" sqref="R31"/>
    </sheetView>
  </sheetViews>
  <sheetFormatPr defaultRowHeight="15" x14ac:dyDescent="0.25"/>
  <cols>
    <col min="1" max="1" width="15.7109375" style="1" customWidth="1"/>
    <col min="2" max="24" width="10.7109375" customWidth="1"/>
    <col min="45" max="47" width="10.7109375" customWidth="1"/>
  </cols>
  <sheetData>
    <row r="1" spans="1:47" x14ac:dyDescent="0.25">
      <c r="A1" s="60" t="s">
        <v>48</v>
      </c>
      <c r="B1" s="62" t="s">
        <v>2</v>
      </c>
      <c r="C1" s="62"/>
      <c r="D1" s="62"/>
      <c r="E1" s="64" t="s">
        <v>49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  <c r="U1" s="62" t="s">
        <v>46</v>
      </c>
      <c r="V1" s="63" t="s">
        <v>45</v>
      </c>
      <c r="W1" s="63"/>
      <c r="X1" s="63"/>
      <c r="AS1" s="3" t="s">
        <v>58</v>
      </c>
      <c r="AT1" s="3" t="s">
        <v>60</v>
      </c>
      <c r="AU1" s="3" t="s">
        <v>61</v>
      </c>
    </row>
    <row r="2" spans="1:47" x14ac:dyDescent="0.25">
      <c r="A2" s="61"/>
      <c r="B2" s="28" t="s">
        <v>37</v>
      </c>
      <c r="C2" s="28" t="s">
        <v>47</v>
      </c>
      <c r="D2" s="28" t="s">
        <v>26</v>
      </c>
      <c r="E2" s="49" t="s">
        <v>12</v>
      </c>
      <c r="F2" s="49" t="s">
        <v>13</v>
      </c>
      <c r="G2" s="50" t="s">
        <v>14</v>
      </c>
      <c r="H2" s="49" t="s">
        <v>30</v>
      </c>
      <c r="I2" s="49" t="s">
        <v>36</v>
      </c>
      <c r="J2" s="23" t="s">
        <v>10</v>
      </c>
      <c r="K2" s="23" t="s">
        <v>27</v>
      </c>
      <c r="L2" s="23" t="s">
        <v>29</v>
      </c>
      <c r="M2" s="23" t="s">
        <v>31</v>
      </c>
      <c r="N2" s="23" t="s">
        <v>32</v>
      </c>
      <c r="O2" s="23" t="s">
        <v>33</v>
      </c>
      <c r="P2" s="23" t="s">
        <v>34</v>
      </c>
      <c r="Q2" s="23" t="s">
        <v>35</v>
      </c>
      <c r="R2" s="3" t="s">
        <v>38</v>
      </c>
      <c r="S2" s="3" t="s">
        <v>11</v>
      </c>
      <c r="T2" s="3" t="s">
        <v>5</v>
      </c>
      <c r="U2" s="62"/>
      <c r="V2" s="3" t="s">
        <v>40</v>
      </c>
      <c r="W2" s="3" t="s">
        <v>42</v>
      </c>
      <c r="X2" s="3" t="s">
        <v>41</v>
      </c>
      <c r="AS2" s="37">
        <f ca="1">XIRR(_xlfn.VSTACK(SLMC!AG5:AG200,AYEM!AG5:AG200,SGAJ!AG5:AG200,WEBN!AG5:AG200,XNAS!AG5:AG200,SGAS!AG5:AG200,SLMG!AG5:AG200,SECA!AG5:AG200,'AYE2'!AG5:AG200,ECRP!AG5:AG200,IUSN!AG5:AG200,'ECR3'!AG5:AG200,SPYL!AG5:AG200),_xlfn.VSTACK(SLMC!AF5:AF200,AYEM!AF5:AF200,SGAJ!AF5:AF200,WEBN!AF5:AF200,XNAS!AF5:AF200,SGAS!AF5:AF200,SLMG!AF5:AF200,SECA!AF5:AF200,'AYE2'!AF5:AF200,ECRP!AF5:AF200,IUSN!AF5:AF200,'ECR3'!AF5:AF200,SPYL!AF5:AF200))</f>
        <v>0.17500184178352357</v>
      </c>
      <c r="AT2" s="37">
        <f ca="1">XIRR(_xlfn.VSTACK(SLMC!AG5:AG200,AYEM!AG5:AG200,SGAJ!AG5:AG200,WEBN!AG5:AG200,XNAS!AG5:AG200),_xlfn.VSTACK(SLMC!AF5:AF200,AYEM!AF5:AF200,SGAJ!AF5:AF200,WEBN!AF5:AF200,XNAS!AF5:AF200))</f>
        <v>0.18108578324317934</v>
      </c>
      <c r="AU2" s="37">
        <f>XIRR(_xlfn.VSTACK(SGAS!AG5:AG200,SLMG!AG5:AG200,SECA!AG5:AG200,'AYE2'!AG5:AG200,ECRP!AG5:AG200,IUSN!AG5:AG200,'ECR3'!AG5:AG200,SPYL!AG5:AG200),_xlfn.VSTACK(SGAS!AF5:AF200,SLMG!AF5:AF200,SECA!AF5:AF200,'AYE2'!AF5:AF200,ECRP!AF5:AF200,IUSN!AF5:AF200,'ECR3'!AF5:AF200,SPYL!AF5:AF200))</f>
        <v>0.10157466530799866</v>
      </c>
    </row>
    <row r="3" spans="1:47" x14ac:dyDescent="0.25">
      <c r="A3" s="49">
        <f>'2024.05'!Q2</f>
        <v>2024.05</v>
      </c>
      <c r="B3" s="5">
        <f>'2024.05'!Q5</f>
        <v>29.96</v>
      </c>
      <c r="C3" s="5">
        <f>'2024.05'!R5</f>
        <v>0</v>
      </c>
      <c r="D3" s="5">
        <f>'2024.05'!S5</f>
        <v>29.9</v>
      </c>
      <c r="E3" s="5">
        <f>SLMC!H5</f>
        <v>9.8584030953218438</v>
      </c>
      <c r="F3" s="5">
        <f>AYEM!H5</f>
        <v>9.6302549518535141</v>
      </c>
      <c r="G3" s="5">
        <v>0</v>
      </c>
      <c r="H3" s="5">
        <v>0</v>
      </c>
      <c r="I3" s="5">
        <v>0</v>
      </c>
      <c r="J3" s="20">
        <f>SGAS!H5</f>
        <v>9.7695471161657181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5">
        <f t="shared" ref="R3:R27" si="0">SUM(E3:Q3)-X3</f>
        <v>29.258205163341074</v>
      </c>
      <c r="S3" s="5">
        <f t="shared" ref="S3:S27" si="1">R3-B3</f>
        <v>-0.70179483665892661</v>
      </c>
      <c r="T3" s="37">
        <f t="shared" ref="T3:T27" si="2">S3/B3</f>
        <v>-2.3424393746960166E-2</v>
      </c>
      <c r="U3" s="5">
        <f>'2024.05'!X5</f>
        <v>0</v>
      </c>
      <c r="V3" s="5">
        <f>'2024.05'!U5</f>
        <v>5.9999999999998721E-2</v>
      </c>
      <c r="W3" s="5">
        <f>'2024.05'!W5</f>
        <v>0</v>
      </c>
      <c r="X3" s="5">
        <f>'2024.05'!V5</f>
        <v>0</v>
      </c>
    </row>
    <row r="4" spans="1:47" x14ac:dyDescent="0.25">
      <c r="A4" s="50">
        <f>'2024.06'!Q2</f>
        <v>2024.06</v>
      </c>
      <c r="B4" s="5">
        <f>B3+'2024.06'!Q5</f>
        <v>39.94</v>
      </c>
      <c r="C4" s="5">
        <f>'2024.06'!R5</f>
        <v>0</v>
      </c>
      <c r="D4" s="5">
        <f>D3+'2024.06'!S5</f>
        <v>39.86</v>
      </c>
      <c r="E4" s="5">
        <f>SLMC!H6</f>
        <v>9.7930073865634899</v>
      </c>
      <c r="F4" s="5">
        <f>AYEM!H6</f>
        <v>10.160847511184288</v>
      </c>
      <c r="G4" s="5">
        <f>SGAJ!H5</f>
        <v>10.049132999999999</v>
      </c>
      <c r="H4" s="5">
        <v>0</v>
      </c>
      <c r="I4" s="5">
        <v>0</v>
      </c>
      <c r="J4" s="20">
        <f>SGAS!H6</f>
        <v>10.492392363931762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5">
        <f t="shared" si="0"/>
        <v>40.495380261679543</v>
      </c>
      <c r="S4" s="5">
        <f t="shared" si="1"/>
        <v>0.55538026167954513</v>
      </c>
      <c r="T4" s="37">
        <f t="shared" si="2"/>
        <v>1.3905364588871937E-2</v>
      </c>
      <c r="U4" s="5">
        <f>'2024.06'!X5</f>
        <v>0</v>
      </c>
      <c r="V4" s="5">
        <f>'2024.06'!U5</f>
        <v>1.9999999999999574E-2</v>
      </c>
      <c r="W4" s="5">
        <f>'2024.06'!W5</f>
        <v>0</v>
      </c>
      <c r="X4" s="5">
        <f>'2024.06'!V5</f>
        <v>0</v>
      </c>
    </row>
    <row r="5" spans="1:47" x14ac:dyDescent="0.25">
      <c r="A5" s="49">
        <f>'2024.07'!Q2</f>
        <v>2024.07</v>
      </c>
      <c r="B5" s="5">
        <f>B4+'2024.07'!Q5</f>
        <v>39.94</v>
      </c>
      <c r="C5" s="5">
        <f>'2024.07'!R5</f>
        <v>0</v>
      </c>
      <c r="D5" s="5">
        <f>D4+'2024.07'!S5</f>
        <v>39.86</v>
      </c>
      <c r="E5" s="5">
        <f>SLMC!H7</f>
        <v>9.910953218431235</v>
      </c>
      <c r="F5" s="5">
        <f>AYEM!H7</f>
        <v>10.139292188461475</v>
      </c>
      <c r="G5" s="5">
        <f>SGAJ!H6</f>
        <v>10.304935</v>
      </c>
      <c r="H5" s="5">
        <v>0</v>
      </c>
      <c r="I5" s="5">
        <v>0</v>
      </c>
      <c r="J5" s="20">
        <f>SGAS!H7</f>
        <v>10.425574735987002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5">
        <f t="shared" si="0"/>
        <v>40.770755142879715</v>
      </c>
      <c r="S5" s="5">
        <f t="shared" si="1"/>
        <v>0.83075514287971686</v>
      </c>
      <c r="T5" s="37">
        <f t="shared" si="2"/>
        <v>2.0800078690027965E-2</v>
      </c>
      <c r="U5" s="5">
        <f>'2024.07'!X5</f>
        <v>0</v>
      </c>
      <c r="V5" s="5">
        <f>'2024.07'!U5</f>
        <v>0</v>
      </c>
      <c r="W5" s="5">
        <f>'2024.07'!W5</f>
        <v>0</v>
      </c>
      <c r="X5" s="5">
        <f>'2024.07'!V5</f>
        <v>0.01</v>
      </c>
    </row>
    <row r="6" spans="1:47" x14ac:dyDescent="0.25">
      <c r="A6" s="49">
        <f>'2024.08'!Q2</f>
        <v>2024.08</v>
      </c>
      <c r="B6" s="5">
        <f>B5+'2024.08'!Q5</f>
        <v>39.94</v>
      </c>
      <c r="C6" s="5">
        <f>'2024.08'!R5</f>
        <v>0</v>
      </c>
      <c r="D6" s="5">
        <f>D5+'2024.08'!S5</f>
        <v>39.86</v>
      </c>
      <c r="E6" s="5">
        <f>SLMC!H8</f>
        <v>10.06860358775941</v>
      </c>
      <c r="F6" s="5">
        <f>AYEM!H8</f>
        <v>10.016592659116235</v>
      </c>
      <c r="G6" s="5">
        <f>SGAJ!H7</f>
        <v>10.207794999999999</v>
      </c>
      <c r="H6" s="5">
        <v>0</v>
      </c>
      <c r="I6" s="5">
        <v>0</v>
      </c>
      <c r="J6" s="20">
        <f>SGAS!H8</f>
        <v>10.338509341998375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5">
        <f t="shared" si="0"/>
        <v>40.621500588874021</v>
      </c>
      <c r="S6" s="5">
        <f t="shared" si="1"/>
        <v>0.68150058887402309</v>
      </c>
      <c r="T6" s="37">
        <f t="shared" si="2"/>
        <v>1.7063109385929472E-2</v>
      </c>
      <c r="U6" s="5">
        <f>'2024.08'!X5</f>
        <v>0</v>
      </c>
      <c r="V6" s="5">
        <f>'2024.08'!U5</f>
        <v>0</v>
      </c>
      <c r="W6" s="5">
        <f>'2024.08'!W5</f>
        <v>0</v>
      </c>
      <c r="X6" s="5">
        <f>'2024.08'!V5</f>
        <v>0.01</v>
      </c>
    </row>
    <row r="7" spans="1:47" x14ac:dyDescent="0.25">
      <c r="A7" s="49">
        <f>'2024.09'!Q2</f>
        <v>2024.09</v>
      </c>
      <c r="B7" s="5">
        <f>B6+'2024.09'!Q5</f>
        <v>39.94</v>
      </c>
      <c r="C7" s="5">
        <f>'2024.09'!R5</f>
        <v>0</v>
      </c>
      <c r="D7" s="5">
        <f>D6+'2024.09'!S5</f>
        <v>39.86</v>
      </c>
      <c r="E7" s="5">
        <f>SLMC!H9</f>
        <v>10.030066830812522</v>
      </c>
      <c r="F7" s="5">
        <f>AYEM!H9</f>
        <v>10.528946099220009</v>
      </c>
      <c r="G7" s="5">
        <f>SGAJ!H8</f>
        <v>10.078275</v>
      </c>
      <c r="H7" s="5">
        <v>0</v>
      </c>
      <c r="I7" s="5">
        <v>0</v>
      </c>
      <c r="J7" s="20">
        <f>SGAS!H9</f>
        <v>10.543011779041429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5">
        <f t="shared" si="0"/>
        <v>41.170299709073959</v>
      </c>
      <c r="S7" s="5">
        <f t="shared" si="1"/>
        <v>1.2302997090739609</v>
      </c>
      <c r="T7" s="37">
        <f t="shared" si="2"/>
        <v>3.0803698274260414E-2</v>
      </c>
      <c r="U7" s="5">
        <f>'2024.09'!X5</f>
        <v>0</v>
      </c>
      <c r="V7" s="5">
        <f>'2024.09'!U5</f>
        <v>0</v>
      </c>
      <c r="W7" s="5">
        <f>'2024.09'!W5</f>
        <v>0</v>
      </c>
      <c r="X7" s="5">
        <f>'2024.09'!V5</f>
        <v>0.01</v>
      </c>
    </row>
    <row r="8" spans="1:47" x14ac:dyDescent="0.25">
      <c r="A8" s="50">
        <f>'2024.10'!Q2</f>
        <v>2024.1</v>
      </c>
      <c r="B8" s="5">
        <f>B7+'2024.10'!Q5</f>
        <v>39.94</v>
      </c>
      <c r="C8" s="5">
        <f>'2024.10'!R5</f>
        <v>0</v>
      </c>
      <c r="D8" s="5">
        <f>D7+'2024.10'!S5</f>
        <v>39.86</v>
      </c>
      <c r="E8" s="5">
        <f>SLMC!H10</f>
        <v>9.7147660921561751</v>
      </c>
      <c r="F8" s="5">
        <f>AYEM!H10</f>
        <v>10.320025278983518</v>
      </c>
      <c r="G8" s="5">
        <f>SGAJ!H9</f>
        <v>9.7771410000000003</v>
      </c>
      <c r="H8" s="5">
        <v>0</v>
      </c>
      <c r="I8" s="5">
        <v>0</v>
      </c>
      <c r="J8" s="20">
        <f>SGAS!H10</f>
        <v>10.842678716490658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5">
        <f t="shared" si="0"/>
        <v>40.644611087630352</v>
      </c>
      <c r="S8" s="5">
        <f t="shared" si="1"/>
        <v>0.7046110876303544</v>
      </c>
      <c r="T8" s="37">
        <f t="shared" si="2"/>
        <v>1.7641739800459549E-2</v>
      </c>
      <c r="U8" s="5">
        <f>'2024.10'!X5</f>
        <v>0</v>
      </c>
      <c r="V8" s="5">
        <f>'2024.10'!U5</f>
        <v>0</v>
      </c>
      <c r="W8" s="5">
        <f>'2024.10'!W5</f>
        <v>0</v>
      </c>
      <c r="X8" s="5">
        <f>'2024.10'!V5</f>
        <v>0.01</v>
      </c>
    </row>
    <row r="9" spans="1:47" x14ac:dyDescent="0.25">
      <c r="A9" s="50">
        <f>'2024.11'!Q2</f>
        <v>2024.11</v>
      </c>
      <c r="B9" s="5">
        <f>B8+'2024.11'!Q5</f>
        <v>59.92</v>
      </c>
      <c r="C9" s="5">
        <f>'2024.11'!R5</f>
        <v>0</v>
      </c>
      <c r="D9" s="5">
        <f>D8+'2024.11'!S5</f>
        <v>59.8</v>
      </c>
      <c r="E9" s="5">
        <f>SLMC!H11</f>
        <v>9.8151952163207881</v>
      </c>
      <c r="F9" s="5">
        <f>AYEM!H11</f>
        <v>10.40458846812686</v>
      </c>
      <c r="G9" s="5">
        <f>SGAJ!H10</f>
        <v>10.298458999999999</v>
      </c>
      <c r="H9" s="5">
        <v>0</v>
      </c>
      <c r="I9" s="5">
        <v>0</v>
      </c>
      <c r="J9" s="20">
        <f>SGAS!H11</f>
        <v>11.826720146222582</v>
      </c>
      <c r="K9" s="20">
        <f>SLMG!H5</f>
        <v>10.089047428100427</v>
      </c>
      <c r="L9" s="20">
        <f>SECA!H5</f>
        <v>10.11112806276957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5">
        <f t="shared" si="0"/>
        <v>62.535138321540238</v>
      </c>
      <c r="S9" s="5">
        <f t="shared" si="1"/>
        <v>2.6151383215402362</v>
      </c>
      <c r="T9" s="37">
        <f t="shared" si="2"/>
        <v>4.3643830466292326E-2</v>
      </c>
      <c r="U9" s="5">
        <f>'2024.11'!X5</f>
        <v>0</v>
      </c>
      <c r="V9" s="5">
        <f>'2024.11'!U5</f>
        <v>3.9999999999999147E-2</v>
      </c>
      <c r="W9" s="5">
        <f>'2024.11'!W5</f>
        <v>0</v>
      </c>
      <c r="X9" s="5">
        <f>'2024.11'!V5</f>
        <v>0.01</v>
      </c>
    </row>
    <row r="10" spans="1:47" x14ac:dyDescent="0.25">
      <c r="A10" s="50">
        <f>'2024.12'!Q2</f>
        <v>2024.12</v>
      </c>
      <c r="B10" s="5">
        <f>B9+'2024.12'!Q5</f>
        <v>59.92</v>
      </c>
      <c r="C10" s="5">
        <f>'2024.12'!R5</f>
        <v>0</v>
      </c>
      <c r="D10" s="5">
        <f>D9+'2024.12'!S5</f>
        <v>59.8</v>
      </c>
      <c r="E10" s="5">
        <f>SLMC!H12</f>
        <v>9.7591417516707697</v>
      </c>
      <c r="F10" s="5">
        <f>AYEM!H12</f>
        <v>10.371426433168688</v>
      </c>
      <c r="G10" s="5">
        <f>SGAJ!H11</f>
        <v>10.28065</v>
      </c>
      <c r="H10" s="5">
        <v>0</v>
      </c>
      <c r="I10" s="5">
        <v>0</v>
      </c>
      <c r="J10" s="20">
        <f>SGAS!H12</f>
        <v>11.765976848090981</v>
      </c>
      <c r="K10" s="20">
        <f>SLMG!H6</f>
        <v>9.9002595290605715</v>
      </c>
      <c r="L10" s="20">
        <f>SECA!H6</f>
        <v>9.9393498210516658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5">
        <f t="shared" si="0"/>
        <v>62.00680438304267</v>
      </c>
      <c r="S10" s="5">
        <f t="shared" si="1"/>
        <v>2.0868043830426686</v>
      </c>
      <c r="T10" s="37">
        <f t="shared" si="2"/>
        <v>3.4826508395238126E-2</v>
      </c>
      <c r="U10" s="5">
        <f>'2024.12'!X5</f>
        <v>0</v>
      </c>
      <c r="V10" s="5">
        <f>'2024.12'!U5</f>
        <v>0</v>
      </c>
      <c r="W10" s="5">
        <f>'2024.12'!W5</f>
        <v>0</v>
      </c>
      <c r="X10" s="5">
        <f>'2024.12'!V5</f>
        <v>0.01</v>
      </c>
    </row>
    <row r="11" spans="1:47" x14ac:dyDescent="0.25">
      <c r="A11" s="50">
        <f>'2025.01'!Q2</f>
        <v>2025.01</v>
      </c>
      <c r="B11" s="5">
        <f>B10+'2025.01'!Q5</f>
        <v>59.92</v>
      </c>
      <c r="C11" s="5">
        <f>'2025.01'!R5</f>
        <v>0</v>
      </c>
      <c r="D11" s="5">
        <f>D10+'2025.01'!S5</f>
        <v>59.8</v>
      </c>
      <c r="E11" s="5">
        <f>SLMC!H13</f>
        <v>10.39091100949701</v>
      </c>
      <c r="F11" s="5">
        <f>AYEM!H13</f>
        <v>10.729576410716959</v>
      </c>
      <c r="G11" s="5">
        <f>SGAJ!H12</f>
        <v>10.602831</v>
      </c>
      <c r="H11" s="5">
        <v>0</v>
      </c>
      <c r="I11" s="5">
        <v>0</v>
      </c>
      <c r="J11" s="20">
        <f>SGAS!H13</f>
        <v>12.257997562956945</v>
      </c>
      <c r="K11" s="20">
        <f>SLMG!H7</f>
        <v>10.062172915413576</v>
      </c>
      <c r="L11" s="20">
        <f>SECA!H7</f>
        <v>9.9498715242727371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5">
        <f t="shared" si="0"/>
        <v>63.983360422857231</v>
      </c>
      <c r="S11" s="5">
        <f t="shared" si="1"/>
        <v>4.0633604228572295</v>
      </c>
      <c r="T11" s="37">
        <f t="shared" si="2"/>
        <v>6.7813091169179399E-2</v>
      </c>
      <c r="U11" s="5">
        <f>'2025.01'!X5</f>
        <v>0</v>
      </c>
      <c r="V11" s="5">
        <f>'2025.01'!U5</f>
        <v>0</v>
      </c>
      <c r="W11" s="5">
        <f>'2025.01'!W5</f>
        <v>0</v>
      </c>
      <c r="X11" s="5">
        <f>'2025.01'!V5</f>
        <v>0.01</v>
      </c>
    </row>
    <row r="12" spans="1:47" x14ac:dyDescent="0.25">
      <c r="A12" s="50">
        <f>'2025.02'!Q2</f>
        <v>2025.02</v>
      </c>
      <c r="B12" s="5">
        <f>B11+'2025.02'!Q5</f>
        <v>69.91</v>
      </c>
      <c r="C12" s="5">
        <f>'2025.02'!R5</f>
        <v>0</v>
      </c>
      <c r="D12" s="5">
        <f>D11+'2025.02'!S5</f>
        <v>69.77</v>
      </c>
      <c r="E12" s="5">
        <f>SLMC!H14</f>
        <v>10.733070699964827</v>
      </c>
      <c r="F12" s="5">
        <f>AYEM!H14</f>
        <v>10.621799797102895</v>
      </c>
      <c r="G12" s="5">
        <f>SGAJ!H13</f>
        <v>10.521880999999999</v>
      </c>
      <c r="H12" s="5">
        <v>0</v>
      </c>
      <c r="I12" s="5">
        <v>0</v>
      </c>
      <c r="J12" s="20">
        <f>SGAS!H14</f>
        <v>11.709283103168156</v>
      </c>
      <c r="K12" s="20">
        <f>SLMG!H8</f>
        <v>10.19543496179465</v>
      </c>
      <c r="L12" s="20">
        <f>SECA!H8</f>
        <v>10.000192713590899</v>
      </c>
      <c r="M12" s="20">
        <f>'AYE2'!H5</f>
        <v>10.001066977077365</v>
      </c>
      <c r="N12" s="20">
        <v>0</v>
      </c>
      <c r="O12" s="20">
        <v>0</v>
      </c>
      <c r="P12" s="20">
        <v>0</v>
      </c>
      <c r="Q12" s="20">
        <v>0</v>
      </c>
      <c r="R12" s="5">
        <f t="shared" si="0"/>
        <v>73.772729252698781</v>
      </c>
      <c r="S12" s="5">
        <f t="shared" si="1"/>
        <v>3.8627292526987844</v>
      </c>
      <c r="T12" s="37">
        <f t="shared" si="2"/>
        <v>5.525288589184358E-2</v>
      </c>
      <c r="U12" s="5">
        <f>'2025.02'!X5</f>
        <v>0</v>
      </c>
      <c r="V12" s="5">
        <f>'2025.02'!U5</f>
        <v>1.9999999999999574E-2</v>
      </c>
      <c r="W12" s="5">
        <f>'2025.02'!W5</f>
        <v>0</v>
      </c>
      <c r="X12" s="5">
        <f>'2025.02'!V5</f>
        <v>0.01</v>
      </c>
    </row>
    <row r="13" spans="1:47" x14ac:dyDescent="0.25">
      <c r="A13" s="50">
        <f>'2025.03'!Q2</f>
        <v>2025.03</v>
      </c>
      <c r="B13" s="5">
        <f>B12+'2025.03'!Q5</f>
        <v>139.69</v>
      </c>
      <c r="C13" s="5">
        <f>'2025.03'!R5</f>
        <v>0</v>
      </c>
      <c r="D13" s="5">
        <f>D12+'2025.03'!S5</f>
        <v>139.41000000000003</v>
      </c>
      <c r="E13" s="5">
        <f>SLMC!H15</f>
        <v>10.262455153007387</v>
      </c>
      <c r="F13" s="5">
        <f>AYEM!H15</f>
        <v>10.248726903823446</v>
      </c>
      <c r="G13" s="5">
        <f>SGAJ!H14</f>
        <v>10.110655</v>
      </c>
      <c r="H13" s="5">
        <f>WEBN!H5</f>
        <v>9.4229831603681209</v>
      </c>
      <c r="I13" s="5">
        <f>XNAS!H5</f>
        <v>9.1212622673434858</v>
      </c>
      <c r="J13" s="20">
        <f>SGAS!H15</f>
        <v>10.545036555645815</v>
      </c>
      <c r="K13" s="20">
        <f>SLMG!H9</f>
        <v>10.083494842834549</v>
      </c>
      <c r="L13" s="20">
        <f>SECA!H9</f>
        <v>9.8158341745434541</v>
      </c>
      <c r="M13" s="20">
        <f>'AYE2'!H6</f>
        <v>9.8828696275071639</v>
      </c>
      <c r="N13" s="20">
        <f>ECRP!H5</f>
        <v>9.9620909993129256</v>
      </c>
      <c r="O13" s="20">
        <f>IUSN!H5</f>
        <v>9.5977169999999994</v>
      </c>
      <c r="P13" s="20">
        <f>'ECR3'!H5</f>
        <v>9.9218797134952812</v>
      </c>
      <c r="Q13" s="20">
        <f>SPYL!H5</f>
        <v>18.903583822416909</v>
      </c>
      <c r="R13" s="5">
        <f t="shared" si="0"/>
        <v>137.86858922029856</v>
      </c>
      <c r="S13" s="5">
        <f t="shared" si="1"/>
        <v>-1.8214107797014378</v>
      </c>
      <c r="T13" s="37">
        <f t="shared" si="2"/>
        <v>-1.3038948956270583E-2</v>
      </c>
      <c r="U13" s="5">
        <f>'2025.03'!X5</f>
        <v>0</v>
      </c>
      <c r="V13" s="5">
        <f>'2025.03'!U5</f>
        <v>0.13999999999999879</v>
      </c>
      <c r="W13" s="5">
        <f>'2025.03'!W5</f>
        <v>0</v>
      </c>
      <c r="X13" s="5">
        <f>'2025.03'!V5</f>
        <v>0.01</v>
      </c>
    </row>
    <row r="14" spans="1:47" x14ac:dyDescent="0.25">
      <c r="A14" s="50">
        <f>'2025.04'!Q2</f>
        <v>2025.04</v>
      </c>
      <c r="B14" s="5">
        <f>B13+'2025.04'!Q5</f>
        <v>139.69</v>
      </c>
      <c r="C14" s="5">
        <f>'2025.04'!R5</f>
        <v>0</v>
      </c>
      <c r="D14" s="5">
        <f>D13+'2025.04'!S5</f>
        <v>139.41000000000003</v>
      </c>
      <c r="E14" s="5">
        <f>SLMC!H16</f>
        <v>10.207569468870911</v>
      </c>
      <c r="F14" s="5">
        <f>AYEM!H16</f>
        <v>9.8839445192835402</v>
      </c>
      <c r="G14" s="5">
        <f>SGAJ!H15</f>
        <v>10.003801000000001</v>
      </c>
      <c r="H14" s="5">
        <f>WEBN!H6</f>
        <v>9.0528049735656921</v>
      </c>
      <c r="I14" s="5">
        <f>XNAS!H6</f>
        <v>8.824426395939085</v>
      </c>
      <c r="J14" s="20">
        <f>SGAS!H16</f>
        <v>10.037830016246952</v>
      </c>
      <c r="K14" s="20">
        <f>SLMG!H10</f>
        <v>10.105927287308694</v>
      </c>
      <c r="L14" s="20">
        <f>SECA!H10</f>
        <v>10.01460287235019</v>
      </c>
      <c r="M14" s="20">
        <f>'AYE2'!H7</f>
        <v>9.9403613896848153</v>
      </c>
      <c r="N14" s="20">
        <f>ECRP!H6</f>
        <v>10.060558057867013</v>
      </c>
      <c r="O14" s="20">
        <f>IUSN!H6</f>
        <v>9.1956059999999997</v>
      </c>
      <c r="P14" s="20">
        <f>'ECR3'!H6</f>
        <v>9.9718800924697764</v>
      </c>
      <c r="Q14" s="20">
        <f>SPYL!H6</f>
        <v>17.897280758833649</v>
      </c>
      <c r="R14" s="5">
        <f t="shared" si="0"/>
        <v>135.17659283242031</v>
      </c>
      <c r="S14" s="5">
        <f t="shared" si="1"/>
        <v>-4.5134071675796861</v>
      </c>
      <c r="T14" s="37">
        <f t="shared" si="2"/>
        <v>-3.2310166565822078E-2</v>
      </c>
      <c r="U14" s="5">
        <f>'2025.04'!X5</f>
        <v>0</v>
      </c>
      <c r="V14" s="5">
        <f>'2025.04'!U5</f>
        <v>0</v>
      </c>
      <c r="W14" s="5">
        <f>'2025.04'!W5</f>
        <v>0</v>
      </c>
      <c r="X14" s="5">
        <f>'2025.04'!V5</f>
        <v>0.02</v>
      </c>
      <c r="AA14" s="58"/>
    </row>
    <row r="15" spans="1:47" x14ac:dyDescent="0.25">
      <c r="A15" s="50">
        <f>'2025.05'!Q2</f>
        <v>2025.05</v>
      </c>
      <c r="B15" s="5">
        <f>B14+'2025.05'!Q5</f>
        <v>149.66999999999999</v>
      </c>
      <c r="C15" s="5">
        <f>'2025.05'!R5</f>
        <v>0</v>
      </c>
      <c r="D15" s="5">
        <f>D14+'2025.05'!S5</f>
        <v>149.37000000000003</v>
      </c>
      <c r="E15" s="5">
        <f>SLMC!H17</f>
        <v>10.663003869152305</v>
      </c>
      <c r="F15" s="5">
        <f>AYEM!H17</f>
        <v>10.341580601706331</v>
      </c>
      <c r="G15" s="5">
        <f>SGAJ!H16</f>
        <v>10.382647</v>
      </c>
      <c r="H15" s="5">
        <f>WEBN!H7</f>
        <v>19.461866569737882</v>
      </c>
      <c r="I15" s="5">
        <f>XNAS!H7</f>
        <v>9.7082131979695419</v>
      </c>
      <c r="J15" s="20">
        <f>SGAS!H17</f>
        <v>10.78598497156783</v>
      </c>
      <c r="K15" s="20">
        <f>SLMG!H11</f>
        <v>10.166783621822718</v>
      </c>
      <c r="L15" s="20">
        <f>SECA!H11</f>
        <v>10.042736991832616</v>
      </c>
      <c r="M15" s="20">
        <f>'AYE2'!H8</f>
        <v>10.094267908309456</v>
      </c>
      <c r="N15" s="20">
        <f>ECRP!H7</f>
        <v>10.120056492862052</v>
      </c>
      <c r="O15" s="20">
        <f>IUSN!H7</f>
        <v>9.7451100000000004</v>
      </c>
      <c r="P15" s="20">
        <f>'ECR3'!H7</f>
        <v>10.007970591579186</v>
      </c>
      <c r="Q15" s="20">
        <f>SPYL!H7</f>
        <v>19.131809741777481</v>
      </c>
      <c r="R15" s="5">
        <f t="shared" si="0"/>
        <v>150.63203155831738</v>
      </c>
      <c r="S15" s="5">
        <f t="shared" si="1"/>
        <v>0.96203155831739195</v>
      </c>
      <c r="T15" s="37">
        <f t="shared" si="2"/>
        <v>6.4276846282982029E-3</v>
      </c>
      <c r="U15" s="5">
        <f>'2025.05'!X5</f>
        <v>0</v>
      </c>
      <c r="V15" s="5">
        <f>'2025.05'!U5</f>
        <v>1.9999999999999574E-2</v>
      </c>
      <c r="W15" s="5">
        <f>'2025.05'!W5</f>
        <v>0</v>
      </c>
      <c r="X15" s="5">
        <f>'2025.05'!V5</f>
        <v>0.02</v>
      </c>
    </row>
    <row r="16" spans="1:47" x14ac:dyDescent="0.25">
      <c r="A16" s="50">
        <f>'2025.06'!Q2</f>
        <v>2025.06</v>
      </c>
      <c r="B16" s="5">
        <f>B15+'2025.06'!Q5</f>
        <v>149.66999999999999</v>
      </c>
      <c r="C16" s="5">
        <f>'2025.06'!R5</f>
        <v>0</v>
      </c>
      <c r="D16" s="5">
        <f>D15+'2025.06'!S5</f>
        <v>149.37000000000003</v>
      </c>
      <c r="E16" s="5">
        <f>SLMC!H18</f>
        <v>10.547393598311643</v>
      </c>
      <c r="F16" s="5">
        <f>AYEM!H18</f>
        <v>10.651645628565252</v>
      </c>
      <c r="G16" s="5">
        <f>SGAJ!H17</f>
        <v>10.233699</v>
      </c>
      <c r="H16" s="5">
        <f>WEBN!H8</f>
        <v>19.658849024897172</v>
      </c>
      <c r="I16" s="5">
        <f>XNAS!H8</f>
        <v>9.9692047377326567</v>
      </c>
      <c r="J16" s="20">
        <f>SGAS!H18</f>
        <v>10.990487408610884</v>
      </c>
      <c r="K16" s="20">
        <f>SLMG!H12</f>
        <v>10.369786139143221</v>
      </c>
      <c r="L16" s="20">
        <f>SECA!H12</f>
        <v>10.003623703771682</v>
      </c>
      <c r="M16" s="20">
        <f>'AYE2'!H9</f>
        <v>10.134619269340975</v>
      </c>
      <c r="N16" s="20">
        <f>ECRP!H8</f>
        <v>10.153132300175587</v>
      </c>
      <c r="O16" s="20">
        <f>IUSN!H8</f>
        <v>9.8638829999999995</v>
      </c>
      <c r="P16" s="20">
        <f>'ECR3'!H8</f>
        <v>10.039173835600865</v>
      </c>
      <c r="Q16" s="20">
        <f>SPYL!H8</f>
        <v>19.42104655047207</v>
      </c>
      <c r="R16" s="5">
        <f t="shared" si="0"/>
        <v>152.01654419662199</v>
      </c>
      <c r="S16" s="5">
        <f t="shared" si="1"/>
        <v>2.3465441966220055</v>
      </c>
      <c r="T16" s="37">
        <f t="shared" si="2"/>
        <v>1.5678119841130524E-2</v>
      </c>
      <c r="U16" s="5">
        <f>'2025.06'!X5</f>
        <v>0</v>
      </c>
      <c r="V16" s="5">
        <f>'2025.06'!U5</f>
        <v>0</v>
      </c>
      <c r="W16" s="5">
        <f>'2025.06'!W5</f>
        <v>0</v>
      </c>
      <c r="X16" s="5">
        <f>'2025.06'!V5</f>
        <v>0.02</v>
      </c>
    </row>
    <row r="17" spans="1:24" x14ac:dyDescent="0.25">
      <c r="A17" s="50">
        <f>'2025.07'!Q2</f>
        <v>2025.07</v>
      </c>
      <c r="B17" s="5">
        <f>B16+'2025.07'!Q5</f>
        <v>159.64999999999998</v>
      </c>
      <c r="C17" s="5">
        <f>'2025.07'!R5</f>
        <v>0</v>
      </c>
      <c r="D17" s="5">
        <f>D16+'2025.07'!S5</f>
        <v>159.33000000000004</v>
      </c>
      <c r="E17" s="5">
        <f>SLMC!H19</f>
        <v>10.6489905029898</v>
      </c>
      <c r="F17" s="5">
        <f>AYEM!H19</f>
        <v>11.089384490013138</v>
      </c>
      <c r="G17" s="5">
        <f>SGAJ!H18</f>
        <v>10.342172</v>
      </c>
      <c r="H17" s="5">
        <f>WEBN!H9</f>
        <v>20.631942353384066</v>
      </c>
      <c r="I17" s="5">
        <f>XNAS!H9</f>
        <v>10.606561759729271</v>
      </c>
      <c r="J17" s="20">
        <f>SGAS!H19</f>
        <v>11.687010560519902</v>
      </c>
      <c r="K17" s="20">
        <f>SLMG!H13</f>
        <v>10.446411815812338</v>
      </c>
      <c r="L17" s="20">
        <f>SECA!H13</f>
        <v>9.983037762686978</v>
      </c>
      <c r="M17" s="20">
        <f>'AYE2'!H10</f>
        <v>10.232462392550143</v>
      </c>
      <c r="N17" s="20">
        <f>ECRP!H9</f>
        <v>10.19913428505993</v>
      </c>
      <c r="O17" s="20">
        <f>IUSN!H9</f>
        <v>10.298907</v>
      </c>
      <c r="P17" s="20">
        <f>'ECR3'!H9</f>
        <v>10.056843142456513</v>
      </c>
      <c r="Q17" s="20">
        <f>SPYL!H9</f>
        <v>31.067087762736428</v>
      </c>
      <c r="R17" s="5">
        <f t="shared" si="0"/>
        <v>167.2699458279385</v>
      </c>
      <c r="S17" s="5">
        <f t="shared" si="1"/>
        <v>7.6199458279385226</v>
      </c>
      <c r="T17" s="37">
        <f t="shared" si="2"/>
        <v>4.7729068762533813E-2</v>
      </c>
      <c r="U17" s="5">
        <f>'2025.07'!X5</f>
        <v>0</v>
      </c>
      <c r="V17" s="5">
        <f>'2025.07'!U5</f>
        <v>0.02</v>
      </c>
      <c r="W17" s="5">
        <f>'2025.07'!W5</f>
        <v>0</v>
      </c>
      <c r="X17" s="5">
        <f>'2025.07'!V5</f>
        <v>0.02</v>
      </c>
    </row>
    <row r="18" spans="1:24" x14ac:dyDescent="0.25">
      <c r="A18" s="50">
        <f>'2025.08'!Q2</f>
        <v>2025.08</v>
      </c>
      <c r="B18" s="5">
        <f>B17+'2025.08'!Q5</f>
        <v>159.64999999999998</v>
      </c>
      <c r="C18" s="5">
        <f>'2025.08'!R5</f>
        <v>0</v>
      </c>
      <c r="D18" s="5">
        <f>D17+'2025.08'!S5</f>
        <v>159.33000000000004</v>
      </c>
      <c r="E18" s="5">
        <f>SLMC!H20</f>
        <v>10.74591628561379</v>
      </c>
      <c r="F18" s="5">
        <f>AYEM!H20</f>
        <v>11.062854862046599</v>
      </c>
      <c r="G18" s="5">
        <f>SGAJ!H19</f>
        <v>10.719399000000001</v>
      </c>
      <c r="H18" s="5">
        <f>WEBN!H10</f>
        <v>20.553149371320348</v>
      </c>
      <c r="I18" s="5">
        <f>XNAS!H10</f>
        <v>10.363492385786801</v>
      </c>
      <c r="J18" s="20">
        <f>SGAS!H20</f>
        <v>11.533127538586513</v>
      </c>
      <c r="K18" s="20">
        <f>SLMG!H14</f>
        <v>10.577230724676424</v>
      </c>
      <c r="L18" s="20">
        <f>SECA!H14</f>
        <v>9.9269982564008448</v>
      </c>
      <c r="M18" s="20">
        <f>'AYE2'!H11</f>
        <v>10.232105300859601</v>
      </c>
      <c r="N18" s="20">
        <f>ECRP!H10</f>
        <v>10.20331628368578</v>
      </c>
      <c r="O18" s="20">
        <f>IUSN!H10</f>
        <v>10.525005</v>
      </c>
      <c r="P18" s="20">
        <f>'ECR3'!H10</f>
        <v>10.070753022321599</v>
      </c>
      <c r="Q18" s="20">
        <f>SPYL!H10</f>
        <v>30.726277936107511</v>
      </c>
      <c r="R18" s="5">
        <f t="shared" si="0"/>
        <v>167.21962596740582</v>
      </c>
      <c r="S18" s="5">
        <f t="shared" si="1"/>
        <v>7.569625967405841</v>
      </c>
      <c r="T18" s="37">
        <f t="shared" si="2"/>
        <v>4.7413880159134621E-2</v>
      </c>
      <c r="U18" s="5">
        <f>'2025.08'!X5</f>
        <v>0</v>
      </c>
      <c r="V18" s="5">
        <f>'2025.08'!U5</f>
        <v>0</v>
      </c>
      <c r="W18" s="5">
        <f>'2025.08'!W5</f>
        <v>0</v>
      </c>
      <c r="X18" s="5">
        <f>'2025.08'!V5</f>
        <v>0.02</v>
      </c>
    </row>
    <row r="19" spans="1:24" x14ac:dyDescent="0.25">
      <c r="A19" s="50">
        <f>'2025.09'!Q2</f>
        <v>2025.09</v>
      </c>
      <c r="B19" s="5">
        <f>B18+'2025.09'!Q5</f>
        <v>159.64999999999998</v>
      </c>
      <c r="C19" s="5">
        <f>'2025.09'!R5</f>
        <v>0</v>
      </c>
      <c r="D19" s="5">
        <f>D18+'2025.09'!S5</f>
        <v>159.33000000000004</v>
      </c>
      <c r="E19" s="5">
        <f>SLMC!H21</f>
        <v>10.900063313401336</v>
      </c>
      <c r="F19" s="5">
        <f>AYEM!H21</f>
        <v>11.664745796537444</v>
      </c>
      <c r="G19" s="5">
        <f>SGAJ!H20</f>
        <v>10.907203000000001</v>
      </c>
      <c r="H19" s="5">
        <f>WEBN!H11</f>
        <v>21.144096736798222</v>
      </c>
      <c r="I19" s="5">
        <f>XNAS!H11</f>
        <v>10.851871404399322</v>
      </c>
      <c r="J19" s="20">
        <f>SGAS!H21</f>
        <v>11.895562550771729</v>
      </c>
      <c r="K19" s="20">
        <f>SLMG!H15</f>
        <v>10.735590456459265</v>
      </c>
      <c r="L19" s="20">
        <f>SECA!H15</f>
        <v>9.9782343764338819</v>
      </c>
      <c r="M19" s="20">
        <f>'AYE2'!H12</f>
        <v>10.303523638968482</v>
      </c>
      <c r="N19" s="20">
        <f>ECRP!H11</f>
        <v>10.238863272005498</v>
      </c>
      <c r="O19" s="20">
        <f>IUSN!H11</f>
        <v>10.633761</v>
      </c>
      <c r="P19" s="20">
        <f>'ECR3'!H11</f>
        <v>10.091053928070641</v>
      </c>
      <c r="Q19" s="20">
        <f>SPYL!H11</f>
        <v>31.590798862989526</v>
      </c>
      <c r="R19" s="5">
        <f t="shared" si="0"/>
        <v>170.91536833683531</v>
      </c>
      <c r="S19" s="5">
        <f t="shared" si="1"/>
        <v>11.265368336835337</v>
      </c>
      <c r="T19" s="37">
        <f t="shared" si="2"/>
        <v>7.056290846749351E-2</v>
      </c>
      <c r="U19" s="5">
        <f>'2025.09'!X5</f>
        <v>0</v>
      </c>
      <c r="V19" s="5">
        <f>'2025.09'!U5</f>
        <v>0</v>
      </c>
      <c r="W19" s="5">
        <f>'2025.09'!W5</f>
        <v>0</v>
      </c>
      <c r="X19" s="5">
        <f>'2025.09'!V5</f>
        <v>0.02</v>
      </c>
    </row>
    <row r="20" spans="1:24" x14ac:dyDescent="0.25">
      <c r="A20" s="50">
        <f>'2025.10'!Q2</f>
        <v>2025.1</v>
      </c>
      <c r="B20" s="5">
        <f>B19+'2025.10'!Q5</f>
        <v>159.64999999999998</v>
      </c>
      <c r="C20" s="5">
        <f>'2025.10'!R5</f>
        <v>0</v>
      </c>
      <c r="D20" s="5">
        <f>D19+'2025.10'!S5</f>
        <v>159.33000000000004</v>
      </c>
      <c r="E20" s="5">
        <f>SLMC!H22</f>
        <v>11.244558564896236</v>
      </c>
      <c r="F20" s="5">
        <f>AYEM!H22</f>
        <v>12.323012190457185</v>
      </c>
      <c r="G20" s="5">
        <f>SGAJ!H21</f>
        <v>11.558041000000001</v>
      </c>
      <c r="H20" s="5">
        <f>WEBN!H12</f>
        <v>22.160526205420158</v>
      </c>
      <c r="I20" s="5">
        <f>XNAS!H12</f>
        <v>11.611323181049068</v>
      </c>
      <c r="J20" s="20">
        <f>SGAS!H22</f>
        <v>12.490846872461411</v>
      </c>
      <c r="K20" s="20">
        <f>SLMG!H16</f>
        <v>10.912162667914188</v>
      </c>
      <c r="L20" s="20">
        <f>SECA!H16</f>
        <v>10.076131962925578</v>
      </c>
      <c r="M20" s="20">
        <f>'AYE2'!H13</f>
        <v>10.36565759312321</v>
      </c>
      <c r="N20" s="20">
        <f>ECRP!H12</f>
        <v>10.298931979540425</v>
      </c>
      <c r="O20" s="20">
        <f>IUSN!H12</f>
        <v>10.935702000000001</v>
      </c>
      <c r="P20" s="20">
        <f>'ECR3'!H12</f>
        <v>10.121505286694205</v>
      </c>
      <c r="Q20" s="20">
        <f>SPYL!H12</f>
        <v>33.090362100156753</v>
      </c>
      <c r="R20" s="5">
        <f t="shared" si="0"/>
        <v>177.16876160463843</v>
      </c>
      <c r="S20" s="5">
        <f t="shared" si="1"/>
        <v>17.518761604638456</v>
      </c>
      <c r="T20" s="37">
        <f t="shared" si="2"/>
        <v>0.10973229943400224</v>
      </c>
      <c r="U20" s="5">
        <f>'2025.10'!X5</f>
        <v>0</v>
      </c>
      <c r="V20" s="5">
        <f>'2025.10'!U5</f>
        <v>0</v>
      </c>
      <c r="W20" s="5">
        <f>'2025.10'!W5</f>
        <v>0</v>
      </c>
      <c r="X20" s="5">
        <f>'2025.10'!V5</f>
        <v>0.02</v>
      </c>
    </row>
    <row r="21" spans="1:24" x14ac:dyDescent="0.25">
      <c r="A21" s="50">
        <f>'2025.11'!Q2</f>
        <v>2025.11</v>
      </c>
      <c r="B21" s="5">
        <f>B20+'2025.11'!Q5</f>
        <v>346.02</v>
      </c>
      <c r="C21" s="5">
        <f>'2025.11'!R5</f>
        <v>0</v>
      </c>
      <c r="D21" s="5">
        <f>D20+'2025.11'!S5</f>
        <v>344.98</v>
      </c>
      <c r="E21" s="5">
        <f>SLMC!H23</f>
        <v>21.450327164340038</v>
      </c>
      <c r="F21" s="5">
        <f>AYEM!H23</f>
        <v>89.313583528961331</v>
      </c>
      <c r="G21" s="5">
        <f>SGAJ!H22</f>
        <v>21.568384306593565</v>
      </c>
      <c r="H21" s="5">
        <f>WEBN!H13</f>
        <v>212.53926428657638</v>
      </c>
      <c r="I21" s="5">
        <f>XNAS!H13</f>
        <v>21.403903737450566</v>
      </c>
      <c r="J21" s="20"/>
      <c r="K21" s="20"/>
      <c r="L21" s="20"/>
      <c r="M21" s="20"/>
      <c r="N21" s="20"/>
      <c r="O21" s="20"/>
      <c r="P21" s="20"/>
      <c r="Q21" s="20"/>
      <c r="R21" s="5">
        <f t="shared" si="0"/>
        <v>366.25546302392189</v>
      </c>
      <c r="S21" s="5">
        <f t="shared" si="1"/>
        <v>20.235463023921909</v>
      </c>
      <c r="T21" s="37">
        <f t="shared" si="2"/>
        <v>5.8480616796491275E-2</v>
      </c>
      <c r="U21" s="5">
        <f>'2025.11'!X5</f>
        <v>0</v>
      </c>
      <c r="V21" s="5">
        <f>'2025.11'!U5</f>
        <v>0.72</v>
      </c>
      <c r="W21" s="5">
        <f>'2025.11'!W5</f>
        <v>0.28999999999999998</v>
      </c>
      <c r="X21" s="5">
        <f>'2025.11'!V5</f>
        <v>0.02</v>
      </c>
    </row>
    <row r="22" spans="1:24" x14ac:dyDescent="0.25">
      <c r="A22" s="50" t="str">
        <f>'2025.12'!$Q$2</f>
        <v>2025.12</v>
      </c>
      <c r="B22" s="5">
        <f>B21+'2025.12'!$Q$5</f>
        <v>356</v>
      </c>
      <c r="C22" s="5">
        <f>'2025.12'!$R$5</f>
        <v>0</v>
      </c>
      <c r="D22" s="5">
        <f>D21+'2025.12'!$S$5</f>
        <v>354.94</v>
      </c>
      <c r="E22" s="5">
        <f>SLMC!H24</f>
        <v>22.059193800932718</v>
      </c>
      <c r="F22" s="5">
        <f>AYEM!H24</f>
        <v>89.765464096522052</v>
      </c>
      <c r="G22" s="5">
        <f>SGAJ!H23</f>
        <v>21.672240002164191</v>
      </c>
      <c r="H22" s="5">
        <f>WEBN!H14</f>
        <v>223.73494853257947</v>
      </c>
      <c r="I22" s="5">
        <f>XNAS!H14</f>
        <v>21.260083040400499</v>
      </c>
      <c r="J22" s="20"/>
      <c r="K22" s="20"/>
      <c r="L22" s="20"/>
      <c r="M22" s="20"/>
      <c r="N22" s="20"/>
      <c r="O22" s="20"/>
      <c r="P22" s="20"/>
      <c r="Q22" s="20"/>
      <c r="R22" s="5">
        <f t="shared" si="0"/>
        <v>378.44192947259893</v>
      </c>
      <c r="S22" s="5">
        <f t="shared" si="1"/>
        <v>22.441929472598929</v>
      </c>
      <c r="T22" s="37">
        <f t="shared" si="2"/>
        <v>6.3039127732019459E-2</v>
      </c>
      <c r="U22" s="5">
        <f>'2025.12'!X5</f>
        <v>0</v>
      </c>
      <c r="V22" s="5">
        <f>'2025.12'!U5</f>
        <v>0.02</v>
      </c>
      <c r="W22" s="5">
        <f>'2025.12'!W5</f>
        <v>0</v>
      </c>
      <c r="X22" s="5">
        <f>'2025.12'!$V$5</f>
        <v>0.05</v>
      </c>
    </row>
    <row r="23" spans="1:24" x14ac:dyDescent="0.25">
      <c r="A23" s="50">
        <f>'2026.01'!$Q$2</f>
        <v>2026.01</v>
      </c>
      <c r="B23" s="5">
        <f>B22+'2026.01'!$Q$5</f>
        <v>395.97</v>
      </c>
      <c r="C23" s="5">
        <f>'2026.01'!$R$5</f>
        <v>0</v>
      </c>
      <c r="D23" s="5">
        <f>D22+'2026.01'!$S$5</f>
        <v>394.82</v>
      </c>
      <c r="E23" s="5">
        <f>SLMC!H25</f>
        <v>22.754723936894433</v>
      </c>
      <c r="F23" s="5">
        <f>AYEM!H25</f>
        <v>106.6192745193257</v>
      </c>
      <c r="G23" s="5">
        <f>SGAJ!H24</f>
        <v>22.600832103736835</v>
      </c>
      <c r="H23" s="5">
        <f>WEBN!H15</f>
        <v>255.59073359775769</v>
      </c>
      <c r="I23" s="5">
        <f>XNAS!H15</f>
        <v>21.196632732878413</v>
      </c>
      <c r="J23" s="20"/>
      <c r="K23" s="20"/>
      <c r="L23" s="20"/>
      <c r="M23" s="20"/>
      <c r="N23" s="20"/>
      <c r="O23" s="20"/>
      <c r="P23" s="20"/>
      <c r="Q23" s="20"/>
      <c r="R23" s="5">
        <f t="shared" si="0"/>
        <v>428.71219689059308</v>
      </c>
      <c r="S23" s="5">
        <f t="shared" si="1"/>
        <v>32.74219689059305</v>
      </c>
      <c r="T23" s="37">
        <f t="shared" si="2"/>
        <v>8.2688579666623852E-2</v>
      </c>
      <c r="U23" s="5">
        <f>'2026.01'!$X$5</f>
        <v>0</v>
      </c>
      <c r="V23" s="5">
        <f>'2026.01'!$U$5</f>
        <v>9.0000000000000011E-2</v>
      </c>
      <c r="W23" s="5">
        <f>'2026.01'!$W$5</f>
        <v>0</v>
      </c>
      <c r="X23" s="5">
        <f>'2026.01'!$V$5</f>
        <v>0.05</v>
      </c>
    </row>
    <row r="24" spans="1:24" x14ac:dyDescent="0.25">
      <c r="A24" s="50">
        <f>'2026.02'!$Q$2</f>
        <v>2026.02</v>
      </c>
      <c r="B24" s="5">
        <f>B23+'2026.02'!$Q$5</f>
        <v>435.95000000000005</v>
      </c>
      <c r="C24" s="5">
        <f>'2026.02'!$R$5</f>
        <v>0</v>
      </c>
      <c r="D24" s="5">
        <f>D23+'2026.02'!$S$5</f>
        <v>434.71</v>
      </c>
      <c r="E24" s="5">
        <f>SLMC!H26</f>
        <v>23.510251880111632</v>
      </c>
      <c r="F24" s="5">
        <f>AYEM!H26</f>
        <v>123.68794200330639</v>
      </c>
      <c r="G24" s="5">
        <f>SGAJ!H25</f>
        <v>24.433579672630213</v>
      </c>
      <c r="H24" s="5">
        <f>WEBN!H16</f>
        <v>291.647326646387</v>
      </c>
      <c r="I24" s="5">
        <f>XNAS!H16</f>
        <v>20.77363068273117</v>
      </c>
      <c r="J24" s="20"/>
      <c r="K24" s="20"/>
      <c r="L24" s="20"/>
      <c r="M24" s="20"/>
      <c r="N24" s="20"/>
      <c r="O24" s="20"/>
      <c r="P24" s="20"/>
      <c r="Q24" s="20"/>
      <c r="R24" s="5">
        <f t="shared" si="0"/>
        <v>483.99273088516634</v>
      </c>
      <c r="S24" s="5">
        <f t="shared" si="1"/>
        <v>48.042730885166293</v>
      </c>
      <c r="T24" s="37">
        <f t="shared" si="2"/>
        <v>0.11020238762510905</v>
      </c>
      <c r="U24" s="5">
        <f>'2026.02'!$X$5</f>
        <v>0</v>
      </c>
      <c r="V24" s="5">
        <f>'2026.02'!$U$5</f>
        <v>9.0000000000000011E-2</v>
      </c>
      <c r="W24" s="5">
        <f>'2026.02'!$W$5</f>
        <v>0</v>
      </c>
      <c r="X24" s="5">
        <f>'2026.02'!$V$5</f>
        <v>0.06</v>
      </c>
    </row>
    <row r="25" spans="1:24" x14ac:dyDescent="0.25">
      <c r="A25" s="50">
        <f>'2026.03'!$Q$2</f>
        <v>2026.03</v>
      </c>
      <c r="B25" s="5">
        <f>B24+'2026.03'!$Q$5</f>
        <v>475.90000000000003</v>
      </c>
      <c r="C25" s="5">
        <f>'2026.03'!$R$5</f>
        <v>0</v>
      </c>
      <c r="D25" s="5">
        <f>D24+'2026.03'!$S$5</f>
        <v>474.58</v>
      </c>
      <c r="E25" s="5">
        <f>SLMC!H27</f>
        <v>31.332467434333701</v>
      </c>
      <c r="F25" s="5">
        <f>AYEM!H27</f>
        <v>120.20367182059863</v>
      </c>
      <c r="G25" s="5">
        <f>SGAJ!H26</f>
        <v>32.047516778594023</v>
      </c>
      <c r="H25" s="5">
        <f>WEBN!H17</f>
        <v>274.82636185621374</v>
      </c>
      <c r="I25" s="5">
        <f>XNAS!H17</f>
        <v>29.292034732246499</v>
      </c>
      <c r="J25" s="20"/>
      <c r="K25" s="20"/>
      <c r="L25" s="20"/>
      <c r="M25" s="20"/>
      <c r="N25" s="20"/>
      <c r="O25" s="20"/>
      <c r="P25" s="20"/>
      <c r="Q25" s="20"/>
      <c r="R25" s="5">
        <f t="shared" si="0"/>
        <v>487.64205262198658</v>
      </c>
      <c r="S25" s="5">
        <f t="shared" si="1"/>
        <v>11.742052621986545</v>
      </c>
      <c r="T25" s="37">
        <f t="shared" si="2"/>
        <v>2.4673361256538233E-2</v>
      </c>
      <c r="U25" s="5">
        <f>'2026.03'!$X$5</f>
        <v>0</v>
      </c>
      <c r="V25" s="5">
        <f>'2026.03'!$U$5</f>
        <v>0.08</v>
      </c>
      <c r="W25" s="5">
        <f>'2026.03'!$W$5</f>
        <v>0</v>
      </c>
      <c r="X25" s="5">
        <f>'2026.03'!$V$5</f>
        <v>0.06</v>
      </c>
    </row>
    <row r="26" spans="1:24" x14ac:dyDescent="0.25">
      <c r="A26" s="50">
        <f>'2026.04'!$Q$2</f>
        <v>2026.04</v>
      </c>
      <c r="B26" s="5">
        <f>B25+'2026.04'!$Q$5</f>
        <v>525.87</v>
      </c>
      <c r="C26" s="5">
        <f>'2026.04'!$R$5</f>
        <v>0</v>
      </c>
      <c r="D26" s="5">
        <f>D25+'2026.04'!$S$5</f>
        <v>524.54999999999995</v>
      </c>
      <c r="E26" s="5">
        <f>SLMC!H28</f>
        <v>42.228922276422985</v>
      </c>
      <c r="F26" s="5">
        <f>AYEM!H28</f>
        <v>154.69311345369158</v>
      </c>
      <c r="G26" s="5">
        <f>SGAJ!H27</f>
        <v>43.328742919153463</v>
      </c>
      <c r="H26" s="5">
        <f>WEBN!H18</f>
        <v>297.18716534973743</v>
      </c>
      <c r="I26" s="5">
        <f>XNAS!H18</f>
        <v>43.798575187042879</v>
      </c>
      <c r="J26" s="20"/>
      <c r="K26" s="20"/>
      <c r="L26" s="20"/>
      <c r="M26" s="20"/>
      <c r="N26" s="20"/>
      <c r="O26" s="20"/>
      <c r="P26" s="20"/>
      <c r="Q26" s="20"/>
      <c r="R26" s="5">
        <f t="shared" si="0"/>
        <v>581.17651918604838</v>
      </c>
      <c r="S26" s="5">
        <f t="shared" si="1"/>
        <v>55.306519186048376</v>
      </c>
      <c r="T26" s="37">
        <f t="shared" si="2"/>
        <v>0.10517146668577476</v>
      </c>
      <c r="U26" s="5">
        <f>'2026.04'!$X$5</f>
        <v>0</v>
      </c>
      <c r="V26" s="5">
        <f>'2026.04'!$U$5</f>
        <v>0</v>
      </c>
      <c r="W26" s="5">
        <f>'2026.04'!$W$5</f>
        <v>0</v>
      </c>
      <c r="X26" s="5">
        <f>'2026.04'!$V$5</f>
        <v>0.06</v>
      </c>
    </row>
    <row r="27" spans="1:24" x14ac:dyDescent="0.25">
      <c r="A27" s="50">
        <f>'2026.05'!$Q$2</f>
        <v>2026.05</v>
      </c>
      <c r="B27" s="5">
        <f>B26+'2026.05'!$Q$5</f>
        <v>575.70000000000005</v>
      </c>
      <c r="C27" s="5">
        <f>'2026.05'!$R$5</f>
        <v>0</v>
      </c>
      <c r="D27" s="5">
        <f>D26+'2026.05'!$S$5</f>
        <v>574.28</v>
      </c>
      <c r="E27" s="5">
        <f>SLMC!H29</f>
        <v>54.57606179809698</v>
      </c>
      <c r="F27" s="5">
        <f>AYEM!H29</f>
        <v>180.29366571066836</v>
      </c>
      <c r="G27" s="5">
        <f>SGAJ!H28</f>
        <v>56.797323981263766</v>
      </c>
      <c r="H27" s="5">
        <f>WEBN!H19</f>
        <v>326.8399635855663</v>
      </c>
      <c r="I27" s="5">
        <f>XNAS!H19</f>
        <v>59.383730217702528</v>
      </c>
      <c r="J27" s="20"/>
      <c r="K27" s="20"/>
      <c r="L27" s="20"/>
      <c r="M27" s="20"/>
      <c r="N27" s="20"/>
      <c r="O27" s="20"/>
      <c r="P27" s="20"/>
      <c r="Q27" s="20"/>
      <c r="R27" s="5">
        <f t="shared" si="0"/>
        <v>677.81074529329794</v>
      </c>
      <c r="S27" s="5">
        <f t="shared" si="1"/>
        <v>102.1107452932979</v>
      </c>
      <c r="T27" s="37">
        <f t="shared" si="2"/>
        <v>0.17736797862306389</v>
      </c>
      <c r="U27" s="5">
        <f>'2026.05'!$X$5</f>
        <v>0</v>
      </c>
      <c r="V27" s="5">
        <f>'2026.05'!$U$5</f>
        <v>0.1</v>
      </c>
      <c r="W27" s="5">
        <f>'2026.05'!$W$5</f>
        <v>0</v>
      </c>
      <c r="X27" s="5">
        <f>'2026.05'!$V$5</f>
        <v>0.08</v>
      </c>
    </row>
    <row r="28" spans="1:24" x14ac:dyDescent="0.25">
      <c r="A28" s="50">
        <f>'2026.06'!$Q$2</f>
        <v>2026.06</v>
      </c>
      <c r="B28" s="5">
        <f>B27+'2026.06'!$Q$5</f>
        <v>2394.58</v>
      </c>
      <c r="C28" s="5">
        <f>'2026.06'!$R$5</f>
        <v>0</v>
      </c>
      <c r="D28" s="5">
        <f>D27+'2026.06'!$S$5</f>
        <v>2388.6099999999997</v>
      </c>
      <c r="E28" s="5">
        <f>SLMC!H30</f>
        <v>277.66161908154686</v>
      </c>
      <c r="F28" s="5">
        <f>AYEM!H30</f>
        <v>284.57390783130955</v>
      </c>
      <c r="G28" s="5">
        <f>SGAJ!H29</f>
        <v>259.31932082976374</v>
      </c>
      <c r="H28" s="5">
        <f>WEBN!H20</f>
        <v>1434.7981693001859</v>
      </c>
      <c r="I28" s="5">
        <f>XNAS!H20</f>
        <v>262.210450142355</v>
      </c>
      <c r="J28" s="20"/>
      <c r="K28" s="20"/>
      <c r="L28" s="20"/>
      <c r="M28" s="20"/>
      <c r="N28" s="20"/>
      <c r="O28" s="20"/>
      <c r="P28" s="20"/>
      <c r="Q28" s="20"/>
      <c r="R28" s="5">
        <f t="shared" ref="R28" si="3">SUM(E28:Q28)-X28</f>
        <v>2518.4734671851606</v>
      </c>
      <c r="S28" s="5">
        <f t="shared" ref="S28" si="4">R28-B28</f>
        <v>123.89346718516072</v>
      </c>
      <c r="T28" s="37">
        <f t="shared" ref="T28" si="5">S28/B28</f>
        <v>5.1739122178069107E-2</v>
      </c>
      <c r="U28" s="5">
        <f>'2026.06'!$X$5</f>
        <v>0</v>
      </c>
      <c r="V28" s="5">
        <f>'2026.06'!$U$5</f>
        <v>4.55</v>
      </c>
      <c r="W28" s="5">
        <f>'2026.06'!$W$5</f>
        <v>0</v>
      </c>
      <c r="X28" s="5">
        <f>'2026.06'!$V$5</f>
        <v>0.09</v>
      </c>
    </row>
    <row r="29" spans="1:24" x14ac:dyDescent="0.25">
      <c r="A29" s="50">
        <f>'2026.07'!$Q$2</f>
        <v>2026.07</v>
      </c>
      <c r="B29" s="5">
        <f>B28+'2026.07'!$Q$5</f>
        <v>2994.5699999999997</v>
      </c>
      <c r="C29" s="5">
        <f>'2026.07'!$R$5</f>
        <v>0</v>
      </c>
      <c r="D29" s="5">
        <f>D28+'2026.07'!$S$5</f>
        <v>2987.0999999999995</v>
      </c>
      <c r="E29" s="5">
        <f>SLMC!H31</f>
        <v>381.26115620834645</v>
      </c>
      <c r="F29" s="5">
        <f>AYEM!H31</f>
        <v>355.23979187186819</v>
      </c>
      <c r="G29" s="5">
        <f>SGAJ!H30</f>
        <v>354.46043504895346</v>
      </c>
      <c r="H29" s="5">
        <f>WEBN!H21</f>
        <v>1601.4584704475442</v>
      </c>
      <c r="I29" s="5">
        <f>XNAS!H21</f>
        <v>336.33100752178154</v>
      </c>
      <c r="J29" s="20"/>
      <c r="K29" s="20"/>
      <c r="L29" s="20"/>
      <c r="M29" s="20"/>
      <c r="N29" s="20"/>
      <c r="O29" s="20"/>
      <c r="P29" s="20"/>
      <c r="Q29" s="20"/>
      <c r="R29" s="5">
        <f t="shared" ref="R29" si="6">SUM(E29:Q29)-X29</f>
        <v>3028.5708610984939</v>
      </c>
      <c r="S29" s="5">
        <f t="shared" ref="S29" si="7">R29-B29</f>
        <v>34.00086109849417</v>
      </c>
      <c r="T29" s="37">
        <f t="shared" ref="T29" si="8">S29/B29</f>
        <v>1.1354171416428459E-2</v>
      </c>
      <c r="U29" s="5">
        <f>'2026.07'!$X$5</f>
        <v>0</v>
      </c>
      <c r="V29" s="5">
        <f>'2026.07'!$U$5</f>
        <v>1.5</v>
      </c>
      <c r="W29" s="5">
        <f>'2026.07'!$W$5</f>
        <v>0</v>
      </c>
      <c r="X29" s="5">
        <f>'2026.07'!$V$5</f>
        <v>0.18</v>
      </c>
    </row>
    <row r="30" spans="1:24" x14ac:dyDescent="0.25">
      <c r="A30" s="50">
        <f>'2026.08'!$Q$2</f>
        <v>2026.08</v>
      </c>
      <c r="B30" s="5">
        <f>B29+'2026.08'!$Q$5</f>
        <v>3094.4199999999996</v>
      </c>
      <c r="C30" s="5">
        <f>'2026.08'!$R$5</f>
        <v>0</v>
      </c>
      <c r="D30" s="5">
        <f>D29+'2026.08'!$S$5</f>
        <v>3086.7199999999993</v>
      </c>
      <c r="E30" s="5">
        <f>SLMC!H32</f>
        <v>392.68103940573803</v>
      </c>
      <c r="F30" s="5">
        <f>AYEM!H32</f>
        <v>385.67235255055317</v>
      </c>
      <c r="G30" s="5">
        <f>SGAJ!H31</f>
        <v>373.77266524703435</v>
      </c>
      <c r="H30" s="5">
        <f>WEBN!H22</f>
        <v>1707.9644742913099</v>
      </c>
      <c r="I30" s="5">
        <f>XNAS!H22</f>
        <v>360.16936593382479</v>
      </c>
      <c r="J30" s="20"/>
      <c r="K30" s="20"/>
      <c r="L30" s="20"/>
      <c r="M30" s="20"/>
      <c r="N30" s="20"/>
      <c r="O30" s="20"/>
      <c r="P30" s="20"/>
      <c r="Q30" s="20"/>
      <c r="R30" s="5">
        <f t="shared" ref="R30" si="9">SUM(E30:Q30)-X30</f>
        <v>3219.8598974284605</v>
      </c>
      <c r="S30" s="5">
        <f t="shared" ref="S30" si="10">R30-B30</f>
        <v>125.43989742846088</v>
      </c>
      <c r="T30" s="37">
        <f t="shared" ref="T30" si="11">S30/B30</f>
        <v>4.0537450452253057E-2</v>
      </c>
      <c r="U30" s="5">
        <f>'2026.08'!$X$5</f>
        <v>0</v>
      </c>
      <c r="V30" s="5">
        <f>'2026.08'!$U$5</f>
        <v>0.22999999999999998</v>
      </c>
      <c r="W30" s="5">
        <f>'2026.08'!$W$5</f>
        <v>0</v>
      </c>
      <c r="X30" s="5">
        <f>'2026.08'!$V$5</f>
        <v>0.4</v>
      </c>
    </row>
    <row r="31" spans="1:24" x14ac:dyDescent="0.25">
      <c r="A31" s="50">
        <f>'2026.09'!$Q$2</f>
        <v>2026.09</v>
      </c>
      <c r="B31" s="5">
        <f>B30+'2026.09'!$Q$5</f>
        <v>3194.3399999999997</v>
      </c>
      <c r="C31" s="5">
        <f>'2026.09'!$R$5</f>
        <v>0</v>
      </c>
      <c r="D31" s="5">
        <f>D30+'2026.09'!$S$5</f>
        <v>3186.4099999999994</v>
      </c>
      <c r="E31" s="5">
        <f>SLMC!H33</f>
        <v>393.30373108379257</v>
      </c>
      <c r="F31" s="5">
        <f>AYEM!H33</f>
        <v>403.76213084975075</v>
      </c>
      <c r="G31" s="5">
        <f>SGAJ!H32</f>
        <v>401.76064956004859</v>
      </c>
      <c r="H31" s="5">
        <f>WEBN!H23</f>
        <v>1801.911152351189</v>
      </c>
      <c r="I31" s="5">
        <f>XNAS!H23</f>
        <v>394.76441441324624</v>
      </c>
      <c r="J31" s="20"/>
      <c r="K31" s="20"/>
      <c r="L31" s="20"/>
      <c r="M31" s="20"/>
      <c r="N31" s="20"/>
      <c r="O31" s="20"/>
      <c r="P31" s="20"/>
      <c r="Q31" s="20"/>
      <c r="R31" s="5">
        <f t="shared" ref="R31" si="12">SUM(E31:Q31)-X31</f>
        <v>3395.0820782580277</v>
      </c>
      <c r="S31" s="5">
        <f t="shared" ref="S31" si="13">R31-B31</f>
        <v>200.74207825802796</v>
      </c>
      <c r="T31" s="37">
        <f t="shared" ref="T31" si="14">S31/B31</f>
        <v>6.2843053105814659E-2</v>
      </c>
      <c r="U31" s="5">
        <f>'2026.09'!$X$5</f>
        <v>0</v>
      </c>
      <c r="V31" s="5">
        <f>'2026.09'!$U$5</f>
        <v>0.22999999999999998</v>
      </c>
      <c r="W31" s="5">
        <f>'2026.09'!$W$5</f>
        <v>0</v>
      </c>
      <c r="X31" s="5">
        <f>'2026.09'!$V$5</f>
        <v>0.42</v>
      </c>
    </row>
  </sheetData>
  <mergeCells count="5">
    <mergeCell ref="A1:A2"/>
    <mergeCell ref="B1:D1"/>
    <mergeCell ref="U1:U2"/>
    <mergeCell ref="V1:X1"/>
    <mergeCell ref="E1:T1"/>
  </mergeCells>
  <hyperlinks>
    <hyperlink ref="A3" location="'2024.05'!A1" display="'2024.05'!A1" xr:uid="{1C3EC3F1-40CF-4813-ABDF-BCB858D9DA70}"/>
    <hyperlink ref="A4" location="'2024.06'!A1" display="'2024.06'!A1" xr:uid="{652669BD-2561-4AE8-9F98-01BA8F43C748}"/>
    <hyperlink ref="A5" location="'2024.07'!A1" display="'2024.07'!A1" xr:uid="{A4BC56F9-290F-49C3-A714-2C53E9BFDA7F}"/>
    <hyperlink ref="A6" location="'2024.08'!A1" display="'2024.08'!A1" xr:uid="{03114470-ECB2-4A43-88DE-8E47B963E34F}"/>
    <hyperlink ref="A7" location="'2024.09'!A1" display="'2024.09'!A1" xr:uid="{487761A3-FE46-44E7-9AD1-AB10793D3BA9}"/>
    <hyperlink ref="A8" location="'2024.10'!A1" display="'2024.10'!A1" xr:uid="{5AFFDEC3-5DAD-49DD-8CB0-75EED81E3084}"/>
    <hyperlink ref="A9" location="'2024.11'!A1" display="'2024.11'!A1" xr:uid="{C1D7D941-A4D6-48C9-A2B1-B6C98CACEEC6}"/>
    <hyperlink ref="A10" location="'2024.12'!A1" display="'2024.12'!A1" xr:uid="{42D09984-6239-4E72-8452-FCD7359B02C3}"/>
    <hyperlink ref="A11" location="'2025.01'!A1" display="'2025.01'!A1" xr:uid="{9EC42FA7-4F35-4ED4-893B-29FD53A1AE2F}"/>
    <hyperlink ref="A12" location="'2025.02'!A1" display="'2025.02'!A1" xr:uid="{CECC36F5-014B-4577-A463-3C23BF7CF920}"/>
    <hyperlink ref="A13" location="'2025.03'!A1" display="'2025.03'!A1" xr:uid="{1621A5E3-9C2E-4729-A6FF-0458AF0ABA73}"/>
    <hyperlink ref="A14" location="'2025.04'!A1" display="'2025.04'!A1" xr:uid="{1B269CB7-B489-4DDC-A99E-EB35FDF06132}"/>
    <hyperlink ref="A15" location="'2025.05'!A1" display="'2025.05'!A1" xr:uid="{03212EEA-5754-42EA-A2EB-8D4F7C2EA496}"/>
    <hyperlink ref="A16" location="'2025.06'!A1" display="'2025.06'!A1" xr:uid="{1A712E05-8F50-4BB4-9680-5237D2430C2F}"/>
    <hyperlink ref="A17" location="'2025.07'!A1" display="'2025.07'!A1" xr:uid="{ADC7A388-2D4B-4E77-A48F-B59A8523073F}"/>
    <hyperlink ref="A18" location="'2025.08'!A1" display="'2025.08'!A1" xr:uid="{B740BB8D-98A5-452D-8F92-524259BE94C1}"/>
    <hyperlink ref="A19" location="'2025.09'!A1" display="'2025.09'!A1" xr:uid="{D13D18CB-649C-4EFD-B6BD-D06B3C6B735B}"/>
    <hyperlink ref="A20" location="'2025.10'!A1" display="'2025.10'!A1" xr:uid="{17677C45-A0CD-4AAF-BCC4-5D21C38E09D5}"/>
    <hyperlink ref="A21" location="'2025.11'!A1" display="'2025.11'!A1" xr:uid="{138B5287-C16C-44E3-A976-521FC627282D}"/>
    <hyperlink ref="A22" location="'2025.12'!A1" display="'2025.12'!A1" xr:uid="{B953973C-F42B-4FD0-A6B8-D4E7A56D7716}"/>
    <hyperlink ref="A23" location="'2026.01'!A1" display="'2026.01'!A1" xr:uid="{DD597DCC-A818-4AB5-A2F0-274ECAF9CEA6}"/>
    <hyperlink ref="A24" location="'2026.02'!A1" display="'2026.02'!A1" xr:uid="{74546631-CBCC-4365-A256-5383A1B67B2F}"/>
    <hyperlink ref="A25" location="'2026.03'!A1" display="'2026.03'!A1" xr:uid="{82CB2FE7-CBC6-4580-9823-A64BD0E21B89}"/>
    <hyperlink ref="A26" location="'2026.04'!A1" display="'2026.04'!A1" xr:uid="{8E47A5A5-E179-46C4-963E-D1CDBA91D9A8}"/>
    <hyperlink ref="A27" location="'2026.05'!A1" display="'2026.05'!A1" xr:uid="{CF2AE829-4D7D-4124-9C53-7F1AF4D82308}"/>
    <hyperlink ref="E2" location="SLMC!A1" display="SLMC" xr:uid="{8F21F294-B9D8-4D06-9441-E547EA8BE764}"/>
    <hyperlink ref="F2" location="AYEM!A1" display="AYEM" xr:uid="{3ED1E6E1-457F-4DFF-92B9-4E5C5372D413}"/>
    <hyperlink ref="G2" location="SGAJ!A1" display="SGAJ" xr:uid="{2D41F2C8-7569-4468-93ED-B267E7331B62}"/>
    <hyperlink ref="H2" location="WEBN!A1" display="WEBN" xr:uid="{7F67D654-1037-4A75-B41F-A33C09D8C45C}"/>
    <hyperlink ref="I2" location="XNAS!A1" display="XNAS" xr:uid="{2F9D2B79-0638-4119-B7E0-2CABA3C6B463}"/>
    <hyperlink ref="A28" location="'2026.06'!A1" display="'2026.06'!A1" xr:uid="{81A6D44D-E060-4D10-AB34-FFE60A1CF2FC}"/>
    <hyperlink ref="A29" location="'2026.07'!A1" display="'2026.07'!A1" xr:uid="{8189CC28-70CD-4F52-96BE-3C34E4C9C7EE}"/>
    <hyperlink ref="A30" location="'2026.08'!A1" display="'2026.08'!A1" xr:uid="{2DBFA678-4DAC-4758-B340-608ADF7F665A}"/>
    <hyperlink ref="A31" location="'2026.09'!A1" display="'2026.09'!A1" xr:uid="{90E44893-51DA-4AF3-BC26-C98A5F16103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33" sqref="G33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7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12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38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49">
        <f>'2024.05'!Q2</f>
        <v>2024.05</v>
      </c>
      <c r="B5" s="5">
        <f>'2024.05'!B29</f>
        <v>9.98</v>
      </c>
      <c r="C5" s="5">
        <f>'2024.05'!C29</f>
        <v>9.9600000000000009</v>
      </c>
      <c r="D5" s="5">
        <f>C5</f>
        <v>9.9600000000000009</v>
      </c>
      <c r="E5" s="8">
        <f>'2024.05'!F29</f>
        <v>1.1677805135420332</v>
      </c>
      <c r="F5" s="8">
        <f>E5</f>
        <v>1.1677805135420332</v>
      </c>
      <c r="G5" s="7">
        <v>8.4420000000000002</v>
      </c>
      <c r="H5" s="5">
        <f t="shared" ref="H5:H15" si="0">F5*G5</f>
        <v>9.8584030953218438</v>
      </c>
      <c r="I5" s="5">
        <f t="shared" ref="I5:I22" si="1">H5-D5</f>
        <v>-0.10159690467815707</v>
      </c>
      <c r="J5" s="37">
        <f>(H5-D5)/D5</f>
        <v>-1.020049243756597E-2</v>
      </c>
      <c r="K5" s="5">
        <f>'2024.05'!D29</f>
        <v>1.9999999999999574E-2</v>
      </c>
      <c r="L5" s="5">
        <f>'2024.05'!I29</f>
        <v>0</v>
      </c>
      <c r="M5" s="5">
        <f>'2024.05'!O29</f>
        <v>0</v>
      </c>
      <c r="O5" s="3" t="s">
        <v>2</v>
      </c>
      <c r="P5" s="5">
        <f>SUM(B5:B500)</f>
        <v>389.78000000000003</v>
      </c>
      <c r="Q5" s="8">
        <f>SUM(E5:E500)</f>
        <v>36.229157247954362</v>
      </c>
      <c r="R5" s="5"/>
      <c r="S5" s="5">
        <f>R5-P5+X5</f>
        <v>-389.78000000000003</v>
      </c>
      <c r="T5" s="37">
        <f>(R5-P5+X5)/P5</f>
        <v>-1</v>
      </c>
      <c r="U5" s="37">
        <f ca="1">XIRR(AG5:AG200,AF5:AF200)</f>
        <v>2.8506061434745791E-2</v>
      </c>
      <c r="V5" s="5">
        <f>SUM(K5:K500)</f>
        <v>0.91999999999999971</v>
      </c>
      <c r="W5" s="5">
        <f>SUM(L5:L500)</f>
        <v>0</v>
      </c>
      <c r="X5" s="5">
        <f>SUM(M5:M500)</f>
        <v>0</v>
      </c>
      <c r="Y5" s="5" cm="1">
        <f t="array" ref="Y5">SUMPRODUCT(IFERROR(AD5:AD200,0),IFERROR(AE5:AE200,0))/SUM(IFERROR(AE5:AE200,0))</f>
        <v>10.733343790986375</v>
      </c>
      <c r="AC5" s="5">
        <f>'2024.05'!$C$29</f>
        <v>9.9600000000000009</v>
      </c>
      <c r="AD5" s="5">
        <f>'2024.05'!$E$29</f>
        <v>8.5289999999999999</v>
      </c>
      <c r="AE5" s="8">
        <f>'2024.05'!$F$29</f>
        <v>1.1677805135420332</v>
      </c>
      <c r="AF5" s="31">
        <f>'2024.05'!$A$25</f>
        <v>45443</v>
      </c>
      <c r="AG5" s="5">
        <f>'2024.05'!$B$25*-1</f>
        <v>-9.98</v>
      </c>
    </row>
    <row r="6" spans="1:33" x14ac:dyDescent="0.25">
      <c r="A6" s="49">
        <f>'2024.06'!Q2</f>
        <v>2024.06</v>
      </c>
      <c r="B6" s="5">
        <f>'2024.06'!B29</f>
        <v>0</v>
      </c>
      <c r="C6" s="5">
        <f>'2024.06'!C29</f>
        <v>0</v>
      </c>
      <c r="D6" s="5">
        <f t="shared" ref="D6:D22" si="2">D5+C6</f>
        <v>9.9600000000000009</v>
      </c>
      <c r="E6" s="8">
        <f>'2024.06'!F29</f>
        <v>0</v>
      </c>
      <c r="F6" s="8">
        <f t="shared" ref="F6:F15" si="3">F5+E6</f>
        <v>1.1677805135420332</v>
      </c>
      <c r="G6" s="7">
        <v>8.3859999999999992</v>
      </c>
      <c r="H6" s="5">
        <f t="shared" si="0"/>
        <v>9.7930073865634899</v>
      </c>
      <c r="I6" s="5">
        <f t="shared" si="1"/>
        <v>-0.16699261343651095</v>
      </c>
      <c r="J6" s="37">
        <f t="shared" ref="J6:J23" si="4">(H6-D6)/D6</f>
        <v>-1.6766326650252104E-2</v>
      </c>
      <c r="K6" s="5">
        <f>'2024.06'!D29</f>
        <v>0</v>
      </c>
      <c r="L6" s="5">
        <f>'2024.06'!I29</f>
        <v>0</v>
      </c>
      <c r="M6" s="5">
        <f>'2024.06'!O29</f>
        <v>0</v>
      </c>
      <c r="AC6" s="5">
        <f>'2024.06'!$C$29</f>
        <v>0</v>
      </c>
      <c r="AD6" s="5" t="str">
        <f>'2024.06'!$E$29</f>
        <v>0.00</v>
      </c>
      <c r="AE6" s="8">
        <f>'2024.06'!$F$29</f>
        <v>0</v>
      </c>
      <c r="AF6" s="31">
        <f>'2025.11'!$A$25</f>
        <v>45989</v>
      </c>
      <c r="AG6" s="5">
        <f>'2025.11'!$B$25*-1</f>
        <v>-9.9700000000000006</v>
      </c>
    </row>
    <row r="7" spans="1:33" x14ac:dyDescent="0.25">
      <c r="A7" s="49">
        <f>'2024.07'!Q2</f>
        <v>2024.07</v>
      </c>
      <c r="B7" s="5">
        <f>'2024.07'!B29</f>
        <v>0</v>
      </c>
      <c r="C7" s="5">
        <f>'2024.07'!C29</f>
        <v>0</v>
      </c>
      <c r="D7" s="5">
        <f t="shared" si="2"/>
        <v>9.9600000000000009</v>
      </c>
      <c r="E7" s="8">
        <f>'2024.07'!F29</f>
        <v>0</v>
      </c>
      <c r="F7" s="8">
        <f t="shared" si="3"/>
        <v>1.1677805135420332</v>
      </c>
      <c r="G7" s="7">
        <v>8.4870000000000001</v>
      </c>
      <c r="H7" s="5">
        <f t="shared" si="0"/>
        <v>9.910953218431235</v>
      </c>
      <c r="I7" s="5">
        <f t="shared" si="1"/>
        <v>-4.9046781568765851E-2</v>
      </c>
      <c r="J7" s="37">
        <f t="shared" si="4"/>
        <v>-4.9243756595146434E-3</v>
      </c>
      <c r="K7" s="5">
        <f>'2024.07'!D29</f>
        <v>0</v>
      </c>
      <c r="L7" s="5">
        <f>'2024.07'!I29</f>
        <v>0</v>
      </c>
      <c r="M7" s="5">
        <f>'2024.07'!O29</f>
        <v>0</v>
      </c>
      <c r="AC7" s="5">
        <f>'2024.07'!$C$29</f>
        <v>0</v>
      </c>
      <c r="AD7" s="5" t="str">
        <f>'2024.07'!$E$29</f>
        <v>0.00</v>
      </c>
      <c r="AE7" s="8">
        <f>'2024.07'!$F$29</f>
        <v>0</v>
      </c>
      <c r="AF7" s="31">
        <f>'2026.03'!$A$25</f>
        <v>46100</v>
      </c>
      <c r="AG7" s="5">
        <f>'2026.03'!$B$25*-1</f>
        <v>-9.99</v>
      </c>
    </row>
    <row r="8" spans="1:33" x14ac:dyDescent="0.25">
      <c r="A8" s="49">
        <f>'2024.08'!Q2</f>
        <v>2024.08</v>
      </c>
      <c r="B8" s="5">
        <f>'2024.08'!B29</f>
        <v>0</v>
      </c>
      <c r="C8" s="5">
        <f>'2024.08'!C29</f>
        <v>0</v>
      </c>
      <c r="D8" s="5">
        <f t="shared" si="2"/>
        <v>9.9600000000000009</v>
      </c>
      <c r="E8" s="8">
        <f>'2024.08'!F29</f>
        <v>0</v>
      </c>
      <c r="F8" s="8">
        <f t="shared" si="3"/>
        <v>1.1677805135420332</v>
      </c>
      <c r="G8" s="7">
        <v>8.6219999999999999</v>
      </c>
      <c r="H8" s="5">
        <f t="shared" si="0"/>
        <v>10.06860358775941</v>
      </c>
      <c r="I8" s="5">
        <f t="shared" si="1"/>
        <v>0.10860358775940959</v>
      </c>
      <c r="J8" s="37">
        <f t="shared" si="4"/>
        <v>1.0903974674639516E-2</v>
      </c>
      <c r="K8" s="5">
        <f>'2024.08'!D29</f>
        <v>0</v>
      </c>
      <c r="L8" s="5">
        <f>'2024.08'!I29</f>
        <v>0</v>
      </c>
      <c r="M8" s="5">
        <f>'2024.08'!O29</f>
        <v>0</v>
      </c>
      <c r="AC8" s="5">
        <f>'2024.08'!$C$29</f>
        <v>0</v>
      </c>
      <c r="AD8" s="5" t="str">
        <f>'2024.08'!$E$29</f>
        <v>0.00</v>
      </c>
      <c r="AE8" s="8">
        <f>'2024.08'!$F$29</f>
        <v>0</v>
      </c>
      <c r="AF8" s="31">
        <f>'2026.04'!$A$25</f>
        <v>46133</v>
      </c>
      <c r="AG8" s="5">
        <f>'2026.04'!$B$25*-1</f>
        <v>-9.99</v>
      </c>
    </row>
    <row r="9" spans="1:33" x14ac:dyDescent="0.25">
      <c r="A9" s="49">
        <f>'2024.09'!Q2</f>
        <v>2024.09</v>
      </c>
      <c r="B9" s="5">
        <f>'2024.09'!B29</f>
        <v>0</v>
      </c>
      <c r="C9" s="5">
        <f>'2024.09'!C29</f>
        <v>0</v>
      </c>
      <c r="D9" s="5">
        <f t="shared" si="2"/>
        <v>9.9600000000000009</v>
      </c>
      <c r="E9" s="8">
        <f>'2024.09'!F29</f>
        <v>0</v>
      </c>
      <c r="F9" s="8">
        <f t="shared" si="3"/>
        <v>1.1677805135420332</v>
      </c>
      <c r="G9" s="7">
        <v>8.5890000000000004</v>
      </c>
      <c r="H9" s="5">
        <f t="shared" si="0"/>
        <v>10.030066830812522</v>
      </c>
      <c r="I9" s="5">
        <f t="shared" si="1"/>
        <v>7.006683081252163E-2</v>
      </c>
      <c r="J9" s="37">
        <f t="shared" si="4"/>
        <v>7.0348223707351028E-3</v>
      </c>
      <c r="K9" s="5">
        <f>'2024.09'!D29</f>
        <v>0</v>
      </c>
      <c r="L9" s="5">
        <f>'2024.09'!I29</f>
        <v>0</v>
      </c>
      <c r="M9" s="5">
        <f>'2024.09'!O29</f>
        <v>0</v>
      </c>
      <c r="AC9" s="5">
        <f>'2024.09'!$C$29</f>
        <v>0</v>
      </c>
      <c r="AD9" s="5" t="str">
        <f>'2024.09'!$E$29</f>
        <v>0.00</v>
      </c>
      <c r="AE9" s="8">
        <f>'2024.09'!$F$29</f>
        <v>0</v>
      </c>
      <c r="AF9" s="31">
        <f>'2026.05'!$A$25</f>
        <v>46162</v>
      </c>
      <c r="AG9" s="5">
        <f>'2026.05'!$B$25*-1</f>
        <v>-9.98</v>
      </c>
    </row>
    <row r="10" spans="1:33" x14ac:dyDescent="0.25">
      <c r="A10" s="50">
        <f>'2024.10'!Q2</f>
        <v>2024.1</v>
      </c>
      <c r="B10" s="5">
        <f>'2024.10'!B29</f>
        <v>0</v>
      </c>
      <c r="C10" s="5">
        <f>'2024.10'!C29</f>
        <v>0</v>
      </c>
      <c r="D10" s="5">
        <f t="shared" si="2"/>
        <v>9.9600000000000009</v>
      </c>
      <c r="E10" s="8">
        <f>'2024.10'!F29</f>
        <v>0</v>
      </c>
      <c r="F10" s="8">
        <f t="shared" si="3"/>
        <v>1.1677805135420332</v>
      </c>
      <c r="G10" s="7">
        <v>8.3190000000000008</v>
      </c>
      <c r="H10" s="5">
        <f t="shared" si="0"/>
        <v>9.7147660921561751</v>
      </c>
      <c r="I10" s="5">
        <f t="shared" si="1"/>
        <v>-0.2452339078438257</v>
      </c>
      <c r="J10" s="37">
        <f t="shared" si="4"/>
        <v>-2.4621878297572859E-2</v>
      </c>
      <c r="K10" s="5">
        <f>'2024.10'!D29</f>
        <v>0</v>
      </c>
      <c r="L10" s="5">
        <f>'2024.10'!I29</f>
        <v>0</v>
      </c>
      <c r="M10" s="5">
        <f>'2024.10'!O29</f>
        <v>0</v>
      </c>
      <c r="AC10" s="5">
        <f>'2024.10'!$C$29</f>
        <v>0</v>
      </c>
      <c r="AD10" s="5" t="str">
        <f>'2024.10'!$E$29</f>
        <v>0.00</v>
      </c>
      <c r="AE10" s="8">
        <f>'2024.10'!$F$29</f>
        <v>0</v>
      </c>
      <c r="AF10" s="31">
        <f>'2026.06'!$A$25</f>
        <v>46198</v>
      </c>
      <c r="AG10" s="5">
        <f>'2026.06'!$B$25*-1</f>
        <v>-99.91</v>
      </c>
    </row>
    <row r="11" spans="1:33" x14ac:dyDescent="0.25">
      <c r="A11" s="50">
        <f>'2024.11'!Q2</f>
        <v>2024.11</v>
      </c>
      <c r="B11" s="5">
        <f>'2024.11'!B29</f>
        <v>0</v>
      </c>
      <c r="C11" s="5">
        <f>'2024.11'!C29</f>
        <v>0</v>
      </c>
      <c r="D11" s="5">
        <f t="shared" si="2"/>
        <v>9.9600000000000009</v>
      </c>
      <c r="E11" s="8">
        <f>'2024.11'!F29</f>
        <v>0</v>
      </c>
      <c r="F11" s="8">
        <f t="shared" si="3"/>
        <v>1.1677805135420332</v>
      </c>
      <c r="G11" s="7">
        <v>8.4049999999999994</v>
      </c>
      <c r="H11" s="5">
        <f t="shared" si="0"/>
        <v>9.8151952163207881</v>
      </c>
      <c r="I11" s="5">
        <f t="shared" si="1"/>
        <v>-0.14480478367921279</v>
      </c>
      <c r="J11" s="37">
        <f t="shared" si="4"/>
        <v>-1.4538632899519356E-2</v>
      </c>
      <c r="K11" s="5">
        <f>'2024.11'!D29</f>
        <v>0</v>
      </c>
      <c r="L11" s="5">
        <f>'2024.11'!I29</f>
        <v>0</v>
      </c>
      <c r="M11" s="5">
        <f>'2024.11'!O29</f>
        <v>0</v>
      </c>
      <c r="AC11" s="5">
        <f>'2024.11'!$C$29</f>
        <v>0</v>
      </c>
      <c r="AD11" s="5" t="str">
        <f>'2024.11'!$E$29</f>
        <v>0.00</v>
      </c>
      <c r="AE11" s="8">
        <f>'2024.11'!$F$29</f>
        <v>0</v>
      </c>
      <c r="AF11" s="31">
        <f>'2026.06'!$A$26</f>
        <v>46203</v>
      </c>
      <c r="AG11" s="5">
        <f>'2026.06'!$B$26*-1</f>
        <v>-119.99</v>
      </c>
    </row>
    <row r="12" spans="1:33" x14ac:dyDescent="0.25">
      <c r="A12" s="50">
        <f>'2024.12'!Q2</f>
        <v>2024.12</v>
      </c>
      <c r="B12" s="5">
        <f>'2024.12'!B29</f>
        <v>0</v>
      </c>
      <c r="C12" s="5">
        <f>'2024.12'!C29</f>
        <v>0</v>
      </c>
      <c r="D12" s="5">
        <f t="shared" si="2"/>
        <v>9.9600000000000009</v>
      </c>
      <c r="E12" s="8">
        <f>'2024.12'!F19</f>
        <v>0</v>
      </c>
      <c r="F12" s="8">
        <f t="shared" si="3"/>
        <v>1.1677805135420332</v>
      </c>
      <c r="G12" s="7">
        <v>8.3569999999999993</v>
      </c>
      <c r="H12" s="5">
        <f t="shared" si="0"/>
        <v>9.7591417516707697</v>
      </c>
      <c r="I12" s="5">
        <f t="shared" si="1"/>
        <v>-0.20085824832923116</v>
      </c>
      <c r="J12" s="37">
        <f t="shared" si="4"/>
        <v>-2.0166490796107543E-2</v>
      </c>
      <c r="K12" s="5">
        <f>'2024.12'!D29</f>
        <v>0</v>
      </c>
      <c r="L12" s="5">
        <f>'2024.12'!I29</f>
        <v>0</v>
      </c>
      <c r="M12" s="5">
        <f>'2024.12'!O29</f>
        <v>0</v>
      </c>
      <c r="AC12" s="5">
        <f>'2024.12'!$C$29</f>
        <v>0</v>
      </c>
      <c r="AD12" s="5" t="str">
        <f>'2024.12'!$E$29</f>
        <v>0.00</v>
      </c>
      <c r="AE12" s="8">
        <f>'2024.12'!$F$29</f>
        <v>0</v>
      </c>
      <c r="AF12" s="31">
        <f>'2026.07'!$A$25</f>
        <v>46224</v>
      </c>
      <c r="AG12" s="5">
        <f>'2026.07'!$B$25*-1</f>
        <v>-100</v>
      </c>
    </row>
    <row r="13" spans="1:33" x14ac:dyDescent="0.25">
      <c r="A13" s="50">
        <f>'2025.01'!Q2</f>
        <v>2025.01</v>
      </c>
      <c r="B13" s="5">
        <f>'2025.01'!B29</f>
        <v>0</v>
      </c>
      <c r="C13" s="5">
        <f>'2025.01'!C29</f>
        <v>0</v>
      </c>
      <c r="D13" s="5">
        <f t="shared" si="2"/>
        <v>9.9600000000000009</v>
      </c>
      <c r="E13" s="8">
        <f>'2025.01'!F29</f>
        <v>0</v>
      </c>
      <c r="F13" s="8">
        <f t="shared" si="3"/>
        <v>1.1677805135420332</v>
      </c>
      <c r="G13" s="7">
        <v>8.8979999999999997</v>
      </c>
      <c r="H13" s="5">
        <f t="shared" si="0"/>
        <v>10.39091100949701</v>
      </c>
      <c r="I13" s="5">
        <f t="shared" si="1"/>
        <v>0.43091100949700945</v>
      </c>
      <c r="J13" s="37">
        <f t="shared" si="4"/>
        <v>4.3264157580021022E-2</v>
      </c>
      <c r="K13" s="5">
        <f>'2025.01'!D29</f>
        <v>0</v>
      </c>
      <c r="L13" s="5">
        <f>'2025.01'!I29</f>
        <v>0</v>
      </c>
      <c r="M13" s="5">
        <f>'2025.01'!O29</f>
        <v>0</v>
      </c>
      <c r="AC13" s="5">
        <f>'2025.01'!$C$29</f>
        <v>0</v>
      </c>
      <c r="AD13" s="5" t="str">
        <f>'2025.01'!$E$29</f>
        <v>0.00</v>
      </c>
      <c r="AE13" s="8">
        <f>'2025.01'!$F$29</f>
        <v>0</v>
      </c>
      <c r="AF13" s="31">
        <f>'2026.08'!$A$25</f>
        <v>46251</v>
      </c>
      <c r="AG13" s="5">
        <f>'2026.08'!$B$25*-1</f>
        <v>-9.98</v>
      </c>
    </row>
    <row r="14" spans="1:33" x14ac:dyDescent="0.25">
      <c r="A14" s="50">
        <f>'2025.02'!Q2</f>
        <v>2025.02</v>
      </c>
      <c r="B14" s="5">
        <f>'2025.02'!B29</f>
        <v>0</v>
      </c>
      <c r="C14" s="5">
        <f>'2025.02'!C29</f>
        <v>0</v>
      </c>
      <c r="D14" s="5">
        <f t="shared" si="2"/>
        <v>9.9600000000000009</v>
      </c>
      <c r="E14" s="8">
        <f>'2025.02'!F29</f>
        <v>0</v>
      </c>
      <c r="F14" s="8">
        <f t="shared" si="3"/>
        <v>1.1677805135420332</v>
      </c>
      <c r="G14" s="7">
        <v>9.1910000000000007</v>
      </c>
      <c r="H14" s="5">
        <f t="shared" si="0"/>
        <v>10.733070699964827</v>
      </c>
      <c r="I14" s="5">
        <f t="shared" si="1"/>
        <v>0.77307069996482625</v>
      </c>
      <c r="J14" s="37">
        <f t="shared" si="4"/>
        <v>7.7617540157111059E-2</v>
      </c>
      <c r="K14" s="5">
        <f>'2025.02'!D29</f>
        <v>0</v>
      </c>
      <c r="L14" s="5">
        <f>'2025.02'!I29</f>
        <v>0</v>
      </c>
      <c r="M14" s="5">
        <f>'2025.02'!O29</f>
        <v>0</v>
      </c>
      <c r="AC14" s="5">
        <f>'2025.02'!$C$29</f>
        <v>0</v>
      </c>
      <c r="AD14" s="5" t="str">
        <f>'2025.02'!$E$29</f>
        <v>0.00</v>
      </c>
      <c r="AE14" s="8">
        <f>'2025.02'!$F$29</f>
        <v>0</v>
      </c>
      <c r="AF14" s="31">
        <f>'2026.09'!$A$25</f>
        <v>46275</v>
      </c>
      <c r="AG14" s="5">
        <f>'2026.09'!$B$25*-1</f>
        <v>-9.99</v>
      </c>
    </row>
    <row r="15" spans="1:33" x14ac:dyDescent="0.25">
      <c r="A15" s="50">
        <f>'2025.03'!Q2</f>
        <v>2025.03</v>
      </c>
      <c r="B15" s="5">
        <f>'2025.03'!B29</f>
        <v>0</v>
      </c>
      <c r="C15" s="5">
        <f>'2025.03'!C29</f>
        <v>0</v>
      </c>
      <c r="D15" s="5">
        <f t="shared" si="2"/>
        <v>9.9600000000000009</v>
      </c>
      <c r="E15" s="8">
        <f>'2025.03'!F29</f>
        <v>0</v>
      </c>
      <c r="F15" s="8">
        <f t="shared" si="3"/>
        <v>1.1677805135420332</v>
      </c>
      <c r="G15" s="7">
        <v>8.7880000000000003</v>
      </c>
      <c r="H15" s="5">
        <f t="shared" si="0"/>
        <v>10.262455153007387</v>
      </c>
      <c r="I15" s="5">
        <f t="shared" si="1"/>
        <v>0.30245515300738646</v>
      </c>
      <c r="J15" s="37">
        <f t="shared" si="4"/>
        <v>3.0366983233673338E-2</v>
      </c>
      <c r="K15" s="5">
        <f>'2025.03'!D29</f>
        <v>0</v>
      </c>
      <c r="L15" s="5">
        <f>'2025.03'!I29</f>
        <v>0</v>
      </c>
      <c r="M15" s="5">
        <f>'2025.03'!O29</f>
        <v>0</v>
      </c>
      <c r="AC15" s="5">
        <f>'2025.03'!$C$29</f>
        <v>0</v>
      </c>
      <c r="AD15" s="5" t="str">
        <f>'2025.03'!$E$29</f>
        <v>0.00</v>
      </c>
      <c r="AE15" s="8">
        <f>'2025.03'!$F$29</f>
        <v>0</v>
      </c>
      <c r="AF15" s="31"/>
      <c r="AG15" s="5"/>
    </row>
    <row r="16" spans="1:33" x14ac:dyDescent="0.25">
      <c r="A16" s="50">
        <f>'2025.04'!Q2</f>
        <v>2025.04</v>
      </c>
      <c r="B16" s="5">
        <f>'2025.04'!B29</f>
        <v>0</v>
      </c>
      <c r="C16" s="5">
        <f>'2025.04'!C29</f>
        <v>0</v>
      </c>
      <c r="D16" s="5">
        <f t="shared" si="2"/>
        <v>9.9600000000000009</v>
      </c>
      <c r="E16" s="8">
        <f>'2025.04'!F29</f>
        <v>0</v>
      </c>
      <c r="F16" s="8">
        <f t="shared" ref="F16" si="5">F15+E16</f>
        <v>1.1677805135420332</v>
      </c>
      <c r="G16" s="7">
        <v>8.7409999999999997</v>
      </c>
      <c r="H16" s="5">
        <f t="shared" ref="H16" si="6">F16*G16</f>
        <v>10.207569468870911</v>
      </c>
      <c r="I16" s="5">
        <f t="shared" si="1"/>
        <v>0.24756946887091047</v>
      </c>
      <c r="J16" s="37">
        <f t="shared" si="4"/>
        <v>2.4856372376597435E-2</v>
      </c>
      <c r="K16" s="5">
        <f>'2025.04'!D29</f>
        <v>0</v>
      </c>
      <c r="L16" s="5">
        <f>'2025.04'!I29</f>
        <v>0</v>
      </c>
      <c r="M16" s="5">
        <f>'2025.04'!O29</f>
        <v>0</v>
      </c>
      <c r="AC16" s="5">
        <f>'2025.04'!$C$29</f>
        <v>0</v>
      </c>
      <c r="AD16" s="5" t="str">
        <f>'2025.04'!$E$29</f>
        <v>0.00</v>
      </c>
      <c r="AE16" s="8">
        <f>'2025.04'!$F$29</f>
        <v>0</v>
      </c>
      <c r="AF16" s="31"/>
      <c r="AG16" s="5"/>
    </row>
    <row r="17" spans="1:33" x14ac:dyDescent="0.25">
      <c r="A17" s="50">
        <f>'2025.05'!Q2</f>
        <v>2025.05</v>
      </c>
      <c r="B17" s="5">
        <f>'2025.05'!B29</f>
        <v>0</v>
      </c>
      <c r="C17" s="5">
        <f>'2025.05'!C29</f>
        <v>0</v>
      </c>
      <c r="D17" s="5">
        <f t="shared" si="2"/>
        <v>9.9600000000000009</v>
      </c>
      <c r="E17" s="8">
        <f>'2025.05'!F29</f>
        <v>0</v>
      </c>
      <c r="F17" s="8">
        <f t="shared" ref="F17" si="7">F16+E17</f>
        <v>1.1677805135420332</v>
      </c>
      <c r="G17" s="7">
        <v>9.1310000000000002</v>
      </c>
      <c r="H17" s="5">
        <f t="shared" ref="H17" si="8">F17*G17</f>
        <v>10.663003869152305</v>
      </c>
      <c r="I17" s="5">
        <f t="shared" si="1"/>
        <v>0.70300386915230462</v>
      </c>
      <c r="J17" s="37">
        <f t="shared" si="4"/>
        <v>7.0582717786375954E-2</v>
      </c>
      <c r="K17" s="5">
        <f>'2025.05'!D29</f>
        <v>0</v>
      </c>
      <c r="L17" s="5">
        <f>'2025.05'!I29</f>
        <v>0</v>
      </c>
      <c r="M17" s="5">
        <f>'2025.05'!O29</f>
        <v>0</v>
      </c>
      <c r="AC17" s="5">
        <f>'2025.05'!$C$29</f>
        <v>0</v>
      </c>
      <c r="AD17" s="5" t="str">
        <f>'2025.05'!$E$29</f>
        <v>0.00</v>
      </c>
      <c r="AE17" s="8">
        <f>'2025.05'!$F$29</f>
        <v>0</v>
      </c>
      <c r="AF17" s="31"/>
      <c r="AG17" s="5"/>
    </row>
    <row r="18" spans="1:33" x14ac:dyDescent="0.25">
      <c r="A18" s="50">
        <f>'2025.06'!Q2</f>
        <v>2025.06</v>
      </c>
      <c r="B18" s="5">
        <f>'2025.06'!B29</f>
        <v>0</v>
      </c>
      <c r="C18" s="5">
        <f>'2025.06'!C29</f>
        <v>0</v>
      </c>
      <c r="D18" s="5">
        <f t="shared" si="2"/>
        <v>9.9600000000000009</v>
      </c>
      <c r="E18" s="8">
        <f>'2025.06'!F29</f>
        <v>0</v>
      </c>
      <c r="F18" s="8">
        <f t="shared" ref="F18" si="9">F17+E18</f>
        <v>1.1677805135420332</v>
      </c>
      <c r="G18" s="7">
        <v>9.032</v>
      </c>
      <c r="H18" s="5">
        <f t="shared" ref="H18" si="10">F18*G18</f>
        <v>10.547393598311643</v>
      </c>
      <c r="I18" s="5">
        <f t="shared" si="1"/>
        <v>0.58739359831164251</v>
      </c>
      <c r="J18" s="37">
        <f t="shared" si="4"/>
        <v>5.8975260874662899E-2</v>
      </c>
      <c r="K18" s="5">
        <f>'2025.06'!D29</f>
        <v>0</v>
      </c>
      <c r="L18" s="5">
        <f>'2025.06'!I29</f>
        <v>0</v>
      </c>
      <c r="M18" s="5">
        <f>'2025.06'!O29</f>
        <v>0</v>
      </c>
      <c r="AC18" s="5">
        <f>'2025.06'!$C$29</f>
        <v>0</v>
      </c>
      <c r="AD18" s="5" t="str">
        <f>'2025.06'!$E$29</f>
        <v>0.00</v>
      </c>
      <c r="AE18" s="8">
        <f>'2025.06'!$F$29</f>
        <v>0</v>
      </c>
      <c r="AF18" s="31"/>
      <c r="AG18" s="5"/>
    </row>
    <row r="19" spans="1:33" x14ac:dyDescent="0.25">
      <c r="A19" s="50">
        <f>'2025.07'!Q2</f>
        <v>2025.07</v>
      </c>
      <c r="B19" s="5">
        <f>'2025.07'!B29</f>
        <v>0</v>
      </c>
      <c r="C19" s="5">
        <f>'2025.07'!C29</f>
        <v>0</v>
      </c>
      <c r="D19" s="5">
        <f t="shared" si="2"/>
        <v>9.9600000000000009</v>
      </c>
      <c r="E19" s="8">
        <f>'2025.07'!F29</f>
        <v>0</v>
      </c>
      <c r="F19" s="8">
        <f t="shared" ref="F19" si="11">F18+E19</f>
        <v>1.1677805135420332</v>
      </c>
      <c r="G19" s="7">
        <v>9.1189999999999998</v>
      </c>
      <c r="H19" s="5">
        <f t="shared" ref="H19" si="12">F19*G19</f>
        <v>10.6489905029898</v>
      </c>
      <c r="I19" s="5">
        <f t="shared" si="1"/>
        <v>0.68899050298979958</v>
      </c>
      <c r="J19" s="37">
        <f t="shared" si="4"/>
        <v>6.9175753312228874E-2</v>
      </c>
      <c r="K19" s="5">
        <f>'2025.07'!D29</f>
        <v>0</v>
      </c>
      <c r="L19" s="5">
        <f>'2025.07'!I29</f>
        <v>0</v>
      </c>
      <c r="M19" s="5">
        <f>'2025.07'!O29</f>
        <v>0</v>
      </c>
      <c r="AC19" s="5">
        <f>'2025.07'!$C$29</f>
        <v>0</v>
      </c>
      <c r="AD19" s="5" t="str">
        <f>'2025.07'!$E$29</f>
        <v>0.00</v>
      </c>
      <c r="AE19" s="8">
        <f>'2025.07'!$F$29</f>
        <v>0</v>
      </c>
      <c r="AF19" s="31"/>
      <c r="AG19" s="5"/>
    </row>
    <row r="20" spans="1:33" x14ac:dyDescent="0.25">
      <c r="A20" s="50">
        <f>'2025.08'!Q2</f>
        <v>2025.08</v>
      </c>
      <c r="B20" s="5">
        <f>'2025.08'!B29</f>
        <v>0</v>
      </c>
      <c r="C20" s="5">
        <f>'2025.08'!C29</f>
        <v>0</v>
      </c>
      <c r="D20" s="5">
        <f t="shared" si="2"/>
        <v>9.9600000000000009</v>
      </c>
      <c r="E20" s="8">
        <f>'2025.08'!F29</f>
        <v>0</v>
      </c>
      <c r="F20" s="8">
        <f t="shared" ref="F20" si="13">F19+E20</f>
        <v>1.1677805135420332</v>
      </c>
      <c r="G20" s="7">
        <v>9.202</v>
      </c>
      <c r="H20" s="5">
        <f t="shared" ref="H20" si="14">F20*G20</f>
        <v>10.74591628561379</v>
      </c>
      <c r="I20" s="5">
        <f t="shared" si="1"/>
        <v>0.7859162856137889</v>
      </c>
      <c r="J20" s="37">
        <f t="shared" si="4"/>
        <v>7.8907257591745869E-2</v>
      </c>
      <c r="K20" s="5">
        <f>'2025.08'!D29</f>
        <v>0</v>
      </c>
      <c r="L20" s="5">
        <f>'2025.08'!I29</f>
        <v>0</v>
      </c>
      <c r="M20" s="5">
        <f>'2025.08'!O29</f>
        <v>0</v>
      </c>
      <c r="AC20" s="5">
        <f>'2025.08'!$C$29</f>
        <v>0</v>
      </c>
      <c r="AD20" s="5" t="str">
        <f>'2025.08'!$E$29</f>
        <v>0.00</v>
      </c>
      <c r="AE20" s="8">
        <f>'2025.08'!$F$29</f>
        <v>0</v>
      </c>
      <c r="AF20" s="31"/>
      <c r="AG20" s="5"/>
    </row>
    <row r="21" spans="1:33" x14ac:dyDescent="0.25">
      <c r="A21" s="50">
        <f>'2025.09'!Q2</f>
        <v>2025.09</v>
      </c>
      <c r="B21" s="5">
        <f>'2025.09'!B29</f>
        <v>0</v>
      </c>
      <c r="C21" s="5">
        <f>'2025.09'!C29</f>
        <v>0</v>
      </c>
      <c r="D21" s="5">
        <f t="shared" si="2"/>
        <v>9.9600000000000009</v>
      </c>
      <c r="E21" s="8">
        <f>'2025.09'!F29</f>
        <v>0</v>
      </c>
      <c r="F21" s="8">
        <f t="shared" ref="F21" si="15">F20+E21</f>
        <v>1.1677805135420332</v>
      </c>
      <c r="G21" s="7">
        <v>9.3339999999999996</v>
      </c>
      <c r="H21" s="5">
        <f t="shared" ref="H21" si="16">F21*G21</f>
        <v>10.900063313401336</v>
      </c>
      <c r="I21" s="5">
        <f t="shared" si="1"/>
        <v>0.94006331340133542</v>
      </c>
      <c r="J21" s="37">
        <f t="shared" si="4"/>
        <v>9.4383866807362993E-2</v>
      </c>
      <c r="K21" s="5">
        <f>'2025.09'!D29</f>
        <v>0</v>
      </c>
      <c r="L21" s="5">
        <f>'2025.09'!I29</f>
        <v>0</v>
      </c>
      <c r="M21" s="5">
        <f>'2025.09'!O29</f>
        <v>0</v>
      </c>
      <c r="AC21" s="5">
        <f>'2025.09'!$C$29</f>
        <v>0</v>
      </c>
      <c r="AD21" s="5" t="str">
        <f>'2025.09'!$E$29</f>
        <v>0.00</v>
      </c>
      <c r="AE21" s="8">
        <f>'2025.09'!$F$29</f>
        <v>0</v>
      </c>
      <c r="AF21" s="31"/>
      <c r="AG21" s="5"/>
    </row>
    <row r="22" spans="1:33" x14ac:dyDescent="0.25">
      <c r="A22" s="50">
        <f>'2025.10'!Q2</f>
        <v>2025.1</v>
      </c>
      <c r="B22" s="5">
        <f>'2025.10'!B29</f>
        <v>0</v>
      </c>
      <c r="C22" s="5">
        <f>'2025.10'!C29</f>
        <v>0</v>
      </c>
      <c r="D22" s="5">
        <f t="shared" si="2"/>
        <v>9.9600000000000009</v>
      </c>
      <c r="E22" s="8">
        <f>'2025.10'!F29</f>
        <v>0</v>
      </c>
      <c r="F22" s="8">
        <f t="shared" ref="F22" si="17">F21+E22</f>
        <v>1.1677805135420332</v>
      </c>
      <c r="G22" s="7">
        <v>9.6289999999999996</v>
      </c>
      <c r="H22" s="5">
        <f t="shared" ref="H22" si="18">F22*G22</f>
        <v>11.244558564896236</v>
      </c>
      <c r="I22" s="5">
        <f t="shared" si="1"/>
        <v>1.2845585648962352</v>
      </c>
      <c r="J22" s="37">
        <f t="shared" si="4"/>
        <v>0.12897174346347742</v>
      </c>
      <c r="K22" s="5">
        <f>'2025.10'!D29</f>
        <v>0</v>
      </c>
      <c r="L22" s="5">
        <f>'2025.10'!I29</f>
        <v>0</v>
      </c>
      <c r="M22" s="5">
        <f>'2025.10'!O29</f>
        <v>0</v>
      </c>
      <c r="AC22" s="5">
        <f>'2025.10'!$C$29</f>
        <v>0</v>
      </c>
      <c r="AD22" s="5" t="str">
        <f>'2025.10'!$E$29</f>
        <v>0.00</v>
      </c>
      <c r="AE22" s="8">
        <f>'2025.10'!$F$29</f>
        <v>0</v>
      </c>
      <c r="AF22" s="31"/>
      <c r="AG22" s="5"/>
    </row>
    <row r="23" spans="1:33" x14ac:dyDescent="0.25">
      <c r="A23" s="50">
        <f>'2025.11'!Q2</f>
        <v>2025.11</v>
      </c>
      <c r="B23" s="5">
        <f>'2025.11'!B29</f>
        <v>9.9700000000000006</v>
      </c>
      <c r="C23" s="5">
        <f>'2025.11'!C29</f>
        <v>9.9500000000000011</v>
      </c>
      <c r="D23" s="5">
        <f t="shared" ref="D23" si="19">D22+C23</f>
        <v>19.910000000000004</v>
      </c>
      <c r="E23" s="8">
        <f>'2025.11'!F29</f>
        <v>1.0543604959203139</v>
      </c>
      <c r="F23" s="8">
        <f t="shared" ref="F23" si="20">F22+E23</f>
        <v>2.222141009462347</v>
      </c>
      <c r="G23" s="7">
        <v>9.6530000000000005</v>
      </c>
      <c r="H23" s="5">
        <f t="shared" ref="H23" si="21">F23*G23</f>
        <v>21.450327164340038</v>
      </c>
      <c r="I23" s="5">
        <f t="shared" ref="I23" si="22">H23-D23</f>
        <v>1.5403271643400345</v>
      </c>
      <c r="J23" s="37">
        <f t="shared" si="4"/>
        <v>7.736449846007204E-2</v>
      </c>
      <c r="K23" s="5">
        <f>'2025.11'!D29</f>
        <v>0.02</v>
      </c>
      <c r="L23" s="5">
        <f>'2025.11'!I29</f>
        <v>0</v>
      </c>
      <c r="M23" s="5">
        <f>'2025.11'!O29</f>
        <v>0</v>
      </c>
      <c r="AC23" s="5">
        <f>'2025.11'!$C$29</f>
        <v>9.9500000000000011</v>
      </c>
      <c r="AD23" s="5">
        <f>'2025.11'!$E$29</f>
        <v>9.4369999999999994</v>
      </c>
      <c r="AE23" s="8">
        <f>'2025.11'!$F$29</f>
        <v>1.0543604959203139</v>
      </c>
      <c r="AF23" s="31"/>
      <c r="AG23" s="5"/>
    </row>
    <row r="24" spans="1:33" x14ac:dyDescent="0.25">
      <c r="A24" s="50" t="str">
        <f>'2025.12'!Q2</f>
        <v>2025.12</v>
      </c>
      <c r="B24" s="5">
        <f>'2025.12'!B29</f>
        <v>0</v>
      </c>
      <c r="C24" s="5">
        <f>'2025.12'!C29</f>
        <v>0</v>
      </c>
      <c r="D24" s="5">
        <f t="shared" ref="D24" si="23">D23+C24</f>
        <v>19.910000000000004</v>
      </c>
      <c r="E24" s="8">
        <f>'2025.12'!F29</f>
        <v>0</v>
      </c>
      <c r="F24" s="8">
        <f t="shared" ref="F24" si="24">F23+E24</f>
        <v>2.222141009462347</v>
      </c>
      <c r="G24" s="7">
        <v>9.9269999999999996</v>
      </c>
      <c r="H24" s="5">
        <f t="shared" ref="H24" si="25">F24*G24</f>
        <v>22.059193800932718</v>
      </c>
      <c r="I24" s="5">
        <f t="shared" ref="I24" si="26">H24-D24</f>
        <v>2.1491938009327143</v>
      </c>
      <c r="J24" s="37">
        <f t="shared" ref="J24" si="27">(H24-D24)/D24</f>
        <v>0.10794544454709763</v>
      </c>
      <c r="K24" s="5">
        <f>'2025.12'!D29</f>
        <v>0</v>
      </c>
      <c r="L24" s="5">
        <f>'2025.12'!I29</f>
        <v>0</v>
      </c>
      <c r="M24" s="5">
        <f>'2025.12'!O29</f>
        <v>0</v>
      </c>
      <c r="AC24" s="5">
        <f>'2025.12'!$C$29</f>
        <v>0</v>
      </c>
      <c r="AD24" s="5" t="str">
        <f>'2025.12'!$E$29</f>
        <v>0.00</v>
      </c>
      <c r="AE24" s="8">
        <f>'2025.12'!$F$29</f>
        <v>0</v>
      </c>
      <c r="AF24" s="31"/>
      <c r="AG24" s="5"/>
    </row>
    <row r="25" spans="1:33" x14ac:dyDescent="0.25">
      <c r="A25" s="50">
        <f>'2026.01'!$Q$2</f>
        <v>2026.01</v>
      </c>
      <c r="B25" s="5">
        <f>'2026.01'!$B$29</f>
        <v>0</v>
      </c>
      <c r="C25" s="5">
        <f>'2026.01'!$C$29</f>
        <v>0</v>
      </c>
      <c r="D25" s="5">
        <f t="shared" ref="D25" si="28">D24+C25</f>
        <v>19.910000000000004</v>
      </c>
      <c r="E25" s="8">
        <f>'2026.01'!$F$29</f>
        <v>0</v>
      </c>
      <c r="F25" s="8">
        <f t="shared" ref="F25" si="29">F24+E25</f>
        <v>2.222141009462347</v>
      </c>
      <c r="G25" s="7">
        <v>10.24</v>
      </c>
      <c r="H25" s="5">
        <f t="shared" ref="H25" si="30">F25*G25</f>
        <v>22.754723936894433</v>
      </c>
      <c r="I25" s="5">
        <f t="shared" ref="I25" si="31">H25-D25</f>
        <v>2.8447239368944288</v>
      </c>
      <c r="J25" s="37">
        <f t="shared" ref="J25" si="32">(H25-D25)/D25</f>
        <v>0.14287915303337159</v>
      </c>
      <c r="K25" s="5">
        <f>'2026.01'!$D$29</f>
        <v>0</v>
      </c>
      <c r="L25" s="5">
        <f>'2026.01'!$I$29</f>
        <v>0</v>
      </c>
      <c r="M25" s="5">
        <f>'2026.01'!$O$29</f>
        <v>0</v>
      </c>
      <c r="AC25" s="5">
        <f>'2026.01'!$C$29</f>
        <v>0</v>
      </c>
      <c r="AD25" s="5" t="str">
        <f>'2026.01'!$E$29</f>
        <v>0.00</v>
      </c>
      <c r="AE25" s="8">
        <f>'2026.01'!$F$29</f>
        <v>0</v>
      </c>
      <c r="AF25" s="31"/>
      <c r="AG25" s="5"/>
    </row>
    <row r="26" spans="1:33" x14ac:dyDescent="0.25">
      <c r="A26" s="50">
        <f>'2026.02'!$Q$2</f>
        <v>2026.02</v>
      </c>
      <c r="B26" s="5">
        <f>'2026.02'!$B$29</f>
        <v>0</v>
      </c>
      <c r="C26" s="5">
        <f>'2026.02'!$C$29</f>
        <v>0</v>
      </c>
      <c r="D26" s="5">
        <f t="shared" ref="D26" si="33">D25+C26</f>
        <v>19.910000000000004</v>
      </c>
      <c r="E26" s="8">
        <f>'2026.02'!$F$29</f>
        <v>0</v>
      </c>
      <c r="F26" s="8">
        <f t="shared" ref="F26" si="34">F25+E26</f>
        <v>2.222141009462347</v>
      </c>
      <c r="G26" s="7">
        <v>10.58</v>
      </c>
      <c r="H26" s="5">
        <f t="shared" ref="H26" si="35">F26*G26</f>
        <v>23.510251880111632</v>
      </c>
      <c r="I26" s="5">
        <f t="shared" ref="I26" si="36">H26-D26</f>
        <v>3.6002518801116281</v>
      </c>
      <c r="J26" s="37">
        <f t="shared" ref="J26" si="37">(H26-D26)/D26</f>
        <v>0.18082631241143282</v>
      </c>
      <c r="K26" s="5">
        <f>'2026.02'!$D$29</f>
        <v>0</v>
      </c>
      <c r="L26" s="5">
        <f>'2026.02'!$I$29</f>
        <v>0</v>
      </c>
      <c r="M26" s="5">
        <f>'2026.02'!$O$29</f>
        <v>0</v>
      </c>
      <c r="AC26" s="5">
        <f>'2026.02'!$C$29</f>
        <v>0</v>
      </c>
      <c r="AD26" s="5" t="str">
        <f>'2026.02'!$E$29</f>
        <v>0.00</v>
      </c>
      <c r="AE26" s="8">
        <f>'2026.02'!$F$29</f>
        <v>0</v>
      </c>
      <c r="AF26" s="31"/>
      <c r="AG26" s="5"/>
    </row>
    <row r="27" spans="1:33" x14ac:dyDescent="0.25">
      <c r="A27" s="50">
        <f>'2026.03'!$Q$2</f>
        <v>2026.03</v>
      </c>
      <c r="B27" s="5">
        <f>'2026.03'!$B$29</f>
        <v>9.99</v>
      </c>
      <c r="C27" s="5">
        <f>'2026.03'!$C$29</f>
        <v>9.9700000000000006</v>
      </c>
      <c r="D27" s="5">
        <f t="shared" ref="D27" si="38">D26+C27</f>
        <v>29.880000000000003</v>
      </c>
      <c r="E27" s="8">
        <f>'2026.03'!$F$29</f>
        <v>0.99441452224217042</v>
      </c>
      <c r="F27" s="8">
        <f t="shared" ref="F27" si="39">F26+E27</f>
        <v>3.2165555317045174</v>
      </c>
      <c r="G27" s="7">
        <v>9.7409999999999997</v>
      </c>
      <c r="H27" s="5">
        <f t="shared" ref="H27" si="40">F27*G27</f>
        <v>31.332467434333701</v>
      </c>
      <c r="I27" s="5">
        <f t="shared" ref="I27" si="41">H27-D27</f>
        <v>1.4524674343336983</v>
      </c>
      <c r="J27" s="37">
        <f t="shared" ref="J27" si="42">(H27-D27)/D27</f>
        <v>4.8610021229374099E-2</v>
      </c>
      <c r="K27" s="5">
        <f>'2026.03'!$D$29</f>
        <v>0.02</v>
      </c>
      <c r="L27" s="5">
        <f>'2026.03'!$I$29</f>
        <v>0</v>
      </c>
      <c r="M27" s="5">
        <f>'2026.03'!$O$29</f>
        <v>0</v>
      </c>
      <c r="AC27" s="5">
        <f>'2026.03'!$C$29</f>
        <v>9.9700000000000006</v>
      </c>
      <c r="AD27" s="5">
        <f>'2026.03'!$E$29</f>
        <v>10.026</v>
      </c>
      <c r="AE27" s="8">
        <f>'2026.03'!$F$29</f>
        <v>0.99441452224217042</v>
      </c>
      <c r="AF27" s="31"/>
      <c r="AG27" s="5"/>
    </row>
    <row r="28" spans="1:33" x14ac:dyDescent="0.25">
      <c r="A28" s="50">
        <f>'2026.04'!$Q$2</f>
        <v>2026.04</v>
      </c>
      <c r="B28" s="5">
        <f>'2026.04'!$B$29</f>
        <v>9.99</v>
      </c>
      <c r="C28" s="5">
        <f>'2026.04'!$C$29</f>
        <v>9.99</v>
      </c>
      <c r="D28" s="5">
        <f t="shared" ref="D28" si="43">D27+C28</f>
        <v>39.870000000000005</v>
      </c>
      <c r="E28" s="8">
        <f>'2026.04'!$F$29</f>
        <v>0.95379033797975943</v>
      </c>
      <c r="F28" s="8">
        <f t="shared" ref="F28" si="44">F27+E28</f>
        <v>4.1703458696842768</v>
      </c>
      <c r="G28" s="7">
        <v>10.125999999999999</v>
      </c>
      <c r="H28" s="5">
        <f t="shared" ref="H28" si="45">F28*G28</f>
        <v>42.228922276422985</v>
      </c>
      <c r="I28" s="5">
        <f t="shared" ref="I28" si="46">H28-D28</f>
        <v>2.3589222764229802</v>
      </c>
      <c r="J28" s="37">
        <f t="shared" ref="J28" si="47">(H28-D28)/D28</f>
        <v>5.916534427948282E-2</v>
      </c>
      <c r="K28" s="5">
        <f>'2026.04'!$D$29</f>
        <v>0</v>
      </c>
      <c r="L28" s="5">
        <f>'2026.04'!$I$29</f>
        <v>0</v>
      </c>
      <c r="M28" s="5">
        <f>'2026.04'!$O$29</f>
        <v>0</v>
      </c>
      <c r="AC28" s="5">
        <f>'2026.04'!$C$29</f>
        <v>9.99</v>
      </c>
      <c r="AD28" s="5">
        <f>'2026.04'!$E$29</f>
        <v>10.474</v>
      </c>
      <c r="AE28" s="8">
        <f>'2026.04'!$F$29</f>
        <v>0.95379033797975943</v>
      </c>
      <c r="AF28" s="31"/>
      <c r="AG28" s="5"/>
    </row>
    <row r="29" spans="1:33" x14ac:dyDescent="0.25">
      <c r="A29" s="50">
        <f>'2026.05'!$Q$2</f>
        <v>2026.05</v>
      </c>
      <c r="B29" s="5">
        <f>'2026.05'!$B$29</f>
        <v>9.98</v>
      </c>
      <c r="C29" s="5">
        <f>'2026.05'!$C$29</f>
        <v>9.9600000000000009</v>
      </c>
      <c r="D29" s="5">
        <f t="shared" ref="D29" si="48">D28+C29</f>
        <v>49.830000000000005</v>
      </c>
      <c r="E29" s="8">
        <f>'2026.05'!$F$29</f>
        <v>0.95898324667822088</v>
      </c>
      <c r="F29" s="8">
        <f t="shared" ref="F29" si="49">F28+E29</f>
        <v>5.1293291163624977</v>
      </c>
      <c r="G29" s="7">
        <v>10.64</v>
      </c>
      <c r="H29" s="5">
        <f t="shared" ref="H29" si="50">F29*G29</f>
        <v>54.57606179809698</v>
      </c>
      <c r="I29" s="5">
        <f t="shared" ref="I29" si="51">H29-D29</f>
        <v>4.7460617980969744</v>
      </c>
      <c r="J29" s="37">
        <f t="shared" ref="J29" si="52">(H29-D29)/D29</f>
        <v>9.5245069197209986E-2</v>
      </c>
      <c r="K29" s="5">
        <f>'2026.05'!$D$29</f>
        <v>0.02</v>
      </c>
      <c r="L29" s="5">
        <f>'2026.05'!$I$29</f>
        <v>0</v>
      </c>
      <c r="M29" s="5">
        <f>'2026.05'!$O$29</f>
        <v>0</v>
      </c>
      <c r="AC29" s="5">
        <f>'2026.05'!$C$29</f>
        <v>9.9600000000000009</v>
      </c>
      <c r="AD29" s="5">
        <f>'2026.05'!$E$29</f>
        <v>10.385999999999999</v>
      </c>
      <c r="AE29" s="8">
        <f>'2026.05'!$F$29</f>
        <v>0.95898324667822088</v>
      </c>
      <c r="AF29" s="31"/>
      <c r="AG29" s="5"/>
    </row>
    <row r="30" spans="1:33" x14ac:dyDescent="0.25">
      <c r="A30" s="50">
        <f>'2026.06'!$Q$2</f>
        <v>2026.06</v>
      </c>
      <c r="B30" s="5">
        <f>'2026.06'!$B$29</f>
        <v>219.89999999999998</v>
      </c>
      <c r="C30" s="5">
        <f>'2026.06'!$C$29</f>
        <v>219.35</v>
      </c>
      <c r="D30" s="5">
        <f t="shared" ref="D30" si="53">D29+C30</f>
        <v>269.18</v>
      </c>
      <c r="E30" s="8">
        <f>'2026.06'!$F$29</f>
        <v>20.154008989769977</v>
      </c>
      <c r="F30" s="8">
        <f t="shared" ref="F30" si="54">F29+E30</f>
        <v>25.283338106132476</v>
      </c>
      <c r="G30" s="7">
        <v>10.981999999999999</v>
      </c>
      <c r="H30" s="5">
        <f t="shared" ref="H30" si="55">F30*G30</f>
        <v>277.66161908154686</v>
      </c>
      <c r="I30" s="5">
        <f t="shared" ref="I30" si="56">H30-D30</f>
        <v>8.4816190815468531</v>
      </c>
      <c r="J30" s="37">
        <f t="shared" ref="J30" si="57">(H30-D30)/D30</f>
        <v>3.1509098304282834E-2</v>
      </c>
      <c r="K30" s="5">
        <f>'2026.06'!$D$29</f>
        <v>0.55000000000000004</v>
      </c>
      <c r="L30" s="5">
        <f>'2026.06'!$I$29</f>
        <v>0</v>
      </c>
      <c r="M30" s="5">
        <f>'2026.06'!$O$29</f>
        <v>0</v>
      </c>
      <c r="AC30" s="5">
        <f>'2026.06'!$C$29</f>
        <v>219.35</v>
      </c>
      <c r="AD30" s="5">
        <f>'2026.06'!$E$29</f>
        <v>10.883690689596316</v>
      </c>
      <c r="AE30" s="8">
        <f>'2026.06'!$F$29</f>
        <v>20.154008989769977</v>
      </c>
      <c r="AF30" s="31"/>
      <c r="AG30" s="5"/>
    </row>
    <row r="31" spans="1:33" x14ac:dyDescent="0.25">
      <c r="A31" s="50">
        <f>'2026.07'!$Q$2</f>
        <v>2026.07</v>
      </c>
      <c r="B31" s="5">
        <f>'2026.07'!$B$29</f>
        <v>100</v>
      </c>
      <c r="C31" s="5">
        <f>'2026.07'!$C$29</f>
        <v>99.75</v>
      </c>
      <c r="D31" s="5">
        <f t="shared" ref="D31" si="58">D30+C31</f>
        <v>368.93</v>
      </c>
      <c r="E31" s="8">
        <f>'2026.07'!$F$29</f>
        <v>9.1513761467889907</v>
      </c>
      <c r="F31" s="8">
        <f t="shared" ref="F31" si="59">F30+E31</f>
        <v>34.434714252921466</v>
      </c>
      <c r="G31" s="7">
        <v>11.071999999999999</v>
      </c>
      <c r="H31" s="5">
        <f t="shared" ref="H31" si="60">F31*G31</f>
        <v>381.26115620834645</v>
      </c>
      <c r="I31" s="5">
        <f t="shared" ref="I31" si="61">H31-D31</f>
        <v>12.331156208346442</v>
      </c>
      <c r="J31" s="37">
        <f t="shared" ref="J31" si="62">(H31-D31)/D31</f>
        <v>3.3424108119010226E-2</v>
      </c>
      <c r="K31" s="5">
        <f>'2026.07'!$D$29</f>
        <v>0.25</v>
      </c>
      <c r="L31" s="5">
        <f>'2026.07'!$I$29</f>
        <v>0</v>
      </c>
      <c r="M31" s="5">
        <f>'2026.07'!$O$29</f>
        <v>0</v>
      </c>
      <c r="AC31" s="5">
        <f>'2026.07'!$C$29</f>
        <v>99.75</v>
      </c>
      <c r="AD31" s="5">
        <f>'2026.07'!$E$29</f>
        <v>10.9</v>
      </c>
      <c r="AE31" s="8">
        <f>'2026.07'!$F$29</f>
        <v>9.1513761467889907</v>
      </c>
      <c r="AF31" s="31"/>
      <c r="AG31" s="5"/>
    </row>
    <row r="32" spans="1:33" x14ac:dyDescent="0.25">
      <c r="A32" s="50">
        <f>'2026.08'!$Q$2</f>
        <v>2026.08</v>
      </c>
      <c r="B32" s="5">
        <f>'2026.08'!$B$29</f>
        <v>9.98</v>
      </c>
      <c r="C32" s="5">
        <f>'2026.08'!$C$29</f>
        <v>9.9600000000000009</v>
      </c>
      <c r="D32" s="5">
        <f t="shared" ref="D32" si="63">D31+C32</f>
        <v>378.89</v>
      </c>
      <c r="E32" s="8">
        <f>'2026.08'!$F$29</f>
        <v>0.89103596349973158</v>
      </c>
      <c r="F32" s="8">
        <f t="shared" ref="F32" si="64">F31+E32</f>
        <v>35.325750216421199</v>
      </c>
      <c r="G32" s="7">
        <v>11.116</v>
      </c>
      <c r="H32" s="5">
        <f t="shared" ref="H32" si="65">F32*G32</f>
        <v>392.68103940573803</v>
      </c>
      <c r="I32" s="5">
        <f t="shared" ref="I32" si="66">H32-D32</f>
        <v>13.791039405738047</v>
      </c>
      <c r="J32" s="37">
        <f t="shared" ref="J32" si="67">(H32-D32)/D32</f>
        <v>3.6398530987194297E-2</v>
      </c>
      <c r="K32" s="5">
        <f>'2026.08'!$D$29</f>
        <v>0.02</v>
      </c>
      <c r="L32" s="5">
        <f>'2026.08'!$I$29</f>
        <v>0</v>
      </c>
      <c r="M32" s="5">
        <f>'2026.08'!$O$29</f>
        <v>0</v>
      </c>
      <c r="AC32" s="5">
        <f>'2026.08'!$C$29</f>
        <v>9.9600000000000009</v>
      </c>
      <c r="AD32" s="5">
        <f>'2026.08'!$E$29</f>
        <v>11.178000000000001</v>
      </c>
      <c r="AE32" s="8">
        <f>'2026.08'!$F$29</f>
        <v>0.89103596349973158</v>
      </c>
      <c r="AF32" s="31"/>
      <c r="AG32" s="5"/>
    </row>
    <row r="33" spans="1:33" x14ac:dyDescent="0.25">
      <c r="A33" s="50">
        <f>'2026.09'!$Q$2</f>
        <v>2026.09</v>
      </c>
      <c r="B33" s="5">
        <f>'2026.09'!$B$29</f>
        <v>9.99</v>
      </c>
      <c r="C33" s="5">
        <f>'2026.09'!$C$29</f>
        <v>9.9700000000000006</v>
      </c>
      <c r="D33" s="5">
        <f t="shared" ref="D33" si="68">D32+C33</f>
        <v>388.86</v>
      </c>
      <c r="E33" s="8">
        <f>'2026.09'!$F$29</f>
        <v>0.90340703153316426</v>
      </c>
      <c r="F33" s="8">
        <f t="shared" ref="F33" si="69">F32+E33</f>
        <v>36.229157247954362</v>
      </c>
      <c r="G33" s="7">
        <v>10.856</v>
      </c>
      <c r="H33" s="5">
        <f t="shared" ref="H33" si="70">F33*G33</f>
        <v>393.30373108379257</v>
      </c>
      <c r="I33" s="5">
        <f t="shared" ref="I33" si="71">H33-D33</f>
        <v>4.4437310837925565</v>
      </c>
      <c r="J33" s="37">
        <f t="shared" ref="J33" si="72">(H33-D33)/D33</f>
        <v>1.1427585978996442E-2</v>
      </c>
      <c r="K33" s="5">
        <f>'2026.09'!$D$29</f>
        <v>0.02</v>
      </c>
      <c r="L33" s="5">
        <f>'2026.09'!$I$29</f>
        <v>0</v>
      </c>
      <c r="M33" s="5">
        <f>'2026.09'!$O$29</f>
        <v>0</v>
      </c>
      <c r="AC33" s="5">
        <f>'2026.09'!$C$29</f>
        <v>9.9700000000000006</v>
      </c>
      <c r="AD33" s="5">
        <f>'2026.09'!$E$29</f>
        <v>11.036</v>
      </c>
      <c r="AE33" s="8">
        <f>'2026.09'!$F$29</f>
        <v>0.90340703153316426</v>
      </c>
      <c r="AF33" s="31"/>
      <c r="AG33" s="5"/>
    </row>
    <row r="34" spans="1:33" x14ac:dyDescent="0.25">
      <c r="AC34" s="2"/>
      <c r="AD34" s="2"/>
      <c r="AE34" s="2"/>
      <c r="AF34" s="31"/>
      <c r="AG34" s="5"/>
    </row>
    <row r="35" spans="1:33" x14ac:dyDescent="0.25">
      <c r="AC35" s="2"/>
      <c r="AD35" s="2"/>
      <c r="AE35" s="2"/>
      <c r="AF35" s="31"/>
      <c r="AG35" s="5"/>
    </row>
    <row r="36" spans="1:33" x14ac:dyDescent="0.25">
      <c r="AC36" s="2"/>
      <c r="AD36" s="2"/>
      <c r="AE36" s="2"/>
      <c r="AF36" s="31"/>
      <c r="AG36" s="5"/>
    </row>
    <row r="37" spans="1:33" x14ac:dyDescent="0.25">
      <c r="AC37" s="2"/>
      <c r="AD37" s="2"/>
      <c r="AE37" s="2"/>
      <c r="AF37" s="31"/>
      <c r="AG37" s="5"/>
    </row>
    <row r="38" spans="1:33" x14ac:dyDescent="0.25">
      <c r="AC38" s="2"/>
      <c r="AD38" s="2"/>
      <c r="AE38" s="2"/>
      <c r="AF38" s="31"/>
      <c r="AG38" s="5"/>
    </row>
    <row r="39" spans="1:33" x14ac:dyDescent="0.25">
      <c r="AC39" s="2"/>
      <c r="AD39" s="2"/>
      <c r="AE39" s="2"/>
      <c r="AF39" s="31"/>
      <c r="AG39" s="5"/>
    </row>
    <row r="40" spans="1:33" x14ac:dyDescent="0.25">
      <c r="AC40" s="2"/>
      <c r="AD40" s="2"/>
      <c r="AE40" s="2"/>
      <c r="AF40" s="31"/>
      <c r="AG40" s="5"/>
    </row>
    <row r="41" spans="1:33" x14ac:dyDescent="0.25">
      <c r="AC41" s="2"/>
      <c r="AD41" s="2"/>
      <c r="AE41" s="2"/>
      <c r="AF41" s="31"/>
      <c r="AG41" s="5"/>
    </row>
    <row r="42" spans="1:33" x14ac:dyDescent="0.25">
      <c r="AC42" s="2"/>
      <c r="AD42" s="2"/>
      <c r="AE42" s="2"/>
      <c r="AF42" s="31"/>
      <c r="AG42" s="5"/>
    </row>
    <row r="43" spans="1:33" x14ac:dyDescent="0.25">
      <c r="AC43" s="2"/>
      <c r="AD43" s="2"/>
      <c r="AE43" s="2"/>
      <c r="AF43" s="31"/>
      <c r="AG43" s="5"/>
    </row>
    <row r="44" spans="1:33" x14ac:dyDescent="0.25">
      <c r="AC44" s="2"/>
      <c r="AD44" s="2"/>
      <c r="AE44" s="2"/>
      <c r="AF44" s="31"/>
      <c r="AG44" s="5"/>
    </row>
    <row r="45" spans="1:33" x14ac:dyDescent="0.25">
      <c r="AC45" s="2"/>
      <c r="AD45" s="2"/>
      <c r="AE45" s="2"/>
      <c r="AF45" s="31"/>
      <c r="AG45" s="5"/>
    </row>
    <row r="46" spans="1:33" x14ac:dyDescent="0.25">
      <c r="AC46" s="2"/>
      <c r="AD46" s="2"/>
      <c r="AE46" s="2"/>
      <c r="AF46" s="31"/>
      <c r="AG46" s="5"/>
    </row>
    <row r="47" spans="1:33" x14ac:dyDescent="0.25">
      <c r="AC47" s="2"/>
      <c r="AD47" s="2"/>
      <c r="AE47" s="2"/>
      <c r="AF47" s="31"/>
      <c r="AG47" s="5"/>
    </row>
    <row r="48" spans="1:33" x14ac:dyDescent="0.25">
      <c r="AC48" s="2"/>
      <c r="AD48" s="2"/>
      <c r="AE48" s="2"/>
      <c r="AF48" s="31"/>
      <c r="AG48" s="5"/>
    </row>
    <row r="49" spans="29:33" x14ac:dyDescent="0.25">
      <c r="AC49" s="2"/>
      <c r="AD49" s="2"/>
      <c r="AE49" s="2"/>
      <c r="AF49" s="31"/>
      <c r="AG49" s="5"/>
    </row>
    <row r="50" spans="29:33" x14ac:dyDescent="0.25">
      <c r="AC50" s="2"/>
      <c r="AD50" s="2"/>
      <c r="AE50" s="2"/>
      <c r="AF50" s="31"/>
      <c r="AG50" s="5"/>
    </row>
    <row r="51" spans="29:33" x14ac:dyDescent="0.25">
      <c r="AC51" s="2"/>
      <c r="AD51" s="2"/>
      <c r="AE51" s="2"/>
      <c r="AF51" s="31"/>
      <c r="AG51" s="5"/>
    </row>
    <row r="52" spans="29:33" x14ac:dyDescent="0.25">
      <c r="AC52" s="2"/>
      <c r="AD52" s="2"/>
      <c r="AE52" s="2"/>
      <c r="AF52" s="31"/>
      <c r="AG52" s="5"/>
    </row>
    <row r="53" spans="29:33" x14ac:dyDescent="0.25">
      <c r="AC53" s="2"/>
      <c r="AD53" s="2"/>
      <c r="AE53" s="2"/>
      <c r="AF53" s="31"/>
      <c r="AG53" s="5"/>
    </row>
    <row r="54" spans="29:33" x14ac:dyDescent="0.25">
      <c r="AC54" s="2"/>
      <c r="AD54" s="2"/>
      <c r="AE54" s="2"/>
      <c r="AF54" s="31"/>
      <c r="AG54" s="5"/>
    </row>
    <row r="55" spans="29:33" x14ac:dyDescent="0.25">
      <c r="AC55" s="2"/>
      <c r="AD55" s="2"/>
      <c r="AE55" s="2"/>
      <c r="AF55" s="31"/>
      <c r="AG55" s="5"/>
    </row>
    <row r="56" spans="29:33" x14ac:dyDescent="0.25">
      <c r="AC56" s="2"/>
      <c r="AD56" s="2"/>
      <c r="AE56" s="2"/>
      <c r="AF56" s="31"/>
      <c r="AG56" s="5"/>
    </row>
    <row r="57" spans="29:33" x14ac:dyDescent="0.25">
      <c r="AC57" s="2"/>
      <c r="AD57" s="2"/>
      <c r="AE57" s="2"/>
      <c r="AF57" s="31"/>
      <c r="AG57" s="5"/>
    </row>
    <row r="58" spans="29:33" x14ac:dyDescent="0.25">
      <c r="AC58" s="2"/>
      <c r="AD58" s="2"/>
      <c r="AE58" s="2"/>
      <c r="AF58" s="31"/>
      <c r="AG58" s="5"/>
    </row>
    <row r="59" spans="29:33" x14ac:dyDescent="0.25">
      <c r="AC59" s="2"/>
      <c r="AD59" s="2"/>
      <c r="AE59" s="2"/>
      <c r="AF59" s="31"/>
      <c r="AG59" s="5"/>
    </row>
    <row r="60" spans="29:33" x14ac:dyDescent="0.25">
      <c r="AC60" s="2"/>
      <c r="AD60" s="2"/>
      <c r="AE60" s="2"/>
      <c r="AF60" s="31"/>
      <c r="AG60" s="5"/>
    </row>
    <row r="61" spans="29:33" x14ac:dyDescent="0.25">
      <c r="AC61" s="2"/>
      <c r="AD61" s="2"/>
      <c r="AE61" s="2"/>
      <c r="AF61" s="31"/>
      <c r="AG61" s="5"/>
    </row>
    <row r="62" spans="29:33" x14ac:dyDescent="0.25">
      <c r="AC62" s="2"/>
      <c r="AD62" s="2"/>
      <c r="AE62" s="2"/>
      <c r="AF62" s="31"/>
      <c r="AG62" s="5"/>
    </row>
    <row r="63" spans="29:33" x14ac:dyDescent="0.25">
      <c r="AC63" s="2"/>
      <c r="AD63" s="2"/>
      <c r="AE63" s="2"/>
      <c r="AF63" s="31"/>
      <c r="AG63" s="5"/>
    </row>
    <row r="64" spans="29:33" x14ac:dyDescent="0.25">
      <c r="AC64" s="2"/>
      <c r="AD64" s="2"/>
      <c r="AE64" s="2"/>
      <c r="AF64" s="31"/>
      <c r="AG64" s="5"/>
    </row>
    <row r="65" spans="29:33" x14ac:dyDescent="0.25">
      <c r="AC65" s="2"/>
      <c r="AD65" s="2"/>
      <c r="AE65" s="2"/>
      <c r="AF65" s="31"/>
      <c r="AG65" s="5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2"/>
      <c r="AD200" s="2"/>
      <c r="AE200" s="2"/>
      <c r="AF200" s="31">
        <f ca="1">TODAY()</f>
        <v>46296</v>
      </c>
      <c r="AG200" s="5" cm="1">
        <f t="array" ref="AG200">LOOKUP(2,1/(H:H&gt;0),H:H)</f>
        <v>393.30373108379257</v>
      </c>
    </row>
  </sheetData>
  <mergeCells count="18">
    <mergeCell ref="O3:O4"/>
    <mergeCell ref="P3:P4"/>
    <mergeCell ref="Q3:Q4"/>
    <mergeCell ref="R3:R4"/>
    <mergeCell ref="S3:U3"/>
    <mergeCell ref="M3:M4"/>
    <mergeCell ref="A3:A4"/>
    <mergeCell ref="B3:D3"/>
    <mergeCell ref="E3:F3"/>
    <mergeCell ref="G3:J3"/>
    <mergeCell ref="K3:L3"/>
    <mergeCell ref="AD3:AD4"/>
    <mergeCell ref="AE3:AE4"/>
    <mergeCell ref="V3:W3"/>
    <mergeCell ref="X3:X4"/>
    <mergeCell ref="AF3:AG3"/>
    <mergeCell ref="Y3:Y4"/>
    <mergeCell ref="AC3:AC4"/>
  </mergeCells>
  <hyperlinks>
    <hyperlink ref="A5" location="'2024.05'!A1" display="'2024.05'!A1" xr:uid="{C707104A-240F-4B23-B85E-E784F08DF03B}"/>
    <hyperlink ref="A6" location="'2024.06'!A1" display="'2024.06'!A1" xr:uid="{07834BF2-7DD7-4EB0-82D6-D20494DF37D8}"/>
    <hyperlink ref="A29" location="'2026.05'!A1" display="'2026.05'!A1" xr:uid="{738981D6-1241-48C9-9724-69F6CC8B5708}"/>
    <hyperlink ref="A7" location="'2024.07'!A1" display="'2024.07'!A1" xr:uid="{E7E1A3AE-925F-4EC1-8CC4-0C001ADF0B4A}"/>
    <hyperlink ref="A8" location="'2024.08'!A1" display="'2024.08'!A1" xr:uid="{C0798296-1873-4303-87A6-1226D22B5C77}"/>
    <hyperlink ref="A9" location="'2024.09'!A1" display="'2024.09'!A1" xr:uid="{4A21111C-9BD9-41A4-904A-7E671BAEFD09}"/>
    <hyperlink ref="A10" location="'2024.10'!A1" display="'2024.10'!A1" xr:uid="{805B55E8-E6B9-4F24-93FC-00D7F26D49A6}"/>
    <hyperlink ref="A11" location="'2024.11'!A1" display="'2024.11'!A1" xr:uid="{C223FBC8-F5BA-4411-8A55-59D08D67D2EE}"/>
    <hyperlink ref="A12" location="'2024.12'!A1" display="'2024.12'!A1" xr:uid="{C1FC1834-FAAD-4722-85A8-BCC94D282262}"/>
    <hyperlink ref="A13" location="'2025.01'!A1" display="'2025.01'!A1" xr:uid="{11875CDA-0F8B-4D90-A9DF-4EA97A3379B3}"/>
    <hyperlink ref="A14" location="'2025.02'!A1" display="'2025.02'!A1" xr:uid="{B91C3AAA-EA47-404C-876E-E9DE4CB33E14}"/>
    <hyperlink ref="A15" location="'2025.03'!A1" display="'2025.03'!A1" xr:uid="{AECAE3A6-81A8-4980-A5DD-D11837398C17}"/>
    <hyperlink ref="A16" location="'2025.04'!A1" display="'2025.04'!A1" xr:uid="{37F498C2-3A4D-4E3E-A02D-97FC1D5F4FEB}"/>
    <hyperlink ref="A17" location="'2025.05'!A1" display="'2025.05'!A1" xr:uid="{3141D212-A5A3-4C89-83CD-E8C411A1F003}"/>
    <hyperlink ref="A18" location="'2025.06'!A1" display="'2025.06'!A1" xr:uid="{AF58A9B4-9683-40A0-9DDE-3E1F70500164}"/>
    <hyperlink ref="A19" location="'2025.07'!A1" display="'2025.07'!A1" xr:uid="{C5604EFB-3932-48CA-8688-10FE03E98D59}"/>
    <hyperlink ref="A20" location="'2025.08'!A1" display="'2025.08'!A1" xr:uid="{E447A795-3E9E-46E6-9A0C-397ECB56E76E}"/>
    <hyperlink ref="A21" location="'2025.09'!A1" display="'2025.09'!A1" xr:uid="{5480D019-54D3-486C-8C50-48E45419B813}"/>
    <hyperlink ref="A22" location="'2025.10'!A1" display="'2025.10'!A1" xr:uid="{A68D5C5F-D532-492F-8FE3-C9F6B620E536}"/>
    <hyperlink ref="A23" location="'2025.11'!A1" display="'2025.11'!A1" xr:uid="{1F7E3FA4-E3A1-4BC2-A065-F2FE4D042AC1}"/>
    <hyperlink ref="A24" location="'2025.12'!A1" display="'2025.12'!A1" xr:uid="{43BFB7AA-8F27-4843-9C4C-E9210615BD89}"/>
    <hyperlink ref="A25" location="'2026.01'!A1" display="'2026.01'!A1" xr:uid="{F7720D1B-B760-4237-B589-3DDAF172CAB8}"/>
    <hyperlink ref="A26" location="'2026.02'!A1" display="'2026.02'!A1" xr:uid="{EEF16935-7924-4232-8D87-7170C51732C4}"/>
    <hyperlink ref="A27" location="'2026.03'!A1" display="'2026.03'!A1" xr:uid="{53BB4466-D790-4798-B038-B7AEDE9E0E84}"/>
    <hyperlink ref="A28" location="'2026.04'!A1" display="'2026.04'!A1" xr:uid="{1B8D5A10-3456-4B1A-9CFC-C0D76EE27E0D}"/>
    <hyperlink ref="A30" location="'2026.06'!A1" display="'2026.06'!A1" xr:uid="{2037167C-26F0-4AAC-8FE7-830A1C2B9A17}"/>
    <hyperlink ref="A31" location="'2026.07'!A1" display="'2026.07'!A1" xr:uid="{3741C8EC-2CE3-470A-B328-971287319294}"/>
    <hyperlink ref="A32" location="'2026.08'!A1" display="'2026.08'!A1" xr:uid="{965D0527-BC84-4E9B-B91C-9223CC5E6C00}"/>
    <hyperlink ref="A33" location="'2026.09'!A1" display="'2026.09'!A1" xr:uid="{6C1F5973-0ECC-4FD8-8C88-8DE50FB12B8A}"/>
  </hyperlinks>
  <pageMargins left="0.7" right="0.7" top="0.75" bottom="0.75" header="0.3" footer="0.3"/>
  <pageSetup orientation="portrait" r:id="rId1"/>
  <ignoredErrors>
    <ignoredError sqref="E5:E3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34" sqref="G34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8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13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49">
        <f>'2024.05'!Q2</f>
        <v>2024.05</v>
      </c>
      <c r="B5" s="5">
        <f>'2024.05'!B39</f>
        <v>9.99</v>
      </c>
      <c r="C5" s="5">
        <f>'2024.05'!C39</f>
        <v>9.9700000000000006</v>
      </c>
      <c r="D5" s="5">
        <f>C5</f>
        <v>9.9700000000000006</v>
      </c>
      <c r="E5" s="8">
        <f>'2024.05'!F39</f>
        <v>1.658101747908663</v>
      </c>
      <c r="F5" s="8">
        <f>E5</f>
        <v>1.658101747908663</v>
      </c>
      <c r="G5" s="7">
        <v>5.8079999999999998</v>
      </c>
      <c r="H5" s="5">
        <f t="shared" ref="H5:H15" si="0">F5*G5</f>
        <v>9.6302549518535141</v>
      </c>
      <c r="I5" s="5">
        <f t="shared" ref="I5:I22" si="1">H5-D5</f>
        <v>-0.33974504814648654</v>
      </c>
      <c r="J5" s="37">
        <f>(H5-D5)/D5</f>
        <v>-3.4076735019707774E-2</v>
      </c>
      <c r="K5" s="5">
        <f>'2024.05'!D39</f>
        <v>1.9999999999999574E-2</v>
      </c>
      <c r="L5" s="5">
        <f>'2024.05'!I39</f>
        <v>0</v>
      </c>
      <c r="M5" s="5">
        <f>'2024.05'!O39</f>
        <v>0</v>
      </c>
      <c r="O5" s="3" t="s">
        <v>2</v>
      </c>
      <c r="P5" s="5">
        <f>SUM(B5:B500)</f>
        <v>367.72</v>
      </c>
      <c r="Q5" s="8">
        <f>SUM(E5:E500)</f>
        <v>43.480737761118974</v>
      </c>
      <c r="R5" s="5"/>
      <c r="S5" s="5">
        <f>R5-P5+X5</f>
        <v>-367.72</v>
      </c>
      <c r="T5" s="37">
        <f>(R5-P5+X5)/P5</f>
        <v>-1</v>
      </c>
      <c r="U5" s="37">
        <f ca="1">XIRR(AG5:AG200,AF5:AF200)</f>
        <v>0.21358649134635929</v>
      </c>
      <c r="V5" s="5">
        <f>SUM(K5:K500)</f>
        <v>0.83999999999999964</v>
      </c>
      <c r="W5" s="5">
        <f>SUM(L5:L500)</f>
        <v>0</v>
      </c>
      <c r="X5" s="5">
        <f>SUM(M5:M500)</f>
        <v>0</v>
      </c>
      <c r="Y5" s="5" cm="1">
        <f t="array" ref="Y5">SUMPRODUCT(IFERROR(AD5:AD200,0),IFERROR(AE5:AE200,0))/SUM(IFERROR(AE5:AE200,0))</f>
        <v>8.4377593134601483</v>
      </c>
      <c r="AC5" s="5">
        <f>'2024.05'!$C$39</f>
        <v>9.9700000000000006</v>
      </c>
      <c r="AD5" s="5">
        <f>'2024.05'!$E$39</f>
        <v>6.0129000000000001</v>
      </c>
      <c r="AE5" s="8">
        <f>'2024.05'!$F$39</f>
        <v>1.658101747908663</v>
      </c>
      <c r="AF5" s="31">
        <f>'2024.05'!$A$35</f>
        <v>45442</v>
      </c>
      <c r="AG5" s="5">
        <f>'2024.05'!$B$35*-1</f>
        <v>-9.99</v>
      </c>
    </row>
    <row r="6" spans="1:33" x14ac:dyDescent="0.25">
      <c r="A6" s="49">
        <f>'2024.06'!Q2</f>
        <v>2024.06</v>
      </c>
      <c r="B6" s="5">
        <f>'2024.06'!B39</f>
        <v>0</v>
      </c>
      <c r="C6" s="5">
        <f>'2024.06'!C39</f>
        <v>0</v>
      </c>
      <c r="D6" s="5">
        <f t="shared" ref="D6:D22" si="2">D5+C6</f>
        <v>9.9700000000000006</v>
      </c>
      <c r="E6" s="8">
        <f>'2024.06'!F39</f>
        <v>0</v>
      </c>
      <c r="F6" s="8">
        <f t="shared" ref="F6:F15" si="3">F5+E6</f>
        <v>1.658101747908663</v>
      </c>
      <c r="G6" s="7">
        <v>6.1280000000000001</v>
      </c>
      <c r="H6" s="5">
        <f t="shared" si="0"/>
        <v>10.160847511184288</v>
      </c>
      <c r="I6" s="5">
        <f t="shared" si="1"/>
        <v>0.19084751118428755</v>
      </c>
      <c r="J6" s="37">
        <f t="shared" ref="J6:J23" si="4">(H6-D6)/D6</f>
        <v>1.9142177651382902E-2</v>
      </c>
      <c r="K6" s="5">
        <f>'2024.06'!D39</f>
        <v>0</v>
      </c>
      <c r="L6" s="5">
        <f>'2024.06'!I39</f>
        <v>0</v>
      </c>
      <c r="M6" s="5">
        <f>'2024.06'!O39</f>
        <v>0</v>
      </c>
      <c r="AC6" s="5">
        <f>'2024.06'!$C$39</f>
        <v>0</v>
      </c>
      <c r="AD6" s="5" t="str">
        <f>'2024.06'!$E$39</f>
        <v>0.00</v>
      </c>
      <c r="AE6" s="8">
        <f>'2024.06'!$F$39</f>
        <v>0</v>
      </c>
      <c r="AF6" s="31">
        <f>'2025.11'!$A$35</f>
        <v>45974</v>
      </c>
      <c r="AG6" s="5">
        <f>'2025.11'!$B$35*-1</f>
        <v>-62.23</v>
      </c>
    </row>
    <row r="7" spans="1:33" x14ac:dyDescent="0.25">
      <c r="A7" s="49">
        <f>'2024.07'!Q2</f>
        <v>2024.07</v>
      </c>
      <c r="B7" s="5">
        <f>'2024.07'!B39</f>
        <v>0</v>
      </c>
      <c r="C7" s="5">
        <f>'2024.07'!C39</f>
        <v>0</v>
      </c>
      <c r="D7" s="5">
        <f t="shared" si="2"/>
        <v>9.9700000000000006</v>
      </c>
      <c r="E7" s="8">
        <f>'2024.07'!F39</f>
        <v>0</v>
      </c>
      <c r="F7" s="8">
        <f t="shared" si="3"/>
        <v>1.658101747908663</v>
      </c>
      <c r="G7" s="7">
        <v>6.1150000000000002</v>
      </c>
      <c r="H7" s="5">
        <f t="shared" si="0"/>
        <v>10.139292188461475</v>
      </c>
      <c r="I7" s="5">
        <f t="shared" si="1"/>
        <v>0.16929218846147442</v>
      </c>
      <c r="J7" s="37">
        <f t="shared" si="4"/>
        <v>1.6980159324119802E-2</v>
      </c>
      <c r="K7" s="5">
        <f>'2024.07'!D39</f>
        <v>0</v>
      </c>
      <c r="L7" s="5">
        <f>'2024.07'!I39</f>
        <v>0</v>
      </c>
      <c r="M7" s="5">
        <f>'2024.07'!O39</f>
        <v>0</v>
      </c>
      <c r="AC7" s="5">
        <f>'2024.07'!$C$39</f>
        <v>0</v>
      </c>
      <c r="AD7" s="5" t="str">
        <f>'2024.07'!$E$39</f>
        <v>0.00</v>
      </c>
      <c r="AE7" s="8">
        <f>'2024.07'!$F$39</f>
        <v>0</v>
      </c>
      <c r="AF7" s="31">
        <f>'2025.11'!$A$36</f>
        <v>45988</v>
      </c>
      <c r="AG7" s="5">
        <f>'2025.11'!$B$36*-1</f>
        <v>-15.59</v>
      </c>
    </row>
    <row r="8" spans="1:33" x14ac:dyDescent="0.25">
      <c r="A8" s="49">
        <f>'2024.08'!Q2</f>
        <v>2024.08</v>
      </c>
      <c r="B8" s="5">
        <f>'2024.08'!B39</f>
        <v>0</v>
      </c>
      <c r="C8" s="5">
        <f>'2024.08'!C39</f>
        <v>0</v>
      </c>
      <c r="D8" s="5">
        <f t="shared" si="2"/>
        <v>9.9700000000000006</v>
      </c>
      <c r="E8" s="8">
        <f>'2024.08'!F39</f>
        <v>0</v>
      </c>
      <c r="F8" s="8">
        <f t="shared" si="3"/>
        <v>1.658101747908663</v>
      </c>
      <c r="G8" s="7">
        <v>6.0410000000000004</v>
      </c>
      <c r="H8" s="5">
        <f t="shared" si="0"/>
        <v>10.016592659116235</v>
      </c>
      <c r="I8" s="5">
        <f t="shared" si="1"/>
        <v>4.6592659116234003E-2</v>
      </c>
      <c r="J8" s="37">
        <f t="shared" si="4"/>
        <v>4.6732857689301905E-3</v>
      </c>
      <c r="K8" s="5">
        <f>'2024.08'!D39</f>
        <v>0</v>
      </c>
      <c r="L8" s="5">
        <f>'2024.08'!I39</f>
        <v>0</v>
      </c>
      <c r="M8" s="5">
        <f>'2024.08'!O39</f>
        <v>0</v>
      </c>
      <c r="AC8" s="5">
        <f>'2024.08'!$C$39</f>
        <v>0</v>
      </c>
      <c r="AD8" s="5" t="str">
        <f>'2024.08'!$E$39</f>
        <v>0.00</v>
      </c>
      <c r="AE8" s="8">
        <f>'2024.08'!$F$39</f>
        <v>0</v>
      </c>
      <c r="AF8" s="31">
        <f>'2026.01'!$A$35</f>
        <v>46030</v>
      </c>
      <c r="AG8" s="5">
        <f>'2026.01'!$B$35*-1</f>
        <v>-9.99</v>
      </c>
    </row>
    <row r="9" spans="1:33" x14ac:dyDescent="0.25">
      <c r="A9" s="49">
        <f>'2024.09'!Q2</f>
        <v>2024.09</v>
      </c>
      <c r="B9" s="5">
        <f>'2024.09'!B39</f>
        <v>0</v>
      </c>
      <c r="C9" s="5">
        <f>'2024.09'!C39</f>
        <v>0</v>
      </c>
      <c r="D9" s="5">
        <f t="shared" si="2"/>
        <v>9.9700000000000006</v>
      </c>
      <c r="E9" s="8">
        <f>'2024.09'!F39</f>
        <v>0</v>
      </c>
      <c r="F9" s="8">
        <f t="shared" si="3"/>
        <v>1.658101747908663</v>
      </c>
      <c r="G9" s="7">
        <v>6.35</v>
      </c>
      <c r="H9" s="5">
        <f t="shared" si="0"/>
        <v>10.528946099220009</v>
      </c>
      <c r="I9" s="5">
        <f t="shared" si="1"/>
        <v>0.55894609922000882</v>
      </c>
      <c r="J9" s="37">
        <f t="shared" si="4"/>
        <v>5.6062798316951733E-2</v>
      </c>
      <c r="K9" s="5">
        <f>'2024.09'!D39</f>
        <v>0</v>
      </c>
      <c r="L9" s="5">
        <f>'2024.09'!I39</f>
        <v>0</v>
      </c>
      <c r="M9" s="5">
        <f>'2024.09'!O39</f>
        <v>0</v>
      </c>
      <c r="AC9" s="5">
        <f>'2024.09'!$C$39</f>
        <v>0</v>
      </c>
      <c r="AD9" s="5" t="str">
        <f>'2024.09'!$E$39</f>
        <v>0.00</v>
      </c>
      <c r="AE9" s="8">
        <f>'2024.09'!$F$39</f>
        <v>0</v>
      </c>
      <c r="AF9" s="31">
        <f>'2026.02'!$A$35</f>
        <v>46030</v>
      </c>
      <c r="AG9" s="5">
        <f>'2026.02'!$B$35*-1</f>
        <v>-9.99</v>
      </c>
    </row>
    <row r="10" spans="1:33" x14ac:dyDescent="0.25">
      <c r="A10" s="50">
        <f>'2024.10'!Q2</f>
        <v>2024.1</v>
      </c>
      <c r="B10" s="5">
        <f>'2024.10'!B39</f>
        <v>0</v>
      </c>
      <c r="C10" s="5">
        <f>'2024.10'!C39</f>
        <v>0</v>
      </c>
      <c r="D10" s="5">
        <f t="shared" si="2"/>
        <v>9.9700000000000006</v>
      </c>
      <c r="E10" s="8">
        <f>'2024.10'!F39</f>
        <v>0</v>
      </c>
      <c r="F10" s="8">
        <f t="shared" si="3"/>
        <v>1.658101747908663</v>
      </c>
      <c r="G10" s="7">
        <v>6.2240000000000002</v>
      </c>
      <c r="H10" s="5">
        <f t="shared" si="0"/>
        <v>10.320025278983518</v>
      </c>
      <c r="I10" s="5">
        <f t="shared" si="1"/>
        <v>0.35002527898351765</v>
      </c>
      <c r="J10" s="37">
        <f t="shared" si="4"/>
        <v>3.5107851452709893E-2</v>
      </c>
      <c r="K10" s="5">
        <f>'2024.10'!D39</f>
        <v>0</v>
      </c>
      <c r="L10" s="5">
        <f>'2024.10'!I39</f>
        <v>0</v>
      </c>
      <c r="M10" s="5">
        <f>'2024.10'!O39</f>
        <v>0</v>
      </c>
      <c r="AC10" s="5">
        <f>'2024.10'!$C$39</f>
        <v>0</v>
      </c>
      <c r="AD10" s="5" t="str">
        <f>'2024.10'!$E$39</f>
        <v>0.00</v>
      </c>
      <c r="AE10" s="8">
        <f>'2024.10'!$F$39</f>
        <v>0</v>
      </c>
      <c r="AF10" s="31">
        <f>'2026.03'!$A$35</f>
        <v>46100</v>
      </c>
      <c r="AG10" s="5">
        <f>'2026.03'!$B$35*-1</f>
        <v>-9.99</v>
      </c>
    </row>
    <row r="11" spans="1:33" x14ac:dyDescent="0.25">
      <c r="A11" s="50">
        <f>'2024.11'!Q2</f>
        <v>2024.11</v>
      </c>
      <c r="B11" s="5">
        <f>'2024.11'!B39</f>
        <v>0</v>
      </c>
      <c r="C11" s="5">
        <f>'2024.11'!C39</f>
        <v>0</v>
      </c>
      <c r="D11" s="5">
        <f t="shared" si="2"/>
        <v>9.9700000000000006</v>
      </c>
      <c r="E11" s="8">
        <f>'2024.11'!F39</f>
        <v>0</v>
      </c>
      <c r="F11" s="8">
        <f t="shared" si="3"/>
        <v>1.658101747908663</v>
      </c>
      <c r="G11" s="7">
        <v>6.2750000000000004</v>
      </c>
      <c r="H11" s="5">
        <f t="shared" si="0"/>
        <v>10.40458846812686</v>
      </c>
      <c r="I11" s="5">
        <f t="shared" si="1"/>
        <v>0.43458846812685969</v>
      </c>
      <c r="J11" s="37">
        <f t="shared" si="4"/>
        <v>4.358961565966496E-2</v>
      </c>
      <c r="K11" s="5">
        <f>'2024.11'!D39</f>
        <v>0</v>
      </c>
      <c r="L11" s="5">
        <f>'2024.11'!I39</f>
        <v>0</v>
      </c>
      <c r="M11" s="5">
        <f>'2024.11'!O39</f>
        <v>0</v>
      </c>
      <c r="AC11" s="5">
        <f>'2024.11'!$C$39</f>
        <v>0</v>
      </c>
      <c r="AD11" s="5" t="str">
        <f>'2024.11'!$E$39</f>
        <v>0.00</v>
      </c>
      <c r="AE11" s="8">
        <f>'2024.11'!$F$39</f>
        <v>0</v>
      </c>
      <c r="AF11" s="31">
        <f>'2026.04'!$A$35</f>
        <v>46133</v>
      </c>
      <c r="AG11" s="5">
        <f>'2026.04'!$B$35*-1</f>
        <v>-20</v>
      </c>
    </row>
    <row r="12" spans="1:33" x14ac:dyDescent="0.25">
      <c r="A12" s="50">
        <f>'2024.12'!Q2</f>
        <v>2024.12</v>
      </c>
      <c r="B12" s="5">
        <f>'2024.12'!B39</f>
        <v>0</v>
      </c>
      <c r="C12" s="5">
        <f>'2024.12'!C39</f>
        <v>0</v>
      </c>
      <c r="D12" s="5">
        <f t="shared" si="2"/>
        <v>9.9700000000000006</v>
      </c>
      <c r="E12" s="8">
        <f>'2024.12'!F39</f>
        <v>0</v>
      </c>
      <c r="F12" s="8">
        <f t="shared" si="3"/>
        <v>1.658101747908663</v>
      </c>
      <c r="G12" s="7">
        <v>6.2549999999999999</v>
      </c>
      <c r="H12" s="5">
        <f t="shared" si="0"/>
        <v>10.371426433168688</v>
      </c>
      <c r="I12" s="5">
        <f t="shared" si="1"/>
        <v>0.40142643316868742</v>
      </c>
      <c r="J12" s="37">
        <f t="shared" si="4"/>
        <v>4.0263433617721903E-2</v>
      </c>
      <c r="K12" s="5">
        <f>'2024.12'!D39</f>
        <v>0</v>
      </c>
      <c r="L12" s="5">
        <f>'2024.12'!I39</f>
        <v>0</v>
      </c>
      <c r="M12" s="5">
        <f>'2024.12'!O39</f>
        <v>0</v>
      </c>
      <c r="AC12" s="5">
        <f>'2024.12'!$C$39</f>
        <v>0</v>
      </c>
      <c r="AD12" s="5" t="str">
        <f>'2024.12'!$E$39</f>
        <v>0.00</v>
      </c>
      <c r="AE12" s="8">
        <f>'2024.12'!$F$39</f>
        <v>0</v>
      </c>
      <c r="AF12" s="31">
        <f>'2026.05'!$A$35</f>
        <v>46162</v>
      </c>
      <c r="AG12" s="5">
        <f>'2026.05'!$B$35*-1</f>
        <v>-9.98</v>
      </c>
    </row>
    <row r="13" spans="1:33" x14ac:dyDescent="0.25">
      <c r="A13" s="50">
        <f>'2025.01'!Q2</f>
        <v>2025.01</v>
      </c>
      <c r="B13" s="5">
        <f>'2025.01'!B39</f>
        <v>0</v>
      </c>
      <c r="C13" s="5">
        <f>'2025.01'!C39</f>
        <v>0</v>
      </c>
      <c r="D13" s="5">
        <f t="shared" si="2"/>
        <v>9.9700000000000006</v>
      </c>
      <c r="E13" s="8">
        <f>'2025.01'!F39</f>
        <v>0</v>
      </c>
      <c r="F13" s="8">
        <f t="shared" si="3"/>
        <v>1.658101747908663</v>
      </c>
      <c r="G13" s="7">
        <v>6.4710000000000001</v>
      </c>
      <c r="H13" s="5">
        <f t="shared" si="0"/>
        <v>10.729576410716959</v>
      </c>
      <c r="I13" s="5">
        <f t="shared" si="1"/>
        <v>0.75957641071695825</v>
      </c>
      <c r="J13" s="37">
        <f t="shared" si="4"/>
        <v>7.6186199670707944E-2</v>
      </c>
      <c r="K13" s="5">
        <f>'2025.01'!D39</f>
        <v>0</v>
      </c>
      <c r="L13" s="5">
        <f>'2025.01'!I39</f>
        <v>0</v>
      </c>
      <c r="M13" s="5">
        <f>'2025.01'!O39</f>
        <v>0</v>
      </c>
      <c r="AC13" s="5">
        <f>'2025.01'!$C$39</f>
        <v>0</v>
      </c>
      <c r="AD13" s="5" t="str">
        <f>'2025.01'!$E$39</f>
        <v>0.00</v>
      </c>
      <c r="AE13" s="8">
        <f>'2025.01'!$F$39</f>
        <v>0</v>
      </c>
      <c r="AF13" s="31">
        <f>'2026.06'!$A$35</f>
        <v>46203</v>
      </c>
      <c r="AG13" s="5">
        <f>'2026.06'!$B$35*-1</f>
        <v>-100</v>
      </c>
    </row>
    <row r="14" spans="1:33" x14ac:dyDescent="0.25">
      <c r="A14" s="50">
        <f>'2025.02'!Q2</f>
        <v>2025.02</v>
      </c>
      <c r="B14" s="5">
        <f>'2025.02'!B39</f>
        <v>0</v>
      </c>
      <c r="C14" s="5">
        <f>'2025.02'!C39</f>
        <v>0</v>
      </c>
      <c r="D14" s="5">
        <f t="shared" si="2"/>
        <v>9.9700000000000006</v>
      </c>
      <c r="E14" s="8">
        <f>'2025.02'!F39</f>
        <v>0</v>
      </c>
      <c r="F14" s="8">
        <f t="shared" si="3"/>
        <v>1.658101747908663</v>
      </c>
      <c r="G14" s="7">
        <v>6.4059999999999997</v>
      </c>
      <c r="H14" s="5">
        <f t="shared" si="0"/>
        <v>10.621799797102895</v>
      </c>
      <c r="I14" s="5">
        <f t="shared" si="1"/>
        <v>0.65179979710289437</v>
      </c>
      <c r="J14" s="37">
        <f t="shared" si="4"/>
        <v>6.5376108034392616E-2</v>
      </c>
      <c r="K14" s="5">
        <f>'2025.02'!D39</f>
        <v>0</v>
      </c>
      <c r="L14" s="5">
        <f>'2025.02'!I39</f>
        <v>0</v>
      </c>
      <c r="M14" s="5">
        <f>'2025.02'!O39</f>
        <v>0</v>
      </c>
      <c r="AC14" s="5">
        <f>'2025.02'!$C$39</f>
        <v>0</v>
      </c>
      <c r="AD14" s="5" t="str">
        <f>'2025.02'!$E$39</f>
        <v>0.00</v>
      </c>
      <c r="AE14" s="8">
        <f>'2025.02'!$F$39</f>
        <v>0</v>
      </c>
      <c r="AF14" s="31">
        <f>'2026.07'!$A$35</f>
        <v>46224</v>
      </c>
      <c r="AG14" s="5">
        <f>'2026.07'!$B$35*-1</f>
        <v>-100</v>
      </c>
    </row>
    <row r="15" spans="1:33" x14ac:dyDescent="0.25">
      <c r="A15" s="50">
        <f>'2025.03'!Q2</f>
        <v>2025.03</v>
      </c>
      <c r="B15" s="5">
        <f>'2025.03'!B39</f>
        <v>0</v>
      </c>
      <c r="C15" s="5">
        <f>'2025.03'!C39</f>
        <v>0</v>
      </c>
      <c r="D15" s="5">
        <f t="shared" si="2"/>
        <v>9.9700000000000006</v>
      </c>
      <c r="E15" s="8">
        <f>'2025.03'!F39</f>
        <v>0</v>
      </c>
      <c r="F15" s="8">
        <f t="shared" si="3"/>
        <v>1.658101747908663</v>
      </c>
      <c r="G15" s="7">
        <v>6.181</v>
      </c>
      <c r="H15" s="5">
        <f t="shared" si="0"/>
        <v>10.248726903823446</v>
      </c>
      <c r="I15" s="5">
        <f t="shared" si="1"/>
        <v>0.27872690382344523</v>
      </c>
      <c r="J15" s="37">
        <f t="shared" si="4"/>
        <v>2.7956560062532117E-2</v>
      </c>
      <c r="K15" s="5">
        <f>'2025.03'!D39</f>
        <v>0</v>
      </c>
      <c r="L15" s="5">
        <f>'2025.03'!I39</f>
        <v>0</v>
      </c>
      <c r="M15" s="5">
        <f>'2025.03'!O39</f>
        <v>0</v>
      </c>
      <c r="AC15" s="5">
        <f>'2025.03'!$C$39</f>
        <v>0</v>
      </c>
      <c r="AD15" s="5" t="str">
        <f>'2025.03'!$E$39</f>
        <v>0.00</v>
      </c>
      <c r="AE15" s="8">
        <f>'2025.03'!$F$39</f>
        <v>0</v>
      </c>
      <c r="AF15" s="31">
        <f>'2026.08'!$A$35</f>
        <v>46251</v>
      </c>
      <c r="AG15" s="5">
        <f>'2026.08'!$B$35*-1</f>
        <v>-9.98</v>
      </c>
    </row>
    <row r="16" spans="1:33" x14ac:dyDescent="0.25">
      <c r="A16" s="50">
        <f>'2025.04'!Q2</f>
        <v>2025.04</v>
      </c>
      <c r="B16" s="5">
        <f>'2025.04'!B39</f>
        <v>0</v>
      </c>
      <c r="C16" s="5">
        <f>'2025.04'!C39</f>
        <v>0</v>
      </c>
      <c r="D16" s="5">
        <f t="shared" si="2"/>
        <v>9.9700000000000006</v>
      </c>
      <c r="E16" s="8">
        <f>'2025.04'!F39</f>
        <v>0</v>
      </c>
      <c r="F16" s="8">
        <f t="shared" ref="F16" si="5">F15+E16</f>
        <v>1.658101747908663</v>
      </c>
      <c r="G16" s="7">
        <v>5.9610000000000003</v>
      </c>
      <c r="H16" s="5">
        <f t="shared" ref="H16" si="6">F16*G16</f>
        <v>9.8839445192835402</v>
      </c>
      <c r="I16" s="5">
        <f t="shared" si="1"/>
        <v>-8.6055480716460409E-2</v>
      </c>
      <c r="J16" s="37">
        <f t="shared" si="4"/>
        <v>-8.6314423988425679E-3</v>
      </c>
      <c r="K16" s="5">
        <f>'2025.04'!D39</f>
        <v>0</v>
      </c>
      <c r="L16" s="5">
        <f>'2025.04'!I39</f>
        <v>0</v>
      </c>
      <c r="M16" s="5">
        <f>'2025.04'!O39</f>
        <v>0</v>
      </c>
      <c r="AC16" s="5">
        <f>'2025.04'!$C$39</f>
        <v>0</v>
      </c>
      <c r="AD16" s="5" t="str">
        <f>'2025.04'!$E$39</f>
        <v>0.00</v>
      </c>
      <c r="AE16" s="8">
        <f>'2025.04'!$F$39</f>
        <v>0</v>
      </c>
      <c r="AF16" s="31">
        <f>'2026.09'!$A$35</f>
        <v>46275</v>
      </c>
      <c r="AG16" s="5">
        <f>'2026.09'!$B$35*-1</f>
        <v>-9.98</v>
      </c>
    </row>
    <row r="17" spans="1:33" x14ac:dyDescent="0.25">
      <c r="A17" s="50">
        <f>'2025.05'!Q2</f>
        <v>2025.05</v>
      </c>
      <c r="B17" s="5">
        <f>'2025.05'!B39</f>
        <v>0</v>
      </c>
      <c r="C17" s="5">
        <f>'2025.05'!C39</f>
        <v>0</v>
      </c>
      <c r="D17" s="5">
        <f t="shared" si="2"/>
        <v>9.9700000000000006</v>
      </c>
      <c r="E17" s="8">
        <f>'2025.05'!F39</f>
        <v>0</v>
      </c>
      <c r="F17" s="8">
        <f t="shared" ref="F17" si="7">F16+E17</f>
        <v>1.658101747908663</v>
      </c>
      <c r="G17" s="7">
        <v>6.2370000000000001</v>
      </c>
      <c r="H17" s="5">
        <f t="shared" ref="H17" si="8">F17*G17</f>
        <v>10.341580601706331</v>
      </c>
      <c r="I17" s="5">
        <f t="shared" si="1"/>
        <v>0.37158060170633078</v>
      </c>
      <c r="J17" s="37">
        <f t="shared" si="4"/>
        <v>3.7269869779972993E-2</v>
      </c>
      <c r="K17" s="5">
        <f>'2025.05'!D39</f>
        <v>0</v>
      </c>
      <c r="L17" s="5">
        <f>'2025.05'!I39</f>
        <v>0</v>
      </c>
      <c r="M17" s="5">
        <f>'2025.05'!O39</f>
        <v>0</v>
      </c>
      <c r="AC17" s="5">
        <f>'2025.05'!$C$39</f>
        <v>0</v>
      </c>
      <c r="AD17" s="5" t="str">
        <f>'2025.05'!$E$39</f>
        <v>0.00</v>
      </c>
      <c r="AE17" s="8">
        <f>'2025.05'!$F$39</f>
        <v>0</v>
      </c>
      <c r="AF17" s="31"/>
      <c r="AG17" s="5"/>
    </row>
    <row r="18" spans="1:33" x14ac:dyDescent="0.25">
      <c r="A18" s="50">
        <f>'2025.06'!Q2</f>
        <v>2025.06</v>
      </c>
      <c r="B18" s="5">
        <f>'2025.06'!B39</f>
        <v>0</v>
      </c>
      <c r="C18" s="5">
        <f>'2025.06'!C39</f>
        <v>0</v>
      </c>
      <c r="D18" s="5">
        <f t="shared" si="2"/>
        <v>9.9700000000000006</v>
      </c>
      <c r="E18" s="8">
        <f>'2025.06'!F39</f>
        <v>0</v>
      </c>
      <c r="F18" s="8">
        <f t="shared" ref="F18" si="9">F17+E18</f>
        <v>1.658101747908663</v>
      </c>
      <c r="G18" s="7">
        <v>6.4240000000000004</v>
      </c>
      <c r="H18" s="5">
        <f t="shared" ref="H18" si="10">F18*G18</f>
        <v>10.651645628565252</v>
      </c>
      <c r="I18" s="5">
        <f t="shared" si="1"/>
        <v>0.68164562856525102</v>
      </c>
      <c r="J18" s="37">
        <f t="shared" si="4"/>
        <v>6.8369671872141519E-2</v>
      </c>
      <c r="K18" s="5">
        <f>'2025.06'!D39</f>
        <v>0</v>
      </c>
      <c r="L18" s="5">
        <f>'2025.06'!I39</f>
        <v>0</v>
      </c>
      <c r="M18" s="5">
        <f>'2025.06'!O39</f>
        <v>0</v>
      </c>
      <c r="AC18" s="5">
        <f>'2025.06'!$C$39</f>
        <v>0</v>
      </c>
      <c r="AD18" s="5" t="str">
        <f>'2025.06'!$E$39</f>
        <v>0.00</v>
      </c>
      <c r="AE18" s="8">
        <f>'2025.06'!$F$39</f>
        <v>0</v>
      </c>
      <c r="AF18" s="31"/>
      <c r="AG18" s="5"/>
    </row>
    <row r="19" spans="1:33" x14ac:dyDescent="0.25">
      <c r="A19" s="50">
        <f>'2025.07'!Q2</f>
        <v>2025.07</v>
      </c>
      <c r="B19" s="5">
        <f>'2025.07'!B39</f>
        <v>0</v>
      </c>
      <c r="C19" s="5">
        <f>'2025.07'!C39</f>
        <v>0</v>
      </c>
      <c r="D19" s="5">
        <f t="shared" si="2"/>
        <v>9.9700000000000006</v>
      </c>
      <c r="E19" s="8">
        <f>'2025.07'!F39</f>
        <v>0</v>
      </c>
      <c r="F19" s="8">
        <f t="shared" ref="F19" si="11">F18+E19</f>
        <v>1.658101747908663</v>
      </c>
      <c r="G19" s="7">
        <v>6.6879999999999997</v>
      </c>
      <c r="H19" s="5">
        <f t="shared" ref="H19" si="12">F19*G19</f>
        <v>11.089384490013138</v>
      </c>
      <c r="I19" s="5">
        <f t="shared" si="1"/>
        <v>1.1193844900131378</v>
      </c>
      <c r="J19" s="37">
        <f t="shared" si="4"/>
        <v>0.11227527482579114</v>
      </c>
      <c r="K19" s="5">
        <f>'2025.07'!D39</f>
        <v>0</v>
      </c>
      <c r="L19" s="5">
        <f>'2025.07'!I39</f>
        <v>0</v>
      </c>
      <c r="M19" s="5">
        <f>'2025.07'!O39</f>
        <v>0</v>
      </c>
      <c r="AC19" s="5">
        <f>'2025.07'!$C$39</f>
        <v>0</v>
      </c>
      <c r="AD19" s="5" t="str">
        <f>'2025.07'!$E$39</f>
        <v>0.00</v>
      </c>
      <c r="AE19" s="8">
        <f>'2025.07'!$F$39</f>
        <v>0</v>
      </c>
      <c r="AF19" s="31"/>
      <c r="AG19" s="5"/>
    </row>
    <row r="20" spans="1:33" x14ac:dyDescent="0.25">
      <c r="A20" s="50">
        <f>'2025.08'!Q2</f>
        <v>2025.08</v>
      </c>
      <c r="B20" s="5">
        <f>'2025.08'!B39</f>
        <v>0</v>
      </c>
      <c r="C20" s="5">
        <f>'2025.08'!C39</f>
        <v>0</v>
      </c>
      <c r="D20" s="5">
        <f t="shared" si="2"/>
        <v>9.9700000000000006</v>
      </c>
      <c r="E20" s="8">
        <f>'2025.08'!F39</f>
        <v>0</v>
      </c>
      <c r="F20" s="8">
        <f t="shared" ref="F20" si="13">F19+E20</f>
        <v>1.658101747908663</v>
      </c>
      <c r="G20" s="7">
        <v>6.6719999999999997</v>
      </c>
      <c r="H20" s="5">
        <f t="shared" ref="H20" si="14">F20*G20</f>
        <v>11.062854862046599</v>
      </c>
      <c r="I20" s="5">
        <f t="shared" si="1"/>
        <v>1.0928548620465985</v>
      </c>
      <c r="J20" s="37">
        <f t="shared" si="4"/>
        <v>0.10961432919223656</v>
      </c>
      <c r="K20" s="5">
        <f>'2025.08'!D39</f>
        <v>0</v>
      </c>
      <c r="L20" s="5">
        <f>'2025.08'!I39</f>
        <v>0</v>
      </c>
      <c r="M20" s="5">
        <f>'2025.08'!O39</f>
        <v>0</v>
      </c>
      <c r="AC20" s="5">
        <f>'2025.08'!$C$39</f>
        <v>0</v>
      </c>
      <c r="AD20" s="5" t="str">
        <f>'2025.08'!$E$39</f>
        <v>0.00</v>
      </c>
      <c r="AE20" s="8">
        <f>'2025.08'!$F$39</f>
        <v>0</v>
      </c>
      <c r="AF20" s="31"/>
      <c r="AG20" s="5"/>
    </row>
    <row r="21" spans="1:33" x14ac:dyDescent="0.25">
      <c r="A21" s="50">
        <f>'2025.09'!Q2</f>
        <v>2025.09</v>
      </c>
      <c r="B21" s="5">
        <f>'2025.09'!B39</f>
        <v>0</v>
      </c>
      <c r="C21" s="5">
        <f>'2025.09'!C39</f>
        <v>0</v>
      </c>
      <c r="D21" s="5">
        <f t="shared" si="2"/>
        <v>9.9700000000000006</v>
      </c>
      <c r="E21" s="8">
        <f>'2025.09'!F39</f>
        <v>0</v>
      </c>
      <c r="F21" s="8">
        <f t="shared" ref="F21" si="15">F20+E21</f>
        <v>1.658101747908663</v>
      </c>
      <c r="G21" s="7">
        <v>7.0350000000000001</v>
      </c>
      <c r="H21" s="5">
        <f t="shared" ref="H21" si="16">F21*G21</f>
        <v>11.664745796537444</v>
      </c>
      <c r="I21" s="5">
        <f t="shared" si="1"/>
        <v>1.6947457965374433</v>
      </c>
      <c r="J21" s="37">
        <f t="shared" si="4"/>
        <v>0.16998453325350482</v>
      </c>
      <c r="K21" s="5">
        <f>'2025.09'!D39</f>
        <v>0</v>
      </c>
      <c r="L21" s="5">
        <f>'2025.09'!I39</f>
        <v>0</v>
      </c>
      <c r="M21" s="5">
        <f>'2025.09'!O39</f>
        <v>0</v>
      </c>
      <c r="AC21" s="5">
        <f>'2025.09'!$C$39</f>
        <v>0</v>
      </c>
      <c r="AD21" s="5" t="str">
        <f>'2025.09'!$E$39</f>
        <v>0.00</v>
      </c>
      <c r="AE21" s="8">
        <f>'2025.09'!$F$39</f>
        <v>0</v>
      </c>
      <c r="AF21" s="31"/>
      <c r="AG21" s="5"/>
    </row>
    <row r="22" spans="1:33" x14ac:dyDescent="0.25">
      <c r="A22" s="50">
        <f>'2025.10'!Q2</f>
        <v>2025.1</v>
      </c>
      <c r="B22" s="5">
        <f>'2025.10'!B39</f>
        <v>0</v>
      </c>
      <c r="C22" s="5">
        <f>'2025.10'!C39</f>
        <v>0</v>
      </c>
      <c r="D22" s="5">
        <f t="shared" si="2"/>
        <v>9.9700000000000006</v>
      </c>
      <c r="E22" s="8">
        <f>'2025.10'!F39</f>
        <v>0</v>
      </c>
      <c r="F22" s="8">
        <f t="shared" ref="F22" si="17">F21+E22</f>
        <v>1.658101747908663</v>
      </c>
      <c r="G22" s="7">
        <v>7.4320000000000004</v>
      </c>
      <c r="H22" s="5">
        <f t="shared" ref="H22" si="18">F22*G22</f>
        <v>12.323012190457185</v>
      </c>
      <c r="I22" s="5">
        <f t="shared" si="1"/>
        <v>2.3530121904571839</v>
      </c>
      <c r="J22" s="37">
        <f t="shared" si="4"/>
        <v>0.2360092467860766</v>
      </c>
      <c r="K22" s="5">
        <f>'2025.10'!D39</f>
        <v>0</v>
      </c>
      <c r="L22" s="5">
        <f>'2025.10'!I39</f>
        <v>0</v>
      </c>
      <c r="M22" s="5">
        <f>'2025.10'!O39</f>
        <v>0</v>
      </c>
      <c r="AC22" s="5">
        <f>'2025.10'!$C$39</f>
        <v>0</v>
      </c>
      <c r="AD22" s="5" t="str">
        <f>'2025.10'!$E$39</f>
        <v>0.00</v>
      </c>
      <c r="AE22" s="8">
        <f>'2025.10'!$F$39</f>
        <v>0</v>
      </c>
      <c r="AF22" s="31"/>
      <c r="AG22" s="5"/>
    </row>
    <row r="23" spans="1:33" x14ac:dyDescent="0.25">
      <c r="A23" s="50">
        <f>'2025.11'!Q2</f>
        <v>2025.11</v>
      </c>
      <c r="B23" s="5">
        <f>'2025.11'!B39</f>
        <v>77.819999999999993</v>
      </c>
      <c r="C23" s="5">
        <f>'2025.11'!C39</f>
        <v>77.62</v>
      </c>
      <c r="D23" s="5">
        <f t="shared" ref="D23" si="19">D22+C23</f>
        <v>87.59</v>
      </c>
      <c r="E23" s="8">
        <f>'2025.11'!F39</f>
        <v>10.554886564543317</v>
      </c>
      <c r="F23" s="8">
        <f t="shared" ref="F23" si="20">F22+E23</f>
        <v>12.21298831245198</v>
      </c>
      <c r="G23" s="7">
        <v>7.3129999999999997</v>
      </c>
      <c r="H23" s="5">
        <f t="shared" ref="H23" si="21">F23*G23</f>
        <v>89.313583528961331</v>
      </c>
      <c r="I23" s="5">
        <f t="shared" ref="I23" si="22">H23-D23</f>
        <v>1.7235835289613277</v>
      </c>
      <c r="J23" s="37">
        <f t="shared" si="4"/>
        <v>1.9677857391954878E-2</v>
      </c>
      <c r="K23" s="5">
        <f>'2025.11'!D39</f>
        <v>0.2</v>
      </c>
      <c r="L23" s="5">
        <f>'2025.11'!I39</f>
        <v>0</v>
      </c>
      <c r="M23" s="5">
        <f>'2025.11'!O39</f>
        <v>0</v>
      </c>
      <c r="AC23" s="5">
        <f>'2025.11'!$C$39</f>
        <v>77.62</v>
      </c>
      <c r="AD23" s="5">
        <f>'2025.11'!$E$39</f>
        <v>7.353939762910036</v>
      </c>
      <c r="AE23" s="8">
        <f>'2025.11'!$F$39</f>
        <v>10.554886564543317</v>
      </c>
      <c r="AF23" s="31"/>
      <c r="AG23" s="5"/>
    </row>
    <row r="24" spans="1:33" x14ac:dyDescent="0.25">
      <c r="A24" s="50" t="str">
        <f>'2025.12'!Q2</f>
        <v>2025.12</v>
      </c>
      <c r="B24" s="5">
        <f>'2025.12'!B39</f>
        <v>0</v>
      </c>
      <c r="C24" s="5">
        <f>'2025.12'!C39</f>
        <v>0</v>
      </c>
      <c r="D24" s="5">
        <f t="shared" ref="D24" si="23">D23+C24</f>
        <v>87.59</v>
      </c>
      <c r="E24" s="8">
        <f>'2025.12'!F39</f>
        <v>0</v>
      </c>
      <c r="F24" s="8">
        <f t="shared" ref="F24" si="24">F23+E24</f>
        <v>12.21298831245198</v>
      </c>
      <c r="G24" s="7">
        <v>7.35</v>
      </c>
      <c r="H24" s="5">
        <f t="shared" ref="H24" si="25">F24*G24</f>
        <v>89.765464096522052</v>
      </c>
      <c r="I24" s="5">
        <f t="shared" ref="I24" si="26">H24-D24</f>
        <v>2.1754640965220489</v>
      </c>
      <c r="J24" s="37">
        <f t="shared" ref="J24" si="27">(H24-D24)/D24</f>
        <v>2.4836900291380852E-2</v>
      </c>
      <c r="K24" s="5">
        <f>'2025.12'!D39</f>
        <v>0</v>
      </c>
      <c r="L24" s="5">
        <f>'2025.12'!I39</f>
        <v>0</v>
      </c>
      <c r="M24" s="5">
        <f>'2025.12'!O39</f>
        <v>0</v>
      </c>
      <c r="AC24" s="5">
        <f>'2025.12'!$C$39</f>
        <v>0</v>
      </c>
      <c r="AD24" s="5" t="str">
        <f>'2025.12'!$E$39</f>
        <v>0.00</v>
      </c>
      <c r="AE24" s="8">
        <f>'2025.12'!$F$39</f>
        <v>0</v>
      </c>
      <c r="AF24" s="31"/>
      <c r="AG24" s="5"/>
    </row>
    <row r="25" spans="1:33" x14ac:dyDescent="0.25">
      <c r="A25" s="50">
        <f>'2026.01'!$Q$2</f>
        <v>2026.01</v>
      </c>
      <c r="B25" s="5">
        <f>'2026.01'!$B$39</f>
        <v>9.99</v>
      </c>
      <c r="C25" s="5">
        <f>'2026.01'!$C$39</f>
        <v>9.9700000000000006</v>
      </c>
      <c r="D25" s="5">
        <f t="shared" ref="D25" si="28">D24+C25</f>
        <v>97.56</v>
      </c>
      <c r="E25" s="8">
        <f>'2026.01'!$F$39</f>
        <v>1.2985152383433187</v>
      </c>
      <c r="F25" s="8">
        <f t="shared" ref="F25" si="29">F24+E25</f>
        <v>13.511503550795299</v>
      </c>
      <c r="G25" s="7">
        <v>7.891</v>
      </c>
      <c r="H25" s="5">
        <f t="shared" ref="H25" si="30">F25*G25</f>
        <v>106.6192745193257</v>
      </c>
      <c r="I25" s="5">
        <f t="shared" ref="I25" si="31">H25-D25</f>
        <v>9.0592745193256974</v>
      </c>
      <c r="J25" s="37">
        <f t="shared" ref="J25" si="32">(H25-D25)/D25</f>
        <v>9.2858492408012472E-2</v>
      </c>
      <c r="K25" s="5">
        <f>'2026.01'!$D$39</f>
        <v>0.02</v>
      </c>
      <c r="L25" s="5">
        <f>'2026.01'!$I$39</f>
        <v>0</v>
      </c>
      <c r="M25" s="5">
        <f>'2026.01'!$O$39</f>
        <v>0</v>
      </c>
      <c r="AC25" s="5">
        <f>'2026.01'!$C$39</f>
        <v>9.9700000000000006</v>
      </c>
      <c r="AD25" s="5">
        <f>'2026.01'!$E$39</f>
        <v>7.6779999999999999</v>
      </c>
      <c r="AE25" s="8">
        <f>'2026.01'!$F$39</f>
        <v>1.2985152383433187</v>
      </c>
      <c r="AF25" s="31"/>
      <c r="AG25" s="5"/>
    </row>
    <row r="26" spans="1:33" x14ac:dyDescent="0.25">
      <c r="A26" s="50">
        <f>'2026.02'!$Q$2</f>
        <v>2026.02</v>
      </c>
      <c r="B26" s="5">
        <f>'2026.02'!$B$39</f>
        <v>9.99</v>
      </c>
      <c r="C26" s="5">
        <f>'2026.02'!$C$39</f>
        <v>9.9700000000000006</v>
      </c>
      <c r="D26" s="5">
        <f t="shared" ref="D26" si="33">D25+C26</f>
        <v>107.53</v>
      </c>
      <c r="E26" s="8">
        <f>'2026.02'!$F$39</f>
        <v>1.2272883943079425</v>
      </c>
      <c r="F26" s="8">
        <f t="shared" ref="F26" si="34">F25+E26</f>
        <v>14.738791945103241</v>
      </c>
      <c r="G26" s="7">
        <v>8.3919999999999995</v>
      </c>
      <c r="H26" s="5">
        <f t="shared" ref="H26" si="35">F26*G26</f>
        <v>123.68794200330639</v>
      </c>
      <c r="I26" s="5">
        <f t="shared" ref="I26" si="36">H26-D26</f>
        <v>16.157942003306388</v>
      </c>
      <c r="J26" s="37">
        <f t="shared" ref="J26" si="37">(H26-D26)/D26</f>
        <v>0.15026450296016355</v>
      </c>
      <c r="K26" s="5">
        <f>'2026.02'!$D$39</f>
        <v>0.02</v>
      </c>
      <c r="L26" s="5">
        <f>'2026.02'!$I$39</f>
        <v>0</v>
      </c>
      <c r="M26" s="5">
        <f>'2026.02'!$O$39</f>
        <v>0</v>
      </c>
      <c r="AC26" s="5">
        <f>'2026.02'!$C$39</f>
        <v>9.9700000000000006</v>
      </c>
      <c r="AD26" s="5">
        <f>'2026.02'!$E$39</f>
        <v>8.1235999999999997</v>
      </c>
      <c r="AE26" s="8">
        <f>'2026.02'!$F$39</f>
        <v>1.2272883943079425</v>
      </c>
      <c r="AF26" s="31"/>
      <c r="AG26" s="5"/>
    </row>
    <row r="27" spans="1:33" x14ac:dyDescent="0.25">
      <c r="A27" s="50">
        <f>'2026.03'!$Q$2</f>
        <v>2026.03</v>
      </c>
      <c r="B27" s="5">
        <f>'2026.03'!$B$39</f>
        <v>9.99</v>
      </c>
      <c r="C27" s="5">
        <f>'2026.03'!$C$39</f>
        <v>9.9700000000000006</v>
      </c>
      <c r="D27" s="5">
        <f t="shared" ref="D27" si="38">D26+C27</f>
        <v>117.5</v>
      </c>
      <c r="E27" s="8">
        <f>'2026.03'!$F$39</f>
        <v>1.2542458170839101</v>
      </c>
      <c r="F27" s="8">
        <f t="shared" ref="F27" si="39">F26+E27</f>
        <v>15.993037762187152</v>
      </c>
      <c r="G27" s="7">
        <v>7.516</v>
      </c>
      <c r="H27" s="5">
        <f t="shared" ref="H27" si="40">F27*G27</f>
        <v>120.20367182059863</v>
      </c>
      <c r="I27" s="5">
        <f t="shared" ref="I27" si="41">H27-D27</f>
        <v>2.703671820598629</v>
      </c>
      <c r="J27" s="37">
        <f t="shared" ref="J27" si="42">(H27-D27)/D27</f>
        <v>2.3009972941264927E-2</v>
      </c>
      <c r="K27" s="5">
        <f>'2026.03'!$D$39</f>
        <v>0.02</v>
      </c>
      <c r="L27" s="5">
        <f>'2026.03'!$I$39</f>
        <v>0</v>
      </c>
      <c r="M27" s="5">
        <f>'2026.03'!$O$39</f>
        <v>0</v>
      </c>
      <c r="AC27" s="5">
        <f>'2026.03'!$C$39</f>
        <v>9.9700000000000006</v>
      </c>
      <c r="AD27" s="5">
        <f>'2026.03'!$E$39</f>
        <v>7.948999999999999</v>
      </c>
      <c r="AE27" s="8">
        <f>'2026.03'!$F$39</f>
        <v>1.2542458170839101</v>
      </c>
      <c r="AF27" s="31"/>
      <c r="AG27" s="5"/>
    </row>
    <row r="28" spans="1:33" x14ac:dyDescent="0.25">
      <c r="A28" s="50">
        <f>'2026.04'!$Q$2</f>
        <v>2026.04</v>
      </c>
      <c r="B28" s="5">
        <f>'2026.04'!$B$39</f>
        <v>20</v>
      </c>
      <c r="C28" s="5">
        <f>'2026.04'!$C$39</f>
        <v>20</v>
      </c>
      <c r="D28" s="5">
        <f t="shared" ref="D28" si="43">D27+C28</f>
        <v>137.5</v>
      </c>
      <c r="E28" s="8">
        <f>'2026.04'!$F$39</f>
        <v>2.3703422774248604</v>
      </c>
      <c r="F28" s="8">
        <f t="shared" ref="F28" si="44">F27+E28</f>
        <v>18.363380039612011</v>
      </c>
      <c r="G28" s="7">
        <v>8.4239999999999995</v>
      </c>
      <c r="H28" s="5">
        <f t="shared" ref="H28" si="45">F28*G28</f>
        <v>154.69311345369158</v>
      </c>
      <c r="I28" s="5">
        <f t="shared" ref="I28" si="46">H28-D28</f>
        <v>17.193113453691581</v>
      </c>
      <c r="J28" s="37">
        <f t="shared" ref="J28" si="47">(H28-D28)/D28</f>
        <v>0.12504082511775694</v>
      </c>
      <c r="K28" s="5">
        <f>'2026.04'!$D$39</f>
        <v>0</v>
      </c>
      <c r="L28" s="5">
        <f>'2026.04'!$I$39</f>
        <v>0</v>
      </c>
      <c r="M28" s="5">
        <f>'2026.04'!$O$39</f>
        <v>0</v>
      </c>
      <c r="AC28" s="5">
        <f>'2026.04'!$C$39</f>
        <v>20</v>
      </c>
      <c r="AD28" s="5">
        <f>'2026.04'!$E$39</f>
        <v>8.4375999999999998</v>
      </c>
      <c r="AE28" s="8">
        <f>'2026.04'!$F$39</f>
        <v>2.3703422774248604</v>
      </c>
      <c r="AF28" s="31"/>
      <c r="AG28" s="5"/>
    </row>
    <row r="29" spans="1:33" x14ac:dyDescent="0.25">
      <c r="A29" s="50">
        <f>'2026.05'!$Q$2</f>
        <v>2026.05</v>
      </c>
      <c r="B29" s="5">
        <f>'2026.05'!$B$39</f>
        <v>9.98</v>
      </c>
      <c r="C29" s="5">
        <f>'2026.05'!$C$39</f>
        <v>9.9600000000000009</v>
      </c>
      <c r="D29" s="5">
        <f t="shared" ref="D29" si="48">D28+C29</f>
        <v>147.46</v>
      </c>
      <c r="E29" s="8">
        <f>'2026.05'!$F$39</f>
        <v>1.1489214442265545</v>
      </c>
      <c r="F29" s="8">
        <f t="shared" ref="F29" si="49">F28+E29</f>
        <v>19.512301483838566</v>
      </c>
      <c r="G29" s="7">
        <v>9.24</v>
      </c>
      <c r="H29" s="5">
        <f t="shared" ref="H29" si="50">F29*G29</f>
        <v>180.29366571066836</v>
      </c>
      <c r="I29" s="5">
        <f t="shared" ref="I29" si="51">H29-D29</f>
        <v>32.833665710668356</v>
      </c>
      <c r="J29" s="37">
        <f t="shared" ref="J29" si="52">(H29-D29)/D29</f>
        <v>0.2226615062435125</v>
      </c>
      <c r="K29" s="5">
        <f>'2026.05'!$D$39</f>
        <v>0.02</v>
      </c>
      <c r="L29" s="5">
        <f>'2026.05'!$I$39</f>
        <v>0</v>
      </c>
      <c r="M29" s="5">
        <f>'2026.05'!$O$39</f>
        <v>0</v>
      </c>
      <c r="AC29" s="5">
        <f>'2026.05'!$C$39</f>
        <v>9.9600000000000009</v>
      </c>
      <c r="AD29" s="5">
        <f>'2026.05'!$E$39</f>
        <v>8.6690000000000005</v>
      </c>
      <c r="AE29" s="8">
        <f>'2026.05'!$F$39</f>
        <v>1.1489214442265545</v>
      </c>
      <c r="AF29" s="31"/>
      <c r="AG29" s="5"/>
    </row>
    <row r="30" spans="1:33" x14ac:dyDescent="0.25">
      <c r="A30" s="50">
        <f>'2026.06'!$Q$2</f>
        <v>2026.06</v>
      </c>
      <c r="B30" s="5">
        <f>'2026.06'!$B$39</f>
        <v>100</v>
      </c>
      <c r="C30" s="5">
        <f>'2026.06'!$C$39</f>
        <v>99.75</v>
      </c>
      <c r="D30" s="5">
        <f t="shared" ref="D30" si="53">D29+C30</f>
        <v>247.21</v>
      </c>
      <c r="E30" s="8">
        <f>'2026.06'!$F$39</f>
        <v>10.646018549153121</v>
      </c>
      <c r="F30" s="8">
        <f t="shared" ref="F30" si="54">F29+E30</f>
        <v>30.158320032991689</v>
      </c>
      <c r="G30" s="7">
        <v>9.4359999999999999</v>
      </c>
      <c r="H30" s="5">
        <f t="shared" ref="H30" si="55">F30*G30</f>
        <v>284.57390783130955</v>
      </c>
      <c r="I30" s="5">
        <f t="shared" ref="I30" si="56">H30-D30</f>
        <v>37.363907831309547</v>
      </c>
      <c r="J30" s="37">
        <f t="shared" ref="J30" si="57">(H30-D30)/D30</f>
        <v>0.15114238028926638</v>
      </c>
      <c r="K30" s="5">
        <f>'2026.06'!$D$39</f>
        <v>0.25</v>
      </c>
      <c r="L30" s="5">
        <f>'2026.06'!$I$39</f>
        <v>0</v>
      </c>
      <c r="M30" s="5">
        <f>'2026.06'!$O$39</f>
        <v>0</v>
      </c>
      <c r="AC30" s="5">
        <f>'2026.06'!$C$39</f>
        <v>99.75</v>
      </c>
      <c r="AD30" s="5">
        <f>'2026.06'!$E$39</f>
        <v>9.3696999999999999</v>
      </c>
      <c r="AE30" s="8">
        <f>'2026.06'!$F$39</f>
        <v>10.646018549153121</v>
      </c>
      <c r="AF30" s="31"/>
      <c r="AG30" s="5"/>
    </row>
    <row r="31" spans="1:33" x14ac:dyDescent="0.25">
      <c r="A31" s="50">
        <f>'2026.07'!$Q$2</f>
        <v>2026.07</v>
      </c>
      <c r="B31" s="5">
        <f>'2026.07'!$B$39</f>
        <v>100</v>
      </c>
      <c r="C31" s="5">
        <f>'2026.07'!$C$39</f>
        <v>99.75</v>
      </c>
      <c r="D31" s="5">
        <f t="shared" ref="D31" si="58">D30+C31</f>
        <v>346.96000000000004</v>
      </c>
      <c r="E31" s="8">
        <f>'2026.07'!$F$39</f>
        <v>11.139028475711893</v>
      </c>
      <c r="F31" s="8">
        <f t="shared" ref="F31" si="59">F30+E31</f>
        <v>41.297348508703578</v>
      </c>
      <c r="G31" s="7">
        <v>8.6020000000000003</v>
      </c>
      <c r="H31" s="5">
        <f t="shared" ref="H31" si="60">F31*G31</f>
        <v>355.23979187186819</v>
      </c>
      <c r="I31" s="5">
        <f t="shared" ref="I31" si="61">H31-D31</f>
        <v>8.2797918718681558</v>
      </c>
      <c r="J31" s="37">
        <f t="shared" ref="J31" si="62">(H31-D31)/D31</f>
        <v>2.3863822549769872E-2</v>
      </c>
      <c r="K31" s="5">
        <f>'2026.07'!$D$39</f>
        <v>0.25</v>
      </c>
      <c r="L31" s="5">
        <f>'2026.07'!$I$39</f>
        <v>0</v>
      </c>
      <c r="M31" s="5">
        <f>'2026.07'!$O$39</f>
        <v>0</v>
      </c>
      <c r="AC31" s="5">
        <f>'2026.07'!$C$39</f>
        <v>99.75</v>
      </c>
      <c r="AD31" s="5">
        <f>'2026.07'!$E$39</f>
        <v>8.9550000000000001</v>
      </c>
      <c r="AE31" s="8">
        <f>'2026.07'!$F$39</f>
        <v>11.139028475711893</v>
      </c>
      <c r="AF31" s="31"/>
      <c r="AG31" s="5"/>
    </row>
    <row r="32" spans="1:33" x14ac:dyDescent="0.25">
      <c r="A32" s="50">
        <f>'2026.08'!$Q$2</f>
        <v>2026.08</v>
      </c>
      <c r="B32" s="5">
        <f>'2026.08'!$B$39</f>
        <v>9.98</v>
      </c>
      <c r="C32" s="5">
        <f>'2026.08'!$C$39</f>
        <v>9.9600000000000009</v>
      </c>
      <c r="D32" s="5">
        <f t="shared" ref="D32" si="63">D31+C32</f>
        <v>356.92</v>
      </c>
      <c r="E32" s="8">
        <f>'2026.08'!$F$39</f>
        <v>1.1075280773935283</v>
      </c>
      <c r="F32" s="8">
        <f t="shared" ref="F32" si="64">F31+E32</f>
        <v>42.404876586097103</v>
      </c>
      <c r="G32" s="7">
        <v>9.0950000000000006</v>
      </c>
      <c r="H32" s="5">
        <f t="shared" ref="H32" si="65">F32*G32</f>
        <v>385.67235255055317</v>
      </c>
      <c r="I32" s="5">
        <f t="shared" ref="I32" si="66">H32-D32</f>
        <v>28.752352550553155</v>
      </c>
      <c r="J32" s="37">
        <f t="shared" ref="J32" si="67">(H32-D32)/D32</f>
        <v>8.0556854618830984E-2</v>
      </c>
      <c r="K32" s="5">
        <f>'2026.08'!$D$39</f>
        <v>0.02</v>
      </c>
      <c r="L32" s="5">
        <f>'2026.08'!$I$39</f>
        <v>0</v>
      </c>
      <c r="M32" s="5">
        <f>'2026.08'!$O$39</f>
        <v>0</v>
      </c>
      <c r="AC32" s="5">
        <f>'2026.08'!$C$39</f>
        <v>9.9600000000000009</v>
      </c>
      <c r="AD32" s="5">
        <f>'2026.08'!$E$39</f>
        <v>8.9930000000000003</v>
      </c>
      <c r="AE32" s="8">
        <f>'2026.08'!$F$39</f>
        <v>1.1075280773935283</v>
      </c>
      <c r="AF32" s="31"/>
      <c r="AG32" s="5"/>
    </row>
    <row r="33" spans="1:33" x14ac:dyDescent="0.25">
      <c r="A33" s="50">
        <f>'2026.09'!$Q$2</f>
        <v>2026.09</v>
      </c>
      <c r="B33" s="5">
        <f>'2026.09'!$B$39</f>
        <v>9.98</v>
      </c>
      <c r="C33" s="5">
        <f>'2026.09'!$C$39</f>
        <v>9.9600000000000009</v>
      </c>
      <c r="D33" s="5">
        <f t="shared" ref="D33" si="68">D32+C33</f>
        <v>366.88</v>
      </c>
      <c r="E33" s="8">
        <f>'2026.09'!$F$39</f>
        <v>1.0758611750218738</v>
      </c>
      <c r="F33" s="8">
        <f t="shared" ref="F33" si="69">F32+E33</f>
        <v>43.480737761118974</v>
      </c>
      <c r="G33" s="7">
        <v>9.2859999999999996</v>
      </c>
      <c r="H33" s="5">
        <f t="shared" ref="H33" si="70">F33*G33</f>
        <v>403.76213084975075</v>
      </c>
      <c r="I33" s="5">
        <f t="shared" ref="I33" si="71">H33-D33</f>
        <v>36.882130849750752</v>
      </c>
      <c r="J33" s="37">
        <f t="shared" ref="J33" si="72">(H33-D33)/D33</f>
        <v>0.10052913990882782</v>
      </c>
      <c r="K33" s="5">
        <f>'2026.09'!$D$39</f>
        <v>0.02</v>
      </c>
      <c r="L33" s="5">
        <f>'2026.09'!$I$39</f>
        <v>0</v>
      </c>
      <c r="M33" s="5">
        <f>'2026.09'!$O$39</f>
        <v>0</v>
      </c>
      <c r="AC33" s="5">
        <f>'2026.09'!$C$39</f>
        <v>9.9600000000000009</v>
      </c>
      <c r="AD33" s="5">
        <f>'2026.09'!$E$39</f>
        <v>9.2576999999999998</v>
      </c>
      <c r="AE33" s="8">
        <f>'2026.09'!$F$39</f>
        <v>1.0758611750218738</v>
      </c>
      <c r="AF33" s="31"/>
      <c r="AG33" s="5"/>
    </row>
    <row r="34" spans="1:33" x14ac:dyDescent="0.25">
      <c r="AC34" s="2"/>
      <c r="AD34" s="2"/>
      <c r="AE34" s="2"/>
      <c r="AF34" s="31"/>
      <c r="AG34" s="5"/>
    </row>
    <row r="35" spans="1:33" x14ac:dyDescent="0.25">
      <c r="AC35" s="2"/>
      <c r="AD35" s="2"/>
      <c r="AE35" s="2"/>
      <c r="AF35" s="31"/>
      <c r="AG35" s="5"/>
    </row>
    <row r="36" spans="1:33" x14ac:dyDescent="0.25">
      <c r="AC36" s="2"/>
      <c r="AD36" s="2"/>
      <c r="AE36" s="2"/>
      <c r="AF36" s="31"/>
      <c r="AG36" s="5"/>
    </row>
    <row r="37" spans="1:33" x14ac:dyDescent="0.25">
      <c r="AC37" s="2"/>
      <c r="AD37" s="2"/>
      <c r="AE37" s="2"/>
      <c r="AF37" s="31"/>
      <c r="AG37" s="5"/>
    </row>
    <row r="38" spans="1:33" x14ac:dyDescent="0.25">
      <c r="AC38" s="2"/>
      <c r="AD38" s="2"/>
      <c r="AE38" s="2"/>
      <c r="AF38" s="31"/>
      <c r="AG38" s="5"/>
    </row>
    <row r="39" spans="1:33" x14ac:dyDescent="0.25">
      <c r="AC39" s="2"/>
      <c r="AD39" s="2"/>
      <c r="AE39" s="2"/>
      <c r="AF39" s="31"/>
      <c r="AG39" s="5"/>
    </row>
    <row r="40" spans="1:33" x14ac:dyDescent="0.25">
      <c r="AC40" s="2"/>
      <c r="AD40" s="2"/>
      <c r="AE40" s="2"/>
      <c r="AF40" s="31"/>
      <c r="AG40" s="5"/>
    </row>
    <row r="41" spans="1:33" x14ac:dyDescent="0.25">
      <c r="AC41" s="2"/>
      <c r="AD41" s="2"/>
      <c r="AE41" s="2"/>
      <c r="AF41" s="31"/>
      <c r="AG41" s="5"/>
    </row>
    <row r="42" spans="1:33" x14ac:dyDescent="0.25">
      <c r="AC42" s="2"/>
      <c r="AD42" s="2"/>
      <c r="AE42" s="2"/>
      <c r="AF42" s="31"/>
      <c r="AG42" s="5"/>
    </row>
    <row r="43" spans="1:33" x14ac:dyDescent="0.25">
      <c r="AC43" s="2"/>
      <c r="AD43" s="2"/>
      <c r="AE43" s="2"/>
      <c r="AF43" s="31"/>
      <c r="AG43" s="5"/>
    </row>
    <row r="44" spans="1:33" x14ac:dyDescent="0.25">
      <c r="AC44" s="2"/>
      <c r="AD44" s="2"/>
      <c r="AE44" s="2"/>
      <c r="AF44" s="31"/>
      <c r="AG44" s="5"/>
    </row>
    <row r="45" spans="1:33" x14ac:dyDescent="0.25">
      <c r="AC45" s="2"/>
      <c r="AD45" s="2"/>
      <c r="AE45" s="2"/>
      <c r="AF45" s="31"/>
      <c r="AG45" s="5"/>
    </row>
    <row r="46" spans="1:33" x14ac:dyDescent="0.25">
      <c r="AC46" s="2"/>
      <c r="AD46" s="2"/>
      <c r="AE46" s="2"/>
      <c r="AF46" s="31"/>
      <c r="AG46" s="5"/>
    </row>
    <row r="47" spans="1:33" x14ac:dyDescent="0.25">
      <c r="AC47" s="2"/>
      <c r="AD47" s="2"/>
      <c r="AE47" s="2"/>
      <c r="AF47" s="31"/>
      <c r="AG47" s="5"/>
    </row>
    <row r="48" spans="1:33" x14ac:dyDescent="0.25">
      <c r="AC48" s="2"/>
      <c r="AD48" s="2"/>
      <c r="AE48" s="2"/>
      <c r="AF48" s="31"/>
      <c r="AG48" s="5"/>
    </row>
    <row r="49" spans="29:33" x14ac:dyDescent="0.25">
      <c r="AC49" s="2"/>
      <c r="AD49" s="2"/>
      <c r="AE49" s="2"/>
      <c r="AF49" s="31"/>
      <c r="AG49" s="5"/>
    </row>
    <row r="50" spans="29:33" x14ac:dyDescent="0.25">
      <c r="AC50" s="2"/>
      <c r="AD50" s="2"/>
      <c r="AE50" s="2"/>
      <c r="AF50" s="31"/>
      <c r="AG50" s="5"/>
    </row>
    <row r="51" spans="29:33" x14ac:dyDescent="0.25">
      <c r="AC51" s="2"/>
      <c r="AD51" s="2"/>
      <c r="AE51" s="2"/>
      <c r="AF51" s="31"/>
      <c r="AG51" s="5"/>
    </row>
    <row r="52" spans="29:33" x14ac:dyDescent="0.25">
      <c r="AC52" s="2"/>
      <c r="AD52" s="2"/>
      <c r="AE52" s="2"/>
      <c r="AF52" s="31"/>
      <c r="AG52" s="5"/>
    </row>
    <row r="53" spans="29:33" x14ac:dyDescent="0.25">
      <c r="AC53" s="2"/>
      <c r="AD53" s="2"/>
      <c r="AE53" s="2"/>
      <c r="AF53" s="31"/>
      <c r="AG53" s="5"/>
    </row>
    <row r="54" spans="29:33" x14ac:dyDescent="0.25">
      <c r="AC54" s="2"/>
      <c r="AD54" s="2"/>
      <c r="AE54" s="2"/>
      <c r="AF54" s="31"/>
      <c r="AG54" s="5"/>
    </row>
    <row r="55" spans="29:33" x14ac:dyDescent="0.25">
      <c r="AC55" s="2"/>
      <c r="AD55" s="2"/>
      <c r="AE55" s="2"/>
      <c r="AF55" s="31"/>
      <c r="AG55" s="5"/>
    </row>
    <row r="56" spans="29:33" x14ac:dyDescent="0.25">
      <c r="AC56" s="2"/>
      <c r="AD56" s="2"/>
      <c r="AE56" s="2"/>
      <c r="AF56" s="31"/>
      <c r="AG56" s="5"/>
    </row>
    <row r="57" spans="29:33" x14ac:dyDescent="0.25">
      <c r="AC57" s="2"/>
      <c r="AD57" s="2"/>
      <c r="AE57" s="2"/>
      <c r="AF57" s="31"/>
      <c r="AG57" s="5"/>
    </row>
    <row r="58" spans="29:33" x14ac:dyDescent="0.25">
      <c r="AC58" s="2"/>
      <c r="AD58" s="2"/>
      <c r="AE58" s="2"/>
      <c r="AF58" s="31"/>
      <c r="AG58" s="5"/>
    </row>
    <row r="59" spans="29:33" x14ac:dyDescent="0.25">
      <c r="AC59" s="2"/>
      <c r="AD59" s="2"/>
      <c r="AE59" s="2"/>
      <c r="AF59" s="31"/>
      <c r="AG59" s="5"/>
    </row>
    <row r="60" spans="29:33" x14ac:dyDescent="0.25">
      <c r="AC60" s="2"/>
      <c r="AD60" s="2"/>
      <c r="AE60" s="2"/>
      <c r="AF60" s="31"/>
      <c r="AG60" s="5"/>
    </row>
    <row r="61" spans="29:33" x14ac:dyDescent="0.25">
      <c r="AC61" s="2"/>
      <c r="AD61" s="2"/>
      <c r="AE61" s="2"/>
      <c r="AF61" s="31"/>
      <c r="AG61" s="5"/>
    </row>
    <row r="62" spans="29:33" x14ac:dyDescent="0.25">
      <c r="AC62" s="2"/>
      <c r="AD62" s="2"/>
      <c r="AE62" s="2"/>
      <c r="AF62" s="31"/>
      <c r="AG62" s="5"/>
    </row>
    <row r="63" spans="29:33" x14ac:dyDescent="0.25">
      <c r="AC63" s="2"/>
      <c r="AD63" s="2"/>
      <c r="AE63" s="2"/>
      <c r="AF63" s="31"/>
      <c r="AG63" s="5"/>
    </row>
    <row r="64" spans="29:33" x14ac:dyDescent="0.25">
      <c r="AC64" s="2"/>
      <c r="AD64" s="2"/>
      <c r="AE64" s="2"/>
      <c r="AF64" s="31"/>
      <c r="AG64" s="5"/>
    </row>
    <row r="65" spans="29:33" x14ac:dyDescent="0.25">
      <c r="AC65" s="2"/>
      <c r="AD65" s="2"/>
      <c r="AE65" s="2"/>
      <c r="AF65" s="31"/>
      <c r="AG65" s="5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2"/>
      <c r="AD200" s="2"/>
      <c r="AE200" s="2"/>
      <c r="AF200" s="31">
        <f ca="1">TODAY()</f>
        <v>46296</v>
      </c>
      <c r="AG200" s="5" cm="1">
        <f t="array" ref="AG200">LOOKUP(2,1/(H:H&gt;0),H:H)</f>
        <v>403.76213084975075</v>
      </c>
    </row>
  </sheetData>
  <mergeCells count="18">
    <mergeCell ref="A3:A4"/>
    <mergeCell ref="B3:D3"/>
    <mergeCell ref="E3:F3"/>
    <mergeCell ref="G3:J3"/>
    <mergeCell ref="K3:L3"/>
    <mergeCell ref="M3:M4"/>
    <mergeCell ref="V3:W3"/>
    <mergeCell ref="X3:X4"/>
    <mergeCell ref="O3:O4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4.05'!A1" display="'2024.05'!A1" xr:uid="{EB2951BE-930E-40C9-8377-4A5188EA9E8D}"/>
    <hyperlink ref="A6" location="'2024.06'!A1" display="'2024.06'!A1" xr:uid="{66302300-2ADC-4D0B-A0A0-B8A7F91B97AA}"/>
    <hyperlink ref="A29" location="'2026.05'!A1" display="'2026.05'!A1" xr:uid="{D288D926-2966-4199-9BCF-2105A49BEC01}"/>
    <hyperlink ref="A7" location="'2024.07'!A1" display="'2024.07'!A1" xr:uid="{20B76BA7-C34F-479A-B8B6-9FBF5E094B02}"/>
    <hyperlink ref="A8" location="'2024.08'!A1" display="'2024.08'!A1" xr:uid="{E24C40C5-5836-4BB0-93F1-94B5F11F792C}"/>
    <hyperlink ref="A9" location="'2024.09'!A1" display="'2024.09'!A1" xr:uid="{FCCC9A03-4339-43F2-A8A5-402971EDF840}"/>
    <hyperlink ref="A10" location="'2024.10'!A1" display="'2024.10'!A1" xr:uid="{A9257BB0-C42B-4CF1-A750-8D5426C44F16}"/>
    <hyperlink ref="A11" location="'2024.11'!A1" display="'2024.11'!A1" xr:uid="{C993DA55-9969-49A2-AF22-AD3058C4B9BB}"/>
    <hyperlink ref="A12" location="'2024.12'!A1" display="'2024.12'!A1" xr:uid="{F9083249-F829-45F3-BB68-D6BFAD315CF5}"/>
    <hyperlink ref="A13" location="'2025.01'!A1" display="'2025.01'!A1" xr:uid="{240915CE-A3F4-4FFC-AED1-9608FAE2F13E}"/>
    <hyperlink ref="A14" location="'2025.02'!A1" display="'2025.02'!A1" xr:uid="{8AADA734-5FFE-4853-933A-7D939CE528B0}"/>
    <hyperlink ref="A15" location="'2025.03'!A1" display="'2025.03'!A1" xr:uid="{B21118D4-9256-4CB9-AB0F-832F127AB120}"/>
    <hyperlink ref="A16" location="'2025.04'!A1" display="'2025.04'!A1" xr:uid="{3EF4AD1E-8F79-40C2-A841-7FDF0FD0F4A9}"/>
    <hyperlink ref="A17" location="'2025.05'!A1" display="'2025.05'!A1" xr:uid="{0A07AE16-00CE-44DA-A72F-9BBEC07B05F3}"/>
    <hyperlink ref="A18" location="'2025.06'!A1" display="'2025.06'!A1" xr:uid="{D0679E8C-B61B-4B03-98A9-5EC43689EB7D}"/>
    <hyperlink ref="A19" location="'2025.07'!A1" display="'2025.07'!A1" xr:uid="{3047E52B-49DA-4F0A-9783-00AAEFA55FF1}"/>
    <hyperlink ref="A20" location="'2025.08'!A1" display="'2025.08'!A1" xr:uid="{19A62340-159C-49BC-919D-BDEE812CD5D6}"/>
    <hyperlink ref="A21" location="'2025.09'!A1" display="'2025.09'!A1" xr:uid="{94D5E273-9A54-44D9-A253-B82CD63F80D0}"/>
    <hyperlink ref="A22" location="'2025.10'!A1" display="'2025.10'!A1" xr:uid="{849F1476-F1ED-48A8-AEB2-230CDCC84839}"/>
    <hyperlink ref="A23" location="'2025.11'!A1" display="'2025.11'!A1" xr:uid="{B2CAAB81-38FA-4CAB-BF74-FE2B6740131B}"/>
    <hyperlink ref="A24" location="'2025.12'!A1" display="'2025.12'!A1" xr:uid="{0E92F3C9-7E6D-4B21-A340-C672990B1121}"/>
    <hyperlink ref="A25" location="'2026.01'!A1" display="'2026.01'!A1" xr:uid="{E7F60737-8B1A-4751-8200-8E99AF3E1528}"/>
    <hyperlink ref="A26" location="'2026.02'!A1" display="'2026.02'!A1" xr:uid="{CD1F2C76-03A7-4A40-94B2-ED0493B2DB13}"/>
    <hyperlink ref="A27" location="'2026.03'!A1" display="'2026.03'!A1" xr:uid="{1CD609DB-4EF2-4B9D-94D0-251ACBC9BF8B}"/>
    <hyperlink ref="A28" location="'2026.04'!A1" display="'2026.04'!A1" xr:uid="{BCD5D9D6-CEBB-4333-ACB9-A29EB05E3B0C}"/>
    <hyperlink ref="A30" location="'2026.06'!A1" display="'2026.06'!A1" xr:uid="{9DF0D2EA-978A-4FE3-AC04-DBACC99E6BE1}"/>
    <hyperlink ref="A31" location="'2026.07'!A1" display="'2026.07'!A1" xr:uid="{BE54F968-A68E-4AE7-A87C-012FA3E92B9D}"/>
    <hyperlink ref="A32" location="'2026.08'!A1" display="'2026.08'!A1" xr:uid="{9C51525E-6758-4DC8-9DEC-9C33FCC3699F}"/>
    <hyperlink ref="A33" location="'2026.09'!A1" display="'2026.09'!A1" xr:uid="{186826FB-E39B-4DFE-A8A9-C4D714FF3552}"/>
  </hyperlinks>
  <pageMargins left="0.7" right="0.7" top="0.75" bottom="0.75" header="0.3" footer="0.3"/>
  <pageSetup orientation="portrait" r:id="rId1"/>
  <ignoredErrors>
    <ignoredError sqref="E5:E3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39" sqref="I39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9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14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49">
        <f>'2024.06'!Q2</f>
        <v>2024.06</v>
      </c>
      <c r="B5" s="5">
        <f>'2024.06'!B49</f>
        <v>9.98</v>
      </c>
      <c r="C5" s="5">
        <f>'2024.06'!C49</f>
        <v>9.9600000000000009</v>
      </c>
      <c r="D5" s="5">
        <f>C5</f>
        <v>9.9600000000000009</v>
      </c>
      <c r="E5" s="8">
        <f>'2024.06'!F49</f>
        <v>1.619</v>
      </c>
      <c r="F5" s="8">
        <f>E5</f>
        <v>1.619</v>
      </c>
      <c r="G5" s="7">
        <v>6.2069999999999999</v>
      </c>
      <c r="H5" s="5">
        <f t="shared" ref="H5:H14" si="0">F5*G5</f>
        <v>10.049132999999999</v>
      </c>
      <c r="I5" s="5">
        <f t="shared" ref="I5:I21" si="1">H5-D5</f>
        <v>8.9132999999998574E-2</v>
      </c>
      <c r="J5" s="37">
        <f>(H5-D5)/D5</f>
        <v>8.9490963855420255E-3</v>
      </c>
      <c r="K5" s="5">
        <f>'2024.06'!D49</f>
        <v>1.9999999999999574E-2</v>
      </c>
      <c r="L5" s="5">
        <f>'2024.06'!I49</f>
        <v>0</v>
      </c>
      <c r="M5" s="5">
        <f>'2024.06'!O49</f>
        <v>0</v>
      </c>
      <c r="O5" s="3" t="s">
        <v>2</v>
      </c>
      <c r="P5" s="5">
        <f>SUM(B5:B500)</f>
        <v>369.38000000000011</v>
      </c>
      <c r="Q5" s="8">
        <f>SUM(E5:E500)</f>
        <v>44.64007217333873</v>
      </c>
      <c r="R5" s="5"/>
      <c r="S5" s="5">
        <f>R5-P5+X5</f>
        <v>-369.38000000000011</v>
      </c>
      <c r="T5" s="37">
        <f>(R5-P5+X5)/P5</f>
        <v>-1</v>
      </c>
      <c r="U5" s="37">
        <f ca="1">XIRR(AG5:AG200,AF5:AF200)</f>
        <v>0.28066183924674981</v>
      </c>
      <c r="V5" s="5">
        <f>SUM(K5:K500)</f>
        <v>0.86999999999999966</v>
      </c>
      <c r="W5" s="5">
        <f>SUM(L5:L500)</f>
        <v>0</v>
      </c>
      <c r="X5" s="5">
        <f>SUM(M5:M500)</f>
        <v>0</v>
      </c>
      <c r="Y5" s="5" cm="1">
        <f t="array" ref="Y5">SUMPRODUCT(IFERROR(AD5:AD200,0),IFERROR(AE5:AE200,0))/SUM(IFERROR(AE5:AE200,0))</f>
        <v>8.2552497578643127</v>
      </c>
      <c r="AC5" s="5">
        <f>'2024.06'!$C$49</f>
        <v>9.9600000000000009</v>
      </c>
      <c r="AD5" s="5">
        <f>'2024.06'!$E$49</f>
        <v>6.1550000000000002</v>
      </c>
      <c r="AE5" s="8">
        <f>'2024.06'!$F$49</f>
        <v>1.619</v>
      </c>
      <c r="AF5" s="31">
        <f>'2024.06'!$A$45</f>
        <v>45449</v>
      </c>
      <c r="AG5" s="5">
        <f>'2024.06'!$B$45*-1</f>
        <v>-9.98</v>
      </c>
    </row>
    <row r="6" spans="1:33" x14ac:dyDescent="0.25">
      <c r="A6" s="49">
        <f>'2024.07'!Q2</f>
        <v>2024.07</v>
      </c>
      <c r="B6" s="5">
        <f>'2024.07'!B49</f>
        <v>0</v>
      </c>
      <c r="C6" s="5">
        <f>'2024.07'!C49</f>
        <v>0</v>
      </c>
      <c r="D6" s="5">
        <f t="shared" ref="D6:D21" si="2">D5+C6</f>
        <v>9.9600000000000009</v>
      </c>
      <c r="E6" s="8">
        <f>'2024.07'!F49</f>
        <v>0</v>
      </c>
      <c r="F6" s="8">
        <f t="shared" ref="F6:F14" si="3">F5+E6</f>
        <v>1.619</v>
      </c>
      <c r="G6" s="7">
        <v>6.3650000000000002</v>
      </c>
      <c r="H6" s="5">
        <f t="shared" si="0"/>
        <v>10.304935</v>
      </c>
      <c r="I6" s="5">
        <f t="shared" si="1"/>
        <v>0.34493499999999955</v>
      </c>
      <c r="J6" s="37">
        <f t="shared" ref="J6:J22" si="4">(H6-D6)/D6</f>
        <v>3.4632028112449753E-2</v>
      </c>
      <c r="K6" s="5">
        <f>'2024.07'!D49</f>
        <v>0</v>
      </c>
      <c r="L6" s="5">
        <f>'2024.07'!I49</f>
        <v>0</v>
      </c>
      <c r="M6" s="5">
        <f>'2024.07'!O49</f>
        <v>0</v>
      </c>
      <c r="AC6" s="5">
        <f>'2024.07'!$C$49</f>
        <v>0</v>
      </c>
      <c r="AD6" s="5" t="str">
        <f>'2024.07'!$E$49</f>
        <v>0.00</v>
      </c>
      <c r="AE6" s="8">
        <f>'2024.07'!$F$49</f>
        <v>0</v>
      </c>
      <c r="AF6" s="31">
        <f>'2025.11'!$A$45</f>
        <v>45988</v>
      </c>
      <c r="AG6" s="5">
        <f>'2025.11'!$B$45*-1</f>
        <v>-9.9700000000000006</v>
      </c>
    </row>
    <row r="7" spans="1:33" x14ac:dyDescent="0.25">
      <c r="A7" s="49">
        <f>'2024.08'!Q2</f>
        <v>2024.08</v>
      </c>
      <c r="B7" s="5">
        <f>'2024.08'!B49</f>
        <v>0</v>
      </c>
      <c r="C7" s="5">
        <f>'2024.08'!C49</f>
        <v>0</v>
      </c>
      <c r="D7" s="5">
        <f t="shared" si="2"/>
        <v>9.9600000000000009</v>
      </c>
      <c r="E7" s="8">
        <f>'2024.08'!F49</f>
        <v>0</v>
      </c>
      <c r="F7" s="8">
        <f t="shared" si="3"/>
        <v>1.619</v>
      </c>
      <c r="G7" s="7">
        <v>6.3049999999999997</v>
      </c>
      <c r="H7" s="5">
        <f t="shared" si="0"/>
        <v>10.207794999999999</v>
      </c>
      <c r="I7" s="5">
        <f t="shared" si="1"/>
        <v>0.24779499999999821</v>
      </c>
      <c r="J7" s="37">
        <f t="shared" si="4"/>
        <v>2.4879016064256847E-2</v>
      </c>
      <c r="K7" s="5">
        <f>'2024.08'!D49</f>
        <v>0</v>
      </c>
      <c r="L7" s="5">
        <f>'2024.08'!I49</f>
        <v>0</v>
      </c>
      <c r="M7" s="5">
        <f>'2024.08'!O49</f>
        <v>0</v>
      </c>
      <c r="AC7" s="5">
        <f>'2024.08'!$C$49</f>
        <v>0</v>
      </c>
      <c r="AD7" s="5" t="str">
        <f>'2024.08'!$E$49</f>
        <v>0.00</v>
      </c>
      <c r="AE7" s="8">
        <f>'2024.08'!$F$49</f>
        <v>0</v>
      </c>
      <c r="AF7" s="31">
        <f>'2026.03'!$A$45</f>
        <v>46100</v>
      </c>
      <c r="AG7" s="5">
        <f>'2026.03'!$B$45*-1</f>
        <v>-9.99</v>
      </c>
    </row>
    <row r="8" spans="1:33" x14ac:dyDescent="0.25">
      <c r="A8" s="49">
        <f>'2024.09'!Q2</f>
        <v>2024.09</v>
      </c>
      <c r="B8" s="5">
        <f>'2024.09'!B49</f>
        <v>0</v>
      </c>
      <c r="C8" s="5">
        <f>'2024.09'!C49</f>
        <v>0</v>
      </c>
      <c r="D8" s="5">
        <f t="shared" si="2"/>
        <v>9.9600000000000009</v>
      </c>
      <c r="E8" s="8">
        <f>'2024.09'!F49</f>
        <v>0</v>
      </c>
      <c r="F8" s="8">
        <f t="shared" si="3"/>
        <v>1.619</v>
      </c>
      <c r="G8" s="7">
        <v>6.2249999999999996</v>
      </c>
      <c r="H8" s="5">
        <f t="shared" si="0"/>
        <v>10.078275</v>
      </c>
      <c r="I8" s="5">
        <f t="shared" si="1"/>
        <v>0.1182749999999988</v>
      </c>
      <c r="J8" s="37">
        <f t="shared" si="4"/>
        <v>1.1874999999999879E-2</v>
      </c>
      <c r="K8" s="5">
        <f>'2024.09'!D49</f>
        <v>0</v>
      </c>
      <c r="L8" s="5">
        <f>'2024.09'!I49</f>
        <v>0</v>
      </c>
      <c r="M8" s="5">
        <f>'2024.09'!O49</f>
        <v>0</v>
      </c>
      <c r="AC8" s="5">
        <f>'2024.09'!$C$49</f>
        <v>0</v>
      </c>
      <c r="AD8" s="5" t="str">
        <f>'2024.09'!$E$49</f>
        <v>0.00</v>
      </c>
      <c r="AE8" s="8">
        <f>'2024.09'!$F$49</f>
        <v>0</v>
      </c>
      <c r="AF8" s="31">
        <f>'2026.04'!$A$45</f>
        <v>46133</v>
      </c>
      <c r="AG8" s="5">
        <f>'2026.04'!$B$45*-1</f>
        <v>-9.99</v>
      </c>
    </row>
    <row r="9" spans="1:33" x14ac:dyDescent="0.25">
      <c r="A9" s="50">
        <f>'2024.10'!Q2</f>
        <v>2024.1</v>
      </c>
      <c r="B9" s="5">
        <f>'2024.10'!B49</f>
        <v>0</v>
      </c>
      <c r="C9" s="5">
        <f>'2024.10'!C49</f>
        <v>0</v>
      </c>
      <c r="D9" s="5">
        <f t="shared" si="2"/>
        <v>9.9600000000000009</v>
      </c>
      <c r="E9" s="8">
        <f>'2024.10'!F49</f>
        <v>0</v>
      </c>
      <c r="F9" s="8">
        <f t="shared" si="3"/>
        <v>1.619</v>
      </c>
      <c r="G9" s="7">
        <v>6.0389999999999997</v>
      </c>
      <c r="H9" s="5">
        <f t="shared" si="0"/>
        <v>9.7771410000000003</v>
      </c>
      <c r="I9" s="5">
        <f t="shared" si="1"/>
        <v>-0.18285900000000055</v>
      </c>
      <c r="J9" s="37">
        <f t="shared" si="4"/>
        <v>-1.8359337349397643E-2</v>
      </c>
      <c r="K9" s="5">
        <f>'2024.10'!D49</f>
        <v>0</v>
      </c>
      <c r="L9" s="5">
        <f>'2024.10'!I49</f>
        <v>0</v>
      </c>
      <c r="M9" s="5">
        <f>'2024.10'!O49</f>
        <v>0</v>
      </c>
      <c r="AC9" s="5">
        <f>'2024.10'!$C$49</f>
        <v>0</v>
      </c>
      <c r="AD9" s="5" t="str">
        <f>'2024.10'!$E$49</f>
        <v>0.00</v>
      </c>
      <c r="AE9" s="8">
        <f>'2024.10'!$F$49</f>
        <v>0</v>
      </c>
      <c r="AF9" s="31">
        <f>'2026.05'!$A$45</f>
        <v>46162</v>
      </c>
      <c r="AG9" s="5">
        <f>'2026.05'!$B$45*-1</f>
        <v>-9.9600000000000009</v>
      </c>
    </row>
    <row r="10" spans="1:33" x14ac:dyDescent="0.25">
      <c r="A10" s="50">
        <f>'2024.11'!Q2</f>
        <v>2024.11</v>
      </c>
      <c r="B10" s="5">
        <f>'2024.11'!B49</f>
        <v>0</v>
      </c>
      <c r="C10" s="5">
        <f>'2024.11'!C49</f>
        <v>0</v>
      </c>
      <c r="D10" s="5">
        <f t="shared" si="2"/>
        <v>9.9600000000000009</v>
      </c>
      <c r="E10" s="8">
        <f>'2024.11'!F49</f>
        <v>0</v>
      </c>
      <c r="F10" s="8">
        <f t="shared" si="3"/>
        <v>1.619</v>
      </c>
      <c r="G10" s="7">
        <v>6.3609999999999998</v>
      </c>
      <c r="H10" s="5">
        <f t="shared" si="0"/>
        <v>10.298458999999999</v>
      </c>
      <c r="I10" s="5">
        <f t="shared" si="1"/>
        <v>0.33845899999999851</v>
      </c>
      <c r="J10" s="37">
        <f t="shared" si="4"/>
        <v>3.3981827309236795E-2</v>
      </c>
      <c r="K10" s="5">
        <f>'2024.11'!D49</f>
        <v>0</v>
      </c>
      <c r="L10" s="5">
        <f>'2024.11'!I49</f>
        <v>0</v>
      </c>
      <c r="M10" s="5">
        <f>'2024.11'!O49</f>
        <v>0</v>
      </c>
      <c r="AC10" s="5">
        <f>'2024.11'!$C$49</f>
        <v>0</v>
      </c>
      <c r="AD10" s="5" t="str">
        <f>'2024.11'!$E$49</f>
        <v>0.00</v>
      </c>
      <c r="AE10" s="8">
        <f>'2024.11'!$F$49</f>
        <v>0</v>
      </c>
      <c r="AF10" s="31">
        <f>'2026.06'!$A$45</f>
        <v>46198</v>
      </c>
      <c r="AG10" s="5">
        <f>'2026.06'!$B$45*-1</f>
        <v>-99.54</v>
      </c>
    </row>
    <row r="11" spans="1:33" x14ac:dyDescent="0.25">
      <c r="A11" s="50">
        <f>'2024.12'!Q2</f>
        <v>2024.12</v>
      </c>
      <c r="B11" s="5">
        <f>'2024.12'!B49</f>
        <v>0</v>
      </c>
      <c r="C11" s="5">
        <f>'2024.12'!C49</f>
        <v>0</v>
      </c>
      <c r="D11" s="5">
        <f t="shared" si="2"/>
        <v>9.9600000000000009</v>
      </c>
      <c r="E11" s="8">
        <f>'2024.12'!F49</f>
        <v>0</v>
      </c>
      <c r="F11" s="8">
        <f t="shared" si="3"/>
        <v>1.619</v>
      </c>
      <c r="G11" s="7">
        <v>6.35</v>
      </c>
      <c r="H11" s="5">
        <f t="shared" si="0"/>
        <v>10.28065</v>
      </c>
      <c r="I11" s="5">
        <f t="shared" si="1"/>
        <v>0.32064999999999877</v>
      </c>
      <c r="J11" s="37">
        <f t="shared" si="4"/>
        <v>3.219377510040148E-2</v>
      </c>
      <c r="K11" s="5">
        <f>'2024.12'!D49</f>
        <v>0</v>
      </c>
      <c r="L11" s="5">
        <f>'2024.12'!I49</f>
        <v>0</v>
      </c>
      <c r="M11" s="5">
        <f>'2024.12'!O49</f>
        <v>0</v>
      </c>
      <c r="AC11" s="5">
        <f>'2024.12'!$C$49</f>
        <v>0</v>
      </c>
      <c r="AD11" s="5" t="str">
        <f>'2024.12'!$E$49</f>
        <v>0.00</v>
      </c>
      <c r="AE11" s="8">
        <f>'2024.12'!$F$49</f>
        <v>0</v>
      </c>
      <c r="AF11" s="31">
        <f>'2026.06'!$A$46</f>
        <v>46203</v>
      </c>
      <c r="AG11" s="5">
        <f>'2026.06'!$B$46*-1</f>
        <v>-100</v>
      </c>
    </row>
    <row r="12" spans="1:33" x14ac:dyDescent="0.25">
      <c r="A12" s="50">
        <f>'2025.01'!Q2</f>
        <v>2025.01</v>
      </c>
      <c r="B12" s="5">
        <f>'2025.01'!B49</f>
        <v>0</v>
      </c>
      <c r="C12" s="5">
        <f>'2025.01'!C49</f>
        <v>0</v>
      </c>
      <c r="D12" s="5">
        <f t="shared" si="2"/>
        <v>9.9600000000000009</v>
      </c>
      <c r="E12" s="8">
        <f>'2025.01'!F49</f>
        <v>0</v>
      </c>
      <c r="F12" s="8">
        <f t="shared" si="3"/>
        <v>1.619</v>
      </c>
      <c r="G12" s="7">
        <v>6.5490000000000004</v>
      </c>
      <c r="H12" s="5">
        <f t="shared" si="0"/>
        <v>10.602831</v>
      </c>
      <c r="I12" s="5">
        <f t="shared" si="1"/>
        <v>0.64283099999999926</v>
      </c>
      <c r="J12" s="37">
        <f t="shared" si="4"/>
        <v>6.4541265060240882E-2</v>
      </c>
      <c r="K12" s="5">
        <f>'2025.01'!D49</f>
        <v>0</v>
      </c>
      <c r="L12" s="5">
        <f>'2025.01'!I49</f>
        <v>0</v>
      </c>
      <c r="M12" s="5">
        <f>'2025.01'!O49</f>
        <v>0</v>
      </c>
      <c r="AC12" s="5">
        <f>'2025.01'!$C$49</f>
        <v>0</v>
      </c>
      <c r="AD12" s="5" t="str">
        <f>'2025.01'!$E$49</f>
        <v>0.00</v>
      </c>
      <c r="AE12" s="8">
        <f>'2025.01'!$F$49</f>
        <v>0</v>
      </c>
      <c r="AF12" s="31">
        <f>'2026.07'!$A$45</f>
        <v>46224</v>
      </c>
      <c r="AG12" s="5">
        <f>'2026.07'!$B$45*-1</f>
        <v>-100</v>
      </c>
    </row>
    <row r="13" spans="1:33" x14ac:dyDescent="0.25">
      <c r="A13" s="50">
        <f>'2025.02'!Q2</f>
        <v>2025.02</v>
      </c>
      <c r="B13" s="5">
        <f>'2025.02'!B49</f>
        <v>0</v>
      </c>
      <c r="C13" s="5">
        <f>'2025.02'!C49</f>
        <v>0</v>
      </c>
      <c r="D13" s="5">
        <f t="shared" si="2"/>
        <v>9.9600000000000009</v>
      </c>
      <c r="E13" s="8">
        <f>'2025.02'!F49</f>
        <v>0</v>
      </c>
      <c r="F13" s="8">
        <f t="shared" si="3"/>
        <v>1.619</v>
      </c>
      <c r="G13" s="7">
        <v>6.4989999999999997</v>
      </c>
      <c r="H13" s="5">
        <f t="shared" si="0"/>
        <v>10.521880999999999</v>
      </c>
      <c r="I13" s="5">
        <f t="shared" si="1"/>
        <v>0.56188099999999785</v>
      </c>
      <c r="J13" s="37">
        <f t="shared" si="4"/>
        <v>5.64137550200801E-2</v>
      </c>
      <c r="K13" s="5">
        <f>'2025.02'!D49</f>
        <v>0</v>
      </c>
      <c r="L13" s="5">
        <f>'2025.02'!I49</f>
        <v>0</v>
      </c>
      <c r="M13" s="5">
        <f>'2025.02'!O49</f>
        <v>0</v>
      </c>
      <c r="AC13" s="5">
        <f>'2025.02'!$C$49</f>
        <v>0</v>
      </c>
      <c r="AD13" s="5" t="str">
        <f>'2025.02'!$E$49</f>
        <v>0.00</v>
      </c>
      <c r="AE13" s="8">
        <f>'2025.02'!$F$49</f>
        <v>0</v>
      </c>
      <c r="AF13" s="31">
        <f>'2026.08'!$A$45</f>
        <v>46251</v>
      </c>
      <c r="AG13" s="5">
        <f>'2026.08'!$B$45*-1</f>
        <v>-9.9700000000000006</v>
      </c>
    </row>
    <row r="14" spans="1:33" x14ac:dyDescent="0.25">
      <c r="A14" s="50">
        <f>'2025.03'!Q2</f>
        <v>2025.03</v>
      </c>
      <c r="B14" s="5">
        <f>'2025.03'!B49</f>
        <v>0</v>
      </c>
      <c r="C14" s="5">
        <f>'2025.03'!C49</f>
        <v>0</v>
      </c>
      <c r="D14" s="5">
        <f t="shared" si="2"/>
        <v>9.9600000000000009</v>
      </c>
      <c r="E14" s="8">
        <f>'2025.03'!F49</f>
        <v>0</v>
      </c>
      <c r="F14" s="8">
        <f t="shared" si="3"/>
        <v>1.619</v>
      </c>
      <c r="G14" s="7">
        <v>6.2450000000000001</v>
      </c>
      <c r="H14" s="5">
        <f t="shared" si="0"/>
        <v>10.110655</v>
      </c>
      <c r="I14" s="5">
        <f t="shared" si="1"/>
        <v>0.15065499999999865</v>
      </c>
      <c r="J14" s="37">
        <f t="shared" si="4"/>
        <v>1.5126004016064121E-2</v>
      </c>
      <c r="K14" s="5">
        <f>'2025.03'!D49</f>
        <v>0</v>
      </c>
      <c r="L14" s="5">
        <f>'2025.03'!I49</f>
        <v>0</v>
      </c>
      <c r="M14" s="5">
        <f>'2025.03'!O49</f>
        <v>0</v>
      </c>
      <c r="AC14" s="5">
        <f>'2025.03'!$C$49</f>
        <v>0</v>
      </c>
      <c r="AD14" s="5" t="str">
        <f>'2025.03'!$E$49</f>
        <v>0.00</v>
      </c>
      <c r="AE14" s="8">
        <f>'2025.03'!$F$49</f>
        <v>0</v>
      </c>
      <c r="AF14" s="31">
        <f>'2026.09'!$A$45</f>
        <v>46275</v>
      </c>
      <c r="AG14" s="5">
        <f>'2026.09'!$B$45*-1</f>
        <v>-9.98</v>
      </c>
    </row>
    <row r="15" spans="1:33" x14ac:dyDescent="0.25">
      <c r="A15" s="50">
        <f>'2025.04'!Q2</f>
        <v>2025.04</v>
      </c>
      <c r="B15" s="5">
        <f>'2025.04'!B49</f>
        <v>0</v>
      </c>
      <c r="C15" s="5">
        <f>'2025.04'!C49</f>
        <v>0</v>
      </c>
      <c r="D15" s="5">
        <f t="shared" si="2"/>
        <v>9.9600000000000009</v>
      </c>
      <c r="E15" s="8">
        <f>'2025.04'!F49</f>
        <v>0</v>
      </c>
      <c r="F15" s="8">
        <f t="shared" ref="F15" si="5">F14+E15</f>
        <v>1.619</v>
      </c>
      <c r="G15" s="7">
        <v>6.1790000000000003</v>
      </c>
      <c r="H15" s="5">
        <f t="shared" ref="H15" si="6">F15*G15</f>
        <v>10.003801000000001</v>
      </c>
      <c r="I15" s="5">
        <f t="shared" si="1"/>
        <v>4.3801000000000201E-2</v>
      </c>
      <c r="J15" s="37">
        <f t="shared" si="4"/>
        <v>4.3976907630522283E-3</v>
      </c>
      <c r="K15" s="5">
        <f>'2025.04'!D49</f>
        <v>0</v>
      </c>
      <c r="L15" s="5">
        <f>'2025.04'!I49</f>
        <v>0</v>
      </c>
      <c r="M15" s="5">
        <f>'2025.04'!O49</f>
        <v>0</v>
      </c>
      <c r="AC15" s="5">
        <f>'2025.04'!$C$49</f>
        <v>0</v>
      </c>
      <c r="AD15" s="5" t="str">
        <f>'2025.04'!$E$49</f>
        <v>0.00</v>
      </c>
      <c r="AE15" s="8">
        <f>'2025.04'!$F$49</f>
        <v>0</v>
      </c>
      <c r="AF15" s="31"/>
      <c r="AG15" s="5"/>
    </row>
    <row r="16" spans="1:33" x14ac:dyDescent="0.25">
      <c r="A16" s="50">
        <f>'2025.05'!Q2</f>
        <v>2025.05</v>
      </c>
      <c r="B16" s="5">
        <f>'2025.05'!B49</f>
        <v>0</v>
      </c>
      <c r="C16" s="5">
        <f>'2025.05'!C49</f>
        <v>0</v>
      </c>
      <c r="D16" s="5">
        <f t="shared" si="2"/>
        <v>9.9600000000000009</v>
      </c>
      <c r="E16" s="8">
        <f>'2025.05'!F49</f>
        <v>0</v>
      </c>
      <c r="F16" s="8">
        <f t="shared" ref="F16" si="7">F15+E16</f>
        <v>1.619</v>
      </c>
      <c r="G16" s="7">
        <v>6.4130000000000003</v>
      </c>
      <c r="H16" s="5">
        <f t="shared" ref="H16" si="8">F16*G16</f>
        <v>10.382647</v>
      </c>
      <c r="I16" s="5">
        <f t="shared" si="1"/>
        <v>0.42264699999999955</v>
      </c>
      <c r="J16" s="37">
        <f t="shared" si="4"/>
        <v>4.2434437751003966E-2</v>
      </c>
      <c r="K16" s="5">
        <f>'2025.05'!D49</f>
        <v>0</v>
      </c>
      <c r="L16" s="5">
        <f>'2025.05'!I49</f>
        <v>0</v>
      </c>
      <c r="M16" s="5">
        <f>'2025.05'!O49</f>
        <v>0</v>
      </c>
      <c r="AC16" s="5">
        <f>'2025.05'!$C$49</f>
        <v>0</v>
      </c>
      <c r="AD16" s="5" t="str">
        <f>'2025.05'!$E$49</f>
        <v>0.00</v>
      </c>
      <c r="AE16" s="8">
        <f>'2025.05'!$F$49</f>
        <v>0</v>
      </c>
      <c r="AF16" s="31"/>
      <c r="AG16" s="5"/>
    </row>
    <row r="17" spans="1:33" x14ac:dyDescent="0.25">
      <c r="A17" s="50">
        <f>'2025.06'!Q2</f>
        <v>2025.06</v>
      </c>
      <c r="B17" s="5">
        <f>'2025.06'!B49</f>
        <v>0</v>
      </c>
      <c r="C17" s="5">
        <f>'2025.06'!C49</f>
        <v>0</v>
      </c>
      <c r="D17" s="5">
        <f t="shared" si="2"/>
        <v>9.9600000000000009</v>
      </c>
      <c r="E17" s="8">
        <f>'2025.06'!F49</f>
        <v>0</v>
      </c>
      <c r="F17" s="8">
        <f t="shared" ref="F17" si="9">F16+E17</f>
        <v>1.619</v>
      </c>
      <c r="G17" s="7">
        <v>6.3209999999999997</v>
      </c>
      <c r="H17" s="5">
        <f t="shared" ref="H17" si="10">F17*G17</f>
        <v>10.233699</v>
      </c>
      <c r="I17" s="5">
        <f t="shared" si="1"/>
        <v>0.2736989999999988</v>
      </c>
      <c r="J17" s="37">
        <f t="shared" si="4"/>
        <v>2.7479819277108311E-2</v>
      </c>
      <c r="K17" s="5">
        <f>'2025.06'!D49</f>
        <v>0</v>
      </c>
      <c r="L17" s="5">
        <f>'2025.06'!I49</f>
        <v>0</v>
      </c>
      <c r="M17" s="5">
        <f>'2025.06'!O49</f>
        <v>0</v>
      </c>
      <c r="AC17" s="5">
        <f>'2025.06'!$C$49</f>
        <v>0</v>
      </c>
      <c r="AD17" s="5" t="str">
        <f>'2025.06'!$E$49</f>
        <v>0.00</v>
      </c>
      <c r="AE17" s="8">
        <f>'2025.06'!$F$49</f>
        <v>0</v>
      </c>
      <c r="AF17" s="31"/>
      <c r="AG17" s="5"/>
    </row>
    <row r="18" spans="1:33" x14ac:dyDescent="0.25">
      <c r="A18" s="50">
        <f>'2025.07'!Q2</f>
        <v>2025.07</v>
      </c>
      <c r="B18" s="5">
        <f>'2025.07'!B49</f>
        <v>0</v>
      </c>
      <c r="C18" s="5">
        <f>'2025.07'!C49</f>
        <v>0</v>
      </c>
      <c r="D18" s="5">
        <f t="shared" si="2"/>
        <v>9.9600000000000009</v>
      </c>
      <c r="E18" s="8">
        <f>'2025.07'!F49</f>
        <v>0</v>
      </c>
      <c r="F18" s="8">
        <f t="shared" ref="F18" si="11">F17+E18</f>
        <v>1.619</v>
      </c>
      <c r="G18" s="7">
        <v>6.3879999999999999</v>
      </c>
      <c r="H18" s="5">
        <f t="shared" ref="H18" si="12">F18*G18</f>
        <v>10.342172</v>
      </c>
      <c r="I18" s="5">
        <f t="shared" si="1"/>
        <v>0.38217199999999885</v>
      </c>
      <c r="J18" s="37">
        <f t="shared" si="4"/>
        <v>3.8370682730923575E-2</v>
      </c>
      <c r="K18" s="5">
        <f>'2025.07'!D49</f>
        <v>0</v>
      </c>
      <c r="L18" s="5">
        <f>'2025.07'!I49</f>
        <v>0</v>
      </c>
      <c r="M18" s="5">
        <f>'2025.07'!O49</f>
        <v>0</v>
      </c>
      <c r="AC18" s="5">
        <f>'2025.07'!$C$49</f>
        <v>0</v>
      </c>
      <c r="AD18" s="5" t="str">
        <f>'2025.07'!$E$49</f>
        <v>0.00</v>
      </c>
      <c r="AE18" s="8">
        <f>'2025.07'!$F$49</f>
        <v>0</v>
      </c>
      <c r="AF18" s="31"/>
      <c r="AG18" s="5"/>
    </row>
    <row r="19" spans="1:33" x14ac:dyDescent="0.25">
      <c r="A19" s="50">
        <f>'2025.08'!Q2</f>
        <v>2025.08</v>
      </c>
      <c r="B19" s="5">
        <f>'2025.08'!B49</f>
        <v>0</v>
      </c>
      <c r="C19" s="5">
        <f>'2025.08'!C49</f>
        <v>0</v>
      </c>
      <c r="D19" s="5">
        <f t="shared" si="2"/>
        <v>9.9600000000000009</v>
      </c>
      <c r="E19" s="8">
        <f>'2025.08'!F49</f>
        <v>0</v>
      </c>
      <c r="F19" s="8">
        <f t="shared" ref="F19" si="13">F18+E19</f>
        <v>1.619</v>
      </c>
      <c r="G19" s="7">
        <v>6.6210000000000004</v>
      </c>
      <c r="H19" s="5">
        <f t="shared" ref="H19" si="14">F19*G19</f>
        <v>10.719399000000001</v>
      </c>
      <c r="I19" s="5">
        <f t="shared" si="1"/>
        <v>0.75939900000000016</v>
      </c>
      <c r="J19" s="37">
        <f t="shared" si="4"/>
        <v>7.6244879518072295E-2</v>
      </c>
      <c r="K19" s="5">
        <f>'2025.08'!D49</f>
        <v>0</v>
      </c>
      <c r="L19" s="5">
        <f>'2025.08'!I49</f>
        <v>0</v>
      </c>
      <c r="M19" s="5">
        <f>'2025.08'!O49</f>
        <v>0</v>
      </c>
      <c r="AC19" s="5">
        <f>'2025.08'!$C$49</f>
        <v>0</v>
      </c>
      <c r="AD19" s="5" t="str">
        <f>'2025.08'!$E$49</f>
        <v>0.00</v>
      </c>
      <c r="AE19" s="8">
        <f>'2025.08'!$F$49</f>
        <v>0</v>
      </c>
      <c r="AF19" s="31"/>
      <c r="AG19" s="5"/>
    </row>
    <row r="20" spans="1:33" x14ac:dyDescent="0.25">
      <c r="A20" s="50">
        <f>'2025.09'!Q2</f>
        <v>2025.09</v>
      </c>
      <c r="B20" s="5">
        <f>'2025.09'!B49</f>
        <v>0</v>
      </c>
      <c r="C20" s="5">
        <f>'2025.09'!C49</f>
        <v>0</v>
      </c>
      <c r="D20" s="5">
        <f t="shared" si="2"/>
        <v>9.9600000000000009</v>
      </c>
      <c r="E20" s="8">
        <f>'2025.09'!F49</f>
        <v>0</v>
      </c>
      <c r="F20" s="8">
        <f t="shared" ref="F20" si="15">F19+E20</f>
        <v>1.619</v>
      </c>
      <c r="G20" s="7">
        <v>6.7370000000000001</v>
      </c>
      <c r="H20" s="5">
        <f t="shared" ref="H20" si="16">F20*G20</f>
        <v>10.907203000000001</v>
      </c>
      <c r="I20" s="5">
        <f t="shared" si="1"/>
        <v>0.94720300000000002</v>
      </c>
      <c r="J20" s="37">
        <f t="shared" si="4"/>
        <v>9.5100702811244969E-2</v>
      </c>
      <c r="K20" s="5">
        <f>'2025.09'!D49</f>
        <v>0</v>
      </c>
      <c r="L20" s="5">
        <f>'2025.09'!I49</f>
        <v>0</v>
      </c>
      <c r="M20" s="5">
        <f>'2025.09'!O49</f>
        <v>0</v>
      </c>
      <c r="AC20" s="5">
        <f>'2025.09'!$C$49</f>
        <v>0</v>
      </c>
      <c r="AD20" s="5" t="str">
        <f>'2025.09'!$E$49</f>
        <v>0.00</v>
      </c>
      <c r="AE20" s="8">
        <f>'2025.09'!$F$49</f>
        <v>0</v>
      </c>
      <c r="AF20" s="31"/>
      <c r="AG20" s="5"/>
    </row>
    <row r="21" spans="1:33" x14ac:dyDescent="0.25">
      <c r="A21" s="50">
        <f>'2025.10'!Q2</f>
        <v>2025.1</v>
      </c>
      <c r="B21" s="5">
        <f>'2025.10'!B49</f>
        <v>0</v>
      </c>
      <c r="C21" s="5">
        <f>'2025.10'!C49</f>
        <v>0</v>
      </c>
      <c r="D21" s="5">
        <f t="shared" si="2"/>
        <v>9.9600000000000009</v>
      </c>
      <c r="E21" s="8">
        <f>'2025.10'!F49</f>
        <v>0</v>
      </c>
      <c r="F21" s="8">
        <f t="shared" ref="F21" si="17">F20+E21</f>
        <v>1.619</v>
      </c>
      <c r="G21" s="7">
        <v>7.1390000000000002</v>
      </c>
      <c r="H21" s="5">
        <f t="shared" ref="H21" si="18">F21*G21</f>
        <v>11.558041000000001</v>
      </c>
      <c r="I21" s="5">
        <f t="shared" si="1"/>
        <v>1.5980410000000003</v>
      </c>
      <c r="J21" s="37">
        <f t="shared" si="4"/>
        <v>0.16044588353413655</v>
      </c>
      <c r="K21" s="5">
        <f>'2025.10'!D49</f>
        <v>0</v>
      </c>
      <c r="L21" s="5">
        <f>'2025.10'!I49</f>
        <v>0</v>
      </c>
      <c r="M21" s="5">
        <f>'2025.10'!O49</f>
        <v>0</v>
      </c>
      <c r="AC21" s="5">
        <f>'2025.10'!$C$49</f>
        <v>0</v>
      </c>
      <c r="AD21" s="5" t="str">
        <f>'2025.10'!$E$49</f>
        <v>0.00</v>
      </c>
      <c r="AE21" s="8">
        <f>'2025.10'!$F$49</f>
        <v>0</v>
      </c>
      <c r="AF21" s="31"/>
      <c r="AG21" s="5"/>
    </row>
    <row r="22" spans="1:33" x14ac:dyDescent="0.25">
      <c r="A22" s="50">
        <f>'2025.11'!Q2</f>
        <v>2025.11</v>
      </c>
      <c r="B22" s="5">
        <f>'2025.11'!B49</f>
        <v>9.9700000000000006</v>
      </c>
      <c r="C22" s="5">
        <f>'2025.11'!C49</f>
        <v>9.9500000000000011</v>
      </c>
      <c r="D22" s="5">
        <f t="shared" ref="D22" si="19">D21+C22</f>
        <v>19.910000000000004</v>
      </c>
      <c r="E22" s="8">
        <f>'2025.11'!F49</f>
        <v>1.4355792814889627</v>
      </c>
      <c r="F22" s="8">
        <f t="shared" ref="F22" si="20">F21+E22</f>
        <v>3.0545792814889627</v>
      </c>
      <c r="G22" s="7">
        <v>7.0609999999999999</v>
      </c>
      <c r="H22" s="5">
        <f t="shared" ref="H22" si="21">F22*G22</f>
        <v>21.568384306593565</v>
      </c>
      <c r="I22" s="5">
        <f t="shared" ref="I22" si="22">H22-D22</f>
        <v>1.6583843065935611</v>
      </c>
      <c r="J22" s="37">
        <f t="shared" si="4"/>
        <v>8.3294038502941273E-2</v>
      </c>
      <c r="K22" s="5">
        <f>'2025.11'!D49</f>
        <v>0.02</v>
      </c>
      <c r="L22" s="5">
        <f>'2025.11'!I49</f>
        <v>0</v>
      </c>
      <c r="M22" s="5">
        <f>'2025.11'!O49</f>
        <v>0</v>
      </c>
      <c r="AC22" s="5">
        <f>'2025.11'!$C$49</f>
        <v>9.9500000000000011</v>
      </c>
      <c r="AD22" s="5">
        <f>'2025.11'!$E$49</f>
        <v>6.931</v>
      </c>
      <c r="AE22" s="8">
        <f>'2025.11'!$F$49</f>
        <v>1.4355792814889627</v>
      </c>
      <c r="AF22" s="31"/>
      <c r="AG22" s="5"/>
    </row>
    <row r="23" spans="1:33" x14ac:dyDescent="0.25">
      <c r="A23" s="50" t="str">
        <f>'2025.12'!Q2</f>
        <v>2025.12</v>
      </c>
      <c r="B23" s="5">
        <f>'2025.12'!B49</f>
        <v>0</v>
      </c>
      <c r="C23" s="5">
        <f>'2025.12'!C49</f>
        <v>0</v>
      </c>
      <c r="D23" s="5">
        <f t="shared" ref="D23" si="23">D22+C23</f>
        <v>19.910000000000004</v>
      </c>
      <c r="E23" s="8">
        <f>'2025.12'!F49</f>
        <v>0</v>
      </c>
      <c r="F23" s="8">
        <f t="shared" ref="F23" si="24">F22+E23</f>
        <v>3.0545792814889627</v>
      </c>
      <c r="G23" s="7">
        <v>7.0949999999999998</v>
      </c>
      <c r="H23" s="5">
        <f t="shared" ref="H23" si="25">F23*G23</f>
        <v>21.672240002164191</v>
      </c>
      <c r="I23" s="5">
        <f t="shared" ref="I23" si="26">H23-D23</f>
        <v>1.7622400021641873</v>
      </c>
      <c r="J23" s="37">
        <f t="shared" ref="J23" si="27">(H23-D23)/D23</f>
        <v>8.8510296442199252E-2</v>
      </c>
      <c r="K23" s="5">
        <f>'2025.12'!D49</f>
        <v>0</v>
      </c>
      <c r="L23" s="5">
        <f>'2025.12'!I49</f>
        <v>0</v>
      </c>
      <c r="M23" s="5">
        <f>'2025.12'!O49</f>
        <v>0</v>
      </c>
      <c r="AC23" s="5">
        <f>'2025.12'!$C$49</f>
        <v>0</v>
      </c>
      <c r="AD23" s="5" t="str">
        <f>'2025.12'!$E$49</f>
        <v>0.00</v>
      </c>
      <c r="AE23" s="8">
        <f>'2025.12'!$F$49</f>
        <v>0</v>
      </c>
      <c r="AF23" s="31"/>
      <c r="AG23" s="5"/>
    </row>
    <row r="24" spans="1:33" x14ac:dyDescent="0.25">
      <c r="A24" s="50">
        <f>'2026.01'!$Q$2</f>
        <v>2026.01</v>
      </c>
      <c r="B24" s="5">
        <f>'2026.01'!$B$49</f>
        <v>0</v>
      </c>
      <c r="C24" s="5">
        <f>'2026.01'!$C$49</f>
        <v>0</v>
      </c>
      <c r="D24" s="5">
        <f t="shared" ref="D24" si="28">D23+C24</f>
        <v>19.910000000000004</v>
      </c>
      <c r="E24" s="8">
        <f>'2026.01'!$F$49</f>
        <v>0</v>
      </c>
      <c r="F24" s="8">
        <f t="shared" ref="F24" si="29">F23+E24</f>
        <v>3.0545792814889627</v>
      </c>
      <c r="G24" s="7">
        <v>7.399</v>
      </c>
      <c r="H24" s="5">
        <f t="shared" ref="H24" si="30">F24*G24</f>
        <v>22.600832103736835</v>
      </c>
      <c r="I24" s="5">
        <f t="shared" ref="I24" si="31">H24-D24</f>
        <v>2.690832103736831</v>
      </c>
      <c r="J24" s="37">
        <f t="shared" ref="J24" si="32">(H24-D24)/D24</f>
        <v>0.13514977919321097</v>
      </c>
      <c r="K24" s="5">
        <f>'2026.01'!$D$49</f>
        <v>0</v>
      </c>
      <c r="L24" s="5">
        <f>'2026.01'!$I$49</f>
        <v>0</v>
      </c>
      <c r="M24" s="5">
        <f>'2026.01'!$O$49</f>
        <v>0</v>
      </c>
      <c r="AC24" s="5">
        <f>'2026.01'!$C$49</f>
        <v>0</v>
      </c>
      <c r="AD24" s="5" t="str">
        <f>'2026.01'!$E$49</f>
        <v>0.00</v>
      </c>
      <c r="AE24" s="8">
        <f>'2026.01'!$F$49</f>
        <v>0</v>
      </c>
      <c r="AF24" s="31"/>
      <c r="AG24" s="5"/>
    </row>
    <row r="25" spans="1:33" x14ac:dyDescent="0.25">
      <c r="A25" s="50">
        <f>'2026.02'!$Q$2</f>
        <v>2026.02</v>
      </c>
      <c r="B25" s="5">
        <f>'2026.02'!$B$49</f>
        <v>0</v>
      </c>
      <c r="C25" s="5">
        <f>'2026.02'!$C$49</f>
        <v>0</v>
      </c>
      <c r="D25" s="5">
        <f t="shared" ref="D25" si="33">D24+C25</f>
        <v>19.910000000000004</v>
      </c>
      <c r="E25" s="8">
        <f>'2026.02'!$F$49</f>
        <v>0</v>
      </c>
      <c r="F25" s="8">
        <f t="shared" ref="F25" si="34">F24+E25</f>
        <v>3.0545792814889627</v>
      </c>
      <c r="G25" s="7">
        <v>7.9989999999999997</v>
      </c>
      <c r="H25" s="5">
        <f t="shared" ref="H25" si="35">F25*G25</f>
        <v>24.433579672630213</v>
      </c>
      <c r="I25" s="5">
        <f t="shared" ref="I25" si="36">H25-D25</f>
        <v>4.5235796726302091</v>
      </c>
      <c r="J25" s="37">
        <f t="shared" ref="J25" si="37">(H25-D25)/D25</f>
        <v>0.22720138988599739</v>
      </c>
      <c r="K25" s="5">
        <f>'2026.02'!$D$49</f>
        <v>0</v>
      </c>
      <c r="L25" s="5">
        <f>'2026.02'!$I$49</f>
        <v>0</v>
      </c>
      <c r="M25" s="5">
        <f>'2026.02'!$O$49</f>
        <v>0</v>
      </c>
      <c r="AC25" s="5">
        <f>'2026.02'!$C$49</f>
        <v>0</v>
      </c>
      <c r="AD25" s="5" t="str">
        <f>'2026.02'!$E$49</f>
        <v>0.00</v>
      </c>
      <c r="AE25" s="8">
        <f>'2026.02'!$F$49</f>
        <v>0</v>
      </c>
      <c r="AF25" s="31"/>
      <c r="AG25" s="5"/>
    </row>
    <row r="26" spans="1:33" x14ac:dyDescent="0.25">
      <c r="A26" s="50">
        <f>'2026.03'!$Q$2</f>
        <v>2026.03</v>
      </c>
      <c r="B26" s="5">
        <f>'2026.03'!$B$49</f>
        <v>9.99</v>
      </c>
      <c r="C26" s="5">
        <f>'2026.03'!$C$49</f>
        <v>9.9700000000000006</v>
      </c>
      <c r="D26" s="5">
        <f t="shared" ref="D26" si="38">D25+C26</f>
        <v>29.880000000000003</v>
      </c>
      <c r="E26" s="8">
        <f>'2026.03'!$F$49</f>
        <v>1.3312858859660837</v>
      </c>
      <c r="F26" s="8">
        <f t="shared" ref="F26" si="39">F25+E26</f>
        <v>4.3858651674550462</v>
      </c>
      <c r="G26" s="7">
        <v>7.3070000000000004</v>
      </c>
      <c r="H26" s="5">
        <f t="shared" ref="H26" si="40">F26*G26</f>
        <v>32.047516778594023</v>
      </c>
      <c r="I26" s="5">
        <f t="shared" ref="I26" si="41">H26-D26</f>
        <v>2.1675167785940204</v>
      </c>
      <c r="J26" s="37">
        <f t="shared" ref="J26" si="42">(H26-D26)/D26</f>
        <v>7.2540722175168007E-2</v>
      </c>
      <c r="K26" s="5">
        <f>'2026.03'!$D$49</f>
        <v>0.02</v>
      </c>
      <c r="L26" s="5">
        <f>'2026.03'!$I$49</f>
        <v>0</v>
      </c>
      <c r="M26" s="5">
        <f>'2026.03'!$O$49</f>
        <v>0</v>
      </c>
      <c r="AC26" s="5">
        <f>'2026.03'!$C$49</f>
        <v>9.9700000000000006</v>
      </c>
      <c r="AD26" s="5">
        <f>'2026.03'!$E$49</f>
        <v>7.4889999999999999</v>
      </c>
      <c r="AE26" s="8">
        <f>'2026.03'!$F$49</f>
        <v>1.3312858859660837</v>
      </c>
      <c r="AF26" s="31"/>
      <c r="AG26" s="5"/>
    </row>
    <row r="27" spans="1:33" x14ac:dyDescent="0.25">
      <c r="A27" s="50">
        <f>'2026.04'!$Q$2</f>
        <v>2026.04</v>
      </c>
      <c r="B27" s="5">
        <f>'2026.04'!$B$49</f>
        <v>9.99</v>
      </c>
      <c r="C27" s="5">
        <f>'2026.04'!$C$49</f>
        <v>9.99</v>
      </c>
      <c r="D27" s="5">
        <f t="shared" ref="D27" si="43">D26+C27</f>
        <v>39.870000000000005</v>
      </c>
      <c r="E27" s="8">
        <f>'2026.04'!$F$49</f>
        <v>1.2928691600880031</v>
      </c>
      <c r="F27" s="8">
        <f t="shared" ref="F27" si="44">F26+E27</f>
        <v>5.6787343275430491</v>
      </c>
      <c r="G27" s="7">
        <v>7.63</v>
      </c>
      <c r="H27" s="5">
        <f t="shared" ref="H27" si="45">F27*G27</f>
        <v>43.328742919153463</v>
      </c>
      <c r="I27" s="5">
        <f t="shared" ref="I27" si="46">H27-D27</f>
        <v>3.4587429191534582</v>
      </c>
      <c r="J27" s="37">
        <f t="shared" ref="J27" si="47">(H27-D27)/D27</f>
        <v>8.6750512143302178E-2</v>
      </c>
      <c r="K27" s="5">
        <f>'2026.04'!$D$49</f>
        <v>0</v>
      </c>
      <c r="L27" s="5">
        <f>'2026.04'!$I$49</f>
        <v>0</v>
      </c>
      <c r="M27" s="5">
        <f>'2026.04'!$O$49</f>
        <v>0</v>
      </c>
      <c r="AC27" s="5">
        <f>'2026.04'!$C$49</f>
        <v>9.99</v>
      </c>
      <c r="AD27" s="5">
        <f>'2026.04'!$E$49</f>
        <v>7.7270000000000003</v>
      </c>
      <c r="AE27" s="8">
        <f>'2026.04'!$F$49</f>
        <v>1.2928691600880031</v>
      </c>
      <c r="AF27" s="31"/>
      <c r="AG27" s="5"/>
    </row>
    <row r="28" spans="1:33" x14ac:dyDescent="0.25">
      <c r="A28" s="50">
        <f>'2026.05'!$Q$2</f>
        <v>2026.05</v>
      </c>
      <c r="B28" s="5">
        <f>'2026.05'!$B$49</f>
        <v>9.9600000000000009</v>
      </c>
      <c r="C28" s="5">
        <f>'2026.05'!$C$49</f>
        <v>9.9400000000000013</v>
      </c>
      <c r="D28" s="5">
        <f t="shared" ref="D28" si="48">D27+C28</f>
        <v>49.81</v>
      </c>
      <c r="E28" s="8">
        <f>'2026.05'!$F$49</f>
        <v>1.240174672489083</v>
      </c>
      <c r="F28" s="8">
        <f t="shared" ref="F28" si="49">F27+E28</f>
        <v>6.9189090000321318</v>
      </c>
      <c r="G28" s="7">
        <v>8.2089999999999996</v>
      </c>
      <c r="H28" s="5">
        <f t="shared" ref="H28" si="50">F28*G28</f>
        <v>56.797323981263766</v>
      </c>
      <c r="I28" s="5">
        <f t="shared" ref="I28" si="51">H28-D28</f>
        <v>6.9873239812637635</v>
      </c>
      <c r="J28" s="37">
        <f t="shared" ref="J28" si="52">(H28-D28)/D28</f>
        <v>0.14027954188443612</v>
      </c>
      <c r="K28" s="5">
        <f>'2026.05'!$D$49</f>
        <v>0.02</v>
      </c>
      <c r="L28" s="5">
        <f>'2026.05'!$I$49</f>
        <v>0</v>
      </c>
      <c r="M28" s="5">
        <f>'2026.05'!$O$49</f>
        <v>0</v>
      </c>
      <c r="AC28" s="5">
        <f>'2026.05'!$C$49</f>
        <v>9.9400000000000013</v>
      </c>
      <c r="AD28" s="5">
        <f>'2026.05'!$E$49</f>
        <v>8.0150000000000006</v>
      </c>
      <c r="AE28" s="8">
        <f>'2026.05'!$F$49</f>
        <v>1.240174672489083</v>
      </c>
      <c r="AF28" s="31"/>
      <c r="AG28" s="5"/>
    </row>
    <row r="29" spans="1:33" x14ac:dyDescent="0.25">
      <c r="A29" s="50">
        <f>'2026.06'!$Q$2</f>
        <v>2026.06</v>
      </c>
      <c r="B29" s="5">
        <f>'2026.06'!$B$49</f>
        <v>199.54000000000002</v>
      </c>
      <c r="C29" s="5">
        <f>'2026.06'!$C$49</f>
        <v>199.04000000000002</v>
      </c>
      <c r="D29" s="5">
        <f t="shared" ref="D29" si="53">D28+C29</f>
        <v>248.85000000000002</v>
      </c>
      <c r="E29" s="8">
        <f>'2026.06'!$F$49</f>
        <v>23.582069690836342</v>
      </c>
      <c r="F29" s="8">
        <f t="shared" ref="F29" si="54">F28+E29</f>
        <v>30.500978690868472</v>
      </c>
      <c r="G29" s="7">
        <v>8.5020000000000007</v>
      </c>
      <c r="H29" s="5">
        <f t="shared" ref="H29" si="55">F29*G29</f>
        <v>259.31932082976374</v>
      </c>
      <c r="I29" s="5">
        <f t="shared" ref="I29" si="56">H29-D29</f>
        <v>10.469320829763717</v>
      </c>
      <c r="J29" s="37">
        <f t="shared" ref="J29" si="57">(H29-D29)/D29</f>
        <v>4.2070809040641817E-2</v>
      </c>
      <c r="K29" s="5">
        <f>'2026.06'!$D$49</f>
        <v>0.5</v>
      </c>
      <c r="L29" s="5">
        <f>'2026.06'!$I$49</f>
        <v>0</v>
      </c>
      <c r="M29" s="5">
        <f>'2026.06'!$O$49</f>
        <v>0</v>
      </c>
      <c r="AC29" s="5">
        <f>'2026.06'!$C$49</f>
        <v>199.04000000000002</v>
      </c>
      <c r="AD29" s="5">
        <f>'2026.06'!$E$49</f>
        <v>8.4403109061010095</v>
      </c>
      <c r="AE29" s="8">
        <f>'2026.06'!$F$49</f>
        <v>23.582069690836342</v>
      </c>
      <c r="AF29" s="31"/>
      <c r="AG29" s="5"/>
    </row>
    <row r="30" spans="1:33" x14ac:dyDescent="0.25">
      <c r="A30" s="50">
        <f>'2026.07'!$Q$2</f>
        <v>2026.07</v>
      </c>
      <c r="B30" s="5">
        <f>'2026.07'!$B$49</f>
        <v>100</v>
      </c>
      <c r="C30" s="5">
        <f>'2026.07'!$C$49</f>
        <v>99.75</v>
      </c>
      <c r="D30" s="5">
        <f t="shared" ref="D30" si="58">D29+C30</f>
        <v>348.6</v>
      </c>
      <c r="E30" s="8">
        <f>'2026.07'!$F$49</f>
        <v>11.858059914407987</v>
      </c>
      <c r="F30" s="8">
        <f t="shared" ref="F30" si="59">F29+E30</f>
        <v>42.35903860527646</v>
      </c>
      <c r="G30" s="7">
        <v>8.3680000000000003</v>
      </c>
      <c r="H30" s="5">
        <f t="shared" ref="H30" si="60">F30*G30</f>
        <v>354.46043504895346</v>
      </c>
      <c r="I30" s="5">
        <f t="shared" ref="I30" si="61">H30-D30</f>
        <v>5.860435048953434</v>
      </c>
      <c r="J30" s="37">
        <f t="shared" ref="J30" si="62">(H30-D30)/D30</f>
        <v>1.6811345521954773E-2</v>
      </c>
      <c r="K30" s="5">
        <f>'2026.07'!$D$49</f>
        <v>0.25</v>
      </c>
      <c r="L30" s="5">
        <f>'2026.07'!$I$49</f>
        <v>0</v>
      </c>
      <c r="M30" s="5">
        <f>'2026.07'!$O$49</f>
        <v>0</v>
      </c>
      <c r="AC30" s="5">
        <f>'2026.07'!$C$49</f>
        <v>99.75</v>
      </c>
      <c r="AD30" s="5">
        <f>'2026.07'!$E$49</f>
        <v>8.4120000000000008</v>
      </c>
      <c r="AE30" s="8">
        <f>'2026.07'!$F$49</f>
        <v>11.858059914407987</v>
      </c>
      <c r="AF30" s="31"/>
      <c r="AG30" s="5"/>
    </row>
    <row r="31" spans="1:33" x14ac:dyDescent="0.25">
      <c r="A31" s="50">
        <f>'2026.08'!$Q$2</f>
        <v>2026.08</v>
      </c>
      <c r="B31" s="5">
        <f>'2026.08'!$B$49</f>
        <v>9.9700000000000006</v>
      </c>
      <c r="C31" s="5">
        <f>'2026.08'!$C$49</f>
        <v>9.9500000000000011</v>
      </c>
      <c r="D31" s="5">
        <f t="shared" ref="D31" si="63">D30+C31</f>
        <v>358.55</v>
      </c>
      <c r="E31" s="8">
        <f>'2026.08'!$F$49</f>
        <v>1.1484302862419207</v>
      </c>
      <c r="F31" s="8">
        <f t="shared" ref="F31" si="64">F30+E31</f>
        <v>43.507468891518378</v>
      </c>
      <c r="G31" s="7">
        <v>8.5909999999999993</v>
      </c>
      <c r="H31" s="5">
        <f t="shared" ref="H31" si="65">F31*G31</f>
        <v>373.77266524703435</v>
      </c>
      <c r="I31" s="5">
        <f t="shared" ref="I31" si="66">H31-D31</f>
        <v>15.222665247034342</v>
      </c>
      <c r="J31" s="37">
        <f t="shared" ref="J31" si="67">(H31-D31)/D31</f>
        <v>4.2456185321529331E-2</v>
      </c>
      <c r="K31" s="5">
        <f>'2026.08'!$D$49</f>
        <v>0.02</v>
      </c>
      <c r="L31" s="5">
        <f>'2026.08'!$I$49</f>
        <v>0</v>
      </c>
      <c r="M31" s="5">
        <f>'2026.08'!$O$49</f>
        <v>0</v>
      </c>
      <c r="AC31" s="5">
        <f>'2026.08'!$C$49</f>
        <v>9.9500000000000011</v>
      </c>
      <c r="AD31" s="5">
        <f>'2026.08'!$E$49</f>
        <v>8.6639999999999997</v>
      </c>
      <c r="AE31" s="8">
        <f>'2026.08'!$F$49</f>
        <v>1.1484302862419207</v>
      </c>
      <c r="AF31" s="31"/>
      <c r="AG31" s="5"/>
    </row>
    <row r="32" spans="1:33" x14ac:dyDescent="0.25">
      <c r="A32" s="50">
        <f>'2026.09'!$Q$2</f>
        <v>2026.09</v>
      </c>
      <c r="B32" s="5">
        <f>'2026.09'!$B$49</f>
        <v>9.98</v>
      </c>
      <c r="C32" s="5">
        <f>'2026.09'!$C$49</f>
        <v>9.9600000000000009</v>
      </c>
      <c r="D32" s="5">
        <f t="shared" ref="D32" si="68">D31+C32</f>
        <v>368.51</v>
      </c>
      <c r="E32" s="8">
        <f>'2026.09'!$F$49</f>
        <v>1.1326032818203529</v>
      </c>
      <c r="F32" s="8">
        <f t="shared" ref="F32" si="69">F31+E32</f>
        <v>44.64007217333873</v>
      </c>
      <c r="G32" s="7">
        <v>9</v>
      </c>
      <c r="H32" s="5">
        <f t="shared" ref="H32" si="70">F32*G32</f>
        <v>401.76064956004859</v>
      </c>
      <c r="I32" s="5">
        <f t="shared" ref="I32" si="71">H32-D32</f>
        <v>33.250649560048601</v>
      </c>
      <c r="J32" s="37">
        <f t="shared" ref="J32" si="72">(H32-D32)/D32</f>
        <v>9.0229978996631308E-2</v>
      </c>
      <c r="K32" s="5">
        <f>'2026.09'!$D$49</f>
        <v>0.02</v>
      </c>
      <c r="L32" s="5">
        <f>'2026.09'!$I$49</f>
        <v>0</v>
      </c>
      <c r="M32" s="5">
        <f>'2026.09'!$O$49</f>
        <v>0</v>
      </c>
      <c r="AC32" s="5">
        <f>'2026.09'!$C$49</f>
        <v>9.9600000000000009</v>
      </c>
      <c r="AD32" s="5">
        <f>'2026.09'!$E$49</f>
        <v>8.7939000000000007</v>
      </c>
      <c r="AE32" s="8">
        <f>'2026.09'!$F$49</f>
        <v>1.1326032818203529</v>
      </c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f ca="1">TODAY()</f>
        <v>46296</v>
      </c>
      <c r="AG65" s="5" cm="1">
        <f t="array" ref="AG65">LOOKUP(2,1/(H:H&gt;0),H:H)</f>
        <v>401.76064956004859</v>
      </c>
    </row>
  </sheetData>
  <mergeCells count="18">
    <mergeCell ref="O3:O4"/>
    <mergeCell ref="P3:P4"/>
    <mergeCell ref="Q3:Q4"/>
    <mergeCell ref="R3:R4"/>
    <mergeCell ref="S3:U3"/>
    <mergeCell ref="M3:M4"/>
    <mergeCell ref="A3:A4"/>
    <mergeCell ref="B3:D3"/>
    <mergeCell ref="E3:F3"/>
    <mergeCell ref="G3:J3"/>
    <mergeCell ref="K3:L3"/>
    <mergeCell ref="AD3:AD4"/>
    <mergeCell ref="AE3:AE4"/>
    <mergeCell ref="V3:W3"/>
    <mergeCell ref="X3:X4"/>
    <mergeCell ref="AF3:AG3"/>
    <mergeCell ref="Y3:Y4"/>
    <mergeCell ref="AC3:AC4"/>
  </mergeCells>
  <hyperlinks>
    <hyperlink ref="A5" location="'2024.06'!A1" display="'2024.06'!A1" xr:uid="{1400624E-29B9-42EF-93C8-E488E8603155}"/>
    <hyperlink ref="A6" location="'2024.07'!A1" display="'2024.07'!A1" xr:uid="{9ECC4790-C506-4A4A-9BC6-FC69F635D00F}"/>
    <hyperlink ref="A7" location="'2024.08'!A1" display="'2024.08'!A1" xr:uid="{D850D1EB-4766-49B5-ADD9-23E0377D26FB}"/>
    <hyperlink ref="A8" location="'2024.09'!A1" display="'2024.09'!A1" xr:uid="{D0583D12-0109-4F3D-9210-E9A08D49CD57}"/>
    <hyperlink ref="A9" location="'2024.10'!A1" display="'2024.10'!A1" xr:uid="{B79C0781-60DA-438E-8960-7C20ACDD081B}"/>
    <hyperlink ref="A10" location="'2024.11'!A1" display="'2024.11'!A1" xr:uid="{527F77F0-B5F6-459A-8B05-A84B3B370E51}"/>
    <hyperlink ref="A11" location="'2024.12'!A1" display="'2024.12'!A1" xr:uid="{ED9B1BA8-7F8B-414A-BB72-40F690B6D839}"/>
    <hyperlink ref="A12" location="'2025.01'!A1" display="'2025.01'!A1" xr:uid="{6D3A4FFD-5BF2-4F62-9434-3C7601183E7B}"/>
    <hyperlink ref="A13" location="'2025.02'!A1" display="'2025.02'!A1" xr:uid="{53E61626-6F70-488A-96E2-F1B7A89943D3}"/>
    <hyperlink ref="A14" location="'2025.03'!A1" display="'2025.03'!A1" xr:uid="{F6EFADF4-B396-445C-A5A1-27F24C3EADD0}"/>
    <hyperlink ref="A15" location="'2025.04'!A1" display="'2025.04'!A1" xr:uid="{811FB606-7C65-4E90-B231-296CD7E9479D}"/>
    <hyperlink ref="A16" location="'2025.05'!A1" display="'2025.05'!A1" xr:uid="{BBE76DF8-0623-418D-A83E-F7951B009654}"/>
    <hyperlink ref="A17" location="'2025.06'!A1" display="'2025.06'!A1" xr:uid="{2E9916DB-644C-4B79-BB72-CDFC03753054}"/>
    <hyperlink ref="A18" location="'2025.07'!A1" display="'2025.07'!A1" xr:uid="{AE1197A8-54B5-46F2-A1D7-BBA1767428B1}"/>
    <hyperlink ref="A19" location="'2025.08'!A1" display="'2025.08'!A1" xr:uid="{D661E973-41EC-45DF-869A-ED3CF8FCF865}"/>
    <hyperlink ref="A20" location="'2025.09'!A1" display="'2025.09'!A1" xr:uid="{C53BB564-2C6A-4493-A431-258D2582474E}"/>
    <hyperlink ref="A28" location="'2026.05'!A1" display="'2026.05'!A1" xr:uid="{F1296FE0-A609-4621-B99F-DBCD9DB8FE31}"/>
    <hyperlink ref="A24" location="'2026.01'!A1" display="'2026.01'!A1" xr:uid="{AFCEB8F6-2811-44D1-B85C-C663A0BA736D}"/>
    <hyperlink ref="A25" location="'2026.02'!A1" display="'2026.02'!A1" xr:uid="{90B47CEF-614B-4F14-9402-C996A3AAFEFA}"/>
    <hyperlink ref="A26" location="'2026.03'!A1" display="'2026.03'!A1" xr:uid="{6AF97743-B4A8-4600-809F-4743FE39590D}"/>
    <hyperlink ref="A27" location="'2026.04'!A1" display="'2026.04'!A1" xr:uid="{488C8505-B202-4061-B62E-CC3D37BE7DAB}"/>
    <hyperlink ref="A21" location="'2025.10'!A1" display="'2025.10'!A1" xr:uid="{5D71E22F-1FEC-45E0-BF54-8B8A3E9AC039}"/>
    <hyperlink ref="A22" location="'2025.11'!A1" display="'2025.11'!A1" xr:uid="{DF6CF790-36F4-4242-B39C-86E6D5D82DE5}"/>
    <hyperlink ref="A23" location="'2025.12'!A1" display="'2025.12'!A1" xr:uid="{5B36ADB3-AD88-4824-83BA-AC575FFA5975}"/>
    <hyperlink ref="A29" location="'2026.06'!A1" display="'2026.06'!A1" xr:uid="{B3F93C8B-15E4-4507-96DB-4696B2A62520}"/>
    <hyperlink ref="A30" location="'2026.07'!A1" display="'2026.07'!A1" xr:uid="{E558FAD0-A9F9-4295-956B-BF4E100F53ED}"/>
    <hyperlink ref="A31" location="'2026.08'!A1" display="'2026.08'!A1" xr:uid="{78FEA571-A9D2-4D95-AB34-156D394B2378}"/>
    <hyperlink ref="A32" location="'2026.09'!A1" display="'2026.09'!A1" xr:uid="{62272D92-F61D-4857-8760-2D0E961A902B}"/>
  </hyperlinks>
  <pageMargins left="0.7" right="0.7" top="0.75" bottom="0.75" header="0.3" footer="0.3"/>
  <pageSetup orientation="portrait" r:id="rId1"/>
  <ignoredErrors>
    <ignoredError sqref="E5:E32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4" sqref="G24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23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30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'2025.03'!B129</f>
        <v>9.9700000000000006</v>
      </c>
      <c r="C5" s="5">
        <f>'2025.03'!C129</f>
        <v>9.9499999999999993</v>
      </c>
      <c r="D5" s="5">
        <f>C5</f>
        <v>9.9499999999999993</v>
      </c>
      <c r="E5" s="8">
        <f>'2025.03'!F129</f>
        <v>0.97415312316428415</v>
      </c>
      <c r="F5" s="8">
        <f>E5</f>
        <v>0.97415312316428415</v>
      </c>
      <c r="G5" s="7">
        <v>9.673</v>
      </c>
      <c r="H5" s="5">
        <f t="shared" ref="H5:H10" si="0">F5*G5</f>
        <v>9.4229831603681209</v>
      </c>
      <c r="I5" s="5">
        <f t="shared" ref="I5:I12" si="1">H5-D5</f>
        <v>-0.5270168396318784</v>
      </c>
      <c r="J5" s="37">
        <f>(H5-D5)/D5</f>
        <v>-5.2966516545917428E-2</v>
      </c>
      <c r="K5" s="5">
        <f>'2025.03'!D129</f>
        <v>2.000000000000135E-2</v>
      </c>
      <c r="L5" s="5">
        <f>'2025.03'!I129</f>
        <v>0</v>
      </c>
      <c r="M5" s="5">
        <f>'2025.03'!O129</f>
        <v>0</v>
      </c>
      <c r="O5" s="3" t="s">
        <v>2</v>
      </c>
      <c r="P5" s="5">
        <f>SUM(B5:B500)</f>
        <v>1705.82</v>
      </c>
      <c r="Q5" s="8">
        <f>SUM(E5:E500)</f>
        <v>137.61349872851605</v>
      </c>
      <c r="R5" s="5"/>
      <c r="S5" s="5">
        <f>R5-P5+X5</f>
        <v>-1705.82</v>
      </c>
      <c r="T5" s="37">
        <f>(R5-P5+X5)/P5</f>
        <v>-1</v>
      </c>
      <c r="U5" s="37">
        <f ca="1">XIRR(AG5:AG200,AF5:AF200)</f>
        <v>0.17276620268821719</v>
      </c>
      <c r="V5" s="5">
        <f>SUM(K5:K500)</f>
        <v>4.2300000000000013</v>
      </c>
      <c r="W5" s="5">
        <f>SUM(L5:L500)</f>
        <v>0</v>
      </c>
      <c r="X5" s="5">
        <f>SUM(M5:M500)</f>
        <v>0</v>
      </c>
      <c r="Y5" s="5" cm="1">
        <f t="array" ref="Y5">SUMPRODUCT(IFERROR(AD5:AD200,0),IFERROR(AE5:AE200,0))/SUM(IFERROR(AE5:AE200,0))</f>
        <v>12.364993374355643</v>
      </c>
      <c r="AC5" s="5">
        <f>'2025.03'!$C$129</f>
        <v>9.9499999999999993</v>
      </c>
      <c r="AD5" s="5">
        <f>'2025.03'!$E$129</f>
        <v>10.214</v>
      </c>
      <c r="AE5" s="8">
        <f>'2025.03'!$F$129</f>
        <v>0.97415312316428415</v>
      </c>
      <c r="AF5" s="31">
        <f>'2025.03'!$A$125</f>
        <v>45722</v>
      </c>
      <c r="AG5" s="5">
        <f>'2025.03'!$B$125*-1</f>
        <v>-9.9700000000000006</v>
      </c>
    </row>
    <row r="6" spans="1:33" x14ac:dyDescent="0.25">
      <c r="A6" s="50">
        <f>'2025.04'!Q2</f>
        <v>2025.04</v>
      </c>
      <c r="B6" s="5">
        <f>'2025.04'!B129</f>
        <v>0</v>
      </c>
      <c r="C6" s="5">
        <f>'2025.04'!C129</f>
        <v>0</v>
      </c>
      <c r="D6" s="5">
        <f t="shared" ref="D6:D12" si="2">D5+C6</f>
        <v>9.9499999999999993</v>
      </c>
      <c r="E6" s="8">
        <f>'2025.04'!F129</f>
        <v>0</v>
      </c>
      <c r="F6" s="8">
        <f t="shared" ref="F6:F11" si="3">F5+E6</f>
        <v>0.97415312316428415</v>
      </c>
      <c r="G6" s="7">
        <v>9.2929999999999993</v>
      </c>
      <c r="H6" s="5">
        <f t="shared" si="0"/>
        <v>9.0528049735656921</v>
      </c>
      <c r="I6" s="5">
        <f t="shared" si="1"/>
        <v>-0.89719502643430715</v>
      </c>
      <c r="J6" s="37">
        <f t="shared" ref="J6:J13" si="4">(H6-D6)/D6</f>
        <v>-9.0170354415508261E-2</v>
      </c>
      <c r="K6" s="5">
        <f>'2025.04'!D129</f>
        <v>0</v>
      </c>
      <c r="L6" s="5">
        <f>'2025.04'!I129</f>
        <v>0</v>
      </c>
      <c r="M6" s="5">
        <f>'2025.04'!O129</f>
        <v>0</v>
      </c>
      <c r="AC6" s="5">
        <f>'2025.04'!$C$129</f>
        <v>0</v>
      </c>
      <c r="AD6" s="5" t="str">
        <f>'2025.04'!$E$129</f>
        <v>0.00</v>
      </c>
      <c r="AE6" s="8">
        <f>'2025.04'!$F$129</f>
        <v>0</v>
      </c>
      <c r="AF6" s="31">
        <f>'2025.05'!$A$125</f>
        <v>45783</v>
      </c>
      <c r="AG6" s="5">
        <f>'2025.05'!$B$125*-1</f>
        <v>-9.98</v>
      </c>
    </row>
    <row r="7" spans="1:33" x14ac:dyDescent="0.25">
      <c r="A7" s="50">
        <f>'2025.05'!Q2</f>
        <v>2025.05</v>
      </c>
      <c r="B7" s="5">
        <f>'2025.05'!B129</f>
        <v>9.98</v>
      </c>
      <c r="C7" s="5">
        <f>'2025.05'!C129</f>
        <v>9.9600000000000009</v>
      </c>
      <c r="D7" s="5">
        <f t="shared" si="2"/>
        <v>19.91</v>
      </c>
      <c r="E7" s="8">
        <f>'2025.05'!F129</f>
        <v>0.99567142842861867</v>
      </c>
      <c r="F7" s="8">
        <f t="shared" si="3"/>
        <v>1.9698245515929029</v>
      </c>
      <c r="G7" s="7">
        <v>9.8800000000000008</v>
      </c>
      <c r="H7" s="5">
        <f t="shared" si="0"/>
        <v>19.461866569737882</v>
      </c>
      <c r="I7" s="5">
        <f t="shared" si="1"/>
        <v>-0.44813343026211783</v>
      </c>
      <c r="J7" s="37">
        <f t="shared" si="4"/>
        <v>-2.2507957321050619E-2</v>
      </c>
      <c r="K7" s="5">
        <f>'2025.05'!D129</f>
        <v>1.9999999999999574E-2</v>
      </c>
      <c r="L7" s="5">
        <f>'2025.05'!I129</f>
        <v>0</v>
      </c>
      <c r="M7" s="5">
        <f>'2025.05'!O129</f>
        <v>0</v>
      </c>
      <c r="AC7" s="5">
        <f>'2025.05'!$C$129</f>
        <v>9.9600000000000009</v>
      </c>
      <c r="AD7" s="5">
        <f>'2025.05'!$E$129</f>
        <v>10.003299999999999</v>
      </c>
      <c r="AE7" s="8">
        <f>'2025.05'!$F$129</f>
        <v>0.99567142842861867</v>
      </c>
      <c r="AF7" s="31">
        <f>'2025.11'!$A$125</f>
        <v>45982</v>
      </c>
      <c r="AG7" s="5">
        <f>'2025.11'!$B$125*-1</f>
        <v>-186.14</v>
      </c>
    </row>
    <row r="8" spans="1:33" x14ac:dyDescent="0.25">
      <c r="A8" s="50">
        <f>'2025.06'!Q2</f>
        <v>2025.06</v>
      </c>
      <c r="B8" s="5">
        <f>'2025.06'!B129</f>
        <v>0</v>
      </c>
      <c r="C8" s="5">
        <f>'2025.06'!C129</f>
        <v>0</v>
      </c>
      <c r="D8" s="5">
        <f t="shared" si="2"/>
        <v>19.91</v>
      </c>
      <c r="E8" s="8">
        <f>'2025.06'!F129</f>
        <v>0</v>
      </c>
      <c r="F8" s="8">
        <f t="shared" si="3"/>
        <v>1.9698245515929029</v>
      </c>
      <c r="G8" s="7">
        <v>9.98</v>
      </c>
      <c r="H8" s="5">
        <f t="shared" si="0"/>
        <v>19.658849024897172</v>
      </c>
      <c r="I8" s="5">
        <f t="shared" si="1"/>
        <v>-0.2511509751028278</v>
      </c>
      <c r="J8" s="37">
        <f t="shared" si="4"/>
        <v>-1.2614313164381104E-2</v>
      </c>
      <c r="K8" s="5">
        <f>'2025.06'!D129</f>
        <v>0</v>
      </c>
      <c r="L8" s="5">
        <f>'2025.06'!I129</f>
        <v>0</v>
      </c>
      <c r="M8" s="5">
        <f>'2025.06'!O129</f>
        <v>0</v>
      </c>
      <c r="AC8" s="5">
        <f>'2025.06'!$C$129</f>
        <v>0</v>
      </c>
      <c r="AD8" s="5" t="str">
        <f>'2025.06'!$E$129</f>
        <v>0.00</v>
      </c>
      <c r="AE8" s="8">
        <f>'2025.06'!$F$129</f>
        <v>0</v>
      </c>
      <c r="AF8" s="31">
        <f>'2025.12'!$A$125</f>
        <v>45995</v>
      </c>
      <c r="AG8" s="5">
        <f>'2025.12'!$B$125*-1</f>
        <v>-9.98</v>
      </c>
    </row>
    <row r="9" spans="1:33" x14ac:dyDescent="0.25">
      <c r="A9" s="50">
        <f>'2025.07'!Q2</f>
        <v>2025.07</v>
      </c>
      <c r="B9" s="5">
        <f>'2025.07'!B129</f>
        <v>0</v>
      </c>
      <c r="C9" s="5">
        <f>'2025.07'!C129</f>
        <v>0</v>
      </c>
      <c r="D9" s="5">
        <f t="shared" si="2"/>
        <v>19.91</v>
      </c>
      <c r="E9" s="8">
        <f>'2025.07'!F129</f>
        <v>0</v>
      </c>
      <c r="F9" s="8">
        <f t="shared" si="3"/>
        <v>1.9698245515929029</v>
      </c>
      <c r="G9" s="7">
        <v>10.474</v>
      </c>
      <c r="H9" s="5">
        <f t="shared" si="0"/>
        <v>20.631942353384066</v>
      </c>
      <c r="I9" s="5">
        <f t="shared" si="1"/>
        <v>0.72194235338406543</v>
      </c>
      <c r="J9" s="37">
        <f t="shared" si="4"/>
        <v>3.6260288969566318E-2</v>
      </c>
      <c r="K9" s="5">
        <f>'2025.07'!D129</f>
        <v>0</v>
      </c>
      <c r="L9" s="5">
        <f>'2025.07'!I129</f>
        <v>0</v>
      </c>
      <c r="M9" s="5">
        <f>'2025.07'!O129</f>
        <v>0</v>
      </c>
      <c r="AC9" s="5">
        <f>'2025.07'!$C$129</f>
        <v>0</v>
      </c>
      <c r="AD9" s="5" t="str">
        <f>'2025.07'!$E$129</f>
        <v>0.00</v>
      </c>
      <c r="AE9" s="8">
        <f>'2025.07'!$F$129</f>
        <v>0</v>
      </c>
      <c r="AF9" s="31">
        <f>'2026.01'!$A$125</f>
        <v>46030</v>
      </c>
      <c r="AG9" s="5">
        <f>'2026.01'!$B$125*-1</f>
        <v>-29.98</v>
      </c>
    </row>
    <row r="10" spans="1:33" x14ac:dyDescent="0.25">
      <c r="A10" s="50">
        <f>'2025.08'!Q2</f>
        <v>2025.08</v>
      </c>
      <c r="B10" s="5">
        <f>'2025.08'!B129</f>
        <v>0</v>
      </c>
      <c r="C10" s="5">
        <f>'2025.08'!C129</f>
        <v>0</v>
      </c>
      <c r="D10" s="5">
        <f t="shared" si="2"/>
        <v>19.91</v>
      </c>
      <c r="E10" s="8">
        <f>'2025.08'!F129</f>
        <v>0</v>
      </c>
      <c r="F10" s="8">
        <f t="shared" si="3"/>
        <v>1.9698245515929029</v>
      </c>
      <c r="G10" s="7">
        <v>10.433999999999999</v>
      </c>
      <c r="H10" s="5">
        <f t="shared" si="0"/>
        <v>20.553149371320348</v>
      </c>
      <c r="I10" s="5">
        <f t="shared" si="1"/>
        <v>0.643149371320348</v>
      </c>
      <c r="J10" s="37">
        <f t="shared" si="4"/>
        <v>3.2302831306898441E-2</v>
      </c>
      <c r="K10" s="5">
        <f>'2025.08'!D129</f>
        <v>0</v>
      </c>
      <c r="L10" s="5">
        <f>'2025.08'!I129</f>
        <v>0</v>
      </c>
      <c r="M10" s="5">
        <f>'2025.08'!O129</f>
        <v>0</v>
      </c>
      <c r="AC10" s="5">
        <f>'2025.08'!$C$129</f>
        <v>0</v>
      </c>
      <c r="AD10" s="5" t="str">
        <f>'2025.08'!$E$129</f>
        <v>0.00</v>
      </c>
      <c r="AE10" s="8">
        <f>'2025.08'!$F$129</f>
        <v>0</v>
      </c>
      <c r="AF10" s="31">
        <f>'2026.02'!$A$125</f>
        <v>46072</v>
      </c>
      <c r="AG10" s="5">
        <f>'2026.02'!$B$125*-1</f>
        <v>-29.99</v>
      </c>
    </row>
    <row r="11" spans="1:33" x14ac:dyDescent="0.25">
      <c r="A11" s="50">
        <f>'2025.09'!Q2</f>
        <v>2025.09</v>
      </c>
      <c r="B11" s="5">
        <f>'2025.09'!B129</f>
        <v>0</v>
      </c>
      <c r="C11" s="5">
        <f>'2025.09'!C129</f>
        <v>0</v>
      </c>
      <c r="D11" s="5">
        <f t="shared" si="2"/>
        <v>19.91</v>
      </c>
      <c r="E11" s="8">
        <f>'2025.09'!F129</f>
        <v>0</v>
      </c>
      <c r="F11" s="8">
        <f t="shared" si="3"/>
        <v>1.9698245515929029</v>
      </c>
      <c r="G11" s="7">
        <v>10.734</v>
      </c>
      <c r="H11" s="5">
        <f t="shared" ref="H11" si="5">F11*G11</f>
        <v>21.144096736798222</v>
      </c>
      <c r="I11" s="5">
        <f t="shared" si="1"/>
        <v>1.2340967367982216</v>
      </c>
      <c r="J11" s="37">
        <f t="shared" si="4"/>
        <v>6.1983763776907161E-2</v>
      </c>
      <c r="K11" s="5">
        <f>'2025.09'!D129</f>
        <v>0</v>
      </c>
      <c r="L11" s="5">
        <f>'2025.09'!I129</f>
        <v>0</v>
      </c>
      <c r="M11" s="5">
        <f>'2025.09'!O129</f>
        <v>0</v>
      </c>
      <c r="AC11" s="5">
        <f>'2025.09'!$C$129</f>
        <v>0</v>
      </c>
      <c r="AD11" s="5" t="str">
        <f>'2025.09'!$E$129</f>
        <v>0.00</v>
      </c>
      <c r="AE11" s="8">
        <f>'2025.09'!$F$129</f>
        <v>0</v>
      </c>
      <c r="AF11" s="31">
        <f>'2026.05'!$A$125</f>
        <v>46162</v>
      </c>
      <c r="AG11" s="5">
        <f>'2026.05'!$B$125*-1</f>
        <v>-9.9700000000000006</v>
      </c>
    </row>
    <row r="12" spans="1:33" x14ac:dyDescent="0.25">
      <c r="A12" s="50">
        <f>'2025.10'!Q2</f>
        <v>2025.1</v>
      </c>
      <c r="B12" s="5">
        <f>'2025.10'!B129</f>
        <v>0</v>
      </c>
      <c r="C12" s="5">
        <f>'2025.10'!C129</f>
        <v>0</v>
      </c>
      <c r="D12" s="5">
        <f t="shared" si="2"/>
        <v>19.91</v>
      </c>
      <c r="E12" s="8">
        <f>'2025.10'!F129</f>
        <v>0</v>
      </c>
      <c r="F12" s="8">
        <f t="shared" ref="F12" si="6">F11+E12</f>
        <v>1.9698245515929029</v>
      </c>
      <c r="G12" s="7">
        <v>11.25</v>
      </c>
      <c r="H12" s="5">
        <f t="shared" ref="H12" si="7">F12*G12</f>
        <v>22.160526205420158</v>
      </c>
      <c r="I12" s="5">
        <f t="shared" si="1"/>
        <v>2.250526205420158</v>
      </c>
      <c r="J12" s="37">
        <f t="shared" si="4"/>
        <v>0.11303496762532185</v>
      </c>
      <c r="K12" s="5">
        <f>'2025.10'!D129</f>
        <v>0</v>
      </c>
      <c r="L12" s="5">
        <f>'2025.10'!I129</f>
        <v>0</v>
      </c>
      <c r="M12" s="5">
        <f>'2025.10'!O129</f>
        <v>0</v>
      </c>
      <c r="X12" s="58"/>
      <c r="AC12" s="5">
        <f>'2025.10'!$C$129</f>
        <v>0</v>
      </c>
      <c r="AD12" s="5" t="str">
        <f>'2025.10'!$E$129</f>
        <v>0.00</v>
      </c>
      <c r="AE12" s="8">
        <f>'2025.10'!$F$129</f>
        <v>0</v>
      </c>
      <c r="AF12" s="31">
        <f>'2026.06'!$A$125</f>
        <v>46198</v>
      </c>
      <c r="AG12" s="5">
        <f>'2026.06'!$B$125*-1</f>
        <v>-399.86</v>
      </c>
    </row>
    <row r="13" spans="1:33" x14ac:dyDescent="0.25">
      <c r="A13" s="50">
        <f>'2025.11'!Q2</f>
        <v>2025.11</v>
      </c>
      <c r="B13" s="5">
        <f>'2025.11'!B129</f>
        <v>186.14</v>
      </c>
      <c r="C13" s="5">
        <f>'2025.11'!C129</f>
        <v>185.67999999999998</v>
      </c>
      <c r="D13" s="5">
        <f t="shared" ref="D13" si="8">D12+C13</f>
        <v>205.58999999999997</v>
      </c>
      <c r="E13" s="8">
        <f>'2025.11'!F129</f>
        <v>17.044244538277947</v>
      </c>
      <c r="F13" s="8">
        <f t="shared" ref="F13" si="9">F12+E13</f>
        <v>19.014069089870851</v>
      </c>
      <c r="G13" s="7">
        <v>11.178000000000001</v>
      </c>
      <c r="H13" s="5">
        <f t="shared" ref="H13" si="10">F13*G13</f>
        <v>212.53926428657638</v>
      </c>
      <c r="I13" s="5">
        <f t="shared" ref="I13" si="11">H13-D13</f>
        <v>6.9492642865764083</v>
      </c>
      <c r="J13" s="37">
        <f t="shared" si="4"/>
        <v>3.3801567617960063E-2</v>
      </c>
      <c r="K13" s="5">
        <f>'2025.11'!D129</f>
        <v>0.46</v>
      </c>
      <c r="L13" s="5">
        <f>'2025.11'!I129</f>
        <v>0</v>
      </c>
      <c r="M13" s="5">
        <f>'2025.11'!O129</f>
        <v>0</v>
      </c>
      <c r="AC13" s="5">
        <f>'2025.11'!$C$129</f>
        <v>185.67999999999998</v>
      </c>
      <c r="AD13" s="5">
        <f>'2025.11'!$E$129</f>
        <v>10.894</v>
      </c>
      <c r="AE13" s="8">
        <f>'2025.11'!$F$129</f>
        <v>17.044244538277947</v>
      </c>
      <c r="AF13" s="31">
        <f>'2026.06'!$A$126</f>
        <v>46203</v>
      </c>
      <c r="AG13" s="5">
        <f>'2026.06'!$B$126*-1</f>
        <v>-699.99</v>
      </c>
    </row>
    <row r="14" spans="1:33" x14ac:dyDescent="0.25">
      <c r="A14" s="50" t="str">
        <f>'2025.12'!Q2</f>
        <v>2025.12</v>
      </c>
      <c r="B14" s="5">
        <f>'2025.12'!B129</f>
        <v>9.98</v>
      </c>
      <c r="C14" s="5">
        <f>'2025.12'!C129</f>
        <v>9.9600000000000009</v>
      </c>
      <c r="D14" s="5">
        <f t="shared" ref="D14" si="12">D13+C14</f>
        <v>215.54999999999998</v>
      </c>
      <c r="E14" s="8">
        <f>'2025.12'!F129</f>
        <v>0.89471793029105295</v>
      </c>
      <c r="F14" s="8">
        <f t="shared" ref="F14" si="13">F13+E14</f>
        <v>19.908787020161903</v>
      </c>
      <c r="G14" s="7">
        <v>11.238</v>
      </c>
      <c r="H14" s="5">
        <f t="shared" ref="H14" si="14">F14*G14</f>
        <v>223.73494853257947</v>
      </c>
      <c r="I14" s="5">
        <f t="shared" ref="I14" si="15">H14-D14</f>
        <v>8.1849485325794831</v>
      </c>
      <c r="J14" s="37">
        <f t="shared" ref="J14" si="16">(H14-D14)/D14</f>
        <v>3.7972389387981829E-2</v>
      </c>
      <c r="K14" s="5">
        <f>'2025.12'!D129</f>
        <v>0.02</v>
      </c>
      <c r="L14" s="5">
        <f>'2025.12'!I129</f>
        <v>0</v>
      </c>
      <c r="M14" s="5">
        <f>'2025.12'!O129</f>
        <v>0</v>
      </c>
      <c r="AC14" s="5">
        <f>'2025.12'!$C$129</f>
        <v>9.9600000000000009</v>
      </c>
      <c r="AD14" s="5">
        <f>'2025.12'!$E$129</f>
        <v>11.132</v>
      </c>
      <c r="AE14" s="8">
        <f>'2025.12'!$F$129</f>
        <v>0.89471793029105295</v>
      </c>
      <c r="AF14" s="31">
        <f>'2026.07'!$A$125</f>
        <v>46224</v>
      </c>
      <c r="AG14" s="5">
        <f>'2026.07'!$B$125*-1</f>
        <v>-200</v>
      </c>
    </row>
    <row r="15" spans="1:33" x14ac:dyDescent="0.25">
      <c r="A15" s="50">
        <f>'2026.01'!$Q$2</f>
        <v>2026.01</v>
      </c>
      <c r="B15" s="5">
        <f>'2026.01'!$B$129</f>
        <v>29.98</v>
      </c>
      <c r="C15" s="5">
        <f>'2026.01'!$C$129</f>
        <v>29.91</v>
      </c>
      <c r="D15" s="5">
        <f t="shared" ref="D15" si="17">D14+C15</f>
        <v>245.45999999999998</v>
      </c>
      <c r="E15" s="8">
        <f>'2026.01'!$F$129</f>
        <v>2.6380313988357735</v>
      </c>
      <c r="F15" s="8">
        <f t="shared" ref="F15" si="18">F14+E15</f>
        <v>22.546818418997677</v>
      </c>
      <c r="G15" s="7">
        <v>11.336</v>
      </c>
      <c r="H15" s="5">
        <f t="shared" ref="H15" si="19">F15*G15</f>
        <v>255.59073359775769</v>
      </c>
      <c r="I15" s="5">
        <f t="shared" ref="I15" si="20">H15-D15</f>
        <v>10.130733597757711</v>
      </c>
      <c r="J15" s="37">
        <f t="shared" ref="J15" si="21">(H15-D15)/D15</f>
        <v>4.1272441936599492E-2</v>
      </c>
      <c r="K15" s="5">
        <f>'2026.01'!$D$129</f>
        <v>7.0000000000000007E-2</v>
      </c>
      <c r="L15" s="5">
        <f>'2026.01'!$I$129</f>
        <v>0</v>
      </c>
      <c r="M15" s="5">
        <f>'2026.01'!$O$129</f>
        <v>0</v>
      </c>
      <c r="AC15" s="5">
        <f>'2026.01'!$C$129</f>
        <v>29.91</v>
      </c>
      <c r="AD15" s="5">
        <f>'2026.01'!$E$129</f>
        <v>11.337999999999999</v>
      </c>
      <c r="AE15" s="8">
        <f>'2026.01'!$F$129</f>
        <v>2.6380313988357735</v>
      </c>
      <c r="AF15" s="31">
        <f>'2026.08'!$A$125</f>
        <v>46251</v>
      </c>
      <c r="AG15" s="5">
        <f>'2026.08'!$B$125*-1</f>
        <v>-59.97</v>
      </c>
    </row>
    <row r="16" spans="1:33" x14ac:dyDescent="0.25">
      <c r="A16" s="50">
        <f>'2026.02'!$Q$2</f>
        <v>2026.02</v>
      </c>
      <c r="B16" s="5">
        <f>'2026.02'!$B$129</f>
        <v>29.99</v>
      </c>
      <c r="C16" s="5">
        <f>'2026.02'!$C$129</f>
        <v>29.919999999999998</v>
      </c>
      <c r="D16" s="5">
        <f t="shared" ref="D16" si="22">D15+C16</f>
        <v>275.38</v>
      </c>
      <c r="E16" s="8">
        <f>'2026.02'!$F$129</f>
        <v>2.6342665962317309</v>
      </c>
      <c r="F16" s="8">
        <f t="shared" ref="F16" si="23">F15+E16</f>
        <v>25.181085015229407</v>
      </c>
      <c r="G16" s="7">
        <v>11.582000000000001</v>
      </c>
      <c r="H16" s="5">
        <f t="shared" ref="H16" si="24">F16*G16</f>
        <v>291.647326646387</v>
      </c>
      <c r="I16" s="5">
        <f t="shared" ref="I16" si="25">H16-D16</f>
        <v>16.267326646387005</v>
      </c>
      <c r="J16" s="37">
        <f t="shared" ref="J16" si="26">(H16-D16)/D16</f>
        <v>5.9072287916286603E-2</v>
      </c>
      <c r="K16" s="5">
        <f>'2026.02'!$D$129</f>
        <v>7.0000000000000007E-2</v>
      </c>
      <c r="L16" s="5">
        <f>'2026.02'!$I$129</f>
        <v>0</v>
      </c>
      <c r="M16" s="5">
        <f>'2026.02'!$O$129</f>
        <v>0</v>
      </c>
      <c r="AC16" s="5">
        <f>'2026.02'!$C$129</f>
        <v>29.919999999999998</v>
      </c>
      <c r="AD16" s="5">
        <f>'2026.02'!$E$129</f>
        <v>11.358000000000001</v>
      </c>
      <c r="AE16" s="8">
        <f>'2026.02'!$F$129</f>
        <v>2.6342665962317309</v>
      </c>
      <c r="AF16" s="31">
        <f>'2026.09'!$A$125</f>
        <v>46275</v>
      </c>
      <c r="AG16" s="5">
        <f>'2026.09'!$B$125*-1</f>
        <v>-59.99</v>
      </c>
    </row>
    <row r="17" spans="1:33" x14ac:dyDescent="0.25">
      <c r="A17" s="50">
        <f>'2026.03'!$Q$2</f>
        <v>2026.03</v>
      </c>
      <c r="B17" s="5">
        <f>'2026.03'!$B$129</f>
        <v>0</v>
      </c>
      <c r="C17" s="5">
        <f>'2026.03'!$C$129</f>
        <v>0</v>
      </c>
      <c r="D17" s="5">
        <f t="shared" ref="D17" si="27">D16+C17</f>
        <v>275.38</v>
      </c>
      <c r="E17" s="8">
        <f>'2026.03'!$F$129</f>
        <v>0</v>
      </c>
      <c r="F17" s="8">
        <f t="shared" ref="F17" si="28">F16+E17</f>
        <v>25.181085015229407</v>
      </c>
      <c r="G17" s="7">
        <v>10.914</v>
      </c>
      <c r="H17" s="5">
        <f t="shared" ref="H17" si="29">F17*G17</f>
        <v>274.82636185621374</v>
      </c>
      <c r="I17" s="5">
        <f t="shared" ref="I17" si="30">H17-D17</f>
        <v>-0.55363814378625875</v>
      </c>
      <c r="J17" s="37">
        <f t="shared" ref="J17" si="31">(H17-D17)/D17</f>
        <v>-2.0104515352830951E-3</v>
      </c>
      <c r="K17" s="5">
        <f>'2026.03'!$D$129</f>
        <v>0</v>
      </c>
      <c r="L17" s="5">
        <f>'2026.03'!$I$129</f>
        <v>0</v>
      </c>
      <c r="M17" s="5">
        <f>'2026.03'!$O$129</f>
        <v>0</v>
      </c>
      <c r="AC17" s="5">
        <f>'2026.03'!$C$129</f>
        <v>0</v>
      </c>
      <c r="AD17" s="5" t="str">
        <f>'2026.03'!$E$129</f>
        <v>0.00</v>
      </c>
      <c r="AE17" s="8">
        <f>'2026.03'!$F$129</f>
        <v>0</v>
      </c>
      <c r="AF17" s="31"/>
      <c r="AG17" s="5"/>
    </row>
    <row r="18" spans="1:33" x14ac:dyDescent="0.25">
      <c r="A18" s="50">
        <f>'2026.04'!$Q$2</f>
        <v>2026.04</v>
      </c>
      <c r="B18" s="5">
        <f>'2026.04'!$B$129</f>
        <v>0</v>
      </c>
      <c r="C18" s="5">
        <f>'2026.04'!$C$129</f>
        <v>0</v>
      </c>
      <c r="D18" s="5">
        <f t="shared" ref="D18" si="32">D17+C18</f>
        <v>275.38</v>
      </c>
      <c r="E18" s="8">
        <f>'2026.04'!$F$129</f>
        <v>0</v>
      </c>
      <c r="F18" s="8">
        <f t="shared" ref="F18" si="33">F17+E18</f>
        <v>25.181085015229407</v>
      </c>
      <c r="G18" s="7">
        <v>11.802</v>
      </c>
      <c r="H18" s="5">
        <f t="shared" ref="H18" si="34">F18*G18</f>
        <v>297.18716534973743</v>
      </c>
      <c r="I18" s="5">
        <f t="shared" ref="I18" si="35">H18-D18</f>
        <v>21.807165349737431</v>
      </c>
      <c r="J18" s="37">
        <f t="shared" ref="J18" si="36">(H18-D18)/D18</f>
        <v>7.9189357795545909E-2</v>
      </c>
      <c r="K18" s="5">
        <f>'2026.04'!$D$129</f>
        <v>0</v>
      </c>
      <c r="L18" s="5">
        <f>'2026.04'!$I$129</f>
        <v>0</v>
      </c>
      <c r="M18" s="5">
        <f>'2026.04'!$O$129</f>
        <v>0</v>
      </c>
      <c r="AC18" s="5">
        <f>'2026.04'!$C$129</f>
        <v>0</v>
      </c>
      <c r="AD18" s="5" t="str">
        <f>'2026.04'!$E$129</f>
        <v>0.00</v>
      </c>
      <c r="AE18" s="8">
        <f>'2026.04'!$F$129</f>
        <v>0</v>
      </c>
      <c r="AF18" s="31"/>
      <c r="AG18" s="5"/>
    </row>
    <row r="19" spans="1:33" x14ac:dyDescent="0.25">
      <c r="A19" s="50">
        <f>'2026.05'!$Q$2</f>
        <v>2026.05</v>
      </c>
      <c r="B19" s="5">
        <f>'2026.05'!$B$129</f>
        <v>9.9700000000000006</v>
      </c>
      <c r="C19" s="5">
        <f>'2026.05'!$C$129</f>
        <v>9.9500000000000011</v>
      </c>
      <c r="D19" s="5">
        <f t="shared" ref="D19" si="37">D18+C19</f>
        <v>285.33</v>
      </c>
      <c r="E19" s="8">
        <f>'2026.05'!$F$129</f>
        <v>0.81223163703449752</v>
      </c>
      <c r="F19" s="8">
        <f t="shared" ref="F19" si="38">F18+E19</f>
        <v>25.993316652263903</v>
      </c>
      <c r="G19" s="7">
        <v>12.574</v>
      </c>
      <c r="H19" s="5">
        <f t="shared" ref="H19" si="39">F19*G19</f>
        <v>326.8399635855663</v>
      </c>
      <c r="I19" s="5">
        <f t="shared" ref="I19" si="40">H19-D19</f>
        <v>41.509963585566311</v>
      </c>
      <c r="J19" s="37">
        <f t="shared" ref="J19" si="41">(H19-D19)/D19</f>
        <v>0.14548054388100204</v>
      </c>
      <c r="K19" s="5">
        <f>'2026.05'!$D$129</f>
        <v>0.02</v>
      </c>
      <c r="L19" s="5">
        <f>'2026.05'!$I$129</f>
        <v>0</v>
      </c>
      <c r="M19" s="5">
        <f>'2026.05'!$O$129</f>
        <v>0</v>
      </c>
      <c r="AC19" s="5">
        <f>'2026.05'!$C$129</f>
        <v>9.9500000000000011</v>
      </c>
      <c r="AD19" s="5">
        <f>'2026.05'!$E$129</f>
        <v>12.2502</v>
      </c>
      <c r="AE19" s="8">
        <f>'2026.05'!$F$129</f>
        <v>0.81223163703449752</v>
      </c>
      <c r="AF19" s="31"/>
      <c r="AG19" s="5"/>
    </row>
    <row r="20" spans="1:33" x14ac:dyDescent="0.25">
      <c r="A20" s="50">
        <f>'2026.06'!$Q$2</f>
        <v>2026.06</v>
      </c>
      <c r="B20" s="5">
        <f>'2026.06'!$B$129</f>
        <v>1099.8499999999999</v>
      </c>
      <c r="C20" s="5">
        <f>'2026.06'!$C$129</f>
        <v>1097.0999999999999</v>
      </c>
      <c r="D20" s="5">
        <f t="shared" ref="D20" si="42">D19+C20</f>
        <v>1382.4299999999998</v>
      </c>
      <c r="E20" s="8">
        <f>'2026.06'!$F$129</f>
        <v>86.628203700968896</v>
      </c>
      <c r="F20" s="8">
        <f t="shared" ref="F20" si="43">F19+E20</f>
        <v>112.6215203532328</v>
      </c>
      <c r="G20" s="7">
        <v>12.74</v>
      </c>
      <c r="H20" s="5">
        <f t="shared" ref="H20" si="44">F20*G20</f>
        <v>1434.7981693001859</v>
      </c>
      <c r="I20" s="5">
        <f t="shared" ref="I20" si="45">H20-D20</f>
        <v>52.368169300186082</v>
      </c>
      <c r="J20" s="37">
        <f t="shared" ref="J20" si="46">(H20-D20)/D20</f>
        <v>3.7881244837124545E-2</v>
      </c>
      <c r="K20" s="5">
        <f>'2026.06'!$D$129</f>
        <v>2.75</v>
      </c>
      <c r="L20" s="5">
        <f>'2026.06'!$I$129</f>
        <v>0</v>
      </c>
      <c r="M20" s="5">
        <f>'2026.06'!$O$129</f>
        <v>0</v>
      </c>
      <c r="AC20" s="5">
        <f>'2026.06'!$C$129</f>
        <v>1097.0999999999999</v>
      </c>
      <c r="AD20" s="5">
        <f>'2026.06'!$E$129</f>
        <v>12.66446668785918</v>
      </c>
      <c r="AE20" s="8">
        <f>'2026.06'!$F$129</f>
        <v>86.628203700968896</v>
      </c>
      <c r="AF20" s="31"/>
      <c r="AG20" s="5"/>
    </row>
    <row r="21" spans="1:33" x14ac:dyDescent="0.25">
      <c r="A21" s="50">
        <f>'2026.07'!$Q$2</f>
        <v>2026.07</v>
      </c>
      <c r="B21" s="5">
        <f>'2026.07'!$B$129</f>
        <v>200</v>
      </c>
      <c r="C21" s="5">
        <f>'2026.07'!$C$129</f>
        <v>199.5</v>
      </c>
      <c r="D21" s="5">
        <f t="shared" ref="D21" si="47">D20+C21</f>
        <v>1581.9299999999998</v>
      </c>
      <c r="E21" s="8">
        <f>'2026.07'!$F$129</f>
        <v>15.721040189125295</v>
      </c>
      <c r="F21" s="8">
        <f t="shared" ref="F21" si="48">F20+E21</f>
        <v>128.34256054235809</v>
      </c>
      <c r="G21" s="7">
        <v>12.478</v>
      </c>
      <c r="H21" s="5">
        <f t="shared" ref="H21" si="49">F21*G21</f>
        <v>1601.4584704475442</v>
      </c>
      <c r="I21" s="5">
        <f t="shared" ref="I21" si="50">H21-D21</f>
        <v>19.52847044754435</v>
      </c>
      <c r="J21" s="37">
        <f t="shared" ref="J21" si="51">(H21-D21)/D21</f>
        <v>1.2344712122245834E-2</v>
      </c>
      <c r="K21" s="5">
        <f>'2026.07'!$D$129</f>
        <v>0.5</v>
      </c>
      <c r="L21" s="5">
        <f>'2026.07'!$I$129</f>
        <v>0</v>
      </c>
      <c r="M21" s="5">
        <f>'2026.07'!$O$129</f>
        <v>0</v>
      </c>
      <c r="AC21" s="5">
        <f>'2026.07'!$C$129</f>
        <v>199.5</v>
      </c>
      <c r="AD21" s="5">
        <f>'2026.07'!$E$129</f>
        <v>12.69</v>
      </c>
      <c r="AE21" s="8">
        <f>'2026.07'!$F$129</f>
        <v>15.721040189125295</v>
      </c>
      <c r="AF21" s="31"/>
      <c r="AG21" s="5"/>
    </row>
    <row r="22" spans="1:33" x14ac:dyDescent="0.25">
      <c r="A22" s="50">
        <f>'2026.08'!$Q$2</f>
        <v>2026.08</v>
      </c>
      <c r="B22" s="5">
        <f>'2026.08'!$B$129</f>
        <v>59.97</v>
      </c>
      <c r="C22" s="5">
        <f>'2026.08'!$C$129</f>
        <v>59.82</v>
      </c>
      <c r="D22" s="5">
        <f t="shared" ref="D22" si="52">D21+C22</f>
        <v>1641.7499999999998</v>
      </c>
      <c r="E22" s="8">
        <f>'2026.08'!$F$129</f>
        <v>4.6350534635053462</v>
      </c>
      <c r="F22" s="8">
        <f t="shared" ref="F22" si="53">F21+E22</f>
        <v>132.97761400586344</v>
      </c>
      <c r="G22" s="7">
        <v>12.843999999999999</v>
      </c>
      <c r="H22" s="5">
        <f t="shared" ref="H22" si="54">F22*G22</f>
        <v>1707.9644742913099</v>
      </c>
      <c r="I22" s="5">
        <f t="shared" ref="I22" si="55">H22-D22</f>
        <v>66.214474291310125</v>
      </c>
      <c r="J22" s="37">
        <f t="shared" ref="J22" si="56">(H22-D22)/D22</f>
        <v>4.0331642632136525E-2</v>
      </c>
      <c r="K22" s="5">
        <f>'2026.08'!$D$129</f>
        <v>0.15</v>
      </c>
      <c r="L22" s="5">
        <f>'2026.08'!$I$129</f>
        <v>0</v>
      </c>
      <c r="M22" s="5">
        <f>'2026.08'!$O$129</f>
        <v>0</v>
      </c>
      <c r="AC22" s="5">
        <f>'2026.08'!$C$129</f>
        <v>59.82</v>
      </c>
      <c r="AD22" s="5">
        <f>'2026.08'!$E$129</f>
        <v>12.906000000000001</v>
      </c>
      <c r="AE22" s="8">
        <f>'2026.08'!$F$129</f>
        <v>4.6350534635053462</v>
      </c>
      <c r="AF22" s="31"/>
      <c r="AG22" s="5"/>
    </row>
    <row r="23" spans="1:33" x14ac:dyDescent="0.25">
      <c r="A23" s="50">
        <f>'2026.09'!$Q$2</f>
        <v>2026.09</v>
      </c>
      <c r="B23" s="5">
        <f>'2026.09'!$B$129</f>
        <v>59.99</v>
      </c>
      <c r="C23" s="5">
        <f>'2026.09'!$C$129</f>
        <v>59.84</v>
      </c>
      <c r="D23" s="5">
        <f t="shared" ref="D23" si="57">D22+C23</f>
        <v>1701.5899999999997</v>
      </c>
      <c r="E23" s="8">
        <f>'2026.09'!$F$129</f>
        <v>4.6358847226526194</v>
      </c>
      <c r="F23" s="8">
        <f t="shared" ref="F23" si="58">F22+E23</f>
        <v>137.61349872851605</v>
      </c>
      <c r="G23" s="7">
        <v>13.093999999999999</v>
      </c>
      <c r="H23" s="5">
        <f t="shared" ref="H23" si="59">F23*G23</f>
        <v>1801.911152351189</v>
      </c>
      <c r="I23" s="5">
        <f t="shared" ref="I23" si="60">H23-D23</f>
        <v>100.32115235118931</v>
      </c>
      <c r="J23" s="37">
        <f t="shared" ref="J23" si="61">(H23-D23)/D23</f>
        <v>5.8957300143506565E-2</v>
      </c>
      <c r="K23" s="5">
        <f>'2026.09'!$D$129</f>
        <v>0.15</v>
      </c>
      <c r="L23" s="5">
        <f>'2026.09'!$I$129</f>
        <v>0</v>
      </c>
      <c r="M23" s="5">
        <f>'2026.09'!$O$129</f>
        <v>0</v>
      </c>
      <c r="AC23" s="5">
        <f>'2026.09'!$C$129</f>
        <v>59.84</v>
      </c>
      <c r="AD23" s="5">
        <f>'2026.09'!$E$129</f>
        <v>12.907999999999999</v>
      </c>
      <c r="AE23" s="8">
        <f>'2026.09'!$F$129</f>
        <v>4.6358847226526194</v>
      </c>
      <c r="AF23" s="31"/>
      <c r="AG23" s="5"/>
    </row>
    <row r="24" spans="1:33" x14ac:dyDescent="0.25">
      <c r="AF24" s="31"/>
      <c r="AG24" s="5"/>
    </row>
    <row r="25" spans="1:33" x14ac:dyDescent="0.25">
      <c r="AF25" s="31"/>
      <c r="AG25" s="5"/>
    </row>
    <row r="26" spans="1:33" x14ac:dyDescent="0.25">
      <c r="AF26" s="31"/>
      <c r="AG26" s="5"/>
    </row>
    <row r="27" spans="1:33" x14ac:dyDescent="0.25">
      <c r="AF27" s="31"/>
      <c r="AG27" s="5"/>
    </row>
    <row r="28" spans="1:33" x14ac:dyDescent="0.25">
      <c r="AF28" s="31"/>
      <c r="AG28" s="5"/>
    </row>
    <row r="29" spans="1:33" x14ac:dyDescent="0.25">
      <c r="AF29" s="31"/>
      <c r="AG29" s="5"/>
    </row>
    <row r="30" spans="1:33" x14ac:dyDescent="0.25">
      <c r="AF30" s="31"/>
      <c r="AG30" s="5"/>
    </row>
    <row r="31" spans="1:33" x14ac:dyDescent="0.25">
      <c r="AF31" s="31"/>
      <c r="AG31" s="5"/>
    </row>
    <row r="32" spans="1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f ca="1">TODAY()</f>
        <v>46296</v>
      </c>
      <c r="AG65" s="5" cm="1">
        <f t="array" ref="AG65">LOOKUP(2,1/(H:H&gt;0),H:H)</f>
        <v>1801.911152351189</v>
      </c>
    </row>
  </sheetData>
  <mergeCells count="18">
    <mergeCell ref="A3:A4"/>
    <mergeCell ref="B3:D3"/>
    <mergeCell ref="E3:F3"/>
    <mergeCell ref="G3:J3"/>
    <mergeCell ref="K3:L3"/>
    <mergeCell ref="M3:M4"/>
    <mergeCell ref="V3:W3"/>
    <mergeCell ref="X3:X4"/>
    <mergeCell ref="O3:O4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5.03'!A1" display="'2025.03'!A1" xr:uid="{9BB853AC-B455-4540-BA27-E3CF5EE320F6}"/>
    <hyperlink ref="A6" location="'2025.04'!A1" display="'2025.04'!A1" xr:uid="{98CDE6A9-D6A7-4791-ACD0-7C33897788F0}"/>
    <hyperlink ref="A17" location="'2026.03'!A1" display="'2026.03'!A1" xr:uid="{9341815D-9039-4F89-B24A-A7AAC8B77799}"/>
    <hyperlink ref="A18" location="'2026.04'!A1" display="'2026.04'!A1" xr:uid="{8EEB3C4F-8626-437E-87F8-25DC4805D12C}"/>
    <hyperlink ref="A19" location="'2026.05'!A1" display="'2026.05'!A1" xr:uid="{C2C9724E-8B36-4247-BB93-A52F60527A14}"/>
    <hyperlink ref="A7" location="'2025.05'!A1" display="'2025.05'!A1" xr:uid="{42D6C67F-70C3-483B-83F6-B41F6FC159F7}"/>
    <hyperlink ref="A8" location="'2025.06'!A1" display="'2025.06'!A1" xr:uid="{8BA16D4C-E657-4F94-AC1C-86AEE384EFD0}"/>
    <hyperlink ref="A9" location="'2025.07'!A1" display="'2025.07'!A1" xr:uid="{03935EDB-B616-4FBC-9CD4-C04F03FBB8AB}"/>
    <hyperlink ref="A10" location="'2025.08'!A1" display="'2025.08'!A1" xr:uid="{57B4A6BF-5600-4557-8717-D99CC027A6F3}"/>
    <hyperlink ref="A11" location="'2025.09'!A1" display="'2025.09'!A1" xr:uid="{56D2943A-030B-4D9B-BA80-AB6D36C66F4E}"/>
    <hyperlink ref="A12" location="'2025.10'!A1" display="'2025.10'!A1" xr:uid="{D3BD747F-842C-4E11-8DFD-D51D5E797085}"/>
    <hyperlink ref="A13" location="'2025.11'!A1" display="'2025.11'!A1" xr:uid="{4683CF92-51F0-407B-9647-8B50D9D334BD}"/>
    <hyperlink ref="A14" location="'2025.12'!A1" display="'2025.12'!A1" xr:uid="{95F5DC41-957B-4F78-A879-6FE195152BF2}"/>
    <hyperlink ref="A15" location="'2026.01'!A1" display="'2026.01'!A1" xr:uid="{1BBCCA86-245B-4E84-82AA-AE5C0A1320B6}"/>
    <hyperlink ref="A16" location="'2026.02'!A1" display="'2026.02'!A1" xr:uid="{33A767D4-D7BD-4D67-9CFB-C3FD391DE32F}"/>
    <hyperlink ref="A20" location="'2026.06'!A1" display="'2026.06'!A1" xr:uid="{04DE3CE2-9536-4270-9495-21BCC8C2D328}"/>
    <hyperlink ref="A21" location="'2026.07'!A1" display="'2026.07'!A1" xr:uid="{E7D16AB3-8DCB-4D69-87D5-0D0F46FE8B5B}"/>
    <hyperlink ref="A22" location="'2026.08'!A1" display="'2026.08'!A1" xr:uid="{77B38F2A-B65A-48E3-96D2-6F72B410FB4C}"/>
    <hyperlink ref="A23" location="'2026.09'!A1" display="'2026.09'!A1" xr:uid="{F045DD24-9256-4DB7-9436-170A2B31D589}"/>
  </hyperlinks>
  <pageMargins left="0.7" right="0.7" top="0.75" bottom="0.75" header="0.3" footer="0.3"/>
  <pageSetup orientation="portrait" r:id="rId1"/>
  <ignoredErrors>
    <ignoredError sqref="E5:E23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4" sqref="G24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24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36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'2025.03'!B139</f>
        <v>9.9499999999999993</v>
      </c>
      <c r="C5" s="5">
        <f>'2025.03'!C139</f>
        <v>9.93</v>
      </c>
      <c r="D5" s="5">
        <f>C5</f>
        <v>9.93</v>
      </c>
      <c r="E5" s="8">
        <f>'2025.03'!F139</f>
        <v>0.22402707275803721</v>
      </c>
      <c r="F5" s="8">
        <f>E5</f>
        <v>0.22402707275803721</v>
      </c>
      <c r="G5" s="7">
        <v>40.715000000000003</v>
      </c>
      <c r="H5" s="5">
        <f t="shared" ref="H5:H10" si="0">F5*G5</f>
        <v>9.1212622673434858</v>
      </c>
      <c r="I5" s="5">
        <f t="shared" ref="I5:I12" si="1">H5-D5</f>
        <v>-0.80873773265651394</v>
      </c>
      <c r="J5" s="37">
        <f>(H5-D5)/D5</f>
        <v>-8.1443880428651957E-2</v>
      </c>
      <c r="K5" s="5">
        <f>'2025.03'!D139</f>
        <v>1.9999999999999574E-2</v>
      </c>
      <c r="L5" s="5">
        <f>'2025.03'!I139</f>
        <v>0</v>
      </c>
      <c r="M5" s="5">
        <f>'2025.03'!O139</f>
        <v>0</v>
      </c>
      <c r="O5" s="3" t="s">
        <v>2</v>
      </c>
      <c r="P5" s="5">
        <f>SUM(B5:B500)</f>
        <v>369.29</v>
      </c>
      <c r="Q5" s="8">
        <f>SUM(E5:E500)</f>
        <v>6.3142100833852561</v>
      </c>
      <c r="R5" s="5"/>
      <c r="S5" s="5">
        <f>R5-P5+X5</f>
        <v>-369.29</v>
      </c>
      <c r="T5" s="37">
        <f>(R5-P5+X5)/P5</f>
        <v>-1</v>
      </c>
      <c r="U5" s="37">
        <f ca="1">XIRR(AG5:AG200,AF5:AF200)</f>
        <v>0.24173768162727358</v>
      </c>
      <c r="V5" s="5">
        <f>SUM(K5:K500)</f>
        <v>0.86999999999999966</v>
      </c>
      <c r="W5" s="5">
        <f>SUM(L5:L500)</f>
        <v>0</v>
      </c>
      <c r="X5" s="5">
        <f>SUM(M5:M500)</f>
        <v>0</v>
      </c>
      <c r="Y5" s="5" cm="1">
        <f t="array" ref="Y5">SUMPRODUCT(IFERROR(AD5:AD200,0),IFERROR(AE5:AE200,0))/SUM(IFERROR(AE5:AE200,0))</f>
        <v>58.376164103391872</v>
      </c>
      <c r="AC5" s="5">
        <f>'2025.03'!$C$139</f>
        <v>9.93</v>
      </c>
      <c r="AD5" s="5">
        <f>'2025.03'!$E$139</f>
        <v>44.325000000000003</v>
      </c>
      <c r="AE5" s="8">
        <f>'2025.03'!$F$139</f>
        <v>0.22402707275803721</v>
      </c>
      <c r="AF5" s="31">
        <f>'2025.03'!$A$135</f>
        <v>45722</v>
      </c>
      <c r="AG5" s="5">
        <f>'2025.03'!$B$135*-1</f>
        <v>-9.9499999999999993</v>
      </c>
    </row>
    <row r="6" spans="1:33" x14ac:dyDescent="0.25">
      <c r="A6" s="50">
        <f>'2025.04'!Q2</f>
        <v>2025.04</v>
      </c>
      <c r="B6" s="5">
        <f>'2025.04'!B139</f>
        <v>0</v>
      </c>
      <c r="C6" s="5">
        <f>'2025.04'!C139</f>
        <v>0</v>
      </c>
      <c r="D6" s="5">
        <f t="shared" ref="D6:D12" si="2">D5+C6</f>
        <v>9.93</v>
      </c>
      <c r="E6" s="8">
        <f>'2025.04'!F139</f>
        <v>0</v>
      </c>
      <c r="F6" s="8">
        <f t="shared" ref="F6:F11" si="3">F5+E6</f>
        <v>0.22402707275803721</v>
      </c>
      <c r="G6" s="7">
        <v>39.39</v>
      </c>
      <c r="H6" s="5">
        <f t="shared" si="0"/>
        <v>8.824426395939085</v>
      </c>
      <c r="I6" s="5">
        <f t="shared" si="1"/>
        <v>-1.1055736040609148</v>
      </c>
      <c r="J6" s="37">
        <f t="shared" ref="J6:J13" si="4">(H6-D6)/D6</f>
        <v>-0.11133671742808809</v>
      </c>
      <c r="K6" s="5">
        <f>'2025.04'!D139</f>
        <v>0</v>
      </c>
      <c r="L6" s="5">
        <f>'2025.04'!I139</f>
        <v>0</v>
      </c>
      <c r="M6" s="5">
        <f>'2025.04'!O139</f>
        <v>0</v>
      </c>
      <c r="AC6" s="5">
        <f>'2025.04'!$C$139</f>
        <v>0</v>
      </c>
      <c r="AD6" s="5" t="str">
        <f>'2025.04'!$E$139</f>
        <v>0.00</v>
      </c>
      <c r="AE6" s="8">
        <f>'2025.04'!$F$139</f>
        <v>0</v>
      </c>
      <c r="AF6" s="31">
        <f>'2025.11'!$A$135</f>
        <v>45989</v>
      </c>
      <c r="AG6" s="5">
        <f>'2025.11'!$B$135*-1</f>
        <v>-9.92</v>
      </c>
    </row>
    <row r="7" spans="1:33" x14ac:dyDescent="0.25">
      <c r="A7" s="50">
        <f>'2025.05'!Q2</f>
        <v>2025.05</v>
      </c>
      <c r="B7" s="5">
        <f>'2025.05'!B139</f>
        <v>0</v>
      </c>
      <c r="C7" s="5">
        <f>'2025.05'!C139</f>
        <v>0</v>
      </c>
      <c r="D7" s="5">
        <f t="shared" si="2"/>
        <v>9.93</v>
      </c>
      <c r="E7" s="8">
        <f>'2025.05'!F139</f>
        <v>0</v>
      </c>
      <c r="F7" s="8">
        <f t="shared" si="3"/>
        <v>0.22402707275803721</v>
      </c>
      <c r="G7" s="7">
        <v>43.335000000000001</v>
      </c>
      <c r="H7" s="5">
        <f t="shared" si="0"/>
        <v>9.7082131979695419</v>
      </c>
      <c r="I7" s="5">
        <f t="shared" si="1"/>
        <v>-0.22178680203045786</v>
      </c>
      <c r="J7" s="37">
        <f t="shared" si="4"/>
        <v>-2.2335025380710763E-2</v>
      </c>
      <c r="K7" s="5">
        <f>'2025.05'!D139</f>
        <v>0</v>
      </c>
      <c r="L7" s="5">
        <f>'2025.05'!I139</f>
        <v>0</v>
      </c>
      <c r="M7" s="5">
        <f>'2025.05'!O139</f>
        <v>0</v>
      </c>
      <c r="AC7" s="5">
        <f>'2025.05'!$C$139</f>
        <v>0</v>
      </c>
      <c r="AD7" s="5" t="str">
        <f>'2025.05'!$E$139</f>
        <v>0.00</v>
      </c>
      <c r="AE7" s="8">
        <f>'2025.05'!$F$139</f>
        <v>0</v>
      </c>
      <c r="AF7" s="31">
        <f>'2026.03'!$A$135</f>
        <v>46100</v>
      </c>
      <c r="AG7" s="5">
        <f>'2026.03'!$B$135*-1</f>
        <v>-9.98</v>
      </c>
    </row>
    <row r="8" spans="1:33" x14ac:dyDescent="0.25">
      <c r="A8" s="50">
        <f>'2025.06'!Q2</f>
        <v>2025.06</v>
      </c>
      <c r="B8" s="5">
        <f>'2025.06'!B139</f>
        <v>0</v>
      </c>
      <c r="C8" s="5">
        <f>'2025.06'!C139</f>
        <v>0</v>
      </c>
      <c r="D8" s="5">
        <f t="shared" si="2"/>
        <v>9.93</v>
      </c>
      <c r="E8" s="8">
        <f>'2025.06'!F139</f>
        <v>0</v>
      </c>
      <c r="F8" s="8">
        <f t="shared" si="3"/>
        <v>0.22402707275803721</v>
      </c>
      <c r="G8" s="7">
        <v>44.5</v>
      </c>
      <c r="H8" s="5">
        <f t="shared" si="0"/>
        <v>9.9692047377326567</v>
      </c>
      <c r="I8" s="5">
        <f t="shared" si="1"/>
        <v>3.920473773265698E-2</v>
      </c>
      <c r="J8" s="37">
        <f t="shared" si="4"/>
        <v>3.9481105470953659E-3</v>
      </c>
      <c r="K8" s="5">
        <f>'2025.06'!D139</f>
        <v>0</v>
      </c>
      <c r="L8" s="5">
        <f>'2025.06'!I139</f>
        <v>0</v>
      </c>
      <c r="M8" s="5">
        <f>'2025.06'!O139</f>
        <v>0</v>
      </c>
      <c r="AC8" s="5">
        <f>'2025.06'!$C$139</f>
        <v>0</v>
      </c>
      <c r="AD8" s="5" t="str">
        <f>'2025.06'!$E$139</f>
        <v>0.00</v>
      </c>
      <c r="AE8" s="8">
        <f>'2025.06'!$F$139</f>
        <v>0</v>
      </c>
      <c r="AF8" s="31">
        <f>'2026.04'!$A$135</f>
        <v>46133</v>
      </c>
      <c r="AG8" s="5">
        <f>'2026.04'!$B$135*-1</f>
        <v>-9.99</v>
      </c>
    </row>
    <row r="9" spans="1:33" x14ac:dyDescent="0.25">
      <c r="A9" s="50">
        <f>'2025.07'!Q2</f>
        <v>2025.07</v>
      </c>
      <c r="B9" s="5">
        <f>'2025.07'!B139</f>
        <v>0</v>
      </c>
      <c r="C9" s="5">
        <f>'2025.07'!C139</f>
        <v>0</v>
      </c>
      <c r="D9" s="5">
        <f t="shared" si="2"/>
        <v>9.93</v>
      </c>
      <c r="E9" s="8">
        <f>'2025.07'!F139</f>
        <v>0</v>
      </c>
      <c r="F9" s="8">
        <f t="shared" si="3"/>
        <v>0.22402707275803721</v>
      </c>
      <c r="G9" s="7">
        <v>47.344999999999999</v>
      </c>
      <c r="H9" s="5">
        <f t="shared" si="0"/>
        <v>10.606561759729271</v>
      </c>
      <c r="I9" s="5">
        <f t="shared" si="1"/>
        <v>0.67656175972927102</v>
      </c>
      <c r="J9" s="37">
        <f t="shared" si="4"/>
        <v>6.8133107727016223E-2</v>
      </c>
      <c r="K9" s="5">
        <f>'2025.07'!D139</f>
        <v>0</v>
      </c>
      <c r="L9" s="5">
        <f>'2025.07'!I139</f>
        <v>0</v>
      </c>
      <c r="M9" s="5">
        <f>'2025.07'!O139</f>
        <v>0</v>
      </c>
      <c r="AC9" s="5">
        <f>'2025.07'!$C$139</f>
        <v>0</v>
      </c>
      <c r="AD9" s="5" t="str">
        <f>'2025.07'!$E$139</f>
        <v>0.00</v>
      </c>
      <c r="AE9" s="8">
        <f>'2025.07'!$F$139</f>
        <v>0</v>
      </c>
      <c r="AF9" s="31">
        <f>'2026.05'!$A$135</f>
        <v>46162</v>
      </c>
      <c r="AG9" s="5">
        <f>'2026.05'!$B$135*-1</f>
        <v>-9.94</v>
      </c>
    </row>
    <row r="10" spans="1:33" x14ac:dyDescent="0.25">
      <c r="A10" s="50">
        <f>'2025.08'!Q2</f>
        <v>2025.08</v>
      </c>
      <c r="B10" s="5">
        <f>'2025.08'!B139</f>
        <v>0</v>
      </c>
      <c r="C10" s="5">
        <f>'2025.08'!C139</f>
        <v>0</v>
      </c>
      <c r="D10" s="5">
        <f t="shared" si="2"/>
        <v>9.93</v>
      </c>
      <c r="E10" s="8">
        <f>'2025.08'!F139</f>
        <v>0</v>
      </c>
      <c r="F10" s="8">
        <f t="shared" si="3"/>
        <v>0.22402707275803721</v>
      </c>
      <c r="G10" s="7">
        <v>46.26</v>
      </c>
      <c r="H10" s="5">
        <f t="shared" si="0"/>
        <v>10.363492385786801</v>
      </c>
      <c r="I10" s="5">
        <f t="shared" si="1"/>
        <v>0.43349238578680094</v>
      </c>
      <c r="J10" s="37">
        <f t="shared" si="4"/>
        <v>4.3654822335025274E-2</v>
      </c>
      <c r="K10" s="5">
        <f>'2025.08'!D139</f>
        <v>0</v>
      </c>
      <c r="L10" s="5">
        <f>'2025.08'!I139</f>
        <v>0</v>
      </c>
      <c r="M10" s="5">
        <f>'2025.08'!O139</f>
        <v>0</v>
      </c>
      <c r="AC10" s="5">
        <f>'2025.08'!$C$139</f>
        <v>0</v>
      </c>
      <c r="AD10" s="5" t="str">
        <f>'2025.08'!$E$139</f>
        <v>0.00</v>
      </c>
      <c r="AE10" s="8">
        <f>'2025.08'!$F$139</f>
        <v>0</v>
      </c>
      <c r="AF10" s="31">
        <f>'2026.06'!$A$135</f>
        <v>46198</v>
      </c>
      <c r="AG10" s="5">
        <f>'2026.06'!$B$135*-1</f>
        <v>-99.64</v>
      </c>
    </row>
    <row r="11" spans="1:33" x14ac:dyDescent="0.25">
      <c r="A11" s="50">
        <f>'2025.09'!Q2</f>
        <v>2025.09</v>
      </c>
      <c r="B11" s="5">
        <f>'2025.09'!B139</f>
        <v>0</v>
      </c>
      <c r="C11" s="5">
        <f>'2025.09'!C139</f>
        <v>0</v>
      </c>
      <c r="D11" s="5">
        <f t="shared" si="2"/>
        <v>9.93</v>
      </c>
      <c r="E11" s="8">
        <f>'2025.09'!F139</f>
        <v>0</v>
      </c>
      <c r="F11" s="8">
        <f t="shared" si="3"/>
        <v>0.22402707275803721</v>
      </c>
      <c r="G11" s="7">
        <v>48.44</v>
      </c>
      <c r="H11" s="5">
        <f t="shared" ref="H11" si="5">F11*G11</f>
        <v>10.851871404399322</v>
      </c>
      <c r="I11" s="5">
        <f t="shared" si="1"/>
        <v>0.92187140439932236</v>
      </c>
      <c r="J11" s="37">
        <f t="shared" si="4"/>
        <v>9.2836999435984127E-2</v>
      </c>
      <c r="K11" s="5">
        <f>'2025.09'!D139</f>
        <v>0</v>
      </c>
      <c r="L11" s="5">
        <f>'2025.09'!I139</f>
        <v>0</v>
      </c>
      <c r="M11" s="5">
        <f>'2025.09'!O139</f>
        <v>0</v>
      </c>
      <c r="AC11" s="5">
        <f>'2025.09'!$C$139</f>
        <v>0</v>
      </c>
      <c r="AD11" s="5" t="str">
        <f>'2025.09'!$E$139</f>
        <v>0.00</v>
      </c>
      <c r="AE11" s="8">
        <f>'2025.09'!$F$139</f>
        <v>0</v>
      </c>
      <c r="AF11" s="31">
        <f>'2026.06'!$A$136</f>
        <v>46203</v>
      </c>
      <c r="AG11" s="5">
        <f>'2026.06'!$B$136*-1</f>
        <v>-99.95</v>
      </c>
    </row>
    <row r="12" spans="1:33" x14ac:dyDescent="0.25">
      <c r="A12" s="50">
        <f>'2025.10'!Q2</f>
        <v>2025.1</v>
      </c>
      <c r="B12" s="5">
        <f>'2025.10'!B139</f>
        <v>0</v>
      </c>
      <c r="C12" s="5">
        <f>'2025.10'!C139</f>
        <v>0</v>
      </c>
      <c r="D12" s="5">
        <f t="shared" si="2"/>
        <v>9.93</v>
      </c>
      <c r="E12" s="8">
        <f>'2025.10'!F139</f>
        <v>0</v>
      </c>
      <c r="F12" s="8">
        <f t="shared" ref="F12" si="6">F11+E12</f>
        <v>0.22402707275803721</v>
      </c>
      <c r="G12" s="7">
        <v>51.83</v>
      </c>
      <c r="H12" s="5">
        <f t="shared" ref="H12" si="7">F12*G12</f>
        <v>11.611323181049068</v>
      </c>
      <c r="I12" s="5">
        <f t="shared" si="1"/>
        <v>1.6813231810490681</v>
      </c>
      <c r="J12" s="37">
        <f t="shared" si="4"/>
        <v>0.16931754089114481</v>
      </c>
      <c r="K12" s="5">
        <f>'2025.10'!D139</f>
        <v>0</v>
      </c>
      <c r="L12" s="5">
        <f>'2025.10'!I139</f>
        <v>0</v>
      </c>
      <c r="M12" s="5">
        <f>'2025.10'!O139</f>
        <v>0</v>
      </c>
      <c r="AC12" s="5">
        <f>'2025.10'!$C$139</f>
        <v>0</v>
      </c>
      <c r="AD12" s="5" t="str">
        <f>'2025.10'!$E$139</f>
        <v>0.00</v>
      </c>
      <c r="AE12" s="8">
        <f>'2025.10'!$F$139</f>
        <v>0</v>
      </c>
      <c r="AF12" s="31">
        <f>'2026.07'!$A$135</f>
        <v>46224</v>
      </c>
      <c r="AG12" s="5">
        <f>'2026.07'!$B$135*-1</f>
        <v>-99.99</v>
      </c>
    </row>
    <row r="13" spans="1:33" x14ac:dyDescent="0.25">
      <c r="A13" s="50">
        <f>'2025.11'!Q2</f>
        <v>2025.11</v>
      </c>
      <c r="B13" s="5">
        <f>'2025.11'!B139</f>
        <v>9.92</v>
      </c>
      <c r="C13" s="5">
        <f>'2025.11'!C139</f>
        <v>9.9</v>
      </c>
      <c r="D13" s="5">
        <f t="shared" ref="D13" si="8">D12+C13</f>
        <v>19.829999999999998</v>
      </c>
      <c r="E13" s="8">
        <f>'2025.11'!F139</f>
        <v>0.19897497738920711</v>
      </c>
      <c r="F13" s="8">
        <f t="shared" ref="F13" si="9">F12+E13</f>
        <v>0.42300205014724435</v>
      </c>
      <c r="G13" s="7">
        <v>50.6</v>
      </c>
      <c r="H13" s="5">
        <f t="shared" ref="H13" si="10">F13*G13</f>
        <v>21.403903737450566</v>
      </c>
      <c r="I13" s="5">
        <f t="shared" ref="I13" si="11">H13-D13</f>
        <v>1.5739037374505678</v>
      </c>
      <c r="J13" s="37">
        <f t="shared" si="4"/>
        <v>7.9369830431193542E-2</v>
      </c>
      <c r="K13" s="5">
        <f>'2025.11'!D139</f>
        <v>0.02</v>
      </c>
      <c r="L13" s="5">
        <f>'2025.11'!I139</f>
        <v>0</v>
      </c>
      <c r="M13" s="5">
        <f>'2025.11'!O139</f>
        <v>0</v>
      </c>
      <c r="AC13" s="5">
        <f>'2025.11'!$C$139</f>
        <v>9.9</v>
      </c>
      <c r="AD13" s="5">
        <f>'2025.11'!$E$139</f>
        <v>49.755000000000003</v>
      </c>
      <c r="AE13" s="8">
        <f>'2025.11'!$F$139</f>
        <v>0.19897497738920711</v>
      </c>
      <c r="AF13" s="31">
        <f>'2026.08'!$A$135</f>
        <v>46251</v>
      </c>
      <c r="AG13" s="5">
        <f>'2026.08'!$B$135*-1</f>
        <v>-9.9499999999999993</v>
      </c>
    </row>
    <row r="14" spans="1:33" x14ac:dyDescent="0.25">
      <c r="A14" s="50" t="str">
        <f>'2025.12'!Q2</f>
        <v>2025.12</v>
      </c>
      <c r="B14" s="5">
        <f>'2025.12'!B139</f>
        <v>0</v>
      </c>
      <c r="C14" s="5">
        <f>'2025.12'!C139</f>
        <v>0</v>
      </c>
      <c r="D14" s="5">
        <f t="shared" ref="D14" si="12">D13+C14</f>
        <v>19.829999999999998</v>
      </c>
      <c r="E14" s="8">
        <f>'2025.12'!F139</f>
        <v>0</v>
      </c>
      <c r="F14" s="8">
        <f t="shared" ref="F14" si="13">F13+E14</f>
        <v>0.42300205014724435</v>
      </c>
      <c r="G14" s="7">
        <v>50.26</v>
      </c>
      <c r="H14" s="5">
        <f t="shared" ref="H14" si="14">F14*G14</f>
        <v>21.260083040400499</v>
      </c>
      <c r="I14" s="5">
        <f t="shared" ref="I14" si="15">H14-D14</f>
        <v>1.4300830404005005</v>
      </c>
      <c r="J14" s="37">
        <f t="shared" ref="J14" si="16">(H14-D14)/D14</f>
        <v>7.2117147776122062E-2</v>
      </c>
      <c r="K14" s="5">
        <f>'2025.12'!D139</f>
        <v>0</v>
      </c>
      <c r="L14" s="5">
        <f>'2025.12'!I139</f>
        <v>0</v>
      </c>
      <c r="M14" s="5">
        <f>'2025.12'!O139</f>
        <v>0</v>
      </c>
      <c r="AC14" s="5">
        <f>'2025.12'!$C$139</f>
        <v>0</v>
      </c>
      <c r="AD14" s="5" t="str">
        <f>'2025.12'!$E$139</f>
        <v>0.00</v>
      </c>
      <c r="AE14" s="8">
        <f>'2025.12'!$F$139</f>
        <v>0</v>
      </c>
      <c r="AF14" s="31">
        <f>'2026.09'!$A$135</f>
        <v>46275</v>
      </c>
      <c r="AG14" s="5">
        <f>'2026.09'!$B$135*-1</f>
        <v>-9.98</v>
      </c>
    </row>
    <row r="15" spans="1:33" x14ac:dyDescent="0.25">
      <c r="A15" s="50">
        <f>'2026.01'!$Q$2</f>
        <v>2026.01</v>
      </c>
      <c r="B15" s="5">
        <f>'2026.01'!$B$139</f>
        <v>0</v>
      </c>
      <c r="C15" s="5">
        <f>'2026.01'!$C$139</f>
        <v>0</v>
      </c>
      <c r="D15" s="5">
        <f t="shared" ref="D15" si="17">D14+C15</f>
        <v>19.829999999999998</v>
      </c>
      <c r="E15" s="8">
        <f>'2026.01'!$F$139</f>
        <v>0</v>
      </c>
      <c r="F15" s="8">
        <f t="shared" ref="F15" si="18">F14+E15</f>
        <v>0.42300205014724435</v>
      </c>
      <c r="G15" s="7">
        <v>50.11</v>
      </c>
      <c r="H15" s="5">
        <f t="shared" ref="H15" si="19">F15*G15</f>
        <v>21.196632732878413</v>
      </c>
      <c r="I15" s="5">
        <f t="shared" ref="I15" si="20">H15-D15</f>
        <v>1.3666327328784149</v>
      </c>
      <c r="J15" s="37">
        <f t="shared" ref="J15" si="21">(H15-D15)/D15</f>
        <v>6.891743484006127E-2</v>
      </c>
      <c r="K15" s="5">
        <f>'2026.01'!$D$139</f>
        <v>0</v>
      </c>
      <c r="L15" s="5">
        <f>'2026.01'!$I$139</f>
        <v>0</v>
      </c>
      <c r="M15" s="5">
        <f>'2026.01'!$O$139</f>
        <v>0</v>
      </c>
      <c r="AC15" s="5">
        <f>'2026.01'!$C$139</f>
        <v>0</v>
      </c>
      <c r="AD15" s="5" t="str">
        <f>'2026.01'!$E$139</f>
        <v>0.00</v>
      </c>
      <c r="AE15" s="8">
        <f>'2026.01'!$F$139</f>
        <v>0</v>
      </c>
      <c r="AF15" s="31"/>
      <c r="AG15" s="5"/>
    </row>
    <row r="16" spans="1:33" x14ac:dyDescent="0.25">
      <c r="A16" s="50">
        <f>'2026.02'!$Q$2</f>
        <v>2026.02</v>
      </c>
      <c r="B16" s="5">
        <f>'2026.02'!$B$139</f>
        <v>0</v>
      </c>
      <c r="C16" s="5">
        <f>'2026.02'!$C$139</f>
        <v>0</v>
      </c>
      <c r="D16" s="5">
        <f t="shared" ref="D16" si="22">D15+C16</f>
        <v>19.829999999999998</v>
      </c>
      <c r="E16" s="8">
        <f>'2026.02'!$F$139</f>
        <v>0</v>
      </c>
      <c r="F16" s="8">
        <f t="shared" ref="F16" si="23">F15+E16</f>
        <v>0.42300205014724435</v>
      </c>
      <c r="G16" s="7">
        <v>49.11</v>
      </c>
      <c r="H16" s="5">
        <f t="shared" ref="H16" si="24">F16*G16</f>
        <v>20.77363068273117</v>
      </c>
      <c r="I16" s="5">
        <f t="shared" ref="I16" si="25">H16-D16</f>
        <v>0.94363068273117179</v>
      </c>
      <c r="J16" s="37">
        <f t="shared" ref="J16" si="26">(H16-D16)/D16</f>
        <v>4.7586015266322335E-2</v>
      </c>
      <c r="K16" s="5">
        <f>'2026.02'!$D$139</f>
        <v>0</v>
      </c>
      <c r="L16" s="5">
        <f>'2026.02'!$I$139</f>
        <v>0</v>
      </c>
      <c r="M16" s="5">
        <f>'2026.02'!$O$139</f>
        <v>0</v>
      </c>
      <c r="AC16" s="5">
        <f>'2026.02'!$C$139</f>
        <v>0</v>
      </c>
      <c r="AD16" s="5" t="str">
        <f>'2026.02'!$E$139</f>
        <v>0.00</v>
      </c>
      <c r="AE16" s="8">
        <f>'2026.02'!$F$139</f>
        <v>0</v>
      </c>
      <c r="AF16" s="31"/>
      <c r="AG16" s="5"/>
    </row>
    <row r="17" spans="1:33" x14ac:dyDescent="0.25">
      <c r="A17" s="50">
        <f>'2026.03'!$Q$2</f>
        <v>2026.03</v>
      </c>
      <c r="B17" s="5">
        <f>'2026.03'!$B$139</f>
        <v>9.98</v>
      </c>
      <c r="C17" s="5">
        <f>'2026.03'!$C$139</f>
        <v>9.9600000000000009</v>
      </c>
      <c r="D17" s="5">
        <f t="shared" ref="D17" si="27">D16+C17</f>
        <v>29.79</v>
      </c>
      <c r="E17" s="8">
        <f>'2026.03'!$F$139</f>
        <v>0.20102936724190132</v>
      </c>
      <c r="F17" s="8">
        <f t="shared" ref="F17" si="28">F16+E17</f>
        <v>0.62403141738914569</v>
      </c>
      <c r="G17" s="7">
        <v>46.94</v>
      </c>
      <c r="H17" s="5">
        <f t="shared" ref="H17" si="29">F17*G17</f>
        <v>29.292034732246499</v>
      </c>
      <c r="I17" s="5">
        <f t="shared" ref="I17" si="30">H17-D17</f>
        <v>-0.49796526775350003</v>
      </c>
      <c r="J17" s="37">
        <f t="shared" ref="J17" si="31">(H17-D17)/D17</f>
        <v>-1.6715853231067473E-2</v>
      </c>
      <c r="K17" s="5">
        <f>'2026.03'!$D$139</f>
        <v>0.02</v>
      </c>
      <c r="L17" s="5">
        <f>'2026.03'!$I$139</f>
        <v>0</v>
      </c>
      <c r="M17" s="5">
        <f>'2026.03'!$O$139</f>
        <v>0</v>
      </c>
      <c r="AC17" s="5">
        <f>'2026.03'!$C$139</f>
        <v>9.9600000000000009</v>
      </c>
      <c r="AD17" s="5">
        <f>'2026.03'!$E$139</f>
        <v>49.545000000000002</v>
      </c>
      <c r="AE17" s="8">
        <f>'2026.03'!$F$139</f>
        <v>0.20102936724190132</v>
      </c>
      <c r="AF17" s="31"/>
      <c r="AG17" s="5"/>
    </row>
    <row r="18" spans="1:33" x14ac:dyDescent="0.25">
      <c r="A18" s="50">
        <f>'2026.04'!$Q$2</f>
        <v>2026.04</v>
      </c>
      <c r="B18" s="5">
        <f>'2026.04'!$B$139</f>
        <v>9.99</v>
      </c>
      <c r="C18" s="5">
        <f>'2026.04'!$C$139</f>
        <v>9.99</v>
      </c>
      <c r="D18" s="5">
        <f t="shared" ref="D18" si="32">D17+C18</f>
        <v>39.78</v>
      </c>
      <c r="E18" s="8">
        <f>'2026.04'!$F$139</f>
        <v>0.19006849315068491</v>
      </c>
      <c r="F18" s="8">
        <f t="shared" ref="F18" si="33">F17+E18</f>
        <v>0.81409991053983055</v>
      </c>
      <c r="G18" s="7">
        <v>53.8</v>
      </c>
      <c r="H18" s="5">
        <f t="shared" ref="H18" si="34">F18*G18</f>
        <v>43.798575187042879</v>
      </c>
      <c r="I18" s="5">
        <f t="shared" ref="I18" si="35">H18-D18</f>
        <v>4.0185751870428774</v>
      </c>
      <c r="J18" s="37">
        <f t="shared" ref="J18" si="36">(H18-D18)/D18</f>
        <v>0.10101998961897631</v>
      </c>
      <c r="K18" s="5">
        <f>'2026.04'!$D$139</f>
        <v>0</v>
      </c>
      <c r="L18" s="5">
        <f>'2026.04'!$I$139</f>
        <v>0</v>
      </c>
      <c r="M18" s="5">
        <f>'2026.04'!$O$139</f>
        <v>0</v>
      </c>
      <c r="AC18" s="5">
        <f>'2026.04'!$C$139</f>
        <v>9.99</v>
      </c>
      <c r="AD18" s="5">
        <f>'2026.04'!$E$139</f>
        <v>52.560000000000009</v>
      </c>
      <c r="AE18" s="8">
        <f>'2026.04'!$F$139</f>
        <v>0.19006849315068491</v>
      </c>
      <c r="AF18" s="31"/>
      <c r="AG18" s="5"/>
    </row>
    <row r="19" spans="1:33" x14ac:dyDescent="0.25">
      <c r="A19" s="50">
        <f>'2026.05'!$Q$2</f>
        <v>2026.05</v>
      </c>
      <c r="B19" s="5">
        <f>'2026.05'!$B$139</f>
        <v>9.94</v>
      </c>
      <c r="C19" s="5">
        <f>'2026.05'!$C$139</f>
        <v>9.92</v>
      </c>
      <c r="D19" s="5">
        <f t="shared" ref="D19" si="37">D18+C19</f>
        <v>49.7</v>
      </c>
      <c r="E19" s="8">
        <f>'2026.05'!$F$139</f>
        <v>0.17201317842899252</v>
      </c>
      <c r="F19" s="8">
        <f t="shared" ref="F19" si="38">F18+E19</f>
        <v>0.9861130889688231</v>
      </c>
      <c r="G19" s="7">
        <v>60.22</v>
      </c>
      <c r="H19" s="5">
        <f t="shared" ref="H19" si="39">F19*G19</f>
        <v>59.383730217702528</v>
      </c>
      <c r="I19" s="5">
        <f t="shared" ref="I19" si="40">H19-D19</f>
        <v>9.6837302177025251</v>
      </c>
      <c r="J19" s="37">
        <f t="shared" ref="J19" si="41">(H19-D19)/D19</f>
        <v>0.19484366635216346</v>
      </c>
      <c r="K19" s="5">
        <f>'2026.05'!$D$139</f>
        <v>0.02</v>
      </c>
      <c r="L19" s="5">
        <f>'2026.05'!$I$139</f>
        <v>0</v>
      </c>
      <c r="M19" s="5">
        <f>'2026.05'!$O$139</f>
        <v>0</v>
      </c>
      <c r="AC19" s="5">
        <f>'2026.05'!$C$139</f>
        <v>9.92</v>
      </c>
      <c r="AD19" s="5">
        <f>'2026.05'!$E$139</f>
        <v>57.670000000000009</v>
      </c>
      <c r="AE19" s="8">
        <f>'2026.05'!$F$139</f>
        <v>0.17201317842899252</v>
      </c>
      <c r="AF19" s="31"/>
      <c r="AG19" s="5"/>
    </row>
    <row r="20" spans="1:33" x14ac:dyDescent="0.25">
      <c r="A20" s="50">
        <f>'2026.06'!$Q$2</f>
        <v>2026.06</v>
      </c>
      <c r="B20" s="5">
        <f>'2026.06'!$B$139</f>
        <v>199.59</v>
      </c>
      <c r="C20" s="5">
        <f>'2026.06'!$C$139</f>
        <v>199.09</v>
      </c>
      <c r="D20" s="5">
        <f t="shared" ref="D20" si="42">D19+C20</f>
        <v>248.79000000000002</v>
      </c>
      <c r="E20" s="8">
        <f>'2026.06'!$F$139</f>
        <v>3.299071584055445</v>
      </c>
      <c r="F20" s="8">
        <f t="shared" ref="F20" si="43">F19+E20</f>
        <v>4.2851846730242684</v>
      </c>
      <c r="G20" s="7">
        <v>61.19</v>
      </c>
      <c r="H20" s="5">
        <f t="shared" ref="H20" si="44">F20*G20</f>
        <v>262.210450142355</v>
      </c>
      <c r="I20" s="5">
        <f t="shared" ref="I20" si="45">H20-D20</f>
        <v>13.42045014235498</v>
      </c>
      <c r="J20" s="37">
        <f t="shared" ref="J20" si="46">(H20-D20)/D20</f>
        <v>5.3942884128602354E-2</v>
      </c>
      <c r="K20" s="5">
        <f>'2026.06'!$D$139</f>
        <v>0.5</v>
      </c>
      <c r="L20" s="5">
        <f>'2026.06'!$I$139</f>
        <v>0</v>
      </c>
      <c r="M20" s="5">
        <f>'2026.06'!$O$139</f>
        <v>0</v>
      </c>
      <c r="AC20" s="5">
        <f>'2026.06'!$C$139</f>
        <v>199.09</v>
      </c>
      <c r="AD20" s="5">
        <f>'2026.06'!$E$139</f>
        <v>60.347281023609959</v>
      </c>
      <c r="AE20" s="8">
        <f>'2026.06'!$F$139</f>
        <v>3.299071584055445</v>
      </c>
      <c r="AF20" s="31"/>
      <c r="AG20" s="5"/>
    </row>
    <row r="21" spans="1:33" x14ac:dyDescent="0.25">
      <c r="A21" s="50">
        <f>'2026.07'!$Q$2</f>
        <v>2026.07</v>
      </c>
      <c r="B21" s="5">
        <f>'2026.07'!$B$139</f>
        <v>99.99</v>
      </c>
      <c r="C21" s="5">
        <f>'2026.07'!$C$139</f>
        <v>99.74</v>
      </c>
      <c r="D21" s="5">
        <f t="shared" ref="D21" si="47">D20+C21</f>
        <v>348.53000000000003</v>
      </c>
      <c r="E21" s="8">
        <f>'2026.07'!$F$139</f>
        <v>1.6929704553401386</v>
      </c>
      <c r="F21" s="8">
        <f t="shared" ref="F21" si="48">F20+E21</f>
        <v>5.9781551283644072</v>
      </c>
      <c r="G21" s="7">
        <v>56.26</v>
      </c>
      <c r="H21" s="5">
        <f t="shared" ref="H21" si="49">F21*G21</f>
        <v>336.33100752178154</v>
      </c>
      <c r="I21" s="5">
        <f t="shared" ref="I21" si="50">H21-D21</f>
        <v>-12.198992478218486</v>
      </c>
      <c r="J21" s="37">
        <f t="shared" ref="J21" si="51">(H21-D21)/D21</f>
        <v>-3.5001269555614965E-2</v>
      </c>
      <c r="K21" s="5">
        <f>'2026.07'!$D$139</f>
        <v>0.25</v>
      </c>
      <c r="L21" s="5">
        <f>'2026.07'!$I$139</f>
        <v>0</v>
      </c>
      <c r="M21" s="5">
        <f>'2026.07'!$O$139</f>
        <v>0</v>
      </c>
      <c r="AC21" s="5">
        <f>'2026.07'!$C$139</f>
        <v>99.74</v>
      </c>
      <c r="AD21" s="5">
        <f>'2026.07'!$E$139</f>
        <v>58.914200000000001</v>
      </c>
      <c r="AE21" s="8">
        <f>'2026.07'!$F$139</f>
        <v>1.6929704553401386</v>
      </c>
      <c r="AF21" s="31"/>
      <c r="AG21" s="5"/>
    </row>
    <row r="22" spans="1:33" x14ac:dyDescent="0.25">
      <c r="A22" s="50">
        <f>'2026.08'!$Q$2</f>
        <v>2026.08</v>
      </c>
      <c r="B22" s="5">
        <f>'2026.08'!$B$139</f>
        <v>9.9499999999999993</v>
      </c>
      <c r="C22" s="5">
        <f>'2026.08'!$C$139</f>
        <v>9.93</v>
      </c>
      <c r="D22" s="5">
        <f t="shared" ref="D22" si="52">D21+C22</f>
        <v>358.46000000000004</v>
      </c>
      <c r="E22" s="8">
        <f>'2026.08'!$F$139</f>
        <v>0.16703111858704792</v>
      </c>
      <c r="F22" s="8">
        <f t="shared" ref="F22" si="53">F21+E22</f>
        <v>6.1451862469514555</v>
      </c>
      <c r="G22" s="7">
        <v>58.61</v>
      </c>
      <c r="H22" s="5">
        <f t="shared" ref="H22" si="54">F22*G22</f>
        <v>360.16936593382479</v>
      </c>
      <c r="I22" s="5">
        <f t="shared" ref="I22" si="55">H22-D22</f>
        <v>1.7093659338247562</v>
      </c>
      <c r="J22" s="37">
        <f t="shared" ref="J22" si="56">(H22-D22)/D22</f>
        <v>4.7686378782144621E-3</v>
      </c>
      <c r="K22" s="5">
        <f>'2026.08'!$D$139</f>
        <v>0.02</v>
      </c>
      <c r="L22" s="5">
        <f>'2026.08'!$I$139</f>
        <v>0</v>
      </c>
      <c r="M22" s="5">
        <f>'2026.08'!$O$139</f>
        <v>0</v>
      </c>
      <c r="AC22" s="5">
        <f>'2026.08'!$C$139</f>
        <v>9.93</v>
      </c>
      <c r="AD22" s="5">
        <f>'2026.08'!$E$139</f>
        <v>59.45000000000001</v>
      </c>
      <c r="AE22" s="8">
        <f>'2026.08'!$F$139</f>
        <v>0.16703111858704792</v>
      </c>
      <c r="AF22" s="31"/>
      <c r="AG22" s="5"/>
    </row>
    <row r="23" spans="1:33" x14ac:dyDescent="0.25">
      <c r="A23" s="50">
        <f>'2026.09'!$Q$2</f>
        <v>2026.09</v>
      </c>
      <c r="B23" s="5">
        <f>'2026.09'!$B$139</f>
        <v>9.98</v>
      </c>
      <c r="C23" s="5">
        <f>'2026.09'!$C$139</f>
        <v>9.9600000000000009</v>
      </c>
      <c r="D23" s="5">
        <f t="shared" ref="D23" si="57">D22+C23</f>
        <v>368.42</v>
      </c>
      <c r="E23" s="8">
        <f>'2026.09'!$F$139</f>
        <v>0.1690238364338007</v>
      </c>
      <c r="F23" s="8">
        <f t="shared" ref="F23" si="58">F22+E23</f>
        <v>6.3142100833852561</v>
      </c>
      <c r="G23" s="7">
        <v>62.52</v>
      </c>
      <c r="H23" s="5">
        <f t="shared" ref="H23" si="59">F23*G23</f>
        <v>394.76441441324624</v>
      </c>
      <c r="I23" s="5">
        <f t="shared" ref="I23" si="60">H23-D23</f>
        <v>26.344414413246227</v>
      </c>
      <c r="J23" s="37">
        <f t="shared" ref="J23" si="61">(H23-D23)/D23</f>
        <v>7.1506471997302604E-2</v>
      </c>
      <c r="K23" s="5">
        <f>'2026.09'!$D$139</f>
        <v>0.02</v>
      </c>
      <c r="L23" s="5">
        <f>'2026.09'!$I$139</f>
        <v>0</v>
      </c>
      <c r="M23" s="5">
        <f>'2026.09'!$O$139</f>
        <v>0</v>
      </c>
      <c r="AC23" s="5">
        <f>'2026.08'!$C$139</f>
        <v>9.93</v>
      </c>
      <c r="AD23" s="5">
        <f>'2026.08'!$E$139</f>
        <v>59.45000000000001</v>
      </c>
      <c r="AE23" s="8">
        <f>'2026.08'!$F$139</f>
        <v>0.16703111858704792</v>
      </c>
      <c r="AF23" s="31"/>
      <c r="AG23" s="5"/>
    </row>
    <row r="24" spans="1:33" x14ac:dyDescent="0.25">
      <c r="AC24" s="5">
        <f>'2026.09'!$C$139</f>
        <v>9.9600000000000009</v>
      </c>
      <c r="AD24" s="5">
        <f>'2026.09'!$E$139</f>
        <v>58.926600000000001</v>
      </c>
      <c r="AE24" s="8">
        <f>'2026.09'!$F$139</f>
        <v>0.1690238364338007</v>
      </c>
      <c r="AF24" s="31"/>
      <c r="AG24" s="5"/>
    </row>
    <row r="25" spans="1:33" x14ac:dyDescent="0.25">
      <c r="AF25" s="31"/>
      <c r="AG25" s="5"/>
    </row>
    <row r="26" spans="1:33" x14ac:dyDescent="0.25">
      <c r="AF26" s="31"/>
      <c r="AG26" s="5"/>
    </row>
    <row r="27" spans="1:33" x14ac:dyDescent="0.25">
      <c r="AF27" s="31"/>
      <c r="AG27" s="5"/>
    </row>
    <row r="28" spans="1:33" x14ac:dyDescent="0.25">
      <c r="AF28" s="31"/>
      <c r="AG28" s="5"/>
    </row>
    <row r="29" spans="1:33" x14ac:dyDescent="0.25">
      <c r="AF29" s="31"/>
      <c r="AG29" s="5"/>
    </row>
    <row r="30" spans="1:33" x14ac:dyDescent="0.25">
      <c r="AF30" s="31"/>
      <c r="AG30" s="5"/>
    </row>
    <row r="31" spans="1:33" x14ac:dyDescent="0.25">
      <c r="AF31" s="31"/>
      <c r="AG31" s="5"/>
    </row>
    <row r="32" spans="1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f ca="1">TODAY()</f>
        <v>46296</v>
      </c>
      <c r="AG65" s="5" cm="1">
        <f t="array" ref="AG65">LOOKUP(2,1/(H:H&gt;0),H:H)</f>
        <v>394.76441441324624</v>
      </c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</mergeCells>
  <hyperlinks>
    <hyperlink ref="A5" location="'2025.03'!A1" display="'2025.03'!A1" xr:uid="{F7A9E3BB-BA93-4F07-B853-A31CEA641E7C}"/>
    <hyperlink ref="A6" location="'2025.04'!A1" display="'2025.04'!A1" xr:uid="{7C9F27D7-88A0-44F1-A3F5-D9B647E73D3C}"/>
    <hyperlink ref="A7" location="'2025.05'!A1" display="'2025.05'!A1" xr:uid="{575D66AC-F956-40DF-BEBB-9853BD9CADCD}"/>
    <hyperlink ref="A8" location="'2025.06'!A1" display="'2025.06'!A1" xr:uid="{80DF9143-C283-472A-A30C-9CE14DFEEAC6}"/>
    <hyperlink ref="A9" location="'2025.07'!A1" display="'2025.07'!A1" xr:uid="{D1E3D29A-B453-4D6D-8472-B4A28EF135CA}"/>
    <hyperlink ref="A10" location="'2025.08'!A1" display="'2025.08'!A1" xr:uid="{FF683E02-56D7-4EFF-9E28-2190A0844CDC}"/>
    <hyperlink ref="A11" location="'2025.09'!A1" display="'2025.09'!A1" xr:uid="{7062E8F1-F789-41FC-953A-687D31B55D77}"/>
    <hyperlink ref="A12" location="'2025.10'!A1" display="'2025.10'!A1" xr:uid="{BAF7E2C1-F63F-425F-81C4-BC281053AC7E}"/>
    <hyperlink ref="A13" location="'2025.11'!A1" display="'2025.11'!A1" xr:uid="{B56032B7-4585-4C6F-A4D2-A6F554D16F4C}"/>
    <hyperlink ref="A14" location="'2025.12'!A1" display="'2025.12'!A1" xr:uid="{7EC9C4CD-8F0B-49B2-9527-D222369A7693}"/>
    <hyperlink ref="A15" location="'2026.01'!A1" display="'2026.01'!A1" xr:uid="{8F37A49B-7F1B-426C-AD4D-518F8EB7F1AA}"/>
    <hyperlink ref="A16" location="'2026.02'!A1" display="'2026.02'!A1" xr:uid="{4E1060E4-B83B-480F-995A-617E5A5DB4BB}"/>
    <hyperlink ref="A17" location="'2026.03'!A1" display="'2026.03'!A1" xr:uid="{64613EAF-6B1E-4566-93F9-9EAD8CE6F782}"/>
    <hyperlink ref="A18" location="'2026.04'!A1" display="'2026.04'!A1" xr:uid="{17E8BF92-1249-46F4-85C3-45255E80E65A}"/>
    <hyperlink ref="A19" location="'2026.05'!A1" display="'2026.05'!A1" xr:uid="{16B15A0A-3818-4AF5-B1A1-840362175129}"/>
    <hyperlink ref="A20" location="'2026.06'!A1" display="'2026.06'!A1" xr:uid="{38CA804F-D38F-4A87-A568-92DC4FC9067D}"/>
    <hyperlink ref="A21" location="'2026.07'!A1" display="'2026.07'!A1" xr:uid="{ADC87C25-F93C-4238-9464-B42338F1DD8B}"/>
    <hyperlink ref="A22" location="'2026.08'!A1" display="'2026.08'!A1" xr:uid="{64D127D3-00F3-4A61-AD12-BD8F129FA689}"/>
    <hyperlink ref="A23" location="'2026.09'!A1" display="'2026.09'!A1" xr:uid="{60C7728A-6FDB-49CA-BD30-1D5BDB1AB773}"/>
  </hyperlinks>
  <pageMargins left="0.7" right="0.7" top="0.75" bottom="0.75" header="0.3" footer="0.3"/>
  <pageSetup orientation="portrait" r:id="rId1"/>
  <ignoredErrors>
    <ignoredError sqref="E5:E2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AF1" sqref="AF1:AG1048576"/>
    </sheetView>
  </sheetViews>
  <sheetFormatPr defaultRowHeight="15" x14ac:dyDescent="0.25"/>
  <cols>
    <col min="1" max="1" width="15.7109375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2" t="s">
        <v>6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10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49">
        <f>'2024.05'!Q2</f>
        <v>2024.05</v>
      </c>
      <c r="B5" s="5">
        <f>'2024.05'!B19</f>
        <v>9.99</v>
      </c>
      <c r="C5" s="5">
        <f>'2024.05'!C19</f>
        <v>9.9700000000000006</v>
      </c>
      <c r="D5" s="5">
        <f>C5</f>
        <v>9.9700000000000006</v>
      </c>
      <c r="E5" s="8">
        <f>'2024.05'!F19</f>
        <v>1.0123883021933386</v>
      </c>
      <c r="F5" s="8">
        <f>E5</f>
        <v>1.0123883021933386</v>
      </c>
      <c r="G5" s="7">
        <v>9.65</v>
      </c>
      <c r="H5" s="5">
        <f t="shared" ref="H5:H15" si="0">F5*G5</f>
        <v>9.7695471161657181</v>
      </c>
      <c r="I5" s="5">
        <f t="shared" ref="I5:I22" si="1">H5-D5</f>
        <v>-0.2004528838342825</v>
      </c>
      <c r="J5" s="5">
        <f t="shared" ref="J5:J22" si="2">(H5-D5)*100/D5</f>
        <v>-2.0105605199025325</v>
      </c>
      <c r="K5" s="5">
        <f>'2024.05'!D19</f>
        <v>1.9999999999999574E-2</v>
      </c>
      <c r="L5" s="5">
        <f>'2024.05'!J19</f>
        <v>0</v>
      </c>
      <c r="M5" s="5">
        <f>'2024.05'!O19</f>
        <v>0</v>
      </c>
      <c r="O5" s="3" t="s">
        <v>2</v>
      </c>
      <c r="P5" s="5">
        <f>SUM(B5:B61)</f>
        <v>9.99</v>
      </c>
      <c r="Q5" s="8">
        <f>SUM(E5:E61)</f>
        <v>1.0123883021933386</v>
      </c>
      <c r="R5" s="5">
        <f>'2025.11'!I19-'2025.11'!J19</f>
        <v>12.370000000000001</v>
      </c>
      <c r="S5" s="5">
        <f>R5-P5+X5</f>
        <v>2.3800000000000008</v>
      </c>
      <c r="T5" s="37">
        <f>(R5-P5+X5)/P5</f>
        <v>0.23823823823823831</v>
      </c>
      <c r="U5" s="37">
        <f>XIRR(AG5:AG200,AF5:AF200)</f>
        <v>0.15790268778800964</v>
      </c>
      <c r="V5" s="5">
        <f>SUM(K5:K16)</f>
        <v>1.9999999999999574E-2</v>
      </c>
      <c r="W5" s="5">
        <f>SUM(L5:L16)</f>
        <v>0</v>
      </c>
      <c r="X5" s="5">
        <f>SUM(M5:M16)</f>
        <v>0</v>
      </c>
      <c r="Y5" s="5" cm="1">
        <f t="array" ref="Y5">SUMPRODUCT(IFERROR(AD5:AD200,0),IFERROR(AE5:AE200,0))/SUM(IFERROR(AE5:AE200,0))</f>
        <v>9.8480000000000008</v>
      </c>
      <c r="AC5" s="5">
        <f>'2024.05'!$C$19</f>
        <v>9.9700000000000006</v>
      </c>
      <c r="AD5" s="5">
        <f>'2024.05'!$E$19</f>
        <v>9.8480000000000008</v>
      </c>
      <c r="AE5" s="8">
        <f>'2024.05'!$F$19</f>
        <v>1.0123883021933386</v>
      </c>
      <c r="AF5" s="31">
        <f>'2024.05'!$A$15</f>
        <v>45442</v>
      </c>
      <c r="AG5" s="5">
        <f>'2024.05'!$B$15*-1</f>
        <v>-9.99</v>
      </c>
    </row>
    <row r="6" spans="1:33" x14ac:dyDescent="0.25">
      <c r="A6" s="49">
        <f>'2024.06'!Q2</f>
        <v>2024.06</v>
      </c>
      <c r="B6" s="5">
        <f>'2024.06'!B19</f>
        <v>0</v>
      </c>
      <c r="C6" s="5">
        <f>'2024.06'!C19</f>
        <v>0</v>
      </c>
      <c r="D6" s="5">
        <f t="shared" ref="D6:D22" si="3">D5+C6</f>
        <v>9.9700000000000006</v>
      </c>
      <c r="E6" s="8">
        <f>'2024.06'!F19</f>
        <v>0</v>
      </c>
      <c r="F6" s="8">
        <f t="shared" ref="F6:F15" si="4">F5+E6</f>
        <v>1.0123883021933386</v>
      </c>
      <c r="G6" s="7">
        <v>10.364000000000001</v>
      </c>
      <c r="H6" s="5">
        <f t="shared" si="0"/>
        <v>10.492392363931762</v>
      </c>
      <c r="I6" s="5">
        <f t="shared" si="1"/>
        <v>0.52239236393176114</v>
      </c>
      <c r="J6" s="5">
        <f t="shared" si="2"/>
        <v>5.2396425670186675</v>
      </c>
      <c r="K6" s="5">
        <f>'2024.06'!D19</f>
        <v>0</v>
      </c>
      <c r="L6" s="5">
        <f>'2024.06'!J19</f>
        <v>0</v>
      </c>
      <c r="M6" s="5">
        <f>'2024.06'!O19</f>
        <v>0</v>
      </c>
      <c r="AC6" s="5">
        <f>'2024.06'!$C$19</f>
        <v>0</v>
      </c>
      <c r="AD6" s="5" t="str">
        <f>'2024.06'!$E$19</f>
        <v>0.00</v>
      </c>
      <c r="AE6" s="8">
        <f>'2024.06'!$F$19</f>
        <v>0</v>
      </c>
      <c r="AF6" s="31"/>
      <c r="AG6" s="5"/>
    </row>
    <row r="7" spans="1:33" x14ac:dyDescent="0.25">
      <c r="A7" s="49">
        <f>'2024.07'!Q2</f>
        <v>2024.07</v>
      </c>
      <c r="B7" s="5">
        <f>'2024.07'!B19</f>
        <v>0</v>
      </c>
      <c r="C7" s="5">
        <f>'2024.07'!C19</f>
        <v>0</v>
      </c>
      <c r="D7" s="5">
        <f t="shared" si="3"/>
        <v>9.9700000000000006</v>
      </c>
      <c r="E7" s="8">
        <f>'2024.07'!F19</f>
        <v>0</v>
      </c>
      <c r="F7" s="8">
        <f t="shared" si="4"/>
        <v>1.0123883021933386</v>
      </c>
      <c r="G7" s="7">
        <v>10.298</v>
      </c>
      <c r="H7" s="5">
        <f t="shared" si="0"/>
        <v>10.425574735987002</v>
      </c>
      <c r="I7" s="5">
        <f t="shared" si="1"/>
        <v>0.45557473598700149</v>
      </c>
      <c r="J7" s="5">
        <f t="shared" si="2"/>
        <v>4.5694557270511682</v>
      </c>
      <c r="K7" s="5">
        <f>'2024.07'!D19</f>
        <v>0</v>
      </c>
      <c r="L7" s="5">
        <f>'2024.07'!J19</f>
        <v>0</v>
      </c>
      <c r="M7" s="5">
        <f>'2024.07'!O19</f>
        <v>0</v>
      </c>
      <c r="AC7" s="5">
        <f>'2024.07'!$C$19</f>
        <v>0</v>
      </c>
      <c r="AD7" s="5" t="str">
        <f>'2024.07'!$E$19</f>
        <v>0.00</v>
      </c>
      <c r="AE7" s="8">
        <f>'2024.07'!$F$19</f>
        <v>0</v>
      </c>
      <c r="AF7" s="31"/>
      <c r="AG7" s="5"/>
    </row>
    <row r="8" spans="1:33" x14ac:dyDescent="0.25">
      <c r="A8" s="49">
        <f>'2024.08'!Q2</f>
        <v>2024.08</v>
      </c>
      <c r="B8" s="5">
        <f>'2024.08'!B19</f>
        <v>0</v>
      </c>
      <c r="C8" s="5">
        <f>'2024.08'!C19</f>
        <v>0</v>
      </c>
      <c r="D8" s="5">
        <f t="shared" si="3"/>
        <v>9.9700000000000006</v>
      </c>
      <c r="E8" s="8">
        <f>'2024.08'!F19</f>
        <v>0</v>
      </c>
      <c r="F8" s="8">
        <f t="shared" si="4"/>
        <v>1.0123883021933386</v>
      </c>
      <c r="G8" s="7">
        <v>10.212</v>
      </c>
      <c r="H8" s="5">
        <f t="shared" si="0"/>
        <v>10.338509341998375</v>
      </c>
      <c r="I8" s="5">
        <f t="shared" si="1"/>
        <v>0.36850934199837404</v>
      </c>
      <c r="J8" s="5">
        <f t="shared" si="2"/>
        <v>3.6961819658813844</v>
      </c>
      <c r="K8" s="5">
        <f>'2024.08'!D19</f>
        <v>0</v>
      </c>
      <c r="L8" s="5">
        <f>'2024.08'!J19</f>
        <v>0</v>
      </c>
      <c r="M8" s="5">
        <f>'2024.08'!O19</f>
        <v>0</v>
      </c>
      <c r="AC8" s="5">
        <f>'2024.08'!$C$19</f>
        <v>0</v>
      </c>
      <c r="AD8" s="5" t="str">
        <f>'2024.08'!$E$19</f>
        <v>0.00</v>
      </c>
      <c r="AE8" s="8">
        <f>'2024.08'!$F$19</f>
        <v>0</v>
      </c>
      <c r="AF8" s="31"/>
      <c r="AG8" s="5"/>
    </row>
    <row r="9" spans="1:33" x14ac:dyDescent="0.25">
      <c r="A9" s="49">
        <f>'2024.09'!Q2</f>
        <v>2024.09</v>
      </c>
      <c r="B9" s="5">
        <f>'2024.09'!B19</f>
        <v>0</v>
      </c>
      <c r="C9" s="5">
        <f>'2024.09'!C19</f>
        <v>0</v>
      </c>
      <c r="D9" s="5">
        <f t="shared" si="3"/>
        <v>9.9700000000000006</v>
      </c>
      <c r="E9" s="8">
        <f>'2024.09'!F19</f>
        <v>0</v>
      </c>
      <c r="F9" s="8">
        <f t="shared" si="4"/>
        <v>1.0123883021933386</v>
      </c>
      <c r="G9" s="7">
        <v>10.414</v>
      </c>
      <c r="H9" s="5">
        <f t="shared" si="0"/>
        <v>10.543011779041429</v>
      </c>
      <c r="I9" s="5">
        <f t="shared" si="1"/>
        <v>0.57301177904142797</v>
      </c>
      <c r="J9" s="5">
        <f t="shared" si="2"/>
        <v>5.7473598700243524</v>
      </c>
      <c r="K9" s="5">
        <f>'2024.09'!D19</f>
        <v>0</v>
      </c>
      <c r="L9" s="5">
        <f>'2024.09'!J19</f>
        <v>0</v>
      </c>
      <c r="M9" s="5">
        <f>'2024.09'!O19</f>
        <v>0</v>
      </c>
      <c r="AC9" s="5">
        <f>'2024.09'!$C$19</f>
        <v>0</v>
      </c>
      <c r="AD9" s="5" t="str">
        <f>'2024.09'!$E$19</f>
        <v>0.00</v>
      </c>
      <c r="AE9" s="8">
        <f>'2024.09'!$F$19</f>
        <v>0</v>
      </c>
      <c r="AF9" s="31"/>
      <c r="AG9" s="5"/>
    </row>
    <row r="10" spans="1:33" x14ac:dyDescent="0.25">
      <c r="A10" s="50">
        <f>'2024.10'!Q2</f>
        <v>2024.1</v>
      </c>
      <c r="B10" s="5">
        <f>'2024.10'!B19</f>
        <v>0</v>
      </c>
      <c r="C10" s="5">
        <f>'2024.10'!C19</f>
        <v>0</v>
      </c>
      <c r="D10" s="5">
        <f t="shared" si="3"/>
        <v>9.9700000000000006</v>
      </c>
      <c r="E10" s="8">
        <f>'2024.10'!F19</f>
        <v>0</v>
      </c>
      <c r="F10" s="8">
        <f t="shared" si="4"/>
        <v>1.0123883021933386</v>
      </c>
      <c r="G10" s="7">
        <v>10.71</v>
      </c>
      <c r="H10" s="5">
        <f t="shared" si="0"/>
        <v>10.842678716490658</v>
      </c>
      <c r="I10" s="5">
        <f t="shared" si="1"/>
        <v>0.87267871649065754</v>
      </c>
      <c r="J10" s="5">
        <f t="shared" si="2"/>
        <v>8.7530463038180297</v>
      </c>
      <c r="K10" s="5">
        <f>'2024.10'!D19</f>
        <v>0</v>
      </c>
      <c r="L10" s="5">
        <f>'2024.10'!J19</f>
        <v>0</v>
      </c>
      <c r="M10" s="5">
        <f>'2024.10'!O19</f>
        <v>0</v>
      </c>
      <c r="AC10" s="5">
        <f>'2024.10'!$C$19</f>
        <v>0</v>
      </c>
      <c r="AD10" s="5" t="str">
        <f>'2024.10'!$E$19</f>
        <v>0.00</v>
      </c>
      <c r="AE10" s="8">
        <f>'2024.10'!$F$19</f>
        <v>0</v>
      </c>
      <c r="AF10" s="31"/>
      <c r="AG10" s="5"/>
    </row>
    <row r="11" spans="1:33" x14ac:dyDescent="0.25">
      <c r="A11" s="50">
        <f>'2024.11'!Q2</f>
        <v>2024.11</v>
      </c>
      <c r="B11" s="5">
        <f>'2024.11'!B19</f>
        <v>0</v>
      </c>
      <c r="C11" s="5">
        <f>'2024.11'!C19</f>
        <v>0</v>
      </c>
      <c r="D11" s="5">
        <f t="shared" si="3"/>
        <v>9.9700000000000006</v>
      </c>
      <c r="E11" s="8">
        <f>'2024.11'!F19</f>
        <v>0</v>
      </c>
      <c r="F11" s="8">
        <f t="shared" si="4"/>
        <v>1.0123883021933386</v>
      </c>
      <c r="G11" s="7">
        <v>11.682</v>
      </c>
      <c r="H11" s="5">
        <f t="shared" si="0"/>
        <v>11.826720146222582</v>
      </c>
      <c r="I11" s="5">
        <f t="shared" si="1"/>
        <v>1.8567201462225817</v>
      </c>
      <c r="J11" s="5">
        <f t="shared" si="2"/>
        <v>18.623070674248563</v>
      </c>
      <c r="K11" s="5">
        <f>'2024.11'!D19</f>
        <v>0</v>
      </c>
      <c r="L11" s="5">
        <f>'2024.11'!J19</f>
        <v>0</v>
      </c>
      <c r="M11" s="5">
        <f>'2024.11'!O19</f>
        <v>0</v>
      </c>
      <c r="AC11" s="5">
        <f>'2024.11'!$C$19</f>
        <v>0</v>
      </c>
      <c r="AD11" s="5" t="str">
        <f>'2024.11'!$E$19</f>
        <v>0.00</v>
      </c>
      <c r="AE11" s="8">
        <f>'2024.11'!$F$19</f>
        <v>0</v>
      </c>
      <c r="AF11" s="31"/>
      <c r="AG11" s="5"/>
    </row>
    <row r="12" spans="1:33" x14ac:dyDescent="0.25">
      <c r="A12" s="50">
        <f>'2024.12'!Q2</f>
        <v>2024.12</v>
      </c>
      <c r="B12" s="5">
        <f>'2024.12'!B19</f>
        <v>0</v>
      </c>
      <c r="C12" s="5">
        <f>'2024.12'!C19</f>
        <v>0</v>
      </c>
      <c r="D12" s="5">
        <f t="shared" si="3"/>
        <v>9.9700000000000006</v>
      </c>
      <c r="E12" s="8">
        <f>'2024.12'!F19</f>
        <v>0</v>
      </c>
      <c r="F12" s="8">
        <f t="shared" si="4"/>
        <v>1.0123883021933386</v>
      </c>
      <c r="G12" s="7">
        <v>11.622</v>
      </c>
      <c r="H12" s="5">
        <f t="shared" si="0"/>
        <v>11.765976848090981</v>
      </c>
      <c r="I12" s="5">
        <f t="shared" si="1"/>
        <v>1.7959768480909801</v>
      </c>
      <c r="J12" s="5">
        <f t="shared" si="2"/>
        <v>18.013809910641726</v>
      </c>
      <c r="K12" s="5">
        <f>'2024.12'!D19</f>
        <v>0</v>
      </c>
      <c r="L12" s="5">
        <f>'2024.12'!J19</f>
        <v>0</v>
      </c>
      <c r="M12" s="5">
        <f>'2024.12'!O19</f>
        <v>0</v>
      </c>
      <c r="AC12" s="5">
        <f>'2024.12'!$C$19</f>
        <v>0</v>
      </c>
      <c r="AD12" s="5" t="str">
        <f>'2024.12'!$E$19</f>
        <v>0.00</v>
      </c>
      <c r="AE12" s="8">
        <f>'2024.12'!$F$19</f>
        <v>0</v>
      </c>
      <c r="AF12" s="31"/>
      <c r="AG12" s="5"/>
    </row>
    <row r="13" spans="1:33" x14ac:dyDescent="0.25">
      <c r="A13" s="50">
        <f>'2025.01'!Q2</f>
        <v>2025.01</v>
      </c>
      <c r="B13" s="5">
        <f>'2025.01'!B19</f>
        <v>0</v>
      </c>
      <c r="C13" s="5">
        <f>'2025.01'!C19</f>
        <v>0</v>
      </c>
      <c r="D13" s="5">
        <f t="shared" si="3"/>
        <v>9.9700000000000006</v>
      </c>
      <c r="E13" s="8">
        <f>'2025.01'!F19</f>
        <v>0</v>
      </c>
      <c r="F13" s="8">
        <f t="shared" si="4"/>
        <v>1.0123883021933386</v>
      </c>
      <c r="G13" s="7">
        <v>12.108000000000001</v>
      </c>
      <c r="H13" s="5">
        <f t="shared" si="0"/>
        <v>12.257997562956945</v>
      </c>
      <c r="I13" s="5">
        <f t="shared" si="1"/>
        <v>2.287997562956944</v>
      </c>
      <c r="J13" s="5">
        <f t="shared" si="2"/>
        <v>22.948822095857011</v>
      </c>
      <c r="K13" s="5">
        <f>'2025.01'!D19</f>
        <v>0</v>
      </c>
      <c r="L13" s="5">
        <f>'2025.01'!J19</f>
        <v>0</v>
      </c>
      <c r="M13" s="5">
        <f>'2025.01'!O19</f>
        <v>0</v>
      </c>
      <c r="AC13" s="5">
        <f>'2025.01'!$C$19</f>
        <v>0</v>
      </c>
      <c r="AD13" s="5" t="str">
        <f>'2025.01'!$E$19</f>
        <v>0.00</v>
      </c>
      <c r="AE13" s="8">
        <f>'2025.01'!$F$19</f>
        <v>0</v>
      </c>
      <c r="AF13" s="31"/>
      <c r="AG13" s="5"/>
    </row>
    <row r="14" spans="1:33" x14ac:dyDescent="0.25">
      <c r="A14" s="50">
        <f>'2025.02'!Q2</f>
        <v>2025.02</v>
      </c>
      <c r="B14" s="5">
        <f>'2025.02'!B19</f>
        <v>0</v>
      </c>
      <c r="C14" s="5">
        <f>'2025.02'!C19</f>
        <v>0</v>
      </c>
      <c r="D14" s="5">
        <f t="shared" si="3"/>
        <v>9.9700000000000006</v>
      </c>
      <c r="E14" s="8">
        <f>'2025.02'!F19</f>
        <v>0</v>
      </c>
      <c r="F14" s="8">
        <f t="shared" si="4"/>
        <v>1.0123883021933386</v>
      </c>
      <c r="G14" s="7">
        <v>11.566000000000001</v>
      </c>
      <c r="H14" s="5">
        <f t="shared" si="0"/>
        <v>11.709283103168156</v>
      </c>
      <c r="I14" s="5">
        <f t="shared" si="1"/>
        <v>1.7392831031681553</v>
      </c>
      <c r="J14" s="5">
        <f t="shared" si="2"/>
        <v>17.445166531275376</v>
      </c>
      <c r="K14" s="5">
        <f>'2025.02'!D19</f>
        <v>0</v>
      </c>
      <c r="L14" s="5">
        <f>'2025.02'!J19</f>
        <v>0</v>
      </c>
      <c r="M14" s="5">
        <f>'2025.02'!O19</f>
        <v>0</v>
      </c>
      <c r="AC14" s="5">
        <f>'2025.02'!$C$19</f>
        <v>0</v>
      </c>
      <c r="AD14" s="5" t="str">
        <f>'2025.02'!$E$19</f>
        <v>0.00</v>
      </c>
      <c r="AE14" s="8">
        <f>'2025.02'!$F$19</f>
        <v>0</v>
      </c>
      <c r="AF14" s="31"/>
      <c r="AG14" s="5"/>
    </row>
    <row r="15" spans="1:33" x14ac:dyDescent="0.25">
      <c r="A15" s="50">
        <f>'2025.03'!Q2</f>
        <v>2025.03</v>
      </c>
      <c r="B15" s="5">
        <f>'2025.03'!B19</f>
        <v>0</v>
      </c>
      <c r="C15" s="5">
        <f>'2025.03'!C19</f>
        <v>0</v>
      </c>
      <c r="D15" s="5">
        <f t="shared" si="3"/>
        <v>9.9700000000000006</v>
      </c>
      <c r="E15" s="8">
        <f>'2025.03'!F19</f>
        <v>0</v>
      </c>
      <c r="F15" s="8">
        <f t="shared" si="4"/>
        <v>1.0123883021933386</v>
      </c>
      <c r="G15" s="7">
        <v>10.416</v>
      </c>
      <c r="H15" s="5">
        <f t="shared" si="0"/>
        <v>10.545036555645815</v>
      </c>
      <c r="I15" s="5">
        <f t="shared" si="1"/>
        <v>0.57503655564581457</v>
      </c>
      <c r="J15" s="5">
        <f t="shared" si="2"/>
        <v>5.7676685621445793</v>
      </c>
      <c r="K15" s="5">
        <f>'2025.03'!D19</f>
        <v>0</v>
      </c>
      <c r="L15" s="5">
        <f>'2025.03'!J19</f>
        <v>0</v>
      </c>
      <c r="M15" s="5">
        <f>'2025.03'!O19</f>
        <v>0</v>
      </c>
      <c r="AC15" s="5">
        <f>'2025.03'!$C$19</f>
        <v>0</v>
      </c>
      <c r="AD15" s="5" t="str">
        <f>'2025.03'!$E$19</f>
        <v>0.00</v>
      </c>
      <c r="AE15" s="8">
        <f>'2025.03'!$F$19</f>
        <v>0</v>
      </c>
      <c r="AF15" s="31"/>
      <c r="AG15" s="5"/>
    </row>
    <row r="16" spans="1:33" x14ac:dyDescent="0.25">
      <c r="A16" s="50">
        <f>'2025.04'!Q2</f>
        <v>2025.04</v>
      </c>
      <c r="B16" s="5">
        <f>'2025.04'!B19</f>
        <v>0</v>
      </c>
      <c r="C16" s="5">
        <f>'2025.04'!C19</f>
        <v>0</v>
      </c>
      <c r="D16" s="5">
        <f t="shared" si="3"/>
        <v>9.9700000000000006</v>
      </c>
      <c r="E16" s="8">
        <f>'2025.04'!F19</f>
        <v>0</v>
      </c>
      <c r="F16" s="8">
        <f t="shared" ref="F16" si="5">F15+E16</f>
        <v>1.0123883021933386</v>
      </c>
      <c r="G16" s="7">
        <v>9.9149999999999991</v>
      </c>
      <c r="H16" s="5">
        <f t="shared" ref="H16" si="6">F16*G16</f>
        <v>10.037830016246952</v>
      </c>
      <c r="I16" s="5">
        <f t="shared" si="1"/>
        <v>6.7830016246951175E-2</v>
      </c>
      <c r="J16" s="5">
        <f t="shared" si="2"/>
        <v>0.68034118602759452</v>
      </c>
      <c r="K16" s="5">
        <f>'2025.04'!D19</f>
        <v>0</v>
      </c>
      <c r="L16" s="5">
        <f>'2025.04'!J19</f>
        <v>0</v>
      </c>
      <c r="M16" s="5">
        <f>'2025.04'!O19</f>
        <v>0</v>
      </c>
      <c r="AC16" s="5">
        <f>'2025.04'!$C$19</f>
        <v>0</v>
      </c>
      <c r="AD16" s="5" t="str">
        <f>'2025.04'!$E$19</f>
        <v>0.00</v>
      </c>
      <c r="AE16" s="8">
        <f>'2025.04'!$F$19</f>
        <v>0</v>
      </c>
      <c r="AF16" s="31"/>
      <c r="AG16" s="5"/>
    </row>
    <row r="17" spans="1:33" x14ac:dyDescent="0.25">
      <c r="A17" s="50">
        <f>'2025.05'!Q2</f>
        <v>2025.05</v>
      </c>
      <c r="B17" s="5">
        <f>'2025.05'!B19</f>
        <v>0</v>
      </c>
      <c r="C17" s="5">
        <f>'2025.05'!C19</f>
        <v>0</v>
      </c>
      <c r="D17" s="5">
        <f t="shared" si="3"/>
        <v>9.9700000000000006</v>
      </c>
      <c r="E17" s="8">
        <f>'2025.05'!F19</f>
        <v>0</v>
      </c>
      <c r="F17" s="8">
        <f t="shared" ref="F17" si="7">F16+E17</f>
        <v>1.0123883021933386</v>
      </c>
      <c r="G17" s="7">
        <v>10.654</v>
      </c>
      <c r="H17" s="5">
        <f t="shared" ref="H17" si="8">F17*G17</f>
        <v>10.78598497156783</v>
      </c>
      <c r="I17" s="5">
        <f t="shared" si="1"/>
        <v>0.81598497156782912</v>
      </c>
      <c r="J17" s="5">
        <f t="shared" si="2"/>
        <v>8.1844029244516463</v>
      </c>
      <c r="K17" s="5">
        <f>'2025.05'!D19</f>
        <v>0</v>
      </c>
      <c r="L17" s="5">
        <f>'2025.05'!J19</f>
        <v>0</v>
      </c>
      <c r="M17" s="5">
        <f>'2025.05'!O19</f>
        <v>0</v>
      </c>
      <c r="AC17" s="5">
        <f>'2025.05'!$C$19</f>
        <v>0</v>
      </c>
      <c r="AD17" s="5" t="str">
        <f>'2025.05'!$E$19</f>
        <v>0.00</v>
      </c>
      <c r="AE17" s="8">
        <f>'2025.05'!$F$19</f>
        <v>0</v>
      </c>
      <c r="AF17" s="31"/>
      <c r="AG17" s="5"/>
    </row>
    <row r="18" spans="1:33" x14ac:dyDescent="0.25">
      <c r="A18" s="50">
        <f>'2025.06'!Q2</f>
        <v>2025.06</v>
      </c>
      <c r="B18" s="5">
        <f>'2025.06'!B19</f>
        <v>0</v>
      </c>
      <c r="C18" s="5">
        <f>'2025.06'!C19</f>
        <v>0</v>
      </c>
      <c r="D18" s="5">
        <f t="shared" si="3"/>
        <v>9.9700000000000006</v>
      </c>
      <c r="E18" s="8">
        <f>'2025.06'!F19</f>
        <v>0</v>
      </c>
      <c r="F18" s="8">
        <f t="shared" ref="F18" si="9">F17+E18</f>
        <v>1.0123883021933386</v>
      </c>
      <c r="G18" s="7">
        <v>10.856</v>
      </c>
      <c r="H18" s="5">
        <f t="shared" ref="H18" si="10">F18*G18</f>
        <v>10.990487408610884</v>
      </c>
      <c r="I18" s="5">
        <f t="shared" si="1"/>
        <v>1.0204874086108831</v>
      </c>
      <c r="J18" s="5">
        <f t="shared" si="2"/>
        <v>10.235580828594614</v>
      </c>
      <c r="K18" s="5">
        <f>'2025.06'!D19</f>
        <v>0</v>
      </c>
      <c r="L18" s="5">
        <f>'2025.06'!J19</f>
        <v>0</v>
      </c>
      <c r="M18" s="5">
        <f>'2025.06'!O19</f>
        <v>0</v>
      </c>
      <c r="AC18" s="5">
        <f>'2025.06'!$C$19</f>
        <v>0</v>
      </c>
      <c r="AD18" s="5" t="str">
        <f>'2025.06'!$E$19</f>
        <v>0.00</v>
      </c>
      <c r="AE18" s="8">
        <f>'2025.06'!$F$19</f>
        <v>0</v>
      </c>
      <c r="AF18" s="31"/>
      <c r="AG18" s="5"/>
    </row>
    <row r="19" spans="1:33" x14ac:dyDescent="0.25">
      <c r="A19" s="50">
        <f>'2025.07'!Q2</f>
        <v>2025.07</v>
      </c>
      <c r="B19" s="5">
        <f>'2025.07'!B19</f>
        <v>0</v>
      </c>
      <c r="C19" s="5">
        <f>'2025.07'!C19</f>
        <v>0</v>
      </c>
      <c r="D19" s="5">
        <f t="shared" si="3"/>
        <v>9.9700000000000006</v>
      </c>
      <c r="E19" s="8">
        <f>'2025.07'!F19</f>
        <v>0</v>
      </c>
      <c r="F19" s="8">
        <f t="shared" ref="F19" si="11">F18+E19</f>
        <v>1.0123883021933386</v>
      </c>
      <c r="G19" s="7">
        <v>11.544</v>
      </c>
      <c r="H19" s="5">
        <f t="shared" ref="H19" si="12">F19*G19</f>
        <v>11.687010560519902</v>
      </c>
      <c r="I19" s="5">
        <f t="shared" si="1"/>
        <v>1.7170105605199009</v>
      </c>
      <c r="J19" s="5">
        <f t="shared" si="2"/>
        <v>17.221770917952867</v>
      </c>
      <c r="K19" s="5">
        <f>'2025.07'!D19</f>
        <v>0</v>
      </c>
      <c r="L19" s="5">
        <f>'2025.07'!J19</f>
        <v>0</v>
      </c>
      <c r="M19" s="5">
        <f>'2025.07'!O19</f>
        <v>0</v>
      </c>
      <c r="AC19" s="5">
        <f>'2025.07'!$C$19</f>
        <v>0</v>
      </c>
      <c r="AD19" s="5" t="str">
        <f>'2025.07'!$E$19</f>
        <v>0.00</v>
      </c>
      <c r="AE19" s="8">
        <f>'2025.07'!$F$19</f>
        <v>0</v>
      </c>
      <c r="AF19" s="31"/>
      <c r="AG19" s="5"/>
    </row>
    <row r="20" spans="1:33" x14ac:dyDescent="0.25">
      <c r="A20" s="50">
        <f>'2025.08'!Q2</f>
        <v>2025.08</v>
      </c>
      <c r="B20" s="5">
        <f>'2025.08'!B19</f>
        <v>0</v>
      </c>
      <c r="C20" s="5">
        <f>'2025.08'!C19</f>
        <v>0</v>
      </c>
      <c r="D20" s="5">
        <f t="shared" si="3"/>
        <v>9.9700000000000006</v>
      </c>
      <c r="E20" s="8">
        <f>'2025.08'!F19</f>
        <v>0</v>
      </c>
      <c r="F20" s="8">
        <f t="shared" ref="F20" si="13">F19+E20</f>
        <v>1.0123883021933386</v>
      </c>
      <c r="G20" s="7">
        <v>11.391999999999999</v>
      </c>
      <c r="H20" s="5">
        <f t="shared" ref="H20" si="14">F20*G20</f>
        <v>11.533127538586513</v>
      </c>
      <c r="I20" s="5">
        <f t="shared" si="1"/>
        <v>1.563127538586512</v>
      </c>
      <c r="J20" s="5">
        <f t="shared" si="2"/>
        <v>15.678310316815566</v>
      </c>
      <c r="K20" s="5">
        <f>'2025.08'!D19</f>
        <v>0</v>
      </c>
      <c r="L20" s="5">
        <f>'2025.08'!J19</f>
        <v>0</v>
      </c>
      <c r="M20" s="5">
        <f>'2025.08'!O19</f>
        <v>0</v>
      </c>
      <c r="AC20" s="5">
        <f>'2025.08'!$C$19</f>
        <v>0</v>
      </c>
      <c r="AD20" s="5" t="str">
        <f>'2025.08'!$E$19</f>
        <v>0.00</v>
      </c>
      <c r="AE20" s="8">
        <f>'2025.08'!$F$19</f>
        <v>0</v>
      </c>
      <c r="AF20" s="31"/>
      <c r="AG20" s="5"/>
    </row>
    <row r="21" spans="1:33" x14ac:dyDescent="0.25">
      <c r="A21" s="50">
        <f>'2025.09'!Q2</f>
        <v>2025.09</v>
      </c>
      <c r="B21" s="5">
        <f>'2025.09'!B19</f>
        <v>0</v>
      </c>
      <c r="C21" s="5">
        <f>'2025.09'!C19</f>
        <v>0</v>
      </c>
      <c r="D21" s="5">
        <f t="shared" si="3"/>
        <v>9.9700000000000006</v>
      </c>
      <c r="E21" s="8">
        <f>'2025.09'!F19</f>
        <v>0</v>
      </c>
      <c r="F21" s="8">
        <f t="shared" ref="F21" si="15">F20+E21</f>
        <v>1.0123883021933386</v>
      </c>
      <c r="G21" s="7">
        <v>11.75</v>
      </c>
      <c r="H21" s="5">
        <f t="shared" ref="H21" si="16">F21*G21</f>
        <v>11.895562550771729</v>
      </c>
      <c r="I21" s="5">
        <f t="shared" si="1"/>
        <v>1.925562550771728</v>
      </c>
      <c r="J21" s="5">
        <f t="shared" si="2"/>
        <v>19.31356620633629</v>
      </c>
      <c r="K21" s="5">
        <f>'2025.09'!D19</f>
        <v>0</v>
      </c>
      <c r="L21" s="5">
        <f>'2025.09'!J19</f>
        <v>0</v>
      </c>
      <c r="M21" s="5">
        <f>'2025.09'!O19</f>
        <v>0</v>
      </c>
      <c r="AC21" s="5">
        <f>'2025.09'!$C$19</f>
        <v>0</v>
      </c>
      <c r="AD21" s="5" t="str">
        <f>'2025.09'!$E$19</f>
        <v>0.00</v>
      </c>
      <c r="AE21" s="8">
        <f>'2025.09'!$F$19</f>
        <v>0</v>
      </c>
      <c r="AF21" s="31"/>
      <c r="AG21" s="5"/>
    </row>
    <row r="22" spans="1:33" x14ac:dyDescent="0.25">
      <c r="A22" s="50">
        <f>'2025.10'!Q2</f>
        <v>2025.1</v>
      </c>
      <c r="B22" s="5">
        <f>'2025.10'!B19</f>
        <v>0</v>
      </c>
      <c r="C22" s="5">
        <f>'2025.10'!C19</f>
        <v>0</v>
      </c>
      <c r="D22" s="5">
        <f t="shared" si="3"/>
        <v>9.9700000000000006</v>
      </c>
      <c r="E22" s="8">
        <f>'2025.10'!F19</f>
        <v>0</v>
      </c>
      <c r="F22" s="8">
        <f t="shared" ref="F22" si="17">F21+E22</f>
        <v>1.0123883021933386</v>
      </c>
      <c r="G22" s="7">
        <v>12.337999999999999</v>
      </c>
      <c r="H22" s="5">
        <f t="shared" ref="H22" si="18">F22*G22</f>
        <v>12.490846872461411</v>
      </c>
      <c r="I22" s="5">
        <f t="shared" si="1"/>
        <v>2.5208468724614104</v>
      </c>
      <c r="J22" s="5">
        <f t="shared" si="2"/>
        <v>25.284321689683154</v>
      </c>
      <c r="K22" s="5">
        <f>'2025.10'!D19</f>
        <v>0</v>
      </c>
      <c r="L22" s="5">
        <f>'2025.10'!J19</f>
        <v>0</v>
      </c>
      <c r="M22" s="5">
        <f>'2025.10'!O19</f>
        <v>0</v>
      </c>
      <c r="AC22" s="5">
        <f>'2025.10'!$C$19</f>
        <v>0</v>
      </c>
      <c r="AD22" s="5" t="str">
        <f>'2025.10'!$E$19</f>
        <v>0.00</v>
      </c>
      <c r="AE22" s="8">
        <f>'2025.10'!$F$19</f>
        <v>0</v>
      </c>
      <c r="AF22" s="31"/>
      <c r="AG22" s="5"/>
    </row>
    <row r="23" spans="1:33" x14ac:dyDescent="0.25">
      <c r="A23" s="51">
        <f>'2025.11'!Q2</f>
        <v>2025.11</v>
      </c>
      <c r="B23" s="20">
        <f>'2025.11'!B19</f>
        <v>0</v>
      </c>
      <c r="C23" s="20">
        <f>'2025.11'!C19</f>
        <v>0</v>
      </c>
      <c r="D23" s="20">
        <f t="shared" ref="D23" si="19">D22+C23</f>
        <v>9.9700000000000006</v>
      </c>
      <c r="E23" s="21">
        <f>'2025.11'!F19</f>
        <v>0</v>
      </c>
      <c r="F23" s="21">
        <f t="shared" ref="F23" si="20">F22+E23</f>
        <v>1.0123883021933386</v>
      </c>
      <c r="G23" s="22">
        <v>12.25</v>
      </c>
      <c r="H23" s="20">
        <f t="shared" ref="H23" si="21">F23*G23</f>
        <v>12.401756701868399</v>
      </c>
      <c r="I23" s="20">
        <f t="shared" ref="I23" si="22">H23-D23</f>
        <v>2.4317567018683981</v>
      </c>
      <c r="J23" s="20">
        <f t="shared" ref="J23" si="23">(H23-D23)*100/D23</f>
        <v>24.390739236393159</v>
      </c>
      <c r="K23" s="20">
        <f>'2025.10'!D19</f>
        <v>0</v>
      </c>
      <c r="L23" s="20">
        <f>'2025.11'!J19</f>
        <v>0.03</v>
      </c>
      <c r="M23" s="20">
        <f>'2025.10'!O19</f>
        <v>0</v>
      </c>
      <c r="AC23" s="5">
        <f>'2025.11'!$C$19</f>
        <v>0</v>
      </c>
      <c r="AD23" s="5" t="str">
        <f>'2025.11'!$E$19</f>
        <v>0.00</v>
      </c>
      <c r="AE23" s="8">
        <f>'2025.11'!$F$19</f>
        <v>0</v>
      </c>
      <c r="AF23" s="31"/>
      <c r="AG23" s="5"/>
    </row>
    <row r="24" spans="1:33" x14ac:dyDescent="0.25">
      <c r="AC24" s="5"/>
      <c r="AD24" s="5"/>
      <c r="AE24" s="8"/>
      <c r="AF24" s="31"/>
      <c r="AG24" s="5"/>
    </row>
    <row r="25" spans="1:33" x14ac:dyDescent="0.25">
      <c r="AC25" s="5"/>
      <c r="AD25" s="5"/>
      <c r="AE25" s="8"/>
      <c r="AF25" s="31"/>
      <c r="AG25" s="5"/>
    </row>
    <row r="26" spans="1:33" x14ac:dyDescent="0.25">
      <c r="AC26" s="5"/>
      <c r="AD26" s="5"/>
      <c r="AE26" s="8"/>
      <c r="AF26" s="31"/>
      <c r="AG26" s="5"/>
    </row>
    <row r="27" spans="1:33" x14ac:dyDescent="0.25">
      <c r="AC27" s="5"/>
      <c r="AD27" s="5"/>
      <c r="AE27" s="8"/>
      <c r="AF27" s="31"/>
      <c r="AG27" s="5"/>
    </row>
    <row r="28" spans="1:33" x14ac:dyDescent="0.25">
      <c r="AC28" s="5"/>
      <c r="AD28" s="5"/>
      <c r="AE28" s="8"/>
      <c r="AF28" s="31"/>
      <c r="AG28" s="5"/>
    </row>
    <row r="29" spans="1:33" x14ac:dyDescent="0.25">
      <c r="AC29" s="5"/>
      <c r="AD29" s="5"/>
      <c r="AE29" s="8"/>
      <c r="AF29" s="31"/>
      <c r="AG29" s="5"/>
    </row>
    <row r="30" spans="1:33" x14ac:dyDescent="0.25">
      <c r="AF30" s="31"/>
      <c r="AG30" s="5"/>
    </row>
    <row r="31" spans="1:33" x14ac:dyDescent="0.25">
      <c r="AF31" s="31"/>
      <c r="AG31" s="5"/>
    </row>
    <row r="32" spans="1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45974</v>
      </c>
      <c r="AG65" s="5">
        <f>R5</f>
        <v>12.370000000000001</v>
      </c>
    </row>
  </sheetData>
  <mergeCells count="18">
    <mergeCell ref="AC3:AC4"/>
    <mergeCell ref="AD3:AD4"/>
    <mergeCell ref="S3:U3"/>
    <mergeCell ref="AF3:AG3"/>
    <mergeCell ref="AE3:AE4"/>
    <mergeCell ref="V3:W3"/>
    <mergeCell ref="X3:X4"/>
    <mergeCell ref="Y3:Y4"/>
    <mergeCell ref="A3:A4"/>
    <mergeCell ref="B3:D3"/>
    <mergeCell ref="E3:F3"/>
    <mergeCell ref="G3:J3"/>
    <mergeCell ref="K3:L3"/>
    <mergeCell ref="M3:M4"/>
    <mergeCell ref="O3:O4"/>
    <mergeCell ref="P3:P4"/>
    <mergeCell ref="Q3:Q4"/>
    <mergeCell ref="R3:R4"/>
  </mergeCells>
  <hyperlinks>
    <hyperlink ref="A5" location="'2024.05'!A1" display="'2024.05'!A1" xr:uid="{A0364018-4DF4-413F-B767-F8840069C591}"/>
    <hyperlink ref="A6" location="'2024.06'!A1" display="'2024.06'!A1" xr:uid="{EB95C702-D4AF-48D9-AAA5-FB981A337EEC}"/>
    <hyperlink ref="A7" location="'2024.07'!A1" display="'2024.07'!A1" xr:uid="{A052E58F-8BB1-493C-97D3-C478F60FADF1}"/>
    <hyperlink ref="A8" location="'2024.08'!A1" display="'2024.08'!A1" xr:uid="{9DC2B4A8-7683-4863-B1D5-12103FE89BC0}"/>
    <hyperlink ref="A9" location="'2024.09'!A1" display="'2024.09'!A1" xr:uid="{95CAD49B-FDBB-4279-A336-CAE4CD3B2FFA}"/>
    <hyperlink ref="A10" location="'2024.10'!A1" display="'2024.10'!A1" xr:uid="{495962AF-C2CF-4F85-991E-D42BB1C9CA95}"/>
    <hyperlink ref="A11" location="'2024.11'!A1" display="'2024.11'!A1" xr:uid="{F14F57C8-253A-4C8E-A8CC-7A7A506886E8}"/>
    <hyperlink ref="A12" location="'2024.12'!A1" display="'2024.12'!A1" xr:uid="{DBF2D712-9576-403B-A46C-ACD21F94B6BB}"/>
    <hyperlink ref="A13" location="'2025.01'!A1" display="'2025.01'!A1" xr:uid="{A00618EB-CA1D-4893-B13A-4674272DE40B}"/>
    <hyperlink ref="A14" location="'2025.02'!A1" display="'2025.02'!A1" xr:uid="{F776C8D4-4FD0-461A-81F6-27B0B339DD99}"/>
    <hyperlink ref="A15" location="'2025.03'!A1" display="'2025.03'!A1" xr:uid="{3AAEEA73-B718-48DB-A0BA-20A073B08462}"/>
    <hyperlink ref="A16" location="'2025.04'!A1" display="'2025.04'!A1" xr:uid="{F492541B-652A-460B-BECC-C58D70969B79}"/>
    <hyperlink ref="A17" location="'2025.05'!A1" display="'2025.05'!A1" xr:uid="{2ABD8AA7-52EC-41EF-8E91-A46CCB8A7CF5}"/>
    <hyperlink ref="A18" location="'2025.06'!A1" display="'2025.06'!A1" xr:uid="{B5B7B0E3-7C99-4EBB-BBCD-8303E34B724F}"/>
    <hyperlink ref="A19" location="'2025.07'!A1" display="'2025.07'!A1" xr:uid="{3DED4625-0A13-4CD4-A614-755354233A7B}"/>
    <hyperlink ref="A20" location="'2025.08'!A1" display="'2025.08'!A1" xr:uid="{CBE83365-5E04-45FE-82A1-724BB85AB5F5}"/>
    <hyperlink ref="A21" location="'2025.09'!A1" display="'2025.09'!A1" xr:uid="{8A1D8844-84EC-420A-A6A5-C56B48688208}"/>
    <hyperlink ref="A22" location="'2025.10'!A1" display="'2025.10'!A1" xr:uid="{ADADB894-B361-4FCC-80CC-A9C0B3008D6D}"/>
    <hyperlink ref="A23" location="'2025.11'!A1" display="'2025.11'!A1" xr:uid="{1F6FCBF5-45EF-46F1-898C-ADA3080770D4}"/>
  </hyperlinks>
  <pageMargins left="0.7" right="0.7" top="0.75" bottom="0.75" header="0.3" footer="0.3"/>
  <pageSetup orientation="portrait" r:id="rId1"/>
  <ignoredErrors>
    <ignoredError sqref="E5:E2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AG5" sqref="AG5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28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27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'2024.11'!Q2</f>
        <v>2024.11</v>
      </c>
      <c r="B5" s="5">
        <f>'2024.11'!B59</f>
        <v>9.99</v>
      </c>
      <c r="C5" s="5">
        <f>'2024.11'!C59</f>
        <v>9.9700000000000006</v>
      </c>
      <c r="D5" s="5">
        <f>C5</f>
        <v>9.9700000000000006</v>
      </c>
      <c r="E5" s="8">
        <f>'2024.11'!F59</f>
        <v>2.221034106351222</v>
      </c>
      <c r="F5" s="8">
        <f>E5</f>
        <v>2.221034106351222</v>
      </c>
      <c r="G5" s="7">
        <v>4.5425000000000004</v>
      </c>
      <c r="H5" s="5">
        <f t="shared" ref="H5:H10" si="0">F5*G5</f>
        <v>10.089047428100427</v>
      </c>
      <c r="I5" s="5">
        <f t="shared" ref="I5:I17" si="1">H5-D5</f>
        <v>0.11904742810042634</v>
      </c>
      <c r="J5" s="5">
        <f t="shared" ref="J5:J17" si="2">(H5-D5)*100/D5</f>
        <v>1.1940564503553293</v>
      </c>
      <c r="K5" s="5">
        <f>'2024.11'!D59</f>
        <v>1.9999999999999574E-2</v>
      </c>
      <c r="L5" s="5">
        <f>'2024.11'!J59</f>
        <v>0</v>
      </c>
      <c r="M5" s="5">
        <f>'2024.11'!O59</f>
        <v>0</v>
      </c>
      <c r="O5" s="3" t="s">
        <v>2</v>
      </c>
      <c r="P5" s="5">
        <f>SUM(B5:B61)</f>
        <v>9.99</v>
      </c>
      <c r="Q5" s="8">
        <f>SUM(E5:E61)</f>
        <v>2.221034106351222</v>
      </c>
      <c r="R5" s="5">
        <f>'2025.11'!I59-'2025.11'!J59</f>
        <v>10.83</v>
      </c>
      <c r="S5" s="5">
        <f>R5-P5+X5</f>
        <v>0.83999999999999986</v>
      </c>
      <c r="T5" s="37">
        <f>(R5-P5+X5)/P5</f>
        <v>8.4084084084084063E-2</v>
      </c>
      <c r="U5" s="37">
        <f>XIRR(AG5:AG200,AF5:AF200)</f>
        <v>8.7841609120368966E-2</v>
      </c>
      <c r="V5" s="5">
        <f>SUM(K5:K16)</f>
        <v>1.9999999999999574E-2</v>
      </c>
      <c r="W5" s="5">
        <f>SUM(L5:L16)</f>
        <v>0</v>
      </c>
      <c r="X5" s="5">
        <f>SUM(M5:M16)</f>
        <v>0</v>
      </c>
      <c r="Y5" s="5" cm="1">
        <f t="array" ref="Y5">SUMPRODUCT(IFERROR(AD5:AD200,0),IFERROR(AE5:AE200,0))/SUM(IFERROR(AE5:AE200,0))</f>
        <v>4.4889000000000001</v>
      </c>
      <c r="AC5" s="5">
        <f>'2024.11'!$C$59</f>
        <v>9.9700000000000006</v>
      </c>
      <c r="AD5" s="5">
        <f>'2024.11'!$E$59</f>
        <v>4.4889000000000001</v>
      </c>
      <c r="AE5" s="8">
        <f>'2024.11'!$F$59</f>
        <v>2.221034106351222</v>
      </c>
      <c r="AF5" s="31">
        <f>'2024.11'!$A$55</f>
        <v>45617</v>
      </c>
      <c r="AG5" s="5">
        <f>'2024.11'!$B$55*-1</f>
        <v>-9.99</v>
      </c>
    </row>
    <row r="6" spans="1:33" x14ac:dyDescent="0.25">
      <c r="A6" s="50">
        <f>'2024.12'!Q2</f>
        <v>2024.12</v>
      </c>
      <c r="B6" s="5">
        <f>'2024.12'!B59</f>
        <v>0</v>
      </c>
      <c r="C6" s="5">
        <f>'2024.12'!C59</f>
        <v>0</v>
      </c>
      <c r="D6" s="5">
        <f t="shared" ref="D6:D17" si="3">D5+C6</f>
        <v>9.9700000000000006</v>
      </c>
      <c r="E6" s="8">
        <f>'2024.12'!F59</f>
        <v>0</v>
      </c>
      <c r="F6" s="8">
        <f t="shared" ref="F6:F11" si="4">F5+E6</f>
        <v>2.221034106351222</v>
      </c>
      <c r="G6" s="7">
        <v>4.4574999999999996</v>
      </c>
      <c r="H6" s="5">
        <f t="shared" si="0"/>
        <v>9.9002595290605715</v>
      </c>
      <c r="I6" s="5">
        <f t="shared" si="1"/>
        <v>-6.9740470939429144E-2</v>
      </c>
      <c r="J6" s="5">
        <f t="shared" si="2"/>
        <v>-0.69950321905144575</v>
      </c>
      <c r="K6" s="5">
        <f>'2024.12'!D59</f>
        <v>0</v>
      </c>
      <c r="L6" s="5">
        <f>'2024.12'!J59</f>
        <v>0</v>
      </c>
      <c r="M6" s="5">
        <f>'2024.12'!O59</f>
        <v>0</v>
      </c>
      <c r="AC6" s="5">
        <f>'2024.12'!$C$59</f>
        <v>0</v>
      </c>
      <c r="AD6" s="5" t="str">
        <f>'2024.12'!$E$59</f>
        <v>0.00</v>
      </c>
      <c r="AE6" s="8">
        <f>'2024.12'!$F$59</f>
        <v>0</v>
      </c>
      <c r="AF6" s="31"/>
      <c r="AG6" s="5"/>
    </row>
    <row r="7" spans="1:33" x14ac:dyDescent="0.25">
      <c r="A7" s="50">
        <f>'2025.01'!Q2</f>
        <v>2025.01</v>
      </c>
      <c r="B7" s="5">
        <f>'2025.01'!B59</f>
        <v>0</v>
      </c>
      <c r="C7" s="5">
        <f>'2025.01'!C59</f>
        <v>0</v>
      </c>
      <c r="D7" s="5">
        <f t="shared" si="3"/>
        <v>9.9700000000000006</v>
      </c>
      <c r="E7" s="8">
        <f>'2025.01'!F59</f>
        <v>0</v>
      </c>
      <c r="F7" s="8">
        <f t="shared" si="4"/>
        <v>2.221034106351222</v>
      </c>
      <c r="G7" s="7">
        <v>4.5304000000000002</v>
      </c>
      <c r="H7" s="5">
        <f t="shared" si="0"/>
        <v>10.062172915413576</v>
      </c>
      <c r="I7" s="5">
        <f t="shared" si="1"/>
        <v>9.2172915413575751E-2</v>
      </c>
      <c r="J7" s="5">
        <f t="shared" si="2"/>
        <v>0.92450266212212384</v>
      </c>
      <c r="K7" s="5">
        <f>'2025.01'!D59</f>
        <v>0</v>
      </c>
      <c r="L7" s="5">
        <f>'2025.01'!J59</f>
        <v>0</v>
      </c>
      <c r="M7" s="5">
        <f>'2025.01'!O59</f>
        <v>0</v>
      </c>
      <c r="AC7" s="5">
        <f>'2025.01'!$C$59</f>
        <v>0</v>
      </c>
      <c r="AD7" s="5" t="str">
        <f>'2025.01'!$E$59</f>
        <v>0.00</v>
      </c>
      <c r="AE7" s="8">
        <f>'2025.01'!$F$59</f>
        <v>0</v>
      </c>
      <c r="AF7" s="31"/>
      <c r="AG7" s="5"/>
    </row>
    <row r="8" spans="1:33" x14ac:dyDescent="0.25">
      <c r="A8" s="50">
        <f>'2025.02'!Q2</f>
        <v>2025.02</v>
      </c>
      <c r="B8" s="5">
        <f>'2025.02'!B59</f>
        <v>0</v>
      </c>
      <c r="C8" s="5">
        <f>'2025.02'!C59</f>
        <v>0</v>
      </c>
      <c r="D8" s="5">
        <f t="shared" si="3"/>
        <v>9.9700000000000006</v>
      </c>
      <c r="E8" s="8">
        <f>'2025.02'!F59</f>
        <v>0</v>
      </c>
      <c r="F8" s="8">
        <f t="shared" si="4"/>
        <v>2.221034106351222</v>
      </c>
      <c r="G8" s="7">
        <v>4.5903999999999998</v>
      </c>
      <c r="H8" s="5">
        <f t="shared" si="0"/>
        <v>10.19543496179465</v>
      </c>
      <c r="I8" s="5">
        <f t="shared" si="1"/>
        <v>0.22543496179464917</v>
      </c>
      <c r="J8" s="5">
        <f t="shared" si="2"/>
        <v>2.2611330169974839</v>
      </c>
      <c r="K8" s="5">
        <f>'2025.02'!D59</f>
        <v>0</v>
      </c>
      <c r="L8" s="5">
        <f>'2025.02'!J59</f>
        <v>0</v>
      </c>
      <c r="M8" s="5">
        <f>'2025.02'!O59</f>
        <v>0</v>
      </c>
      <c r="AC8" s="5">
        <f>'2025.02'!$C$59</f>
        <v>0</v>
      </c>
      <c r="AD8" s="5" t="str">
        <f>'2025.03'!$E$59</f>
        <v>0.00</v>
      </c>
      <c r="AE8" s="8">
        <f>'2025.02'!$F$59</f>
        <v>0</v>
      </c>
      <c r="AF8" s="31"/>
      <c r="AG8" s="5"/>
    </row>
    <row r="9" spans="1:33" x14ac:dyDescent="0.25">
      <c r="A9" s="50">
        <f>'2025.03'!Q2</f>
        <v>2025.03</v>
      </c>
      <c r="B9" s="5">
        <f>'2025.03'!B59</f>
        <v>0</v>
      </c>
      <c r="C9" s="5">
        <f>'2025.03'!C59</f>
        <v>0</v>
      </c>
      <c r="D9" s="5">
        <f t="shared" si="3"/>
        <v>9.9700000000000006</v>
      </c>
      <c r="E9" s="8">
        <f>'2025.03'!F59</f>
        <v>0</v>
      </c>
      <c r="F9" s="8">
        <f t="shared" si="4"/>
        <v>2.221034106351222</v>
      </c>
      <c r="G9" s="7">
        <v>4.54</v>
      </c>
      <c r="H9" s="5">
        <f t="shared" si="0"/>
        <v>10.083494842834549</v>
      </c>
      <c r="I9" s="5">
        <f t="shared" si="1"/>
        <v>0.11349484283454814</v>
      </c>
      <c r="J9" s="5">
        <f t="shared" si="2"/>
        <v>1.1383635189021879</v>
      </c>
      <c r="K9" s="5">
        <f>'2025.03'!D59</f>
        <v>0</v>
      </c>
      <c r="L9" s="5">
        <f>'2025.03'!J59</f>
        <v>0</v>
      </c>
      <c r="M9" s="5">
        <f>'2025.03'!O59</f>
        <v>0</v>
      </c>
      <c r="AC9" s="5">
        <f>'2025.03'!$C$59</f>
        <v>0</v>
      </c>
      <c r="AD9" s="5" t="str">
        <f>'2025.04'!$E$59</f>
        <v>0.00</v>
      </c>
      <c r="AE9" s="8">
        <f>'2025.03'!$F$59</f>
        <v>0</v>
      </c>
      <c r="AF9" s="31"/>
      <c r="AG9" s="5"/>
    </row>
    <row r="10" spans="1:33" x14ac:dyDescent="0.25">
      <c r="A10" s="50">
        <f>'2025.04'!Q2</f>
        <v>2025.04</v>
      </c>
      <c r="B10" s="5">
        <f>'2025.04'!B59</f>
        <v>0</v>
      </c>
      <c r="C10" s="5">
        <f>'2025.04'!C59</f>
        <v>0</v>
      </c>
      <c r="D10" s="5">
        <f t="shared" si="3"/>
        <v>9.9700000000000006</v>
      </c>
      <c r="E10" s="8">
        <f>'2025.04'!F59</f>
        <v>0</v>
      </c>
      <c r="F10" s="8">
        <f t="shared" si="4"/>
        <v>2.221034106351222</v>
      </c>
      <c r="G10" s="7">
        <v>4.5500999999999996</v>
      </c>
      <c r="H10" s="5">
        <f t="shared" si="0"/>
        <v>10.105927287308694</v>
      </c>
      <c r="I10" s="5">
        <f t="shared" si="1"/>
        <v>0.13592728730869297</v>
      </c>
      <c r="J10" s="5">
        <f t="shared" si="2"/>
        <v>1.3633629619728482</v>
      </c>
      <c r="K10" s="5">
        <f>'2025.04'!D59</f>
        <v>0</v>
      </c>
      <c r="L10" s="5">
        <f>'2025.04'!J59</f>
        <v>0</v>
      </c>
      <c r="M10" s="5">
        <f>'2025.04'!O59</f>
        <v>0</v>
      </c>
      <c r="AC10" s="5">
        <f>'2025.04'!$C$59</f>
        <v>0</v>
      </c>
      <c r="AD10" s="5" t="str">
        <f>'2025.05'!$E$59</f>
        <v>0.00</v>
      </c>
      <c r="AE10" s="8">
        <f>'2025.04'!$F$59</f>
        <v>0</v>
      </c>
      <c r="AF10" s="31"/>
      <c r="AG10" s="5"/>
    </row>
    <row r="11" spans="1:33" x14ac:dyDescent="0.25">
      <c r="A11" s="50">
        <f>'2025.05'!Q2</f>
        <v>2025.05</v>
      </c>
      <c r="B11" s="5">
        <f>'2025.05'!B59</f>
        <v>0</v>
      </c>
      <c r="C11" s="5">
        <f>'2025.05'!C59</f>
        <v>0</v>
      </c>
      <c r="D11" s="5">
        <f t="shared" si="3"/>
        <v>9.9700000000000006</v>
      </c>
      <c r="E11" s="8">
        <f>'2025.05'!F59</f>
        <v>0</v>
      </c>
      <c r="F11" s="8">
        <f t="shared" si="4"/>
        <v>2.221034106351222</v>
      </c>
      <c r="G11" s="7">
        <v>4.5774999999999997</v>
      </c>
      <c r="H11" s="5">
        <f t="shared" ref="H11" si="5">F11*G11</f>
        <v>10.166783621822718</v>
      </c>
      <c r="I11" s="5">
        <f t="shared" si="1"/>
        <v>0.19678362182271769</v>
      </c>
      <c r="J11" s="5">
        <f t="shared" si="2"/>
        <v>1.9737574906992745</v>
      </c>
      <c r="K11" s="5">
        <f>'2025.05'!D59</f>
        <v>0</v>
      </c>
      <c r="L11" s="5">
        <f>'2025.05'!J59</f>
        <v>0</v>
      </c>
      <c r="M11" s="5">
        <f>'2025.05'!O59</f>
        <v>0</v>
      </c>
      <c r="AC11" s="5">
        <f>'2025.05'!$C$59</f>
        <v>0</v>
      </c>
      <c r="AD11" s="5" t="str">
        <f>'2025.06'!$E$59</f>
        <v>0.00</v>
      </c>
      <c r="AE11" s="8">
        <f>'2025.05'!$F$59</f>
        <v>0</v>
      </c>
      <c r="AF11" s="31"/>
      <c r="AG11" s="5"/>
    </row>
    <row r="12" spans="1:33" x14ac:dyDescent="0.25">
      <c r="A12" s="50">
        <f>'2025.06'!Q2</f>
        <v>2025.06</v>
      </c>
      <c r="B12" s="5">
        <f>'2025.06'!B59</f>
        <v>0</v>
      </c>
      <c r="C12" s="5">
        <f>'2025.06'!C59</f>
        <v>0</v>
      </c>
      <c r="D12" s="5">
        <f t="shared" si="3"/>
        <v>9.9700000000000006</v>
      </c>
      <c r="E12" s="8">
        <f>'2025.06'!F59</f>
        <v>0</v>
      </c>
      <c r="F12" s="8">
        <f t="shared" ref="F12" si="6">F11+E12</f>
        <v>2.221034106351222</v>
      </c>
      <c r="G12" s="7">
        <v>4.6688999999999998</v>
      </c>
      <c r="H12" s="5">
        <f t="shared" ref="H12" si="7">F12*G12</f>
        <v>10.369786139143221</v>
      </c>
      <c r="I12" s="5">
        <f t="shared" si="1"/>
        <v>0.39978613914322025</v>
      </c>
      <c r="J12" s="5">
        <f t="shared" si="2"/>
        <v>4.0098910646260801</v>
      </c>
      <c r="K12" s="5">
        <f>'2025.06'!D59</f>
        <v>0</v>
      </c>
      <c r="L12" s="5">
        <f>'2025.06'!J59</f>
        <v>0</v>
      </c>
      <c r="M12" s="5">
        <f>'2025.06'!O59</f>
        <v>0</v>
      </c>
      <c r="AC12" s="5">
        <f>'2025.06'!$C$59</f>
        <v>0</v>
      </c>
      <c r="AD12" s="5" t="str">
        <f>'2025.07'!$E$59</f>
        <v>0.00</v>
      </c>
      <c r="AE12" s="8">
        <f>'2025.06'!$F$59</f>
        <v>0</v>
      </c>
      <c r="AF12" s="31"/>
      <c r="AG12" s="5"/>
    </row>
    <row r="13" spans="1:33" x14ac:dyDescent="0.25">
      <c r="A13" s="50">
        <f>'2025.07'!Q2</f>
        <v>2025.07</v>
      </c>
      <c r="B13" s="5">
        <f>'2025.07'!B59</f>
        <v>0</v>
      </c>
      <c r="C13" s="5">
        <f>'2025.07'!C59</f>
        <v>0</v>
      </c>
      <c r="D13" s="5">
        <f t="shared" si="3"/>
        <v>9.9700000000000006</v>
      </c>
      <c r="E13" s="8">
        <f>'2025.07'!F59</f>
        <v>0</v>
      </c>
      <c r="F13" s="8">
        <f t="shared" ref="F13" si="8">F12+E13</f>
        <v>2.221034106351222</v>
      </c>
      <c r="G13" s="7">
        <v>4.7034000000000002</v>
      </c>
      <c r="H13" s="5">
        <f t="shared" ref="H13" si="9">F13*G13</f>
        <v>10.446411815812338</v>
      </c>
      <c r="I13" s="5">
        <f t="shared" si="1"/>
        <v>0.47641181581233738</v>
      </c>
      <c r="J13" s="5">
        <f t="shared" si="2"/>
        <v>4.7784535186794121</v>
      </c>
      <c r="K13" s="5">
        <f>'2025.07'!D59</f>
        <v>0</v>
      </c>
      <c r="L13" s="5">
        <f>'2025.07'!J59</f>
        <v>0</v>
      </c>
      <c r="M13" s="5">
        <f>'2025.07'!O59</f>
        <v>0</v>
      </c>
      <c r="AC13" s="5">
        <f>'2025.07'!$C$59</f>
        <v>0</v>
      </c>
      <c r="AD13" s="5" t="str">
        <f>'2025.08'!$E$59</f>
        <v>0.00</v>
      </c>
      <c r="AE13" s="8">
        <f>'2025.07'!$F$59</f>
        <v>0</v>
      </c>
      <c r="AF13" s="31"/>
      <c r="AG13" s="5"/>
    </row>
    <row r="14" spans="1:33" x14ac:dyDescent="0.25">
      <c r="A14" s="50">
        <f>'2025.08'!Q2</f>
        <v>2025.08</v>
      </c>
      <c r="B14" s="5">
        <f>'2025.08'!B59</f>
        <v>0</v>
      </c>
      <c r="C14" s="5">
        <f>'2025.08'!C59</f>
        <v>0</v>
      </c>
      <c r="D14" s="5">
        <f t="shared" si="3"/>
        <v>9.9700000000000006</v>
      </c>
      <c r="E14" s="8">
        <f>'2025.08'!F59</f>
        <v>0</v>
      </c>
      <c r="F14" s="8">
        <f t="shared" ref="F14" si="10">F13+E14</f>
        <v>2.221034106351222</v>
      </c>
      <c r="G14" s="7">
        <v>4.7622999999999998</v>
      </c>
      <c r="H14" s="5">
        <f t="shared" ref="H14" si="11">F14*G14</f>
        <v>10.577230724676424</v>
      </c>
      <c r="I14" s="5">
        <f t="shared" si="1"/>
        <v>0.60723072467642325</v>
      </c>
      <c r="J14" s="5">
        <f t="shared" si="2"/>
        <v>6.0905789837153783</v>
      </c>
      <c r="K14" s="5">
        <f>'2025.08'!D59</f>
        <v>0</v>
      </c>
      <c r="L14" s="5">
        <f>'2025.08'!J59</f>
        <v>0</v>
      </c>
      <c r="M14" s="5">
        <f>'2025.08'!O59</f>
        <v>0</v>
      </c>
      <c r="AC14" s="5">
        <f>'2025.08'!$C$59</f>
        <v>0</v>
      </c>
      <c r="AD14" s="5" t="str">
        <f>'2025.08'!$E$59</f>
        <v>0.00</v>
      </c>
      <c r="AE14" s="8">
        <f>'2025.08'!$F$59</f>
        <v>0</v>
      </c>
      <c r="AF14" s="31"/>
      <c r="AG14" s="5"/>
    </row>
    <row r="15" spans="1:33" x14ac:dyDescent="0.25">
      <c r="A15" s="50">
        <f>'2025.09'!Q2</f>
        <v>2025.09</v>
      </c>
      <c r="B15" s="5">
        <f>'2025.09'!B59</f>
        <v>0</v>
      </c>
      <c r="C15" s="5">
        <f>'2025.09'!C59</f>
        <v>0</v>
      </c>
      <c r="D15" s="5">
        <f t="shared" si="3"/>
        <v>9.9700000000000006</v>
      </c>
      <c r="E15" s="8">
        <f>'2025.09'!F59</f>
        <v>0</v>
      </c>
      <c r="F15" s="8">
        <f t="shared" ref="F15" si="12">F14+E15</f>
        <v>2.221034106351222</v>
      </c>
      <c r="G15" s="7">
        <v>4.8335999999999997</v>
      </c>
      <c r="H15" s="5">
        <f t="shared" ref="H15" si="13">F15*G15</f>
        <v>10.735590456459265</v>
      </c>
      <c r="I15" s="5">
        <f t="shared" si="1"/>
        <v>0.7655904564592646</v>
      </c>
      <c r="J15" s="5">
        <f t="shared" si="2"/>
        <v>7.678941388758922</v>
      </c>
      <c r="K15" s="5">
        <f>'2025.09'!D59</f>
        <v>0</v>
      </c>
      <c r="L15" s="5">
        <f>'2025.09'!J59</f>
        <v>0</v>
      </c>
      <c r="M15" s="5">
        <f>'2025.09'!O59</f>
        <v>0</v>
      </c>
      <c r="AC15" s="5">
        <f>'2025.09'!$C$59</f>
        <v>0</v>
      </c>
      <c r="AD15" s="5" t="str">
        <f>'2025.09'!$E$59</f>
        <v>0.00</v>
      </c>
      <c r="AE15" s="8">
        <f>'2025.09'!$F$59</f>
        <v>0</v>
      </c>
      <c r="AF15" s="31"/>
      <c r="AG15" s="5"/>
    </row>
    <row r="16" spans="1:33" x14ac:dyDescent="0.25">
      <c r="A16" s="50">
        <f>'2025.10'!Q2</f>
        <v>2025.1</v>
      </c>
      <c r="B16" s="5">
        <f>'2025.10'!B59</f>
        <v>0</v>
      </c>
      <c r="C16" s="5">
        <f>'2025.10'!C59</f>
        <v>0</v>
      </c>
      <c r="D16" s="5">
        <f t="shared" si="3"/>
        <v>9.9700000000000006</v>
      </c>
      <c r="E16" s="8">
        <f>'2025.10'!F59</f>
        <v>0</v>
      </c>
      <c r="F16" s="8">
        <f t="shared" ref="F16" si="14">F15+E16</f>
        <v>2.221034106351222</v>
      </c>
      <c r="G16" s="7">
        <v>4.9131</v>
      </c>
      <c r="H16" s="5">
        <f t="shared" ref="H16" si="15">F16*G16</f>
        <v>10.912162667914188</v>
      </c>
      <c r="I16" s="5">
        <f t="shared" si="1"/>
        <v>0.94216266791418768</v>
      </c>
      <c r="J16" s="5">
        <f t="shared" si="2"/>
        <v>9.4499766089687824</v>
      </c>
      <c r="K16" s="5">
        <f>'2025.10'!D59</f>
        <v>0</v>
      </c>
      <c r="L16" s="5">
        <f>'2025.10'!J59</f>
        <v>0</v>
      </c>
      <c r="M16" s="5">
        <f>'2025.10'!O59</f>
        <v>0</v>
      </c>
      <c r="AC16" s="5">
        <f>'2025.10'!$C$59</f>
        <v>0</v>
      </c>
      <c r="AD16" s="5" t="str">
        <f>'2025.10'!$E$59</f>
        <v>0.00</v>
      </c>
      <c r="AE16" s="8">
        <f>'2025.10'!$F$59</f>
        <v>0</v>
      </c>
      <c r="AF16" s="31"/>
      <c r="AG16" s="5"/>
    </row>
    <row r="17" spans="1:33" x14ac:dyDescent="0.25">
      <c r="A17" s="51">
        <f>'2025.11'!Q2</f>
        <v>2025.11</v>
      </c>
      <c r="B17" s="20">
        <f>'2025.11'!B59</f>
        <v>0</v>
      </c>
      <c r="C17" s="20">
        <f>'2025.11'!C59</f>
        <v>0</v>
      </c>
      <c r="D17" s="20">
        <f t="shared" si="3"/>
        <v>9.9700000000000006</v>
      </c>
      <c r="E17" s="21">
        <f>'2025.11'!F59</f>
        <v>0</v>
      </c>
      <c r="F17" s="21">
        <f t="shared" ref="F17" si="16">F16+E17</f>
        <v>2.221034106351222</v>
      </c>
      <c r="G17" s="22">
        <v>4.8917000000000002</v>
      </c>
      <c r="H17" s="20">
        <f t="shared" ref="H17" si="17">F17*G17</f>
        <v>10.864632538038274</v>
      </c>
      <c r="I17" s="20">
        <f t="shared" si="1"/>
        <v>0.89463253803827314</v>
      </c>
      <c r="J17" s="20">
        <f t="shared" si="2"/>
        <v>8.9732451157299202</v>
      </c>
      <c r="K17" s="20">
        <f>'2025.11'!D59</f>
        <v>0</v>
      </c>
      <c r="L17" s="20">
        <f>'2025.11'!J59</f>
        <v>0.03</v>
      </c>
      <c r="M17" s="20">
        <f>'2025.11'!O59</f>
        <v>0</v>
      </c>
      <c r="AC17" s="5">
        <f>'2025.11'!$C$59</f>
        <v>0</v>
      </c>
      <c r="AD17" s="5" t="str">
        <f>'2025.11'!$E$59</f>
        <v>0.00</v>
      </c>
      <c r="AE17" s="8">
        <f>'2025.11'!$F$59</f>
        <v>0</v>
      </c>
      <c r="AF17" s="31"/>
      <c r="AG17" s="5"/>
    </row>
    <row r="18" spans="1:33" x14ac:dyDescent="0.25">
      <c r="AC18" s="5"/>
      <c r="AD18" s="5"/>
      <c r="AE18" s="8"/>
      <c r="AF18" s="31"/>
      <c r="AG18" s="5"/>
    </row>
    <row r="19" spans="1:33" x14ac:dyDescent="0.25">
      <c r="AC19" s="5"/>
      <c r="AD19" s="5"/>
      <c r="AE19" s="8"/>
      <c r="AF19" s="31"/>
      <c r="AG19" s="5"/>
    </row>
    <row r="20" spans="1:33" x14ac:dyDescent="0.25">
      <c r="AC20" s="5"/>
      <c r="AD20" s="5"/>
      <c r="AE20" s="8"/>
      <c r="AF20" s="31"/>
      <c r="AG20" s="5"/>
    </row>
    <row r="21" spans="1:33" x14ac:dyDescent="0.25">
      <c r="AC21" s="5"/>
      <c r="AD21" s="5"/>
      <c r="AE21" s="8"/>
      <c r="AF21" s="31"/>
      <c r="AG21" s="5"/>
    </row>
    <row r="22" spans="1:33" x14ac:dyDescent="0.25">
      <c r="AC22" s="5"/>
      <c r="AD22" s="5"/>
      <c r="AE22" s="8"/>
      <c r="AF22" s="31"/>
      <c r="AG22" s="5"/>
    </row>
    <row r="23" spans="1:33" x14ac:dyDescent="0.25">
      <c r="AC23" s="5"/>
      <c r="AD23" s="5"/>
      <c r="AE23" s="8"/>
      <c r="AF23" s="31"/>
      <c r="AG23" s="5"/>
    </row>
    <row r="24" spans="1:33" x14ac:dyDescent="0.25">
      <c r="AC24" s="5"/>
      <c r="AD24" s="5"/>
      <c r="AE24" s="8"/>
      <c r="AF24" s="31"/>
      <c r="AG24" s="5"/>
    </row>
    <row r="25" spans="1:33" x14ac:dyDescent="0.25">
      <c r="AC25" s="5"/>
      <c r="AD25" s="5"/>
      <c r="AE25" s="8"/>
      <c r="AF25" s="31"/>
      <c r="AG25" s="5"/>
    </row>
    <row r="26" spans="1:33" x14ac:dyDescent="0.25">
      <c r="AC26" s="5"/>
      <c r="AD26" s="5"/>
      <c r="AE26" s="8"/>
      <c r="AF26" s="31"/>
      <c r="AG26" s="5"/>
    </row>
    <row r="27" spans="1:33" x14ac:dyDescent="0.25">
      <c r="AC27" s="5"/>
      <c r="AD27" s="5"/>
      <c r="AE27" s="8"/>
      <c r="AF27" s="31"/>
      <c r="AG27" s="5"/>
    </row>
    <row r="28" spans="1:33" x14ac:dyDescent="0.25">
      <c r="AC28" s="5"/>
      <c r="AD28" s="5"/>
      <c r="AE28" s="8"/>
      <c r="AF28" s="31"/>
      <c r="AG28" s="5"/>
    </row>
    <row r="29" spans="1:33" x14ac:dyDescent="0.25">
      <c r="AC29" s="5"/>
      <c r="AD29" s="5"/>
      <c r="AE29" s="8"/>
      <c r="AF29" s="31"/>
      <c r="AG29" s="5"/>
    </row>
    <row r="30" spans="1:33" x14ac:dyDescent="0.25">
      <c r="AF30" s="31"/>
      <c r="AG30" s="5"/>
    </row>
    <row r="31" spans="1:33" x14ac:dyDescent="0.25">
      <c r="AF31" s="31"/>
      <c r="AG31" s="5"/>
    </row>
    <row r="32" spans="1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45967</v>
      </c>
      <c r="AG65" s="5">
        <f>R5</f>
        <v>10.83</v>
      </c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</mergeCells>
  <hyperlinks>
    <hyperlink ref="A5" location="'2024.11'!A1" display="'2024.11'!A1" xr:uid="{D1C6FF7F-5217-4D2E-8B2E-7A7F95F61D77}"/>
    <hyperlink ref="A6" location="'2024.12'!A1" display="'2024.12'!A1" xr:uid="{C3FF654C-E512-4638-B82E-3E31F357014C}"/>
    <hyperlink ref="A7" location="'2025.01'!A1" display="'2025.01'!A1" xr:uid="{F698BB3E-80B1-4B62-84BE-32E9FF15AD2A}"/>
    <hyperlink ref="A8" location="'2025.02'!A1" display="'2025.02'!A1" xr:uid="{27B0DF2D-F87E-4B1B-8307-CA490DA04550}"/>
    <hyperlink ref="A9" location="'2025.03'!A1" display="'2025.03'!A1" xr:uid="{B673F2AA-B771-4E30-ACB4-447481EDC3FB}"/>
    <hyperlink ref="A10" location="'2025.04'!A1" display="'2025.04'!A1" xr:uid="{31678BA7-6EA0-4C90-81E6-08A3361FE392}"/>
    <hyperlink ref="A11" location="'2025.05'!A1" display="'2025.05'!A1" xr:uid="{7BE2EBD7-B98D-412D-A551-1856F9B0F670}"/>
    <hyperlink ref="A12" location="'2025.06'!A1" display="'2025.06'!A1" xr:uid="{0F96F2CA-AA7E-4C5A-AE7A-16D87A2B2C6B}"/>
    <hyperlink ref="A13" location="'2025.07'!A1" display="'2025.07'!A1" xr:uid="{F67502FB-2D07-47F5-AEB1-7BEC08D6991D}"/>
    <hyperlink ref="A14" location="'2025.08'!A1" display="'2025.08'!A1" xr:uid="{30D13A5C-137D-4797-8354-E6914B51BF34}"/>
    <hyperlink ref="A15" location="'2025.09'!A1" display="'2025.09'!A1" xr:uid="{B949E3E0-FE35-4FF5-AFB1-DBE8E0B84FF9}"/>
    <hyperlink ref="A16" location="'2025.10'!A1" display="'2025.10'!A1" xr:uid="{3F20D443-08A3-4D67-BD1D-72D9C65AB487}"/>
    <hyperlink ref="A17" location="'2025.11'!A1" display="'2025.11'!A1" xr:uid="{5D862D15-FF78-40E2-B775-771774A2D2E7}"/>
  </hyperlinks>
  <pageMargins left="0.7" right="0.7" top="0.75" bottom="0.75" header="0.3" footer="0.3"/>
  <pageSetup orientation="portrait" r:id="rId1"/>
  <ignoredErrors>
    <ignoredError sqref="E5:E17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AG5" sqref="AG5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16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29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'2024.11'!Q2</f>
        <v>2024.11</v>
      </c>
      <c r="B5" s="5">
        <f>'2024.11'!B69</f>
        <v>9.99</v>
      </c>
      <c r="C5" s="5">
        <f>'2024.11'!C69</f>
        <v>9.9700000000000006</v>
      </c>
      <c r="D5" s="5">
        <f>C5</f>
        <v>9.9700000000000006</v>
      </c>
      <c r="E5" s="8">
        <f>'2024.11'!F69</f>
        <v>2.287326787189135</v>
      </c>
      <c r="F5" s="8">
        <f>E5</f>
        <v>2.287326787189135</v>
      </c>
      <c r="G5" s="7">
        <v>4.4204999999999997</v>
      </c>
      <c r="H5" s="5">
        <f t="shared" ref="H5:H10" si="0">F5*G5</f>
        <v>10.11112806276957</v>
      </c>
      <c r="I5" s="5">
        <f t="shared" ref="I5:I17" si="1">H5-D5</f>
        <v>0.14112806276956924</v>
      </c>
      <c r="J5" s="5">
        <f t="shared" ref="J5:J17" si="2">(H5-D5)*100/D5</f>
        <v>1.4155272093236633</v>
      </c>
      <c r="K5" s="5">
        <f>'2024.11'!D69</f>
        <v>1.9999999999999574E-2</v>
      </c>
      <c r="L5" s="5">
        <f>'2024.11'!J69</f>
        <v>0</v>
      </c>
      <c r="M5" s="5">
        <f>'2024.11'!O69</f>
        <v>0</v>
      </c>
      <c r="O5" s="3" t="s">
        <v>2</v>
      </c>
      <c r="P5" s="5">
        <f>SUM(B5:B61)</f>
        <v>9.99</v>
      </c>
      <c r="Q5" s="8">
        <f>SUM(E5:E61)</f>
        <v>2.287326787189135</v>
      </c>
      <c r="R5" s="5">
        <f>'2025.11'!I69-'2025.11'!J69</f>
        <v>10.030000000000001</v>
      </c>
      <c r="S5" s="5">
        <f>R5-P5+X5</f>
        <v>4.0000000000000924E-2</v>
      </c>
      <c r="T5" s="37">
        <f>(R5-P5+X5)/P5</f>
        <v>4.0040040040040968E-3</v>
      </c>
      <c r="U5" s="37">
        <f>XIRR(AG5:AG200,AF5:AF200)</f>
        <v>4.1879504919052129E-3</v>
      </c>
      <c r="V5" s="5">
        <f>SUM(K5:K16)</f>
        <v>1.9999999999999574E-2</v>
      </c>
      <c r="W5" s="5">
        <f>SUM(L5:L16)</f>
        <v>0</v>
      </c>
      <c r="X5" s="5">
        <f>SUM(M5:M16)</f>
        <v>0</v>
      </c>
      <c r="Y5" s="5" cm="1">
        <f t="array" ref="Y5">SUMPRODUCT(IFERROR(AD5:AD200,0),IFERROR(AE5:AE200,0))/SUM(IFERROR(AE5:AE200,0))</f>
        <v>4.3587999999999996</v>
      </c>
      <c r="AC5" s="5">
        <f>'2024.11'!$C$69</f>
        <v>9.9700000000000006</v>
      </c>
      <c r="AD5" s="5">
        <f>'2024.11'!$E$69</f>
        <v>4.3587999999999996</v>
      </c>
      <c r="AE5" s="8">
        <f>'2024.11'!$F$69</f>
        <v>2.287326787189135</v>
      </c>
      <c r="AF5" s="31">
        <f>'2024.11'!$A$65</f>
        <v>45618</v>
      </c>
      <c r="AG5" s="5">
        <f>'2024.11'!$B$65*-1</f>
        <v>-9.99</v>
      </c>
    </row>
    <row r="6" spans="1:33" x14ac:dyDescent="0.25">
      <c r="A6" s="50">
        <f>'2024.12'!Q2</f>
        <v>2024.12</v>
      </c>
      <c r="B6" s="5">
        <f>'2024.12'!B69</f>
        <v>0</v>
      </c>
      <c r="C6" s="5">
        <f>'2024.12'!C69</f>
        <v>0</v>
      </c>
      <c r="D6" s="5">
        <f t="shared" ref="D6:D17" si="3">D5+C6</f>
        <v>9.9700000000000006</v>
      </c>
      <c r="E6" s="8">
        <f>'2024.12'!F69</f>
        <v>0</v>
      </c>
      <c r="F6" s="8">
        <f t="shared" ref="F6:F11" si="4">F5+E6</f>
        <v>2.287326787189135</v>
      </c>
      <c r="G6" s="7">
        <v>4.3453999999999997</v>
      </c>
      <c r="H6" s="5">
        <f t="shared" si="0"/>
        <v>9.9393498210516658</v>
      </c>
      <c r="I6" s="5">
        <f t="shared" si="1"/>
        <v>-3.0650178948334883E-2</v>
      </c>
      <c r="J6" s="5">
        <f t="shared" si="2"/>
        <v>-0.3074240616683539</v>
      </c>
      <c r="K6" s="5">
        <f>'2024.12'!D69</f>
        <v>0</v>
      </c>
      <c r="L6" s="5">
        <f>'2024.12'!J69</f>
        <v>0</v>
      </c>
      <c r="M6" s="5">
        <f>'2024.12'!O69</f>
        <v>0</v>
      </c>
      <c r="AC6" s="5">
        <f>'2024.12'!$C$69</f>
        <v>0</v>
      </c>
      <c r="AD6" s="5" t="str">
        <f>'2024.12'!$E$69</f>
        <v>0.00</v>
      </c>
      <c r="AE6" s="8">
        <f>'2024.12'!$F$69</f>
        <v>0</v>
      </c>
      <c r="AF6" s="31"/>
      <c r="AG6" s="5"/>
    </row>
    <row r="7" spans="1:33" x14ac:dyDescent="0.25">
      <c r="A7" s="50">
        <f>'2025.01'!Q2</f>
        <v>2025.01</v>
      </c>
      <c r="B7" s="5">
        <f>'2025.01'!B69</f>
        <v>0</v>
      </c>
      <c r="C7" s="5">
        <f>'2025.01'!C69</f>
        <v>0</v>
      </c>
      <c r="D7" s="5">
        <f t="shared" si="3"/>
        <v>9.9700000000000006</v>
      </c>
      <c r="E7" s="8">
        <f>'2025.01'!F69</f>
        <v>0</v>
      </c>
      <c r="F7" s="8">
        <f t="shared" si="4"/>
        <v>2.287326787189135</v>
      </c>
      <c r="G7" s="7">
        <v>4.3499999999999996</v>
      </c>
      <c r="H7" s="5">
        <f t="shared" si="0"/>
        <v>9.9498715242727371</v>
      </c>
      <c r="I7" s="5">
        <f t="shared" si="1"/>
        <v>-2.0128475727263506E-2</v>
      </c>
      <c r="J7" s="5">
        <f t="shared" si="2"/>
        <v>-0.20189042855830999</v>
      </c>
      <c r="K7" s="5">
        <f>'2025.01'!D69</f>
        <v>0</v>
      </c>
      <c r="L7" s="5">
        <f>'2025.01'!J69</f>
        <v>0</v>
      </c>
      <c r="M7" s="5">
        <f>'2025.01'!O69</f>
        <v>0</v>
      </c>
      <c r="AC7" s="5">
        <f>'2025.01'!$C$69</f>
        <v>0</v>
      </c>
      <c r="AD7" s="5" t="str">
        <f>'2025.01'!$E$69</f>
        <v>0.00</v>
      </c>
      <c r="AE7" s="8">
        <f>'2025.01'!$F$69</f>
        <v>0</v>
      </c>
      <c r="AF7" s="31"/>
      <c r="AG7" s="5"/>
    </row>
    <row r="8" spans="1:33" x14ac:dyDescent="0.25">
      <c r="A8" s="50">
        <f>'2025.02'!Q2</f>
        <v>2025.02</v>
      </c>
      <c r="B8" s="5">
        <f>'2025.02'!B69</f>
        <v>0</v>
      </c>
      <c r="C8" s="5">
        <f>'2025.02'!C69</f>
        <v>0</v>
      </c>
      <c r="D8" s="5">
        <f t="shared" si="3"/>
        <v>9.9700000000000006</v>
      </c>
      <c r="E8" s="8">
        <f>'2025.02'!F69</f>
        <v>0</v>
      </c>
      <c r="F8" s="8">
        <f t="shared" si="4"/>
        <v>2.287326787189135</v>
      </c>
      <c r="G8" s="7">
        <v>4.3719999999999999</v>
      </c>
      <c r="H8" s="5">
        <f t="shared" si="0"/>
        <v>10.000192713590899</v>
      </c>
      <c r="I8" s="5">
        <f t="shared" si="1"/>
        <v>3.0192713590897924E-2</v>
      </c>
      <c r="J8" s="5">
        <f t="shared" si="2"/>
        <v>0.3028356428374917</v>
      </c>
      <c r="K8" s="5">
        <f>'2025.02'!D69</f>
        <v>0</v>
      </c>
      <c r="L8" s="5">
        <f>'2025.02'!J69</f>
        <v>0</v>
      </c>
      <c r="M8" s="5">
        <f>'2025.02'!O69</f>
        <v>0</v>
      </c>
      <c r="AC8" s="5">
        <f>'2025.02'!$C$69</f>
        <v>0</v>
      </c>
      <c r="AD8" s="5" t="str">
        <f>'2025.03'!$E$69</f>
        <v>0.00</v>
      </c>
      <c r="AE8" s="8">
        <f>'2025.02'!$F$69</f>
        <v>0</v>
      </c>
      <c r="AF8" s="31"/>
      <c r="AG8" s="5"/>
    </row>
    <row r="9" spans="1:33" x14ac:dyDescent="0.25">
      <c r="A9" s="50">
        <f>'2025.03'!Q2</f>
        <v>2025.03</v>
      </c>
      <c r="B9" s="5">
        <f>'2025.03'!B69</f>
        <v>0</v>
      </c>
      <c r="C9" s="5">
        <f>'2025.03'!C69</f>
        <v>0</v>
      </c>
      <c r="D9" s="5">
        <f t="shared" si="3"/>
        <v>9.9700000000000006</v>
      </c>
      <c r="E9" s="8">
        <f>'2025.03'!F69</f>
        <v>0</v>
      </c>
      <c r="F9" s="8">
        <f t="shared" si="4"/>
        <v>2.287326787189135</v>
      </c>
      <c r="G9" s="7">
        <v>4.2914000000000003</v>
      </c>
      <c r="H9" s="5">
        <f t="shared" si="0"/>
        <v>9.8158341745434541</v>
      </c>
      <c r="I9" s="5">
        <f t="shared" si="1"/>
        <v>-0.15416582545654656</v>
      </c>
      <c r="J9" s="5">
        <f t="shared" si="2"/>
        <v>-1.546297146003476</v>
      </c>
      <c r="K9" s="5">
        <f>'2025.03'!D69</f>
        <v>0</v>
      </c>
      <c r="L9" s="5">
        <f>'2025.03'!J69</f>
        <v>0</v>
      </c>
      <c r="M9" s="5">
        <f>'2025.03'!O69</f>
        <v>0</v>
      </c>
      <c r="AC9" s="5">
        <f>'2025.03'!$C$69</f>
        <v>0</v>
      </c>
      <c r="AD9" s="5" t="str">
        <f>'2025.04'!$E$69</f>
        <v>0.00</v>
      </c>
      <c r="AE9" s="8">
        <f>'2025.03'!$F$69</f>
        <v>0</v>
      </c>
      <c r="AF9" s="31"/>
      <c r="AG9" s="5"/>
    </row>
    <row r="10" spans="1:33" x14ac:dyDescent="0.25">
      <c r="A10" s="50">
        <f>'2025.04'!Q2</f>
        <v>2025.04</v>
      </c>
      <c r="B10" s="5">
        <f>'2025.04'!B69</f>
        <v>0</v>
      </c>
      <c r="C10" s="5">
        <f>'2025.04'!C69</f>
        <v>0</v>
      </c>
      <c r="D10" s="5">
        <f t="shared" si="3"/>
        <v>9.9700000000000006</v>
      </c>
      <c r="E10" s="8">
        <f>'2025.04'!F69</f>
        <v>0</v>
      </c>
      <c r="F10" s="8">
        <f t="shared" si="4"/>
        <v>2.287326787189135</v>
      </c>
      <c r="G10" s="7">
        <v>4.3783000000000003</v>
      </c>
      <c r="H10" s="5">
        <f t="shared" si="0"/>
        <v>10.01460287235019</v>
      </c>
      <c r="I10" s="5">
        <f t="shared" si="1"/>
        <v>4.4602872350189671E-2</v>
      </c>
      <c r="J10" s="5">
        <f t="shared" si="2"/>
        <v>0.44737083600992644</v>
      </c>
      <c r="K10" s="5">
        <f>'2025.04'!D69</f>
        <v>0</v>
      </c>
      <c r="L10" s="5">
        <f>'2025.04'!J69</f>
        <v>0</v>
      </c>
      <c r="M10" s="5">
        <f>'2025.04'!O69</f>
        <v>0</v>
      </c>
      <c r="AC10" s="5">
        <f>'2025.04'!$C$69</f>
        <v>0</v>
      </c>
      <c r="AD10" s="5" t="str">
        <f>'2025.05'!$E$69</f>
        <v>0.00</v>
      </c>
      <c r="AE10" s="8">
        <f>'2025.04'!$F$69</f>
        <v>0</v>
      </c>
      <c r="AF10" s="31"/>
      <c r="AG10" s="5"/>
    </row>
    <row r="11" spans="1:33" x14ac:dyDescent="0.25">
      <c r="A11" s="50">
        <f>'2025.05'!Q2</f>
        <v>2025.05</v>
      </c>
      <c r="B11" s="5">
        <f>'2025.05'!B69</f>
        <v>0</v>
      </c>
      <c r="C11" s="5">
        <f>'2025.05'!C69</f>
        <v>0</v>
      </c>
      <c r="D11" s="5">
        <f t="shared" si="3"/>
        <v>9.9700000000000006</v>
      </c>
      <c r="E11" s="8">
        <f>'2025.05'!F69</f>
        <v>0</v>
      </c>
      <c r="F11" s="8">
        <f t="shared" si="4"/>
        <v>2.287326787189135</v>
      </c>
      <c r="G11" s="7">
        <v>4.3906000000000001</v>
      </c>
      <c r="H11" s="5">
        <f t="shared" ref="H11" si="5">F11*G11</f>
        <v>10.042736991832616</v>
      </c>
      <c r="I11" s="5">
        <f t="shared" si="1"/>
        <v>7.2736991832615061E-2</v>
      </c>
      <c r="J11" s="5">
        <f t="shared" si="2"/>
        <v>0.72955859410847601</v>
      </c>
      <c r="K11" s="5">
        <f>'2025.05'!D69</f>
        <v>0</v>
      </c>
      <c r="L11" s="5">
        <f>'2025.05'!J69</f>
        <v>0</v>
      </c>
      <c r="M11" s="5">
        <f>'2025.05'!O69</f>
        <v>0</v>
      </c>
      <c r="AC11" s="5">
        <f>'2025.05'!$C$69</f>
        <v>0</v>
      </c>
      <c r="AD11" s="5" t="str">
        <f>'2025.06'!$E$69</f>
        <v>0.00</v>
      </c>
      <c r="AE11" s="8">
        <f>'2025.05'!$F$69</f>
        <v>0</v>
      </c>
      <c r="AF11" s="31"/>
      <c r="AG11" s="5"/>
    </row>
    <row r="12" spans="1:33" x14ac:dyDescent="0.25">
      <c r="A12" s="50">
        <f>'2025.06'!Q2</f>
        <v>2025.06</v>
      </c>
      <c r="B12" s="5">
        <f>'2025.06'!B69</f>
        <v>0</v>
      </c>
      <c r="C12" s="5">
        <f>'2025.06'!C69</f>
        <v>0</v>
      </c>
      <c r="D12" s="5">
        <f t="shared" si="3"/>
        <v>9.9700000000000006</v>
      </c>
      <c r="E12" s="8">
        <f>'2025.06'!F69</f>
        <v>0</v>
      </c>
      <c r="F12" s="8">
        <f t="shared" ref="F12" si="6">F11+E12</f>
        <v>2.287326787189135</v>
      </c>
      <c r="G12" s="7">
        <v>4.3734999999999999</v>
      </c>
      <c r="H12" s="5">
        <f t="shared" ref="H12" si="7">F12*G12</f>
        <v>10.003623703771682</v>
      </c>
      <c r="I12" s="5">
        <f t="shared" si="1"/>
        <v>3.3623703771681335E-2</v>
      </c>
      <c r="J12" s="5">
        <f t="shared" si="2"/>
        <v>0.33724878406902037</v>
      </c>
      <c r="K12" s="5">
        <f>'2025.06'!D69</f>
        <v>0</v>
      </c>
      <c r="L12" s="5">
        <f>'2025.06'!J69</f>
        <v>0</v>
      </c>
      <c r="M12" s="5">
        <f>'2025.06'!O69</f>
        <v>0</v>
      </c>
      <c r="AC12" s="5">
        <f>'2025.06'!$C$69</f>
        <v>0</v>
      </c>
      <c r="AD12" s="5" t="str">
        <f>'2025.07'!$E$69</f>
        <v>0.00</v>
      </c>
      <c r="AE12" s="8">
        <f>'2025.06'!$F$69</f>
        <v>0</v>
      </c>
      <c r="AF12" s="31"/>
      <c r="AG12" s="5"/>
    </row>
    <row r="13" spans="1:33" x14ac:dyDescent="0.25">
      <c r="A13" s="50">
        <f>'2025.07'!Q2</f>
        <v>2025.07</v>
      </c>
      <c r="B13" s="5">
        <f>'2025.07'!B69</f>
        <v>0</v>
      </c>
      <c r="C13" s="5">
        <f>'2025.07'!C69</f>
        <v>0</v>
      </c>
      <c r="D13" s="5">
        <f t="shared" si="3"/>
        <v>9.9700000000000006</v>
      </c>
      <c r="E13" s="8">
        <f>'2025.07'!F69</f>
        <v>0</v>
      </c>
      <c r="F13" s="8">
        <f t="shared" ref="F13" si="8">F12+E13</f>
        <v>2.287326787189135</v>
      </c>
      <c r="G13" s="7">
        <v>4.3644999999999996</v>
      </c>
      <c r="H13" s="5">
        <f t="shared" ref="H13" si="9">F13*G13</f>
        <v>9.983037762686978</v>
      </c>
      <c r="I13" s="5">
        <f t="shared" si="1"/>
        <v>1.3037762686977317E-2</v>
      </c>
      <c r="J13" s="5">
        <f t="shared" si="2"/>
        <v>0.1307699366798126</v>
      </c>
      <c r="K13" s="5">
        <f>'2025.07'!D69</f>
        <v>0</v>
      </c>
      <c r="L13" s="5">
        <f>'2025.07'!J69</f>
        <v>0</v>
      </c>
      <c r="M13" s="5">
        <f>'2025.07'!O69</f>
        <v>0</v>
      </c>
      <c r="AC13" s="5">
        <f>'2025.07'!$C$69</f>
        <v>0</v>
      </c>
      <c r="AD13" s="5" t="str">
        <f>'2025.08'!$E$69</f>
        <v>0.00</v>
      </c>
      <c r="AE13" s="8">
        <f>'2025.07'!$F$69</f>
        <v>0</v>
      </c>
      <c r="AF13" s="31"/>
      <c r="AG13" s="5"/>
    </row>
    <row r="14" spans="1:33" x14ac:dyDescent="0.25">
      <c r="A14" s="50">
        <f>'2025.08'!Q2</f>
        <v>2025.08</v>
      </c>
      <c r="B14" s="5">
        <f>'2025.08'!B69</f>
        <v>0</v>
      </c>
      <c r="C14" s="5">
        <f>'2025.08'!C69</f>
        <v>0</v>
      </c>
      <c r="D14" s="5">
        <f t="shared" si="3"/>
        <v>9.9700000000000006</v>
      </c>
      <c r="E14" s="8">
        <f>'2025.08'!F69</f>
        <v>0</v>
      </c>
      <c r="F14" s="8">
        <f t="shared" ref="F14" si="10">F13+E14</f>
        <v>2.287326787189135</v>
      </c>
      <c r="G14" s="7">
        <v>4.34</v>
      </c>
      <c r="H14" s="5">
        <f t="shared" ref="H14" si="11">F14*G14</f>
        <v>9.9269982564008448</v>
      </c>
      <c r="I14" s="5">
        <f t="shared" si="1"/>
        <v>-4.3001743599155873E-2</v>
      </c>
      <c r="J14" s="5">
        <f t="shared" si="2"/>
        <v>-0.43131137010186427</v>
      </c>
      <c r="K14" s="5">
        <f>'2025.08'!D69</f>
        <v>0</v>
      </c>
      <c r="L14" s="5">
        <f>'2025.08'!J69</f>
        <v>0</v>
      </c>
      <c r="M14" s="5">
        <f>'2025.08'!O69</f>
        <v>0</v>
      </c>
      <c r="AC14" s="5">
        <f>'2025.08'!$C$69</f>
        <v>0</v>
      </c>
      <c r="AD14" s="5" t="str">
        <f>'2025.08'!$E$69</f>
        <v>0.00</v>
      </c>
      <c r="AE14" s="8">
        <f>'2025.08'!$F$69</f>
        <v>0</v>
      </c>
      <c r="AF14" s="31"/>
      <c r="AG14" s="5"/>
    </row>
    <row r="15" spans="1:33" x14ac:dyDescent="0.25">
      <c r="A15" s="50">
        <f>'2025.09'!Q2</f>
        <v>2025.09</v>
      </c>
      <c r="B15" s="5">
        <f>'2025.09'!B69</f>
        <v>0</v>
      </c>
      <c r="C15" s="5">
        <f>'2025.09'!C69</f>
        <v>0</v>
      </c>
      <c r="D15" s="5">
        <f t="shared" si="3"/>
        <v>9.9700000000000006</v>
      </c>
      <c r="E15" s="8">
        <f>'2025.09'!F69</f>
        <v>0</v>
      </c>
      <c r="F15" s="8">
        <f t="shared" ref="F15" si="12">F14+E15</f>
        <v>2.287326787189135</v>
      </c>
      <c r="G15" s="7">
        <v>4.3624000000000001</v>
      </c>
      <c r="H15" s="5">
        <f t="shared" ref="H15" si="13">F15*G15</f>
        <v>9.9782343764338819</v>
      </c>
      <c r="I15" s="5">
        <f t="shared" si="1"/>
        <v>8.234376433881252E-3</v>
      </c>
      <c r="J15" s="5">
        <f t="shared" si="2"/>
        <v>8.2591538955679555E-2</v>
      </c>
      <c r="K15" s="5">
        <f>'2025.09'!D69</f>
        <v>0</v>
      </c>
      <c r="L15" s="5">
        <f>'2025.09'!J69</f>
        <v>0</v>
      </c>
      <c r="M15" s="5">
        <f>'2025.09'!O69</f>
        <v>0</v>
      </c>
      <c r="AC15" s="5">
        <f>'2025.09'!$C$69</f>
        <v>0</v>
      </c>
      <c r="AD15" s="5" t="str">
        <f>'2025.09'!$E$69</f>
        <v>0.00</v>
      </c>
      <c r="AE15" s="8">
        <f>'2025.09'!$F$69</f>
        <v>0</v>
      </c>
      <c r="AF15" s="31"/>
      <c r="AG15" s="5"/>
    </row>
    <row r="16" spans="1:33" x14ac:dyDescent="0.25">
      <c r="A16" s="50">
        <f>'2025.10'!Q2</f>
        <v>2025.1</v>
      </c>
      <c r="B16" s="5">
        <f>'2025.10'!B69</f>
        <v>0</v>
      </c>
      <c r="C16" s="5">
        <f>'2025.10'!C69</f>
        <v>0</v>
      </c>
      <c r="D16" s="5">
        <f t="shared" si="3"/>
        <v>9.9700000000000006</v>
      </c>
      <c r="E16" s="8">
        <f>'2025.10'!F69</f>
        <v>0</v>
      </c>
      <c r="F16" s="8">
        <f t="shared" ref="F16" si="14">F15+E16</f>
        <v>2.287326787189135</v>
      </c>
      <c r="G16" s="7">
        <v>4.4051999999999998</v>
      </c>
      <c r="H16" s="5">
        <f t="shared" ref="H16" si="15">F16*G16</f>
        <v>10.076131962925578</v>
      </c>
      <c r="I16" s="5">
        <f t="shared" si="1"/>
        <v>0.10613196292557703</v>
      </c>
      <c r="J16" s="5">
        <f t="shared" si="2"/>
        <v>1.0645131687620564</v>
      </c>
      <c r="K16" s="5">
        <f>'2025.10'!D69</f>
        <v>0</v>
      </c>
      <c r="L16" s="5">
        <f>'2025.10'!J69</f>
        <v>0</v>
      </c>
      <c r="M16" s="5">
        <f>'2025.10'!O69</f>
        <v>0</v>
      </c>
      <c r="AC16" s="5">
        <f>'2025.10'!$C$69</f>
        <v>0</v>
      </c>
      <c r="AD16" s="5" t="str">
        <f>'2025.10'!$E$69</f>
        <v>0.00</v>
      </c>
      <c r="AE16" s="8">
        <f>'2025.10'!$F$69</f>
        <v>0</v>
      </c>
      <c r="AF16" s="31"/>
      <c r="AG16" s="5"/>
    </row>
    <row r="17" spans="1:33" x14ac:dyDescent="0.25">
      <c r="A17" s="51">
        <f>'2025.11'!Q2</f>
        <v>2025.11</v>
      </c>
      <c r="B17" s="20">
        <f>'2025.11'!B69</f>
        <v>0</v>
      </c>
      <c r="C17" s="20">
        <f>'2025.11'!C69</f>
        <v>0</v>
      </c>
      <c r="D17" s="20">
        <f t="shared" si="3"/>
        <v>9.9700000000000006</v>
      </c>
      <c r="E17" s="21">
        <f>'2025.11'!F69</f>
        <v>0</v>
      </c>
      <c r="F17" s="21">
        <f t="shared" ref="F17" si="16">F16+E17</f>
        <v>2.287326787189135</v>
      </c>
      <c r="G17" s="22">
        <v>4.3992000000000004</v>
      </c>
      <c r="H17" s="20">
        <f t="shared" ref="H17" si="17">F17*G17</f>
        <v>10.062408002202444</v>
      </c>
      <c r="I17" s="20">
        <f t="shared" si="1"/>
        <v>9.2408002202443384E-2</v>
      </c>
      <c r="J17" s="20">
        <f t="shared" si="2"/>
        <v>0.9268606038359416</v>
      </c>
      <c r="K17" s="20">
        <f>'2025.11'!D69</f>
        <v>0</v>
      </c>
      <c r="L17" s="20">
        <f>'2025.11'!J69</f>
        <v>0.03</v>
      </c>
      <c r="M17" s="20">
        <f>'2025.11'!O69</f>
        <v>0</v>
      </c>
      <c r="AC17" s="5">
        <f>'2025.11'!$C$69</f>
        <v>0</v>
      </c>
      <c r="AD17" s="5" t="str">
        <f>'2025.11'!$E$69</f>
        <v>0.00</v>
      </c>
      <c r="AE17" s="8">
        <f>'2025.11'!$F$69</f>
        <v>0</v>
      </c>
      <c r="AF17" s="31"/>
      <c r="AG17" s="5"/>
    </row>
    <row r="18" spans="1:33" x14ac:dyDescent="0.25">
      <c r="AC18" s="5"/>
      <c r="AD18" s="5"/>
      <c r="AE18" s="8"/>
      <c r="AF18" s="31"/>
      <c r="AG18" s="5"/>
    </row>
    <row r="19" spans="1:33" x14ac:dyDescent="0.25">
      <c r="AC19" s="5"/>
      <c r="AD19" s="5"/>
      <c r="AE19" s="8"/>
      <c r="AF19" s="31"/>
      <c r="AG19" s="5"/>
    </row>
    <row r="20" spans="1:33" x14ac:dyDescent="0.25">
      <c r="AC20" s="5"/>
      <c r="AD20" s="5"/>
      <c r="AE20" s="8"/>
      <c r="AF20" s="31"/>
      <c r="AG20" s="5"/>
    </row>
    <row r="21" spans="1:33" x14ac:dyDescent="0.25">
      <c r="AC21" s="5"/>
      <c r="AD21" s="5"/>
      <c r="AE21" s="8"/>
      <c r="AF21" s="31"/>
      <c r="AG21" s="5"/>
    </row>
    <row r="22" spans="1:33" x14ac:dyDescent="0.25">
      <c r="AC22" s="5"/>
      <c r="AD22" s="5"/>
      <c r="AE22" s="8"/>
      <c r="AF22" s="31"/>
      <c r="AG22" s="5"/>
    </row>
    <row r="23" spans="1:33" x14ac:dyDescent="0.25">
      <c r="AC23" s="5"/>
      <c r="AD23" s="5"/>
      <c r="AE23" s="8"/>
      <c r="AF23" s="31"/>
      <c r="AG23" s="5"/>
    </row>
    <row r="24" spans="1:33" x14ac:dyDescent="0.25">
      <c r="AC24" s="5"/>
      <c r="AD24" s="5"/>
      <c r="AE24" s="8"/>
      <c r="AF24" s="31"/>
      <c r="AG24" s="5"/>
    </row>
    <row r="25" spans="1:33" x14ac:dyDescent="0.25">
      <c r="AC25" s="5"/>
      <c r="AD25" s="5"/>
      <c r="AE25" s="8"/>
      <c r="AF25" s="31"/>
      <c r="AG25" s="5"/>
    </row>
    <row r="26" spans="1:33" x14ac:dyDescent="0.25">
      <c r="AC26" s="5"/>
      <c r="AD26" s="5"/>
      <c r="AE26" s="8"/>
      <c r="AF26" s="31"/>
      <c r="AG26" s="5"/>
    </row>
    <row r="27" spans="1:33" x14ac:dyDescent="0.25">
      <c r="AC27" s="5"/>
      <c r="AD27" s="5"/>
      <c r="AE27" s="8"/>
      <c r="AF27" s="31"/>
      <c r="AG27" s="5"/>
    </row>
    <row r="28" spans="1:33" x14ac:dyDescent="0.25">
      <c r="AC28" s="5"/>
      <c r="AD28" s="5"/>
      <c r="AE28" s="8"/>
      <c r="AF28" s="31"/>
      <c r="AG28" s="5"/>
    </row>
    <row r="29" spans="1:33" x14ac:dyDescent="0.25">
      <c r="AC29" s="5"/>
      <c r="AD29" s="5"/>
      <c r="AE29" s="8"/>
      <c r="AF29" s="31"/>
      <c r="AG29" s="5"/>
    </row>
    <row r="30" spans="1:33" x14ac:dyDescent="0.25">
      <c r="AF30" s="31"/>
      <c r="AG30" s="5"/>
    </row>
    <row r="31" spans="1:33" x14ac:dyDescent="0.25">
      <c r="AF31" s="31"/>
      <c r="AG31" s="5"/>
    </row>
    <row r="32" spans="1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45967</v>
      </c>
      <c r="AG65" s="5">
        <f>R5</f>
        <v>10.030000000000001</v>
      </c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</mergeCells>
  <hyperlinks>
    <hyperlink ref="A5" location="'2024.11'!A1" display="'2024.11'!A1" xr:uid="{573BE04D-85A0-4ECC-B42B-B94E72B229A3}"/>
    <hyperlink ref="A6" location="'2024.12'!A1" display="'2024.12'!A1" xr:uid="{57F3584F-B783-4D91-AD23-AC12869F2B77}"/>
    <hyperlink ref="A7" location="'2025.01'!A1" display="'2025.01'!A1" xr:uid="{544E5A1D-2E6B-4906-AEAC-8EA272BE706E}"/>
    <hyperlink ref="A8" location="'2025.02'!A1" display="'2025.02'!A1" xr:uid="{55897A50-446B-425F-BE8F-01B2DE608BD2}"/>
    <hyperlink ref="A9" location="'2025.03'!A1" display="'2025.03'!A1" xr:uid="{B557559A-61FD-4C81-8ED2-9EF85AB51CA0}"/>
    <hyperlink ref="A10" location="'2025.04'!A1" display="'2025.04'!A1" xr:uid="{EEEFE49F-59C6-4B06-93E0-369F84FC87CB}"/>
    <hyperlink ref="A11" location="'2025.05'!A1" display="'2025.05'!A1" xr:uid="{3E928333-2EC8-4E93-8D33-2273C54917CC}"/>
    <hyperlink ref="A12" location="'2025.06'!A1" display="'2025.06'!A1" xr:uid="{3EA70099-C796-4912-9A39-8E99B13E319C}"/>
    <hyperlink ref="A13" location="'2025.07'!A1" display="'2025.07'!A1" xr:uid="{09D7B338-B95E-4617-A430-C8622B6EFEDE}"/>
    <hyperlink ref="A14" location="'2025.08'!A1" display="'2025.08'!A1" xr:uid="{FE722A1D-C872-4063-BEB8-A0E1B10CDBF9}"/>
    <hyperlink ref="A15" location="'2025.09'!A1" display="'2025.09'!A1" xr:uid="{F734561C-498B-4C4B-8EAE-03F236FAA4DC}"/>
    <hyperlink ref="A16" location="'2025.10'!A1" display="'2025.10'!A1" xr:uid="{D4569873-6B60-4B8A-9648-BF761A56E137}"/>
    <hyperlink ref="A17" location="'2025.11'!A1" display="'2025.11'!A1" xr:uid="{5394C9C9-1EDF-4008-B4A8-6F47B4E2C177}"/>
  </hyperlinks>
  <pageMargins left="0.7" right="0.7" top="0.75" bottom="0.75" header="0.3" footer="0.3"/>
  <pageSetup orientation="portrait" r:id="rId1"/>
  <ignoredErrors>
    <ignoredError sqref="E5:E17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U5" sqref="U5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18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31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'2025.02'!Q2</f>
        <v>2025.02</v>
      </c>
      <c r="B5" s="5">
        <f>'2025.02'!B79</f>
        <v>9.99</v>
      </c>
      <c r="C5" s="5">
        <f>'2025.02'!C79</f>
        <v>9.9700000000000006</v>
      </c>
      <c r="D5" s="5">
        <f>C5</f>
        <v>9.9700000000000006</v>
      </c>
      <c r="E5" s="8">
        <f>'2025.02'!F79</f>
        <v>1.7854584527220632</v>
      </c>
      <c r="F5" s="8">
        <f>E5</f>
        <v>1.7854584527220632</v>
      </c>
      <c r="G5" s="7">
        <v>5.6013999999999999</v>
      </c>
      <c r="H5" s="5">
        <f t="shared" ref="H5:H10" si="0">F5*G5</f>
        <v>10.001066977077365</v>
      </c>
      <c r="I5" s="5">
        <f t="shared" ref="I5:I14" si="1">H5-D5</f>
        <v>3.1066977077363944E-2</v>
      </c>
      <c r="J5" s="5">
        <f t="shared" ref="J5:J14" si="2">(H5-D5)*100/D5</f>
        <v>0.31160458452722106</v>
      </c>
      <c r="K5" s="5">
        <f>'2025.02'!D79</f>
        <v>1.9999999999999574E-2</v>
      </c>
      <c r="L5" s="5">
        <f>'2025.02'!J79</f>
        <v>0</v>
      </c>
      <c r="M5" s="5">
        <f>'2025.02'!O79</f>
        <v>0</v>
      </c>
      <c r="O5" s="3" t="s">
        <v>2</v>
      </c>
      <c r="P5" s="5">
        <f>SUM(B5:B59)</f>
        <v>9.99</v>
      </c>
      <c r="Q5" s="8">
        <f>SUM(E5:E59)</f>
        <v>1.7854584527220632</v>
      </c>
      <c r="R5" s="5">
        <f>'2025.11'!I79-'2025.11'!J79</f>
        <v>10.31</v>
      </c>
      <c r="S5" s="5">
        <f>R5-P5+X5</f>
        <v>0.32000000000000028</v>
      </c>
      <c r="T5" s="37">
        <f>(R5-P5+X5)/P5</f>
        <v>3.203203203203206E-2</v>
      </c>
      <c r="U5" s="37">
        <f>XIRR(AG5:AG200,AF5:AF200)</f>
        <v>4.5435717701911932E-2</v>
      </c>
      <c r="V5" s="5">
        <f>SUM(K5:K14)</f>
        <v>1.9999999999999574E-2</v>
      </c>
      <c r="W5" s="5">
        <f>SUM(L5:L14)</f>
        <v>0.03</v>
      </c>
      <c r="X5" s="5">
        <f>SUM(M5:M14)</f>
        <v>0</v>
      </c>
      <c r="Y5" s="5" cm="1">
        <f t="array" ref="Y5">SUMPRODUCT(IFERROR(AD5:AD200,0),IFERROR(AE5:AE200,0))/SUM(IFERROR(AE5:AE200,0))</f>
        <v>5.5839999999999996</v>
      </c>
      <c r="AC5" s="5">
        <f>'2025.02'!$C$79</f>
        <v>9.9700000000000006</v>
      </c>
      <c r="AD5" s="5">
        <f>'2025.02'!$E$79</f>
        <v>5.5839999999999996</v>
      </c>
      <c r="AE5" s="8">
        <f>'2025.02'!$F$79</f>
        <v>1.7854584527220632</v>
      </c>
      <c r="AF5" s="31">
        <f>'2025.02'!$A$75</f>
        <v>45708</v>
      </c>
      <c r="AG5" s="5">
        <f>'2025.02'!$B$75*-1</f>
        <v>-9.99</v>
      </c>
    </row>
    <row r="6" spans="1:33" x14ac:dyDescent="0.25">
      <c r="A6" s="50">
        <f>'2025.03'!Q2</f>
        <v>2025.03</v>
      </c>
      <c r="B6" s="5">
        <f>'2025.03'!B79</f>
        <v>0</v>
      </c>
      <c r="C6" s="5">
        <f>'2025.03'!C79</f>
        <v>0</v>
      </c>
      <c r="D6" s="5">
        <f t="shared" ref="D6:D14" si="3">D5+C6</f>
        <v>9.9700000000000006</v>
      </c>
      <c r="E6" s="8">
        <f>'2025.03'!F79</f>
        <v>0</v>
      </c>
      <c r="F6" s="8">
        <f t="shared" ref="F6:F11" si="4">F5+E6</f>
        <v>1.7854584527220632</v>
      </c>
      <c r="G6" s="7">
        <v>5.5351999999999997</v>
      </c>
      <c r="H6" s="5">
        <f t="shared" si="0"/>
        <v>9.8828696275071639</v>
      </c>
      <c r="I6" s="5">
        <f t="shared" si="1"/>
        <v>-8.7130372492836727E-2</v>
      </c>
      <c r="J6" s="5">
        <f t="shared" si="2"/>
        <v>-0.87392550143266523</v>
      </c>
      <c r="K6" s="5">
        <f>'2025.03'!D79</f>
        <v>0</v>
      </c>
      <c r="L6" s="5">
        <f>'2025.03'!J79</f>
        <v>0</v>
      </c>
      <c r="M6" s="5">
        <f>'2025.03'!O79</f>
        <v>0</v>
      </c>
      <c r="AC6" s="5">
        <f>'2025.03'!$C$79</f>
        <v>0</v>
      </c>
      <c r="AD6" s="5" t="str">
        <f>'2025.03'!$E$79</f>
        <v>0.00</v>
      </c>
      <c r="AE6" s="8">
        <f>'2025.03'!$F$79</f>
        <v>0</v>
      </c>
      <c r="AF6" s="31"/>
      <c r="AG6" s="5"/>
    </row>
    <row r="7" spans="1:33" x14ac:dyDescent="0.25">
      <c r="A7" s="50">
        <f>'2025.04'!Q2</f>
        <v>2025.04</v>
      </c>
      <c r="B7" s="5">
        <f>'2025.04'!B79</f>
        <v>0</v>
      </c>
      <c r="C7" s="5">
        <f>'2025.04'!C79</f>
        <v>0</v>
      </c>
      <c r="D7" s="5">
        <f t="shared" si="3"/>
        <v>9.9700000000000006</v>
      </c>
      <c r="E7" s="8">
        <f>'2025.04'!F79</f>
        <v>0</v>
      </c>
      <c r="F7" s="8">
        <f t="shared" si="4"/>
        <v>1.7854584527220632</v>
      </c>
      <c r="G7" s="7">
        <v>5.5674000000000001</v>
      </c>
      <c r="H7" s="5">
        <f t="shared" si="0"/>
        <v>9.9403613896848153</v>
      </c>
      <c r="I7" s="5">
        <f t="shared" si="1"/>
        <v>-2.9638610315185332E-2</v>
      </c>
      <c r="J7" s="5">
        <f t="shared" si="2"/>
        <v>-0.29727793696274152</v>
      </c>
      <c r="K7" s="5">
        <f>'2025.04'!D79</f>
        <v>0</v>
      </c>
      <c r="L7" s="5">
        <f>'2025.04'!J79</f>
        <v>0</v>
      </c>
      <c r="M7" s="5">
        <f>'2025.04'!O79</f>
        <v>0</v>
      </c>
      <c r="AC7" s="5">
        <f>'2025.04'!$C$79</f>
        <v>0</v>
      </c>
      <c r="AD7" s="5" t="str">
        <f>'2025.04'!$E$79</f>
        <v>0.00</v>
      </c>
      <c r="AE7" s="8">
        <f>'2025.04'!$F$79</f>
        <v>0</v>
      </c>
      <c r="AF7" s="31"/>
      <c r="AG7" s="5"/>
    </row>
    <row r="8" spans="1:33" x14ac:dyDescent="0.25">
      <c r="A8" s="50">
        <f>'2025.05'!Q2</f>
        <v>2025.05</v>
      </c>
      <c r="B8" s="5">
        <f>'2025.05'!B79</f>
        <v>0</v>
      </c>
      <c r="C8" s="5">
        <f>'2025.05'!C79</f>
        <v>0</v>
      </c>
      <c r="D8" s="5">
        <f t="shared" si="3"/>
        <v>9.9700000000000006</v>
      </c>
      <c r="E8" s="8">
        <f>'2025.05'!F79</f>
        <v>0</v>
      </c>
      <c r="F8" s="8">
        <f t="shared" si="4"/>
        <v>1.7854584527220632</v>
      </c>
      <c r="G8" s="7">
        <v>5.6536</v>
      </c>
      <c r="H8" s="5">
        <f t="shared" si="0"/>
        <v>10.094267908309456</v>
      </c>
      <c r="I8" s="5">
        <f t="shared" si="1"/>
        <v>0.12426790830945578</v>
      </c>
      <c r="J8" s="5">
        <f t="shared" si="2"/>
        <v>1.2464183381088842</v>
      </c>
      <c r="K8" s="5">
        <f>'2025.05'!D79</f>
        <v>0</v>
      </c>
      <c r="L8" s="5">
        <f>'2025.05'!J79</f>
        <v>0</v>
      </c>
      <c r="M8" s="5">
        <f>'2025.05'!O79</f>
        <v>0</v>
      </c>
      <c r="AC8" s="5">
        <f>'2025.05'!$C$79</f>
        <v>0</v>
      </c>
      <c r="AD8" s="5" t="str">
        <f>'2025.05'!$E$79</f>
        <v>0.00</v>
      </c>
      <c r="AE8" s="8">
        <f>'2025.05'!$F$79</f>
        <v>0</v>
      </c>
      <c r="AF8" s="31"/>
      <c r="AG8" s="5"/>
    </row>
    <row r="9" spans="1:33" x14ac:dyDescent="0.25">
      <c r="A9" s="50">
        <f>'2025.06'!Q2</f>
        <v>2025.06</v>
      </c>
      <c r="B9" s="5">
        <f>'2025.06'!B79</f>
        <v>0</v>
      </c>
      <c r="C9" s="5">
        <f>'2025.06'!C79</f>
        <v>0</v>
      </c>
      <c r="D9" s="5">
        <f t="shared" si="3"/>
        <v>9.9700000000000006</v>
      </c>
      <c r="E9" s="8">
        <f>'2025.06'!F79</f>
        <v>0</v>
      </c>
      <c r="F9" s="8">
        <f t="shared" si="4"/>
        <v>1.7854584527220632</v>
      </c>
      <c r="G9" s="7">
        <v>5.6761999999999997</v>
      </c>
      <c r="H9" s="5">
        <f t="shared" si="0"/>
        <v>10.134619269340975</v>
      </c>
      <c r="I9" s="5">
        <f t="shared" si="1"/>
        <v>0.16461926934097448</v>
      </c>
      <c r="J9" s="5">
        <f t="shared" si="2"/>
        <v>1.6511461318051601</v>
      </c>
      <c r="K9" s="5">
        <f>'2025.06'!D79</f>
        <v>0</v>
      </c>
      <c r="L9" s="5">
        <f>'2025.06'!J79</f>
        <v>0</v>
      </c>
      <c r="M9" s="5">
        <f>'2025.06'!O79</f>
        <v>0</v>
      </c>
      <c r="AC9" s="5">
        <f>'2025.06'!$C$79</f>
        <v>0</v>
      </c>
      <c r="AD9" s="5" t="str">
        <f>'2025.06'!$E$79</f>
        <v>0.00</v>
      </c>
      <c r="AE9" s="8">
        <f>'2025.06'!$F$79</f>
        <v>0</v>
      </c>
      <c r="AF9" s="31"/>
      <c r="AG9" s="5"/>
    </row>
    <row r="10" spans="1:33" x14ac:dyDescent="0.25">
      <c r="A10" s="50">
        <f>'2025.07'!Q2</f>
        <v>2025.07</v>
      </c>
      <c r="B10" s="5">
        <f>'2025.07'!B79</f>
        <v>0</v>
      </c>
      <c r="C10" s="5">
        <f>'2025.07'!C79</f>
        <v>0</v>
      </c>
      <c r="D10" s="5">
        <f t="shared" si="3"/>
        <v>9.9700000000000006</v>
      </c>
      <c r="E10" s="8">
        <f>'2025.07'!F79</f>
        <v>0</v>
      </c>
      <c r="F10" s="8">
        <f t="shared" si="4"/>
        <v>1.7854584527220632</v>
      </c>
      <c r="G10" s="7">
        <v>5.7309999999999999</v>
      </c>
      <c r="H10" s="5">
        <f t="shared" si="0"/>
        <v>10.232462392550143</v>
      </c>
      <c r="I10" s="5">
        <f t="shared" si="1"/>
        <v>0.26246239255014281</v>
      </c>
      <c r="J10" s="5">
        <f t="shared" si="2"/>
        <v>2.6325214899713418</v>
      </c>
      <c r="K10" s="5">
        <f>'2025.07'!D79</f>
        <v>0</v>
      </c>
      <c r="L10" s="5">
        <f>'2025.07'!J79</f>
        <v>0</v>
      </c>
      <c r="M10" s="5">
        <f>'2025.07'!O79</f>
        <v>0</v>
      </c>
      <c r="AC10" s="5">
        <f>'2025.07'!$C$79</f>
        <v>0</v>
      </c>
      <c r="AD10" s="5" t="str">
        <f>'2025.07'!$E$79</f>
        <v>0.00</v>
      </c>
      <c r="AE10" s="8">
        <f>'2025.07'!$F$79</f>
        <v>0</v>
      </c>
      <c r="AF10" s="31"/>
      <c r="AG10" s="5"/>
    </row>
    <row r="11" spans="1:33" x14ac:dyDescent="0.25">
      <c r="A11" s="50">
        <f>'2025.08'!Q2</f>
        <v>2025.08</v>
      </c>
      <c r="B11" s="5">
        <f>'2025.08'!B79</f>
        <v>0</v>
      </c>
      <c r="C11" s="5">
        <f>'2025.08'!C79</f>
        <v>0</v>
      </c>
      <c r="D11" s="5">
        <f t="shared" si="3"/>
        <v>9.9700000000000006</v>
      </c>
      <c r="E11" s="8">
        <f>'2025.08'!F79</f>
        <v>0</v>
      </c>
      <c r="F11" s="8">
        <f t="shared" si="4"/>
        <v>1.7854584527220632</v>
      </c>
      <c r="G11" s="7">
        <v>5.7308000000000003</v>
      </c>
      <c r="H11" s="5">
        <f t="shared" ref="H11" si="5">F11*G11</f>
        <v>10.232105300859601</v>
      </c>
      <c r="I11" s="5">
        <f t="shared" si="1"/>
        <v>0.26210530085960038</v>
      </c>
      <c r="J11" s="5">
        <f t="shared" si="2"/>
        <v>2.6289398280802443</v>
      </c>
      <c r="K11" s="5">
        <f>'2025.08'!D79</f>
        <v>0</v>
      </c>
      <c r="L11" s="5">
        <f>'2025.08'!J79</f>
        <v>0</v>
      </c>
      <c r="M11" s="5">
        <f>'2025.08'!O79</f>
        <v>0</v>
      </c>
      <c r="AC11" s="5">
        <f>'2025.08'!$C$79</f>
        <v>0</v>
      </c>
      <c r="AD11" s="5" t="str">
        <f>'2025.08'!$E$79</f>
        <v>0.00</v>
      </c>
      <c r="AE11" s="8">
        <f>'2025.08'!$F$79</f>
        <v>0</v>
      </c>
      <c r="AF11" s="31"/>
      <c r="AG11" s="5"/>
    </row>
    <row r="12" spans="1:33" x14ac:dyDescent="0.25">
      <c r="A12" s="50">
        <f>'2025.09'!Q2</f>
        <v>2025.09</v>
      </c>
      <c r="B12" s="5">
        <f>'2025.09'!B79</f>
        <v>0</v>
      </c>
      <c r="C12" s="5">
        <f>'2025.09'!C79</f>
        <v>0</v>
      </c>
      <c r="D12" s="5">
        <f t="shared" si="3"/>
        <v>9.9700000000000006</v>
      </c>
      <c r="E12" s="8">
        <f>'2025.09'!F79</f>
        <v>0</v>
      </c>
      <c r="F12" s="8">
        <f t="shared" ref="F12" si="6">F11+E12</f>
        <v>1.7854584527220632</v>
      </c>
      <c r="G12" s="7">
        <v>5.7708000000000004</v>
      </c>
      <c r="H12" s="5">
        <f t="shared" ref="H12" si="7">F12*G12</f>
        <v>10.303523638968482</v>
      </c>
      <c r="I12" s="5">
        <f t="shared" si="1"/>
        <v>0.33352363896848125</v>
      </c>
      <c r="J12" s="5">
        <f t="shared" si="2"/>
        <v>3.3452722063037235</v>
      </c>
      <c r="K12" s="5">
        <f>'2025.09'!D79</f>
        <v>0</v>
      </c>
      <c r="L12" s="5">
        <f>'2025.09'!J79</f>
        <v>0</v>
      </c>
      <c r="M12" s="5">
        <f>'2025.09'!O79</f>
        <v>0</v>
      </c>
      <c r="AC12" s="5">
        <f>'2025.09'!$C$79</f>
        <v>0</v>
      </c>
      <c r="AD12" s="5" t="str">
        <f>'2025.09'!$E$79</f>
        <v>0.00</v>
      </c>
      <c r="AE12" s="8">
        <f>'2025.09'!$F$79</f>
        <v>0</v>
      </c>
      <c r="AF12" s="31"/>
      <c r="AG12" s="5"/>
    </row>
    <row r="13" spans="1:33" x14ac:dyDescent="0.25">
      <c r="A13" s="50">
        <f>'2025.10'!Q2</f>
        <v>2025.1</v>
      </c>
      <c r="B13" s="5">
        <f>'2025.10'!B79</f>
        <v>0</v>
      </c>
      <c r="C13" s="5">
        <f>'2025.10'!C79</f>
        <v>0</v>
      </c>
      <c r="D13" s="5">
        <f t="shared" si="3"/>
        <v>9.9700000000000006</v>
      </c>
      <c r="E13" s="8">
        <f>'2025.10'!F79</f>
        <v>0</v>
      </c>
      <c r="F13" s="8">
        <f t="shared" ref="F13" si="8">F12+E13</f>
        <v>1.7854584527220632</v>
      </c>
      <c r="G13" s="7">
        <v>5.8056000000000001</v>
      </c>
      <c r="H13" s="5">
        <f t="shared" ref="H13" si="9">F13*G13</f>
        <v>10.36565759312321</v>
      </c>
      <c r="I13" s="5">
        <f t="shared" si="1"/>
        <v>0.39565759312320914</v>
      </c>
      <c r="J13" s="5">
        <f t="shared" si="2"/>
        <v>3.9684813753581656</v>
      </c>
      <c r="K13" s="5">
        <f>'2025.10'!D79</f>
        <v>0</v>
      </c>
      <c r="L13" s="5">
        <f>'2025.10'!J79</f>
        <v>0</v>
      </c>
      <c r="M13" s="5">
        <f>'2025.10'!O79</f>
        <v>0</v>
      </c>
      <c r="AC13" s="5">
        <f>'2025.10'!$C$79</f>
        <v>0</v>
      </c>
      <c r="AD13" s="5" t="str">
        <f>'2025.10'!$E$79</f>
        <v>0.00</v>
      </c>
      <c r="AE13" s="8">
        <f>'2025.10'!$F$79</f>
        <v>0</v>
      </c>
      <c r="AF13" s="31"/>
      <c r="AG13" s="5"/>
    </row>
    <row r="14" spans="1:33" x14ac:dyDescent="0.25">
      <c r="A14" s="51">
        <f>'2025.11'!Q2</f>
        <v>2025.11</v>
      </c>
      <c r="B14" s="20">
        <f>'2025.11'!B79</f>
        <v>0</v>
      </c>
      <c r="C14" s="20">
        <f>'2025.11'!C79</f>
        <v>0</v>
      </c>
      <c r="D14" s="20">
        <f t="shared" si="3"/>
        <v>9.9700000000000006</v>
      </c>
      <c r="E14" s="21">
        <f>'2025.11'!F79</f>
        <v>0</v>
      </c>
      <c r="F14" s="21">
        <f t="shared" ref="F14" si="10">F13+E14</f>
        <v>1.7854584527220632</v>
      </c>
      <c r="G14" s="22">
        <v>5.7930000000000001</v>
      </c>
      <c r="H14" s="20">
        <f t="shared" ref="H14" si="11">F14*G14</f>
        <v>10.343160816618912</v>
      </c>
      <c r="I14" s="20">
        <f t="shared" si="1"/>
        <v>0.37316081661891154</v>
      </c>
      <c r="J14" s="20">
        <f t="shared" si="2"/>
        <v>3.7428366762177685</v>
      </c>
      <c r="K14" s="20">
        <f>'2025.11'!D79</f>
        <v>0</v>
      </c>
      <c r="L14" s="20">
        <f>'2025.11'!J79</f>
        <v>0.03</v>
      </c>
      <c r="M14" s="20">
        <f>'2025.11'!O79</f>
        <v>0</v>
      </c>
      <c r="AC14" s="5">
        <f>'2025.11'!$C$79</f>
        <v>0</v>
      </c>
      <c r="AD14" s="5" t="str">
        <f>'2025.11'!$E$79</f>
        <v>0.00</v>
      </c>
      <c r="AE14" s="8">
        <f>'2025.11'!$F$79</f>
        <v>0</v>
      </c>
      <c r="AF14" s="31"/>
      <c r="AG14" s="5"/>
    </row>
    <row r="15" spans="1:33" x14ac:dyDescent="0.25">
      <c r="AC15" s="5"/>
      <c r="AD15" s="5"/>
      <c r="AE15" s="8"/>
      <c r="AF15" s="31"/>
      <c r="AG15" s="5"/>
    </row>
    <row r="16" spans="1:33" x14ac:dyDescent="0.25">
      <c r="AC16" s="5"/>
      <c r="AD16" s="5"/>
      <c r="AE16" s="8"/>
      <c r="AF16" s="31"/>
      <c r="AG16" s="5"/>
    </row>
    <row r="17" spans="29:33" x14ac:dyDescent="0.25">
      <c r="AC17" s="5"/>
      <c r="AD17" s="5"/>
      <c r="AE17" s="8"/>
      <c r="AF17" s="31"/>
      <c r="AG17" s="5"/>
    </row>
    <row r="18" spans="29:33" x14ac:dyDescent="0.25">
      <c r="AC18" s="5"/>
      <c r="AD18" s="5"/>
      <c r="AE18" s="8"/>
      <c r="AF18" s="31"/>
      <c r="AG18" s="5"/>
    </row>
    <row r="19" spans="29:33" x14ac:dyDescent="0.25">
      <c r="AC19" s="5"/>
      <c r="AD19" s="5"/>
      <c r="AE19" s="8"/>
      <c r="AF19" s="31"/>
      <c r="AG19" s="5"/>
    </row>
    <row r="20" spans="29:33" x14ac:dyDescent="0.25">
      <c r="AC20" s="5"/>
      <c r="AD20" s="5"/>
      <c r="AE20" s="8"/>
      <c r="AF20" s="31"/>
      <c r="AG20" s="5"/>
    </row>
    <row r="21" spans="29:33" x14ac:dyDescent="0.25">
      <c r="AC21" s="5"/>
      <c r="AD21" s="5"/>
      <c r="AE21" s="8"/>
      <c r="AF21" s="31"/>
      <c r="AG21" s="5"/>
    </row>
    <row r="22" spans="29:33" x14ac:dyDescent="0.25">
      <c r="AC22" s="5"/>
      <c r="AD22" s="5"/>
      <c r="AE22" s="8"/>
      <c r="AF22" s="31"/>
      <c r="AG22" s="5"/>
    </row>
    <row r="23" spans="29:33" x14ac:dyDescent="0.25">
      <c r="AC23" s="5"/>
      <c r="AD23" s="5"/>
      <c r="AE23" s="8"/>
      <c r="AF23" s="31"/>
      <c r="AG23" s="5"/>
    </row>
    <row r="24" spans="29:33" x14ac:dyDescent="0.25">
      <c r="AC24" s="5"/>
      <c r="AD24" s="5"/>
      <c r="AE24" s="8"/>
      <c r="AF24" s="31"/>
      <c r="AG24" s="5"/>
    </row>
    <row r="25" spans="29:33" x14ac:dyDescent="0.25">
      <c r="AC25" s="5"/>
      <c r="AD25" s="5"/>
      <c r="AE25" s="8"/>
      <c r="AF25" s="31"/>
      <c r="AG25" s="5"/>
    </row>
    <row r="26" spans="29:33" x14ac:dyDescent="0.25">
      <c r="AC26" s="5"/>
      <c r="AD26" s="5"/>
      <c r="AE26" s="8"/>
      <c r="AF26" s="31"/>
      <c r="AG26" s="5"/>
    </row>
    <row r="27" spans="29:33" x14ac:dyDescent="0.25">
      <c r="AC27" s="5"/>
      <c r="AD27" s="5"/>
      <c r="AE27" s="8"/>
      <c r="AF27" s="31"/>
      <c r="AG27" s="5"/>
    </row>
    <row r="28" spans="29:33" x14ac:dyDescent="0.25">
      <c r="AC28" s="5"/>
      <c r="AD28" s="5"/>
      <c r="AE28" s="8"/>
      <c r="AF28" s="31"/>
      <c r="AG28" s="5"/>
    </row>
    <row r="29" spans="29:33" x14ac:dyDescent="0.25">
      <c r="AC29" s="5"/>
      <c r="AD29" s="5"/>
      <c r="AE29" s="8"/>
      <c r="AF29" s="31"/>
      <c r="AG29" s="5"/>
    </row>
    <row r="30" spans="29:33" x14ac:dyDescent="0.25">
      <c r="AF30" s="31"/>
      <c r="AG30" s="5"/>
    </row>
    <row r="31" spans="29:33" x14ac:dyDescent="0.25">
      <c r="AF31" s="31"/>
      <c r="AG31" s="5"/>
    </row>
    <row r="32" spans="29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45967</v>
      </c>
      <c r="AG65" s="5">
        <f>R5</f>
        <v>10.31</v>
      </c>
    </row>
  </sheetData>
  <mergeCells count="18">
    <mergeCell ref="AF3:AG3"/>
    <mergeCell ref="V3:W3"/>
    <mergeCell ref="K3:L3"/>
    <mergeCell ref="M3:M4"/>
    <mergeCell ref="O3:O4"/>
    <mergeCell ref="P3:P4"/>
    <mergeCell ref="Q3:Q4"/>
    <mergeCell ref="R3:R4"/>
    <mergeCell ref="S3:U3"/>
    <mergeCell ref="AC3:AC4"/>
    <mergeCell ref="AD3:AD4"/>
    <mergeCell ref="AE3:AE4"/>
    <mergeCell ref="A3:A4"/>
    <mergeCell ref="B3:D3"/>
    <mergeCell ref="E3:F3"/>
    <mergeCell ref="G3:J3"/>
    <mergeCell ref="Y3:Y4"/>
    <mergeCell ref="X3:X4"/>
  </mergeCells>
  <hyperlinks>
    <hyperlink ref="A5" location="'2025.02'!A1" display="'2025.02'!A1" xr:uid="{E1DDD041-F128-4E1E-BBB6-036A0DBC7C80}"/>
    <hyperlink ref="A6" location="'2025.03'!A1" display="'2025.03'!A1" xr:uid="{C58881FE-26AF-4F2B-9975-6E844FE87C77}"/>
    <hyperlink ref="A7" location="'2025.04'!A1" display="'2025.04'!A1" xr:uid="{2C7D0F67-E4D1-430F-A1DF-6E4DCFF607BD}"/>
    <hyperlink ref="A8" location="'2025.05'!A1" display="'2025.05'!A1" xr:uid="{047451BF-DE15-4BF4-9C14-321DC6512EC5}"/>
    <hyperlink ref="A9" location="'2025.06'!A1" display="'2025.06'!A1" xr:uid="{1E69C30A-B7D9-4272-9AEB-7CDAA004A104}"/>
    <hyperlink ref="A10" location="'2025.07'!A1" display="'2025.07'!A1" xr:uid="{09C638B5-1BF1-44A3-A16C-A1F7EC4B8CCA}"/>
    <hyperlink ref="A11" location="'2025.08'!A1" display="'2025.08'!A1" xr:uid="{29CF27B3-31AE-4F11-A23F-F347E4A5EFCF}"/>
    <hyperlink ref="A12" location="'2025.09'!A1" display="'2025.09'!A1" xr:uid="{C24B45F5-66B6-4641-A87E-2B9F5E796C7E}"/>
    <hyperlink ref="A13" location="'2025.10'!A1" display="'2025.10'!A1" xr:uid="{8C7AF5CA-FECF-4EC9-A372-3A879F72F4A5}"/>
    <hyperlink ref="A14" location="'2025.11'!A1" display="'2025.11'!A1" xr:uid="{F6B7E4D3-40F2-4A21-97EA-AA3DE4D6FE70}"/>
  </hyperlinks>
  <pageMargins left="0.7" right="0.7" top="0.75" bottom="0.75" header="0.3" footer="0.3"/>
  <pageSetup orientation="portrait" r:id="rId1"/>
  <ignoredErrors>
    <ignoredError sqref="E5:E14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U5" sqref="U5"/>
    </sheetView>
  </sheetViews>
  <sheetFormatPr defaultRowHeight="15" x14ac:dyDescent="0.25"/>
  <cols>
    <col min="1" max="1" width="15.7109375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2" t="s">
        <v>19</v>
      </c>
    </row>
    <row r="2" spans="1:33" x14ac:dyDescent="0.25">
      <c r="A2" s="12"/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32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'2025.03'!B89</f>
        <v>9.98</v>
      </c>
      <c r="C5" s="5">
        <f>'2025.03'!C89</f>
        <v>9.9600000000000009</v>
      </c>
      <c r="D5" s="5">
        <f>C5</f>
        <v>9.9600000000000009</v>
      </c>
      <c r="E5" s="8">
        <f>'2025.03'!F89</f>
        <v>0.19009084662951373</v>
      </c>
      <c r="F5" s="8">
        <f>E5</f>
        <v>0.19009084662951373</v>
      </c>
      <c r="G5" s="7">
        <v>52.406999999999996</v>
      </c>
      <c r="H5" s="5">
        <f t="shared" ref="H5:H10" si="0">F5*G5</f>
        <v>9.9620909993129256</v>
      </c>
      <c r="I5" s="5">
        <f t="shared" ref="I5:I13" si="1">H5-D5</f>
        <v>2.0909993129247795E-3</v>
      </c>
      <c r="J5" s="5">
        <f t="shared" ref="J5:J13" si="2">(H5-D5)*100/D5</f>
        <v>2.099396900526887E-2</v>
      </c>
      <c r="K5" s="5">
        <f>'2025.03'!D89</f>
        <v>1.9999999999999574E-2</v>
      </c>
      <c r="L5" s="5">
        <f>'2025.03'!J89</f>
        <v>0</v>
      </c>
      <c r="M5" s="5">
        <f>'2025.03'!O89</f>
        <v>0</v>
      </c>
      <c r="O5" s="3" t="s">
        <v>2</v>
      </c>
      <c r="P5" s="5">
        <f>SUM(B5:B57)</f>
        <v>9.98</v>
      </c>
      <c r="Q5" s="8">
        <f>SUM(E5:E57)</f>
        <v>0.19009084662951373</v>
      </c>
      <c r="R5" s="5">
        <f>'2025.11'!I89-'2025.11'!J89</f>
        <v>10.24</v>
      </c>
      <c r="S5" s="5">
        <f>R5-P5+X5</f>
        <v>0.25999999999999979</v>
      </c>
      <c r="T5" s="37">
        <f>(R5-P5+X5)/P5</f>
        <v>2.6052104208416811E-2</v>
      </c>
      <c r="U5" s="37">
        <f>XIRR(AG5:AG200,AF5:AF200)</f>
        <v>4.2797937989234924E-2</v>
      </c>
      <c r="V5" s="5">
        <f>SUM(K5:K13)</f>
        <v>1.9999999999999574E-2</v>
      </c>
      <c r="W5" s="5">
        <f>SUM(L5:L13)</f>
        <v>0.03</v>
      </c>
      <c r="X5" s="5">
        <f>SUM(M5:M13)</f>
        <v>0</v>
      </c>
      <c r="Y5" s="5" cm="1">
        <f t="array" ref="Y5">SUMPRODUCT(IFERROR(AD5:AD200,0),IFERROR(AE5:AE200,0))/SUM(IFERROR(AE5:AE200,0))</f>
        <v>52.396000000000001</v>
      </c>
      <c r="AC5" s="5">
        <f>'2025.03'!$C$89</f>
        <v>9.9600000000000009</v>
      </c>
      <c r="AD5" s="5">
        <f>'2025.03'!$E$89</f>
        <v>52.396000000000001</v>
      </c>
      <c r="AE5" s="8">
        <f>'2025.03'!$F$89</f>
        <v>0.19009084662951373</v>
      </c>
      <c r="AF5" s="31">
        <f>'2025.03'!$A$85</f>
        <v>45747</v>
      </c>
      <c r="AG5" s="5">
        <f>'2025.03'!$B$85*-1</f>
        <v>-9.98</v>
      </c>
    </row>
    <row r="6" spans="1:33" x14ac:dyDescent="0.25">
      <c r="A6" s="50">
        <f>'2025.04'!Q2</f>
        <v>2025.04</v>
      </c>
      <c r="B6" s="5">
        <f>'2025.04'!B89</f>
        <v>0</v>
      </c>
      <c r="C6" s="5">
        <f>'2025.04'!C89</f>
        <v>0</v>
      </c>
      <c r="D6" s="5">
        <f t="shared" ref="D6:D13" si="3">D5+C6</f>
        <v>9.9600000000000009</v>
      </c>
      <c r="E6" s="8">
        <f>'2025.04'!F89</f>
        <v>0</v>
      </c>
      <c r="F6" s="8">
        <f t="shared" ref="F6:F11" si="4">F5+E6</f>
        <v>0.19009084662951373</v>
      </c>
      <c r="G6" s="7">
        <v>52.924999999999997</v>
      </c>
      <c r="H6" s="5">
        <f t="shared" si="0"/>
        <v>10.060558057867013</v>
      </c>
      <c r="I6" s="5">
        <f t="shared" si="1"/>
        <v>0.100558057867012</v>
      </c>
      <c r="J6" s="5">
        <f t="shared" si="2"/>
        <v>1.0096190548896786</v>
      </c>
      <c r="K6" s="5">
        <f>'2025.04'!D89</f>
        <v>0</v>
      </c>
      <c r="L6" s="5">
        <f>'2025.04'!J89</f>
        <v>0</v>
      </c>
      <c r="M6" s="5">
        <f>'2025.04'!O89</f>
        <v>0</v>
      </c>
      <c r="AC6" s="5">
        <f>'2025.04'!$C$89</f>
        <v>0</v>
      </c>
      <c r="AD6" s="5" t="str">
        <f>'2025.04'!$E$89</f>
        <v>0.00</v>
      </c>
      <c r="AE6" s="8">
        <f>'2025.04'!$F$89</f>
        <v>0</v>
      </c>
      <c r="AF6" s="31"/>
      <c r="AG6" s="5"/>
    </row>
    <row r="7" spans="1:33" x14ac:dyDescent="0.25">
      <c r="A7" s="50">
        <f>'2025.05'!Q2</f>
        <v>2025.05</v>
      </c>
      <c r="B7" s="5">
        <f>'2025.05'!B89</f>
        <v>0</v>
      </c>
      <c r="C7" s="5">
        <f>'2025.05'!C89</f>
        <v>0</v>
      </c>
      <c r="D7" s="5">
        <f t="shared" si="3"/>
        <v>9.9600000000000009</v>
      </c>
      <c r="E7" s="8">
        <f>'2025.05'!F89</f>
        <v>0</v>
      </c>
      <c r="F7" s="8">
        <f t="shared" si="4"/>
        <v>0.19009084662951373</v>
      </c>
      <c r="G7" s="7">
        <v>53.238</v>
      </c>
      <c r="H7" s="5">
        <f t="shared" si="0"/>
        <v>10.120056492862052</v>
      </c>
      <c r="I7" s="5">
        <f t="shared" si="1"/>
        <v>0.1600564928620507</v>
      </c>
      <c r="J7" s="5">
        <f t="shared" si="2"/>
        <v>1.6069929002213925</v>
      </c>
      <c r="K7" s="5">
        <f>'2025.05'!D89</f>
        <v>0</v>
      </c>
      <c r="L7" s="5">
        <f>'2025.05'!J89</f>
        <v>0</v>
      </c>
      <c r="M7" s="5">
        <f>'2025.05'!O89</f>
        <v>0</v>
      </c>
      <c r="AC7" s="5">
        <f>'2025.05'!$C$89</f>
        <v>0</v>
      </c>
      <c r="AD7" s="5" t="str">
        <f>'2025.05'!$E$89</f>
        <v>0.00</v>
      </c>
      <c r="AE7" s="8">
        <f>'2025.05'!$F$89</f>
        <v>0</v>
      </c>
      <c r="AF7" s="31"/>
      <c r="AG7" s="5"/>
    </row>
    <row r="8" spans="1:33" x14ac:dyDescent="0.25">
      <c r="A8" s="50">
        <f>'2025.06'!Q2</f>
        <v>2025.06</v>
      </c>
      <c r="B8" s="5">
        <f>'2025.06'!B89</f>
        <v>0</v>
      </c>
      <c r="C8" s="5">
        <f>'2025.06'!C89</f>
        <v>0</v>
      </c>
      <c r="D8" s="5">
        <f t="shared" si="3"/>
        <v>9.9600000000000009</v>
      </c>
      <c r="E8" s="8">
        <f>'2025.06'!F89</f>
        <v>0</v>
      </c>
      <c r="F8" s="8">
        <f t="shared" si="4"/>
        <v>0.19009084662951373</v>
      </c>
      <c r="G8" s="7">
        <v>53.411999999999999</v>
      </c>
      <c r="H8" s="5">
        <f t="shared" si="0"/>
        <v>10.153132300175587</v>
      </c>
      <c r="I8" s="5">
        <f t="shared" si="1"/>
        <v>0.19313230017558602</v>
      </c>
      <c r="J8" s="5">
        <f t="shared" si="2"/>
        <v>1.9390793190319879</v>
      </c>
      <c r="K8" s="5">
        <f>'2025.06'!D89</f>
        <v>0</v>
      </c>
      <c r="L8" s="5">
        <f>'2025.06'!J89</f>
        <v>0</v>
      </c>
      <c r="M8" s="5">
        <f>'2025.06'!O89</f>
        <v>0</v>
      </c>
      <c r="AC8" s="5">
        <f>'2025.06'!$C$89</f>
        <v>0</v>
      </c>
      <c r="AD8" s="5" t="str">
        <f>'2025.06'!$E$89</f>
        <v>0.00</v>
      </c>
      <c r="AE8" s="8">
        <f>'2025.06'!$F$89</f>
        <v>0</v>
      </c>
      <c r="AF8" s="31"/>
      <c r="AG8" s="5"/>
    </row>
    <row r="9" spans="1:33" x14ac:dyDescent="0.25">
      <c r="A9" s="50">
        <f>'2025.07'!Q2</f>
        <v>2025.07</v>
      </c>
      <c r="B9" s="5">
        <f>'2025.07'!B89</f>
        <v>0</v>
      </c>
      <c r="C9" s="5">
        <f>'2025.07'!C89</f>
        <v>0</v>
      </c>
      <c r="D9" s="5">
        <f t="shared" si="3"/>
        <v>9.9600000000000009</v>
      </c>
      <c r="E9" s="8">
        <f>'2025.07'!F89</f>
        <v>0</v>
      </c>
      <c r="F9" s="8">
        <f t="shared" si="4"/>
        <v>0.19009084662951373</v>
      </c>
      <c r="G9" s="7">
        <v>53.654000000000003</v>
      </c>
      <c r="H9" s="5">
        <f t="shared" si="0"/>
        <v>10.19913428505993</v>
      </c>
      <c r="I9" s="5">
        <f t="shared" si="1"/>
        <v>0.2391342850599294</v>
      </c>
      <c r="J9" s="5">
        <f t="shared" si="2"/>
        <v>2.4009466371478854</v>
      </c>
      <c r="K9" s="5">
        <f>'2025.07'!D89</f>
        <v>0</v>
      </c>
      <c r="L9" s="5">
        <f>'2025.07'!J89</f>
        <v>0</v>
      </c>
      <c r="M9" s="5">
        <f>'2025.07'!O89</f>
        <v>0</v>
      </c>
      <c r="AC9" s="5">
        <f>'2025.07'!$C$89</f>
        <v>0</v>
      </c>
      <c r="AD9" s="5" t="str">
        <f>'2025.07'!$E$89</f>
        <v>0.00</v>
      </c>
      <c r="AE9" s="8">
        <f>'2025.07'!$F$89</f>
        <v>0</v>
      </c>
      <c r="AF9" s="31"/>
      <c r="AG9" s="5"/>
    </row>
    <row r="10" spans="1:33" x14ac:dyDescent="0.25">
      <c r="A10" s="50">
        <f>'2025.08'!Q2</f>
        <v>2025.08</v>
      </c>
      <c r="B10" s="5">
        <f>'2025.08'!B89</f>
        <v>0</v>
      </c>
      <c r="C10" s="5">
        <f>'2025.08'!C89</f>
        <v>0</v>
      </c>
      <c r="D10" s="5">
        <f t="shared" si="3"/>
        <v>9.9600000000000009</v>
      </c>
      <c r="E10" s="8">
        <f>'2025.08'!F89</f>
        <v>0</v>
      </c>
      <c r="F10" s="8">
        <f t="shared" si="4"/>
        <v>0.19009084662951373</v>
      </c>
      <c r="G10" s="7">
        <v>53.676000000000002</v>
      </c>
      <c r="H10" s="5">
        <f t="shared" si="0"/>
        <v>10.20331628368578</v>
      </c>
      <c r="I10" s="5">
        <f t="shared" si="1"/>
        <v>0.24331628368577896</v>
      </c>
      <c r="J10" s="5">
        <f t="shared" si="2"/>
        <v>2.4429345751584228</v>
      </c>
      <c r="K10" s="5">
        <f>'2025.08'!D89</f>
        <v>0</v>
      </c>
      <c r="L10" s="5">
        <f>'2025.08'!J89</f>
        <v>0</v>
      </c>
      <c r="M10" s="5">
        <f>'2025.08'!O89</f>
        <v>0</v>
      </c>
      <c r="AC10" s="5">
        <f>'2025.08'!$C$89</f>
        <v>0</v>
      </c>
      <c r="AD10" s="5" t="str">
        <f>'2025.08'!$E$89</f>
        <v>0.00</v>
      </c>
      <c r="AE10" s="8">
        <f>'2025.08'!$F$89</f>
        <v>0</v>
      </c>
      <c r="AF10" s="31"/>
      <c r="AG10" s="5"/>
    </row>
    <row r="11" spans="1:33" x14ac:dyDescent="0.25">
      <c r="A11" s="50">
        <f>'2025.09'!Q2</f>
        <v>2025.09</v>
      </c>
      <c r="B11" s="5">
        <f>'2025.09'!B89</f>
        <v>0</v>
      </c>
      <c r="C11" s="5">
        <f>'2025.09'!C89</f>
        <v>0</v>
      </c>
      <c r="D11" s="5">
        <f t="shared" si="3"/>
        <v>9.9600000000000009</v>
      </c>
      <c r="E11" s="8">
        <f>'2025.09'!F89</f>
        <v>0</v>
      </c>
      <c r="F11" s="8">
        <f t="shared" si="4"/>
        <v>0.19009084662951373</v>
      </c>
      <c r="G11" s="7">
        <v>53.863</v>
      </c>
      <c r="H11" s="5">
        <f t="shared" ref="H11" si="5">F11*G11</f>
        <v>10.238863272005498</v>
      </c>
      <c r="I11" s="5">
        <f t="shared" si="1"/>
        <v>0.27886327200549665</v>
      </c>
      <c r="J11" s="5">
        <f t="shared" si="2"/>
        <v>2.7998320482479579</v>
      </c>
      <c r="K11" s="5">
        <f>'2025.09'!D89</f>
        <v>0</v>
      </c>
      <c r="L11" s="5">
        <f>'2025.09'!J89</f>
        <v>0</v>
      </c>
      <c r="M11" s="5">
        <f>'2025.09'!O89</f>
        <v>0</v>
      </c>
      <c r="AC11" s="5">
        <f>'2025.09'!$C$89</f>
        <v>0</v>
      </c>
      <c r="AD11" s="5" t="str">
        <f>'2025.09'!$E$89</f>
        <v>0.00</v>
      </c>
      <c r="AE11" s="8">
        <f>'2025.09'!$F$89</f>
        <v>0</v>
      </c>
      <c r="AF11" s="31"/>
      <c r="AG11" s="5"/>
    </row>
    <row r="12" spans="1:33" x14ac:dyDescent="0.25">
      <c r="A12" s="50">
        <f>'2025.10'!Q2</f>
        <v>2025.1</v>
      </c>
      <c r="B12" s="5">
        <f>'2025.10'!B89</f>
        <v>0</v>
      </c>
      <c r="C12" s="5">
        <f>'2025.10'!C89</f>
        <v>0</v>
      </c>
      <c r="D12" s="5">
        <f t="shared" si="3"/>
        <v>9.9600000000000009</v>
      </c>
      <c r="E12" s="8">
        <f>'2025.10'!F89</f>
        <v>0</v>
      </c>
      <c r="F12" s="8">
        <f t="shared" ref="F12" si="6">F11+E12</f>
        <v>0.19009084662951373</v>
      </c>
      <c r="G12" s="7">
        <v>54.179000000000002</v>
      </c>
      <c r="H12" s="5">
        <f t="shared" ref="H12" si="7">F12*G12</f>
        <v>10.298931979540425</v>
      </c>
      <c r="I12" s="5">
        <f t="shared" si="1"/>
        <v>0.33893197954042442</v>
      </c>
      <c r="J12" s="5">
        <f t="shared" si="2"/>
        <v>3.4029315214902049</v>
      </c>
      <c r="K12" s="5">
        <f>'2025.10'!D89</f>
        <v>0</v>
      </c>
      <c r="L12" s="5">
        <f>'2025.10'!J89</f>
        <v>0</v>
      </c>
      <c r="M12" s="5">
        <f>'2025.10'!O89</f>
        <v>0</v>
      </c>
      <c r="AC12" s="5">
        <f>'2025.10'!$C$89</f>
        <v>0</v>
      </c>
      <c r="AD12" s="5" t="str">
        <f>'2025.10'!$E$89</f>
        <v>0.00</v>
      </c>
      <c r="AE12" s="8">
        <f>'2025.10'!$F$89</f>
        <v>0</v>
      </c>
      <c r="AF12" s="31"/>
      <c r="AG12" s="5"/>
    </row>
    <row r="13" spans="1:33" x14ac:dyDescent="0.25">
      <c r="A13" s="51">
        <f>'2025.11'!Q2</f>
        <v>2025.11</v>
      </c>
      <c r="B13" s="20">
        <f>'2025.11'!B89</f>
        <v>0</v>
      </c>
      <c r="C13" s="20">
        <f>'2025.11'!C89</f>
        <v>0</v>
      </c>
      <c r="D13" s="20">
        <f t="shared" si="3"/>
        <v>9.9600000000000009</v>
      </c>
      <c r="E13" s="21">
        <f>'2025.11'!F89</f>
        <v>0</v>
      </c>
      <c r="F13" s="21">
        <f t="shared" ref="F13" si="8">F12+E13</f>
        <v>0.19009084662951373</v>
      </c>
      <c r="G13" s="22">
        <v>54.051000000000002</v>
      </c>
      <c r="H13" s="20">
        <f t="shared" ref="H13" si="9">F13*G13</f>
        <v>10.274600351171847</v>
      </c>
      <c r="I13" s="20">
        <f t="shared" si="1"/>
        <v>0.31460035117184582</v>
      </c>
      <c r="J13" s="20">
        <f t="shared" si="2"/>
        <v>3.1586380639743554</v>
      </c>
      <c r="K13" s="20">
        <f>'2025.11'!D89</f>
        <v>0</v>
      </c>
      <c r="L13" s="20">
        <f>'2025.11'!J89</f>
        <v>0.03</v>
      </c>
      <c r="M13" s="20">
        <f>'2025.11'!O89</f>
        <v>0</v>
      </c>
      <c r="AC13" s="5">
        <f>'2025.11'!$C$89</f>
        <v>0</v>
      </c>
      <c r="AD13" s="5" t="str">
        <f>'2025.11'!$E$89</f>
        <v>0.00</v>
      </c>
      <c r="AE13" s="8">
        <f>'2025.11'!$F$89</f>
        <v>0</v>
      </c>
      <c r="AF13" s="31"/>
      <c r="AG13" s="5"/>
    </row>
    <row r="14" spans="1:33" x14ac:dyDescent="0.25">
      <c r="AC14" s="5"/>
      <c r="AD14" s="5"/>
      <c r="AE14" s="8"/>
      <c r="AF14" s="31"/>
      <c r="AG14" s="5"/>
    </row>
    <row r="15" spans="1:33" x14ac:dyDescent="0.25">
      <c r="AC15" s="5"/>
      <c r="AD15" s="5"/>
      <c r="AE15" s="8"/>
      <c r="AF15" s="31"/>
      <c r="AG15" s="5"/>
    </row>
    <row r="16" spans="1:33" x14ac:dyDescent="0.25">
      <c r="AC16" s="5"/>
      <c r="AD16" s="5"/>
      <c r="AE16" s="8"/>
      <c r="AF16" s="31"/>
      <c r="AG16" s="5"/>
    </row>
    <row r="17" spans="29:33" x14ac:dyDescent="0.25">
      <c r="AC17" s="5"/>
      <c r="AD17" s="5"/>
      <c r="AE17" s="8"/>
      <c r="AF17" s="31"/>
      <c r="AG17" s="5"/>
    </row>
    <row r="18" spans="29:33" x14ac:dyDescent="0.25">
      <c r="AC18" s="5"/>
      <c r="AD18" s="5"/>
      <c r="AE18" s="8"/>
      <c r="AF18" s="31"/>
      <c r="AG18" s="5"/>
    </row>
    <row r="19" spans="29:33" x14ac:dyDescent="0.25">
      <c r="AC19" s="5"/>
      <c r="AD19" s="5"/>
      <c r="AE19" s="8"/>
      <c r="AF19" s="31"/>
      <c r="AG19" s="5"/>
    </row>
    <row r="20" spans="29:33" x14ac:dyDescent="0.25">
      <c r="AC20" s="5"/>
      <c r="AD20" s="5"/>
      <c r="AE20" s="8"/>
      <c r="AF20" s="31"/>
      <c r="AG20" s="5"/>
    </row>
    <row r="21" spans="29:33" x14ac:dyDescent="0.25">
      <c r="AC21" s="5"/>
      <c r="AD21" s="5"/>
      <c r="AE21" s="8"/>
      <c r="AF21" s="31"/>
      <c r="AG21" s="5"/>
    </row>
    <row r="22" spans="29:33" x14ac:dyDescent="0.25">
      <c r="AC22" s="5"/>
      <c r="AD22" s="5"/>
      <c r="AE22" s="8"/>
      <c r="AF22" s="31"/>
      <c r="AG22" s="5"/>
    </row>
    <row r="23" spans="29:33" x14ac:dyDescent="0.25">
      <c r="AC23" s="5"/>
      <c r="AD23" s="5"/>
      <c r="AE23" s="8"/>
      <c r="AF23" s="31"/>
      <c r="AG23" s="5"/>
    </row>
    <row r="24" spans="29:33" x14ac:dyDescent="0.25">
      <c r="AC24" s="5"/>
      <c r="AD24" s="5"/>
      <c r="AE24" s="8"/>
      <c r="AF24" s="31"/>
      <c r="AG24" s="5"/>
    </row>
    <row r="25" spans="29:33" x14ac:dyDescent="0.25">
      <c r="AC25" s="5"/>
      <c r="AD25" s="5"/>
      <c r="AE25" s="8"/>
      <c r="AF25" s="31"/>
      <c r="AG25" s="5"/>
    </row>
    <row r="26" spans="29:33" x14ac:dyDescent="0.25">
      <c r="AC26" s="5"/>
      <c r="AD26" s="5"/>
      <c r="AE26" s="8"/>
      <c r="AF26" s="31"/>
      <c r="AG26" s="5"/>
    </row>
    <row r="27" spans="29:33" x14ac:dyDescent="0.25">
      <c r="AC27" s="5"/>
      <c r="AD27" s="5"/>
      <c r="AE27" s="8"/>
      <c r="AF27" s="31"/>
      <c r="AG27" s="5"/>
    </row>
    <row r="28" spans="29:33" x14ac:dyDescent="0.25">
      <c r="AC28" s="5"/>
      <c r="AD28" s="5"/>
      <c r="AE28" s="8"/>
      <c r="AF28" s="31"/>
      <c r="AG28" s="5"/>
    </row>
    <row r="29" spans="29:33" x14ac:dyDescent="0.25">
      <c r="AC29" s="5"/>
      <c r="AD29" s="5"/>
      <c r="AE29" s="8"/>
      <c r="AF29" s="31"/>
      <c r="AG29" s="5"/>
    </row>
    <row r="30" spans="29:33" x14ac:dyDescent="0.25">
      <c r="AF30" s="31"/>
      <c r="AG30" s="5"/>
    </row>
    <row r="31" spans="29:33" x14ac:dyDescent="0.25">
      <c r="AF31" s="31"/>
      <c r="AG31" s="5"/>
    </row>
    <row r="32" spans="29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45971</v>
      </c>
      <c r="AG65" s="5">
        <f>R5</f>
        <v>10.24</v>
      </c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</mergeCells>
  <hyperlinks>
    <hyperlink ref="A5" location="'2025.03'!A1" display="'2025.03'!A1" xr:uid="{80E27CFA-98A8-4D4B-8298-4432A8D2296C}"/>
    <hyperlink ref="A6" location="'2025.04'!A1" display="'2025.04'!A1" xr:uid="{4B628802-80E1-4456-ABF0-2CBF163B9848}"/>
    <hyperlink ref="A7" location="'2025.05'!A1" display="'2025.05'!A1" xr:uid="{31D4CE02-F1A7-4A1A-856E-316F798D77D6}"/>
    <hyperlink ref="A8" location="'2025.06'!A1" display="'2025.06'!A1" xr:uid="{99F74F7A-12DC-4592-AAF0-82E7CBDBE5CC}"/>
    <hyperlink ref="A9" location="'2025.07'!A1" display="'2025.07'!A1" xr:uid="{CF095F3D-4EEC-406B-A932-903C6AB78604}"/>
    <hyperlink ref="A10" location="'2025.08'!A1" display="'2025.08'!A1" xr:uid="{3B85E2C6-BE1E-4D3A-8843-3FE36D503D10}"/>
    <hyperlink ref="A11" location="'2025.09'!A1" display="'2025.09'!A1" xr:uid="{06D0C1EA-E198-4B51-80F9-12CB5A84D1D1}"/>
    <hyperlink ref="A12" location="'2025.10'!A1" display="'2025.10'!A1" xr:uid="{9E3AA85A-7633-4750-9259-8E7FD4CF0DC1}"/>
    <hyperlink ref="A13" location="'2025.11'!A1" display="'2025.11'!A1" xr:uid="{6638698F-732F-4B64-B239-D1FA6321F71E}"/>
  </hyperlinks>
  <pageMargins left="0.7" right="0.7" top="0.75" bottom="0.75" header="0.3" footer="0.3"/>
  <pageSetup orientation="portrait" r:id="rId1"/>
  <ignoredErrors>
    <ignoredError sqref="E5:E13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AG6" sqref="AG6"/>
    </sheetView>
  </sheetViews>
  <sheetFormatPr defaultRowHeight="15" x14ac:dyDescent="0.25"/>
  <cols>
    <col min="1" max="1" width="15.7109375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2" t="s">
        <v>20</v>
      </c>
    </row>
    <row r="2" spans="1:33" x14ac:dyDescent="0.25">
      <c r="A2" s="12"/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33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'2025.03'!B99</f>
        <v>9.98</v>
      </c>
      <c r="C5" s="5">
        <f>'2025.03'!C99</f>
        <v>9.9600000000000009</v>
      </c>
      <c r="D5" s="5">
        <f>C5</f>
        <v>9.9600000000000009</v>
      </c>
      <c r="E5" s="8">
        <f>'2025.03'!F99</f>
        <v>1.431</v>
      </c>
      <c r="F5" s="8">
        <f>E5</f>
        <v>1.431</v>
      </c>
      <c r="G5" s="7">
        <v>6.7069999999999999</v>
      </c>
      <c r="H5" s="5">
        <f t="shared" ref="H5:H10" si="0">F5*G5</f>
        <v>9.5977169999999994</v>
      </c>
      <c r="I5" s="5">
        <f t="shared" ref="I5:I13" si="1">H5-D5</f>
        <v>-0.36228300000000146</v>
      </c>
      <c r="J5" s="5">
        <f t="shared" ref="J5:J13" si="2">(H5-D5)*100/D5</f>
        <v>-3.6373795180723034</v>
      </c>
      <c r="K5" s="5">
        <f>'2025.03'!D99</f>
        <v>1.9999999999999574E-2</v>
      </c>
      <c r="L5" s="5">
        <f>'2025.03'!J99</f>
        <v>0</v>
      </c>
      <c r="M5" s="5">
        <f>'2025.03'!O99</f>
        <v>0</v>
      </c>
      <c r="O5" s="3" t="s">
        <v>2</v>
      </c>
      <c r="P5" s="5">
        <f>SUM(B5:B56)</f>
        <v>9.98</v>
      </c>
      <c r="Q5" s="8">
        <f>SUM(E5:E56)</f>
        <v>1.431</v>
      </c>
      <c r="R5" s="5">
        <f>'2025.11'!I99-'2025.11'!J99</f>
        <v>10.780000000000001</v>
      </c>
      <c r="S5" s="5">
        <f>R5-P5+X5</f>
        <v>0.80000000000000071</v>
      </c>
      <c r="T5" s="37">
        <f>(R5-P5+X5)/P5</f>
        <v>8.0160320641282631E-2</v>
      </c>
      <c r="U5" s="37">
        <f>XIRR(AG5:AG200,AF5:AF200)</f>
        <v>0.13138528466224672</v>
      </c>
      <c r="V5" s="5">
        <f>SUM(K5:K13)</f>
        <v>1.9999999999999574E-2</v>
      </c>
      <c r="W5" s="5">
        <f>SUM(L5:L13)</f>
        <v>0.03</v>
      </c>
      <c r="X5" s="5">
        <f>SUM(M5:M13)</f>
        <v>0</v>
      </c>
      <c r="Y5" s="5" cm="1">
        <f t="array" ref="Y5">SUMPRODUCT(IFERROR(AD5:AD200,0),IFERROR(AE5:AE200,0))/SUM(IFERROR(AE5:AE200,0))</f>
        <v>6.9630000000000001</v>
      </c>
      <c r="AC5" s="5">
        <f>'2025.03'!$C$99</f>
        <v>9.9600000000000009</v>
      </c>
      <c r="AD5" s="5">
        <f>'2025.03'!$E$99</f>
        <v>6.9630000000000001</v>
      </c>
      <c r="AE5" s="8">
        <f>'2025.03'!$F$99</f>
        <v>1.431</v>
      </c>
      <c r="AF5" s="31">
        <f>'2025.03'!$A$95</f>
        <v>45743</v>
      </c>
      <c r="AG5" s="5">
        <f>'2025.03'!$B$95*-1</f>
        <v>-9.98</v>
      </c>
    </row>
    <row r="6" spans="1:33" x14ac:dyDescent="0.25">
      <c r="A6" s="50">
        <f>'2025.04'!Q2</f>
        <v>2025.04</v>
      </c>
      <c r="B6" s="5">
        <f>'2025.04'!B99</f>
        <v>0</v>
      </c>
      <c r="C6" s="5">
        <f>'2025.04'!C99</f>
        <v>0</v>
      </c>
      <c r="D6" s="5">
        <f t="shared" ref="D6:D13" si="3">D5+C6</f>
        <v>9.9600000000000009</v>
      </c>
      <c r="E6" s="8">
        <f>'2025.04'!F99</f>
        <v>0</v>
      </c>
      <c r="F6" s="8">
        <f t="shared" ref="F6:F11" si="4">F5+E6</f>
        <v>1.431</v>
      </c>
      <c r="G6" s="7">
        <v>6.4260000000000002</v>
      </c>
      <c r="H6" s="5">
        <f t="shared" si="0"/>
        <v>9.1956059999999997</v>
      </c>
      <c r="I6" s="5">
        <f t="shared" si="1"/>
        <v>-0.76439400000000113</v>
      </c>
      <c r="J6" s="5">
        <f t="shared" si="2"/>
        <v>-7.6746385542168785</v>
      </c>
      <c r="K6" s="5">
        <f>'2025.04'!D99</f>
        <v>0</v>
      </c>
      <c r="L6" s="5">
        <f>'2025.04'!J99</f>
        <v>0</v>
      </c>
      <c r="M6" s="5">
        <f>'2025.04'!O99</f>
        <v>0</v>
      </c>
      <c r="AC6" s="5">
        <f>'2025.04'!$C$99</f>
        <v>0</v>
      </c>
      <c r="AD6" s="5" t="str">
        <f>'2025.04'!$E$99</f>
        <v>0.00</v>
      </c>
      <c r="AE6" s="8">
        <f>'2025.04'!$F$99</f>
        <v>0</v>
      </c>
      <c r="AF6" s="31"/>
      <c r="AG6" s="5"/>
    </row>
    <row r="7" spans="1:33" x14ac:dyDescent="0.25">
      <c r="A7" s="50">
        <f>'2025.05'!Q2</f>
        <v>2025.05</v>
      </c>
      <c r="B7" s="5">
        <f>'2025.05'!B99</f>
        <v>0</v>
      </c>
      <c r="C7" s="5">
        <f>'2025.05'!C99</f>
        <v>0</v>
      </c>
      <c r="D7" s="5">
        <f t="shared" si="3"/>
        <v>9.9600000000000009</v>
      </c>
      <c r="E7" s="8">
        <f>'2025.05'!F99</f>
        <v>0</v>
      </c>
      <c r="F7" s="8">
        <f t="shared" si="4"/>
        <v>1.431</v>
      </c>
      <c r="G7" s="7">
        <v>6.81</v>
      </c>
      <c r="H7" s="5">
        <f t="shared" si="0"/>
        <v>9.7451100000000004</v>
      </c>
      <c r="I7" s="5">
        <f t="shared" si="1"/>
        <v>-0.21489000000000047</v>
      </c>
      <c r="J7" s="5">
        <f t="shared" si="2"/>
        <v>-2.1575301204819324</v>
      </c>
      <c r="K7" s="5">
        <f>'2025.05'!D99</f>
        <v>0</v>
      </c>
      <c r="L7" s="5">
        <f>'2025.05'!J99</f>
        <v>0</v>
      </c>
      <c r="M7" s="5">
        <f>'2025.05'!O99</f>
        <v>0</v>
      </c>
      <c r="AC7" s="5">
        <f>'2025.05'!$C$99</f>
        <v>0</v>
      </c>
      <c r="AD7" s="5" t="str">
        <f>'2025.05'!$E$99</f>
        <v>0.00</v>
      </c>
      <c r="AE7" s="8">
        <f>'2025.05'!$F$99</f>
        <v>0</v>
      </c>
      <c r="AF7" s="31"/>
      <c r="AG7" s="5"/>
    </row>
    <row r="8" spans="1:33" x14ac:dyDescent="0.25">
      <c r="A8" s="50">
        <f>'2025.06'!Q2</f>
        <v>2025.06</v>
      </c>
      <c r="B8" s="5">
        <f>'2025.06'!B99</f>
        <v>0</v>
      </c>
      <c r="C8" s="5">
        <f>'2025.06'!C99</f>
        <v>0</v>
      </c>
      <c r="D8" s="5">
        <f t="shared" si="3"/>
        <v>9.9600000000000009</v>
      </c>
      <c r="E8" s="8">
        <f>'2025.06'!F99</f>
        <v>0</v>
      </c>
      <c r="F8" s="8">
        <f t="shared" si="4"/>
        <v>1.431</v>
      </c>
      <c r="G8" s="7">
        <v>6.8929999999999998</v>
      </c>
      <c r="H8" s="5">
        <f t="shared" si="0"/>
        <v>9.8638829999999995</v>
      </c>
      <c r="I8" s="5">
        <f t="shared" si="1"/>
        <v>-9.611700000000134E-2</v>
      </c>
      <c r="J8" s="5">
        <f t="shared" si="2"/>
        <v>-0.96503012048194103</v>
      </c>
      <c r="K8" s="5">
        <f>'2025.06'!D99</f>
        <v>0</v>
      </c>
      <c r="L8" s="5">
        <f>'2025.06'!J99</f>
        <v>0</v>
      </c>
      <c r="M8" s="5">
        <f>'2025.06'!O99</f>
        <v>0</v>
      </c>
      <c r="AC8" s="5">
        <f>'2025.06'!$C$99</f>
        <v>0</v>
      </c>
      <c r="AD8" s="5" t="str">
        <f>'2025.06'!$E$99</f>
        <v>0.00</v>
      </c>
      <c r="AE8" s="8">
        <f>'2025.06'!$F$99</f>
        <v>0</v>
      </c>
      <c r="AF8" s="31"/>
      <c r="AG8" s="5"/>
    </row>
    <row r="9" spans="1:33" x14ac:dyDescent="0.25">
      <c r="A9" s="50">
        <f>'2025.07'!Q2</f>
        <v>2025.07</v>
      </c>
      <c r="B9" s="5">
        <f>'2025.07'!B99</f>
        <v>0</v>
      </c>
      <c r="C9" s="5">
        <f>'2025.07'!C99</f>
        <v>0</v>
      </c>
      <c r="D9" s="5">
        <f t="shared" si="3"/>
        <v>9.9600000000000009</v>
      </c>
      <c r="E9" s="8">
        <f>'2025.07'!F99</f>
        <v>0</v>
      </c>
      <c r="F9" s="8">
        <f t="shared" si="4"/>
        <v>1.431</v>
      </c>
      <c r="G9" s="7">
        <v>7.1970000000000001</v>
      </c>
      <c r="H9" s="5">
        <f t="shared" si="0"/>
        <v>10.298907</v>
      </c>
      <c r="I9" s="5">
        <f t="shared" si="1"/>
        <v>0.33890699999999896</v>
      </c>
      <c r="J9" s="5">
        <f t="shared" si="2"/>
        <v>3.4026807228915557</v>
      </c>
      <c r="K9" s="5">
        <f>'2025.07'!D99</f>
        <v>0</v>
      </c>
      <c r="L9" s="5">
        <f>'2025.07'!J99</f>
        <v>0</v>
      </c>
      <c r="M9" s="5">
        <f>'2025.07'!O99</f>
        <v>0</v>
      </c>
      <c r="AC9" s="5">
        <f>'2025.07'!$C$99</f>
        <v>0</v>
      </c>
      <c r="AD9" s="5" t="str">
        <f>'2025.07'!$E$99</f>
        <v>0.00</v>
      </c>
      <c r="AE9" s="8">
        <f>'2025.07'!$F$99</f>
        <v>0</v>
      </c>
      <c r="AF9" s="31"/>
      <c r="AG9" s="5"/>
    </row>
    <row r="10" spans="1:33" x14ac:dyDescent="0.25">
      <c r="A10" s="50">
        <f>'2025.08'!Q2</f>
        <v>2025.08</v>
      </c>
      <c r="B10" s="5">
        <f>'2025.08'!B99</f>
        <v>0</v>
      </c>
      <c r="C10" s="5">
        <f>'2025.08'!C99</f>
        <v>0</v>
      </c>
      <c r="D10" s="5">
        <f t="shared" si="3"/>
        <v>9.9600000000000009</v>
      </c>
      <c r="E10" s="8">
        <f>'2025.08'!F99</f>
        <v>0</v>
      </c>
      <c r="F10" s="8">
        <f t="shared" si="4"/>
        <v>1.431</v>
      </c>
      <c r="G10" s="7">
        <v>7.3550000000000004</v>
      </c>
      <c r="H10" s="5">
        <f t="shared" si="0"/>
        <v>10.525005</v>
      </c>
      <c r="I10" s="5">
        <f t="shared" si="1"/>
        <v>0.56500499999999931</v>
      </c>
      <c r="J10" s="5">
        <f t="shared" si="2"/>
        <v>5.6727409638554143</v>
      </c>
      <c r="K10" s="5">
        <f>'2025.08'!D99</f>
        <v>0</v>
      </c>
      <c r="L10" s="5">
        <f>'2025.08'!J99</f>
        <v>0</v>
      </c>
      <c r="M10" s="5">
        <f>'2025.08'!O99</f>
        <v>0</v>
      </c>
      <c r="AC10" s="5">
        <f>'2025.08'!$C$99</f>
        <v>0</v>
      </c>
      <c r="AD10" s="5" t="str">
        <f>'2025.08'!$E$99</f>
        <v>0.00</v>
      </c>
      <c r="AE10" s="8">
        <f>'2025.08'!$F$99</f>
        <v>0</v>
      </c>
      <c r="AF10" s="31"/>
      <c r="AG10" s="5"/>
    </row>
    <row r="11" spans="1:33" x14ac:dyDescent="0.25">
      <c r="A11" s="50">
        <f>'2025.09'!Q2</f>
        <v>2025.09</v>
      </c>
      <c r="B11" s="5">
        <f>'2025.09'!B99</f>
        <v>0</v>
      </c>
      <c r="C11" s="5">
        <f>'2025.09'!C99</f>
        <v>0</v>
      </c>
      <c r="D11" s="5">
        <f t="shared" si="3"/>
        <v>9.9600000000000009</v>
      </c>
      <c r="E11" s="8">
        <f>'2025.09'!F99</f>
        <v>0</v>
      </c>
      <c r="F11" s="8">
        <f t="shared" si="4"/>
        <v>1.431</v>
      </c>
      <c r="G11" s="7">
        <v>7.431</v>
      </c>
      <c r="H11" s="5">
        <f t="shared" ref="H11" si="5">F11*G11</f>
        <v>10.633761</v>
      </c>
      <c r="I11" s="5">
        <f t="shared" si="1"/>
        <v>0.67376099999999894</v>
      </c>
      <c r="J11" s="5">
        <f t="shared" si="2"/>
        <v>6.7646686746987843</v>
      </c>
      <c r="K11" s="5">
        <f>'2025.09'!D99</f>
        <v>0</v>
      </c>
      <c r="L11" s="5">
        <f>'2025.09'!J99</f>
        <v>0</v>
      </c>
      <c r="M11" s="5">
        <f>'2025.09'!O99</f>
        <v>0</v>
      </c>
      <c r="AC11" s="5">
        <f>'2025.09'!$C$99</f>
        <v>0</v>
      </c>
      <c r="AD11" s="5" t="str">
        <f>'2025.09'!$E$99</f>
        <v>0.00</v>
      </c>
      <c r="AE11" s="8">
        <f>'2025.09'!$F$99</f>
        <v>0</v>
      </c>
      <c r="AF11" s="31"/>
      <c r="AG11" s="5"/>
    </row>
    <row r="12" spans="1:33" x14ac:dyDescent="0.25">
      <c r="A12" s="50">
        <f>'2025.10'!Q2</f>
        <v>2025.1</v>
      </c>
      <c r="B12" s="5">
        <f>'2025.10'!B99</f>
        <v>0</v>
      </c>
      <c r="C12" s="5">
        <f>'2025.10'!C99</f>
        <v>0</v>
      </c>
      <c r="D12" s="5">
        <f t="shared" si="3"/>
        <v>9.9600000000000009</v>
      </c>
      <c r="E12" s="8">
        <f>'2025.10'!F99</f>
        <v>0</v>
      </c>
      <c r="F12" s="8">
        <f t="shared" ref="F12" si="6">F11+E12</f>
        <v>1.431</v>
      </c>
      <c r="G12" s="7">
        <v>7.6420000000000003</v>
      </c>
      <c r="H12" s="5">
        <f t="shared" ref="H12" si="7">F12*G12</f>
        <v>10.935702000000001</v>
      </c>
      <c r="I12" s="5">
        <f t="shared" si="1"/>
        <v>0.97570200000000007</v>
      </c>
      <c r="J12" s="5">
        <f t="shared" si="2"/>
        <v>9.7962048192771078</v>
      </c>
      <c r="K12" s="5">
        <f>'2025.10'!D99</f>
        <v>0</v>
      </c>
      <c r="L12" s="5">
        <f>'2025.10'!J99</f>
        <v>0</v>
      </c>
      <c r="M12" s="5">
        <f>'2025.10'!O99</f>
        <v>0</v>
      </c>
      <c r="AC12" s="5">
        <f>'2025.10'!$C$99</f>
        <v>0</v>
      </c>
      <c r="AD12" s="5" t="str">
        <f>'2025.10'!$E$99</f>
        <v>0.00</v>
      </c>
      <c r="AE12" s="8">
        <f>'2025.10'!$F$99</f>
        <v>0</v>
      </c>
      <c r="AF12" s="31"/>
      <c r="AG12" s="5"/>
    </row>
    <row r="13" spans="1:33" x14ac:dyDescent="0.25">
      <c r="A13" s="51">
        <f>'2025.11'!Q2</f>
        <v>2025.11</v>
      </c>
      <c r="B13" s="20">
        <f>'2025.11'!B99</f>
        <v>0</v>
      </c>
      <c r="C13" s="20">
        <f>'2025.11'!C99</f>
        <v>0</v>
      </c>
      <c r="D13" s="20">
        <f t="shared" si="3"/>
        <v>9.9600000000000009</v>
      </c>
      <c r="E13" s="21">
        <f>'2025.11'!F99</f>
        <v>0</v>
      </c>
      <c r="F13" s="21">
        <f t="shared" ref="F13" si="8">F12+E13</f>
        <v>1.431</v>
      </c>
      <c r="G13" s="22">
        <v>7.5529999999999999</v>
      </c>
      <c r="H13" s="20">
        <f t="shared" ref="H13" si="9">F13*G13</f>
        <v>10.808343000000001</v>
      </c>
      <c r="I13" s="20">
        <f t="shared" si="1"/>
        <v>0.84834299999999985</v>
      </c>
      <c r="J13" s="20">
        <f t="shared" si="2"/>
        <v>8.5174999999999983</v>
      </c>
      <c r="K13" s="20">
        <f>'2025.11'!D99</f>
        <v>0</v>
      </c>
      <c r="L13" s="20">
        <f>'2025.11'!J99</f>
        <v>0.03</v>
      </c>
      <c r="M13" s="20">
        <f>'2025.11'!O99</f>
        <v>0</v>
      </c>
      <c r="AC13" s="5">
        <f>'2025.11'!$C$99</f>
        <v>0</v>
      </c>
      <c r="AD13" s="5" t="str">
        <f>'2025.11'!$E$99</f>
        <v>0.00</v>
      </c>
      <c r="AE13" s="8">
        <f>'2025.11'!$F$99</f>
        <v>0</v>
      </c>
      <c r="AF13" s="31"/>
      <c r="AG13" s="5"/>
    </row>
    <row r="14" spans="1:33" x14ac:dyDescent="0.25">
      <c r="AC14" s="5"/>
      <c r="AD14" s="5"/>
      <c r="AE14" s="8"/>
      <c r="AF14" s="31"/>
      <c r="AG14" s="5"/>
    </row>
    <row r="15" spans="1:33" x14ac:dyDescent="0.25">
      <c r="AC15" s="5"/>
      <c r="AD15" s="5"/>
      <c r="AE15" s="8"/>
      <c r="AF15" s="31"/>
      <c r="AG15" s="5"/>
    </row>
    <row r="16" spans="1:33" x14ac:dyDescent="0.25">
      <c r="AC16" s="5"/>
      <c r="AD16" s="5"/>
      <c r="AE16" s="8"/>
      <c r="AF16" s="31"/>
      <c r="AG16" s="5"/>
    </row>
    <row r="17" spans="29:33" x14ac:dyDescent="0.25">
      <c r="AC17" s="5"/>
      <c r="AD17" s="5"/>
      <c r="AE17" s="8"/>
      <c r="AF17" s="31"/>
      <c r="AG17" s="5"/>
    </row>
    <row r="18" spans="29:33" x14ac:dyDescent="0.25">
      <c r="AC18" s="5"/>
      <c r="AD18" s="5"/>
      <c r="AE18" s="8"/>
      <c r="AF18" s="31"/>
      <c r="AG18" s="5"/>
    </row>
    <row r="19" spans="29:33" x14ac:dyDescent="0.25">
      <c r="AC19" s="5"/>
      <c r="AD19" s="5"/>
      <c r="AE19" s="8"/>
      <c r="AF19" s="31"/>
      <c r="AG19" s="5"/>
    </row>
    <row r="20" spans="29:33" x14ac:dyDescent="0.25">
      <c r="AC20" s="5"/>
      <c r="AD20" s="5"/>
      <c r="AE20" s="8"/>
      <c r="AF20" s="31"/>
      <c r="AG20" s="5"/>
    </row>
    <row r="21" spans="29:33" x14ac:dyDescent="0.25">
      <c r="AC21" s="5"/>
      <c r="AD21" s="5"/>
      <c r="AE21" s="8"/>
      <c r="AF21" s="31"/>
      <c r="AG21" s="5"/>
    </row>
    <row r="22" spans="29:33" x14ac:dyDescent="0.25">
      <c r="AC22" s="5"/>
      <c r="AD22" s="5"/>
      <c r="AE22" s="8"/>
      <c r="AF22" s="31"/>
      <c r="AG22" s="5"/>
    </row>
    <row r="23" spans="29:33" x14ac:dyDescent="0.25">
      <c r="AC23" s="5"/>
      <c r="AD23" s="5"/>
      <c r="AE23" s="8"/>
      <c r="AF23" s="31"/>
      <c r="AG23" s="5"/>
    </row>
    <row r="24" spans="29:33" x14ac:dyDescent="0.25">
      <c r="AC24" s="5"/>
      <c r="AD24" s="5"/>
      <c r="AE24" s="8"/>
      <c r="AF24" s="31"/>
      <c r="AG24" s="5"/>
    </row>
    <row r="25" spans="29:33" x14ac:dyDescent="0.25">
      <c r="AC25" s="5"/>
      <c r="AD25" s="5"/>
      <c r="AE25" s="8"/>
      <c r="AF25" s="31"/>
      <c r="AG25" s="5"/>
    </row>
    <row r="26" spans="29:33" x14ac:dyDescent="0.25">
      <c r="AC26" s="5"/>
      <c r="AD26" s="5"/>
      <c r="AE26" s="8"/>
      <c r="AF26" s="31"/>
      <c r="AG26" s="5"/>
    </row>
    <row r="27" spans="29:33" x14ac:dyDescent="0.25">
      <c r="AC27" s="5"/>
      <c r="AD27" s="5"/>
      <c r="AE27" s="8"/>
      <c r="AF27" s="31"/>
      <c r="AG27" s="5"/>
    </row>
    <row r="28" spans="29:33" x14ac:dyDescent="0.25">
      <c r="AC28" s="5"/>
      <c r="AD28" s="5"/>
      <c r="AE28" s="8"/>
      <c r="AF28" s="31"/>
      <c r="AG28" s="5"/>
    </row>
    <row r="29" spans="29:33" x14ac:dyDescent="0.25">
      <c r="AC29" s="5"/>
      <c r="AD29" s="5"/>
      <c r="AE29" s="8"/>
      <c r="AF29" s="31"/>
      <c r="AG29" s="5"/>
    </row>
    <row r="30" spans="29:33" x14ac:dyDescent="0.25">
      <c r="AF30" s="31"/>
      <c r="AG30" s="5"/>
    </row>
    <row r="31" spans="29:33" x14ac:dyDescent="0.25">
      <c r="AF31" s="31"/>
      <c r="AG31" s="5"/>
    </row>
    <row r="32" spans="29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45971</v>
      </c>
      <c r="AG65" s="5">
        <f>R5</f>
        <v>10.780000000000001</v>
      </c>
    </row>
  </sheetData>
  <mergeCells count="18">
    <mergeCell ref="AF3:AG3"/>
    <mergeCell ref="Y3:Y4"/>
    <mergeCell ref="AC3:AC4"/>
    <mergeCell ref="AD3:AD4"/>
    <mergeCell ref="AE3:AE4"/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</mergeCells>
  <hyperlinks>
    <hyperlink ref="A5" location="'2025.03'!A1" display="'2025.03'!A1" xr:uid="{6F5631E8-ADB5-4087-B9BD-568B7DBE4A99}"/>
    <hyperlink ref="A6" location="'2025.04'!A1" display="'2025.04'!A1" xr:uid="{CEA255AA-B706-4B16-8EEC-F1A3F290F05F}"/>
    <hyperlink ref="A7" location="'2025.05'!A1" display="'2025.05'!A1" xr:uid="{0D500940-DA23-4026-BC1E-23AD3A2AD983}"/>
    <hyperlink ref="A8" location="'2025.06'!A1" display="'2025.06'!A1" xr:uid="{BC5A4C6E-B5B5-4E64-8633-3FFA73BF7A22}"/>
    <hyperlink ref="A9" location="'2025.07'!A1" display="'2025.07'!A1" xr:uid="{BF72247F-816F-467B-91AD-F2AB0EB9CB4D}"/>
    <hyperlink ref="A10" location="'2025.08'!A1" display="'2025.08'!A1" xr:uid="{938AD7BC-74F8-499C-BA8E-32EFE7E09595}"/>
    <hyperlink ref="A11" location="'2025.09'!A1" display="'2025.09'!A1" xr:uid="{91E6BC6B-1599-4832-B049-B41F4C5BF977}"/>
    <hyperlink ref="A12" location="'2025.10'!A1" display="'2025.10'!A1" xr:uid="{2899CB34-130A-4907-92DA-11EA1B28DFD9}"/>
    <hyperlink ref="A13" location="'2025.11'!A1" display="'2025.11'!A1" xr:uid="{D5BC5FAE-5019-46B3-80B3-C64D6831810F}"/>
  </hyperlinks>
  <pageMargins left="0.7" right="0.7" top="0.75" bottom="0.75" header="0.3" footer="0.3"/>
  <pageSetup orientation="portrait" r:id="rId1"/>
  <ignoredErrors>
    <ignoredError sqref="E5:E13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 activeCell="AF1" sqref="AF1:AG1048576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21</v>
      </c>
    </row>
    <row r="2" spans="1:33" x14ac:dyDescent="0.25">
      <c r="A2" s="38"/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34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'2025.03'!B109</f>
        <v>9.94</v>
      </c>
      <c r="C5" s="5">
        <f>'2025.03'!C109</f>
        <v>9.92</v>
      </c>
      <c r="D5" s="5">
        <f>C5</f>
        <v>9.92</v>
      </c>
      <c r="E5" s="8">
        <f>'2025.03'!F109</f>
        <v>0.18797134952817676</v>
      </c>
      <c r="F5" s="8">
        <f>E5</f>
        <v>0.18797134952817676</v>
      </c>
      <c r="G5" s="7">
        <v>52.783999999999999</v>
      </c>
      <c r="H5" s="5">
        <f t="shared" ref="H5:H10" si="0">F5*G5</f>
        <v>9.9218797134952812</v>
      </c>
      <c r="I5" s="5">
        <f t="shared" ref="I5:I13" si="1">H5-D5</f>
        <v>1.8797134952812655E-3</v>
      </c>
      <c r="J5" s="5">
        <f t="shared" ref="J5:J13" si="2">(H5-D5)*100/D5</f>
        <v>1.8948724750819209E-2</v>
      </c>
      <c r="K5" s="5">
        <f>'2025.03'!D109</f>
        <v>1.9999999999999574E-2</v>
      </c>
      <c r="L5" s="5">
        <f>'2025.03'!J109</f>
        <v>0</v>
      </c>
      <c r="M5" s="5">
        <f>'2025.03'!O109</f>
        <v>0</v>
      </c>
      <c r="O5" s="3" t="s">
        <v>2</v>
      </c>
      <c r="P5" s="5">
        <f>SUM(B5:B56)</f>
        <v>9.94</v>
      </c>
      <c r="Q5" s="8">
        <f>SUM(E5:E56)</f>
        <v>0.18797134952817676</v>
      </c>
      <c r="R5" s="5">
        <f>'2025.11'!I109-'2025.11'!J109</f>
        <v>10.09</v>
      </c>
      <c r="S5" s="5">
        <f>R5-P5+X5</f>
        <v>0.15000000000000036</v>
      </c>
      <c r="T5" s="37">
        <f>(R5-P5+X5)/P5</f>
        <v>1.509054325955738E-2</v>
      </c>
      <c r="U5" s="37">
        <f>XIRR(AG5:AG200,AF5:AF200)</f>
        <v>2.470607459545136E-2</v>
      </c>
      <c r="V5" s="5">
        <f>SUM(K5:K13)</f>
        <v>1.9999999999999574E-2</v>
      </c>
      <c r="W5" s="5">
        <f>SUM(L5:L13)</f>
        <v>0.03</v>
      </c>
      <c r="X5" s="5">
        <f>SUM(M5:M13)</f>
        <v>0</v>
      </c>
      <c r="Y5" s="5" cm="1">
        <f t="array" ref="Y5">SUMPRODUCT(IFERROR(AD5:AD200,0),IFERROR(AE5:AE200,0))/SUM(IFERROR(AE5:AE200,0))</f>
        <v>52.773999999999994</v>
      </c>
      <c r="AC5" s="5">
        <f>'2025.03'!$C$109</f>
        <v>9.92</v>
      </c>
      <c r="AD5" s="5">
        <f>'2025.03'!$E$109</f>
        <v>52.773999999999994</v>
      </c>
      <c r="AE5" s="8">
        <f>'2025.03'!$F$109</f>
        <v>0.18797134952817676</v>
      </c>
      <c r="AF5" s="31">
        <f>'2025.03'!$A$105</f>
        <v>45743</v>
      </c>
      <c r="AG5" s="5">
        <f>'2025.03'!$B$105*-1</f>
        <v>-9.94</v>
      </c>
    </row>
    <row r="6" spans="1:33" x14ac:dyDescent="0.25">
      <c r="A6" s="50">
        <f>'2025.04'!Q2</f>
        <v>2025.04</v>
      </c>
      <c r="B6" s="5">
        <f>'2025.04'!B109</f>
        <v>0</v>
      </c>
      <c r="C6" s="5">
        <f>'2025.04'!C109</f>
        <v>0</v>
      </c>
      <c r="D6" s="5">
        <f t="shared" ref="D6:D13" si="3">D5+C6</f>
        <v>9.92</v>
      </c>
      <c r="E6" s="8">
        <f>'2025.04'!F109</f>
        <v>0</v>
      </c>
      <c r="F6" s="8">
        <f t="shared" ref="F6:F11" si="4">F5+E6</f>
        <v>0.18797134952817676</v>
      </c>
      <c r="G6" s="7">
        <v>53.05</v>
      </c>
      <c r="H6" s="5">
        <f t="shared" si="0"/>
        <v>9.9718800924697764</v>
      </c>
      <c r="I6" s="5">
        <f t="shared" si="1"/>
        <v>5.1880092469776429E-2</v>
      </c>
      <c r="J6" s="5">
        <f t="shared" si="2"/>
        <v>0.52298480312274631</v>
      </c>
      <c r="K6" s="5">
        <f>'2025.04'!D109</f>
        <v>0</v>
      </c>
      <c r="L6" s="5">
        <f>'2025.04'!J109</f>
        <v>0</v>
      </c>
      <c r="M6" s="5">
        <f>'2025.04'!O109</f>
        <v>0</v>
      </c>
      <c r="AC6" s="5">
        <f>'2025.04'!$C$109</f>
        <v>0</v>
      </c>
      <c r="AD6" s="5" t="str">
        <f>'2025.04'!$E$109</f>
        <v>0.00</v>
      </c>
      <c r="AE6" s="8">
        <f>'2025.04'!$F$109</f>
        <v>0</v>
      </c>
      <c r="AF6" s="31"/>
      <c r="AG6" s="5"/>
    </row>
    <row r="7" spans="1:33" x14ac:dyDescent="0.25">
      <c r="A7" s="50">
        <f>'2025.05'!Q2</f>
        <v>2025.05</v>
      </c>
      <c r="B7" s="5">
        <f>'2025.05'!B109</f>
        <v>0</v>
      </c>
      <c r="C7" s="5">
        <f>'2025.05'!C109</f>
        <v>0</v>
      </c>
      <c r="D7" s="5">
        <f t="shared" si="3"/>
        <v>9.92</v>
      </c>
      <c r="E7" s="8">
        <f>'2025.05'!F109</f>
        <v>0</v>
      </c>
      <c r="F7" s="8">
        <f t="shared" si="4"/>
        <v>0.18797134952817676</v>
      </c>
      <c r="G7" s="7">
        <v>53.241999999999997</v>
      </c>
      <c r="H7" s="5">
        <f t="shared" si="0"/>
        <v>10.007970591579186</v>
      </c>
      <c r="I7" s="5">
        <f t="shared" si="1"/>
        <v>8.7970591579185964E-2</v>
      </c>
      <c r="J7" s="5">
        <f t="shared" si="2"/>
        <v>0.88680031833856821</v>
      </c>
      <c r="K7" s="5">
        <f>'2025.05'!D109</f>
        <v>0</v>
      </c>
      <c r="L7" s="5">
        <f>'2025.05'!J109</f>
        <v>0</v>
      </c>
      <c r="M7" s="5">
        <f>'2025.05'!O109</f>
        <v>0</v>
      </c>
      <c r="AC7" s="5">
        <f>'2025.05'!$C$109</f>
        <v>0</v>
      </c>
      <c r="AD7" s="5" t="str">
        <f>'2025.05'!$E$109</f>
        <v>0.00</v>
      </c>
      <c r="AE7" s="8">
        <f>'2025.05'!$F$109</f>
        <v>0</v>
      </c>
      <c r="AF7" s="31"/>
      <c r="AG7" s="5"/>
    </row>
    <row r="8" spans="1:33" x14ac:dyDescent="0.25">
      <c r="A8" s="50">
        <f>'2025.06'!Q2</f>
        <v>2025.06</v>
      </c>
      <c r="B8" s="5">
        <f>'2025.06'!B109</f>
        <v>0</v>
      </c>
      <c r="C8" s="5">
        <f>'2025.06'!C109</f>
        <v>0</v>
      </c>
      <c r="D8" s="5">
        <f t="shared" si="3"/>
        <v>9.92</v>
      </c>
      <c r="E8" s="8">
        <f>'2025.06'!F109</f>
        <v>0</v>
      </c>
      <c r="F8" s="8">
        <f t="shared" si="4"/>
        <v>0.18797134952817676</v>
      </c>
      <c r="G8" s="7">
        <v>53.408000000000001</v>
      </c>
      <c r="H8" s="5">
        <f t="shared" si="0"/>
        <v>10.039173835600865</v>
      </c>
      <c r="I8" s="5">
        <f t="shared" si="1"/>
        <v>0.11917383560086492</v>
      </c>
      <c r="J8" s="5">
        <f t="shared" si="2"/>
        <v>1.2013491492022674</v>
      </c>
      <c r="K8" s="5">
        <f>'2025.06'!D109</f>
        <v>0</v>
      </c>
      <c r="L8" s="5">
        <f>'2025.06'!J109</f>
        <v>0</v>
      </c>
      <c r="M8" s="5">
        <f>'2025.06'!O109</f>
        <v>0</v>
      </c>
      <c r="AC8" s="5">
        <f>'2025.06'!$C$109</f>
        <v>0</v>
      </c>
      <c r="AD8" s="5" t="str">
        <f>'2025.06'!$E$109</f>
        <v>0.00</v>
      </c>
      <c r="AE8" s="8">
        <f>'2025.06'!$F$109</f>
        <v>0</v>
      </c>
      <c r="AF8" s="31"/>
      <c r="AG8" s="5"/>
    </row>
    <row r="9" spans="1:33" x14ac:dyDescent="0.25">
      <c r="A9" s="50">
        <f>'2025.07'!Q2</f>
        <v>2025.07</v>
      </c>
      <c r="B9" s="5">
        <f>'2025.07'!B109</f>
        <v>0</v>
      </c>
      <c r="C9" s="5">
        <f>'2025.07'!C109</f>
        <v>0</v>
      </c>
      <c r="D9" s="5">
        <f t="shared" si="3"/>
        <v>9.92</v>
      </c>
      <c r="E9" s="8">
        <f>'2025.07'!F109</f>
        <v>0</v>
      </c>
      <c r="F9" s="8">
        <f t="shared" si="4"/>
        <v>0.18797134952817676</v>
      </c>
      <c r="G9" s="7">
        <v>53.502000000000002</v>
      </c>
      <c r="H9" s="5">
        <f t="shared" si="0"/>
        <v>10.056843142456513</v>
      </c>
      <c r="I9" s="5">
        <f t="shared" si="1"/>
        <v>0.13684314245651308</v>
      </c>
      <c r="J9" s="5">
        <f t="shared" si="2"/>
        <v>1.3794671618600109</v>
      </c>
      <c r="K9" s="5">
        <f>'2025.07'!D109</f>
        <v>0</v>
      </c>
      <c r="L9" s="5">
        <f>'2025.07'!J109</f>
        <v>0</v>
      </c>
      <c r="M9" s="5">
        <f>'2025.07'!O109</f>
        <v>0</v>
      </c>
      <c r="AC9" s="5">
        <f>'2025.07'!$C$109</f>
        <v>0</v>
      </c>
      <c r="AD9" s="5" t="str">
        <f>'2025.07'!$E$109</f>
        <v>0.00</v>
      </c>
      <c r="AE9" s="8">
        <f>'2025.07'!$F$109</f>
        <v>0</v>
      </c>
      <c r="AF9" s="31"/>
      <c r="AG9" s="5"/>
    </row>
    <row r="10" spans="1:33" x14ac:dyDescent="0.25">
      <c r="A10" s="50">
        <f>'2025.08'!Q2</f>
        <v>2025.08</v>
      </c>
      <c r="B10" s="5">
        <f>'2025.08'!B109</f>
        <v>0</v>
      </c>
      <c r="C10" s="5">
        <f>'2025.08'!C109</f>
        <v>0</v>
      </c>
      <c r="D10" s="5">
        <f t="shared" si="3"/>
        <v>9.92</v>
      </c>
      <c r="E10" s="8">
        <f>'2025.08'!F109</f>
        <v>0</v>
      </c>
      <c r="F10" s="8">
        <f t="shared" si="4"/>
        <v>0.18797134952817676</v>
      </c>
      <c r="G10" s="7">
        <v>53.576000000000001</v>
      </c>
      <c r="H10" s="5">
        <f t="shared" si="0"/>
        <v>10.070753022321599</v>
      </c>
      <c r="I10" s="5">
        <f t="shared" si="1"/>
        <v>0.15075302232159871</v>
      </c>
      <c r="J10" s="5">
        <f t="shared" si="2"/>
        <v>1.519687725016116</v>
      </c>
      <c r="K10" s="5">
        <f>'2025.08'!D109</f>
        <v>0</v>
      </c>
      <c r="L10" s="5">
        <f>'2025.08'!J109</f>
        <v>0</v>
      </c>
      <c r="M10" s="5">
        <f>'2025.08'!O109</f>
        <v>0</v>
      </c>
      <c r="AC10" s="5">
        <f>'2025.08'!$C$109</f>
        <v>0</v>
      </c>
      <c r="AD10" s="5" t="str">
        <f>'2025.08'!$E$109</f>
        <v>0.00</v>
      </c>
      <c r="AE10" s="8">
        <f>'2025.08'!$F$109</f>
        <v>0</v>
      </c>
      <c r="AF10" s="31"/>
      <c r="AG10" s="5"/>
    </row>
    <row r="11" spans="1:33" x14ac:dyDescent="0.25">
      <c r="A11" s="50">
        <f>'2025.09'!Q2</f>
        <v>2025.09</v>
      </c>
      <c r="B11" s="5">
        <f>'2025.09'!B109</f>
        <v>0</v>
      </c>
      <c r="C11" s="5">
        <f>'2025.09'!C109</f>
        <v>0</v>
      </c>
      <c r="D11" s="5">
        <f t="shared" si="3"/>
        <v>9.92</v>
      </c>
      <c r="E11" s="8">
        <f>'2025.09'!F109</f>
        <v>0</v>
      </c>
      <c r="F11" s="8">
        <f t="shared" si="4"/>
        <v>0.18797134952817676</v>
      </c>
      <c r="G11" s="7">
        <v>53.683999999999997</v>
      </c>
      <c r="H11" s="5">
        <f t="shared" ref="H11" si="5">F11*G11</f>
        <v>10.091053928070641</v>
      </c>
      <c r="I11" s="5">
        <f t="shared" si="1"/>
        <v>0.17105392807064135</v>
      </c>
      <c r="J11" s="5">
        <f t="shared" si="2"/>
        <v>1.7243339523250136</v>
      </c>
      <c r="K11" s="5">
        <f>'2025.09'!D109</f>
        <v>0</v>
      </c>
      <c r="L11" s="5">
        <f>'2025.09'!J109</f>
        <v>0</v>
      </c>
      <c r="M11" s="5">
        <f>'2025.09'!O109</f>
        <v>0</v>
      </c>
      <c r="AC11" s="5">
        <f>'2025.09'!$C$109</f>
        <v>0</v>
      </c>
      <c r="AD11" s="5" t="str">
        <f>'2025.09'!$E$109</f>
        <v>0.00</v>
      </c>
      <c r="AE11" s="8">
        <f>'2025.09'!$F$109</f>
        <v>0</v>
      </c>
      <c r="AF11" s="31"/>
      <c r="AG11" s="5"/>
    </row>
    <row r="12" spans="1:33" x14ac:dyDescent="0.25">
      <c r="A12" s="50">
        <f>'2025.10'!Q2</f>
        <v>2025.1</v>
      </c>
      <c r="B12" s="5">
        <f>'2025.10'!B109</f>
        <v>0</v>
      </c>
      <c r="C12" s="5">
        <f>'2025.10'!C109</f>
        <v>0</v>
      </c>
      <c r="D12" s="5">
        <f t="shared" si="3"/>
        <v>9.92</v>
      </c>
      <c r="E12" s="8">
        <f>'2025.10'!F109</f>
        <v>0</v>
      </c>
      <c r="F12" s="8">
        <f t="shared" ref="F12" si="6">F11+E12</f>
        <v>0.18797134952817676</v>
      </c>
      <c r="G12" s="7">
        <v>53.845999999999997</v>
      </c>
      <c r="H12" s="5">
        <f t="shared" ref="H12" si="7">F12*G12</f>
        <v>10.121505286694205</v>
      </c>
      <c r="I12" s="5">
        <f t="shared" si="1"/>
        <v>0.20150528669420531</v>
      </c>
      <c r="J12" s="5">
        <f t="shared" si="2"/>
        <v>2.0313032932883601</v>
      </c>
      <c r="K12" s="5">
        <f>'2025.10'!D109</f>
        <v>0</v>
      </c>
      <c r="L12" s="5">
        <f>'2025.10'!J109</f>
        <v>0</v>
      </c>
      <c r="M12" s="5">
        <f>'2025.10'!O109</f>
        <v>0</v>
      </c>
      <c r="AC12" s="5">
        <f>'2025.10'!$C$109</f>
        <v>0</v>
      </c>
      <c r="AD12" s="5" t="str">
        <f>'2025.10'!$E$109</f>
        <v>0.00</v>
      </c>
      <c r="AE12" s="8">
        <f>'2025.10'!$F$109</f>
        <v>0</v>
      </c>
      <c r="AF12" s="31"/>
      <c r="AG12" s="5"/>
    </row>
    <row r="13" spans="1:33" x14ac:dyDescent="0.25">
      <c r="A13" s="51">
        <f>'2025.11'!Q2</f>
        <v>2025.11</v>
      </c>
      <c r="B13" s="20">
        <f>'2025.11'!B109</f>
        <v>0</v>
      </c>
      <c r="C13" s="20">
        <f>'2025.11'!C109</f>
        <v>0</v>
      </c>
      <c r="D13" s="20">
        <f t="shared" si="3"/>
        <v>9.92</v>
      </c>
      <c r="E13" s="21">
        <f>'2025.11'!F109</f>
        <v>0</v>
      </c>
      <c r="F13" s="21">
        <f t="shared" ref="F13" si="8">F12+E13</f>
        <v>0.18797134952817676</v>
      </c>
      <c r="G13" s="22">
        <v>53.811999999999998</v>
      </c>
      <c r="H13" s="20">
        <f t="shared" ref="H13" si="9">F13*G13</f>
        <v>10.115114260810248</v>
      </c>
      <c r="I13" s="20">
        <f t="shared" si="1"/>
        <v>0.1951142608102483</v>
      </c>
      <c r="J13" s="20">
        <f t="shared" si="2"/>
        <v>1.9668776291355676</v>
      </c>
      <c r="K13" s="20">
        <f>'2025.11'!D109</f>
        <v>0</v>
      </c>
      <c r="L13" s="20">
        <f>'2025.11'!J109</f>
        <v>0.03</v>
      </c>
      <c r="M13" s="20">
        <f>'2025.11'!O109</f>
        <v>0</v>
      </c>
      <c r="AC13" s="5">
        <f>'2025.11'!$C$109</f>
        <v>0</v>
      </c>
      <c r="AD13" s="5" t="str">
        <f>'2025.11'!$E$109</f>
        <v>0.00</v>
      </c>
      <c r="AE13" s="8">
        <f>'2025.11'!$F$109</f>
        <v>0</v>
      </c>
      <c r="AF13" s="31"/>
      <c r="AG13" s="5"/>
    </row>
    <row r="14" spans="1:33" x14ac:dyDescent="0.25">
      <c r="AC14" s="5"/>
      <c r="AD14" s="5"/>
      <c r="AE14" s="8"/>
      <c r="AF14" s="31"/>
      <c r="AG14" s="5"/>
    </row>
    <row r="15" spans="1:33" x14ac:dyDescent="0.25">
      <c r="AC15" s="5"/>
      <c r="AD15" s="5"/>
      <c r="AE15" s="8"/>
      <c r="AF15" s="31"/>
      <c r="AG15" s="5"/>
    </row>
    <row r="16" spans="1:33" x14ac:dyDescent="0.25">
      <c r="AC16" s="5"/>
      <c r="AD16" s="5"/>
      <c r="AE16" s="8"/>
      <c r="AF16" s="31"/>
      <c r="AG16" s="5"/>
    </row>
    <row r="17" spans="29:33" x14ac:dyDescent="0.25">
      <c r="AC17" s="5"/>
      <c r="AD17" s="5"/>
      <c r="AE17" s="8"/>
      <c r="AF17" s="31"/>
      <c r="AG17" s="5"/>
    </row>
    <row r="18" spans="29:33" x14ac:dyDescent="0.25">
      <c r="AC18" s="5"/>
      <c r="AD18" s="5"/>
      <c r="AE18" s="8"/>
      <c r="AF18" s="31"/>
      <c r="AG18" s="5"/>
    </row>
    <row r="19" spans="29:33" x14ac:dyDescent="0.25">
      <c r="AC19" s="5"/>
      <c r="AD19" s="5"/>
      <c r="AE19" s="8"/>
      <c r="AF19" s="31"/>
      <c r="AG19" s="5"/>
    </row>
    <row r="20" spans="29:33" x14ac:dyDescent="0.25">
      <c r="AC20" s="5"/>
      <c r="AD20" s="5"/>
      <c r="AE20" s="8"/>
      <c r="AF20" s="31"/>
      <c r="AG20" s="5"/>
    </row>
    <row r="21" spans="29:33" x14ac:dyDescent="0.25">
      <c r="AC21" s="5"/>
      <c r="AD21" s="5"/>
      <c r="AE21" s="8"/>
      <c r="AF21" s="31"/>
      <c r="AG21" s="5"/>
    </row>
    <row r="22" spans="29:33" x14ac:dyDescent="0.25">
      <c r="AC22" s="5"/>
      <c r="AD22" s="5"/>
      <c r="AE22" s="8"/>
      <c r="AF22" s="31"/>
      <c r="AG22" s="5"/>
    </row>
    <row r="23" spans="29:33" x14ac:dyDescent="0.25">
      <c r="AC23" s="5"/>
      <c r="AD23" s="5"/>
      <c r="AE23" s="8"/>
      <c r="AF23" s="31"/>
      <c r="AG23" s="5"/>
    </row>
    <row r="24" spans="29:33" x14ac:dyDescent="0.25">
      <c r="AC24" s="5"/>
      <c r="AD24" s="5"/>
      <c r="AE24" s="8"/>
      <c r="AF24" s="31"/>
      <c r="AG24" s="5"/>
    </row>
    <row r="25" spans="29:33" x14ac:dyDescent="0.25">
      <c r="AC25" s="5"/>
      <c r="AD25" s="5"/>
      <c r="AE25" s="8"/>
      <c r="AF25" s="31"/>
      <c r="AG25" s="5"/>
    </row>
    <row r="26" spans="29:33" x14ac:dyDescent="0.25">
      <c r="AC26" s="5"/>
      <c r="AD26" s="5"/>
      <c r="AE26" s="8"/>
      <c r="AF26" s="31"/>
      <c r="AG26" s="5"/>
    </row>
    <row r="27" spans="29:33" x14ac:dyDescent="0.25">
      <c r="AC27" s="5"/>
      <c r="AD27" s="5"/>
      <c r="AE27" s="8"/>
      <c r="AF27" s="31"/>
      <c r="AG27" s="5"/>
    </row>
    <row r="28" spans="29:33" x14ac:dyDescent="0.25">
      <c r="AC28" s="5"/>
      <c r="AD28" s="5"/>
      <c r="AE28" s="8"/>
      <c r="AF28" s="31"/>
      <c r="AG28" s="5"/>
    </row>
    <row r="29" spans="29:33" x14ac:dyDescent="0.25">
      <c r="AC29" s="5"/>
      <c r="AD29" s="5"/>
      <c r="AE29" s="8"/>
      <c r="AF29" s="31"/>
      <c r="AG29" s="5"/>
    </row>
    <row r="30" spans="29:33" x14ac:dyDescent="0.25">
      <c r="AF30" s="31"/>
      <c r="AG30" s="5"/>
    </row>
    <row r="31" spans="29:33" x14ac:dyDescent="0.25">
      <c r="AF31" s="31"/>
      <c r="AG31" s="5"/>
    </row>
    <row r="32" spans="29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45967</v>
      </c>
      <c r="AG65" s="5">
        <f>R5</f>
        <v>10.09</v>
      </c>
    </row>
  </sheetData>
  <mergeCells count="18">
    <mergeCell ref="A3:A4"/>
    <mergeCell ref="B3:D3"/>
    <mergeCell ref="E3:F3"/>
    <mergeCell ref="G3:J3"/>
    <mergeCell ref="K3:L3"/>
    <mergeCell ref="M3:M4"/>
    <mergeCell ref="V3:W3"/>
    <mergeCell ref="X3:X4"/>
    <mergeCell ref="O3:O4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5.03'!A1" display="'2025.03'!A1" xr:uid="{7DD195C7-F85B-41DD-8D00-C440BD33EDD5}"/>
    <hyperlink ref="A6" location="'2025.04'!A1" display="'2025.04'!A1" xr:uid="{9B69DE56-E716-4F2B-A441-7890BF21DE30}"/>
    <hyperlink ref="A7" location="'2025.05'!A1" display="'2025.05'!A1" xr:uid="{0B3D9222-3B71-4850-8514-7C97B246DE53}"/>
    <hyperlink ref="A8" location="'2025.06'!A1" display="'2025.06'!A1" xr:uid="{97B2A0F4-543A-41D3-A4BB-AA98B71B5045}"/>
    <hyperlink ref="A9" location="'2025.07'!A1" display="'2025.07'!A1" xr:uid="{6FEC4648-9A83-4E29-B835-384D57B5F017}"/>
    <hyperlink ref="A10" location="'2025.08'!A1" display="'2025.08'!A1" xr:uid="{8A740CB7-C907-4524-81DB-196C2AF1F4B5}"/>
    <hyperlink ref="A11" location="'2025.09'!A1" display="'2025.09'!A1" xr:uid="{B2B9BF70-1871-4E6D-8967-C9142B05747E}"/>
    <hyperlink ref="A12" location="'2025.10'!A1" display="'2025.10'!A1" xr:uid="{BE61DD12-CF62-4608-A79F-49B56E7B0A90}"/>
    <hyperlink ref="A13" location="'2025.11'!A1" display="'2025.11'!A1" xr:uid="{9C8593D8-9083-40F5-BD85-1E1781E98609}"/>
  </hyperlinks>
  <pageMargins left="0.7" right="0.7" top="0.75" bottom="0.75" header="0.3" footer="0.3"/>
  <pageSetup orientation="portrait" r:id="rId1"/>
  <ignoredErrors>
    <ignoredError sqref="E5:E6 D7:E7 E8:E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G65"/>
  <sheetViews>
    <sheetView workbookViewId="0">
      <pane xSplit="1" topLeftCell="B1" activePane="topRight" state="frozen"/>
      <selection activeCell="O7" sqref="O7"/>
      <selection pane="topRight"/>
    </sheetView>
  </sheetViews>
  <sheetFormatPr defaultRowHeight="15" x14ac:dyDescent="0.25"/>
  <cols>
    <col min="1" max="1" width="15.7109375" style="1" customWidth="1"/>
    <col min="2" max="13" width="10.7109375" customWidth="1"/>
    <col min="14" max="14" width="5.7109375" customWidth="1"/>
    <col min="15" max="25" width="10.7109375" customWidth="1"/>
    <col min="29" max="31" width="10.7109375" customWidth="1"/>
    <col min="32" max="32" width="15.7109375" customWidth="1"/>
    <col min="33" max="33" width="10.7109375" customWidth="1"/>
  </cols>
  <sheetData>
    <row r="1" spans="1:33" x14ac:dyDescent="0.25">
      <c r="A1" s="19" t="s">
        <v>22</v>
      </c>
    </row>
    <row r="3" spans="1:33" x14ac:dyDescent="0.25">
      <c r="A3" s="60" t="s">
        <v>48</v>
      </c>
      <c r="B3" s="67" t="s">
        <v>3</v>
      </c>
      <c r="C3" s="71"/>
      <c r="D3" s="68"/>
      <c r="E3" s="67" t="s">
        <v>1</v>
      </c>
      <c r="F3" s="68"/>
      <c r="G3" s="67" t="s">
        <v>49</v>
      </c>
      <c r="H3" s="71"/>
      <c r="I3" s="71"/>
      <c r="J3" s="68"/>
      <c r="K3" s="63" t="s">
        <v>45</v>
      </c>
      <c r="L3" s="63"/>
      <c r="M3" s="60" t="s">
        <v>46</v>
      </c>
      <c r="O3" s="72" t="s">
        <v>35</v>
      </c>
      <c r="P3" s="60" t="s">
        <v>39</v>
      </c>
      <c r="Q3" s="60" t="s">
        <v>1</v>
      </c>
      <c r="R3" s="60" t="s">
        <v>44</v>
      </c>
      <c r="S3" s="64" t="s">
        <v>11</v>
      </c>
      <c r="T3" s="65"/>
      <c r="U3" s="66"/>
      <c r="V3" s="67" t="s">
        <v>45</v>
      </c>
      <c r="W3" s="68"/>
      <c r="X3" s="60" t="s">
        <v>46</v>
      </c>
      <c r="Y3" s="60" t="s">
        <v>55</v>
      </c>
      <c r="AC3" s="62" t="s">
        <v>56</v>
      </c>
      <c r="AD3" s="62" t="s">
        <v>0</v>
      </c>
      <c r="AE3" s="62" t="s">
        <v>1</v>
      </c>
      <c r="AF3" s="69" t="s">
        <v>59</v>
      </c>
      <c r="AG3" s="70"/>
    </row>
    <row r="4" spans="1:33" x14ac:dyDescent="0.25">
      <c r="A4" s="61"/>
      <c r="B4" s="3" t="s">
        <v>39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0</v>
      </c>
      <c r="H4" s="3" t="s">
        <v>4</v>
      </c>
      <c r="I4" s="3" t="s">
        <v>11</v>
      </c>
      <c r="J4" s="3" t="s">
        <v>5</v>
      </c>
      <c r="K4" s="3" t="s">
        <v>40</v>
      </c>
      <c r="L4" s="3" t="s">
        <v>42</v>
      </c>
      <c r="M4" s="61"/>
      <c r="O4" s="73"/>
      <c r="P4" s="61"/>
      <c r="Q4" s="61"/>
      <c r="R4" s="61"/>
      <c r="S4" s="52" t="s">
        <v>57</v>
      </c>
      <c r="T4" s="52" t="s">
        <v>5</v>
      </c>
      <c r="U4" s="52" t="s">
        <v>58</v>
      </c>
      <c r="V4" s="3" t="s">
        <v>40</v>
      </c>
      <c r="W4" s="17" t="s">
        <v>42</v>
      </c>
      <c r="X4" s="61"/>
      <c r="Y4" s="61"/>
      <c r="AC4" s="62"/>
      <c r="AD4" s="62"/>
      <c r="AE4" s="62"/>
      <c r="AF4" s="53" t="s">
        <v>48</v>
      </c>
      <c r="AG4" s="54" t="s">
        <v>56</v>
      </c>
    </row>
    <row r="5" spans="1:33" x14ac:dyDescent="0.25">
      <c r="A5" s="50">
        <f>'2025.03'!Q2</f>
        <v>2025.03</v>
      </c>
      <c r="B5" s="5">
        <f>'2025.03'!B119</f>
        <v>19.96</v>
      </c>
      <c r="C5" s="5">
        <f>'2025.03'!C119</f>
        <v>19.920000000000002</v>
      </c>
      <c r="D5" s="5">
        <f>C5</f>
        <v>19.920000000000002</v>
      </c>
      <c r="E5" s="8">
        <f>'2025.03'!F119</f>
        <v>1.5064417119509828</v>
      </c>
      <c r="F5" s="8">
        <f>E5</f>
        <v>1.5064417119509828</v>
      </c>
      <c r="G5" s="7">
        <v>12.548500000000001</v>
      </c>
      <c r="H5" s="5">
        <f t="shared" ref="H5:H10" si="0">F5*G5</f>
        <v>18.903583822416909</v>
      </c>
      <c r="I5" s="5">
        <f t="shared" ref="I5:I12" si="1">H5-D5</f>
        <v>-1.0164161775830927</v>
      </c>
      <c r="J5" s="5">
        <f t="shared" ref="J5:J12" si="2">(H5-D5)*100/D5</f>
        <v>-5.1024908513207459</v>
      </c>
      <c r="K5" s="5">
        <f>'2025.03'!D119</f>
        <v>3.9999999999999147E-2</v>
      </c>
      <c r="L5" s="5">
        <f>'2025.03'!J119</f>
        <v>0</v>
      </c>
      <c r="M5" s="5">
        <f>'2025.03'!O119</f>
        <v>0</v>
      </c>
      <c r="O5" s="3" t="s">
        <v>2</v>
      </c>
      <c r="P5" s="5">
        <f>SUM(B5:B57)</f>
        <v>29.94</v>
      </c>
      <c r="Q5" s="8">
        <f>SUM(E5:E57)</f>
        <v>2.2720655108594308</v>
      </c>
      <c r="R5" s="5">
        <f>'2025.11'!I119-'2025.11'!J119</f>
        <v>32.800000000000004</v>
      </c>
      <c r="S5" s="5">
        <f>R5-P5+X5</f>
        <v>2.860000000000003</v>
      </c>
      <c r="T5" s="37">
        <f>(R5-P5+X5)/P5</f>
        <v>9.552438209752849E-2</v>
      </c>
      <c r="U5" s="37">
        <f>XIRR(AG5:AG200,AF5:AF200)</f>
        <v>0.17921997904777531</v>
      </c>
      <c r="V5" s="5">
        <f>SUM(K5:K13)</f>
        <v>5.9999999999999151E-2</v>
      </c>
      <c r="W5" s="5">
        <f>SUM(L5:L13)</f>
        <v>0.08</v>
      </c>
      <c r="X5" s="5">
        <f>SUM(M5:M13)</f>
        <v>0</v>
      </c>
      <c r="Y5" s="5" cm="1">
        <f t="array" ref="Y5">SUMPRODUCT(IFERROR(AD5:AD200,0),IFERROR(AE5:AE200,0))/SUM(IFERROR(AE5:AE200,0))</f>
        <v>13.151029253860555</v>
      </c>
      <c r="AC5" s="5">
        <f>'2025.03'!$C$119</f>
        <v>19.920000000000002</v>
      </c>
      <c r="AD5" s="5">
        <f>'2025.03'!$E$119</f>
        <v>13.223213246134655</v>
      </c>
      <c r="AE5" s="8">
        <f>'2025.03'!$F$119</f>
        <v>1.5064417119509828</v>
      </c>
      <c r="AF5" s="31">
        <f>'2025.03'!$A$115</f>
        <v>45726</v>
      </c>
      <c r="AG5" s="5">
        <f>'2025.03'!$B$115*-1</f>
        <v>-9.98</v>
      </c>
    </row>
    <row r="6" spans="1:33" x14ac:dyDescent="0.25">
      <c r="A6" s="50">
        <f>'2025.04'!Q2</f>
        <v>2025.04</v>
      </c>
      <c r="B6" s="5">
        <f>'2025.04'!B119</f>
        <v>0</v>
      </c>
      <c r="C6" s="5">
        <f>'2025.04'!C119</f>
        <v>0</v>
      </c>
      <c r="D6" s="5">
        <f t="shared" ref="D6:D12" si="3">D5+C6</f>
        <v>19.920000000000002</v>
      </c>
      <c r="E6" s="8">
        <f>'2025.04'!F119</f>
        <v>0</v>
      </c>
      <c r="F6" s="8">
        <f t="shared" ref="F6:F11" si="4">F5+E6</f>
        <v>1.5064417119509828</v>
      </c>
      <c r="G6" s="7">
        <v>11.8805</v>
      </c>
      <c r="H6" s="5">
        <f t="shared" si="0"/>
        <v>17.897280758833649</v>
      </c>
      <c r="I6" s="5">
        <f t="shared" si="1"/>
        <v>-2.022719241166353</v>
      </c>
      <c r="J6" s="5">
        <f t="shared" si="2"/>
        <v>-10.154213058064022</v>
      </c>
      <c r="K6" s="5">
        <f>'2025.04'!D119</f>
        <v>0</v>
      </c>
      <c r="L6" s="5">
        <f>'2025.04'!J119</f>
        <v>0</v>
      </c>
      <c r="M6" s="5">
        <f>'2025.04'!O119</f>
        <v>0</v>
      </c>
      <c r="AC6" s="5">
        <f>'2025.04'!$C$119</f>
        <v>0</v>
      </c>
      <c r="AD6" s="5" t="str">
        <f>'2025.04'!$E$119</f>
        <v>0.00</v>
      </c>
      <c r="AE6" s="8">
        <f>'2025.04'!$F$119</f>
        <v>0</v>
      </c>
      <c r="AF6" s="31">
        <f>'2025.03'!$A$116</f>
        <v>45743</v>
      </c>
      <c r="AG6" s="5">
        <f>'2025.03'!$B$116*-1</f>
        <v>-9.98</v>
      </c>
    </row>
    <row r="7" spans="1:33" x14ac:dyDescent="0.25">
      <c r="A7" s="50">
        <f>'2025.05'!Q2</f>
        <v>2025.05</v>
      </c>
      <c r="B7" s="5">
        <f>'2025.05'!B119</f>
        <v>0</v>
      </c>
      <c r="C7" s="5">
        <f>'2025.05'!C119</f>
        <v>0</v>
      </c>
      <c r="D7" s="5">
        <f t="shared" si="3"/>
        <v>19.920000000000002</v>
      </c>
      <c r="E7" s="8">
        <f>'2025.05'!F119</f>
        <v>0</v>
      </c>
      <c r="F7" s="8">
        <f t="shared" si="4"/>
        <v>1.5064417119509828</v>
      </c>
      <c r="G7" s="7">
        <v>12.7</v>
      </c>
      <c r="H7" s="5">
        <f t="shared" si="0"/>
        <v>19.131809741777481</v>
      </c>
      <c r="I7" s="5">
        <f t="shared" si="1"/>
        <v>-0.78819025822252087</v>
      </c>
      <c r="J7" s="5">
        <f t="shared" si="2"/>
        <v>-3.95677840473153</v>
      </c>
      <c r="K7" s="5">
        <f>'2025.05'!D119</f>
        <v>0</v>
      </c>
      <c r="L7" s="5">
        <f>'2025.05'!J119</f>
        <v>0</v>
      </c>
      <c r="M7" s="5">
        <f>'2025.05'!O119</f>
        <v>0</v>
      </c>
      <c r="AC7" s="5">
        <f>'2025.05'!$C$119</f>
        <v>0</v>
      </c>
      <c r="AD7" s="5" t="str">
        <f>'2025.05'!$E$119</f>
        <v>0.00</v>
      </c>
      <c r="AE7" s="8">
        <f>'2025.05'!$F$119</f>
        <v>0</v>
      </c>
      <c r="AF7" s="31">
        <f>'2025.07'!$A$115</f>
        <v>45849</v>
      </c>
      <c r="AG7" s="5">
        <f>'2025.07'!$B$115*-1</f>
        <v>-9.98</v>
      </c>
    </row>
    <row r="8" spans="1:33" x14ac:dyDescent="0.25">
      <c r="A8" s="50">
        <f>'2025.06'!Q2</f>
        <v>2025.06</v>
      </c>
      <c r="B8" s="5">
        <f>'2025.06'!B119</f>
        <v>0</v>
      </c>
      <c r="C8" s="5">
        <f>'2025.06'!C119</f>
        <v>0</v>
      </c>
      <c r="D8" s="5">
        <f t="shared" si="3"/>
        <v>19.920000000000002</v>
      </c>
      <c r="E8" s="8">
        <f>'2025.06'!F119</f>
        <v>0</v>
      </c>
      <c r="F8" s="8">
        <f t="shared" si="4"/>
        <v>1.5064417119509828</v>
      </c>
      <c r="G8" s="7">
        <v>12.891999999999999</v>
      </c>
      <c r="H8" s="5">
        <f t="shared" si="0"/>
        <v>19.42104655047207</v>
      </c>
      <c r="I8" s="5">
        <f t="shared" si="1"/>
        <v>-0.49895344952793153</v>
      </c>
      <c r="J8" s="5">
        <f t="shared" si="2"/>
        <v>-2.5047863932125076</v>
      </c>
      <c r="K8" s="5">
        <f>'2025.06'!D119</f>
        <v>0</v>
      </c>
      <c r="L8" s="5">
        <f>'2025.06'!J119</f>
        <v>0</v>
      </c>
      <c r="M8" s="5">
        <f>'2025.06'!O119</f>
        <v>0</v>
      </c>
      <c r="AC8" s="5">
        <f>'2025.06'!$C$119</f>
        <v>0</v>
      </c>
      <c r="AD8" s="5" t="str">
        <f>'2025.06'!$E$119</f>
        <v>0.00</v>
      </c>
      <c r="AE8" s="8">
        <f>'2025.06'!$F$119</f>
        <v>0</v>
      </c>
      <c r="AF8" s="31"/>
      <c r="AG8" s="5"/>
    </row>
    <row r="9" spans="1:33" x14ac:dyDescent="0.25">
      <c r="A9" s="50">
        <f>'2025.07'!Q2</f>
        <v>2025.07</v>
      </c>
      <c r="B9" s="5">
        <f>'2025.07'!B119</f>
        <v>9.98</v>
      </c>
      <c r="C9" s="5">
        <f>'2025.07'!C119</f>
        <v>9.9600000000000009</v>
      </c>
      <c r="D9" s="5">
        <f t="shared" si="3"/>
        <v>29.880000000000003</v>
      </c>
      <c r="E9" s="8">
        <f>'2025.07'!F119</f>
        <v>0.76562379890844801</v>
      </c>
      <c r="F9" s="8">
        <f t="shared" si="4"/>
        <v>2.2720655108594308</v>
      </c>
      <c r="G9" s="7">
        <v>13.673500000000001</v>
      </c>
      <c r="H9" s="5">
        <f t="shared" si="0"/>
        <v>31.067087762736428</v>
      </c>
      <c r="I9" s="5">
        <f t="shared" si="1"/>
        <v>1.1870877627364251</v>
      </c>
      <c r="J9" s="5">
        <f t="shared" si="2"/>
        <v>3.9728506115676874</v>
      </c>
      <c r="K9" s="5">
        <f>'2025.07'!D119</f>
        <v>0.02</v>
      </c>
      <c r="L9" s="5">
        <f>'2025.07'!J119</f>
        <v>0</v>
      </c>
      <c r="M9" s="5">
        <f>'2025.07'!O119</f>
        <v>0</v>
      </c>
      <c r="AC9" s="5">
        <f>'2025.07'!$C$119</f>
        <v>9.9600000000000009</v>
      </c>
      <c r="AD9" s="5">
        <f>'2025.07'!$E$119</f>
        <v>13.009</v>
      </c>
      <c r="AE9" s="8">
        <f>'2025.07'!$F$119</f>
        <v>0.76562379890844801</v>
      </c>
      <c r="AF9" s="31"/>
      <c r="AG9" s="5"/>
    </row>
    <row r="10" spans="1:33" x14ac:dyDescent="0.25">
      <c r="A10" s="50">
        <f>'2025.08'!Q2</f>
        <v>2025.08</v>
      </c>
      <c r="B10" s="5">
        <f>'2025.08'!B119</f>
        <v>0</v>
      </c>
      <c r="C10" s="5">
        <f>'2025.08'!C119</f>
        <v>0</v>
      </c>
      <c r="D10" s="5">
        <f t="shared" si="3"/>
        <v>29.880000000000003</v>
      </c>
      <c r="E10" s="8">
        <f>'2025.08'!F119</f>
        <v>0</v>
      </c>
      <c r="F10" s="8">
        <f t="shared" si="4"/>
        <v>2.2720655108594308</v>
      </c>
      <c r="G10" s="7">
        <v>13.5235</v>
      </c>
      <c r="H10" s="5">
        <f t="shared" si="0"/>
        <v>30.726277936107511</v>
      </c>
      <c r="I10" s="5">
        <f t="shared" si="1"/>
        <v>0.84627793610750857</v>
      </c>
      <c r="J10" s="5">
        <f t="shared" si="2"/>
        <v>2.8322554755940712</v>
      </c>
      <c r="K10" s="5">
        <f>'2025.08'!D119</f>
        <v>0</v>
      </c>
      <c r="L10" s="5">
        <f>'2025.08'!J119</f>
        <v>0</v>
      </c>
      <c r="M10" s="5">
        <f>'2025.08'!O119</f>
        <v>0</v>
      </c>
      <c r="AC10" s="5">
        <f>'2025.08'!$C$119</f>
        <v>0</v>
      </c>
      <c r="AD10" s="5" t="str">
        <f>'2025.08'!$E$119</f>
        <v>0.00</v>
      </c>
      <c r="AE10" s="8">
        <f>'2025.08'!$F$119</f>
        <v>0</v>
      </c>
      <c r="AF10" s="31"/>
      <c r="AG10" s="5"/>
    </row>
    <row r="11" spans="1:33" x14ac:dyDescent="0.25">
      <c r="A11" s="50">
        <f>'2025.09'!Q2</f>
        <v>2025.09</v>
      </c>
      <c r="B11" s="5">
        <f>'2025.09'!B119</f>
        <v>0</v>
      </c>
      <c r="C11" s="5">
        <f>'2025.09'!C119</f>
        <v>0</v>
      </c>
      <c r="D11" s="5">
        <f t="shared" si="3"/>
        <v>29.880000000000003</v>
      </c>
      <c r="E11" s="8">
        <f>'2025.09'!F119</f>
        <v>0</v>
      </c>
      <c r="F11" s="8">
        <f t="shared" si="4"/>
        <v>2.2720655108594308</v>
      </c>
      <c r="G11" s="7">
        <v>13.904</v>
      </c>
      <c r="H11" s="5">
        <f t="shared" ref="H11" si="5">F11*G11</f>
        <v>31.590798862989526</v>
      </c>
      <c r="I11" s="5">
        <f t="shared" si="1"/>
        <v>1.7107988629895239</v>
      </c>
      <c r="J11" s="5">
        <f t="shared" si="2"/>
        <v>5.7255651371804674</v>
      </c>
      <c r="K11" s="5">
        <f>'2025.09'!D119</f>
        <v>0</v>
      </c>
      <c r="L11" s="5">
        <f>'2025.09'!J119</f>
        <v>0</v>
      </c>
      <c r="M11" s="5">
        <f>'2025.09'!O119</f>
        <v>0</v>
      </c>
      <c r="AC11" s="5">
        <f>'2025.09'!$C$119</f>
        <v>0</v>
      </c>
      <c r="AD11" s="5" t="str">
        <f>'2025.09'!$E$119</f>
        <v>0.00</v>
      </c>
      <c r="AE11" s="8">
        <f>'2025.09'!$F$119</f>
        <v>0</v>
      </c>
      <c r="AF11" s="31"/>
      <c r="AG11" s="5"/>
    </row>
    <row r="12" spans="1:33" x14ac:dyDescent="0.25">
      <c r="A12" s="50">
        <f>'2025.10'!Q2</f>
        <v>2025.1</v>
      </c>
      <c r="B12" s="5">
        <f>'2025.10'!B119</f>
        <v>0</v>
      </c>
      <c r="C12" s="5">
        <f>'2025.10'!C119</f>
        <v>0</v>
      </c>
      <c r="D12" s="5">
        <f t="shared" si="3"/>
        <v>29.880000000000003</v>
      </c>
      <c r="E12" s="8">
        <f>'2025.10'!F119</f>
        <v>0</v>
      </c>
      <c r="F12" s="8">
        <f t="shared" ref="F12" si="6">F11+E12</f>
        <v>2.2720655108594308</v>
      </c>
      <c r="G12" s="7">
        <v>14.564</v>
      </c>
      <c r="H12" s="5">
        <f t="shared" ref="H12" si="7">F12*G12</f>
        <v>33.090362100156753</v>
      </c>
      <c r="I12" s="5">
        <f t="shared" si="1"/>
        <v>3.2103621001567504</v>
      </c>
      <c r="J12" s="5">
        <f t="shared" si="2"/>
        <v>10.744183735464357</v>
      </c>
      <c r="K12" s="5">
        <f>'2025.10'!D119</f>
        <v>0</v>
      </c>
      <c r="L12" s="5">
        <f>'2025.10'!J119</f>
        <v>0</v>
      </c>
      <c r="M12" s="5">
        <f>'2025.10'!O119</f>
        <v>0</v>
      </c>
      <c r="AC12" s="5">
        <f>'2025.10'!$C$119</f>
        <v>0</v>
      </c>
      <c r="AD12" s="5" t="str">
        <f>'2025.10'!$E$119</f>
        <v>0.00</v>
      </c>
      <c r="AE12" s="8">
        <f>'2025.10'!$F$119</f>
        <v>0</v>
      </c>
      <c r="AF12" s="31"/>
      <c r="AG12" s="5"/>
    </row>
    <row r="13" spans="1:33" x14ac:dyDescent="0.25">
      <c r="A13" s="51">
        <f>'2025.11'!Q2</f>
        <v>2025.11</v>
      </c>
      <c r="B13" s="20">
        <f>'2025.11'!B119</f>
        <v>0</v>
      </c>
      <c r="C13" s="20">
        <f>'2025.11'!C119</f>
        <v>0</v>
      </c>
      <c r="D13" s="20">
        <f t="shared" ref="D13" si="8">D12+C13</f>
        <v>29.880000000000003</v>
      </c>
      <c r="E13" s="21">
        <f>'2025.11'!F119</f>
        <v>0</v>
      </c>
      <c r="F13" s="21">
        <f t="shared" ref="F13" si="9">F12+E13</f>
        <v>2.2720655108594308</v>
      </c>
      <c r="G13" s="22">
        <v>15.564</v>
      </c>
      <c r="H13" s="20">
        <f t="shared" ref="H13" si="10">F13*G13</f>
        <v>35.36242761101618</v>
      </c>
      <c r="I13" s="20">
        <f t="shared" ref="I13" si="11">H13-D13</f>
        <v>5.4824276110161776</v>
      </c>
      <c r="J13" s="20">
        <f t="shared" ref="J13" si="12">(H13-D13)*100/D13</f>
        <v>18.348151308621745</v>
      </c>
      <c r="K13" s="20">
        <f>'2025.11'!D119</f>
        <v>0</v>
      </c>
      <c r="L13" s="20">
        <f>'2025.11'!J119</f>
        <v>0.08</v>
      </c>
      <c r="M13" s="20">
        <f>'2025.11'!O119</f>
        <v>0</v>
      </c>
      <c r="AC13" s="5">
        <f>'2025.11'!$C$119</f>
        <v>0</v>
      </c>
      <c r="AD13" s="5" t="str">
        <f>'2025.11'!$E$119</f>
        <v>0.00</v>
      </c>
      <c r="AE13" s="8">
        <f>'2025.11'!$F$119</f>
        <v>0</v>
      </c>
      <c r="AF13" s="31"/>
      <c r="AG13" s="5"/>
    </row>
    <row r="14" spans="1:33" x14ac:dyDescent="0.25">
      <c r="AC14" s="5"/>
      <c r="AD14" s="5"/>
      <c r="AE14" s="8"/>
      <c r="AF14" s="31"/>
      <c r="AG14" s="5"/>
    </row>
    <row r="15" spans="1:33" x14ac:dyDescent="0.25">
      <c r="AC15" s="5"/>
      <c r="AD15" s="5"/>
      <c r="AE15" s="8"/>
      <c r="AF15" s="31"/>
      <c r="AG15" s="5"/>
    </row>
    <row r="16" spans="1:33" x14ac:dyDescent="0.25">
      <c r="AC16" s="5"/>
      <c r="AD16" s="5"/>
      <c r="AE16" s="8"/>
      <c r="AF16" s="31"/>
      <c r="AG16" s="5"/>
    </row>
    <row r="17" spans="29:33" x14ac:dyDescent="0.25">
      <c r="AC17" s="5"/>
      <c r="AD17" s="5"/>
      <c r="AE17" s="8"/>
      <c r="AF17" s="31"/>
      <c r="AG17" s="5"/>
    </row>
    <row r="18" spans="29:33" x14ac:dyDescent="0.25">
      <c r="AC18" s="5"/>
      <c r="AD18" s="5"/>
      <c r="AE18" s="8"/>
      <c r="AF18" s="31"/>
      <c r="AG18" s="5"/>
    </row>
    <row r="19" spans="29:33" x14ac:dyDescent="0.25">
      <c r="AC19" s="5"/>
      <c r="AD19" s="5"/>
      <c r="AE19" s="8"/>
      <c r="AF19" s="31"/>
      <c r="AG19" s="5"/>
    </row>
    <row r="20" spans="29:33" x14ac:dyDescent="0.25">
      <c r="AC20" s="5"/>
      <c r="AD20" s="5"/>
      <c r="AE20" s="8"/>
      <c r="AF20" s="31"/>
      <c r="AG20" s="5"/>
    </row>
    <row r="21" spans="29:33" x14ac:dyDescent="0.25">
      <c r="AC21" s="5"/>
      <c r="AD21" s="5"/>
      <c r="AE21" s="8"/>
      <c r="AF21" s="31"/>
      <c r="AG21" s="5"/>
    </row>
    <row r="22" spans="29:33" x14ac:dyDescent="0.25">
      <c r="AC22" s="5"/>
      <c r="AD22" s="5"/>
      <c r="AE22" s="8"/>
      <c r="AF22" s="31"/>
      <c r="AG22" s="5"/>
    </row>
    <row r="23" spans="29:33" x14ac:dyDescent="0.25">
      <c r="AC23" s="5"/>
      <c r="AD23" s="5"/>
      <c r="AE23" s="8"/>
      <c r="AF23" s="31"/>
      <c r="AG23" s="5"/>
    </row>
    <row r="24" spans="29:33" x14ac:dyDescent="0.25">
      <c r="AC24" s="5"/>
      <c r="AD24" s="5"/>
      <c r="AE24" s="8"/>
      <c r="AF24" s="31"/>
      <c r="AG24" s="5"/>
    </row>
    <row r="25" spans="29:33" x14ac:dyDescent="0.25">
      <c r="AC25" s="5"/>
      <c r="AD25" s="5"/>
      <c r="AE25" s="8"/>
      <c r="AF25" s="31"/>
      <c r="AG25" s="5"/>
    </row>
    <row r="26" spans="29:33" x14ac:dyDescent="0.25">
      <c r="AC26" s="5"/>
      <c r="AD26" s="5"/>
      <c r="AE26" s="8"/>
      <c r="AF26" s="31"/>
      <c r="AG26" s="5"/>
    </row>
    <row r="27" spans="29:33" x14ac:dyDescent="0.25">
      <c r="AC27" s="5"/>
      <c r="AD27" s="5"/>
      <c r="AE27" s="8"/>
      <c r="AF27" s="31"/>
      <c r="AG27" s="5"/>
    </row>
    <row r="28" spans="29:33" x14ac:dyDescent="0.25">
      <c r="AC28" s="5"/>
      <c r="AD28" s="5"/>
      <c r="AE28" s="8"/>
      <c r="AF28" s="31"/>
      <c r="AG28" s="5"/>
    </row>
    <row r="29" spans="29:33" x14ac:dyDescent="0.25">
      <c r="AC29" s="5"/>
      <c r="AD29" s="5"/>
      <c r="AE29" s="8"/>
      <c r="AF29" s="31"/>
      <c r="AG29" s="5"/>
    </row>
    <row r="30" spans="29:33" x14ac:dyDescent="0.25">
      <c r="AF30" s="31"/>
      <c r="AG30" s="5"/>
    </row>
    <row r="31" spans="29:33" x14ac:dyDescent="0.25">
      <c r="AF31" s="31"/>
      <c r="AG31" s="5"/>
    </row>
    <row r="32" spans="29:33" x14ac:dyDescent="0.25">
      <c r="AF32" s="31"/>
      <c r="AG32" s="5"/>
    </row>
    <row r="33" spans="32:33" x14ac:dyDescent="0.25">
      <c r="AF33" s="31"/>
      <c r="AG33" s="5"/>
    </row>
    <row r="34" spans="32:33" x14ac:dyDescent="0.25">
      <c r="AF34" s="31"/>
      <c r="AG34" s="5"/>
    </row>
    <row r="35" spans="32:33" x14ac:dyDescent="0.25">
      <c r="AF35" s="31"/>
      <c r="AG35" s="5"/>
    </row>
    <row r="36" spans="32:33" x14ac:dyDescent="0.25">
      <c r="AF36" s="31"/>
      <c r="AG36" s="5"/>
    </row>
    <row r="37" spans="32:33" x14ac:dyDescent="0.25">
      <c r="AF37" s="31"/>
      <c r="AG37" s="5"/>
    </row>
    <row r="38" spans="32:33" x14ac:dyDescent="0.25">
      <c r="AF38" s="31"/>
      <c r="AG38" s="5"/>
    </row>
    <row r="39" spans="32:33" x14ac:dyDescent="0.25">
      <c r="AF39" s="31"/>
      <c r="AG39" s="5"/>
    </row>
    <row r="40" spans="32:33" x14ac:dyDescent="0.25">
      <c r="AF40" s="31"/>
      <c r="AG40" s="5"/>
    </row>
    <row r="41" spans="32:33" x14ac:dyDescent="0.25">
      <c r="AF41" s="31"/>
      <c r="AG41" s="5"/>
    </row>
    <row r="42" spans="32:33" x14ac:dyDescent="0.25">
      <c r="AF42" s="31"/>
      <c r="AG42" s="5"/>
    </row>
    <row r="43" spans="32:33" x14ac:dyDescent="0.25">
      <c r="AF43" s="31"/>
      <c r="AG43" s="5"/>
    </row>
    <row r="44" spans="32:33" x14ac:dyDescent="0.25">
      <c r="AF44" s="31"/>
      <c r="AG44" s="5"/>
    </row>
    <row r="45" spans="32:33" x14ac:dyDescent="0.25">
      <c r="AF45" s="31"/>
      <c r="AG45" s="5"/>
    </row>
    <row r="46" spans="32:33" x14ac:dyDescent="0.25">
      <c r="AF46" s="31"/>
      <c r="AG46" s="5"/>
    </row>
    <row r="47" spans="32:33" x14ac:dyDescent="0.25">
      <c r="AF47" s="31"/>
      <c r="AG47" s="5"/>
    </row>
    <row r="48" spans="32:33" x14ac:dyDescent="0.25">
      <c r="AF48" s="31"/>
      <c r="AG48" s="5"/>
    </row>
    <row r="49" spans="32:33" x14ac:dyDescent="0.25">
      <c r="AF49" s="31"/>
      <c r="AG49" s="5"/>
    </row>
    <row r="50" spans="32:33" x14ac:dyDescent="0.25">
      <c r="AF50" s="31"/>
      <c r="AG50" s="5"/>
    </row>
    <row r="51" spans="32:33" x14ac:dyDescent="0.25">
      <c r="AF51" s="31"/>
      <c r="AG51" s="5"/>
    </row>
    <row r="52" spans="32:33" x14ac:dyDescent="0.25">
      <c r="AF52" s="31"/>
      <c r="AG52" s="5"/>
    </row>
    <row r="53" spans="32:33" x14ac:dyDescent="0.25">
      <c r="AF53" s="31"/>
      <c r="AG53" s="5"/>
    </row>
    <row r="54" spans="32:33" x14ac:dyDescent="0.25">
      <c r="AF54" s="31"/>
      <c r="AG54" s="5"/>
    </row>
    <row r="55" spans="32:33" x14ac:dyDescent="0.25">
      <c r="AF55" s="31"/>
      <c r="AG55" s="5"/>
    </row>
    <row r="56" spans="32:33" x14ac:dyDescent="0.25">
      <c r="AF56" s="31"/>
      <c r="AG56" s="5"/>
    </row>
    <row r="57" spans="32:33" x14ac:dyDescent="0.25">
      <c r="AF57" s="31"/>
      <c r="AG57" s="5"/>
    </row>
    <row r="58" spans="32:33" x14ac:dyDescent="0.25">
      <c r="AF58" s="31"/>
      <c r="AG58" s="5"/>
    </row>
    <row r="59" spans="32:33" x14ac:dyDescent="0.25">
      <c r="AF59" s="31"/>
      <c r="AG59" s="5"/>
    </row>
    <row r="60" spans="32:33" x14ac:dyDescent="0.25">
      <c r="AF60" s="31"/>
      <c r="AG60" s="5"/>
    </row>
    <row r="61" spans="32:33" x14ac:dyDescent="0.25">
      <c r="AF61" s="31"/>
      <c r="AG61" s="5"/>
    </row>
    <row r="62" spans="32:33" x14ac:dyDescent="0.25">
      <c r="AF62" s="31"/>
      <c r="AG62" s="5"/>
    </row>
    <row r="63" spans="32:33" x14ac:dyDescent="0.25">
      <c r="AF63" s="31"/>
      <c r="AG63" s="5"/>
    </row>
    <row r="64" spans="32:33" x14ac:dyDescent="0.25">
      <c r="AF64" s="31"/>
      <c r="AG64" s="5"/>
    </row>
    <row r="65" spans="32:33" x14ac:dyDescent="0.25">
      <c r="AF65" s="31">
        <v>45974</v>
      </c>
      <c r="AG65" s="5">
        <f>R5</f>
        <v>32.800000000000004</v>
      </c>
    </row>
  </sheetData>
  <mergeCells count="18">
    <mergeCell ref="A3:A4"/>
    <mergeCell ref="B3:D3"/>
    <mergeCell ref="E3:F3"/>
    <mergeCell ref="G3:J3"/>
    <mergeCell ref="K3:L3"/>
    <mergeCell ref="M3:M4"/>
    <mergeCell ref="V3:W3"/>
    <mergeCell ref="X3:X4"/>
    <mergeCell ref="O3:O4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5.03'!A1" display="'2025.03'!A1" xr:uid="{62494066-944B-48A1-A512-564C8998180C}"/>
    <hyperlink ref="A6" location="'2025.04'!A1" display="'2025.04'!A1" xr:uid="{EFF6FAA8-3F44-4568-9FB5-292B9FF45E4D}"/>
    <hyperlink ref="A7" location="'2025.05'!A1" display="'2025.05'!A1" xr:uid="{6C8BC29C-FA7F-49E7-B50F-FCF30C82E596}"/>
    <hyperlink ref="A8" location="'2025.06'!A1" display="'2025.06'!A1" xr:uid="{A85EB84E-DC94-4F6E-8B19-45335FBA3115}"/>
    <hyperlink ref="A9" location="'2025.07'!A1" display="'2025.07'!A1" xr:uid="{0F2CC9F4-E16E-4072-A310-D8D00DE164E7}"/>
    <hyperlink ref="A10" location="'2025.08'!A1" display="'2025.08'!A1" xr:uid="{308E9E69-B2BE-4163-AD02-711AA43B6246}"/>
    <hyperlink ref="A11" location="'2025.09'!A1" display="'2025.09'!A1" xr:uid="{C0F43439-1C5E-4019-A9C2-67D1CDCAC37E}"/>
    <hyperlink ref="A12" location="'2025.10'!A1" display="'2025.10'!A1" xr:uid="{C3979147-FA13-4567-A085-9424DE057F96}"/>
    <hyperlink ref="A13" location="'2025.11'!A1" display="'2025.11'!A1" xr:uid="{3B99EA9D-EFC5-4A13-8442-185F959B67AF}"/>
  </hyperlinks>
  <pageMargins left="0.7" right="0.7" top="0.75" bottom="0.75" header="0.3" footer="0.3"/>
  <pageSetup orientation="portrait" r:id="rId1"/>
  <ignoredErrors>
    <ignoredError sqref="E5:E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CA7E-8EFA-41F9-89B9-2594311D7162}">
  <dimension ref="A2:X140"/>
  <sheetViews>
    <sheetView workbookViewId="0">
      <selection activeCell="V6" sqref="V6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2026.09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99.92</v>
      </c>
      <c r="R5" s="5">
        <v>0</v>
      </c>
      <c r="S5" s="5">
        <f>(C19+C29+C39+C49+C59+C69+C79+C89+C99+C109+C119+C129+C139)-T5</f>
        <v>99.69</v>
      </c>
      <c r="T5" s="5">
        <f>(I19+I29+I39+I49+I59+I69+I79+I89+I99+I109+I119+I129+I139)-W5</f>
        <v>0</v>
      </c>
      <c r="U5" s="5">
        <f>D19+D29+D39+D49+D59+D69+D79+D89+D99+D109+D119+D129+D139</f>
        <v>0.22999999999999998</v>
      </c>
      <c r="V5" s="5">
        <v>0.42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55">
        <v>46275</v>
      </c>
      <c r="B25" s="14">
        <v>9.99</v>
      </c>
      <c r="C25" s="5">
        <f>B25-D25</f>
        <v>9.9700000000000006</v>
      </c>
      <c r="D25" s="5">
        <v>0.02</v>
      </c>
      <c r="E25" s="15">
        <v>11.036</v>
      </c>
      <c r="F25" s="16">
        <f>C25/E25</f>
        <v>0.90340703153316426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56"/>
      <c r="B26" s="5"/>
      <c r="C26" s="5"/>
      <c r="D26" s="5"/>
      <c r="E26" s="7"/>
      <c r="F26" s="16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57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57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9.99</v>
      </c>
      <c r="C29" s="5">
        <f>SUM(C25:C28)</f>
        <v>9.9700000000000006</v>
      </c>
      <c r="D29" s="5">
        <f>SUM(D25:D28)</f>
        <v>0.02</v>
      </c>
      <c r="E29" s="7">
        <f>IF(B29&gt;0,SUMPRODUCT(E25:E28,F25:F28)/SUM(F25:F28),"0.00")</f>
        <v>11.036</v>
      </c>
      <c r="F29" s="8">
        <f>SUM(F25:F28)</f>
        <v>0.90340703153316426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55">
        <v>46275</v>
      </c>
      <c r="B35" s="14">
        <v>9.98</v>
      </c>
      <c r="C35" s="5">
        <f>B35-D35</f>
        <v>9.9600000000000009</v>
      </c>
      <c r="D35" s="5">
        <v>0.02</v>
      </c>
      <c r="E35" s="48">
        <v>9.2576999999999998</v>
      </c>
      <c r="F35" s="16">
        <f>C35/E35</f>
        <v>1.0758611750218738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56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57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57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9.98</v>
      </c>
      <c r="C39" s="5">
        <f>SUM(C35:C38)</f>
        <v>9.9600000000000009</v>
      </c>
      <c r="D39" s="5">
        <f>SUM(D35:D38)</f>
        <v>0.02</v>
      </c>
      <c r="E39" s="6">
        <f>IF(B39&gt;0,SUMPRODUCT(E35:E38,F35:F38)/SUM(F35:F38),"0.00")</f>
        <v>9.2576999999999998</v>
      </c>
      <c r="F39" s="8">
        <f>SUM(F35:F38)</f>
        <v>1.0758611750218738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55">
        <v>46275</v>
      </c>
      <c r="B45" s="14">
        <v>9.98</v>
      </c>
      <c r="C45" s="5">
        <f>B45-D45</f>
        <v>9.9600000000000009</v>
      </c>
      <c r="D45" s="5">
        <v>0.02</v>
      </c>
      <c r="E45" s="15">
        <v>8.7939000000000007</v>
      </c>
      <c r="F45" s="16">
        <f>C45/E45</f>
        <v>1.1326032818203529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55"/>
      <c r="B46" s="14"/>
      <c r="C46" s="5"/>
      <c r="D46" s="5"/>
      <c r="E46" s="15"/>
      <c r="F46" s="16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57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57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9.98</v>
      </c>
      <c r="C49" s="5">
        <f>SUM(C45:C48)</f>
        <v>9.9600000000000009</v>
      </c>
      <c r="D49" s="5">
        <f>SUM(D45:D48)</f>
        <v>0.02</v>
      </c>
      <c r="E49" s="7">
        <f>IF(B49&gt;0,SUMPRODUCT(E45:E48,F45:F48)/SUM(F45:F48),"0.00")</f>
        <v>8.7939000000000007</v>
      </c>
      <c r="F49" s="8">
        <f>SUM(F45:F48)</f>
        <v>1.1326032818203529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56">
        <v>46275</v>
      </c>
      <c r="B125" s="14">
        <v>59.99</v>
      </c>
      <c r="C125" s="5">
        <f>B125-D125</f>
        <v>59.84</v>
      </c>
      <c r="D125" s="5">
        <v>0.15</v>
      </c>
      <c r="E125" s="15">
        <v>12.907999999999999</v>
      </c>
      <c r="F125" s="16">
        <f>C125/E125</f>
        <v>4.6358847226526194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56"/>
      <c r="B126" s="14"/>
      <c r="C126" s="5"/>
      <c r="D126" s="5"/>
      <c r="E126" s="15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59.99</v>
      </c>
      <c r="C129" s="5">
        <f>SUM(C125:C128)</f>
        <v>59.84</v>
      </c>
      <c r="D129" s="5">
        <f>SUM(D125:D128)</f>
        <v>0.15</v>
      </c>
      <c r="E129" s="7">
        <f>IF(B129&gt;0,SUMPRODUCT(E125:E128,F125:F128)/SUM(F125:F128),"0.00")</f>
        <v>12.907999999999999</v>
      </c>
      <c r="F129" s="8">
        <f>SUM(F125:F128)</f>
        <v>4.6358847226526194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56">
        <v>46275</v>
      </c>
      <c r="B135" s="14">
        <v>9.98</v>
      </c>
      <c r="C135" s="5">
        <f>B135-D135</f>
        <v>9.9600000000000009</v>
      </c>
      <c r="D135" s="5">
        <v>0.02</v>
      </c>
      <c r="E135" s="15">
        <v>58.926600000000001</v>
      </c>
      <c r="F135" s="16">
        <f>C135/E135</f>
        <v>0.1690238364338007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56"/>
      <c r="B136" s="14"/>
      <c r="C136" s="5"/>
      <c r="D136" s="5"/>
      <c r="E136" s="15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9.98</v>
      </c>
      <c r="C139" s="5">
        <f>SUM(C135:C138)</f>
        <v>9.9600000000000009</v>
      </c>
      <c r="D139" s="5">
        <f>SUM(D135:D138)</f>
        <v>0.02</v>
      </c>
      <c r="E139" s="6">
        <f>IF(B139&gt;0,SUMPRODUCT(E135:E138,F135:F138)/SUM(F135:F138),"0.00")</f>
        <v>58.926600000000001</v>
      </c>
      <c r="F139" s="8">
        <f>SUM(F135:F138)</f>
        <v>0.1690238364338007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122:O122" location="WEBN!A1" display="WEBN GY Amundi Prime All Country World" xr:uid="{68E81CB4-8F7D-4425-9BD9-8A7C29D4E94E}"/>
    <hyperlink ref="A132:O132" location="XNAS!A1" display="XNAS GY Xtrackers NASDAQ 100 UCITS" xr:uid="{5E7F299D-A6B1-4B78-BE70-C38FD99D8127}"/>
    <hyperlink ref="A32:O32" location="AYEM!A1" display="AYEM GY iShares MSCI EM IMI ESG Screened" xr:uid="{3E15AE12-EF91-43EA-BDC8-229D6B6384E0}"/>
    <hyperlink ref="A22:O22" location="SLMC!A1" display="SLMC GY iShares MSCI Europe ESG Screened" xr:uid="{77DC1DBC-4E93-48DC-8E5F-88F5A2F664BC}"/>
    <hyperlink ref="A42:O42" location="SGAJ!A1" display="SGAJ GY iShares MSCI Japan ESG Screened" xr:uid="{AC19E9A2-BDDC-4ADB-8FED-6A10CF4A90AE}"/>
    <hyperlink ref="A52:O52" location="SLMG!A1" display="SLMG GY iShares JP Morgan ESG USD Bond" xr:uid="{707905A7-1FC3-4D82-A8D2-7E075411E8E4}"/>
    <hyperlink ref="A62:O62" location="SECA!A1" display="SECA GY iShares Euro Govt Bond Climate" xr:uid="{139CE130-EA7F-486E-A01F-C67151E84022}"/>
    <hyperlink ref="A72:O72" location="'AYE2'!A1" display="AYE2 GY iShares EUR High Yield Corp Bond" xr:uid="{F42D9D51-F2EF-4686-881B-5CB9D1F105EA}"/>
    <hyperlink ref="A82:O82" location="ECRP!A1" display="ECRP FP Amundi EUR Corporate Bond" xr:uid="{AE60E9ED-3213-475B-A2AC-DAC72F35225D}"/>
    <hyperlink ref="A12:O12" location="SGAS!A1" display="SGAS GY iShares MSCI USA ESG Screened" xr:uid="{5C5EA1DD-A72F-4AF3-8AF6-1FFC9545787F}"/>
    <hyperlink ref="A92:O92" location="IUSN!A1" display="IUSN GY iShares MSCI World Small Cap" xr:uid="{9E77BB9E-B7E5-44E8-BC48-C54CCD97A4C4}"/>
    <hyperlink ref="A102:O102" location="'ECR3'!A1" display="ECR3 GY Amundi EUR Corporate Bond 0-3Y" xr:uid="{9BB215F5-7B83-4F18-ACFD-6C0EC51BC996}"/>
    <hyperlink ref="A112:O112" location="SPYL!A1" display="SPYL GY SPDR S|P 500 UCITS" xr:uid="{032AA6A4-21D0-49C3-9761-EC5C1C4456B2}"/>
  </hyperlinks>
  <pageMargins left="0.7" right="0.7" top="0.75" bottom="0.75" header="0.3" footer="0.3"/>
  <pageSetup orientation="portrait" r:id="rId1"/>
  <ignoredErrors>
    <ignoredError sqref="E39 E29 E49 E129 E139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EE48-31EE-4B57-B504-3E97FA9A66F2}">
  <dimension ref="A2:X140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2026.08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99.850000000000009</v>
      </c>
      <c r="R5" s="5">
        <v>0</v>
      </c>
      <c r="S5" s="5">
        <f>(C19+C29+C39+C49+C59+C69+C79+C89+C99+C109+C119+C129+C139)-T5</f>
        <v>99.62</v>
      </c>
      <c r="T5" s="5">
        <f>(I19+I29+I39+I49+I59+I69+I79+I89+I99+I109+I119+I129+I139)-W5</f>
        <v>0</v>
      </c>
      <c r="U5" s="5">
        <f>D19+D29+D39+D49+D59+D69+D79+D89+D99+D109+D119+D129+D139</f>
        <v>0.22999999999999998</v>
      </c>
      <c r="V5" s="5">
        <v>0.4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55">
        <v>46251</v>
      </c>
      <c r="B25" s="14">
        <v>9.98</v>
      </c>
      <c r="C25" s="5">
        <f>B25-D25</f>
        <v>9.9600000000000009</v>
      </c>
      <c r="D25" s="5">
        <v>0.02</v>
      </c>
      <c r="E25" s="15">
        <v>11.178000000000001</v>
      </c>
      <c r="F25" s="16">
        <f>C25/E25</f>
        <v>0.89103596349973158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56"/>
      <c r="B26" s="5"/>
      <c r="C26" s="5"/>
      <c r="D26" s="5"/>
      <c r="E26" s="7"/>
      <c r="F26" s="16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57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57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9.98</v>
      </c>
      <c r="C29" s="5">
        <f>SUM(C25:C28)</f>
        <v>9.9600000000000009</v>
      </c>
      <c r="D29" s="5">
        <f>SUM(D25:D28)</f>
        <v>0.02</v>
      </c>
      <c r="E29" s="7">
        <f>IF(B29&gt;0,SUMPRODUCT(E25:E28,F25:F28)/SUM(F25:F28),"0.00")</f>
        <v>11.178000000000001</v>
      </c>
      <c r="F29" s="8">
        <f>SUM(F25:F28)</f>
        <v>0.89103596349973158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55">
        <v>46251</v>
      </c>
      <c r="B35" s="14">
        <v>9.98</v>
      </c>
      <c r="C35" s="5">
        <f>B35-D35</f>
        <v>9.9600000000000009</v>
      </c>
      <c r="D35" s="5">
        <v>0.02</v>
      </c>
      <c r="E35" s="48">
        <v>8.9930000000000003</v>
      </c>
      <c r="F35" s="16">
        <f>C35/E35</f>
        <v>1.1075280773935283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56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57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57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9.98</v>
      </c>
      <c r="C39" s="5">
        <f>SUM(C35:C38)</f>
        <v>9.9600000000000009</v>
      </c>
      <c r="D39" s="5">
        <f>SUM(D35:D38)</f>
        <v>0.02</v>
      </c>
      <c r="E39" s="6">
        <f>IF(B39&gt;0,SUMPRODUCT(E35:E38,F35:F38)/SUM(F35:F38),"0.00")</f>
        <v>8.9930000000000003</v>
      </c>
      <c r="F39" s="8">
        <f>SUM(F35:F38)</f>
        <v>1.1075280773935283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55">
        <v>46251</v>
      </c>
      <c r="B45" s="14">
        <v>9.9700000000000006</v>
      </c>
      <c r="C45" s="5">
        <f>B45-D45</f>
        <v>9.9500000000000011</v>
      </c>
      <c r="D45" s="5">
        <v>0.02</v>
      </c>
      <c r="E45" s="15">
        <v>8.6639999999999997</v>
      </c>
      <c r="F45" s="16">
        <f>C45/E45</f>
        <v>1.1484302862419207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55"/>
      <c r="B46" s="14"/>
      <c r="C46" s="5"/>
      <c r="D46" s="5"/>
      <c r="E46" s="15"/>
      <c r="F46" s="16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57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57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9.9700000000000006</v>
      </c>
      <c r="C49" s="5">
        <f>SUM(C45:C48)</f>
        <v>9.9500000000000011</v>
      </c>
      <c r="D49" s="5">
        <f>SUM(D45:D48)</f>
        <v>0.02</v>
      </c>
      <c r="E49" s="7">
        <f>IF(B49&gt;0,SUMPRODUCT(E45:E48,F45:F48)/SUM(F45:F48),"0.00")</f>
        <v>8.6639999999999997</v>
      </c>
      <c r="F49" s="8">
        <f>SUM(F45:F48)</f>
        <v>1.1484302862419207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56">
        <v>46251</v>
      </c>
      <c r="B125" s="14">
        <v>59.97</v>
      </c>
      <c r="C125" s="5">
        <f>B125-D125</f>
        <v>59.82</v>
      </c>
      <c r="D125" s="5">
        <v>0.15</v>
      </c>
      <c r="E125" s="15">
        <v>12.906000000000001</v>
      </c>
      <c r="F125" s="16">
        <f>C125/E125</f>
        <v>4.6350534635053462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56"/>
      <c r="B126" s="14"/>
      <c r="C126" s="5"/>
      <c r="D126" s="5"/>
      <c r="E126" s="15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59.97</v>
      </c>
      <c r="C129" s="5">
        <f>SUM(C125:C128)</f>
        <v>59.82</v>
      </c>
      <c r="D129" s="5">
        <f>SUM(D125:D128)</f>
        <v>0.15</v>
      </c>
      <c r="E129" s="7">
        <f>IF(B129&gt;0,SUMPRODUCT(E125:E128,F125:F128)/SUM(F125:F128),"0.00")</f>
        <v>12.906000000000001</v>
      </c>
      <c r="F129" s="8">
        <f>SUM(F125:F128)</f>
        <v>4.6350534635053462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56">
        <v>46251</v>
      </c>
      <c r="B135" s="14">
        <v>9.9499999999999993</v>
      </c>
      <c r="C135" s="5">
        <f>B135-D135</f>
        <v>9.93</v>
      </c>
      <c r="D135" s="5">
        <v>0.02</v>
      </c>
      <c r="E135" s="15">
        <v>59.45</v>
      </c>
      <c r="F135" s="16">
        <f>C135/E135</f>
        <v>0.16703111858704792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56"/>
      <c r="B136" s="14"/>
      <c r="C136" s="5"/>
      <c r="D136" s="5"/>
      <c r="E136" s="15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9.9499999999999993</v>
      </c>
      <c r="C139" s="5">
        <f>SUM(C135:C138)</f>
        <v>9.93</v>
      </c>
      <c r="D139" s="5">
        <f>SUM(D135:D138)</f>
        <v>0.02</v>
      </c>
      <c r="E139" s="6">
        <f>IF(B139&gt;0,SUMPRODUCT(E135:E138,F135:F138)/SUM(F135:F138),"0.00")</f>
        <v>59.45000000000001</v>
      </c>
      <c r="F139" s="8">
        <f>SUM(F135:F138)</f>
        <v>0.16703111858704792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Q2:X2"/>
    <mergeCell ref="Q3:Q4"/>
    <mergeCell ref="R3:R4"/>
    <mergeCell ref="S3:S4"/>
    <mergeCell ref="T3:T4"/>
    <mergeCell ref="U3:W3"/>
    <mergeCell ref="X3:X4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132:O132"/>
    <mergeCell ref="A133:F133"/>
    <mergeCell ref="G133:G139"/>
    <mergeCell ref="H133:L133"/>
    <mergeCell ref="N133:O133"/>
  </mergeCells>
  <hyperlinks>
    <hyperlink ref="A122:O122" location="WEBN!A1" display="WEBN GY Amundi Prime All Country World" xr:uid="{D54135F6-560F-406B-88A4-9059A2C50D3A}"/>
    <hyperlink ref="A132:O132" location="XNAS!A1" display="XNAS GY Xtrackers NASDAQ 100 UCITS" xr:uid="{9E772926-1A20-428E-856D-4DAA0944347B}"/>
    <hyperlink ref="A32:O32" location="AYEM!A1" display="AYEM GY iShares MSCI EM IMI ESG Screened" xr:uid="{1F048503-FE40-4305-BD3B-E6FC41AA2F41}"/>
    <hyperlink ref="A22:O22" location="SLMC!A1" display="SLMC GY iShares MSCI Europe ESG Screened" xr:uid="{7E15B253-FA1B-4322-9C76-538FB2E7DD04}"/>
    <hyperlink ref="A42:O42" location="SGAJ!A1" display="SGAJ GY iShares MSCI Japan ESG Screened" xr:uid="{0C9C8B96-CCED-4CAC-A8E9-4779551B4E23}"/>
    <hyperlink ref="A52:O52" location="SLMG!A1" display="SLMG GY iShares JP Morgan ESG USD Bond" xr:uid="{27237FEB-85D4-4AB7-A47B-0A4F0A3D9F45}"/>
    <hyperlink ref="A62:O62" location="SECA!A1" display="SECA GY iShares Euro Govt Bond Climate" xr:uid="{4AD36C1B-0F46-4F45-B81A-F9110C39FFD8}"/>
    <hyperlink ref="A72:O72" location="'AYE2'!A1" display="AYE2 GY iShares EUR High Yield Corp Bond" xr:uid="{A733D28E-058A-4123-B253-B0334E10A6E8}"/>
    <hyperlink ref="A82:O82" location="ECRP!A1" display="ECRP FP Amundi EUR Corporate Bond" xr:uid="{34EF8C92-D95B-4FA2-B0F6-02BA27B67FFD}"/>
    <hyperlink ref="A12:O12" location="SGAS!A1" display="SGAS GY iShares MSCI USA ESG Screened" xr:uid="{F0A48250-BCA9-4317-BD0C-CD6E15175A5B}"/>
    <hyperlink ref="A92:O92" location="IUSN!A1" display="IUSN GY iShares MSCI World Small Cap" xr:uid="{D6252185-9F05-4398-BDDA-36A0ED73AE09}"/>
    <hyperlink ref="A102:O102" location="'ECR3'!A1" display="ECR3 GY Amundi EUR Corporate Bond 0-3Y" xr:uid="{F71CAE7A-E31A-4CDB-997A-17C22B8A123E}"/>
    <hyperlink ref="A112:O112" location="SPYL!A1" display="SPYL GY SPDR S|P 500 UCITS" xr:uid="{4EA29C42-97DD-4A11-A350-85E48EBB192E}"/>
  </hyperlinks>
  <pageMargins left="0.7" right="0.7" top="0.75" bottom="0.75" header="0.3" footer="0.3"/>
  <pageSetup orientation="portrait" r:id="rId1"/>
  <ignoredErrors>
    <ignoredError sqref="E29 E39 E49 E129 E139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DF2B-29C7-4E06-85FD-F9432016A1B0}">
  <dimension ref="A2:X140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2026.07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599.99</v>
      </c>
      <c r="R5" s="5">
        <v>0</v>
      </c>
      <c r="S5" s="5">
        <f>(C19+C29+C39+C49+C59+C69+C79+C89+C99+C109+C119+C129+C139)-T5</f>
        <v>598.49</v>
      </c>
      <c r="T5" s="5">
        <f>(I19+I29+I39+I49+I59+I69+I79+I89+I99+I109+I119+I129+I139)-W5</f>
        <v>0</v>
      </c>
      <c r="U5" s="5">
        <f>D19+D29+D39+D49+D59+D69+D79+D89+D99+D109+D119+D129+D139</f>
        <v>1.5</v>
      </c>
      <c r="V5" s="5">
        <v>0.18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55">
        <v>46224</v>
      </c>
      <c r="B25" s="14">
        <v>100</v>
      </c>
      <c r="C25" s="5">
        <f>B25-D25</f>
        <v>99.75</v>
      </c>
      <c r="D25" s="5">
        <v>0.25</v>
      </c>
      <c r="E25" s="15">
        <v>10.9</v>
      </c>
      <c r="F25" s="16">
        <f>C25/E25</f>
        <v>9.1513761467889907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56"/>
      <c r="B26" s="5"/>
      <c r="C26" s="5"/>
      <c r="D26" s="5"/>
      <c r="E26" s="7"/>
      <c r="F26" s="16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57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57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100</v>
      </c>
      <c r="C29" s="5">
        <f>SUM(C25:C28)</f>
        <v>99.75</v>
      </c>
      <c r="D29" s="5">
        <f>SUM(D25:D28)</f>
        <v>0.25</v>
      </c>
      <c r="E29" s="7">
        <f>IF(B29&gt;0,SUMPRODUCT(E25:E28,F25:F28)/SUM(F25:F28),"0.00")</f>
        <v>10.9</v>
      </c>
      <c r="F29" s="8">
        <f>SUM(F25:F28)</f>
        <v>9.1513761467889907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55">
        <v>46224</v>
      </c>
      <c r="B35" s="14">
        <v>100</v>
      </c>
      <c r="C35" s="5">
        <f>B35-D35</f>
        <v>99.75</v>
      </c>
      <c r="D35" s="5">
        <v>0.25</v>
      </c>
      <c r="E35" s="48">
        <v>8.9550000000000001</v>
      </c>
      <c r="F35" s="16">
        <f>C35/E35</f>
        <v>11.139028475711893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56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57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57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100</v>
      </c>
      <c r="C39" s="5">
        <f>SUM(C35:C38)</f>
        <v>99.75</v>
      </c>
      <c r="D39" s="5">
        <f>SUM(D35:D38)</f>
        <v>0.25</v>
      </c>
      <c r="E39" s="6">
        <f>IF(B39&gt;0,SUMPRODUCT(E35:E38,F35:F38)/SUM(F35:F38),"0.00")</f>
        <v>8.9550000000000001</v>
      </c>
      <c r="F39" s="8">
        <f>SUM(F35:F38)</f>
        <v>11.139028475711893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55">
        <v>46224</v>
      </c>
      <c r="B45" s="14">
        <v>100</v>
      </c>
      <c r="C45" s="5">
        <f>B45-D45</f>
        <v>99.75</v>
      </c>
      <c r="D45" s="5">
        <v>0.25</v>
      </c>
      <c r="E45" s="15">
        <v>8.4120000000000008</v>
      </c>
      <c r="F45" s="16">
        <f>C45/E45</f>
        <v>11.858059914407987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55"/>
      <c r="B46" s="14"/>
      <c r="C46" s="5"/>
      <c r="D46" s="5"/>
      <c r="E46" s="15"/>
      <c r="F46" s="16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57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57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100</v>
      </c>
      <c r="C49" s="5">
        <f>SUM(C45:C48)</f>
        <v>99.75</v>
      </c>
      <c r="D49" s="5">
        <f>SUM(D45:D48)</f>
        <v>0.25</v>
      </c>
      <c r="E49" s="7">
        <f>IF(B49&gt;0,SUMPRODUCT(E45:E48,F45:F48)/SUM(F45:F48),"0.00")</f>
        <v>8.4120000000000008</v>
      </c>
      <c r="F49" s="8">
        <f>SUM(F45:F48)</f>
        <v>11.858059914407987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56">
        <v>46224</v>
      </c>
      <c r="B125" s="14">
        <v>200</v>
      </c>
      <c r="C125" s="5">
        <f>B125-D125</f>
        <v>199.5</v>
      </c>
      <c r="D125" s="5">
        <v>0.5</v>
      </c>
      <c r="E125" s="15">
        <v>12.69</v>
      </c>
      <c r="F125" s="16">
        <f>C125/E125</f>
        <v>15.721040189125295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56"/>
      <c r="B126" s="14"/>
      <c r="C126" s="5"/>
      <c r="D126" s="5"/>
      <c r="E126" s="15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200</v>
      </c>
      <c r="C129" s="5">
        <f>SUM(C125:C128)</f>
        <v>199.5</v>
      </c>
      <c r="D129" s="5">
        <f>SUM(D125:D128)</f>
        <v>0.5</v>
      </c>
      <c r="E129" s="7">
        <f>IF(B129&gt;0,SUMPRODUCT(E125:E128,F125:F128)/SUM(F125:F128),"0.00")</f>
        <v>12.69</v>
      </c>
      <c r="F129" s="8">
        <f>SUM(F125:F128)</f>
        <v>15.721040189125295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56">
        <v>46224</v>
      </c>
      <c r="B135" s="14">
        <v>99.99</v>
      </c>
      <c r="C135" s="5">
        <f>B135-D135</f>
        <v>99.74</v>
      </c>
      <c r="D135" s="5">
        <v>0.25</v>
      </c>
      <c r="E135" s="15">
        <v>58.914200000000001</v>
      </c>
      <c r="F135" s="16">
        <f>C135/E135</f>
        <v>1.6929704553401386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56"/>
      <c r="B136" s="14"/>
      <c r="C136" s="5"/>
      <c r="D136" s="5"/>
      <c r="E136" s="15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99.99</v>
      </c>
      <c r="C139" s="5">
        <f>SUM(C135:C138)</f>
        <v>99.74</v>
      </c>
      <c r="D139" s="5">
        <f>SUM(D135:D138)</f>
        <v>0.25</v>
      </c>
      <c r="E139" s="6">
        <f>IF(B139&gt;0,SUMPRODUCT(E135:E138,F135:F138)/SUM(F135:F138),"0.00")</f>
        <v>58.914200000000001</v>
      </c>
      <c r="F139" s="8">
        <f>SUM(F135:F138)</f>
        <v>1.6929704553401386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122:O122" location="WEBN!A1" display="WEBN GY Amundi Prime All Country World" xr:uid="{40F14795-3116-45D8-B58C-2425D713924A}"/>
    <hyperlink ref="A132:O132" location="XNAS!A1" display="XNAS GY Xtrackers NASDAQ 100 UCITS" xr:uid="{834C4516-F89F-4AB8-A734-7D1A8D140988}"/>
    <hyperlink ref="A32:O32" location="AYEM!A1" display="AYEM GY iShares MSCI EM IMI ESG Screened" xr:uid="{A952B2F7-7E36-4868-8EC6-103C62A2BD93}"/>
    <hyperlink ref="A22:O22" location="SLMC!A1" display="SLMC GY iShares MSCI Europe ESG Screened" xr:uid="{8686873A-FC71-4F37-8964-4372576D4B30}"/>
    <hyperlink ref="A42:O42" location="SGAJ!A1" display="SGAJ GY iShares MSCI Japan ESG Screened" xr:uid="{9D94AF1B-A7FD-4BB7-AD2B-4F6AABC8192E}"/>
    <hyperlink ref="A52:O52" location="SLMG!A1" display="SLMG GY iShares JP Morgan ESG USD Bond" xr:uid="{815C6753-DFB4-4929-9D86-A3E7BE31057D}"/>
    <hyperlink ref="A62:O62" location="SECA!A1" display="SECA GY iShares Euro Govt Bond Climate" xr:uid="{ACAE2933-0537-403C-B4C5-CA5F2A8CB237}"/>
    <hyperlink ref="A72:O72" location="'AYE2'!A1" display="AYE2 GY iShares EUR High Yield Corp Bond" xr:uid="{A0752F74-5ADC-4F1D-BFD3-B68F3F2A024C}"/>
    <hyperlink ref="A82:O82" location="ECRP!A1" display="ECRP FP Amundi EUR Corporate Bond" xr:uid="{6506ED2D-F49C-4F13-8454-5BF32032AC10}"/>
    <hyperlink ref="A12:O12" location="SGAS!A1" display="SGAS GY iShares MSCI USA ESG Screened" xr:uid="{B98BB073-E4F9-45BE-B004-A7364DDCBCA8}"/>
    <hyperlink ref="A92:O92" location="IUSN!A1" display="IUSN GY iShares MSCI World Small Cap" xr:uid="{141DBC39-923D-473A-8382-469C79DB68B9}"/>
    <hyperlink ref="A102:O102" location="'ECR3'!A1" display="ECR3 GY Amundi EUR Corporate Bond 0-3Y" xr:uid="{1EE658D0-2F63-4CC3-AE54-3765CE0F76BF}"/>
    <hyperlink ref="A112:O112" location="SPYL!A1" display="SPYL GY SPDR S|P 500 UCITS" xr:uid="{BFCFBCE1-28BF-4DB2-9663-F7498E109F3A}"/>
  </hyperlinks>
  <pageMargins left="0.7" right="0.7" top="0.75" bottom="0.75" header="0.3" footer="0.3"/>
  <pageSetup orientation="portrait" r:id="rId1"/>
  <ignoredErrors>
    <ignoredError sqref="E29 E39 E49 E129 E139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E1BB-037E-43F5-B9D7-A09275AEFA85}">
  <dimension ref="A2:X140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2026.06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1818.8799999999999</v>
      </c>
      <c r="R5" s="5">
        <v>0</v>
      </c>
      <c r="S5" s="5">
        <f>(C19+C29+C39+C49+C59+C69+C79+C89+C99+C109+C119+C129+C139)-T5</f>
        <v>1814.33</v>
      </c>
      <c r="T5" s="5">
        <f>(I19+I29+I39+I49+I59+I69+I79+I89+I99+I109+I119+I129+I139)-W5</f>
        <v>0</v>
      </c>
      <c r="U5" s="5">
        <f>D19+D29+D39+D49+D59+D69+D79+D89+D99+D109+D119+D129+D139</f>
        <v>4.55</v>
      </c>
      <c r="V5" s="5">
        <v>0.09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55">
        <v>46198</v>
      </c>
      <c r="B25" s="14">
        <v>99.91</v>
      </c>
      <c r="C25" s="5">
        <f>B25-D25</f>
        <v>99.66</v>
      </c>
      <c r="D25" s="5">
        <v>0.25</v>
      </c>
      <c r="E25" s="15">
        <v>10.7981</v>
      </c>
      <c r="F25" s="16">
        <f>C25/E25</f>
        <v>9.2294014687769135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56">
        <v>46203</v>
      </c>
      <c r="B26" s="5">
        <v>119.99</v>
      </c>
      <c r="C26" s="5">
        <f>B26-D26</f>
        <v>119.69</v>
      </c>
      <c r="D26" s="5">
        <v>0.3</v>
      </c>
      <c r="E26" s="7">
        <v>10.956</v>
      </c>
      <c r="F26" s="16">
        <f>C26/E26</f>
        <v>10.924607520993064</v>
      </c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57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57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219.89999999999998</v>
      </c>
      <c r="C29" s="5">
        <f>SUM(C25:C28)</f>
        <v>219.35</v>
      </c>
      <c r="D29" s="5">
        <f>SUM(D25:D28)</f>
        <v>0.55000000000000004</v>
      </c>
      <c r="E29" s="7">
        <f>IF(B29&gt;0,SUMPRODUCT(E25:E28,F25:F28)/SUM(F25:F28),"0.00")</f>
        <v>10.883690689596316</v>
      </c>
      <c r="F29" s="8">
        <f>SUM(F25:F28)</f>
        <v>20.154008989769977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55">
        <v>46203</v>
      </c>
      <c r="B35" s="14">
        <v>100</v>
      </c>
      <c r="C35" s="5">
        <f>B35-D35</f>
        <v>99.75</v>
      </c>
      <c r="D35" s="5">
        <v>0.25</v>
      </c>
      <c r="E35" s="48">
        <v>9.3696999999999999</v>
      </c>
      <c r="F35" s="16">
        <f>C35/E35</f>
        <v>10.646018549153121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56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57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57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100</v>
      </c>
      <c r="C39" s="5">
        <f>SUM(C35:C38)</f>
        <v>99.75</v>
      </c>
      <c r="D39" s="5">
        <f>SUM(D35:D38)</f>
        <v>0.25</v>
      </c>
      <c r="E39" s="6">
        <f>IF(B39&gt;0,SUMPRODUCT(E35:E38,F35:F38)/SUM(F35:F38),"0.00")</f>
        <v>9.3696999999999999</v>
      </c>
      <c r="F39" s="8">
        <f>SUM(F35:F38)</f>
        <v>10.646018549153121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55">
        <v>46198</v>
      </c>
      <c r="B45" s="14">
        <v>99.54</v>
      </c>
      <c r="C45" s="5">
        <f>B45-D45</f>
        <v>99.29</v>
      </c>
      <c r="D45" s="5">
        <v>0.25</v>
      </c>
      <c r="E45" s="15">
        <v>8.4322999999999997</v>
      </c>
      <c r="F45" s="16">
        <f>C45/E45</f>
        <v>11.774960568290977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55">
        <v>46203</v>
      </c>
      <c r="B46" s="14">
        <v>100</v>
      </c>
      <c r="C46" s="5">
        <f>B46-D46</f>
        <v>99.75</v>
      </c>
      <c r="D46" s="5">
        <v>0.25</v>
      </c>
      <c r="E46" s="15">
        <v>8.4482999999999997</v>
      </c>
      <c r="F46" s="16">
        <f>C46/E46</f>
        <v>11.807109122545365</v>
      </c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57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57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199.54000000000002</v>
      </c>
      <c r="C49" s="5">
        <f>SUM(C45:C48)</f>
        <v>199.04000000000002</v>
      </c>
      <c r="D49" s="5">
        <f>SUM(D45:D48)</f>
        <v>0.5</v>
      </c>
      <c r="E49" s="7">
        <f>IF(B49&gt;0,SUMPRODUCT(E45:E48,F45:F48)/SUM(F45:F48),"0.00")</f>
        <v>8.4403109061010095</v>
      </c>
      <c r="F49" s="8">
        <f>SUM(F45:F48)</f>
        <v>23.582069690836342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56">
        <v>46198</v>
      </c>
      <c r="B125" s="14">
        <v>399.86</v>
      </c>
      <c r="C125" s="5">
        <f>B125-D125</f>
        <v>398.86</v>
      </c>
      <c r="D125" s="5">
        <v>1</v>
      </c>
      <c r="E125" s="15">
        <v>12.571999999999999</v>
      </c>
      <c r="F125" s="16">
        <f>C125/E125</f>
        <v>31.726057906458802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56">
        <v>46203</v>
      </c>
      <c r="B126" s="14">
        <v>699.99</v>
      </c>
      <c r="C126" s="5">
        <f>B126-D126</f>
        <v>698.24</v>
      </c>
      <c r="D126" s="5">
        <v>1.75</v>
      </c>
      <c r="E126" s="15">
        <v>12.7179</v>
      </c>
      <c r="F126" s="16">
        <f>C126/E126</f>
        <v>54.902145794510098</v>
      </c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1099.8499999999999</v>
      </c>
      <c r="C129" s="5">
        <f>SUM(C125:C128)</f>
        <v>1097.0999999999999</v>
      </c>
      <c r="D129" s="5">
        <f>SUM(D125:D128)</f>
        <v>2.75</v>
      </c>
      <c r="E129" s="7">
        <f>IF(B129&gt;0,SUMPRODUCT(E125:E128,F125:F128)/SUM(F125:F128),"0.00")</f>
        <v>12.66446668785918</v>
      </c>
      <c r="F129" s="8">
        <f>SUM(F125:F128)</f>
        <v>86.628203700968896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56">
        <v>46198</v>
      </c>
      <c r="B135" s="14">
        <v>99.64</v>
      </c>
      <c r="C135" s="5">
        <f>B135-D135</f>
        <v>99.39</v>
      </c>
      <c r="D135" s="5">
        <v>0.25</v>
      </c>
      <c r="E135" s="15">
        <v>60.015599999999999</v>
      </c>
      <c r="F135" s="16">
        <f>C135/E135</f>
        <v>1.6560694219502929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56">
        <v>46203</v>
      </c>
      <c r="B136" s="14">
        <v>99.95</v>
      </c>
      <c r="C136" s="5">
        <f>B136-D136</f>
        <v>99.7</v>
      </c>
      <c r="D136" s="5">
        <v>0.25</v>
      </c>
      <c r="E136" s="15">
        <v>60.681600000000003</v>
      </c>
      <c r="F136" s="16">
        <f>C136/E136</f>
        <v>1.643002162105152</v>
      </c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199.59</v>
      </c>
      <c r="C139" s="5">
        <f>SUM(C135:C138)</f>
        <v>199.09</v>
      </c>
      <c r="D139" s="5">
        <f>SUM(D135:D138)</f>
        <v>0.5</v>
      </c>
      <c r="E139" s="6">
        <f>IF(B139&gt;0,SUMPRODUCT(E135:E138,F135:F138)/SUM(F135:F138),"0.00")</f>
        <v>60.347281023609959</v>
      </c>
      <c r="F139" s="8">
        <f>SUM(F135:F138)</f>
        <v>3.299071584055445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122:O122" location="WEBN!A1" display="WEBN GY Amundi Prime All Country World" xr:uid="{A94AB279-01A9-4257-A536-1056891D962A}"/>
    <hyperlink ref="A132:O132" location="XNAS!A1" display="XNAS GY Xtrackers NASDAQ 100 UCITS" xr:uid="{58A89899-DB2A-4FC7-AB90-3DDBE7A14657}"/>
    <hyperlink ref="A32:O32" location="AYEM!A1" display="AYEM GY iShares MSCI EM IMI ESG Screened" xr:uid="{E311C756-D493-4013-B21B-BF4CA9ED1B83}"/>
    <hyperlink ref="A22:O22" location="SLMC!A1" display="SLMC GY iShares MSCI Europe ESG Screened" xr:uid="{62B7ECFB-ECC2-4B79-9244-8C56C102FD74}"/>
    <hyperlink ref="A42:O42" location="SGAJ!A1" display="SGAJ GY iShares MSCI Japan ESG Screened" xr:uid="{61FEAF86-DE73-402B-B337-A5E6F8B1E421}"/>
    <hyperlink ref="A52:O52" location="SLMG!A1" display="SLMG GY iShares JP Morgan ESG USD Bond" xr:uid="{6038719B-067D-47B6-AFAD-447E1645BA86}"/>
    <hyperlink ref="A62:O62" location="SECA!A1" display="SECA GY iShares Euro Govt Bond Climate" xr:uid="{42A772DF-D093-4F20-8200-016FF4D8767B}"/>
    <hyperlink ref="A72:O72" location="'AYE2'!A1" display="AYE2 GY iShares EUR High Yield Corp Bond" xr:uid="{CEDC7920-D84C-47B0-9674-B2EFB23FD80A}"/>
    <hyperlink ref="A82:O82" location="ECRP!A1" display="ECRP FP Amundi EUR Corporate Bond" xr:uid="{970A5C83-472E-48B6-8706-C3FFFCDF7E13}"/>
    <hyperlink ref="A12:O12" location="SGAS!A1" display="SGAS GY iShares MSCI USA ESG Screened" xr:uid="{EC3CBCD2-8B3C-4CBC-9CA4-B10D13F6BD20}"/>
    <hyperlink ref="A92:O92" location="IUSN!A1" display="IUSN GY iShares MSCI World Small Cap" xr:uid="{9EF46327-5CE5-4F25-934A-D0B0BF4196CD}"/>
    <hyperlink ref="A102:O102" location="'ECR3'!A1" display="ECR3 GY Amundi EUR Corporate Bond 0-3Y" xr:uid="{D21BDE62-811F-46E4-8AB9-662FD2CF78D6}"/>
    <hyperlink ref="A112:O112" location="SPYL!A1" display="SPYL GY SPDR S|P 500 UCITS" xr:uid="{D939167E-D836-4416-B07A-515B725377CF}"/>
  </hyperlinks>
  <pageMargins left="0.7" right="0.7" top="0.75" bottom="0.75" header="0.3" footer="0.3"/>
  <pageSetup orientation="portrait" r:id="rId1"/>
  <ignoredErrors>
    <ignoredError sqref="E39 E49 E29 E129 E139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9FB1-5AB6-403B-BDDF-BFD08DAD8074}">
  <dimension ref="A2:X140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2026.05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49.83</v>
      </c>
      <c r="R5" s="5">
        <v>0</v>
      </c>
      <c r="S5" s="5">
        <f>(C19+C29+C39+C49+C59+C69+C79+C89+C99+C109+C119+C129+C139)-T5</f>
        <v>49.730000000000004</v>
      </c>
      <c r="T5" s="5">
        <f>(I19+I29+I39+I49+I59+I69+I79+I89+I99+I109+I119+I129+I139)-W5</f>
        <v>0</v>
      </c>
      <c r="U5" s="5">
        <f>D19+D29+D39+D49+D59+D69+D79+D89+D99+D109+D119+D129+D139</f>
        <v>0.1</v>
      </c>
      <c r="V5" s="5">
        <v>0.08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>
        <v>46162</v>
      </c>
      <c r="B25" s="14">
        <v>9.98</v>
      </c>
      <c r="C25" s="5">
        <f>B25-D25</f>
        <v>9.9600000000000009</v>
      </c>
      <c r="D25" s="5">
        <v>0.02</v>
      </c>
      <c r="E25" s="15">
        <v>10.385999999999999</v>
      </c>
      <c r="F25" s="16">
        <f>C25/E25</f>
        <v>0.95898324667822088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9.98</v>
      </c>
      <c r="C29" s="5">
        <f>SUM(C25:C28)</f>
        <v>9.9600000000000009</v>
      </c>
      <c r="D29" s="5">
        <f>SUM(D25:D28)</f>
        <v>0.02</v>
      </c>
      <c r="E29" s="6">
        <f>IF(B29&gt;0,SUMPRODUCT(E25:E28,F25:F28)/SUM(F25:F28),"0.00")</f>
        <v>10.385999999999999</v>
      </c>
      <c r="F29" s="8">
        <f>SUM(F25:F28)</f>
        <v>0.95898324667822088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40">
        <v>46162</v>
      </c>
      <c r="B35" s="14">
        <v>9.98</v>
      </c>
      <c r="C35" s="5">
        <f>B35-D35</f>
        <v>9.9600000000000009</v>
      </c>
      <c r="D35" s="5">
        <v>0.02</v>
      </c>
      <c r="E35" s="48">
        <v>8.6690000000000005</v>
      </c>
      <c r="F35" s="16">
        <f>C35/E35</f>
        <v>1.1489214442265545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9.98</v>
      </c>
      <c r="C39" s="5">
        <f>SUM(C35:C38)</f>
        <v>9.9600000000000009</v>
      </c>
      <c r="D39" s="5">
        <f>SUM(D35:D38)</f>
        <v>0.02</v>
      </c>
      <c r="E39" s="6">
        <f>IF(B39&gt;0,SUMPRODUCT(E35:E38,F35:F38)/SUM(F35:F38),"0.00")</f>
        <v>8.6690000000000005</v>
      </c>
      <c r="F39" s="8">
        <f>SUM(F35:F38)</f>
        <v>1.1489214442265545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>
        <v>46162</v>
      </c>
      <c r="B45" s="14">
        <v>9.9600000000000009</v>
      </c>
      <c r="C45" s="5">
        <f>B45-D45</f>
        <v>9.9400000000000013</v>
      </c>
      <c r="D45" s="5">
        <v>0.02</v>
      </c>
      <c r="E45" s="15">
        <v>8.0150000000000006</v>
      </c>
      <c r="F45" s="16">
        <f>C45/E45</f>
        <v>1.240174672489083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9.9600000000000009</v>
      </c>
      <c r="C49" s="5">
        <f>SUM(C45:C48)</f>
        <v>9.9400000000000013</v>
      </c>
      <c r="D49" s="5">
        <f>SUM(D45:D48)</f>
        <v>0.02</v>
      </c>
      <c r="E49" s="6">
        <f>IF(B49&gt;0,SUMPRODUCT(E45:E48,F45:F48)/SUM(F45:F48),"0.00")</f>
        <v>8.0150000000000006</v>
      </c>
      <c r="F49" s="8">
        <f>SUM(F45:F48)</f>
        <v>1.240174672489083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>
        <v>46162</v>
      </c>
      <c r="B125" s="14">
        <v>9.9700000000000006</v>
      </c>
      <c r="C125" s="5">
        <f>B125-D125</f>
        <v>9.9500000000000011</v>
      </c>
      <c r="D125" s="5">
        <v>0.02</v>
      </c>
      <c r="E125" s="15">
        <v>12.2502</v>
      </c>
      <c r="F125" s="16">
        <f>C125/E125</f>
        <v>0.81223163703449752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9.9700000000000006</v>
      </c>
      <c r="C129" s="5">
        <f>SUM(C125:C128)</f>
        <v>9.9500000000000011</v>
      </c>
      <c r="D129" s="5">
        <f>SUM(D125:D128)</f>
        <v>0.02</v>
      </c>
      <c r="E129" s="6">
        <f>IF(B129&gt;0,SUMPRODUCT(E125:E128,F125:F128)/SUM(F125:F128),"0.00")</f>
        <v>12.2502</v>
      </c>
      <c r="F129" s="8">
        <f>SUM(F125:F128)</f>
        <v>0.81223163703449752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43">
        <v>46162</v>
      </c>
      <c r="B135" s="14">
        <v>9.94</v>
      </c>
      <c r="C135" s="5">
        <f>B135-D135</f>
        <v>9.92</v>
      </c>
      <c r="D135" s="5">
        <v>0.02</v>
      </c>
      <c r="E135" s="15">
        <v>57.67</v>
      </c>
      <c r="F135" s="16">
        <f>C135/E135</f>
        <v>0.17201317842899252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9.94</v>
      </c>
      <c r="C139" s="5">
        <f>SUM(C135:C138)</f>
        <v>9.92</v>
      </c>
      <c r="D139" s="5">
        <f>SUM(D135:D138)</f>
        <v>0.02</v>
      </c>
      <c r="E139" s="6">
        <f>IF(B139&gt;0,SUMPRODUCT(E135:E138,F135:F138)/SUM(F135:F138),"0.00")</f>
        <v>57.670000000000009</v>
      </c>
      <c r="F139" s="8">
        <f>SUM(F135:F138)</f>
        <v>0.17201317842899252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122:O122" location="WEBN!A1" display="WEBN GY Amundi Prime All Country World" xr:uid="{DA67167E-26A7-4B30-8687-8E85E38DF91A}"/>
    <hyperlink ref="A132:O132" location="XNAS!A1" display="XNAS GY Xtrackers NASDAQ 100 UCITS" xr:uid="{6D8D5DCC-8F09-4880-8328-FDCC83D885D8}"/>
    <hyperlink ref="A32:O32" location="AYEM!A1" display="AYEM GY iShares MSCI EM IMI ESG Screened" xr:uid="{8DE4944B-1647-4940-89A0-1F141E0C5194}"/>
    <hyperlink ref="A22:O22" location="SLMC!A1" display="SLMC GY iShares MSCI Europe ESG Screened" xr:uid="{62CB9A5D-3E52-408B-87CF-78B07D9C3A82}"/>
    <hyperlink ref="A42:O42" location="SGAJ!A1" display="SGAJ GY iShares MSCI Japan ESG Screened" xr:uid="{1B30E076-E8F6-4157-AD3A-53B90C1DE94E}"/>
    <hyperlink ref="A52:O52" location="SLMG!A1" display="SLMG GY iShares JP Morgan ESG USD Bond" xr:uid="{46A1D620-8828-4AB2-89AB-6D369DD52CA5}"/>
    <hyperlink ref="A62:O62" location="SECA!A1" display="SECA GY iShares Euro Govt Bond Climate" xr:uid="{D5B7F239-A771-4AF0-8DE6-54D9081FC62E}"/>
    <hyperlink ref="A72:O72" location="'AYE2'!A1" display="AYE2 GY iShares EUR High Yield Corp Bond" xr:uid="{23865FAE-5CCA-4E7A-B665-FD864604D5F4}"/>
    <hyperlink ref="A82:O82" location="ECRP!A1" display="ECRP FP Amundi EUR Corporate Bond" xr:uid="{A6E8F3AE-9978-4516-9FD3-5E0F53C613AB}"/>
    <hyperlink ref="A12:O12" location="SGAS!A1" display="SGAS GY iShares MSCI USA ESG Screened" xr:uid="{FB6BF70B-FB8C-4C85-88F4-BEB4A3BF6053}"/>
    <hyperlink ref="A92:O92" location="IUSN!A1" display="IUSN GY iShares MSCI World Small Cap" xr:uid="{37DF65B6-6B31-4F3E-BF63-D53FA1240E82}"/>
    <hyperlink ref="A102:O102" location="'ECR3'!A1" display="ECR3 GY Amundi EUR Corporate Bond 0-3Y" xr:uid="{2A68DE64-167C-4C66-983E-840CE275996E}"/>
    <hyperlink ref="A112:O112" location="SPYL!A1" display="SPYL GY SPDR S|P 500 UCITS" xr:uid="{591FEBCB-B647-4ABA-AFD4-2D9D79BE6FFD}"/>
  </hyperlinks>
  <pageMargins left="0.7" right="0.7" top="0.75" bottom="0.75" header="0.3" footer="0.3"/>
  <pageSetup orientation="portrait" r:id="rId1"/>
  <ignoredErrors>
    <ignoredError sqref="E129 E139 E39 E29 E49 E59 E69 E79 E19 E89 E99 E109 E119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CE72-584E-49FE-A46B-F47BE008D3E9}">
  <dimension ref="A2:X140"/>
  <sheetViews>
    <sheetView topLeftCell="A7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2026.04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49.970000000000006</v>
      </c>
      <c r="R5" s="5">
        <v>0</v>
      </c>
      <c r="S5" s="5">
        <f>(C19+C29+C39+C49+C59+C69+C79+C89+C99+C109+C119+C129+C139)-T5</f>
        <v>49.970000000000006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0.06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67" t="s">
        <v>42</v>
      </c>
      <c r="I23" s="71"/>
      <c r="J23" s="71"/>
      <c r="K23" s="71"/>
      <c r="L23" s="68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>
        <v>46133</v>
      </c>
      <c r="B25" s="14">
        <v>9.99</v>
      </c>
      <c r="C25" s="5">
        <f>B25-D25</f>
        <v>9.99</v>
      </c>
      <c r="D25" s="5">
        <v>0</v>
      </c>
      <c r="E25" s="15">
        <v>10.474</v>
      </c>
      <c r="F25" s="16">
        <f>C25/E25</f>
        <v>0.95379033797975943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9.99</v>
      </c>
      <c r="C29" s="5">
        <f>SUM(C25:C28)</f>
        <v>9.99</v>
      </c>
      <c r="D29" s="5">
        <f>SUM(D25:D28)</f>
        <v>0</v>
      </c>
      <c r="E29" s="6">
        <f>IF(B29&gt;0,SUMPRODUCT(E25:E28,F25:F28)/SUM(F25:F28),"0.00")</f>
        <v>10.474</v>
      </c>
      <c r="F29" s="8">
        <f>SUM(F25:F28)</f>
        <v>0.95379033797975943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40">
        <v>46133</v>
      </c>
      <c r="B35" s="14">
        <v>20</v>
      </c>
      <c r="C35" s="5">
        <f>B35-D35</f>
        <v>20</v>
      </c>
      <c r="D35" s="5">
        <v>0</v>
      </c>
      <c r="E35" s="13">
        <v>8.4375999999999998</v>
      </c>
      <c r="F35" s="16">
        <f>C35/E35</f>
        <v>2.3703422774248604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20</v>
      </c>
      <c r="C39" s="5">
        <f>SUM(C35:C38)</f>
        <v>20</v>
      </c>
      <c r="D39" s="5">
        <f>SUM(D35:D38)</f>
        <v>0</v>
      </c>
      <c r="E39" s="6">
        <f>IF(B39&gt;0,SUMPRODUCT(E35:E38,F35:F38)/SUM(F35:F38),"0.00")</f>
        <v>8.4375999999999998</v>
      </c>
      <c r="F39" s="8">
        <f>SUM(F35:F38)</f>
        <v>2.3703422774248604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>
        <v>46133</v>
      </c>
      <c r="B45" s="14">
        <v>9.99</v>
      </c>
      <c r="C45" s="5">
        <f>B45-D45</f>
        <v>9.99</v>
      </c>
      <c r="D45" s="5">
        <v>0</v>
      </c>
      <c r="E45" s="15">
        <v>7.7270000000000003</v>
      </c>
      <c r="F45" s="16">
        <f>C45/E45</f>
        <v>1.2928691600880031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9.99</v>
      </c>
      <c r="C49" s="5">
        <f>SUM(C45:C48)</f>
        <v>9.99</v>
      </c>
      <c r="D49" s="5">
        <f>SUM(D45:D48)</f>
        <v>0</v>
      </c>
      <c r="E49" s="6">
        <f>IF(B49&gt;0,SUMPRODUCT(E45:E48,F45:F48)/SUM(F45:F48),"0.00")</f>
        <v>7.7270000000000003</v>
      </c>
      <c r="F49" s="8">
        <f>SUM(F45:F48)</f>
        <v>1.2928691600880031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/>
      <c r="B125" s="14"/>
      <c r="C125" s="5">
        <f>B125-D125</f>
        <v>0</v>
      </c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43">
        <v>46133</v>
      </c>
      <c r="B135" s="14">
        <v>9.99</v>
      </c>
      <c r="C135" s="5">
        <f>B135-D135</f>
        <v>9.99</v>
      </c>
      <c r="D135" s="5">
        <v>0</v>
      </c>
      <c r="E135" s="15">
        <v>52.56</v>
      </c>
      <c r="F135" s="16">
        <f>C135/E135</f>
        <v>0.19006849315068491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9.99</v>
      </c>
      <c r="C139" s="5">
        <f>SUM(C135:C138)</f>
        <v>9.99</v>
      </c>
      <c r="D139" s="5">
        <f>SUM(D135:D138)</f>
        <v>0</v>
      </c>
      <c r="E139" s="6">
        <f>IF(B139&gt;0,SUMPRODUCT(E135:E138,F135:F138)/SUM(F135:F138),"0.00")</f>
        <v>52.560000000000009</v>
      </c>
      <c r="F139" s="8">
        <f>SUM(F135:F138)</f>
        <v>0.19006849315068491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22:O22" location="SLMC!A1" display="SLMC GY iShares MSCI Europe ESG Screened" xr:uid="{4CBA3045-1DD8-42EA-B940-7394E8FAD0A4}"/>
    <hyperlink ref="A32:O32" location="AYEM!A1" display="AYEM GY iShares MSCI EM IMI ESG Screened" xr:uid="{68456519-2170-4022-B72E-C03881DFF522}"/>
    <hyperlink ref="A42:O42" location="SGAJ!A1" display="SGAJ GY iShares MSCI Japan ESG Screened" xr:uid="{D5305A6F-EA44-46F2-AE4B-D4818C3BFDF1}"/>
    <hyperlink ref="A122:O122" location="WEBN!A1" display="WEBN GY Amundi Prime All Country World" xr:uid="{41381F24-60A9-4353-BA45-D14FAB0A9F67}"/>
    <hyperlink ref="A132:O132" location="XNAS!A1" display="XNAS GY Xtrackers NASDAQ 100 UCITS" xr:uid="{A43426CB-B5E7-4FE8-84F6-37F6006D1625}"/>
    <hyperlink ref="A52:O52" location="SLMG!A1" display="SLMG GY iShares JP Morgan ESG USD Bond" xr:uid="{91878F74-7405-46D9-8F44-018D684B1C65}"/>
    <hyperlink ref="A62:O62" location="SECA!A1" display="SECA GY iShares Euro Govt Bond Climate" xr:uid="{A38A44EF-C439-428B-8428-FD800F772CD4}"/>
    <hyperlink ref="A72:O72" location="'AYE2'!A1" display="AYE2 GY iShares EUR High Yield Corp Bond" xr:uid="{8F7C78FC-D7CF-4E93-9750-92052BE2B13D}"/>
    <hyperlink ref="A82:O82" location="ECRP!A1" display="ECRP FP Amundi EUR Corporate Bond" xr:uid="{1C5E42CF-9AB2-4C92-A445-7AC634319EDA}"/>
    <hyperlink ref="A12:O12" location="SGAS!A1" display="SGAS GY iShares MSCI USA ESG Screened" xr:uid="{52979D93-CEB2-4553-8E22-E17067B91E2D}"/>
    <hyperlink ref="A92:O92" location="IUSN!A1" display="IUSN GY iShares MSCI World Small Cap" xr:uid="{CDF1919D-BCFD-4F82-A720-BC7BF44EDE44}"/>
    <hyperlink ref="A102:O102" location="'ECR3'!A1" display="ECR3 GY Amundi EUR Corporate Bond 0-3Y" xr:uid="{C05DE83C-F604-435A-9A36-BBDA3E09A1A6}"/>
    <hyperlink ref="A112:O112" location="SPYL!A1" display="SPYL GY SPDR S|P 500 UCITS" xr:uid="{B24463FD-B070-436C-B8A3-3EFFE520489A}"/>
  </hyperlinks>
  <pageMargins left="0.7" right="0.7" top="0.75" bottom="0.75" header="0.3" footer="0.3"/>
  <pageSetup orientation="portrait" r:id="rId1"/>
  <ignoredErrors>
    <ignoredError sqref="E129 E29 E39 E49 E139 E59 E69 E79 E19 E89 E99 E109 E119" 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008B-C369-461C-BFA1-B9F5CD4CBD08}">
  <dimension ref="A2:X140"/>
  <sheetViews>
    <sheetView topLeftCell="A29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2026.03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39.950000000000003</v>
      </c>
      <c r="R5" s="5">
        <v>0</v>
      </c>
      <c r="S5" s="5">
        <f>(C19+C29+C39+C49+C59+C69+C79+C89+C99+C109+C119+C129+C139)-T5</f>
        <v>39.870000000000005</v>
      </c>
      <c r="T5" s="5">
        <f>(I19+I29+I39+I49+I59+I69+I79+I89+I99+I109+I119+I129+I139)-W5</f>
        <v>0</v>
      </c>
      <c r="U5" s="5">
        <f>D19+D29+D39+D49+D59+D69+D79+D89+D99+D109+D119+D129+D139</f>
        <v>0.08</v>
      </c>
      <c r="V5" s="5">
        <v>0.06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7" t="s">
        <v>7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>
        <v>46100</v>
      </c>
      <c r="B25" s="14">
        <v>9.99</v>
      </c>
      <c r="C25" s="5">
        <f>B25-D25</f>
        <v>9.9700000000000006</v>
      </c>
      <c r="D25" s="5">
        <v>0.02</v>
      </c>
      <c r="E25" s="15">
        <v>10.026</v>
      </c>
      <c r="F25" s="16">
        <f>C25/E25</f>
        <v>0.99441452224217042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9.99</v>
      </c>
      <c r="C29" s="5">
        <f>SUM(C25:C28)</f>
        <v>9.9700000000000006</v>
      </c>
      <c r="D29" s="5">
        <f>SUM(D25:D28)</f>
        <v>0.02</v>
      </c>
      <c r="E29" s="6">
        <f>IF(B29&gt;0,SUMPRODUCT(E25:E28,F25:F28)/SUM(F25:F28),"0.00")</f>
        <v>10.026</v>
      </c>
      <c r="F29" s="8">
        <f>SUM(F25:F28)</f>
        <v>0.99441452224217042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40">
        <v>46100</v>
      </c>
      <c r="B35" s="14">
        <v>9.99</v>
      </c>
      <c r="C35" s="5">
        <f>B35-D35</f>
        <v>9.9700000000000006</v>
      </c>
      <c r="D35" s="5">
        <v>0.02</v>
      </c>
      <c r="E35" s="13">
        <v>7.9489999999999998</v>
      </c>
      <c r="F35" s="16">
        <f>C35/E35</f>
        <v>1.2542458170839101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9.99</v>
      </c>
      <c r="C39" s="5">
        <f>SUM(C35:C38)</f>
        <v>9.9700000000000006</v>
      </c>
      <c r="D39" s="5">
        <f>SUM(D35:D38)</f>
        <v>0.02</v>
      </c>
      <c r="E39" s="6">
        <f>IF(B39&gt;0,SUMPRODUCT(E35:E38,F35:F38)/SUM(F35:F38),"0.00")</f>
        <v>7.948999999999999</v>
      </c>
      <c r="F39" s="8">
        <f>SUM(F35:F38)</f>
        <v>1.2542458170839101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>
        <v>46100</v>
      </c>
      <c r="B45" s="14">
        <v>9.99</v>
      </c>
      <c r="C45" s="5">
        <f>B45-D45</f>
        <v>9.9700000000000006</v>
      </c>
      <c r="D45" s="5">
        <v>0.02</v>
      </c>
      <c r="E45" s="15">
        <v>7.4889999999999999</v>
      </c>
      <c r="F45" s="16">
        <f>C45/E45</f>
        <v>1.3312858859660837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9.99</v>
      </c>
      <c r="C49" s="5">
        <f>SUM(C45:C48)</f>
        <v>9.9700000000000006</v>
      </c>
      <c r="D49" s="5">
        <f>SUM(D45:D48)</f>
        <v>0.02</v>
      </c>
      <c r="E49" s="6">
        <f>IF(B49&gt;0,SUMPRODUCT(E45:E48,F45:F48)/SUM(F45:F48),"0.00")</f>
        <v>7.4889999999999999</v>
      </c>
      <c r="F49" s="8">
        <f>SUM(F45:F48)</f>
        <v>1.3312858859660837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/>
      <c r="B125" s="14"/>
      <c r="C125" s="5">
        <f>B125-D125</f>
        <v>0</v>
      </c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3" t="s">
        <v>40</v>
      </c>
      <c r="B133" s="63"/>
      <c r="C133" s="63"/>
      <c r="D133" s="63"/>
      <c r="E133" s="63"/>
      <c r="F133" s="63"/>
      <c r="G133" s="77"/>
      <c r="H133" s="63" t="s">
        <v>42</v>
      </c>
      <c r="I133" s="63"/>
      <c r="J133" s="63"/>
      <c r="K133" s="63"/>
      <c r="L133" s="63"/>
      <c r="M133" s="44"/>
      <c r="N133" s="63" t="s">
        <v>46</v>
      </c>
      <c r="O133" s="63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77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44"/>
      <c r="N134" s="3" t="s">
        <v>48</v>
      </c>
      <c r="O134" s="3" t="s">
        <v>43</v>
      </c>
    </row>
    <row r="135" spans="1:15" ht="15" customHeight="1" x14ac:dyDescent="0.25">
      <c r="A135" s="43">
        <v>46100</v>
      </c>
      <c r="B135" s="14">
        <v>9.98</v>
      </c>
      <c r="C135" s="5">
        <f>B135-D135</f>
        <v>9.9600000000000009</v>
      </c>
      <c r="D135" s="5">
        <v>0.02</v>
      </c>
      <c r="E135" s="15">
        <v>49.545000000000002</v>
      </c>
      <c r="F135" s="16">
        <f>C135/E135</f>
        <v>0.20102936724190132</v>
      </c>
      <c r="G135" s="77"/>
      <c r="H135" s="31"/>
      <c r="I135" s="6"/>
      <c r="J135" s="5"/>
      <c r="K135" s="5"/>
      <c r="L135" s="6"/>
      <c r="M135" s="45"/>
      <c r="N135" s="6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77"/>
      <c r="H136" s="31"/>
      <c r="I136" s="2"/>
      <c r="J136" s="2"/>
      <c r="K136" s="2"/>
      <c r="L136" s="2"/>
      <c r="M136" s="46"/>
      <c r="N136" s="2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77"/>
      <c r="H137" s="31"/>
      <c r="I137" s="2"/>
      <c r="J137" s="2"/>
      <c r="K137" s="2"/>
      <c r="L137" s="2"/>
      <c r="M137" s="46"/>
      <c r="N137" s="2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77"/>
      <c r="H138" s="31"/>
      <c r="I138" s="2"/>
      <c r="J138" s="2"/>
      <c r="K138" s="2"/>
      <c r="L138" s="2"/>
      <c r="M138" s="46"/>
      <c r="N138" s="2"/>
      <c r="O138" s="2"/>
    </row>
    <row r="139" spans="1:15" ht="15" customHeight="1" x14ac:dyDescent="0.25">
      <c r="A139" s="3" t="s">
        <v>2</v>
      </c>
      <c r="B139" s="5">
        <f>SUM(B135:B138)</f>
        <v>9.98</v>
      </c>
      <c r="C139" s="5">
        <f>SUM(C135:C138)</f>
        <v>9.9600000000000009</v>
      </c>
      <c r="D139" s="5">
        <f>SUM(D135:D138)</f>
        <v>0.02</v>
      </c>
      <c r="E139" s="6">
        <f>IF(B139&gt;0,SUMPRODUCT(E135:E138,F135:F138)/SUM(F135:F138),"0.00")</f>
        <v>49.545000000000002</v>
      </c>
      <c r="F139" s="8">
        <f>SUM(F135:F138)</f>
        <v>0.20102936724190132</v>
      </c>
      <c r="G139" s="77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47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22:O22" location="SLMC!A1" display="SLMC GY iShares MSCI Europe ESG Screened" xr:uid="{613B7B8B-329C-466F-9D61-6475F1B95617}"/>
    <hyperlink ref="A32:O32" location="AYEM!A1" display="AYEM GY iShares MSCI EM IMI ESG Screened" xr:uid="{BFC3DA8F-12DB-4337-8BE0-503F3CA18151}"/>
    <hyperlink ref="A42:O42" location="SGAJ!A1" display="SGAJ GY iShares MSCI Japan ESG Screened" xr:uid="{9E34C2DA-16FD-422A-BA0B-0499E0FDD045}"/>
    <hyperlink ref="A122:O122" location="WEBN!A1" display="WEBN GY Amundi Prime All Country World" xr:uid="{52C01A6B-8FF7-4819-8A22-D0BE838412DA}"/>
    <hyperlink ref="A132:O132" location="XNAS!A1" display="XNAS GY Xtrackers NASDAQ 100 UCITS" xr:uid="{9F48DCA1-3FC3-43DD-B9D4-29680950C47A}"/>
    <hyperlink ref="A52:O52" location="SLMG!A1" display="SLMG GY iShares JP Morgan ESG USD Bond" xr:uid="{8465A19B-80E5-4D13-B264-0F2E1DFB645D}"/>
    <hyperlink ref="A62:O62" location="SECA!A1" display="SECA GY iShares Euro Govt Bond Climate" xr:uid="{DB0B2153-C82C-42F8-8ECF-7B03CBC33EC5}"/>
    <hyperlink ref="A72:O72" location="'AYE2'!A1" display="AYE2 GY iShares EUR High Yield Corp Bond" xr:uid="{C32E5E12-382F-46AA-8E4E-4E886BDF7B42}"/>
    <hyperlink ref="A82:O82" location="ECRP!A1" display="ECRP FP Amundi EUR Corporate Bond" xr:uid="{95C79AB9-D0FC-4BF9-89AA-339E0CA04268}"/>
    <hyperlink ref="A12:O12" location="SGAS!A1" display="SGAS GY iShares MSCI USA ESG Screened" xr:uid="{1D22A0AE-84BB-4B65-AE2B-EA5D0B556FC9}"/>
    <hyperlink ref="A92:O92" location="IUSN!A1" display="IUSN GY iShares MSCI World Small Cap" xr:uid="{DCFB8772-750C-4E71-9466-C30A06B73870}"/>
    <hyperlink ref="A102:O102" location="'ECR3'!A1" display="ECR3 GY Amundi EUR Corporate Bond 0-3Y" xr:uid="{79F3748C-FA1B-476B-ABD1-30C38140E2A8}"/>
    <hyperlink ref="A112:O112" location="SPYL!A1" display="SPYL GY SPDR S|P 500 UCITS" xr:uid="{DE9F62B5-65FA-4D46-8792-211C122A0C3E}"/>
  </hyperlinks>
  <pageMargins left="0.7" right="0.7" top="0.75" bottom="0.75" header="0.3" footer="0.3"/>
  <pageSetup orientation="portrait" r:id="rId1"/>
  <ignoredErrors>
    <ignoredError sqref="E129 E29 E39 E49 E139 E59 E69 E79 E19 E89 E99 E109 E11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B5E5-6B5A-4139-A23E-532F692FC71F}">
  <dimension ref="A2:X140"/>
  <sheetViews>
    <sheetView topLeftCell="A26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2026.02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39.979999999999997</v>
      </c>
      <c r="R5" s="5">
        <v>0</v>
      </c>
      <c r="S5" s="5">
        <f>(C19+C29+C39+C49+C59+C69+C79+C89+C99+C109+C119+C129+C139)-T5</f>
        <v>39.89</v>
      </c>
      <c r="T5" s="5">
        <f>(I19+I29+I39+I49+I59+I69+I79+I89+I99+I109+I119+I129+I139)-W5</f>
        <v>0</v>
      </c>
      <c r="U5" s="5">
        <f>D19+D29+D39+D49+D59+D69+D79+D89+D99+D109+D119+D129+D139</f>
        <v>9.0000000000000011E-2</v>
      </c>
      <c r="V5" s="5">
        <v>0.06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40">
        <v>46030</v>
      </c>
      <c r="B35" s="14">
        <v>9.99</v>
      </c>
      <c r="C35" s="5">
        <f>B35-D35</f>
        <v>9.9700000000000006</v>
      </c>
      <c r="D35" s="5">
        <v>0.02</v>
      </c>
      <c r="E35" s="13">
        <v>8.1235999999999997</v>
      </c>
      <c r="F35" s="16">
        <f>C35/E35</f>
        <v>1.2272883943079425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9.99</v>
      </c>
      <c r="C39" s="5">
        <f>SUM(C35:C38)</f>
        <v>9.9700000000000006</v>
      </c>
      <c r="D39" s="5">
        <f>SUM(D35:D38)</f>
        <v>0.02</v>
      </c>
      <c r="E39" s="6">
        <f>IF(B39&gt;0,SUMPRODUCT(E35:E38,F35:F38)/SUM(F35:F38),"0.00")</f>
        <v>8.1235999999999997</v>
      </c>
      <c r="F39" s="8">
        <f>SUM(F35:F38)</f>
        <v>1.2272883943079425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>
        <v>46072</v>
      </c>
      <c r="B125" s="14">
        <v>29.99</v>
      </c>
      <c r="C125" s="5">
        <f>B125-D125</f>
        <v>29.919999999999998</v>
      </c>
      <c r="D125" s="5">
        <v>7.0000000000000007E-2</v>
      </c>
      <c r="E125" s="15">
        <v>11.358000000000001</v>
      </c>
      <c r="F125" s="16">
        <f>C125/E125</f>
        <v>2.6342665962317309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29.99</v>
      </c>
      <c r="C129" s="5">
        <f>SUM(C125:C128)</f>
        <v>29.919999999999998</v>
      </c>
      <c r="D129" s="5">
        <f>SUM(D125:D128)</f>
        <v>7.0000000000000007E-2</v>
      </c>
      <c r="E129" s="6">
        <f>IF(B129&gt;0,SUMPRODUCT(E125:E128,F125:F128)/SUM(F125:F128),"0.00")</f>
        <v>11.358000000000001</v>
      </c>
      <c r="F129" s="8">
        <f>SUM(F125:F128)</f>
        <v>2.6342665962317309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43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22:O22" location="SLMC!A1" display="SLMC GY iShares MSCI Europe ESG Screened" xr:uid="{91F1324A-7904-4D7D-A9E8-86CCA894AEC0}"/>
    <hyperlink ref="A32:O32" location="AYEM!A1" display="AYEM GY iShares MSCI EM IMI ESG Screened" xr:uid="{C4616BC6-B601-4915-ADD2-631A071F4046}"/>
    <hyperlink ref="A42:O42" location="SGAJ!A1" display="SGAJ GY iShares MSCI Japan ESG Screened" xr:uid="{3119AA4A-BAE9-4157-A1E2-A77EF683A45A}"/>
    <hyperlink ref="A122:O122" location="WEBN!A1" display="WEBN GY Amundi Prime All Country World" xr:uid="{F302008E-469A-498E-ABB8-34928CF26B82}"/>
    <hyperlink ref="A132:O132" location="XNAS!A1" display="XNAS GY Xtrackers NASDAQ 100 UCITS" xr:uid="{16420078-D83C-459B-B49F-AA376B86F8D4}"/>
    <hyperlink ref="A12:O12" location="SGAS!A1" display="SGAS GY iShares MSCI USA ESG Screened" xr:uid="{FFBEADC9-EC73-47C2-B94A-74168744F76A}"/>
    <hyperlink ref="A52:O52" location="SLMG!A1" display="SLMG GY iShares JP Morgan ESG USD Bond" xr:uid="{25834A72-1530-4A4A-B36F-16D3B5A7951B}"/>
    <hyperlink ref="A72:O72" location="'AYE2'!A1" display="AYE2 GY iShares EUR High Yield Corp Bond" xr:uid="{CAF5FFF3-D85B-4128-828D-FED7E857F688}"/>
    <hyperlink ref="A62:O62" location="SECA!A1" display="SECA GY iShares Euro Govt Bond Climate" xr:uid="{AB7836F4-EF84-4E7F-880B-D7F24C8E210E}"/>
    <hyperlink ref="A82:O82" location="ECRP!A1" display="ECRP FP Amundi EUR Corporate Bond" xr:uid="{30946B0F-4752-4D69-926B-322B0E7038CC}"/>
    <hyperlink ref="A92:O92" location="IUSN!A1" display="IUSN GY iShares MSCI World Small Cap" xr:uid="{CBD079F0-42EB-4AA2-BCCE-890F5B8D70A2}"/>
    <hyperlink ref="A102:O102" location="'ECR3'!A1" display="ECR3 GY Amundi EUR Corporate Bond 0-3Y" xr:uid="{C8B23CD7-F50C-4773-8951-1C810F9DBB58}"/>
    <hyperlink ref="A112:O112" location="SPYL!A1" display="SPYL GY SPDR S|P 500 UCITS" xr:uid="{6DDCF531-6392-4D7C-ABFE-9D35AFC89D5D}"/>
  </hyperlinks>
  <pageMargins left="0.7" right="0.7" top="0.75" bottom="0.75" header="0.3" footer="0.3"/>
  <pageSetup orientation="portrait" r:id="rId1"/>
  <ignoredErrors>
    <ignoredError sqref="E129 E29 E39 E49 E139 E19 E59 E69 E79 E89 E99 E109 E119" formula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2256-045C-4F11-A88A-31CD64FCF302}">
  <dimension ref="A2:X140"/>
  <sheetViews>
    <sheetView topLeftCell="A26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2026.01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39.97</v>
      </c>
      <c r="R5" s="5">
        <v>0</v>
      </c>
      <c r="S5" s="5">
        <f>(C19+C29+C39+C49+C59+C69+C79+C89+C99+C109+C119+C129+C139)-T5</f>
        <v>39.880000000000003</v>
      </c>
      <c r="T5" s="5">
        <f>(I19+I29+I39+I49+I59+I69+I79+I89+I99+I109+I119+I129+I139)-W5</f>
        <v>0</v>
      </c>
      <c r="U5" s="5">
        <f>D19+D29+D39+D49+D59+D69+D79+D89+D99+D109+D119+D129+D139</f>
        <v>9.0000000000000011E-2</v>
      </c>
      <c r="V5" s="5">
        <v>0.05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3" t="s">
        <v>40</v>
      </c>
      <c r="B33" s="63"/>
      <c r="C33" s="63"/>
      <c r="D33" s="63"/>
      <c r="E33" s="63"/>
      <c r="F33" s="63"/>
      <c r="G33" s="77"/>
      <c r="H33" s="63" t="s">
        <v>42</v>
      </c>
      <c r="I33" s="63"/>
      <c r="J33" s="63"/>
      <c r="K33" s="63"/>
      <c r="L33" s="63"/>
      <c r="M33" s="44"/>
      <c r="N33" s="63" t="s">
        <v>46</v>
      </c>
      <c r="O33" s="63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77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44"/>
      <c r="N34" s="3" t="s">
        <v>48</v>
      </c>
      <c r="O34" s="3" t="s">
        <v>43</v>
      </c>
      <c r="P34" s="27"/>
    </row>
    <row r="35" spans="1:16" ht="15" customHeight="1" x14ac:dyDescent="0.25">
      <c r="A35" s="40">
        <v>46030</v>
      </c>
      <c r="B35" s="14">
        <v>9.99</v>
      </c>
      <c r="C35" s="5">
        <f>B35-D35</f>
        <v>9.9700000000000006</v>
      </c>
      <c r="D35" s="5">
        <v>0.02</v>
      </c>
      <c r="E35" s="13">
        <v>7.6779999999999999</v>
      </c>
      <c r="F35" s="16">
        <f>C35/E35</f>
        <v>1.2985152383433187</v>
      </c>
      <c r="G35" s="77"/>
      <c r="H35" s="31"/>
      <c r="I35" s="6"/>
      <c r="J35" s="5"/>
      <c r="K35" s="5"/>
      <c r="L35" s="6"/>
      <c r="M35" s="45"/>
      <c r="N35" s="6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77"/>
      <c r="H36" s="31"/>
      <c r="I36" s="2"/>
      <c r="J36" s="2"/>
      <c r="K36" s="2"/>
      <c r="L36" s="2"/>
      <c r="M36" s="46"/>
      <c r="N36" s="2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77"/>
      <c r="H37" s="31"/>
      <c r="I37" s="2"/>
      <c r="J37" s="2"/>
      <c r="K37" s="2"/>
      <c r="L37" s="2"/>
      <c r="M37" s="46"/>
      <c r="N37" s="2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77"/>
      <c r="H38" s="31"/>
      <c r="I38" s="2"/>
      <c r="J38" s="2"/>
      <c r="K38" s="2"/>
      <c r="L38" s="2"/>
      <c r="M38" s="46"/>
      <c r="N38" s="2"/>
      <c r="O38" s="2"/>
    </row>
    <row r="39" spans="1:16" ht="15" customHeight="1" x14ac:dyDescent="0.25">
      <c r="A39" s="3" t="s">
        <v>2</v>
      </c>
      <c r="B39" s="5">
        <f>SUM(B35:B38)</f>
        <v>9.99</v>
      </c>
      <c r="C39" s="5">
        <f>SUM(C35:C38)</f>
        <v>9.9700000000000006</v>
      </c>
      <c r="D39" s="5">
        <f>SUM(D35:D38)</f>
        <v>0.02</v>
      </c>
      <c r="E39" s="6">
        <f>IF(B39&gt;0,SUMPRODUCT(E35:E38,F35:F38)/SUM(F35:F38),"0.00")</f>
        <v>7.6779999999999999</v>
      </c>
      <c r="F39" s="8">
        <f>SUM(F35:F38)</f>
        <v>1.2985152383433187</v>
      </c>
      <c r="G39" s="77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47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>
        <v>46030</v>
      </c>
      <c r="B125" s="14">
        <v>29.98</v>
      </c>
      <c r="C125" s="5">
        <f>B125-D125</f>
        <v>29.91</v>
      </c>
      <c r="D125" s="5">
        <v>7.0000000000000007E-2</v>
      </c>
      <c r="E125" s="15">
        <v>11.337999999999999</v>
      </c>
      <c r="F125" s="16">
        <f>C125/E125</f>
        <v>2.6380313988357735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29.98</v>
      </c>
      <c r="C129" s="5">
        <f>SUM(C125:C128)</f>
        <v>29.91</v>
      </c>
      <c r="D129" s="5">
        <f>SUM(D125:D128)</f>
        <v>7.0000000000000007E-2</v>
      </c>
      <c r="E129" s="6">
        <f>IF(B129&gt;0,SUMPRODUCT(E125:E128,F125:F128)/SUM(F125:F128),"0.00")</f>
        <v>11.337999999999999</v>
      </c>
      <c r="F129" s="8">
        <f>SUM(F125:F128)</f>
        <v>2.6380313988357735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43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2:O132"/>
    <mergeCell ref="A133:F133"/>
    <mergeCell ref="G133:G139"/>
    <mergeCell ref="H133:L133"/>
    <mergeCell ref="N133:O133"/>
    <mergeCell ref="A123:F123"/>
    <mergeCell ref="G123:G129"/>
    <mergeCell ref="H123:L123"/>
    <mergeCell ref="N123:O123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A122:O122"/>
    <mergeCell ref="A93:F93"/>
    <mergeCell ref="G93:G99"/>
    <mergeCell ref="H93:L93"/>
    <mergeCell ref="N93:O93"/>
    <mergeCell ref="A72:O72"/>
    <mergeCell ref="A73:F73"/>
    <mergeCell ref="G73:G79"/>
    <mergeCell ref="H73:L73"/>
    <mergeCell ref="N73:O73"/>
    <mergeCell ref="A82:O82"/>
    <mergeCell ref="A83:F83"/>
    <mergeCell ref="G83:G89"/>
    <mergeCell ref="H83:L83"/>
    <mergeCell ref="N83:O83"/>
    <mergeCell ref="A92:O92"/>
    <mergeCell ref="A63:F63"/>
    <mergeCell ref="G63:G69"/>
    <mergeCell ref="H63:L63"/>
    <mergeCell ref="N63:O6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W3"/>
    <mergeCell ref="X3:X4"/>
  </mergeCells>
  <hyperlinks>
    <hyperlink ref="A22:O22" location="SLMC!A1" display="SLMC GY iShares MSCI Europe ESG Screened" xr:uid="{FFD436B7-2240-4EF2-BD64-86D713E7EEC7}"/>
    <hyperlink ref="A32:O32" location="AYEM!A1" display="AYEM GY iShares MSCI EM IMI ESG Screened" xr:uid="{1E30F081-9B36-4E96-8322-0FA3E5DF9BF8}"/>
    <hyperlink ref="A42:O42" location="SGAJ!A1" display="SGAJ GY iShares MSCI Japan ESG Screened" xr:uid="{3779AD4A-DB80-41C5-A9DD-6EFD980CA551}"/>
    <hyperlink ref="A122:O122" location="WEBN!A1" display="WEBN GY Amundi Prime All Country World" xr:uid="{693DD8B2-37E0-4DB3-BFC0-9FE632588A9A}"/>
    <hyperlink ref="A132:O132" location="XNAS!A1" display="XNAS GY Xtrackers NASDAQ 100 UCITS" xr:uid="{702165DF-BB82-46F4-8B6B-BF1240D356DB}"/>
    <hyperlink ref="A12:O12" location="SGAS!A1" display="SGAS GY iShares MSCI USA ESG Screened" xr:uid="{FF90D589-6362-49E7-A14B-D17CD26AA02D}"/>
    <hyperlink ref="A52:O52" location="SLMG!A1" display="SLMG GY iShares JP Morgan ESG USD Bond" xr:uid="{AF6B3727-30DE-4F20-832D-44E1E571DB73}"/>
    <hyperlink ref="A62:O62" location="SECA!A1" display="SECA GY iShares Euro Govt Bond Climate" xr:uid="{FC0102D5-58A1-4A6F-8BBF-1A8EB01262AA}"/>
    <hyperlink ref="A92:O92" location="IUSN!A1" display="IUSN GY iShares MSCI World Small Cap" xr:uid="{F61B8640-A347-4465-A987-4376FC16370B}"/>
    <hyperlink ref="A82:O82" location="ECRP!A1" display="ECRP FP Amundi EUR Corporate Bond" xr:uid="{062A7A72-7430-47BE-A487-5AB618AECBC9}"/>
    <hyperlink ref="A72:O72" location="'AYE2'!A1" display="AYE2 GY iShares EUR High Yield Corp Bond" xr:uid="{92E5AB87-9B72-4057-A926-49D4599E8602}"/>
    <hyperlink ref="A102:O102" location="'ECR3'!A1" display="ECR3 GY Amundi EUR Corporate Bond 0-3Y" xr:uid="{1E234DB5-ECC4-4190-8907-6E35DB50F77A}"/>
    <hyperlink ref="A112:O112" location="SPYL!A1" display="SPYL GY SPDR S|P 500 UCITS" xr:uid="{BBA726BF-98C9-4B95-B335-C4E16A37EF08}"/>
  </hyperlinks>
  <pageMargins left="0.7" right="0.7" top="0.75" bottom="0.75" header="0.3" footer="0.3"/>
  <pageSetup orientation="portrait" r:id="rId1"/>
  <ignoredErrors>
    <ignoredError sqref="E129 E29 E39 E49 E139 E19 E59 E69 E79 E89 E99 E109 E119" formula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140"/>
  <sheetViews>
    <sheetView topLeftCell="A47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 t="s">
        <v>54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9.98</v>
      </c>
      <c r="R5" s="5">
        <v>0</v>
      </c>
      <c r="S5" s="5">
        <f>(C19+C29+C39+C49+C59+C69+C79+C89+C99+C109+C119+C129+C139)-T5</f>
        <v>9.9600000000000009</v>
      </c>
      <c r="T5" s="5">
        <f>(I19+I29+I39+I49+I59+I69+I79+I89+I99+I109+I119+I129+I139)-W5</f>
        <v>0</v>
      </c>
      <c r="U5" s="5">
        <f>D19+D29+D39+D49+D59+D69+D79+D89+D99+D109+D119+D129+D139</f>
        <v>0.02</v>
      </c>
      <c r="V5" s="5">
        <v>0.05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hidden="1" customHeight="1" x14ac:dyDescent="0.25"/>
    <row r="12" spans="1:24" ht="15" hidden="1" customHeight="1" x14ac:dyDescent="0.25">
      <c r="A12" s="78" t="s">
        <v>6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</row>
    <row r="13" spans="1:24" ht="15" hidden="1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hidden="1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hidden="1" customHeight="1" x14ac:dyDescent="0.25">
      <c r="A15" s="36"/>
      <c r="B15" s="14"/>
      <c r="C15" s="5"/>
      <c r="D15" s="5"/>
      <c r="E15" s="13"/>
      <c r="F15" s="8"/>
      <c r="G15" s="82"/>
      <c r="H15" s="31"/>
      <c r="I15" s="5"/>
      <c r="J15" s="5"/>
      <c r="K15" s="5"/>
      <c r="L15" s="8"/>
      <c r="M15" s="24"/>
      <c r="N15" s="32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hidden="1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8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hidden="1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40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43"/>
      <c r="B36" s="5"/>
      <c r="C36" s="5"/>
      <c r="D36" s="6"/>
      <c r="E36" s="6"/>
      <c r="F36" s="16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hidden="1" customHeight="1" x14ac:dyDescent="0.25"/>
    <row r="52" spans="1:16" ht="15" hidden="1" customHeight="1" x14ac:dyDescent="0.25">
      <c r="A52" s="78" t="s">
        <v>28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spans="1:16" ht="15" hidden="1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hidden="1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hidden="1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7"/>
      <c r="L55" s="8"/>
      <c r="M55" s="24"/>
      <c r="N55" s="32"/>
      <c r="O55" s="5"/>
      <c r="P55" s="1"/>
    </row>
    <row r="56" spans="1:16" ht="15" hidden="1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hidden="1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hidden="1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hidden="1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8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hidden="1" customHeight="1" x14ac:dyDescent="0.25"/>
    <row r="61" spans="1:16" ht="15" hidden="1" customHeight="1" x14ac:dyDescent="0.25"/>
    <row r="62" spans="1:16" ht="15" hidden="1" customHeight="1" x14ac:dyDescent="0.25">
      <c r="A62" s="78" t="s">
        <v>16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0"/>
    </row>
    <row r="63" spans="1:16" ht="15" hidden="1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hidden="1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hidden="1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7"/>
      <c r="L65" s="8"/>
      <c r="M65" s="24"/>
      <c r="N65" s="32"/>
      <c r="O65" s="5"/>
      <c r="P65" s="1"/>
    </row>
    <row r="66" spans="1:16" ht="15" hidden="1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hidden="1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hidden="1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hidden="1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8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hidden="1" customHeight="1" x14ac:dyDescent="0.25"/>
    <row r="71" spans="1:16" ht="15" hidden="1" customHeight="1" x14ac:dyDescent="0.25">
      <c r="A71" s="12"/>
    </row>
    <row r="72" spans="1:16" ht="15" hidden="1" customHeight="1" x14ac:dyDescent="0.25">
      <c r="A72" s="91" t="s">
        <v>18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3"/>
    </row>
    <row r="73" spans="1:16" ht="15" hidden="1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hidden="1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hidden="1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8"/>
      <c r="L75" s="8"/>
      <c r="M75" s="24"/>
      <c r="N75" s="32"/>
      <c r="O75" s="5"/>
    </row>
    <row r="76" spans="1:16" ht="15" hidden="1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hidden="1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hidden="1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hidden="1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8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hidden="1" customHeight="1" x14ac:dyDescent="0.25">
      <c r="A80" s="12"/>
    </row>
    <row r="81" spans="1:15" ht="15" hidden="1" customHeight="1" x14ac:dyDescent="0.25"/>
    <row r="82" spans="1:15" ht="15" hidden="1" customHeight="1" x14ac:dyDescent="0.25">
      <c r="A82" s="91" t="s">
        <v>19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3"/>
    </row>
    <row r="83" spans="1:15" ht="15" hidden="1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hidden="1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hidden="1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8"/>
      <c r="L85" s="8"/>
      <c r="M85" s="24"/>
      <c r="N85" s="32"/>
      <c r="O85" s="5"/>
    </row>
    <row r="86" spans="1:15" ht="15" hidden="1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hidden="1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hidden="1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hidden="1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hidden="1" customHeight="1" x14ac:dyDescent="0.25"/>
    <row r="91" spans="1:15" ht="15" hidden="1" customHeight="1" x14ac:dyDescent="0.25"/>
    <row r="92" spans="1:15" ht="15" hidden="1" customHeight="1" x14ac:dyDescent="0.25">
      <c r="A92" s="91" t="s">
        <v>20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3"/>
    </row>
    <row r="93" spans="1:15" ht="15" hidden="1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hidden="1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hidden="1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8"/>
      <c r="L95" s="8"/>
      <c r="M95" s="24"/>
      <c r="N95" s="32"/>
      <c r="O95" s="5"/>
    </row>
    <row r="96" spans="1:15" ht="15" hidden="1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hidden="1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hidden="1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hidden="1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8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hidden="1" customHeight="1" x14ac:dyDescent="0.25"/>
    <row r="101" spans="1:15" ht="15" hidden="1" customHeight="1" x14ac:dyDescent="0.25"/>
    <row r="102" spans="1:15" ht="15" hidden="1" customHeight="1" x14ac:dyDescent="0.25">
      <c r="A102" s="91" t="s">
        <v>21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3"/>
    </row>
    <row r="103" spans="1:15" ht="15" hidden="1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hidden="1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hidden="1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8"/>
      <c r="L105" s="8"/>
      <c r="M105" s="24"/>
      <c r="N105" s="32"/>
      <c r="O105" s="5"/>
    </row>
    <row r="106" spans="1:15" ht="15" hidden="1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hidden="1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hidden="1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hidden="1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8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hidden="1" customHeight="1" x14ac:dyDescent="0.25"/>
    <row r="111" spans="1:15" ht="15" hidden="1" customHeight="1" x14ac:dyDescent="0.25"/>
    <row r="112" spans="1:15" ht="15" hidden="1" customHeight="1" x14ac:dyDescent="0.25">
      <c r="A112" s="91" t="s">
        <v>22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3"/>
    </row>
    <row r="113" spans="1:15" ht="15" hidden="1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hidden="1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hidden="1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8"/>
      <c r="L115" s="8"/>
      <c r="M115" s="24"/>
      <c r="N115" s="32"/>
      <c r="O115" s="5"/>
    </row>
    <row r="116" spans="1:15" ht="15" hidden="1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hidden="1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hidden="1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8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hidden="1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43">
        <v>45995</v>
      </c>
      <c r="B125" s="14">
        <v>9.98</v>
      </c>
      <c r="C125" s="5">
        <f>B125-D125</f>
        <v>9.9600000000000009</v>
      </c>
      <c r="D125" s="5">
        <v>0.02</v>
      </c>
      <c r="E125" s="15">
        <v>11.132</v>
      </c>
      <c r="F125" s="16">
        <f>C125/E125</f>
        <v>0.89471793029105295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9.98</v>
      </c>
      <c r="C129" s="5">
        <f>SUM(C125:C128)</f>
        <v>9.9600000000000009</v>
      </c>
      <c r="D129" s="5">
        <f>SUM(D125:D128)</f>
        <v>0.02</v>
      </c>
      <c r="E129" s="6">
        <f>IF(B129&gt;0,SUMPRODUCT(E125:E128,F125:F128)/SUM(F125:F128),"0.00")</f>
        <v>11.132</v>
      </c>
      <c r="F129" s="8">
        <f>SUM(F125:F128)</f>
        <v>0.89471793029105295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43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</mergeCells>
  <hyperlinks>
    <hyperlink ref="A12:O12" location="SGAS!A1" display="SGAS GY iShares MSCI USA ESG Screened" xr:uid="{5370C073-FAE3-4610-8C44-B4AB928D9C5A}"/>
    <hyperlink ref="A132:O132" location="XNAS!A1" display="XNAS GY Xtrackers NASDAQ 100 UCITS" xr:uid="{74DE58AE-4F78-420B-ABB1-550A85B35843}"/>
    <hyperlink ref="A122:O122" location="WEBN!A1" display="WEBN GY Amundi Prime All Country World" xr:uid="{AE31098D-6B92-4D6B-961D-BECE9224C004}"/>
    <hyperlink ref="A112:O112" location="SPYL!A1" display="SPYL GY SPDR S|P 500 UCITS" xr:uid="{A43985B3-CA00-4E28-8B15-C4DC099DC765}"/>
    <hyperlink ref="A102:O102" location="'ECR3'!A1" display="ECR3 GY Amundi EUR Corporate Bond 0-3Y" xr:uid="{4C206554-2C35-47B8-8045-F67595CD8019}"/>
    <hyperlink ref="A92:O92" location="IUSN!A1" display="IUSN GY iShares MSCI World Small Cap" xr:uid="{0FF88A54-2A55-4F99-B35C-451BA8D199CA}"/>
    <hyperlink ref="A82:O82" location="ECRP!A1" display="ECRP FP Amundi EUR Corporate Bond" xr:uid="{763B9D5F-6E23-47B4-BE3D-CDC9A29D965F}"/>
    <hyperlink ref="A72:O72" location="'AYE2'!A1" display="AYE2 GY iShares EUR High Yield Corp Bond" xr:uid="{DEFDD7AC-FC08-4843-AAF3-2F525BFB39D3}"/>
    <hyperlink ref="A62:O62" location="SECA!A1" display="SECA GY iShares Euro Govt Bond Climate" xr:uid="{00F402BA-C6B2-4A43-8300-709B904E054D}"/>
    <hyperlink ref="A52:O52" location="SLMG!A1" display="SLMG GY iShares JP Morgan ESG USD Bond" xr:uid="{029E06B1-DC81-4050-8096-8087BE744AE4}"/>
    <hyperlink ref="A42:O42" location="SGAJ!A1" display="SGAJ GY iShares MSCI Japan ESG Screened" xr:uid="{391266CE-F6D8-41CE-9F91-F912D9A5A473}"/>
    <hyperlink ref="A32:O32" location="AYEM!A1" display="AYEM GY iShares MSCI EM IMI ESG Screened" xr:uid="{B62FE691-E8CE-42B8-A361-5AF8CA261EFF}"/>
    <hyperlink ref="A22:O22" location="SLMC!A1" display="SLMC GY iShares MSCI Europe ESG Screened" xr:uid="{37F72DFB-3CEE-4A0F-9CDB-40271FAA021D}"/>
  </hyperlinks>
  <pageMargins left="0.7" right="0.7" top="0.75" bottom="0.75" header="0.3" footer="0.3"/>
  <pageSetup orientation="portrait" r:id="rId1"/>
  <ignoredErrors>
    <ignoredError sqref="E129 E99 E89 E79 E69 E59 E49 E39 E29 E19 E139 E109 E11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140"/>
  <sheetViews>
    <sheetView topLeftCell="A100" workbookViewId="0">
      <selection activeCell="A112" sqref="A112:O1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2025.11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186.37</v>
      </c>
      <c r="R5" s="5">
        <v>0</v>
      </c>
      <c r="S5" s="5">
        <f>(C19+C29+C39+C49+C59+C69+C79+C89+C99+C109+C119+C129+C139)-T5</f>
        <v>185.64999999999998</v>
      </c>
      <c r="T5" s="5">
        <f>(I19+I29+I39+I49+I59+I69+I79+I89+I99+I109+I119+I129+I139)-W5</f>
        <v>107.45</v>
      </c>
      <c r="U5" s="5">
        <f>D19+D29+D39+D49+D59+D69+D79+D89+D99+D109+D119+D129+D139</f>
        <v>0.72</v>
      </c>
      <c r="V5" s="5">
        <v>0.02</v>
      </c>
      <c r="W5" s="5">
        <f>J19+J29+J39+J49+J59+J69+J79+J89+J99+J109+J119+J129+J139</f>
        <v>0.28999999999999998</v>
      </c>
      <c r="X5" s="5">
        <f>O19+O29+O39+O49+O59+O69+O79+O89+O99+O109+O119+O129+O139</f>
        <v>0</v>
      </c>
    </row>
    <row r="11" spans="1:24" ht="15" customHeight="1" x14ac:dyDescent="0.25"/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>
        <v>45974</v>
      </c>
      <c r="I15" s="5">
        <v>12.4</v>
      </c>
      <c r="J15" s="5">
        <v>0.03</v>
      </c>
      <c r="K15" s="5">
        <v>12.25</v>
      </c>
      <c r="L15" s="8">
        <f>I15/K15</f>
        <v>1.0122448979591836</v>
      </c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12.4</v>
      </c>
      <c r="J19" s="5">
        <f t="shared" ref="J19:L19" si="0">SUM(J15:J18)</f>
        <v>0.03</v>
      </c>
      <c r="K19" s="6"/>
      <c r="L19" s="8">
        <f t="shared" si="0"/>
        <v>1.0122448979591836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40">
        <v>45989</v>
      </c>
      <c r="B25" s="14">
        <v>9.9700000000000006</v>
      </c>
      <c r="C25" s="5">
        <f>B25-D25</f>
        <v>9.9500000000000011</v>
      </c>
      <c r="D25" s="5">
        <v>0.02</v>
      </c>
      <c r="E25" s="15">
        <v>9.4369999999999994</v>
      </c>
      <c r="F25" s="16">
        <f>C25/E25</f>
        <v>1.0543604959203139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41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2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2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9.9700000000000006</v>
      </c>
      <c r="C29" s="5">
        <f>SUM(C25:C28)</f>
        <v>9.9500000000000011</v>
      </c>
      <c r="D29" s="5">
        <f>SUM(D25:D28)</f>
        <v>0.02</v>
      </c>
      <c r="E29" s="6">
        <f>IF(B29&gt;0,SUMPRODUCT(E25:E28,F25:F28)/SUM(F25:F28),"0.00")</f>
        <v>9.4369999999999994</v>
      </c>
      <c r="F29" s="8">
        <f>SUM(F25:F28)</f>
        <v>1.0543604959203139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8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40">
        <v>45974</v>
      </c>
      <c r="B35" s="14">
        <v>62.23</v>
      </c>
      <c r="C35" s="5">
        <f>B35-D35</f>
        <v>62.07</v>
      </c>
      <c r="D35" s="5">
        <v>0.16</v>
      </c>
      <c r="E35" s="13">
        <v>7.3898000000000001</v>
      </c>
      <c r="F35" s="16">
        <f>C35/E35</f>
        <v>8.3994154104305938</v>
      </c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43">
        <v>45988</v>
      </c>
      <c r="B36" s="5">
        <v>15.59</v>
      </c>
      <c r="C36" s="5">
        <f>B36-D36</f>
        <v>15.55</v>
      </c>
      <c r="D36" s="6">
        <v>0.04</v>
      </c>
      <c r="E36" s="6">
        <v>7.2141999999999999</v>
      </c>
      <c r="F36" s="16">
        <f>C36/E36</f>
        <v>2.1554711541127221</v>
      </c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2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2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77.819999999999993</v>
      </c>
      <c r="C39" s="5">
        <f>SUM(C35:C38)</f>
        <v>77.62</v>
      </c>
      <c r="D39" s="5">
        <f>SUM(D35:D38)</f>
        <v>0.2</v>
      </c>
      <c r="E39" s="6">
        <f>IF(B39&gt;0,SUMPRODUCT(E35:E38,F35:F38)/SUM(F35:F38),"0.00")</f>
        <v>7.353939762910036</v>
      </c>
      <c r="F39" s="8">
        <f>SUM(F35:F38)</f>
        <v>10.554886564543317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8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40">
        <v>45988</v>
      </c>
      <c r="B45" s="14">
        <v>9.9700000000000006</v>
      </c>
      <c r="C45" s="5">
        <f>B45-D45</f>
        <v>9.9500000000000011</v>
      </c>
      <c r="D45" s="5">
        <v>0.02</v>
      </c>
      <c r="E45" s="15">
        <v>6.931</v>
      </c>
      <c r="F45" s="16">
        <f>C45/E45</f>
        <v>1.4355792814889627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41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2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2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9.9700000000000006</v>
      </c>
      <c r="C49" s="5">
        <f>SUM(C45:C48)</f>
        <v>9.9500000000000011</v>
      </c>
      <c r="D49" s="5">
        <f>SUM(D45:D48)</f>
        <v>0.02</v>
      </c>
      <c r="E49" s="6">
        <f>IF(B49&gt;0,SUMPRODUCT(E45:E48,F45:F48)/SUM(F45:F48),"0.00")</f>
        <v>6.931</v>
      </c>
      <c r="F49" s="8">
        <f>SUM(F45:F48)</f>
        <v>1.4355792814889627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8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customHeight="1" x14ac:dyDescent="0.25"/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>
        <v>45967</v>
      </c>
      <c r="I55" s="6">
        <v>10.86</v>
      </c>
      <c r="J55" s="5">
        <v>0.03</v>
      </c>
      <c r="K55" s="7">
        <v>4.8917000000000002</v>
      </c>
      <c r="L55" s="8">
        <f>I55/K55</f>
        <v>2.2200870862890199</v>
      </c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10.86</v>
      </c>
      <c r="J59" s="5">
        <f t="shared" ref="J59" si="7">SUM(J55:J58)</f>
        <v>0.03</v>
      </c>
      <c r="K59" s="6"/>
      <c r="L59" s="8">
        <f t="shared" ref="L59" si="8">SUM(L55:L58)</f>
        <v>2.2200870862890199</v>
      </c>
      <c r="M59" s="35"/>
      <c r="N59" s="3" t="s">
        <v>2</v>
      </c>
      <c r="O59" s="5">
        <f>SUM(O55:O58)</f>
        <v>0</v>
      </c>
      <c r="P59" s="1"/>
    </row>
    <row r="60" spans="1:16" ht="15" customHeight="1" x14ac:dyDescent="0.25"/>
    <row r="61" spans="1:16" ht="15" customHeight="1" x14ac:dyDescent="0.25"/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97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98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>
        <v>45967</v>
      </c>
      <c r="I65" s="6">
        <v>10.06</v>
      </c>
      <c r="J65" s="5">
        <v>0.03</v>
      </c>
      <c r="K65" s="7">
        <v>4.3992000000000004</v>
      </c>
      <c r="L65" s="8">
        <f>I65/K65</f>
        <v>2.2867794144389886</v>
      </c>
      <c r="M65" s="98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98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98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98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10.06</v>
      </c>
      <c r="J69" s="5">
        <f t="shared" ref="J69" si="9">SUM(J65:J68)</f>
        <v>0.03</v>
      </c>
      <c r="K69" s="6"/>
      <c r="L69" s="8">
        <f t="shared" ref="L69" si="10">SUM(L65:L68)</f>
        <v>2.2867794144389886</v>
      </c>
      <c r="M69" s="99"/>
      <c r="N69" s="3" t="s">
        <v>2</v>
      </c>
      <c r="O69" s="5">
        <f>SUM(O65:O68)</f>
        <v>0</v>
      </c>
      <c r="P69" s="1"/>
    </row>
    <row r="70" spans="1:16" ht="15" customHeight="1" x14ac:dyDescent="0.25"/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97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98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>
        <v>45967</v>
      </c>
      <c r="I75" s="6">
        <v>10.34</v>
      </c>
      <c r="J75" s="5">
        <v>0.03</v>
      </c>
      <c r="K75" s="8">
        <v>5.7930000000000001</v>
      </c>
      <c r="L75" s="8">
        <f>I75/K75</f>
        <v>1.7849128258242706</v>
      </c>
      <c r="M75" s="98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98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98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98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10.34</v>
      </c>
      <c r="J79" s="5">
        <f t="shared" ref="J79" si="11">SUM(J75:J78)</f>
        <v>0.03</v>
      </c>
      <c r="K79" s="6"/>
      <c r="L79" s="8">
        <f t="shared" ref="L79" si="12">SUM(L75:L78)</f>
        <v>1.7849128258242706</v>
      </c>
      <c r="M79" s="99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1" spans="1:15" ht="15" customHeight="1" x14ac:dyDescent="0.25"/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97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98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>
        <v>45971</v>
      </c>
      <c r="I85" s="6">
        <v>10.27</v>
      </c>
      <c r="J85" s="5">
        <v>0.03</v>
      </c>
      <c r="K85" s="8">
        <v>54.051000000000002</v>
      </c>
      <c r="L85" s="8">
        <f>I85/K85</f>
        <v>0.1900057353240458</v>
      </c>
      <c r="M85" s="98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98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98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98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10.27</v>
      </c>
      <c r="J89" s="5">
        <f t="shared" ref="J89" si="13">SUM(J85:J88)</f>
        <v>0.03</v>
      </c>
      <c r="K89" s="6"/>
      <c r="L89" s="30">
        <f t="shared" ref="L89" si="14">SUM(L85:L88)</f>
        <v>0.1900057353240458</v>
      </c>
      <c r="M89" s="99"/>
      <c r="N89" s="3" t="s">
        <v>2</v>
      </c>
      <c r="O89" s="5">
        <f>SUM(O85:O88)</f>
        <v>0</v>
      </c>
    </row>
    <row r="90" spans="1:15" ht="15" customHeight="1" x14ac:dyDescent="0.25"/>
    <row r="91" spans="1:15" ht="15" customHeight="1" x14ac:dyDescent="0.25"/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97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98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>
        <v>45967</v>
      </c>
      <c r="I95" s="6">
        <v>10.81</v>
      </c>
      <c r="J95" s="5">
        <v>0.03</v>
      </c>
      <c r="K95" s="8">
        <v>7.5529999999999999</v>
      </c>
      <c r="L95" s="8">
        <f>I95/K95</f>
        <v>1.431219383026612</v>
      </c>
      <c r="M95" s="98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98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98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98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10.81</v>
      </c>
      <c r="J99" s="5">
        <f t="shared" ref="J99" si="15">SUM(J95:J98)</f>
        <v>0.03</v>
      </c>
      <c r="K99" s="6"/>
      <c r="L99" s="8">
        <f t="shared" ref="L99" si="16">SUM(L95:L98)</f>
        <v>1.431219383026612</v>
      </c>
      <c r="M99" s="99"/>
      <c r="N99" s="3" t="s">
        <v>2</v>
      </c>
      <c r="O99" s="5">
        <f>SUM(O95:O98)</f>
        <v>0</v>
      </c>
    </row>
    <row r="100" spans="1:15" ht="15" customHeight="1" x14ac:dyDescent="0.25"/>
    <row r="101" spans="1:15" ht="15" customHeight="1" x14ac:dyDescent="0.25"/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>
        <v>45967</v>
      </c>
      <c r="I105" s="6">
        <v>10.119999999999999</v>
      </c>
      <c r="J105" s="5">
        <v>0.03</v>
      </c>
      <c r="K105" s="8">
        <v>53.811999999999998</v>
      </c>
      <c r="L105" s="8">
        <f>I105/K105</f>
        <v>0.18806214227309892</v>
      </c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10.119999999999999</v>
      </c>
      <c r="J109" s="5">
        <f t="shared" ref="J109" si="17">SUM(J105:J108)</f>
        <v>0.03</v>
      </c>
      <c r="K109" s="6"/>
      <c r="L109" s="8">
        <f t="shared" ref="L109" si="18">SUM(L105:L108)</f>
        <v>0.18806214227309892</v>
      </c>
      <c r="M109" s="35"/>
      <c r="N109" s="3" t="s">
        <v>2</v>
      </c>
      <c r="O109" s="5">
        <f>SUM(O105:O108)</f>
        <v>0</v>
      </c>
    </row>
    <row r="110" spans="1:15" ht="15" customHeight="1" x14ac:dyDescent="0.25"/>
    <row r="111" spans="1:15" ht="15" customHeight="1" x14ac:dyDescent="0.25"/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97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98"/>
      <c r="N114" s="25" t="s">
        <v>48</v>
      </c>
      <c r="O114" s="3" t="s">
        <v>43</v>
      </c>
    </row>
    <row r="115" spans="1:15" ht="15" customHeight="1" x14ac:dyDescent="0.25">
      <c r="A115" s="39"/>
      <c r="B115" s="14"/>
      <c r="C115" s="5"/>
      <c r="D115" s="5"/>
      <c r="E115" s="15"/>
      <c r="F115" s="16"/>
      <c r="G115" s="82"/>
      <c r="H115" s="31">
        <v>45974</v>
      </c>
      <c r="I115" s="6">
        <v>32.880000000000003</v>
      </c>
      <c r="J115" s="5">
        <v>0.08</v>
      </c>
      <c r="K115" s="8">
        <v>14.472</v>
      </c>
      <c r="L115" s="8">
        <f>I115/K115</f>
        <v>2.2719734660033168</v>
      </c>
      <c r="M115" s="98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98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98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98"/>
      <c r="N118" s="34"/>
      <c r="O118" s="2"/>
    </row>
    <row r="119" spans="1:15" ht="15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32.880000000000003</v>
      </c>
      <c r="J119" s="5">
        <f t="shared" ref="J119" si="19">SUM(J115:J118)</f>
        <v>0.08</v>
      </c>
      <c r="K119" s="6"/>
      <c r="L119" s="8">
        <f t="shared" ref="L119" si="20">SUM(L115:L118)</f>
        <v>2.2719734660033168</v>
      </c>
      <c r="M119" s="99"/>
      <c r="N119" s="3" t="s">
        <v>2</v>
      </c>
      <c r="O119" s="5">
        <f>SUM(O115:O118)</f>
        <v>0</v>
      </c>
    </row>
    <row r="120" spans="1:15" ht="15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97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98"/>
      <c r="N124" s="25" t="s">
        <v>48</v>
      </c>
      <c r="O124" s="3" t="s">
        <v>43</v>
      </c>
    </row>
    <row r="125" spans="1:15" ht="15" customHeight="1" x14ac:dyDescent="0.25">
      <c r="A125" s="43">
        <v>45982</v>
      </c>
      <c r="B125" s="14">
        <v>186.14</v>
      </c>
      <c r="C125" s="5">
        <f>B125-D125</f>
        <v>185.67999999999998</v>
      </c>
      <c r="D125" s="5">
        <v>0.46</v>
      </c>
      <c r="E125" s="15">
        <v>10.894</v>
      </c>
      <c r="F125" s="16">
        <f>C125/E125</f>
        <v>17.044244538277947</v>
      </c>
      <c r="G125" s="82"/>
      <c r="H125" s="31"/>
      <c r="I125" s="6"/>
      <c r="J125" s="5"/>
      <c r="K125" s="5"/>
      <c r="L125" s="6"/>
      <c r="M125" s="98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98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98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98"/>
      <c r="N128" s="34"/>
      <c r="O128" s="2"/>
    </row>
    <row r="129" spans="1:15" ht="15" customHeight="1" x14ac:dyDescent="0.25">
      <c r="A129" s="3" t="s">
        <v>2</v>
      </c>
      <c r="B129" s="5">
        <f>SUM(B125:B128)</f>
        <v>186.14</v>
      </c>
      <c r="C129" s="5">
        <f>SUM(C125:C128)</f>
        <v>185.67999999999998</v>
      </c>
      <c r="D129" s="5">
        <f>SUM(D125:D128)</f>
        <v>0.46</v>
      </c>
      <c r="E129" s="6">
        <f>IF(B129&gt;0,SUMPRODUCT(E125:E128,F125:F128)/SUM(F125:F128),"0.00")</f>
        <v>10.894</v>
      </c>
      <c r="F129" s="8">
        <f>SUM(F125:F128)</f>
        <v>17.044244538277947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99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97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98"/>
      <c r="N134" s="25" t="s">
        <v>48</v>
      </c>
      <c r="O134" s="3" t="s">
        <v>43</v>
      </c>
    </row>
    <row r="135" spans="1:15" ht="15" customHeight="1" x14ac:dyDescent="0.25">
      <c r="A135" s="43">
        <v>45989</v>
      </c>
      <c r="B135" s="14">
        <v>9.92</v>
      </c>
      <c r="C135" s="5">
        <f>B135-D135</f>
        <v>9.9</v>
      </c>
      <c r="D135" s="5">
        <v>0.02</v>
      </c>
      <c r="E135" s="15">
        <v>49.755000000000003</v>
      </c>
      <c r="F135" s="16">
        <f>C135/E135</f>
        <v>0.19897497738920711</v>
      </c>
      <c r="G135" s="82"/>
      <c r="H135" s="31"/>
      <c r="I135" s="6"/>
      <c r="J135" s="5"/>
      <c r="K135" s="5"/>
      <c r="L135" s="6"/>
      <c r="M135" s="98"/>
      <c r="N135" s="32"/>
      <c r="O135" s="5"/>
    </row>
    <row r="136" spans="1:15" ht="15" customHeight="1" x14ac:dyDescent="0.25">
      <c r="A136" s="43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98"/>
      <c r="N136" s="34"/>
      <c r="O136" s="2"/>
    </row>
    <row r="137" spans="1:15" ht="15" customHeight="1" x14ac:dyDescent="0.3">
      <c r="A137" s="42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98"/>
      <c r="N137" s="34"/>
      <c r="O137" s="2"/>
    </row>
    <row r="138" spans="1:15" ht="15" customHeight="1" x14ac:dyDescent="0.3">
      <c r="A138" s="42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98"/>
      <c r="N138" s="34"/>
      <c r="O138" s="2"/>
    </row>
    <row r="139" spans="1:15" ht="15" customHeight="1" x14ac:dyDescent="0.25">
      <c r="A139" s="3" t="s">
        <v>2</v>
      </c>
      <c r="B139" s="5">
        <f>SUM(B135:B138)</f>
        <v>9.92</v>
      </c>
      <c r="C139" s="5">
        <f>SUM(C135:C138)</f>
        <v>9.9</v>
      </c>
      <c r="D139" s="5">
        <f>SUM(D135:D138)</f>
        <v>0.02</v>
      </c>
      <c r="E139" s="6">
        <f>IF(B139&gt;0,SUMPRODUCT(E135:E138,F135:F138)/SUM(F135:F138),"0.00")</f>
        <v>49.755000000000003</v>
      </c>
      <c r="F139" s="8">
        <f>SUM(F135:F138)</f>
        <v>0.19897497738920711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99"/>
      <c r="N139" s="3" t="s">
        <v>2</v>
      </c>
      <c r="O139" s="5">
        <f>SUM(O135:O138)</f>
        <v>0</v>
      </c>
    </row>
    <row r="140" spans="1:15" ht="15" customHeight="1" x14ac:dyDescent="0.25"/>
  </sheetData>
  <mergeCells count="79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62:O62"/>
    <mergeCell ref="A63:F63"/>
    <mergeCell ref="G63:G69"/>
    <mergeCell ref="H63:L63"/>
    <mergeCell ref="N63:O63"/>
    <mergeCell ref="M63:M69"/>
    <mergeCell ref="A72:O72"/>
    <mergeCell ref="A73:F73"/>
    <mergeCell ref="G73:G79"/>
    <mergeCell ref="H73:L73"/>
    <mergeCell ref="N73:O73"/>
    <mergeCell ref="M73:M79"/>
    <mergeCell ref="A82:O82"/>
    <mergeCell ref="A83:F83"/>
    <mergeCell ref="G83:G89"/>
    <mergeCell ref="H83:L83"/>
    <mergeCell ref="N83:O83"/>
    <mergeCell ref="M83:M89"/>
    <mergeCell ref="A92:O92"/>
    <mergeCell ref="A93:F93"/>
    <mergeCell ref="G93:G99"/>
    <mergeCell ref="H93:L93"/>
    <mergeCell ref="N93:O93"/>
    <mergeCell ref="M93:M99"/>
    <mergeCell ref="A102:O102"/>
    <mergeCell ref="A103:F103"/>
    <mergeCell ref="G103:G109"/>
    <mergeCell ref="H103:L103"/>
    <mergeCell ref="N103:O103"/>
    <mergeCell ref="A112:O112"/>
    <mergeCell ref="A113:F113"/>
    <mergeCell ref="G113:G119"/>
    <mergeCell ref="H113:L113"/>
    <mergeCell ref="N113:O113"/>
    <mergeCell ref="M113:M119"/>
    <mergeCell ref="A122:O122"/>
    <mergeCell ref="A123:F123"/>
    <mergeCell ref="G123:G129"/>
    <mergeCell ref="H123:L123"/>
    <mergeCell ref="N123:O123"/>
    <mergeCell ref="M123:M129"/>
    <mergeCell ref="A132:O132"/>
    <mergeCell ref="A133:F133"/>
    <mergeCell ref="G133:G139"/>
    <mergeCell ref="H133:L133"/>
    <mergeCell ref="N133:O133"/>
    <mergeCell ref="M133:M139"/>
  </mergeCells>
  <hyperlinks>
    <hyperlink ref="A132:O132" location="XNAS!A1" display="XNAS GY Xtrackers NASDAQ 100 UCITS" xr:uid="{1CC9A8FA-310B-4FA3-A36F-F0367DEE22F8}"/>
    <hyperlink ref="A122:O122" location="WEBN!A1" display="WEBN GY Amundi Prime All Country World" xr:uid="{122F1BB1-4EBF-446D-B446-C28711BFD390}"/>
    <hyperlink ref="A112:O112" location="SPYL!A1" display="SPYL GY SPDR S|P 500 UCITS" xr:uid="{DD736444-FA4F-42EB-A5FA-07FE36A44F98}"/>
    <hyperlink ref="A102:O102" location="'ECR3'!A1" display="ECR3 GY Amundi EUR Corporate Bond 0-3Y" xr:uid="{B9BB072F-7576-4935-9873-6CAAC266012B}"/>
    <hyperlink ref="A92:O92" location="IUSN!A1" display="IUSN GY iShares MSCI World Small Cap" xr:uid="{5FD861A1-B812-4F14-839A-C0E0FD53D85F}"/>
    <hyperlink ref="A82:O82" location="ECRP!A1" display="ECRP FP Amundi EUR Corporate Bond" xr:uid="{161FAD1B-B765-4AC7-9BA2-282BC500CE8D}"/>
    <hyperlink ref="A72:O72" location="'AYE2'!A1" display="AYE2 GY iShares EUR High Yield Corp Bond" xr:uid="{5163E6EB-C94E-4152-A9F5-48024EE0721A}"/>
    <hyperlink ref="A62:O62" location="SECA!A1" display="SECA GY iShares Euro Govt Bond Climate" xr:uid="{9A0FFD7E-3F72-4AAA-9709-E287EC5897A7}"/>
    <hyperlink ref="A52:O52" location="SLMG!A1" display="SLMG GY iShares JP Morgan ESG USD Bond" xr:uid="{BF35081D-F59A-43F4-B224-1D4EEB9B91D3}"/>
    <hyperlink ref="A42:O42" location="SGAJ!A1" display="SGAJ GY iShares MSCI Japan ESG Screened" xr:uid="{1B3FDFA7-3418-4916-AB69-1B68F3874538}"/>
    <hyperlink ref="A12:O12" location="SGAS!A1" display="SGAS GY iShares MSCI USA ESG Screened" xr:uid="{924CE9DA-7B23-4034-9FFA-77C1D8EC4520}"/>
    <hyperlink ref="A22:O22" location="SLMC!A1" display="SLMC GY iShares MSCI Europe ESG Screened" xr:uid="{71911725-44FF-453B-903C-265C92DE36E2}"/>
    <hyperlink ref="A32:O32" location="AYEM!A1" display="AYEM GY iShares MSCI EM IMI ESG Screened" xr:uid="{3343FDA8-290F-420D-BE72-2FF553A39FDF}"/>
  </hyperlinks>
  <pageMargins left="0.7" right="0.7" top="0.75" bottom="0.75" header="0.3" footer="0.3"/>
  <pageSetup orientation="portrait" r:id="rId1"/>
  <ignoredErrors>
    <ignoredError sqref="E129 E139 E119 E109 E99 E89 E79 E69 E59 E49 E39 E29 E19" formula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142"/>
  <sheetViews>
    <sheetView workbookViewId="0">
      <selection activeCell="A32" sqref="A32:O3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2025.1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0</v>
      </c>
      <c r="R5" s="5">
        <v>0</v>
      </c>
      <c r="S5" s="5">
        <f>(C19+C29+C39+C49+C59+C69+C79+C89+C99+C109+C119+C129+C139)-T5</f>
        <v>0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customHeight="1" x14ac:dyDescent="0.25"/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customHeight="1" x14ac:dyDescent="0.25"/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customHeight="1" x14ac:dyDescent="0.25"/>
    <row r="61" spans="1:16" ht="15" customHeight="1" x14ac:dyDescent="0.25"/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customHeight="1" x14ac:dyDescent="0.25"/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1" spans="1:15" ht="15" customHeight="1" x14ac:dyDescent="0.25"/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customHeight="1" x14ac:dyDescent="0.25"/>
    <row r="91" spans="1:15" ht="15" customHeight="1" x14ac:dyDescent="0.25"/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customHeight="1" x14ac:dyDescent="0.25"/>
    <row r="101" spans="1:15" ht="15" customHeight="1" x14ac:dyDescent="0.25"/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customHeight="1" x14ac:dyDescent="0.25"/>
    <row r="111" spans="1:15" ht="15" customHeight="1" x14ac:dyDescent="0.25"/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  <row r="141" spans="1:15" ht="15" customHeight="1" x14ac:dyDescent="0.25"/>
    <row r="142" spans="1:15" ht="15" customHeight="1" x14ac:dyDescent="0.25"/>
  </sheetData>
  <mergeCells count="7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</mergeCells>
  <hyperlinks>
    <hyperlink ref="A112:O112" location="SPYL!A1" display="SPYL GY SPDR S|P 500 UCITS" xr:uid="{002E158C-DC92-47DF-8C0A-F41C968A67C6}"/>
    <hyperlink ref="A122:O122" location="WEBN!A1" display="WEBN GY Amundi Prime All Country World" xr:uid="{CA7E4268-D60E-460E-A116-89291FD029F2}"/>
    <hyperlink ref="A132:O132" location="XNAS!A1" display="XNAS GY Xtrackers NASDAQ 100 UCITS" xr:uid="{D1B34B58-B14D-465F-AB46-AFCF45D4A0F5}"/>
    <hyperlink ref="A102:O102" location="'ECR3'!A1" display="ECR3 GY Amundi EUR Corporate Bond 0-3Y" xr:uid="{DD7A5707-996D-4C24-B5FC-CDD78D201237}"/>
    <hyperlink ref="A92:O92" location="IUSN!A1" display="IUSN GY iShares MSCI World Small Cap" xr:uid="{B2D90947-BADD-4138-A98E-B79774E9CF4C}"/>
    <hyperlink ref="A82:O82" location="ECRP!A1" display="ECRP FP Amundi EUR Corporate Bond" xr:uid="{782609C4-9A72-483A-8FDA-308EEEB5B3C5}"/>
    <hyperlink ref="A72:O72" location="'AYE2'!A1" display="AYE2 GY iShares EUR High Yield Corp Bond" xr:uid="{7F5DFB51-C026-48F8-84FE-7153A7A305D5}"/>
    <hyperlink ref="A62:O62" location="SECA!A1" display="SECA GY iShares Euro Govt Bond Climate" xr:uid="{405C4E36-2E4C-4E04-86FA-124155E95876}"/>
    <hyperlink ref="A52:O52" location="SLMG!A1" display="SLMG GY iShares JP Morgan ESG USD Bond" xr:uid="{C8766FC0-8938-4E6A-A15E-024417280A34}"/>
    <hyperlink ref="A42:O42" location="SGAJ!A1" display="SGAJ GY iShares MSCI Japan ESG Screened" xr:uid="{F9A73418-7D2F-4CF5-9210-92979C7C6B74}"/>
    <hyperlink ref="A12:O12" location="SGAS!A1" display="SGAS GY iShares MSCI USA ESG Screened" xr:uid="{455179D9-7B92-4840-95F3-E0D88FD44FA3}"/>
    <hyperlink ref="A22:O22" location="SLMC!A1" display="SLMC GY iShares MSCI Europe ESG Screened" xr:uid="{50DBA216-AFEC-4988-940D-B35308C78A25}"/>
    <hyperlink ref="A32:O32" location="AYEM!A1" display="AYEM GY iShares MSCI EM IMI ESG Screened" xr:uid="{CFAE8F1D-E026-4F32-B990-467E0341E9D3}"/>
  </hyperlinks>
  <pageMargins left="0.7" right="0.7" top="0.75" bottom="0.75" header="0.3" footer="0.3"/>
  <ignoredErrors>
    <ignoredError sqref="E129 E139 E119 E109 E99 E89 E79 E69 E59 E49 E39 E29 E19" formula="1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142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2025.09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0</v>
      </c>
      <c r="R5" s="5">
        <v>0</v>
      </c>
      <c r="S5" s="5">
        <f>(C19+C29+C39+C49+C59+C69+C79+C89+C99+C109+C119+C129+C139)-T5</f>
        <v>0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customHeight="1" x14ac:dyDescent="0.25"/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customHeight="1" x14ac:dyDescent="0.25"/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customHeight="1" x14ac:dyDescent="0.25"/>
    <row r="61" spans="1:16" ht="15" customHeight="1" x14ac:dyDescent="0.25"/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customHeight="1" x14ac:dyDescent="0.25"/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1" spans="1:15" ht="15" customHeight="1" x14ac:dyDescent="0.25"/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customHeight="1" x14ac:dyDescent="0.25"/>
    <row r="91" spans="1:15" ht="15" customHeight="1" x14ac:dyDescent="0.25"/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customHeight="1" x14ac:dyDescent="0.25"/>
    <row r="101" spans="1:15" ht="15" customHeight="1" x14ac:dyDescent="0.25"/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customHeight="1" x14ac:dyDescent="0.25"/>
    <row r="111" spans="1:15" ht="15" customHeight="1" x14ac:dyDescent="0.25"/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  <row r="141" spans="1:15" ht="15" customHeight="1" x14ac:dyDescent="0.25"/>
    <row r="142" spans="1:15" ht="15" customHeight="1" x14ac:dyDescent="0.25"/>
  </sheetData>
  <mergeCells count="7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</mergeCells>
  <hyperlinks>
    <hyperlink ref="A102:O102" location="'ECR3'!A1" display="ECR3 GY Amundi EUR Corporate Bond 0-3Y" xr:uid="{5F7F8358-74E8-423E-9E21-0E6C7C2067C9}"/>
    <hyperlink ref="A112:O112" location="SPYL!A1" display="SPYL GY SPDR S|P 500 UCITS" xr:uid="{4CF660AE-78AC-4EBF-B8F5-B796699291D6}"/>
    <hyperlink ref="A122:O122" location="WEBN!A1" display="WEBN GY Amundi Prime All Country World" xr:uid="{188BDFB3-59E5-4F50-9280-F25B3AA3226E}"/>
    <hyperlink ref="A132:O132" location="XNAS!A1" display="XNAS GY Xtrackers NASDAQ 100 UCITS" xr:uid="{10937357-2C0C-4083-A385-B7581C391C05}"/>
    <hyperlink ref="A92:O92" location="IUSN!A1" display="IUSN GY iShares MSCI World Small Cap" xr:uid="{9243452A-CB78-4C2F-A197-8AB0E48D8905}"/>
    <hyperlink ref="A82:O82" location="ECRP!A1" display="ECRP FP Amundi EUR Corporate Bond" xr:uid="{EA52D783-8932-448E-9693-26B1E415F1BD}"/>
    <hyperlink ref="A72:O72" location="'AYE2'!A1" display="AYE2 GY iShares EUR High Yield Corp Bond" xr:uid="{99D81AD8-DE79-412C-B129-6F8006066BEA}"/>
    <hyperlink ref="A62:O62" location="SECA!A1" display="SECA GY iShares Euro Govt Bond Climate" xr:uid="{40AE283C-3E14-4769-AEAC-3BA0C2EC6745}"/>
    <hyperlink ref="A52:O52" location="SLMG!A1" display="SLMG GY iShares JP Morgan ESG USD Bond" xr:uid="{0EEA7308-05D0-4AA2-B6B1-A516CFF2B992}"/>
    <hyperlink ref="A42:O42" location="SGAJ!A1" display="SGAJ GY iShares MSCI Japan ESG Screened" xr:uid="{AB29817B-2360-4193-902A-93AEEDFC2317}"/>
    <hyperlink ref="A32:O32" location="AYEM!A1" display="AYEM GY iShares MSCI EM IMI ESG Screened" xr:uid="{7C24064F-4CBA-46A8-B6D2-EBFB4F41B5EB}"/>
    <hyperlink ref="A22:O22" location="SLMC!A1" display="SLMC GY iShares MSCI Europe ESG Screened" xr:uid="{FB206B03-24A0-4BBE-8722-C9DEC5C3928B}"/>
    <hyperlink ref="A12:O12" location="SGAS!A1" display="SGAS GY iShares MSCI USA ESG Screened" xr:uid="{68A98C58-C933-4F91-847B-91DC0647FA43}"/>
  </hyperlinks>
  <pageMargins left="0.7" right="0.7" top="0.75" bottom="0.75" header="0.3" footer="0.3"/>
  <ignoredErrors>
    <ignoredError sqref="E129 E139 E119 E109 E99 E89 E79 E69 E59 E49 E39 E29 E19" formula="1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139"/>
  <sheetViews>
    <sheetView workbookViewId="0">
      <selection activeCell="Q20" sqref="Q20"/>
    </sheetView>
  </sheetViews>
  <sheetFormatPr defaultRowHeight="15" customHeight="1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ht="15" customHeight="1" x14ac:dyDescent="0.25">
      <c r="Q2" s="74">
        <v>2025.08</v>
      </c>
      <c r="R2" s="75"/>
      <c r="S2" s="75"/>
      <c r="T2" s="75"/>
      <c r="U2" s="75"/>
      <c r="V2" s="75"/>
      <c r="W2" s="75"/>
      <c r="X2" s="76"/>
    </row>
    <row r="3" spans="1:24" ht="15" customHeight="1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ht="15" customHeight="1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ht="15" customHeight="1" x14ac:dyDescent="0.25">
      <c r="Q5" s="5">
        <f>(B19+B29+B39+B49+B59+B69+B79+B89+B99+B109+B119+B129+B139)-T5</f>
        <v>0</v>
      </c>
      <c r="R5" s="5">
        <v>0</v>
      </c>
      <c r="S5" s="5">
        <f>(C19+C29+C39+C49+C59+C69+C79+C89+C99+C109+C119+C129+C139)-T5</f>
        <v>0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</sheetData>
  <mergeCells count="7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</mergeCells>
  <hyperlinks>
    <hyperlink ref="A112:O112" location="SPYL!A1" display="SPYL GY SPDR S|P 500 UCITS" xr:uid="{E0C0F8E8-7CAD-49FA-857F-3305C8565E0F}"/>
    <hyperlink ref="A132:O132" location="XNAS!A1" display="XNAS GY Xtrackers NASDAQ 100 UCITS" xr:uid="{33003BF7-CE8C-4CA2-9B29-437DF4FABBEC}"/>
    <hyperlink ref="A122:O122" location="WEBN!A1" display="WEBN GY Amundi Prime All Country World" xr:uid="{D392F0FD-4C0E-4DF0-94D7-9BC5E01D7C99}"/>
    <hyperlink ref="A102:O102" location="'ECR3'!A1" display="ECR3 GY Amundi EUR Corporate Bond 0-3Y" xr:uid="{983EF76B-8D3D-4AF7-B180-C6B06D2A4331}"/>
    <hyperlink ref="A92:O92" location="IUSN!A1" display="IUSN GY iShares MSCI World Small Cap" xr:uid="{495F7520-0C8C-4C34-A4A8-096F36475799}"/>
    <hyperlink ref="A82:O82" location="ECRP!A1" display="ECRP FP Amundi EUR Corporate Bond" xr:uid="{2F3F65A4-310F-4722-803E-8FA21E2D161E}"/>
    <hyperlink ref="A62:O62" location="SECA!A1" display="SECA GY iShares Euro Govt Bond Climate" xr:uid="{372E0C41-FFA2-4DDA-8753-D644B02ECD0C}"/>
    <hyperlink ref="A72:O72" location="'AYE2'!A1" display="AYE2 GY iShares EUR High Yield Corp Bond" xr:uid="{E786202E-E2A5-4A41-B12F-985FBA176588}"/>
    <hyperlink ref="A52:O52" location="SLMG!A1" display="SLMG GY iShares JP Morgan ESG USD Bond" xr:uid="{A9F7D255-3D26-475F-82CB-0E5A7BFA0DF2}"/>
    <hyperlink ref="A42:O42" location="SGAJ!A1" display="SGAJ GY iShares MSCI Japan ESG Screened" xr:uid="{755E34A2-FCD2-452C-98CA-C04188636DE7}"/>
    <hyperlink ref="A32:O32" location="AYEM!A1" display="AYEM GY iShares MSCI EM IMI ESG Screened" xr:uid="{19470A84-BBE5-4C67-A45F-315C70F8D6DD}"/>
    <hyperlink ref="A12:O12" location="SGAS!A1" display="SGAS GY iShares MSCI USA ESG Screened" xr:uid="{62AC4B8D-1F45-471C-81CD-548914204293}"/>
    <hyperlink ref="A22:O22" location="SLMC!A1" display="SLMC GY iShares MSCI Europe ESG Screened" xr:uid="{7CD56EFD-F431-489E-99CA-A0D10BCAD62F}"/>
  </hyperlinks>
  <pageMargins left="0.7" right="0.7" top="0.75" bottom="0.75" header="0.3" footer="0.3"/>
  <ignoredErrors>
    <ignoredError sqref="E129 E139 E119 E109 E99 E89 E79 E69 E59 E49 E39 E29 E19" formula="1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139"/>
  <sheetViews>
    <sheetView topLeftCell="A91" workbookViewId="0">
      <selection activeCell="A112" sqref="A112:O112"/>
    </sheetView>
  </sheetViews>
  <sheetFormatPr defaultRowHeight="15" customHeight="1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ht="15" customHeight="1" x14ac:dyDescent="0.25">
      <c r="Q2" s="74">
        <v>2025.07</v>
      </c>
      <c r="R2" s="75"/>
      <c r="S2" s="75"/>
      <c r="T2" s="75"/>
      <c r="U2" s="75"/>
      <c r="V2" s="75"/>
      <c r="W2" s="75"/>
      <c r="X2" s="76"/>
    </row>
    <row r="3" spans="1:24" ht="15" customHeight="1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ht="15" customHeight="1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ht="15" customHeight="1" x14ac:dyDescent="0.25">
      <c r="Q5" s="5">
        <f>(B19+B29+B39+B49+B59+B69+B79+B89+B99+B109+B119+B129+B139)-T5</f>
        <v>9.98</v>
      </c>
      <c r="R5" s="5">
        <v>0</v>
      </c>
      <c r="S5" s="5">
        <f>(C19+C29+C39+C49+C59+C69+C79+C89+C99+C109+C119+C129+C139)-T5</f>
        <v>9.9600000000000009</v>
      </c>
      <c r="T5" s="5">
        <f>(I19+I29+I39+I49+I59+I69+I79+I89+I99+I109+I119+I129+I139)-W5</f>
        <v>0</v>
      </c>
      <c r="U5" s="5">
        <f>D19+D29+D39+D49+D59+D69+D79+D89+D99+D109+D119+D129+D139</f>
        <v>0.02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customHeight="1" x14ac:dyDescent="0.25">
      <c r="A115" s="43">
        <v>45849</v>
      </c>
      <c r="B115" s="14">
        <v>9.98</v>
      </c>
      <c r="C115" s="5">
        <v>9.9600000000000009</v>
      </c>
      <c r="D115" s="5">
        <v>0.02</v>
      </c>
      <c r="E115" s="15">
        <v>13.009</v>
      </c>
      <c r="F115" s="16">
        <f>C115/E115</f>
        <v>0.76562379890844801</v>
      </c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customHeight="1" x14ac:dyDescent="0.25">
      <c r="A119" s="3" t="s">
        <v>2</v>
      </c>
      <c r="B119" s="5">
        <f>SUM(B115:B118)</f>
        <v>9.98</v>
      </c>
      <c r="C119" s="5">
        <f>SUM(C115:C118)</f>
        <v>9.9600000000000009</v>
      </c>
      <c r="D119" s="5">
        <f>SUM(D115:D118)</f>
        <v>0.02</v>
      </c>
      <c r="E119" s="6">
        <f>IF(B119&gt;0,SUMPRODUCT(E115:E118,F115:F118)/SUM(F115:F118),"0.00")</f>
        <v>13.009</v>
      </c>
      <c r="F119" s="8">
        <f>SUM(F115:F118)</f>
        <v>0.76562379890844801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</sheetData>
  <mergeCells count="72"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32:O132" location="XNAS!A1" display="XNAS GY Xtrackers NASDAQ 100 UCITS" xr:uid="{947208A8-BE8A-4E8A-AE3D-485F36FA9AAA}"/>
    <hyperlink ref="A122:O122" location="WEBN!A1" display="WEBN GY Amundi Prime All Country World" xr:uid="{758750F4-2D29-4748-BC71-4F97451DC9FB}"/>
    <hyperlink ref="A112:O112" location="SPYL!A1" display="SPYL GY SPDR S|P 500 UCITS" xr:uid="{2B393830-FC2D-4AC0-8EC2-C242258FF9F3}"/>
    <hyperlink ref="A102:O102" location="'ECR3'!A1" display="ECR3 GY Amundi EUR Corporate Bond 0-3Y" xr:uid="{4485040C-7A27-4214-9889-8F3ED061156D}"/>
    <hyperlink ref="A92:O92" location="IUSN!A1" display="IUSN GY iShares MSCI World Small Cap" xr:uid="{1734F173-23E7-4C69-BDA0-5D5D804E820C}"/>
    <hyperlink ref="A82:O82" location="ECRP!A1" display="ECRP FP Amundi EUR Corporate Bond" xr:uid="{2EF1918B-34B5-484E-BA76-874E58BB444D}"/>
    <hyperlink ref="A72:O72" location="'AYE2'!A1" display="AYE2 GY iShares EUR High Yield Corp Bond" xr:uid="{A7D2F887-1ABA-4D46-A274-AC930A3E4CEC}"/>
    <hyperlink ref="A62:O62" location="SECA!A1" display="SECA GY iShares Euro Govt Bond Climate" xr:uid="{F8BD8EDE-9034-42AC-B05F-694AF6D6FD10}"/>
    <hyperlink ref="A52:O52" location="SLMG!A1" display="SLMG GY iShares JP Morgan ESG USD Bond" xr:uid="{D2F9FCFF-6AF6-454B-98E7-AB2507D4E91D}"/>
    <hyperlink ref="A42:O42" location="SGAJ!A1" display="SGAJ GY iShares MSCI Japan ESG Screened" xr:uid="{32E80B99-2D2E-4338-A49D-FFD609F560C2}"/>
    <hyperlink ref="A32:O32" location="AYEM!A1" display="AYEM GY iShares MSCI EM IMI ESG Screened" xr:uid="{EDA2B755-853C-48E5-B3EB-B1C9CBF5307B}"/>
    <hyperlink ref="A22:O22" location="SLMC!A1" display="SLMC GY iShares MSCI Europe ESG Screened" xr:uid="{3B0633D7-43F5-4DFF-9310-D172D99D00B5}"/>
    <hyperlink ref="A12:O12" location="SGAS!A1" display="SGAS GY iShares MSCI USA ESG Screened" xr:uid="{948B39F8-0F4A-4CA2-9ADE-42D7C6154998}"/>
  </hyperlinks>
  <pageMargins left="0.7" right="0.7" top="0.75" bottom="0.75" header="0.3" footer="0.3"/>
  <ignoredErrors>
    <ignoredError sqref="E129 E119 E139 E109 E99 E89 E59 E69 E79 E49 E39 E29 E19" formula="1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140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2025.06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0</v>
      </c>
      <c r="R5" s="5">
        <v>0</v>
      </c>
      <c r="S5" s="5">
        <f>(C19+C29+C39+C49+C59+C69+C79+C89+C99+C109+C119+C129+C139)-T5</f>
        <v>0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1" spans="1:24" ht="15" customHeight="1" x14ac:dyDescent="0.25"/>
    <row r="12" spans="1:24" ht="15" customHeight="1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t="15" customHeight="1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ht="15" customHeight="1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ht="15" customHeight="1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ht="15" customHeight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ht="15" customHeight="1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ht="15" customHeight="1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t="15" customHeight="1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ht="15" customHeight="1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ht="15" customHeight="1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ht="15" customHeight="1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0" spans="1:18" ht="15" customHeight="1" x14ac:dyDescent="0.25"/>
    <row r="31" spans="1:18" ht="15" customHeight="1" x14ac:dyDescent="0.25"/>
    <row r="32" spans="1:18" ht="15" customHeight="1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ht="15" customHeight="1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ht="15" customHeight="1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ht="15" customHeight="1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ht="15" customHeight="1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ht="15" customHeight="1" x14ac:dyDescent="0.25">
      <c r="A40" s="12"/>
    </row>
    <row r="41" spans="1:16" ht="15" customHeight="1" x14ac:dyDescent="0.25"/>
    <row r="42" spans="1:16" ht="15" customHeight="1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ht="15" customHeight="1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ht="15" customHeight="1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ht="15" customHeight="1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ht="15" customHeight="1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ht="15" customHeight="1" x14ac:dyDescent="0.25">
      <c r="A50" s="12"/>
    </row>
    <row r="51" spans="1:16" ht="15" customHeight="1" x14ac:dyDescent="0.25"/>
    <row r="52" spans="1:16" ht="15" customHeight="1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ht="15" customHeight="1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ht="15" customHeight="1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ht="15" customHeight="1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ht="15" customHeight="1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0" spans="1:16" ht="15" customHeight="1" x14ac:dyDescent="0.25"/>
    <row r="61" spans="1:16" ht="15" customHeight="1" x14ac:dyDescent="0.25"/>
    <row r="62" spans="1:16" ht="15" customHeight="1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ht="15" customHeight="1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ht="15" customHeight="1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ht="15" customHeight="1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ht="15" customHeight="1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0" spans="1:16" ht="15" customHeight="1" x14ac:dyDescent="0.25"/>
    <row r="71" spans="1:16" ht="15" customHeight="1" x14ac:dyDescent="0.25">
      <c r="A71" s="12"/>
    </row>
    <row r="72" spans="1:16" ht="15" customHeight="1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ht="15" customHeight="1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ht="15" customHeight="1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ht="15" customHeight="1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ht="15" customHeight="1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ht="15" customHeight="1" x14ac:dyDescent="0.25">
      <c r="A80" s="12"/>
    </row>
    <row r="81" spans="1:15" ht="15" customHeight="1" x14ac:dyDescent="0.25"/>
    <row r="82" spans="1:15" ht="15" customHeight="1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ht="15" customHeight="1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ht="15" customHeight="1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ht="15" customHeight="1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ht="15" customHeight="1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0" spans="1:15" ht="15" customHeight="1" x14ac:dyDescent="0.25"/>
    <row r="91" spans="1:15" ht="15" customHeight="1" x14ac:dyDescent="0.25"/>
    <row r="92" spans="1:15" ht="15" customHeight="1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ht="15" customHeight="1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ht="15" customHeight="1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ht="15" customHeight="1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ht="15" customHeight="1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0" spans="1:15" ht="15" customHeight="1" x14ac:dyDescent="0.25"/>
    <row r="101" spans="1:15" ht="15" customHeight="1" x14ac:dyDescent="0.25"/>
    <row r="102" spans="1:15" ht="15" customHeight="1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ht="15" customHeight="1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ht="15" customHeight="1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ht="15" customHeight="1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ht="15" customHeight="1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0" spans="1:15" ht="15" customHeight="1" x14ac:dyDescent="0.25"/>
    <row r="111" spans="1:15" ht="15" customHeight="1" x14ac:dyDescent="0.25"/>
    <row r="112" spans="1:15" ht="15" customHeight="1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ht="15" customHeight="1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ht="15" customHeight="1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ht="15" customHeight="1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ht="15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0" spans="1:15" ht="15" customHeight="1" x14ac:dyDescent="0.25"/>
    <row r="121" spans="1:15" ht="15" customHeight="1" x14ac:dyDescent="0.25"/>
    <row r="122" spans="1:15" ht="15" customHeight="1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ht="15" customHeight="1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ht="15" customHeight="1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ht="15" customHeight="1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ht="15" customHeight="1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0" spans="1:15" ht="15" customHeight="1" x14ac:dyDescent="0.25"/>
    <row r="131" spans="1:15" ht="15" customHeight="1" x14ac:dyDescent="0.25"/>
    <row r="132" spans="1:15" ht="15" customHeight="1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ht="15" customHeight="1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ht="15" customHeight="1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ht="15" customHeight="1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ht="15" customHeight="1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  <row r="140" spans="1:15" ht="15" customHeight="1" x14ac:dyDescent="0.25"/>
  </sheetData>
  <mergeCells count="72"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12:O112" location="SPYL!A1" display="SPYL GY SPDR S|P 500 UCITS" xr:uid="{2C981387-8BB7-4FD8-A891-FAD32DF3E834}"/>
    <hyperlink ref="A122:O122" location="WEBN!A1" display="WEBN GY Amundi Prime All Country World" xr:uid="{146215BE-0691-44DE-92B3-87F83038DD1A}"/>
    <hyperlink ref="A132:O132" location="XNAS!A1" display="XNAS GY Xtrackers NASDAQ 100 UCITS" xr:uid="{4697DFE8-3486-4F03-B701-0C119097FDC2}"/>
    <hyperlink ref="A102:O102" location="'ECR3'!A1" display="ECR3 GY Amundi EUR Corporate Bond 0-3Y" xr:uid="{52511919-3801-4939-A167-6E14B72A6E3B}"/>
    <hyperlink ref="A92:O92" location="IUSN!A1" display="IUSN GY iShares MSCI World Small Cap" xr:uid="{48F308BE-5BB3-4BEF-A836-00E832200391}"/>
    <hyperlink ref="A82:O82" location="ECRP!A1" display="ECRP FP Amundi EUR Corporate Bond" xr:uid="{DB17FACB-FF2B-4EA3-9986-D872AE0D1DAB}"/>
    <hyperlink ref="A52:O52" location="SLMG!A1" display="SLMG GY iShares JP Morgan ESG USD Bond" xr:uid="{2277ED6A-366C-433B-A59E-37FA27139ECF}"/>
    <hyperlink ref="A62:O62" location="SECA!A1" display="SECA GY iShares Euro Govt Bond Climate" xr:uid="{CDCCD29A-3EEB-4F90-AAB7-C363CC0F63BA}"/>
    <hyperlink ref="A72:O72" location="'AYE2'!A1" display="AYE2 GY iShares EUR High Yield Corp Bond" xr:uid="{07621696-D574-42BD-B323-7637D8872C85}"/>
    <hyperlink ref="A42:O42" location="SGAJ!A1" display="SGAJ GY iShares MSCI Japan ESG Screened" xr:uid="{4CB3CFFB-665F-4FC6-A032-B2A1CBEC63A6}"/>
    <hyperlink ref="A32:O32" location="AYEM!A1" display="AYEM GY iShares MSCI EM IMI ESG Screened" xr:uid="{DBDAB61E-ABF0-4E64-B632-25C53605BC93}"/>
    <hyperlink ref="A22:O22" location="SLMC!A1" display="SLMC GY iShares MSCI Europe ESG Screened" xr:uid="{7199E0DA-BB21-486C-96CF-78A9A2D19954}"/>
    <hyperlink ref="A12:O12" location="SGAS!A1" display="SGAS GY iShares MSCI USA ESG Screened" xr:uid="{2E20C6F6-3DA7-4AE4-AAAB-2BF17E3A5DF5}"/>
  </hyperlinks>
  <pageMargins left="0.7" right="0.7" top="0.75" bottom="0.75" header="0.3" footer="0.3"/>
  <ignoredErrors>
    <ignoredError sqref="E129 E119 E139 E89 E99 E109 E79 E69 E59 E49 E39 E29 E19" formula="1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139"/>
  <sheetViews>
    <sheetView topLeftCell="A106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2025.05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9.98</v>
      </c>
      <c r="R5" s="5">
        <v>0</v>
      </c>
      <c r="S5" s="5">
        <f>(C19+C29+C39+C49+C59+C69+C79+C89+C99+C109+C119+C129+C139)-T5</f>
        <v>9.9600000000000009</v>
      </c>
      <c r="T5" s="5">
        <f>(I19+I29+I39+I49+I59+I69+I79+I89+I99+I109+I119+I129+I139)-W5</f>
        <v>0</v>
      </c>
      <c r="U5" s="5">
        <f>D19+D29+D39+D49+D59+D69+D79+D89+D99+D109+D119+D129+D139</f>
        <v>1.9999999999999574E-2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x14ac:dyDescent="0.25">
      <c r="A71" s="12"/>
    </row>
    <row r="72" spans="1:16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x14ac:dyDescent="0.25">
      <c r="A80" s="12"/>
    </row>
    <row r="82" spans="1:15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2" spans="1:15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2" spans="1:15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2" spans="1:15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2" spans="1:15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x14ac:dyDescent="0.25">
      <c r="A125" s="56">
        <v>45783</v>
      </c>
      <c r="B125" s="14">
        <v>9.98</v>
      </c>
      <c r="C125" s="5">
        <v>9.9600000000000009</v>
      </c>
      <c r="D125" s="5">
        <f>B125-C125</f>
        <v>1.9999999999999574E-2</v>
      </c>
      <c r="E125" s="15">
        <v>10.003299999999999</v>
      </c>
      <c r="F125" s="16">
        <f>C125/E125</f>
        <v>0.99567142842861867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43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2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2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x14ac:dyDescent="0.25">
      <c r="A129" s="3" t="s">
        <v>2</v>
      </c>
      <c r="B129" s="5">
        <f>SUM(B125:B128)</f>
        <v>9.98</v>
      </c>
      <c r="C129" s="5">
        <f>SUM(C125:C128)</f>
        <v>9.9600000000000009</v>
      </c>
      <c r="D129" s="5">
        <f>SUM(D125:D128)</f>
        <v>1.9999999999999574E-2</v>
      </c>
      <c r="E129" s="6">
        <f>IF(B129&gt;0,SUMPRODUCT(E125:E128,F125:F128)/SUM(F125:F128),"0.00")</f>
        <v>10.003299999999999</v>
      </c>
      <c r="F129" s="8">
        <f>SUM(F125:F128)</f>
        <v>0.99567142842861867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2" spans="1:15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</sheetData>
  <mergeCells count="72"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02:O102" location="'ECR3'!A1" display="ECR3 GY Amundi EUR Corporate Bond 0-3Y" xr:uid="{E74CE7B7-4426-41C1-973B-4A0FF2628B02}"/>
    <hyperlink ref="A92:O92" location="IUSN!A1" display="IUSN GY iShares MSCI World Small Cap" xr:uid="{108682DC-CC5A-400B-BDFE-37428276D668}"/>
    <hyperlink ref="A82:O82" location="ECRP!A1" display="ECRP FP Amundi EUR Corporate Bond" xr:uid="{D59D98CF-C316-4733-B8DC-3F413A96BCAF}"/>
    <hyperlink ref="A62:O62" location="SECA!A1" display="SECA GY iShares Euro Govt Bond Climate" xr:uid="{D460BE7D-6913-495A-99F9-B9340D56427F}"/>
    <hyperlink ref="A72:O72" location="'AYE2'!A1" display="AYE2 GY iShares EUR High Yield Corp Bond" xr:uid="{1F821E05-6394-4297-BF93-E8EE5DF100C0}"/>
    <hyperlink ref="A52:O52" location="SLMG!A1" display="SLMG GY iShares JP Morgan ESG USD Bond" xr:uid="{F2743756-D88C-40C5-BA9B-F9DCCB36726F}"/>
    <hyperlink ref="A42:O42" location="SGAJ!A1" display="SGAJ GY iShares MSCI Japan ESG Screened" xr:uid="{21B0CD81-442D-4126-AEBE-556497886547}"/>
    <hyperlink ref="A22:O22" location="SLMC!A1" display="SLMC GY iShares MSCI Europe ESG Screened" xr:uid="{C17C5FDF-7E4B-4AF9-B9E7-AA9D13E7CEA1}"/>
    <hyperlink ref="A32:O32" location="AYEM!A1" display="AYEM GY iShares MSCI EM IMI ESG Screened" xr:uid="{201D4358-3B25-494B-9526-2A8F210E5269}"/>
    <hyperlink ref="A12:O12" location="SGAS!A1" display="SGAS GY iShares MSCI USA ESG Screened" xr:uid="{4652BD21-6A9F-4352-9D4C-09A885C337DA}"/>
    <hyperlink ref="A112:O112" location="SPYL!A1" display="SPYL GY SPDR S|P 500 UCITS" xr:uid="{6CC6A3EB-8249-40CD-B81A-494350E0EFB3}"/>
    <hyperlink ref="A122:O122" location="WEBN!A1" display="WEBN GY Amundi Prime All Country World" xr:uid="{BC2E432A-58D0-4421-A6F7-269473B7D775}"/>
    <hyperlink ref="A132:O132" location="XNAS!A1" display="XNAS GY Xtrackers NASDAQ 100 UCITS" xr:uid="{E9B15337-6C96-4CF8-81DE-52506A5D8E78}"/>
  </hyperlinks>
  <pageMargins left="0.7" right="0.7" top="0.75" bottom="0.75" header="0.3" footer="0.3"/>
  <ignoredErrors>
    <ignoredError sqref="E129 E109 E89 E99 E79 E69 E59 E49 E39 E29 E19 E139 E119" formula="1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139"/>
  <sheetViews>
    <sheetView topLeftCell="A100" workbookViewId="0">
      <selection activeCell="A122" sqref="A122:O12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2025.04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0</v>
      </c>
      <c r="R5" s="5">
        <v>0</v>
      </c>
      <c r="S5" s="5">
        <f>(C19+C29+C39+C49+C59+C69+C79+C89+C99+C109+C119+C129+C139)-T5</f>
        <v>0</v>
      </c>
      <c r="T5" s="5">
        <f>(I19+I29+I39+I49+I59+I69+I79+I89+I99+I109+I119+I129+I139)-W5</f>
        <v>0</v>
      </c>
      <c r="U5" s="5">
        <f>D19+D29+D39+D49+D59+D69+D79+D89+D99+D109+D119+D129+D139</f>
        <v>0</v>
      </c>
      <c r="V5" s="5">
        <v>0.02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x14ac:dyDescent="0.25">
      <c r="A71" s="12"/>
    </row>
    <row r="72" spans="1:16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x14ac:dyDescent="0.25">
      <c r="A80" s="12"/>
    </row>
    <row r="82" spans="1:15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x14ac:dyDescent="0.25">
      <c r="A85" s="39"/>
      <c r="B85" s="14"/>
      <c r="C85" s="5"/>
      <c r="D85" s="5"/>
      <c r="E85" s="15"/>
      <c r="F85" s="16"/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x14ac:dyDescent="0.25">
      <c r="A89" s="3" t="s">
        <v>2</v>
      </c>
      <c r="B89" s="5">
        <f>SUM(B85:B88)</f>
        <v>0</v>
      </c>
      <c r="C89" s="5">
        <f>SUM(C85:C88)</f>
        <v>0</v>
      </c>
      <c r="D89" s="5">
        <f>SUM(D85:D88)</f>
        <v>0</v>
      </c>
      <c r="E89" s="6" t="str">
        <f>IF(B89&gt;0,SUMPRODUCT(E85:E88,F85:F88)/SUM(F85:F88),"0.00")</f>
        <v>0.00</v>
      </c>
      <c r="F89" s="8">
        <f>SUM(F85:F88)</f>
        <v>0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2" spans="1:15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x14ac:dyDescent="0.25">
      <c r="A95" s="39"/>
      <c r="B95" s="14"/>
      <c r="C95" s="5"/>
      <c r="D95" s="5"/>
      <c r="E95" s="15"/>
      <c r="F95" s="16"/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x14ac:dyDescent="0.25">
      <c r="A99" s="3" t="s">
        <v>2</v>
      </c>
      <c r="B99" s="5">
        <f>SUM(B95:B98)</f>
        <v>0</v>
      </c>
      <c r="C99" s="5">
        <f>SUM(C95:C98)</f>
        <v>0</v>
      </c>
      <c r="D99" s="5">
        <f>SUM(D95:D98)</f>
        <v>0</v>
      </c>
      <c r="E99" s="6" t="str">
        <f>IF(B99&gt;0,SUMPRODUCT(E95:E98,F95:F98)/SUM(F95:F98),"0.00")</f>
        <v>0.00</v>
      </c>
      <c r="F99" s="8">
        <f>SUM(F95:F98)</f>
        <v>0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2" spans="1:15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x14ac:dyDescent="0.25">
      <c r="A105" s="39"/>
      <c r="B105" s="14"/>
      <c r="C105" s="5"/>
      <c r="D105" s="5"/>
      <c r="E105" s="15"/>
      <c r="F105" s="16"/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x14ac:dyDescent="0.25">
      <c r="A109" s="3" t="s">
        <v>2</v>
      </c>
      <c r="B109" s="5">
        <f>SUM(B105:B108)</f>
        <v>0</v>
      </c>
      <c r="C109" s="5">
        <f>SUM(C105:C108)</f>
        <v>0</v>
      </c>
      <c r="D109" s="5">
        <f>SUM(D105:D108)</f>
        <v>0</v>
      </c>
      <c r="E109" s="6" t="str">
        <f>IF(B109&gt;0,SUMPRODUCT(E105:E108,F105:F108)/SUM(F105:F108),"0.00")</f>
        <v>0.00</v>
      </c>
      <c r="F109" s="8">
        <f>SUM(F105:F108)</f>
        <v>0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2" spans="1:15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x14ac:dyDescent="0.25">
      <c r="A115" s="39"/>
      <c r="B115" s="14"/>
      <c r="C115" s="5"/>
      <c r="D115" s="5"/>
      <c r="E115" s="15"/>
      <c r="F115" s="16"/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39"/>
      <c r="B116" s="5"/>
      <c r="C116" s="6"/>
      <c r="D116" s="5"/>
      <c r="E116" s="7"/>
      <c r="F116" s="16"/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 t="str">
        <f>IF(B119&gt;0,SUMPRODUCT(E115:E118,F115:F118)/SUM(F115:F118),"0.00")</f>
        <v>0.00</v>
      </c>
      <c r="F119" s="8">
        <f>SUM(F115:F118)</f>
        <v>0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2" spans="1:15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x14ac:dyDescent="0.25">
      <c r="A125" s="39"/>
      <c r="B125" s="14"/>
      <c r="C125" s="5"/>
      <c r="D125" s="5"/>
      <c r="E125" s="15"/>
      <c r="F125" s="16"/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39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4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4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x14ac:dyDescent="0.25">
      <c r="A129" s="3" t="s">
        <v>2</v>
      </c>
      <c r="B129" s="5">
        <f>SUM(B125:B128)</f>
        <v>0</v>
      </c>
      <c r="C129" s="5">
        <f>SUM(C125:C128)</f>
        <v>0</v>
      </c>
      <c r="D129" s="5">
        <f>SUM(D125:D128)</f>
        <v>0</v>
      </c>
      <c r="E129" s="6" t="str">
        <f>IF(B129&gt;0,SUMPRODUCT(E125:E128,F125:F128)/SUM(F125:F128),"0.00")</f>
        <v>0.00</v>
      </c>
      <c r="F129" s="8">
        <f>SUM(F125:F128)</f>
        <v>0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2" spans="1:15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x14ac:dyDescent="0.25">
      <c r="A135" s="39"/>
      <c r="B135" s="14"/>
      <c r="C135" s="5"/>
      <c r="D135" s="5"/>
      <c r="E135" s="15"/>
      <c r="F135" s="16"/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39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4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4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x14ac:dyDescent="0.25">
      <c r="A139" s="3" t="s">
        <v>2</v>
      </c>
      <c r="B139" s="5">
        <f>SUM(B135:B138)</f>
        <v>0</v>
      </c>
      <c r="C139" s="5">
        <f>SUM(C135:C138)</f>
        <v>0</v>
      </c>
      <c r="D139" s="5">
        <f>SUM(D135:D138)</f>
        <v>0</v>
      </c>
      <c r="E139" s="6" t="str">
        <f>IF(B139&gt;0,SUMPRODUCT(E135:E138,F135:F138)/SUM(F135:F138),"0.00")</f>
        <v>0.00</v>
      </c>
      <c r="F139" s="8">
        <f>SUM(F135:F138)</f>
        <v>0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</sheetData>
  <mergeCells count="72"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32:O132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92:O92" location="IUSN!A1" display="IUSN GY iShares MSCI World Small Cap" xr:uid="{E44B56EF-63E0-4CA6-9B90-F03B50A3447D}"/>
    <hyperlink ref="A82:O82" location="ECRP!A1" display="ECRP FP Amundi EUR Corporate Bond" xr:uid="{6666CEAC-2748-48E6-BE33-D1AF7EB66290}"/>
    <hyperlink ref="A72:O72" location="'AYE2'!A1" display="AYE2 GY iShares EUR High Yield Corp Bond" xr:uid="{7CBE6525-C233-4D26-A5E8-69C6DF923F2F}"/>
    <hyperlink ref="A62:O62" location="SECA!A1" display="SECA GY iShares Euro Govt Bond Climate" xr:uid="{0DFC6A13-C37E-4185-8C14-F02DC8EA0A4F}"/>
    <hyperlink ref="A32:O32" location="AYEM!A1" display="AYEM GY iShares MSCI EM IMI ESG Screened" xr:uid="{4FF07086-710F-4025-8D56-F96F89EDCAD5}"/>
    <hyperlink ref="A42:O42" location="SGAJ!A1" display="SGAJ GY iShares MSCI Japan ESG Screened" xr:uid="{56476ED3-68E9-42D3-AF12-FB63685BA24D}"/>
    <hyperlink ref="A52:O52" location="SLMG!A1" display="SLMG GY iShares JP Morgan ESG USD Bond" xr:uid="{B00C799A-6026-4D49-A3EE-9409855D7F82}"/>
    <hyperlink ref="A12:O12" location="SGAS!A1" display="SGAS GY iShares MSCI USA ESG Screened" xr:uid="{2A06B428-00F2-454C-8FCD-C6FC4D0D952A}"/>
    <hyperlink ref="A22:O22" location="SLMC!A1" display="SLMC GY iShares MSCI Europe ESG Screened" xr:uid="{D4768798-8B63-4CA8-A4D5-0C5D4A1EC157}"/>
    <hyperlink ref="A102:O102" location="'ECR3'!A1" display="ECR3 GY Amundi EUR Corporate Bond 0-3Y" xr:uid="{0C1679FA-FA27-4DB7-B735-7C1F94EA1C02}"/>
    <hyperlink ref="A112:O112" location="SPYL!A1" display="SPYL GY SPDR S|P 500 UCITS" xr:uid="{634EE2D4-A9CE-41E8-AF99-FF83D38327C3}"/>
    <hyperlink ref="A122:O122" location="WEBN!A1" display="WEBN GY Amundi Prime All Country World" xr:uid="{02F3BB67-2C6C-4C99-B97E-A0984A0C6167}"/>
    <hyperlink ref="A132:O132" location="XNAS!A1" display="XNAS GY Xtrackers NASDAQ 100 UCITS" xr:uid="{46D086A6-9054-4E8F-9C0D-7CC5F4F01015}"/>
  </hyperlinks>
  <pageMargins left="0.7" right="0.7" top="0.75" bottom="0.75" header="0.3" footer="0.3"/>
  <ignoredErrors>
    <ignoredError sqref="E129 E99 E69 E79 E89 E59 E49 E39 E29 E19 E139 E109 E119" formula="1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139"/>
  <sheetViews>
    <sheetView topLeftCell="A88" workbookViewId="0">
      <selection activeCell="A112" sqref="A112:O1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2025.03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(B19+B29+B39+B49+B59+B69+B79+B89+B99+B109+B119+B129+B139)-T5</f>
        <v>69.78</v>
      </c>
      <c r="R5" s="5">
        <v>0</v>
      </c>
      <c r="S5" s="5">
        <f>(C19+C29+C39+C49+C59+C69+C79+C89+C99+C109+C119+C129+C139)-T5</f>
        <v>69.640000000000015</v>
      </c>
      <c r="T5" s="5">
        <f>(I19+I29+I39+I49+I59+I69+I79+I89+I99+I109+I119+I129+I139)-W5</f>
        <v>0</v>
      </c>
      <c r="U5" s="5">
        <f>D19+D29+D39+D49+D59+D69+D79+D89+D99+D109+D119+D129+D139</f>
        <v>0.13999999999999879</v>
      </c>
      <c r="V5" s="5">
        <v>0.01</v>
      </c>
      <c r="W5" s="5">
        <f>J19+J29+J39+J49+J59+J69+J79+J89+J99+J109+J119+J129+J139</f>
        <v>0</v>
      </c>
      <c r="X5" s="5">
        <f>O19+O29+O39+O49+O59+O69+O79+O89+O99+O109+O119+O129+O139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IF(B39&gt;0,SUMPRODUCT(E35:E38,F35:F38)/SUM(F35:F38),"0.00")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x14ac:dyDescent="0.25">
      <c r="A71" s="12"/>
    </row>
    <row r="72" spans="1:16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x14ac:dyDescent="0.25">
      <c r="A75" s="39"/>
      <c r="B75" s="14"/>
      <c r="C75" s="5"/>
      <c r="D75" s="5"/>
      <c r="E75" s="15"/>
      <c r="F75" s="16"/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x14ac:dyDescent="0.25">
      <c r="A79" s="3" t="s">
        <v>2</v>
      </c>
      <c r="B79" s="5">
        <f>SUM(B75:B78)</f>
        <v>0</v>
      </c>
      <c r="C79" s="5">
        <f>SUM(C75:C78)</f>
        <v>0</v>
      </c>
      <c r="D79" s="5">
        <f>SUM(D75:D78)</f>
        <v>0</v>
      </c>
      <c r="E79" s="6" t="str">
        <f>IF(B79&gt;0,SUMPRODUCT(E75:E78,F75:F78)/SUM(F75:F78),"0.00")</f>
        <v>0.00</v>
      </c>
      <c r="F79" s="8">
        <f>SUM(F75:F78)</f>
        <v>0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  <row r="80" spans="1:16" x14ac:dyDescent="0.25">
      <c r="A80" s="12"/>
    </row>
    <row r="82" spans="1:15" x14ac:dyDescent="0.25">
      <c r="A82" s="94" t="s">
        <v>19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6"/>
    </row>
    <row r="83" spans="1:15" x14ac:dyDescent="0.25">
      <c r="A83" s="67" t="s">
        <v>40</v>
      </c>
      <c r="B83" s="71"/>
      <c r="C83" s="71"/>
      <c r="D83" s="71"/>
      <c r="E83" s="71"/>
      <c r="F83" s="68"/>
      <c r="G83" s="81"/>
      <c r="H83" s="84" t="s">
        <v>42</v>
      </c>
      <c r="I83" s="85"/>
      <c r="J83" s="85"/>
      <c r="K83" s="85"/>
      <c r="L83" s="86"/>
      <c r="M83" s="26"/>
      <c r="N83" s="67" t="s">
        <v>46</v>
      </c>
      <c r="O83" s="68"/>
    </row>
    <row r="84" spans="1:15" x14ac:dyDescent="0.25">
      <c r="A84" s="28" t="s">
        <v>48</v>
      </c>
      <c r="B84" s="3" t="s">
        <v>3</v>
      </c>
      <c r="C84" s="3" t="s">
        <v>17</v>
      </c>
      <c r="D84" s="3" t="s">
        <v>15</v>
      </c>
      <c r="E84" s="3" t="s">
        <v>0</v>
      </c>
      <c r="F84" s="3" t="s">
        <v>1</v>
      </c>
      <c r="G84" s="82"/>
      <c r="H84" s="28" t="s">
        <v>48</v>
      </c>
      <c r="I84" s="3" t="s">
        <v>43</v>
      </c>
      <c r="J84" s="3" t="s">
        <v>15</v>
      </c>
      <c r="K84" s="3" t="s">
        <v>0</v>
      </c>
      <c r="L84" s="3" t="s">
        <v>1</v>
      </c>
      <c r="M84" s="29"/>
      <c r="N84" s="25" t="s">
        <v>48</v>
      </c>
      <c r="O84" s="3" t="s">
        <v>43</v>
      </c>
    </row>
    <row r="85" spans="1:15" x14ac:dyDescent="0.25">
      <c r="A85" s="43">
        <v>45747</v>
      </c>
      <c r="B85" s="14">
        <v>9.98</v>
      </c>
      <c r="C85" s="5">
        <v>9.9600000000000009</v>
      </c>
      <c r="D85" s="5">
        <f>B85-C85</f>
        <v>1.9999999999999574E-2</v>
      </c>
      <c r="E85" s="15">
        <v>52.396000000000001</v>
      </c>
      <c r="F85" s="16">
        <f>C85/E85</f>
        <v>0.19009084662951373</v>
      </c>
      <c r="G85" s="82"/>
      <c r="H85" s="31"/>
      <c r="I85" s="6"/>
      <c r="J85" s="5"/>
      <c r="K85" s="5"/>
      <c r="L85" s="6"/>
      <c r="M85" s="24"/>
      <c r="N85" s="32"/>
      <c r="O85" s="5"/>
    </row>
    <row r="86" spans="1:15" ht="15" customHeight="1" x14ac:dyDescent="0.25">
      <c r="A86" s="10"/>
      <c r="B86" s="5"/>
      <c r="C86" s="6"/>
      <c r="D86" s="6"/>
      <c r="E86" s="6"/>
      <c r="F86" s="8"/>
      <c r="G86" s="82"/>
      <c r="H86" s="31"/>
      <c r="I86" s="2"/>
      <c r="J86" s="2"/>
      <c r="K86" s="2"/>
      <c r="L86" s="2"/>
      <c r="M86" s="33"/>
      <c r="N86" s="34"/>
      <c r="O86" s="2"/>
    </row>
    <row r="87" spans="1:15" ht="15" customHeight="1" x14ac:dyDescent="0.3">
      <c r="A87" s="4"/>
      <c r="B87" s="5"/>
      <c r="C87" s="6"/>
      <c r="D87" s="6"/>
      <c r="E87" s="6"/>
      <c r="F87" s="8"/>
      <c r="G87" s="82"/>
      <c r="H87" s="31"/>
      <c r="I87" s="2"/>
      <c r="J87" s="2"/>
      <c r="K87" s="2"/>
      <c r="L87" s="2"/>
      <c r="M87" s="33"/>
      <c r="N87" s="34"/>
      <c r="O87" s="2"/>
    </row>
    <row r="88" spans="1:15" ht="15" customHeight="1" x14ac:dyDescent="0.3">
      <c r="A88" s="4"/>
      <c r="B88" s="5"/>
      <c r="C88" s="6"/>
      <c r="D88" s="6"/>
      <c r="E88" s="6"/>
      <c r="F88" s="6"/>
      <c r="G88" s="82"/>
      <c r="H88" s="31"/>
      <c r="I88" s="2"/>
      <c r="J88" s="2"/>
      <c r="K88" s="2"/>
      <c r="L88" s="2"/>
      <c r="M88" s="33"/>
      <c r="N88" s="34"/>
      <c r="O88" s="2"/>
    </row>
    <row r="89" spans="1:15" x14ac:dyDescent="0.25">
      <c r="A89" s="3" t="s">
        <v>2</v>
      </c>
      <c r="B89" s="5">
        <f>SUM(B85:B88)</f>
        <v>9.98</v>
      </c>
      <c r="C89" s="5">
        <f>SUM(C85:C88)</f>
        <v>9.9600000000000009</v>
      </c>
      <c r="D89" s="5">
        <f>SUM(D85:D88)</f>
        <v>1.9999999999999574E-2</v>
      </c>
      <c r="E89" s="6">
        <f>IF(B89&gt;0,SUMPRODUCT(E85:E88,F85:F88)/SUM(F85:F88),"0.00")</f>
        <v>52.396000000000001</v>
      </c>
      <c r="F89" s="8">
        <f>SUM(F85:F88)</f>
        <v>0.19009084662951373</v>
      </c>
      <c r="G89" s="83"/>
      <c r="H89" s="3" t="s">
        <v>2</v>
      </c>
      <c r="I89" s="5">
        <f>SUM(I85:I88)</f>
        <v>0</v>
      </c>
      <c r="J89" s="5">
        <f t="shared" ref="J89" si="13">SUM(J85:J88)</f>
        <v>0</v>
      </c>
      <c r="K89" s="6"/>
      <c r="L89" s="30">
        <f t="shared" ref="L89" si="14">SUM(L85:L88)</f>
        <v>0</v>
      </c>
      <c r="M89" s="35"/>
      <c r="N89" s="3" t="s">
        <v>2</v>
      </c>
      <c r="O89" s="5">
        <f>SUM(O85:O88)</f>
        <v>0</v>
      </c>
    </row>
    <row r="92" spans="1:15" x14ac:dyDescent="0.25">
      <c r="A92" s="94" t="s">
        <v>20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6"/>
    </row>
    <row r="93" spans="1:15" x14ac:dyDescent="0.25">
      <c r="A93" s="67" t="s">
        <v>40</v>
      </c>
      <c r="B93" s="71"/>
      <c r="C93" s="71"/>
      <c r="D93" s="71"/>
      <c r="E93" s="71"/>
      <c r="F93" s="68"/>
      <c r="G93" s="81"/>
      <c r="H93" s="84" t="s">
        <v>42</v>
      </c>
      <c r="I93" s="85"/>
      <c r="J93" s="85"/>
      <c r="K93" s="85"/>
      <c r="L93" s="86"/>
      <c r="M93" s="26"/>
      <c r="N93" s="67" t="s">
        <v>46</v>
      </c>
      <c r="O93" s="68"/>
    </row>
    <row r="94" spans="1:15" x14ac:dyDescent="0.25">
      <c r="A94" s="28" t="s">
        <v>48</v>
      </c>
      <c r="B94" s="3" t="s">
        <v>3</v>
      </c>
      <c r="C94" s="3" t="s">
        <v>17</v>
      </c>
      <c r="D94" s="3" t="s">
        <v>15</v>
      </c>
      <c r="E94" s="3" t="s">
        <v>0</v>
      </c>
      <c r="F94" s="3" t="s">
        <v>1</v>
      </c>
      <c r="G94" s="82"/>
      <c r="H94" s="28" t="s">
        <v>48</v>
      </c>
      <c r="I94" s="3" t="s">
        <v>43</v>
      </c>
      <c r="J94" s="3" t="s">
        <v>15</v>
      </c>
      <c r="K94" s="3" t="s">
        <v>0</v>
      </c>
      <c r="L94" s="3" t="s">
        <v>1</v>
      </c>
      <c r="M94" s="29"/>
      <c r="N94" s="25" t="s">
        <v>48</v>
      </c>
      <c r="O94" s="3" t="s">
        <v>43</v>
      </c>
    </row>
    <row r="95" spans="1:15" x14ac:dyDescent="0.25">
      <c r="A95" s="43">
        <v>45743</v>
      </c>
      <c r="B95" s="14">
        <v>9.98</v>
      </c>
      <c r="C95" s="5">
        <v>9.9600000000000009</v>
      </c>
      <c r="D95" s="5">
        <f>B95-C95</f>
        <v>1.9999999999999574E-2</v>
      </c>
      <c r="E95" s="15">
        <v>6.9630000000000001</v>
      </c>
      <c r="F95" s="16">
        <v>1.431</v>
      </c>
      <c r="G95" s="82"/>
      <c r="H95" s="31"/>
      <c r="I95" s="6"/>
      <c r="J95" s="5"/>
      <c r="K95" s="5"/>
      <c r="L95" s="6"/>
      <c r="M95" s="24"/>
      <c r="N95" s="32"/>
      <c r="O95" s="5"/>
    </row>
    <row r="96" spans="1:15" ht="15" customHeight="1" x14ac:dyDescent="0.25">
      <c r="A96" s="10"/>
      <c r="B96" s="5"/>
      <c r="C96" s="6"/>
      <c r="D96" s="6"/>
      <c r="E96" s="6"/>
      <c r="F96" s="8"/>
      <c r="G96" s="82"/>
      <c r="H96" s="31"/>
      <c r="I96" s="2"/>
      <c r="J96" s="2"/>
      <c r="K96" s="2"/>
      <c r="L96" s="2"/>
      <c r="M96" s="33"/>
      <c r="N96" s="34"/>
      <c r="O96" s="2"/>
    </row>
    <row r="97" spans="1:15" ht="15" customHeight="1" x14ac:dyDescent="0.3">
      <c r="A97" s="4"/>
      <c r="B97" s="5"/>
      <c r="C97" s="6"/>
      <c r="D97" s="6"/>
      <c r="E97" s="6"/>
      <c r="F97" s="8"/>
      <c r="G97" s="82"/>
      <c r="H97" s="31"/>
      <c r="I97" s="2"/>
      <c r="J97" s="2"/>
      <c r="K97" s="2"/>
      <c r="L97" s="2"/>
      <c r="M97" s="33"/>
      <c r="N97" s="34"/>
      <c r="O97" s="2"/>
    </row>
    <row r="98" spans="1:15" ht="15" customHeight="1" x14ac:dyDescent="0.3">
      <c r="A98" s="4"/>
      <c r="B98" s="5"/>
      <c r="C98" s="6"/>
      <c r="D98" s="6"/>
      <c r="E98" s="6"/>
      <c r="F98" s="6"/>
      <c r="G98" s="82"/>
      <c r="H98" s="31"/>
      <c r="I98" s="2"/>
      <c r="J98" s="2"/>
      <c r="K98" s="2"/>
      <c r="L98" s="2"/>
      <c r="M98" s="33"/>
      <c r="N98" s="34"/>
      <c r="O98" s="2"/>
    </row>
    <row r="99" spans="1:15" x14ac:dyDescent="0.25">
      <c r="A99" s="3" t="s">
        <v>2</v>
      </c>
      <c r="B99" s="5">
        <f>SUM(B95:B98)</f>
        <v>9.98</v>
      </c>
      <c r="C99" s="5">
        <f>SUM(C95:C98)</f>
        <v>9.9600000000000009</v>
      </c>
      <c r="D99" s="5">
        <f>SUM(D95:D98)</f>
        <v>1.9999999999999574E-2</v>
      </c>
      <c r="E99" s="6">
        <f>IF(B99&gt;0,SUMPRODUCT(E95:E98,F95:F98)/SUM(F95:F98),"0.00")</f>
        <v>6.9630000000000001</v>
      </c>
      <c r="F99" s="8">
        <f>SUM(F95:F98)</f>
        <v>1.431</v>
      </c>
      <c r="G99" s="83"/>
      <c r="H99" s="3" t="s">
        <v>2</v>
      </c>
      <c r="I99" s="5">
        <f>SUM(I95:I98)</f>
        <v>0</v>
      </c>
      <c r="J99" s="5">
        <f t="shared" ref="J99" si="15">SUM(J95:J98)</f>
        <v>0</v>
      </c>
      <c r="K99" s="6"/>
      <c r="L99" s="30">
        <f t="shared" ref="L99" si="16">SUM(L95:L98)</f>
        <v>0</v>
      </c>
      <c r="M99" s="35"/>
      <c r="N99" s="3" t="s">
        <v>2</v>
      </c>
      <c r="O99" s="5">
        <f>SUM(O95:O98)</f>
        <v>0</v>
      </c>
    </row>
    <row r="102" spans="1:15" x14ac:dyDescent="0.25">
      <c r="A102" s="94" t="s">
        <v>21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6"/>
    </row>
    <row r="103" spans="1:15" x14ac:dyDescent="0.25">
      <c r="A103" s="67" t="s">
        <v>40</v>
      </c>
      <c r="B103" s="71"/>
      <c r="C103" s="71"/>
      <c r="D103" s="71"/>
      <c r="E103" s="71"/>
      <c r="F103" s="68"/>
      <c r="G103" s="81"/>
      <c r="H103" s="84" t="s">
        <v>42</v>
      </c>
      <c r="I103" s="85"/>
      <c r="J103" s="85"/>
      <c r="K103" s="85"/>
      <c r="L103" s="86"/>
      <c r="M103" s="26"/>
      <c r="N103" s="67" t="s">
        <v>46</v>
      </c>
      <c r="O103" s="68"/>
    </row>
    <row r="104" spans="1:15" x14ac:dyDescent="0.25">
      <c r="A104" s="28" t="s">
        <v>48</v>
      </c>
      <c r="B104" s="3" t="s">
        <v>3</v>
      </c>
      <c r="C104" s="3" t="s">
        <v>17</v>
      </c>
      <c r="D104" s="3" t="s">
        <v>15</v>
      </c>
      <c r="E104" s="3" t="s">
        <v>0</v>
      </c>
      <c r="F104" s="3" t="s">
        <v>1</v>
      </c>
      <c r="G104" s="82"/>
      <c r="H104" s="28" t="s">
        <v>48</v>
      </c>
      <c r="I104" s="3" t="s">
        <v>43</v>
      </c>
      <c r="J104" s="3" t="s">
        <v>15</v>
      </c>
      <c r="K104" s="3" t="s">
        <v>0</v>
      </c>
      <c r="L104" s="3" t="s">
        <v>1</v>
      </c>
      <c r="M104" s="29"/>
      <c r="N104" s="25" t="s">
        <v>48</v>
      </c>
      <c r="O104" s="3" t="s">
        <v>43</v>
      </c>
    </row>
    <row r="105" spans="1:15" x14ac:dyDescent="0.25">
      <c r="A105" s="56">
        <v>45743</v>
      </c>
      <c r="B105" s="14">
        <v>9.94</v>
      </c>
      <c r="C105" s="5">
        <v>9.92</v>
      </c>
      <c r="D105" s="5">
        <f>B105-C105</f>
        <v>1.9999999999999574E-2</v>
      </c>
      <c r="E105" s="15">
        <v>52.774000000000001</v>
      </c>
      <c r="F105" s="16">
        <f>C105/E105</f>
        <v>0.18797134952817676</v>
      </c>
      <c r="G105" s="82"/>
      <c r="H105" s="31"/>
      <c r="I105" s="6"/>
      <c r="J105" s="5"/>
      <c r="K105" s="5"/>
      <c r="L105" s="6"/>
      <c r="M105" s="24"/>
      <c r="N105" s="32"/>
      <c r="O105" s="5"/>
    </row>
    <row r="106" spans="1:15" ht="15" customHeight="1" x14ac:dyDescent="0.25">
      <c r="A106" s="10"/>
      <c r="B106" s="5"/>
      <c r="C106" s="6"/>
      <c r="D106" s="6"/>
      <c r="E106" s="6"/>
      <c r="F106" s="8"/>
      <c r="G106" s="82"/>
      <c r="H106" s="31"/>
      <c r="I106" s="2"/>
      <c r="J106" s="2"/>
      <c r="K106" s="2"/>
      <c r="L106" s="2"/>
      <c r="M106" s="33"/>
      <c r="N106" s="34"/>
      <c r="O106" s="2"/>
    </row>
    <row r="107" spans="1:15" ht="15" customHeight="1" x14ac:dyDescent="0.3">
      <c r="A107" s="4"/>
      <c r="B107" s="5"/>
      <c r="C107" s="6"/>
      <c r="D107" s="6"/>
      <c r="E107" s="6"/>
      <c r="F107" s="8"/>
      <c r="G107" s="82"/>
      <c r="H107" s="31"/>
      <c r="I107" s="2"/>
      <c r="J107" s="2"/>
      <c r="K107" s="2"/>
      <c r="L107" s="2"/>
      <c r="M107" s="33"/>
      <c r="N107" s="34"/>
      <c r="O107" s="2"/>
    </row>
    <row r="108" spans="1:15" ht="15" customHeight="1" x14ac:dyDescent="0.3">
      <c r="A108" s="4"/>
      <c r="B108" s="5"/>
      <c r="C108" s="6"/>
      <c r="D108" s="6"/>
      <c r="E108" s="6"/>
      <c r="F108" s="6"/>
      <c r="G108" s="82"/>
      <c r="H108" s="31"/>
      <c r="I108" s="2"/>
      <c r="J108" s="2"/>
      <c r="K108" s="2"/>
      <c r="L108" s="2"/>
      <c r="M108" s="33"/>
      <c r="N108" s="34"/>
      <c r="O108" s="2"/>
    </row>
    <row r="109" spans="1:15" x14ac:dyDescent="0.25">
      <c r="A109" s="3" t="s">
        <v>2</v>
      </c>
      <c r="B109" s="5">
        <f>SUM(B105:B108)</f>
        <v>9.94</v>
      </c>
      <c r="C109" s="5">
        <f>SUM(C105:C108)</f>
        <v>9.92</v>
      </c>
      <c r="D109" s="5">
        <f>SUM(D105:D108)</f>
        <v>1.9999999999999574E-2</v>
      </c>
      <c r="E109" s="6">
        <f>IF(B109&gt;0,SUMPRODUCT(E105:E108,F105:F108)/SUM(F105:F108),"0.00")</f>
        <v>52.773999999999994</v>
      </c>
      <c r="F109" s="8">
        <f>SUM(F105:F108)</f>
        <v>0.18797134952817676</v>
      </c>
      <c r="G109" s="83"/>
      <c r="H109" s="3" t="s">
        <v>2</v>
      </c>
      <c r="I109" s="5">
        <f>SUM(I105:I108)</f>
        <v>0</v>
      </c>
      <c r="J109" s="5">
        <f t="shared" ref="J109" si="17">SUM(J105:J108)</f>
        <v>0</v>
      </c>
      <c r="K109" s="6"/>
      <c r="L109" s="30">
        <f t="shared" ref="L109" si="18">SUM(L105:L108)</f>
        <v>0</v>
      </c>
      <c r="M109" s="35"/>
      <c r="N109" s="3" t="s">
        <v>2</v>
      </c>
      <c r="O109" s="5">
        <f>SUM(O105:O108)</f>
        <v>0</v>
      </c>
    </row>
    <row r="112" spans="1:15" x14ac:dyDescent="0.25">
      <c r="A112" s="94" t="s">
        <v>22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6"/>
    </row>
    <row r="113" spans="1:15" x14ac:dyDescent="0.25">
      <c r="A113" s="67" t="s">
        <v>40</v>
      </c>
      <c r="B113" s="71"/>
      <c r="C113" s="71"/>
      <c r="D113" s="71"/>
      <c r="E113" s="71"/>
      <c r="F113" s="68"/>
      <c r="G113" s="81"/>
      <c r="H113" s="84" t="s">
        <v>42</v>
      </c>
      <c r="I113" s="85"/>
      <c r="J113" s="85"/>
      <c r="K113" s="85"/>
      <c r="L113" s="86"/>
      <c r="M113" s="26"/>
      <c r="N113" s="67" t="s">
        <v>46</v>
      </c>
      <c r="O113" s="68"/>
    </row>
    <row r="114" spans="1:15" x14ac:dyDescent="0.25">
      <c r="A114" s="28" t="s">
        <v>48</v>
      </c>
      <c r="B114" s="3" t="s">
        <v>3</v>
      </c>
      <c r="C114" s="3" t="s">
        <v>17</v>
      </c>
      <c r="D114" s="3" t="s">
        <v>15</v>
      </c>
      <c r="E114" s="3" t="s">
        <v>0</v>
      </c>
      <c r="F114" s="3" t="s">
        <v>1</v>
      </c>
      <c r="G114" s="82"/>
      <c r="H114" s="28" t="s">
        <v>48</v>
      </c>
      <c r="I114" s="3" t="s">
        <v>43</v>
      </c>
      <c r="J114" s="3" t="s">
        <v>15</v>
      </c>
      <c r="K114" s="3" t="s">
        <v>0</v>
      </c>
      <c r="L114" s="3" t="s">
        <v>1</v>
      </c>
      <c r="M114" s="29"/>
      <c r="N114" s="25" t="s">
        <v>48</v>
      </c>
      <c r="O114" s="3" t="s">
        <v>43</v>
      </c>
    </row>
    <row r="115" spans="1:15" x14ac:dyDescent="0.25">
      <c r="A115" s="56">
        <v>45726</v>
      </c>
      <c r="B115" s="14">
        <v>9.98</v>
      </c>
      <c r="C115" s="5">
        <v>9.9600000000000009</v>
      </c>
      <c r="D115" s="5">
        <f>B115-C115</f>
        <v>1.9999999999999574E-2</v>
      </c>
      <c r="E115" s="15">
        <v>13.435</v>
      </c>
      <c r="F115" s="16">
        <f>C115/E115</f>
        <v>0.74134722739114256</v>
      </c>
      <c r="G115" s="82"/>
      <c r="H115" s="31"/>
      <c r="I115" s="6"/>
      <c r="J115" s="5"/>
      <c r="K115" s="5"/>
      <c r="L115" s="6"/>
      <c r="M115" s="24"/>
      <c r="N115" s="32"/>
      <c r="O115" s="5"/>
    </row>
    <row r="116" spans="1:15" ht="15" customHeight="1" x14ac:dyDescent="0.25">
      <c r="A116" s="56">
        <v>45743</v>
      </c>
      <c r="B116" s="5">
        <v>9.98</v>
      </c>
      <c r="C116" s="6">
        <v>9.9600000000000009</v>
      </c>
      <c r="D116" s="5">
        <f>B116-C116</f>
        <v>1.9999999999999574E-2</v>
      </c>
      <c r="E116" s="7">
        <v>13.018000000000001</v>
      </c>
      <c r="F116" s="16">
        <f>C116/E116</f>
        <v>0.76509448455984019</v>
      </c>
      <c r="G116" s="82"/>
      <c r="H116" s="31"/>
      <c r="I116" s="2"/>
      <c r="J116" s="2"/>
      <c r="K116" s="2"/>
      <c r="L116" s="2"/>
      <c r="M116" s="33"/>
      <c r="N116" s="34"/>
      <c r="O116" s="2"/>
    </row>
    <row r="117" spans="1:15" ht="15" customHeight="1" x14ac:dyDescent="0.3">
      <c r="A117" s="4"/>
      <c r="B117" s="5"/>
      <c r="C117" s="6"/>
      <c r="D117" s="6"/>
      <c r="E117" s="6"/>
      <c r="F117" s="8"/>
      <c r="G117" s="82"/>
      <c r="H117" s="31"/>
      <c r="I117" s="2"/>
      <c r="J117" s="2"/>
      <c r="K117" s="2"/>
      <c r="L117" s="2"/>
      <c r="M117" s="33"/>
      <c r="N117" s="34"/>
      <c r="O117" s="2"/>
    </row>
    <row r="118" spans="1:15" ht="15" customHeight="1" x14ac:dyDescent="0.3">
      <c r="A118" s="4"/>
      <c r="B118" s="5"/>
      <c r="C118" s="6"/>
      <c r="D118" s="6"/>
      <c r="E118" s="6"/>
      <c r="F118" s="6"/>
      <c r="G118" s="82"/>
      <c r="H118" s="31"/>
      <c r="I118" s="2"/>
      <c r="J118" s="2"/>
      <c r="K118" s="2"/>
      <c r="L118" s="2"/>
      <c r="M118" s="33"/>
      <c r="N118" s="34"/>
      <c r="O118" s="2"/>
    </row>
    <row r="119" spans="1:15" x14ac:dyDescent="0.25">
      <c r="A119" s="3" t="s">
        <v>2</v>
      </c>
      <c r="B119" s="5">
        <f>SUM(B115:B118)</f>
        <v>19.96</v>
      </c>
      <c r="C119" s="5">
        <f>SUM(C115:C118)</f>
        <v>19.920000000000002</v>
      </c>
      <c r="D119" s="5">
        <f>SUM(D115:D118)</f>
        <v>3.9999999999999147E-2</v>
      </c>
      <c r="E119" s="7">
        <f>IF(B119&gt;0,SUMPRODUCT(E115:E118,F115:F118)/SUM(F115:F118),"0.00")</f>
        <v>13.223213246134655</v>
      </c>
      <c r="F119" s="8">
        <f>SUM(F115:F118)</f>
        <v>1.5064417119509828</v>
      </c>
      <c r="G119" s="83"/>
      <c r="H119" s="3" t="s">
        <v>2</v>
      </c>
      <c r="I119" s="5">
        <f>SUM(I115:I118)</f>
        <v>0</v>
      </c>
      <c r="J119" s="5">
        <f t="shared" ref="J119" si="19">SUM(J115:J118)</f>
        <v>0</v>
      </c>
      <c r="K119" s="6"/>
      <c r="L119" s="30">
        <f t="shared" ref="L119" si="20">SUM(L115:L118)</f>
        <v>0</v>
      </c>
      <c r="M119" s="35"/>
      <c r="N119" s="3" t="s">
        <v>2</v>
      </c>
      <c r="O119" s="5">
        <f>SUM(O115:O118)</f>
        <v>0</v>
      </c>
    </row>
    <row r="122" spans="1:15" x14ac:dyDescent="0.25">
      <c r="A122" s="94" t="s">
        <v>23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6"/>
    </row>
    <row r="123" spans="1:15" x14ac:dyDescent="0.25">
      <c r="A123" s="67" t="s">
        <v>40</v>
      </c>
      <c r="B123" s="71"/>
      <c r="C123" s="71"/>
      <c r="D123" s="71"/>
      <c r="E123" s="71"/>
      <c r="F123" s="68"/>
      <c r="G123" s="81"/>
      <c r="H123" s="84" t="s">
        <v>42</v>
      </c>
      <c r="I123" s="85"/>
      <c r="J123" s="85"/>
      <c r="K123" s="85"/>
      <c r="L123" s="86"/>
      <c r="M123" s="26"/>
      <c r="N123" s="67" t="s">
        <v>46</v>
      </c>
      <c r="O123" s="68"/>
    </row>
    <row r="124" spans="1:15" x14ac:dyDescent="0.25">
      <c r="A124" s="28" t="s">
        <v>48</v>
      </c>
      <c r="B124" s="3" t="s">
        <v>3</v>
      </c>
      <c r="C124" s="3" t="s">
        <v>17</v>
      </c>
      <c r="D124" s="3" t="s">
        <v>15</v>
      </c>
      <c r="E124" s="3" t="s">
        <v>0</v>
      </c>
      <c r="F124" s="3" t="s">
        <v>1</v>
      </c>
      <c r="G124" s="82"/>
      <c r="H124" s="28" t="s">
        <v>48</v>
      </c>
      <c r="I124" s="3" t="s">
        <v>43</v>
      </c>
      <c r="J124" s="3" t="s">
        <v>15</v>
      </c>
      <c r="K124" s="3" t="s">
        <v>0</v>
      </c>
      <c r="L124" s="3" t="s">
        <v>1</v>
      </c>
      <c r="M124" s="29"/>
      <c r="N124" s="25" t="s">
        <v>48</v>
      </c>
      <c r="O124" s="3" t="s">
        <v>43</v>
      </c>
    </row>
    <row r="125" spans="1:15" x14ac:dyDescent="0.25">
      <c r="A125" s="56">
        <v>45722</v>
      </c>
      <c r="B125" s="14">
        <v>9.9700000000000006</v>
      </c>
      <c r="C125" s="5">
        <v>9.9499999999999993</v>
      </c>
      <c r="D125" s="5">
        <f>B125-C125</f>
        <v>2.000000000000135E-2</v>
      </c>
      <c r="E125" s="15">
        <v>10.214</v>
      </c>
      <c r="F125" s="16">
        <f>C125/E125</f>
        <v>0.97415312316428415</v>
      </c>
      <c r="G125" s="82"/>
      <c r="H125" s="31"/>
      <c r="I125" s="6"/>
      <c r="J125" s="5"/>
      <c r="K125" s="5"/>
      <c r="L125" s="6"/>
      <c r="M125" s="24"/>
      <c r="N125" s="32"/>
      <c r="O125" s="5"/>
    </row>
    <row r="126" spans="1:15" ht="15" customHeight="1" x14ac:dyDescent="0.25">
      <c r="A126" s="56"/>
      <c r="B126" s="5"/>
      <c r="C126" s="6"/>
      <c r="D126" s="5"/>
      <c r="E126" s="7"/>
      <c r="F126" s="16"/>
      <c r="G126" s="82"/>
      <c r="H126" s="31"/>
      <c r="I126" s="2"/>
      <c r="J126" s="2"/>
      <c r="K126" s="2"/>
      <c r="L126" s="2"/>
      <c r="M126" s="33"/>
      <c r="N126" s="34"/>
      <c r="O126" s="2"/>
    </row>
    <row r="127" spans="1:15" ht="15" customHeight="1" x14ac:dyDescent="0.3">
      <c r="A127" s="57"/>
      <c r="B127" s="5"/>
      <c r="C127" s="6"/>
      <c r="D127" s="6"/>
      <c r="E127" s="6"/>
      <c r="F127" s="8"/>
      <c r="G127" s="82"/>
      <c r="H127" s="31"/>
      <c r="I127" s="2"/>
      <c r="J127" s="2"/>
      <c r="K127" s="2"/>
      <c r="L127" s="2"/>
      <c r="M127" s="33"/>
      <c r="N127" s="34"/>
      <c r="O127" s="2"/>
    </row>
    <row r="128" spans="1:15" ht="15" customHeight="1" x14ac:dyDescent="0.3">
      <c r="A128" s="57"/>
      <c r="B128" s="5"/>
      <c r="C128" s="6"/>
      <c r="D128" s="6"/>
      <c r="E128" s="6"/>
      <c r="F128" s="6"/>
      <c r="G128" s="82"/>
      <c r="H128" s="31"/>
      <c r="I128" s="2"/>
      <c r="J128" s="2"/>
      <c r="K128" s="2"/>
      <c r="L128" s="2"/>
      <c r="M128" s="33"/>
      <c r="N128" s="34"/>
      <c r="O128" s="2"/>
    </row>
    <row r="129" spans="1:15" x14ac:dyDescent="0.25">
      <c r="A129" s="3" t="s">
        <v>2</v>
      </c>
      <c r="B129" s="5">
        <f>SUM(B125:B128)</f>
        <v>9.9700000000000006</v>
      </c>
      <c r="C129" s="5">
        <f>SUM(C125:C128)</f>
        <v>9.9499999999999993</v>
      </c>
      <c r="D129" s="5">
        <f>SUM(D125:D128)</f>
        <v>2.000000000000135E-2</v>
      </c>
      <c r="E129" s="6">
        <f>IF(B129&gt;0,SUMPRODUCT(E125:E128,F125:F128)/SUM(F125:F128),"0.00")</f>
        <v>10.214</v>
      </c>
      <c r="F129" s="8">
        <f>SUM(F125:F128)</f>
        <v>0.97415312316428415</v>
      </c>
      <c r="G129" s="83"/>
      <c r="H129" s="3" t="s">
        <v>2</v>
      </c>
      <c r="I129" s="5">
        <f>SUM(I125:I128)</f>
        <v>0</v>
      </c>
      <c r="J129" s="5">
        <f t="shared" ref="J129" si="21">SUM(J125:J128)</f>
        <v>0</v>
      </c>
      <c r="K129" s="6"/>
      <c r="L129" s="30">
        <f t="shared" ref="L129" si="22">SUM(L125:L128)</f>
        <v>0</v>
      </c>
      <c r="M129" s="35"/>
      <c r="N129" s="3" t="s">
        <v>2</v>
      </c>
      <c r="O129" s="5">
        <f>SUM(O125:O128)</f>
        <v>0</v>
      </c>
    </row>
    <row r="132" spans="1:15" x14ac:dyDescent="0.25">
      <c r="A132" s="94" t="s">
        <v>24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6"/>
    </row>
    <row r="133" spans="1:15" x14ac:dyDescent="0.25">
      <c r="A133" s="67" t="s">
        <v>40</v>
      </c>
      <c r="B133" s="71"/>
      <c r="C133" s="71"/>
      <c r="D133" s="71"/>
      <c r="E133" s="71"/>
      <c r="F133" s="68"/>
      <c r="G133" s="81"/>
      <c r="H133" s="84" t="s">
        <v>42</v>
      </c>
      <c r="I133" s="85"/>
      <c r="J133" s="85"/>
      <c r="K133" s="85"/>
      <c r="L133" s="86"/>
      <c r="M133" s="26"/>
      <c r="N133" s="67" t="s">
        <v>46</v>
      </c>
      <c r="O133" s="68"/>
    </row>
    <row r="134" spans="1:15" x14ac:dyDescent="0.25">
      <c r="A134" s="28" t="s">
        <v>48</v>
      </c>
      <c r="B134" s="3" t="s">
        <v>3</v>
      </c>
      <c r="C134" s="3" t="s">
        <v>17</v>
      </c>
      <c r="D134" s="3" t="s">
        <v>15</v>
      </c>
      <c r="E134" s="3" t="s">
        <v>0</v>
      </c>
      <c r="F134" s="3" t="s">
        <v>1</v>
      </c>
      <c r="G134" s="82"/>
      <c r="H134" s="28" t="s">
        <v>48</v>
      </c>
      <c r="I134" s="3" t="s">
        <v>43</v>
      </c>
      <c r="J134" s="3" t="s">
        <v>15</v>
      </c>
      <c r="K134" s="3" t="s">
        <v>0</v>
      </c>
      <c r="L134" s="3" t="s">
        <v>1</v>
      </c>
      <c r="M134" s="29"/>
      <c r="N134" s="25" t="s">
        <v>48</v>
      </c>
      <c r="O134" s="3" t="s">
        <v>43</v>
      </c>
    </row>
    <row r="135" spans="1:15" x14ac:dyDescent="0.25">
      <c r="A135" s="56">
        <v>45722</v>
      </c>
      <c r="B135" s="14">
        <v>9.9499999999999993</v>
      </c>
      <c r="C135" s="5">
        <v>9.93</v>
      </c>
      <c r="D135" s="5">
        <f>B135-C135</f>
        <v>1.9999999999999574E-2</v>
      </c>
      <c r="E135" s="15">
        <v>44.325000000000003</v>
      </c>
      <c r="F135" s="16">
        <f>C135/E135</f>
        <v>0.22402707275803721</v>
      </c>
      <c r="G135" s="82"/>
      <c r="H135" s="31"/>
      <c r="I135" s="6"/>
      <c r="J135" s="5"/>
      <c r="K135" s="5"/>
      <c r="L135" s="6"/>
      <c r="M135" s="24"/>
      <c r="N135" s="32"/>
      <c r="O135" s="5"/>
    </row>
    <row r="136" spans="1:15" ht="15" customHeight="1" x14ac:dyDescent="0.25">
      <c r="A136" s="56"/>
      <c r="B136" s="5"/>
      <c r="C136" s="6"/>
      <c r="D136" s="5"/>
      <c r="E136" s="7"/>
      <c r="F136" s="16"/>
      <c r="G136" s="82"/>
      <c r="H136" s="31"/>
      <c r="I136" s="2"/>
      <c r="J136" s="2"/>
      <c r="K136" s="2"/>
      <c r="L136" s="2"/>
      <c r="M136" s="33"/>
      <c r="N136" s="34"/>
      <c r="O136" s="2"/>
    </row>
    <row r="137" spans="1:15" ht="15" customHeight="1" x14ac:dyDescent="0.3">
      <c r="A137" s="57"/>
      <c r="B137" s="5"/>
      <c r="C137" s="6"/>
      <c r="D137" s="6"/>
      <c r="E137" s="6"/>
      <c r="F137" s="8"/>
      <c r="G137" s="82"/>
      <c r="H137" s="31"/>
      <c r="I137" s="2"/>
      <c r="J137" s="2"/>
      <c r="K137" s="2"/>
      <c r="L137" s="2"/>
      <c r="M137" s="33"/>
      <c r="N137" s="34"/>
      <c r="O137" s="2"/>
    </row>
    <row r="138" spans="1:15" ht="15" customHeight="1" x14ac:dyDescent="0.3">
      <c r="A138" s="57"/>
      <c r="B138" s="5"/>
      <c r="C138" s="6"/>
      <c r="D138" s="6"/>
      <c r="E138" s="6"/>
      <c r="F138" s="6"/>
      <c r="G138" s="82"/>
      <c r="H138" s="31"/>
      <c r="I138" s="2"/>
      <c r="J138" s="2"/>
      <c r="K138" s="2"/>
      <c r="L138" s="2"/>
      <c r="M138" s="33"/>
      <c r="N138" s="34"/>
      <c r="O138" s="2"/>
    </row>
    <row r="139" spans="1:15" x14ac:dyDescent="0.25">
      <c r="A139" s="3" t="s">
        <v>2</v>
      </c>
      <c r="B139" s="5">
        <f>SUM(B135:B138)</f>
        <v>9.9499999999999993</v>
      </c>
      <c r="C139" s="5">
        <f>SUM(C135:C138)</f>
        <v>9.93</v>
      </c>
      <c r="D139" s="5">
        <f>SUM(D135:D138)</f>
        <v>1.9999999999999574E-2</v>
      </c>
      <c r="E139" s="6">
        <f>IF(B139&gt;0,SUMPRODUCT(E135:E138,F135:F138)/SUM(F135:F138),"0.00")</f>
        <v>44.325000000000003</v>
      </c>
      <c r="F139" s="8">
        <f>SUM(F135:F138)</f>
        <v>0.22402707275803721</v>
      </c>
      <c r="G139" s="83"/>
      <c r="H139" s="3" t="s">
        <v>2</v>
      </c>
      <c r="I139" s="5">
        <f>SUM(I135:I138)</f>
        <v>0</v>
      </c>
      <c r="J139" s="5">
        <f t="shared" ref="J139" si="23">SUM(J135:J138)</f>
        <v>0</v>
      </c>
      <c r="K139" s="6"/>
      <c r="L139" s="30">
        <f t="shared" ref="L139" si="24">SUM(L135:L138)</f>
        <v>0</v>
      </c>
      <c r="M139" s="35"/>
      <c r="N139" s="3" t="s">
        <v>2</v>
      </c>
      <c r="O139" s="5">
        <f>SUM(O135:O138)</f>
        <v>0</v>
      </c>
    </row>
  </sheetData>
  <mergeCells count="72">
    <mergeCell ref="A132:O132"/>
    <mergeCell ref="A133:F133"/>
    <mergeCell ref="G133:G139"/>
    <mergeCell ref="H133:L133"/>
    <mergeCell ref="N133:O133"/>
    <mergeCell ref="A122:O122"/>
    <mergeCell ref="A123:F123"/>
    <mergeCell ref="G123:G129"/>
    <mergeCell ref="H123:L123"/>
    <mergeCell ref="N123:O123"/>
    <mergeCell ref="A113:F113"/>
    <mergeCell ref="G113:G119"/>
    <mergeCell ref="H113:L113"/>
    <mergeCell ref="N113:O113"/>
    <mergeCell ref="A92:O92"/>
    <mergeCell ref="A93:F93"/>
    <mergeCell ref="G93:G99"/>
    <mergeCell ref="H93:L93"/>
    <mergeCell ref="N93:O93"/>
    <mergeCell ref="A102:O102"/>
    <mergeCell ref="A103:F103"/>
    <mergeCell ref="G103:G109"/>
    <mergeCell ref="H103:L103"/>
    <mergeCell ref="N103:O103"/>
    <mergeCell ref="A112:O112"/>
    <mergeCell ref="A83:F83"/>
    <mergeCell ref="G83:G89"/>
    <mergeCell ref="H83:L83"/>
    <mergeCell ref="N83:O83"/>
    <mergeCell ref="A62:O62"/>
    <mergeCell ref="A63:F63"/>
    <mergeCell ref="G63:G69"/>
    <mergeCell ref="H63:L63"/>
    <mergeCell ref="N63:O63"/>
    <mergeCell ref="A72:O72"/>
    <mergeCell ref="A73:F73"/>
    <mergeCell ref="G73:G79"/>
    <mergeCell ref="H73:L73"/>
    <mergeCell ref="N73:O73"/>
    <mergeCell ref="A82:O8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32:O132" location="XNAS!A1" display="XNAS GY Xtrackers NASDAQ 100 UCITS" xr:uid="{6316ED5A-05B4-4D6E-8CD4-B86A0385299B}"/>
    <hyperlink ref="A12:O12" location="SGAS!A1" display="SGAS GY iShares MSCI USA ESG Screened" xr:uid="{ED69F977-77D0-4840-9E1D-02C830A65F53}"/>
    <hyperlink ref="A22:O22" location="SLMG!A1" display="SLMC GY iShares MSCI Europe ESG Screened" xr:uid="{B1B8CE88-AD20-47F4-8FB4-CCD488C14FF2}"/>
    <hyperlink ref="A32:O32" location="AYEM!A1" display="AYEM GY iShares MSCI EM IMI ESG Screened" xr:uid="{A36AADE7-2B2C-4FA1-B0FA-5CF561F4C6E5}"/>
    <hyperlink ref="A42:O42" location="SGAJ!A1" display="SGAJ GY iShares MSCI Japan ESG Screened" xr:uid="{10559AD5-319B-499B-A6B3-B8A472ECF1BA}"/>
    <hyperlink ref="A52:O52" location="SLMG!A1" display="SLMG GY iShares JP Morgan ESG USD Bond" xr:uid="{CCB35CD8-52CA-4046-AB53-8B848498FABD}"/>
    <hyperlink ref="A62:O62" location="SECA!A1" display="SECA GY iShares Euro Govt Bond Climate" xr:uid="{6F488F91-BFDE-493C-B7B6-2968453EE30E}"/>
    <hyperlink ref="A72:O72" location="'AYE2'!A1" display="AYE2 GY iShares EUR High Yield Corp Bond" xr:uid="{774F03A3-CCEA-4615-9DA8-52CF5C89541B}"/>
    <hyperlink ref="A82:O82" location="ECRP!A1" display="ECRP FP Amundi EUR Corporate Bond" xr:uid="{E7BA7955-79F3-464D-9B0D-495500817A93}"/>
    <hyperlink ref="A92:O92" location="IUSN!A1" display="IUSN GY iShares MSCI World Small Cap" xr:uid="{BFCF1ECD-5ECF-458D-A2DC-E09B511F58FF}"/>
    <hyperlink ref="A102:O102" location="'ECR3'!A1" display="ECR3 GY Amundi EUR Corporate Bond 0-3Y" xr:uid="{8649CEAF-8C19-43F9-9291-79DE3109DFD8}"/>
    <hyperlink ref="A112:O112" location="SPYL!A1" display="SPYL GY SPDR S|P 500 UCITS" xr:uid="{FB45CFB9-5393-4B17-91DE-27D33FB1AED1}"/>
    <hyperlink ref="A122:O122" location="WEBN!A1" display="WEBN GY Amundi Prime All Country World" xr:uid="{62A9D577-5912-4888-AD7D-72728C308A0D}"/>
  </hyperlinks>
  <pageMargins left="0.7" right="0.7" top="0.75" bottom="0.75" header="0.3" footer="0.3"/>
  <ignoredErrors>
    <ignoredError sqref="E129 E139 E19 E29 E39 E49 E59 E69 E79 E89 E99 E109 E119" formula="1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79"/>
  <sheetViews>
    <sheetView topLeftCell="A58" workbookViewId="0">
      <selection activeCell="A72" sqref="A72:O7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2025.02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(B19+B29+B39+B49+B59+B69+B79+B89+B99+B109)-T5</f>
        <v>9.99</v>
      </c>
      <c r="R5" s="5">
        <v>0</v>
      </c>
      <c r="S5" s="5">
        <f>(C19+C29+C39+C49+C59+C69+C79+C89+C99+C109)-T5</f>
        <v>9.9700000000000006</v>
      </c>
      <c r="T5" s="5">
        <f>(I19+I29+I39+I49+I59+I69+I79+I89+I99+I109)-W5</f>
        <v>0</v>
      </c>
      <c r="U5" s="5">
        <f>D19+D29+D39+D49+D59+D69+D79+D89+D99+D109</f>
        <v>1.9999999999999574E-2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  <row r="71" spans="1:16" x14ac:dyDescent="0.25">
      <c r="A71" s="12"/>
    </row>
    <row r="72" spans="1:16" x14ac:dyDescent="0.25">
      <c r="A72" s="94" t="s">
        <v>18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6"/>
    </row>
    <row r="73" spans="1:16" x14ac:dyDescent="0.25">
      <c r="A73" s="67" t="s">
        <v>40</v>
      </c>
      <c r="B73" s="71"/>
      <c r="C73" s="71"/>
      <c r="D73" s="71"/>
      <c r="E73" s="71"/>
      <c r="F73" s="68"/>
      <c r="G73" s="81"/>
      <c r="H73" s="84" t="s">
        <v>42</v>
      </c>
      <c r="I73" s="85"/>
      <c r="J73" s="85"/>
      <c r="K73" s="85"/>
      <c r="L73" s="86"/>
      <c r="M73" s="26"/>
      <c r="N73" s="67" t="s">
        <v>46</v>
      </c>
      <c r="O73" s="68"/>
    </row>
    <row r="74" spans="1:16" x14ac:dyDescent="0.25">
      <c r="A74" s="28" t="s">
        <v>48</v>
      </c>
      <c r="B74" s="3" t="s">
        <v>3</v>
      </c>
      <c r="C74" s="3" t="s">
        <v>17</v>
      </c>
      <c r="D74" s="3" t="s">
        <v>15</v>
      </c>
      <c r="E74" s="3" t="s">
        <v>0</v>
      </c>
      <c r="F74" s="3" t="s">
        <v>1</v>
      </c>
      <c r="G74" s="82"/>
      <c r="H74" s="28" t="s">
        <v>48</v>
      </c>
      <c r="I74" s="3" t="s">
        <v>43</v>
      </c>
      <c r="J74" s="3" t="s">
        <v>15</v>
      </c>
      <c r="K74" s="3" t="s">
        <v>0</v>
      </c>
      <c r="L74" s="3" t="s">
        <v>1</v>
      </c>
      <c r="M74" s="29"/>
      <c r="N74" s="25" t="s">
        <v>48</v>
      </c>
      <c r="O74" s="3" t="s">
        <v>43</v>
      </c>
    </row>
    <row r="75" spans="1:16" x14ac:dyDescent="0.25">
      <c r="A75" s="43">
        <v>45708</v>
      </c>
      <c r="B75" s="14">
        <v>9.99</v>
      </c>
      <c r="C75" s="5">
        <v>9.9700000000000006</v>
      </c>
      <c r="D75" s="5">
        <f>B75-C75</f>
        <v>1.9999999999999574E-2</v>
      </c>
      <c r="E75" s="15">
        <v>5.5839999999999996</v>
      </c>
      <c r="F75" s="16">
        <f>C75/E75</f>
        <v>1.7854584527220632</v>
      </c>
      <c r="G75" s="82"/>
      <c r="H75" s="31"/>
      <c r="I75" s="6"/>
      <c r="J75" s="5"/>
      <c r="K75" s="5"/>
      <c r="L75" s="6"/>
      <c r="M75" s="24"/>
      <c r="N75" s="32"/>
      <c r="O75" s="5"/>
    </row>
    <row r="76" spans="1:16" ht="15" customHeight="1" x14ac:dyDescent="0.25">
      <c r="A76" s="10"/>
      <c r="B76" s="5"/>
      <c r="C76" s="6"/>
      <c r="D76" s="6"/>
      <c r="E76" s="6"/>
      <c r="F76" s="8"/>
      <c r="G76" s="82"/>
      <c r="H76" s="31"/>
      <c r="I76" s="2"/>
      <c r="J76" s="2"/>
      <c r="K76" s="2"/>
      <c r="L76" s="2"/>
      <c r="M76" s="33"/>
      <c r="N76" s="34"/>
      <c r="O76" s="2"/>
    </row>
    <row r="77" spans="1:16" ht="15" customHeight="1" x14ac:dyDescent="0.3">
      <c r="A77" s="4"/>
      <c r="B77" s="5"/>
      <c r="C77" s="6"/>
      <c r="D77" s="6"/>
      <c r="E77" s="6"/>
      <c r="F77" s="8"/>
      <c r="G77" s="82"/>
      <c r="H77" s="31"/>
      <c r="I77" s="2"/>
      <c r="J77" s="2"/>
      <c r="K77" s="2"/>
      <c r="L77" s="2"/>
      <c r="M77" s="33"/>
      <c r="N77" s="34"/>
      <c r="O77" s="2"/>
    </row>
    <row r="78" spans="1:16" ht="15" customHeight="1" x14ac:dyDescent="0.3">
      <c r="A78" s="4"/>
      <c r="B78" s="5"/>
      <c r="C78" s="6"/>
      <c r="D78" s="6"/>
      <c r="E78" s="6"/>
      <c r="F78" s="6"/>
      <c r="G78" s="82"/>
      <c r="H78" s="31"/>
      <c r="I78" s="2"/>
      <c r="J78" s="2"/>
      <c r="K78" s="2"/>
      <c r="L78" s="2"/>
      <c r="M78" s="33"/>
      <c r="N78" s="34"/>
      <c r="O78" s="2"/>
    </row>
    <row r="79" spans="1:16" x14ac:dyDescent="0.25">
      <c r="A79" s="3" t="s">
        <v>2</v>
      </c>
      <c r="B79" s="5">
        <f>SUM(B75:B78)</f>
        <v>9.99</v>
      </c>
      <c r="C79" s="5">
        <f>SUM(C75:C78)</f>
        <v>9.9700000000000006</v>
      </c>
      <c r="D79" s="5">
        <f>SUM(D75:D78)</f>
        <v>1.9999999999999574E-2</v>
      </c>
      <c r="E79" s="6">
        <f>IF(B79&gt;0,SUMPRODUCT(E75:E78,F75:F78)/SUM(F75:F78),"0.00")</f>
        <v>5.5839999999999996</v>
      </c>
      <c r="F79" s="8">
        <f>SUM(F75:F78)</f>
        <v>1.7854584527220632</v>
      </c>
      <c r="G79" s="83"/>
      <c r="H79" s="3" t="s">
        <v>2</v>
      </c>
      <c r="I79" s="5">
        <f>SUM(I75:I78)</f>
        <v>0</v>
      </c>
      <c r="J79" s="5">
        <f t="shared" ref="J79" si="11">SUM(J75:J78)</f>
        <v>0</v>
      </c>
      <c r="K79" s="6"/>
      <c r="L79" s="30">
        <f t="shared" ref="L79" si="12">SUM(L75:L78)</f>
        <v>0</v>
      </c>
      <c r="M79" s="35"/>
      <c r="N79" s="3" t="s">
        <v>2</v>
      </c>
      <c r="O79" s="5">
        <f>SUM(O75:O78)</f>
        <v>0</v>
      </c>
    </row>
  </sheetData>
  <mergeCells count="42">
    <mergeCell ref="A73:F73"/>
    <mergeCell ref="G73:G79"/>
    <mergeCell ref="H73:L73"/>
    <mergeCell ref="N73:O73"/>
    <mergeCell ref="Q2:X2"/>
    <mergeCell ref="Q3:Q4"/>
    <mergeCell ref="R3:R4"/>
    <mergeCell ref="S3:S4"/>
    <mergeCell ref="T3:T4"/>
    <mergeCell ref="U3:W3"/>
    <mergeCell ref="A62:O62"/>
    <mergeCell ref="A63:F63"/>
    <mergeCell ref="G63:G69"/>
    <mergeCell ref="H63:L63"/>
    <mergeCell ref="N63:O63"/>
    <mergeCell ref="A72:O72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X3:X4"/>
    <mergeCell ref="A12:O12"/>
    <mergeCell ref="A13:F13"/>
    <mergeCell ref="G13:G19"/>
    <mergeCell ref="H13:L13"/>
    <mergeCell ref="N13:O13"/>
  </mergeCells>
  <hyperlinks>
    <hyperlink ref="A12:O12" location="SGAS!A1" display="SGAS GY iShares MSCI USA ESG Screened" xr:uid="{60428A67-C940-4E03-BC44-12CE08AC3A7B}"/>
    <hyperlink ref="A22:O22" location="SLMC!A1" display="SLMC GY iShares MSCI Europe ESG Screened" xr:uid="{8177E225-C93D-4BCA-BD45-ED44FE463035}"/>
    <hyperlink ref="A32:O32" location="AYEM!A1" display="AYEM GY iShares MSCI EM IMI ESG Screened" xr:uid="{7648FCD2-2DE6-41D3-9334-107BB118E00C}"/>
    <hyperlink ref="A42:O42" location="SGAJ!A1" display="SGAJ GY iShares MSCI Japan ESG Screened" xr:uid="{E7B8B4FD-8A88-4095-8227-9287D52DAF5A}"/>
    <hyperlink ref="A52:O52" location="SLMG!A1" display="SLMG GY iShares JP Morgan ESG USD Bond" xr:uid="{8EC06EA5-6B28-42A6-96D5-160AEB463BAB}"/>
    <hyperlink ref="A62:O62" location="SECA!A1" display="SECA GY iShares Euro Govt Bond Climate" xr:uid="{3DBFABA8-3614-4B78-86B4-8A993DAFC70F}"/>
    <hyperlink ref="A72:O72" location="'AYE2'!A1" display="AYE2 GY iShares EUR High Yield Corp Bond" xr:uid="{AA2DF680-1F7C-48A9-953A-CB8F3FACBE02}"/>
  </hyperlinks>
  <pageMargins left="0.7" right="0.7" top="0.75" bottom="0.75" header="0.3" footer="0.3"/>
  <ignoredErrors>
    <ignoredError sqref="E19 E29 E39 E49 E59 E69 E79" formula="1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69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2025.01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</sheetData>
  <mergeCells count="37">
    <mergeCell ref="A62:O62"/>
    <mergeCell ref="A63:F63"/>
    <mergeCell ref="G63:G69"/>
    <mergeCell ref="H63:L63"/>
    <mergeCell ref="N63:O6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62:O62" location="SECA!A1" display="SECA GY iShares Euro Govt Bond Climate" xr:uid="{E213B52A-63C6-411C-8DA1-C5401E4950E2}"/>
    <hyperlink ref="A52:O52" location="SLMG!A1" display="SLMG GY iShares JP Morgan ESG USD Bond" xr:uid="{0DD9827A-267C-4A15-B8CD-69BB0C56B0DF}"/>
    <hyperlink ref="A42:O42" location="SGAJ!A1" display="SGAJ GY iShares MSCI Japan ESG Screened" xr:uid="{606EA109-6CED-4DF6-9DFD-9ABDD157A70A}"/>
    <hyperlink ref="A32:O32" location="AYEM!A1" display="AYEM GY iShares MSCI EM IMI ESG Screened" xr:uid="{6BD37F40-9DEB-4C5B-A560-446293819D99}"/>
    <hyperlink ref="A22:O22" location="SLMC!A1" display="SLMC GY iShares MSCI Europe ESG Screened" xr:uid="{3A141410-7B9D-486D-B870-80CA87DA39C1}"/>
    <hyperlink ref="A12:O12" location="SGAS!A1" display="SGAS GY iShares MSCI USA ESG Screened" xr:uid="{3DF4BD9D-4749-41F6-8937-1350F727D0EC}"/>
  </hyperlinks>
  <pageMargins left="0.7" right="0.7" top="0.75" bottom="0.75" header="0.3" footer="0.3"/>
  <pageSetup orientation="portrait" r:id="rId1"/>
  <ignoredErrors>
    <ignoredError sqref="E69 E59 E49 E39 E29 E19" formula="1"/>
  </ignoredError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69"/>
  <sheetViews>
    <sheetView workbookViewId="0">
      <selection activeCell="E69" sqref="E69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2024.12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39"/>
      <c r="B55" s="14"/>
      <c r="C55" s="5"/>
      <c r="D55" s="5"/>
      <c r="E55" s="15"/>
      <c r="F55" s="16"/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10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0</v>
      </c>
      <c r="C59" s="5">
        <f>SUM(C55:C58)</f>
        <v>0</v>
      </c>
      <c r="D59" s="5">
        <f>SUM(D55:D58)</f>
        <v>0</v>
      </c>
      <c r="E59" s="6" t="str">
        <f>IF(B59&gt;0,SUMPRODUCT(E55:E58,F55:F58)/SUM(F55:F58),"0.00")</f>
        <v>0.00</v>
      </c>
      <c r="F59" s="8">
        <f>SUM(F55:F58)</f>
        <v>0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39"/>
      <c r="B65" s="14"/>
      <c r="C65" s="5"/>
      <c r="D65" s="5"/>
      <c r="E65" s="15"/>
      <c r="F65" s="16"/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10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0</v>
      </c>
      <c r="C69" s="5">
        <f>SUM(C65:C68)</f>
        <v>0</v>
      </c>
      <c r="D69" s="5">
        <f>SUM(D65:D68)</f>
        <v>0</v>
      </c>
      <c r="E69" s="6" t="str">
        <f>IF(B69&gt;0,SUMPRODUCT(E65:E68,F65:F68)/SUM(F65:F68),"0.00")</f>
        <v>0.00</v>
      </c>
      <c r="F69" s="8">
        <f>SUM(F65:F68)</f>
        <v>0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</sheetData>
  <mergeCells count="37">
    <mergeCell ref="A62:O62"/>
    <mergeCell ref="A63:F63"/>
    <mergeCell ref="G63:G69"/>
    <mergeCell ref="H63:L63"/>
    <mergeCell ref="N63:O63"/>
    <mergeCell ref="A53:F53"/>
    <mergeCell ref="G53:G59"/>
    <mergeCell ref="H53:L53"/>
    <mergeCell ref="N53:O53"/>
    <mergeCell ref="A32:O32"/>
    <mergeCell ref="A33:F33"/>
    <mergeCell ref="G33:G39"/>
    <mergeCell ref="H33:L33"/>
    <mergeCell ref="N33:O33"/>
    <mergeCell ref="A42:O42"/>
    <mergeCell ref="A43:F43"/>
    <mergeCell ref="G43:G49"/>
    <mergeCell ref="H43:L43"/>
    <mergeCell ref="N43:O43"/>
    <mergeCell ref="A52:O5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62:O62" location="SECA!A1" display="SECA GY iShares Euro Govt Bond Climate" xr:uid="{A6777DBC-316F-456F-AE3B-58E8B2EA9BF1}"/>
    <hyperlink ref="A52:O52" location="SLMG!A1" display="SLMG GY iShares JP Morgan ESG USD Bond" xr:uid="{3255E00F-E0FF-48BD-8699-7453836AC5AC}"/>
    <hyperlink ref="A42:O42" location="SGAJ!A1" display="SGAJ GY iShares MSCI Japan ESG Screened" xr:uid="{5CE48046-07AE-4AEC-B395-930EDAADC90D}"/>
    <hyperlink ref="A32:O32" location="AYEM!A1" display="AYEM GY iShares MSCI EM IMI ESG Screened" xr:uid="{956FE92F-D2CA-4CFB-A730-E0941D55CDFA}"/>
    <hyperlink ref="A22:O22" location="SLMC!A1" display="SLMC GY iShares MSCI Europe ESG Screened" xr:uid="{EE3A6227-32B4-400E-A31D-6F161E4937CC}"/>
    <hyperlink ref="A12:O12" location="SGAS!A1" display="SGAS GY iShares MSCI USA ESG Screened" xr:uid="{3ABC9558-C79A-4EB2-AA27-D8B1DA8C76AE}"/>
  </hyperlinks>
  <pageMargins left="0.7" right="0.7" top="0.75" bottom="0.75" header="0.3" footer="0.3"/>
  <pageSetup orientation="portrait" r:id="rId1"/>
  <ignoredErrors>
    <ignoredError sqref="E69 E59 E49 E39 E29 E19" formula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69"/>
  <sheetViews>
    <sheetView topLeftCell="A43" workbookViewId="0">
      <selection activeCell="A62" sqref="A62:O6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2024.11</v>
      </c>
      <c r="R2" s="75"/>
      <c r="S2" s="75"/>
      <c r="T2" s="75"/>
      <c r="U2" s="75"/>
      <c r="V2" s="75"/>
      <c r="W2" s="75"/>
      <c r="X2" s="76"/>
    </row>
    <row r="3" spans="1:24" x14ac:dyDescent="0.25">
      <c r="Q3" s="60" t="s">
        <v>39</v>
      </c>
      <c r="R3" s="60" t="s">
        <v>47</v>
      </c>
      <c r="S3" s="60" t="s">
        <v>26</v>
      </c>
      <c r="T3" s="60" t="s">
        <v>44</v>
      </c>
      <c r="U3" s="67" t="s">
        <v>45</v>
      </c>
      <c r="V3" s="71"/>
      <c r="W3" s="68"/>
      <c r="X3" s="60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1"/>
    </row>
    <row r="5" spans="1:24" x14ac:dyDescent="0.25">
      <c r="Q5" s="5">
        <f>(B19+B29+B39+B49+B59+B69+B79+B89+B99+B109)-T5</f>
        <v>19.98</v>
      </c>
      <c r="R5" s="5">
        <v>0</v>
      </c>
      <c r="S5" s="5">
        <f>(C19+C29+C39+C49+C59+C69+C79+C89+C99+C109)-T5</f>
        <v>19.940000000000001</v>
      </c>
      <c r="T5" s="5">
        <f>(I19+I29+I39+I49+I59+I69+I79+I89+I99+I109)-W5</f>
        <v>0</v>
      </c>
      <c r="U5" s="5">
        <f>D19+D29+D39+D49+D59+D69+D79+D89+D99+D109</f>
        <v>3.9999999999999147E-2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  <row r="50" spans="1:16" x14ac:dyDescent="0.25">
      <c r="A50" s="12"/>
    </row>
    <row r="52" spans="1:16" x14ac:dyDescent="0.25">
      <c r="A52" s="88" t="s">
        <v>28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</row>
    <row r="53" spans="1:16" x14ac:dyDescent="0.25">
      <c r="A53" s="67" t="s">
        <v>40</v>
      </c>
      <c r="B53" s="71"/>
      <c r="C53" s="71"/>
      <c r="D53" s="71"/>
      <c r="E53" s="71"/>
      <c r="F53" s="68"/>
      <c r="G53" s="81"/>
      <c r="H53" s="84" t="s">
        <v>42</v>
      </c>
      <c r="I53" s="85"/>
      <c r="J53" s="85"/>
      <c r="K53" s="85"/>
      <c r="L53" s="86"/>
      <c r="M53" s="26"/>
      <c r="N53" s="67" t="s">
        <v>46</v>
      </c>
      <c r="O53" s="68"/>
      <c r="P53" s="27"/>
    </row>
    <row r="54" spans="1:16" x14ac:dyDescent="0.25">
      <c r="A54" s="28" t="s">
        <v>48</v>
      </c>
      <c r="B54" s="3" t="s">
        <v>3</v>
      </c>
      <c r="C54" s="3" t="s">
        <v>17</v>
      </c>
      <c r="D54" s="3" t="s">
        <v>15</v>
      </c>
      <c r="E54" s="3" t="s">
        <v>0</v>
      </c>
      <c r="F54" s="3" t="s">
        <v>1</v>
      </c>
      <c r="G54" s="82"/>
      <c r="H54" s="28" t="s">
        <v>48</v>
      </c>
      <c r="I54" s="3" t="s">
        <v>43</v>
      </c>
      <c r="J54" s="3" t="s">
        <v>15</v>
      </c>
      <c r="K54" s="3" t="s">
        <v>0</v>
      </c>
      <c r="L54" s="3" t="s">
        <v>1</v>
      </c>
      <c r="M54" s="29"/>
      <c r="N54" s="25" t="s">
        <v>48</v>
      </c>
      <c r="O54" s="3" t="s">
        <v>43</v>
      </c>
      <c r="P54" s="27"/>
    </row>
    <row r="55" spans="1:16" x14ac:dyDescent="0.25">
      <c r="A55" s="43">
        <v>45617</v>
      </c>
      <c r="B55" s="14">
        <v>9.99</v>
      </c>
      <c r="C55" s="5">
        <v>9.9700000000000006</v>
      </c>
      <c r="D55" s="5">
        <f>B55-C55</f>
        <v>1.9999999999999574E-2</v>
      </c>
      <c r="E55" s="15">
        <v>4.4889000000000001</v>
      </c>
      <c r="F55" s="16">
        <f>C55/E55</f>
        <v>2.221034106351222</v>
      </c>
      <c r="G55" s="82"/>
      <c r="H55" s="31"/>
      <c r="I55" s="6"/>
      <c r="J55" s="5"/>
      <c r="K55" s="5"/>
      <c r="L55" s="6"/>
      <c r="M55" s="24"/>
      <c r="N55" s="32"/>
      <c r="O55" s="5"/>
      <c r="P55" s="1"/>
    </row>
    <row r="56" spans="1:16" ht="15" customHeight="1" x14ac:dyDescent="0.25">
      <c r="A56" s="41"/>
      <c r="B56" s="5"/>
      <c r="C56" s="6"/>
      <c r="D56" s="6"/>
      <c r="E56" s="6"/>
      <c r="F56" s="8"/>
      <c r="G56" s="82"/>
      <c r="H56" s="31"/>
      <c r="I56" s="2"/>
      <c r="J56" s="2"/>
      <c r="K56" s="2"/>
      <c r="L56" s="2"/>
      <c r="M56" s="33"/>
      <c r="N56" s="34"/>
      <c r="O56" s="2"/>
    </row>
    <row r="57" spans="1:16" ht="15" customHeight="1" x14ac:dyDescent="0.3">
      <c r="A57" s="42"/>
      <c r="B57" s="5"/>
      <c r="C57" s="6"/>
      <c r="D57" s="6"/>
      <c r="E57" s="6"/>
      <c r="F57" s="8"/>
      <c r="G57" s="82"/>
      <c r="H57" s="31"/>
      <c r="I57" s="2"/>
      <c r="J57" s="2"/>
      <c r="K57" s="2"/>
      <c r="L57" s="2"/>
      <c r="M57" s="33"/>
      <c r="N57" s="34"/>
      <c r="O57" s="2"/>
    </row>
    <row r="58" spans="1:16" ht="15" customHeight="1" x14ac:dyDescent="0.3">
      <c r="A58" s="42"/>
      <c r="B58" s="5"/>
      <c r="C58" s="6"/>
      <c r="D58" s="6"/>
      <c r="E58" s="6"/>
      <c r="F58" s="6"/>
      <c r="G58" s="82"/>
      <c r="H58" s="31"/>
      <c r="I58" s="2"/>
      <c r="J58" s="2"/>
      <c r="K58" s="2"/>
      <c r="L58" s="2"/>
      <c r="M58" s="33"/>
      <c r="N58" s="34"/>
      <c r="O58" s="2"/>
    </row>
    <row r="59" spans="1:16" x14ac:dyDescent="0.25">
      <c r="A59" s="3" t="s">
        <v>2</v>
      </c>
      <c r="B59" s="5">
        <f>SUM(B55:B58)</f>
        <v>9.99</v>
      </c>
      <c r="C59" s="5">
        <f>SUM(C55:C58)</f>
        <v>9.9700000000000006</v>
      </c>
      <c r="D59" s="5">
        <f>SUM(D55:D58)</f>
        <v>1.9999999999999574E-2</v>
      </c>
      <c r="E59" s="6">
        <f>IF(B59&gt;0,SUMPRODUCT(E55:E58,F55:F58)/SUM(F55:F58),"0.00")</f>
        <v>4.4889000000000001</v>
      </c>
      <c r="F59" s="8">
        <f>SUM(F55:F58)</f>
        <v>2.221034106351222</v>
      </c>
      <c r="G59" s="83"/>
      <c r="H59" s="3" t="s">
        <v>2</v>
      </c>
      <c r="I59" s="5">
        <f>SUM(I55:I58)</f>
        <v>0</v>
      </c>
      <c r="J59" s="5">
        <f t="shared" ref="J59" si="7">SUM(J55:J58)</f>
        <v>0</v>
      </c>
      <c r="K59" s="6"/>
      <c r="L59" s="30">
        <f t="shared" ref="L59" si="8">SUM(L55:L58)</f>
        <v>0</v>
      </c>
      <c r="M59" s="35"/>
      <c r="N59" s="3" t="s">
        <v>2</v>
      </c>
      <c r="O59" s="5">
        <f>SUM(O55:O58)</f>
        <v>0</v>
      </c>
      <c r="P59" s="1"/>
    </row>
    <row r="62" spans="1:16" x14ac:dyDescent="0.25">
      <c r="A62" s="88" t="s">
        <v>16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1:16" x14ac:dyDescent="0.25">
      <c r="A63" s="67" t="s">
        <v>40</v>
      </c>
      <c r="B63" s="71"/>
      <c r="C63" s="71"/>
      <c r="D63" s="71"/>
      <c r="E63" s="71"/>
      <c r="F63" s="68"/>
      <c r="G63" s="81"/>
      <c r="H63" s="84" t="s">
        <v>42</v>
      </c>
      <c r="I63" s="85"/>
      <c r="J63" s="85"/>
      <c r="K63" s="85"/>
      <c r="L63" s="86"/>
      <c r="M63" s="26"/>
      <c r="N63" s="67" t="s">
        <v>46</v>
      </c>
      <c r="O63" s="68"/>
      <c r="P63" s="27"/>
    </row>
    <row r="64" spans="1:16" x14ac:dyDescent="0.25">
      <c r="A64" s="28" t="s">
        <v>48</v>
      </c>
      <c r="B64" s="3" t="s">
        <v>3</v>
      </c>
      <c r="C64" s="3" t="s">
        <v>17</v>
      </c>
      <c r="D64" s="3" t="s">
        <v>15</v>
      </c>
      <c r="E64" s="3" t="s">
        <v>0</v>
      </c>
      <c r="F64" s="3" t="s">
        <v>1</v>
      </c>
      <c r="G64" s="82"/>
      <c r="H64" s="28" t="s">
        <v>48</v>
      </c>
      <c r="I64" s="3" t="s">
        <v>43</v>
      </c>
      <c r="J64" s="3" t="s">
        <v>15</v>
      </c>
      <c r="K64" s="3" t="s">
        <v>0</v>
      </c>
      <c r="L64" s="3" t="s">
        <v>1</v>
      </c>
      <c r="M64" s="29"/>
      <c r="N64" s="25" t="s">
        <v>48</v>
      </c>
      <c r="O64" s="3" t="s">
        <v>43</v>
      </c>
      <c r="P64" s="27"/>
    </row>
    <row r="65" spans="1:16" x14ac:dyDescent="0.25">
      <c r="A65" s="56">
        <v>45618</v>
      </c>
      <c r="B65" s="14">
        <v>9.99</v>
      </c>
      <c r="C65" s="5">
        <v>9.9700000000000006</v>
      </c>
      <c r="D65" s="5">
        <f>B65-C65</f>
        <v>1.9999999999999574E-2</v>
      </c>
      <c r="E65" s="15">
        <v>4.3587999999999996</v>
      </c>
      <c r="F65" s="16">
        <f>C65/E65</f>
        <v>2.287326787189135</v>
      </c>
      <c r="G65" s="82"/>
      <c r="H65" s="31"/>
      <c r="I65" s="6"/>
      <c r="J65" s="5"/>
      <c r="K65" s="5"/>
      <c r="L65" s="6"/>
      <c r="M65" s="24"/>
      <c r="N65" s="32"/>
      <c r="O65" s="5"/>
      <c r="P65" s="1"/>
    </row>
    <row r="66" spans="1:16" ht="15" customHeight="1" x14ac:dyDescent="0.25">
      <c r="A66" s="59"/>
      <c r="B66" s="5"/>
      <c r="C66" s="6"/>
      <c r="D66" s="6"/>
      <c r="E66" s="6"/>
      <c r="F66" s="8"/>
      <c r="G66" s="82"/>
      <c r="H66" s="31"/>
      <c r="I66" s="2"/>
      <c r="J66" s="2"/>
      <c r="K66" s="2"/>
      <c r="L66" s="2"/>
      <c r="M66" s="33"/>
      <c r="N66" s="34"/>
      <c r="O66" s="2"/>
    </row>
    <row r="67" spans="1:16" ht="15" customHeight="1" x14ac:dyDescent="0.3">
      <c r="A67" s="42"/>
      <c r="B67" s="5"/>
      <c r="C67" s="6"/>
      <c r="D67" s="6"/>
      <c r="E67" s="6"/>
      <c r="F67" s="8"/>
      <c r="G67" s="82"/>
      <c r="H67" s="31"/>
      <c r="I67" s="2"/>
      <c r="J67" s="2"/>
      <c r="K67" s="2"/>
      <c r="L67" s="2"/>
      <c r="M67" s="33"/>
      <c r="N67" s="34"/>
      <c r="O67" s="2"/>
    </row>
    <row r="68" spans="1:16" ht="15" customHeight="1" x14ac:dyDescent="0.3">
      <c r="A68" s="42"/>
      <c r="B68" s="5"/>
      <c r="C68" s="6"/>
      <c r="D68" s="6"/>
      <c r="E68" s="6"/>
      <c r="F68" s="6"/>
      <c r="G68" s="82"/>
      <c r="H68" s="31"/>
      <c r="I68" s="2"/>
      <c r="J68" s="2"/>
      <c r="K68" s="2"/>
      <c r="L68" s="2"/>
      <c r="M68" s="33"/>
      <c r="N68" s="34"/>
      <c r="O68" s="2"/>
    </row>
    <row r="69" spans="1:16" x14ac:dyDescent="0.25">
      <c r="A69" s="3" t="s">
        <v>2</v>
      </c>
      <c r="B69" s="5">
        <f>SUM(B65:B68)</f>
        <v>9.99</v>
      </c>
      <c r="C69" s="5">
        <f>SUM(C65:C68)</f>
        <v>9.9700000000000006</v>
      </c>
      <c r="D69" s="5">
        <f>SUM(D65:D68)</f>
        <v>1.9999999999999574E-2</v>
      </c>
      <c r="E69" s="6">
        <f>IF(B69&gt;0,SUMPRODUCT(E65:E68,F65:F68)/SUM(F65:F68),"0.00")</f>
        <v>4.3587999999999996</v>
      </c>
      <c r="F69" s="8">
        <f>SUM(F65:F68)</f>
        <v>2.287326787189135</v>
      </c>
      <c r="G69" s="83"/>
      <c r="H69" s="3" t="s">
        <v>2</v>
      </c>
      <c r="I69" s="5">
        <f>SUM(I65:I68)</f>
        <v>0</v>
      </c>
      <c r="J69" s="5">
        <f t="shared" ref="J69" si="9">SUM(J65:J68)</f>
        <v>0</v>
      </c>
      <c r="K69" s="6"/>
      <c r="L69" s="30">
        <f t="shared" ref="L69" si="10">SUM(L65:L68)</f>
        <v>0</v>
      </c>
      <c r="M69" s="35"/>
      <c r="N69" s="3" t="s">
        <v>2</v>
      </c>
      <c r="O69" s="5">
        <f>SUM(O65:O68)</f>
        <v>0</v>
      </c>
      <c r="P69" s="1"/>
    </row>
  </sheetData>
  <mergeCells count="37">
    <mergeCell ref="Q3:Q4"/>
    <mergeCell ref="Q2:X2"/>
    <mergeCell ref="A62:O62"/>
    <mergeCell ref="A63:F63"/>
    <mergeCell ref="G63:G69"/>
    <mergeCell ref="H63:L63"/>
    <mergeCell ref="N63:O63"/>
    <mergeCell ref="A43:F43"/>
    <mergeCell ref="G43:G49"/>
    <mergeCell ref="H43:L43"/>
    <mergeCell ref="N43:O43"/>
    <mergeCell ref="A52:O52"/>
    <mergeCell ref="A53:F53"/>
    <mergeCell ref="G53:G59"/>
    <mergeCell ref="H53:L53"/>
    <mergeCell ref="N53:O53"/>
    <mergeCell ref="A42:O42"/>
    <mergeCell ref="U3:W3"/>
    <mergeCell ref="X3:X4"/>
    <mergeCell ref="A22:O22"/>
    <mergeCell ref="A23:F23"/>
    <mergeCell ref="G23:G29"/>
    <mergeCell ref="H23:L23"/>
    <mergeCell ref="N23:O23"/>
    <mergeCell ref="T3:T4"/>
    <mergeCell ref="S3:S4"/>
    <mergeCell ref="R3:R4"/>
    <mergeCell ref="A32:O32"/>
    <mergeCell ref="A33:F33"/>
    <mergeCell ref="G33:G39"/>
    <mergeCell ref="H33:L33"/>
    <mergeCell ref="N33:O33"/>
    <mergeCell ref="A12:O12"/>
    <mergeCell ref="A13:F13"/>
    <mergeCell ref="G13:G19"/>
    <mergeCell ref="H13:L13"/>
    <mergeCell ref="N13:O13"/>
  </mergeCells>
  <hyperlinks>
    <hyperlink ref="A12:O12" location="SGAS!A1" display="SGAS GY iShares MSCI USA ESG Screened" xr:uid="{6080F549-DF05-48C1-90E3-2A8B8A1B62B5}"/>
    <hyperlink ref="A22:O22" location="SLMC!A1" display="SLMC GY iShares MSCI Europe ESG Screened" xr:uid="{8EEB1173-D8D2-4E81-B3AC-07153DCA81CB}"/>
    <hyperlink ref="A32:O32" location="AYEM!A1" display="AYEM GY iShares MSCI EM IMI ESG Screened" xr:uid="{E9B78AB5-61D8-450C-B4AA-41D77BB8A5AD}"/>
    <hyperlink ref="A42:O42" location="SGAJ!A1" display="SGAJ GY iShares MSCI Japan ESG Screened" xr:uid="{97A70080-92FF-497B-9813-11DA12B57F93}"/>
    <hyperlink ref="A52:O52" location="SLMG!A1" display="SLMG GY iShares JP Morgan ESG USD Bond" xr:uid="{415AEBFF-6A46-458C-8A81-05C2077BBE81}"/>
    <hyperlink ref="A62:O62" location="SECA!A1" display="SECA GY iShares Euro Govt Bond Climate" xr:uid="{CBECDAE1-4B51-442E-B996-9C617D6BEC8F}"/>
  </hyperlinks>
  <pageMargins left="0.7" right="0.7" top="0.75" bottom="0.75" header="0.3" footer="0.3"/>
  <pageSetup orientation="portrait" r:id="rId1"/>
  <ignoredErrors>
    <ignoredError sqref="E19 E29 E39 E49 E59 E69" formula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49"/>
  <sheetViews>
    <sheetView workbookViewId="0"/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74">
        <v>2024.1</v>
      </c>
      <c r="R2" s="75"/>
      <c r="S2" s="75"/>
      <c r="T2" s="75"/>
      <c r="U2" s="75"/>
      <c r="V2" s="75"/>
      <c r="W2" s="75"/>
      <c r="X2" s="7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SGAS!A1" display="SGAS GY iShares MSCI USA ESG Screened" xr:uid="{08201EAE-E498-4ABF-8DE3-476CE69DA630}"/>
    <hyperlink ref="A22:O22" location="SLMC!A1" display="SLMC GY iShares MSCI Europe ESG Screened" xr:uid="{E2A12931-B0F4-4FB5-8D27-9609D74ECB5F}"/>
    <hyperlink ref="A32:O32" location="AYEM!A1" display="AYEM GY iShares MSCI EM IMI ESG Screened" xr:uid="{D2685D8C-1EF0-48F7-ABF4-5841D311DE9E}"/>
    <hyperlink ref="A42:O42" location="SGAJ!A1" display="SGAJ GY iShares MSCI Japan ESG Screened" xr:uid="{D6615DCE-A0E0-4BAA-9425-2B064BFE8FF5}"/>
  </hyperlinks>
  <pageMargins left="0.7" right="0.7" top="0.75" bottom="0.75" header="0.3" footer="0.3"/>
  <pageSetup orientation="portrait" r:id="rId1"/>
  <ignoredErrors>
    <ignoredError sqref="E19 E29 E39 E49" formula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49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104">
        <v>2024.09</v>
      </c>
      <c r="R2" s="105"/>
      <c r="S2" s="105"/>
      <c r="T2" s="105"/>
      <c r="U2" s="105"/>
      <c r="V2" s="105"/>
      <c r="W2" s="105"/>
      <c r="X2" s="10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42:O42" location="SGAJ!A1" display="SGAJ GY iShares MSCI Japan ESG Screened" xr:uid="{03F0424A-C4F5-41D8-9670-B595219F1DCD}"/>
    <hyperlink ref="A32:O32" location="AYEM!A1" display="AYEM GY iShares MSCI EM IMI ESG Screened" xr:uid="{1995A981-96B2-4D8B-A73E-F4C68BCCF299}"/>
    <hyperlink ref="A22:O22" location="SLMC!A1" display="SLMC GY iShares MSCI Europe ESG Screened" xr:uid="{B3CB13C3-F8C6-4D27-B821-EB77C8DD2C39}"/>
    <hyperlink ref="A12:O12" location="SGAS!A1" display="SGAS GY iShares MSCI USA ESG Screened" xr:uid="{ACB48BE0-86CF-4941-95CC-161EC7576DE3}"/>
  </hyperlinks>
  <pageMargins left="0.7" right="0.7" top="0.75" bottom="0.75" header="0.3" footer="0.3"/>
  <pageSetup orientation="portrait" r:id="rId1"/>
  <ignoredErrors>
    <ignoredError sqref="E19 E29 E39 E49" formula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49"/>
  <sheetViews>
    <sheetView workbookViewId="0">
      <selection activeCell="A42" sqref="A42:O4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104">
        <v>2024.08</v>
      </c>
      <c r="R2" s="105"/>
      <c r="S2" s="105"/>
      <c r="T2" s="105"/>
      <c r="U2" s="105"/>
      <c r="V2" s="105"/>
      <c r="W2" s="105"/>
      <c r="X2" s="10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12:O12" location="SGAS!A1" display="SGAS GY iShares MSCI USA ESG Screened" xr:uid="{226C0CA7-4C30-4FC2-9028-D7EF6ECA6A6C}"/>
    <hyperlink ref="A22:O22" location="SLMC!A1" display="SLMC GY iShares MSCI Europe ESG Screened" xr:uid="{3776B1A8-D0E7-43A7-BCBE-4D504B6F6531}"/>
    <hyperlink ref="A32:O32" location="AYEM!A1" display="AYEM GY iShares MSCI EM IMI ESG Screened" xr:uid="{AA00FCCB-CD92-40BE-AF70-184B74891C5D}"/>
    <hyperlink ref="A42:O42" location="SGAJ!A1" display="SGAJ GY iShares MSCI Japan ESG Screened" xr:uid="{87271731-3D76-4432-96E6-2D1EA7E52428}"/>
  </hyperlinks>
  <pageMargins left="0.7" right="0.7" top="0.75" bottom="0.75" header="0.3" footer="0.3"/>
  <pageSetup orientation="portrait" r:id="rId1"/>
  <ignoredErrors>
    <ignoredError sqref="E19 E29 E39 E49" formula="1"/>
  </ignoredError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49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104">
        <v>2024.07</v>
      </c>
      <c r="R2" s="105"/>
      <c r="S2" s="105"/>
      <c r="T2" s="105"/>
      <c r="U2" s="105"/>
      <c r="V2" s="105"/>
      <c r="W2" s="105"/>
      <c r="X2" s="10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0</v>
      </c>
      <c r="R5" s="5">
        <v>0</v>
      </c>
      <c r="S5" s="5">
        <f>(C19+C29+C39+C49+C59+C69+C79+C89+C99+C109)-T5</f>
        <v>0</v>
      </c>
      <c r="T5" s="5">
        <f>(I19+I29+I39+I49+I59+I69+I79+I89+I99+I109)-W5</f>
        <v>0</v>
      </c>
      <c r="U5" s="5">
        <f>D19+D29+D39+D49+D59+D69+D79+D89+D99+D109</f>
        <v>0</v>
      </c>
      <c r="V5" s="5">
        <v>0.01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36"/>
      <c r="B45" s="14"/>
      <c r="C45" s="5"/>
      <c r="D45" s="5"/>
      <c r="E45" s="15"/>
      <c r="F45" s="16"/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0</v>
      </c>
      <c r="C49" s="5">
        <f>SUM(C45:C48)</f>
        <v>0</v>
      </c>
      <c r="D49" s="5">
        <f>SUM(D45:D48)</f>
        <v>0</v>
      </c>
      <c r="E49" s="6" t="str">
        <f>IF(B49&gt;0,SUMPRODUCT(E45:E48,F45:F48)/SUM(F45:F48),"0.00")</f>
        <v>0.00</v>
      </c>
      <c r="F49" s="8">
        <f>SUM(F45:F48)</f>
        <v>0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</sheetData>
  <mergeCells count="27"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A22:O22"/>
    <mergeCell ref="A23:F23"/>
    <mergeCell ref="G23:G29"/>
    <mergeCell ref="H23:L23"/>
    <mergeCell ref="N23:O23"/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</mergeCells>
  <hyperlinks>
    <hyperlink ref="A42:O42" location="SGAJ!A1" display="SGAJ GY iShares MSCI Japan ESG Screened" xr:uid="{CE4FE8C4-16DF-4DE9-9C58-E0FF521B361D}"/>
    <hyperlink ref="A32:O32" location="AYEM!A1" display="AYEM GY iShares MSCI EM IMI ESG Screened" xr:uid="{6B3F66B6-A9F9-44DC-B96F-8E3EE85F89AB}"/>
    <hyperlink ref="A22:O22" location="SLMC!A1" display="SLMC GY iShares MSCI Europe ESG Screened" xr:uid="{562B4386-1EAA-4019-AB1E-EC9F66980F7D}"/>
    <hyperlink ref="A12:O12" location="SGAS!A1" display="SGAS GY iShares MSCI USA ESG Screened" xr:uid="{E47326A9-6F2F-4653-A7CE-9470340F9A7F}"/>
  </hyperlinks>
  <pageMargins left="0.7" right="0.7" top="0.75" bottom="0.75" header="0.3" footer="0.3"/>
  <pageSetup orientation="portrait" r:id="rId1"/>
  <ignoredErrors>
    <ignoredError sqref="E19 E29 E39 E49" formula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X49"/>
  <sheetViews>
    <sheetView topLeftCell="A16" workbookViewId="0">
      <selection activeCell="A42" sqref="A42:O4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104">
        <v>2024.06</v>
      </c>
      <c r="R2" s="105"/>
      <c r="S2" s="105"/>
      <c r="T2" s="105"/>
      <c r="U2" s="105"/>
      <c r="V2" s="105"/>
      <c r="W2" s="105"/>
      <c r="X2" s="10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9.98</v>
      </c>
      <c r="R5" s="5">
        <v>0</v>
      </c>
      <c r="S5" s="5">
        <f>(C19+C29+C39+C49+C59+C69+C79+C89+C99+C109)-T5</f>
        <v>9.9600000000000009</v>
      </c>
      <c r="T5" s="5">
        <f>(I19+I29+I39+I49+I59+I69+I79+I89+I99+I109)-W5</f>
        <v>0</v>
      </c>
      <c r="U5" s="5">
        <f>D19+D29+D39+D49+D59+D69+D79+D89+D99+D109</f>
        <v>1.9999999999999574E-2</v>
      </c>
      <c r="V5" s="5">
        <v>0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36"/>
      <c r="B15" s="14"/>
      <c r="C15" s="5"/>
      <c r="D15" s="5"/>
      <c r="E15" s="13"/>
      <c r="F15" s="8"/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8">
        <f>SUM(F15:F18)</f>
        <v>0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36"/>
      <c r="B25" s="14"/>
      <c r="C25" s="5"/>
      <c r="D25" s="5"/>
      <c r="E25" s="15"/>
      <c r="F25" s="16"/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>SUM(C25:C28)</f>
        <v>0</v>
      </c>
      <c r="D29" s="5">
        <f>SUM(D25:D28)</f>
        <v>0</v>
      </c>
      <c r="E29" s="6" t="str">
        <f>IF(B29&gt;0,SUMPRODUCT(E25:E28,F25:F28)/SUM(F25:F28),"0.00")</f>
        <v>0.00</v>
      </c>
      <c r="F29" s="8">
        <f>SUM(F25:F28)</f>
        <v>0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36"/>
      <c r="B35" s="14"/>
      <c r="C35" s="5"/>
      <c r="D35" s="5"/>
      <c r="E35" s="13"/>
      <c r="F35" s="16"/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0</v>
      </c>
      <c r="C39" s="5">
        <f>SUM(C35:C38)</f>
        <v>0</v>
      </c>
      <c r="D39" s="5">
        <f>SUM(D35:D38)</f>
        <v>0</v>
      </c>
      <c r="E39" s="6" t="str">
        <f>IF(B39&gt;0,SUMPRODUCT(E35:E38,F35:F38)/SUM(F35:F38),"0.00")</f>
        <v>0.00</v>
      </c>
      <c r="F39" s="8">
        <f>SUM(F35:F38)</f>
        <v>0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  <row r="40" spans="1:16" x14ac:dyDescent="0.25">
      <c r="A40" s="12"/>
    </row>
    <row r="42" spans="1:16" x14ac:dyDescent="0.25">
      <c r="A42" s="88" t="s">
        <v>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</row>
    <row r="43" spans="1:16" x14ac:dyDescent="0.25">
      <c r="A43" s="67" t="s">
        <v>40</v>
      </c>
      <c r="B43" s="71"/>
      <c r="C43" s="71"/>
      <c r="D43" s="71"/>
      <c r="E43" s="71"/>
      <c r="F43" s="68"/>
      <c r="G43" s="81"/>
      <c r="H43" s="84" t="s">
        <v>42</v>
      </c>
      <c r="I43" s="85"/>
      <c r="J43" s="85"/>
      <c r="K43" s="85"/>
      <c r="L43" s="86"/>
      <c r="M43" s="26"/>
      <c r="N43" s="67" t="s">
        <v>46</v>
      </c>
      <c r="O43" s="68"/>
      <c r="P43" s="27"/>
    </row>
    <row r="44" spans="1:16" x14ac:dyDescent="0.25">
      <c r="A44" s="28" t="s">
        <v>48</v>
      </c>
      <c r="B44" s="3" t="s">
        <v>3</v>
      </c>
      <c r="C44" s="3" t="s">
        <v>17</v>
      </c>
      <c r="D44" s="3" t="s">
        <v>15</v>
      </c>
      <c r="E44" s="3" t="s">
        <v>0</v>
      </c>
      <c r="F44" s="3" t="s">
        <v>1</v>
      </c>
      <c r="G44" s="82"/>
      <c r="H44" s="28" t="s">
        <v>48</v>
      </c>
      <c r="I44" s="3" t="s">
        <v>43</v>
      </c>
      <c r="J44" s="3" t="s">
        <v>15</v>
      </c>
      <c r="K44" s="3" t="s">
        <v>0</v>
      </c>
      <c r="L44" s="3" t="s">
        <v>1</v>
      </c>
      <c r="M44" s="29"/>
      <c r="N44" s="25" t="s">
        <v>48</v>
      </c>
      <c r="O44" s="3" t="s">
        <v>43</v>
      </c>
      <c r="P44" s="27"/>
    </row>
    <row r="45" spans="1:16" x14ac:dyDescent="0.25">
      <c r="A45" s="40">
        <v>45449</v>
      </c>
      <c r="B45" s="14">
        <v>9.98</v>
      </c>
      <c r="C45" s="5">
        <v>9.9600000000000009</v>
      </c>
      <c r="D45" s="5">
        <f>B45-C45</f>
        <v>1.9999999999999574E-2</v>
      </c>
      <c r="E45" s="15">
        <v>6.1550000000000002</v>
      </c>
      <c r="F45" s="16">
        <v>1.619</v>
      </c>
      <c r="G45" s="82"/>
      <c r="H45" s="31"/>
      <c r="I45" s="6"/>
      <c r="J45" s="5"/>
      <c r="K45" s="5"/>
      <c r="L45" s="6"/>
      <c r="M45" s="24"/>
      <c r="N45" s="32"/>
      <c r="O45" s="5"/>
      <c r="P45" s="1"/>
    </row>
    <row r="46" spans="1:16" ht="15" customHeight="1" x14ac:dyDescent="0.25">
      <c r="A46" s="10"/>
      <c r="B46" s="5"/>
      <c r="C46" s="6"/>
      <c r="D46" s="6"/>
      <c r="E46" s="6"/>
      <c r="F46" s="8"/>
      <c r="G46" s="82"/>
      <c r="H46" s="31"/>
      <c r="I46" s="2"/>
      <c r="J46" s="2"/>
      <c r="K46" s="2"/>
      <c r="L46" s="2"/>
      <c r="M46" s="33"/>
      <c r="N46" s="34"/>
      <c r="O46" s="2"/>
    </row>
    <row r="47" spans="1:16" ht="15" customHeight="1" x14ac:dyDescent="0.3">
      <c r="A47" s="4"/>
      <c r="B47" s="5"/>
      <c r="C47" s="6"/>
      <c r="D47" s="6"/>
      <c r="E47" s="6"/>
      <c r="F47" s="8"/>
      <c r="G47" s="82"/>
      <c r="H47" s="31"/>
      <c r="I47" s="2"/>
      <c r="J47" s="2"/>
      <c r="K47" s="2"/>
      <c r="L47" s="2"/>
      <c r="M47" s="33"/>
      <c r="N47" s="34"/>
      <c r="O47" s="2"/>
    </row>
    <row r="48" spans="1:16" ht="15" customHeight="1" x14ac:dyDescent="0.3">
      <c r="A48" s="4"/>
      <c r="B48" s="5"/>
      <c r="C48" s="6"/>
      <c r="D48" s="6"/>
      <c r="E48" s="6"/>
      <c r="F48" s="6"/>
      <c r="G48" s="82"/>
      <c r="H48" s="31"/>
      <c r="I48" s="2"/>
      <c r="J48" s="2"/>
      <c r="K48" s="2"/>
      <c r="L48" s="2"/>
      <c r="M48" s="33"/>
      <c r="N48" s="34"/>
      <c r="O48" s="2"/>
    </row>
    <row r="49" spans="1:16" x14ac:dyDescent="0.25">
      <c r="A49" s="3" t="s">
        <v>2</v>
      </c>
      <c r="B49" s="5">
        <f>SUM(B45:B48)</f>
        <v>9.98</v>
      </c>
      <c r="C49" s="5">
        <f>SUM(C45:C48)</f>
        <v>9.9600000000000009</v>
      </c>
      <c r="D49" s="5">
        <f>SUM(D45:D48)</f>
        <v>1.9999999999999574E-2</v>
      </c>
      <c r="E49" s="6">
        <f>IF(B49&gt;0,SUMPRODUCT(E45:E48,F45:F48)/SUM(F45:F48),"0.00")</f>
        <v>6.1550000000000002</v>
      </c>
      <c r="F49" s="8">
        <f>SUM(F45:F48)</f>
        <v>1.619</v>
      </c>
      <c r="G49" s="83"/>
      <c r="H49" s="3" t="s">
        <v>2</v>
      </c>
      <c r="I49" s="5">
        <f>SUM(I45:I48)</f>
        <v>0</v>
      </c>
      <c r="J49" s="5">
        <f t="shared" ref="J49" si="5">SUM(J45:J48)</f>
        <v>0</v>
      </c>
      <c r="K49" s="6"/>
      <c r="L49" s="30">
        <f t="shared" ref="L49" si="6">SUM(L45:L48)</f>
        <v>0</v>
      </c>
      <c r="M49" s="35"/>
      <c r="N49" s="3" t="s">
        <v>2</v>
      </c>
      <c r="O49" s="5">
        <f>SUM(O45:O48)</f>
        <v>0</v>
      </c>
      <c r="P49" s="1"/>
    </row>
  </sheetData>
  <mergeCells count="27">
    <mergeCell ref="H23:L23"/>
    <mergeCell ref="N23:O23"/>
    <mergeCell ref="T3:T4"/>
    <mergeCell ref="S3:S4"/>
    <mergeCell ref="R3:R4"/>
    <mergeCell ref="Q3:Q4"/>
    <mergeCell ref="A12:O12"/>
    <mergeCell ref="A13:F13"/>
    <mergeCell ref="G13:G19"/>
    <mergeCell ref="H13:L13"/>
    <mergeCell ref="N13:O13"/>
    <mergeCell ref="Q2:X2"/>
    <mergeCell ref="A43:F43"/>
    <mergeCell ref="G43:G49"/>
    <mergeCell ref="H43:L43"/>
    <mergeCell ref="N43:O43"/>
    <mergeCell ref="A32:O32"/>
    <mergeCell ref="A33:F33"/>
    <mergeCell ref="G33:G39"/>
    <mergeCell ref="H33:L33"/>
    <mergeCell ref="N33:O33"/>
    <mergeCell ref="A42:O42"/>
    <mergeCell ref="U3:W3"/>
    <mergeCell ref="X3:X4"/>
    <mergeCell ref="A22:O22"/>
    <mergeCell ref="A23:F23"/>
    <mergeCell ref="G23:G29"/>
  </mergeCells>
  <hyperlinks>
    <hyperlink ref="A42:O42" location="SGAJ!A1" display="SGAJ GY iShares MSCI Japan ESG Screened" xr:uid="{550FC256-AEBD-440C-94AC-5C2DEA0838F0}"/>
    <hyperlink ref="A32:O32" location="AYEM!A1" display="AYEM GY iShares MSCI EM IMI ESG Screened" xr:uid="{DA5039B5-E02B-4E36-B782-B6E6EE4D63DA}"/>
    <hyperlink ref="A22:O22" location="SLMC!A1" display="SLMC GY iShares MSCI Europe ESG Screened" xr:uid="{5F5BD2BC-2F7F-450A-8557-8C15D2F75890}"/>
    <hyperlink ref="A12:O12" location="SGAS!A1" display="SGAS GY iShares MSCI USA ESG Screened" xr:uid="{40DFF2E7-20B8-4318-AB7D-7F175F445E95}"/>
  </hyperlinks>
  <pageMargins left="0.7" right="0.7" top="0.75" bottom="0.75" header="0.3" footer="0.3"/>
  <pageSetup orientation="portrait" r:id="rId1"/>
  <ignoredErrors>
    <ignoredError sqref="E49 E39 E29 E19" formula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X39"/>
  <sheetViews>
    <sheetView workbookViewId="0">
      <selection activeCell="A12" sqref="A12:O12"/>
    </sheetView>
  </sheetViews>
  <sheetFormatPr defaultRowHeight="15" x14ac:dyDescent="0.25"/>
  <cols>
    <col min="1" max="6" width="10.7109375" customWidth="1"/>
    <col min="7" max="7" width="2.7109375" customWidth="1"/>
    <col min="8" max="12" width="10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104">
        <v>2024.05</v>
      </c>
      <c r="R2" s="105"/>
      <c r="S2" s="105"/>
      <c r="T2" s="105"/>
      <c r="U2" s="105"/>
      <c r="V2" s="105"/>
      <c r="W2" s="105"/>
      <c r="X2" s="106"/>
    </row>
    <row r="3" spans="1:24" x14ac:dyDescent="0.25">
      <c r="Q3" s="100" t="s">
        <v>39</v>
      </c>
      <c r="R3" s="100" t="s">
        <v>47</v>
      </c>
      <c r="S3" s="100" t="s">
        <v>26</v>
      </c>
      <c r="T3" s="100" t="s">
        <v>44</v>
      </c>
      <c r="U3" s="101" t="s">
        <v>45</v>
      </c>
      <c r="V3" s="102"/>
      <c r="W3" s="103"/>
      <c r="X3" s="62" t="s">
        <v>46</v>
      </c>
    </row>
    <row r="4" spans="1:24" x14ac:dyDescent="0.25">
      <c r="Q4" s="61"/>
      <c r="R4" s="61"/>
      <c r="S4" s="61"/>
      <c r="T4" s="61"/>
      <c r="U4" s="18" t="s">
        <v>40</v>
      </c>
      <c r="V4" s="18" t="s">
        <v>25</v>
      </c>
      <c r="W4" s="17" t="s">
        <v>42</v>
      </c>
      <c r="X4" s="62"/>
    </row>
    <row r="5" spans="1:24" x14ac:dyDescent="0.25">
      <c r="Q5" s="5">
        <f>(B19+B29+B39+B49+B59+B69+B79+B89+B99+B109)-T5</f>
        <v>29.96</v>
      </c>
      <c r="R5" s="5">
        <v>0</v>
      </c>
      <c r="S5" s="5">
        <f>(C19+C29+C39+C49+C59+C69+C79+C89+C99+C109)-T5</f>
        <v>29.9</v>
      </c>
      <c r="T5" s="5">
        <f>(I19+I29+I39+I49+I59+I69+I79+I89+I99+I109)-W5</f>
        <v>0</v>
      </c>
      <c r="U5" s="5">
        <f>D19+D29+D39+D49+D59+D69+D79+D89+D99+D109</f>
        <v>5.9999999999998721E-2</v>
      </c>
      <c r="V5" s="5">
        <v>0</v>
      </c>
      <c r="W5" s="5">
        <f>J19+J29+J39+J49+J59+J69+J79+J89+J99+J109</f>
        <v>0</v>
      </c>
      <c r="X5" s="5">
        <f>O19+O29+O39+O49+O59+O69+O79+O89+O99+O109</f>
        <v>0</v>
      </c>
    </row>
    <row r="12" spans="1:24" x14ac:dyDescent="0.25">
      <c r="A12" s="88" t="s">
        <v>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7" t="s">
        <v>40</v>
      </c>
      <c r="B13" s="71"/>
      <c r="C13" s="71"/>
      <c r="D13" s="71"/>
      <c r="E13" s="71"/>
      <c r="F13" s="68"/>
      <c r="G13" s="81"/>
      <c r="H13" s="84" t="s">
        <v>42</v>
      </c>
      <c r="I13" s="85"/>
      <c r="J13" s="85"/>
      <c r="K13" s="85"/>
      <c r="L13" s="86"/>
      <c r="M13" s="26"/>
      <c r="N13" s="67" t="s">
        <v>46</v>
      </c>
      <c r="O13" s="68"/>
      <c r="P13" s="27"/>
    </row>
    <row r="14" spans="1:24" x14ac:dyDescent="0.25">
      <c r="A14" s="28" t="s">
        <v>48</v>
      </c>
      <c r="B14" s="3" t="s">
        <v>3</v>
      </c>
      <c r="C14" s="3" t="s">
        <v>17</v>
      </c>
      <c r="D14" s="3" t="s">
        <v>15</v>
      </c>
      <c r="E14" s="3" t="s">
        <v>0</v>
      </c>
      <c r="F14" s="3" t="s">
        <v>1</v>
      </c>
      <c r="G14" s="82"/>
      <c r="H14" s="28" t="s">
        <v>48</v>
      </c>
      <c r="I14" s="3" t="s">
        <v>43</v>
      </c>
      <c r="J14" s="3" t="s">
        <v>15</v>
      </c>
      <c r="K14" s="3" t="s">
        <v>0</v>
      </c>
      <c r="L14" s="3" t="s">
        <v>1</v>
      </c>
      <c r="M14" s="29"/>
      <c r="N14" s="25" t="s">
        <v>48</v>
      </c>
      <c r="O14" s="3" t="s">
        <v>43</v>
      </c>
      <c r="P14" s="27"/>
    </row>
    <row r="15" spans="1:24" x14ac:dyDescent="0.25">
      <c r="A15" s="55">
        <v>45442</v>
      </c>
      <c r="B15" s="14">
        <v>9.99</v>
      </c>
      <c r="C15" s="5">
        <v>9.9700000000000006</v>
      </c>
      <c r="D15" s="5">
        <f>B15-C15</f>
        <v>1.9999999999999574E-2</v>
      </c>
      <c r="E15" s="13">
        <v>9.8480000000000008</v>
      </c>
      <c r="F15" s="8">
        <f>C15/E15</f>
        <v>1.0123883021933386</v>
      </c>
      <c r="G15" s="82"/>
      <c r="H15" s="31"/>
      <c r="I15" s="6"/>
      <c r="J15" s="5"/>
      <c r="K15" s="5"/>
      <c r="L15" s="6"/>
      <c r="M15" s="24"/>
      <c r="N15" s="32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2"/>
      <c r="H16" s="31"/>
      <c r="I16" s="2"/>
      <c r="J16" s="2"/>
      <c r="K16" s="2"/>
      <c r="L16" s="2"/>
      <c r="M16" s="33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2"/>
      <c r="H17" s="31"/>
      <c r="I17" s="2"/>
      <c r="J17" s="2"/>
      <c r="K17" s="2"/>
      <c r="L17" s="2"/>
      <c r="M17" s="33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2"/>
      <c r="H18" s="31"/>
      <c r="I18" s="2"/>
      <c r="J18" s="2"/>
      <c r="K18" s="2"/>
      <c r="L18" s="2"/>
      <c r="M18" s="33"/>
      <c r="N18" s="34"/>
      <c r="O18" s="2"/>
    </row>
    <row r="19" spans="1:18" x14ac:dyDescent="0.25">
      <c r="A19" s="3" t="s">
        <v>2</v>
      </c>
      <c r="B19" s="5">
        <f>SUM(B15:B18)</f>
        <v>9.99</v>
      </c>
      <c r="C19" s="5">
        <f>SUM(C15:C18)</f>
        <v>9.9700000000000006</v>
      </c>
      <c r="D19" s="5">
        <f>SUM(D15:D18)</f>
        <v>1.9999999999999574E-2</v>
      </c>
      <c r="E19" s="6">
        <f>IF(B19&gt;0,SUMPRODUCT(E15:E18,F15:F18)/SUM(F15:F18),"0.00")</f>
        <v>9.8480000000000008</v>
      </c>
      <c r="F19" s="8">
        <f>SUM(F15:F18)</f>
        <v>1.0123883021933386</v>
      </c>
      <c r="G19" s="83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0">
        <f t="shared" si="0"/>
        <v>0</v>
      </c>
      <c r="M19" s="35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ht="15" customHeight="1" x14ac:dyDescent="0.25">
      <c r="B21" s="1"/>
      <c r="E21" s="1"/>
      <c r="F21" s="1"/>
    </row>
    <row r="22" spans="1:18" x14ac:dyDescent="0.25">
      <c r="A22" s="88" t="s">
        <v>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67" t="s">
        <v>40</v>
      </c>
      <c r="B23" s="71"/>
      <c r="C23" s="71"/>
      <c r="D23" s="71"/>
      <c r="E23" s="71"/>
      <c r="F23" s="68"/>
      <c r="G23" s="81"/>
      <c r="H23" s="84" t="s">
        <v>42</v>
      </c>
      <c r="I23" s="85"/>
      <c r="J23" s="85"/>
      <c r="K23" s="85"/>
      <c r="L23" s="86"/>
      <c r="M23" s="26"/>
      <c r="N23" s="67" t="s">
        <v>46</v>
      </c>
      <c r="O23" s="68"/>
      <c r="P23" s="27"/>
    </row>
    <row r="24" spans="1:18" x14ac:dyDescent="0.25">
      <c r="A24" s="28" t="s">
        <v>48</v>
      </c>
      <c r="B24" s="3" t="s">
        <v>3</v>
      </c>
      <c r="C24" s="3" t="s">
        <v>17</v>
      </c>
      <c r="D24" s="3" t="s">
        <v>15</v>
      </c>
      <c r="E24" s="3" t="s">
        <v>0</v>
      </c>
      <c r="F24" s="3" t="s">
        <v>1</v>
      </c>
      <c r="G24" s="82"/>
      <c r="H24" s="28" t="s">
        <v>48</v>
      </c>
      <c r="I24" s="3" t="s">
        <v>43</v>
      </c>
      <c r="J24" s="3" t="s">
        <v>15</v>
      </c>
      <c r="K24" s="3" t="s">
        <v>0</v>
      </c>
      <c r="L24" s="3" t="s">
        <v>1</v>
      </c>
      <c r="M24" s="29"/>
      <c r="N24" s="25" t="s">
        <v>48</v>
      </c>
      <c r="O24" s="3" t="s">
        <v>43</v>
      </c>
      <c r="P24" s="27"/>
    </row>
    <row r="25" spans="1:18" x14ac:dyDescent="0.25">
      <c r="A25" s="55">
        <v>45443</v>
      </c>
      <c r="B25" s="14">
        <v>9.98</v>
      </c>
      <c r="C25" s="5">
        <v>9.9600000000000009</v>
      </c>
      <c r="D25" s="5">
        <f>B25-C25</f>
        <v>1.9999999999999574E-2</v>
      </c>
      <c r="E25" s="15">
        <v>8.5289999999999999</v>
      </c>
      <c r="F25" s="16">
        <f>C25/E25</f>
        <v>1.1677805135420332</v>
      </c>
      <c r="G25" s="82"/>
      <c r="H25" s="31"/>
      <c r="I25" s="6"/>
      <c r="J25" s="5"/>
      <c r="K25" s="5"/>
      <c r="L25" s="6"/>
      <c r="M25" s="24"/>
      <c r="N25" s="32"/>
      <c r="O25" s="5"/>
      <c r="P25" s="1"/>
      <c r="R25" s="1"/>
    </row>
    <row r="26" spans="1:18" ht="15" customHeight="1" x14ac:dyDescent="0.25">
      <c r="A26" s="10"/>
      <c r="B26" s="5"/>
      <c r="C26" s="6"/>
      <c r="D26" s="6"/>
      <c r="E26" s="6"/>
      <c r="F26" s="8"/>
      <c r="G26" s="82"/>
      <c r="H26" s="31"/>
      <c r="I26" s="2"/>
      <c r="J26" s="2"/>
      <c r="K26" s="2"/>
      <c r="L26" s="2"/>
      <c r="M26" s="33"/>
      <c r="N26" s="34"/>
      <c r="O26" s="2"/>
    </row>
    <row r="27" spans="1:18" ht="15" customHeight="1" x14ac:dyDescent="0.3">
      <c r="A27" s="4"/>
      <c r="B27" s="5"/>
      <c r="C27" s="6"/>
      <c r="D27" s="6"/>
      <c r="E27" s="6"/>
      <c r="F27" s="8"/>
      <c r="G27" s="82"/>
      <c r="H27" s="31"/>
      <c r="I27" s="2"/>
      <c r="J27" s="2"/>
      <c r="K27" s="2"/>
      <c r="L27" s="2"/>
      <c r="M27" s="33"/>
      <c r="N27" s="34"/>
      <c r="O27" s="2"/>
    </row>
    <row r="28" spans="1:18" ht="15" customHeight="1" x14ac:dyDescent="0.3">
      <c r="A28" s="4"/>
      <c r="B28" s="5"/>
      <c r="C28" s="6"/>
      <c r="D28" s="6"/>
      <c r="E28" s="6"/>
      <c r="F28" s="6"/>
      <c r="G28" s="82"/>
      <c r="H28" s="31"/>
      <c r="I28" s="2"/>
      <c r="J28" s="2"/>
      <c r="K28" s="2"/>
      <c r="L28" s="2"/>
      <c r="M28" s="33"/>
      <c r="N28" s="34"/>
      <c r="O28" s="2"/>
    </row>
    <row r="29" spans="1:18" x14ac:dyDescent="0.25">
      <c r="A29" s="3" t="s">
        <v>2</v>
      </c>
      <c r="B29" s="5">
        <f>SUM(B25:B28)</f>
        <v>9.98</v>
      </c>
      <c r="C29" s="5">
        <f>SUM(C25:C28)</f>
        <v>9.9600000000000009</v>
      </c>
      <c r="D29" s="5">
        <f>SUM(D25:D28)</f>
        <v>1.9999999999999574E-2</v>
      </c>
      <c r="E29" s="6">
        <f>IF(B29&gt;0,SUMPRODUCT(E25:E28,F25:F28)/SUM(F25:F28),"0.00")</f>
        <v>8.5289999999999999</v>
      </c>
      <c r="F29" s="8">
        <f>SUM(F25:F28)</f>
        <v>1.1677805135420332</v>
      </c>
      <c r="G29" s="83"/>
      <c r="H29" s="3" t="s">
        <v>2</v>
      </c>
      <c r="I29" s="5">
        <f>SUM(I25:I28)</f>
        <v>0</v>
      </c>
      <c r="J29" s="5">
        <f t="shared" ref="J29" si="1">SUM(J25:J28)</f>
        <v>0</v>
      </c>
      <c r="K29" s="6"/>
      <c r="L29" s="30">
        <f t="shared" ref="L29" si="2">SUM(L25:L28)</f>
        <v>0</v>
      </c>
      <c r="M29" s="35"/>
      <c r="N29" s="3" t="s">
        <v>2</v>
      </c>
      <c r="O29" s="5">
        <f>SUM(O25:O28)</f>
        <v>0</v>
      </c>
      <c r="P29" s="1"/>
    </row>
    <row r="32" spans="1:18" x14ac:dyDescent="0.25">
      <c r="A32" s="88" t="s">
        <v>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3" spans="1:16" x14ac:dyDescent="0.25">
      <c r="A33" s="67" t="s">
        <v>40</v>
      </c>
      <c r="B33" s="71"/>
      <c r="C33" s="71"/>
      <c r="D33" s="71"/>
      <c r="E33" s="71"/>
      <c r="F33" s="68"/>
      <c r="G33" s="81"/>
      <c r="H33" s="84" t="s">
        <v>42</v>
      </c>
      <c r="I33" s="85"/>
      <c r="J33" s="85"/>
      <c r="K33" s="85"/>
      <c r="L33" s="86"/>
      <c r="M33" s="26"/>
      <c r="N33" s="67" t="s">
        <v>46</v>
      </c>
      <c r="O33" s="68"/>
      <c r="P33" s="27"/>
    </row>
    <row r="34" spans="1:16" x14ac:dyDescent="0.25">
      <c r="A34" s="28" t="s">
        <v>48</v>
      </c>
      <c r="B34" s="3" t="s">
        <v>3</v>
      </c>
      <c r="C34" s="3" t="s">
        <v>17</v>
      </c>
      <c r="D34" s="3" t="s">
        <v>15</v>
      </c>
      <c r="E34" s="3" t="s">
        <v>0</v>
      </c>
      <c r="F34" s="3" t="s">
        <v>1</v>
      </c>
      <c r="G34" s="82"/>
      <c r="H34" s="28" t="s">
        <v>48</v>
      </c>
      <c r="I34" s="3" t="s">
        <v>43</v>
      </c>
      <c r="J34" s="3" t="s">
        <v>15</v>
      </c>
      <c r="K34" s="3" t="s">
        <v>0</v>
      </c>
      <c r="L34" s="3" t="s">
        <v>1</v>
      </c>
      <c r="M34" s="29"/>
      <c r="N34" s="25" t="s">
        <v>48</v>
      </c>
      <c r="O34" s="3" t="s">
        <v>43</v>
      </c>
      <c r="P34" s="27"/>
    </row>
    <row r="35" spans="1:16" x14ac:dyDescent="0.25">
      <c r="A35" s="55">
        <v>45442</v>
      </c>
      <c r="B35" s="14">
        <v>9.99</v>
      </c>
      <c r="C35" s="5">
        <v>9.9700000000000006</v>
      </c>
      <c r="D35" s="5">
        <f>B35-C35</f>
        <v>1.9999999999999574E-2</v>
      </c>
      <c r="E35" s="13">
        <v>6.0129000000000001</v>
      </c>
      <c r="F35" s="16">
        <f>C35/E35</f>
        <v>1.658101747908663</v>
      </c>
      <c r="G35" s="82"/>
      <c r="H35" s="31"/>
      <c r="I35" s="6"/>
      <c r="J35" s="5"/>
      <c r="K35" s="5"/>
      <c r="L35" s="6"/>
      <c r="M35" s="24"/>
      <c r="N35" s="32"/>
      <c r="O35" s="5"/>
      <c r="P35" s="1"/>
    </row>
    <row r="36" spans="1:16" ht="15" customHeight="1" x14ac:dyDescent="0.25">
      <c r="A36" s="10"/>
      <c r="B36" s="5"/>
      <c r="C36" s="6"/>
      <c r="D36" s="6"/>
      <c r="E36" s="6"/>
      <c r="F36" s="8"/>
      <c r="G36" s="82"/>
      <c r="H36" s="31"/>
      <c r="I36" s="2"/>
      <c r="J36" s="2"/>
      <c r="K36" s="2"/>
      <c r="L36" s="2"/>
      <c r="M36" s="33"/>
      <c r="N36" s="34"/>
      <c r="O36" s="2"/>
    </row>
    <row r="37" spans="1:16" ht="15" customHeight="1" x14ac:dyDescent="0.3">
      <c r="A37" s="4"/>
      <c r="B37" s="5"/>
      <c r="C37" s="6"/>
      <c r="D37" s="6"/>
      <c r="E37" s="6"/>
      <c r="F37" s="8"/>
      <c r="G37" s="82"/>
      <c r="H37" s="31"/>
      <c r="I37" s="2"/>
      <c r="J37" s="2"/>
      <c r="K37" s="2"/>
      <c r="L37" s="2"/>
      <c r="M37" s="33"/>
      <c r="N37" s="34"/>
      <c r="O37" s="2"/>
    </row>
    <row r="38" spans="1:16" ht="15" customHeight="1" x14ac:dyDescent="0.3">
      <c r="A38" s="4"/>
      <c r="B38" s="5"/>
      <c r="C38" s="6"/>
      <c r="D38" s="6"/>
      <c r="E38" s="6"/>
      <c r="F38" s="6"/>
      <c r="G38" s="82"/>
      <c r="H38" s="31"/>
      <c r="I38" s="2"/>
      <c r="J38" s="2"/>
      <c r="K38" s="2"/>
      <c r="L38" s="2"/>
      <c r="M38" s="33"/>
      <c r="N38" s="34"/>
      <c r="O38" s="2"/>
    </row>
    <row r="39" spans="1:16" x14ac:dyDescent="0.25">
      <c r="A39" s="3" t="s">
        <v>2</v>
      </c>
      <c r="B39" s="5">
        <f>SUM(B35:B38)</f>
        <v>9.99</v>
      </c>
      <c r="C39" s="5">
        <f>SUM(C35:C38)</f>
        <v>9.9700000000000006</v>
      </c>
      <c r="D39" s="5">
        <f>SUM(D35:D38)</f>
        <v>1.9999999999999574E-2</v>
      </c>
      <c r="E39" s="6">
        <f>IF(B39&gt;0,SUMPRODUCT(E35:E38,F35:F38)/SUM(F35:F38),"0.00")</f>
        <v>6.0129000000000001</v>
      </c>
      <c r="F39" s="8">
        <f>SUM(F35:F38)</f>
        <v>1.658101747908663</v>
      </c>
      <c r="G39" s="83"/>
      <c r="H39" s="3" t="s">
        <v>2</v>
      </c>
      <c r="I39" s="5">
        <f>SUM(I35:I38)</f>
        <v>0</v>
      </c>
      <c r="J39" s="5">
        <f t="shared" ref="J39" si="3">SUM(J35:J38)</f>
        <v>0</v>
      </c>
      <c r="K39" s="6"/>
      <c r="L39" s="30">
        <f t="shared" ref="L39" si="4">SUM(L35:L38)</f>
        <v>0</v>
      </c>
      <c r="M39" s="35"/>
      <c r="N39" s="3" t="s">
        <v>2</v>
      </c>
      <c r="O39" s="5">
        <f>SUM(O35:O38)</f>
        <v>0</v>
      </c>
      <c r="P39" s="1"/>
    </row>
  </sheetData>
  <mergeCells count="22">
    <mergeCell ref="A12:O12"/>
    <mergeCell ref="Q2:X2"/>
    <mergeCell ref="A13:F13"/>
    <mergeCell ref="G13:G19"/>
    <mergeCell ref="H13:L13"/>
    <mergeCell ref="N13:O13"/>
    <mergeCell ref="Q3:Q4"/>
    <mergeCell ref="R3:R4"/>
    <mergeCell ref="S3:S4"/>
    <mergeCell ref="T3:T4"/>
    <mergeCell ref="U3:W3"/>
    <mergeCell ref="X3:X4"/>
    <mergeCell ref="A22:O22"/>
    <mergeCell ref="A23:F23"/>
    <mergeCell ref="G23:G29"/>
    <mergeCell ref="H23:L23"/>
    <mergeCell ref="N23:O23"/>
    <mergeCell ref="A33:F33"/>
    <mergeCell ref="G33:G39"/>
    <mergeCell ref="H33:L33"/>
    <mergeCell ref="N33:O33"/>
    <mergeCell ref="A32:O32"/>
  </mergeCells>
  <hyperlinks>
    <hyperlink ref="A32:O32" location="AYEM!A1" display="AYEM GY iShares MSCI EM IMI ESG Screened" xr:uid="{7A0CA781-A5FA-45E7-B262-80B670A81968}"/>
    <hyperlink ref="A22:O22" location="SLMC!A1" display="SLMC GY iShares MSCI Europe ESG Screened" xr:uid="{44CC3146-88B7-471B-AAE5-B5358B8B0BE9}"/>
    <hyperlink ref="A12:O12" location="SGAS!A1" display="SGAS GY iShares MSCI USA ESG Screened" xr:uid="{1DDA6B60-FD72-4506-8081-9FA98EAFA707}"/>
  </hyperlinks>
  <pageMargins left="0.7" right="0.7" top="0.75" bottom="0.75" header="0.3" footer="0.3"/>
  <pageSetup orientation="portrait" r:id="rId1"/>
  <ignoredErrors>
    <ignoredError sqref="E39 E29 E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Apžvalga</vt:lpstr>
      <vt:lpstr>SLMC</vt:lpstr>
      <vt:lpstr>AYEM</vt:lpstr>
      <vt:lpstr>SGAJ</vt:lpstr>
      <vt:lpstr>WEBN</vt:lpstr>
      <vt:lpstr>XNAS</vt:lpstr>
      <vt:lpstr>SGAS</vt:lpstr>
      <vt:lpstr>SLMG</vt:lpstr>
      <vt:lpstr>SECA</vt:lpstr>
      <vt:lpstr>AYE2</vt:lpstr>
      <vt:lpstr>ECRP</vt:lpstr>
      <vt:lpstr>IUSN</vt:lpstr>
      <vt:lpstr>ECR3</vt:lpstr>
      <vt:lpstr>SPYL</vt:lpstr>
      <vt:lpstr>2026.09</vt:lpstr>
      <vt:lpstr>2026.08</vt:lpstr>
      <vt:lpstr>2026.07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  <vt:lpstr>2024.08</vt:lpstr>
      <vt:lpstr>2024.07</vt:lpstr>
      <vt:lpstr>2024.06</vt:lpstr>
      <vt:lpstr>2024.05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2026-10-01T06:36:45Z</dcterms:modified>
</cp:coreProperties>
</file>