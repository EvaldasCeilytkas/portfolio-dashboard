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Lendermarket\"/>
    </mc:Choice>
  </mc:AlternateContent>
  <xr:revisionPtr revIDLastSave="0" documentId="13_ncr:1_{F1FA814D-6A6D-4ACB-9E78-2027C3816B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8945000DP4C3YFA45N3457082561" sheetId="31" r:id="rId3"/>
    <sheet name="8945000DP4C3YFA45N3453716086" sheetId="30" r:id="rId4"/>
    <sheet name="8945000DP4C3YFA45N3469604165" sheetId="29" r:id="rId5"/>
    <sheet name="8945000DP4C3YFA45N3460847714" sheetId="28" r:id="rId6"/>
    <sheet name="8945000DP4C3YFA45N3489849864" sheetId="27" r:id="rId7"/>
    <sheet name="8945000DP4C3YFA45N3431128353" sheetId="26" r:id="rId8"/>
    <sheet name="8945000DP4C3YFA45N3430165789" sheetId="25" r:id="rId9"/>
    <sheet name="8945000DP4C3YFA45N3432815787" sheetId="24" r:id="rId10"/>
    <sheet name="8945000DP4C3YFA45N3413372056" sheetId="23" r:id="rId11"/>
    <sheet name="8945000DP4C3YFA45N3413742182" sheetId="22" r:id="rId12"/>
    <sheet name="8945000DP4C3YFA45N3480247173" sheetId="21" r:id="rId13"/>
    <sheet name="8945000DP4C3YFA45N3431985084" sheetId="20" r:id="rId14"/>
    <sheet name="8945000DP4C3YFA45N3421733887" sheetId="19" r:id="rId15"/>
    <sheet name="de81-49b6-a7b5-77be994b7d06" sheetId="18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N16" i="1"/>
  <c r="M16" i="1"/>
  <c r="J16" i="1"/>
  <c r="I16" i="1"/>
  <c r="H16" i="1"/>
  <c r="G16" i="1"/>
  <c r="F16" i="1"/>
  <c r="E16" i="1"/>
  <c r="D16" i="1"/>
  <c r="C16" i="1"/>
  <c r="B16" i="1"/>
  <c r="I53" i="31"/>
  <c r="H53" i="31"/>
  <c r="L3" i="31" s="1"/>
  <c r="G53" i="31"/>
  <c r="K3" i="3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M3" i="31"/>
  <c r="F3" i="31"/>
  <c r="S3" i="1"/>
  <c r="Q3" i="1"/>
  <c r="L3" i="18"/>
  <c r="L3" i="19"/>
  <c r="L3" i="20"/>
  <c r="L3" i="21"/>
  <c r="L3" i="23"/>
  <c r="L3" i="24"/>
  <c r="L3" i="26"/>
  <c r="L3" i="27"/>
  <c r="L3" i="28"/>
  <c r="O3" i="1"/>
  <c r="O4" i="1"/>
  <c r="O5" i="1"/>
  <c r="O6" i="1"/>
  <c r="O8" i="1"/>
  <c r="O9" i="1"/>
  <c r="O11" i="1"/>
  <c r="O12" i="1"/>
  <c r="O13" i="1"/>
  <c r="O3" i="31" l="1"/>
  <c r="Z3" i="31"/>
  <c r="B12" i="31"/>
  <c r="K16" i="1" s="1"/>
  <c r="Q3" i="31"/>
  <c r="N3" i="31"/>
  <c r="I15" i="1"/>
  <c r="H15" i="1"/>
  <c r="G15" i="1"/>
  <c r="F15" i="1"/>
  <c r="E15" i="1"/>
  <c r="D15" i="1"/>
  <c r="C15" i="1"/>
  <c r="B15" i="1"/>
  <c r="I53" i="30"/>
  <c r="M3" i="30" s="1"/>
  <c r="O15" i="1" s="1"/>
  <c r="H53" i="30"/>
  <c r="L3" i="30" s="1"/>
  <c r="N15" i="1" s="1"/>
  <c r="G53" i="30"/>
  <c r="K3" i="30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I14" i="1"/>
  <c r="H14" i="1"/>
  <c r="G14" i="1"/>
  <c r="F14" i="1"/>
  <c r="E14" i="1"/>
  <c r="D14" i="1"/>
  <c r="C14" i="1"/>
  <c r="B14" i="1"/>
  <c r="I53" i="29"/>
  <c r="M3" i="29" s="1"/>
  <c r="O14" i="1" s="1"/>
  <c r="H53" i="29"/>
  <c r="L3" i="29" s="1"/>
  <c r="N14" i="1" s="1"/>
  <c r="G53" i="29"/>
  <c r="K3" i="29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13" i="1"/>
  <c r="H13" i="1"/>
  <c r="G13" i="1"/>
  <c r="F13" i="1"/>
  <c r="E13" i="1"/>
  <c r="D13" i="1"/>
  <c r="C13" i="1"/>
  <c r="B13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13" i="1"/>
  <c r="F3" i="28"/>
  <c r="P3" i="31" l="1"/>
  <c r="L16" i="1" s="1"/>
  <c r="AC16" i="1"/>
  <c r="O3" i="30"/>
  <c r="J15" i="1" s="1"/>
  <c r="Z3" i="30"/>
  <c r="P3" i="30" s="1"/>
  <c r="L15" i="1" s="1"/>
  <c r="Q3" i="30"/>
  <c r="M15" i="1"/>
  <c r="O3" i="29"/>
  <c r="J14" i="1" s="1"/>
  <c r="B12" i="29"/>
  <c r="K14" i="1" s="1"/>
  <c r="Z3" i="29"/>
  <c r="P3" i="29" s="1"/>
  <c r="L14" i="1" s="1"/>
  <c r="Q3" i="29"/>
  <c r="M14" i="1"/>
  <c r="B12" i="30"/>
  <c r="N3" i="30"/>
  <c r="O3" i="28"/>
  <c r="J13" i="1" s="1"/>
  <c r="Q3" i="28"/>
  <c r="M13" i="1"/>
  <c r="Z3" i="28"/>
  <c r="N3" i="29"/>
  <c r="B12" i="28"/>
  <c r="N3" i="28"/>
  <c r="K15" i="1" l="1"/>
  <c r="AC15" i="1"/>
  <c r="AC14" i="1"/>
  <c r="P3" i="28"/>
  <c r="L13" i="1" s="1"/>
  <c r="AC13" i="1"/>
  <c r="K13" i="1"/>
  <c r="N12" i="1" l="1"/>
  <c r="M12" i="1"/>
  <c r="J12" i="1"/>
  <c r="I12" i="1"/>
  <c r="H12" i="1"/>
  <c r="G12" i="1"/>
  <c r="F12" i="1"/>
  <c r="E12" i="1"/>
  <c r="D12" i="1"/>
  <c r="C12" i="1"/>
  <c r="B12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Z3" i="27" l="1"/>
  <c r="B12" i="27"/>
  <c r="N3" i="27"/>
  <c r="O3" i="27"/>
  <c r="Q3" i="2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A200" i="15"/>
  <c r="I11" i="1"/>
  <c r="H11" i="1"/>
  <c r="G11" i="1"/>
  <c r="F11" i="1"/>
  <c r="E11" i="1"/>
  <c r="D11" i="1"/>
  <c r="C11" i="1"/>
  <c r="B11" i="1"/>
  <c r="I53" i="26"/>
  <c r="H53" i="26"/>
  <c r="N11" i="1" s="1"/>
  <c r="G53" i="26"/>
  <c r="K3" i="26" s="1"/>
  <c r="M11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I10" i="1"/>
  <c r="H10" i="1"/>
  <c r="G10" i="1"/>
  <c r="F10" i="1"/>
  <c r="E10" i="1"/>
  <c r="D10" i="1"/>
  <c r="C10" i="1"/>
  <c r="B10" i="1"/>
  <c r="I53" i="25"/>
  <c r="M3" i="25" s="1"/>
  <c r="O10" i="1" s="1"/>
  <c r="H53" i="25"/>
  <c r="L3" i="25" s="1"/>
  <c r="G53" i="25"/>
  <c r="K3" i="25" s="1"/>
  <c r="M10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9" i="1"/>
  <c r="H9" i="1"/>
  <c r="G9" i="1"/>
  <c r="F9" i="1"/>
  <c r="E9" i="1"/>
  <c r="D9" i="1"/>
  <c r="C9" i="1"/>
  <c r="B9" i="1"/>
  <c r="I53" i="24"/>
  <c r="M3" i="24" s="1"/>
  <c r="H53" i="24"/>
  <c r="G53" i="24"/>
  <c r="K3" i="24" s="1"/>
  <c r="O3" i="24" s="1"/>
  <c r="J9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I8" i="1"/>
  <c r="H8" i="1"/>
  <c r="G8" i="1"/>
  <c r="F8" i="1"/>
  <c r="E8" i="1"/>
  <c r="D8" i="1"/>
  <c r="C8" i="1"/>
  <c r="B8" i="1"/>
  <c r="I53" i="23"/>
  <c r="M3" i="23" s="1"/>
  <c r="H53" i="23"/>
  <c r="N8" i="1" s="1"/>
  <c r="G53" i="23"/>
  <c r="K3" i="23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Y7" i="23"/>
  <c r="X7" i="23"/>
  <c r="F7" i="23"/>
  <c r="Y6" i="23"/>
  <c r="X6" i="23"/>
  <c r="F6" i="23"/>
  <c r="Y5" i="23"/>
  <c r="X5" i="23"/>
  <c r="F5" i="23"/>
  <c r="Y4" i="23"/>
  <c r="X4" i="23"/>
  <c r="F4" i="23"/>
  <c r="Y3" i="23"/>
  <c r="X3" i="23"/>
  <c r="F3" i="23"/>
  <c r="I7" i="1"/>
  <c r="H7" i="1"/>
  <c r="G7" i="1"/>
  <c r="F7" i="1"/>
  <c r="E7" i="1"/>
  <c r="D7" i="1"/>
  <c r="C7" i="1"/>
  <c r="B7" i="1"/>
  <c r="I53" i="22"/>
  <c r="M3" i="22" s="1"/>
  <c r="O7" i="1" s="1"/>
  <c r="AA3" i="1" s="1"/>
  <c r="H53" i="22"/>
  <c r="L3" i="22" s="1"/>
  <c r="N7" i="1" s="1"/>
  <c r="G53" i="22"/>
  <c r="K3" i="22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F4" i="22"/>
  <c r="Y3" i="22"/>
  <c r="X3" i="22"/>
  <c r="F3" i="22"/>
  <c r="N6" i="1"/>
  <c r="I6" i="1"/>
  <c r="H6" i="1"/>
  <c r="G6" i="1"/>
  <c r="F6" i="1"/>
  <c r="E6" i="1"/>
  <c r="D6" i="1"/>
  <c r="C6" i="1"/>
  <c r="B6" i="1"/>
  <c r="I53" i="21"/>
  <c r="H53" i="21"/>
  <c r="G53" i="21"/>
  <c r="K3" i="2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5" i="1"/>
  <c r="H5" i="1"/>
  <c r="G5" i="1"/>
  <c r="F5" i="1"/>
  <c r="E5" i="1"/>
  <c r="D5" i="1"/>
  <c r="C5" i="1"/>
  <c r="B5" i="1"/>
  <c r="I53" i="20"/>
  <c r="M3" i="20" s="1"/>
  <c r="H53" i="20"/>
  <c r="G53" i="20"/>
  <c r="K3" i="20" s="1"/>
  <c r="Z3" i="20" s="1"/>
  <c r="P3" i="20" s="1"/>
  <c r="L5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F3" i="20"/>
  <c r="I4" i="1"/>
  <c r="H4" i="1"/>
  <c r="G4" i="1"/>
  <c r="F4" i="1"/>
  <c r="E4" i="1"/>
  <c r="D4" i="1"/>
  <c r="C4" i="1"/>
  <c r="B4" i="1"/>
  <c r="P3" i="27" l="1"/>
  <c r="L12" i="1" s="1"/>
  <c r="AC12" i="1"/>
  <c r="N9" i="1"/>
  <c r="K12" i="1"/>
  <c r="N10" i="1"/>
  <c r="V3" i="1" s="1"/>
  <c r="W3" i="1" s="1"/>
  <c r="K200" i="15" s="1"/>
  <c r="Z3" i="1" s="1"/>
  <c r="Z3" i="26"/>
  <c r="B12" i="26"/>
  <c r="N3" i="26"/>
  <c r="O3" i="26"/>
  <c r="J11" i="1" s="1"/>
  <c r="Q3" i="26"/>
  <c r="O3" i="23"/>
  <c r="J8" i="1" s="1"/>
  <c r="B12" i="23"/>
  <c r="K8" i="1" s="1"/>
  <c r="Z3" i="23"/>
  <c r="P3" i="23" s="1"/>
  <c r="L8" i="1" s="1"/>
  <c r="M8" i="1"/>
  <c r="Q3" i="23"/>
  <c r="N3" i="23"/>
  <c r="Z3" i="25"/>
  <c r="O3" i="25"/>
  <c r="J10" i="1" s="1"/>
  <c r="B12" i="25"/>
  <c r="N3" i="25"/>
  <c r="Q3" i="25"/>
  <c r="Q3" i="24"/>
  <c r="Z3" i="24"/>
  <c r="P3" i="24" s="1"/>
  <c r="L9" i="1" s="1"/>
  <c r="M9" i="1"/>
  <c r="B12" i="24"/>
  <c r="K9" i="1" s="1"/>
  <c r="N3" i="24"/>
  <c r="Z3" i="22"/>
  <c r="O3" i="22"/>
  <c r="J7" i="1" s="1"/>
  <c r="M7" i="1"/>
  <c r="U3" i="1" s="1"/>
  <c r="R3" i="1" s="1"/>
  <c r="Q3" i="22"/>
  <c r="Z3" i="21"/>
  <c r="P3" i="21" s="1"/>
  <c r="L6" i="1" s="1"/>
  <c r="Q3" i="21"/>
  <c r="M6" i="1"/>
  <c r="N3" i="22"/>
  <c r="B12" i="22"/>
  <c r="K7" i="1" s="1"/>
  <c r="AC5" i="1"/>
  <c r="N3" i="21"/>
  <c r="B12" i="21"/>
  <c r="K6" i="1" s="1"/>
  <c r="O3" i="21"/>
  <c r="J6" i="1" s="1"/>
  <c r="N5" i="1"/>
  <c r="M5" i="1"/>
  <c r="Q3" i="20"/>
  <c r="N3" i="20"/>
  <c r="B12" i="20"/>
  <c r="K5" i="1" s="1"/>
  <c r="O3" i="20"/>
  <c r="J5" i="1" s="1"/>
  <c r="I53" i="19"/>
  <c r="M3" i="19" s="1"/>
  <c r="H53" i="19"/>
  <c r="G53" i="19"/>
  <c r="K3" i="19" s="1"/>
  <c r="M4" i="1" s="1"/>
  <c r="Y52" i="19"/>
  <c r="X52" i="19"/>
  <c r="F52" i="19"/>
  <c r="Y51" i="19"/>
  <c r="X51" i="19"/>
  <c r="F51" i="19"/>
  <c r="Y50" i="19"/>
  <c r="X50" i="19"/>
  <c r="F50" i="19"/>
  <c r="Y49" i="19"/>
  <c r="X49" i="19"/>
  <c r="F49" i="19"/>
  <c r="Y48" i="19"/>
  <c r="X48" i="19"/>
  <c r="F48" i="19"/>
  <c r="Y47" i="19"/>
  <c r="X47" i="19"/>
  <c r="F47" i="19"/>
  <c r="Y46" i="19"/>
  <c r="X46" i="19"/>
  <c r="F46" i="19"/>
  <c r="Y45" i="19"/>
  <c r="X45" i="19"/>
  <c r="F45" i="19"/>
  <c r="Y44" i="19"/>
  <c r="X44" i="19"/>
  <c r="F44" i="19"/>
  <c r="Y43" i="19"/>
  <c r="X43" i="19"/>
  <c r="F43" i="19"/>
  <c r="Y42" i="19"/>
  <c r="X42" i="19"/>
  <c r="F42" i="19"/>
  <c r="Y41" i="19"/>
  <c r="X41" i="19"/>
  <c r="F41" i="19"/>
  <c r="Y40" i="19"/>
  <c r="X40" i="19"/>
  <c r="F40" i="19"/>
  <c r="Y39" i="19"/>
  <c r="X39" i="19"/>
  <c r="F39" i="19"/>
  <c r="Y38" i="19"/>
  <c r="X38" i="19"/>
  <c r="F38" i="19"/>
  <c r="Y37" i="19"/>
  <c r="X37" i="19"/>
  <c r="F37" i="19"/>
  <c r="Y36" i="19"/>
  <c r="X36" i="19"/>
  <c r="F36" i="19"/>
  <c r="Y35" i="19"/>
  <c r="X35" i="19"/>
  <c r="F35" i="19"/>
  <c r="Y34" i="19"/>
  <c r="X34" i="19"/>
  <c r="F34" i="19"/>
  <c r="Y33" i="19"/>
  <c r="X33" i="19"/>
  <c r="F33" i="19"/>
  <c r="Y32" i="19"/>
  <c r="X32" i="19"/>
  <c r="F32" i="19"/>
  <c r="Y31" i="19"/>
  <c r="X31" i="19"/>
  <c r="F31" i="19"/>
  <c r="Y30" i="19"/>
  <c r="X30" i="19"/>
  <c r="F30" i="19"/>
  <c r="Y29" i="19"/>
  <c r="X29" i="19"/>
  <c r="F29" i="19"/>
  <c r="Y28" i="19"/>
  <c r="X28" i="19"/>
  <c r="F28" i="19"/>
  <c r="Y27" i="19"/>
  <c r="X27" i="19"/>
  <c r="F27" i="19"/>
  <c r="Y26" i="19"/>
  <c r="X26" i="19"/>
  <c r="F26" i="19"/>
  <c r="Y25" i="19"/>
  <c r="X25" i="19"/>
  <c r="F25" i="19"/>
  <c r="Y24" i="19"/>
  <c r="X24" i="19"/>
  <c r="F24" i="19"/>
  <c r="Y23" i="19"/>
  <c r="X23" i="19"/>
  <c r="F23" i="19"/>
  <c r="Y22" i="19"/>
  <c r="X22" i="19"/>
  <c r="F22" i="19"/>
  <c r="Y21" i="19"/>
  <c r="X21" i="19"/>
  <c r="F21" i="19"/>
  <c r="Y20" i="19"/>
  <c r="X20" i="19"/>
  <c r="F20" i="19"/>
  <c r="Y19" i="19"/>
  <c r="X19" i="19"/>
  <c r="F19" i="19"/>
  <c r="Y18" i="19"/>
  <c r="X18" i="19"/>
  <c r="F18" i="19"/>
  <c r="Y17" i="19"/>
  <c r="X17" i="19"/>
  <c r="F17" i="19"/>
  <c r="Y16" i="19"/>
  <c r="X16" i="19"/>
  <c r="F16" i="19"/>
  <c r="Y15" i="19"/>
  <c r="X15" i="19"/>
  <c r="F15" i="19"/>
  <c r="Y14" i="19"/>
  <c r="X14" i="19"/>
  <c r="F14" i="19"/>
  <c r="Y13" i="19"/>
  <c r="X13" i="19"/>
  <c r="F13" i="19"/>
  <c r="Y12" i="19"/>
  <c r="X12" i="19"/>
  <c r="F12" i="19"/>
  <c r="Y11" i="19"/>
  <c r="X11" i="19"/>
  <c r="F11" i="19"/>
  <c r="Y10" i="19"/>
  <c r="X10" i="19"/>
  <c r="F10" i="19"/>
  <c r="Y9" i="19"/>
  <c r="X9" i="19"/>
  <c r="F9" i="19"/>
  <c r="Y8" i="19"/>
  <c r="X8" i="19"/>
  <c r="F8" i="19"/>
  <c r="B8" i="19"/>
  <c r="Y7" i="19"/>
  <c r="X7" i="19"/>
  <c r="F7" i="19"/>
  <c r="Y6" i="19"/>
  <c r="X6" i="19"/>
  <c r="F6" i="19"/>
  <c r="Y5" i="19"/>
  <c r="X5" i="19"/>
  <c r="F5" i="19"/>
  <c r="Y4" i="19"/>
  <c r="X4" i="19"/>
  <c r="F4" i="19"/>
  <c r="Y3" i="19"/>
  <c r="X3" i="19"/>
  <c r="F3" i="19"/>
  <c r="I3" i="1"/>
  <c r="H3" i="1"/>
  <c r="G3" i="1"/>
  <c r="F3" i="1"/>
  <c r="E3" i="1"/>
  <c r="D3" i="1"/>
  <c r="C3" i="1"/>
  <c r="T3" i="1" l="1"/>
  <c r="X3" i="1"/>
  <c r="Y3" i="1"/>
  <c r="N4" i="1"/>
  <c r="K11" i="1"/>
  <c r="P3" i="26"/>
  <c r="L11" i="1" s="1"/>
  <c r="AC11" i="1"/>
  <c r="P3" i="25"/>
  <c r="L10" i="1" s="1"/>
  <c r="AC10" i="1"/>
  <c r="AC8" i="1"/>
  <c r="K10" i="1"/>
  <c r="AC9" i="1"/>
  <c r="P3" i="22"/>
  <c r="L7" i="1" s="1"/>
  <c r="AC7" i="1"/>
  <c r="AC6" i="1"/>
  <c r="Z3" i="19"/>
  <c r="Q3" i="19"/>
  <c r="O3" i="19"/>
  <c r="J4" i="1" s="1"/>
  <c r="B12" i="19"/>
  <c r="K4" i="1" s="1"/>
  <c r="N3" i="19"/>
  <c r="B3" i="1"/>
  <c r="I53" i="18"/>
  <c r="M3" i="18" s="1"/>
  <c r="H53" i="18"/>
  <c r="G53" i="18"/>
  <c r="K3" i="18" s="1"/>
  <c r="M3" i="1" s="1"/>
  <c r="Y52" i="18"/>
  <c r="X52" i="18"/>
  <c r="F52" i="18"/>
  <c r="Y51" i="18"/>
  <c r="X51" i="18"/>
  <c r="F51" i="18"/>
  <c r="Y50" i="18"/>
  <c r="X50" i="18"/>
  <c r="F50" i="18"/>
  <c r="Y49" i="18"/>
  <c r="X49" i="18"/>
  <c r="F49" i="18"/>
  <c r="Y48" i="18"/>
  <c r="X48" i="18"/>
  <c r="F48" i="18"/>
  <c r="Y47" i="18"/>
  <c r="X47" i="18"/>
  <c r="F47" i="18"/>
  <c r="Y46" i="18"/>
  <c r="X46" i="18"/>
  <c r="F46" i="18"/>
  <c r="Y45" i="18"/>
  <c r="X45" i="18"/>
  <c r="F45" i="18"/>
  <c r="Y44" i="18"/>
  <c r="X44" i="18"/>
  <c r="F44" i="18"/>
  <c r="Y43" i="18"/>
  <c r="X43" i="18"/>
  <c r="F43" i="18"/>
  <c r="Y42" i="18"/>
  <c r="X42" i="18"/>
  <c r="F42" i="18"/>
  <c r="Y41" i="18"/>
  <c r="X41" i="18"/>
  <c r="F41" i="18"/>
  <c r="Y40" i="18"/>
  <c r="X40" i="18"/>
  <c r="F40" i="18"/>
  <c r="Y39" i="18"/>
  <c r="X39" i="18"/>
  <c r="F39" i="18"/>
  <c r="Y38" i="18"/>
  <c r="X38" i="18"/>
  <c r="F38" i="18"/>
  <c r="Y37" i="18"/>
  <c r="X37" i="18"/>
  <c r="F37" i="18"/>
  <c r="Y36" i="18"/>
  <c r="X36" i="18"/>
  <c r="F36" i="18"/>
  <c r="Y35" i="18"/>
  <c r="X35" i="18"/>
  <c r="F35" i="18"/>
  <c r="Y34" i="18"/>
  <c r="X34" i="18"/>
  <c r="F34" i="18"/>
  <c r="Y33" i="18"/>
  <c r="X33" i="18"/>
  <c r="F33" i="18"/>
  <c r="Y32" i="18"/>
  <c r="X32" i="18"/>
  <c r="F32" i="18"/>
  <c r="Y31" i="18"/>
  <c r="X31" i="18"/>
  <c r="F31" i="18"/>
  <c r="Y30" i="18"/>
  <c r="X30" i="18"/>
  <c r="F30" i="18"/>
  <c r="Y29" i="18"/>
  <c r="X29" i="18"/>
  <c r="F29" i="18"/>
  <c r="Y28" i="18"/>
  <c r="X28" i="18"/>
  <c r="F28" i="18"/>
  <c r="Y27" i="18"/>
  <c r="X27" i="18"/>
  <c r="F27" i="18"/>
  <c r="Y26" i="18"/>
  <c r="X26" i="18"/>
  <c r="F26" i="18"/>
  <c r="Y25" i="18"/>
  <c r="X25" i="18"/>
  <c r="F25" i="18"/>
  <c r="Y24" i="18"/>
  <c r="X24" i="18"/>
  <c r="F24" i="18"/>
  <c r="Y23" i="18"/>
  <c r="X23" i="18"/>
  <c r="F23" i="18"/>
  <c r="Y22" i="18"/>
  <c r="X22" i="18"/>
  <c r="F22" i="18"/>
  <c r="Y21" i="18"/>
  <c r="X21" i="18"/>
  <c r="F21" i="18"/>
  <c r="Y20" i="18"/>
  <c r="X20" i="18"/>
  <c r="F20" i="18"/>
  <c r="Y19" i="18"/>
  <c r="X19" i="18"/>
  <c r="F19" i="18"/>
  <c r="Y18" i="18"/>
  <c r="X18" i="18"/>
  <c r="F18" i="18"/>
  <c r="Y17" i="18"/>
  <c r="X17" i="18"/>
  <c r="F17" i="18"/>
  <c r="Y16" i="18"/>
  <c r="X16" i="18"/>
  <c r="F16" i="18"/>
  <c r="Y15" i="18"/>
  <c r="X15" i="18"/>
  <c r="F15" i="18"/>
  <c r="Y14" i="18"/>
  <c r="X14" i="18"/>
  <c r="F14" i="18"/>
  <c r="Y13" i="18"/>
  <c r="X13" i="18"/>
  <c r="F13" i="18"/>
  <c r="Y12" i="18"/>
  <c r="X12" i="18"/>
  <c r="F12" i="18"/>
  <c r="Y11" i="18"/>
  <c r="X11" i="18"/>
  <c r="F11" i="18"/>
  <c r="Y10" i="18"/>
  <c r="X10" i="18"/>
  <c r="F10" i="18"/>
  <c r="Y9" i="18"/>
  <c r="X9" i="18"/>
  <c r="F9" i="18"/>
  <c r="Y8" i="18"/>
  <c r="X8" i="18"/>
  <c r="F8" i="18"/>
  <c r="B8" i="18"/>
  <c r="Y7" i="18"/>
  <c r="X7" i="18"/>
  <c r="F7" i="18"/>
  <c r="Y6" i="18"/>
  <c r="X6" i="18"/>
  <c r="F6" i="18"/>
  <c r="Y5" i="18"/>
  <c r="X5" i="18"/>
  <c r="F5" i="18"/>
  <c r="Y4" i="18"/>
  <c r="X4" i="18"/>
  <c r="F4" i="18"/>
  <c r="Y3" i="18"/>
  <c r="X3" i="18"/>
  <c r="F3" i="18"/>
  <c r="P3" i="19" l="1"/>
  <c r="L4" i="1" s="1"/>
  <c r="AC4" i="1"/>
  <c r="N3" i="1"/>
  <c r="Z3" i="18"/>
  <c r="B12" i="18"/>
  <c r="K3" i="1" s="1"/>
  <c r="Q3" i="18"/>
  <c r="O3" i="18"/>
  <c r="J3" i="1" s="1"/>
  <c r="N3" i="18"/>
  <c r="P3" i="18" l="1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<sst xmlns="http://schemas.openxmlformats.org/spreadsheetml/2006/main" count="533" uniqueCount="69">
  <si>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</si>
  <si>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</si>
  <si>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</si>
  <si>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</si>
  <si>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</si>
  <si>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</si>
  <si>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</si>
  <si>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</si>
  <si>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</si>
  <si>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</si>
  <si>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</si>
  <si>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</si>
  <si>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</si>
  <si>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</si>
  <si>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</si>
  <si>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</si>
  <si>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</si>
  <si>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</si>
  <si>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</si>
  <si>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</si>
  <si>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</si>
  <si>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</si>
  <si>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</si>
  <si>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</si>
  <si>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c1e3c30d-de81-49b6-a7b5-77be994b7d06</t>
  </si>
  <si>
    <t>Creditstar Spain</t>
  </si>
  <si>
    <t>Spain</t>
  </si>
  <si>
    <t>Unregulated service</t>
  </si>
  <si>
    <t>Pabaiga</t>
  </si>
  <si>
    <t>8945000DP4C3YFA45N3421733887</t>
  </si>
  <si>
    <t>Gatelink</t>
  </si>
  <si>
    <t>Regulated service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</si>
  <si>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</si>
  <si>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</si>
  <si>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</si>
  <si>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</si>
  <si>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</si>
  <si>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</si>
  <si>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</si>
  <si>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</si>
  <si>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</si>
  <si>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</si>
  <si>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8945000DP4C3YFA45N3431985084</t>
  </si>
  <si>
    <t>Dineo</t>
  </si>
  <si>
    <t>Vėluoja</t>
  </si>
  <si>
    <t>Liko</t>
  </si>
  <si>
    <t>Nr.</t>
  </si>
  <si>
    <t>Vėl./Anks.</t>
  </si>
  <si>
    <t>Liko, dienos</t>
  </si>
  <si>
    <t>Investuota, Eur</t>
  </si>
  <si>
    <t>Inv. data</t>
  </si>
  <si>
    <t>8945000DP4C3YFA45N3480247173</t>
  </si>
  <si>
    <t>8945000DP4C3YFA45N3413742182</t>
  </si>
  <si>
    <t>Czech Rep.</t>
  </si>
  <si>
    <t>Flowpay</t>
  </si>
  <si>
    <t>Estonia</t>
  </si>
  <si>
    <t>8945000DP4C3YFA45N3413372056</t>
  </si>
  <si>
    <t>8945000DP4C3YFA45N3432815787</t>
  </si>
  <si>
    <t>8945000DP4C3YFA45N3430165789</t>
  </si>
  <si>
    <t>8945000DP4C3YFA45N3431128353</t>
  </si>
  <si>
    <t>Eur.</t>
  </si>
  <si>
    <t>8945000DP4C3YFA45N3489849864</t>
  </si>
  <si>
    <t>8945000DP4C3YFA45N3460847714</t>
  </si>
  <si>
    <t>8945000DP4C3YFA45N3469604165</t>
  </si>
  <si>
    <t>8945000DP4C3YFA45N3453716086</t>
  </si>
  <si>
    <t xml:space="preserve">Premijos </t>
  </si>
  <si>
    <t>8945000DP4C3YFA45N3457082561</t>
  </si>
  <si>
    <t>Colombia</t>
  </si>
  <si>
    <t>Rapicredit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</si>
</sst>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2" fillId="0" borderId="1" xfId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7D4FA7-1EB5-414A-B5B5-7CD81172CD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054642-0730-4BCF-95E8-D8A572C38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49674A-AB09-4980-A167-42707A5C0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D16B82-4527-4AC8-BE2C-F18ECB083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BAA2D-5804-48F9-96B5-DD2F9A59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2154965-B37D-4F49-8A1B-F820A3B2D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39419F-97B7-4047-BD1E-CEA0E8CF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F9B1D-4F5D-4A37-9402-DCF282E8A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165EBA-6D1B-498D-B7F3-F18C63C9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9728F8C-AFD4-4C72-B65C-67D97C1D5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1C4A01-D049-4E52-9648-88D269C70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B31D62-7349-472B-8B1B-60B1E044F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32E591-CDB5-4E6C-848C-6BC9193D2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0D84B2-6BBB-459F-9ACA-0370D6584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AA3" sqref="AA3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32" t="s">
        <v>7</v>
      </c>
      <c r="B1" s="33"/>
      <c r="C1" s="33"/>
      <c r="D1" s="33"/>
      <c r="E1" s="33"/>
      <c r="F1" s="33"/>
      <c r="G1" s="33"/>
      <c r="H1" s="34"/>
      <c r="I1" s="35" t="s">
        <v>39</v>
      </c>
      <c r="J1" s="35"/>
      <c r="K1" s="35"/>
      <c r="L1" s="35"/>
      <c r="M1" s="35" t="s">
        <v>22</v>
      </c>
      <c r="N1" s="35"/>
      <c r="O1" s="35"/>
      <c r="Q1" s="36" t="s">
        <v>21</v>
      </c>
      <c r="R1" s="37"/>
      <c r="S1" s="37"/>
      <c r="T1" s="38"/>
      <c r="U1" s="36" t="s">
        <v>22</v>
      </c>
      <c r="V1" s="38"/>
      <c r="W1" s="32" t="s">
        <v>3</v>
      </c>
      <c r="X1" s="33"/>
      <c r="Y1" s="33"/>
      <c r="Z1" s="34"/>
      <c r="AA1" s="4" t="s">
        <v>34</v>
      </c>
    </row>
    <row r="2" spans="1:29" x14ac:dyDescent="0.25">
      <c r="A2" s="4" t="s">
        <v>46</v>
      </c>
      <c r="B2" s="4" t="s">
        <v>50</v>
      </c>
      <c r="C2" s="4" t="s">
        <v>32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40</v>
      </c>
      <c r="J2" s="4" t="s">
        <v>41</v>
      </c>
      <c r="K2" s="4" t="s">
        <v>45</v>
      </c>
      <c r="L2" s="4" t="s">
        <v>37</v>
      </c>
      <c r="M2" s="4" t="s">
        <v>0</v>
      </c>
      <c r="N2" s="4" t="s">
        <v>1</v>
      </c>
      <c r="O2" s="4" t="s">
        <v>34</v>
      </c>
      <c r="P2" s="8"/>
      <c r="Q2" s="26" t="s">
        <v>8</v>
      </c>
      <c r="R2" s="26" t="s">
        <v>7</v>
      </c>
      <c r="S2" s="4" t="s">
        <v>65</v>
      </c>
      <c r="T2" s="4" t="s">
        <v>5</v>
      </c>
      <c r="U2" s="27" t="s">
        <v>0</v>
      </c>
      <c r="V2" s="27" t="s">
        <v>1</v>
      </c>
      <c r="W2" s="4" t="s">
        <v>23</v>
      </c>
      <c r="X2" s="4" t="s">
        <v>60</v>
      </c>
      <c r="Y2" s="4" t="s">
        <v>4</v>
      </c>
      <c r="Z2" s="4" t="s">
        <v>35</v>
      </c>
      <c r="AA2" s="4" t="s">
        <v>60</v>
      </c>
      <c r="AC2" s="11" t="s">
        <v>44</v>
      </c>
    </row>
    <row r="3" spans="1:29" x14ac:dyDescent="0.25">
      <c r="A3" s="2">
        <v>1</v>
      </c>
      <c r="B3" s="6">
        <f>'de81-49b6-a7b5-77be994b7d06'!B9</f>
        <v>46101</v>
      </c>
      <c r="C3" s="24" t="str">
        <f>'de81-49b6-a7b5-77be994b7d06'!B1</f>
        <v>c1e3c30d-de81-49b6-a7b5-77be994b7d06</v>
      </c>
      <c r="D3" s="2" t="str">
        <f>'de81-49b6-a7b5-77be994b7d06'!B2</f>
        <v>Spain</v>
      </c>
      <c r="E3" s="2" t="str">
        <f>'de81-49b6-a7b5-77be994b7d06'!B3</f>
        <v>Creditstar Spain</v>
      </c>
      <c r="F3" s="2" t="str">
        <f>'de81-49b6-a7b5-77be994b7d06'!B8</f>
        <v>0 m. 11 mėn. 20 d.</v>
      </c>
      <c r="G3" s="7">
        <f>'de81-49b6-a7b5-77be994b7d06'!B15</f>
        <v>0.11</v>
      </c>
      <c r="H3" s="3">
        <f>'de81-49b6-a7b5-77be994b7d06'!B16</f>
        <v>10</v>
      </c>
      <c r="I3" s="6">
        <f>'de81-49b6-a7b5-77be994b7d06'!B11</f>
        <v>46458</v>
      </c>
      <c r="J3" s="6" t="str">
        <f>'de81-49b6-a7b5-77be994b7d06'!O3</f>
        <v/>
      </c>
      <c r="K3" s="16">
        <f ca="1">'de81-49b6-a7b5-77be994b7d06'!B12</f>
        <v>223</v>
      </c>
      <c r="L3" s="16" t="str">
        <f ca="1">'de81-49b6-a7b5-77be994b7d06'!P3</f>
        <v/>
      </c>
      <c r="M3" s="3">
        <f>'de81-49b6-a7b5-77be994b7d06'!K3</f>
        <v>3.2100000000000004</v>
      </c>
      <c r="N3" s="3">
        <f>'de81-49b6-a7b5-77be994b7d06'!L3</f>
        <v>0.31</v>
      </c>
      <c r="O3" s="3">
        <f>'de81-49b6-a7b5-77be994b7d06'!M3</f>
        <v>0</v>
      </c>
      <c r="P3" s="9"/>
      <c r="Q3" s="28">
        <f>Pinigai!I2</f>
        <v>100</v>
      </c>
      <c r="R3" s="29">
        <f>SUM(H3:H100)-U3</f>
        <v>111.90999999999998</v>
      </c>
      <c r="S3" s="28">
        <f>Pinigai!H2</f>
        <v>10.45</v>
      </c>
      <c r="T3" s="28">
        <f>W3-R3</f>
        <v>0</v>
      </c>
      <c r="U3" s="29">
        <f>SUM(M3:M100)</f>
        <v>61.429999999999993</v>
      </c>
      <c r="V3" s="29">
        <f>SUM(N3:N100)-AA3</f>
        <v>1.46</v>
      </c>
      <c r="W3" s="28">
        <f>Q3+S3+V3</f>
        <v>111.91</v>
      </c>
      <c r="X3" s="28">
        <f>W3-Q3</f>
        <v>11.909999999999997</v>
      </c>
      <c r="Y3" s="30">
        <f>(W3-Q3)/Q3</f>
        <v>0.11909999999999997</v>
      </c>
      <c r="Z3" s="31">
        <f ca="1">XIRR(Pinigai!K3:K200,Pinigai!A3:A200)</f>
        <v>1.0414577364921571</v>
      </c>
      <c r="AA3" s="28">
        <f>SUM(O3:O100)</f>
        <v>0</v>
      </c>
      <c r="AC3" s="3" t="str">
        <f ca="1">'de81-49b6-a7b5-77be994b7d06'!Z3</f>
        <v/>
      </c>
    </row>
    <row r="4" spans="1:29" x14ac:dyDescent="0.25">
      <c r="A4" s="2">
        <v>2</v>
      </c>
      <c r="B4" s="6">
        <f>'8945000DP4C3YFA45N3421733887'!B9</f>
        <v>46127</v>
      </c>
      <c r="C4" s="15" t="str">
        <f>'8945000DP4C3YFA45N3421733887'!B1</f>
        <v>8945000DP4C3YFA45N3421733887</v>
      </c>
      <c r="D4" s="2" t="str">
        <f>'8945000DP4C3YFA45N3421733887'!B2</f>
        <v>Estonia</v>
      </c>
      <c r="E4" s="2" t="str">
        <f>'8945000DP4C3YFA45N3421733887'!B3</f>
        <v>Gatelink</v>
      </c>
      <c r="F4" s="2" t="str">
        <f>'8945000DP4C3YFA45N3421733887'!B8</f>
        <v>0 m. 5 mėn. 5 d.</v>
      </c>
      <c r="G4" s="7">
        <f>'8945000DP4C3YFA45N3421733887'!B15</f>
        <v>0.09</v>
      </c>
      <c r="H4" s="3">
        <f>'8945000DP4C3YFA45N3421733887'!B16</f>
        <v>10.86</v>
      </c>
      <c r="I4" s="6">
        <f>'8945000DP4C3YFA45N3421733887'!B11</f>
        <v>46285</v>
      </c>
      <c r="J4" s="6" t="str">
        <f>'8945000DP4C3YFA45N3421733887'!O3</f>
        <v/>
      </c>
      <c r="K4" s="16">
        <f ca="1">'8945000DP4C3YFA45N3421733887'!B12</f>
        <v>50</v>
      </c>
      <c r="L4" s="16" t="str">
        <f ca="1">'8945000DP4C3YFA45N3421733887'!P3</f>
        <v/>
      </c>
      <c r="M4" s="3">
        <f>'8945000DP4C3YFA45N3421733887'!K3</f>
        <v>7.15</v>
      </c>
      <c r="N4" s="3">
        <f>'8945000DP4C3YFA45N3421733887'!L3</f>
        <v>0.18000000000000002</v>
      </c>
      <c r="O4" s="3">
        <f>'8945000DP4C3YFA45N3421733887'!M3</f>
        <v>0</v>
      </c>
      <c r="P4" s="9"/>
      <c r="Q4" s="9"/>
      <c r="R4" s="9"/>
      <c r="S4" s="9"/>
      <c r="T4" s="9"/>
      <c r="U4" s="9"/>
      <c r="V4" s="9"/>
      <c r="W4" s="9"/>
      <c r="X4" s="9"/>
      <c r="Y4" s="19"/>
      <c r="Z4" s="19"/>
      <c r="AC4" s="3" t="str">
        <f ca="1">'8945000DP4C3YFA45N3421733887'!Z3</f>
        <v/>
      </c>
    </row>
    <row r="5" spans="1:29" x14ac:dyDescent="0.25">
      <c r="A5" s="2">
        <v>3</v>
      </c>
      <c r="B5" s="6">
        <f>'8945000DP4C3YFA45N3431985084'!B9</f>
        <v>46135</v>
      </c>
      <c r="C5" s="15" t="str">
        <f>'8945000DP4C3YFA45N3431985084'!B1</f>
        <v>8945000DP4C3YFA45N3431985084</v>
      </c>
      <c r="D5" s="2" t="str">
        <f>'8945000DP4C3YFA45N3431985084'!B2</f>
        <v>Spain</v>
      </c>
      <c r="E5" s="2" t="str">
        <f>'8945000DP4C3YFA45N3431985084'!B3</f>
        <v>Dineo</v>
      </c>
      <c r="F5" s="2" t="str">
        <f>'8945000DP4C3YFA45N3431985084'!B8</f>
        <v>0 m. 0 mėn. 29 d.</v>
      </c>
      <c r="G5" s="7">
        <f>'8945000DP4C3YFA45N3431985084'!B15</f>
        <v>0.12</v>
      </c>
      <c r="H5" s="3">
        <f>'8945000DP4C3YFA45N3431985084'!B16</f>
        <v>11.76</v>
      </c>
      <c r="I5" s="6">
        <f>'8945000DP4C3YFA45N3431985084'!B11</f>
        <v>46164</v>
      </c>
      <c r="J5" s="6">
        <f>'8945000DP4C3YFA45N3431985084'!O3</f>
        <v>46152</v>
      </c>
      <c r="K5" s="16" t="str">
        <f ca="1">'8945000DP4C3YFA45N3431985084'!B12</f>
        <v/>
      </c>
      <c r="L5" s="16" t="str">
        <f ca="1">'8945000DP4C3YFA45N3431985084'!P3</f>
        <v/>
      </c>
      <c r="M5" s="3">
        <f>'8945000DP4C3YFA45N3431985084'!K3</f>
        <v>11.76</v>
      </c>
      <c r="N5" s="3">
        <f>'8945000DP4C3YFA45N3431985084'!L3</f>
        <v>0.06</v>
      </c>
      <c r="O5" s="3">
        <f>'8945000DP4C3YFA45N3431985084'!M3</f>
        <v>0</v>
      </c>
      <c r="P5" s="9"/>
      <c r="AC5" s="3" t="str">
        <f ca="1">'8945000DP4C3YFA45N3431985084'!Z3</f>
        <v/>
      </c>
    </row>
    <row r="6" spans="1:29" x14ac:dyDescent="0.25">
      <c r="A6" s="2">
        <v>4</v>
      </c>
      <c r="B6" s="6">
        <f>'8945000DP4C3YFA45N3480247173'!B9</f>
        <v>46152</v>
      </c>
      <c r="C6" s="15" t="str">
        <f>'8945000DP4C3YFA45N3480247173'!B1</f>
        <v>8945000DP4C3YFA45N3480247173</v>
      </c>
      <c r="D6" s="2" t="str">
        <f>'8945000DP4C3YFA45N3480247173'!B2</f>
        <v>Spain</v>
      </c>
      <c r="E6" s="2" t="str">
        <f>'8945000DP4C3YFA45N3480247173'!B3</f>
        <v>Dineo</v>
      </c>
      <c r="F6" s="2" t="str">
        <f>'8945000DP4C3YFA45N3480247173'!B8</f>
        <v>0 m. 0 mėn. 29 d.</v>
      </c>
      <c r="G6" s="7">
        <f>'8945000DP4C3YFA45N3480247173'!B15</f>
        <v>0.12</v>
      </c>
      <c r="H6" s="3">
        <f>'8945000DP4C3YFA45N3480247173'!B16</f>
        <v>11.82</v>
      </c>
      <c r="I6" s="6">
        <f>'8945000DP4C3YFA45N3480247173'!B11</f>
        <v>46181</v>
      </c>
      <c r="J6" s="6">
        <f>'8945000DP4C3YFA45N3480247173'!O3</f>
        <v>46167</v>
      </c>
      <c r="K6" s="16" t="str">
        <f ca="1">'8945000DP4C3YFA45N3480247173'!B12</f>
        <v/>
      </c>
      <c r="L6" s="16" t="str">
        <f ca="1">'8945000DP4C3YFA45N3480247173'!P3</f>
        <v/>
      </c>
      <c r="M6" s="3">
        <f>'8945000DP4C3YFA45N3480247173'!K3</f>
        <v>11.82</v>
      </c>
      <c r="N6" s="3">
        <f>'8945000DP4C3YFA45N3480247173'!L3</f>
        <v>0.05</v>
      </c>
      <c r="O6" s="3">
        <f>'8945000DP4C3YFA45N3480247173'!M3</f>
        <v>0</v>
      </c>
      <c r="P6" s="9"/>
      <c r="AC6" s="3" t="str">
        <f ca="1">'8945000DP4C3YFA45N3480247173'!Z3</f>
        <v/>
      </c>
    </row>
    <row r="7" spans="1:29" x14ac:dyDescent="0.25">
      <c r="A7" s="2">
        <v>5</v>
      </c>
      <c r="B7" s="6">
        <f>'8945000DP4C3YFA45N3413742182'!B9</f>
        <v>46157</v>
      </c>
      <c r="C7" s="15" t="str">
        <f>'8945000DP4C3YFA45N3413742182'!B1</f>
        <v>8945000DP4C3YFA45N3413742182</v>
      </c>
      <c r="D7" s="2" t="str">
        <f>'8945000DP4C3YFA45N3413742182'!B2</f>
        <v>Czech Rep.</v>
      </c>
      <c r="E7" s="2" t="str">
        <f>'8945000DP4C3YFA45N3413742182'!B3</f>
        <v>Flowpay</v>
      </c>
      <c r="F7" s="2" t="str">
        <f>'8945000DP4C3YFA45N3413742182'!B8</f>
        <v>0 m. 11 mėn. 12 d.</v>
      </c>
      <c r="G7" s="7">
        <f>'8945000DP4C3YFA45N3413742182'!B15</f>
        <v>0.11</v>
      </c>
      <c r="H7" s="3">
        <f>'8945000DP4C3YFA45N3413742182'!B16</f>
        <v>10.89</v>
      </c>
      <c r="I7" s="6">
        <f>'8945000DP4C3YFA45N3413742182'!B11</f>
        <v>46504</v>
      </c>
      <c r="J7" s="6" t="str">
        <f>'8945000DP4C3YFA45N3413742182'!O3</f>
        <v/>
      </c>
      <c r="K7" s="16">
        <f ca="1">'8945000DP4C3YFA45N3413742182'!B12</f>
        <v>269</v>
      </c>
      <c r="L7" s="16" t="str">
        <f ca="1">'8945000DP4C3YFA45N3413742182'!P3</f>
        <v/>
      </c>
      <c r="M7" s="3">
        <f>'8945000DP4C3YFA45N3413742182'!K3</f>
        <v>2.72</v>
      </c>
      <c r="N7" s="3">
        <f>'8945000DP4C3YFA45N3413742182'!L3</f>
        <v>0.21</v>
      </c>
      <c r="O7" s="3">
        <f>'8945000DP4C3YFA45N3413742182'!M3</f>
        <v>0</v>
      </c>
      <c r="P7" s="9"/>
      <c r="AC7" s="3" t="str">
        <f ca="1">'8945000DP4C3YFA45N3413742182'!Z3</f>
        <v/>
      </c>
    </row>
    <row r="8" spans="1:29" x14ac:dyDescent="0.25">
      <c r="A8" s="2">
        <v>6</v>
      </c>
      <c r="B8" s="6">
        <f>'8945000DP4C3YFA45N3413372056'!B9</f>
        <v>46164</v>
      </c>
      <c r="C8" s="15" t="str">
        <f>'8945000DP4C3YFA45N3413372056'!B1</f>
        <v>8945000DP4C3YFA45N3413372056</v>
      </c>
      <c r="D8" s="2" t="str">
        <f>'8945000DP4C3YFA45N3413372056'!B2</f>
        <v>Czech Rep.</v>
      </c>
      <c r="E8" s="2" t="str">
        <f>'8945000DP4C3YFA45N3413372056'!B3</f>
        <v>Flowpay</v>
      </c>
      <c r="F8" s="2" t="str">
        <f>'8945000DP4C3YFA45N3413372056'!B8</f>
        <v>0 m. 10 mėn. 27 d.</v>
      </c>
      <c r="G8" s="7">
        <f>'8945000DP4C3YFA45N3413372056'!B15</f>
        <v>0.11</v>
      </c>
      <c r="H8" s="3">
        <f>'8945000DP4C3YFA45N3413372056'!B16</f>
        <v>11.85</v>
      </c>
      <c r="I8" s="6">
        <f>'8945000DP4C3YFA45N3413372056'!B11</f>
        <v>46495</v>
      </c>
      <c r="J8" s="6" t="str">
        <f>'8945000DP4C3YFA45N3413372056'!O3</f>
        <v/>
      </c>
      <c r="K8" s="16">
        <f ca="1">'8945000DP4C3YFA45N3413372056'!B12</f>
        <v>260</v>
      </c>
      <c r="L8" s="16" t="str">
        <f ca="1">'8945000DP4C3YFA45N3413372056'!P3</f>
        <v/>
      </c>
      <c r="M8" s="3">
        <f>'8945000DP4C3YFA45N3413372056'!K3</f>
        <v>2.17</v>
      </c>
      <c r="N8" s="3">
        <f>'8945000DP4C3YFA45N3413372056'!L3</f>
        <v>0.18</v>
      </c>
      <c r="O8" s="3">
        <f>'8945000DP4C3YFA45N3413372056'!M3</f>
        <v>0</v>
      </c>
      <c r="P8" s="9"/>
      <c r="AC8" s="3" t="str">
        <f ca="1">'8945000DP4C3YFA45N3413372056'!Z3</f>
        <v/>
      </c>
    </row>
    <row r="9" spans="1:29" x14ac:dyDescent="0.25">
      <c r="A9" s="2">
        <v>7</v>
      </c>
      <c r="B9" s="6">
        <f>'8945000DP4C3YFA45N3432815787'!B9</f>
        <v>46169</v>
      </c>
      <c r="C9" s="15" t="str">
        <f>'8945000DP4C3YFA45N3432815787'!B1</f>
        <v>8945000DP4C3YFA45N3432815787</v>
      </c>
      <c r="D9" s="2" t="str">
        <f>'8945000DP4C3YFA45N3432815787'!B2</f>
        <v>Czech Rep.</v>
      </c>
      <c r="E9" s="2" t="str">
        <f>'8945000DP4C3YFA45N3432815787'!B3</f>
        <v>Flowpay</v>
      </c>
      <c r="F9" s="2" t="str">
        <f>'8945000DP4C3YFA45N3432815787'!B8</f>
        <v>0 m. 10 mėn. 3 d.</v>
      </c>
      <c r="G9" s="7">
        <f>'8945000DP4C3YFA45N3432815787'!B15</f>
        <v>0.11</v>
      </c>
      <c r="H9" s="3">
        <f>'8945000DP4C3YFA45N3432815787'!B16</f>
        <v>12.81</v>
      </c>
      <c r="I9" s="6">
        <f>'8945000DP4C3YFA45N3432815787'!B11</f>
        <v>46476</v>
      </c>
      <c r="J9" s="6">
        <f>'8945000DP4C3YFA45N3432815787'!O3</f>
        <v>46205</v>
      </c>
      <c r="K9" s="16" t="str">
        <f ca="1">'8945000DP4C3YFA45N3432815787'!B12</f>
        <v/>
      </c>
      <c r="L9" s="16" t="str">
        <f ca="1">'8945000DP4C3YFA45N3432815787'!P3</f>
        <v/>
      </c>
      <c r="M9" s="3">
        <f>'8945000DP4C3YFA45N3432815787'!K3</f>
        <v>12.809999999999999</v>
      </c>
      <c r="N9" s="3">
        <f>'8945000DP4C3YFA45N3432815787'!L3</f>
        <v>0.11</v>
      </c>
      <c r="O9" s="3">
        <f>'8945000DP4C3YFA45N3432815787'!M3</f>
        <v>0</v>
      </c>
      <c r="P9" s="9"/>
      <c r="AC9" s="3" t="str">
        <f ca="1">'8945000DP4C3YFA45N3432815787'!Z3</f>
        <v/>
      </c>
    </row>
    <row r="10" spans="1:29" x14ac:dyDescent="0.25">
      <c r="A10" s="2">
        <v>8</v>
      </c>
      <c r="B10" s="6">
        <f>'8945000DP4C3YFA45N3430165789'!B9</f>
        <v>46185</v>
      </c>
      <c r="C10" s="15" t="str">
        <f>'8945000DP4C3YFA45N3430165789'!B1</f>
        <v>8945000DP4C3YFA45N3430165789</v>
      </c>
      <c r="D10" s="2" t="str">
        <f>'8945000DP4C3YFA45N3430165789'!B2</f>
        <v>Estonia</v>
      </c>
      <c r="E10" s="2" t="str">
        <f>'8945000DP4C3YFA45N3430165789'!B3</f>
        <v>Gatelink</v>
      </c>
      <c r="F10" s="2" t="str">
        <f>'8945000DP4C3YFA45N3430165789'!B8</f>
        <v>0 m. 3 mėn. 17 d.</v>
      </c>
      <c r="G10" s="7">
        <f>'8945000DP4C3YFA45N3430165789'!B15</f>
        <v>0.09</v>
      </c>
      <c r="H10" s="3">
        <f>'8945000DP4C3YFA45N3430165789'!B16</f>
        <v>12.99</v>
      </c>
      <c r="I10" s="6">
        <f>'8945000DP4C3YFA45N3430165789'!B11</f>
        <v>46294</v>
      </c>
      <c r="J10" s="6" t="str">
        <f>'8945000DP4C3YFA45N3430165789'!O3</f>
        <v/>
      </c>
      <c r="K10" s="16">
        <f ca="1">'8945000DP4C3YFA45N3430165789'!B12</f>
        <v>59</v>
      </c>
      <c r="L10" s="16" t="str">
        <f ca="1">'8945000DP4C3YFA45N3430165789'!P3</f>
        <v/>
      </c>
      <c r="M10" s="3">
        <f>'8945000DP4C3YFA45N3430165789'!K3</f>
        <v>6.41</v>
      </c>
      <c r="N10" s="3">
        <f>'8945000DP4C3YFA45N3430165789'!L3</f>
        <v>0.13</v>
      </c>
      <c r="O10" s="3">
        <f>'8945000DP4C3YFA45N3430165789'!M3</f>
        <v>0</v>
      </c>
      <c r="P10" s="9"/>
      <c r="AC10" s="3" t="str">
        <f ca="1">'8945000DP4C3YFA45N3430165789'!Z3</f>
        <v/>
      </c>
    </row>
    <row r="11" spans="1:29" x14ac:dyDescent="0.25">
      <c r="A11" s="2">
        <v>9</v>
      </c>
      <c r="B11" s="6">
        <f>'8945000DP4C3YFA45N3431128353'!B9</f>
        <v>46192</v>
      </c>
      <c r="C11" s="15" t="str">
        <f>'8945000DP4C3YFA45N3431128353'!B1</f>
        <v>8945000DP4C3YFA45N3431128353</v>
      </c>
      <c r="D11" s="2" t="str">
        <f>'8945000DP4C3YFA45N3431128353'!B2</f>
        <v>Czech Rep.</v>
      </c>
      <c r="E11" s="2" t="str">
        <f>'8945000DP4C3YFA45N3431128353'!B3</f>
        <v>Flowpay</v>
      </c>
      <c r="F11" s="2" t="str">
        <f>'8945000DP4C3YFA45N3431128353'!B8</f>
        <v>0 m. 8 mėn. 14 d.</v>
      </c>
      <c r="G11" s="7">
        <f>'8945000DP4C3YFA45N3431128353'!B15</f>
        <v>0.11</v>
      </c>
      <c r="H11" s="3">
        <f>'8945000DP4C3YFA45N3431128353'!B16</f>
        <v>12.51</v>
      </c>
      <c r="I11" s="6">
        <f>'8945000DP4C3YFA45N3431128353'!B11</f>
        <v>46451</v>
      </c>
      <c r="J11" s="6" t="str">
        <f>'8945000DP4C3YFA45N3431128353'!O3</f>
        <v/>
      </c>
      <c r="K11" s="16">
        <f ca="1">'8945000DP4C3YFA45N3431128353'!B12</f>
        <v>216</v>
      </c>
      <c r="L11" s="16" t="str">
        <f ca="1">'8945000DP4C3YFA45N3431128353'!P3</f>
        <v/>
      </c>
      <c r="M11" s="3">
        <f>'8945000DP4C3YFA45N3431128353'!K3</f>
        <v>0</v>
      </c>
      <c r="N11" s="3">
        <f>'8945000DP4C3YFA45N3431128353'!L3</f>
        <v>0</v>
      </c>
      <c r="O11" s="3">
        <f>'8945000DP4C3YFA45N3431128353'!M3</f>
        <v>0</v>
      </c>
      <c r="P11" s="9"/>
      <c r="AC11" s="3" t="str">
        <f ca="1">'8945000DP4C3YFA45N3431128353'!Z3</f>
        <v/>
      </c>
    </row>
    <row r="12" spans="1:29" x14ac:dyDescent="0.25">
      <c r="A12" s="2">
        <v>10</v>
      </c>
      <c r="B12" s="6">
        <f>'8945000DP4C3YFA45N3489849864'!B9</f>
        <v>46197</v>
      </c>
      <c r="C12" s="15" t="str">
        <f>'8945000DP4C3YFA45N3489849864'!B1</f>
        <v>8945000DP4C3YFA45N3489849864</v>
      </c>
      <c r="D12" s="2" t="str">
        <f>'8945000DP4C3YFA45N3489849864'!B2</f>
        <v>Spain</v>
      </c>
      <c r="E12" s="2" t="str">
        <f>'8945000DP4C3YFA45N3489849864'!B3</f>
        <v>Dineo</v>
      </c>
      <c r="F12" s="2" t="str">
        <f>'8945000DP4C3YFA45N3489849864'!B8</f>
        <v>0 m. 0 mėn. 29 d.</v>
      </c>
      <c r="G12" s="7">
        <f>'8945000DP4C3YFA45N3489849864'!B15</f>
        <v>0.12</v>
      </c>
      <c r="H12" s="3">
        <f>'8945000DP4C3YFA45N3489849864'!B16</f>
        <v>12.88</v>
      </c>
      <c r="I12" s="6">
        <f>'8945000DP4C3YFA45N3489849864'!B11</f>
        <v>46226</v>
      </c>
      <c r="J12" s="6" t="str">
        <f>'8945000DP4C3YFA45N3489849864'!O3</f>
        <v/>
      </c>
      <c r="K12" s="16">
        <f ca="1">'8945000DP4C3YFA45N3489849864'!B12</f>
        <v>-9</v>
      </c>
      <c r="L12" s="16">
        <f ca="1">'8945000DP4C3YFA45N3489849864'!P3</f>
        <v>9</v>
      </c>
      <c r="M12" s="3">
        <f>'8945000DP4C3YFA45N3489849864'!K3</f>
        <v>0</v>
      </c>
      <c r="N12" s="3">
        <f>'8945000DP4C3YFA45N3489849864'!L3</f>
        <v>0</v>
      </c>
      <c r="O12" s="3">
        <f>'8945000DP4C3YFA45N3489849864'!M3</f>
        <v>0</v>
      </c>
      <c r="AC12" s="3" t="str">
        <f ca="1">'8945000DP4C3YFA45N3489849864'!Z3</f>
        <v>+</v>
      </c>
    </row>
    <row r="13" spans="1:29" x14ac:dyDescent="0.25">
      <c r="A13" s="2">
        <v>11</v>
      </c>
      <c r="B13" s="6">
        <f>'8945000DP4C3YFA45N3460847714'!B9</f>
        <v>46204</v>
      </c>
      <c r="C13" s="15" t="str">
        <f>'8945000DP4C3YFA45N3460847714'!B1</f>
        <v>8945000DP4C3YFA45N3460847714</v>
      </c>
      <c r="D13" s="2" t="str">
        <f>'8945000DP4C3YFA45N3460847714'!B2</f>
        <v>Estonia</v>
      </c>
      <c r="E13" s="2" t="str">
        <f>'8945000DP4C3YFA45N3460847714'!B3</f>
        <v>Gatelink</v>
      </c>
      <c r="F13" s="2" t="str">
        <f>'8945000DP4C3YFA45N3460847714'!B8</f>
        <v>3 m. 5 mėn. 21 d.</v>
      </c>
      <c r="G13" s="7">
        <f>'8945000DP4C3YFA45N3460847714'!B15</f>
        <v>0.125</v>
      </c>
      <c r="H13" s="3">
        <f>'8945000DP4C3YFA45N3460847714'!B16</f>
        <v>13.24</v>
      </c>
      <c r="I13" s="6">
        <f>'8945000DP4C3YFA45N3460847714'!B11</f>
        <v>47474</v>
      </c>
      <c r="J13" s="6" t="str">
        <f>'8945000DP4C3YFA45N3460847714'!O3</f>
        <v/>
      </c>
      <c r="K13" s="16">
        <f ca="1">'8945000DP4C3YFA45N3460847714'!B12</f>
        <v>1239</v>
      </c>
      <c r="L13" s="16" t="str">
        <f ca="1">'8945000DP4C3YFA45N3460847714'!P3</f>
        <v/>
      </c>
      <c r="M13" s="3">
        <f>'8945000DP4C3YFA45N3460847714'!K3</f>
        <v>0.18</v>
      </c>
      <c r="N13" s="3">
        <f>'8945000DP4C3YFA45N3460847714'!L3</f>
        <v>0.04</v>
      </c>
      <c r="O13" s="3">
        <f>'8945000DP4C3YFA45N3460847714'!M3</f>
        <v>0</v>
      </c>
      <c r="AC13" s="3" t="str">
        <f ca="1">'8945000DP4C3YFA45N3460847714'!Z3</f>
        <v/>
      </c>
    </row>
    <row r="14" spans="1:29" x14ac:dyDescent="0.25">
      <c r="A14" s="2">
        <v>12</v>
      </c>
      <c r="B14" s="6">
        <f>'8945000DP4C3YFA45N3469604165'!B9</f>
        <v>46205</v>
      </c>
      <c r="C14" s="15" t="str">
        <f>'8945000DP4C3YFA45N3469604165'!B1</f>
        <v>8945000DP4C3YFA45N3469604165</v>
      </c>
      <c r="D14" s="2" t="str">
        <f>'8945000DP4C3YFA45N3469604165'!B2</f>
        <v>Czech Rep.</v>
      </c>
      <c r="E14" s="2" t="str">
        <f>'8945000DP4C3YFA45N3469604165'!B3</f>
        <v>Flowpay</v>
      </c>
      <c r="F14" s="2" t="str">
        <f>'8945000DP4C3YFA45N3469604165'!B8</f>
        <v>0 m. 8 mėn. 16 d.</v>
      </c>
      <c r="G14" s="7">
        <f>'8945000DP4C3YFA45N3469604165'!B15</f>
        <v>0.11</v>
      </c>
      <c r="H14" s="3">
        <f>'8945000DP4C3YFA45N3469604165'!B16</f>
        <v>19.93</v>
      </c>
      <c r="I14" s="6">
        <f>'8945000DP4C3YFA45N3469604165'!B11</f>
        <v>46464</v>
      </c>
      <c r="J14" s="6" t="str">
        <f>'8945000DP4C3YFA45N3469604165'!O3</f>
        <v/>
      </c>
      <c r="K14" s="16">
        <f ca="1">'8945000DP4C3YFA45N3469604165'!B12</f>
        <v>229</v>
      </c>
      <c r="L14" s="16" t="str">
        <f ca="1">'8945000DP4C3YFA45N3469604165'!P3</f>
        <v/>
      </c>
      <c r="M14" s="3">
        <f>'8945000DP4C3YFA45N3469604165'!K3</f>
        <v>2.19</v>
      </c>
      <c r="N14" s="3">
        <f>'8945000DP4C3YFA45N3469604165'!L3</f>
        <v>0.15</v>
      </c>
      <c r="O14" s="3">
        <f>'8945000DP4C3YFA45N3469604165'!M3</f>
        <v>0</v>
      </c>
      <c r="AC14" s="3" t="str">
        <f ca="1">'8945000DP4C3YFA45N3469604165'!Z3</f>
        <v/>
      </c>
    </row>
    <row r="15" spans="1:29" x14ac:dyDescent="0.25">
      <c r="A15" s="2">
        <v>13</v>
      </c>
      <c r="B15" s="6">
        <f>'8945000DP4C3YFA45N3453716086'!B9</f>
        <v>46219</v>
      </c>
      <c r="C15" s="15" t="str">
        <f>'8945000DP4C3YFA45N3453716086'!B1</f>
        <v>8945000DP4C3YFA45N3453716086</v>
      </c>
      <c r="D15" s="2" t="str">
        <f>'8945000DP4C3YFA45N3453716086'!B2</f>
        <v>Czech Rep.</v>
      </c>
      <c r="E15" s="2" t="str">
        <f>'8945000DP4C3YFA45N3453716086'!B3</f>
        <v>Flowpay</v>
      </c>
      <c r="F15" s="2" t="str">
        <f>'8945000DP4C3YFA45N3453716086'!B8</f>
        <v>0 m. 10 mėn. 15 d.</v>
      </c>
      <c r="G15" s="7">
        <f>'8945000DP4C3YFA45N3453716086'!B15</f>
        <v>0.11</v>
      </c>
      <c r="H15" s="3">
        <f>'8945000DP4C3YFA45N3453716086'!B16</f>
        <v>11.1</v>
      </c>
      <c r="I15" s="6">
        <f>'8945000DP4C3YFA45N3453716086'!B11</f>
        <v>46538</v>
      </c>
      <c r="J15" s="6" t="str">
        <f>'8945000DP4C3YFA45N3453716086'!O3</f>
        <v/>
      </c>
      <c r="K15" s="16">
        <f ca="1">'8945000DP4C3YFA45N3453716086'!B12</f>
        <v>303</v>
      </c>
      <c r="L15" s="16" t="str">
        <f ca="1">'8945000DP4C3YFA45N3453716086'!P3</f>
        <v/>
      </c>
      <c r="M15" s="3">
        <f>'8945000DP4C3YFA45N3453716086'!K3</f>
        <v>1.01</v>
      </c>
      <c r="N15" s="3">
        <f>'8945000DP4C3YFA45N3453716086'!L3</f>
        <v>0.04</v>
      </c>
      <c r="O15" s="3">
        <f>'8945000DP4C3YFA45N3453716086'!M3</f>
        <v>0</v>
      </c>
      <c r="AC15" s="3" t="str">
        <f ca="1">'8945000DP4C3YFA45N3453716086'!Z3</f>
        <v/>
      </c>
    </row>
    <row r="16" spans="1:29" x14ac:dyDescent="0.25">
      <c r="A16" s="2">
        <v>14</v>
      </c>
      <c r="B16" s="6">
        <f>'8945000DP4C3YFA45N3457082561'!B9</f>
        <v>46234</v>
      </c>
      <c r="C16" s="15" t="str">
        <f>'8945000DP4C3YFA45N3457082561'!B1</f>
        <v>8945000DP4C3YFA45N3457082561</v>
      </c>
      <c r="D16" s="2" t="str">
        <f>'8945000DP4C3YFA45N3457082561'!B2</f>
        <v>Colombia</v>
      </c>
      <c r="E16" s="2" t="str">
        <f>'8945000DP4C3YFA45N3457082561'!B3</f>
        <v>Rapicredit</v>
      </c>
      <c r="F16" s="2" t="str">
        <f>'8945000DP4C3YFA45N3457082561'!B8</f>
        <v>0 m. 2 mėn. 12 d.</v>
      </c>
      <c r="G16" s="7">
        <f>'8945000DP4C3YFA45N3457082561'!B15</f>
        <v>0.15</v>
      </c>
      <c r="H16" s="3">
        <f>'8945000DP4C3YFA45N3457082561'!B16</f>
        <v>10.7</v>
      </c>
      <c r="I16" s="6">
        <f>'8945000DP4C3YFA45N3457082561'!B11</f>
        <v>46308</v>
      </c>
      <c r="J16" s="6" t="str">
        <f>'8945000DP4C3YFA45N3457082561'!O3</f>
        <v/>
      </c>
      <c r="K16" s="16">
        <f ca="1">'8945000DP4C3YFA45N3457082561'!B12</f>
        <v>73</v>
      </c>
      <c r="L16" s="16" t="str">
        <f ca="1">'8945000DP4C3YFA45N3457082561'!P3</f>
        <v/>
      </c>
      <c r="M16" s="3">
        <f>'8945000DP4C3YFA45N3457082561'!K3</f>
        <v>0</v>
      </c>
      <c r="N16" s="3">
        <f>'8945000DP4C3YFA45N3457082561'!L3</f>
        <v>0</v>
      </c>
      <c r="O16" s="3">
        <f>'8945000DP4C3YFA45N3457082561'!M3</f>
        <v>0</v>
      </c>
      <c r="AC16" s="3" t="str">
        <f ca="1">'8945000DP4C3YFA45N3457082561'!Z3</f>
        <v/>
      </c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4"/>
      <c r="J17" s="14"/>
      <c r="K17" s="21"/>
      <c r="L17" s="21"/>
      <c r="M17" s="1"/>
      <c r="N17" s="1"/>
      <c r="O17" s="1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4"/>
      <c r="J18" s="14"/>
      <c r="K18" s="21"/>
      <c r="L18" s="21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59" priority="14">
      <formula>$AC3="+"</formula>
    </cfRule>
    <cfRule type="expression" dxfId="58" priority="15">
      <formula>AND($M3&gt;0,$H3=$M3)</formula>
    </cfRule>
  </conditionalFormatting>
  <conditionalFormatting sqref="AC3:AC27">
    <cfRule type="expression" dxfId="57" priority="1">
      <formula>$AC3="+"</formula>
    </cfRule>
    <cfRule type="expression" dxfId="56" priority="2">
      <formula>AND($M3&gt;0,$H3=$M3)</formula>
    </cfRule>
  </conditionalFormatting>
  <hyperlinks>
    <hyperlink ref="C4" location="'8945000DP4C3YFA45N3421733887'!A1" display="'8945000DP4C3YFA45N3421733887'!A1" xr:uid="{0C403177-90E2-43D0-B5C5-4025D6EC4CC1}"/>
    <hyperlink ref="C5" location="'8945000DP4C3YFA45N3431985084'!A1" display="'8945000DP4C3YFA45N3431985084'!A1" xr:uid="{1D60F99F-6375-473A-B10A-5EA819FEE9BC}"/>
    <hyperlink ref="C3" location="'de81-49b6-a7b5-77be994b7d06'!A1" display="'de81-49b6-a7b5-77be994b7d06'!A1" xr:uid="{2C8CF83F-E829-4BE7-9CC2-B953D77B7CBE}"/>
    <hyperlink ref="C7" location="'8945000DP4C3YFA45N3413742182'!A1" display="'8945000DP4C3YFA45N3413742182'!A1" xr:uid="{D5D09F19-525B-474B-B22B-5BC2D5202D94}"/>
    <hyperlink ref="C8" location="'8945000DP4C3YFA45N3413372056'!A1" display="'8945000DP4C3YFA45N3413372056'!A1" xr:uid="{9074A80F-A913-439A-8391-1A08A1B84026}"/>
    <hyperlink ref="C6" location="'8945000DP4C3YFA45N3480247173'!A1" display="'8945000DP4C3YFA45N3480247173'!A1" xr:uid="{27B2B248-A860-4B6B-B2FA-B70E2343FB4F}"/>
    <hyperlink ref="C9" location="'8945000DP4C3YFA45N3432815787'!A1" display="'8945000DP4C3YFA45N3432815787'!A1" xr:uid="{36F7D7F6-8514-4473-87A9-1AA8F90277EC}"/>
    <hyperlink ref="C10" location="'8945000DP4C3YFA45N3430165789'!A1" display="'8945000DP4C3YFA45N3430165789'!A1" xr:uid="{A478F493-7839-495D-9B59-5243C2A46AD4}"/>
    <hyperlink ref="C11" location="'8945000DP4C3YFA45N3431128353'!A1" display="'8945000DP4C3YFA45N3431128353'!A1" xr:uid="{F79AE4ED-8B56-42A0-B328-EDAB19476D8B}"/>
    <hyperlink ref="C12" location="'8945000DP4C3YFA45N3489849864'!A1" display="'8945000DP4C3YFA45N3489849864'!A1" xr:uid="{E291C259-770F-42AC-8EC8-499FEA923A2E}"/>
    <hyperlink ref="C13" location="'8945000DP4C3YFA45N3460847714'!A1" display="'8945000DP4C3YFA45N3460847714'!A1" xr:uid="{5771895D-B06F-4E31-9E5E-950B34460F21}"/>
    <hyperlink ref="C14" location="'8945000DP4C3YFA45N3469604165'!A1" display="'8945000DP4C3YFA45N3469604165'!A1" xr:uid="{A999F8E1-D281-4667-BB59-66D7839421D7}"/>
    <hyperlink ref="C15" location="'8945000DP4C3YFA45N3453716086'!A1" display="'8945000DP4C3YFA45N3453716086'!A1" xr:uid="{6FA669DF-4A4F-4C46-BBF1-79DE5405B382}"/>
    <hyperlink ref="C16" location="'8945000DP4C3YFA45N3457082561'!A1" display="'8945000DP4C3YFA45N3457082561'!A1" xr:uid="{CD357B36-E437-4FAF-84E0-F5C1113D1CE3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01" sqref="K201"/>
    </sheetView>
  </sheetViews>
  <sheetFormatPr defaultRowHeight="15" x14ac:dyDescent="0.25"/>
  <cols>
    <col min="1" max="1" width="15.7109375" style="20" customWidth="1"/>
    <col min="2" max="4" width="10.7109375" customWidth="1"/>
    <col min="6" max="9" width="10.7109375" customWidth="1"/>
    <col min="11" max="11" width="9.140625" style="13"/>
    <col min="14" max="14" width="12" bestFit="1" customWidth="1"/>
  </cols>
  <sheetData>
    <row r="1" spans="1:11" x14ac:dyDescent="0.25">
      <c r="A1" s="25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35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100</v>
      </c>
      <c r="G2" s="3">
        <f>SUM(C2:C35)</f>
        <v>0</v>
      </c>
      <c r="H2" s="3">
        <f>SUM(D2:D14)</f>
        <v>10.45</v>
      </c>
      <c r="I2" s="3">
        <f>F2-G2</f>
        <v>100</v>
      </c>
      <c r="K2" s="3">
        <v>0</v>
      </c>
    </row>
    <row r="3" spans="1:11" x14ac:dyDescent="0.25">
      <c r="A3" s="6">
        <v>46127</v>
      </c>
      <c r="B3" s="3">
        <v>10</v>
      </c>
      <c r="C3" s="3">
        <v>0</v>
      </c>
      <c r="D3" s="3">
        <v>0</v>
      </c>
      <c r="K3" s="3">
        <f t="shared" ref="K3:K19" si="0">B3*-1</f>
        <v>-10</v>
      </c>
    </row>
    <row r="4" spans="1:11" x14ac:dyDescent="0.25">
      <c r="A4" s="6">
        <v>46135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46164</v>
      </c>
      <c r="B6" s="3">
        <v>10</v>
      </c>
      <c r="C6" s="3">
        <v>0</v>
      </c>
      <c r="D6" s="3">
        <v>0</v>
      </c>
      <c r="K6" s="3">
        <f t="shared" si="0"/>
        <v>-10</v>
      </c>
    </row>
    <row r="7" spans="1:11" x14ac:dyDescent="0.25">
      <c r="A7" s="6">
        <v>46185</v>
      </c>
      <c r="B7" s="3">
        <v>10</v>
      </c>
      <c r="C7" s="3">
        <v>0</v>
      </c>
      <c r="D7" s="3">
        <v>0</v>
      </c>
      <c r="K7" s="3">
        <f t="shared" si="0"/>
        <v>-10</v>
      </c>
    </row>
    <row r="8" spans="1:11" x14ac:dyDescent="0.25">
      <c r="A8" s="6">
        <v>46192</v>
      </c>
      <c r="B8" s="3">
        <v>10</v>
      </c>
      <c r="C8" s="3">
        <v>0</v>
      </c>
      <c r="D8" s="3">
        <v>0.45</v>
      </c>
      <c r="K8" s="3">
        <f t="shared" si="0"/>
        <v>-10</v>
      </c>
    </row>
    <row r="9" spans="1:11" x14ac:dyDescent="0.25">
      <c r="A9" s="6">
        <v>46197</v>
      </c>
      <c r="B9" s="3">
        <v>10</v>
      </c>
      <c r="C9" s="3">
        <v>0</v>
      </c>
      <c r="D9" s="3">
        <v>0</v>
      </c>
      <c r="K9" s="3">
        <f t="shared" si="0"/>
        <v>-10</v>
      </c>
    </row>
    <row r="10" spans="1:11" x14ac:dyDescent="0.25">
      <c r="A10" s="6">
        <v>46204</v>
      </c>
      <c r="B10" s="3">
        <v>10</v>
      </c>
      <c r="C10" s="3">
        <v>0</v>
      </c>
      <c r="D10" s="3">
        <v>0</v>
      </c>
      <c r="K10" s="3">
        <f t="shared" si="0"/>
        <v>-10</v>
      </c>
    </row>
    <row r="11" spans="1:11" x14ac:dyDescent="0.25">
      <c r="A11" s="6">
        <v>46205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>
        <v>46217</v>
      </c>
      <c r="B12" s="3">
        <v>10</v>
      </c>
      <c r="C12" s="3">
        <v>0</v>
      </c>
      <c r="D12" s="3">
        <v>0</v>
      </c>
      <c r="K12" s="3">
        <f t="shared" si="0"/>
        <v>-10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3">
        <f t="shared" si="0"/>
        <v>0</v>
      </c>
    </row>
    <row r="17" spans="1:11" x14ac:dyDescent="0.25">
      <c r="A17" s="6"/>
      <c r="B17" s="1"/>
      <c r="C17" s="1"/>
      <c r="D17" s="1"/>
      <c r="K17" s="3">
        <f t="shared" si="0"/>
        <v>0</v>
      </c>
    </row>
    <row r="18" spans="1:11" x14ac:dyDescent="0.25">
      <c r="A18" s="6"/>
      <c r="B18" s="1"/>
      <c r="C18" s="1"/>
      <c r="D18" s="1"/>
      <c r="K18" s="3">
        <f t="shared" si="0"/>
        <v>0</v>
      </c>
    </row>
    <row r="19" spans="1:11" x14ac:dyDescent="0.25">
      <c r="A19" s="6"/>
      <c r="B19" s="1"/>
      <c r="C19" s="1"/>
      <c r="D19" s="1"/>
      <c r="K19" s="3">
        <f t="shared" si="0"/>
        <v>0</v>
      </c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46235</v>
      </c>
      <c r="B200" s="1"/>
      <c r="C200" s="1"/>
      <c r="D200" s="1"/>
      <c r="K200" s="3">
        <f>Overview!W3</f>
        <v>111.91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1ED2E-BBE4-425E-B774-C63E5954DB79}">
  <dimension ref="A1:Z53"/>
  <sheetViews>
    <sheetView workbookViewId="0">
      <selection activeCell="D3" sqref="D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66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67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68</v>
      </c>
      <c r="D3" s="10">
        <v>46308</v>
      </c>
      <c r="E3" s="10"/>
      <c r="F3" s="16" t="str">
        <f>IF(E3&gt;0,E3-D3,"")</f>
        <v/>
      </c>
      <c r="G3" s="3"/>
      <c r="H3" s="3"/>
      <c r="I3" s="3">
        <v>0</v>
      </c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46234</v>
      </c>
      <c r="Y3" s="3">
        <f>B16*-1</f>
        <v>-10.7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2 mėn. 12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46234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46308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73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0.15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10.7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D5F6A-B14E-4785-B9AF-25A52B6D4EFA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46234</v>
      </c>
      <c r="E3" s="10">
        <v>46233</v>
      </c>
      <c r="F3" s="16">
        <f>IF(E3&gt;0,E3-D3,"")</f>
        <v>-1</v>
      </c>
      <c r="G3" s="3">
        <v>1.01</v>
      </c>
      <c r="H3" s="3">
        <v>0.04</v>
      </c>
      <c r="I3" s="3">
        <v>0</v>
      </c>
      <c r="J3" s="13"/>
      <c r="K3" s="3">
        <f>G53</f>
        <v>1.01</v>
      </c>
      <c r="L3" s="3">
        <f>H53</f>
        <v>0.04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46219</v>
      </c>
      <c r="Y3" s="3">
        <f>B16*-1</f>
        <v>-11.1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46265</v>
      </c>
      <c r="E4" s="10"/>
      <c r="F4" s="16" t="str">
        <f>IF(E4&gt;0,E4-D4,"")</f>
        <v/>
      </c>
      <c r="G4" s="3"/>
      <c r="H4" s="2"/>
      <c r="I4" s="3"/>
      <c r="J4" s="9"/>
      <c r="X4" s="6">
        <f>E3</f>
        <v>46233</v>
      </c>
      <c r="Y4" s="3">
        <f>G3+H3-I3</f>
        <v>1.05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15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46219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303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1.01</v>
      </c>
      <c r="H53" s="3">
        <f t="shared" ref="H53:I53" si="3">SUM(H3:H52)</f>
        <v>0.04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2D7B8-930F-4AFA-8660-FCBCA926F777}">
  <dimension ref="A1:Z53"/>
  <sheetViews>
    <sheetView workbookViewId="0">
      <selection activeCell="E4" sqref="E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46231</v>
      </c>
      <c r="E3" s="10">
        <v>46231</v>
      </c>
      <c r="F3" s="16">
        <f>IF(E3&gt;0,E3-D3,"")</f>
        <v>0</v>
      </c>
      <c r="G3" s="3">
        <v>2.19</v>
      </c>
      <c r="H3" s="3">
        <v>0.15</v>
      </c>
      <c r="I3" s="3">
        <v>0</v>
      </c>
      <c r="J3" s="13"/>
      <c r="K3" s="3">
        <f>G53</f>
        <v>2.19</v>
      </c>
      <c r="L3" s="3">
        <f>H53</f>
        <v>0.15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46205</v>
      </c>
      <c r="Y3" s="3">
        <f>B16*-1</f>
        <v>-19.93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46262</v>
      </c>
      <c r="E4" s="10"/>
      <c r="F4" s="16" t="str">
        <f>IF(E4&gt;0,E4-D4,"")</f>
        <v/>
      </c>
      <c r="G4" s="3"/>
      <c r="H4" s="2"/>
      <c r="I4" s="3"/>
      <c r="J4" s="9"/>
      <c r="X4" s="6">
        <f>E3</f>
        <v>46231</v>
      </c>
      <c r="Y4" s="3">
        <f>G3+H3-I3</f>
        <v>2.34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16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229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19.93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2.19</v>
      </c>
      <c r="H53" s="3">
        <f t="shared" ref="H53:I53" si="3">SUM(H3:H52)</f>
        <v>0.15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2BF4-C04E-4220-8B17-E9AD0A5D2907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46213</v>
      </c>
      <c r="E3" s="10">
        <v>46216</v>
      </c>
      <c r="F3" s="16">
        <f>IF(E3&gt;0,E3-D3,"")</f>
        <v>3</v>
      </c>
      <c r="G3" s="3">
        <v>0.18</v>
      </c>
      <c r="H3" s="3">
        <v>0.04</v>
      </c>
      <c r="I3" s="3">
        <v>0</v>
      </c>
      <c r="J3" s="13"/>
      <c r="K3" s="3">
        <f>G53</f>
        <v>0.18</v>
      </c>
      <c r="L3" s="3">
        <f>H53</f>
        <v>0.04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46204</v>
      </c>
      <c r="Y3" s="3">
        <f>B16*-1</f>
        <v>-13.24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46244</v>
      </c>
      <c r="E4" s="10"/>
      <c r="F4" s="16" t="str">
        <f>IF(E4&gt;0,E4-D4,"")</f>
        <v/>
      </c>
      <c r="G4" s="3"/>
      <c r="H4" s="2"/>
      <c r="I4" s="2"/>
      <c r="J4" s="9"/>
      <c r="X4" s="6">
        <f>E3</f>
        <v>46216</v>
      </c>
      <c r="Y4" s="3">
        <f>G3+H3-I3</f>
        <v>0.22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5 mėn. 21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46204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47474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1239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13.24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0.18</v>
      </c>
      <c r="H53" s="3">
        <f t="shared" ref="H53:I53" si="3">SUM(H3:H52)</f>
        <v>0.04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34830-067C-4069-8BB5-3E33A8AAE3C5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46226</v>
      </c>
      <c r="E3" s="10"/>
      <c r="F3" s="16" t="str">
        <f>IF(E3&gt;0,E3-D3,"")</f>
        <v/>
      </c>
      <c r="G3" s="3"/>
      <c r="H3" s="3"/>
      <c r="I3" s="3">
        <v>0</v>
      </c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9</v>
      </c>
      <c r="Q3" s="2" t="str">
        <f>IF(B16=K3,MAX(E:E)-B11,"")</f>
        <v/>
      </c>
      <c r="T3" s="12"/>
      <c r="X3" s="6">
        <f>B9</f>
        <v>46197</v>
      </c>
      <c r="Y3" s="3">
        <f>B16*-1</f>
        <v>-12.88</v>
      </c>
      <c r="Z3" s="2" t="str">
        <f ca="1">IF(AND(TODAY()&gt;B11, K3&lt;&gt;B16), "+", "")</f>
        <v>+</v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46196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46226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-9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12.88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ED607-E3C3-46C6-8528-B40D7AA70A10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46270</v>
      </c>
      <c r="E3" s="10"/>
      <c r="F3" s="16" t="str">
        <f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46192</v>
      </c>
      <c r="Y3" s="3">
        <f>B16*-1</f>
        <v>-12.51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14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46084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216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12.51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CDC9-F42B-41A7-926F-D0C0266DA0F7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46204</v>
      </c>
      <c r="E3" s="10">
        <v>46203</v>
      </c>
      <c r="F3" s="16">
        <f>IF(E3&gt;0,E3-D3,"")</f>
        <v>-1</v>
      </c>
      <c r="G3" s="3">
        <v>3.19</v>
      </c>
      <c r="H3" s="3">
        <v>0.05</v>
      </c>
      <c r="I3" s="3">
        <v>0</v>
      </c>
      <c r="J3" s="13"/>
      <c r="K3" s="3">
        <f>G53</f>
        <v>6.41</v>
      </c>
      <c r="L3" s="3">
        <f>H53</f>
        <v>0.13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46185</v>
      </c>
      <c r="Y3" s="3">
        <f>B16*-1</f>
        <v>-12.99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46233</v>
      </c>
      <c r="E4" s="10">
        <v>46233</v>
      </c>
      <c r="F4" s="16">
        <f>IF(E4&gt;0,E4-D4,"")</f>
        <v>0</v>
      </c>
      <c r="G4" s="3">
        <v>3.22</v>
      </c>
      <c r="H4" s="2">
        <v>0.08</v>
      </c>
      <c r="I4" s="3">
        <v>0</v>
      </c>
      <c r="J4" s="9"/>
      <c r="X4" s="6">
        <f>E3</f>
        <v>46203</v>
      </c>
      <c r="Y4" s="3">
        <f>G3+H3-I3</f>
        <v>3.2399999999999998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46233</v>
      </c>
      <c r="Y5" s="3">
        <f t="shared" ref="Y5:Y52" si="2">G4+H4-I4</f>
        <v>3.3000000000000003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3 mėn. 17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46185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46294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59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12.99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6.41</v>
      </c>
      <c r="H53" s="3">
        <f t="shared" ref="H53:I53" si="3">SUM(H3:H52)</f>
        <v>0.13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6B81-524E-46B8-96DD-07557B282857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57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46172</v>
      </c>
      <c r="E3" s="10">
        <v>46174</v>
      </c>
      <c r="F3" s="16">
        <f>IF(E3&gt;0,E3-D3,"")</f>
        <v>2</v>
      </c>
      <c r="G3" s="3">
        <v>1.1599999999999999</v>
      </c>
      <c r="H3" s="3">
        <v>0.01</v>
      </c>
      <c r="I3" s="3">
        <v>0</v>
      </c>
      <c r="J3" s="13"/>
      <c r="K3" s="3">
        <f>G53</f>
        <v>12.809999999999999</v>
      </c>
      <c r="L3" s="3">
        <f>H53</f>
        <v>0.11</v>
      </c>
      <c r="M3" s="3">
        <f>I53</f>
        <v>0</v>
      </c>
      <c r="N3" s="7">
        <f>IF(B16=K3,XIRR(Y3:Y52,X3:X52),"")</f>
        <v>0.11385952830314636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46169</v>
      </c>
      <c r="Y3" s="3">
        <f>B16*-1</f>
        <v>-12.81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46203</v>
      </c>
      <c r="E4" s="10">
        <v>46175</v>
      </c>
      <c r="F4" s="16">
        <f>IF(E4&gt;0,E4-D4,"")</f>
        <v>-28</v>
      </c>
      <c r="G4" s="3">
        <v>1.81</v>
      </c>
      <c r="H4" s="2">
        <v>0.01</v>
      </c>
      <c r="I4" s="3">
        <v>0</v>
      </c>
      <c r="J4" s="9"/>
      <c r="X4" s="6">
        <f>E3</f>
        <v>46174</v>
      </c>
      <c r="Y4" s="3">
        <f>G3+H3-I3</f>
        <v>1.17</v>
      </c>
    </row>
    <row r="5" spans="1:26" x14ac:dyDescent="0.25">
      <c r="A5" s="5"/>
      <c r="B5" s="6"/>
      <c r="D5" s="10">
        <v>46233</v>
      </c>
      <c r="E5" s="10">
        <v>46205</v>
      </c>
      <c r="F5" s="16">
        <f t="shared" ref="F5:F52" si="0">IF(E5&gt;0,E5-D5,"")</f>
        <v>-28</v>
      </c>
      <c r="G5" s="3">
        <v>9.84</v>
      </c>
      <c r="H5" s="3">
        <v>0.09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1.82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9.93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3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46169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12.81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12.809999999999999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17942-24E3-4183-AA84-999E51E414ED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56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46191</v>
      </c>
      <c r="E3" s="10">
        <v>46191</v>
      </c>
      <c r="F3" s="16">
        <f>IF(E3&gt;0,E3-D3,"")</f>
        <v>0</v>
      </c>
      <c r="G3" s="3">
        <v>1.08</v>
      </c>
      <c r="H3" s="3">
        <v>0.09</v>
      </c>
      <c r="I3" s="3">
        <v>0</v>
      </c>
      <c r="J3" s="13"/>
      <c r="K3" s="3">
        <f>G53</f>
        <v>2.17</v>
      </c>
      <c r="L3" s="3">
        <f>H53</f>
        <v>0.18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46164</v>
      </c>
      <c r="Y3" s="3">
        <f>B16*-1</f>
        <v>-11.85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46221</v>
      </c>
      <c r="E4" s="10">
        <v>46219</v>
      </c>
      <c r="F4" s="16">
        <f>IF(E4&gt;0,E4-D4,"")</f>
        <v>-2</v>
      </c>
      <c r="G4" s="3">
        <v>1.0900000000000001</v>
      </c>
      <c r="H4" s="2">
        <v>0.09</v>
      </c>
      <c r="I4" s="3">
        <v>0</v>
      </c>
      <c r="J4" s="9"/>
      <c r="X4" s="6">
        <f>E3</f>
        <v>46191</v>
      </c>
      <c r="Y4" s="3">
        <f>G3+H3-I3</f>
        <v>1.1700000000000002</v>
      </c>
    </row>
    <row r="5" spans="1:26" x14ac:dyDescent="0.25">
      <c r="A5" s="5"/>
      <c r="B5" s="6"/>
      <c r="D5" s="10">
        <v>46252</v>
      </c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46219</v>
      </c>
      <c r="Y5" s="3">
        <f t="shared" ref="Y5:Y52" si="2">G4+H4-I4</f>
        <v>1.1800000000000002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27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46164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46495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260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11.85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2.17</v>
      </c>
      <c r="H53" s="3">
        <f t="shared" ref="H53:I53" si="3">SUM(H3:H52)</f>
        <v>0.18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5">
      <formula>$Z$3="+"</formula>
    </cfRule>
  </conditionalFormatting>
  <conditionalFormatting sqref="Z3">
    <cfRule type="expression" dxfId="2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DDE2-8704-4234-A130-5A9141225661}">
  <dimension ref="A1:Z53"/>
  <sheetViews>
    <sheetView workbookViewId="0">
      <selection activeCell="E6" sqref="E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53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54</v>
      </c>
      <c r="D3" s="10">
        <v>46169</v>
      </c>
      <c r="E3" s="10">
        <v>46169</v>
      </c>
      <c r="F3" s="16">
        <f>IF(E3&gt;0,E3-D3,"")</f>
        <v>0</v>
      </c>
      <c r="G3" s="3">
        <v>0.91</v>
      </c>
      <c r="H3" s="3">
        <v>0.03</v>
      </c>
      <c r="I3" s="3">
        <v>0</v>
      </c>
      <c r="J3" s="13"/>
      <c r="K3" s="3">
        <f>G53</f>
        <v>2.72</v>
      </c>
      <c r="L3" s="3">
        <f>H53</f>
        <v>0.21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46157</v>
      </c>
      <c r="Y3" s="3">
        <f>B16*-1</f>
        <v>-10.89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46200</v>
      </c>
      <c r="E4" s="10">
        <v>46197</v>
      </c>
      <c r="F4" s="16">
        <f>IF(E4&gt;0,E4-D4,"")</f>
        <v>-3</v>
      </c>
      <c r="G4" s="3">
        <v>0.92</v>
      </c>
      <c r="H4" s="2">
        <v>0.09</v>
      </c>
      <c r="I4" s="3">
        <v>0</v>
      </c>
      <c r="J4" s="9"/>
      <c r="X4" s="6">
        <f>E3</f>
        <v>46169</v>
      </c>
      <c r="Y4" s="3">
        <f>G3+H3-I3</f>
        <v>0.94000000000000006</v>
      </c>
    </row>
    <row r="5" spans="1:26" x14ac:dyDescent="0.25">
      <c r="A5" s="5"/>
      <c r="B5" s="6"/>
      <c r="D5" s="10">
        <v>46230</v>
      </c>
      <c r="E5" s="10">
        <v>46230</v>
      </c>
      <c r="F5" s="16">
        <f t="shared" ref="F5:F52" si="0">IF(E5&gt;0,E5-D5,"")</f>
        <v>0</v>
      </c>
      <c r="G5" s="3">
        <v>0.89</v>
      </c>
      <c r="H5" s="3">
        <v>0.09</v>
      </c>
      <c r="I5" s="3">
        <v>0</v>
      </c>
      <c r="J5" s="9"/>
      <c r="X5" s="6">
        <f t="shared" ref="X5:X52" si="1">E4</f>
        <v>46197</v>
      </c>
      <c r="Y5" s="3">
        <f t="shared" ref="Y5:Y52" si="2">G4+H4-I4</f>
        <v>1.01</v>
      </c>
    </row>
    <row r="6" spans="1:26" x14ac:dyDescent="0.25">
      <c r="A6" s="5"/>
      <c r="B6" s="6"/>
      <c r="D6" s="10">
        <v>46261</v>
      </c>
      <c r="E6" s="10"/>
      <c r="F6" s="16" t="str">
        <f t="shared" si="0"/>
        <v/>
      </c>
      <c r="G6" s="3"/>
      <c r="H6" s="3"/>
      <c r="I6" s="3"/>
      <c r="J6" s="9"/>
      <c r="X6" s="6">
        <f t="shared" si="1"/>
        <v>46230</v>
      </c>
      <c r="Y6" s="3">
        <f t="shared" si="2"/>
        <v>0.98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12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46139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46504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269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10.89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2.72</v>
      </c>
      <c r="H53" s="3">
        <f t="shared" ref="H53:I53" si="3">SUM(H3:H52)</f>
        <v>0.21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5">
      <formula>$Z$3="+"</formula>
    </cfRule>
  </conditionalFormatting>
  <conditionalFormatting sqref="Z3">
    <cfRule type="expression" dxfId="1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AF2E-D350-415A-BB99-2F8DABB3126C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46181</v>
      </c>
      <c r="E3" s="10">
        <v>46167</v>
      </c>
      <c r="F3" s="16">
        <f>IF(E3&gt;0,E3-D3,"")</f>
        <v>-14</v>
      </c>
      <c r="G3" s="3">
        <v>11.82</v>
      </c>
      <c r="H3" s="3">
        <v>0.05</v>
      </c>
      <c r="I3" s="3">
        <v>0</v>
      </c>
      <c r="J3" s="13"/>
      <c r="K3" s="3">
        <f>G53</f>
        <v>11.82</v>
      </c>
      <c r="L3" s="3">
        <f>H53</f>
        <v>0.05</v>
      </c>
      <c r="M3" s="3">
        <f>I53</f>
        <v>0</v>
      </c>
      <c r="N3" s="7">
        <f>IF(B16=K3,XIRR(Y3:Y52,X3:X52),"")</f>
        <v>0.10817640423774721</v>
      </c>
      <c r="O3" s="6">
        <f>IF(B16=K3,MAX(E:E),"")</f>
        <v>46167</v>
      </c>
      <c r="P3" s="2" t="str">
        <f ca="1">IF(Z3="+",TODAY()-B11,"")</f>
        <v/>
      </c>
      <c r="Q3" s="2">
        <f>IF(B16=K3,MAX(E:E)-B11,"")</f>
        <v>-14</v>
      </c>
      <c r="T3" s="12"/>
      <c r="X3" s="6">
        <f>B9</f>
        <v>46152</v>
      </c>
      <c r="Y3" s="3">
        <f>B16*-1</f>
        <v>-11.82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46167</v>
      </c>
      <c r="Y4" s="3">
        <f>G3+H3-I3</f>
        <v>11.870000000000001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11.82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11.82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F64B-FA87-4FC9-BBF4-0658CCF42B49}">
  <sheetPr>
    <tabColor rgb="FF92D050"/>
  </sheetPr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42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43</v>
      </c>
      <c r="D3" s="10">
        <v>46164</v>
      </c>
      <c r="E3" s="10">
        <v>46152</v>
      </c>
      <c r="F3" s="16">
        <f>IF(E3&gt;0,E3-D3,"")</f>
        <v>-12</v>
      </c>
      <c r="G3" s="3">
        <v>11.76</v>
      </c>
      <c r="H3" s="3">
        <v>0.06</v>
      </c>
      <c r="I3" s="3">
        <v>0</v>
      </c>
      <c r="J3" s="13"/>
      <c r="K3" s="3">
        <f>G53</f>
        <v>11.76</v>
      </c>
      <c r="L3" s="3">
        <f>H53</f>
        <v>0.06</v>
      </c>
      <c r="M3" s="3">
        <f>I53</f>
        <v>0</v>
      </c>
      <c r="N3" s="7">
        <f>IF(B16=K3,XIRR(Y3:Y52,X3:X52),"")</f>
        <v>0.11545825600624082</v>
      </c>
      <c r="O3" s="6">
        <f>IF(B16=K3,MAX(E:E),"")</f>
        <v>46152</v>
      </c>
      <c r="P3" s="2" t="str">
        <f ca="1">IF(Z3="+",TODAY()-B11,"")</f>
        <v/>
      </c>
      <c r="Q3" s="2">
        <f>IF(B16=K3,MAX(E:E)-B11,"")</f>
        <v>-12</v>
      </c>
      <c r="T3" s="12"/>
      <c r="X3" s="6">
        <f>B9</f>
        <v>46135</v>
      </c>
      <c r="Y3" s="3">
        <f>B16*-1</f>
        <v>-11.76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/>
      <c r="E4" s="10"/>
      <c r="F4" s="16" t="str">
        <f>IF(E4&gt;0,E4-D4,"")</f>
        <v/>
      </c>
      <c r="G4" s="3"/>
      <c r="H4" s="2"/>
      <c r="I4" s="2"/>
      <c r="J4" s="9"/>
      <c r="X4" s="6">
        <f>E3</f>
        <v>46152</v>
      </c>
      <c r="Y4" s="3">
        <f>G3+H3-I3</f>
        <v>11.82</v>
      </c>
    </row>
    <row r="5" spans="1:26" x14ac:dyDescent="0.25">
      <c r="A5" s="5"/>
      <c r="B5" s="6"/>
      <c r="D5" s="10"/>
      <c r="E5" s="10"/>
      <c r="F5" s="16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6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6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46135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46134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46164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 t="str">
        <f ca="1">IF(B16&lt;&gt;K3,(TODAY()-B11)*-1,"")</f>
        <v/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11.76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11.76</v>
      </c>
      <c r="H53" s="3">
        <f t="shared" ref="H53:I53" si="3">SUM(H3:H52)</f>
        <v>0.06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29E82-AEB9-428A-AE0E-F12CE0B61744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29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55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30</v>
      </c>
      <c r="D3" s="10">
        <v>46135</v>
      </c>
      <c r="E3" s="10">
        <v>46135</v>
      </c>
      <c r="F3" s="16">
        <f>IF(E3&gt;0,E3-D3,"")</f>
        <v>0</v>
      </c>
      <c r="G3" s="3">
        <v>1.75</v>
      </c>
      <c r="H3" s="3">
        <v>0.01</v>
      </c>
      <c r="I3" s="3">
        <v>0</v>
      </c>
      <c r="J3" s="13"/>
      <c r="K3" s="3">
        <f>G53</f>
        <v>7.15</v>
      </c>
      <c r="L3" s="3">
        <f>H53</f>
        <v>0.18000000000000002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31</v>
      </c>
      <c r="D4" s="10">
        <v>46165</v>
      </c>
      <c r="E4" s="10">
        <v>46164</v>
      </c>
      <c r="F4" s="16">
        <f>IF(E4&gt;0,E4-D4,"")</f>
        <v>-1</v>
      </c>
      <c r="G4" s="3">
        <v>1.78</v>
      </c>
      <c r="H4" s="2">
        <v>7.0000000000000007E-2</v>
      </c>
      <c r="I4" s="3">
        <v>0</v>
      </c>
      <c r="J4" s="9"/>
      <c r="X4" s="6">
        <f>E3</f>
        <v>46135</v>
      </c>
      <c r="Y4" s="3">
        <f>G3+H3-I3</f>
        <v>1.76</v>
      </c>
    </row>
    <row r="5" spans="1:26" x14ac:dyDescent="0.25">
      <c r="A5" s="5"/>
      <c r="B5" s="6"/>
      <c r="D5" s="10">
        <v>46195</v>
      </c>
      <c r="E5" s="10">
        <v>46196</v>
      </c>
      <c r="F5" s="16">
        <f t="shared" ref="F5:F52" si="0">IF(E5&gt;0,E5-D5,"")</f>
        <v>1</v>
      </c>
      <c r="G5" s="3">
        <v>1.81</v>
      </c>
      <c r="H5" s="3">
        <v>0.06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1.85</v>
      </c>
    </row>
    <row r="6" spans="1:26" x14ac:dyDescent="0.25">
      <c r="A6" s="5"/>
      <c r="B6" s="6"/>
      <c r="D6" s="10">
        <v>46225</v>
      </c>
      <c r="E6" s="10">
        <v>46224</v>
      </c>
      <c r="F6" s="16">
        <f t="shared" si="0"/>
        <v>-1</v>
      </c>
      <c r="G6" s="3">
        <v>1.81</v>
      </c>
      <c r="H6" s="3">
        <v>0.04</v>
      </c>
      <c r="I6" s="3">
        <v>0</v>
      </c>
      <c r="J6" s="9"/>
      <c r="X6" s="6">
        <f t="shared" si="1"/>
        <v>46196</v>
      </c>
      <c r="Y6" s="3">
        <f t="shared" si="2"/>
        <v>1.87</v>
      </c>
    </row>
    <row r="7" spans="1:26" x14ac:dyDescent="0.25">
      <c r="A7" s="5"/>
      <c r="B7" s="6"/>
      <c r="D7" s="10">
        <v>46255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46224</v>
      </c>
      <c r="Y7" s="3">
        <f t="shared" si="2"/>
        <v>1.85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50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10.86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7.15</v>
      </c>
      <c r="H53" s="3">
        <f t="shared" ref="H53:I53" si="3">SUM(H3:H52)</f>
        <v>0.18000000000000002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81BF-3088-410D-89E1-7093256A7CF9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24</v>
      </c>
      <c r="D1" s="32" t="s">
        <v>2</v>
      </c>
      <c r="E1" s="33"/>
      <c r="F1" s="34"/>
      <c r="G1" s="32" t="s">
        <v>0</v>
      </c>
      <c r="H1" s="33"/>
      <c r="I1" s="34"/>
      <c r="J1" s="18"/>
      <c r="K1" s="32" t="s">
        <v>36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14</v>
      </c>
      <c r="B2" s="6" t="s">
        <v>26</v>
      </c>
      <c r="D2" s="11" t="s">
        <v>40</v>
      </c>
      <c r="E2" s="11" t="s">
        <v>41</v>
      </c>
      <c r="F2" s="17" t="s">
        <v>47</v>
      </c>
      <c r="G2" s="11" t="s">
        <v>11</v>
      </c>
      <c r="H2" s="11" t="s">
        <v>12</v>
      </c>
      <c r="I2" s="11" t="s">
        <v>33</v>
      </c>
      <c r="J2" s="9"/>
      <c r="K2" s="11" t="s">
        <v>0</v>
      </c>
      <c r="L2" s="11" t="s">
        <v>1</v>
      </c>
      <c r="M2" s="11" t="s">
        <v>34</v>
      </c>
      <c r="N2" s="11" t="s">
        <v>35</v>
      </c>
      <c r="O2" s="11" t="s">
        <v>2</v>
      </c>
      <c r="P2" s="11" t="s">
        <v>44</v>
      </c>
      <c r="Q2" s="11" t="s">
        <v>47</v>
      </c>
      <c r="X2" s="11" t="s">
        <v>2</v>
      </c>
      <c r="Y2" s="11" t="s">
        <v>38</v>
      </c>
      <c r="Z2" s="11" t="s">
        <v>44</v>
      </c>
    </row>
    <row r="3" spans="1:26" x14ac:dyDescent="0.25">
      <c r="A3" s="5" t="s">
        <v>17</v>
      </c>
      <c r="B3" s="6" t="s">
        <v>25</v>
      </c>
      <c r="D3" s="10">
        <v>46127</v>
      </c>
      <c r="E3" s="10">
        <v>46127</v>
      </c>
      <c r="F3" s="16">
        <f>IF(E3&gt;0,E3-D3,"")</f>
        <v>0</v>
      </c>
      <c r="G3" s="3">
        <v>0.79</v>
      </c>
      <c r="H3" s="3">
        <v>7.0000000000000007E-2</v>
      </c>
      <c r="I3" s="3">
        <v>0</v>
      </c>
      <c r="J3" s="13"/>
      <c r="K3" s="3">
        <f>G53</f>
        <v>3.2100000000000004</v>
      </c>
      <c r="L3" s="3">
        <f>H53</f>
        <v>0.31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46157</v>
      </c>
      <c r="E4" s="10">
        <v>46157</v>
      </c>
      <c r="F4" s="16">
        <f>IF(E4&gt;0,E4-D4,"")</f>
        <v>0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6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6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>
        <v>46248</v>
      </c>
      <c r="E7" s="10"/>
      <c r="F7" s="16" t="str">
        <f t="shared" si="0"/>
        <v/>
      </c>
      <c r="G7" s="3"/>
      <c r="H7" s="3"/>
      <c r="I7" s="3"/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/>
      <c r="E8" s="6"/>
      <c r="F8" s="16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46101</v>
      </c>
      <c r="D9" s="10"/>
      <c r="E9" s="6"/>
      <c r="F9" s="16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/>
      <c r="E10" s="6"/>
      <c r="F10" s="16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/>
      <c r="E11" s="6"/>
      <c r="F11" s="16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48</v>
      </c>
      <c r="B12" s="16">
        <f ca="1">IF(B16&lt;&gt;K3,(TODAY()-B11)*-1,"")</f>
        <v>223</v>
      </c>
      <c r="D12" s="10"/>
      <c r="E12" s="6"/>
      <c r="F12" s="16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6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6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6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49</v>
      </c>
      <c r="B16" s="3">
        <v>10</v>
      </c>
      <c r="D16" s="10"/>
      <c r="E16" s="6"/>
      <c r="F16" s="16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6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6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6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6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6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6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6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6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6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6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6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6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6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6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6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6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6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6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6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6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6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6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6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6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6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6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6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6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6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6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6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6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6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6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6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6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3.2100000000000004</v>
      </c>
      <c r="H53" s="3">
        <f t="shared" ref="H53:I53" si="3">SUM(H3:H52)</f>
        <v>0.31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7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Overview</vt:lpstr>
      <vt:lpstr>Pinigai</vt:lpstr>
      <vt:lpstr>8945000DP4C3YFA45N3457082561</vt:lpstr>
      <vt:lpstr>8945000DP4C3YFA45N3453716086</vt:lpstr>
      <vt:lpstr>8945000DP4C3YFA45N3469604165</vt:lpstr>
      <vt:lpstr>8945000DP4C3YFA45N3460847714</vt:lpstr>
      <vt:lpstr>8945000DP4C3YFA45N3489849864</vt:lpstr>
      <vt:lpstr>8945000DP4C3YFA45N3431128353</vt:lpstr>
      <vt:lpstr>8945000DP4C3YFA45N3430165789</vt:lpstr>
      <vt:lpstr>8945000DP4C3YFA45N3432815787</vt:lpstr>
      <vt:lpstr>8945000DP4C3YFA45N3413372056</vt:lpstr>
      <vt:lpstr>8945000DP4C3YFA45N3413742182</vt:lpstr>
      <vt:lpstr>8945000DP4C3YFA45N3480247173</vt:lpstr>
      <vt:lpstr>8945000DP4C3YFA45N3431985084</vt:lpstr>
      <vt:lpstr>8945000DP4C3YFA45N3421733887</vt:lpstr>
      <vt:lpstr>de81-49b6-a7b5-77be994b7d06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2026-08-01T17:56:18Z</dcterms:modified>
</cp:coreProperties>
</file>