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Viainvest\"/>
    </mc:Choice>
  </mc:AlternateContent>
  <xr:revisionPtr revIDLastSave="0" documentId="13_ncr:1_{0D4C544E-6C14-4C26-825D-B55E008385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LVX0000V2GD7" sheetId="37" r:id="rId3"/>
    <sheet name="LVX0000USE62" sheetId="36" r:id="rId4"/>
    <sheet name="LVX0000UNB86" sheetId="35" r:id="rId5"/>
    <sheet name="LVX0000U8E70" sheetId="34" r:id="rId6"/>
    <sheet name="LVX0000TWW26" sheetId="33" r:id="rId7"/>
    <sheet name="LVX0000TKSY9" sheetId="32" r:id="rId8"/>
    <sheet name="LVX0000TK694" sheetId="31" r:id="rId9"/>
    <sheet name="LVX0000T5YE5" sheetId="30" r:id="rId10"/>
    <sheet name="LVX0000SFML1" sheetId="29" r:id="rId11"/>
    <sheet name="LVX0000RLIY2" sheetId="28" r:id="rId12"/>
    <sheet name="LVX0000QU0F1" sheetId="27" r:id="rId13"/>
    <sheet name="LVX0000PXSI3" sheetId="26" r:id="rId14"/>
    <sheet name="LVX0000PK205" sheetId="25" r:id="rId15"/>
    <sheet name="LVX0000PRFL6" sheetId="14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V3" i="1"/>
  <c r="W3" i="1" s="1"/>
  <c r="X3" i="1" s="1"/>
  <c r="U3" i="1"/>
  <c r="R3" i="1" s="1"/>
  <c r="S3" i="1"/>
  <c r="Q3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L3" i="14"/>
  <c r="L3" i="25"/>
  <c r="L3" i="26"/>
  <c r="L3" i="27"/>
  <c r="L3" i="28"/>
  <c r="L3" i="29"/>
  <c r="L3" i="30"/>
  <c r="L3" i="31"/>
  <c r="L3" i="32"/>
  <c r="L3" i="33"/>
  <c r="L3" i="34"/>
  <c r="L3" i="35"/>
  <c r="L3" i="36"/>
  <c r="T3" i="1" l="1"/>
  <c r="Y3" i="1"/>
  <c r="L3" i="37"/>
  <c r="N16" i="1" s="1"/>
  <c r="K200" i="15"/>
  <c r="M16" i="1"/>
  <c r="J16" i="1"/>
  <c r="I16" i="1"/>
  <c r="H16" i="1"/>
  <c r="G16" i="1"/>
  <c r="F16" i="1"/>
  <c r="D16" i="1"/>
  <c r="C16" i="1"/>
  <c r="B16" i="1"/>
  <c r="I53" i="37"/>
  <c r="H53" i="37"/>
  <c r="G53" i="37"/>
  <c r="Y52" i="37"/>
  <c r="X52" i="37"/>
  <c r="F52" i="37"/>
  <c r="Y51" i="37"/>
  <c r="X51" i="37"/>
  <c r="F51" i="37"/>
  <c r="Y50" i="37"/>
  <c r="X50" i="37"/>
  <c r="F50" i="37"/>
  <c r="Y49" i="37"/>
  <c r="X49" i="37"/>
  <c r="F49" i="37"/>
  <c r="Y48" i="37"/>
  <c r="X48" i="37"/>
  <c r="F48" i="37"/>
  <c r="Y47" i="37"/>
  <c r="X47" i="37"/>
  <c r="F47" i="37"/>
  <c r="Y46" i="37"/>
  <c r="X46" i="37"/>
  <c r="F46" i="37"/>
  <c r="Y45" i="37"/>
  <c r="X45" i="37"/>
  <c r="F45" i="37"/>
  <c r="Y44" i="37"/>
  <c r="X44" i="37"/>
  <c r="F44" i="37"/>
  <c r="Y43" i="37"/>
  <c r="X43" i="37"/>
  <c r="F43" i="37"/>
  <c r="Y42" i="37"/>
  <c r="X42" i="37"/>
  <c r="F42" i="37"/>
  <c r="Y41" i="37"/>
  <c r="X41" i="37"/>
  <c r="F41" i="37"/>
  <c r="Y40" i="37"/>
  <c r="X40" i="37"/>
  <c r="F40" i="37"/>
  <c r="Y39" i="37"/>
  <c r="X39" i="37"/>
  <c r="F39" i="37"/>
  <c r="Y38" i="37"/>
  <c r="X38" i="37"/>
  <c r="F38" i="37"/>
  <c r="Y37" i="37"/>
  <c r="X37" i="37"/>
  <c r="F37" i="37"/>
  <c r="Y36" i="37"/>
  <c r="X36" i="37"/>
  <c r="F36" i="37"/>
  <c r="Y35" i="37"/>
  <c r="X35" i="37"/>
  <c r="F35" i="37"/>
  <c r="Y34" i="37"/>
  <c r="X34" i="37"/>
  <c r="F34" i="37"/>
  <c r="Y33" i="37"/>
  <c r="X33" i="37"/>
  <c r="F33" i="37"/>
  <c r="Y32" i="37"/>
  <c r="X32" i="37"/>
  <c r="F32" i="37"/>
  <c r="Y31" i="37"/>
  <c r="X31" i="37"/>
  <c r="F31" i="37"/>
  <c r="Y30" i="37"/>
  <c r="X30" i="37"/>
  <c r="F30" i="37"/>
  <c r="Y29" i="37"/>
  <c r="X29" i="37"/>
  <c r="F29" i="37"/>
  <c r="Y28" i="37"/>
  <c r="X28" i="37"/>
  <c r="F28" i="37"/>
  <c r="Y27" i="37"/>
  <c r="X27" i="37"/>
  <c r="F27" i="37"/>
  <c r="Y26" i="37"/>
  <c r="X26" i="37"/>
  <c r="F26" i="37"/>
  <c r="Y25" i="37"/>
  <c r="X25" i="37"/>
  <c r="F25" i="37"/>
  <c r="Y24" i="37"/>
  <c r="X24" i="37"/>
  <c r="F24" i="37"/>
  <c r="Y23" i="37"/>
  <c r="X23" i="37"/>
  <c r="F23" i="37"/>
  <c r="Y22" i="37"/>
  <c r="X22" i="37"/>
  <c r="F22" i="37"/>
  <c r="Y21" i="37"/>
  <c r="X21" i="37"/>
  <c r="F21" i="37"/>
  <c r="Y20" i="37"/>
  <c r="X20" i="37"/>
  <c r="F20" i="37"/>
  <c r="Y19" i="37"/>
  <c r="X19" i="37"/>
  <c r="F19" i="37"/>
  <c r="Y18" i="37"/>
  <c r="X18" i="37"/>
  <c r="F18" i="37"/>
  <c r="Y17" i="37"/>
  <c r="X17" i="37"/>
  <c r="F17" i="37"/>
  <c r="Y16" i="37"/>
  <c r="X16" i="37"/>
  <c r="F16" i="37"/>
  <c r="Y15" i="37"/>
  <c r="X15" i="37"/>
  <c r="F15" i="37"/>
  <c r="Y14" i="37"/>
  <c r="X14" i="37"/>
  <c r="F14" i="37"/>
  <c r="Y13" i="37"/>
  <c r="X13" i="37"/>
  <c r="F13" i="37"/>
  <c r="Y12" i="37"/>
  <c r="X12" i="37"/>
  <c r="F12" i="37"/>
  <c r="Y11" i="37"/>
  <c r="X11" i="37"/>
  <c r="F11" i="37"/>
  <c r="Y10" i="37"/>
  <c r="X10" i="37"/>
  <c r="F10" i="37"/>
  <c r="Y9" i="37"/>
  <c r="X9" i="37"/>
  <c r="F9" i="37"/>
  <c r="Y8" i="37"/>
  <c r="X8" i="37"/>
  <c r="F8" i="37"/>
  <c r="B8" i="37"/>
  <c r="Y7" i="37"/>
  <c r="X7" i="37"/>
  <c r="F7" i="37"/>
  <c r="Y6" i="37"/>
  <c r="X6" i="37"/>
  <c r="F6" i="37"/>
  <c r="Y5" i="37"/>
  <c r="X5" i="37"/>
  <c r="F5" i="37"/>
  <c r="Y4" i="37"/>
  <c r="X4" i="37"/>
  <c r="F4" i="37"/>
  <c r="Y3" i="37"/>
  <c r="X3" i="37"/>
  <c r="Q3" i="37"/>
  <c r="K3" i="37"/>
  <c r="O3" i="37" s="1"/>
  <c r="F3" i="37"/>
  <c r="F5" i="3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2" i="15"/>
  <c r="A200" i="15"/>
  <c r="Z3" i="1" s="1"/>
  <c r="I15" i="1"/>
  <c r="H15" i="1"/>
  <c r="G15" i="1"/>
  <c r="F15" i="1"/>
  <c r="D15" i="1"/>
  <c r="C15" i="1"/>
  <c r="B15" i="1"/>
  <c r="I53" i="36"/>
  <c r="M3" i="36" s="1"/>
  <c r="H53" i="36"/>
  <c r="G53" i="36"/>
  <c r="K3" i="36" s="1"/>
  <c r="M15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Y7" i="36"/>
  <c r="X7" i="36"/>
  <c r="F7" i="36"/>
  <c r="Y6" i="36"/>
  <c r="X6" i="36"/>
  <c r="F6" i="36"/>
  <c r="Y5" i="36"/>
  <c r="X5" i="36"/>
  <c r="F5" i="36"/>
  <c r="Y4" i="36"/>
  <c r="X4" i="36"/>
  <c r="F4" i="36"/>
  <c r="Y3" i="36"/>
  <c r="X3" i="36"/>
  <c r="F3" i="36"/>
  <c r="M14" i="1"/>
  <c r="I14" i="1"/>
  <c r="H14" i="1"/>
  <c r="G14" i="1"/>
  <c r="F14" i="1"/>
  <c r="D14" i="1"/>
  <c r="C14" i="1"/>
  <c r="B14" i="1"/>
  <c r="I53" i="35"/>
  <c r="M3" i="35" s="1"/>
  <c r="H53" i="35"/>
  <c r="G53" i="35"/>
  <c r="K3" i="35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F13" i="1"/>
  <c r="D13" i="1"/>
  <c r="C13" i="1"/>
  <c r="B13" i="1"/>
  <c r="B12" i="1"/>
  <c r="I53" i="34"/>
  <c r="M3" i="34" s="1"/>
  <c r="H53" i="34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H12" i="1"/>
  <c r="I12" i="1"/>
  <c r="G12" i="1"/>
  <c r="F12" i="1"/>
  <c r="D12" i="1"/>
  <c r="C12" i="1"/>
  <c r="I53" i="33"/>
  <c r="M3" i="33" s="1"/>
  <c r="H53" i="33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F11" i="1"/>
  <c r="D11" i="1"/>
  <c r="C11" i="1"/>
  <c r="B11" i="1"/>
  <c r="I53" i="32"/>
  <c r="M3" i="32" s="1"/>
  <c r="H53" i="32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F10" i="1"/>
  <c r="D10" i="1"/>
  <c r="C10" i="1"/>
  <c r="B10" i="1"/>
  <c r="I53" i="31"/>
  <c r="M3" i="31" s="1"/>
  <c r="H53" i="3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F9" i="1"/>
  <c r="D9" i="1"/>
  <c r="C9" i="1"/>
  <c r="B9" i="1"/>
  <c r="F4" i="30"/>
  <c r="I53" i="30"/>
  <c r="M3" i="30" s="1"/>
  <c r="H53" i="30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F8" i="1"/>
  <c r="D8" i="1"/>
  <c r="C8" i="1"/>
  <c r="B8" i="1"/>
  <c r="I53" i="29"/>
  <c r="M3" i="29" s="1"/>
  <c r="H53" i="29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F7" i="1"/>
  <c r="D7" i="1"/>
  <c r="C7" i="1"/>
  <c r="B7" i="1"/>
  <c r="I53" i="28"/>
  <c r="M3" i="28" s="1"/>
  <c r="H53" i="28"/>
  <c r="N7" i="1" s="1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N15" i="1" l="1"/>
  <c r="Z3" i="37"/>
  <c r="B12" i="37"/>
  <c r="K16" i="1" s="1"/>
  <c r="M3" i="37"/>
  <c r="N3" i="37"/>
  <c r="N14" i="1"/>
  <c r="Z3" i="36"/>
  <c r="B12" i="36"/>
  <c r="O3" i="36"/>
  <c r="J15" i="1" s="1"/>
  <c r="N3" i="36"/>
  <c r="Q3" i="36"/>
  <c r="N13" i="1"/>
  <c r="N8" i="1"/>
  <c r="O3" i="35"/>
  <c r="J14" i="1" s="1"/>
  <c r="Z3" i="35"/>
  <c r="Q3" i="35"/>
  <c r="B12" i="35"/>
  <c r="K14" i="1" s="1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P3" i="37" l="1"/>
  <c r="L16" i="1" s="1"/>
  <c r="AC16" i="1"/>
  <c r="K15" i="1"/>
  <c r="P3" i="35"/>
  <c r="L14" i="1" s="1"/>
  <c r="AC14" i="1"/>
  <c r="P3" i="34"/>
  <c r="L13" i="1" s="1"/>
  <c r="AC13" i="1"/>
  <c r="P3" i="36"/>
  <c r="L15" i="1" s="1"/>
  <c r="AC15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1" i="27"/>
  <c r="F12" i="27"/>
  <c r="F13" i="27"/>
  <c r="F14" i="27"/>
  <c r="F15" i="27"/>
  <c r="F16" i="27"/>
  <c r="F17" i="27"/>
  <c r="F18" i="27"/>
  <c r="I53" i="27"/>
  <c r="M3" i="27" s="1"/>
  <c r="H53" i="27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F10" i="27"/>
  <c r="Y9" i="27"/>
  <c r="X9" i="27"/>
  <c r="F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N5" i="1"/>
  <c r="M5" i="1"/>
  <c r="J5" i="1"/>
  <c r="I5" i="1"/>
  <c r="H5" i="1"/>
  <c r="G5" i="1"/>
  <c r="F5" i="1"/>
  <c r="D5" i="1"/>
  <c r="C5" i="1"/>
  <c r="B5" i="1"/>
  <c r="I53" i="26"/>
  <c r="H53" i="26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M3" i="26"/>
  <c r="F3" i="26"/>
  <c r="N4" i="1"/>
  <c r="M4" i="1"/>
  <c r="J4" i="1"/>
  <c r="I4" i="1"/>
  <c r="H4" i="1"/>
  <c r="G4" i="1"/>
  <c r="F4" i="1"/>
  <c r="D4" i="1"/>
  <c r="C4" i="1"/>
  <c r="B4" i="1"/>
  <c r="I53" i="25"/>
  <c r="H53" i="25"/>
  <c r="G53" i="25"/>
  <c r="K3" i="25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M3" i="25"/>
  <c r="F3" i="25"/>
  <c r="N3" i="1"/>
  <c r="M3" i="1"/>
  <c r="J3" i="1"/>
  <c r="I3" i="1"/>
  <c r="H3" i="1"/>
  <c r="G3" i="1"/>
  <c r="F3" i="1"/>
  <c r="D3" i="1"/>
  <c r="C3" i="1"/>
  <c r="B3" i="1"/>
  <c r="F3" i="14"/>
  <c r="F4" i="14"/>
  <c r="F5" i="14"/>
  <c r="F6" i="14"/>
  <c r="F7" i="14"/>
  <c r="I53" i="14"/>
  <c r="H53" i="14"/>
  <c r="G53" i="14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F13" i="14"/>
  <c r="Y12" i="14"/>
  <c r="X12" i="14"/>
  <c r="F12" i="14"/>
  <c r="Y11" i="14"/>
  <c r="X11" i="14"/>
  <c r="F11" i="14"/>
  <c r="Y10" i="14"/>
  <c r="X10" i="14"/>
  <c r="F10" i="14"/>
  <c r="Y9" i="14"/>
  <c r="X9" i="14"/>
  <c r="F9" i="14"/>
  <c r="Y8" i="14"/>
  <c r="X8" i="14"/>
  <c r="F8" i="14"/>
  <c r="B8" i="14"/>
  <c r="Y7" i="14"/>
  <c r="X7" i="14"/>
  <c r="Y6" i="14"/>
  <c r="X6" i="14"/>
  <c r="Y5" i="14"/>
  <c r="X5" i="14"/>
  <c r="Y4" i="14"/>
  <c r="X4" i="14"/>
  <c r="Y3" i="14"/>
  <c r="X3" i="14"/>
  <c r="M3" i="14"/>
  <c r="K3" i="14"/>
  <c r="O3" i="14" s="1"/>
  <c r="B12" i="27" l="1"/>
  <c r="K6" i="1" s="1"/>
  <c r="Q3" i="27"/>
  <c r="N6" i="1"/>
  <c r="O3" i="27"/>
  <c r="J6" i="1" s="1"/>
  <c r="Z3" i="27"/>
  <c r="AC6" i="1" s="1"/>
  <c r="N3" i="27"/>
  <c r="Q3" i="26"/>
  <c r="O3" i="26"/>
  <c r="Z3" i="26"/>
  <c r="N3" i="26"/>
  <c r="B12" i="26"/>
  <c r="K5" i="1" s="1"/>
  <c r="O3" i="25"/>
  <c r="Q3" i="25"/>
  <c r="Z3" i="25"/>
  <c r="B12" i="25"/>
  <c r="K4" i="1" s="1"/>
  <c r="N3" i="25"/>
  <c r="Q3" i="14"/>
  <c r="Z3" i="14"/>
  <c r="B12" i="14"/>
  <c r="K3" i="1" s="1"/>
  <c r="N3" i="14"/>
  <c r="P3" i="26" l="1"/>
  <c r="L5" i="1" s="1"/>
  <c r="AC5" i="1"/>
  <c r="P3" i="27"/>
  <c r="L6" i="1" s="1"/>
  <c r="P3" i="14"/>
  <c r="L3" i="1" s="1"/>
  <c r="AC3" i="1"/>
  <c r="P3" i="25"/>
  <c r="L4" i="1" s="1"/>
  <c r="AC4" i="1"/>
  <c r="H2" i="15" l="1"/>
  <c r="G2" i="15" l="1"/>
  <c r="F2" i="15"/>
  <c r="I2" i="15" l="1"/>
</calcChain>
</file>

<file path=xl/sharedStrings.xml><?xml version="1.0" encoding="utf-8"?>
<sst xmlns="http://schemas.openxmlformats.org/spreadsheetml/2006/main" count="534" uniqueCount="62">
  <si>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</si>
  <si>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</si>
  <si>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</si>
  <si>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</si>
  <si>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</si>
  <si>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</si>
  <si>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</si>
  <si>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</si>
  <si>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</si>
  <si>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</si>
  <si>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</si>
  <si>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</si>
  <si>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</si>
  <si>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</si>
  <si>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</si>
  <si>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</si>
  <si>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LVX0000PRFL6</t>
  </si>
  <si>
    <t>Šalis</t>
  </si>
  <si>
    <t>Latvia</t>
  </si>
  <si>
    <t>LVX0000PK205</t>
  </si>
  <si>
    <t>Sweden</t>
  </si>
  <si>
    <t>Terminas</t>
  </si>
  <si>
    <t>LVX0000PXSI3</t>
  </si>
  <si>
    <t>Mokestis</t>
  </si>
  <si>
    <t>Pinigai</t>
  </si>
  <si>
    <t>Grąžinta</t>
  </si>
  <si>
    <t>Viso</t>
  </si>
  <si>
    <t>LVX0000QU0F1</t>
  </si>
  <si>
    <t>LVX0000RLIY2</t>
  </si>
  <si>
    <t>LVX0000SFML1</t>
  </si>
  <si>
    <t>LVX0000T5YE5</t>
  </si>
  <si>
    <t>LVX0000TK694</t>
  </si>
  <si>
    <t>LVX0000TKSY9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</si>
  <si>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</si>
  <si>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</si>
  <si>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</si>
  <si>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</si>
  <si>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</si>
  <si>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</si>
  <si>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</si>
  <si>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</si>
  <si>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</si>
  <si>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</si>
  <si>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</si>
  <si>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</si>
  <si>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</si>
  <si>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</si>
  <si>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Personal loan</t>
  </si>
  <si>
    <t>Nr.</t>
  </si>
  <si>
    <t>Inv. data</t>
  </si>
  <si>
    <t>Liko</t>
  </si>
  <si>
    <t>LVX0000TWW26</t>
  </si>
  <si>
    <t>LVX0000U8E70</t>
  </si>
  <si>
    <t>Viaconto Sweden AB (SE)</t>
  </si>
  <si>
    <t>SIA VIA SMS (LV)</t>
  </si>
  <si>
    <t>LVX0000UNB86</t>
  </si>
  <si>
    <t>LVX0000USE62</t>
  </si>
  <si>
    <t>LVX0000V2GD7</t>
  </si>
  <si>
    <t>2026-07-19</t>
  </si>
  <si>
    <t>Komapanija</t>
  </si>
  <si>
    <t xml:space="preserve">Premijos </t>
  </si>
  <si>
    <t>Eur.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</si>
</sst>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2" fontId="0" fillId="0" borderId="0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10" fontId="0" fillId="0" borderId="0" xfId="0" applyNumberFormat="1" applyBorder="1" applyAlignment="1">
      <alignment horizontal="center"/>
    </xf>
    <xf numFmtId="0" fontId="0" fillId="0" borderId="0" xfId="0" applyBorder="1"/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C6D9C7-B788-445B-BB13-B0B2B397B3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ED2B6F-42A8-45C2-AF4C-D0E530F00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U8" sqref="U8"/>
    </sheetView>
  </sheetViews>
  <sheetFormatPr defaultRowHeight="15" x14ac:dyDescent="0.25"/>
  <cols>
    <col min="1" max="1" width="4.7109375" customWidth="1"/>
    <col min="2" max="2" width="12.7109375" customWidth="1"/>
    <col min="3" max="3" width="20.7109375" customWidth="1"/>
    <col min="4" max="4" width="10.7109375" customWidth="1"/>
    <col min="5" max="5" width="25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5" width="10.7109375" customWidth="1"/>
  </cols>
  <sheetData>
    <row r="1" spans="1:29" x14ac:dyDescent="0.25">
      <c r="A1" s="27" t="s">
        <v>0</v>
      </c>
      <c r="B1" s="28"/>
      <c r="C1" s="28"/>
      <c r="D1" s="28"/>
      <c r="E1" s="28"/>
      <c r="F1" s="28"/>
      <c r="G1" s="28"/>
      <c r="H1" s="29"/>
      <c r="I1" s="27" t="s">
        <v>8</v>
      </c>
      <c r="J1" s="28"/>
      <c r="K1" s="28"/>
      <c r="L1" s="29"/>
      <c r="M1" s="34" t="s">
        <v>25</v>
      </c>
      <c r="N1" s="34"/>
      <c r="O1" s="34"/>
      <c r="Q1" s="30" t="s">
        <v>24</v>
      </c>
      <c r="R1" s="31"/>
      <c r="S1" s="31"/>
      <c r="T1" s="32"/>
      <c r="U1" s="30" t="s">
        <v>25</v>
      </c>
      <c r="V1" s="32"/>
      <c r="W1" s="27" t="s">
        <v>4</v>
      </c>
      <c r="X1" s="28"/>
      <c r="Y1" s="28"/>
      <c r="Z1" s="29"/>
      <c r="AA1" s="26" t="s">
        <v>38</v>
      </c>
    </row>
    <row r="2" spans="1:29" x14ac:dyDescent="0.25">
      <c r="A2" s="11" t="s">
        <v>48</v>
      </c>
      <c r="B2" s="22" t="s">
        <v>49</v>
      </c>
      <c r="C2" s="12" t="s">
        <v>3</v>
      </c>
      <c r="D2" s="4" t="s">
        <v>17</v>
      </c>
      <c r="E2" s="26" t="s">
        <v>59</v>
      </c>
      <c r="F2" s="4" t="s">
        <v>21</v>
      </c>
      <c r="G2" s="4" t="s">
        <v>5</v>
      </c>
      <c r="H2" s="4" t="s">
        <v>9</v>
      </c>
      <c r="I2" s="4" t="s">
        <v>35</v>
      </c>
      <c r="J2" s="4" t="s">
        <v>36</v>
      </c>
      <c r="K2" s="4" t="s">
        <v>50</v>
      </c>
      <c r="L2" s="4" t="s">
        <v>41</v>
      </c>
      <c r="M2" s="26" t="s">
        <v>0</v>
      </c>
      <c r="N2" s="26" t="s">
        <v>1</v>
      </c>
      <c r="O2" s="26" t="s">
        <v>38</v>
      </c>
      <c r="P2" s="8"/>
      <c r="Q2" s="35" t="s">
        <v>10</v>
      </c>
      <c r="R2" s="35" t="s">
        <v>9</v>
      </c>
      <c r="S2" s="26" t="s">
        <v>60</v>
      </c>
      <c r="T2" s="26" t="s">
        <v>6</v>
      </c>
      <c r="U2" s="22" t="s">
        <v>0</v>
      </c>
      <c r="V2" s="22" t="s">
        <v>1</v>
      </c>
      <c r="W2" s="26" t="s">
        <v>26</v>
      </c>
      <c r="X2" s="26" t="s">
        <v>61</v>
      </c>
      <c r="Y2" s="26" t="s">
        <v>5</v>
      </c>
      <c r="Z2" s="26" t="s">
        <v>33</v>
      </c>
      <c r="AA2" s="26" t="s">
        <v>61</v>
      </c>
      <c r="AC2" s="11" t="s">
        <v>41</v>
      </c>
    </row>
    <row r="3" spans="1:29" x14ac:dyDescent="0.25">
      <c r="A3" s="2">
        <v>1</v>
      </c>
      <c r="B3" s="6">
        <f>LVX0000PRFL6!B9</f>
        <v>45938</v>
      </c>
      <c r="C3" s="23" t="str">
        <f>LVX0000PRFL6!B1</f>
        <v>LVX0000PRFL6</v>
      </c>
      <c r="D3" s="2" t="str">
        <f>LVX0000PRFL6!B2</f>
        <v>Latvia</v>
      </c>
      <c r="E3" s="2" t="str">
        <f>LVX0000PRFL6!B3</f>
        <v>SIA VIA SMS (LV)</v>
      </c>
      <c r="F3" s="2" t="str">
        <f>LVX0000PRFL6!B8</f>
        <v>0 m. 5 mėn. 26 d.</v>
      </c>
      <c r="G3" s="7">
        <f>LVX0000PRFL6!B15</f>
        <v>0.11</v>
      </c>
      <c r="H3" s="3">
        <f>LVX0000PRFL6!B16</f>
        <v>50</v>
      </c>
      <c r="I3" s="6">
        <f>LVX0000PRFL6!B11</f>
        <v>46115</v>
      </c>
      <c r="J3" s="6">
        <f>LVX0000PRFL6!O3</f>
        <v>46115</v>
      </c>
      <c r="K3" s="6" t="str">
        <f ca="1">LVX0000PRFL6!B12</f>
        <v/>
      </c>
      <c r="L3" s="6" t="str">
        <f ca="1">LVX0000PRFL6!P3</f>
        <v/>
      </c>
      <c r="M3" s="3">
        <f>LVX0000PRFL6!K3</f>
        <v>50</v>
      </c>
      <c r="N3" s="3">
        <f>LVX0000PRFL6!L3</f>
        <v>1.82</v>
      </c>
      <c r="O3" s="3">
        <f>LVX0000PRFL6!M3</f>
        <v>8.9999999999999983E-2</v>
      </c>
      <c r="P3" s="9"/>
      <c r="Q3" s="38">
        <f>Pinigai!I2</f>
        <v>340</v>
      </c>
      <c r="R3" s="39">
        <f>SUM(H3:H100)-U3</f>
        <v>348.46999999999997</v>
      </c>
      <c r="S3" s="38">
        <f>Pinigai!H2</f>
        <v>0</v>
      </c>
      <c r="T3" s="38">
        <f>W3-R3</f>
        <v>9.8800000000000523</v>
      </c>
      <c r="U3" s="39">
        <f>SUM(M3:M100)</f>
        <v>432.33</v>
      </c>
      <c r="V3" s="39">
        <f>SUM(N3:N100)-AA3</f>
        <v>18.349999999999998</v>
      </c>
      <c r="W3" s="38">
        <f>Q3+S3+V3</f>
        <v>358.35</v>
      </c>
      <c r="X3" s="38">
        <f>W3-Q3</f>
        <v>18.350000000000023</v>
      </c>
      <c r="Y3" s="40">
        <f>(W3-Q3)/Q3</f>
        <v>5.3970588235294187E-2</v>
      </c>
      <c r="Z3" s="41">
        <f ca="1">XIRR(Pinigai!K2:K200,Pinigai!A2:A200)</f>
        <v>9.2625096440315274E-2</v>
      </c>
      <c r="AA3" s="38">
        <f>SUM(O3:O100)</f>
        <v>0.94000000000000017</v>
      </c>
      <c r="AC3" s="3" t="str">
        <f ca="1">LVX0000PRFL6!Z3</f>
        <v/>
      </c>
    </row>
    <row r="4" spans="1:29" x14ac:dyDescent="0.25">
      <c r="A4" s="2">
        <v>2</v>
      </c>
      <c r="B4" s="6">
        <f>LVX0000PK205!B9</f>
        <v>45938</v>
      </c>
      <c r="C4" s="23" t="str">
        <f>LVX0000PK205!B1</f>
        <v>LVX0000PK205</v>
      </c>
      <c r="D4" s="2" t="str">
        <f>LVX0000PK205!B2</f>
        <v>Sweden</v>
      </c>
      <c r="E4" s="2" t="str">
        <f>LVX0000PK205!B3</f>
        <v>Viaconto Sweden AB (SE)</v>
      </c>
      <c r="F4" s="2" t="str">
        <f>LVX0000PK205!B8</f>
        <v>0 m. 5 mėn. 15 d.</v>
      </c>
      <c r="G4" s="7">
        <f>LVX0000PK205!B15</f>
        <v>0.11</v>
      </c>
      <c r="H4" s="3">
        <f>LVX0000PK205!B16</f>
        <v>50</v>
      </c>
      <c r="I4" s="6">
        <f>LVX0000PK205!B11</f>
        <v>46104</v>
      </c>
      <c r="J4" s="6">
        <f>LVX0000PK205!O3</f>
        <v>46104</v>
      </c>
      <c r="K4" s="6" t="str">
        <f ca="1">LVX0000PK205!B12</f>
        <v/>
      </c>
      <c r="L4" s="6" t="str">
        <f ca="1">LVX0000PK205!P3</f>
        <v/>
      </c>
      <c r="M4" s="3">
        <f>LVX0000PK205!K3</f>
        <v>50</v>
      </c>
      <c r="N4" s="3">
        <f>LVX0000PK205!L3</f>
        <v>1.3800000000000001</v>
      </c>
      <c r="O4" s="3">
        <f>LVX0000PK205!M3</f>
        <v>6.9999999999999993E-2</v>
      </c>
      <c r="P4" s="9"/>
      <c r="Q4" s="33"/>
      <c r="R4" s="33"/>
      <c r="S4" s="33"/>
      <c r="T4" s="33"/>
      <c r="U4" s="33"/>
      <c r="V4" s="33"/>
      <c r="W4" s="33"/>
      <c r="X4" s="33"/>
      <c r="Y4" s="36"/>
      <c r="Z4" s="36"/>
      <c r="AA4" s="37"/>
      <c r="AC4" s="3" t="str">
        <f ca="1">LVX0000PK205!Z3</f>
        <v/>
      </c>
    </row>
    <row r="5" spans="1:29" x14ac:dyDescent="0.25">
      <c r="A5" s="2">
        <v>3</v>
      </c>
      <c r="B5" s="6">
        <f>LVX0000PXSI3!B9</f>
        <v>45969</v>
      </c>
      <c r="C5" s="23" t="str">
        <f>LVX0000PXSI3!B1</f>
        <v>LVX0000PXSI3</v>
      </c>
      <c r="D5" s="2" t="str">
        <f>LVX0000PXSI3!B2</f>
        <v>Sweden</v>
      </c>
      <c r="E5" s="2" t="str">
        <f>LVX0000PXSI3!B3</f>
        <v>Viaconto Sweden AB (SE)</v>
      </c>
      <c r="F5" s="2" t="str">
        <f>LVX0000PXSI3!B8</f>
        <v>0 m. 5 mėn. 6 d.</v>
      </c>
      <c r="G5" s="7">
        <f>LVX0000PXSI3!B15</f>
        <v>0.11</v>
      </c>
      <c r="H5" s="3">
        <f>LVX0000PXSI3!B16</f>
        <v>57.83</v>
      </c>
      <c r="I5" s="6">
        <f>LVX0000PXSI3!B11</f>
        <v>46126</v>
      </c>
      <c r="J5" s="6">
        <f>LVX0000PXSI3!O3</f>
        <v>46125</v>
      </c>
      <c r="K5" s="3" t="str">
        <f ca="1">LVX0000PXSI3!B12</f>
        <v/>
      </c>
      <c r="L5" s="3" t="str">
        <f ca="1">LVX0000PXSI3!P3</f>
        <v/>
      </c>
      <c r="M5" s="3">
        <f>LVX0000PXSI3!K3</f>
        <v>57.830000000000005</v>
      </c>
      <c r="N5" s="3">
        <f>LVX0000PXSI3!L3</f>
        <v>2.56</v>
      </c>
      <c r="O5" s="3">
        <f>LVX0000PXSI3!M3</f>
        <v>0.13</v>
      </c>
      <c r="P5" s="9"/>
      <c r="AC5" s="3" t="str">
        <f ca="1">LVX0000PXSI3!Z3</f>
        <v/>
      </c>
    </row>
    <row r="6" spans="1:29" x14ac:dyDescent="0.25">
      <c r="A6" s="2">
        <v>4</v>
      </c>
      <c r="B6" s="6">
        <f>LVX0000QU0F1!B9</f>
        <v>45999</v>
      </c>
      <c r="C6" s="23" t="str">
        <f>LVX0000QU0F1!B1</f>
        <v>LVX0000QU0F1</v>
      </c>
      <c r="D6" s="2" t="str">
        <f>LVX0000QU0F1!B2</f>
        <v>Sweden</v>
      </c>
      <c r="E6" s="2" t="str">
        <f>LVX0000QU0F1!B3</f>
        <v>Viaconto Sweden AB (SE)</v>
      </c>
      <c r="F6" s="2" t="str">
        <f>LVX0000QU0F1!B8</f>
        <v>0 m. 5 mėn. 21 d.</v>
      </c>
      <c r="G6" s="7">
        <f>LVX0000QU0F1!B15</f>
        <v>0.11</v>
      </c>
      <c r="H6" s="3">
        <f>LVX0000QU0F1!B16</f>
        <v>81.099999999999994</v>
      </c>
      <c r="I6" s="6">
        <f>LVX0000QU0F1!B11</f>
        <v>46171</v>
      </c>
      <c r="J6" s="6">
        <f>LVX0000QU0F1!O3</f>
        <v>46170</v>
      </c>
      <c r="K6" s="18" t="str">
        <f ca="1">LVX0000QU0F1!B12</f>
        <v/>
      </c>
      <c r="L6" s="18" t="str">
        <f ca="1">LVX0000QU0F1!P3</f>
        <v/>
      </c>
      <c r="M6" s="3">
        <f>LVX0000QU0F1!K3</f>
        <v>81.099999999999994</v>
      </c>
      <c r="N6" s="3">
        <f>LVX0000QU0F1!L3</f>
        <v>2.66</v>
      </c>
      <c r="O6" s="3">
        <f>LVX0000QU0F1!M3</f>
        <v>0.13</v>
      </c>
      <c r="P6" s="9"/>
      <c r="AC6" s="3" t="str">
        <f ca="1">LVX0000QU0F1!Z3</f>
        <v/>
      </c>
    </row>
    <row r="7" spans="1:29" x14ac:dyDescent="0.25">
      <c r="A7" s="2">
        <v>5</v>
      </c>
      <c r="B7" s="6">
        <f>LVX0000RLIY2!B9</f>
        <v>46029</v>
      </c>
      <c r="C7" s="23" t="str">
        <f>LVX0000RLIY2!B1</f>
        <v>LVX0000RLIY2</v>
      </c>
      <c r="D7" s="2" t="str">
        <f>LVX0000RLIY2!B2</f>
        <v>Latvia</v>
      </c>
      <c r="E7" s="2" t="str">
        <f>LVX0000RLIY2!B3</f>
        <v>SIA VIA SMS (LV)</v>
      </c>
      <c r="F7" s="2" t="str">
        <f>LVX0000RLIY2!B8</f>
        <v>0 m. 6 mėn. 1 d.</v>
      </c>
      <c r="G7" s="7">
        <f>LVX0000RLIY2!B15</f>
        <v>0.11</v>
      </c>
      <c r="H7" s="3">
        <f>LVX0000RLIY2!B16</f>
        <v>56.8</v>
      </c>
      <c r="I7" s="6">
        <f>LVX0000RLIY2!B11</f>
        <v>46211</v>
      </c>
      <c r="J7" s="6">
        <f>LVX0000RLIY2!O3</f>
        <v>46210</v>
      </c>
      <c r="K7" s="18" t="str">
        <f ca="1">LVX0000RLIY2!B12</f>
        <v/>
      </c>
      <c r="L7" s="18" t="str">
        <f ca="1">LVX0000RLIY2!P3</f>
        <v/>
      </c>
      <c r="M7" s="3">
        <f>LVX0000RLIY2!K3</f>
        <v>56.8</v>
      </c>
      <c r="N7" s="3">
        <f>LVX0000RLIY2!L3</f>
        <v>2.67</v>
      </c>
      <c r="O7" s="3">
        <f>LVX0000RLIY2!M3</f>
        <v>0.13</v>
      </c>
      <c r="P7" s="9"/>
      <c r="AC7" s="3" t="str">
        <f ca="1">LVX0000RLIY2!Z3</f>
        <v/>
      </c>
    </row>
    <row r="8" spans="1:29" x14ac:dyDescent="0.25">
      <c r="A8" s="2">
        <v>6</v>
      </c>
      <c r="B8" s="6">
        <f>LVX0000SFML1!B9</f>
        <v>46068</v>
      </c>
      <c r="C8" s="23" t="str">
        <f>LVX0000SFML1!B1</f>
        <v>LVX0000SFML1</v>
      </c>
      <c r="D8" s="2" t="str">
        <f>LVX0000SFML1!B2</f>
        <v>Latvia</v>
      </c>
      <c r="E8" s="2" t="str">
        <f>LVX0000SFML1!B3</f>
        <v>SIA VIA SMS (LV)</v>
      </c>
      <c r="F8" s="2" t="str">
        <f>LVX0000SFML1!B8</f>
        <v>0 m. 6 mėn. 1 d.</v>
      </c>
      <c r="G8" s="7">
        <f>LVX0000SFML1!B15</f>
        <v>0.11</v>
      </c>
      <c r="H8" s="3">
        <f>LVX0000SFML1!B16</f>
        <v>51.51</v>
      </c>
      <c r="I8" s="6">
        <f>LVX0000SFML1!B11</f>
        <v>46250</v>
      </c>
      <c r="J8" s="6" t="str">
        <f>LVX0000SFML1!O3</f>
        <v/>
      </c>
      <c r="K8" s="18">
        <f ca="1">LVX0000SFML1!B12</f>
        <v>21</v>
      </c>
      <c r="L8" s="18" t="str">
        <f ca="1">LVX0000SFML1!P3</f>
        <v/>
      </c>
      <c r="M8" s="3">
        <f>LVX0000SFML1!K3</f>
        <v>16.66</v>
      </c>
      <c r="N8" s="3">
        <f>LVX0000SFML1!L3</f>
        <v>2.11</v>
      </c>
      <c r="O8" s="3">
        <f>LVX0000SFML1!M3</f>
        <v>0.1</v>
      </c>
      <c r="P8" s="9"/>
      <c r="AC8" s="3" t="str">
        <f ca="1">LVX0000SFML1!Z3</f>
        <v/>
      </c>
    </row>
    <row r="9" spans="1:29" x14ac:dyDescent="0.25">
      <c r="A9" s="2">
        <v>7</v>
      </c>
      <c r="B9" s="6">
        <f>LVX0000T5YE5!B9</f>
        <v>46104</v>
      </c>
      <c r="C9" s="23" t="str">
        <f>LVX0000T5YE5!B1</f>
        <v>LVX0000T5YE5</v>
      </c>
      <c r="D9" s="2" t="str">
        <f>LVX0000T5YE5!B2</f>
        <v>Latvia</v>
      </c>
      <c r="E9" s="2" t="str">
        <f>LVX0000T5YE5!B3</f>
        <v>SIA VIA SMS (LV)</v>
      </c>
      <c r="F9" s="2" t="str">
        <f>LVX0000T5YE5!B8</f>
        <v>0 m. 2 mėn. 29 d.</v>
      </c>
      <c r="G9" s="7">
        <f>LVX0000T5YE5!B15</f>
        <v>0.1</v>
      </c>
      <c r="H9" s="3">
        <f>LVX0000T5YE5!B16</f>
        <v>59.77</v>
      </c>
      <c r="I9" s="6">
        <f>LVX0000T5YE5!B11</f>
        <v>46194</v>
      </c>
      <c r="J9" s="6">
        <f>LVX0000T5YE5!O3</f>
        <v>46193</v>
      </c>
      <c r="K9" s="18" t="str">
        <f ca="1">LVX0000T5YE5!B12</f>
        <v/>
      </c>
      <c r="L9" s="18" t="str">
        <f ca="1">LVX0000T5YE5!P3</f>
        <v/>
      </c>
      <c r="M9" s="3">
        <f>LVX0000T5YE5!K3</f>
        <v>59.77</v>
      </c>
      <c r="N9" s="3">
        <f>LVX0000T5YE5!L3</f>
        <v>1.17</v>
      </c>
      <c r="O9" s="3">
        <f>LVX0000T5YE5!M3</f>
        <v>6.0000000000000005E-2</v>
      </c>
      <c r="P9" s="9"/>
      <c r="AC9" s="3" t="str">
        <f ca="1">LVX0000T5YE5!Z3</f>
        <v/>
      </c>
    </row>
    <row r="10" spans="1:29" x14ac:dyDescent="0.25">
      <c r="A10" s="2">
        <v>8</v>
      </c>
      <c r="B10" s="6">
        <f>LVX0000TK694!B9</f>
        <v>46126</v>
      </c>
      <c r="C10" s="23" t="str">
        <f>LVX0000TK694!B1</f>
        <v>LVX0000TK694</v>
      </c>
      <c r="D10" s="2" t="str">
        <f>LVX0000TK694!B2</f>
        <v>Sweden</v>
      </c>
      <c r="E10" s="2" t="str">
        <f>LVX0000TK694!B3</f>
        <v>Viaconto Sweden AB (SE)</v>
      </c>
      <c r="F10" s="2" t="str">
        <f>LVX0000TK694!B8</f>
        <v>0 m. 5 mėn. 29 d.</v>
      </c>
      <c r="G10" s="7">
        <f>LVX0000TK694!B15</f>
        <v>0.11</v>
      </c>
      <c r="H10" s="3">
        <f>LVX0000TK694!B16</f>
        <v>54.23</v>
      </c>
      <c r="I10" s="6">
        <f>LVX0000TK694!B11</f>
        <v>46308</v>
      </c>
      <c r="J10" s="6" t="str">
        <f>LVX0000TK694!O3</f>
        <v/>
      </c>
      <c r="K10" s="18">
        <f ca="1">LVX0000TK694!B12</f>
        <v>79</v>
      </c>
      <c r="L10" s="18" t="str">
        <f ca="1">LVX0000TK694!P3</f>
        <v/>
      </c>
      <c r="M10" s="3">
        <f>LVX0000TK694!K3</f>
        <v>7.69</v>
      </c>
      <c r="N10" s="3">
        <f>LVX0000TK694!L3</f>
        <v>1.3599999999999999</v>
      </c>
      <c r="O10" s="3">
        <f>LVX0000TK694!M3</f>
        <v>0.06</v>
      </c>
      <c r="P10" s="9"/>
      <c r="AC10" s="3" t="str">
        <f ca="1">LVX0000TK694!Z3</f>
        <v/>
      </c>
    </row>
    <row r="11" spans="1:29" x14ac:dyDescent="0.25">
      <c r="A11" s="2">
        <v>9</v>
      </c>
      <c r="B11" s="6">
        <f>LVX0000TKSY9!B9</f>
        <v>46127</v>
      </c>
      <c r="C11" s="23" t="str">
        <f>LVX0000TKSY9!B1</f>
        <v>LVX0000TKSY9</v>
      </c>
      <c r="D11" s="2" t="str">
        <f>LVX0000TKSY9!B2</f>
        <v>Sweden</v>
      </c>
      <c r="E11" s="2" t="str">
        <f>LVX0000TKSY9!B3</f>
        <v>Viaconto Sweden AB (SE)</v>
      </c>
      <c r="F11" s="2" t="str">
        <f>LVX0000TKSY9!B8</f>
        <v>0 m. 5 mėn. 29 d.</v>
      </c>
      <c r="G11" s="7">
        <f>LVX0000TKSY9!B15</f>
        <v>0.11</v>
      </c>
      <c r="H11" s="3">
        <f>LVX0000TKSY9!B16</f>
        <v>50.44</v>
      </c>
      <c r="I11" s="6">
        <f>LVX0000TKSY9!B11</f>
        <v>46309</v>
      </c>
      <c r="J11" s="6" t="str">
        <f>LVX0000TKSY9!O3</f>
        <v/>
      </c>
      <c r="K11" s="18">
        <f ca="1">LVX0000TKSY9!B12</f>
        <v>80</v>
      </c>
      <c r="L11" s="18" t="str">
        <f ca="1">LVX0000TKSY9!P3</f>
        <v/>
      </c>
      <c r="M11" s="3">
        <f>LVX0000TKSY9!K3</f>
        <v>22.7</v>
      </c>
      <c r="N11" s="3">
        <f>LVX0000TKSY9!L3</f>
        <v>0.97</v>
      </c>
      <c r="O11" s="3">
        <f>LVX0000TKSY9!M3</f>
        <v>0.04</v>
      </c>
      <c r="P11" s="9"/>
      <c r="AC11" s="3" t="str">
        <f ca="1">LVX0000TKSY9!Z3</f>
        <v/>
      </c>
    </row>
    <row r="12" spans="1:29" x14ac:dyDescent="0.25">
      <c r="A12" s="2">
        <v>10</v>
      </c>
      <c r="B12" s="6">
        <f>LVX0000TWW26!B9</f>
        <v>46144</v>
      </c>
      <c r="C12" s="24" t="str">
        <f>LVX0000TWW26!B1</f>
        <v>LVX0000TWW26</v>
      </c>
      <c r="D12" s="2" t="str">
        <f>LVX0000TWW26!B2</f>
        <v>Latvia</v>
      </c>
      <c r="E12" s="2" t="str">
        <f>LVX0000TWW26!B3</f>
        <v>SIA VIA SMS (LV)</v>
      </c>
      <c r="F12" s="2" t="str">
        <f>LVX0000TWW26!B8</f>
        <v>0 m. 5 mėn. 29 d.</v>
      </c>
      <c r="G12" s="7">
        <f>LVX0000TWW26!B15</f>
        <v>0.11</v>
      </c>
      <c r="H12" s="3">
        <f>LVX0000TWW26!B16</f>
        <v>51.49</v>
      </c>
      <c r="I12" s="6">
        <f>LVX0000TWW26!B11</f>
        <v>46326</v>
      </c>
      <c r="J12" s="6" t="str">
        <f>LVX0000TWW26!O3</f>
        <v/>
      </c>
      <c r="K12" s="18">
        <f ca="1">LVX0000TWW26!B12</f>
        <v>97</v>
      </c>
      <c r="L12" s="18" t="str">
        <f ca="1">LVX0000TWW26!P3</f>
        <v/>
      </c>
      <c r="M12" s="3">
        <f>LVX0000TWW26!K3</f>
        <v>12.17</v>
      </c>
      <c r="N12" s="3">
        <f>LVX0000TWW26!L3</f>
        <v>0.88</v>
      </c>
      <c r="O12" s="3">
        <f>LVX0000TWW26!M3</f>
        <v>0.04</v>
      </c>
      <c r="AC12" s="3" t="str">
        <f ca="1">LVX0000TWW26!Z3</f>
        <v/>
      </c>
    </row>
    <row r="13" spans="1:29" x14ac:dyDescent="0.25">
      <c r="A13" s="2">
        <v>11</v>
      </c>
      <c r="B13" s="6">
        <f>LVX0000U8E70!B9</f>
        <v>46161</v>
      </c>
      <c r="C13" s="24" t="str">
        <f>LVX0000U8E70!B1</f>
        <v>LVX0000U8E70</v>
      </c>
      <c r="D13" s="2" t="str">
        <f>LVX0000U8E70!B2</f>
        <v>Latvia</v>
      </c>
      <c r="E13" s="2" t="str">
        <f>LVX0000U8E70!B3</f>
        <v>SIA VIA SMS (LV)</v>
      </c>
      <c r="F13" s="2" t="str">
        <f>LVX0000U8E70!B8</f>
        <v>0 m. 5 mėn. 29 d.</v>
      </c>
      <c r="G13" s="7">
        <f>LVX0000U8E70!B15</f>
        <v>0.11</v>
      </c>
      <c r="H13" s="3">
        <f>LVX0000U8E70!B16</f>
        <v>50.84</v>
      </c>
      <c r="I13" s="6">
        <f>LVX0000U8E70!B11</f>
        <v>46343</v>
      </c>
      <c r="J13" s="6" t="str">
        <f>LVX0000U8E70!O3</f>
        <v/>
      </c>
      <c r="K13" s="18">
        <f ca="1">LVX0000U8E70!B12</f>
        <v>114</v>
      </c>
      <c r="L13" s="18" t="str">
        <f ca="1">LVX0000U8E70!P3</f>
        <v/>
      </c>
      <c r="M13" s="3">
        <f>LVX0000U8E70!K3</f>
        <v>14.9</v>
      </c>
      <c r="N13" s="3">
        <f>LVX0000U8E70!L3</f>
        <v>0.79</v>
      </c>
      <c r="O13" s="3">
        <f>LVX0000U8E70!M3</f>
        <v>0.04</v>
      </c>
      <c r="AC13" s="3" t="str">
        <f ca="1">LVX0000U8E70!Z3</f>
        <v/>
      </c>
    </row>
    <row r="14" spans="1:29" x14ac:dyDescent="0.25">
      <c r="A14" s="2">
        <v>12</v>
      </c>
      <c r="B14" s="6">
        <f>LVX0000UNB86!B9</f>
        <v>46185</v>
      </c>
      <c r="C14" s="24" t="str">
        <f>LVX0000UNB86!B1</f>
        <v>LVX0000UNB86</v>
      </c>
      <c r="D14" s="2" t="str">
        <f>LVX0000UNB86!B2</f>
        <v>Sweden</v>
      </c>
      <c r="E14" s="2" t="str">
        <f>LVX0000UNB86!B3</f>
        <v>Viaconto Sweden AB (SE)</v>
      </c>
      <c r="F14" s="2" t="str">
        <f>LVX0000UNB86!B8</f>
        <v>0 m. 5 mėn. 28 d.</v>
      </c>
      <c r="G14" s="7">
        <f>LVX0000UNB86!B15</f>
        <v>0.1</v>
      </c>
      <c r="H14" s="3">
        <f>LVX0000UNB86!B16</f>
        <v>50.61</v>
      </c>
      <c r="I14" s="6">
        <f>LVX0000UNB86!B11</f>
        <v>46366</v>
      </c>
      <c r="J14" s="6" t="str">
        <f>LVX0000UNB86!O3</f>
        <v/>
      </c>
      <c r="K14" s="18">
        <f ca="1">LVX0000UNB86!B12</f>
        <v>137</v>
      </c>
      <c r="L14" s="18" t="str">
        <f ca="1">LVX0000UNB86!P3</f>
        <v/>
      </c>
      <c r="M14" s="3">
        <f>LVX0000UNB86!K3</f>
        <v>2.71</v>
      </c>
      <c r="N14" s="3">
        <f>LVX0000UNB86!L3</f>
        <v>0.42</v>
      </c>
      <c r="O14" s="3">
        <f>LVX0000UNB86!M3</f>
        <v>0.02</v>
      </c>
      <c r="AC14" s="3" t="str">
        <f ca="1">LVX0000UNB86!Z3</f>
        <v/>
      </c>
    </row>
    <row r="15" spans="1:29" x14ac:dyDescent="0.25">
      <c r="A15" s="2">
        <v>13</v>
      </c>
      <c r="B15" s="6">
        <f>LVX0000USE62!B9</f>
        <v>46194</v>
      </c>
      <c r="C15" s="24" t="str">
        <f>LVX0000USE62!B1</f>
        <v>LVX0000USE62</v>
      </c>
      <c r="D15" s="2" t="str">
        <f>LVX0000USE62!B2</f>
        <v>Latvia</v>
      </c>
      <c r="E15" s="2" t="str">
        <f>LVX0000USE62!B3</f>
        <v>SIA VIA SMS (LV)</v>
      </c>
      <c r="F15" s="2" t="str">
        <f>LVX0000USE62!B8</f>
        <v>0 m. 8 mėn. 25 d.</v>
      </c>
      <c r="G15" s="7">
        <f>LVX0000USE62!B15</f>
        <v>0.11</v>
      </c>
      <c r="H15" s="3">
        <f>LVX0000USE62!B16</f>
        <v>55.55</v>
      </c>
      <c r="I15" s="6">
        <f>LVX0000USE62!B11</f>
        <v>46464</v>
      </c>
      <c r="J15" s="6" t="str">
        <f>LVX0000USE62!O3</f>
        <v/>
      </c>
      <c r="K15" s="18">
        <f ca="1">LVX0000USE62!B12</f>
        <v>235</v>
      </c>
      <c r="L15" s="18" t="str">
        <f ca="1">LVX0000USE62!P3</f>
        <v/>
      </c>
      <c r="M15" s="3">
        <f>LVX0000USE62!K3</f>
        <v>0</v>
      </c>
      <c r="N15" s="3">
        <f>LVX0000USE62!L3</f>
        <v>0.5</v>
      </c>
      <c r="O15" s="3">
        <f>LVX0000USE62!M3</f>
        <v>0.03</v>
      </c>
      <c r="AC15" s="3" t="str">
        <f ca="1">LVX0000USE62!Z3</f>
        <v/>
      </c>
    </row>
    <row r="16" spans="1:29" x14ac:dyDescent="0.25">
      <c r="A16" s="2">
        <v>14</v>
      </c>
      <c r="B16" s="6">
        <f>LVX0000V2GD7!B9</f>
        <v>46216</v>
      </c>
      <c r="C16" s="24" t="str">
        <f>LVX0000V2GD7!B1</f>
        <v>LVX0000V2GD7</v>
      </c>
      <c r="D16" s="2" t="str">
        <f>LVX0000V2GD7!B2</f>
        <v>Sweden</v>
      </c>
      <c r="E16" s="2" t="str">
        <f>LVX0000V2GD7!B3</f>
        <v>Viaconto Sweden AB (SE)</v>
      </c>
      <c r="F16" s="2" t="str">
        <f>LVX0000V2GD7!B8</f>
        <v>0 m. 5 mėn. 28 d.</v>
      </c>
      <c r="G16" s="7">
        <f>LVX0000V2GD7!B15</f>
        <v>0.1</v>
      </c>
      <c r="H16" s="3">
        <f>LVX0000V2GD7!B16</f>
        <v>60.63</v>
      </c>
      <c r="I16" s="6">
        <f>LVX0000V2GD7!B11</f>
        <v>46397</v>
      </c>
      <c r="J16" s="6" t="str">
        <f>LVX0000V2GD7!O3</f>
        <v/>
      </c>
      <c r="K16" s="18">
        <f ca="1">LVX0000V2GD7!B12</f>
        <v>168</v>
      </c>
      <c r="L16" s="18" t="str">
        <f ca="1">LVX0000V2GD7!P3</f>
        <v/>
      </c>
      <c r="M16" s="3">
        <f>LVX0000V2GD7!K3</f>
        <v>0</v>
      </c>
      <c r="N16" s="3">
        <f>LVX0000V2GD7!L3</f>
        <v>0</v>
      </c>
      <c r="O16" s="3">
        <f>LVX0000V2GD7!M3</f>
        <v>0</v>
      </c>
      <c r="AC16" s="3" t="str">
        <f ca="1">LVX0000V2GD7!Z3</f>
        <v/>
      </c>
    </row>
    <row r="17" spans="1:29" x14ac:dyDescent="0.25">
      <c r="A17" s="2"/>
      <c r="B17" s="6"/>
      <c r="C17" s="24"/>
      <c r="D17" s="2"/>
      <c r="E17" s="2"/>
      <c r="F17" s="2"/>
      <c r="G17" s="7"/>
      <c r="H17" s="3"/>
      <c r="I17" s="6"/>
      <c r="J17" s="6"/>
      <c r="K17" s="18"/>
      <c r="L17" s="18"/>
      <c r="M17" s="3"/>
      <c r="N17" s="3"/>
      <c r="O17" s="3"/>
      <c r="AC17" s="1"/>
    </row>
    <row r="18" spans="1:29" x14ac:dyDescent="0.25">
      <c r="A18" s="2"/>
      <c r="B18" s="6"/>
      <c r="C18" s="24"/>
      <c r="D18" s="2"/>
      <c r="E18" s="2"/>
      <c r="F18" s="2"/>
      <c r="G18" s="7"/>
      <c r="H18" s="3"/>
      <c r="I18" s="6"/>
      <c r="J18" s="6"/>
      <c r="K18" s="18"/>
      <c r="L18" s="18"/>
      <c r="M18" s="3"/>
      <c r="N18" s="3"/>
      <c r="O18" s="3"/>
      <c r="AC18" s="1"/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  <row r="26" spans="1:29" x14ac:dyDescent="0.25">
      <c r="A26" s="2"/>
      <c r="B26" s="6"/>
      <c r="C26" s="24"/>
      <c r="D26" s="2"/>
      <c r="E26" s="2"/>
      <c r="F26" s="2"/>
      <c r="G26" s="7"/>
      <c r="H26" s="3"/>
      <c r="I26" s="6"/>
      <c r="J26" s="6"/>
      <c r="K26" s="18"/>
      <c r="L26" s="18"/>
      <c r="M26" s="3"/>
      <c r="N26" s="3"/>
      <c r="O26" s="3"/>
      <c r="AC26" s="1"/>
    </row>
    <row r="27" spans="1:29" x14ac:dyDescent="0.25">
      <c r="A27" s="2"/>
      <c r="B27" s="6"/>
      <c r="C27" s="24"/>
      <c r="D27" s="2"/>
      <c r="E27" s="2"/>
      <c r="F27" s="2"/>
      <c r="G27" s="7"/>
      <c r="H27" s="3"/>
      <c r="I27" s="6"/>
      <c r="J27" s="6"/>
      <c r="K27" s="18"/>
      <c r="L27" s="18"/>
      <c r="M27" s="3"/>
      <c r="N27" s="3"/>
      <c r="O27" s="3"/>
      <c r="AC27" s="1"/>
    </row>
  </sheetData>
  <mergeCells count="6">
    <mergeCell ref="A1:H1"/>
    <mergeCell ref="I1:L1"/>
    <mergeCell ref="M1:O1"/>
    <mergeCell ref="Q1:T1"/>
    <mergeCell ref="U1:V1"/>
    <mergeCell ref="W1:Z1"/>
  </mergeCells>
  <conditionalFormatting sqref="A3:O27">
    <cfRule type="expression" dxfId="59" priority="7">
      <formula>$AC3="+"</formula>
    </cfRule>
    <cfRule type="expression" dxfId="58" priority="11">
      <formula>AND($H3&gt;0,$H3=$M3)</formula>
    </cfRule>
  </conditionalFormatting>
  <conditionalFormatting sqref="AC3:AC27">
    <cfRule type="expression" dxfId="57" priority="2">
      <formula>AND($H3&gt;0,$H3=$M3)</formula>
    </cfRule>
  </conditionalFormatting>
  <conditionalFormatting sqref="AC6:AC16">
    <cfRule type="expression" dxfId="56" priority="1">
      <formula>$AC6="+"</formula>
    </cfRule>
  </conditionalFormatting>
  <hyperlinks>
    <hyperlink ref="C3" location="LVX0000PRFL6!A1" display="LVX0000PRFL6!A1" xr:uid="{B3F9066C-B2D9-4834-93BD-4CABB41F406E}"/>
    <hyperlink ref="C4" location="LVX0000PK205!A1" display="LVX0000PK205!A1" xr:uid="{0CEF1365-D47B-4187-BB87-7DB57ABEE334}"/>
    <hyperlink ref="C5" location="LVX0000PXSI3!A1" display="LVX0000PXSI3!A1" xr:uid="{E6469448-04FA-4E1A-9BD0-3D26BBD5D6EF}"/>
    <hyperlink ref="C6" location="LVX0000QU0F1!A1" display="LVX0000QU0F1!A1" xr:uid="{95EB2565-26E3-4087-8EF5-5AB8E508D4BA}"/>
    <hyperlink ref="C7" location="LVX0000RLIY2!A1" display="LVX0000RLIY2!A1" xr:uid="{AF74ED1D-0C44-4147-BB71-548719931AA2}"/>
    <hyperlink ref="C8" location="LVX0000SFML1!A1" display="LVX0000SFML1!A1" xr:uid="{FE46076B-E5C3-460F-ADB3-EB72E3831F54}"/>
    <hyperlink ref="C9" location="LVX0000T5YE5!A1" display="LVX0000T5YE5!A1" xr:uid="{D82C4B58-2076-4A93-8FD9-3BCDFC9C426E}"/>
    <hyperlink ref="C10" location="LVX0000TK694!A1" display="LVX0000TK694!A1" xr:uid="{7E1D5C03-0459-49D3-88C1-BDE22816B4A2}"/>
    <hyperlink ref="C11" location="LVX0000TKSY9!A1" display="LVX0000TKSY9!A1" xr:uid="{B3145920-5382-49D6-8149-9D439B789D12}"/>
    <hyperlink ref="C12" location="LVX0000TWW26!A1" display="LVX0000TWW26!A1" xr:uid="{245E7DBA-D947-40F8-8F15-9915FFE1DD5E}"/>
    <hyperlink ref="C13" location="LVX0000U8E70!A1" display="LVX0000U8E70!A1" xr:uid="{D41A3630-A56F-4916-B1AA-C5C3695F19A8}"/>
    <hyperlink ref="C14" location="LVX0000UNB86!A1" display="LVX0000UNB86!A1" xr:uid="{8B58AC79-8F19-4849-BA55-1D38985B2EEB}"/>
    <hyperlink ref="C15" location="LVX0000USE62!A1" display="LVX0000USE62!A1" xr:uid="{F1C40DAB-27D9-44D4-8895-8D55B6EA57EA}"/>
    <hyperlink ref="C16" location="LVX0000USE62!A1" display="LVX0000USE62!A1" xr:uid="{7D5E87E6-238B-4A7E-89F7-EBB2FDF1E71C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topLeftCell="A181" workbookViewId="0">
      <selection activeCell="F192" sqref="F192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</cols>
  <sheetData>
    <row r="1" spans="1:11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33</v>
      </c>
    </row>
    <row r="2" spans="1:11" x14ac:dyDescent="0.25">
      <c r="A2" s="6">
        <v>45938</v>
      </c>
      <c r="B2" s="3">
        <v>100</v>
      </c>
      <c r="C2" s="3">
        <v>0</v>
      </c>
      <c r="D2" s="3">
        <v>0</v>
      </c>
      <c r="F2" s="3">
        <f>SUM(B2:B35)</f>
        <v>340</v>
      </c>
      <c r="G2" s="3">
        <f>SUM(C2:C35)</f>
        <v>0</v>
      </c>
      <c r="H2" s="3">
        <f>SUM(D2:D35)</f>
        <v>0</v>
      </c>
      <c r="I2" s="3">
        <f>F2-G2</f>
        <v>340</v>
      </c>
      <c r="K2" s="3">
        <f>B2*-1</f>
        <v>-100</v>
      </c>
    </row>
    <row r="3" spans="1:11" x14ac:dyDescent="0.25">
      <c r="A3" s="6">
        <v>45969</v>
      </c>
      <c r="B3" s="3">
        <v>50</v>
      </c>
      <c r="C3" s="3">
        <v>0</v>
      </c>
      <c r="D3" s="3">
        <v>0</v>
      </c>
      <c r="K3" s="3">
        <f t="shared" ref="K3:K15" si="0">B3*-1</f>
        <v>-50</v>
      </c>
    </row>
    <row r="4" spans="1:11" x14ac:dyDescent="0.25">
      <c r="A4" s="6">
        <v>45999</v>
      </c>
      <c r="B4" s="3">
        <v>50</v>
      </c>
      <c r="C4" s="3">
        <v>0</v>
      </c>
      <c r="D4" s="3">
        <v>0</v>
      </c>
      <c r="K4" s="3">
        <f t="shared" si="0"/>
        <v>-50</v>
      </c>
    </row>
    <row r="5" spans="1:11" x14ac:dyDescent="0.25">
      <c r="A5" s="6">
        <v>45664</v>
      </c>
      <c r="B5" s="3">
        <v>10</v>
      </c>
      <c r="C5" s="3">
        <v>0</v>
      </c>
      <c r="D5" s="3">
        <v>0</v>
      </c>
      <c r="K5" s="3">
        <f t="shared" si="0"/>
        <v>-10</v>
      </c>
    </row>
    <row r="6" spans="1:11" x14ac:dyDescent="0.25">
      <c r="A6" s="6">
        <v>46068</v>
      </c>
      <c r="B6" s="3">
        <v>30</v>
      </c>
      <c r="C6" s="3">
        <v>0</v>
      </c>
      <c r="D6" s="3">
        <v>0</v>
      </c>
      <c r="K6" s="3">
        <f t="shared" si="0"/>
        <v>-30</v>
      </c>
    </row>
    <row r="7" spans="1:11" x14ac:dyDescent="0.25">
      <c r="A7" s="6">
        <v>46104</v>
      </c>
      <c r="B7" s="3">
        <v>30</v>
      </c>
      <c r="C7" s="3">
        <v>0</v>
      </c>
      <c r="D7" s="3">
        <v>0</v>
      </c>
      <c r="K7" s="3">
        <f t="shared" si="0"/>
        <v>-30</v>
      </c>
    </row>
    <row r="8" spans="1:11" x14ac:dyDescent="0.25">
      <c r="A8" s="6">
        <v>46127</v>
      </c>
      <c r="B8" s="3">
        <v>10</v>
      </c>
      <c r="C8" s="3">
        <v>0</v>
      </c>
      <c r="D8" s="3">
        <v>0</v>
      </c>
      <c r="K8" s="3">
        <f t="shared" si="0"/>
        <v>-10</v>
      </c>
    </row>
    <row r="9" spans="1:11" x14ac:dyDescent="0.25">
      <c r="A9" s="6">
        <v>46144</v>
      </c>
      <c r="B9" s="3">
        <v>30</v>
      </c>
      <c r="C9" s="3">
        <v>0</v>
      </c>
      <c r="D9" s="3">
        <v>0</v>
      </c>
      <c r="K9" s="3">
        <f t="shared" si="0"/>
        <v>-30</v>
      </c>
    </row>
    <row r="10" spans="1:11" x14ac:dyDescent="0.25">
      <c r="A10" s="6">
        <v>46161</v>
      </c>
      <c r="B10" s="3">
        <v>20</v>
      </c>
      <c r="C10" s="3">
        <v>0</v>
      </c>
      <c r="D10" s="3">
        <v>0</v>
      </c>
      <c r="K10" s="3">
        <f t="shared" si="0"/>
        <v>-20</v>
      </c>
    </row>
    <row r="11" spans="1:11" x14ac:dyDescent="0.25">
      <c r="A11" s="6">
        <v>46185</v>
      </c>
      <c r="B11" s="3">
        <v>10</v>
      </c>
      <c r="C11" s="3">
        <v>0</v>
      </c>
      <c r="D11" s="3">
        <v>0</v>
      </c>
      <c r="K11" s="3">
        <f t="shared" si="0"/>
        <v>-10</v>
      </c>
    </row>
    <row r="12" spans="1:11" x14ac:dyDescent="0.25">
      <c r="A12" s="6"/>
      <c r="B12" s="3"/>
      <c r="C12" s="3"/>
      <c r="D12" s="3"/>
      <c r="K12" s="3">
        <f t="shared" si="0"/>
        <v>0</v>
      </c>
    </row>
    <row r="13" spans="1:11" x14ac:dyDescent="0.25">
      <c r="A13" s="6"/>
      <c r="B13" s="3"/>
      <c r="C13" s="3"/>
      <c r="D13" s="3"/>
      <c r="K13" s="3">
        <f t="shared" si="0"/>
        <v>0</v>
      </c>
    </row>
    <row r="14" spans="1:11" x14ac:dyDescent="0.25">
      <c r="A14" s="6"/>
      <c r="B14" s="3"/>
      <c r="C14" s="3"/>
      <c r="D14" s="3"/>
      <c r="K14" s="3">
        <f t="shared" si="0"/>
        <v>0</v>
      </c>
    </row>
    <row r="15" spans="1:11" x14ac:dyDescent="0.25">
      <c r="A15" s="6"/>
      <c r="B15" s="1"/>
      <c r="C15" s="1"/>
      <c r="D15" s="1"/>
      <c r="K15" s="3">
        <f t="shared" si="0"/>
        <v>0</v>
      </c>
    </row>
    <row r="16" spans="1:11" x14ac:dyDescent="0.25">
      <c r="A16" s="6"/>
      <c r="B16" s="1"/>
      <c r="C16" s="1"/>
      <c r="D16" s="1"/>
      <c r="K16" s="1"/>
    </row>
    <row r="17" spans="1:11" x14ac:dyDescent="0.25">
      <c r="A17" s="6"/>
      <c r="B17" s="1"/>
      <c r="C17" s="1"/>
      <c r="D17" s="1"/>
      <c r="K17" s="1"/>
    </row>
    <row r="18" spans="1:11" x14ac:dyDescent="0.25">
      <c r="A18" s="6"/>
      <c r="B18" s="1"/>
      <c r="C18" s="1"/>
      <c r="D18" s="1"/>
      <c r="K18" s="1"/>
    </row>
    <row r="19" spans="1:11" x14ac:dyDescent="0.25">
      <c r="A19" s="6"/>
      <c r="B19" s="1"/>
      <c r="C19" s="1"/>
      <c r="D19" s="1"/>
      <c r="K19" s="1"/>
    </row>
    <row r="20" spans="1:11" x14ac:dyDescent="0.25">
      <c r="A20" s="6"/>
      <c r="B20" s="1"/>
      <c r="C20" s="1"/>
      <c r="D20" s="1"/>
      <c r="K20" s="1"/>
    </row>
    <row r="21" spans="1:11" x14ac:dyDescent="0.25">
      <c r="A21" s="6"/>
      <c r="B21" s="1"/>
      <c r="C21" s="1"/>
      <c r="D21" s="1"/>
      <c r="K21" s="1"/>
    </row>
    <row r="22" spans="1:11" x14ac:dyDescent="0.25">
      <c r="A22" s="6"/>
      <c r="B22" s="1"/>
      <c r="C22" s="1"/>
      <c r="D22" s="1"/>
      <c r="K22" s="1"/>
    </row>
    <row r="23" spans="1:11" x14ac:dyDescent="0.25">
      <c r="A23" s="6"/>
      <c r="B23" s="1"/>
      <c r="C23" s="1"/>
      <c r="D23" s="1"/>
      <c r="K23" s="1"/>
    </row>
    <row r="24" spans="1:11" x14ac:dyDescent="0.25">
      <c r="A24" s="6"/>
      <c r="B24" s="1"/>
      <c r="C24" s="1"/>
      <c r="D24" s="1"/>
      <c r="K24" s="1"/>
    </row>
    <row r="25" spans="1:11" x14ac:dyDescent="0.25">
      <c r="A25" s="6"/>
      <c r="B25" s="1"/>
      <c r="C25" s="1"/>
      <c r="D25" s="1"/>
      <c r="K25" s="1"/>
    </row>
    <row r="26" spans="1:11" x14ac:dyDescent="0.25">
      <c r="A26" s="6"/>
      <c r="B26" s="1"/>
      <c r="C26" s="1"/>
      <c r="D26" s="1"/>
      <c r="K26" s="1"/>
    </row>
    <row r="27" spans="1:11" x14ac:dyDescent="0.25">
      <c r="A27" s="6"/>
      <c r="B27" s="1"/>
      <c r="C27" s="1"/>
      <c r="D27" s="1"/>
      <c r="K27" s="1"/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46229</v>
      </c>
      <c r="B200" s="1"/>
      <c r="C200" s="1"/>
      <c r="D200" s="1"/>
      <c r="K200" s="25">
        <f>Overview!W3</f>
        <v>358.35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ACA-AF34-4907-9FD0-1619591C6350}">
  <dimension ref="A1:Z53"/>
  <sheetViews>
    <sheetView zoomScaleNormal="100" workbookViewId="0">
      <selection activeCell="L3" sqref="L3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57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/>
      <c r="E3" s="10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46216</v>
      </c>
      <c r="Y3" s="3">
        <f>B16*-1</f>
        <v>-60.63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/>
      <c r="E4" s="10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10"/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28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46216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46215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46397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168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60.63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3">
      <formula>$Z$3="+"</formula>
    </cfRule>
  </conditionalFormatting>
  <conditionalFormatting sqref="Z3">
    <cfRule type="expression" dxfId="5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E6C87-D2E9-45C3-AA9C-63A3C4369065}"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56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46224</v>
      </c>
      <c r="E3" s="10">
        <v>46224</v>
      </c>
      <c r="F3" s="18">
        <f t="shared" ref="F3:F52" si="0">IF(E3&gt;0,E3-D3,"")</f>
        <v>0</v>
      </c>
      <c r="G3" s="3">
        <v>0</v>
      </c>
      <c r="H3" s="3">
        <v>0.5</v>
      </c>
      <c r="I3" s="3">
        <v>0.03</v>
      </c>
      <c r="J3" s="13"/>
      <c r="K3" s="3">
        <f>G53</f>
        <v>0</v>
      </c>
      <c r="L3" s="3">
        <f>H53</f>
        <v>0.5</v>
      </c>
      <c r="M3" s="3">
        <f>I53</f>
        <v>0.03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46194</v>
      </c>
      <c r="Y3" s="3">
        <f>B16*-1</f>
        <v>-55.55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/>
      <c r="E4" s="10"/>
      <c r="F4" s="18" t="str">
        <f t="shared" si="0"/>
        <v/>
      </c>
      <c r="G4" s="3"/>
      <c r="H4" s="3"/>
      <c r="I4" s="3"/>
      <c r="J4" s="9"/>
      <c r="X4" s="6">
        <f>E3</f>
        <v>46224</v>
      </c>
      <c r="Y4" s="3">
        <f>G3+H3-I3</f>
        <v>0.47</v>
      </c>
    </row>
    <row r="5" spans="1:26" x14ac:dyDescent="0.25">
      <c r="A5" s="5"/>
      <c r="B5" s="6"/>
      <c r="D5" s="10"/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8 mėn. 25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46194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46194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46464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235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55.55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0.5</v>
      </c>
      <c r="I53" s="3">
        <f t="shared" si="3"/>
        <v>0.03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3">
      <formula>$Z$3="+"</formula>
    </cfRule>
  </conditionalFormatting>
  <conditionalFormatting sqref="Z3">
    <cfRule type="expression" dxfId="4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55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46215</v>
      </c>
      <c r="E3" s="10">
        <v>46215</v>
      </c>
      <c r="F3" s="18">
        <f t="shared" ref="F3:F52" si="0">IF(E3&gt;0,E3-D3,"")</f>
        <v>0</v>
      </c>
      <c r="G3" s="3">
        <v>0</v>
      </c>
      <c r="H3" s="3">
        <v>0.42</v>
      </c>
      <c r="I3" s="3">
        <v>0.02</v>
      </c>
      <c r="J3" s="13"/>
      <c r="K3" s="3">
        <f>G53</f>
        <v>2.71</v>
      </c>
      <c r="L3" s="3">
        <f>H53</f>
        <v>0.42</v>
      </c>
      <c r="M3" s="3">
        <f>I53</f>
        <v>0.02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46185</v>
      </c>
      <c r="Y3" s="3">
        <f>B16*-1</f>
        <v>-50.61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46225</v>
      </c>
      <c r="E4" s="10">
        <v>46225</v>
      </c>
      <c r="F4" s="18">
        <f t="shared" si="0"/>
        <v>0</v>
      </c>
      <c r="G4" s="3">
        <v>2.71</v>
      </c>
      <c r="H4" s="3">
        <v>0</v>
      </c>
      <c r="I4" s="3">
        <v>0</v>
      </c>
      <c r="J4" s="9"/>
      <c r="X4" s="6">
        <f>E3</f>
        <v>46215</v>
      </c>
      <c r="Y4" s="3">
        <f>G3+H3-I3</f>
        <v>0.39999999999999997</v>
      </c>
    </row>
    <row r="5" spans="1:26" x14ac:dyDescent="0.25">
      <c r="A5" s="5"/>
      <c r="B5" s="6"/>
      <c r="D5" s="10"/>
      <c r="E5" s="10"/>
      <c r="F5" s="18" t="str">
        <f t="shared" si="0"/>
        <v/>
      </c>
      <c r="G5" s="3"/>
      <c r="H5" s="2"/>
      <c r="I5" s="2"/>
      <c r="J5" s="9"/>
      <c r="X5" s="6">
        <f t="shared" ref="X5:X52" si="1">E4</f>
        <v>46225</v>
      </c>
      <c r="Y5" s="3">
        <f t="shared" ref="Y5:Y52" si="2">G4+H4-I4</f>
        <v>2.71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28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46185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46185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46366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137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50.61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2.71</v>
      </c>
      <c r="H53" s="3">
        <f t="shared" ref="H53:I53" si="3">SUM(H3:H52)</f>
        <v>0.42</v>
      </c>
      <c r="I53" s="3">
        <f t="shared" si="3"/>
        <v>0.02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3">
      <formula>$Z$3="+"</formula>
    </cfRule>
  </conditionalFormatting>
  <conditionalFormatting sqref="Z3">
    <cfRule type="expression" dxfId="4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52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46192</v>
      </c>
      <c r="E3" s="10">
        <v>46192</v>
      </c>
      <c r="F3" s="18">
        <f t="shared" ref="F3:F52" si="0">IF(E3&gt;0,E3-D3,"")</f>
        <v>0</v>
      </c>
      <c r="G3" s="3">
        <v>0</v>
      </c>
      <c r="H3" s="3">
        <v>0.47</v>
      </c>
      <c r="I3" s="3">
        <v>0.02</v>
      </c>
      <c r="J3" s="13"/>
      <c r="K3" s="3">
        <f>G53</f>
        <v>14.9</v>
      </c>
      <c r="L3" s="3">
        <f>H53</f>
        <v>0.79</v>
      </c>
      <c r="M3" s="3">
        <f>I53</f>
        <v>0.04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46161</v>
      </c>
      <c r="Y3" s="3">
        <f>B16*-1</f>
        <v>-50.84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46195</v>
      </c>
      <c r="E4" s="10">
        <v>46195</v>
      </c>
      <c r="F4" s="18">
        <f t="shared" si="0"/>
        <v>0</v>
      </c>
      <c r="G4" s="3">
        <v>14.9</v>
      </c>
      <c r="H4" s="3">
        <v>0</v>
      </c>
      <c r="I4" s="3">
        <v>0</v>
      </c>
      <c r="J4" s="9"/>
      <c r="X4" s="6">
        <f>E3</f>
        <v>46192</v>
      </c>
      <c r="Y4" s="3">
        <f>G3+H3-I3</f>
        <v>0.44999999999999996</v>
      </c>
    </row>
    <row r="5" spans="1:26" x14ac:dyDescent="0.25">
      <c r="A5" s="5"/>
      <c r="B5" s="6"/>
      <c r="D5" s="10" t="s">
        <v>58</v>
      </c>
      <c r="E5" s="10">
        <v>46222</v>
      </c>
      <c r="F5" s="18">
        <f t="shared" si="0"/>
        <v>0</v>
      </c>
      <c r="G5" s="3">
        <v>0</v>
      </c>
      <c r="H5" s="2">
        <v>0.32</v>
      </c>
      <c r="I5" s="2">
        <v>0.02</v>
      </c>
      <c r="J5" s="9"/>
      <c r="X5" s="6">
        <f t="shared" ref="X5:X52" si="1">E4</f>
        <v>46195</v>
      </c>
      <c r="Y5" s="3">
        <f t="shared" ref="Y5:Y52" si="2">G4+H4-I4</f>
        <v>14.9</v>
      </c>
    </row>
    <row r="6" spans="1:26" x14ac:dyDescent="0.25">
      <c r="A6" s="5"/>
      <c r="B6" s="6"/>
      <c r="D6" s="10"/>
      <c r="E6" s="10"/>
      <c r="F6" s="18" t="str">
        <f t="shared" si="0"/>
        <v/>
      </c>
      <c r="G6" s="2"/>
      <c r="H6" s="3"/>
      <c r="I6" s="3"/>
      <c r="J6" s="9"/>
      <c r="X6" s="6">
        <f t="shared" si="1"/>
        <v>46222</v>
      </c>
      <c r="Y6" s="3">
        <f t="shared" si="2"/>
        <v>0.3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46161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46161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46343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114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50.84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14.9</v>
      </c>
      <c r="H53" s="3">
        <f t="shared" ref="H53:I53" si="3">SUM(H3:H52)</f>
        <v>0.79</v>
      </c>
      <c r="I53" s="3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3">
      <formula>$Z$3="+"</formula>
    </cfRule>
  </conditionalFormatting>
  <conditionalFormatting sqref="Z3">
    <cfRule type="expression" dxfId="4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51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46175</v>
      </c>
      <c r="E3" s="10">
        <v>46175</v>
      </c>
      <c r="F3" s="18">
        <f t="shared" ref="F3:F52" si="0">IF(E3&gt;0,E3-D3,"")</f>
        <v>0</v>
      </c>
      <c r="G3" s="3">
        <v>0</v>
      </c>
      <c r="H3" s="3">
        <v>0.48</v>
      </c>
      <c r="I3" s="3">
        <v>0.02</v>
      </c>
      <c r="J3" s="13"/>
      <c r="K3" s="3">
        <f>G53</f>
        <v>12.17</v>
      </c>
      <c r="L3" s="3">
        <f>H53</f>
        <v>0.88</v>
      </c>
      <c r="M3" s="3">
        <f>I53</f>
        <v>0.04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46144</v>
      </c>
      <c r="Y3" s="3">
        <f>B16*-1</f>
        <v>-51.49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46181</v>
      </c>
      <c r="E4" s="10">
        <v>46181</v>
      </c>
      <c r="F4" s="18">
        <f t="shared" si="0"/>
        <v>0</v>
      </c>
      <c r="G4" s="3">
        <v>6.71</v>
      </c>
      <c r="H4" s="3">
        <v>0</v>
      </c>
      <c r="I4" s="3">
        <v>0</v>
      </c>
      <c r="J4" s="9"/>
      <c r="X4" s="6">
        <f>E3</f>
        <v>46175</v>
      </c>
      <c r="Y4" s="3">
        <f>G3+H3-I3</f>
        <v>0.45999999999999996</v>
      </c>
    </row>
    <row r="5" spans="1:26" x14ac:dyDescent="0.25">
      <c r="A5" s="5"/>
      <c r="B5" s="6"/>
      <c r="D5" s="10">
        <v>46205</v>
      </c>
      <c r="E5" s="10">
        <v>46205</v>
      </c>
      <c r="F5" s="18">
        <f t="shared" si="0"/>
        <v>0</v>
      </c>
      <c r="G5" s="3">
        <v>0</v>
      </c>
      <c r="H5" s="3">
        <v>0.4</v>
      </c>
      <c r="I5" s="2">
        <v>0.02</v>
      </c>
      <c r="J5" s="9"/>
      <c r="X5" s="6">
        <f t="shared" ref="X5:X52" si="1">E4</f>
        <v>46181</v>
      </c>
      <c r="Y5" s="3">
        <f t="shared" ref="Y5:Y52" si="2">G4+H4-I4</f>
        <v>6.71</v>
      </c>
    </row>
    <row r="6" spans="1:26" x14ac:dyDescent="0.25">
      <c r="A6" s="5"/>
      <c r="B6" s="6"/>
      <c r="D6" s="10">
        <v>46216</v>
      </c>
      <c r="E6" s="10">
        <v>46216</v>
      </c>
      <c r="F6" s="18">
        <f t="shared" si="0"/>
        <v>0</v>
      </c>
      <c r="G6" s="2">
        <v>5.46</v>
      </c>
      <c r="H6" s="3">
        <v>0</v>
      </c>
      <c r="I6" s="3">
        <v>0</v>
      </c>
      <c r="J6" s="9"/>
      <c r="X6" s="6">
        <f t="shared" si="1"/>
        <v>46205</v>
      </c>
      <c r="Y6" s="3">
        <f t="shared" si="2"/>
        <v>0.38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46216</v>
      </c>
      <c r="Y7" s="3">
        <f t="shared" si="2"/>
        <v>5.46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46144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46144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46326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97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51.49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12.17</v>
      </c>
      <c r="H53" s="3">
        <f t="shared" ref="H53:I53" si="3">SUM(H3:H52)</f>
        <v>0.88</v>
      </c>
      <c r="I53" s="3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3">
      <formula>$Z$3="+"</formula>
    </cfRule>
  </conditionalFormatting>
  <conditionalFormatting sqref="Z3">
    <cfRule type="expression" dxfId="3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32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46157</v>
      </c>
      <c r="E3" s="10">
        <v>46157</v>
      </c>
      <c r="F3" s="18">
        <f t="shared" ref="F3:F52" si="0">IF(E3&gt;0,E3-D3,"")</f>
        <v>0</v>
      </c>
      <c r="G3" s="3">
        <v>0</v>
      </c>
      <c r="H3" s="3">
        <v>0.46</v>
      </c>
      <c r="I3" s="3">
        <v>0.02</v>
      </c>
      <c r="J3" s="13"/>
      <c r="K3" s="3">
        <f>G53</f>
        <v>22.7</v>
      </c>
      <c r="L3" s="3">
        <f>H53</f>
        <v>0.97</v>
      </c>
      <c r="M3" s="3">
        <f>I53</f>
        <v>0.04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46127</v>
      </c>
      <c r="Y3" s="3">
        <f>B16*-1</f>
        <v>-50.44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46161</v>
      </c>
      <c r="E4" s="10">
        <v>46161</v>
      </c>
      <c r="F4" s="18">
        <f t="shared" si="0"/>
        <v>0</v>
      </c>
      <c r="G4" s="3">
        <v>22.7</v>
      </c>
      <c r="H4" s="3">
        <v>0</v>
      </c>
      <c r="I4" s="3">
        <v>0</v>
      </c>
      <c r="J4" s="9"/>
      <c r="X4" s="6">
        <f>E3</f>
        <v>46157</v>
      </c>
      <c r="Y4" s="3">
        <f>G3+H3-I3</f>
        <v>0.44</v>
      </c>
    </row>
    <row r="5" spans="1:26" x14ac:dyDescent="0.25">
      <c r="A5" s="5"/>
      <c r="B5" s="6"/>
      <c r="D5" s="10">
        <v>46188</v>
      </c>
      <c r="E5" s="10">
        <v>46188</v>
      </c>
      <c r="F5" s="18">
        <f t="shared" si="0"/>
        <v>0</v>
      </c>
      <c r="G5" s="3">
        <v>0</v>
      </c>
      <c r="H5" s="2">
        <v>0.26</v>
      </c>
      <c r="I5" s="2">
        <v>0.01</v>
      </c>
      <c r="J5" s="9"/>
      <c r="X5" s="6">
        <f t="shared" ref="X5:X52" si="1">E4</f>
        <v>46161</v>
      </c>
      <c r="Y5" s="3">
        <f t="shared" ref="Y5:Y52" si="2">G4+H4-I4</f>
        <v>22.7</v>
      </c>
    </row>
    <row r="6" spans="1:26" x14ac:dyDescent="0.25">
      <c r="A6" s="5"/>
      <c r="B6" s="6"/>
      <c r="D6" s="10">
        <v>46218</v>
      </c>
      <c r="E6" s="10">
        <v>46218</v>
      </c>
      <c r="F6" s="18">
        <f t="shared" si="0"/>
        <v>0</v>
      </c>
      <c r="G6" s="3">
        <v>0</v>
      </c>
      <c r="H6" s="3">
        <v>0.25</v>
      </c>
      <c r="I6" s="3">
        <v>0.01</v>
      </c>
      <c r="J6" s="9"/>
      <c r="X6" s="6">
        <f t="shared" si="1"/>
        <v>46188</v>
      </c>
      <c r="Y6" s="3">
        <f t="shared" si="2"/>
        <v>0.25</v>
      </c>
    </row>
    <row r="7" spans="1:26" x14ac:dyDescent="0.25">
      <c r="A7" s="5"/>
      <c r="B7" s="6"/>
      <c r="D7" s="10"/>
      <c r="E7" s="10"/>
      <c r="F7" s="18" t="str">
        <f t="shared" si="0"/>
        <v/>
      </c>
      <c r="G7" s="3"/>
      <c r="H7" s="2"/>
      <c r="I7" s="2"/>
      <c r="J7" s="13"/>
      <c r="X7" s="6">
        <f t="shared" si="1"/>
        <v>46218</v>
      </c>
      <c r="Y7" s="3">
        <f t="shared" si="2"/>
        <v>0.24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46127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46127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80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50.44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22.7</v>
      </c>
      <c r="H53" s="3">
        <f t="shared" ref="H53:I53" si="3">SUM(H3:H52)</f>
        <v>0.97</v>
      </c>
      <c r="I53" s="3">
        <f t="shared" si="3"/>
        <v>0.04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31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46156</v>
      </c>
      <c r="E3" s="10">
        <v>46156</v>
      </c>
      <c r="F3" s="18">
        <f t="shared" ref="F3:F52" si="0">IF(E3&gt;0,E3-D3,"")</f>
        <v>0</v>
      </c>
      <c r="G3" s="3">
        <v>0</v>
      </c>
      <c r="H3" s="3">
        <v>0.49</v>
      </c>
      <c r="I3" s="3">
        <v>0.02</v>
      </c>
      <c r="J3" s="13"/>
      <c r="K3" s="3">
        <f>G53</f>
        <v>7.69</v>
      </c>
      <c r="L3" s="3">
        <f>H53</f>
        <v>1.3599999999999999</v>
      </c>
      <c r="M3" s="3">
        <f>I53</f>
        <v>0.06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46126</v>
      </c>
      <c r="Y3" s="3">
        <f>B16*-1</f>
        <v>-54.23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46160</v>
      </c>
      <c r="E4" s="10">
        <v>46160</v>
      </c>
      <c r="F4" s="18">
        <f t="shared" si="0"/>
        <v>0</v>
      </c>
      <c r="G4" s="3">
        <v>6.15</v>
      </c>
      <c r="H4" s="3">
        <v>0</v>
      </c>
      <c r="I4" s="3">
        <v>0</v>
      </c>
      <c r="J4" s="9"/>
      <c r="X4" s="6">
        <f>E3</f>
        <v>46156</v>
      </c>
      <c r="Y4" s="3">
        <f>G3+H3-I3</f>
        <v>0.47</v>
      </c>
    </row>
    <row r="5" spans="1:26" x14ac:dyDescent="0.25">
      <c r="A5" s="5"/>
      <c r="B5" s="6"/>
      <c r="D5" s="10">
        <v>46187</v>
      </c>
      <c r="E5" s="10">
        <v>46187</v>
      </c>
      <c r="F5" s="18">
        <f t="shared" si="0"/>
        <v>0</v>
      </c>
      <c r="G5" s="3">
        <v>0</v>
      </c>
      <c r="H5" s="2">
        <v>0.45</v>
      </c>
      <c r="I5" s="2">
        <v>0.02</v>
      </c>
      <c r="J5" s="9"/>
      <c r="X5" s="6">
        <f t="shared" ref="X5:X52" si="1">E4</f>
        <v>46160</v>
      </c>
      <c r="Y5" s="3">
        <f t="shared" ref="Y5:Y52" si="2">G4+H4-I4</f>
        <v>6.15</v>
      </c>
    </row>
    <row r="6" spans="1:26" x14ac:dyDescent="0.25">
      <c r="A6" s="5"/>
      <c r="B6" s="6"/>
      <c r="D6" s="10">
        <v>46191</v>
      </c>
      <c r="E6" s="10">
        <v>46191</v>
      </c>
      <c r="F6" s="18">
        <f t="shared" si="0"/>
        <v>0</v>
      </c>
      <c r="G6" s="2">
        <v>1.54</v>
      </c>
      <c r="H6" s="3">
        <v>0</v>
      </c>
      <c r="I6" s="3">
        <v>0</v>
      </c>
      <c r="J6" s="9"/>
      <c r="X6" s="6">
        <f t="shared" si="1"/>
        <v>46187</v>
      </c>
      <c r="Y6" s="3">
        <f t="shared" si="2"/>
        <v>0.43</v>
      </c>
    </row>
    <row r="7" spans="1:26" x14ac:dyDescent="0.25">
      <c r="A7" s="5"/>
      <c r="B7" s="6"/>
      <c r="D7" s="10">
        <v>46217</v>
      </c>
      <c r="E7" s="10">
        <v>46217</v>
      </c>
      <c r="F7" s="18">
        <f t="shared" si="0"/>
        <v>0</v>
      </c>
      <c r="G7" s="3">
        <v>0</v>
      </c>
      <c r="H7" s="2">
        <v>0.42</v>
      </c>
      <c r="I7" s="2">
        <v>0.02</v>
      </c>
      <c r="J7" s="13"/>
      <c r="X7" s="6">
        <f t="shared" si="1"/>
        <v>46191</v>
      </c>
      <c r="Y7" s="3">
        <f t="shared" si="2"/>
        <v>1.54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29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46217</v>
      </c>
      <c r="Y8" s="3">
        <f t="shared" si="2"/>
        <v>0.39999999999999997</v>
      </c>
    </row>
    <row r="9" spans="1:26" x14ac:dyDescent="0.25">
      <c r="A9" s="5" t="s">
        <v>9</v>
      </c>
      <c r="B9" s="6">
        <v>46126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46126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46308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79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54.23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7.69</v>
      </c>
      <c r="H53" s="3">
        <f t="shared" ref="H53:I53" si="3">SUM(H3:H52)</f>
        <v>1.3599999999999999</v>
      </c>
      <c r="I53" s="3">
        <f t="shared" si="3"/>
        <v>0.06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30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46135</v>
      </c>
      <c r="E3" s="10">
        <v>46135</v>
      </c>
      <c r="F3" s="18">
        <f t="shared" ref="F3:F52" si="0">IF(E3&gt;0,E3-D3,"")</f>
        <v>0</v>
      </c>
      <c r="G3" s="3">
        <v>0</v>
      </c>
      <c r="H3" s="3">
        <v>0.51</v>
      </c>
      <c r="I3" s="3">
        <v>0.03</v>
      </c>
      <c r="J3" s="13"/>
      <c r="K3" s="3">
        <f>G53</f>
        <v>59.77</v>
      </c>
      <c r="L3" s="3">
        <f>H53</f>
        <v>1.17</v>
      </c>
      <c r="M3" s="3">
        <f>I53</f>
        <v>6.0000000000000005E-2</v>
      </c>
      <c r="N3" s="7">
        <f>IF(B16=K3,XIRR(Y3:Y52,X3:X52),"")</f>
        <v>9.9130779504776001E-2</v>
      </c>
      <c r="O3" s="6">
        <f>IF(B16=K3,MAX(E:E),"")</f>
        <v>46193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46104</v>
      </c>
      <c r="Y3" s="3">
        <f>B16*-1</f>
        <v>-59.77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46144</v>
      </c>
      <c r="E4" s="10">
        <v>46144</v>
      </c>
      <c r="F4" s="18">
        <f t="shared" si="0"/>
        <v>0</v>
      </c>
      <c r="G4" s="3">
        <v>21.01</v>
      </c>
      <c r="H4" s="3">
        <v>0</v>
      </c>
      <c r="I4" s="3">
        <v>0</v>
      </c>
      <c r="J4" s="9"/>
      <c r="X4" s="6">
        <f>E3</f>
        <v>46135</v>
      </c>
      <c r="Y4" s="3">
        <f>G3+H3-I3</f>
        <v>0.48</v>
      </c>
    </row>
    <row r="5" spans="1:26" x14ac:dyDescent="0.25">
      <c r="A5" s="5"/>
      <c r="B5" s="6"/>
      <c r="D5" s="10">
        <v>46165</v>
      </c>
      <c r="E5" s="10">
        <v>46165</v>
      </c>
      <c r="F5" s="18">
        <v>0</v>
      </c>
      <c r="G5" s="3">
        <v>0</v>
      </c>
      <c r="H5" s="2">
        <v>0.37</v>
      </c>
      <c r="I5" s="2">
        <v>0.02</v>
      </c>
      <c r="J5" s="9"/>
      <c r="X5" s="6">
        <f t="shared" ref="X5:X52" si="1">E4</f>
        <v>46144</v>
      </c>
      <c r="Y5" s="3">
        <f t="shared" ref="Y5:Y52" si="2">G4+H4-I4</f>
        <v>21.01</v>
      </c>
    </row>
    <row r="6" spans="1:26" x14ac:dyDescent="0.25">
      <c r="A6" s="5"/>
      <c r="B6" s="6"/>
      <c r="D6" s="10">
        <v>46171</v>
      </c>
      <c r="E6" s="10">
        <v>46171</v>
      </c>
      <c r="F6" s="18">
        <f t="shared" si="0"/>
        <v>0</v>
      </c>
      <c r="G6" s="3">
        <v>0.95</v>
      </c>
      <c r="H6" s="3">
        <v>0</v>
      </c>
      <c r="I6" s="3">
        <v>0</v>
      </c>
      <c r="J6" s="9"/>
      <c r="X6" s="6">
        <f t="shared" si="1"/>
        <v>46165</v>
      </c>
      <c r="Y6" s="3">
        <f t="shared" si="2"/>
        <v>0.35</v>
      </c>
    </row>
    <row r="7" spans="1:26" x14ac:dyDescent="0.25">
      <c r="A7" s="5"/>
      <c r="B7" s="6"/>
      <c r="D7" s="10">
        <v>46196</v>
      </c>
      <c r="E7" s="10">
        <v>46193</v>
      </c>
      <c r="F7" s="18">
        <f t="shared" si="0"/>
        <v>-3</v>
      </c>
      <c r="G7" s="3">
        <v>37.81</v>
      </c>
      <c r="H7" s="2">
        <v>0.28999999999999998</v>
      </c>
      <c r="I7" s="2">
        <v>0.01</v>
      </c>
      <c r="J7" s="13"/>
      <c r="X7" s="6">
        <f t="shared" si="1"/>
        <v>46171</v>
      </c>
      <c r="Y7" s="3">
        <f t="shared" si="2"/>
        <v>0.95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2 mėn. 29 d.</v>
      </c>
      <c r="D8" s="10"/>
      <c r="E8" s="10"/>
      <c r="F8" s="18" t="str">
        <f t="shared" si="0"/>
        <v/>
      </c>
      <c r="G8" s="2"/>
      <c r="H8" s="3"/>
      <c r="I8" s="3"/>
      <c r="J8" s="9"/>
      <c r="X8" s="6">
        <f t="shared" si="1"/>
        <v>46193</v>
      </c>
      <c r="Y8" s="3">
        <f t="shared" si="2"/>
        <v>38.090000000000003</v>
      </c>
    </row>
    <row r="9" spans="1:26" x14ac:dyDescent="0.25">
      <c r="A9" s="5" t="s">
        <v>9</v>
      </c>
      <c r="B9" s="6">
        <v>46104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44</v>
      </c>
      <c r="B10" s="6">
        <v>46104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46194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59.77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59.77</v>
      </c>
      <c r="H53" s="3">
        <f t="shared" ref="H53:I53" si="3">SUM(H3:H52)</f>
        <v>1.17</v>
      </c>
      <c r="I53" s="3">
        <f t="shared" si="3"/>
        <v>6.0000000000000005E-2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5">
      <formula>$Z$3="+"</formula>
    </cfRule>
  </conditionalFormatting>
  <conditionalFormatting sqref="Z3">
    <cfRule type="expression" dxfId="2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29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46096</v>
      </c>
      <c r="E3" s="10">
        <v>46096</v>
      </c>
      <c r="F3" s="18">
        <f t="shared" ref="F3:F52" si="0">IF(E3&gt;0,E3-D3,"")</f>
        <v>0</v>
      </c>
      <c r="G3" s="3">
        <v>0</v>
      </c>
      <c r="H3" s="3">
        <v>0.43</v>
      </c>
      <c r="I3" s="3">
        <v>0.02</v>
      </c>
      <c r="J3" s="13"/>
      <c r="K3" s="3">
        <f>G53</f>
        <v>16.66</v>
      </c>
      <c r="L3" s="3">
        <f>H53</f>
        <v>2.11</v>
      </c>
      <c r="M3" s="3">
        <f>I53</f>
        <v>0.1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46068</v>
      </c>
      <c r="Y3" s="3">
        <f>B16*-1</f>
        <v>-51.51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46103</v>
      </c>
      <c r="E4" s="10">
        <v>46103</v>
      </c>
      <c r="F4" s="18">
        <f t="shared" si="0"/>
        <v>0</v>
      </c>
      <c r="G4" s="3">
        <v>2.31</v>
      </c>
      <c r="H4" s="3">
        <v>0</v>
      </c>
      <c r="I4" s="3">
        <v>0</v>
      </c>
      <c r="J4" s="9"/>
      <c r="X4" s="6">
        <f>E3</f>
        <v>46096</v>
      </c>
      <c r="Y4" s="3">
        <f>G3+H3-I3</f>
        <v>0.41</v>
      </c>
    </row>
    <row r="5" spans="1:26" x14ac:dyDescent="0.25">
      <c r="A5" s="5"/>
      <c r="B5" s="6"/>
      <c r="D5" s="10">
        <v>46127</v>
      </c>
      <c r="E5" s="10">
        <v>46127</v>
      </c>
      <c r="F5" s="18">
        <f t="shared" si="0"/>
        <v>0</v>
      </c>
      <c r="G5" s="3">
        <v>0</v>
      </c>
      <c r="H5" s="2">
        <v>0.46</v>
      </c>
      <c r="I5" s="2">
        <v>0.02</v>
      </c>
      <c r="J5" s="9"/>
      <c r="X5" s="6">
        <f t="shared" ref="X5:X52" si="1">E4</f>
        <v>46103</v>
      </c>
      <c r="Y5" s="3">
        <f t="shared" ref="Y5:Y52" si="2">G4+H4-I4</f>
        <v>2.31</v>
      </c>
    </row>
    <row r="6" spans="1:26" x14ac:dyDescent="0.25">
      <c r="A6" s="5"/>
      <c r="B6" s="6"/>
      <c r="D6" s="10">
        <v>46157</v>
      </c>
      <c r="E6" s="10">
        <v>46157</v>
      </c>
      <c r="F6" s="18">
        <f t="shared" si="0"/>
        <v>0</v>
      </c>
      <c r="G6" s="3">
        <v>0</v>
      </c>
      <c r="H6" s="3">
        <v>0.44</v>
      </c>
      <c r="I6" s="3">
        <v>0.02</v>
      </c>
      <c r="J6" s="9"/>
      <c r="X6" s="6">
        <f t="shared" si="1"/>
        <v>46127</v>
      </c>
      <c r="Y6" s="3">
        <f t="shared" si="2"/>
        <v>0.44</v>
      </c>
    </row>
    <row r="7" spans="1:26" x14ac:dyDescent="0.25">
      <c r="A7" s="5"/>
      <c r="B7" s="6"/>
      <c r="D7" s="10">
        <v>46188</v>
      </c>
      <c r="E7" s="10">
        <v>46188</v>
      </c>
      <c r="F7" s="18">
        <f t="shared" si="0"/>
        <v>0</v>
      </c>
      <c r="G7" s="3">
        <v>0</v>
      </c>
      <c r="H7" s="2">
        <v>0.46</v>
      </c>
      <c r="I7" s="2">
        <v>0.02</v>
      </c>
      <c r="J7" s="13"/>
      <c r="X7" s="6">
        <f t="shared" si="1"/>
        <v>46157</v>
      </c>
      <c r="Y7" s="3">
        <f t="shared" si="2"/>
        <v>0.42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6 mėn. 1 d.</v>
      </c>
      <c r="D8" s="10">
        <v>46193</v>
      </c>
      <c r="E8" s="10">
        <v>46193</v>
      </c>
      <c r="F8" s="18">
        <f t="shared" si="0"/>
        <v>0</v>
      </c>
      <c r="G8" s="2">
        <v>14.35</v>
      </c>
      <c r="H8" s="3">
        <v>0</v>
      </c>
      <c r="I8" s="3">
        <v>0</v>
      </c>
      <c r="J8" s="9"/>
      <c r="X8" s="6">
        <f t="shared" si="1"/>
        <v>46188</v>
      </c>
      <c r="Y8" s="3">
        <f t="shared" si="2"/>
        <v>0.44</v>
      </c>
    </row>
    <row r="9" spans="1:26" x14ac:dyDescent="0.25">
      <c r="A9" s="5" t="s">
        <v>9</v>
      </c>
      <c r="B9" s="6">
        <v>46068</v>
      </c>
      <c r="D9" s="10">
        <v>46218</v>
      </c>
      <c r="E9" s="10">
        <v>46218</v>
      </c>
      <c r="F9" s="18">
        <f t="shared" si="0"/>
        <v>0</v>
      </c>
      <c r="G9" s="3">
        <v>0</v>
      </c>
      <c r="H9" s="3">
        <v>0.32</v>
      </c>
      <c r="I9" s="3">
        <v>0.02</v>
      </c>
      <c r="J9" s="13"/>
      <c r="X9" s="6">
        <f t="shared" si="1"/>
        <v>46193</v>
      </c>
      <c r="Y9" s="3">
        <f t="shared" si="2"/>
        <v>14.35</v>
      </c>
    </row>
    <row r="10" spans="1:26" x14ac:dyDescent="0.25">
      <c r="A10" s="5" t="s">
        <v>44</v>
      </c>
      <c r="B10" s="6">
        <v>46068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46218</v>
      </c>
      <c r="Y10" s="3">
        <f t="shared" si="2"/>
        <v>0.3</v>
      </c>
    </row>
    <row r="11" spans="1:26" x14ac:dyDescent="0.25">
      <c r="A11" s="5" t="s">
        <v>8</v>
      </c>
      <c r="B11" s="6">
        <v>46250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45</v>
      </c>
      <c r="B12" s="18">
        <f ca="1">IF(B16&lt;&gt;K3,(TODAY()-B11)*-1,"")</f>
        <v>21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51.51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16.66</v>
      </c>
      <c r="H53" s="3">
        <f t="shared" ref="H53:I53" si="3">SUM(H3:H52)</f>
        <v>2.11</v>
      </c>
      <c r="I53" s="3">
        <f t="shared" si="3"/>
        <v>0.1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28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46060</v>
      </c>
      <c r="E3" s="10">
        <v>46060</v>
      </c>
      <c r="F3" s="18">
        <f t="shared" ref="F3:F52" si="0">IF(E3&gt;0,E3-D3,"")</f>
        <v>0</v>
      </c>
      <c r="G3" s="3">
        <v>0</v>
      </c>
      <c r="H3" s="3">
        <v>0.53</v>
      </c>
      <c r="I3" s="3">
        <v>0.03</v>
      </c>
      <c r="J3" s="13"/>
      <c r="K3" s="3">
        <f>G53</f>
        <v>56.8</v>
      </c>
      <c r="L3" s="3">
        <f>H53</f>
        <v>2.67</v>
      </c>
      <c r="M3" s="3">
        <f>I53</f>
        <v>0.13</v>
      </c>
      <c r="N3" s="7">
        <f>IF(B16=K3,XIRR(Y3:Y52,X3:X52),"")</f>
        <v>0.10909408926963807</v>
      </c>
      <c r="O3" s="6">
        <f>IF(B16=K3,MAX(E:E),"")</f>
        <v>46210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46029</v>
      </c>
      <c r="Y3" s="3">
        <f>B16*-1</f>
        <v>-56.8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46067</v>
      </c>
      <c r="E4" s="10">
        <v>46067</v>
      </c>
      <c r="F4" s="18">
        <f t="shared" si="0"/>
        <v>0</v>
      </c>
      <c r="G4" s="3">
        <v>4.8899999999999997</v>
      </c>
      <c r="H4" s="3">
        <v>0</v>
      </c>
      <c r="I4" s="3">
        <v>0</v>
      </c>
      <c r="J4" s="9"/>
      <c r="X4" s="6">
        <f>E3</f>
        <v>46060</v>
      </c>
      <c r="Y4" s="3">
        <f>G3+H3-I3</f>
        <v>0.5</v>
      </c>
    </row>
    <row r="5" spans="1:26" x14ac:dyDescent="0.25">
      <c r="A5" s="5"/>
      <c r="B5" s="6"/>
      <c r="D5" s="10">
        <v>46088</v>
      </c>
      <c r="E5" s="10">
        <v>46088</v>
      </c>
      <c r="F5" s="18">
        <f t="shared" si="0"/>
        <v>0</v>
      </c>
      <c r="G5" s="3">
        <v>0</v>
      </c>
      <c r="H5" s="2">
        <v>0.45</v>
      </c>
      <c r="I5" s="2">
        <v>0.02</v>
      </c>
      <c r="J5" s="9"/>
      <c r="X5" s="6">
        <f t="shared" ref="X5:X52" si="1">E4</f>
        <v>46067</v>
      </c>
      <c r="Y5" s="3">
        <f t="shared" ref="Y5:Y52" si="2">G4+H4-I4</f>
        <v>4.8899999999999997</v>
      </c>
    </row>
    <row r="6" spans="1:26" x14ac:dyDescent="0.25">
      <c r="A6" s="5"/>
      <c r="B6" s="6"/>
      <c r="D6" s="10">
        <v>46096</v>
      </c>
      <c r="E6" s="10">
        <v>46096</v>
      </c>
      <c r="F6" s="18">
        <f t="shared" si="0"/>
        <v>0</v>
      </c>
      <c r="G6" s="2">
        <v>1.46</v>
      </c>
      <c r="H6" s="3">
        <v>0</v>
      </c>
      <c r="I6" s="3">
        <v>0</v>
      </c>
      <c r="J6" s="9"/>
      <c r="X6" s="6">
        <f t="shared" si="1"/>
        <v>46088</v>
      </c>
      <c r="Y6" s="3">
        <f t="shared" si="2"/>
        <v>0.43</v>
      </c>
    </row>
    <row r="7" spans="1:26" x14ac:dyDescent="0.25">
      <c r="A7" s="5"/>
      <c r="B7" s="6"/>
      <c r="D7" s="10">
        <v>46119</v>
      </c>
      <c r="E7" s="10">
        <v>46119</v>
      </c>
      <c r="F7" s="18">
        <f t="shared" si="0"/>
        <v>0</v>
      </c>
      <c r="G7" s="3">
        <v>0</v>
      </c>
      <c r="H7" s="2">
        <v>0.47</v>
      </c>
      <c r="I7" s="2">
        <v>0.02</v>
      </c>
      <c r="J7" s="13"/>
      <c r="X7" s="6">
        <f t="shared" si="1"/>
        <v>46096</v>
      </c>
      <c r="Y7" s="3">
        <f t="shared" si="2"/>
        <v>1.46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6 mėn. 1 d.</v>
      </c>
      <c r="D8" s="10">
        <v>46125</v>
      </c>
      <c r="E8" s="10">
        <v>46125</v>
      </c>
      <c r="F8" s="18">
        <f t="shared" si="0"/>
        <v>0</v>
      </c>
      <c r="G8" s="2">
        <v>5.88</v>
      </c>
      <c r="H8" s="3">
        <v>0</v>
      </c>
      <c r="I8" s="3">
        <v>0</v>
      </c>
      <c r="J8" s="9"/>
      <c r="X8" s="6">
        <f t="shared" si="1"/>
        <v>46119</v>
      </c>
      <c r="Y8" s="3">
        <f t="shared" si="2"/>
        <v>0.44999999999999996</v>
      </c>
    </row>
    <row r="9" spans="1:26" x14ac:dyDescent="0.25">
      <c r="A9" s="5" t="s">
        <v>9</v>
      </c>
      <c r="B9" s="6">
        <v>46029</v>
      </c>
      <c r="D9" s="10">
        <v>46149</v>
      </c>
      <c r="E9" s="10">
        <v>46149</v>
      </c>
      <c r="F9" s="18">
        <f t="shared" si="0"/>
        <v>0</v>
      </c>
      <c r="G9" s="3">
        <v>0</v>
      </c>
      <c r="H9" s="3">
        <v>0.4</v>
      </c>
      <c r="I9" s="3">
        <v>0.02</v>
      </c>
      <c r="J9" s="13"/>
      <c r="X9" s="6">
        <f t="shared" si="1"/>
        <v>46125</v>
      </c>
      <c r="Y9" s="3">
        <f t="shared" si="2"/>
        <v>5.88</v>
      </c>
    </row>
    <row r="10" spans="1:26" x14ac:dyDescent="0.25">
      <c r="A10" s="5" t="s">
        <v>44</v>
      </c>
      <c r="B10" s="6">
        <v>46029</v>
      </c>
      <c r="D10" s="10">
        <v>46180</v>
      </c>
      <c r="E10" s="10">
        <v>46180</v>
      </c>
      <c r="F10" s="18">
        <f t="shared" si="0"/>
        <v>0</v>
      </c>
      <c r="G10" s="3">
        <v>0</v>
      </c>
      <c r="H10" s="3">
        <v>0.42</v>
      </c>
      <c r="I10" s="3">
        <v>0.02</v>
      </c>
      <c r="J10" s="13"/>
      <c r="X10" s="6">
        <f t="shared" si="1"/>
        <v>46149</v>
      </c>
      <c r="Y10" s="3">
        <f t="shared" si="2"/>
        <v>0.38</v>
      </c>
    </row>
    <row r="11" spans="1:26" x14ac:dyDescent="0.25">
      <c r="A11" s="5" t="s">
        <v>8</v>
      </c>
      <c r="B11" s="6">
        <v>46211</v>
      </c>
      <c r="D11" s="10">
        <v>46210</v>
      </c>
      <c r="E11" s="10">
        <v>46210</v>
      </c>
      <c r="F11" s="18">
        <f t="shared" si="0"/>
        <v>0</v>
      </c>
      <c r="G11" s="3">
        <v>44.57</v>
      </c>
      <c r="H11" s="3">
        <v>0.4</v>
      </c>
      <c r="I11" s="3">
        <v>0.02</v>
      </c>
      <c r="J11" s="13"/>
      <c r="X11" s="6">
        <f t="shared" si="1"/>
        <v>46180</v>
      </c>
      <c r="Y11" s="3">
        <f t="shared" si="2"/>
        <v>0.39999999999999997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46210</v>
      </c>
      <c r="Y12" s="3">
        <f t="shared" si="2"/>
        <v>44.949999999999996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56.8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56.8</v>
      </c>
      <c r="H53" s="3">
        <f t="shared" ref="H53:I53" si="3">SUM(H3:H52)</f>
        <v>2.67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5">
      <formula>$Z$3="+"</formula>
    </cfRule>
  </conditionalFormatting>
  <conditionalFormatting sqref="Z3">
    <cfRule type="expression" dxfId="16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27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46029</v>
      </c>
      <c r="E3" s="10">
        <v>46029</v>
      </c>
      <c r="F3" s="18">
        <f t="shared" ref="F3:F52" si="0">IF(E3&gt;0,E3-D3,"")</f>
        <v>0</v>
      </c>
      <c r="G3" s="3">
        <v>21.96</v>
      </c>
      <c r="H3" s="3">
        <v>0.73</v>
      </c>
      <c r="I3" s="3">
        <v>0.04</v>
      </c>
      <c r="J3" s="13"/>
      <c r="K3" s="3">
        <f>G53</f>
        <v>81.099999999999994</v>
      </c>
      <c r="L3" s="3">
        <f>H53</f>
        <v>2.66</v>
      </c>
      <c r="M3" s="3">
        <f>I53</f>
        <v>0.13</v>
      </c>
      <c r="N3" s="7">
        <f>IF(B16=K3,XIRR(Y3:Y52,X3:X52),"")</f>
        <v>0.10937594771385192</v>
      </c>
      <c r="O3" s="6">
        <f>IF(B16=K3,MAX(E:E),"")</f>
        <v>46170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45999</v>
      </c>
      <c r="Y3" s="3">
        <f>B16*-1</f>
        <v>-81.099999999999994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46060</v>
      </c>
      <c r="E4" s="10">
        <v>46060</v>
      </c>
      <c r="F4" s="18">
        <f t="shared" si="0"/>
        <v>0</v>
      </c>
      <c r="G4" s="3">
        <v>0</v>
      </c>
      <c r="H4" s="2">
        <v>0.55000000000000004</v>
      </c>
      <c r="I4" s="2">
        <v>0.03</v>
      </c>
      <c r="J4" s="9"/>
      <c r="X4" s="6">
        <f>E3</f>
        <v>46029</v>
      </c>
      <c r="Y4" s="3">
        <f>G3+H3-I3</f>
        <v>22.650000000000002</v>
      </c>
    </row>
    <row r="5" spans="1:26" x14ac:dyDescent="0.25">
      <c r="A5" s="5"/>
      <c r="B5" s="6"/>
      <c r="D5" s="10">
        <v>46063</v>
      </c>
      <c r="E5" s="10">
        <v>46063</v>
      </c>
      <c r="F5" s="18">
        <f t="shared" si="0"/>
        <v>0</v>
      </c>
      <c r="G5" s="3">
        <v>1.49</v>
      </c>
      <c r="H5" s="3">
        <v>0</v>
      </c>
      <c r="I5" s="3">
        <v>0</v>
      </c>
      <c r="J5" s="9"/>
      <c r="X5" s="6">
        <f t="shared" ref="X5:X52" si="1">E4</f>
        <v>46060</v>
      </c>
      <c r="Y5" s="3">
        <f t="shared" ref="Y5:Y52" si="2">G4+H4-I4</f>
        <v>0.52</v>
      </c>
    </row>
    <row r="6" spans="1:26" x14ac:dyDescent="0.25">
      <c r="A6" s="5"/>
      <c r="B6" s="6"/>
      <c r="D6" s="10">
        <v>46088</v>
      </c>
      <c r="E6" s="10">
        <v>46088</v>
      </c>
      <c r="F6" s="18">
        <f t="shared" si="0"/>
        <v>0</v>
      </c>
      <c r="G6" s="3">
        <v>0</v>
      </c>
      <c r="H6" s="2">
        <v>0.49</v>
      </c>
      <c r="I6" s="2">
        <v>0.02</v>
      </c>
      <c r="J6" s="9"/>
      <c r="X6" s="6">
        <f t="shared" si="1"/>
        <v>46063</v>
      </c>
      <c r="Y6" s="3">
        <f t="shared" si="2"/>
        <v>1.49</v>
      </c>
    </row>
    <row r="7" spans="1:26" x14ac:dyDescent="0.25">
      <c r="A7" s="5"/>
      <c r="B7" s="6"/>
      <c r="D7" s="10">
        <v>46090</v>
      </c>
      <c r="E7" s="10">
        <v>46090</v>
      </c>
      <c r="F7" s="18">
        <f t="shared" si="0"/>
        <v>0</v>
      </c>
      <c r="G7" s="2">
        <v>15.31</v>
      </c>
      <c r="H7" s="3">
        <v>0</v>
      </c>
      <c r="I7" s="3">
        <v>0</v>
      </c>
      <c r="J7" s="13"/>
      <c r="X7" s="6">
        <f t="shared" si="1"/>
        <v>46088</v>
      </c>
      <c r="Y7" s="3">
        <f t="shared" si="2"/>
        <v>0.47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21 d.</v>
      </c>
      <c r="D8" s="10">
        <v>46119</v>
      </c>
      <c r="E8" s="10">
        <v>46119</v>
      </c>
      <c r="F8" s="18">
        <f t="shared" si="0"/>
        <v>0</v>
      </c>
      <c r="G8" s="3">
        <v>0</v>
      </c>
      <c r="H8" s="3">
        <v>0.4</v>
      </c>
      <c r="I8" s="2">
        <v>0.02</v>
      </c>
      <c r="J8" s="9"/>
      <c r="X8" s="6">
        <f t="shared" si="1"/>
        <v>46090</v>
      </c>
      <c r="Y8" s="3">
        <f t="shared" si="2"/>
        <v>15.31</v>
      </c>
    </row>
    <row r="9" spans="1:26" x14ac:dyDescent="0.25">
      <c r="A9" s="5" t="s">
        <v>9</v>
      </c>
      <c r="B9" s="6">
        <v>45999</v>
      </c>
      <c r="D9" s="10">
        <v>46121</v>
      </c>
      <c r="E9" s="10">
        <v>46121</v>
      </c>
      <c r="F9" s="18">
        <f t="shared" si="0"/>
        <v>0</v>
      </c>
      <c r="G9" s="2">
        <v>10.79</v>
      </c>
      <c r="H9" s="3">
        <v>0</v>
      </c>
      <c r="I9" s="3">
        <v>0</v>
      </c>
      <c r="J9" s="13"/>
      <c r="X9" s="6">
        <f t="shared" si="1"/>
        <v>46119</v>
      </c>
      <c r="Y9" s="3">
        <f t="shared" si="2"/>
        <v>0.38</v>
      </c>
    </row>
    <row r="10" spans="1:26" x14ac:dyDescent="0.25">
      <c r="A10" s="5" t="s">
        <v>44</v>
      </c>
      <c r="B10" s="6">
        <v>45998</v>
      </c>
      <c r="D10" s="10">
        <v>46149</v>
      </c>
      <c r="E10" s="10">
        <v>46149</v>
      </c>
      <c r="F10" s="18">
        <f t="shared" si="0"/>
        <v>0</v>
      </c>
      <c r="G10" s="3">
        <v>0</v>
      </c>
      <c r="H10" s="3">
        <v>0.28999999999999998</v>
      </c>
      <c r="I10" s="3">
        <v>0.01</v>
      </c>
      <c r="J10" s="13"/>
      <c r="X10" s="6">
        <f t="shared" si="1"/>
        <v>46121</v>
      </c>
      <c r="Y10" s="3">
        <f t="shared" si="2"/>
        <v>10.79</v>
      </c>
    </row>
    <row r="11" spans="1:26" x14ac:dyDescent="0.25">
      <c r="A11" s="5" t="s">
        <v>8</v>
      </c>
      <c r="B11" s="6">
        <v>46171</v>
      </c>
      <c r="D11" s="10">
        <v>46170</v>
      </c>
      <c r="E11" s="10">
        <v>46170</v>
      </c>
      <c r="F11" s="18">
        <f t="shared" si="0"/>
        <v>0</v>
      </c>
      <c r="G11" s="3">
        <v>31.55</v>
      </c>
      <c r="H11" s="3">
        <v>0.2</v>
      </c>
      <c r="I11" s="3">
        <v>0.01</v>
      </c>
      <c r="J11" s="13"/>
      <c r="X11" s="6">
        <f t="shared" si="1"/>
        <v>46149</v>
      </c>
      <c r="Y11" s="3">
        <f t="shared" si="2"/>
        <v>0.27999999999999997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46170</v>
      </c>
      <c r="Y12" s="3">
        <f t="shared" si="2"/>
        <v>31.74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81.099999999999994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81.099999999999994</v>
      </c>
      <c r="H53" s="3">
        <f t="shared" ref="H53:I53" si="3">SUM(H3:H52)</f>
        <v>2.66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5">
      <formula>$Z$3="+"</formula>
    </cfRule>
  </conditionalFormatting>
  <conditionalFormatting sqref="Z3">
    <cfRule type="expression" dxfId="12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22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45997</v>
      </c>
      <c r="E3" s="10">
        <v>45997</v>
      </c>
      <c r="F3" s="18">
        <f t="shared" ref="F3:F52" si="0">IF(E3&gt;0,E3-D3,"")</f>
        <v>0</v>
      </c>
      <c r="G3" s="3">
        <v>0</v>
      </c>
      <c r="H3" s="3">
        <v>0.49</v>
      </c>
      <c r="I3" s="3">
        <v>0.02</v>
      </c>
      <c r="J3" s="13"/>
      <c r="K3" s="3">
        <f>G53</f>
        <v>57.830000000000005</v>
      </c>
      <c r="L3" s="3">
        <f>H53</f>
        <v>2.56</v>
      </c>
      <c r="M3" s="3">
        <f>I53</f>
        <v>0.13</v>
      </c>
      <c r="N3" s="7">
        <f>IF(B16=K3,XIRR(Y3:Y52,X3:X52),"")</f>
        <v>0.10913335680961608</v>
      </c>
      <c r="O3" s="6">
        <f>IF(B16=K3,MAX(E:E),"")</f>
        <v>46125</v>
      </c>
      <c r="P3" s="2" t="str">
        <f ca="1">IF(Z3="+",TODAY()-B11,"")</f>
        <v/>
      </c>
      <c r="Q3" s="2">
        <f>IF(B16=K3,MAX(E:E)-B11,"")</f>
        <v>-1</v>
      </c>
      <c r="T3" s="15"/>
      <c r="X3" s="6">
        <f>B9</f>
        <v>45969</v>
      </c>
      <c r="Y3" s="3">
        <f>B16*-1</f>
        <v>-57.83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45998</v>
      </c>
      <c r="E4" s="10">
        <v>45998</v>
      </c>
      <c r="F4" s="18">
        <f t="shared" si="0"/>
        <v>0</v>
      </c>
      <c r="G4" s="3">
        <v>1.21</v>
      </c>
      <c r="H4" s="3">
        <v>0</v>
      </c>
      <c r="I4" s="3">
        <v>0</v>
      </c>
      <c r="J4" s="9"/>
      <c r="X4" s="6">
        <f>E3</f>
        <v>45997</v>
      </c>
      <c r="Y4" s="3">
        <f>G3+H3-I3</f>
        <v>0.47</v>
      </c>
    </row>
    <row r="5" spans="1:26" x14ac:dyDescent="0.25">
      <c r="A5" s="5"/>
      <c r="B5" s="6"/>
      <c r="D5" s="10">
        <v>46028</v>
      </c>
      <c r="E5" s="10">
        <v>46028</v>
      </c>
      <c r="F5" s="18">
        <f t="shared" si="0"/>
        <v>0</v>
      </c>
      <c r="G5" s="2">
        <v>2.14</v>
      </c>
      <c r="H5" s="2">
        <v>0.53</v>
      </c>
      <c r="I5" s="2">
        <v>0.03</v>
      </c>
      <c r="J5" s="9"/>
      <c r="X5" s="6">
        <f t="shared" ref="X5:X52" si="1">E4</f>
        <v>45998</v>
      </c>
      <c r="Y5" s="3">
        <f t="shared" ref="Y5:Y52" si="2">G4+H4-I4</f>
        <v>1.21</v>
      </c>
    </row>
    <row r="6" spans="1:26" x14ac:dyDescent="0.25">
      <c r="A6" s="5"/>
      <c r="B6" s="6"/>
      <c r="D6" s="10">
        <v>46059</v>
      </c>
      <c r="E6" s="10">
        <v>46059</v>
      </c>
      <c r="F6" s="18">
        <f t="shared" si="0"/>
        <v>0</v>
      </c>
      <c r="G6" s="3">
        <v>0</v>
      </c>
      <c r="H6" s="2">
        <v>0.51</v>
      </c>
      <c r="I6" s="2">
        <v>0.03</v>
      </c>
      <c r="J6" s="9"/>
      <c r="X6" s="6">
        <f t="shared" si="1"/>
        <v>46028</v>
      </c>
      <c r="Y6" s="3">
        <f t="shared" si="2"/>
        <v>2.64</v>
      </c>
    </row>
    <row r="7" spans="1:26" x14ac:dyDescent="0.25">
      <c r="A7" s="5"/>
      <c r="B7" s="6"/>
      <c r="D7" s="10">
        <v>46062</v>
      </c>
      <c r="E7" s="10">
        <v>46062</v>
      </c>
      <c r="F7" s="18">
        <f t="shared" si="0"/>
        <v>0</v>
      </c>
      <c r="G7" s="2">
        <v>0.71</v>
      </c>
      <c r="H7" s="3">
        <v>0</v>
      </c>
      <c r="I7" s="3">
        <v>0</v>
      </c>
      <c r="J7" s="13"/>
      <c r="X7" s="6">
        <f t="shared" si="1"/>
        <v>46059</v>
      </c>
      <c r="Y7" s="3">
        <f t="shared" si="2"/>
        <v>0.48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6 d.</v>
      </c>
      <c r="D8" s="10">
        <v>46087</v>
      </c>
      <c r="E8" s="10">
        <v>46087</v>
      </c>
      <c r="F8" s="18">
        <f t="shared" si="0"/>
        <v>0</v>
      </c>
      <c r="G8" s="2">
        <v>0.74</v>
      </c>
      <c r="H8" s="2">
        <v>0.45</v>
      </c>
      <c r="I8" s="2">
        <v>0.02</v>
      </c>
      <c r="J8" s="9"/>
      <c r="X8" s="6">
        <f t="shared" si="1"/>
        <v>46062</v>
      </c>
      <c r="Y8" s="3">
        <f t="shared" si="2"/>
        <v>0.71</v>
      </c>
    </row>
    <row r="9" spans="1:26" x14ac:dyDescent="0.25">
      <c r="A9" s="5" t="s">
        <v>9</v>
      </c>
      <c r="B9" s="6">
        <v>45969</v>
      </c>
      <c r="D9" s="10">
        <v>46118</v>
      </c>
      <c r="E9" s="10">
        <v>46118</v>
      </c>
      <c r="F9" s="18">
        <f t="shared" si="0"/>
        <v>0</v>
      </c>
      <c r="G9" s="3">
        <v>0</v>
      </c>
      <c r="H9" s="3">
        <v>0.5</v>
      </c>
      <c r="I9" s="2">
        <v>0.03</v>
      </c>
      <c r="J9" s="13"/>
      <c r="X9" s="6">
        <f t="shared" si="1"/>
        <v>46087</v>
      </c>
      <c r="Y9" s="3">
        <f t="shared" si="2"/>
        <v>1.17</v>
      </c>
    </row>
    <row r="10" spans="1:26" x14ac:dyDescent="0.25">
      <c r="A10" s="5" t="s">
        <v>44</v>
      </c>
      <c r="B10" s="6">
        <v>45967</v>
      </c>
      <c r="D10" s="10">
        <v>46121</v>
      </c>
      <c r="E10" s="10">
        <v>46121</v>
      </c>
      <c r="F10" s="18">
        <f t="shared" si="0"/>
        <v>0</v>
      </c>
      <c r="G10" s="2">
        <v>14.65</v>
      </c>
      <c r="H10" s="3">
        <v>0</v>
      </c>
      <c r="I10" s="3">
        <v>0</v>
      </c>
      <c r="J10" s="13"/>
      <c r="X10" s="6">
        <f t="shared" si="1"/>
        <v>46118</v>
      </c>
      <c r="Y10" s="3">
        <f t="shared" si="2"/>
        <v>0.47</v>
      </c>
    </row>
    <row r="11" spans="1:26" x14ac:dyDescent="0.25">
      <c r="A11" s="5" t="s">
        <v>8</v>
      </c>
      <c r="B11" s="6">
        <v>46126</v>
      </c>
      <c r="D11" s="10">
        <v>46125</v>
      </c>
      <c r="E11" s="10">
        <v>46125</v>
      </c>
      <c r="F11" s="18">
        <f t="shared" si="0"/>
        <v>0</v>
      </c>
      <c r="G11" s="3">
        <v>38.380000000000003</v>
      </c>
      <c r="H11" s="2">
        <v>0.08</v>
      </c>
      <c r="I11" s="3">
        <v>0</v>
      </c>
      <c r="J11" s="13"/>
      <c r="X11" s="6">
        <f t="shared" si="1"/>
        <v>46121</v>
      </c>
      <c r="Y11" s="3">
        <f t="shared" si="2"/>
        <v>14.65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46125</v>
      </c>
      <c r="Y12" s="3">
        <f t="shared" si="2"/>
        <v>38.46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57.83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57.830000000000005</v>
      </c>
      <c r="H53" s="3">
        <f t="shared" ref="H53:I53" si="3">SUM(H3:H52)</f>
        <v>2.56</v>
      </c>
      <c r="I53" s="3">
        <f t="shared" si="3"/>
        <v>0.13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6">
      <formula>$Z$3="+"</formula>
    </cfRule>
  </conditionalFormatting>
  <conditionalFormatting sqref="Z3">
    <cfRule type="expression" dxfId="8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19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20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53</v>
      </c>
      <c r="D3" s="10">
        <v>45968</v>
      </c>
      <c r="E3" s="10">
        <v>45968</v>
      </c>
      <c r="F3" s="18">
        <f t="shared" ref="F3:F52" si="0">IF(E3&gt;0,E3-D3,"")</f>
        <v>0</v>
      </c>
      <c r="G3" s="3">
        <v>0.52</v>
      </c>
      <c r="H3" s="3">
        <v>0.45</v>
      </c>
      <c r="I3" s="3">
        <v>0.02</v>
      </c>
      <c r="J3" s="13"/>
      <c r="K3" s="3">
        <f>G53</f>
        <v>50</v>
      </c>
      <c r="L3" s="3">
        <f>H53</f>
        <v>1.3800000000000001</v>
      </c>
      <c r="M3" s="3">
        <f>I53</f>
        <v>6.9999999999999993E-2</v>
      </c>
      <c r="N3" s="7">
        <f>IF(B16=K3,XIRR(Y3:Y52,X3:X52),"")</f>
        <v>0.10847883820533752</v>
      </c>
      <c r="O3" s="6">
        <f>IF(B16=K3,MAX(E:E),"")</f>
        <v>46104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45938</v>
      </c>
      <c r="Y3" s="3">
        <f>B16*-1</f>
        <v>-50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45998</v>
      </c>
      <c r="E4" s="10">
        <v>45998</v>
      </c>
      <c r="F4" s="18">
        <f t="shared" si="0"/>
        <v>0</v>
      </c>
      <c r="G4" s="3">
        <v>0</v>
      </c>
      <c r="H4" s="2">
        <v>0.45</v>
      </c>
      <c r="I4" s="2">
        <v>0.02</v>
      </c>
      <c r="J4" s="9"/>
      <c r="X4" s="6">
        <f>E3</f>
        <v>45968</v>
      </c>
      <c r="Y4" s="3">
        <f>G3+H3-I3</f>
        <v>0.95</v>
      </c>
    </row>
    <row r="5" spans="1:26" x14ac:dyDescent="0.25">
      <c r="A5" s="5"/>
      <c r="B5" s="6"/>
      <c r="D5" s="10">
        <v>45999</v>
      </c>
      <c r="E5" s="10">
        <v>45999</v>
      </c>
      <c r="F5" s="18">
        <f t="shared" si="0"/>
        <v>0</v>
      </c>
      <c r="G5" s="2">
        <v>17.010000000000002</v>
      </c>
      <c r="H5" s="3">
        <v>0</v>
      </c>
      <c r="I5" s="3">
        <v>0</v>
      </c>
      <c r="J5" s="9"/>
      <c r="X5" s="6">
        <f t="shared" ref="X5:X52" si="1">E4</f>
        <v>45998</v>
      </c>
      <c r="Y5" s="3">
        <f t="shared" ref="Y5:Y52" si="2">G4+H4-I4</f>
        <v>0.43</v>
      </c>
    </row>
    <row r="6" spans="1:26" x14ac:dyDescent="0.25">
      <c r="A6" s="5"/>
      <c r="B6" s="6"/>
      <c r="D6" s="10">
        <v>46029</v>
      </c>
      <c r="E6" s="10">
        <v>46029</v>
      </c>
      <c r="F6" s="18">
        <f t="shared" si="0"/>
        <v>0</v>
      </c>
      <c r="G6" s="3">
        <v>20.95</v>
      </c>
      <c r="H6" s="3">
        <v>0.3</v>
      </c>
      <c r="I6" s="2">
        <v>0.02</v>
      </c>
      <c r="J6" s="9"/>
      <c r="X6" s="6">
        <f t="shared" si="1"/>
        <v>45999</v>
      </c>
      <c r="Y6" s="3">
        <f t="shared" si="2"/>
        <v>17.010000000000002</v>
      </c>
    </row>
    <row r="7" spans="1:26" x14ac:dyDescent="0.25">
      <c r="A7" s="5"/>
      <c r="B7" s="6"/>
      <c r="D7" s="10">
        <v>46060</v>
      </c>
      <c r="E7" s="10">
        <v>46060</v>
      </c>
      <c r="F7" s="18">
        <f t="shared" si="0"/>
        <v>0</v>
      </c>
      <c r="G7" s="3">
        <v>0</v>
      </c>
      <c r="H7" s="2">
        <v>0.11</v>
      </c>
      <c r="I7" s="3">
        <v>0.01</v>
      </c>
      <c r="J7" s="13"/>
      <c r="X7" s="6">
        <f t="shared" si="1"/>
        <v>46029</v>
      </c>
      <c r="Y7" s="3">
        <f t="shared" si="2"/>
        <v>21.23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15 d.</v>
      </c>
      <c r="D8" s="10">
        <v>46063</v>
      </c>
      <c r="E8" s="10">
        <v>46063</v>
      </c>
      <c r="F8" s="18">
        <f t="shared" si="0"/>
        <v>0</v>
      </c>
      <c r="G8" s="2">
        <v>6.05</v>
      </c>
      <c r="H8" s="3">
        <v>0</v>
      </c>
      <c r="I8" s="3">
        <v>0</v>
      </c>
      <c r="J8" s="9"/>
      <c r="X8" s="6">
        <f t="shared" si="1"/>
        <v>46060</v>
      </c>
      <c r="Y8" s="3">
        <f t="shared" si="2"/>
        <v>0.1</v>
      </c>
    </row>
    <row r="9" spans="1:26" x14ac:dyDescent="0.25">
      <c r="A9" s="5" t="s">
        <v>9</v>
      </c>
      <c r="B9" s="6">
        <v>45938</v>
      </c>
      <c r="D9" s="10">
        <v>46088</v>
      </c>
      <c r="E9" s="10">
        <v>46088</v>
      </c>
      <c r="F9" s="18">
        <f t="shared" si="0"/>
        <v>0</v>
      </c>
      <c r="G9" s="3">
        <v>0</v>
      </c>
      <c r="H9" s="2">
        <v>0.05</v>
      </c>
      <c r="I9" s="3">
        <v>0</v>
      </c>
      <c r="J9" s="13"/>
      <c r="X9" s="6">
        <f t="shared" si="1"/>
        <v>46063</v>
      </c>
      <c r="Y9" s="3">
        <f t="shared" si="2"/>
        <v>6.05</v>
      </c>
    </row>
    <row r="10" spans="1:26" x14ac:dyDescent="0.25">
      <c r="A10" s="5" t="s">
        <v>44</v>
      </c>
      <c r="B10" s="6">
        <v>45937</v>
      </c>
      <c r="D10" s="10">
        <v>46103</v>
      </c>
      <c r="E10" s="10">
        <v>46103</v>
      </c>
      <c r="F10" s="18">
        <f t="shared" si="0"/>
        <v>0</v>
      </c>
      <c r="G10" s="3">
        <v>0</v>
      </c>
      <c r="H10" s="3">
        <v>0.02</v>
      </c>
      <c r="I10" s="3">
        <v>0</v>
      </c>
      <c r="J10" s="13"/>
      <c r="X10" s="6">
        <f t="shared" si="1"/>
        <v>46088</v>
      </c>
      <c r="Y10" s="3">
        <f t="shared" si="2"/>
        <v>0.05</v>
      </c>
    </row>
    <row r="11" spans="1:26" x14ac:dyDescent="0.25">
      <c r="A11" s="5" t="s">
        <v>8</v>
      </c>
      <c r="B11" s="6">
        <v>46104</v>
      </c>
      <c r="D11" s="10">
        <v>46104</v>
      </c>
      <c r="E11" s="10">
        <v>46104</v>
      </c>
      <c r="F11" s="18">
        <f t="shared" si="0"/>
        <v>0</v>
      </c>
      <c r="G11" s="2">
        <v>5.47</v>
      </c>
      <c r="H11" s="3">
        <v>0</v>
      </c>
      <c r="I11" s="3">
        <v>0</v>
      </c>
      <c r="J11" s="13"/>
      <c r="X11" s="6">
        <f t="shared" si="1"/>
        <v>46103</v>
      </c>
      <c r="Y11" s="3">
        <f t="shared" si="2"/>
        <v>0.02</v>
      </c>
    </row>
    <row r="12" spans="1:26" x14ac:dyDescent="0.25">
      <c r="A12" s="5" t="s">
        <v>45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46104</v>
      </c>
      <c r="Y12" s="3">
        <f t="shared" si="2"/>
        <v>5.47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50</v>
      </c>
      <c r="H53" s="3">
        <f t="shared" ref="H53:I53" si="3">SUM(H3:H52)</f>
        <v>1.3800000000000001</v>
      </c>
      <c r="I53" s="3">
        <f t="shared" si="3"/>
        <v>6.9999999999999993E-2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3">
      <formula>$Z$3="+"</formula>
    </cfRule>
  </conditionalFormatting>
  <conditionalFormatting sqref="Z3">
    <cfRule type="expression" dxfId="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>
      <selection activeCell="L4" sqref="L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39</v>
      </c>
      <c r="B1" s="6" t="s">
        <v>16</v>
      </c>
      <c r="D1" s="27" t="s">
        <v>2</v>
      </c>
      <c r="E1" s="28"/>
      <c r="F1" s="29"/>
      <c r="G1" s="27" t="s">
        <v>0</v>
      </c>
      <c r="H1" s="28"/>
      <c r="I1" s="29"/>
      <c r="J1" s="17"/>
      <c r="K1" s="27" t="s">
        <v>37</v>
      </c>
      <c r="L1" s="28"/>
      <c r="M1" s="28"/>
      <c r="N1" s="28"/>
      <c r="O1" s="28"/>
      <c r="P1" s="28"/>
      <c r="Q1" s="29"/>
      <c r="X1" s="27"/>
      <c r="Y1" s="28"/>
      <c r="Z1" s="29"/>
    </row>
    <row r="2" spans="1:26" x14ac:dyDescent="0.25">
      <c r="A2" s="5" t="s">
        <v>17</v>
      </c>
      <c r="B2" s="6" t="s">
        <v>18</v>
      </c>
      <c r="D2" s="11" t="s">
        <v>35</v>
      </c>
      <c r="E2" s="11" t="s">
        <v>36</v>
      </c>
      <c r="F2" s="16" t="s">
        <v>40</v>
      </c>
      <c r="G2" s="11" t="s">
        <v>13</v>
      </c>
      <c r="H2" s="11" t="s">
        <v>14</v>
      </c>
      <c r="I2" s="11" t="s">
        <v>23</v>
      </c>
      <c r="J2" s="9"/>
      <c r="K2" s="11" t="s">
        <v>0</v>
      </c>
      <c r="L2" s="11" t="s">
        <v>1</v>
      </c>
      <c r="M2" s="11" t="s">
        <v>38</v>
      </c>
      <c r="N2" s="11" t="s">
        <v>33</v>
      </c>
      <c r="O2" s="11" t="s">
        <v>2</v>
      </c>
      <c r="P2" s="11" t="s">
        <v>41</v>
      </c>
      <c r="Q2" s="11" t="s">
        <v>40</v>
      </c>
      <c r="X2" s="11" t="s">
        <v>2</v>
      </c>
      <c r="Y2" s="11" t="s">
        <v>34</v>
      </c>
      <c r="Z2" s="11" t="s">
        <v>41</v>
      </c>
    </row>
    <row r="3" spans="1:26" x14ac:dyDescent="0.25">
      <c r="A3" s="5" t="s">
        <v>42</v>
      </c>
      <c r="B3" s="6" t="s">
        <v>54</v>
      </c>
      <c r="D3" s="10">
        <v>45968</v>
      </c>
      <c r="E3" s="10">
        <v>45968</v>
      </c>
      <c r="F3" s="18">
        <f t="shared" ref="F3:F52" si="0">IF(E3&gt;0,E3-D3,"")</f>
        <v>0</v>
      </c>
      <c r="G3" s="3">
        <v>6.45</v>
      </c>
      <c r="H3" s="3">
        <v>0.45</v>
      </c>
      <c r="I3" s="3">
        <v>0.02</v>
      </c>
      <c r="J3" s="13"/>
      <c r="K3" s="3">
        <f>G53</f>
        <v>50</v>
      </c>
      <c r="L3" s="3">
        <f>H53</f>
        <v>1.82</v>
      </c>
      <c r="M3" s="3">
        <f>I53</f>
        <v>8.9999999999999983E-2</v>
      </c>
      <c r="N3" s="7">
        <f>IF(B16=K3,XIRR(Y3:Y52,X3:X52),"")</f>
        <v>0.10881847739219666</v>
      </c>
      <c r="O3" s="6">
        <f>IF(B16=K3,MAX(E:E),"")</f>
        <v>46115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45938</v>
      </c>
      <c r="Y3" s="3">
        <f>B16*-1</f>
        <v>-50</v>
      </c>
      <c r="Z3" s="2" t="str">
        <f ca="1">IF(AND(TODAY()&gt;B11, K3&lt;&gt;B16), "+", "")</f>
        <v/>
      </c>
    </row>
    <row r="4" spans="1:26" x14ac:dyDescent="0.25">
      <c r="A4" s="5" t="s">
        <v>43</v>
      </c>
      <c r="B4" s="6" t="s">
        <v>47</v>
      </c>
      <c r="D4" s="10">
        <v>45998</v>
      </c>
      <c r="E4" s="10">
        <v>45998</v>
      </c>
      <c r="F4" s="18">
        <f t="shared" si="0"/>
        <v>0</v>
      </c>
      <c r="G4" s="3">
        <v>0</v>
      </c>
      <c r="H4" s="2">
        <v>0.39</v>
      </c>
      <c r="I4" s="2">
        <v>0.02</v>
      </c>
      <c r="J4" s="9"/>
      <c r="X4" s="6">
        <f>E3</f>
        <v>45968</v>
      </c>
      <c r="Y4" s="3">
        <f>G3+H3-I3</f>
        <v>6.8800000000000008</v>
      </c>
    </row>
    <row r="5" spans="1:26" x14ac:dyDescent="0.25">
      <c r="A5" s="5"/>
      <c r="B5" s="6"/>
      <c r="D5" s="10">
        <v>45999</v>
      </c>
      <c r="E5" s="10">
        <v>45999</v>
      </c>
      <c r="F5" s="18">
        <f t="shared" si="0"/>
        <v>0</v>
      </c>
      <c r="G5" s="2">
        <v>11.61</v>
      </c>
      <c r="H5" s="3">
        <v>0</v>
      </c>
      <c r="I5" s="3">
        <v>0</v>
      </c>
      <c r="J5" s="9"/>
      <c r="X5" s="6">
        <f t="shared" ref="X5:X52" si="1">E4</f>
        <v>45998</v>
      </c>
      <c r="Y5" s="3">
        <f t="shared" ref="Y5:Y52" si="2">G4+H4-I4</f>
        <v>0.37</v>
      </c>
    </row>
    <row r="6" spans="1:26" x14ac:dyDescent="0.25">
      <c r="A6" s="5"/>
      <c r="B6" s="6"/>
      <c r="D6" s="10">
        <v>46029</v>
      </c>
      <c r="E6" s="10">
        <v>46029</v>
      </c>
      <c r="F6" s="18">
        <f t="shared" si="0"/>
        <v>0</v>
      </c>
      <c r="G6" s="3">
        <v>0</v>
      </c>
      <c r="H6" s="3">
        <v>0.3</v>
      </c>
      <c r="I6" s="2">
        <v>0.02</v>
      </c>
      <c r="J6" s="9"/>
      <c r="X6" s="6">
        <f t="shared" si="1"/>
        <v>45999</v>
      </c>
      <c r="Y6" s="3">
        <f t="shared" si="2"/>
        <v>11.61</v>
      </c>
    </row>
    <row r="7" spans="1:26" x14ac:dyDescent="0.25">
      <c r="A7" s="5"/>
      <c r="B7" s="6"/>
      <c r="D7" s="10">
        <v>46032</v>
      </c>
      <c r="E7" s="10">
        <v>46032</v>
      </c>
      <c r="F7" s="18">
        <f t="shared" si="0"/>
        <v>0</v>
      </c>
      <c r="G7" s="3">
        <v>3.19</v>
      </c>
      <c r="H7" s="3">
        <v>0</v>
      </c>
      <c r="I7" s="3">
        <v>0</v>
      </c>
      <c r="J7" s="13"/>
      <c r="X7" s="6">
        <f t="shared" si="1"/>
        <v>46029</v>
      </c>
      <c r="Y7" s="3">
        <f t="shared" si="2"/>
        <v>0.27999999999999997</v>
      </c>
    </row>
    <row r="8" spans="1:26" x14ac:dyDescent="0.25">
      <c r="A8" s="5" t="s">
        <v>21</v>
      </c>
      <c r="B8" s="6" t="str">
        <f>DATEDIF(B9,B11,"y") &amp; " m. " &amp; DATEDIF(B9,B11,"ym") &amp; " mėn. " &amp; DATEDIF(B9,B11,"md") &amp; " d."</f>
        <v>0 m. 5 mėn. 26 d.</v>
      </c>
      <c r="D8" s="10">
        <v>46060</v>
      </c>
      <c r="E8" s="10">
        <v>46060</v>
      </c>
      <c r="F8" s="18">
        <f t="shared" si="0"/>
        <v>0</v>
      </c>
      <c r="G8" s="3">
        <v>0</v>
      </c>
      <c r="H8" s="2">
        <v>0.27</v>
      </c>
      <c r="I8" s="2">
        <v>0.01</v>
      </c>
      <c r="J8" s="9"/>
      <c r="X8" s="6">
        <f t="shared" si="1"/>
        <v>46032</v>
      </c>
      <c r="Y8" s="3">
        <f t="shared" si="2"/>
        <v>3.19</v>
      </c>
    </row>
    <row r="9" spans="1:26" x14ac:dyDescent="0.25">
      <c r="A9" s="5" t="s">
        <v>9</v>
      </c>
      <c r="B9" s="6">
        <v>45938</v>
      </c>
      <c r="D9" s="10">
        <v>46068</v>
      </c>
      <c r="E9" s="10">
        <v>46068</v>
      </c>
      <c r="F9" s="18">
        <f t="shared" si="0"/>
        <v>0</v>
      </c>
      <c r="G9" s="2">
        <v>3.32</v>
      </c>
      <c r="H9" s="3">
        <v>0</v>
      </c>
      <c r="I9" s="3">
        <v>0</v>
      </c>
      <c r="J9" s="13"/>
      <c r="X9" s="6">
        <f t="shared" si="1"/>
        <v>46060</v>
      </c>
      <c r="Y9" s="3">
        <f t="shared" si="2"/>
        <v>0.26</v>
      </c>
    </row>
    <row r="10" spans="1:26" x14ac:dyDescent="0.25">
      <c r="A10" s="5" t="s">
        <v>44</v>
      </c>
      <c r="B10" s="6">
        <v>45937</v>
      </c>
      <c r="D10" s="10">
        <v>46088</v>
      </c>
      <c r="E10" s="10">
        <v>46088</v>
      </c>
      <c r="F10" s="18">
        <f t="shared" si="0"/>
        <v>0</v>
      </c>
      <c r="G10" s="3">
        <v>0</v>
      </c>
      <c r="H10" s="2">
        <v>0.22</v>
      </c>
      <c r="I10" s="2">
        <v>0.01</v>
      </c>
      <c r="J10" s="13"/>
      <c r="X10" s="6">
        <f t="shared" si="1"/>
        <v>46068</v>
      </c>
      <c r="Y10" s="3">
        <f t="shared" si="2"/>
        <v>3.32</v>
      </c>
    </row>
    <row r="11" spans="1:26" x14ac:dyDescent="0.25">
      <c r="A11" s="5" t="s">
        <v>8</v>
      </c>
      <c r="B11" s="6">
        <v>46115</v>
      </c>
      <c r="D11" s="10">
        <v>46096</v>
      </c>
      <c r="E11" s="10">
        <v>46096</v>
      </c>
      <c r="F11" s="18">
        <f t="shared" si="0"/>
        <v>0</v>
      </c>
      <c r="G11" s="2">
        <v>2.46</v>
      </c>
      <c r="H11" s="3">
        <v>0</v>
      </c>
      <c r="I11" s="3">
        <v>0</v>
      </c>
      <c r="J11" s="13"/>
      <c r="X11" s="6">
        <f t="shared" si="1"/>
        <v>46088</v>
      </c>
      <c r="Y11" s="3">
        <f t="shared" si="2"/>
        <v>0.21</v>
      </c>
    </row>
    <row r="12" spans="1:26" x14ac:dyDescent="0.25">
      <c r="A12" s="5" t="s">
        <v>45</v>
      </c>
      <c r="B12" s="18" t="str">
        <f ca="1">IF(B16&lt;&gt;K3,(TODAY()-B11)*-1,"")</f>
        <v/>
      </c>
      <c r="D12" s="10">
        <v>46114</v>
      </c>
      <c r="E12" s="10">
        <v>46114</v>
      </c>
      <c r="F12" s="18">
        <f t="shared" si="0"/>
        <v>0</v>
      </c>
      <c r="G12" s="3">
        <v>0</v>
      </c>
      <c r="H12" s="2">
        <v>0.19</v>
      </c>
      <c r="I12" s="2">
        <v>0.01</v>
      </c>
      <c r="J12" s="13"/>
      <c r="X12" s="6">
        <f t="shared" si="1"/>
        <v>46096</v>
      </c>
      <c r="Y12" s="3">
        <f t="shared" si="2"/>
        <v>2.46</v>
      </c>
    </row>
    <row r="13" spans="1:26" x14ac:dyDescent="0.25">
      <c r="A13" s="5"/>
      <c r="B13" s="3"/>
      <c r="D13" s="10">
        <v>46115</v>
      </c>
      <c r="E13" s="10">
        <v>46115</v>
      </c>
      <c r="F13" s="18">
        <f t="shared" si="0"/>
        <v>0</v>
      </c>
      <c r="G13" s="2">
        <v>22.97</v>
      </c>
      <c r="H13" s="3">
        <v>0</v>
      </c>
      <c r="I13" s="3">
        <v>0</v>
      </c>
      <c r="J13" s="13"/>
      <c r="N13" s="15"/>
      <c r="X13" s="6">
        <f t="shared" si="1"/>
        <v>46114</v>
      </c>
      <c r="Y13" s="3">
        <f t="shared" si="2"/>
        <v>0.18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46115</v>
      </c>
      <c r="Y14" s="3">
        <f t="shared" si="2"/>
        <v>22.97</v>
      </c>
    </row>
    <row r="15" spans="1:26" x14ac:dyDescent="0.25">
      <c r="A15" s="5" t="s">
        <v>1</v>
      </c>
      <c r="B15" s="7">
        <v>0.11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46</v>
      </c>
      <c r="B16" s="3">
        <v>50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50</v>
      </c>
      <c r="H53" s="3">
        <f t="shared" ref="H53:I53" si="3">SUM(H3:H52)</f>
        <v>1.82</v>
      </c>
      <c r="I53" s="3">
        <f t="shared" si="3"/>
        <v>8.9999999999999983E-2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Overview</vt:lpstr>
      <vt:lpstr>Pinigai</vt:lpstr>
      <vt:lpstr>LVX0000V2GD7</vt:lpstr>
      <vt:lpstr>LVX0000USE62</vt:lpstr>
      <vt:lpstr>LVX0000UNB86</vt:lpstr>
      <vt:lpstr>LVX0000U8E70</vt:lpstr>
      <vt:lpstr>LVX0000TWW26</vt:lpstr>
      <vt:lpstr>LVX0000TKSY9</vt:lpstr>
      <vt:lpstr>LVX0000TK694</vt:lpstr>
      <vt:lpstr>LVX0000T5YE5</vt:lpstr>
      <vt:lpstr>LVX0000SFML1</vt:lpstr>
      <vt:lpstr>LVX0000RLIY2</vt:lpstr>
      <vt:lpstr>LVX0000QU0F1</vt:lpstr>
      <vt:lpstr>LVX0000PXSI3</vt:lpstr>
      <vt:lpstr>LVX0000PK205</vt:lpstr>
      <vt:lpstr>LVX0000PRFL6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2026-07-26T15:55:14Z</dcterms:modified>
</cp:coreProperties>
</file>