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"/>
    </mc:Choice>
  </mc:AlternateContent>
  <xr:revisionPtr revIDLastSave="0" documentId="13_ncr:1_{228EB3BC-823C-4A07-8EC4-DE0A9DDEA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stavima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7" l="1"/>
  <c r="D21" i="7" l="1"/>
  <c r="G21" i="7"/>
  <c r="J21" i="7"/>
  <c r="M21" i="7"/>
  <c r="P21" i="7"/>
  <c r="S21" i="7"/>
  <c r="V21" i="7"/>
  <c r="Y21" i="7"/>
  <c r="AD21" i="7"/>
  <c r="AE21" i="7"/>
  <c r="AF21" i="7" s="1"/>
  <c r="AG21" i="7"/>
  <c r="AL21" i="7"/>
  <c r="AM21" i="7"/>
  <c r="AO21" i="7"/>
  <c r="AT21" i="7"/>
  <c r="BB21" i="7"/>
  <c r="BC21" i="7"/>
  <c r="BD21" i="7"/>
  <c r="BE21" i="7"/>
  <c r="BF21" i="7"/>
  <c r="BG21" i="7"/>
  <c r="BH21" i="7"/>
  <c r="BI21" i="7"/>
  <c r="BJ21" i="7"/>
  <c r="BK21" i="7"/>
  <c r="Y20" i="7"/>
  <c r="AP21" i="7" l="1"/>
  <c r="AQ21" i="7" s="1"/>
  <c r="AH21" i="7"/>
  <c r="AI21" i="7" s="1"/>
  <c r="AU21" i="7"/>
  <c r="AW21" i="7"/>
  <c r="D20" i="7"/>
  <c r="G20" i="7"/>
  <c r="J20" i="7"/>
  <c r="M20" i="7"/>
  <c r="P20" i="7"/>
  <c r="S20" i="7"/>
  <c r="V20" i="7"/>
  <c r="AD20" i="7"/>
  <c r="AE20" i="7"/>
  <c r="AF20" i="7" s="1"/>
  <c r="AG20" i="7"/>
  <c r="AL20" i="7"/>
  <c r="AM20" i="7"/>
  <c r="AN21" i="7" s="1"/>
  <c r="AO20" i="7"/>
  <c r="AT20" i="7"/>
  <c r="BB20" i="7"/>
  <c r="BC20" i="7"/>
  <c r="BD20" i="7"/>
  <c r="BE20" i="7"/>
  <c r="BF20" i="7"/>
  <c r="BG20" i="7"/>
  <c r="BH20" i="7"/>
  <c r="BI20" i="7"/>
  <c r="BJ20" i="7"/>
  <c r="BK20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4" i="7"/>
  <c r="BJ3" i="7"/>
  <c r="AO3" i="7"/>
  <c r="AO4" i="7"/>
  <c r="AO5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M3" i="7"/>
  <c r="AN3" i="7" s="1"/>
  <c r="AM4" i="7"/>
  <c r="AM5" i="7"/>
  <c r="AM6" i="7"/>
  <c r="AM7" i="7"/>
  <c r="AM8" i="7"/>
  <c r="AN8" i="7" s="1"/>
  <c r="AM9" i="7"/>
  <c r="AM10" i="7"/>
  <c r="AM11" i="7"/>
  <c r="AM12" i="7"/>
  <c r="AN12" i="7" s="1"/>
  <c r="AM13" i="7"/>
  <c r="AM14" i="7"/>
  <c r="AM15" i="7"/>
  <c r="AM16" i="7"/>
  <c r="AM17" i="7"/>
  <c r="AM18" i="7"/>
  <c r="BJ2" i="7"/>
  <c r="AO19" i="7"/>
  <c r="AM19" i="7"/>
  <c r="BI5" i="7"/>
  <c r="BI6" i="7"/>
  <c r="BI7" i="7"/>
  <c r="BI8" i="7"/>
  <c r="BI9" i="7"/>
  <c r="BI10" i="7"/>
  <c r="BI11" i="7"/>
  <c r="BI12" i="7"/>
  <c r="BI13" i="7"/>
  <c r="BI14" i="7"/>
  <c r="BI15" i="7"/>
  <c r="BI16" i="7"/>
  <c r="BI17" i="7"/>
  <c r="BI18" i="7"/>
  <c r="BI19" i="7"/>
  <c r="BI4" i="7"/>
  <c r="BI3" i="7"/>
  <c r="BI2" i="7"/>
  <c r="BH2" i="7"/>
  <c r="AN16" i="7"/>
  <c r="V19" i="7"/>
  <c r="V18" i="7"/>
  <c r="V17" i="7"/>
  <c r="V16" i="7"/>
  <c r="D19" i="7"/>
  <c r="G19" i="7"/>
  <c r="J19" i="7"/>
  <c r="M19" i="7"/>
  <c r="P19" i="7"/>
  <c r="S19" i="7"/>
  <c r="AD19" i="7"/>
  <c r="AE19" i="7"/>
  <c r="AF19" i="7" s="1"/>
  <c r="AG19" i="7"/>
  <c r="AL19" i="7"/>
  <c r="AT19" i="7"/>
  <c r="BB19" i="7"/>
  <c r="BC19" i="7"/>
  <c r="BD19" i="7"/>
  <c r="BE19" i="7"/>
  <c r="BF19" i="7"/>
  <c r="BG19" i="7"/>
  <c r="BH19" i="7"/>
  <c r="BK19" i="7"/>
  <c r="D18" i="7"/>
  <c r="G18" i="7"/>
  <c r="J18" i="7"/>
  <c r="M18" i="7"/>
  <c r="P18" i="7"/>
  <c r="S18" i="7"/>
  <c r="AD18" i="7"/>
  <c r="AE18" i="7"/>
  <c r="AF18" i="7" s="1"/>
  <c r="AG18" i="7"/>
  <c r="AL18" i="7"/>
  <c r="AT18" i="7"/>
  <c r="BB18" i="7"/>
  <c r="BC18" i="7"/>
  <c r="BD18" i="7"/>
  <c r="BE18" i="7"/>
  <c r="BF18" i="7"/>
  <c r="BG18" i="7"/>
  <c r="BH18" i="7"/>
  <c r="BK18" i="7"/>
  <c r="D17" i="7"/>
  <c r="G17" i="7"/>
  <c r="J17" i="7"/>
  <c r="M17" i="7"/>
  <c r="P17" i="7"/>
  <c r="S17" i="7"/>
  <c r="AD17" i="7"/>
  <c r="AE17" i="7"/>
  <c r="AG17" i="7"/>
  <c r="AL17" i="7"/>
  <c r="AT17" i="7"/>
  <c r="BB17" i="7"/>
  <c r="BC17" i="7"/>
  <c r="BD17" i="7"/>
  <c r="BE17" i="7"/>
  <c r="BF17" i="7"/>
  <c r="BG17" i="7"/>
  <c r="BH17" i="7"/>
  <c r="BK17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3" i="7"/>
  <c r="AG4" i="7"/>
  <c r="AG5" i="7"/>
  <c r="AW5" i="7" s="1"/>
  <c r="AG6" i="7"/>
  <c r="AW6" i="7" s="1"/>
  <c r="AG7" i="7"/>
  <c r="AG8" i="7"/>
  <c r="AG9" i="7"/>
  <c r="AG10" i="7"/>
  <c r="AG11" i="7"/>
  <c r="AG12" i="7"/>
  <c r="AG13" i="7"/>
  <c r="AG14" i="7"/>
  <c r="AG15" i="7"/>
  <c r="AG16" i="7"/>
  <c r="AG3" i="7"/>
  <c r="AE4" i="7"/>
  <c r="AE5" i="7"/>
  <c r="AE6" i="7"/>
  <c r="AF6" i="7" s="1"/>
  <c r="AE7" i="7"/>
  <c r="AU7" i="7" s="1"/>
  <c r="AE8" i="7"/>
  <c r="AE9" i="7"/>
  <c r="AE10" i="7"/>
  <c r="AF10" i="7" s="1"/>
  <c r="AE11" i="7"/>
  <c r="AU11" i="7" s="1"/>
  <c r="AE12" i="7"/>
  <c r="AE13" i="7"/>
  <c r="AE14" i="7"/>
  <c r="AF14" i="7" s="1"/>
  <c r="AE15" i="7"/>
  <c r="AU15" i="7" s="1"/>
  <c r="AE16" i="7"/>
  <c r="AE3" i="7"/>
  <c r="AF3" i="7" s="1"/>
  <c r="D16" i="7"/>
  <c r="G16" i="7"/>
  <c r="J16" i="7"/>
  <c r="M16" i="7"/>
  <c r="P16" i="7"/>
  <c r="S16" i="7"/>
  <c r="AD16" i="7"/>
  <c r="BB16" i="7"/>
  <c r="BC16" i="7"/>
  <c r="BD16" i="7"/>
  <c r="BE16" i="7"/>
  <c r="BF16" i="7"/>
  <c r="BG16" i="7"/>
  <c r="BH16" i="7"/>
  <c r="BK16" i="7"/>
  <c r="AW10" i="7" l="1"/>
  <c r="AW14" i="7"/>
  <c r="AW13" i="7"/>
  <c r="AW9" i="7"/>
  <c r="AN20" i="7"/>
  <c r="AJ21" i="7"/>
  <c r="AX21" i="7"/>
  <c r="AP20" i="7"/>
  <c r="AQ20" i="7" s="1"/>
  <c r="AU20" i="7"/>
  <c r="AW20" i="7"/>
  <c r="AH20" i="7"/>
  <c r="AW16" i="7"/>
  <c r="AW12" i="7"/>
  <c r="AW8" i="7"/>
  <c r="AW4" i="7"/>
  <c r="AW15" i="7"/>
  <c r="AW11" i="7"/>
  <c r="AW7" i="7"/>
  <c r="AN9" i="7"/>
  <c r="AU4" i="7"/>
  <c r="AN13" i="7"/>
  <c r="AN5" i="7"/>
  <c r="AW3" i="7"/>
  <c r="AU13" i="7"/>
  <c r="AU9" i="7"/>
  <c r="AU5" i="7"/>
  <c r="AN17" i="7"/>
  <c r="AN19" i="7"/>
  <c r="AU10" i="7"/>
  <c r="AU3" i="7"/>
  <c r="AN18" i="7"/>
  <c r="AU14" i="7"/>
  <c r="AU6" i="7"/>
  <c r="AF16" i="7"/>
  <c r="AF12" i="7"/>
  <c r="AF8" i="7"/>
  <c r="AU16" i="7"/>
  <c r="AU12" i="7"/>
  <c r="AU8" i="7"/>
  <c r="AF17" i="7"/>
  <c r="AW19" i="7"/>
  <c r="AU19" i="7"/>
  <c r="AH19" i="7"/>
  <c r="AI19" i="7" s="1"/>
  <c r="AP19" i="7"/>
  <c r="AW18" i="7"/>
  <c r="AU18" i="7"/>
  <c r="AP18" i="7"/>
  <c r="AH18" i="7"/>
  <c r="AP17" i="7"/>
  <c r="AW17" i="7"/>
  <c r="AH17" i="7"/>
  <c r="AI17" i="7" s="1"/>
  <c r="AU17" i="7"/>
  <c r="AF13" i="7"/>
  <c r="AF9" i="7"/>
  <c r="AF5" i="7"/>
  <c r="AN14" i="7"/>
  <c r="AN10" i="7"/>
  <c r="AN7" i="7"/>
  <c r="AN15" i="7"/>
  <c r="AN11" i="7"/>
  <c r="AF15" i="7"/>
  <c r="AF11" i="7"/>
  <c r="AF7" i="7"/>
  <c r="AN6" i="7"/>
  <c r="AH16" i="7"/>
  <c r="AV20" i="7" l="1"/>
  <c r="AR21" i="7"/>
  <c r="AV21" i="7"/>
  <c r="AZ21" i="7"/>
  <c r="AY21" i="7"/>
  <c r="AX20" i="7"/>
  <c r="AY20" i="7" s="1"/>
  <c r="AR20" i="7"/>
  <c r="AJ20" i="7"/>
  <c r="AI20" i="7"/>
  <c r="AV17" i="7"/>
  <c r="AV18" i="7"/>
  <c r="AV19" i="7"/>
  <c r="AX19" i="7"/>
  <c r="AJ19" i="7"/>
  <c r="AR19" i="7"/>
  <c r="AQ19" i="7"/>
  <c r="AX18" i="7"/>
  <c r="AY18" i="7" s="1"/>
  <c r="AI18" i="7"/>
  <c r="AJ18" i="7"/>
  <c r="AQ18" i="7"/>
  <c r="AR18" i="7"/>
  <c r="AQ17" i="7"/>
  <c r="AX17" i="7"/>
  <c r="AY17" i="7" s="1"/>
  <c r="AJ17" i="7"/>
  <c r="AI16" i="7"/>
  <c r="AX16" i="7" s="1"/>
  <c r="AZ20" i="7" l="1"/>
  <c r="AZ19" i="7"/>
  <c r="AY19" i="7"/>
  <c r="AZ18" i="7"/>
  <c r="AZ17" i="7"/>
  <c r="AY16" i="7"/>
  <c r="BK5" i="7"/>
  <c r="BK6" i="7"/>
  <c r="BK7" i="7"/>
  <c r="BK8" i="7"/>
  <c r="BK9" i="7"/>
  <c r="BK10" i="7"/>
  <c r="BK11" i="7"/>
  <c r="BK12" i="7"/>
  <c r="BK13" i="7"/>
  <c r="BK14" i="7"/>
  <c r="BK15" i="7"/>
  <c r="BK4" i="7"/>
  <c r="BK3" i="7"/>
  <c r="BK2" i="7"/>
  <c r="AP16" i="7"/>
  <c r="AR17" i="7" s="1"/>
  <c r="AQ16" i="7" l="1"/>
  <c r="D15" i="7"/>
  <c r="G15" i="7"/>
  <c r="J15" i="7"/>
  <c r="M15" i="7"/>
  <c r="P15" i="7"/>
  <c r="S15" i="7"/>
  <c r="AD15" i="7"/>
  <c r="BB15" i="7"/>
  <c r="BC15" i="7"/>
  <c r="BD15" i="7"/>
  <c r="BE15" i="7"/>
  <c r="BF15" i="7"/>
  <c r="BG15" i="7"/>
  <c r="BH15" i="7"/>
  <c r="BH3" i="7"/>
  <c r="BG3" i="7"/>
  <c r="BF3" i="7"/>
  <c r="BE3" i="7"/>
  <c r="BD3" i="7"/>
  <c r="BC3" i="7"/>
  <c r="AD4" i="7"/>
  <c r="AD5" i="7"/>
  <c r="AD6" i="7"/>
  <c r="AD7" i="7"/>
  <c r="AD8" i="7"/>
  <c r="AD9" i="7"/>
  <c r="AD10" i="7"/>
  <c r="AD11" i="7"/>
  <c r="AD12" i="7"/>
  <c r="AD13" i="7"/>
  <c r="AD14" i="7"/>
  <c r="AD3" i="7"/>
  <c r="AH9" i="7" l="1"/>
  <c r="AI9" i="7" s="1"/>
  <c r="AH5" i="7"/>
  <c r="AH15" i="7"/>
  <c r="AH14" i="7"/>
  <c r="AI14" i="7" s="1"/>
  <c r="AH8" i="7"/>
  <c r="AI8" i="7" s="1"/>
  <c r="AH13" i="7"/>
  <c r="AI13" i="7" s="1"/>
  <c r="AH11" i="7"/>
  <c r="AI11" i="7" s="1"/>
  <c r="AH6" i="7"/>
  <c r="AH4" i="7"/>
  <c r="AH12" i="7"/>
  <c r="AH10" i="7"/>
  <c r="AH7" i="7"/>
  <c r="AI5" i="7" l="1"/>
  <c r="AV5" i="7"/>
  <c r="AI4" i="7"/>
  <c r="AV7" i="7"/>
  <c r="AJ6" i="7"/>
  <c r="AV16" i="7"/>
  <c r="AJ10" i="7"/>
  <c r="AJ7" i="7"/>
  <c r="AJ9" i="7"/>
  <c r="AI15" i="7"/>
  <c r="AJ16" i="7"/>
  <c r="AI6" i="7"/>
  <c r="AX6" i="7" s="1"/>
  <c r="AJ14" i="7"/>
  <c r="AJ15" i="7"/>
  <c r="AJ12" i="7"/>
  <c r="AI10" i="7"/>
  <c r="AJ5" i="7"/>
  <c r="AI12" i="7"/>
  <c r="AJ8" i="7"/>
  <c r="AJ11" i="7"/>
  <c r="AI7" i="7"/>
  <c r="AX7" i="7" s="1"/>
  <c r="AJ13" i="7"/>
  <c r="AY6" i="7" l="1"/>
  <c r="AX5" i="7"/>
  <c r="AP15" i="7"/>
  <c r="AQ15" i="7" s="1"/>
  <c r="AX15" i="7"/>
  <c r="AV6" i="7"/>
  <c r="AY7" i="7"/>
  <c r="AZ7" i="7"/>
  <c r="AF4" i="7"/>
  <c r="AX4" i="7" s="1"/>
  <c r="D14" i="7"/>
  <c r="G14" i="7"/>
  <c r="J14" i="7"/>
  <c r="M14" i="7"/>
  <c r="P14" i="7"/>
  <c r="S14" i="7"/>
  <c r="BB14" i="7"/>
  <c r="BC14" i="7"/>
  <c r="BD14" i="7"/>
  <c r="BE14" i="7"/>
  <c r="BF14" i="7"/>
  <c r="BG14" i="7"/>
  <c r="BH14" i="7"/>
  <c r="AV15" i="7" l="1"/>
  <c r="AX14" i="7"/>
  <c r="AY15" i="7"/>
  <c r="AZ16" i="7"/>
  <c r="AY4" i="7"/>
  <c r="AR16" i="7"/>
  <c r="AZ5" i="7"/>
  <c r="AY5" i="7"/>
  <c r="AZ6" i="7"/>
  <c r="BB3" i="7"/>
  <c r="BB4" i="7"/>
  <c r="BB5" i="7"/>
  <c r="BB6" i="7"/>
  <c r="BB7" i="7"/>
  <c r="BB8" i="7"/>
  <c r="BB9" i="7"/>
  <c r="BB10" i="7"/>
  <c r="BB11" i="7"/>
  <c r="BB12" i="7"/>
  <c r="BB13" i="7"/>
  <c r="BB2" i="7"/>
  <c r="BC4" i="7"/>
  <c r="BC5" i="7"/>
  <c r="BC6" i="7"/>
  <c r="BC7" i="7"/>
  <c r="BC8" i="7"/>
  <c r="BC9" i="7"/>
  <c r="BC10" i="7"/>
  <c r="BC11" i="7"/>
  <c r="BC12" i="7"/>
  <c r="BC13" i="7"/>
  <c r="BC2" i="7"/>
  <c r="BD4" i="7"/>
  <c r="BD5" i="7"/>
  <c r="BD6" i="7"/>
  <c r="BD7" i="7"/>
  <c r="BD8" i="7"/>
  <c r="BD9" i="7"/>
  <c r="BD10" i="7"/>
  <c r="BD11" i="7"/>
  <c r="BD12" i="7"/>
  <c r="BD13" i="7"/>
  <c r="BD2" i="7"/>
  <c r="BE4" i="7"/>
  <c r="BE5" i="7"/>
  <c r="BE6" i="7"/>
  <c r="BE7" i="7"/>
  <c r="BE8" i="7"/>
  <c r="BE9" i="7"/>
  <c r="BE10" i="7"/>
  <c r="BE11" i="7"/>
  <c r="BE12" i="7"/>
  <c r="BE13" i="7"/>
  <c r="BE2" i="7"/>
  <c r="BF4" i="7"/>
  <c r="BF5" i="7"/>
  <c r="BF6" i="7"/>
  <c r="BF7" i="7"/>
  <c r="BF8" i="7"/>
  <c r="BF9" i="7"/>
  <c r="BF10" i="7"/>
  <c r="BF11" i="7"/>
  <c r="BF12" i="7"/>
  <c r="BF13" i="7"/>
  <c r="BF2" i="7"/>
  <c r="BG4" i="7"/>
  <c r="BG5" i="7"/>
  <c r="BG6" i="7"/>
  <c r="BG7" i="7"/>
  <c r="BG8" i="7"/>
  <c r="BG9" i="7"/>
  <c r="BG10" i="7"/>
  <c r="BG11" i="7"/>
  <c r="BG12" i="7"/>
  <c r="BG13" i="7"/>
  <c r="BG2" i="7"/>
  <c r="BH4" i="7"/>
  <c r="BH5" i="7"/>
  <c r="BH6" i="7"/>
  <c r="BH7" i="7"/>
  <c r="BH8" i="7"/>
  <c r="BH9" i="7"/>
  <c r="BH10" i="7"/>
  <c r="BH11" i="7"/>
  <c r="BH12" i="7"/>
  <c r="BH13" i="7"/>
  <c r="AY14" i="7" l="1"/>
  <c r="AZ15" i="7"/>
  <c r="AP14" i="7"/>
  <c r="D13" i="7"/>
  <c r="G13" i="7"/>
  <c r="J13" i="7"/>
  <c r="M13" i="7"/>
  <c r="P13" i="7"/>
  <c r="S13" i="7"/>
  <c r="AQ14" i="7" l="1"/>
  <c r="AR15" i="7"/>
  <c r="D3" i="7"/>
  <c r="D4" i="7"/>
  <c r="D5" i="7"/>
  <c r="D6" i="7"/>
  <c r="D7" i="7"/>
  <c r="D8" i="7"/>
  <c r="D9" i="7"/>
  <c r="D10" i="7"/>
  <c r="D11" i="7"/>
  <c r="D12" i="7"/>
  <c r="AX13" i="7" l="1"/>
  <c r="AV14" i="7"/>
  <c r="AP13" i="7"/>
  <c r="S12" i="7"/>
  <c r="AY13" i="7" l="1"/>
  <c r="AZ14" i="7"/>
  <c r="AQ13" i="7"/>
  <c r="AR14" i="7"/>
  <c r="J12" i="7"/>
  <c r="M12" i="7"/>
  <c r="P12" i="7"/>
  <c r="AX12" i="7" l="1"/>
  <c r="AV13" i="7"/>
  <c r="AP12" i="7"/>
  <c r="M8" i="7"/>
  <c r="M9" i="7"/>
  <c r="M10" i="7"/>
  <c r="M11" i="7"/>
  <c r="J4" i="7"/>
  <c r="J5" i="7"/>
  <c r="J6" i="7"/>
  <c r="J7" i="7"/>
  <c r="J8" i="7"/>
  <c r="J9" i="7"/>
  <c r="J10" i="7"/>
  <c r="J11" i="7"/>
  <c r="J3" i="7"/>
  <c r="AP3" i="7" s="1"/>
  <c r="AY12" i="7" l="1"/>
  <c r="AZ13" i="7"/>
  <c r="AP7" i="7"/>
  <c r="AR3" i="7"/>
  <c r="AQ3" i="7"/>
  <c r="AQ12" i="7"/>
  <c r="AR13" i="7"/>
  <c r="AN4" i="7"/>
  <c r="AP4" i="7"/>
  <c r="AP6" i="7"/>
  <c r="AP5" i="7"/>
  <c r="P9" i="7"/>
  <c r="P10" i="7"/>
  <c r="P11" i="7"/>
  <c r="S8" i="7"/>
  <c r="S9" i="7"/>
  <c r="S10" i="7"/>
  <c r="S11" i="7"/>
  <c r="AV8" i="7" l="1"/>
  <c r="AX8" i="7"/>
  <c r="AP11" i="7"/>
  <c r="AP10" i="7"/>
  <c r="AP8" i="7"/>
  <c r="AR7" i="7"/>
  <c r="AQ7" i="7"/>
  <c r="AP9" i="7"/>
  <c r="AR4" i="7"/>
  <c r="AQ4" i="7"/>
  <c r="AR6" i="7"/>
  <c r="AQ6" i="7"/>
  <c r="AQ5" i="7"/>
  <c r="AR5" i="7"/>
  <c r="AH3" i="7"/>
  <c r="AV9" i="7" l="1"/>
  <c r="AX9" i="7"/>
  <c r="AZ8" i="7"/>
  <c r="AY8" i="7"/>
  <c r="AV3" i="7"/>
  <c r="AV4" i="7"/>
  <c r="AV11" i="7"/>
  <c r="AX11" i="7"/>
  <c r="AV12" i="7"/>
  <c r="AV10" i="7"/>
  <c r="AX10" i="7"/>
  <c r="AR11" i="7"/>
  <c r="AQ11" i="7"/>
  <c r="AR12" i="7"/>
  <c r="AQ9" i="7"/>
  <c r="AR9" i="7"/>
  <c r="AR8" i="7"/>
  <c r="AQ8" i="7"/>
  <c r="AR10" i="7"/>
  <c r="AQ10" i="7"/>
  <c r="AJ3" i="7"/>
  <c r="AJ4" i="7"/>
  <c r="AI3" i="7"/>
  <c r="AX3" i="7" s="1"/>
  <c r="AY3" i="7" l="1"/>
  <c r="AZ3" i="7"/>
  <c r="AZ4" i="7"/>
  <c r="AZ10" i="7"/>
  <c r="AY10" i="7"/>
  <c r="AZ9" i="7"/>
  <c r="AY9" i="7"/>
  <c r="AY11" i="7"/>
  <c r="AZ11" i="7"/>
  <c r="AZ12" i="7"/>
</calcChain>
</file>

<file path=xl/sharedStrings.xml><?xml version="1.0" encoding="utf-8"?>
<sst xmlns="http://schemas.openxmlformats.org/spreadsheetml/2006/main" count="62" uniqueCount="20">
  <si>
    <t>Data</t>
  </si>
  <si>
    <t>SEB Fondai</t>
  </si>
  <si>
    <t>Indemo</t>
  </si>
  <si>
    <t>Profitus</t>
  </si>
  <si>
    <t>Nordstreet</t>
  </si>
  <si>
    <t>Scramble</t>
  </si>
  <si>
    <t>Investuota</t>
  </si>
  <si>
    <t>Vertė</t>
  </si>
  <si>
    <t>%</t>
  </si>
  <si>
    <t>Revolut Brokerage</t>
  </si>
  <si>
    <t>Per mėn.</t>
  </si>
  <si>
    <t>Prieaugis</t>
  </si>
  <si>
    <t>Įnešta</t>
  </si>
  <si>
    <t>Lendermarket</t>
  </si>
  <si>
    <t>Fondai</t>
  </si>
  <si>
    <t>P2P</t>
  </si>
  <si>
    <t>Viso</t>
  </si>
  <si>
    <t>Debitum</t>
  </si>
  <si>
    <t>Loanch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</si>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</sst>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left"/>
    </xf>
    <xf numFmtId="2" fontId="0" fillId="0" borderId="0" xfId="0" applyNumberFormat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1"/>
  <sheetViews>
    <sheetView tabSelected="1" workbookViewId="0">
      <pane ySplit="2" topLeftCell="A3" activePane="bottomLeft" state="frozen"/>
      <selection pane="bottomLeft" activeCell="U25" sqref="U25"/>
    </sheetView>
  </sheetViews>
  <sheetFormatPr defaultColWidth="10.7109375" defaultRowHeight="15" x14ac:dyDescent="0.25"/>
  <cols>
    <col min="5" max="7" width="10.7109375" style="3"/>
  </cols>
  <sheetData>
    <row r="1" spans="1:64" ht="15.75" thickBot="1" x14ac:dyDescent="0.3">
      <c r="A1" s="25" t="s">
        <v>0</v>
      </c>
      <c r="B1" s="27" t="s">
        <v>1</v>
      </c>
      <c r="C1" s="27"/>
      <c r="D1" s="27"/>
      <c r="E1" s="27" t="s">
        <v>9</v>
      </c>
      <c r="F1" s="27"/>
      <c r="G1" s="27"/>
      <c r="H1" s="27" t="s">
        <v>2</v>
      </c>
      <c r="I1" s="27"/>
      <c r="J1" s="27"/>
      <c r="K1" s="27" t="s">
        <v>3</v>
      </c>
      <c r="L1" s="27"/>
      <c r="M1" s="27"/>
      <c r="N1" s="27" t="s">
        <v>4</v>
      </c>
      <c r="O1" s="27"/>
      <c r="P1" s="27"/>
      <c r="Q1" s="27" t="s">
        <v>5</v>
      </c>
      <c r="R1" s="27"/>
      <c r="S1" s="27"/>
      <c r="T1" s="27" t="s">
        <v>13</v>
      </c>
      <c r="U1" s="27"/>
      <c r="V1" s="27"/>
      <c r="W1" s="27" t="s">
        <v>17</v>
      </c>
      <c r="X1" s="27"/>
      <c r="Y1" s="27"/>
      <c r="Z1" s="27" t="s">
        <v>18</v>
      </c>
      <c r="AA1" s="27"/>
      <c r="AB1" s="27"/>
      <c r="AC1" s="3"/>
      <c r="AD1" s="28" t="s">
        <v>14</v>
      </c>
      <c r="AE1" s="28"/>
      <c r="AF1" s="28"/>
      <c r="AG1" s="28"/>
      <c r="AH1" s="28"/>
      <c r="AI1" s="28"/>
      <c r="AJ1" s="28"/>
      <c r="AK1" s="3"/>
      <c r="AL1" s="28" t="s">
        <v>15</v>
      </c>
      <c r="AM1" s="28"/>
      <c r="AN1" s="28"/>
      <c r="AO1" s="28"/>
      <c r="AP1" s="28"/>
      <c r="AQ1" s="28"/>
      <c r="AR1" s="28"/>
      <c r="AS1" s="17"/>
      <c r="AT1" s="28" t="s">
        <v>16</v>
      </c>
      <c r="AU1" s="28"/>
      <c r="AV1" s="28"/>
      <c r="AW1" s="28"/>
      <c r="AX1" s="28"/>
      <c r="AY1" s="28"/>
      <c r="AZ1" s="28"/>
      <c r="BA1" s="18"/>
      <c r="BB1" s="22"/>
      <c r="BC1" s="23"/>
      <c r="BD1" s="23"/>
      <c r="BE1" s="23"/>
      <c r="BF1" s="23"/>
      <c r="BG1" s="23"/>
      <c r="BH1" s="23"/>
      <c r="BI1" s="23"/>
      <c r="BJ1" s="23"/>
      <c r="BK1" s="24"/>
    </row>
    <row r="2" spans="1:64" ht="15.75" thickBot="1" x14ac:dyDescent="0.3">
      <c r="A2" s="26"/>
      <c r="B2" s="7" t="s">
        <v>6</v>
      </c>
      <c r="C2" s="7" t="s">
        <v>7</v>
      </c>
      <c r="D2" s="7" t="s">
        <v>8</v>
      </c>
      <c r="E2" s="7" t="s">
        <v>6</v>
      </c>
      <c r="F2" s="7" t="s">
        <v>7</v>
      </c>
      <c r="G2" s="7" t="s">
        <v>8</v>
      </c>
      <c r="H2" s="7" t="s">
        <v>6</v>
      </c>
      <c r="I2" s="7" t="s">
        <v>7</v>
      </c>
      <c r="J2" s="7" t="s">
        <v>8</v>
      </c>
      <c r="K2" s="7" t="s">
        <v>6</v>
      </c>
      <c r="L2" s="7" t="s">
        <v>7</v>
      </c>
      <c r="M2" s="7" t="s">
        <v>8</v>
      </c>
      <c r="N2" s="7" t="s">
        <v>6</v>
      </c>
      <c r="O2" s="7" t="s">
        <v>7</v>
      </c>
      <c r="P2" s="7" t="s">
        <v>8</v>
      </c>
      <c r="Q2" s="7" t="s">
        <v>12</v>
      </c>
      <c r="R2" s="7" t="s">
        <v>7</v>
      </c>
      <c r="S2" s="7" t="s">
        <v>8</v>
      </c>
      <c r="T2" s="19" t="s">
        <v>12</v>
      </c>
      <c r="U2" s="19" t="s">
        <v>7</v>
      </c>
      <c r="V2" s="19" t="s">
        <v>8</v>
      </c>
      <c r="W2" s="20" t="s">
        <v>12</v>
      </c>
      <c r="X2" s="20" t="s">
        <v>7</v>
      </c>
      <c r="Y2" s="20" t="s">
        <v>8</v>
      </c>
      <c r="Z2" s="7" t="s">
        <v>12</v>
      </c>
      <c r="AA2" s="7" t="s">
        <v>7</v>
      </c>
      <c r="AB2" s="7" t="s">
        <v>8</v>
      </c>
      <c r="AC2" s="3"/>
      <c r="AD2" s="15" t="s">
        <v>0</v>
      </c>
      <c r="AE2" s="15" t="s">
        <v>12</v>
      </c>
      <c r="AF2" s="15" t="s">
        <v>10</v>
      </c>
      <c r="AG2" s="15" t="s">
        <v>7</v>
      </c>
      <c r="AH2" s="15" t="s">
        <v>11</v>
      </c>
      <c r="AI2" s="15" t="s">
        <v>8</v>
      </c>
      <c r="AJ2" s="15" t="s">
        <v>10</v>
      </c>
      <c r="AK2" s="17"/>
      <c r="AL2" s="15" t="s">
        <v>0</v>
      </c>
      <c r="AM2" s="15" t="s">
        <v>12</v>
      </c>
      <c r="AN2" s="15" t="s">
        <v>10</v>
      </c>
      <c r="AO2" s="15" t="s">
        <v>7</v>
      </c>
      <c r="AP2" s="15" t="s">
        <v>11</v>
      </c>
      <c r="AQ2" s="15" t="s">
        <v>8</v>
      </c>
      <c r="AR2" s="15" t="s">
        <v>10</v>
      </c>
      <c r="AS2" s="17"/>
      <c r="AT2" s="15" t="s">
        <v>0</v>
      </c>
      <c r="AU2" s="15" t="s">
        <v>12</v>
      </c>
      <c r="AV2" s="15" t="s">
        <v>10</v>
      </c>
      <c r="AW2" s="15" t="s">
        <v>7</v>
      </c>
      <c r="AX2" s="15" t="s">
        <v>11</v>
      </c>
      <c r="AY2" s="15" t="s">
        <v>8</v>
      </c>
      <c r="AZ2" s="15" t="s">
        <v>10</v>
      </c>
      <c r="BB2" s="7" t="str">
        <f>A1</f>
        <v>Data</v>
      </c>
      <c r="BC2" s="7" t="str">
        <f>B1</f>
        <v>SEB Fondai</v>
      </c>
      <c r="BD2" s="7" t="str">
        <f>E1</f>
        <v>Revolut Brokerage</v>
      </c>
      <c r="BE2" s="7" t="str">
        <f>H1</f>
        <v>Indemo</v>
      </c>
      <c r="BF2" s="7" t="str">
        <f>K1</f>
        <v>Profitus</v>
      </c>
      <c r="BG2" s="7" t="str">
        <f>N1</f>
        <v>Nordstreet</v>
      </c>
      <c r="BH2" s="7" t="str">
        <f>Q1</f>
        <v>Scramble</v>
      </c>
      <c r="BI2" s="16" t="str">
        <f>T1</f>
        <v>Lendermarket</v>
      </c>
      <c r="BJ2" s="16" t="str">
        <f>W1</f>
        <v>Debitum</v>
      </c>
      <c r="BK2" s="16" t="str">
        <f>Z1</f>
        <v>Loanch</v>
      </c>
    </row>
    <row r="3" spans="1:64" x14ac:dyDescent="0.25">
      <c r="A3" s="9">
        <v>45747</v>
      </c>
      <c r="B3" s="5">
        <v>60</v>
      </c>
      <c r="C3" s="4">
        <v>58.94</v>
      </c>
      <c r="D3" s="11">
        <f t="shared" ref="D3:D12" si="0">(C3-B3)/B3</f>
        <v>-1.7666666666666705E-2</v>
      </c>
      <c r="E3" s="5">
        <v>0</v>
      </c>
      <c r="F3" s="4">
        <v>0</v>
      </c>
      <c r="G3" s="11">
        <v>0</v>
      </c>
      <c r="H3" s="5">
        <v>10</v>
      </c>
      <c r="I3" s="4">
        <v>65</v>
      </c>
      <c r="J3" s="12">
        <f>(I3-H3)/H3</f>
        <v>5.5</v>
      </c>
      <c r="K3" s="5">
        <v>0</v>
      </c>
      <c r="L3" s="4">
        <v>0</v>
      </c>
      <c r="M3" s="12">
        <v>0</v>
      </c>
      <c r="N3" s="5">
        <v>0</v>
      </c>
      <c r="O3" s="4">
        <v>0</v>
      </c>
      <c r="P3" s="12">
        <v>0</v>
      </c>
      <c r="Q3" s="5">
        <v>0</v>
      </c>
      <c r="R3" s="4">
        <v>0</v>
      </c>
      <c r="S3" s="12">
        <v>0</v>
      </c>
      <c r="T3" s="5">
        <v>0</v>
      </c>
      <c r="U3" s="4">
        <v>0</v>
      </c>
      <c r="V3" s="12">
        <v>0</v>
      </c>
      <c r="W3" s="5">
        <v>0</v>
      </c>
      <c r="X3" s="4">
        <v>0</v>
      </c>
      <c r="Y3" s="12">
        <v>0</v>
      </c>
      <c r="Z3" s="5">
        <v>0</v>
      </c>
      <c r="AA3" s="4">
        <v>0</v>
      </c>
      <c r="AB3" s="12">
        <v>0</v>
      </c>
      <c r="AC3" s="10"/>
      <c r="AD3" s="8">
        <f>A3</f>
        <v>45747</v>
      </c>
      <c r="AE3" s="4">
        <f>B3+E3</f>
        <v>60</v>
      </c>
      <c r="AF3" s="4">
        <f>AE3</f>
        <v>60</v>
      </c>
      <c r="AG3" s="4">
        <f>C3+F3</f>
        <v>58.94</v>
      </c>
      <c r="AH3" s="4">
        <f t="shared" ref="AH3" si="1">AG3-AE3</f>
        <v>-1.0600000000000023</v>
      </c>
      <c r="AI3" s="13">
        <f t="shared" ref="AI3" si="2">AH3/AE3</f>
        <v>-1.7666666666666705E-2</v>
      </c>
      <c r="AJ3" s="4">
        <f>AH3</f>
        <v>-1.0600000000000023</v>
      </c>
      <c r="AK3" s="10"/>
      <c r="AL3" s="8">
        <f>A3</f>
        <v>45747</v>
      </c>
      <c r="AM3" s="4">
        <f t="shared" ref="AM3:AM18" si="3">H3+K3+N3+Q3+T3+W3+Z3</f>
        <v>10</v>
      </c>
      <c r="AN3" s="4">
        <f>AM3</f>
        <v>10</v>
      </c>
      <c r="AO3" s="4">
        <f t="shared" ref="AO3:AO18" si="4">I3+L3+O3+R3+U3+X3+AA3</f>
        <v>65</v>
      </c>
      <c r="AP3" s="4">
        <f t="shared" ref="AP3:AP16" si="5">AO3-AM3</f>
        <v>55</v>
      </c>
      <c r="AQ3" s="13">
        <f t="shared" ref="AQ3:AQ16" si="6">AP3/AM3</f>
        <v>5.5</v>
      </c>
      <c r="AR3" s="4">
        <f>AP3</f>
        <v>55</v>
      </c>
      <c r="AS3" s="10"/>
      <c r="AT3" s="8">
        <f>A3</f>
        <v>45747</v>
      </c>
      <c r="AU3" s="4">
        <f>AE3+AM3</f>
        <v>70</v>
      </c>
      <c r="AV3" s="4">
        <f>AU3</f>
        <v>70</v>
      </c>
      <c r="AW3" s="4">
        <f>AG3+AO3</f>
        <v>123.94</v>
      </c>
      <c r="AX3" s="4">
        <f t="shared" ref="AX3:AX16" si="7">AW3-AU3</f>
        <v>53.94</v>
      </c>
      <c r="AY3" s="13">
        <f t="shared" ref="AY3:AY16" si="8">AX3/AU3</f>
        <v>0.77057142857142857</v>
      </c>
      <c r="AZ3" s="4">
        <f>AX3</f>
        <v>53.94</v>
      </c>
      <c r="BB3" s="14">
        <f t="shared" ref="BB3:BB14" si="9">A3</f>
        <v>45747</v>
      </c>
      <c r="BC3" s="6">
        <f>(C3-B3)</f>
        <v>-1.0600000000000023</v>
      </c>
      <c r="BD3" s="6">
        <f>(F3-E3)</f>
        <v>0</v>
      </c>
      <c r="BE3" s="6">
        <f>(I3-H3)</f>
        <v>55</v>
      </c>
      <c r="BF3" s="6">
        <f>(L3-K3)</f>
        <v>0</v>
      </c>
      <c r="BG3" s="6">
        <f>(O3-N3)</f>
        <v>0</v>
      </c>
      <c r="BH3" s="6">
        <f>(R3-Q3)</f>
        <v>0</v>
      </c>
      <c r="BI3" s="6">
        <f>(U3-T3)</f>
        <v>0</v>
      </c>
      <c r="BJ3" s="6">
        <f>(X3-W3)</f>
        <v>0</v>
      </c>
      <c r="BK3" s="6">
        <f>(AA3-Z3)</f>
        <v>0</v>
      </c>
    </row>
    <row r="4" spans="1:64" x14ac:dyDescent="0.25">
      <c r="A4" s="9">
        <v>45777</v>
      </c>
      <c r="B4" s="5">
        <v>90</v>
      </c>
      <c r="C4" s="2">
        <v>87.26</v>
      </c>
      <c r="D4" s="11">
        <f t="shared" si="0"/>
        <v>-3.0444444444444389E-2</v>
      </c>
      <c r="E4" s="5">
        <v>0</v>
      </c>
      <c r="F4" s="4">
        <v>0</v>
      </c>
      <c r="G4" s="11">
        <v>0</v>
      </c>
      <c r="H4" s="5">
        <v>10</v>
      </c>
      <c r="I4" s="4">
        <v>65</v>
      </c>
      <c r="J4" s="12">
        <f t="shared" ref="J4:J11" si="10">(I4-H4)/H4</f>
        <v>5.5</v>
      </c>
      <c r="K4" s="5">
        <v>0</v>
      </c>
      <c r="L4" s="4">
        <v>0</v>
      </c>
      <c r="M4" s="12">
        <v>0</v>
      </c>
      <c r="N4" s="5">
        <v>0</v>
      </c>
      <c r="O4" s="4">
        <v>0</v>
      </c>
      <c r="P4" s="12">
        <v>0</v>
      </c>
      <c r="Q4" s="5">
        <v>0</v>
      </c>
      <c r="R4" s="4">
        <v>0</v>
      </c>
      <c r="S4" s="12">
        <v>0</v>
      </c>
      <c r="T4" s="5">
        <v>0</v>
      </c>
      <c r="U4" s="4">
        <v>0</v>
      </c>
      <c r="V4" s="12">
        <v>0</v>
      </c>
      <c r="W4" s="5">
        <v>0</v>
      </c>
      <c r="X4" s="4">
        <v>0</v>
      </c>
      <c r="Y4" s="12">
        <v>0</v>
      </c>
      <c r="Z4" s="5">
        <v>0</v>
      </c>
      <c r="AA4" s="4">
        <v>0</v>
      </c>
      <c r="AB4" s="12">
        <v>0</v>
      </c>
      <c r="AC4" s="10"/>
      <c r="AD4" s="8">
        <f t="shared" ref="AD4:AD14" si="11">A4</f>
        <v>45777</v>
      </c>
      <c r="AE4" s="4">
        <f t="shared" ref="AE4:AE16" si="12">B4+E4</f>
        <v>90</v>
      </c>
      <c r="AF4" s="4">
        <f>AE4-AE3</f>
        <v>30</v>
      </c>
      <c r="AG4" s="4">
        <f t="shared" ref="AG4:AG16" si="13">C4+F4</f>
        <v>87.26</v>
      </c>
      <c r="AH4" s="4">
        <f t="shared" ref="AH4:AH14" si="14">AG4-AE4</f>
        <v>-2.7399999999999949</v>
      </c>
      <c r="AI4" s="13">
        <f t="shared" ref="AI4:AI14" si="15">AH4/AE4</f>
        <v>-3.0444444444444389E-2</v>
      </c>
      <c r="AJ4" s="4">
        <f>AH4-AH3</f>
        <v>-1.6799999999999926</v>
      </c>
      <c r="AK4" s="10"/>
      <c r="AL4" s="8">
        <f t="shared" ref="AL4:AL16" si="16">A4</f>
        <v>45777</v>
      </c>
      <c r="AM4" s="4">
        <f t="shared" si="3"/>
        <v>10</v>
      </c>
      <c r="AN4" s="4">
        <f>AM4-AM3</f>
        <v>0</v>
      </c>
      <c r="AO4" s="4">
        <f t="shared" si="4"/>
        <v>65</v>
      </c>
      <c r="AP4" s="4">
        <f t="shared" si="5"/>
        <v>55</v>
      </c>
      <c r="AQ4" s="13">
        <f t="shared" si="6"/>
        <v>5.5</v>
      </c>
      <c r="AR4" s="4">
        <f>AP4-AP3</f>
        <v>0</v>
      </c>
      <c r="AS4" s="10"/>
      <c r="AT4" s="8">
        <f t="shared" ref="AT4:AT16" si="17">A4</f>
        <v>45777</v>
      </c>
      <c r="AU4" s="4">
        <f t="shared" ref="AU4:AU16" si="18">AE4+AM4</f>
        <v>100</v>
      </c>
      <c r="AV4" s="4">
        <f>AU4-AU3</f>
        <v>30</v>
      </c>
      <c r="AW4" s="4">
        <f t="shared" ref="AW4:AW16" si="19">AG4+AO4</f>
        <v>152.26</v>
      </c>
      <c r="AX4" s="4">
        <f t="shared" si="7"/>
        <v>52.259999999999991</v>
      </c>
      <c r="AY4" s="13">
        <f t="shared" si="8"/>
        <v>0.52259999999999995</v>
      </c>
      <c r="AZ4" s="4">
        <f>AX4-AX3</f>
        <v>-1.6800000000000068</v>
      </c>
      <c r="BB4" s="8">
        <f t="shared" si="9"/>
        <v>45777</v>
      </c>
      <c r="BC4" s="4">
        <f t="shared" ref="BC4:BC14" si="20">(C4-B4)-(C3-B3)</f>
        <v>-1.6799999999999926</v>
      </c>
      <c r="BD4" s="4">
        <f t="shared" ref="BD4:BD14" si="21">(F4-E4)-(F3-E3)</f>
        <v>0</v>
      </c>
      <c r="BE4" s="4">
        <f t="shared" ref="BE4:BE14" si="22">(I4-H4)-(I3-H3)</f>
        <v>0</v>
      </c>
      <c r="BF4" s="4">
        <f t="shared" ref="BF4:BF14" si="23">(L4-K4)-(L3-K3)</f>
        <v>0</v>
      </c>
      <c r="BG4" s="4">
        <f t="shared" ref="BG4:BG14" si="24">(O4-N4)-(O3-N3)</f>
        <v>0</v>
      </c>
      <c r="BH4" s="4">
        <f t="shared" ref="BH4:BH14" si="25">(R4-Q4)-(R3-Q3)</f>
        <v>0</v>
      </c>
      <c r="BI4" s="4">
        <f>(U4-T4)-(U3-T3)</f>
        <v>0</v>
      </c>
      <c r="BJ4" s="4">
        <f>(X4-W4)-(X3-W3)</f>
        <v>0</v>
      </c>
      <c r="BK4" s="4">
        <f>(AA4-Z4)-(AA3-Z3)</f>
        <v>0</v>
      </c>
    </row>
    <row r="5" spans="1:64" x14ac:dyDescent="0.25">
      <c r="A5" s="9">
        <v>45808</v>
      </c>
      <c r="B5" s="5">
        <v>120</v>
      </c>
      <c r="C5" s="4">
        <v>121.7</v>
      </c>
      <c r="D5" s="11">
        <f t="shared" si="0"/>
        <v>1.416666666666669E-2</v>
      </c>
      <c r="E5" s="5">
        <v>0</v>
      </c>
      <c r="F5" s="4">
        <v>0</v>
      </c>
      <c r="G5" s="11">
        <v>0</v>
      </c>
      <c r="H5" s="5">
        <v>10</v>
      </c>
      <c r="I5" s="4">
        <v>65</v>
      </c>
      <c r="J5" s="12">
        <f t="shared" si="10"/>
        <v>5.5</v>
      </c>
      <c r="K5" s="5">
        <v>0</v>
      </c>
      <c r="L5" s="4">
        <v>0</v>
      </c>
      <c r="M5" s="12">
        <v>0</v>
      </c>
      <c r="N5" s="5">
        <v>0</v>
      </c>
      <c r="O5" s="4">
        <v>0</v>
      </c>
      <c r="P5" s="12">
        <v>0</v>
      </c>
      <c r="Q5" s="5">
        <v>0</v>
      </c>
      <c r="R5" s="4">
        <v>0</v>
      </c>
      <c r="S5" s="12">
        <v>0</v>
      </c>
      <c r="T5" s="5">
        <v>0</v>
      </c>
      <c r="U5" s="4">
        <v>0</v>
      </c>
      <c r="V5" s="12">
        <v>0</v>
      </c>
      <c r="W5" s="5">
        <v>0</v>
      </c>
      <c r="X5" s="4">
        <v>0</v>
      </c>
      <c r="Y5" s="12">
        <v>0</v>
      </c>
      <c r="Z5" s="5">
        <v>0</v>
      </c>
      <c r="AA5" s="4">
        <v>0</v>
      </c>
      <c r="AB5" s="12">
        <v>0</v>
      </c>
      <c r="AC5" s="10"/>
      <c r="AD5" s="8">
        <f t="shared" si="11"/>
        <v>45808</v>
      </c>
      <c r="AE5" s="4">
        <f t="shared" si="12"/>
        <v>120</v>
      </c>
      <c r="AF5" s="4">
        <f t="shared" ref="AF5:AF16" si="26">AE5-AE4</f>
        <v>30</v>
      </c>
      <c r="AG5" s="4">
        <f t="shared" si="13"/>
        <v>121.7</v>
      </c>
      <c r="AH5" s="4">
        <f t="shared" si="14"/>
        <v>1.7000000000000028</v>
      </c>
      <c r="AI5" s="13">
        <f t="shared" si="15"/>
        <v>1.416666666666669E-2</v>
      </c>
      <c r="AJ5" s="4">
        <f t="shared" ref="AJ5:AJ14" si="27">AH5-AH4</f>
        <v>4.4399999999999977</v>
      </c>
      <c r="AK5" s="10"/>
      <c r="AL5" s="8">
        <f t="shared" si="16"/>
        <v>45808</v>
      </c>
      <c r="AM5" s="4">
        <f t="shared" si="3"/>
        <v>10</v>
      </c>
      <c r="AN5" s="4">
        <f t="shared" ref="AN5:AN16" si="28">AM5-AM4</f>
        <v>0</v>
      </c>
      <c r="AO5" s="4">
        <f t="shared" si="4"/>
        <v>65</v>
      </c>
      <c r="AP5" s="4">
        <f t="shared" si="5"/>
        <v>55</v>
      </c>
      <c r="AQ5" s="13">
        <f t="shared" si="6"/>
        <v>5.5</v>
      </c>
      <c r="AR5" s="4">
        <f t="shared" ref="AR5:AR16" si="29">AP5-AP4</f>
        <v>0</v>
      </c>
      <c r="AS5" s="10"/>
      <c r="AT5" s="8">
        <f t="shared" si="17"/>
        <v>45808</v>
      </c>
      <c r="AU5" s="4">
        <f t="shared" si="18"/>
        <v>130</v>
      </c>
      <c r="AV5" s="4">
        <f t="shared" ref="AV5:AV16" si="30">AU5-AU4</f>
        <v>30</v>
      </c>
      <c r="AW5" s="4">
        <f t="shared" si="19"/>
        <v>186.7</v>
      </c>
      <c r="AX5" s="4">
        <f t="shared" si="7"/>
        <v>56.699999999999989</v>
      </c>
      <c r="AY5" s="13">
        <f t="shared" si="8"/>
        <v>0.43615384615384606</v>
      </c>
      <c r="AZ5" s="4">
        <f t="shared" ref="AZ5:AZ16" si="31">AX5-AX4</f>
        <v>4.4399999999999977</v>
      </c>
      <c r="BB5" s="8">
        <f t="shared" si="9"/>
        <v>45808</v>
      </c>
      <c r="BC5" s="4">
        <f t="shared" si="20"/>
        <v>4.4399999999999977</v>
      </c>
      <c r="BD5" s="4">
        <f t="shared" si="21"/>
        <v>0</v>
      </c>
      <c r="BE5" s="4">
        <f t="shared" si="22"/>
        <v>0</v>
      </c>
      <c r="BF5" s="4">
        <f t="shared" si="23"/>
        <v>0</v>
      </c>
      <c r="BG5" s="4">
        <f t="shared" si="24"/>
        <v>0</v>
      </c>
      <c r="BH5" s="4">
        <f t="shared" si="25"/>
        <v>0</v>
      </c>
      <c r="BI5" s="4">
        <f t="shared" ref="BI5:BI19" si="32">(U5-T5)-(U4-T4)</f>
        <v>0</v>
      </c>
      <c r="BJ5" s="4">
        <f t="shared" ref="BJ5:BJ19" si="33">(X5-W5)-(X4-W4)</f>
        <v>0</v>
      </c>
      <c r="BK5" s="4">
        <f t="shared" ref="BK5:BK15" si="34">(AA5-Z5)-(AA4-Z4)</f>
        <v>0</v>
      </c>
    </row>
    <row r="6" spans="1:64" x14ac:dyDescent="0.25">
      <c r="A6" s="9">
        <v>45838</v>
      </c>
      <c r="B6" s="5">
        <v>150</v>
      </c>
      <c r="C6" s="2">
        <v>151.65</v>
      </c>
      <c r="D6" s="11">
        <f t="shared" si="0"/>
        <v>1.1000000000000038E-2</v>
      </c>
      <c r="E6" s="5">
        <v>0</v>
      </c>
      <c r="F6" s="4">
        <v>0</v>
      </c>
      <c r="G6" s="11">
        <v>0</v>
      </c>
      <c r="H6" s="5">
        <v>30</v>
      </c>
      <c r="I6" s="4">
        <v>85.05</v>
      </c>
      <c r="J6" s="12">
        <f t="shared" si="10"/>
        <v>1.835</v>
      </c>
      <c r="K6" s="5">
        <v>0</v>
      </c>
      <c r="L6" s="4">
        <v>0</v>
      </c>
      <c r="M6" s="12">
        <v>0</v>
      </c>
      <c r="N6" s="5">
        <v>0</v>
      </c>
      <c r="O6" s="4">
        <v>0</v>
      </c>
      <c r="P6" s="12">
        <v>0</v>
      </c>
      <c r="Q6" s="5">
        <v>0</v>
      </c>
      <c r="R6" s="4">
        <v>0</v>
      </c>
      <c r="S6" s="12">
        <v>0</v>
      </c>
      <c r="T6" s="5">
        <v>0</v>
      </c>
      <c r="U6" s="4">
        <v>0</v>
      </c>
      <c r="V6" s="12">
        <v>0</v>
      </c>
      <c r="W6" s="5">
        <v>0</v>
      </c>
      <c r="X6" s="4">
        <v>0</v>
      </c>
      <c r="Y6" s="12">
        <v>0</v>
      </c>
      <c r="Z6" s="5">
        <v>0</v>
      </c>
      <c r="AA6" s="4">
        <v>0</v>
      </c>
      <c r="AB6" s="12">
        <v>0</v>
      </c>
      <c r="AC6" s="10"/>
      <c r="AD6" s="8">
        <f t="shared" si="11"/>
        <v>45838</v>
      </c>
      <c r="AE6" s="4">
        <f t="shared" si="12"/>
        <v>150</v>
      </c>
      <c r="AF6" s="4">
        <f t="shared" si="26"/>
        <v>30</v>
      </c>
      <c r="AG6" s="4">
        <f t="shared" si="13"/>
        <v>151.65</v>
      </c>
      <c r="AH6" s="4">
        <f t="shared" si="14"/>
        <v>1.6500000000000057</v>
      </c>
      <c r="AI6" s="13">
        <f t="shared" si="15"/>
        <v>1.1000000000000038E-2</v>
      </c>
      <c r="AJ6" s="4">
        <f t="shared" si="27"/>
        <v>-4.9999999999997158E-2</v>
      </c>
      <c r="AK6" s="10"/>
      <c r="AL6" s="8">
        <f t="shared" si="16"/>
        <v>45838</v>
      </c>
      <c r="AM6" s="4">
        <f t="shared" si="3"/>
        <v>30</v>
      </c>
      <c r="AN6" s="4">
        <f t="shared" si="28"/>
        <v>20</v>
      </c>
      <c r="AO6" s="4">
        <f t="shared" si="4"/>
        <v>85.05</v>
      </c>
      <c r="AP6" s="4">
        <f t="shared" si="5"/>
        <v>55.05</v>
      </c>
      <c r="AQ6" s="13">
        <f t="shared" si="6"/>
        <v>1.835</v>
      </c>
      <c r="AR6" s="4">
        <f t="shared" si="29"/>
        <v>4.9999999999997158E-2</v>
      </c>
      <c r="AS6" s="10"/>
      <c r="AT6" s="8">
        <f t="shared" si="17"/>
        <v>45838</v>
      </c>
      <c r="AU6" s="4">
        <f t="shared" si="18"/>
        <v>180</v>
      </c>
      <c r="AV6" s="4">
        <f t="shared" si="30"/>
        <v>50</v>
      </c>
      <c r="AW6" s="4">
        <f t="shared" si="19"/>
        <v>236.7</v>
      </c>
      <c r="AX6" s="4">
        <f t="shared" si="7"/>
        <v>56.699999999999989</v>
      </c>
      <c r="AY6" s="13">
        <f t="shared" si="8"/>
        <v>0.31499999999999995</v>
      </c>
      <c r="AZ6" s="4">
        <f t="shared" si="31"/>
        <v>0</v>
      </c>
      <c r="BB6" s="8">
        <f t="shared" si="9"/>
        <v>45838</v>
      </c>
      <c r="BC6" s="4">
        <f t="shared" si="20"/>
        <v>-4.9999999999997158E-2</v>
      </c>
      <c r="BD6" s="4">
        <f t="shared" si="21"/>
        <v>0</v>
      </c>
      <c r="BE6" s="4">
        <f t="shared" si="22"/>
        <v>4.9999999999997158E-2</v>
      </c>
      <c r="BF6" s="4">
        <f t="shared" si="23"/>
        <v>0</v>
      </c>
      <c r="BG6" s="4">
        <f t="shared" si="24"/>
        <v>0</v>
      </c>
      <c r="BH6" s="4">
        <f t="shared" si="25"/>
        <v>0</v>
      </c>
      <c r="BI6" s="4">
        <f t="shared" si="32"/>
        <v>0</v>
      </c>
      <c r="BJ6" s="4">
        <f t="shared" si="33"/>
        <v>0</v>
      </c>
      <c r="BK6" s="4">
        <f t="shared" si="34"/>
        <v>0</v>
      </c>
    </row>
    <row r="7" spans="1:64" x14ac:dyDescent="0.25">
      <c r="A7" s="9">
        <v>45869</v>
      </c>
      <c r="B7" s="5">
        <v>180</v>
      </c>
      <c r="C7" s="4">
        <v>184.1</v>
      </c>
      <c r="D7" s="11">
        <f t="shared" si="0"/>
        <v>2.2777777777777748E-2</v>
      </c>
      <c r="E7" s="5">
        <v>0</v>
      </c>
      <c r="F7" s="4">
        <v>0</v>
      </c>
      <c r="G7" s="11">
        <v>0</v>
      </c>
      <c r="H7" s="5">
        <v>30</v>
      </c>
      <c r="I7" s="4">
        <v>85.05</v>
      </c>
      <c r="J7" s="12">
        <f t="shared" si="10"/>
        <v>1.835</v>
      </c>
      <c r="K7" s="5">
        <v>0</v>
      </c>
      <c r="L7" s="4">
        <v>0</v>
      </c>
      <c r="M7" s="12">
        <v>0</v>
      </c>
      <c r="N7" s="5">
        <v>0</v>
      </c>
      <c r="O7" s="4">
        <v>0</v>
      </c>
      <c r="P7" s="12">
        <v>0</v>
      </c>
      <c r="Q7" s="5">
        <v>0</v>
      </c>
      <c r="R7" s="4">
        <v>0</v>
      </c>
      <c r="S7" s="12">
        <v>0</v>
      </c>
      <c r="T7" s="5">
        <v>0</v>
      </c>
      <c r="U7" s="4">
        <v>0</v>
      </c>
      <c r="V7" s="12">
        <v>0</v>
      </c>
      <c r="W7" s="5">
        <v>0</v>
      </c>
      <c r="X7" s="4">
        <v>0</v>
      </c>
      <c r="Y7" s="12">
        <v>0</v>
      </c>
      <c r="Z7" s="5">
        <v>0</v>
      </c>
      <c r="AA7" s="4">
        <v>0</v>
      </c>
      <c r="AB7" s="12">
        <v>0</v>
      </c>
      <c r="AC7" s="10"/>
      <c r="AD7" s="8">
        <f t="shared" si="11"/>
        <v>45869</v>
      </c>
      <c r="AE7" s="4">
        <f t="shared" si="12"/>
        <v>180</v>
      </c>
      <c r="AF7" s="4">
        <f t="shared" si="26"/>
        <v>30</v>
      </c>
      <c r="AG7" s="4">
        <f t="shared" si="13"/>
        <v>184.1</v>
      </c>
      <c r="AH7" s="4">
        <f t="shared" si="14"/>
        <v>4.0999999999999943</v>
      </c>
      <c r="AI7" s="13">
        <f t="shared" si="15"/>
        <v>2.2777777777777748E-2</v>
      </c>
      <c r="AJ7" s="4">
        <f t="shared" si="27"/>
        <v>2.4499999999999886</v>
      </c>
      <c r="AK7" s="10"/>
      <c r="AL7" s="8">
        <f t="shared" si="16"/>
        <v>45869</v>
      </c>
      <c r="AM7" s="4">
        <f t="shared" si="3"/>
        <v>30</v>
      </c>
      <c r="AN7" s="4">
        <f t="shared" si="28"/>
        <v>0</v>
      </c>
      <c r="AO7" s="4">
        <f t="shared" si="4"/>
        <v>85.05</v>
      </c>
      <c r="AP7" s="4">
        <f t="shared" si="5"/>
        <v>55.05</v>
      </c>
      <c r="AQ7" s="13">
        <f t="shared" si="6"/>
        <v>1.835</v>
      </c>
      <c r="AR7" s="4">
        <f t="shared" si="29"/>
        <v>0</v>
      </c>
      <c r="AS7" s="10"/>
      <c r="AT7" s="8">
        <f t="shared" si="17"/>
        <v>45869</v>
      </c>
      <c r="AU7" s="4">
        <f t="shared" si="18"/>
        <v>210</v>
      </c>
      <c r="AV7" s="4">
        <f t="shared" si="30"/>
        <v>30</v>
      </c>
      <c r="AW7" s="4">
        <f t="shared" si="19"/>
        <v>269.14999999999998</v>
      </c>
      <c r="AX7" s="4">
        <f t="shared" si="7"/>
        <v>59.149999999999977</v>
      </c>
      <c r="AY7" s="13">
        <f t="shared" si="8"/>
        <v>0.28166666666666657</v>
      </c>
      <c r="AZ7" s="4">
        <f t="shared" si="31"/>
        <v>2.4499999999999886</v>
      </c>
      <c r="BB7" s="8">
        <f t="shared" si="9"/>
        <v>45869</v>
      </c>
      <c r="BC7" s="4">
        <f t="shared" si="20"/>
        <v>2.4499999999999886</v>
      </c>
      <c r="BD7" s="4">
        <f t="shared" si="21"/>
        <v>0</v>
      </c>
      <c r="BE7" s="4">
        <f t="shared" si="22"/>
        <v>0</v>
      </c>
      <c r="BF7" s="4">
        <f t="shared" si="23"/>
        <v>0</v>
      </c>
      <c r="BG7" s="4">
        <f t="shared" si="24"/>
        <v>0</v>
      </c>
      <c r="BH7" s="4">
        <f t="shared" si="25"/>
        <v>0</v>
      </c>
      <c r="BI7" s="4">
        <f t="shared" si="32"/>
        <v>0</v>
      </c>
      <c r="BJ7" s="4">
        <f t="shared" si="33"/>
        <v>0</v>
      </c>
      <c r="BK7" s="4">
        <f t="shared" si="34"/>
        <v>0</v>
      </c>
    </row>
    <row r="8" spans="1:64" x14ac:dyDescent="0.25">
      <c r="A8" s="9">
        <v>45900</v>
      </c>
      <c r="B8" s="5">
        <v>210</v>
      </c>
      <c r="C8" s="4">
        <v>214.63</v>
      </c>
      <c r="D8" s="11">
        <f t="shared" si="0"/>
        <v>2.2047619047619024E-2</v>
      </c>
      <c r="E8" s="5">
        <v>0</v>
      </c>
      <c r="F8" s="4">
        <v>0</v>
      </c>
      <c r="G8" s="11">
        <v>0</v>
      </c>
      <c r="H8" s="5">
        <v>30</v>
      </c>
      <c r="I8" s="4">
        <v>85.05</v>
      </c>
      <c r="J8" s="12">
        <f t="shared" si="10"/>
        <v>1.835</v>
      </c>
      <c r="K8" s="21">
        <v>200</v>
      </c>
      <c r="L8" s="4">
        <v>200</v>
      </c>
      <c r="M8" s="12">
        <f t="shared" ref="M8:M11" si="35">(L8-K8)/K8</f>
        <v>0</v>
      </c>
      <c r="N8" s="5">
        <v>0</v>
      </c>
      <c r="O8" s="4">
        <v>0</v>
      </c>
      <c r="P8" s="12">
        <v>0</v>
      </c>
      <c r="Q8" s="5">
        <v>205</v>
      </c>
      <c r="R8" s="4">
        <v>215</v>
      </c>
      <c r="S8" s="12">
        <f t="shared" ref="S8:S12" si="36">(R8-Q8)/Q8</f>
        <v>4.878048780487805E-2</v>
      </c>
      <c r="T8" s="5">
        <v>0</v>
      </c>
      <c r="U8" s="4">
        <v>0</v>
      </c>
      <c r="V8" s="12">
        <v>0</v>
      </c>
      <c r="W8" s="5">
        <v>0</v>
      </c>
      <c r="X8" s="4">
        <v>0</v>
      </c>
      <c r="Y8" s="12">
        <v>0</v>
      </c>
      <c r="Z8" s="5">
        <v>0</v>
      </c>
      <c r="AA8" s="4">
        <v>0</v>
      </c>
      <c r="AB8" s="12">
        <v>0</v>
      </c>
      <c r="AC8" s="10"/>
      <c r="AD8" s="8">
        <f t="shared" si="11"/>
        <v>45900</v>
      </c>
      <c r="AE8" s="4">
        <f t="shared" si="12"/>
        <v>210</v>
      </c>
      <c r="AF8" s="4">
        <f t="shared" si="26"/>
        <v>30</v>
      </c>
      <c r="AG8" s="4">
        <f t="shared" si="13"/>
        <v>214.63</v>
      </c>
      <c r="AH8" s="4">
        <f t="shared" si="14"/>
        <v>4.6299999999999955</v>
      </c>
      <c r="AI8" s="13">
        <f t="shared" si="15"/>
        <v>2.2047619047619024E-2</v>
      </c>
      <c r="AJ8" s="4">
        <f t="shared" si="27"/>
        <v>0.53000000000000114</v>
      </c>
      <c r="AK8" s="10"/>
      <c r="AL8" s="8">
        <f t="shared" si="16"/>
        <v>45900</v>
      </c>
      <c r="AM8" s="4">
        <f t="shared" si="3"/>
        <v>435</v>
      </c>
      <c r="AN8" s="4">
        <f t="shared" si="28"/>
        <v>405</v>
      </c>
      <c r="AO8" s="4">
        <f t="shared" si="4"/>
        <v>500.05</v>
      </c>
      <c r="AP8" s="4">
        <f t="shared" si="5"/>
        <v>65.050000000000011</v>
      </c>
      <c r="AQ8" s="13">
        <f t="shared" si="6"/>
        <v>0.1495402298850575</v>
      </c>
      <c r="AR8" s="4">
        <f t="shared" si="29"/>
        <v>10.000000000000014</v>
      </c>
      <c r="AS8" s="10"/>
      <c r="AT8" s="8">
        <f t="shared" si="17"/>
        <v>45900</v>
      </c>
      <c r="AU8" s="4">
        <f t="shared" si="18"/>
        <v>645</v>
      </c>
      <c r="AV8" s="4">
        <f t="shared" si="30"/>
        <v>435</v>
      </c>
      <c r="AW8" s="4">
        <f t="shared" si="19"/>
        <v>714.68000000000006</v>
      </c>
      <c r="AX8" s="4">
        <f t="shared" si="7"/>
        <v>69.680000000000064</v>
      </c>
      <c r="AY8" s="13">
        <f t="shared" si="8"/>
        <v>0.10803100775193808</v>
      </c>
      <c r="AZ8" s="4">
        <f t="shared" si="31"/>
        <v>10.530000000000086</v>
      </c>
      <c r="BB8" s="8">
        <f t="shared" si="9"/>
        <v>45900</v>
      </c>
      <c r="BC8" s="4">
        <f t="shared" si="20"/>
        <v>0.53000000000000114</v>
      </c>
      <c r="BD8" s="4">
        <f t="shared" si="21"/>
        <v>0</v>
      </c>
      <c r="BE8" s="4">
        <f t="shared" si="22"/>
        <v>0</v>
      </c>
      <c r="BF8" s="4">
        <f t="shared" si="23"/>
        <v>0</v>
      </c>
      <c r="BG8" s="4">
        <f t="shared" si="24"/>
        <v>0</v>
      </c>
      <c r="BH8" s="4">
        <f t="shared" si="25"/>
        <v>10</v>
      </c>
      <c r="BI8" s="4">
        <f t="shared" si="32"/>
        <v>0</v>
      </c>
      <c r="BJ8" s="4">
        <f t="shared" si="33"/>
        <v>0</v>
      </c>
      <c r="BK8" s="4">
        <f t="shared" si="34"/>
        <v>0</v>
      </c>
    </row>
    <row r="9" spans="1:64" x14ac:dyDescent="0.25">
      <c r="A9" s="9">
        <v>45930</v>
      </c>
      <c r="B9" s="5">
        <v>240</v>
      </c>
      <c r="C9" s="4">
        <v>246.01</v>
      </c>
      <c r="D9" s="11">
        <f t="shared" si="0"/>
        <v>2.5041666666666629E-2</v>
      </c>
      <c r="E9" s="5">
        <v>0</v>
      </c>
      <c r="F9" s="4">
        <v>0</v>
      </c>
      <c r="G9" s="11">
        <v>0</v>
      </c>
      <c r="H9" s="5">
        <v>30</v>
      </c>
      <c r="I9" s="4">
        <v>85.05</v>
      </c>
      <c r="J9" s="12">
        <f t="shared" si="10"/>
        <v>1.835</v>
      </c>
      <c r="K9" s="21">
        <v>200</v>
      </c>
      <c r="L9" s="4">
        <v>200</v>
      </c>
      <c r="M9" s="12">
        <f t="shared" si="35"/>
        <v>0</v>
      </c>
      <c r="N9" s="5">
        <v>400</v>
      </c>
      <c r="O9" s="4">
        <v>401.7</v>
      </c>
      <c r="P9" s="12">
        <f t="shared" ref="P9:P11" si="37">(O9-N9)/N9</f>
        <v>4.2499999999999717E-3</v>
      </c>
      <c r="Q9" s="5">
        <v>305</v>
      </c>
      <c r="R9" s="4">
        <v>316</v>
      </c>
      <c r="S9" s="12">
        <f t="shared" si="36"/>
        <v>3.6065573770491806E-2</v>
      </c>
      <c r="T9" s="5">
        <v>0</v>
      </c>
      <c r="U9" s="4">
        <v>0</v>
      </c>
      <c r="V9" s="12">
        <v>0</v>
      </c>
      <c r="W9" s="5">
        <v>0</v>
      </c>
      <c r="X9" s="4">
        <v>0</v>
      </c>
      <c r="Y9" s="12">
        <v>0</v>
      </c>
      <c r="Z9" s="5">
        <v>0</v>
      </c>
      <c r="AA9" s="4">
        <v>0</v>
      </c>
      <c r="AB9" s="12">
        <v>0</v>
      </c>
      <c r="AC9" s="10"/>
      <c r="AD9" s="8">
        <f t="shared" si="11"/>
        <v>45930</v>
      </c>
      <c r="AE9" s="4">
        <f t="shared" si="12"/>
        <v>240</v>
      </c>
      <c r="AF9" s="4">
        <f t="shared" si="26"/>
        <v>30</v>
      </c>
      <c r="AG9" s="4">
        <f t="shared" si="13"/>
        <v>246.01</v>
      </c>
      <c r="AH9" s="4">
        <f t="shared" si="14"/>
        <v>6.0099999999999909</v>
      </c>
      <c r="AI9" s="13">
        <f t="shared" si="15"/>
        <v>2.5041666666666629E-2</v>
      </c>
      <c r="AJ9" s="4">
        <f t="shared" si="27"/>
        <v>1.3799999999999955</v>
      </c>
      <c r="AK9" s="10"/>
      <c r="AL9" s="8">
        <f t="shared" si="16"/>
        <v>45930</v>
      </c>
      <c r="AM9" s="4">
        <f t="shared" si="3"/>
        <v>935</v>
      </c>
      <c r="AN9" s="4">
        <f t="shared" si="28"/>
        <v>500</v>
      </c>
      <c r="AO9" s="4">
        <f t="shared" si="4"/>
        <v>1002.75</v>
      </c>
      <c r="AP9" s="4">
        <f t="shared" si="5"/>
        <v>67.75</v>
      </c>
      <c r="AQ9" s="13">
        <f t="shared" si="6"/>
        <v>7.2459893048128346E-2</v>
      </c>
      <c r="AR9" s="4">
        <f t="shared" si="29"/>
        <v>2.6999999999999886</v>
      </c>
      <c r="AS9" s="10"/>
      <c r="AT9" s="8">
        <f t="shared" si="17"/>
        <v>45930</v>
      </c>
      <c r="AU9" s="4">
        <f t="shared" si="18"/>
        <v>1175</v>
      </c>
      <c r="AV9" s="4">
        <f t="shared" si="30"/>
        <v>530</v>
      </c>
      <c r="AW9" s="4">
        <f t="shared" si="19"/>
        <v>1248.76</v>
      </c>
      <c r="AX9" s="4">
        <f t="shared" si="7"/>
        <v>73.759999999999991</v>
      </c>
      <c r="AY9" s="13">
        <f t="shared" si="8"/>
        <v>6.277446808510638E-2</v>
      </c>
      <c r="AZ9" s="4">
        <f t="shared" si="31"/>
        <v>4.0799999999999272</v>
      </c>
      <c r="BB9" s="8">
        <f t="shared" si="9"/>
        <v>45930</v>
      </c>
      <c r="BC9" s="4">
        <f t="shared" si="20"/>
        <v>1.3799999999999955</v>
      </c>
      <c r="BD9" s="4">
        <f t="shared" si="21"/>
        <v>0</v>
      </c>
      <c r="BE9" s="4">
        <f t="shared" si="22"/>
        <v>0</v>
      </c>
      <c r="BF9" s="4">
        <f t="shared" si="23"/>
        <v>0</v>
      </c>
      <c r="BG9" s="4">
        <f t="shared" si="24"/>
        <v>1.6999999999999886</v>
      </c>
      <c r="BH9" s="4">
        <f t="shared" si="25"/>
        <v>1</v>
      </c>
      <c r="BI9" s="4">
        <f t="shared" si="32"/>
        <v>0</v>
      </c>
      <c r="BJ9" s="4">
        <f t="shared" si="33"/>
        <v>0</v>
      </c>
      <c r="BK9" s="4">
        <f t="shared" si="34"/>
        <v>0</v>
      </c>
    </row>
    <row r="10" spans="1:64" x14ac:dyDescent="0.25">
      <c r="A10" s="9">
        <v>45961</v>
      </c>
      <c r="B10" s="5">
        <v>270</v>
      </c>
      <c r="C10" s="4">
        <v>284.74</v>
      </c>
      <c r="D10" s="11">
        <f t="shared" si="0"/>
        <v>5.4592592592592623E-2</v>
      </c>
      <c r="E10" s="5">
        <v>0</v>
      </c>
      <c r="F10" s="4">
        <v>0</v>
      </c>
      <c r="G10" s="11">
        <v>0</v>
      </c>
      <c r="H10" s="5">
        <v>30</v>
      </c>
      <c r="I10" s="4">
        <v>85.05</v>
      </c>
      <c r="J10" s="12">
        <f t="shared" si="10"/>
        <v>1.835</v>
      </c>
      <c r="K10" s="21">
        <v>200</v>
      </c>
      <c r="L10" s="4">
        <v>200</v>
      </c>
      <c r="M10" s="12">
        <f t="shared" si="35"/>
        <v>0</v>
      </c>
      <c r="N10" s="5">
        <v>420</v>
      </c>
      <c r="O10" s="4">
        <v>450.97</v>
      </c>
      <c r="P10" s="12">
        <f t="shared" si="37"/>
        <v>7.3738095238095297E-2</v>
      </c>
      <c r="Q10" s="5">
        <v>305</v>
      </c>
      <c r="R10" s="4">
        <v>317</v>
      </c>
      <c r="S10" s="12">
        <f t="shared" si="36"/>
        <v>3.9344262295081971E-2</v>
      </c>
      <c r="T10" s="5">
        <v>0</v>
      </c>
      <c r="U10" s="4">
        <v>0</v>
      </c>
      <c r="V10" s="12">
        <v>0</v>
      </c>
      <c r="W10" s="5">
        <v>0</v>
      </c>
      <c r="X10" s="4">
        <v>0</v>
      </c>
      <c r="Y10" s="12">
        <v>0</v>
      </c>
      <c r="Z10" s="5">
        <v>0</v>
      </c>
      <c r="AA10" s="4">
        <v>0</v>
      </c>
      <c r="AB10" s="12">
        <v>0</v>
      </c>
      <c r="AD10" s="8">
        <f t="shared" si="11"/>
        <v>45961</v>
      </c>
      <c r="AE10" s="4">
        <f t="shared" si="12"/>
        <v>270</v>
      </c>
      <c r="AF10" s="4">
        <f t="shared" si="26"/>
        <v>30</v>
      </c>
      <c r="AG10" s="4">
        <f t="shared" si="13"/>
        <v>284.74</v>
      </c>
      <c r="AH10" s="4">
        <f t="shared" si="14"/>
        <v>14.740000000000009</v>
      </c>
      <c r="AI10" s="13">
        <f t="shared" si="15"/>
        <v>5.4592592592592623E-2</v>
      </c>
      <c r="AJ10" s="4">
        <f t="shared" si="27"/>
        <v>8.7300000000000182</v>
      </c>
      <c r="AK10" s="10"/>
      <c r="AL10" s="8">
        <f t="shared" si="16"/>
        <v>45961</v>
      </c>
      <c r="AM10" s="4">
        <f t="shared" si="3"/>
        <v>955</v>
      </c>
      <c r="AN10" s="4">
        <f t="shared" si="28"/>
        <v>20</v>
      </c>
      <c r="AO10" s="4">
        <f t="shared" si="4"/>
        <v>1053.02</v>
      </c>
      <c r="AP10" s="4">
        <f t="shared" si="5"/>
        <v>98.019999999999982</v>
      </c>
      <c r="AQ10" s="13">
        <f t="shared" si="6"/>
        <v>0.10263874345549737</v>
      </c>
      <c r="AR10" s="4">
        <f t="shared" si="29"/>
        <v>30.269999999999982</v>
      </c>
      <c r="AS10" s="10"/>
      <c r="AT10" s="8">
        <f t="shared" si="17"/>
        <v>45961</v>
      </c>
      <c r="AU10" s="4">
        <f t="shared" si="18"/>
        <v>1225</v>
      </c>
      <c r="AV10" s="4">
        <f t="shared" si="30"/>
        <v>50</v>
      </c>
      <c r="AW10" s="4">
        <f t="shared" si="19"/>
        <v>1337.76</v>
      </c>
      <c r="AX10" s="4">
        <f t="shared" si="7"/>
        <v>112.75999999999999</v>
      </c>
      <c r="AY10" s="13">
        <f t="shared" si="8"/>
        <v>9.2048979591836722E-2</v>
      </c>
      <c r="AZ10" s="4">
        <f t="shared" si="31"/>
        <v>39</v>
      </c>
      <c r="BB10" s="8">
        <f t="shared" si="9"/>
        <v>45961</v>
      </c>
      <c r="BC10" s="4">
        <f t="shared" si="20"/>
        <v>8.7300000000000182</v>
      </c>
      <c r="BD10" s="4">
        <f t="shared" si="21"/>
        <v>0</v>
      </c>
      <c r="BE10" s="4">
        <f t="shared" si="22"/>
        <v>0</v>
      </c>
      <c r="BF10" s="4">
        <f t="shared" si="23"/>
        <v>0</v>
      </c>
      <c r="BG10" s="4">
        <f t="shared" si="24"/>
        <v>29.270000000000039</v>
      </c>
      <c r="BH10" s="4">
        <f t="shared" si="25"/>
        <v>1</v>
      </c>
      <c r="BI10" s="4">
        <f t="shared" si="32"/>
        <v>0</v>
      </c>
      <c r="BJ10" s="4">
        <f t="shared" si="33"/>
        <v>0</v>
      </c>
      <c r="BK10" s="4">
        <f t="shared" si="34"/>
        <v>0</v>
      </c>
      <c r="BL10" s="1"/>
    </row>
    <row r="11" spans="1:64" x14ac:dyDescent="0.25">
      <c r="A11" s="9">
        <v>45991</v>
      </c>
      <c r="B11" s="5">
        <v>300</v>
      </c>
      <c r="C11" s="4">
        <v>313.11</v>
      </c>
      <c r="D11" s="11">
        <f t="shared" si="0"/>
        <v>4.3700000000000044E-2</v>
      </c>
      <c r="E11" s="5">
        <v>0</v>
      </c>
      <c r="F11" s="4">
        <v>0</v>
      </c>
      <c r="G11" s="11">
        <v>0</v>
      </c>
      <c r="H11" s="5">
        <v>30</v>
      </c>
      <c r="I11" s="4">
        <v>85.05</v>
      </c>
      <c r="J11" s="12">
        <f t="shared" si="10"/>
        <v>1.835</v>
      </c>
      <c r="K11" s="21">
        <v>300</v>
      </c>
      <c r="L11" s="4">
        <v>325</v>
      </c>
      <c r="M11" s="12">
        <f t="shared" si="35"/>
        <v>8.3333333333333329E-2</v>
      </c>
      <c r="N11" s="5">
        <v>420</v>
      </c>
      <c r="O11" s="4">
        <v>456.14</v>
      </c>
      <c r="P11" s="12">
        <f t="shared" si="37"/>
        <v>8.6047619047619012E-2</v>
      </c>
      <c r="Q11" s="5">
        <v>305</v>
      </c>
      <c r="R11" s="4">
        <v>317</v>
      </c>
      <c r="S11" s="12">
        <f t="shared" si="36"/>
        <v>3.9344262295081971E-2</v>
      </c>
      <c r="T11" s="5">
        <v>0</v>
      </c>
      <c r="U11" s="4">
        <v>0</v>
      </c>
      <c r="V11" s="12">
        <v>0</v>
      </c>
      <c r="W11" s="5">
        <v>0</v>
      </c>
      <c r="X11" s="4">
        <v>0</v>
      </c>
      <c r="Y11" s="12">
        <v>0</v>
      </c>
      <c r="Z11" s="5">
        <v>0</v>
      </c>
      <c r="AA11" s="4">
        <v>0</v>
      </c>
      <c r="AB11" s="12">
        <v>0</v>
      </c>
      <c r="AD11" s="8">
        <f t="shared" si="11"/>
        <v>45991</v>
      </c>
      <c r="AE11" s="4">
        <f t="shared" si="12"/>
        <v>300</v>
      </c>
      <c r="AF11" s="4">
        <f t="shared" si="26"/>
        <v>30</v>
      </c>
      <c r="AG11" s="4">
        <f t="shared" si="13"/>
        <v>313.11</v>
      </c>
      <c r="AH11" s="4">
        <f t="shared" si="14"/>
        <v>13.110000000000014</v>
      </c>
      <c r="AI11" s="13">
        <f t="shared" si="15"/>
        <v>4.3700000000000044E-2</v>
      </c>
      <c r="AJ11" s="4">
        <f t="shared" si="27"/>
        <v>-1.6299999999999955</v>
      </c>
      <c r="AK11" s="10"/>
      <c r="AL11" s="8">
        <f t="shared" si="16"/>
        <v>45991</v>
      </c>
      <c r="AM11" s="4">
        <f t="shared" si="3"/>
        <v>1055</v>
      </c>
      <c r="AN11" s="4">
        <f t="shared" si="28"/>
        <v>100</v>
      </c>
      <c r="AO11" s="4">
        <f t="shared" si="4"/>
        <v>1183.19</v>
      </c>
      <c r="AP11" s="4">
        <f t="shared" si="5"/>
        <v>128.19000000000005</v>
      </c>
      <c r="AQ11" s="13">
        <f t="shared" si="6"/>
        <v>0.12150710900473939</v>
      </c>
      <c r="AR11" s="4">
        <f t="shared" si="29"/>
        <v>30.170000000000073</v>
      </c>
      <c r="AS11" s="10"/>
      <c r="AT11" s="8">
        <f t="shared" si="17"/>
        <v>45991</v>
      </c>
      <c r="AU11" s="4">
        <f t="shared" si="18"/>
        <v>1355</v>
      </c>
      <c r="AV11" s="4">
        <f t="shared" si="30"/>
        <v>130</v>
      </c>
      <c r="AW11" s="4">
        <f t="shared" si="19"/>
        <v>1496.3000000000002</v>
      </c>
      <c r="AX11" s="4">
        <f t="shared" si="7"/>
        <v>141.30000000000018</v>
      </c>
      <c r="AY11" s="13">
        <f t="shared" si="8"/>
        <v>0.10428044280442818</v>
      </c>
      <c r="AZ11" s="4">
        <f t="shared" si="31"/>
        <v>28.540000000000191</v>
      </c>
      <c r="BB11" s="8">
        <f t="shared" si="9"/>
        <v>45991</v>
      </c>
      <c r="BC11" s="4">
        <f t="shared" si="20"/>
        <v>-1.6299999999999955</v>
      </c>
      <c r="BD11" s="4">
        <f t="shared" si="21"/>
        <v>0</v>
      </c>
      <c r="BE11" s="4">
        <f t="shared" si="22"/>
        <v>0</v>
      </c>
      <c r="BF11" s="4">
        <f t="shared" si="23"/>
        <v>25</v>
      </c>
      <c r="BG11" s="4">
        <f t="shared" si="24"/>
        <v>5.1699999999999591</v>
      </c>
      <c r="BH11" s="4">
        <f t="shared" si="25"/>
        <v>0</v>
      </c>
      <c r="BI11" s="4">
        <f t="shared" si="32"/>
        <v>0</v>
      </c>
      <c r="BJ11" s="4">
        <f t="shared" si="33"/>
        <v>0</v>
      </c>
      <c r="BK11" s="4">
        <f t="shared" si="34"/>
        <v>0</v>
      </c>
      <c r="BL11" s="1"/>
    </row>
    <row r="12" spans="1:64" x14ac:dyDescent="0.25">
      <c r="A12" s="9">
        <v>46022</v>
      </c>
      <c r="B12" s="5">
        <v>300</v>
      </c>
      <c r="C12" s="4">
        <v>317.85000000000002</v>
      </c>
      <c r="D12" s="11">
        <f t="shared" si="0"/>
        <v>5.9500000000000074E-2</v>
      </c>
      <c r="E12" s="5">
        <v>0</v>
      </c>
      <c r="F12" s="4">
        <v>0</v>
      </c>
      <c r="G12" s="11">
        <v>0</v>
      </c>
      <c r="H12" s="5">
        <v>30</v>
      </c>
      <c r="I12" s="4">
        <v>85.1</v>
      </c>
      <c r="J12" s="12">
        <f t="shared" ref="J12" si="38">(I12-H12)/H12</f>
        <v>1.8366666666666664</v>
      </c>
      <c r="K12" s="21">
        <v>300</v>
      </c>
      <c r="L12" s="4">
        <v>331.12</v>
      </c>
      <c r="M12" s="12">
        <f t="shared" ref="M12" si="39">(L12-K12)/K12</f>
        <v>0.10373333333333334</v>
      </c>
      <c r="N12" s="5">
        <v>420</v>
      </c>
      <c r="O12" s="4">
        <v>460.39</v>
      </c>
      <c r="P12" s="12">
        <f t="shared" ref="P12" si="40">(O12-N12)/N12</f>
        <v>9.6166666666666636E-2</v>
      </c>
      <c r="Q12" s="5">
        <v>305</v>
      </c>
      <c r="R12" s="4">
        <v>317</v>
      </c>
      <c r="S12" s="12">
        <f t="shared" si="36"/>
        <v>3.9344262295081971E-2</v>
      </c>
      <c r="T12" s="5">
        <v>0</v>
      </c>
      <c r="U12" s="4">
        <v>0</v>
      </c>
      <c r="V12" s="12">
        <v>0</v>
      </c>
      <c r="W12" s="5">
        <v>0</v>
      </c>
      <c r="X12" s="4">
        <v>0</v>
      </c>
      <c r="Y12" s="12">
        <v>0</v>
      </c>
      <c r="Z12" s="5">
        <v>0</v>
      </c>
      <c r="AA12" s="4">
        <v>0</v>
      </c>
      <c r="AB12" s="12">
        <v>0</v>
      </c>
      <c r="AD12" s="8">
        <f t="shared" si="11"/>
        <v>46022</v>
      </c>
      <c r="AE12" s="4">
        <f t="shared" si="12"/>
        <v>300</v>
      </c>
      <c r="AF12" s="4">
        <f t="shared" si="26"/>
        <v>0</v>
      </c>
      <c r="AG12" s="4">
        <f t="shared" si="13"/>
        <v>317.85000000000002</v>
      </c>
      <c r="AH12" s="4">
        <f t="shared" si="14"/>
        <v>17.850000000000023</v>
      </c>
      <c r="AI12" s="13">
        <f t="shared" si="15"/>
        <v>5.9500000000000074E-2</v>
      </c>
      <c r="AJ12" s="4">
        <f t="shared" si="27"/>
        <v>4.7400000000000091</v>
      </c>
      <c r="AK12" s="10"/>
      <c r="AL12" s="8">
        <f t="shared" si="16"/>
        <v>46022</v>
      </c>
      <c r="AM12" s="4">
        <f t="shared" si="3"/>
        <v>1055</v>
      </c>
      <c r="AN12" s="4">
        <f t="shared" si="28"/>
        <v>0</v>
      </c>
      <c r="AO12" s="4">
        <f t="shared" si="4"/>
        <v>1193.6100000000001</v>
      </c>
      <c r="AP12" s="4">
        <f t="shared" si="5"/>
        <v>138.61000000000013</v>
      </c>
      <c r="AQ12" s="13">
        <f t="shared" si="6"/>
        <v>0.13138388625592429</v>
      </c>
      <c r="AR12" s="4">
        <f t="shared" si="29"/>
        <v>10.420000000000073</v>
      </c>
      <c r="AS12" s="10"/>
      <c r="AT12" s="8">
        <f t="shared" si="17"/>
        <v>46022</v>
      </c>
      <c r="AU12" s="4">
        <f t="shared" si="18"/>
        <v>1355</v>
      </c>
      <c r="AV12" s="4">
        <f t="shared" si="30"/>
        <v>0</v>
      </c>
      <c r="AW12" s="4">
        <f t="shared" si="19"/>
        <v>1511.46</v>
      </c>
      <c r="AX12" s="4">
        <f t="shared" si="7"/>
        <v>156.46000000000004</v>
      </c>
      <c r="AY12" s="13">
        <f t="shared" si="8"/>
        <v>0.1154686346863469</v>
      </c>
      <c r="AZ12" s="4">
        <f t="shared" si="31"/>
        <v>15.159999999999854</v>
      </c>
      <c r="BB12" s="8">
        <f t="shared" si="9"/>
        <v>46022</v>
      </c>
      <c r="BC12" s="4">
        <f t="shared" si="20"/>
        <v>4.7400000000000091</v>
      </c>
      <c r="BD12" s="4">
        <f t="shared" si="21"/>
        <v>0</v>
      </c>
      <c r="BE12" s="4">
        <f t="shared" si="22"/>
        <v>4.9999999999997158E-2</v>
      </c>
      <c r="BF12" s="4">
        <f t="shared" si="23"/>
        <v>6.1200000000000045</v>
      </c>
      <c r="BG12" s="4">
        <f t="shared" si="24"/>
        <v>4.25</v>
      </c>
      <c r="BH12" s="4">
        <f t="shared" si="25"/>
        <v>0</v>
      </c>
      <c r="BI12" s="4">
        <f t="shared" si="32"/>
        <v>0</v>
      </c>
      <c r="BJ12" s="4">
        <f t="shared" si="33"/>
        <v>0</v>
      </c>
      <c r="BK12" s="4">
        <f t="shared" si="34"/>
        <v>0</v>
      </c>
      <c r="BL12" s="1"/>
    </row>
    <row r="13" spans="1:64" x14ac:dyDescent="0.25">
      <c r="A13" s="9">
        <v>46053</v>
      </c>
      <c r="B13" s="5">
        <v>360</v>
      </c>
      <c r="C13" s="4">
        <v>386.39</v>
      </c>
      <c r="D13" s="11">
        <f t="shared" ref="D13" si="41">(C13-B13)/B13</f>
        <v>7.3305555555555513E-2</v>
      </c>
      <c r="E13" s="5">
        <v>100</v>
      </c>
      <c r="F13" s="4">
        <v>99.06</v>
      </c>
      <c r="G13" s="11">
        <f t="shared" ref="G13" si="42">(F13-E13)/E13</f>
        <v>-9.3999999999999778E-3</v>
      </c>
      <c r="H13" s="5">
        <v>30</v>
      </c>
      <c r="I13" s="4">
        <v>85.1</v>
      </c>
      <c r="J13" s="12">
        <f t="shared" ref="J13" si="43">(I13-H13)/H13</f>
        <v>1.8366666666666664</v>
      </c>
      <c r="K13" s="21">
        <v>300</v>
      </c>
      <c r="L13" s="4">
        <v>331.12</v>
      </c>
      <c r="M13" s="12">
        <f t="shared" ref="M13" si="44">(L13-K13)/K13</f>
        <v>0.10373333333333334</v>
      </c>
      <c r="N13" s="5">
        <v>420</v>
      </c>
      <c r="O13" s="4">
        <v>464.76</v>
      </c>
      <c r="P13" s="12">
        <f t="shared" ref="P13" si="45">(O13-N13)/N13</f>
        <v>0.10657142857142855</v>
      </c>
      <c r="Q13" s="5">
        <v>305</v>
      </c>
      <c r="R13" s="4">
        <v>317</v>
      </c>
      <c r="S13" s="12">
        <f t="shared" ref="S13" si="46">(R13-Q13)/Q13</f>
        <v>3.9344262295081971E-2</v>
      </c>
      <c r="T13" s="5">
        <v>0</v>
      </c>
      <c r="U13" s="4">
        <v>0</v>
      </c>
      <c r="V13" s="12">
        <v>0</v>
      </c>
      <c r="W13" s="5">
        <v>0</v>
      </c>
      <c r="X13" s="4">
        <v>0</v>
      </c>
      <c r="Y13" s="12">
        <v>0</v>
      </c>
      <c r="Z13" s="5">
        <v>0</v>
      </c>
      <c r="AA13" s="4">
        <v>0</v>
      </c>
      <c r="AB13" s="12">
        <v>0</v>
      </c>
      <c r="AD13" s="8">
        <f t="shared" si="11"/>
        <v>46053</v>
      </c>
      <c r="AE13" s="4">
        <f t="shared" si="12"/>
        <v>460</v>
      </c>
      <c r="AF13" s="4">
        <f t="shared" si="26"/>
        <v>160</v>
      </c>
      <c r="AG13" s="4">
        <f t="shared" si="13"/>
        <v>485.45</v>
      </c>
      <c r="AH13" s="4">
        <f t="shared" si="14"/>
        <v>25.449999999999989</v>
      </c>
      <c r="AI13" s="13">
        <f t="shared" si="15"/>
        <v>5.5326086956521713E-2</v>
      </c>
      <c r="AJ13" s="4">
        <f t="shared" si="27"/>
        <v>7.5999999999999659</v>
      </c>
      <c r="AK13" s="10"/>
      <c r="AL13" s="8">
        <f t="shared" si="16"/>
        <v>46053</v>
      </c>
      <c r="AM13" s="4">
        <f t="shared" si="3"/>
        <v>1055</v>
      </c>
      <c r="AN13" s="4">
        <f t="shared" si="28"/>
        <v>0</v>
      </c>
      <c r="AO13" s="4">
        <f t="shared" si="4"/>
        <v>1197.98</v>
      </c>
      <c r="AP13" s="4">
        <f t="shared" si="5"/>
        <v>142.98000000000002</v>
      </c>
      <c r="AQ13" s="13">
        <f t="shared" si="6"/>
        <v>0.13552606635071091</v>
      </c>
      <c r="AR13" s="4">
        <f t="shared" si="29"/>
        <v>4.3699999999998909</v>
      </c>
      <c r="AS13" s="10"/>
      <c r="AT13" s="8">
        <f t="shared" si="17"/>
        <v>46053</v>
      </c>
      <c r="AU13" s="4">
        <f t="shared" si="18"/>
        <v>1515</v>
      </c>
      <c r="AV13" s="4">
        <f t="shared" si="30"/>
        <v>160</v>
      </c>
      <c r="AW13" s="4">
        <f t="shared" si="19"/>
        <v>1683.43</v>
      </c>
      <c r="AX13" s="4">
        <f t="shared" si="7"/>
        <v>168.43000000000006</v>
      </c>
      <c r="AY13" s="13">
        <f t="shared" si="8"/>
        <v>0.11117491749174922</v>
      </c>
      <c r="AZ13" s="4">
        <f t="shared" si="31"/>
        <v>11.970000000000027</v>
      </c>
      <c r="BB13" s="8">
        <f t="shared" si="9"/>
        <v>46053</v>
      </c>
      <c r="BC13" s="4">
        <f t="shared" si="20"/>
        <v>8.5399999999999636</v>
      </c>
      <c r="BD13" s="4">
        <f t="shared" si="21"/>
        <v>-0.93999999999999773</v>
      </c>
      <c r="BE13" s="4">
        <f t="shared" si="22"/>
        <v>0</v>
      </c>
      <c r="BF13" s="4">
        <f t="shared" si="23"/>
        <v>0</v>
      </c>
      <c r="BG13" s="4">
        <f t="shared" si="24"/>
        <v>4.3700000000000045</v>
      </c>
      <c r="BH13" s="4">
        <f t="shared" si="25"/>
        <v>0</v>
      </c>
      <c r="BI13" s="4">
        <f t="shared" si="32"/>
        <v>0</v>
      </c>
      <c r="BJ13" s="4">
        <f t="shared" si="33"/>
        <v>0</v>
      </c>
      <c r="BK13" s="4">
        <f t="shared" si="34"/>
        <v>0</v>
      </c>
    </row>
    <row r="14" spans="1:64" x14ac:dyDescent="0.25">
      <c r="A14" s="9">
        <v>46081</v>
      </c>
      <c r="B14" s="5">
        <v>390</v>
      </c>
      <c r="C14" s="4">
        <v>421.42</v>
      </c>
      <c r="D14" s="11">
        <f t="shared" ref="D14" si="47">(C14-B14)/B14</f>
        <v>8.056410256410261E-2</v>
      </c>
      <c r="E14" s="5">
        <v>200</v>
      </c>
      <c r="F14" s="4">
        <v>201.06</v>
      </c>
      <c r="G14" s="11">
        <f t="shared" ref="G14" si="48">(F14-E14)/E14</f>
        <v>5.3000000000000113E-3</v>
      </c>
      <c r="H14" s="5">
        <v>30</v>
      </c>
      <c r="I14" s="4">
        <v>85.1</v>
      </c>
      <c r="J14" s="12">
        <f t="shared" ref="J14" si="49">(I14-H14)/H14</f>
        <v>1.8366666666666664</v>
      </c>
      <c r="K14" s="21">
        <v>300</v>
      </c>
      <c r="L14" s="4">
        <v>331.12</v>
      </c>
      <c r="M14" s="12">
        <f t="shared" ref="M14" si="50">(L14-K14)/K14</f>
        <v>0.10373333333333334</v>
      </c>
      <c r="N14" s="5">
        <v>420</v>
      </c>
      <c r="O14" s="4">
        <v>469.11</v>
      </c>
      <c r="P14" s="12">
        <f t="shared" ref="P14" si="51">(O14-N14)/N14</f>
        <v>0.11692857142857147</v>
      </c>
      <c r="Q14" s="5">
        <v>305</v>
      </c>
      <c r="R14" s="4">
        <v>322.36</v>
      </c>
      <c r="S14" s="12">
        <f t="shared" ref="S14" si="52">(R14-Q14)/Q14</f>
        <v>5.6918032786885293E-2</v>
      </c>
      <c r="T14" s="5">
        <v>0</v>
      </c>
      <c r="U14" s="4">
        <v>0</v>
      </c>
      <c r="V14" s="12">
        <v>0</v>
      </c>
      <c r="W14" s="5">
        <v>0</v>
      </c>
      <c r="X14" s="4">
        <v>0</v>
      </c>
      <c r="Y14" s="12">
        <v>0</v>
      </c>
      <c r="Z14" s="5">
        <v>0</v>
      </c>
      <c r="AA14" s="4">
        <v>0</v>
      </c>
      <c r="AB14" s="12">
        <v>0</v>
      </c>
      <c r="AD14" s="8">
        <f t="shared" si="11"/>
        <v>46081</v>
      </c>
      <c r="AE14" s="4">
        <f t="shared" si="12"/>
        <v>590</v>
      </c>
      <c r="AF14" s="4">
        <f t="shared" si="26"/>
        <v>130</v>
      </c>
      <c r="AG14" s="4">
        <f t="shared" si="13"/>
        <v>622.48</v>
      </c>
      <c r="AH14" s="4">
        <f t="shared" si="14"/>
        <v>32.480000000000018</v>
      </c>
      <c r="AI14" s="13">
        <f t="shared" si="15"/>
        <v>5.5050847457627151E-2</v>
      </c>
      <c r="AJ14" s="4">
        <f t="shared" si="27"/>
        <v>7.0300000000000296</v>
      </c>
      <c r="AK14" s="10"/>
      <c r="AL14" s="8">
        <f t="shared" si="16"/>
        <v>46081</v>
      </c>
      <c r="AM14" s="4">
        <f t="shared" si="3"/>
        <v>1055</v>
      </c>
      <c r="AN14" s="4">
        <f t="shared" si="28"/>
        <v>0</v>
      </c>
      <c r="AO14" s="4">
        <f t="shared" si="4"/>
        <v>1207.69</v>
      </c>
      <c r="AP14" s="4">
        <f t="shared" si="5"/>
        <v>152.69000000000005</v>
      </c>
      <c r="AQ14" s="13">
        <f t="shared" si="6"/>
        <v>0.14472985781990527</v>
      </c>
      <c r="AR14" s="4">
        <f t="shared" si="29"/>
        <v>9.7100000000000364</v>
      </c>
      <c r="AS14" s="10"/>
      <c r="AT14" s="8">
        <f t="shared" si="17"/>
        <v>46081</v>
      </c>
      <c r="AU14" s="4">
        <f t="shared" si="18"/>
        <v>1645</v>
      </c>
      <c r="AV14" s="4">
        <f t="shared" si="30"/>
        <v>130</v>
      </c>
      <c r="AW14" s="4">
        <f t="shared" si="19"/>
        <v>1830.17</v>
      </c>
      <c r="AX14" s="4">
        <f t="shared" si="7"/>
        <v>185.17000000000007</v>
      </c>
      <c r="AY14" s="13">
        <f t="shared" si="8"/>
        <v>0.11256534954407299</v>
      </c>
      <c r="AZ14" s="4">
        <f t="shared" si="31"/>
        <v>16.740000000000009</v>
      </c>
      <c r="BB14" s="8">
        <f t="shared" si="9"/>
        <v>46081</v>
      </c>
      <c r="BC14" s="4">
        <f t="shared" si="20"/>
        <v>5.0300000000000296</v>
      </c>
      <c r="BD14" s="4">
        <f t="shared" si="21"/>
        <v>2</v>
      </c>
      <c r="BE14" s="4">
        <f t="shared" si="22"/>
        <v>0</v>
      </c>
      <c r="BF14" s="4">
        <f t="shared" si="23"/>
        <v>0</v>
      </c>
      <c r="BG14" s="4">
        <f t="shared" si="24"/>
        <v>4.3500000000000227</v>
      </c>
      <c r="BH14" s="4">
        <f t="shared" si="25"/>
        <v>5.3600000000000136</v>
      </c>
      <c r="BI14" s="4">
        <f t="shared" si="32"/>
        <v>0</v>
      </c>
      <c r="BJ14" s="4">
        <f t="shared" si="33"/>
        <v>0</v>
      </c>
      <c r="BK14" s="4">
        <f t="shared" si="34"/>
        <v>0</v>
      </c>
    </row>
    <row r="15" spans="1:64" x14ac:dyDescent="0.25">
      <c r="A15" s="9">
        <v>46112</v>
      </c>
      <c r="B15" s="5">
        <v>420</v>
      </c>
      <c r="C15" s="4">
        <v>418.68</v>
      </c>
      <c r="D15" s="11">
        <f t="shared" ref="D15" si="53">(C15-B15)/B15</f>
        <v>-3.1428571428571265E-3</v>
      </c>
      <c r="E15" s="5">
        <v>300</v>
      </c>
      <c r="F15" s="4">
        <v>292.23</v>
      </c>
      <c r="G15" s="11">
        <f t="shared" ref="G15" si="54">(F15-E15)/E15</f>
        <v>-2.589999999999994E-2</v>
      </c>
      <c r="H15" s="5">
        <v>30</v>
      </c>
      <c r="I15" s="4">
        <v>85.1</v>
      </c>
      <c r="J15" s="12">
        <f t="shared" ref="J15" si="55">(I15-H15)/H15</f>
        <v>1.8366666666666664</v>
      </c>
      <c r="K15" s="21">
        <v>300</v>
      </c>
      <c r="L15" s="4">
        <v>336.24</v>
      </c>
      <c r="M15" s="12">
        <f t="shared" ref="M15" si="56">(L15-K15)/K15</f>
        <v>0.12080000000000003</v>
      </c>
      <c r="N15" s="5">
        <v>620</v>
      </c>
      <c r="O15" s="4">
        <v>677.43</v>
      </c>
      <c r="P15" s="12">
        <f t="shared" ref="P15" si="57">(O15-N15)/N15</f>
        <v>9.2629032258064431E-2</v>
      </c>
      <c r="Q15" s="5">
        <v>305</v>
      </c>
      <c r="R15" s="4">
        <v>327.23</v>
      </c>
      <c r="S15" s="12">
        <f t="shared" ref="S15" si="58">(R15-Q15)/Q15</f>
        <v>7.2885245901639403E-2</v>
      </c>
      <c r="T15" s="5">
        <v>0</v>
      </c>
      <c r="U15" s="4">
        <v>10</v>
      </c>
      <c r="V15" s="12">
        <v>0</v>
      </c>
      <c r="W15" s="5">
        <v>0</v>
      </c>
      <c r="X15" s="4">
        <v>0</v>
      </c>
      <c r="Y15" s="12">
        <v>0</v>
      </c>
      <c r="Z15" s="5">
        <v>0</v>
      </c>
      <c r="AA15" s="4">
        <v>0</v>
      </c>
      <c r="AB15" s="12">
        <v>0</v>
      </c>
      <c r="AD15" s="8">
        <f t="shared" ref="AD15" si="59">A15</f>
        <v>46112</v>
      </c>
      <c r="AE15" s="4">
        <f t="shared" si="12"/>
        <v>720</v>
      </c>
      <c r="AF15" s="4">
        <f t="shared" si="26"/>
        <v>130</v>
      </c>
      <c r="AG15" s="4">
        <f t="shared" si="13"/>
        <v>710.91000000000008</v>
      </c>
      <c r="AH15" s="4">
        <f t="shared" ref="AH15" si="60">AG15-AE15</f>
        <v>-9.0899999999999181</v>
      </c>
      <c r="AI15" s="13">
        <f t="shared" ref="AI15" si="61">AH15/AE15</f>
        <v>-1.2624999999999886E-2</v>
      </c>
      <c r="AJ15" s="4">
        <f t="shared" ref="AJ15" si="62">AH15-AH14</f>
        <v>-41.569999999999936</v>
      </c>
      <c r="AK15" s="10"/>
      <c r="AL15" s="8">
        <f t="shared" si="16"/>
        <v>46112</v>
      </c>
      <c r="AM15" s="4">
        <f t="shared" si="3"/>
        <v>1255</v>
      </c>
      <c r="AN15" s="4">
        <f t="shared" si="28"/>
        <v>200</v>
      </c>
      <c r="AO15" s="4">
        <f t="shared" si="4"/>
        <v>1436</v>
      </c>
      <c r="AP15" s="4">
        <f t="shared" si="5"/>
        <v>181</v>
      </c>
      <c r="AQ15" s="13">
        <f t="shared" si="6"/>
        <v>0.14422310756972112</v>
      </c>
      <c r="AR15" s="4">
        <f t="shared" si="29"/>
        <v>28.309999999999945</v>
      </c>
      <c r="AS15" s="10"/>
      <c r="AT15" s="8">
        <f t="shared" si="17"/>
        <v>46112</v>
      </c>
      <c r="AU15" s="4">
        <f t="shared" si="18"/>
        <v>1975</v>
      </c>
      <c r="AV15" s="4">
        <f t="shared" si="30"/>
        <v>330</v>
      </c>
      <c r="AW15" s="4">
        <f t="shared" si="19"/>
        <v>2146.91</v>
      </c>
      <c r="AX15" s="4">
        <f t="shared" si="7"/>
        <v>171.90999999999985</v>
      </c>
      <c r="AY15" s="13">
        <f t="shared" si="8"/>
        <v>8.7043037974683476E-2</v>
      </c>
      <c r="AZ15" s="4">
        <f t="shared" si="31"/>
        <v>-13.260000000000218</v>
      </c>
      <c r="BB15" s="8">
        <f t="shared" ref="BB15" si="63">A15</f>
        <v>46112</v>
      </c>
      <c r="BC15" s="4">
        <f t="shared" ref="BC15" si="64">(C15-B15)-(C14-B14)</f>
        <v>-32.740000000000009</v>
      </c>
      <c r="BD15" s="4">
        <f t="shared" ref="BD15" si="65">(F15-E15)-(F14-E14)</f>
        <v>-8.8299999999999841</v>
      </c>
      <c r="BE15" s="4">
        <f t="shared" ref="BE15" si="66">(I15-H15)-(I14-H14)</f>
        <v>0</v>
      </c>
      <c r="BF15" s="4">
        <f t="shared" ref="BF15" si="67">(L15-K15)-(L14-K14)</f>
        <v>5.1200000000000045</v>
      </c>
      <c r="BG15" s="4">
        <f t="shared" ref="BG15" si="68">(O15-N15)-(O14-N14)</f>
        <v>8.3199999999999363</v>
      </c>
      <c r="BH15" s="4">
        <f t="shared" ref="BH15" si="69">(R15-Q15)-(R14-Q14)</f>
        <v>4.8700000000000045</v>
      </c>
      <c r="BI15" s="4">
        <f t="shared" si="32"/>
        <v>10</v>
      </c>
      <c r="BJ15" s="4">
        <f t="shared" si="33"/>
        <v>0</v>
      </c>
      <c r="BK15" s="4">
        <f t="shared" si="34"/>
        <v>0</v>
      </c>
    </row>
    <row r="16" spans="1:64" x14ac:dyDescent="0.25">
      <c r="A16" s="9">
        <v>46142</v>
      </c>
      <c r="B16" s="5">
        <v>450</v>
      </c>
      <c r="C16" s="4">
        <v>476.59</v>
      </c>
      <c r="D16" s="11">
        <f t="shared" ref="D16" si="70">(C16-B16)/B16</f>
        <v>5.9088888888888837E-2</v>
      </c>
      <c r="E16" s="5">
        <v>400</v>
      </c>
      <c r="F16" s="4">
        <v>418.03</v>
      </c>
      <c r="G16" s="11">
        <f t="shared" ref="G16" si="71">(F16-E16)/E16</f>
        <v>4.5074999999999935E-2</v>
      </c>
      <c r="H16" s="5">
        <v>30</v>
      </c>
      <c r="I16" s="4">
        <v>85.1</v>
      </c>
      <c r="J16" s="12">
        <f t="shared" ref="J16" si="72">(I16-H16)/H16</f>
        <v>1.8366666666666664</v>
      </c>
      <c r="K16" s="21">
        <v>300</v>
      </c>
      <c r="L16" s="4">
        <v>338.58</v>
      </c>
      <c r="M16" s="12">
        <f t="shared" ref="M16" si="73">(L16-K16)/K16</f>
        <v>0.12859999999999994</v>
      </c>
      <c r="N16" s="5">
        <v>620</v>
      </c>
      <c r="O16" s="4">
        <v>679.75</v>
      </c>
      <c r="P16" s="12">
        <f t="shared" ref="P16" si="74">(O16-N16)/N16</f>
        <v>9.6370967741935487E-2</v>
      </c>
      <c r="Q16" s="5">
        <v>305</v>
      </c>
      <c r="R16" s="4">
        <v>332.28</v>
      </c>
      <c r="S16" s="12">
        <f t="shared" ref="S16" si="75">(R16-Q16)/Q16</f>
        <v>8.9442622950819589E-2</v>
      </c>
      <c r="T16" s="5">
        <v>40</v>
      </c>
      <c r="U16" s="4">
        <v>50.1</v>
      </c>
      <c r="V16" s="12">
        <f t="shared" ref="V16:V21" si="76">(U16-T16)/T16</f>
        <v>0.25250000000000006</v>
      </c>
      <c r="W16" s="5">
        <v>0</v>
      </c>
      <c r="X16" s="4">
        <v>0</v>
      </c>
      <c r="Y16" s="12">
        <v>0</v>
      </c>
      <c r="Z16" s="5">
        <v>0</v>
      </c>
      <c r="AA16" s="4">
        <v>0</v>
      </c>
      <c r="AB16" s="12">
        <v>0</v>
      </c>
      <c r="AD16" s="8">
        <f t="shared" ref="AD16" si="77">A16</f>
        <v>46142</v>
      </c>
      <c r="AE16" s="4">
        <f t="shared" si="12"/>
        <v>850</v>
      </c>
      <c r="AF16" s="4">
        <f t="shared" si="26"/>
        <v>130</v>
      </c>
      <c r="AG16" s="4">
        <f t="shared" si="13"/>
        <v>894.61999999999989</v>
      </c>
      <c r="AH16" s="4">
        <f t="shared" ref="AH16" si="78">AG16-AE16</f>
        <v>44.619999999999891</v>
      </c>
      <c r="AI16" s="13">
        <f t="shared" ref="AI16" si="79">AH16/AE16</f>
        <v>5.2494117647058698E-2</v>
      </c>
      <c r="AJ16" s="4">
        <f t="shared" ref="AJ16" si="80">AH16-AH15</f>
        <v>53.709999999999809</v>
      </c>
      <c r="AK16" s="10"/>
      <c r="AL16" s="8">
        <f t="shared" si="16"/>
        <v>46142</v>
      </c>
      <c r="AM16" s="4">
        <f t="shared" si="3"/>
        <v>1295</v>
      </c>
      <c r="AN16" s="4">
        <f t="shared" si="28"/>
        <v>40</v>
      </c>
      <c r="AO16" s="4">
        <f t="shared" si="4"/>
        <v>1485.8099999999997</v>
      </c>
      <c r="AP16" s="4">
        <f t="shared" si="5"/>
        <v>190.80999999999972</v>
      </c>
      <c r="AQ16" s="13">
        <f t="shared" si="6"/>
        <v>0.14734362934362913</v>
      </c>
      <c r="AR16" s="4">
        <f t="shared" si="29"/>
        <v>9.8099999999997181</v>
      </c>
      <c r="AS16" s="10"/>
      <c r="AT16" s="8">
        <f t="shared" si="17"/>
        <v>46142</v>
      </c>
      <c r="AU16" s="4">
        <f t="shared" si="18"/>
        <v>2145</v>
      </c>
      <c r="AV16" s="4">
        <f t="shared" si="30"/>
        <v>170</v>
      </c>
      <c r="AW16" s="4">
        <f t="shared" si="19"/>
        <v>2380.4299999999994</v>
      </c>
      <c r="AX16" s="4">
        <f t="shared" si="7"/>
        <v>235.42999999999938</v>
      </c>
      <c r="AY16" s="13">
        <f t="shared" si="8"/>
        <v>0.10975757575757547</v>
      </c>
      <c r="AZ16" s="4">
        <f t="shared" si="31"/>
        <v>63.519999999999527</v>
      </c>
      <c r="BB16" s="8">
        <f t="shared" ref="BB16" si="81">A16</f>
        <v>46142</v>
      </c>
      <c r="BC16" s="4">
        <f t="shared" ref="BC16" si="82">(C16-B16)-(C15-B15)</f>
        <v>27.909999999999968</v>
      </c>
      <c r="BD16" s="4">
        <f t="shared" ref="BD16" si="83">(F16-E16)-(F15-E15)</f>
        <v>25.799999999999955</v>
      </c>
      <c r="BE16" s="4">
        <f t="shared" ref="BE16" si="84">(I16-H16)-(I15-H15)</f>
        <v>0</v>
      </c>
      <c r="BF16" s="4">
        <f t="shared" ref="BF16" si="85">(L16-K16)-(L15-K15)</f>
        <v>2.339999999999975</v>
      </c>
      <c r="BG16" s="4">
        <f t="shared" ref="BG16" si="86">(O16-N16)-(O15-N15)</f>
        <v>2.32000000000005</v>
      </c>
      <c r="BH16" s="4">
        <f t="shared" ref="BH16" si="87">(R16-Q16)-(R15-Q15)</f>
        <v>5.0499999999999545</v>
      </c>
      <c r="BI16" s="4">
        <f t="shared" si="32"/>
        <v>0.10000000000000142</v>
      </c>
      <c r="BJ16" s="4">
        <f t="shared" si="33"/>
        <v>0</v>
      </c>
      <c r="BK16" s="4">
        <f t="shared" ref="BK16" si="88">(AA16-Z16)-(AA15-Z15)</f>
        <v>0</v>
      </c>
    </row>
    <row r="17" spans="1:67" x14ac:dyDescent="0.25">
      <c r="A17" s="9">
        <v>46173</v>
      </c>
      <c r="B17" s="5">
        <v>480</v>
      </c>
      <c r="C17" s="4">
        <v>527.07000000000005</v>
      </c>
      <c r="D17" s="11">
        <f t="shared" ref="D17" si="89">(C17-B17)/B17</f>
        <v>9.8062500000000108E-2</v>
      </c>
      <c r="E17" s="5">
        <v>500</v>
      </c>
      <c r="F17" s="4">
        <v>544.42999999999995</v>
      </c>
      <c r="G17" s="11">
        <f t="shared" ref="G17" si="90">(F17-E17)/E17</f>
        <v>8.8859999999999897E-2</v>
      </c>
      <c r="H17" s="5">
        <v>30</v>
      </c>
      <c r="I17" s="4">
        <v>85.35</v>
      </c>
      <c r="J17" s="12">
        <f t="shared" ref="J17" si="91">(I17-H17)/H17</f>
        <v>1.8449999999999998</v>
      </c>
      <c r="K17" s="21">
        <v>514.99</v>
      </c>
      <c r="L17" s="4">
        <v>554.53</v>
      </c>
      <c r="M17" s="12">
        <f t="shared" ref="M17" si="92">(L17-K17)/K17</f>
        <v>7.6778189867764357E-2</v>
      </c>
      <c r="N17" s="5">
        <v>620</v>
      </c>
      <c r="O17" s="4">
        <v>684.13</v>
      </c>
      <c r="P17" s="12">
        <f t="shared" ref="P17" si="93">(O17-N17)/N17</f>
        <v>0.10343548387096774</v>
      </c>
      <c r="Q17" s="5">
        <v>305</v>
      </c>
      <c r="R17" s="4">
        <v>333.1</v>
      </c>
      <c r="S17" s="12">
        <f t="shared" ref="S17" si="94">(R17-Q17)/Q17</f>
        <v>9.2131147540983685E-2</v>
      </c>
      <c r="T17" s="5">
        <v>70</v>
      </c>
      <c r="U17" s="4">
        <v>80.5</v>
      </c>
      <c r="V17" s="12">
        <f t="shared" si="76"/>
        <v>0.15</v>
      </c>
      <c r="W17" s="5">
        <v>0</v>
      </c>
      <c r="X17" s="4">
        <v>0</v>
      </c>
      <c r="Y17" s="12">
        <v>0</v>
      </c>
      <c r="Z17" s="5">
        <v>0</v>
      </c>
      <c r="AA17" s="4">
        <v>0</v>
      </c>
      <c r="AB17" s="12">
        <v>0</v>
      </c>
      <c r="AD17" s="8">
        <f t="shared" ref="AD17" si="95">A17</f>
        <v>46173</v>
      </c>
      <c r="AE17" s="4">
        <f t="shared" ref="AE17" si="96">B17+E17</f>
        <v>980</v>
      </c>
      <c r="AF17" s="4">
        <f t="shared" ref="AF17" si="97">AE17-AE16</f>
        <v>130</v>
      </c>
      <c r="AG17" s="4">
        <f t="shared" ref="AG17" si="98">C17+F17</f>
        <v>1071.5</v>
      </c>
      <c r="AH17" s="4">
        <f t="shared" ref="AH17" si="99">AG17-AE17</f>
        <v>91.5</v>
      </c>
      <c r="AI17" s="13">
        <f t="shared" ref="AI17" si="100">AH17/AE17</f>
        <v>9.3367346938775506E-2</v>
      </c>
      <c r="AJ17" s="4">
        <f t="shared" ref="AJ17" si="101">AH17-AH16</f>
        <v>46.880000000000109</v>
      </c>
      <c r="AK17" s="10"/>
      <c r="AL17" s="8">
        <f t="shared" ref="AL17" si="102">A17</f>
        <v>46173</v>
      </c>
      <c r="AM17" s="4">
        <f t="shared" si="3"/>
        <v>1539.99</v>
      </c>
      <c r="AN17" s="4">
        <f t="shared" ref="AN17" si="103">AM17-AM16</f>
        <v>244.99</v>
      </c>
      <c r="AO17" s="4">
        <f t="shared" si="4"/>
        <v>1737.6100000000001</v>
      </c>
      <c r="AP17" s="4">
        <f t="shared" ref="AP17" si="104">AO17-AM17</f>
        <v>197.62000000000012</v>
      </c>
      <c r="AQ17" s="13">
        <f t="shared" ref="AQ17" si="105">AP17/AM17</f>
        <v>0.12832550860719882</v>
      </c>
      <c r="AR17" s="4">
        <f t="shared" ref="AR17" si="106">AP17-AP16</f>
        <v>6.8100000000004002</v>
      </c>
      <c r="AS17" s="10"/>
      <c r="AT17" s="8">
        <f t="shared" ref="AT17" si="107">A17</f>
        <v>46173</v>
      </c>
      <c r="AU17" s="4">
        <f t="shared" ref="AU17" si="108">AE17+AM17</f>
        <v>2519.9899999999998</v>
      </c>
      <c r="AV17" s="4">
        <f t="shared" ref="AV17" si="109">AU17-AU16</f>
        <v>374.98999999999978</v>
      </c>
      <c r="AW17" s="4">
        <f t="shared" ref="AW17" si="110">AG17+AO17</f>
        <v>2809.11</v>
      </c>
      <c r="AX17" s="4">
        <f t="shared" ref="AX17" si="111">AW17-AU17</f>
        <v>289.12000000000035</v>
      </c>
      <c r="AY17" s="13">
        <f t="shared" ref="AY17" si="112">AX17/AU17</f>
        <v>0.11473061401037321</v>
      </c>
      <c r="AZ17" s="4">
        <f t="shared" ref="AZ17" si="113">AX17-AX16</f>
        <v>53.690000000000964</v>
      </c>
      <c r="BB17" s="8">
        <f t="shared" ref="BB17" si="114">A17</f>
        <v>46173</v>
      </c>
      <c r="BC17" s="4">
        <f t="shared" ref="BC17" si="115">(C17-B17)-(C16-B16)</f>
        <v>20.480000000000075</v>
      </c>
      <c r="BD17" s="4">
        <f t="shared" ref="BD17" si="116">(F17-E17)-(F16-E16)</f>
        <v>26.399999999999977</v>
      </c>
      <c r="BE17" s="4">
        <f t="shared" ref="BE17" si="117">(I17-H17)-(I16-H16)</f>
        <v>0.25</v>
      </c>
      <c r="BF17" s="4">
        <f t="shared" ref="BF17" si="118">(L17-K17)-(L16-K16)</f>
        <v>0.95999999999997954</v>
      </c>
      <c r="BG17" s="4">
        <f t="shared" ref="BG17" si="119">(O17-N17)-(O16-N16)</f>
        <v>4.3799999999999955</v>
      </c>
      <c r="BH17" s="4">
        <f t="shared" ref="BH17" si="120">(R17-Q17)-(R16-Q16)</f>
        <v>0.82000000000005002</v>
      </c>
      <c r="BI17" s="4">
        <f t="shared" si="32"/>
        <v>0.39999999999999858</v>
      </c>
      <c r="BJ17" s="4">
        <f t="shared" si="33"/>
        <v>0</v>
      </c>
      <c r="BK17" s="4">
        <f t="shared" ref="BK17" si="121">(AA17-Z17)-(AA16-Z16)</f>
        <v>0</v>
      </c>
    </row>
    <row r="18" spans="1:67" x14ac:dyDescent="0.25">
      <c r="A18" s="9">
        <v>46203</v>
      </c>
      <c r="B18" s="5">
        <v>510</v>
      </c>
      <c r="C18" s="4">
        <v>560.79999999999995</v>
      </c>
      <c r="D18" s="11">
        <f t="shared" ref="D18" si="122">(C18-B18)/B18</f>
        <v>9.9607843137254806E-2</v>
      </c>
      <c r="E18" s="5">
        <v>600</v>
      </c>
      <c r="F18" s="4">
        <v>655.75</v>
      </c>
      <c r="G18" s="11">
        <f t="shared" ref="G18" si="123">(F18-E18)/E18</f>
        <v>9.2916666666666661E-2</v>
      </c>
      <c r="H18" s="5">
        <v>30</v>
      </c>
      <c r="I18" s="4">
        <v>85.35</v>
      </c>
      <c r="J18" s="12">
        <f t="shared" ref="J18" si="124">(I18-H18)/H18</f>
        <v>1.8449999999999998</v>
      </c>
      <c r="K18" s="21">
        <v>623.95000000000005</v>
      </c>
      <c r="L18" s="4">
        <v>663.49</v>
      </c>
      <c r="M18" s="12">
        <f t="shared" ref="M18" si="125">(L18-K18)/K18</f>
        <v>6.3370462376792946E-2</v>
      </c>
      <c r="N18" s="5">
        <v>620</v>
      </c>
      <c r="O18" s="4">
        <v>693.4</v>
      </c>
      <c r="P18" s="12">
        <f t="shared" ref="P18" si="126">(O18-N18)/N18</f>
        <v>0.11838709677419351</v>
      </c>
      <c r="Q18" s="5">
        <v>305</v>
      </c>
      <c r="R18" s="4">
        <v>333.92</v>
      </c>
      <c r="S18" s="12">
        <f t="shared" ref="S18" si="127">(R18-Q18)/Q18</f>
        <v>9.4819672131147587E-2</v>
      </c>
      <c r="T18" s="5">
        <v>70</v>
      </c>
      <c r="U18" s="4">
        <v>81.400000000000006</v>
      </c>
      <c r="V18" s="12">
        <f t="shared" si="76"/>
        <v>0.16285714285714295</v>
      </c>
      <c r="W18" s="5">
        <v>0</v>
      </c>
      <c r="X18" s="4">
        <v>0</v>
      </c>
      <c r="Y18" s="12">
        <v>0</v>
      </c>
      <c r="Z18" s="5">
        <v>0</v>
      </c>
      <c r="AA18" s="4">
        <v>0</v>
      </c>
      <c r="AB18" s="12">
        <v>0</v>
      </c>
      <c r="AD18" s="8">
        <f t="shared" ref="AD18" si="128">A18</f>
        <v>46203</v>
      </c>
      <c r="AE18" s="4">
        <f t="shared" ref="AE18" si="129">B18+E18</f>
        <v>1110</v>
      </c>
      <c r="AF18" s="4">
        <f t="shared" ref="AF18" si="130">AE18-AE17</f>
        <v>130</v>
      </c>
      <c r="AG18" s="4">
        <f t="shared" ref="AG18" si="131">C18+F18</f>
        <v>1216.55</v>
      </c>
      <c r="AH18" s="4">
        <f t="shared" ref="AH18" si="132">AG18-AE18</f>
        <v>106.54999999999995</v>
      </c>
      <c r="AI18" s="13">
        <f t="shared" ref="AI18" si="133">AH18/AE18</f>
        <v>9.5990990990990954E-2</v>
      </c>
      <c r="AJ18" s="4">
        <f t="shared" ref="AJ18" si="134">AH18-AH17</f>
        <v>15.049999999999955</v>
      </c>
      <c r="AK18" s="10"/>
      <c r="AL18" s="8">
        <f t="shared" ref="AL18" si="135">A18</f>
        <v>46203</v>
      </c>
      <c r="AM18" s="4">
        <f t="shared" si="3"/>
        <v>1648.95</v>
      </c>
      <c r="AN18" s="4">
        <f t="shared" ref="AN18" si="136">AM18-AM17</f>
        <v>108.96000000000004</v>
      </c>
      <c r="AO18" s="4">
        <f t="shared" si="4"/>
        <v>1857.5600000000002</v>
      </c>
      <c r="AP18" s="4">
        <f t="shared" ref="AP18" si="137">AO18-AM18</f>
        <v>208.61000000000013</v>
      </c>
      <c r="AQ18" s="13">
        <f t="shared" ref="AQ18" si="138">AP18/AM18</f>
        <v>0.12651080990933633</v>
      </c>
      <c r="AR18" s="4">
        <f t="shared" ref="AR18" si="139">AP18-AP17</f>
        <v>10.990000000000009</v>
      </c>
      <c r="AS18" s="10"/>
      <c r="AT18" s="8">
        <f t="shared" ref="AT18" si="140">A18</f>
        <v>46203</v>
      </c>
      <c r="AU18" s="4">
        <f t="shared" ref="AU18" si="141">AE18+AM18</f>
        <v>2758.95</v>
      </c>
      <c r="AV18" s="4">
        <f t="shared" ref="AV18" si="142">AU18-AU17</f>
        <v>238.96000000000004</v>
      </c>
      <c r="AW18" s="4">
        <f t="shared" ref="AW18" si="143">AG18+AO18</f>
        <v>3074.11</v>
      </c>
      <c r="AX18" s="4">
        <f t="shared" ref="AX18" si="144">AW18-AU18</f>
        <v>315.16000000000031</v>
      </c>
      <c r="AY18" s="13">
        <f t="shared" ref="AY18" si="145">AX18/AU18</f>
        <v>0.1142318635712863</v>
      </c>
      <c r="AZ18" s="4">
        <f t="shared" ref="AZ18" si="146">AX18-AX17</f>
        <v>26.039999999999964</v>
      </c>
      <c r="BB18" s="8">
        <f t="shared" ref="BB18" si="147">A18</f>
        <v>46203</v>
      </c>
      <c r="BC18" s="4">
        <f t="shared" ref="BC18" si="148">(C18-B18)-(C17-B17)</f>
        <v>3.7299999999999045</v>
      </c>
      <c r="BD18" s="4">
        <f t="shared" ref="BD18" si="149">(F18-E18)-(F17-E17)</f>
        <v>11.32000000000005</v>
      </c>
      <c r="BE18" s="4">
        <f t="shared" ref="BE18" si="150">(I18-H18)-(I17-H17)</f>
        <v>0</v>
      </c>
      <c r="BF18" s="4">
        <f t="shared" ref="BF18" si="151">(L18-K18)-(L17-K17)</f>
        <v>0</v>
      </c>
      <c r="BG18" s="4">
        <f t="shared" ref="BG18" si="152">(O18-N18)-(O17-N17)</f>
        <v>9.2699999999999818</v>
      </c>
      <c r="BH18" s="4">
        <f t="shared" ref="BH18" si="153">(R18-Q18)-(R17-Q17)</f>
        <v>0.81999999999999318</v>
      </c>
      <c r="BI18" s="4">
        <f t="shared" si="32"/>
        <v>0.90000000000000568</v>
      </c>
      <c r="BJ18" s="4">
        <f t="shared" si="33"/>
        <v>0</v>
      </c>
      <c r="BK18" s="4">
        <f t="shared" ref="BK18" si="154">(AA18-Z18)-(AA17-Z17)</f>
        <v>0</v>
      </c>
    </row>
    <row r="19" spans="1:67" x14ac:dyDescent="0.25">
      <c r="A19" s="9">
        <v>46234</v>
      </c>
      <c r="B19" s="5">
        <v>540</v>
      </c>
      <c r="C19" s="4">
        <v>593.07000000000005</v>
      </c>
      <c r="D19" s="11">
        <f t="shared" ref="D19" si="155">(C19-B19)/B19</f>
        <v>9.8277777777777867E-2</v>
      </c>
      <c r="E19" s="5">
        <v>700</v>
      </c>
      <c r="F19" s="4">
        <v>744.8</v>
      </c>
      <c r="G19" s="11">
        <f t="shared" ref="G19" si="156">(F19-E19)/E19</f>
        <v>6.3999999999999932E-2</v>
      </c>
      <c r="H19" s="5">
        <v>30</v>
      </c>
      <c r="I19" s="4">
        <v>85.35</v>
      </c>
      <c r="J19" s="12">
        <f t="shared" ref="J19" si="157">(I19-H19)/H19</f>
        <v>1.8449999999999998</v>
      </c>
      <c r="K19" s="21">
        <v>623.95000000000005</v>
      </c>
      <c r="L19" s="4">
        <v>665.73</v>
      </c>
      <c r="M19" s="12">
        <f t="shared" ref="M19" si="158">(L19-K19)/K19</f>
        <v>6.6960493629297166E-2</v>
      </c>
      <c r="N19" s="5">
        <v>620</v>
      </c>
      <c r="O19" s="4">
        <v>695.94</v>
      </c>
      <c r="P19" s="12">
        <f t="shared" ref="P19" si="159">(O19-N19)/N19</f>
        <v>0.12248387096774202</v>
      </c>
      <c r="Q19" s="5">
        <v>305</v>
      </c>
      <c r="R19" s="4">
        <v>334.8</v>
      </c>
      <c r="S19" s="12">
        <f t="shared" ref="S19" si="160">(R19-Q19)/Q19</f>
        <v>9.7704918032786928E-2</v>
      </c>
      <c r="T19" s="5">
        <v>70</v>
      </c>
      <c r="U19" s="4">
        <v>82.1</v>
      </c>
      <c r="V19" s="12">
        <f t="shared" si="76"/>
        <v>0.17285714285714276</v>
      </c>
      <c r="W19" s="5">
        <v>0</v>
      </c>
      <c r="X19" s="4">
        <v>0</v>
      </c>
      <c r="Y19" s="12">
        <v>0</v>
      </c>
      <c r="Z19" s="5">
        <v>0</v>
      </c>
      <c r="AA19" s="4">
        <v>0</v>
      </c>
      <c r="AB19" s="12">
        <v>0</v>
      </c>
      <c r="AD19" s="8">
        <f t="shared" ref="AD19" si="161">A19</f>
        <v>46234</v>
      </c>
      <c r="AE19" s="4">
        <f t="shared" ref="AE19" si="162">B19+E19</f>
        <v>1240</v>
      </c>
      <c r="AF19" s="4">
        <f t="shared" ref="AF19" si="163">AE19-AE18</f>
        <v>130</v>
      </c>
      <c r="AG19" s="4">
        <f t="shared" ref="AG19" si="164">C19+F19</f>
        <v>1337.87</v>
      </c>
      <c r="AH19" s="4">
        <f t="shared" ref="AH19" si="165">AG19-AE19</f>
        <v>97.869999999999891</v>
      </c>
      <c r="AI19" s="13">
        <f t="shared" ref="AI19" si="166">AH19/AE19</f>
        <v>7.8927419354838615E-2</v>
      </c>
      <c r="AJ19" s="4">
        <f t="shared" ref="AJ19" si="167">AH19-AH18</f>
        <v>-8.6800000000000637</v>
      </c>
      <c r="AK19" s="10"/>
      <c r="AL19" s="8">
        <f t="shared" ref="AL19" si="168">A19</f>
        <v>46234</v>
      </c>
      <c r="AM19" s="4">
        <f>H19+K19+N19+Q19+T19+W19+Z19</f>
        <v>1648.95</v>
      </c>
      <c r="AN19" s="4">
        <f t="shared" ref="AN19" si="169">AM19-AM18</f>
        <v>0</v>
      </c>
      <c r="AO19" s="4">
        <f>I19+L19+O19+R19+U19+X19+AA19</f>
        <v>1863.9199999999998</v>
      </c>
      <c r="AP19" s="4">
        <f t="shared" ref="AP19" si="170">AO19-AM19</f>
        <v>214.9699999999998</v>
      </c>
      <c r="AQ19" s="13">
        <f t="shared" ref="AQ19" si="171">AP19/AM19</f>
        <v>0.13036780981836915</v>
      </c>
      <c r="AR19" s="4">
        <f t="shared" ref="AR19" si="172">AP19-AP18</f>
        <v>6.3599999999996726</v>
      </c>
      <c r="AS19" s="10"/>
      <c r="AT19" s="8">
        <f t="shared" ref="AT19" si="173">A19</f>
        <v>46234</v>
      </c>
      <c r="AU19" s="4">
        <f t="shared" ref="AU19" si="174">AE19+AM19</f>
        <v>2888.95</v>
      </c>
      <c r="AV19" s="4">
        <f t="shared" ref="AV19" si="175">AU19-AU18</f>
        <v>130</v>
      </c>
      <c r="AW19" s="4">
        <f t="shared" ref="AW19" si="176">AG19+AO19</f>
        <v>3201.79</v>
      </c>
      <c r="AX19" s="4">
        <f t="shared" ref="AX19" si="177">AW19-AU19</f>
        <v>312.84000000000015</v>
      </c>
      <c r="AY19" s="13">
        <f t="shared" ref="AY19" si="178">AX19/AU19</f>
        <v>0.10828847851295459</v>
      </c>
      <c r="AZ19" s="4">
        <f t="shared" ref="AZ19" si="179">AX19-AX18</f>
        <v>-2.3200000000001637</v>
      </c>
      <c r="BB19" s="8">
        <f t="shared" ref="BB19" si="180">A19</f>
        <v>46234</v>
      </c>
      <c r="BC19" s="4">
        <f t="shared" ref="BC19" si="181">(C19-B19)-(C18-B18)</f>
        <v>2.2700000000000955</v>
      </c>
      <c r="BD19" s="4">
        <f t="shared" ref="BD19" si="182">(F19-E19)-(F18-E18)</f>
        <v>-10.950000000000045</v>
      </c>
      <c r="BE19" s="4">
        <f t="shared" ref="BE19" si="183">(I19-H19)-(I18-H18)</f>
        <v>0</v>
      </c>
      <c r="BF19" s="4">
        <f t="shared" ref="BF19" si="184">(L19-K19)-(L18-K18)</f>
        <v>2.2400000000000091</v>
      </c>
      <c r="BG19" s="4">
        <f t="shared" ref="BG19" si="185">(O19-N19)-(O18-N18)</f>
        <v>2.5400000000000773</v>
      </c>
      <c r="BH19" s="4">
        <f t="shared" ref="BH19" si="186">(R19-Q19)-(R18-Q18)</f>
        <v>0.87999999999999545</v>
      </c>
      <c r="BI19" s="4">
        <f t="shared" si="32"/>
        <v>0.69999999999998863</v>
      </c>
      <c r="BJ19" s="4">
        <f t="shared" si="33"/>
        <v>0</v>
      </c>
      <c r="BK19" s="4">
        <f t="shared" ref="BK19" si="187">(AA19-Z19)-(AA18-Z18)</f>
        <v>0</v>
      </c>
    </row>
    <row r="20" spans="1:67" x14ac:dyDescent="0.25">
      <c r="A20" s="9">
        <v>46265</v>
      </c>
      <c r="B20" s="5">
        <v>570</v>
      </c>
      <c r="C20" s="4">
        <v>637.35</v>
      </c>
      <c r="D20" s="11">
        <f t="shared" ref="D20" si="188">(C20-B20)/B20</f>
        <v>0.11815789473684214</v>
      </c>
      <c r="E20" s="5">
        <v>800</v>
      </c>
      <c r="F20" s="4">
        <v>860.35</v>
      </c>
      <c r="G20" s="11">
        <f t="shared" ref="G20" si="189">(F20-E20)/E20</f>
        <v>7.5437500000000032E-2</v>
      </c>
      <c r="H20" s="5">
        <v>30</v>
      </c>
      <c r="I20" s="4">
        <v>85.35</v>
      </c>
      <c r="J20" s="12">
        <f t="shared" ref="J20" si="190">(I20-H20)/H20</f>
        <v>1.8449999999999998</v>
      </c>
      <c r="K20" s="21">
        <v>623.95000000000005</v>
      </c>
      <c r="L20" s="4">
        <v>666.84</v>
      </c>
      <c r="M20" s="12">
        <f t="shared" ref="M20" si="191">(L20-K20)/K20</f>
        <v>6.8739482330314905E-2</v>
      </c>
      <c r="N20" s="5">
        <v>620</v>
      </c>
      <c r="O20" s="4">
        <v>698.99</v>
      </c>
      <c r="P20" s="12">
        <f t="shared" ref="P20" si="192">(O20-N20)/N20</f>
        <v>0.12740322580645164</v>
      </c>
      <c r="Q20" s="5">
        <v>305</v>
      </c>
      <c r="R20" s="4">
        <v>339.23</v>
      </c>
      <c r="S20" s="12">
        <f t="shared" ref="S20" si="193">(R20-Q20)/Q20</f>
        <v>0.11222950819672137</v>
      </c>
      <c r="T20" s="5">
        <v>80</v>
      </c>
      <c r="U20" s="4">
        <v>92.67</v>
      </c>
      <c r="V20" s="12">
        <f t="shared" si="76"/>
        <v>0.15837500000000002</v>
      </c>
      <c r="W20" s="5">
        <v>200</v>
      </c>
      <c r="X20" s="4">
        <v>201.3</v>
      </c>
      <c r="Y20" s="12">
        <f>(X20-W20)/W20</f>
        <v>6.5000000000000569E-3</v>
      </c>
      <c r="Z20" s="5">
        <v>100</v>
      </c>
      <c r="AA20" s="4">
        <v>100</v>
      </c>
      <c r="AB20" s="12">
        <v>0</v>
      </c>
      <c r="AD20" s="8">
        <f t="shared" ref="AD20" si="194">A20</f>
        <v>46265</v>
      </c>
      <c r="AE20" s="4">
        <f t="shared" ref="AE20" si="195">B20+E20</f>
        <v>1370</v>
      </c>
      <c r="AF20" s="4">
        <f t="shared" ref="AF20" si="196">AE20-AE19</f>
        <v>130</v>
      </c>
      <c r="AG20" s="4">
        <f t="shared" ref="AG20" si="197">C20+F20</f>
        <v>1497.7</v>
      </c>
      <c r="AH20" s="4">
        <f t="shared" ref="AH20" si="198">AG20-AE20</f>
        <v>127.70000000000005</v>
      </c>
      <c r="AI20" s="13">
        <f t="shared" ref="AI20" si="199">AH20/AE20</f>
        <v>9.3211678832116826E-2</v>
      </c>
      <c r="AJ20" s="4">
        <f t="shared" ref="AJ20" si="200">AH20-AH19</f>
        <v>29.830000000000155</v>
      </c>
      <c r="AK20" s="10"/>
      <c r="AL20" s="8">
        <f t="shared" ref="AL20" si="201">A20</f>
        <v>46265</v>
      </c>
      <c r="AM20" s="4">
        <f>H20+K20+N20+Q20+T20+W20+Z20</f>
        <v>1958.95</v>
      </c>
      <c r="AN20" s="4">
        <f t="shared" ref="AN20" si="202">AM20-AM19</f>
        <v>310</v>
      </c>
      <c r="AO20" s="4">
        <f>I20+L20+O20+R20+U20+X20+AA20</f>
        <v>2184.38</v>
      </c>
      <c r="AP20" s="4">
        <f t="shared" ref="AP20" si="203">AO20-AM20</f>
        <v>225.43000000000006</v>
      </c>
      <c r="AQ20" s="13">
        <f t="shared" ref="AQ20" si="204">AP20/AM20</f>
        <v>0.11507695449092629</v>
      </c>
      <c r="AR20" s="4">
        <f t="shared" ref="AR20" si="205">AP20-AP19</f>
        <v>10.460000000000264</v>
      </c>
      <c r="AS20" s="10"/>
      <c r="AT20" s="8">
        <f t="shared" ref="AT20" si="206">A20</f>
        <v>46265</v>
      </c>
      <c r="AU20" s="4">
        <f t="shared" ref="AU20" si="207">AE20+AM20</f>
        <v>3328.95</v>
      </c>
      <c r="AV20" s="4">
        <f t="shared" ref="AV20" si="208">AU20-AU19</f>
        <v>440</v>
      </c>
      <c r="AW20" s="4">
        <f t="shared" ref="AW20" si="209">AG20+AO20</f>
        <v>3682.08</v>
      </c>
      <c r="AX20" s="4">
        <f t="shared" ref="AX20" si="210">AW20-AU20</f>
        <v>353.13000000000011</v>
      </c>
      <c r="AY20" s="13">
        <f t="shared" ref="AY20" si="211">AX20/AU20</f>
        <v>0.10607849321858248</v>
      </c>
      <c r="AZ20" s="4">
        <f t="shared" ref="AZ20" si="212">AX20-AX19</f>
        <v>40.289999999999964</v>
      </c>
      <c r="BB20" s="8">
        <f t="shared" ref="BB20" si="213">A20</f>
        <v>46265</v>
      </c>
      <c r="BC20" s="4">
        <f t="shared" ref="BC20" si="214">(C20-B20)-(C19-B19)</f>
        <v>14.279999999999973</v>
      </c>
      <c r="BD20" s="4">
        <f t="shared" ref="BD20" si="215">(F20-E20)-(F19-E19)</f>
        <v>15.550000000000068</v>
      </c>
      <c r="BE20" s="4">
        <f t="shared" ref="BE20" si="216">(I20-H20)-(I19-H19)</f>
        <v>0</v>
      </c>
      <c r="BF20" s="4">
        <f t="shared" ref="BF20" si="217">(L20-K20)-(L19-K19)</f>
        <v>1.1100000000000136</v>
      </c>
      <c r="BG20" s="4">
        <f t="shared" ref="BG20" si="218">(O20-N20)-(O19-N19)</f>
        <v>3.0499999999999545</v>
      </c>
      <c r="BH20" s="4">
        <f t="shared" ref="BH20" si="219">(R20-Q20)-(R19-Q19)</f>
        <v>4.4300000000000068</v>
      </c>
      <c r="BI20" s="4">
        <f t="shared" ref="BI20" si="220">(U20-T20)-(U19-T19)</f>
        <v>0.57000000000000739</v>
      </c>
      <c r="BJ20" s="4">
        <f t="shared" ref="BJ20" si="221">(X20-W20)-(X19-W19)</f>
        <v>1.3000000000000114</v>
      </c>
      <c r="BK20" s="4">
        <f t="shared" ref="BK20" si="222">(AA20-Z20)-(AA19-Z19)</f>
        <v>0</v>
      </c>
      <c r="BN20" t="s">
        <v>19</v>
      </c>
    </row>
    <row r="21" spans="1:67" x14ac:dyDescent="0.25">
      <c r="A21" s="9">
        <v>46295</v>
      </c>
      <c r="B21" s="5">
        <v>600</v>
      </c>
      <c r="C21" s="4">
        <v>660.22</v>
      </c>
      <c r="D21" s="11">
        <f t="shared" ref="D21" si="223">(C21-B21)/B21</f>
        <v>0.10036666666666672</v>
      </c>
      <c r="E21" s="5">
        <v>900</v>
      </c>
      <c r="F21" s="4">
        <v>974.4</v>
      </c>
      <c r="G21" s="11">
        <f t="shared" ref="G21" si="224">(F21-E21)/E21</f>
        <v>8.2666666666666638E-2</v>
      </c>
      <c r="H21" s="5">
        <v>30</v>
      </c>
      <c r="I21" s="4">
        <v>85.35</v>
      </c>
      <c r="J21" s="12">
        <f t="shared" ref="J21" si="225">(I21-H21)/H21</f>
        <v>1.8449999999999998</v>
      </c>
      <c r="K21" s="21">
        <v>623.95000000000005</v>
      </c>
      <c r="L21" s="4">
        <v>674.58</v>
      </c>
      <c r="M21" s="12">
        <f t="shared" ref="M21" si="226">(L21-K21)/K21</f>
        <v>8.1144322461735696E-2</v>
      </c>
      <c r="N21" s="5">
        <v>620</v>
      </c>
      <c r="O21" s="4">
        <v>704.91</v>
      </c>
      <c r="P21" s="12">
        <f t="shared" ref="P21" si="227">(O21-N21)/N21</f>
        <v>0.13695161290322574</v>
      </c>
      <c r="Q21" s="5">
        <v>305</v>
      </c>
      <c r="R21" s="4">
        <v>343.8</v>
      </c>
      <c r="S21" s="12">
        <f t="shared" ref="S21" si="228">(R21-Q21)/Q21</f>
        <v>0.12721311475409841</v>
      </c>
      <c r="T21" s="5">
        <v>80</v>
      </c>
      <c r="U21" s="4">
        <v>93.44</v>
      </c>
      <c r="V21" s="12">
        <f t="shared" si="76"/>
        <v>0.16799999999999998</v>
      </c>
      <c r="W21" s="5">
        <v>200</v>
      </c>
      <c r="X21" s="4">
        <v>203.05</v>
      </c>
      <c r="Y21" s="12">
        <f>(X21-W21)/W21</f>
        <v>1.5250000000000057E-2</v>
      </c>
      <c r="Z21" s="5">
        <v>100</v>
      </c>
      <c r="AA21" s="4">
        <v>100.59</v>
      </c>
      <c r="AB21" s="12">
        <f>(AA21-Z21)/Z21</f>
        <v>5.9000000000000337E-3</v>
      </c>
      <c r="AD21" s="8">
        <f t="shared" ref="AD21" si="229">A21</f>
        <v>46295</v>
      </c>
      <c r="AE21" s="4">
        <f t="shared" ref="AE21" si="230">B21+E21</f>
        <v>1500</v>
      </c>
      <c r="AF21" s="4">
        <f t="shared" ref="AF21" si="231">AE21-AE20</f>
        <v>130</v>
      </c>
      <c r="AG21" s="4">
        <f t="shared" ref="AG21" si="232">C21+F21</f>
        <v>1634.62</v>
      </c>
      <c r="AH21" s="4">
        <f t="shared" ref="AH21" si="233">AG21-AE21</f>
        <v>134.61999999999989</v>
      </c>
      <c r="AI21" s="13">
        <f t="shared" ref="AI21" si="234">AH21/AE21</f>
        <v>8.97466666666666E-2</v>
      </c>
      <c r="AJ21" s="4">
        <f t="shared" ref="AJ21" si="235">AH21-AH20</f>
        <v>6.9199999999998454</v>
      </c>
      <c r="AK21" s="10"/>
      <c r="AL21" s="8">
        <f t="shared" ref="AL21" si="236">A21</f>
        <v>46295</v>
      </c>
      <c r="AM21" s="4">
        <f>H21+K21+N21+Q21+T21+W21+Z21</f>
        <v>1958.95</v>
      </c>
      <c r="AN21" s="4">
        <f t="shared" ref="AN21" si="237">AM21-AM20</f>
        <v>0</v>
      </c>
      <c r="AO21" s="4">
        <f>I21+L21+O21+R21+U21+X21+AA21</f>
        <v>2205.7200000000003</v>
      </c>
      <c r="AP21" s="4">
        <f t="shared" ref="AP21" si="238">AO21-AM21</f>
        <v>246.77000000000021</v>
      </c>
      <c r="AQ21" s="13">
        <f t="shared" ref="AQ21" si="239">AP21/AM21</f>
        <v>0.12597054544526415</v>
      </c>
      <c r="AR21" s="4">
        <f t="shared" ref="AR21" si="240">AP21-AP20</f>
        <v>21.340000000000146</v>
      </c>
      <c r="AS21" s="10"/>
      <c r="AT21" s="8">
        <f t="shared" ref="AT21" si="241">A21</f>
        <v>46295</v>
      </c>
      <c r="AU21" s="4">
        <f t="shared" ref="AU21" si="242">AE21+AM21</f>
        <v>3458.95</v>
      </c>
      <c r="AV21" s="4">
        <f t="shared" ref="AV21" si="243">AU21-AU20</f>
        <v>130</v>
      </c>
      <c r="AW21" s="4">
        <f t="shared" ref="AW21" si="244">AG21+AO21</f>
        <v>3840.34</v>
      </c>
      <c r="AX21" s="4">
        <f t="shared" ref="AX21" si="245">AW21-AU21</f>
        <v>381.39000000000033</v>
      </c>
      <c r="AY21" s="13">
        <f t="shared" ref="AY21" si="246">AX21/AU21</f>
        <v>0.11026178464562955</v>
      </c>
      <c r="AZ21" s="4">
        <f t="shared" ref="AZ21" si="247">AX21-AX20</f>
        <v>28.260000000000218</v>
      </c>
      <c r="BB21" s="8">
        <f t="shared" ref="BB21" si="248">A21</f>
        <v>46295</v>
      </c>
      <c r="BC21" s="4">
        <f t="shared" ref="BC21" si="249">(C21-B21)-(C20-B20)</f>
        <v>-7.1299999999999955</v>
      </c>
      <c r="BD21" s="4">
        <f t="shared" ref="BD21" si="250">(F21-E21)-(F20-E20)</f>
        <v>14.049999999999955</v>
      </c>
      <c r="BE21" s="4">
        <f t="shared" ref="BE21" si="251">(I21-H21)-(I20-H20)</f>
        <v>0</v>
      </c>
      <c r="BF21" s="4">
        <f t="shared" ref="BF21" si="252">(L21-K21)-(L20-K20)</f>
        <v>7.7400000000000091</v>
      </c>
      <c r="BG21" s="4">
        <f t="shared" ref="BG21" si="253">(O21-N21)-(O20-N20)</f>
        <v>5.9199999999999591</v>
      </c>
      <c r="BH21" s="4">
        <f t="shared" ref="BH21" si="254">(R21-Q21)-(R20-Q20)</f>
        <v>4.5699999999999932</v>
      </c>
      <c r="BI21" s="4">
        <f t="shared" ref="BI21" si="255">(U21-T21)-(U20-T20)</f>
        <v>0.76999999999999602</v>
      </c>
      <c r="BJ21" s="4">
        <f t="shared" ref="BJ21" si="256">(X21-W21)-(X20-W20)</f>
        <v>1.75</v>
      </c>
      <c r="BK21" s="4">
        <f t="shared" ref="BK21" si="257">(AA21-Z21)-(AA20-Z20)</f>
        <v>0.59000000000000341</v>
      </c>
      <c r="BN21">
        <v>20</v>
      </c>
      <c r="BO21">
        <v>20.05</v>
      </c>
    </row>
  </sheetData>
  <mergeCells count="14">
    <mergeCell ref="BB1:BK1"/>
    <mergeCell ref="A1:A2"/>
    <mergeCell ref="B1:D1"/>
    <mergeCell ref="E1:G1"/>
    <mergeCell ref="AD1:AJ1"/>
    <mergeCell ref="N1:P1"/>
    <mergeCell ref="K1:M1"/>
    <mergeCell ref="H1:J1"/>
    <mergeCell ref="Q1:S1"/>
    <mergeCell ref="Z1:AB1"/>
    <mergeCell ref="AL1:AR1"/>
    <mergeCell ref="AT1:AZ1"/>
    <mergeCell ref="T1:V1"/>
    <mergeCell ref="W1:Y1"/>
  </mergeCells>
  <phoneticPr fontId="1" type="noConversion"/>
  <pageMargins left="0.7" right="0.7" top="0.75" bottom="0.75" header="0.3" footer="0.3"/>
  <pageSetup orientation="portrait" r:id="rId1"/>
  <ignoredErrors>
    <ignoredError sqref="AV3:AV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Investavimas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2025-03-13T14:17:49Z</dcterms:created>
  <dcterms:modified xsi:type="dcterms:W3CDTF">2026-10-12T14:41:27Z</dcterms:modified>
</cp:coreProperties>
</file>