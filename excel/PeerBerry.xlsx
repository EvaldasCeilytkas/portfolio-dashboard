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eerBerry\"/>
    </mc:Choice>
  </mc:AlternateContent>
  <xr:revisionPtr revIDLastSave="0" documentId="13_ncr:1_{022A1216-E79C-4A00-AE0E-F0E9A27588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26575267" sheetId="24" r:id="rId3"/>
    <sheet name="26575281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W3" i="1" s="1"/>
  <c r="X3" i="1" s="1"/>
  <c r="U3" i="1"/>
  <c r="R3" i="1" s="1"/>
  <c r="S3" i="1"/>
  <c r="Q3" i="1"/>
  <c r="O3" i="1"/>
  <c r="O4" i="1"/>
  <c r="L3" i="14"/>
  <c r="L3" i="24"/>
  <c r="G4" i="1"/>
  <c r="G3" i="1"/>
  <c r="A200" i="15"/>
  <c r="K2" i="15"/>
  <c r="F4" i="14"/>
  <c r="T3" i="1" l="1"/>
  <c r="Y3" i="1"/>
  <c r="K200" i="15"/>
  <c r="Z3" i="1" s="1"/>
  <c r="I4" i="1"/>
  <c r="H4" i="1"/>
  <c r="C4" i="1"/>
  <c r="B4" i="1"/>
  <c r="I3" i="1" l="1"/>
  <c r="H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<sst xmlns="http://schemas.openxmlformats.org/spreadsheetml/2006/main" count="111" uniqueCount="49">
  <si>
    <t>Paskola</t>
  </si>
  <si>
    <t>Palūkanos</t>
  </si>
  <si>
    <t>Data</t>
  </si>
  <si>
    <t>Investuota viso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</si>
  <si>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</si>
  <si>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</si>
  <si>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</si>
  <si>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</si>
  <si>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</si>
  <si>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</si>
  <si>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</si>
  <si>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</si>
  <si>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</si>
  <si>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</si>
  <si>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</si>
  <si>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</si>
  <si>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</si>
  <si>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</si>
  <si>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</si>
  <si>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</si>
  <si>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</si>
  <si>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</si>
  <si>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</si>
  <si>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</si>
  <si>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</si>
  <si>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</si>
  <si>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</si>
  <si>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</si>
  <si>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</si>
  <si>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</si>
  <si>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</si>
  <si>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</si>
  <si>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</si>
  <si>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</si>
  <si>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</si>
  <si>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Short Term Loan</t>
  </si>
  <si>
    <t>Liko, dienos</t>
  </si>
  <si>
    <t>Investuota, Eur</t>
  </si>
  <si>
    <t>Vėluoja</t>
  </si>
  <si>
    <t>Vėl./Anks.</t>
  </si>
  <si>
    <t>Inv. data</t>
  </si>
  <si>
    <t>Liko</t>
  </si>
  <si>
    <t>Eur.</t>
  </si>
  <si>
    <t>Lithuania</t>
  </si>
  <si>
    <t>Aventus Group</t>
  </si>
  <si>
    <t>Business</t>
  </si>
  <si>
    <t>A Credit RO</t>
  </si>
  <si>
    <t>Romania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</si>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</sst>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yyyy/mm/dd;@"/>
    <numFmt numFmtId="166" formatCode="0.0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E1" workbookViewId="0">
      <selection activeCell="T10" sqref="T10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2" t="s">
        <v>0</v>
      </c>
      <c r="B1" s="32"/>
      <c r="C1" s="32"/>
      <c r="D1" s="32"/>
      <c r="E1" s="32"/>
      <c r="F1" s="32"/>
      <c r="G1" s="32"/>
      <c r="H1" s="33"/>
      <c r="I1" s="34" t="s">
        <v>31</v>
      </c>
      <c r="J1" s="36"/>
      <c r="K1" s="36"/>
      <c r="L1" s="35"/>
      <c r="M1" s="38" t="s">
        <v>24</v>
      </c>
      <c r="N1" s="38"/>
      <c r="O1" s="38"/>
      <c r="Q1" s="29" t="s">
        <v>23</v>
      </c>
      <c r="R1" s="30"/>
      <c r="S1" s="30"/>
      <c r="T1" s="31"/>
      <c r="U1" s="29" t="s">
        <v>24</v>
      </c>
      <c r="V1" s="31"/>
      <c r="W1" s="34" t="s">
        <v>5</v>
      </c>
      <c r="X1" s="36"/>
      <c r="Y1" s="36"/>
      <c r="Z1" s="35"/>
      <c r="AA1" s="4" t="s">
        <v>26</v>
      </c>
    </row>
    <row r="2" spans="1:29" x14ac:dyDescent="0.25">
      <c r="A2" s="16" t="s">
        <v>34</v>
      </c>
      <c r="B2" s="24" t="s">
        <v>40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6</v>
      </c>
      <c r="H2" s="4" t="s">
        <v>9</v>
      </c>
      <c r="I2" s="4" t="s">
        <v>32</v>
      </c>
      <c r="J2" s="4" t="s">
        <v>33</v>
      </c>
      <c r="K2" s="4" t="s">
        <v>41</v>
      </c>
      <c r="L2" s="4" t="s">
        <v>38</v>
      </c>
      <c r="M2" s="4" t="s">
        <v>0</v>
      </c>
      <c r="N2" s="4" t="s">
        <v>1</v>
      </c>
      <c r="O2" s="4" t="s">
        <v>26</v>
      </c>
      <c r="P2" s="9"/>
      <c r="Q2" s="40" t="s">
        <v>10</v>
      </c>
      <c r="R2" s="40" t="s">
        <v>9</v>
      </c>
      <c r="S2" s="4" t="s">
        <v>48</v>
      </c>
      <c r="T2" s="4" t="s">
        <v>7</v>
      </c>
      <c r="U2" s="24" t="s">
        <v>0</v>
      </c>
      <c r="V2" s="24" t="s">
        <v>1</v>
      </c>
      <c r="W2" s="4" t="s">
        <v>25</v>
      </c>
      <c r="X2" s="4" t="s">
        <v>42</v>
      </c>
      <c r="Y2" s="4" t="s">
        <v>6</v>
      </c>
      <c r="Z2" s="4" t="s">
        <v>27</v>
      </c>
      <c r="AA2" s="4" t="s">
        <v>42</v>
      </c>
      <c r="AC2" s="12" t="s">
        <v>38</v>
      </c>
    </row>
    <row r="3" spans="1:29" x14ac:dyDescent="0.25">
      <c r="A3" s="2">
        <v>1</v>
      </c>
      <c r="B3" s="6">
        <f>'26575267'!B9</f>
        <v>46197</v>
      </c>
      <c r="C3" s="26">
        <f>'26575281'!B1</f>
        <v>26575281</v>
      </c>
      <c r="D3" s="2" t="str">
        <f>'26575281'!B2</f>
        <v>Lithuania</v>
      </c>
      <c r="E3" s="2" t="str">
        <f>'26575281'!B3</f>
        <v>Aventus Group</v>
      </c>
      <c r="F3" s="2" t="str">
        <f>'26575281'!B8</f>
        <v>0 m. 3 mėn. 0 d.</v>
      </c>
      <c r="G3" s="7">
        <f>'26575281'!B15</f>
        <v>8.5000000000000006E-2</v>
      </c>
      <c r="H3" s="3">
        <f>'26575281'!B16</f>
        <v>10</v>
      </c>
      <c r="I3" s="6">
        <f>'26575281'!B11</f>
        <v>46289</v>
      </c>
      <c r="J3" s="6" t="str">
        <f>'26575281'!O3</f>
        <v/>
      </c>
      <c r="K3" s="19">
        <f ca="1">'26575281'!B12</f>
        <v>60</v>
      </c>
      <c r="L3" s="19" t="str">
        <f ca="1">'26575281'!P3</f>
        <v/>
      </c>
      <c r="M3" s="3">
        <f>'26575281'!K3</f>
        <v>0</v>
      </c>
      <c r="N3" s="3">
        <f>'26575281'!L3</f>
        <v>0.08</v>
      </c>
      <c r="O3" s="3">
        <f>'26575281'!M3</f>
        <v>0</v>
      </c>
      <c r="P3" s="10"/>
      <c r="Q3" s="41">
        <f>Pinigai!I2</f>
        <v>20</v>
      </c>
      <c r="R3" s="42">
        <f>SUM(H3:H100)-U3</f>
        <v>20</v>
      </c>
      <c r="S3" s="41">
        <f>Pinigai!H2</f>
        <v>0</v>
      </c>
      <c r="T3" s="41">
        <f>W3-R3</f>
        <v>0.16000000000000014</v>
      </c>
      <c r="U3" s="42">
        <f>SUM(M3:M100)</f>
        <v>0</v>
      </c>
      <c r="V3" s="42">
        <f>SUM(N3:N100)-AA3</f>
        <v>0.16</v>
      </c>
      <c r="W3" s="41">
        <f>Q3+S3+V3</f>
        <v>20.16</v>
      </c>
      <c r="X3" s="41">
        <f>W3-Q3</f>
        <v>0.16000000000000014</v>
      </c>
      <c r="Y3" s="43">
        <f>(W3-Q3)/Q3</f>
        <v>8.0000000000000071E-3</v>
      </c>
      <c r="Z3" s="44">
        <f ca="1">XIRR(Pinigai!K2:K200,Pinigai!A2:A200)</f>
        <v>9.2133131623268139E-2</v>
      </c>
      <c r="AA3" s="42">
        <f>SUM(O3:O100)</f>
        <v>0</v>
      </c>
      <c r="AC3" s="3" t="str">
        <f ca="1">'26575281'!Z3</f>
        <v/>
      </c>
    </row>
    <row r="4" spans="1:29" x14ac:dyDescent="0.25">
      <c r="A4" s="2">
        <v>2</v>
      </c>
      <c r="B4" s="6">
        <f>'26575267'!B9</f>
        <v>46197</v>
      </c>
      <c r="C4" s="26">
        <f>'26575267'!B1</f>
        <v>26575267</v>
      </c>
      <c r="D4" s="2" t="str">
        <f>'26575267'!B2</f>
        <v>Romania</v>
      </c>
      <c r="E4" s="2" t="str">
        <f>'26575267'!B3</f>
        <v>A Credit RO</v>
      </c>
      <c r="F4" s="2" t="str">
        <f>'26575267'!B8</f>
        <v>0 m. 3 mėn. 0 d.</v>
      </c>
      <c r="G4" s="7">
        <f>'26575267'!B15</f>
        <v>0.09</v>
      </c>
      <c r="H4" s="3">
        <f>'26575267'!B16</f>
        <v>10</v>
      </c>
      <c r="I4" s="6">
        <f>'26575267'!B11</f>
        <v>46289</v>
      </c>
      <c r="J4" s="6" t="str">
        <f>'26575267'!O3</f>
        <v/>
      </c>
      <c r="K4" s="19">
        <f ca="1">'26575267'!B12</f>
        <v>60</v>
      </c>
      <c r="L4" s="19" t="str">
        <f ca="1">'26575267'!P3</f>
        <v/>
      </c>
      <c r="M4" s="3">
        <f>'26575267'!K3</f>
        <v>0</v>
      </c>
      <c r="N4" s="3">
        <f>'26575267'!L3</f>
        <v>0.08</v>
      </c>
      <c r="O4" s="3">
        <f>'26575267'!M3</f>
        <v>0</v>
      </c>
      <c r="P4" s="10"/>
      <c r="Q4" s="37"/>
      <c r="R4" s="37"/>
      <c r="S4" s="37"/>
      <c r="T4" s="37"/>
      <c r="U4" s="37"/>
      <c r="V4" s="37"/>
      <c r="W4" s="37"/>
      <c r="X4" s="37"/>
      <c r="Y4" s="39"/>
      <c r="Z4" s="39"/>
      <c r="AA4" s="39"/>
      <c r="AC4" s="3" t="str">
        <f ca="1">'26575267'!Z3</f>
        <v/>
      </c>
    </row>
    <row r="5" spans="1:29" x14ac:dyDescent="0.25">
      <c r="A5" s="2"/>
      <c r="B5" s="6"/>
      <c r="C5" s="26"/>
      <c r="D5" s="2"/>
      <c r="E5" s="2"/>
      <c r="F5" s="2"/>
      <c r="G5" s="7"/>
      <c r="H5" s="3"/>
      <c r="I5" s="6"/>
      <c r="J5" s="6"/>
      <c r="K5" s="19"/>
      <c r="L5" s="19"/>
      <c r="M5" s="3"/>
      <c r="N5" s="3"/>
      <c r="O5" s="3"/>
      <c r="P5" s="10"/>
      <c r="AC5" s="3"/>
    </row>
    <row r="6" spans="1:29" x14ac:dyDescent="0.25">
      <c r="A6" s="2"/>
      <c r="B6" s="6"/>
      <c r="C6" s="26"/>
      <c r="D6" s="2"/>
      <c r="E6" s="2"/>
      <c r="F6" s="2"/>
      <c r="G6" s="7"/>
      <c r="H6" s="3"/>
      <c r="I6" s="6"/>
      <c r="J6" s="6"/>
      <c r="K6" s="19"/>
      <c r="L6" s="19"/>
      <c r="M6" s="3"/>
      <c r="N6" s="3"/>
      <c r="O6" s="3"/>
      <c r="P6" s="10"/>
      <c r="AC6" s="3"/>
    </row>
    <row r="7" spans="1:29" x14ac:dyDescent="0.25">
      <c r="A7" s="2"/>
      <c r="B7" s="6"/>
      <c r="C7" s="26"/>
      <c r="D7" s="2"/>
      <c r="E7" s="2"/>
      <c r="F7" s="2"/>
      <c r="G7" s="7"/>
      <c r="H7" s="3"/>
      <c r="I7" s="6"/>
      <c r="J7" s="6"/>
      <c r="K7" s="19"/>
      <c r="L7" s="19"/>
      <c r="M7" s="3"/>
      <c r="N7" s="3"/>
      <c r="O7" s="3"/>
      <c r="P7" s="10"/>
      <c r="AC7" s="3"/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A1:H1"/>
    <mergeCell ref="I1:L1"/>
    <mergeCell ref="M1:O1"/>
    <mergeCell ref="Q1:T1"/>
    <mergeCell ref="U1:V1"/>
    <mergeCell ref="W1:Z1"/>
  </mergeCells>
  <conditionalFormatting sqref="A3:O27">
    <cfRule type="expression" dxfId="10" priority="7">
      <formula>$AC3="+"</formula>
    </cfRule>
    <cfRule type="expression" dxfId="9" priority="8">
      <formula>AND($M3&gt;0,$H3=$M3)</formula>
    </cfRule>
  </conditionalFormatting>
  <conditionalFormatting sqref="AC3:AC27">
    <cfRule type="expression" dxfId="8" priority="3">
      <formula>AND($M3&gt;0,$H3=$M3)</formula>
    </cfRule>
  </conditionalFormatting>
  <hyperlinks>
    <hyperlink ref="C3" location="'26575281'!A1" display="'26575281'!A1" xr:uid="{87C3E6BC-C2D4-4CD6-83E2-4126641D3546}"/>
    <hyperlink ref="C4" location="'26575267'!A1" display="'26575267'!A1" xr:uid="{E1A2E8FA-E90A-432F-B098-8C25480A0509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90" workbookViewId="0">
      <selection activeCell="K200" sqref="K200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8</v>
      </c>
      <c r="F1" s="12" t="s">
        <v>10</v>
      </c>
      <c r="G1" s="12" t="s">
        <v>11</v>
      </c>
      <c r="H1" s="12" t="s">
        <v>8</v>
      </c>
      <c r="I1" s="12" t="s">
        <v>12</v>
      </c>
      <c r="K1" s="12" t="s">
        <v>27</v>
      </c>
    </row>
    <row r="2" spans="1:11" x14ac:dyDescent="0.25">
      <c r="A2" s="6">
        <v>46196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46229</v>
      </c>
      <c r="B200" s="1"/>
      <c r="C200" s="1"/>
      <c r="D200" s="1"/>
      <c r="K200" s="3">
        <f>Overview!W3</f>
        <v>20.16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D13" sqref="D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26575267</v>
      </c>
      <c r="D1" s="34" t="s">
        <v>2</v>
      </c>
      <c r="E1" s="36"/>
      <c r="F1" s="35"/>
      <c r="G1" s="34" t="s">
        <v>0</v>
      </c>
      <c r="H1" s="36"/>
      <c r="I1" s="35"/>
      <c r="J1" s="16"/>
      <c r="K1" s="34" t="s">
        <v>28</v>
      </c>
      <c r="L1" s="36"/>
      <c r="M1" s="36"/>
      <c r="N1" s="36"/>
      <c r="O1" s="36"/>
      <c r="P1" s="36"/>
      <c r="Q1" s="35"/>
      <c r="X1" s="34"/>
      <c r="Y1" s="36"/>
      <c r="Z1" s="35"/>
    </row>
    <row r="2" spans="1:26" x14ac:dyDescent="0.25">
      <c r="A2" s="5" t="s">
        <v>16</v>
      </c>
      <c r="B2" s="6" t="s">
        <v>47</v>
      </c>
      <c r="D2" s="12" t="s">
        <v>32</v>
      </c>
      <c r="E2" s="12" t="s">
        <v>33</v>
      </c>
      <c r="F2" s="17" t="s">
        <v>39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38</v>
      </c>
      <c r="Q2" s="12" t="s">
        <v>39</v>
      </c>
      <c r="X2" s="12" t="s">
        <v>2</v>
      </c>
      <c r="Y2" s="12" t="s">
        <v>29</v>
      </c>
      <c r="Z2" s="12" t="s">
        <v>38</v>
      </c>
    </row>
    <row r="3" spans="1:26" x14ac:dyDescent="0.25">
      <c r="A3" s="5" t="s">
        <v>19</v>
      </c>
      <c r="B3" s="6" t="s">
        <v>46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35</v>
      </c>
      <c r="D4" s="11">
        <v>46258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36</v>
      </c>
      <c r="B12" s="19">
        <f ca="1">IF(B16&lt;&gt;K3,(TODAY()-B11)*-1,"")</f>
        <v>60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M17" sqref="M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26575281</v>
      </c>
      <c r="D1" s="34" t="s">
        <v>2</v>
      </c>
      <c r="E1" s="36"/>
      <c r="F1" s="35"/>
      <c r="G1" s="34" t="s">
        <v>0</v>
      </c>
      <c r="H1" s="36"/>
      <c r="I1" s="35"/>
      <c r="J1" s="16"/>
      <c r="K1" s="34" t="s">
        <v>28</v>
      </c>
      <c r="L1" s="36"/>
      <c r="M1" s="36"/>
      <c r="N1" s="36"/>
      <c r="O1" s="36"/>
      <c r="P1" s="36"/>
      <c r="Q1" s="35"/>
      <c r="X1" s="34"/>
      <c r="Y1" s="36"/>
      <c r="Z1" s="35"/>
    </row>
    <row r="2" spans="1:26" x14ac:dyDescent="0.25">
      <c r="A2" s="5" t="s">
        <v>16</v>
      </c>
      <c r="B2" s="6" t="s">
        <v>43</v>
      </c>
      <c r="D2" s="12" t="s">
        <v>32</v>
      </c>
      <c r="E2" s="12" t="s">
        <v>33</v>
      </c>
      <c r="F2" s="17" t="s">
        <v>39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38</v>
      </c>
      <c r="Q2" s="12" t="s">
        <v>39</v>
      </c>
      <c r="X2" s="12" t="s">
        <v>2</v>
      </c>
      <c r="Y2" s="12" t="s">
        <v>29</v>
      </c>
      <c r="Z2" s="12" t="s">
        <v>38</v>
      </c>
    </row>
    <row r="3" spans="1:26" x14ac:dyDescent="0.25">
      <c r="A3" s="5" t="s">
        <v>19</v>
      </c>
      <c r="B3" s="6" t="s">
        <v>44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45</v>
      </c>
      <c r="D4" s="11">
        <v>46258</v>
      </c>
      <c r="E4" s="6"/>
      <c r="F4" s="19" t="str">
        <f>IF(E4&gt;0,E4-D4,"")</f>
        <v/>
      </c>
      <c r="G4" s="28"/>
      <c r="H4" s="2"/>
      <c r="I4" s="2"/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36</v>
      </c>
      <c r="B12" s="19">
        <f ca="1">IF(B16&lt;&gt;K3,(TODAY()-B11)*-1,"")</f>
        <v>60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8.5000000000000006E-2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37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Pinigai</vt:lpstr>
      <vt:lpstr>26575267</vt:lpstr>
      <vt:lpstr>26575281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2026-07-26T15:35:51Z</dcterms:modified>
</cp:coreProperties>
</file>