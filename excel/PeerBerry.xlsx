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PeerBerry\"/>
    </mc:Choice>
  </mc:AlternateContent>
  <xr:revisionPtr revIDLastSave="0" documentId="13_ncr:1_{E6DEE8B3-0229-4A00-974D-0EF37E002FF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27800234" sheetId="27" r:id="rId3"/>
    <sheet name="27682815" sheetId="26" r:id="rId4"/>
    <sheet name="27679691" sheetId="25" r:id="rId5"/>
    <sheet name="26575267" sheetId="24" r:id="rId6"/>
    <sheet name="26575281" sheetId="1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N7" i="1"/>
  <c r="M7" i="1"/>
  <c r="J7" i="1"/>
  <c r="I7" i="1"/>
  <c r="H7" i="1"/>
  <c r="G7" i="1"/>
  <c r="F7" i="1"/>
  <c r="E7" i="1"/>
  <c r="D7" i="1"/>
  <c r="C7" i="1"/>
  <c r="B7" i="1"/>
  <c r="AC7" i="1"/>
  <c r="I53" i="27"/>
  <c r="H53" i="27"/>
  <c r="G53" i="27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Z3" i="27"/>
  <c r="P3" i="27" s="1"/>
  <c r="L7" i="1" s="1"/>
  <c r="Y3" i="27"/>
  <c r="X3" i="27"/>
  <c r="Q3" i="27"/>
  <c r="M3" i="27"/>
  <c r="L3" i="27"/>
  <c r="K3" i="27"/>
  <c r="O3" i="27" s="1"/>
  <c r="F3" i="27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O6" i="1"/>
  <c r="N6" i="1"/>
  <c r="M6" i="1"/>
  <c r="J6" i="1"/>
  <c r="I6" i="1"/>
  <c r="H6" i="1"/>
  <c r="G6" i="1"/>
  <c r="F6" i="1"/>
  <c r="D6" i="1"/>
  <c r="E6" i="1"/>
  <c r="C6" i="1"/>
  <c r="B6" i="1"/>
  <c r="B5" i="1"/>
  <c r="O5" i="1"/>
  <c r="N5" i="1"/>
  <c r="M5" i="1"/>
  <c r="J5" i="1"/>
  <c r="I5" i="1"/>
  <c r="H5" i="1"/>
  <c r="G5" i="1"/>
  <c r="F5" i="1"/>
  <c r="E5" i="1"/>
  <c r="D5" i="1"/>
  <c r="C5" i="1"/>
  <c r="I53" i="26"/>
  <c r="H53" i="26"/>
  <c r="G53" i="26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B12" i="26"/>
  <c r="K6" i="1" s="1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Z3" i="26"/>
  <c r="P3" i="26" s="1"/>
  <c r="L6" i="1" s="1"/>
  <c r="Y3" i="26"/>
  <c r="X3" i="26"/>
  <c r="Q3" i="26"/>
  <c r="M3" i="26"/>
  <c r="L3" i="26"/>
  <c r="K3" i="26"/>
  <c r="O3" i="26" s="1"/>
  <c r="F3" i="26"/>
  <c r="I53" i="25"/>
  <c r="M3" i="25" s="1"/>
  <c r="H53" i="25"/>
  <c r="L3" i="25" s="1"/>
  <c r="G53" i="25"/>
  <c r="K3" i="25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K3" i="15"/>
  <c r="G4" i="1"/>
  <c r="G3" i="1"/>
  <c r="A200" i="15"/>
  <c r="K2" i="15"/>
  <c r="F4" i="14"/>
  <c r="B12" i="27" l="1"/>
  <c r="K7" i="1" s="1"/>
  <c r="N3" i="27"/>
  <c r="AC6" i="1"/>
  <c r="N3" i="26"/>
  <c r="O3" i="25"/>
  <c r="Q3" i="25"/>
  <c r="Z3" i="25"/>
  <c r="B12" i="25"/>
  <c r="N3" i="25"/>
  <c r="I4" i="1"/>
  <c r="H4" i="1"/>
  <c r="C4" i="1"/>
  <c r="B4" i="1"/>
  <c r="K5" i="1" l="1"/>
  <c r="P3" i="25"/>
  <c r="L5" i="1" s="1"/>
  <c r="AC5" i="1"/>
  <c r="I3" i="1"/>
  <c r="H3" i="1"/>
  <c r="B3" i="1"/>
  <c r="I53" i="24"/>
  <c r="M3" i="24" s="1"/>
  <c r="O4" i="1" s="1"/>
  <c r="H53" i="24"/>
  <c r="L3" i="24" s="1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L3" i="14" s="1"/>
  <c r="I53" i="14"/>
  <c r="M3" i="14" s="1"/>
  <c r="O3" i="1" s="1"/>
  <c r="AA3" i="1" s="1"/>
  <c r="G53" i="14"/>
  <c r="K3" i="14" s="1"/>
  <c r="Q3" i="14" s="1"/>
  <c r="B8" i="14"/>
  <c r="F3" i="1" s="1"/>
  <c r="M3" i="1" l="1"/>
  <c r="U3" i="1" s="1"/>
  <c r="R3" i="1" s="1"/>
  <c r="Q3" i="24"/>
  <c r="N3" i="24"/>
  <c r="O3" i="24"/>
  <c r="J4" i="1" s="1"/>
  <c r="N4" i="1"/>
  <c r="Z3" i="24"/>
  <c r="B12" i="24"/>
  <c r="N3" i="14"/>
  <c r="O3" i="14"/>
  <c r="J3" i="1" s="1"/>
  <c r="N3" i="1"/>
  <c r="V3" i="1" s="1"/>
  <c r="Z3" i="14"/>
  <c r="K4" i="1" l="1"/>
  <c r="P3" i="24"/>
  <c r="L4" i="1" s="1"/>
  <c r="AC4" i="1"/>
  <c r="P3" i="14"/>
  <c r="L3" i="1" s="1"/>
  <c r="AC3" i="1"/>
  <c r="E4" i="1"/>
  <c r="D4" i="1"/>
  <c r="B12" i="14" l="1"/>
  <c r="K3" i="1" s="1"/>
  <c r="H2" i="15"/>
  <c r="S3" i="1" s="1"/>
  <c r="E3" i="1" l="1"/>
  <c r="D3" i="1" l="1"/>
  <c r="C3" i="1"/>
  <c r="G2" i="15" l="1"/>
  <c r="F2" i="15"/>
  <c r="I2" i="15" l="1"/>
  <c r="Q3" i="1" s="1"/>
  <c r="W3" i="1" s="1"/>
  <c r="X3" i="1" l="1"/>
  <c r="T3" i="1"/>
  <c r="Y3" i="1"/>
  <c r="K200" i="15"/>
  <c r="Z3" i="1" s="1"/>
</calcChain>
</file>

<file path=xl/sharedStrings.xml><?xml version="1.0" encoding="utf-8"?>
<sst xmlns="http://schemas.openxmlformats.org/spreadsheetml/2006/main" count="213" uniqueCount="53">
  <si>
    <t>Paskola</t>
  </si>
  <si>
    <t>Palūkanos</t>
  </si>
  <si>
    <t>Data</t>
  </si>
  <si>
    <t>Investuota viso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</si>
  <si>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</si>
  <si>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</si>
  <si>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</si>
  <si>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</si>
  <si>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</si>
  <si>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</si>
  <si>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</si>
  <si>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</si>
  <si>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</si>
  <si>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</si>
  <si>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</si>
  <si>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</si>
  <si>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</si>
  <si>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</si>
  <si>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</si>
  <si>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</si>
  <si>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</si>
  <si>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</si>
  <si>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</si>
  <si>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</si>
  <si>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</si>
  <si>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</si>
  <si>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</si>
  <si>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</si>
  <si>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</si>
  <si>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</si>
  <si>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</si>
  <si>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</si>
  <si>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</si>
  <si>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</si>
  <si>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</si>
  <si>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Liko, dienos</t>
  </si>
  <si>
    <t>Investuota, Eur</t>
  </si>
  <si>
    <t>Vėluoja</t>
  </si>
  <si>
    <t>Vėl./Anks.</t>
  </si>
  <si>
    <t>Inv. data</t>
  </si>
  <si>
    <t>Liko</t>
  </si>
  <si>
    <t>Eur.</t>
  </si>
  <si>
    <t>Lithuania</t>
  </si>
  <si>
    <t>Aventus Group</t>
  </si>
  <si>
    <t>Business</t>
  </si>
  <si>
    <t>A Credit RO</t>
  </si>
  <si>
    <t>Romania</t>
  </si>
  <si>
    <t xml:space="preserve">Premijos </t>
  </si>
  <si>
    <t>Poland</t>
  </si>
  <si>
    <t>NovaLend PL</t>
  </si>
  <si>
    <t>Kazakhstan</t>
  </si>
  <si>
    <t>Auto-Money KZ</t>
  </si>
  <si>
    <t>Leasing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</si>
</sst>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BE7990-0477-4C57-AFA8-F0F51415A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6BB766-DB66-4318-B0CA-F5FF7EC9F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3B362D-FED7-4827-B63F-65B5A4C7D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selection activeCell="O8" sqref="O8"/>
    </sheetView>
  </sheetViews>
  <sheetFormatPr defaultRowHeight="15" x14ac:dyDescent="0.25"/>
  <cols>
    <col min="1" max="1" width="4.7109375" customWidth="1"/>
    <col min="2" max="2" width="12.7109375" customWidth="1"/>
    <col min="3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6"/>
      <c r="C1" s="36"/>
      <c r="D1" s="36"/>
      <c r="E1" s="36"/>
      <c r="F1" s="36"/>
      <c r="G1" s="36"/>
      <c r="H1" s="37"/>
      <c r="I1" s="33" t="s">
        <v>31</v>
      </c>
      <c r="J1" s="34"/>
      <c r="K1" s="34"/>
      <c r="L1" s="35"/>
      <c r="M1" s="38" t="s">
        <v>24</v>
      </c>
      <c r="N1" s="38"/>
      <c r="O1" s="38"/>
      <c r="Q1" s="39" t="s">
        <v>23</v>
      </c>
      <c r="R1" s="40"/>
      <c r="S1" s="40"/>
      <c r="T1" s="41"/>
      <c r="U1" s="39" t="s">
        <v>24</v>
      </c>
      <c r="V1" s="41"/>
      <c r="W1" s="33" t="s">
        <v>5</v>
      </c>
      <c r="X1" s="34"/>
      <c r="Y1" s="34"/>
      <c r="Z1" s="35"/>
      <c r="AA1" s="4" t="s">
        <v>26</v>
      </c>
    </row>
    <row r="2" spans="1:29" x14ac:dyDescent="0.25">
      <c r="A2" s="16" t="s">
        <v>34</v>
      </c>
      <c r="B2" s="24" t="s">
        <v>39</v>
      </c>
      <c r="C2" s="4" t="s">
        <v>4</v>
      </c>
      <c r="D2" s="4" t="s">
        <v>16</v>
      </c>
      <c r="E2" s="4" t="s">
        <v>22</v>
      </c>
      <c r="F2" s="4" t="s">
        <v>17</v>
      </c>
      <c r="G2" s="4" t="s">
        <v>6</v>
      </c>
      <c r="H2" s="4" t="s">
        <v>9</v>
      </c>
      <c r="I2" s="4" t="s">
        <v>32</v>
      </c>
      <c r="J2" s="4" t="s">
        <v>33</v>
      </c>
      <c r="K2" s="4" t="s">
        <v>40</v>
      </c>
      <c r="L2" s="4" t="s">
        <v>37</v>
      </c>
      <c r="M2" s="4" t="s">
        <v>0</v>
      </c>
      <c r="N2" s="4" t="s">
        <v>1</v>
      </c>
      <c r="O2" s="4" t="s">
        <v>26</v>
      </c>
      <c r="P2" s="9"/>
      <c r="Q2" s="28" t="s">
        <v>10</v>
      </c>
      <c r="R2" s="28" t="s">
        <v>9</v>
      </c>
      <c r="S2" s="4" t="s">
        <v>47</v>
      </c>
      <c r="T2" s="4" t="s">
        <v>7</v>
      </c>
      <c r="U2" s="24" t="s">
        <v>0</v>
      </c>
      <c r="V2" s="24" t="s">
        <v>1</v>
      </c>
      <c r="W2" s="4" t="s">
        <v>25</v>
      </c>
      <c r="X2" s="4" t="s">
        <v>41</v>
      </c>
      <c r="Y2" s="4" t="s">
        <v>6</v>
      </c>
      <c r="Z2" s="4" t="s">
        <v>27</v>
      </c>
      <c r="AA2" s="4" t="s">
        <v>41</v>
      </c>
      <c r="AC2" s="12" t="s">
        <v>37</v>
      </c>
    </row>
    <row r="3" spans="1:29" x14ac:dyDescent="0.25">
      <c r="A3" s="2">
        <v>1</v>
      </c>
      <c r="B3" s="6">
        <f>'26575267'!B9</f>
        <v>46197</v>
      </c>
      <c r="C3" s="26">
        <f>'26575281'!B1</f>
        <v>26575281</v>
      </c>
      <c r="D3" s="2" t="str">
        <f>'26575281'!B2</f>
        <v>Lithuania</v>
      </c>
      <c r="E3" s="2" t="str">
        <f>'26575281'!B3</f>
        <v>Aventus Group</v>
      </c>
      <c r="F3" s="2" t="str">
        <f>'26575281'!B8</f>
        <v>0 m. 3 mėn. 0 d.</v>
      </c>
      <c r="G3" s="7">
        <f>'26575281'!B15</f>
        <v>8.5000000000000006E-2</v>
      </c>
      <c r="H3" s="3">
        <f>'26575281'!B16</f>
        <v>10</v>
      </c>
      <c r="I3" s="6">
        <f>'26575281'!B11</f>
        <v>46289</v>
      </c>
      <c r="J3" s="6" t="str">
        <f>'26575281'!O3</f>
        <v/>
      </c>
      <c r="K3" s="19">
        <f ca="1">'26575281'!B12</f>
        <v>23</v>
      </c>
      <c r="L3" s="19" t="str">
        <f ca="1">'26575281'!P3</f>
        <v/>
      </c>
      <c r="M3" s="3">
        <f>'26575281'!K3</f>
        <v>0</v>
      </c>
      <c r="N3" s="3">
        <f>'26575281'!L3</f>
        <v>0.16</v>
      </c>
      <c r="O3" s="3">
        <f>'26575281'!M3</f>
        <v>0</v>
      </c>
      <c r="P3" s="10"/>
      <c r="Q3" s="29">
        <f>Pinigai!I2</f>
        <v>60</v>
      </c>
      <c r="R3" s="30">
        <f>SUM(H3:H100)-U3</f>
        <v>60.319999999999993</v>
      </c>
      <c r="S3" s="29">
        <f>Pinigai!H2</f>
        <v>0</v>
      </c>
      <c r="T3" s="29">
        <f>W3-R3</f>
        <v>0</v>
      </c>
      <c r="U3" s="30">
        <f>SUM(M3:M100)</f>
        <v>0</v>
      </c>
      <c r="V3" s="30">
        <f>SUM(N3:N100)-AA3</f>
        <v>0.32</v>
      </c>
      <c r="W3" s="29">
        <f>Q3+S3+V3</f>
        <v>60.32</v>
      </c>
      <c r="X3" s="29">
        <f>W3-Q3</f>
        <v>0.32000000000000028</v>
      </c>
      <c r="Y3" s="31">
        <f>(W3-Q3)/Q3</f>
        <v>5.3333333333333384E-3</v>
      </c>
      <c r="Z3" s="32">
        <f ca="1">XIRR(Pinigai!K2:K200,Pinigai!A2:A200)</f>
        <v>6.3097342848777757E-2</v>
      </c>
      <c r="AA3" s="30">
        <f>SUM(O3:O100)</f>
        <v>0</v>
      </c>
      <c r="AC3" s="3" t="str">
        <f ca="1">'26575281'!Z3</f>
        <v/>
      </c>
    </row>
    <row r="4" spans="1:29" x14ac:dyDescent="0.25">
      <c r="A4" s="2">
        <v>2</v>
      </c>
      <c r="B4" s="6">
        <f>'26575267'!B9</f>
        <v>46197</v>
      </c>
      <c r="C4" s="26">
        <f>'26575267'!B1</f>
        <v>26575267</v>
      </c>
      <c r="D4" s="2" t="str">
        <f>'26575267'!B2</f>
        <v>Romania</v>
      </c>
      <c r="E4" s="2" t="str">
        <f>'26575267'!B3</f>
        <v>A Credit RO</v>
      </c>
      <c r="F4" s="2" t="str">
        <f>'26575267'!B8</f>
        <v>0 m. 3 mėn. 0 d.</v>
      </c>
      <c r="G4" s="7">
        <f>'26575267'!B15</f>
        <v>0.09</v>
      </c>
      <c r="H4" s="3">
        <f>'26575267'!B16</f>
        <v>10</v>
      </c>
      <c r="I4" s="6">
        <f>'26575267'!B11</f>
        <v>46289</v>
      </c>
      <c r="J4" s="6" t="str">
        <f>'26575267'!O3</f>
        <v/>
      </c>
      <c r="K4" s="19">
        <f ca="1">'26575267'!B12</f>
        <v>23</v>
      </c>
      <c r="L4" s="19" t="str">
        <f ca="1">'26575267'!P3</f>
        <v/>
      </c>
      <c r="M4" s="3">
        <f>'26575267'!K3</f>
        <v>0</v>
      </c>
      <c r="N4" s="3">
        <f>'26575267'!L3</f>
        <v>0.16</v>
      </c>
      <c r="O4" s="3">
        <f>'26575267'!M3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'26575267'!Z3</f>
        <v/>
      </c>
    </row>
    <row r="5" spans="1:29" x14ac:dyDescent="0.25">
      <c r="A5" s="2">
        <v>3</v>
      </c>
      <c r="B5" s="6">
        <f>'27679691'!B9</f>
        <v>46247</v>
      </c>
      <c r="C5" s="26">
        <f>'27679691'!B1</f>
        <v>27679691</v>
      </c>
      <c r="D5" s="2" t="str">
        <f>'27679691'!B2</f>
        <v>Poland</v>
      </c>
      <c r="E5" s="2" t="str">
        <f>'27679691'!B3</f>
        <v>NovaLend PL</v>
      </c>
      <c r="F5" s="2" t="str">
        <f>'27679691'!B8</f>
        <v>0 m. 6 mėn. 0 d.</v>
      </c>
      <c r="G5" s="7">
        <f>'27679691'!B15</f>
        <v>0.08</v>
      </c>
      <c r="H5" s="3">
        <f>'27679691'!B16</f>
        <v>10.16</v>
      </c>
      <c r="I5" s="6">
        <f>'27679691'!B11</f>
        <v>46431</v>
      </c>
      <c r="J5" s="6" t="str">
        <f>'27679691'!O3</f>
        <v/>
      </c>
      <c r="K5" s="19">
        <f ca="1">'27679691'!B12</f>
        <v>165</v>
      </c>
      <c r="L5" s="19" t="str">
        <f ca="1">'27679691'!P3</f>
        <v/>
      </c>
      <c r="M5" s="3">
        <f>'27679691'!K3</f>
        <v>0</v>
      </c>
      <c r="N5" s="3">
        <f>'27679691'!L3</f>
        <v>0</v>
      </c>
      <c r="O5" s="3">
        <f>'27679691'!M3</f>
        <v>0</v>
      </c>
      <c r="P5" s="10"/>
      <c r="Q5" s="10"/>
      <c r="R5" s="10"/>
      <c r="S5" s="10"/>
      <c r="T5" s="10"/>
      <c r="U5" s="10"/>
      <c r="V5" s="10"/>
      <c r="W5" s="10"/>
      <c r="X5" s="10"/>
      <c r="Y5" s="20"/>
      <c r="Z5" s="20"/>
      <c r="AA5" s="20"/>
      <c r="AC5" s="3" t="str">
        <f ca="1">'27679691'!Z3</f>
        <v/>
      </c>
    </row>
    <row r="6" spans="1:29" x14ac:dyDescent="0.25">
      <c r="A6" s="2">
        <v>4</v>
      </c>
      <c r="B6" s="6">
        <f>'27682815'!B9</f>
        <v>46247</v>
      </c>
      <c r="C6" s="26">
        <f>'27682815'!B1</f>
        <v>27682815</v>
      </c>
      <c r="D6" s="2" t="str">
        <f>'27682815'!B2</f>
        <v>Kazakhstan</v>
      </c>
      <c r="E6" s="2" t="str">
        <f>'27682815'!B3</f>
        <v>Auto-Money KZ</v>
      </c>
      <c r="F6" s="2" t="str">
        <f>'27682815'!B8</f>
        <v>0 m. 11 mėn. 29 d.</v>
      </c>
      <c r="G6" s="7">
        <f>'27682815'!B15</f>
        <v>8.5000000000000006E-2</v>
      </c>
      <c r="H6" s="3">
        <f>'27682815'!B16</f>
        <v>10</v>
      </c>
      <c r="I6" s="6">
        <f>'27682815'!B11</f>
        <v>46610</v>
      </c>
      <c r="J6" s="6" t="str">
        <f>'27682815'!O3</f>
        <v/>
      </c>
      <c r="K6" s="19">
        <f ca="1">'27682815'!B12</f>
        <v>344</v>
      </c>
      <c r="L6" s="19" t="str">
        <f ca="1">'27682815'!P3</f>
        <v/>
      </c>
      <c r="M6" s="3">
        <f>'27682815'!K3</f>
        <v>0</v>
      </c>
      <c r="N6" s="3">
        <f>'27682815'!L3</f>
        <v>0</v>
      </c>
      <c r="O6" s="3">
        <f>'27682815'!M3</f>
        <v>0</v>
      </c>
      <c r="P6" s="10"/>
      <c r="Q6" s="10"/>
      <c r="R6" s="10"/>
      <c r="S6" s="10"/>
      <c r="T6" s="10"/>
      <c r="U6" s="10"/>
      <c r="V6" s="10"/>
      <c r="W6" s="10"/>
      <c r="X6" s="10"/>
      <c r="Y6" s="20"/>
      <c r="Z6" s="20"/>
      <c r="AA6" s="20"/>
      <c r="AC6" s="3" t="str">
        <f ca="1">'27682815'!Z3</f>
        <v/>
      </c>
    </row>
    <row r="7" spans="1:29" x14ac:dyDescent="0.25">
      <c r="A7" s="2">
        <v>5</v>
      </c>
      <c r="B7" s="6">
        <f>'27800234'!B9</f>
        <v>46261</v>
      </c>
      <c r="C7" s="26">
        <f>'27800234'!B1</f>
        <v>27800234</v>
      </c>
      <c r="D7" s="2" t="str">
        <f>'27800234'!B2</f>
        <v>Poland</v>
      </c>
      <c r="E7" s="2" t="str">
        <f>'27800234'!B3</f>
        <v>NovaLend PL</v>
      </c>
      <c r="F7" s="2" t="str">
        <f>'27800234'!B8</f>
        <v>0 m. 5 mėn. 24 d.</v>
      </c>
      <c r="G7" s="7">
        <f>'27800234'!B15</f>
        <v>0.08</v>
      </c>
      <c r="H7" s="3">
        <f>'27800234'!B16</f>
        <v>20.16</v>
      </c>
      <c r="I7" s="6">
        <f>'27800234'!B11</f>
        <v>46438</v>
      </c>
      <c r="J7" s="6" t="str">
        <f>'27800234'!O3</f>
        <v/>
      </c>
      <c r="K7" s="19">
        <f ca="1">'27800234'!B12</f>
        <v>172</v>
      </c>
      <c r="L7" s="19" t="str">
        <f ca="1">'27800234'!P3</f>
        <v/>
      </c>
      <c r="M7" s="3">
        <f>'27800234'!K3</f>
        <v>0</v>
      </c>
      <c r="N7" s="3">
        <f>'27800234'!L3</f>
        <v>0</v>
      </c>
      <c r="O7" s="3">
        <f>'27800234'!M3</f>
        <v>0</v>
      </c>
      <c r="P7" s="10"/>
      <c r="Q7" s="10"/>
      <c r="R7" s="10"/>
      <c r="S7" s="10"/>
      <c r="T7" s="10"/>
      <c r="U7" s="10"/>
      <c r="V7" s="10"/>
      <c r="W7" s="10"/>
      <c r="X7" s="10"/>
      <c r="Y7" s="20"/>
      <c r="Z7" s="20"/>
      <c r="AA7" s="20"/>
      <c r="AC7" s="3">
        <f>'27682815'!Z4</f>
        <v>0</v>
      </c>
    </row>
    <row r="8" spans="1:29" x14ac:dyDescent="0.25">
      <c r="A8" s="2"/>
      <c r="B8" s="6"/>
      <c r="C8" s="26"/>
      <c r="D8" s="2"/>
      <c r="E8" s="2"/>
      <c r="F8" s="2"/>
      <c r="G8" s="7"/>
      <c r="H8" s="3"/>
      <c r="I8" s="6"/>
      <c r="J8" s="6"/>
      <c r="K8" s="19"/>
      <c r="L8" s="19"/>
      <c r="M8" s="3"/>
      <c r="N8" s="3"/>
      <c r="O8" s="3"/>
      <c r="P8" s="10"/>
      <c r="AC8" s="3"/>
    </row>
    <row r="9" spans="1:29" x14ac:dyDescent="0.25">
      <c r="A9" s="2"/>
      <c r="B9" s="6"/>
      <c r="C9" s="26"/>
      <c r="D9" s="2"/>
      <c r="E9" s="2"/>
      <c r="F9" s="2"/>
      <c r="G9" s="7"/>
      <c r="H9" s="3"/>
      <c r="I9" s="6"/>
      <c r="J9" s="6"/>
      <c r="K9" s="19"/>
      <c r="L9" s="19"/>
      <c r="M9" s="3"/>
      <c r="N9" s="3"/>
      <c r="O9" s="3"/>
      <c r="P9" s="10"/>
      <c r="AC9" s="3"/>
    </row>
    <row r="10" spans="1:29" x14ac:dyDescent="0.25">
      <c r="A10" s="2"/>
      <c r="B10" s="6"/>
      <c r="C10" s="26"/>
      <c r="D10" s="2"/>
      <c r="E10" s="2"/>
      <c r="F10" s="2"/>
      <c r="G10" s="7"/>
      <c r="H10" s="3"/>
      <c r="I10" s="6"/>
      <c r="J10" s="6"/>
      <c r="K10" s="19"/>
      <c r="L10" s="19"/>
      <c r="M10" s="3"/>
      <c r="N10" s="3"/>
      <c r="O10" s="3"/>
      <c r="P10" s="10"/>
      <c r="AC10" s="3"/>
    </row>
    <row r="11" spans="1:29" x14ac:dyDescent="0.25">
      <c r="A11" s="2"/>
      <c r="B11" s="6"/>
      <c r="C11" s="26"/>
      <c r="D11" s="2"/>
      <c r="E11" s="2"/>
      <c r="F11" s="2"/>
      <c r="G11" s="7"/>
      <c r="H11" s="3"/>
      <c r="I11" s="6"/>
      <c r="J11" s="6"/>
      <c r="K11" s="19"/>
      <c r="L11" s="19"/>
      <c r="M11" s="3"/>
      <c r="N11" s="3"/>
      <c r="O11" s="3"/>
      <c r="P11" s="10"/>
      <c r="AC11" s="3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1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1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1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1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22" priority="7">
      <formula>$AC3="+"</formula>
    </cfRule>
    <cfRule type="expression" dxfId="21" priority="8">
      <formula>AND($M3&gt;0,$H3=$M3)</formula>
    </cfRule>
  </conditionalFormatting>
  <conditionalFormatting sqref="AC3:AC27">
    <cfRule type="expression" dxfId="20" priority="3">
      <formula>AND($M3&gt;0,$H3=$M3)</formula>
    </cfRule>
  </conditionalFormatting>
  <hyperlinks>
    <hyperlink ref="C3" location="'26575281'!A1" display="'26575281'!A1" xr:uid="{87C3E6BC-C2D4-4CD6-83E2-4126641D3546}"/>
    <hyperlink ref="C4" location="'26575267'!A1" display="'26575267'!A1" xr:uid="{E1A2E8FA-E90A-432F-B098-8C25480A0509}"/>
    <hyperlink ref="C5" location="'27679691'!A1" display="'27679691'!A1" xr:uid="{B4E86FC3-A21D-4E79-AC0E-B34B64B4035D}"/>
    <hyperlink ref="C6" location="'27682815'!A1" display="'27682815'!A1" xr:uid="{6A58F39D-E56B-4031-93DB-C642C242C7F4}"/>
    <hyperlink ref="C7" location="'27800234'!A1" display="'27800234'!A1" xr:uid="{7D3A9A8B-A664-4BD7-9D6A-F42046ACECF1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3" sqref="K3:K16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10</v>
      </c>
      <c r="C1" s="12" t="s">
        <v>11</v>
      </c>
      <c r="D1" s="12" t="s">
        <v>8</v>
      </c>
      <c r="F1" s="12" t="s">
        <v>10</v>
      </c>
      <c r="G1" s="12" t="s">
        <v>11</v>
      </c>
      <c r="H1" s="12" t="s">
        <v>8</v>
      </c>
      <c r="I1" s="12" t="s">
        <v>12</v>
      </c>
      <c r="K1" s="12" t="s">
        <v>27</v>
      </c>
    </row>
    <row r="2" spans="1:11" x14ac:dyDescent="0.25">
      <c r="A2" s="6">
        <v>46196</v>
      </c>
      <c r="B2" s="3">
        <v>20</v>
      </c>
      <c r="C2" s="3">
        <v>0</v>
      </c>
      <c r="D2" s="3">
        <v>0</v>
      </c>
      <c r="F2" s="3">
        <f>SUM(B2:B35)</f>
        <v>60</v>
      </c>
      <c r="G2" s="3">
        <f>SUM(C2:C35)</f>
        <v>0</v>
      </c>
      <c r="H2" s="3">
        <f>SUM(D2:D14)</f>
        <v>0</v>
      </c>
      <c r="I2" s="3">
        <f>F2-G2</f>
        <v>60</v>
      </c>
      <c r="K2" s="3">
        <f>B2*-1</f>
        <v>-20</v>
      </c>
    </row>
    <row r="3" spans="1:11" x14ac:dyDescent="0.25">
      <c r="A3" s="6">
        <v>46247</v>
      </c>
      <c r="B3" s="3">
        <v>20</v>
      </c>
      <c r="C3" s="3">
        <v>0</v>
      </c>
      <c r="D3" s="3">
        <v>0</v>
      </c>
      <c r="K3" s="3">
        <f>B3*-1</f>
        <v>-20</v>
      </c>
    </row>
    <row r="4" spans="1:11" x14ac:dyDescent="0.25">
      <c r="A4" s="6">
        <v>46260</v>
      </c>
      <c r="B4" s="3">
        <v>20</v>
      </c>
      <c r="C4" s="3">
        <v>0</v>
      </c>
      <c r="D4" s="3">
        <v>0</v>
      </c>
      <c r="K4" s="3">
        <f t="shared" ref="K4:K16" si="0">B4*-1</f>
        <v>-20</v>
      </c>
    </row>
    <row r="5" spans="1:11" x14ac:dyDescent="0.25">
      <c r="A5" s="6"/>
      <c r="B5" s="3"/>
      <c r="C5" s="3"/>
      <c r="D5" s="3"/>
      <c r="K5" s="3">
        <f t="shared" si="0"/>
        <v>0</v>
      </c>
    </row>
    <row r="6" spans="1:11" x14ac:dyDescent="0.25">
      <c r="A6" s="6"/>
      <c r="B6" s="3"/>
      <c r="C6" s="3"/>
      <c r="D6" s="3"/>
      <c r="K6" s="3">
        <f t="shared" si="0"/>
        <v>0</v>
      </c>
    </row>
    <row r="7" spans="1:11" x14ac:dyDescent="0.25">
      <c r="A7" s="6"/>
      <c r="B7" s="3"/>
      <c r="C7" s="3"/>
      <c r="D7" s="3"/>
      <c r="K7" s="3">
        <f t="shared" si="0"/>
        <v>0</v>
      </c>
    </row>
    <row r="8" spans="1:11" x14ac:dyDescent="0.25">
      <c r="A8" s="6"/>
      <c r="B8" s="3"/>
      <c r="C8" s="3"/>
      <c r="D8" s="3"/>
      <c r="K8" s="3">
        <f t="shared" si="0"/>
        <v>0</v>
      </c>
    </row>
    <row r="9" spans="1:11" x14ac:dyDescent="0.25">
      <c r="A9" s="6"/>
      <c r="B9" s="3"/>
      <c r="C9" s="3"/>
      <c r="D9" s="3"/>
      <c r="K9" s="3">
        <f t="shared" si="0"/>
        <v>0</v>
      </c>
    </row>
    <row r="10" spans="1:11" x14ac:dyDescent="0.25">
      <c r="A10" s="6"/>
      <c r="B10" s="3"/>
      <c r="C10" s="3"/>
      <c r="D10" s="3"/>
      <c r="K10" s="3">
        <f t="shared" si="0"/>
        <v>0</v>
      </c>
    </row>
    <row r="11" spans="1:11" x14ac:dyDescent="0.25">
      <c r="A11" s="6"/>
      <c r="B11" s="3"/>
      <c r="C11" s="3"/>
      <c r="D11" s="3"/>
      <c r="K11" s="3">
        <f t="shared" si="0"/>
        <v>0</v>
      </c>
    </row>
    <row r="12" spans="1:11" x14ac:dyDescent="0.25">
      <c r="A12" s="6"/>
      <c r="B12" s="3"/>
      <c r="C12" s="3"/>
      <c r="D12" s="3"/>
      <c r="K12" s="3">
        <f t="shared" si="0"/>
        <v>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15"/>
      <c r="B15" s="1"/>
      <c r="C15" s="1"/>
      <c r="D15" s="1"/>
      <c r="K15" s="3">
        <f t="shared" si="0"/>
        <v>0</v>
      </c>
    </row>
    <row r="16" spans="1:11" x14ac:dyDescent="0.25">
      <c r="A16" s="15"/>
      <c r="B16" s="1"/>
      <c r="C16" s="1"/>
      <c r="D16" s="1"/>
      <c r="K16" s="3">
        <f t="shared" si="0"/>
        <v>0</v>
      </c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46266</v>
      </c>
      <c r="B200" s="1"/>
      <c r="C200" s="1"/>
      <c r="D200" s="1"/>
      <c r="K200" s="3">
        <f>Overview!W3</f>
        <v>60.32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16A22-3BD7-491B-B247-3147798945F2}">
  <dimension ref="A1:Z53"/>
  <sheetViews>
    <sheetView workbookViewId="0">
      <selection activeCell="G16" sqref="G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27800234</v>
      </c>
      <c r="D1" s="33" t="s">
        <v>2</v>
      </c>
      <c r="E1" s="34"/>
      <c r="F1" s="35"/>
      <c r="G1" s="33" t="s">
        <v>0</v>
      </c>
      <c r="H1" s="34"/>
      <c r="I1" s="35"/>
      <c r="J1" s="16"/>
      <c r="K1" s="33" t="s">
        <v>28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16</v>
      </c>
      <c r="B2" s="6" t="s">
        <v>48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49</v>
      </c>
      <c r="D3" s="11">
        <v>46285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46261</v>
      </c>
      <c r="Y3" s="3">
        <f>B16*-1</f>
        <v>-20.16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>
        <v>46315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46346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>
        <v>46376</v>
      </c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>
        <v>46407</v>
      </c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24 d.</v>
      </c>
      <c r="D8" s="11">
        <v>46438</v>
      </c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46261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46254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46438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172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0.08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20.16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78C54-12CB-4734-A716-AFE32A222132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27682815</v>
      </c>
      <c r="D1" s="33" t="s">
        <v>2</v>
      </c>
      <c r="E1" s="34"/>
      <c r="F1" s="35"/>
      <c r="G1" s="33" t="s">
        <v>0</v>
      </c>
      <c r="H1" s="34"/>
      <c r="I1" s="35"/>
      <c r="J1" s="16"/>
      <c r="K1" s="33" t="s">
        <v>28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16</v>
      </c>
      <c r="B2" s="6" t="s">
        <v>50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51</v>
      </c>
      <c r="D3" s="11">
        <v>46276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52</v>
      </c>
      <c r="D4" s="11">
        <v>46306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46337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>
        <v>46367</v>
      </c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>
        <v>46398</v>
      </c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11 mėn. 29 d.</v>
      </c>
      <c r="D8" s="11">
        <v>46429</v>
      </c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46247</v>
      </c>
      <c r="D9" s="11">
        <v>46457</v>
      </c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46245</v>
      </c>
      <c r="D10" s="11">
        <v>46488</v>
      </c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46610</v>
      </c>
      <c r="D11" s="11">
        <v>46518</v>
      </c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344</v>
      </c>
      <c r="D12" s="11">
        <v>46549</v>
      </c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>
        <v>46579</v>
      </c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>
        <v>46610</v>
      </c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8.5000000000000006E-2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A8DAB-1FCA-47BE-B3D5-66A0F6FA7AE1}">
  <dimension ref="A1:Z53"/>
  <sheetViews>
    <sheetView workbookViewId="0">
      <selection activeCell="E7" sqref="E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27679691</v>
      </c>
      <c r="D1" s="33" t="s">
        <v>2</v>
      </c>
      <c r="E1" s="34"/>
      <c r="F1" s="35"/>
      <c r="G1" s="33" t="s">
        <v>0</v>
      </c>
      <c r="H1" s="34"/>
      <c r="I1" s="35"/>
      <c r="J1" s="16"/>
      <c r="K1" s="33" t="s">
        <v>28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16</v>
      </c>
      <c r="B2" s="6" t="s">
        <v>48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49</v>
      </c>
      <c r="D3" s="11">
        <v>46278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46247</v>
      </c>
      <c r="Y3" s="3">
        <f>B16*-1</f>
        <v>-10.16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>
        <v>46308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46339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>
        <v>46369</v>
      </c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>
        <v>46400</v>
      </c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11">
        <v>46431</v>
      </c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46247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46431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165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0.08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10.16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26575267</v>
      </c>
      <c r="D1" s="33" t="s">
        <v>2</v>
      </c>
      <c r="E1" s="34"/>
      <c r="F1" s="35"/>
      <c r="G1" s="33" t="s">
        <v>0</v>
      </c>
      <c r="H1" s="34"/>
      <c r="I1" s="35"/>
      <c r="J1" s="16"/>
      <c r="K1" s="33" t="s">
        <v>28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16</v>
      </c>
      <c r="B2" s="6" t="s">
        <v>46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45</v>
      </c>
      <c r="D3" s="11">
        <v>46227</v>
      </c>
      <c r="E3" s="6">
        <v>46227</v>
      </c>
      <c r="F3" s="19">
        <f>IF(E3&gt;0,E3-D3,"")</f>
        <v>0</v>
      </c>
      <c r="G3" s="3">
        <v>0</v>
      </c>
      <c r="H3" s="3">
        <v>0.08</v>
      </c>
      <c r="I3" s="3">
        <v>0</v>
      </c>
      <c r="J3" s="14"/>
      <c r="K3" s="3">
        <f>G53</f>
        <v>0</v>
      </c>
      <c r="L3" s="3">
        <f>H53</f>
        <v>0.16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46197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>
        <v>46258</v>
      </c>
      <c r="E4" s="6">
        <v>46258</v>
      </c>
      <c r="F4" s="19">
        <f>IF(E4&gt;0,E4-D4,"")</f>
        <v>0</v>
      </c>
      <c r="G4" s="3">
        <v>0</v>
      </c>
      <c r="H4" s="3">
        <v>0.08</v>
      </c>
      <c r="I4" s="3">
        <v>0</v>
      </c>
      <c r="J4" s="10"/>
      <c r="X4" s="6">
        <f>E3</f>
        <v>46227</v>
      </c>
      <c r="Y4" s="3">
        <f>G3+H3-I3</f>
        <v>0.08</v>
      </c>
    </row>
    <row r="5" spans="1:26" x14ac:dyDescent="0.25">
      <c r="A5" s="5"/>
      <c r="B5" s="6"/>
      <c r="D5" s="11">
        <v>46289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46258</v>
      </c>
      <c r="Y5" s="3">
        <f t="shared" ref="Y5:Y52" si="2">G4+H4-I4</f>
        <v>0.08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3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46197</v>
      </c>
      <c r="D10" s="11"/>
      <c r="E10" s="6"/>
      <c r="F10" s="19" t="str">
        <f t="shared" si="0"/>
        <v/>
      </c>
      <c r="G10" s="3"/>
      <c r="H10" s="3"/>
      <c r="I10" s="3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46289</v>
      </c>
      <c r="D11" s="11"/>
      <c r="E11" s="6"/>
      <c r="F11" s="19" t="str">
        <f t="shared" si="0"/>
        <v/>
      </c>
      <c r="G11" s="3"/>
      <c r="H11" s="3"/>
      <c r="I11" s="3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23</v>
      </c>
      <c r="D12" s="11"/>
      <c r="E12" s="6"/>
      <c r="F12" s="19" t="str">
        <f t="shared" si="0"/>
        <v/>
      </c>
      <c r="G12" s="3"/>
      <c r="H12" s="3"/>
      <c r="I12" s="3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3"/>
      <c r="H13" s="3"/>
      <c r="I13" s="3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3"/>
      <c r="H14" s="3"/>
      <c r="I14" s="3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1"/>
      <c r="E15" s="6"/>
      <c r="F15" s="19" t="str">
        <f t="shared" si="0"/>
        <v/>
      </c>
      <c r="G15" s="3"/>
      <c r="H15" s="3"/>
      <c r="I15" s="3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10</v>
      </c>
      <c r="D16" s="11"/>
      <c r="E16" s="6"/>
      <c r="F16" s="19" t="str">
        <f t="shared" si="0"/>
        <v/>
      </c>
      <c r="G16" s="3"/>
      <c r="H16" s="3"/>
      <c r="I16" s="3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3"/>
      <c r="H17" s="3"/>
      <c r="I17" s="3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3"/>
      <c r="H18" s="3"/>
      <c r="I18" s="3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3"/>
      <c r="H19" s="3"/>
      <c r="I19" s="3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3"/>
      <c r="H20" s="3"/>
      <c r="I20" s="3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3"/>
      <c r="H21" s="3"/>
      <c r="I21" s="3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3"/>
      <c r="H22" s="3"/>
      <c r="I22" s="3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3"/>
      <c r="H23" s="3"/>
      <c r="I23" s="3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3"/>
      <c r="H24" s="3"/>
      <c r="I24" s="3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3"/>
      <c r="H25" s="3"/>
      <c r="I25" s="3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3"/>
      <c r="H26" s="3"/>
      <c r="I26" s="3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3"/>
      <c r="H27" s="3"/>
      <c r="I27" s="3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3"/>
      <c r="H28" s="3"/>
      <c r="I28" s="3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3"/>
      <c r="H29" s="3"/>
      <c r="I29" s="3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3"/>
      <c r="H30" s="3"/>
      <c r="I30" s="3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3"/>
      <c r="H31" s="3"/>
      <c r="I31" s="3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3"/>
      <c r="H32" s="3"/>
      <c r="I32" s="3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3"/>
      <c r="H33" s="3"/>
      <c r="I33" s="3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3"/>
      <c r="H34" s="3"/>
      <c r="I34" s="3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3"/>
      <c r="H35" s="3"/>
      <c r="I35" s="3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3"/>
      <c r="H36" s="3"/>
      <c r="I36" s="3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3"/>
      <c r="H37" s="3"/>
      <c r="I37" s="3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3"/>
      <c r="H38" s="3"/>
      <c r="I38" s="3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3"/>
      <c r="H39" s="3"/>
      <c r="I39" s="3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3"/>
      <c r="H40" s="3"/>
      <c r="I40" s="3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3"/>
      <c r="H41" s="3"/>
      <c r="I41" s="3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3"/>
      <c r="H42" s="3"/>
      <c r="I42" s="3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3"/>
      <c r="H43" s="3"/>
      <c r="I43" s="3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0.16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5">
      <formula>$Z$3="+"</formula>
    </cfRule>
  </conditionalFormatting>
  <conditionalFormatting sqref="Z3">
    <cfRule type="expression" dxfId="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>
      <selection activeCell="H11" sqref="H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26575281</v>
      </c>
      <c r="D1" s="33" t="s">
        <v>2</v>
      </c>
      <c r="E1" s="34"/>
      <c r="F1" s="35"/>
      <c r="G1" s="33" t="s">
        <v>0</v>
      </c>
      <c r="H1" s="34"/>
      <c r="I1" s="35"/>
      <c r="J1" s="16"/>
      <c r="K1" s="33" t="s">
        <v>28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16</v>
      </c>
      <c r="B2" s="6" t="s">
        <v>42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43</v>
      </c>
      <c r="D3" s="11">
        <v>46227</v>
      </c>
      <c r="E3" s="6">
        <v>46227</v>
      </c>
      <c r="F3" s="19">
        <f>IF(E3&gt;0,E3-D3,"")</f>
        <v>0</v>
      </c>
      <c r="G3" s="3">
        <v>0</v>
      </c>
      <c r="H3" s="3">
        <v>0.08</v>
      </c>
      <c r="I3" s="3">
        <v>0</v>
      </c>
      <c r="J3" s="14"/>
      <c r="K3" s="3">
        <f>G53</f>
        <v>0</v>
      </c>
      <c r="L3" s="3">
        <f>H53</f>
        <v>0.16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46197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>
        <v>46258</v>
      </c>
      <c r="E4" s="6">
        <v>46258</v>
      </c>
      <c r="F4" s="19">
        <f>IF(E4&gt;0,E4-D4,"")</f>
        <v>0</v>
      </c>
      <c r="G4" s="3">
        <v>0</v>
      </c>
      <c r="H4" s="3">
        <v>0.08</v>
      </c>
      <c r="I4" s="3">
        <v>0</v>
      </c>
      <c r="J4" s="10"/>
      <c r="X4" s="6">
        <f>E3</f>
        <v>46227</v>
      </c>
      <c r="Y4" s="3">
        <f>G3+H3-I3</f>
        <v>0.08</v>
      </c>
    </row>
    <row r="5" spans="1:26" x14ac:dyDescent="0.25">
      <c r="A5" s="5"/>
      <c r="B5" s="6"/>
      <c r="D5" s="11">
        <v>46289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46258</v>
      </c>
      <c r="Y5" s="3">
        <f t="shared" ref="Y5:Y52" si="2">G4+H4-I4</f>
        <v>0.08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3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46197</v>
      </c>
      <c r="D10" s="11"/>
      <c r="E10" s="6"/>
      <c r="F10" s="19" t="str">
        <f t="shared" si="0"/>
        <v/>
      </c>
      <c r="G10" s="3"/>
      <c r="H10" s="3"/>
      <c r="I10" s="3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46289</v>
      </c>
      <c r="D11" s="11"/>
      <c r="E11" s="6"/>
      <c r="F11" s="19" t="str">
        <f t="shared" si="0"/>
        <v/>
      </c>
      <c r="G11" s="3"/>
      <c r="H11" s="3"/>
      <c r="I11" s="3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23</v>
      </c>
      <c r="D12" s="11"/>
      <c r="E12" s="6"/>
      <c r="F12" s="19" t="str">
        <f t="shared" si="0"/>
        <v/>
      </c>
      <c r="G12" s="3"/>
      <c r="H12" s="3"/>
      <c r="I12" s="3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3"/>
      <c r="H13" s="3"/>
      <c r="I13" s="3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8.5000000000000006E-2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0.16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7" priority="4">
      <formula>$Z$3="+"</formula>
    </cfRule>
    <cfRule type="expression" dxfId="6" priority="5">
      <formula>$B$16=$K$3</formula>
    </cfRule>
  </conditionalFormatting>
  <conditionalFormatting sqref="P3">
    <cfRule type="expression" dxfId="5" priority="3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Pinigai</vt:lpstr>
      <vt:lpstr>27800234</vt:lpstr>
      <vt:lpstr>27682815</vt:lpstr>
      <vt:lpstr>27679691</vt:lpstr>
      <vt:lpstr>26575267</vt:lpstr>
      <vt:lpstr>26575281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2026-09-01T06:31:33Z</dcterms:modified>
</cp:coreProperties>
</file>