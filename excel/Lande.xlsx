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Lande\"/>
    </mc:Choice>
  </mc:AlternateContent>
  <xr:revisionPtr revIDLastSave="0" documentId="13_ncr:1_{17C161DC-9DE4-4DD1-ADED-42C6EFB31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12664422" sheetId="16" r:id="rId3"/>
    <sheet name="42604620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  <c r="M4" i="1"/>
  <c r="J4" i="1"/>
  <c r="I4" i="1"/>
  <c r="H4" i="1"/>
  <c r="G4" i="1"/>
  <c r="F4" i="1"/>
  <c r="E4" i="1"/>
  <c r="D4" i="1"/>
  <c r="C4" i="1"/>
  <c r="B4" i="1"/>
  <c r="I53" i="16"/>
  <c r="H53" i="16"/>
  <c r="G53" i="16"/>
  <c r="K3" i="16" s="1"/>
  <c r="Y52" i="16"/>
  <c r="X52" i="16"/>
  <c r="F52" i="16"/>
  <c r="Y51" i="16"/>
  <c r="X51" i="16"/>
  <c r="F51" i="16"/>
  <c r="Y50" i="16"/>
  <c r="X50" i="16"/>
  <c r="F50" i="16"/>
  <c r="Y49" i="16"/>
  <c r="X49" i="16"/>
  <c r="F49" i="16"/>
  <c r="Y48" i="16"/>
  <c r="X48" i="16"/>
  <c r="F48" i="16"/>
  <c r="Y47" i="16"/>
  <c r="X47" i="16"/>
  <c r="F47" i="16"/>
  <c r="Y46" i="16"/>
  <c r="X46" i="16"/>
  <c r="F46" i="16"/>
  <c r="Y45" i="16"/>
  <c r="X45" i="16"/>
  <c r="F45" i="16"/>
  <c r="Y44" i="16"/>
  <c r="X44" i="16"/>
  <c r="F44" i="16"/>
  <c r="Y43" i="16"/>
  <c r="X43" i="16"/>
  <c r="F43" i="16"/>
  <c r="Y42" i="16"/>
  <c r="X42" i="16"/>
  <c r="F42" i="16"/>
  <c r="Y41" i="16"/>
  <c r="X41" i="16"/>
  <c r="F41" i="16"/>
  <c r="Y40" i="16"/>
  <c r="X40" i="16"/>
  <c r="F40" i="16"/>
  <c r="Y39" i="16"/>
  <c r="X39" i="16"/>
  <c r="F39" i="16"/>
  <c r="Y38" i="16"/>
  <c r="X38" i="16"/>
  <c r="F38" i="16"/>
  <c r="Y37" i="16"/>
  <c r="X37" i="16"/>
  <c r="F37" i="16"/>
  <c r="Y36" i="16"/>
  <c r="X36" i="16"/>
  <c r="F36" i="16"/>
  <c r="Y35" i="16"/>
  <c r="X35" i="16"/>
  <c r="F35" i="16"/>
  <c r="Y34" i="16"/>
  <c r="X34" i="16"/>
  <c r="F34" i="16"/>
  <c r="Y33" i="16"/>
  <c r="X33" i="16"/>
  <c r="F33" i="16"/>
  <c r="Y32" i="16"/>
  <c r="X32" i="16"/>
  <c r="F32" i="16"/>
  <c r="Y31" i="16"/>
  <c r="X31" i="16"/>
  <c r="F31" i="16"/>
  <c r="Y30" i="16"/>
  <c r="X30" i="16"/>
  <c r="F30" i="16"/>
  <c r="Y29" i="16"/>
  <c r="X29" i="16"/>
  <c r="F29" i="16"/>
  <c r="Y28" i="16"/>
  <c r="X28" i="16"/>
  <c r="F28" i="16"/>
  <c r="Y27" i="16"/>
  <c r="X27" i="16"/>
  <c r="F27" i="16"/>
  <c r="Y26" i="16"/>
  <c r="X26" i="16"/>
  <c r="F26" i="16"/>
  <c r="Y25" i="16"/>
  <c r="X25" i="16"/>
  <c r="F25" i="16"/>
  <c r="Y24" i="16"/>
  <c r="X24" i="16"/>
  <c r="F24" i="16"/>
  <c r="Y23" i="16"/>
  <c r="X23" i="16"/>
  <c r="F23" i="16"/>
  <c r="Y22" i="16"/>
  <c r="X22" i="16"/>
  <c r="F22" i="16"/>
  <c r="Y21" i="16"/>
  <c r="X21" i="16"/>
  <c r="F21" i="16"/>
  <c r="Y20" i="16"/>
  <c r="X20" i="16"/>
  <c r="F20" i="16"/>
  <c r="Y19" i="16"/>
  <c r="X19" i="16"/>
  <c r="F19" i="16"/>
  <c r="Y18" i="16"/>
  <c r="X18" i="16"/>
  <c r="F18" i="16"/>
  <c r="Y17" i="16"/>
  <c r="X17" i="16"/>
  <c r="F17" i="16"/>
  <c r="Y16" i="16"/>
  <c r="X16" i="16"/>
  <c r="F16" i="16"/>
  <c r="Y15" i="16"/>
  <c r="X15" i="16"/>
  <c r="F15" i="16"/>
  <c r="Y14" i="16"/>
  <c r="X14" i="16"/>
  <c r="F14" i="16"/>
  <c r="Y13" i="16"/>
  <c r="X13" i="16"/>
  <c r="F13" i="16"/>
  <c r="Y12" i="16"/>
  <c r="X12" i="16"/>
  <c r="F12" i="16"/>
  <c r="Y11" i="16"/>
  <c r="X11" i="16"/>
  <c r="F11" i="16"/>
  <c r="Y10" i="16"/>
  <c r="X10" i="16"/>
  <c r="F10" i="16"/>
  <c r="Y9" i="16"/>
  <c r="X9" i="16"/>
  <c r="F9" i="16"/>
  <c r="Y8" i="16"/>
  <c r="X8" i="16"/>
  <c r="F8" i="16"/>
  <c r="B8" i="16"/>
  <c r="Y7" i="16"/>
  <c r="X7" i="16"/>
  <c r="F7" i="16"/>
  <c r="Y6" i="16"/>
  <c r="X6" i="16"/>
  <c r="F6" i="16"/>
  <c r="Y5" i="16"/>
  <c r="X5" i="16"/>
  <c r="F5" i="16"/>
  <c r="Y4" i="16"/>
  <c r="X4" i="16"/>
  <c r="F4" i="16"/>
  <c r="Y3" i="16"/>
  <c r="X3" i="16"/>
  <c r="M3" i="16"/>
  <c r="L3" i="16"/>
  <c r="F3" i="16"/>
  <c r="K3" i="15"/>
  <c r="K4" i="15"/>
  <c r="E3" i="1"/>
  <c r="B3" i="1"/>
  <c r="G3" i="1"/>
  <c r="A200" i="15"/>
  <c r="K2" i="15"/>
  <c r="F4" i="14"/>
  <c r="Z3" i="16" l="1"/>
  <c r="Q3" i="16"/>
  <c r="N3" i="16"/>
  <c r="B12" i="16"/>
  <c r="K4" i="1" s="1"/>
  <c r="O3" i="16"/>
  <c r="I3" i="1"/>
  <c r="H3" i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L3" i="14" s="1"/>
  <c r="I53" i="14"/>
  <c r="M3" i="14" s="1"/>
  <c r="O3" i="1" s="1"/>
  <c r="AA3" i="1" s="1"/>
  <c r="G53" i="14"/>
  <c r="K3" i="14" s="1"/>
  <c r="Q3" i="14" s="1"/>
  <c r="B8" i="14"/>
  <c r="F3" i="1" s="1"/>
  <c r="P3" i="16" l="1"/>
  <c r="L4" i="1" s="1"/>
  <c r="AC4" i="1"/>
  <c r="M3" i="1"/>
  <c r="U3" i="1" s="1"/>
  <c r="R3" i="1" s="1"/>
  <c r="N3" i="14"/>
  <c r="O3" i="14"/>
  <c r="J3" i="1" s="1"/>
  <c r="N3" i="1"/>
  <c r="V3" i="1" s="1"/>
  <c r="Z3" i="14"/>
  <c r="P3" i="14" l="1"/>
  <c r="L3" i="1" s="1"/>
  <c r="AC3" i="1"/>
  <c r="B12" i="14" l="1"/>
  <c r="H2" i="15"/>
  <c r="S3" i="1" s="1"/>
  <c r="K3" i="1" l="1"/>
  <c r="D3" i="1"/>
  <c r="C3" i="1"/>
  <c r="G2" i="15" l="1"/>
  <c r="F2" i="15"/>
  <c r="I2" i="15" l="1"/>
  <c r="Q3" i="1" s="1"/>
  <c r="W3" i="1" s="1"/>
  <c r="T3" i="1" l="1"/>
  <c r="Y3" i="1"/>
  <c r="K200" i="15"/>
  <c r="Z3" i="1" s="1"/>
  <c r="X3" i="1"/>
</calcChain>
</file>

<file path=xl/sharedStrings.xml><?xml version="1.0" encoding="utf-8"?>
<sst xmlns="http://schemas.openxmlformats.org/spreadsheetml/2006/main" count="113" uniqueCount="48">
  <si>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</si>
  <si>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</si>
  <si>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</si>
  <si>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</si>
  <si>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</si>
  <si>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</si>
  <si>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</si>
  <si>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</si>
  <si>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</si>
  <si>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</si>
  <si>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</si>
  <si>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</si>
  <si>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</si>
  <si>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</si>
  <si>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</si>
  <si>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</si>
  <si>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</si>
  <si>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</si>
  <si>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Pradžia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</si>
  <si>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</si>
  <si>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</si>
  <si>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</si>
  <si>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</si>
  <si>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</si>
  <si>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</si>
  <si>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</si>
  <si>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</si>
  <si>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</si>
  <si>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</si>
  <si>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</si>
  <si>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</si>
  <si>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Liko, dienos</t>
  </si>
  <si>
    <t>Investuota, Eur</t>
  </si>
  <si>
    <t>Vėluoja</t>
  </si>
  <si>
    <t>Vėl./Anks.</t>
  </si>
  <si>
    <t>Inv. data</t>
  </si>
  <si>
    <t>Liko</t>
  </si>
  <si>
    <t>Eur.</t>
  </si>
  <si>
    <t>Poland</t>
  </si>
  <si>
    <t>Įkeitimas</t>
  </si>
  <si>
    <t>Žemė</t>
  </si>
  <si>
    <t>LTV</t>
  </si>
  <si>
    <t>GOSPODARSTWO ROLNE KINGA SZYMAŃSKA</t>
  </si>
  <si>
    <t>Skolininkas</t>
  </si>
  <si>
    <t xml:space="preserve">Premijos </t>
  </si>
  <si>
    <t>Latvia</t>
  </si>
  <si>
    <t>Maltas pagasta zemnieku saimniecība "MARKĀNI"</t>
  </si>
  <si>
    <t>Mašinos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</si>
</sst>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.mm\.dd;@"/>
    <numFmt numFmtId="165" formatCode="yyyy/mm/dd;@"/>
    <numFmt numFmtId="166" formatCode="0.0"/>
    <numFmt numFmtId="167" formatCode="0.0%"/>
  </numFmts>
  <fonts count="5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0" fontId="0" fillId="0" borderId="0" xfId="0" applyNumberFormat="1"/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59508-8879-4448-A756-5A1226512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topLeftCell="E1" workbookViewId="0">
      <selection sqref="A1:H1"/>
    </sheetView>
  </sheetViews>
  <sheetFormatPr defaultRowHeight="15" x14ac:dyDescent="0.25"/>
  <cols>
    <col min="1" max="1" width="4.7109375" customWidth="1"/>
    <col min="2" max="2" width="12.7109375" customWidth="1"/>
    <col min="3" max="3" width="15.7109375" customWidth="1"/>
    <col min="4" max="4" width="10.7109375" customWidth="1"/>
    <col min="5" max="5" width="15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9" t="s">
        <v>0</v>
      </c>
      <c r="B1" s="39"/>
      <c r="C1" s="39"/>
      <c r="D1" s="39"/>
      <c r="E1" s="39"/>
      <c r="F1" s="39"/>
      <c r="G1" s="39"/>
      <c r="H1" s="40"/>
      <c r="I1" s="36" t="s">
        <v>27</v>
      </c>
      <c r="J1" s="37"/>
      <c r="K1" s="37"/>
      <c r="L1" s="38"/>
      <c r="M1" s="41" t="s">
        <v>20</v>
      </c>
      <c r="N1" s="41"/>
      <c r="O1" s="41"/>
      <c r="Q1" s="42" t="s">
        <v>19</v>
      </c>
      <c r="R1" s="43"/>
      <c r="S1" s="43"/>
      <c r="T1" s="44"/>
      <c r="U1" s="42" t="s">
        <v>20</v>
      </c>
      <c r="V1" s="44"/>
      <c r="W1" s="36" t="s">
        <v>4</v>
      </c>
      <c r="X1" s="37"/>
      <c r="Y1" s="37"/>
      <c r="Z1" s="38"/>
      <c r="AA1" s="4" t="s">
        <v>22</v>
      </c>
    </row>
    <row r="2" spans="1:29" x14ac:dyDescent="0.25">
      <c r="A2" s="16" t="s">
        <v>30</v>
      </c>
      <c r="B2" s="23" t="s">
        <v>35</v>
      </c>
      <c r="C2" s="4" t="s">
        <v>3</v>
      </c>
      <c r="D2" s="4" t="s">
        <v>15</v>
      </c>
      <c r="E2" s="4" t="s">
        <v>39</v>
      </c>
      <c r="F2" s="4" t="s">
        <v>16</v>
      </c>
      <c r="G2" s="4" t="s">
        <v>5</v>
      </c>
      <c r="H2" s="4" t="s">
        <v>8</v>
      </c>
      <c r="I2" s="4" t="s">
        <v>28</v>
      </c>
      <c r="J2" s="4" t="s">
        <v>29</v>
      </c>
      <c r="K2" s="4" t="s">
        <v>36</v>
      </c>
      <c r="L2" s="4" t="s">
        <v>33</v>
      </c>
      <c r="M2" s="4" t="s">
        <v>0</v>
      </c>
      <c r="N2" s="4" t="s">
        <v>1</v>
      </c>
      <c r="O2" s="4" t="s">
        <v>22</v>
      </c>
      <c r="P2" s="9"/>
      <c r="Q2" s="30" t="s">
        <v>9</v>
      </c>
      <c r="R2" s="30" t="s">
        <v>8</v>
      </c>
      <c r="S2" s="4" t="s">
        <v>44</v>
      </c>
      <c r="T2" s="4" t="s">
        <v>6</v>
      </c>
      <c r="U2" s="23" t="s">
        <v>0</v>
      </c>
      <c r="V2" s="23" t="s">
        <v>1</v>
      </c>
      <c r="W2" s="4" t="s">
        <v>21</v>
      </c>
      <c r="X2" s="4" t="s">
        <v>37</v>
      </c>
      <c r="Y2" s="4" t="s">
        <v>5</v>
      </c>
      <c r="Z2" s="4" t="s">
        <v>23</v>
      </c>
      <c r="AA2" s="4" t="s">
        <v>37</v>
      </c>
      <c r="AC2" s="12" t="s">
        <v>33</v>
      </c>
    </row>
    <row r="3" spans="1:29" x14ac:dyDescent="0.25">
      <c r="A3" s="2">
        <v>1</v>
      </c>
      <c r="B3" s="6">
        <f>'42604620'!B9</f>
        <v>46219</v>
      </c>
      <c r="C3" s="25">
        <f>'42604620'!B1</f>
        <v>42604620</v>
      </c>
      <c r="D3" s="2" t="str">
        <f>'42604620'!B2</f>
        <v>Poland</v>
      </c>
      <c r="E3" s="2" t="str">
        <f>'42604620'!B4</f>
        <v>Žemė</v>
      </c>
      <c r="F3" s="2" t="str">
        <f>'42604620'!B8</f>
        <v>1 m. 0 mėn. 9 d.</v>
      </c>
      <c r="G3" s="7">
        <f>'42604620'!B15</f>
        <v>0.13</v>
      </c>
      <c r="H3" s="3">
        <f>'42604620'!B16</f>
        <v>55</v>
      </c>
      <c r="I3" s="6">
        <f>'42604620'!B11</f>
        <v>46593</v>
      </c>
      <c r="J3" s="6" t="str">
        <f>'42604620'!O3</f>
        <v/>
      </c>
      <c r="K3" s="19">
        <f ca="1">'42604620'!B12</f>
        <v>298</v>
      </c>
      <c r="L3" s="19" t="str">
        <f ca="1">'42604620'!P3</f>
        <v/>
      </c>
      <c r="M3" s="3">
        <f>'42604620'!K3</f>
        <v>0.26</v>
      </c>
      <c r="N3" s="3">
        <f>'42604620'!L3</f>
        <v>0.59</v>
      </c>
      <c r="O3" s="3">
        <f>'42604620'!M3</f>
        <v>0</v>
      </c>
      <c r="P3" s="10"/>
      <c r="Q3" s="31">
        <f>Pinigai!I2</f>
        <v>100</v>
      </c>
      <c r="R3" s="31">
        <f>SUM(H3:H100)-U3</f>
        <v>106.67999999999999</v>
      </c>
      <c r="S3" s="32">
        <f>Pinigai!H2</f>
        <v>6.65</v>
      </c>
      <c r="T3" s="32">
        <f>W3-R3</f>
        <v>0.56000000000001648</v>
      </c>
      <c r="U3" s="31">
        <f>SUM(M3:M100)</f>
        <v>0.26</v>
      </c>
      <c r="V3" s="31">
        <f>SUM(N3:N100)-AA3</f>
        <v>0.59</v>
      </c>
      <c r="W3" s="32">
        <f>Q3+S3+V3</f>
        <v>107.24000000000001</v>
      </c>
      <c r="X3" s="32">
        <f>W3-Q3</f>
        <v>7.2400000000000091</v>
      </c>
      <c r="Y3" s="33">
        <f>(W3-Q3)/Q3</f>
        <v>7.2400000000000089E-2</v>
      </c>
      <c r="Z3" s="34">
        <f ca="1">XIRR(Pinigai!K2:K200,Pinigai!A2:A200)</f>
        <v>36.227126121520996</v>
      </c>
      <c r="AA3" s="31">
        <f>SUM(O3:O100)</f>
        <v>0</v>
      </c>
      <c r="AC3" s="3" t="str">
        <f ca="1">'42604620'!Z3</f>
        <v/>
      </c>
    </row>
    <row r="4" spans="1:29" x14ac:dyDescent="0.25">
      <c r="A4" s="2">
        <v>2</v>
      </c>
      <c r="B4" s="6">
        <f>'12664422'!B9</f>
        <v>46277</v>
      </c>
      <c r="C4" s="25">
        <f>'12664422'!B1</f>
        <v>12664422</v>
      </c>
      <c r="D4" s="2" t="str">
        <f>'12664422'!B2</f>
        <v>Latvia</v>
      </c>
      <c r="E4" s="2" t="str">
        <f>'12664422'!B4</f>
        <v>Mašinos</v>
      </c>
      <c r="F4" s="2" t="str">
        <f>'12664422'!B8</f>
        <v>1 m. 5 mėn. 0 d.</v>
      </c>
      <c r="G4" s="7">
        <f>'12664422'!B15</f>
        <v>0.11</v>
      </c>
      <c r="H4" s="3">
        <f>'12664422'!B16</f>
        <v>51.94</v>
      </c>
      <c r="I4" s="6">
        <f>'12664422'!B11</f>
        <v>46795</v>
      </c>
      <c r="J4" s="6" t="str">
        <f>'12664422'!O3</f>
        <v/>
      </c>
      <c r="K4" s="19">
        <f ca="1">'12664422'!B12</f>
        <v>500</v>
      </c>
      <c r="L4" s="19" t="str">
        <f ca="1">'12664422'!P3</f>
        <v/>
      </c>
      <c r="M4" s="3">
        <f>'12664422'!K3</f>
        <v>0</v>
      </c>
      <c r="N4" s="3">
        <f>'12664422'!L3</f>
        <v>0</v>
      </c>
      <c r="O4" s="3">
        <f>'12664422'!M3</f>
        <v>0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'12664422'!Z3</f>
        <v/>
      </c>
    </row>
    <row r="5" spans="1:29" x14ac:dyDescent="0.25">
      <c r="A5" s="2"/>
      <c r="B5" s="6"/>
      <c r="C5" s="25"/>
      <c r="D5" s="2"/>
      <c r="E5" s="2"/>
      <c r="F5" s="2"/>
      <c r="G5" s="7"/>
      <c r="H5" s="3"/>
      <c r="I5" s="6"/>
      <c r="J5" s="6"/>
      <c r="K5" s="19"/>
      <c r="L5" s="19"/>
      <c r="M5" s="3"/>
      <c r="N5" s="3"/>
      <c r="O5" s="3"/>
      <c r="P5" s="10"/>
      <c r="AC5" s="3"/>
    </row>
    <row r="6" spans="1:29" x14ac:dyDescent="0.25">
      <c r="A6" s="2"/>
      <c r="B6" s="6"/>
      <c r="C6" s="25"/>
      <c r="D6" s="2"/>
      <c r="E6" s="2"/>
      <c r="F6" s="2"/>
      <c r="G6" s="7"/>
      <c r="H6" s="3"/>
      <c r="I6" s="6"/>
      <c r="J6" s="6"/>
      <c r="K6" s="19"/>
      <c r="L6" s="19"/>
      <c r="M6" s="3"/>
      <c r="N6" s="3"/>
      <c r="O6" s="3"/>
      <c r="P6" s="10"/>
      <c r="AC6" s="3"/>
    </row>
    <row r="7" spans="1:29" x14ac:dyDescent="0.25">
      <c r="A7" s="2"/>
      <c r="B7" s="6"/>
      <c r="C7" s="25"/>
      <c r="D7" s="2"/>
      <c r="E7" s="2"/>
      <c r="F7" s="2"/>
      <c r="G7" s="7"/>
      <c r="H7" s="3"/>
      <c r="I7" s="6"/>
      <c r="J7" s="6"/>
      <c r="K7" s="19"/>
      <c r="L7" s="19"/>
      <c r="M7" s="3"/>
      <c r="N7" s="3"/>
      <c r="O7" s="3"/>
      <c r="P7" s="10"/>
      <c r="AC7" s="3"/>
    </row>
    <row r="8" spans="1:29" x14ac:dyDescent="0.25">
      <c r="A8" s="2"/>
      <c r="B8" s="6"/>
      <c r="C8" s="25"/>
      <c r="D8" s="2"/>
      <c r="E8" s="2"/>
      <c r="F8" s="2"/>
      <c r="G8" s="7"/>
      <c r="H8" s="3"/>
      <c r="I8" s="6"/>
      <c r="J8" s="6"/>
      <c r="K8" s="19"/>
      <c r="L8" s="19"/>
      <c r="M8" s="3"/>
      <c r="N8" s="3"/>
      <c r="O8" s="3"/>
      <c r="P8" s="10"/>
      <c r="AC8" s="3"/>
    </row>
    <row r="9" spans="1:29" x14ac:dyDescent="0.25">
      <c r="A9" s="2"/>
      <c r="B9" s="6"/>
      <c r="C9" s="25"/>
      <c r="D9" s="2"/>
      <c r="E9" s="2"/>
      <c r="F9" s="2"/>
      <c r="G9" s="7"/>
      <c r="H9" s="3"/>
      <c r="I9" s="6"/>
      <c r="J9" s="6"/>
      <c r="K9" s="19"/>
      <c r="L9" s="19"/>
      <c r="M9" s="3"/>
      <c r="N9" s="3"/>
      <c r="O9" s="3"/>
      <c r="P9" s="10"/>
      <c r="AC9" s="3"/>
    </row>
    <row r="10" spans="1:29" x14ac:dyDescent="0.25">
      <c r="A10" s="2"/>
      <c r="B10" s="6"/>
      <c r="C10" s="25"/>
      <c r="D10" s="2"/>
      <c r="E10" s="2"/>
      <c r="F10" s="2"/>
      <c r="G10" s="7"/>
      <c r="H10" s="3"/>
      <c r="I10" s="6"/>
      <c r="J10" s="6"/>
      <c r="K10" s="19"/>
      <c r="L10" s="19"/>
      <c r="M10" s="3"/>
      <c r="N10" s="3"/>
      <c r="O10" s="3"/>
      <c r="P10" s="10"/>
      <c r="AC10" s="3"/>
    </row>
    <row r="11" spans="1:29" x14ac:dyDescent="0.25">
      <c r="A11" s="2"/>
      <c r="B11" s="6"/>
      <c r="C11" s="25"/>
      <c r="D11" s="2"/>
      <c r="E11" s="2"/>
      <c r="F11" s="2"/>
      <c r="G11" s="7"/>
      <c r="H11" s="3"/>
      <c r="I11" s="6"/>
      <c r="J11" s="6"/>
      <c r="K11" s="19"/>
      <c r="L11" s="19"/>
      <c r="M11" s="3"/>
      <c r="N11" s="3"/>
      <c r="O11" s="3"/>
      <c r="P11" s="10"/>
      <c r="AC11" s="3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5"/>
      <c r="J12" s="15"/>
      <c r="K12" s="24"/>
      <c r="L12" s="24"/>
      <c r="M12" s="1"/>
      <c r="N12" s="1"/>
      <c r="O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5"/>
      <c r="J13" s="15"/>
      <c r="K13" s="24"/>
      <c r="L13" s="24"/>
      <c r="M13" s="1"/>
      <c r="N13" s="1"/>
      <c r="O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5"/>
      <c r="J14" s="15"/>
      <c r="K14" s="24"/>
      <c r="L14" s="24"/>
      <c r="M14" s="1"/>
      <c r="N14" s="1"/>
      <c r="O14" s="1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5"/>
      <c r="J15" s="15"/>
      <c r="K15" s="24"/>
      <c r="L15" s="24"/>
      <c r="M15" s="1"/>
      <c r="N15" s="1"/>
      <c r="O15" s="1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4"/>
      <c r="L16" s="24"/>
      <c r="M16" s="1"/>
      <c r="N16" s="1"/>
      <c r="O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4"/>
      <c r="L17" s="24"/>
      <c r="M17" s="1"/>
      <c r="N17" s="1"/>
      <c r="O17" s="1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4"/>
      <c r="L18" s="24"/>
      <c r="M18" s="1"/>
      <c r="N18" s="1"/>
      <c r="O18" s="1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4"/>
      <c r="L19" s="24"/>
      <c r="M19" s="1"/>
      <c r="N19" s="1"/>
      <c r="O19" s="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4"/>
      <c r="L20" s="24"/>
      <c r="M20" s="1"/>
      <c r="N20" s="1"/>
      <c r="O20" s="1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4"/>
      <c r="L21" s="24"/>
      <c r="M21" s="1"/>
      <c r="N21" s="1"/>
      <c r="O21" s="1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4"/>
      <c r="L22" s="24"/>
      <c r="M22" s="1"/>
      <c r="N22" s="1"/>
      <c r="O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4"/>
      <c r="L23" s="24"/>
      <c r="M23" s="1"/>
      <c r="N23" s="1"/>
      <c r="O23" s="1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4"/>
      <c r="L24" s="24"/>
      <c r="M24" s="1"/>
      <c r="N24" s="1"/>
      <c r="O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4"/>
      <c r="L25" s="24"/>
      <c r="M25" s="1"/>
      <c r="N25" s="1"/>
      <c r="O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4"/>
      <c r="L26" s="24"/>
      <c r="M26" s="1"/>
      <c r="N26" s="1"/>
      <c r="O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4"/>
      <c r="L27" s="24"/>
      <c r="M27" s="1"/>
      <c r="N27" s="1"/>
      <c r="O27" s="1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11" priority="9">
      <formula>$AC3="+"</formula>
    </cfRule>
    <cfRule type="expression" dxfId="10" priority="10">
      <formula>AND($M3&gt;0,$H3=$M3)</formula>
    </cfRule>
  </conditionalFormatting>
  <conditionalFormatting sqref="AC3:AC27">
    <cfRule type="expression" dxfId="9" priority="2">
      <formula>AND($M3&gt;0,$H3=$M3)</formula>
    </cfRule>
  </conditionalFormatting>
  <conditionalFormatting sqref="AC4">
    <cfRule type="expression" dxfId="8" priority="1">
      <formula>$AC4="+"</formula>
    </cfRule>
  </conditionalFormatting>
  <hyperlinks>
    <hyperlink ref="C3" location="'42604620'!A1" display="'42604620'!A1" xr:uid="{87C3E6BC-C2D4-4CD6-83E2-4126641D3546}"/>
    <hyperlink ref="C4" location="'12664422'!A1" display="'12664422'!A1" xr:uid="{FB524BB2-F6C3-4B83-848C-B8A59D80D7BB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workbookViewId="0">
      <selection activeCell="D6" sqref="D6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  <col min="15" max="15" width="10.140625" bestFit="1" customWidth="1"/>
  </cols>
  <sheetData>
    <row r="1" spans="1:15" x14ac:dyDescent="0.25">
      <c r="A1" s="26" t="s">
        <v>2</v>
      </c>
      <c r="B1" s="12" t="s">
        <v>9</v>
      </c>
      <c r="C1" s="12" t="s">
        <v>10</v>
      </c>
      <c r="D1" s="12" t="s">
        <v>7</v>
      </c>
      <c r="F1" s="12" t="s">
        <v>9</v>
      </c>
      <c r="G1" s="12" t="s">
        <v>10</v>
      </c>
      <c r="H1" s="12" t="s">
        <v>7</v>
      </c>
      <c r="I1" s="12" t="s">
        <v>11</v>
      </c>
      <c r="K1" s="12" t="s">
        <v>23</v>
      </c>
    </row>
    <row r="2" spans="1:15" x14ac:dyDescent="0.25">
      <c r="A2" s="6">
        <v>46218</v>
      </c>
      <c r="B2" s="3">
        <v>50</v>
      </c>
      <c r="C2" s="3">
        <v>0</v>
      </c>
      <c r="D2" s="3">
        <v>0</v>
      </c>
      <c r="F2" s="3">
        <f>SUM(B2:B35)</f>
        <v>100</v>
      </c>
      <c r="G2" s="3">
        <f>SUM(C2:C35)</f>
        <v>0</v>
      </c>
      <c r="H2" s="3">
        <f>SUM(D2:D14)</f>
        <v>6.65</v>
      </c>
      <c r="I2" s="3">
        <f>F2-G2</f>
        <v>100</v>
      </c>
      <c r="K2" s="3">
        <f>B2*-1</f>
        <v>-50</v>
      </c>
    </row>
    <row r="3" spans="1:15" x14ac:dyDescent="0.25">
      <c r="A3" s="6">
        <v>46219</v>
      </c>
      <c r="B3" s="3">
        <v>0</v>
      </c>
      <c r="C3" s="3">
        <v>0</v>
      </c>
      <c r="D3" s="3">
        <v>5</v>
      </c>
      <c r="K3" s="3">
        <f t="shared" ref="K3:K4" si="0">B3*-1</f>
        <v>0</v>
      </c>
    </row>
    <row r="4" spans="1:15" x14ac:dyDescent="0.25">
      <c r="A4" s="6">
        <v>46219</v>
      </c>
      <c r="B4" s="3">
        <v>0</v>
      </c>
      <c r="C4" s="3">
        <v>0</v>
      </c>
      <c r="D4" s="3">
        <v>1.65</v>
      </c>
      <c r="K4" s="3">
        <f t="shared" si="0"/>
        <v>0</v>
      </c>
    </row>
    <row r="5" spans="1:15" x14ac:dyDescent="0.25">
      <c r="A5" s="6">
        <v>46276</v>
      </c>
      <c r="B5" s="3">
        <v>50</v>
      </c>
      <c r="C5" s="3">
        <v>0</v>
      </c>
      <c r="D5" s="3">
        <v>0</v>
      </c>
      <c r="K5" s="2"/>
    </row>
    <row r="6" spans="1:15" x14ac:dyDescent="0.25">
      <c r="A6" s="6"/>
      <c r="B6" s="3"/>
      <c r="C6" s="3"/>
      <c r="D6" s="3"/>
      <c r="K6" s="2"/>
    </row>
    <row r="7" spans="1:15" x14ac:dyDescent="0.25">
      <c r="A7" s="6"/>
      <c r="B7" s="3"/>
      <c r="C7" s="3"/>
      <c r="D7" s="3"/>
      <c r="K7" s="2"/>
      <c r="O7" s="29"/>
    </row>
    <row r="8" spans="1:15" x14ac:dyDescent="0.25">
      <c r="A8" s="6"/>
      <c r="B8" s="3"/>
      <c r="C8" s="3"/>
      <c r="D8" s="3"/>
      <c r="K8" s="2"/>
    </row>
    <row r="9" spans="1:15" x14ac:dyDescent="0.25">
      <c r="A9" s="6"/>
      <c r="B9" s="3"/>
      <c r="C9" s="3"/>
      <c r="D9" s="3"/>
      <c r="K9" s="2"/>
    </row>
    <row r="10" spans="1:15" x14ac:dyDescent="0.25">
      <c r="A10" s="6"/>
      <c r="B10" s="3"/>
      <c r="C10" s="3"/>
      <c r="D10" s="3"/>
      <c r="K10" s="2"/>
    </row>
    <row r="11" spans="1:15" x14ac:dyDescent="0.25">
      <c r="A11" s="6"/>
      <c r="B11" s="3"/>
      <c r="C11" s="3"/>
      <c r="D11" s="3"/>
      <c r="K11" s="2"/>
    </row>
    <row r="12" spans="1:15" x14ac:dyDescent="0.25">
      <c r="A12" s="6"/>
      <c r="B12" s="3"/>
      <c r="C12" s="3"/>
      <c r="D12" s="3"/>
      <c r="K12" s="2"/>
    </row>
    <row r="13" spans="1:15" x14ac:dyDescent="0.25">
      <c r="A13" s="6"/>
      <c r="B13" s="3"/>
      <c r="C13" s="3"/>
      <c r="D13" s="3"/>
      <c r="K13" s="2"/>
    </row>
    <row r="14" spans="1:15" x14ac:dyDescent="0.25">
      <c r="A14" s="6"/>
      <c r="B14" s="3"/>
      <c r="C14" s="3"/>
      <c r="D14" s="3"/>
      <c r="K14" s="2"/>
    </row>
    <row r="15" spans="1:15" x14ac:dyDescent="0.25">
      <c r="A15" s="15"/>
      <c r="B15" s="1"/>
      <c r="C15" s="1"/>
      <c r="D15" s="1"/>
      <c r="K15" s="2"/>
    </row>
    <row r="16" spans="1:15" x14ac:dyDescent="0.25">
      <c r="A16" s="15"/>
      <c r="B16" s="1"/>
      <c r="C16" s="1"/>
      <c r="D16" s="1"/>
      <c r="K16" s="2"/>
    </row>
    <row r="17" spans="1:11" x14ac:dyDescent="0.25">
      <c r="A17" s="15"/>
      <c r="B17" s="1"/>
      <c r="C17" s="1"/>
      <c r="D17" s="1"/>
      <c r="K17" s="2"/>
    </row>
    <row r="18" spans="1:11" x14ac:dyDescent="0.25">
      <c r="A18" s="15"/>
      <c r="B18" s="1"/>
      <c r="C18" s="1"/>
      <c r="D18" s="1"/>
      <c r="K18" s="2"/>
    </row>
    <row r="19" spans="1:11" x14ac:dyDescent="0.25">
      <c r="A19" s="15"/>
      <c r="B19" s="1"/>
      <c r="C19" s="1"/>
      <c r="D19" s="1"/>
      <c r="K19" s="2"/>
    </row>
    <row r="20" spans="1:11" x14ac:dyDescent="0.25">
      <c r="A20" s="15"/>
      <c r="B20" s="1"/>
      <c r="C20" s="1"/>
      <c r="D20" s="1"/>
      <c r="K20" s="2"/>
    </row>
    <row r="21" spans="1:11" x14ac:dyDescent="0.25">
      <c r="A21" s="15"/>
      <c r="B21" s="1"/>
      <c r="C21" s="1"/>
      <c r="D21" s="1"/>
      <c r="K21" s="2"/>
    </row>
    <row r="22" spans="1:11" x14ac:dyDescent="0.25">
      <c r="A22" s="15"/>
      <c r="B22" s="1"/>
      <c r="C22" s="1"/>
      <c r="D22" s="1"/>
      <c r="K22" s="2"/>
    </row>
    <row r="23" spans="1:11" x14ac:dyDescent="0.25">
      <c r="A23" s="15"/>
      <c r="B23" s="1"/>
      <c r="C23" s="1"/>
      <c r="D23" s="1"/>
      <c r="K23" s="2"/>
    </row>
    <row r="24" spans="1:11" x14ac:dyDescent="0.25">
      <c r="A24" s="15"/>
      <c r="B24" s="1"/>
      <c r="C24" s="1"/>
      <c r="D24" s="1"/>
      <c r="K24" s="2"/>
    </row>
    <row r="25" spans="1:11" x14ac:dyDescent="0.25">
      <c r="A25" s="15"/>
      <c r="B25" s="1"/>
      <c r="C25" s="1"/>
      <c r="D25" s="1"/>
      <c r="K25" s="2"/>
    </row>
    <row r="26" spans="1:11" x14ac:dyDescent="0.25">
      <c r="A26" s="15"/>
      <c r="B26" s="1"/>
      <c r="C26" s="1"/>
      <c r="D26" s="1"/>
      <c r="K26" s="2"/>
    </row>
    <row r="27" spans="1:11" x14ac:dyDescent="0.25">
      <c r="A27" s="15"/>
      <c r="B27" s="1"/>
      <c r="C27" s="1"/>
      <c r="D27" s="1"/>
      <c r="K27" s="2"/>
    </row>
    <row r="28" spans="1:11" x14ac:dyDescent="0.25">
      <c r="A28" s="15"/>
      <c r="B28" s="1"/>
      <c r="C28" s="1"/>
      <c r="D28" s="1"/>
      <c r="K28" s="2"/>
    </row>
    <row r="29" spans="1:11" x14ac:dyDescent="0.25">
      <c r="A29" s="15"/>
      <c r="B29" s="1"/>
      <c r="C29" s="1"/>
      <c r="D29" s="1"/>
      <c r="K29" s="2"/>
    </row>
    <row r="30" spans="1:11" x14ac:dyDescent="0.25">
      <c r="A30" s="15"/>
      <c r="B30" s="1"/>
      <c r="C30" s="1"/>
      <c r="D30" s="1"/>
      <c r="K30" s="2"/>
    </row>
    <row r="31" spans="1:11" x14ac:dyDescent="0.25">
      <c r="A31" s="15"/>
      <c r="B31" s="1"/>
      <c r="C31" s="1"/>
      <c r="D31" s="1"/>
      <c r="K31" s="2"/>
    </row>
    <row r="32" spans="1:11" x14ac:dyDescent="0.25">
      <c r="A32" s="15"/>
      <c r="B32" s="1"/>
      <c r="C32" s="1"/>
      <c r="D32" s="1"/>
      <c r="K32" s="2"/>
    </row>
    <row r="33" spans="1:11" x14ac:dyDescent="0.25">
      <c r="A33" s="15"/>
      <c r="B33" s="1"/>
      <c r="C33" s="1"/>
      <c r="D33" s="1"/>
      <c r="K33" s="2"/>
    </row>
    <row r="34" spans="1:11" x14ac:dyDescent="0.25">
      <c r="A34" s="15"/>
      <c r="B34" s="1"/>
      <c r="C34" s="1"/>
      <c r="D34" s="1"/>
      <c r="K34" s="2"/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46295</v>
      </c>
      <c r="B200" s="1"/>
      <c r="C200" s="1"/>
      <c r="D200" s="1"/>
      <c r="K200" s="3">
        <f>Overview!W3</f>
        <v>107.24000000000001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596D-9EF7-4B80-9D88-66EB59E106E4}">
  <dimension ref="A1:Z53"/>
  <sheetViews>
    <sheetView workbookViewId="0">
      <selection activeCell="B28" sqref="B2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2">
        <v>12664422</v>
      </c>
      <c r="D1" s="36" t="s">
        <v>2</v>
      </c>
      <c r="E1" s="37"/>
      <c r="F1" s="38"/>
      <c r="G1" s="36" t="s">
        <v>0</v>
      </c>
      <c r="H1" s="37"/>
      <c r="I1" s="38"/>
      <c r="J1" s="16"/>
      <c r="K1" s="36" t="s">
        <v>24</v>
      </c>
      <c r="L1" s="37"/>
      <c r="M1" s="37"/>
      <c r="N1" s="37"/>
      <c r="O1" s="37"/>
      <c r="P1" s="37"/>
      <c r="Q1" s="38"/>
      <c r="X1" s="36"/>
      <c r="Y1" s="37"/>
      <c r="Z1" s="38"/>
    </row>
    <row r="2" spans="1:26" x14ac:dyDescent="0.25">
      <c r="A2" s="5" t="s">
        <v>15</v>
      </c>
      <c r="B2" s="6" t="s">
        <v>45</v>
      </c>
      <c r="D2" s="12" t="s">
        <v>28</v>
      </c>
      <c r="E2" s="12" t="s">
        <v>29</v>
      </c>
      <c r="F2" s="17" t="s">
        <v>34</v>
      </c>
      <c r="G2" s="12" t="s">
        <v>12</v>
      </c>
      <c r="H2" s="12" t="s">
        <v>13</v>
      </c>
      <c r="I2" s="12" t="s">
        <v>26</v>
      </c>
      <c r="J2" s="10"/>
      <c r="K2" s="12" t="s">
        <v>0</v>
      </c>
      <c r="L2" s="12" t="s">
        <v>1</v>
      </c>
      <c r="M2" s="12" t="s">
        <v>22</v>
      </c>
      <c r="N2" s="12" t="s">
        <v>23</v>
      </c>
      <c r="O2" s="12" t="s">
        <v>2</v>
      </c>
      <c r="P2" s="12" t="s">
        <v>33</v>
      </c>
      <c r="Q2" s="12" t="s">
        <v>34</v>
      </c>
      <c r="X2" s="12" t="s">
        <v>2</v>
      </c>
      <c r="Y2" s="12" t="s">
        <v>25</v>
      </c>
      <c r="Z2" s="12" t="s">
        <v>33</v>
      </c>
    </row>
    <row r="3" spans="1:26" x14ac:dyDescent="0.25">
      <c r="A3" s="5" t="s">
        <v>43</v>
      </c>
      <c r="B3" s="35" t="s">
        <v>46</v>
      </c>
      <c r="D3" s="11">
        <v>46307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46277</v>
      </c>
      <c r="Y3" s="3">
        <f>B16*-1</f>
        <v>-51.94</v>
      </c>
      <c r="Z3" s="2" t="str">
        <f ca="1">IF(AND(TODAY()&gt;B11, K3&lt;&gt;B16), "+", "")</f>
        <v/>
      </c>
    </row>
    <row r="4" spans="1:26" x14ac:dyDescent="0.25">
      <c r="A4" s="5" t="s">
        <v>39</v>
      </c>
      <c r="B4" s="6" t="s">
        <v>47</v>
      </c>
      <c r="D4" s="11">
        <v>46338</v>
      </c>
      <c r="E4" s="6"/>
      <c r="F4" s="19" t="str">
        <f>IF(E4&gt;0,E4-D4,"")</f>
        <v/>
      </c>
      <c r="G4" s="27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 t="s">
        <v>41</v>
      </c>
      <c r="B5" s="28">
        <v>0.38</v>
      </c>
      <c r="D5" s="11">
        <v>46368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46399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46430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5 mėn. 0 d.</v>
      </c>
      <c r="D8" s="11">
        <v>46458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46277</v>
      </c>
      <c r="D9" s="11">
        <v>46489</v>
      </c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18</v>
      </c>
      <c r="B10" s="6"/>
      <c r="D10" s="11">
        <v>46519</v>
      </c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27</v>
      </c>
      <c r="B11" s="6">
        <v>46795</v>
      </c>
      <c r="D11" s="11">
        <v>46550</v>
      </c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31</v>
      </c>
      <c r="B12" s="19">
        <f ca="1">IF(B16&lt;&gt;K3,(TODAY()-B11)*-1,"")</f>
        <v>500</v>
      </c>
      <c r="D12" s="11">
        <v>46580</v>
      </c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>
        <v>46611</v>
      </c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>
        <v>46642</v>
      </c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1">
        <v>46672</v>
      </c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32</v>
      </c>
      <c r="B16" s="3">
        <v>51.94</v>
      </c>
      <c r="D16" s="11">
        <v>46703</v>
      </c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>
        <v>46733</v>
      </c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>
        <v>46764</v>
      </c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>
        <v>46795</v>
      </c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2">
      <formula>$Z$3="+"</formula>
    </cfRule>
    <cfRule type="expression" dxfId="6" priority="3">
      <formula>$B$16=$K$3</formula>
    </cfRule>
  </conditionalFormatting>
  <conditionalFormatting sqref="P3">
    <cfRule type="expression" dxfId="5" priority="1">
      <formula>$Z$3="+"</formula>
    </cfRule>
  </conditionalFormatting>
  <conditionalFormatting sqref="Z3">
    <cfRule type="expression" dxfId="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3"/>
  <sheetViews>
    <sheetView workbookViewId="0">
      <selection activeCell="L16" sqref="L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2">
        <v>42604620</v>
      </c>
      <c r="D1" s="36" t="s">
        <v>2</v>
      </c>
      <c r="E1" s="37"/>
      <c r="F1" s="38"/>
      <c r="G1" s="36" t="s">
        <v>0</v>
      </c>
      <c r="H1" s="37"/>
      <c r="I1" s="38"/>
      <c r="J1" s="16"/>
      <c r="K1" s="36" t="s">
        <v>24</v>
      </c>
      <c r="L1" s="37"/>
      <c r="M1" s="37"/>
      <c r="N1" s="37"/>
      <c r="O1" s="37"/>
      <c r="P1" s="37"/>
      <c r="Q1" s="38"/>
      <c r="X1" s="36"/>
      <c r="Y1" s="37"/>
      <c r="Z1" s="38"/>
    </row>
    <row r="2" spans="1:26" x14ac:dyDescent="0.25">
      <c r="A2" s="5" t="s">
        <v>15</v>
      </c>
      <c r="B2" s="6" t="s">
        <v>38</v>
      </c>
      <c r="D2" s="12" t="s">
        <v>28</v>
      </c>
      <c r="E2" s="12" t="s">
        <v>29</v>
      </c>
      <c r="F2" s="17" t="s">
        <v>34</v>
      </c>
      <c r="G2" s="12" t="s">
        <v>12</v>
      </c>
      <c r="H2" s="12" t="s">
        <v>13</v>
      </c>
      <c r="I2" s="12" t="s">
        <v>26</v>
      </c>
      <c r="J2" s="10"/>
      <c r="K2" s="12" t="s">
        <v>0</v>
      </c>
      <c r="L2" s="12" t="s">
        <v>1</v>
      </c>
      <c r="M2" s="12" t="s">
        <v>22</v>
      </c>
      <c r="N2" s="12" t="s">
        <v>23</v>
      </c>
      <c r="O2" s="12" t="s">
        <v>2</v>
      </c>
      <c r="P2" s="12" t="s">
        <v>33</v>
      </c>
      <c r="Q2" s="12" t="s">
        <v>34</v>
      </c>
      <c r="X2" s="12" t="s">
        <v>2</v>
      </c>
      <c r="Y2" s="12" t="s">
        <v>25</v>
      </c>
      <c r="Z2" s="12" t="s">
        <v>33</v>
      </c>
    </row>
    <row r="3" spans="1:26" x14ac:dyDescent="0.25">
      <c r="A3" s="5" t="s">
        <v>43</v>
      </c>
      <c r="B3" s="6" t="s">
        <v>42</v>
      </c>
      <c r="D3" s="11">
        <v>46255</v>
      </c>
      <c r="E3" s="6">
        <v>46275</v>
      </c>
      <c r="F3" s="19">
        <f>IF(E3&gt;0,E3-D3,"")</f>
        <v>20</v>
      </c>
      <c r="G3" s="3">
        <v>0</v>
      </c>
      <c r="H3" s="3">
        <v>0.28999999999999998</v>
      </c>
      <c r="I3" s="3">
        <v>0</v>
      </c>
      <c r="J3" s="14"/>
      <c r="K3" s="3">
        <f>G53</f>
        <v>0.26</v>
      </c>
      <c r="L3" s="3">
        <f>H53</f>
        <v>0.59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46219</v>
      </c>
      <c r="Y3" s="3">
        <f>B16*-1</f>
        <v>-55</v>
      </c>
      <c r="Z3" s="2" t="str">
        <f ca="1">IF(AND(TODAY()&gt;B11, K3&lt;&gt;B16), "+", "")</f>
        <v/>
      </c>
    </row>
    <row r="4" spans="1:26" x14ac:dyDescent="0.25">
      <c r="A4" s="5" t="s">
        <v>39</v>
      </c>
      <c r="B4" s="6" t="s">
        <v>40</v>
      </c>
      <c r="D4" s="11">
        <v>46255</v>
      </c>
      <c r="E4" s="6">
        <v>46278</v>
      </c>
      <c r="F4" s="19">
        <f>IF(E4&gt;0,E4-D4,"")</f>
        <v>23</v>
      </c>
      <c r="G4" s="3">
        <v>0.26</v>
      </c>
      <c r="H4" s="3">
        <v>0.3</v>
      </c>
      <c r="I4" s="3">
        <v>0</v>
      </c>
      <c r="J4" s="10"/>
      <c r="X4" s="6">
        <f>E3</f>
        <v>46275</v>
      </c>
      <c r="Y4" s="3">
        <f>G3+H3-I3</f>
        <v>0.28999999999999998</v>
      </c>
    </row>
    <row r="5" spans="1:26" x14ac:dyDescent="0.25">
      <c r="A5" s="5" t="s">
        <v>41</v>
      </c>
      <c r="B5" s="28">
        <v>0.57999999999999996</v>
      </c>
      <c r="D5" s="11">
        <v>46286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46278</v>
      </c>
      <c r="Y5" s="3">
        <f t="shared" ref="Y5:Y52" si="2">G4+H4-I4</f>
        <v>0.56000000000000005</v>
      </c>
    </row>
    <row r="6" spans="1:26" x14ac:dyDescent="0.25">
      <c r="A6" s="5"/>
      <c r="B6" s="6"/>
      <c r="D6" s="11">
        <v>46316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46347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1 m. 0 mėn. 9 d.</v>
      </c>
      <c r="D8" s="11">
        <v>46377</v>
      </c>
      <c r="E8" s="6"/>
      <c r="F8" s="19" t="str">
        <f t="shared" si="0"/>
        <v/>
      </c>
      <c r="G8" s="3"/>
      <c r="H8" s="3"/>
      <c r="I8" s="3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46219</v>
      </c>
      <c r="D9" s="11">
        <v>46408</v>
      </c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18</v>
      </c>
      <c r="B10" s="6"/>
      <c r="D10" s="11">
        <v>46439</v>
      </c>
      <c r="E10" s="6"/>
      <c r="F10" s="19" t="str">
        <f t="shared" si="0"/>
        <v/>
      </c>
      <c r="G10" s="3"/>
      <c r="H10" s="3"/>
      <c r="I10" s="3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27</v>
      </c>
      <c r="B11" s="6">
        <v>46593</v>
      </c>
      <c r="D11" s="11">
        <v>46467</v>
      </c>
      <c r="E11" s="6"/>
      <c r="F11" s="19" t="str">
        <f t="shared" si="0"/>
        <v/>
      </c>
      <c r="G11" s="3"/>
      <c r="H11" s="3"/>
      <c r="I11" s="3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31</v>
      </c>
      <c r="B12" s="19">
        <f ca="1">IF(B16&lt;&gt;K3,(TODAY()-B11)*-1,"")</f>
        <v>298</v>
      </c>
      <c r="D12" s="11">
        <v>46498</v>
      </c>
      <c r="E12" s="6"/>
      <c r="F12" s="19" t="str">
        <f t="shared" si="0"/>
        <v/>
      </c>
      <c r="G12" s="3"/>
      <c r="H12" s="3"/>
      <c r="I12" s="3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>
        <v>46528</v>
      </c>
      <c r="E13" s="6"/>
      <c r="F13" s="19" t="str">
        <f t="shared" si="0"/>
        <v/>
      </c>
      <c r="G13" s="3"/>
      <c r="H13" s="3"/>
      <c r="I13" s="3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32</v>
      </c>
      <c r="B16" s="3">
        <v>55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0.26</v>
      </c>
      <c r="H53" s="3">
        <f t="shared" ref="H53:I53" si="3">SUM(H3:H52)</f>
        <v>0.59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4">
      <formula>$Z$3="+"</formula>
    </cfRule>
    <cfRule type="expression" dxfId="2" priority="5">
      <formula>$B$16=$K$3</formula>
    </cfRule>
  </conditionalFormatting>
  <conditionalFormatting sqref="P3">
    <cfRule type="expression" dxfId="1" priority="3">
      <formula>$Z$3="+"</formula>
    </cfRule>
  </conditionalFormatting>
  <conditionalFormatting sqref="Z3">
    <cfRule type="expression" dxfId="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Pinigai</vt:lpstr>
      <vt:lpstr>12664422</vt:lpstr>
      <vt:lpstr>42604620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2026-09-30T17:30:44Z</dcterms:modified>
</cp:coreProperties>
</file>