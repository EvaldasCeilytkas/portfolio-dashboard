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Income\"/>
    </mc:Choice>
  </mc:AlternateContent>
  <xr:revisionPtr revIDLastSave="0" documentId="13_ncr:1_{FB880A52-D75D-4E27-B8CF-6F59DCF78B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21446331" sheetId="29" r:id="rId3"/>
    <sheet name="21231923" sheetId="28" r:id="rId4"/>
    <sheet name="20718136" sheetId="27" r:id="rId5"/>
    <sheet name="20439014" sheetId="26" r:id="rId6"/>
    <sheet name="20305579" sheetId="25" r:id="rId7"/>
    <sheet name="19883321" sheetId="24" r:id="rId8"/>
    <sheet name="20191904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M9" i="1"/>
  <c r="J9" i="1"/>
  <c r="I9" i="1"/>
  <c r="H9" i="1"/>
  <c r="G9" i="1"/>
  <c r="F9" i="1"/>
  <c r="E9" i="1"/>
  <c r="D9" i="1"/>
  <c r="C9" i="1"/>
  <c r="B9" i="1"/>
  <c r="I53" i="29"/>
  <c r="H53" i="29"/>
  <c r="L3" i="29" s="1"/>
  <c r="G53" i="29"/>
  <c r="K3" i="29" s="1"/>
  <c r="Y52" i="29"/>
  <c r="X52" i="29"/>
  <c r="F52" i="29"/>
  <c r="Y51" i="29"/>
  <c r="X51" i="29"/>
  <c r="F51" i="29"/>
  <c r="Y50" i="29"/>
  <c r="X50" i="29"/>
  <c r="F50" i="29"/>
  <c r="Y49" i="29"/>
  <c r="X49" i="29"/>
  <c r="F49" i="29"/>
  <c r="Y48" i="29"/>
  <c r="X48" i="29"/>
  <c r="F48" i="29"/>
  <c r="Y47" i="29"/>
  <c r="X47" i="29"/>
  <c r="F47" i="29"/>
  <c r="Y46" i="29"/>
  <c r="X46" i="29"/>
  <c r="F46" i="29"/>
  <c r="Y45" i="29"/>
  <c r="X45" i="29"/>
  <c r="F45" i="29"/>
  <c r="Y44" i="29"/>
  <c r="X44" i="29"/>
  <c r="F44" i="29"/>
  <c r="Y43" i="29"/>
  <c r="X43" i="29"/>
  <c r="F43" i="29"/>
  <c r="Y42" i="29"/>
  <c r="X42" i="29"/>
  <c r="F42" i="29"/>
  <c r="Y41" i="29"/>
  <c r="X41" i="29"/>
  <c r="F41" i="29"/>
  <c r="Y40" i="29"/>
  <c r="X40" i="29"/>
  <c r="F40" i="29"/>
  <c r="Y39" i="29"/>
  <c r="X39" i="29"/>
  <c r="F39" i="29"/>
  <c r="Y38" i="29"/>
  <c r="X38" i="29"/>
  <c r="F38" i="29"/>
  <c r="Y37" i="29"/>
  <c r="X37" i="29"/>
  <c r="F37" i="29"/>
  <c r="Y36" i="29"/>
  <c r="X36" i="29"/>
  <c r="F36" i="29"/>
  <c r="Y35" i="29"/>
  <c r="X35" i="29"/>
  <c r="F35" i="29"/>
  <c r="Y34" i="29"/>
  <c r="X34" i="29"/>
  <c r="F34" i="29"/>
  <c r="Y33" i="29"/>
  <c r="X33" i="29"/>
  <c r="F33" i="29"/>
  <c r="Y32" i="29"/>
  <c r="X32" i="29"/>
  <c r="F32" i="29"/>
  <c r="Y31" i="29"/>
  <c r="X31" i="29"/>
  <c r="F31" i="29"/>
  <c r="Y30" i="29"/>
  <c r="X30" i="29"/>
  <c r="F30" i="29"/>
  <c r="Y29" i="29"/>
  <c r="X29" i="29"/>
  <c r="F29" i="29"/>
  <c r="Y28" i="29"/>
  <c r="X28" i="29"/>
  <c r="F28" i="29"/>
  <c r="Y27" i="29"/>
  <c r="X27" i="29"/>
  <c r="F27" i="29"/>
  <c r="Y26" i="29"/>
  <c r="X26" i="29"/>
  <c r="F26" i="29"/>
  <c r="Y25" i="29"/>
  <c r="X25" i="29"/>
  <c r="F25" i="29"/>
  <c r="Y24" i="29"/>
  <c r="X24" i="29"/>
  <c r="F24" i="29"/>
  <c r="Y23" i="29"/>
  <c r="X23" i="29"/>
  <c r="F23" i="29"/>
  <c r="Y22" i="29"/>
  <c r="X22" i="29"/>
  <c r="F22" i="29"/>
  <c r="Y21" i="29"/>
  <c r="X21" i="29"/>
  <c r="F21" i="29"/>
  <c r="Y20" i="29"/>
  <c r="X20" i="29"/>
  <c r="F20" i="29"/>
  <c r="Y19" i="29"/>
  <c r="X19" i="29"/>
  <c r="F19" i="29"/>
  <c r="Y18" i="29"/>
  <c r="X18" i="29"/>
  <c r="F18" i="29"/>
  <c r="Y17" i="29"/>
  <c r="X17" i="29"/>
  <c r="F17" i="29"/>
  <c r="Y16" i="29"/>
  <c r="X16" i="29"/>
  <c r="F16" i="29"/>
  <c r="Y15" i="29"/>
  <c r="X15" i="29"/>
  <c r="F15" i="29"/>
  <c r="Y14" i="29"/>
  <c r="X14" i="29"/>
  <c r="F14" i="29"/>
  <c r="Y13" i="29"/>
  <c r="X13" i="29"/>
  <c r="F13" i="29"/>
  <c r="Y12" i="29"/>
  <c r="X12" i="29"/>
  <c r="F12" i="29"/>
  <c r="Y11" i="29"/>
  <c r="X11" i="29"/>
  <c r="F11" i="29"/>
  <c r="Y10" i="29"/>
  <c r="X10" i="29"/>
  <c r="F10" i="29"/>
  <c r="Y9" i="29"/>
  <c r="X9" i="29"/>
  <c r="F9" i="29"/>
  <c r="Y8" i="29"/>
  <c r="X8" i="29"/>
  <c r="F8" i="29"/>
  <c r="B8" i="29"/>
  <c r="Y7" i="29"/>
  <c r="X7" i="29"/>
  <c r="F7" i="29"/>
  <c r="Y6" i="29"/>
  <c r="X6" i="29"/>
  <c r="F6" i="29"/>
  <c r="Y5" i="29"/>
  <c r="X5" i="29"/>
  <c r="F5" i="29"/>
  <c r="Y4" i="29"/>
  <c r="X4" i="29"/>
  <c r="F4" i="29"/>
  <c r="Y3" i="29"/>
  <c r="X3" i="29"/>
  <c r="M3" i="29"/>
  <c r="F3" i="29"/>
  <c r="I8" i="1"/>
  <c r="H8" i="1"/>
  <c r="G8" i="1"/>
  <c r="F8" i="1"/>
  <c r="E8" i="1"/>
  <c r="D8" i="1"/>
  <c r="C8" i="1"/>
  <c r="B8" i="1"/>
  <c r="I53" i="28"/>
  <c r="M3" i="28" s="1"/>
  <c r="O8" i="1" s="1"/>
  <c r="H53" i="28"/>
  <c r="L3" i="28" s="1"/>
  <c r="N8" i="1" s="1"/>
  <c r="G53" i="28"/>
  <c r="K3" i="28" s="1"/>
  <c r="M8" i="1" s="1"/>
  <c r="Y52" i="28"/>
  <c r="X52" i="28"/>
  <c r="F52" i="28"/>
  <c r="Y51" i="28"/>
  <c r="X51" i="28"/>
  <c r="F51" i="28"/>
  <c r="Y50" i="28"/>
  <c r="X50" i="28"/>
  <c r="F50" i="28"/>
  <c r="Y49" i="28"/>
  <c r="X49" i="28"/>
  <c r="F49" i="28"/>
  <c r="Y48" i="28"/>
  <c r="X48" i="28"/>
  <c r="F48" i="28"/>
  <c r="Y47" i="28"/>
  <c r="X47" i="28"/>
  <c r="F47" i="28"/>
  <c r="Y46" i="28"/>
  <c r="X46" i="28"/>
  <c r="F46" i="28"/>
  <c r="Y45" i="28"/>
  <c r="X45" i="28"/>
  <c r="F45" i="28"/>
  <c r="Y44" i="28"/>
  <c r="X44" i="28"/>
  <c r="F44" i="28"/>
  <c r="Y43" i="28"/>
  <c r="X43" i="28"/>
  <c r="F43" i="28"/>
  <c r="Y42" i="28"/>
  <c r="X42" i="28"/>
  <c r="F42" i="28"/>
  <c r="Y41" i="28"/>
  <c r="X41" i="28"/>
  <c r="F41" i="28"/>
  <c r="Y40" i="28"/>
  <c r="X40" i="28"/>
  <c r="F40" i="28"/>
  <c r="Y39" i="28"/>
  <c r="X39" i="28"/>
  <c r="F39" i="28"/>
  <c r="Y38" i="28"/>
  <c r="X38" i="28"/>
  <c r="F38" i="28"/>
  <c r="Y37" i="28"/>
  <c r="X37" i="28"/>
  <c r="F37" i="28"/>
  <c r="Y36" i="28"/>
  <c r="X36" i="28"/>
  <c r="F36" i="28"/>
  <c r="Y35" i="28"/>
  <c r="X35" i="28"/>
  <c r="F35" i="28"/>
  <c r="Y34" i="28"/>
  <c r="X34" i="28"/>
  <c r="F34" i="28"/>
  <c r="Y33" i="28"/>
  <c r="X33" i="28"/>
  <c r="F33" i="28"/>
  <c r="Y32" i="28"/>
  <c r="X32" i="28"/>
  <c r="F32" i="28"/>
  <c r="Y31" i="28"/>
  <c r="X31" i="28"/>
  <c r="F31" i="28"/>
  <c r="Y30" i="28"/>
  <c r="X30" i="28"/>
  <c r="F30" i="28"/>
  <c r="Y29" i="28"/>
  <c r="X29" i="28"/>
  <c r="F29" i="28"/>
  <c r="Y28" i="28"/>
  <c r="X28" i="28"/>
  <c r="F28" i="28"/>
  <c r="Y27" i="28"/>
  <c r="X27" i="28"/>
  <c r="F27" i="28"/>
  <c r="Y26" i="28"/>
  <c r="X26" i="28"/>
  <c r="F26" i="28"/>
  <c r="Y25" i="28"/>
  <c r="X25" i="28"/>
  <c r="F25" i="28"/>
  <c r="Y24" i="28"/>
  <c r="X24" i="28"/>
  <c r="F24" i="28"/>
  <c r="Y23" i="28"/>
  <c r="X23" i="28"/>
  <c r="F23" i="28"/>
  <c r="Y22" i="28"/>
  <c r="X22" i="28"/>
  <c r="F22" i="28"/>
  <c r="Y21" i="28"/>
  <c r="X21" i="28"/>
  <c r="F21" i="28"/>
  <c r="Y20" i="28"/>
  <c r="X20" i="28"/>
  <c r="F20" i="28"/>
  <c r="Y19" i="28"/>
  <c r="X19" i="28"/>
  <c r="F19" i="28"/>
  <c r="Y18" i="28"/>
  <c r="X18" i="28"/>
  <c r="F18" i="28"/>
  <c r="Y17" i="28"/>
  <c r="X17" i="28"/>
  <c r="F17" i="28"/>
  <c r="Y16" i="28"/>
  <c r="X16" i="28"/>
  <c r="F16" i="28"/>
  <c r="Y15" i="28"/>
  <c r="X15" i="28"/>
  <c r="F15" i="28"/>
  <c r="Y14" i="28"/>
  <c r="X14" i="28"/>
  <c r="F14" i="28"/>
  <c r="Y13" i="28"/>
  <c r="X13" i="28"/>
  <c r="F13" i="28"/>
  <c r="Y12" i="28"/>
  <c r="X12" i="28"/>
  <c r="F12" i="28"/>
  <c r="Y11" i="28"/>
  <c r="X11" i="28"/>
  <c r="F11" i="28"/>
  <c r="Y10" i="28"/>
  <c r="X10" i="28"/>
  <c r="F10" i="28"/>
  <c r="Y9" i="28"/>
  <c r="X9" i="28"/>
  <c r="F9" i="28"/>
  <c r="Y8" i="28"/>
  <c r="X8" i="28"/>
  <c r="F8" i="28"/>
  <c r="B8" i="28"/>
  <c r="Y7" i="28"/>
  <c r="X7" i="28"/>
  <c r="F7" i="28"/>
  <c r="Y6" i="28"/>
  <c r="X6" i="28"/>
  <c r="F6" i="28"/>
  <c r="Y5" i="28"/>
  <c r="X5" i="28"/>
  <c r="F5" i="28"/>
  <c r="Y4" i="28"/>
  <c r="X4" i="28"/>
  <c r="F4" i="28"/>
  <c r="Y3" i="28"/>
  <c r="X3" i="28"/>
  <c r="F3" i="28"/>
  <c r="I7" i="1"/>
  <c r="H7" i="1"/>
  <c r="G7" i="1"/>
  <c r="F7" i="1"/>
  <c r="E7" i="1"/>
  <c r="D7" i="1"/>
  <c r="C7" i="1"/>
  <c r="B7" i="1"/>
  <c r="F4" i="27"/>
  <c r="I53" i="27"/>
  <c r="M3" i="27" s="1"/>
  <c r="O7" i="1" s="1"/>
  <c r="H53" i="27"/>
  <c r="L3" i="27" s="1"/>
  <c r="N7" i="1" s="1"/>
  <c r="G53" i="27"/>
  <c r="K3" i="27" s="1"/>
  <c r="M7" i="1" s="1"/>
  <c r="Y52" i="27"/>
  <c r="X52" i="27"/>
  <c r="F52" i="27"/>
  <c r="Y51" i="27"/>
  <c r="X51" i="27"/>
  <c r="F51" i="27"/>
  <c r="Y50" i="27"/>
  <c r="X50" i="27"/>
  <c r="F50" i="27"/>
  <c r="Y49" i="27"/>
  <c r="X49" i="27"/>
  <c r="F49" i="27"/>
  <c r="Y48" i="27"/>
  <c r="X48" i="27"/>
  <c r="F48" i="27"/>
  <c r="Y47" i="27"/>
  <c r="X47" i="27"/>
  <c r="F47" i="27"/>
  <c r="Y46" i="27"/>
  <c r="X46" i="27"/>
  <c r="F46" i="27"/>
  <c r="Y45" i="27"/>
  <c r="X45" i="27"/>
  <c r="F45" i="27"/>
  <c r="Y44" i="27"/>
  <c r="X44" i="27"/>
  <c r="F44" i="27"/>
  <c r="Y43" i="27"/>
  <c r="X43" i="27"/>
  <c r="F43" i="27"/>
  <c r="Y42" i="27"/>
  <c r="X42" i="27"/>
  <c r="F42" i="27"/>
  <c r="Y41" i="27"/>
  <c r="X41" i="27"/>
  <c r="F41" i="27"/>
  <c r="Y40" i="27"/>
  <c r="X40" i="27"/>
  <c r="F40" i="27"/>
  <c r="Y39" i="27"/>
  <c r="X39" i="27"/>
  <c r="F39" i="27"/>
  <c r="Y38" i="27"/>
  <c r="X38" i="27"/>
  <c r="F38" i="27"/>
  <c r="Y37" i="27"/>
  <c r="X37" i="27"/>
  <c r="F37" i="27"/>
  <c r="Y36" i="27"/>
  <c r="X36" i="27"/>
  <c r="F36" i="27"/>
  <c r="Y35" i="27"/>
  <c r="X35" i="27"/>
  <c r="F35" i="27"/>
  <c r="Y34" i="27"/>
  <c r="X34" i="27"/>
  <c r="F34" i="27"/>
  <c r="Y33" i="27"/>
  <c r="X33" i="27"/>
  <c r="F33" i="27"/>
  <c r="Y32" i="27"/>
  <c r="X32" i="27"/>
  <c r="F32" i="27"/>
  <c r="Y31" i="27"/>
  <c r="X31" i="27"/>
  <c r="F31" i="27"/>
  <c r="Y30" i="27"/>
  <c r="X30" i="27"/>
  <c r="F30" i="27"/>
  <c r="Y29" i="27"/>
  <c r="X29" i="27"/>
  <c r="F29" i="27"/>
  <c r="Y28" i="27"/>
  <c r="X28" i="27"/>
  <c r="F28" i="27"/>
  <c r="Y27" i="27"/>
  <c r="X27" i="27"/>
  <c r="F27" i="27"/>
  <c r="Y26" i="27"/>
  <c r="X26" i="27"/>
  <c r="F26" i="27"/>
  <c r="Y25" i="27"/>
  <c r="X25" i="27"/>
  <c r="F25" i="27"/>
  <c r="Y24" i="27"/>
  <c r="X24" i="27"/>
  <c r="F24" i="27"/>
  <c r="Y23" i="27"/>
  <c r="X23" i="27"/>
  <c r="F23" i="27"/>
  <c r="Y22" i="27"/>
  <c r="X22" i="27"/>
  <c r="F22" i="27"/>
  <c r="Y21" i="27"/>
  <c r="X21" i="27"/>
  <c r="F21" i="27"/>
  <c r="Y20" i="27"/>
  <c r="X20" i="27"/>
  <c r="F20" i="27"/>
  <c r="Y19" i="27"/>
  <c r="X19" i="27"/>
  <c r="F19" i="27"/>
  <c r="Y18" i="27"/>
  <c r="X18" i="27"/>
  <c r="F18" i="27"/>
  <c r="Y17" i="27"/>
  <c r="X17" i="27"/>
  <c r="F17" i="27"/>
  <c r="Y16" i="27"/>
  <c r="X16" i="27"/>
  <c r="F16" i="27"/>
  <c r="Y15" i="27"/>
  <c r="X15" i="27"/>
  <c r="F15" i="27"/>
  <c r="Y14" i="27"/>
  <c r="X14" i="27"/>
  <c r="F14" i="27"/>
  <c r="Y13" i="27"/>
  <c r="X13" i="27"/>
  <c r="F13" i="27"/>
  <c r="Y12" i="27"/>
  <c r="X12" i="27"/>
  <c r="F12" i="27"/>
  <c r="Y11" i="27"/>
  <c r="X11" i="27"/>
  <c r="F11" i="27"/>
  <c r="Y10" i="27"/>
  <c r="X10" i="27"/>
  <c r="F10" i="27"/>
  <c r="Y9" i="27"/>
  <c r="X9" i="27"/>
  <c r="F9" i="27"/>
  <c r="Y8" i="27"/>
  <c r="X8" i="27"/>
  <c r="F8" i="27"/>
  <c r="B8" i="27"/>
  <c r="Y7" i="27"/>
  <c r="X7" i="27"/>
  <c r="F7" i="27"/>
  <c r="Y6" i="27"/>
  <c r="X6" i="27"/>
  <c r="F6" i="27"/>
  <c r="Y5" i="27"/>
  <c r="X5" i="27"/>
  <c r="F5" i="27"/>
  <c r="Y4" i="27"/>
  <c r="X4" i="27"/>
  <c r="Y3" i="27"/>
  <c r="X3" i="27"/>
  <c r="F3" i="27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" i="15"/>
  <c r="I6" i="1"/>
  <c r="H6" i="1"/>
  <c r="G6" i="1"/>
  <c r="F6" i="1"/>
  <c r="E6" i="1"/>
  <c r="D6" i="1"/>
  <c r="C6" i="1"/>
  <c r="B6" i="1"/>
  <c r="I53" i="26"/>
  <c r="M3" i="26" s="1"/>
  <c r="O6" i="1" s="1"/>
  <c r="H53" i="26"/>
  <c r="L3" i="26" s="1"/>
  <c r="N6" i="1" s="1"/>
  <c r="G53" i="26"/>
  <c r="K3" i="26" s="1"/>
  <c r="Y52" i="26"/>
  <c r="X52" i="26"/>
  <c r="F52" i="26"/>
  <c r="Y51" i="26"/>
  <c r="X51" i="26"/>
  <c r="F51" i="26"/>
  <c r="Y50" i="26"/>
  <c r="X50" i="26"/>
  <c r="F50" i="26"/>
  <c r="Y49" i="26"/>
  <c r="X49" i="26"/>
  <c r="F49" i="26"/>
  <c r="Y48" i="26"/>
  <c r="X48" i="26"/>
  <c r="F48" i="26"/>
  <c r="Y47" i="26"/>
  <c r="X47" i="26"/>
  <c r="F47" i="26"/>
  <c r="Y46" i="26"/>
  <c r="X46" i="26"/>
  <c r="F46" i="26"/>
  <c r="Y45" i="26"/>
  <c r="X45" i="26"/>
  <c r="F45" i="26"/>
  <c r="Y44" i="26"/>
  <c r="X44" i="26"/>
  <c r="F44" i="26"/>
  <c r="Y43" i="26"/>
  <c r="X43" i="26"/>
  <c r="F43" i="26"/>
  <c r="Y42" i="26"/>
  <c r="X42" i="26"/>
  <c r="F42" i="26"/>
  <c r="Y41" i="26"/>
  <c r="X41" i="26"/>
  <c r="F41" i="26"/>
  <c r="Y40" i="26"/>
  <c r="X40" i="26"/>
  <c r="F40" i="26"/>
  <c r="Y39" i="26"/>
  <c r="X39" i="26"/>
  <c r="F39" i="26"/>
  <c r="Y38" i="26"/>
  <c r="X38" i="26"/>
  <c r="F38" i="26"/>
  <c r="Y37" i="26"/>
  <c r="X37" i="26"/>
  <c r="F37" i="26"/>
  <c r="Y36" i="26"/>
  <c r="X36" i="26"/>
  <c r="F36" i="26"/>
  <c r="Y35" i="26"/>
  <c r="X35" i="26"/>
  <c r="F35" i="26"/>
  <c r="Y34" i="26"/>
  <c r="X34" i="26"/>
  <c r="F34" i="26"/>
  <c r="Y33" i="26"/>
  <c r="X33" i="26"/>
  <c r="F33" i="26"/>
  <c r="Y32" i="26"/>
  <c r="X32" i="26"/>
  <c r="F32" i="26"/>
  <c r="Y31" i="26"/>
  <c r="X31" i="26"/>
  <c r="F31" i="26"/>
  <c r="Y30" i="26"/>
  <c r="X30" i="26"/>
  <c r="F30" i="26"/>
  <c r="Y29" i="26"/>
  <c r="X29" i="26"/>
  <c r="F29" i="26"/>
  <c r="Y28" i="26"/>
  <c r="X28" i="26"/>
  <c r="F28" i="26"/>
  <c r="Y27" i="26"/>
  <c r="X27" i="26"/>
  <c r="F27" i="26"/>
  <c r="Y26" i="26"/>
  <c r="X26" i="26"/>
  <c r="F26" i="26"/>
  <c r="Y25" i="26"/>
  <c r="X25" i="26"/>
  <c r="F25" i="26"/>
  <c r="Y24" i="26"/>
  <c r="X24" i="26"/>
  <c r="F24" i="26"/>
  <c r="Y23" i="26"/>
  <c r="X23" i="26"/>
  <c r="F23" i="26"/>
  <c r="Y22" i="26"/>
  <c r="X22" i="26"/>
  <c r="F22" i="26"/>
  <c r="Y21" i="26"/>
  <c r="X21" i="26"/>
  <c r="F21" i="26"/>
  <c r="Y20" i="26"/>
  <c r="X20" i="26"/>
  <c r="F20" i="26"/>
  <c r="Y19" i="26"/>
  <c r="X19" i="26"/>
  <c r="F19" i="26"/>
  <c r="Y18" i="26"/>
  <c r="X18" i="26"/>
  <c r="F18" i="26"/>
  <c r="Y17" i="26"/>
  <c r="X17" i="26"/>
  <c r="F17" i="26"/>
  <c r="Y16" i="26"/>
  <c r="X16" i="26"/>
  <c r="F16" i="26"/>
  <c r="Y15" i="26"/>
  <c r="X15" i="26"/>
  <c r="F15" i="26"/>
  <c r="Y14" i="26"/>
  <c r="X14" i="26"/>
  <c r="F14" i="26"/>
  <c r="Y13" i="26"/>
  <c r="X13" i="26"/>
  <c r="F13" i="26"/>
  <c r="Y12" i="26"/>
  <c r="X12" i="26"/>
  <c r="F12" i="26"/>
  <c r="Y11" i="26"/>
  <c r="X11" i="26"/>
  <c r="F11" i="26"/>
  <c r="Y10" i="26"/>
  <c r="X10" i="26"/>
  <c r="F10" i="26"/>
  <c r="Y9" i="26"/>
  <c r="X9" i="26"/>
  <c r="F9" i="26"/>
  <c r="Y8" i="26"/>
  <c r="X8" i="26"/>
  <c r="F8" i="26"/>
  <c r="B8" i="26"/>
  <c r="Y7" i="26"/>
  <c r="X7" i="26"/>
  <c r="F7" i="26"/>
  <c r="Y6" i="26"/>
  <c r="X6" i="26"/>
  <c r="F6" i="26"/>
  <c r="Y5" i="26"/>
  <c r="X5" i="26"/>
  <c r="F5" i="26"/>
  <c r="Y4" i="26"/>
  <c r="X4" i="26"/>
  <c r="F4" i="26"/>
  <c r="Y3" i="26"/>
  <c r="X3" i="26"/>
  <c r="F3" i="26"/>
  <c r="O3" i="29" l="1"/>
  <c r="Q3" i="29"/>
  <c r="Z3" i="29"/>
  <c r="B12" i="29"/>
  <c r="K9" i="1" s="1"/>
  <c r="N3" i="29"/>
  <c r="O3" i="28"/>
  <c r="J8" i="1" s="1"/>
  <c r="N3" i="28"/>
  <c r="Z3" i="28"/>
  <c r="Q3" i="28"/>
  <c r="B12" i="28"/>
  <c r="O3" i="27"/>
  <c r="J7" i="1" s="1"/>
  <c r="Q3" i="27"/>
  <c r="Z3" i="27"/>
  <c r="B12" i="27"/>
  <c r="N3" i="27"/>
  <c r="Z3" i="26"/>
  <c r="P3" i="26" s="1"/>
  <c r="L6" i="1" s="1"/>
  <c r="Q3" i="26"/>
  <c r="N3" i="26"/>
  <c r="M6" i="1"/>
  <c r="B12" i="26"/>
  <c r="O3" i="26"/>
  <c r="J6" i="1" s="1"/>
  <c r="L3" i="14"/>
  <c r="L3" i="25"/>
  <c r="N5" i="1" s="1"/>
  <c r="O3" i="1"/>
  <c r="O5" i="1"/>
  <c r="I5" i="1"/>
  <c r="H5" i="1"/>
  <c r="G5" i="1"/>
  <c r="F5" i="1"/>
  <c r="E5" i="1"/>
  <c r="D5" i="1"/>
  <c r="C5" i="1"/>
  <c r="B5" i="1"/>
  <c r="I53" i="25"/>
  <c r="H53" i="25"/>
  <c r="G53" i="25"/>
  <c r="K3" i="25" s="1"/>
  <c r="Y52" i="25"/>
  <c r="X52" i="25"/>
  <c r="F52" i="25"/>
  <c r="Y51" i="25"/>
  <c r="X51" i="25"/>
  <c r="F51" i="25"/>
  <c r="Y50" i="25"/>
  <c r="X50" i="25"/>
  <c r="F50" i="25"/>
  <c r="Y49" i="25"/>
  <c r="X49" i="25"/>
  <c r="F49" i="25"/>
  <c r="Y48" i="25"/>
  <c r="X48" i="25"/>
  <c r="F48" i="25"/>
  <c r="Y47" i="25"/>
  <c r="X47" i="25"/>
  <c r="F47" i="25"/>
  <c r="Y46" i="25"/>
  <c r="X46" i="25"/>
  <c r="F46" i="25"/>
  <c r="Y45" i="25"/>
  <c r="X45" i="25"/>
  <c r="F45" i="25"/>
  <c r="Y44" i="25"/>
  <c r="X44" i="25"/>
  <c r="F44" i="25"/>
  <c r="Y43" i="25"/>
  <c r="X43" i="25"/>
  <c r="F43" i="25"/>
  <c r="Y42" i="25"/>
  <c r="X42" i="25"/>
  <c r="F42" i="25"/>
  <c r="Y41" i="25"/>
  <c r="X41" i="25"/>
  <c r="F41" i="25"/>
  <c r="Y40" i="25"/>
  <c r="X40" i="25"/>
  <c r="F40" i="25"/>
  <c r="Y39" i="25"/>
  <c r="X39" i="25"/>
  <c r="F39" i="25"/>
  <c r="Y38" i="25"/>
  <c r="X38" i="25"/>
  <c r="F38" i="25"/>
  <c r="Y37" i="25"/>
  <c r="X37" i="25"/>
  <c r="F37" i="25"/>
  <c r="Y36" i="25"/>
  <c r="X36" i="25"/>
  <c r="F36" i="25"/>
  <c r="Y35" i="25"/>
  <c r="X35" i="25"/>
  <c r="F35" i="25"/>
  <c r="Y34" i="25"/>
  <c r="X34" i="25"/>
  <c r="F34" i="25"/>
  <c r="Y33" i="25"/>
  <c r="X33" i="25"/>
  <c r="F33" i="25"/>
  <c r="Y32" i="25"/>
  <c r="X32" i="25"/>
  <c r="F32" i="25"/>
  <c r="Y31" i="25"/>
  <c r="X31" i="25"/>
  <c r="F31" i="25"/>
  <c r="Y30" i="25"/>
  <c r="X30" i="25"/>
  <c r="F30" i="25"/>
  <c r="Y29" i="25"/>
  <c r="X29" i="25"/>
  <c r="F29" i="25"/>
  <c r="Y28" i="25"/>
  <c r="X28" i="25"/>
  <c r="F28" i="25"/>
  <c r="Y27" i="25"/>
  <c r="X27" i="25"/>
  <c r="F27" i="25"/>
  <c r="Y26" i="25"/>
  <c r="X26" i="25"/>
  <c r="F26" i="25"/>
  <c r="Y25" i="25"/>
  <c r="X25" i="25"/>
  <c r="F25" i="25"/>
  <c r="Y24" i="25"/>
  <c r="X24" i="25"/>
  <c r="F24" i="25"/>
  <c r="Y23" i="25"/>
  <c r="X23" i="25"/>
  <c r="F23" i="25"/>
  <c r="Y22" i="25"/>
  <c r="X22" i="25"/>
  <c r="F22" i="25"/>
  <c r="Y21" i="25"/>
  <c r="X21" i="25"/>
  <c r="F21" i="25"/>
  <c r="Y20" i="25"/>
  <c r="X20" i="25"/>
  <c r="F20" i="25"/>
  <c r="Y19" i="25"/>
  <c r="X19" i="25"/>
  <c r="F19" i="25"/>
  <c r="Y18" i="25"/>
  <c r="X18" i="25"/>
  <c r="F18" i="25"/>
  <c r="Y17" i="25"/>
  <c r="X17" i="25"/>
  <c r="F17" i="25"/>
  <c r="Y16" i="25"/>
  <c r="X16" i="25"/>
  <c r="F16" i="25"/>
  <c r="Y15" i="25"/>
  <c r="X15" i="25"/>
  <c r="F15" i="25"/>
  <c r="Y14" i="25"/>
  <c r="X14" i="25"/>
  <c r="F14" i="25"/>
  <c r="Y13" i="25"/>
  <c r="X13" i="25"/>
  <c r="F13" i="25"/>
  <c r="Y12" i="25"/>
  <c r="X12" i="25"/>
  <c r="F12" i="25"/>
  <c r="Y11" i="25"/>
  <c r="X11" i="25"/>
  <c r="F11" i="25"/>
  <c r="Y10" i="25"/>
  <c r="X10" i="25"/>
  <c r="F10" i="25"/>
  <c r="Y9" i="25"/>
  <c r="X9" i="25"/>
  <c r="F9" i="25"/>
  <c r="Y8" i="25"/>
  <c r="X8" i="25"/>
  <c r="F8" i="25"/>
  <c r="B8" i="25"/>
  <c r="Y7" i="25"/>
  <c r="X7" i="25"/>
  <c r="F7" i="25"/>
  <c r="Y6" i="25"/>
  <c r="X6" i="25"/>
  <c r="F6" i="25"/>
  <c r="Y5" i="25"/>
  <c r="X5" i="25"/>
  <c r="F5" i="25"/>
  <c r="Y4" i="25"/>
  <c r="X4" i="25"/>
  <c r="F4" i="25"/>
  <c r="Y3" i="25"/>
  <c r="X3" i="25"/>
  <c r="M3" i="25"/>
  <c r="F3" i="25"/>
  <c r="G4" i="1"/>
  <c r="G3" i="1"/>
  <c r="A200" i="15"/>
  <c r="K2" i="15"/>
  <c r="F4" i="14"/>
  <c r="P3" i="28" l="1"/>
  <c r="L8" i="1" s="1"/>
  <c r="AC8" i="1"/>
  <c r="P3" i="29"/>
  <c r="L9" i="1" s="1"/>
  <c r="AC9" i="1"/>
  <c r="K8" i="1"/>
  <c r="O3" i="25"/>
  <c r="J5" i="1" s="1"/>
  <c r="M5" i="1"/>
  <c r="Z3" i="25"/>
  <c r="P3" i="25" s="1"/>
  <c r="L5" i="1" s="1"/>
  <c r="Q3" i="25"/>
  <c r="N3" i="25"/>
  <c r="K7" i="1"/>
  <c r="P3" i="27"/>
  <c r="L7" i="1" s="1"/>
  <c r="AC7" i="1"/>
  <c r="K6" i="1"/>
  <c r="B12" i="25"/>
  <c r="I4" i="1"/>
  <c r="H4" i="1"/>
  <c r="C4" i="1"/>
  <c r="B4" i="1"/>
  <c r="AC5" i="1" l="1"/>
  <c r="K5" i="1"/>
  <c r="I3" i="1"/>
  <c r="H3" i="1"/>
  <c r="B3" i="1"/>
  <c r="I53" i="24"/>
  <c r="M3" i="24" s="1"/>
  <c r="O4" i="1" s="1"/>
  <c r="AA3" i="1" s="1"/>
  <c r="H53" i="24"/>
  <c r="L3" i="24" s="1"/>
  <c r="G53" i="24"/>
  <c r="K3" i="24" s="1"/>
  <c r="M4" i="1" s="1"/>
  <c r="U3" i="1" s="1"/>
  <c r="R3" i="1" s="1"/>
  <c r="Y52" i="24"/>
  <c r="X52" i="24"/>
  <c r="F52" i="24"/>
  <c r="Y51" i="24"/>
  <c r="X51" i="24"/>
  <c r="F51" i="24"/>
  <c r="Y50" i="24"/>
  <c r="X50" i="24"/>
  <c r="F50" i="24"/>
  <c r="Y49" i="24"/>
  <c r="X49" i="24"/>
  <c r="F49" i="24"/>
  <c r="Y48" i="24"/>
  <c r="X48" i="24"/>
  <c r="F48" i="24"/>
  <c r="Y47" i="24"/>
  <c r="X47" i="24"/>
  <c r="F47" i="24"/>
  <c r="Y46" i="24"/>
  <c r="X46" i="24"/>
  <c r="F46" i="24"/>
  <c r="Y45" i="24"/>
  <c r="X45" i="24"/>
  <c r="F45" i="24"/>
  <c r="Y44" i="24"/>
  <c r="X44" i="24"/>
  <c r="F44" i="24"/>
  <c r="Y43" i="24"/>
  <c r="X43" i="24"/>
  <c r="F43" i="24"/>
  <c r="Y42" i="24"/>
  <c r="X42" i="24"/>
  <c r="F42" i="24"/>
  <c r="Y41" i="24"/>
  <c r="X41" i="24"/>
  <c r="F41" i="24"/>
  <c r="Y40" i="24"/>
  <c r="X40" i="24"/>
  <c r="F40" i="24"/>
  <c r="Y39" i="24"/>
  <c r="X39" i="24"/>
  <c r="F39" i="24"/>
  <c r="Y38" i="24"/>
  <c r="X38" i="24"/>
  <c r="F38" i="24"/>
  <c r="Y37" i="24"/>
  <c r="X37" i="24"/>
  <c r="F37" i="24"/>
  <c r="Y36" i="24"/>
  <c r="X36" i="24"/>
  <c r="F36" i="24"/>
  <c r="Y35" i="24"/>
  <c r="X35" i="24"/>
  <c r="F35" i="24"/>
  <c r="Y34" i="24"/>
  <c r="X34" i="24"/>
  <c r="F34" i="24"/>
  <c r="Y33" i="24"/>
  <c r="X33" i="24"/>
  <c r="F33" i="24"/>
  <c r="Y32" i="24"/>
  <c r="X32" i="24"/>
  <c r="F32" i="24"/>
  <c r="Y31" i="24"/>
  <c r="X31" i="24"/>
  <c r="F31" i="24"/>
  <c r="Y30" i="24"/>
  <c r="X30" i="24"/>
  <c r="F30" i="24"/>
  <c r="Y29" i="24"/>
  <c r="X29" i="24"/>
  <c r="F29" i="24"/>
  <c r="Y28" i="24"/>
  <c r="X28" i="24"/>
  <c r="F28" i="24"/>
  <c r="Y27" i="24"/>
  <c r="X27" i="24"/>
  <c r="F27" i="24"/>
  <c r="Y26" i="24"/>
  <c r="X26" i="24"/>
  <c r="F26" i="24"/>
  <c r="Y25" i="24"/>
  <c r="X25" i="24"/>
  <c r="F25" i="24"/>
  <c r="Y24" i="24"/>
  <c r="X24" i="24"/>
  <c r="F24" i="24"/>
  <c r="Y23" i="24"/>
  <c r="X23" i="24"/>
  <c r="F23" i="24"/>
  <c r="Y22" i="24"/>
  <c r="X22" i="24"/>
  <c r="F22" i="24"/>
  <c r="Y21" i="24"/>
  <c r="X21" i="24"/>
  <c r="F21" i="24"/>
  <c r="Y20" i="24"/>
  <c r="X20" i="24"/>
  <c r="F20" i="24"/>
  <c r="Y19" i="24"/>
  <c r="X19" i="24"/>
  <c r="F19" i="24"/>
  <c r="Y18" i="24"/>
  <c r="X18" i="24"/>
  <c r="F18" i="24"/>
  <c r="Y17" i="24"/>
  <c r="X17" i="24"/>
  <c r="F17" i="24"/>
  <c r="Y16" i="24"/>
  <c r="X16" i="24"/>
  <c r="F16" i="24"/>
  <c r="Y15" i="24"/>
  <c r="X15" i="24"/>
  <c r="F15" i="24"/>
  <c r="Y14" i="24"/>
  <c r="X14" i="24"/>
  <c r="F14" i="24"/>
  <c r="Y13" i="24"/>
  <c r="X13" i="24"/>
  <c r="F13" i="24"/>
  <c r="Y12" i="24"/>
  <c r="X12" i="24"/>
  <c r="F12" i="24"/>
  <c r="Y11" i="24"/>
  <c r="X11" i="24"/>
  <c r="F11" i="24"/>
  <c r="Y10" i="24"/>
  <c r="X10" i="24"/>
  <c r="F10" i="24"/>
  <c r="Y9" i="24"/>
  <c r="X9" i="24"/>
  <c r="F9" i="24"/>
  <c r="Y8" i="24"/>
  <c r="X8" i="24"/>
  <c r="F8" i="24"/>
  <c r="Y7" i="24"/>
  <c r="X7" i="24"/>
  <c r="F7" i="24"/>
  <c r="Y6" i="24"/>
  <c r="X6" i="24"/>
  <c r="F6" i="24"/>
  <c r="Y5" i="24"/>
  <c r="X5" i="24"/>
  <c r="F5" i="24"/>
  <c r="Y4" i="24"/>
  <c r="X4" i="24"/>
  <c r="F4" i="24"/>
  <c r="Y3" i="24"/>
  <c r="X3" i="24"/>
  <c r="F3" i="24"/>
  <c r="B8" i="24"/>
  <c r="F4" i="1" s="1"/>
  <c r="F3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4" i="14"/>
  <c r="Y5" i="14"/>
  <c r="Y6" i="14"/>
  <c r="Y7" i="14"/>
  <c r="Y8" i="14"/>
  <c r="Y9" i="14"/>
  <c r="Y10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Y51" i="14"/>
  <c r="Y52" i="14"/>
  <c r="Y4" i="14"/>
  <c r="Y3" i="14"/>
  <c r="X3" i="14"/>
  <c r="H53" i="14"/>
  <c r="I53" i="14"/>
  <c r="M3" i="14" s="1"/>
  <c r="G53" i="14"/>
  <c r="K3" i="14" s="1"/>
  <c r="Q3" i="14" s="1"/>
  <c r="B8" i="14"/>
  <c r="F3" i="1" s="1"/>
  <c r="M3" i="1" l="1"/>
  <c r="Q3" i="24"/>
  <c r="N3" i="24"/>
  <c r="O3" i="24"/>
  <c r="J4" i="1" s="1"/>
  <c r="N4" i="1"/>
  <c r="V3" i="1" s="1"/>
  <c r="Z3" i="24"/>
  <c r="B12" i="24"/>
  <c r="N3" i="14"/>
  <c r="O3" i="14"/>
  <c r="J3" i="1" s="1"/>
  <c r="N3" i="1"/>
  <c r="Z3" i="14"/>
  <c r="K4" i="1" l="1"/>
  <c r="P3" i="24"/>
  <c r="L4" i="1" s="1"/>
  <c r="AC4" i="1"/>
  <c r="P3" i="14"/>
  <c r="L3" i="1" s="1"/>
  <c r="AC3" i="1"/>
  <c r="E4" i="1"/>
  <c r="D4" i="1"/>
  <c r="B12" i="14" l="1"/>
  <c r="K3" i="1" s="1"/>
  <c r="H2" i="15"/>
  <c r="S3" i="1" s="1"/>
  <c r="E3" i="1" l="1"/>
  <c r="D3" i="1" l="1"/>
  <c r="C3" i="1"/>
  <c r="G2" i="15" l="1"/>
  <c r="F2" i="15"/>
  <c r="I2" i="15" l="1"/>
  <c r="Q3" i="1" s="1"/>
  <c r="W3" i="1" s="1"/>
  <c r="K200" i="15" l="1"/>
  <c r="X3" i="1"/>
  <c r="Y3" i="1"/>
  <c r="T3" i="1"/>
  <c r="Z3" i="1"/>
</calcChain>
</file>

<file path=xl/sharedStrings.xml><?xml version="1.0" encoding="utf-8"?>
<sst xmlns="http://schemas.openxmlformats.org/spreadsheetml/2006/main" count="281" uniqueCount="54">
  <si>
    <t>Paskola</t>
  </si>
  <si>
    <t>Palūkanos</t>
  </si>
  <si>
    <t>Data</t>
  </si>
  <si>
    <t>Investuota viso</t>
  </si>
  <si>
    <t>Pavadinimas</t>
  </si>
  <si>
    <t>Premijos</t>
  </si>
  <si>
    <t>Vertė</t>
  </si>
  <si>
    <t>%</t>
  </si>
  <si>
    <t>Gryni</t>
  </si>
  <si>
    <t>Investuota</t>
  </si>
  <si>
    <t>Įnešta</t>
  </si>
  <si>
    <t>Išimta</t>
  </si>
  <si>
    <t>Skirtumas</t>
  </si>
  <si>
    <t>Principal</t>
  </si>
  <si>
    <t>Interest</t>
  </si>
  <si>
    <t>Viso:</t>
  </si>
  <si>
    <t>Šalis</t>
  </si>
  <si>
    <t>Terminas</t>
  </si>
  <si>
    <t>Loan ID</t>
  </si>
  <si>
    <t>Skolintojas</t>
  </si>
  <si>
    <t>Tipas</t>
  </si>
  <si>
    <t>Pradžia</t>
  </si>
  <si>
    <t>Kompanija</t>
  </si>
  <si>
    <t>Pinigai</t>
  </si>
  <si>
    <t>Grąžinta</t>
  </si>
  <si>
    <t>Viso</t>
  </si>
  <si>
    <t>Mokesčiai</t>
  </si>
  <si>
    <t>XIRR</t>
  </si>
  <si>
    <t>Grąžinimas</t>
  </si>
  <si>
    <t>Suma</t>
  </si>
  <si>
    <t>Mokestis</t>
  </si>
  <si>
    <t>Pabaiga</t>
  </si>
  <si>
    <t>Planuojama</t>
  </si>
  <si>
    <t>Reali</t>
  </si>
  <si>
    <t>Nr.</t>
  </si>
  <si>
    <t>Liko, dienos</t>
  </si>
  <si>
    <t>Investuota, Eur</t>
  </si>
  <si>
    <t>Vėluoja</t>
  </si>
  <si>
    <t>Vėl./Anks.</t>
  </si>
  <si>
    <t>Inv. data</t>
  </si>
  <si>
    <t>Liko</t>
  </si>
  <si>
    <t>Eur.</t>
  </si>
  <si>
    <t>Indonesia</t>
  </si>
  <si>
    <t>Pinjam Yuk</t>
  </si>
  <si>
    <t>Installment loan</t>
  </si>
  <si>
    <t>Hoovi</t>
  </si>
  <si>
    <t>Estonia</t>
  </si>
  <si>
    <t>Business loan</t>
  </si>
  <si>
    <t xml:space="preserve">Premijos </t>
  </si>
  <si>
    <t>Bulgaria</t>
  </si>
  <si>
    <t>ITF Group JSC</t>
  </si>
  <si>
    <t>Consumer loan</t>
  </si>
  <si>
    <t>Virtus Lending LLC</t>
  </si>
  <si>
    <t>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</si>
</sst>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.mm\.dd;@"/>
    <numFmt numFmtId="165" formatCode="yyyy/mm/dd;@"/>
    <numFmt numFmtId="166" formatCode="0.0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1" xfId="0" applyNumberFormat="1" applyBorder="1"/>
    <xf numFmtId="1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0" xfId="0" applyNumberFormat="1"/>
    <xf numFmtId="0" fontId="1" fillId="0" borderId="7" xfId="0" applyFont="1" applyBorder="1" applyAlignment="1">
      <alignment horizontal="center" vertical="center"/>
    </xf>
    <xf numFmtId="1" fontId="0" fillId="0" borderId="1" xfId="0" applyNumberFormat="1" applyBorder="1"/>
    <xf numFmtId="0" fontId="2" fillId="0" borderId="1" xfId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38BF5A-2014-4582-80B0-2D958357F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90723C-43BD-43F3-88D6-81B25E80A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D02037-EE17-46BA-A0E5-1C6C6C0D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594872-CFA4-4CC8-BB8F-8820C5E3D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F25987-678F-4E62-870E-AEDD141B7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E6BE7-2620-4CB3-8F4E-0C17BF712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14388-3521-4DB4-98A1-45633E6A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16" sqref="N16"/>
    </sheetView>
  </sheetViews>
  <sheetFormatPr defaultRowHeight="15" x14ac:dyDescent="0.25"/>
  <cols>
    <col min="1" max="1" width="4.7109375" customWidth="1"/>
    <col min="2" max="2" width="12.7109375" customWidth="1"/>
    <col min="3" max="3" width="15.7109375" customWidth="1"/>
    <col min="4" max="4" width="10.7109375" customWidth="1"/>
    <col min="5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7" width="10.7109375" customWidth="1"/>
  </cols>
  <sheetData>
    <row r="1" spans="1:29" x14ac:dyDescent="0.25">
      <c r="A1" s="38" t="s">
        <v>0</v>
      </c>
      <c r="B1" s="38"/>
      <c r="C1" s="38"/>
      <c r="D1" s="38"/>
      <c r="E1" s="38"/>
      <c r="F1" s="38"/>
      <c r="G1" s="38"/>
      <c r="H1" s="39"/>
      <c r="I1" s="35" t="s">
        <v>31</v>
      </c>
      <c r="J1" s="36"/>
      <c r="K1" s="36"/>
      <c r="L1" s="37"/>
      <c r="M1" s="40" t="s">
        <v>24</v>
      </c>
      <c r="N1" s="40"/>
      <c r="O1" s="40"/>
      <c r="Q1" s="41" t="s">
        <v>23</v>
      </c>
      <c r="R1" s="42"/>
      <c r="S1" s="42"/>
      <c r="T1" s="43"/>
      <c r="U1" s="41" t="s">
        <v>24</v>
      </c>
      <c r="V1" s="43"/>
      <c r="W1" s="35" t="s">
        <v>6</v>
      </c>
      <c r="X1" s="36"/>
      <c r="Y1" s="36"/>
      <c r="Z1" s="37"/>
      <c r="AA1" s="4" t="s">
        <v>26</v>
      </c>
    </row>
    <row r="2" spans="1:29" x14ac:dyDescent="0.25">
      <c r="A2" s="16" t="s">
        <v>34</v>
      </c>
      <c r="B2" s="24" t="s">
        <v>39</v>
      </c>
      <c r="C2" s="4" t="s">
        <v>4</v>
      </c>
      <c r="D2" s="4" t="s">
        <v>16</v>
      </c>
      <c r="E2" s="4" t="s">
        <v>22</v>
      </c>
      <c r="F2" s="4" t="s">
        <v>17</v>
      </c>
      <c r="G2" s="4" t="s">
        <v>7</v>
      </c>
      <c r="H2" s="4" t="s">
        <v>9</v>
      </c>
      <c r="I2" s="4" t="s">
        <v>32</v>
      </c>
      <c r="J2" s="4" t="s">
        <v>33</v>
      </c>
      <c r="K2" s="4" t="s">
        <v>40</v>
      </c>
      <c r="L2" s="4" t="s">
        <v>37</v>
      </c>
      <c r="M2" s="4" t="s">
        <v>0</v>
      </c>
      <c r="N2" s="4" t="s">
        <v>1</v>
      </c>
      <c r="O2" s="4" t="s">
        <v>26</v>
      </c>
      <c r="P2" s="9"/>
      <c r="Q2" s="29" t="s">
        <v>10</v>
      </c>
      <c r="R2" s="29" t="s">
        <v>9</v>
      </c>
      <c r="S2" s="4" t="s">
        <v>48</v>
      </c>
      <c r="T2" s="4" t="s">
        <v>8</v>
      </c>
      <c r="U2" s="24" t="s">
        <v>0</v>
      </c>
      <c r="V2" s="24" t="s">
        <v>1</v>
      </c>
      <c r="W2" s="4" t="s">
        <v>25</v>
      </c>
      <c r="X2" s="4" t="s">
        <v>41</v>
      </c>
      <c r="Y2" s="4" t="s">
        <v>7</v>
      </c>
      <c r="Z2" s="4" t="s">
        <v>27</v>
      </c>
      <c r="AA2" s="4" t="s">
        <v>41</v>
      </c>
      <c r="AC2" s="12" t="s">
        <v>37</v>
      </c>
    </row>
    <row r="3" spans="1:29" x14ac:dyDescent="0.25">
      <c r="A3" s="2">
        <v>1</v>
      </c>
      <c r="B3" s="6">
        <f>'19883321'!B9</f>
        <v>46217</v>
      </c>
      <c r="C3" s="26">
        <f>'20191904'!B1</f>
        <v>20191904</v>
      </c>
      <c r="D3" s="2" t="str">
        <f>'20191904'!B2</f>
        <v>Indonesia</v>
      </c>
      <c r="E3" s="2" t="str">
        <f>'20191904'!B3</f>
        <v>Pinjam Yuk</v>
      </c>
      <c r="F3" s="2" t="str">
        <f>'20191904'!B8</f>
        <v>0 m. 2 mėn. 17 d.</v>
      </c>
      <c r="G3" s="7">
        <f>'20191904'!B15</f>
        <v>0.15</v>
      </c>
      <c r="H3" s="3">
        <f>'20191904'!B16</f>
        <v>10</v>
      </c>
      <c r="I3" s="6">
        <f>'20191904'!B11</f>
        <v>46296</v>
      </c>
      <c r="J3" s="6">
        <f>'20191904'!O3</f>
        <v>46224</v>
      </c>
      <c r="K3" s="19" t="str">
        <f ca="1">'20191904'!B12</f>
        <v/>
      </c>
      <c r="L3" s="19" t="str">
        <f ca="1">'20191904'!P3</f>
        <v/>
      </c>
      <c r="M3" s="3">
        <f>'20191904'!K3</f>
        <v>10</v>
      </c>
      <c r="N3" s="3">
        <f>'20191904'!L3</f>
        <v>0.03</v>
      </c>
      <c r="O3" s="3">
        <f>'20191904'!M3</f>
        <v>0</v>
      </c>
      <c r="P3" s="10"/>
      <c r="Q3" s="30">
        <f>Pinigai!I2</f>
        <v>40</v>
      </c>
      <c r="R3" s="31">
        <f>SUM(H3:H100)-U3</f>
        <v>40.909999999999997</v>
      </c>
      <c r="S3" s="30">
        <f>Pinigai!H2</f>
        <v>0.24</v>
      </c>
      <c r="T3" s="30">
        <f>W3-R3</f>
        <v>0.10000000000000853</v>
      </c>
      <c r="U3" s="31">
        <f>SUM(M3:M100)</f>
        <v>34.370000000000005</v>
      </c>
      <c r="V3" s="31">
        <f>SUM(N3:N100)-AA3</f>
        <v>0.77</v>
      </c>
      <c r="W3" s="30">
        <f>Q3+S3+V3</f>
        <v>41.010000000000005</v>
      </c>
      <c r="X3" s="30">
        <f>W3-Q3</f>
        <v>1.0100000000000051</v>
      </c>
      <c r="Y3" s="32">
        <f>(W3-Q3)/Q3</f>
        <v>2.5250000000000127E-2</v>
      </c>
      <c r="Z3" s="33">
        <f ca="1">XIRR(Pinigai!K2:K200,Pinigai!A2:A200)</f>
        <v>0.15720651745796205</v>
      </c>
      <c r="AA3" s="31">
        <f>SUM(O3:O100)</f>
        <v>0</v>
      </c>
      <c r="AC3" s="3" t="str">
        <f ca="1">'20191904'!Z3</f>
        <v/>
      </c>
    </row>
    <row r="4" spans="1:29" x14ac:dyDescent="0.25">
      <c r="A4" s="2">
        <v>2</v>
      </c>
      <c r="B4" s="6">
        <f>'19883321'!B9</f>
        <v>46217</v>
      </c>
      <c r="C4" s="26">
        <f>'19883321'!B1</f>
        <v>19883321</v>
      </c>
      <c r="D4" s="2" t="str">
        <f>'19883321'!B2</f>
        <v>Estonia</v>
      </c>
      <c r="E4" s="2" t="str">
        <f>'19883321'!B3</f>
        <v>Hoovi</v>
      </c>
      <c r="F4" s="2" t="str">
        <f>'19883321'!B8</f>
        <v>0 m. 6 mėn. 3 d.</v>
      </c>
      <c r="G4" s="7">
        <f>'19883321'!B15</f>
        <v>0.1</v>
      </c>
      <c r="H4" s="3">
        <f>'19883321'!B16</f>
        <v>10</v>
      </c>
      <c r="I4" s="6">
        <f>'19883321'!B11</f>
        <v>46404</v>
      </c>
      <c r="J4" s="6" t="str">
        <f>'19883321'!O3</f>
        <v/>
      </c>
      <c r="K4" s="19">
        <f ca="1">'19883321'!B12</f>
        <v>109</v>
      </c>
      <c r="L4" s="19" t="str">
        <f ca="1">'19883321'!P3</f>
        <v/>
      </c>
      <c r="M4" s="3">
        <f>'19883321'!K3</f>
        <v>2.6</v>
      </c>
      <c r="N4" s="3">
        <f>'19883321'!L3</f>
        <v>0.16</v>
      </c>
      <c r="O4" s="3">
        <f>'19883321'!M3</f>
        <v>0</v>
      </c>
      <c r="P4" s="10"/>
      <c r="Q4" s="10"/>
      <c r="R4" s="10"/>
      <c r="S4" s="10"/>
      <c r="T4" s="10"/>
      <c r="U4" s="10"/>
      <c r="V4" s="10"/>
      <c r="W4" s="10"/>
      <c r="X4" s="10"/>
      <c r="Y4" s="20"/>
      <c r="Z4" s="20"/>
      <c r="AA4" s="20"/>
      <c r="AC4" s="3" t="str">
        <f ca="1">'19883321'!Z3</f>
        <v/>
      </c>
    </row>
    <row r="5" spans="1:29" x14ac:dyDescent="0.25">
      <c r="A5" s="2">
        <v>3</v>
      </c>
      <c r="B5" s="6">
        <f>'20305579'!B9</f>
        <v>46224</v>
      </c>
      <c r="C5" s="26">
        <f>'20305579'!B1</f>
        <v>20305579</v>
      </c>
      <c r="D5" s="2" t="str">
        <f>'20305579'!B2</f>
        <v>Indonesia</v>
      </c>
      <c r="E5" s="2" t="str">
        <f>'20305579'!B3</f>
        <v>Pinjam Yuk</v>
      </c>
      <c r="F5" s="2" t="str">
        <f>'20305579'!B8</f>
        <v>0 m. 2 mėn. 13 d.</v>
      </c>
      <c r="G5" s="7">
        <f>'20305579'!B15</f>
        <v>0.15</v>
      </c>
      <c r="H5" s="3">
        <f>'20305579'!B16</f>
        <v>10.029999999999999</v>
      </c>
      <c r="I5" s="6">
        <f>'20305579'!B11</f>
        <v>46299</v>
      </c>
      <c r="J5" s="6">
        <f>'20305579'!O3</f>
        <v>46287</v>
      </c>
      <c r="K5" s="19" t="str">
        <f ca="1">'20305579'!B12</f>
        <v/>
      </c>
      <c r="L5" s="19" t="str">
        <f ca="1">'20305579'!P3</f>
        <v/>
      </c>
      <c r="M5" s="3">
        <f>'20305579'!K3</f>
        <v>10.029999999999999</v>
      </c>
      <c r="N5" s="3">
        <f>'20305579'!L3</f>
        <v>0.26</v>
      </c>
      <c r="O5" s="3">
        <f>'20305579'!M3</f>
        <v>0</v>
      </c>
      <c r="P5" s="10"/>
      <c r="AC5" s="3" t="str">
        <f ca="1">'20305579'!Z3</f>
        <v/>
      </c>
    </row>
    <row r="6" spans="1:29" x14ac:dyDescent="0.25">
      <c r="A6" s="2">
        <v>4</v>
      </c>
      <c r="B6" s="6">
        <f>'20439014'!B9</f>
        <v>46230</v>
      </c>
      <c r="C6" s="26">
        <f>'20439014'!B1</f>
        <v>20439014</v>
      </c>
      <c r="D6" s="2" t="str">
        <f>'20439014'!B2</f>
        <v>Bulgaria</v>
      </c>
      <c r="E6" s="2" t="str">
        <f>'20439014'!B3</f>
        <v>ITF Group JSC</v>
      </c>
      <c r="F6" s="2" t="str">
        <f>'20439014'!B8</f>
        <v>0 m. 5 mėn. 29 d.</v>
      </c>
      <c r="G6" s="7">
        <f>'20439014'!B15</f>
        <v>0.13</v>
      </c>
      <c r="H6" s="3">
        <f>'20439014'!B16</f>
        <v>11.29</v>
      </c>
      <c r="I6" s="6">
        <f>'20439014'!B11</f>
        <v>46412</v>
      </c>
      <c r="J6" s="6">
        <f>'20439014'!O3</f>
        <v>46260</v>
      </c>
      <c r="K6" s="19" t="str">
        <f ca="1">'20439014'!B12</f>
        <v/>
      </c>
      <c r="L6" s="19" t="str">
        <f ca="1">'20439014'!P3</f>
        <v/>
      </c>
      <c r="M6" s="3">
        <f>'20439014'!K3</f>
        <v>11.29</v>
      </c>
      <c r="N6" s="3">
        <f>'20439014'!L3</f>
        <v>0.12</v>
      </c>
      <c r="O6" s="3">
        <f>'20439014'!M3</f>
        <v>0</v>
      </c>
      <c r="P6" s="10"/>
      <c r="AC6" s="3"/>
    </row>
    <row r="7" spans="1:29" x14ac:dyDescent="0.25">
      <c r="A7" s="2">
        <v>5</v>
      </c>
      <c r="B7" s="6">
        <f>'20718136'!B9</f>
        <v>46259</v>
      </c>
      <c r="C7" s="26">
        <f>'20718136'!B1</f>
        <v>20718136</v>
      </c>
      <c r="D7" s="2" t="str">
        <f>'20718136'!B2</f>
        <v>Bulgaria</v>
      </c>
      <c r="E7" s="2" t="str">
        <f>'20718136'!B3</f>
        <v>ITF Group JSC</v>
      </c>
      <c r="F7" s="2" t="str">
        <f>'20718136'!B8</f>
        <v>1 m. 8 mėn. 23 d.</v>
      </c>
      <c r="G7" s="7">
        <f>'20718136'!B15</f>
        <v>0.125</v>
      </c>
      <c r="H7" s="3">
        <f>'20718136'!B16</f>
        <v>13.01</v>
      </c>
      <c r="I7" s="6">
        <f>'20718136'!B11</f>
        <v>46891</v>
      </c>
      <c r="J7" s="6" t="str">
        <f>'20718136'!O3</f>
        <v/>
      </c>
      <c r="K7" s="19">
        <f ca="1">'20718136'!B12</f>
        <v>596</v>
      </c>
      <c r="L7" s="19" t="str">
        <f ca="1">'20718136'!P3</f>
        <v/>
      </c>
      <c r="M7" s="3">
        <f>'20718136'!K3</f>
        <v>0.43</v>
      </c>
      <c r="N7" s="3">
        <f>'20718136'!L3</f>
        <v>0.12</v>
      </c>
      <c r="O7" s="3">
        <f>'20718136'!M3</f>
        <v>0</v>
      </c>
      <c r="P7" s="10"/>
      <c r="AC7" s="3" t="str">
        <f ca="1">'20718136'!Z3</f>
        <v/>
      </c>
    </row>
    <row r="8" spans="1:29" x14ac:dyDescent="0.25">
      <c r="A8" s="2">
        <v>6</v>
      </c>
      <c r="B8" s="6">
        <f>'21231923'!B9</f>
        <v>46268</v>
      </c>
      <c r="C8" s="26">
        <f>'21231923'!B1</f>
        <v>21231923</v>
      </c>
      <c r="D8" s="2" t="str">
        <f>'21231923'!B2</f>
        <v>Kosovo</v>
      </c>
      <c r="E8" s="2" t="str">
        <f>'21231923'!B3</f>
        <v>Virtus Lending LLC</v>
      </c>
      <c r="F8" s="2" t="str">
        <f>'21231923'!B8</f>
        <v>0 m. 10 mėn. 17 d.</v>
      </c>
      <c r="G8" s="7">
        <f>'21231923'!B15</f>
        <v>0.12</v>
      </c>
      <c r="H8" s="3">
        <f>'21231923'!B16</f>
        <v>10.49</v>
      </c>
      <c r="I8" s="6">
        <f>'21231923'!B11</f>
        <v>46588</v>
      </c>
      <c r="J8" s="6" t="str">
        <f>'21231923'!O3</f>
        <v/>
      </c>
      <c r="K8" s="19">
        <f ca="1">'21231923'!B12</f>
        <v>293</v>
      </c>
      <c r="L8" s="19" t="str">
        <f ca="1">'21231923'!P3</f>
        <v/>
      </c>
      <c r="M8" s="3">
        <f>'21231923'!K3</f>
        <v>0.02</v>
      </c>
      <c r="N8" s="3">
        <f>'21231923'!L3</f>
        <v>0.08</v>
      </c>
      <c r="O8" s="3">
        <f>'21231923'!M3</f>
        <v>0</v>
      </c>
      <c r="P8" s="10"/>
      <c r="AC8" s="3" t="str">
        <f ca="1">'21231923'!Z3</f>
        <v/>
      </c>
    </row>
    <row r="9" spans="1:29" x14ac:dyDescent="0.25">
      <c r="A9" s="2">
        <v>7</v>
      </c>
      <c r="B9" s="6">
        <f>'21446331'!B9</f>
        <v>46288</v>
      </c>
      <c r="C9" s="26">
        <f>'21446331'!B1</f>
        <v>21446331</v>
      </c>
      <c r="D9" s="2" t="str">
        <f>'21446331'!B2</f>
        <v>Estonia</v>
      </c>
      <c r="E9" s="2" t="str">
        <f>'21446331'!B3</f>
        <v>Hoovi</v>
      </c>
      <c r="F9" s="2" t="str">
        <f>'21446331'!B8</f>
        <v>2 m. 6 mėn. 3 d.</v>
      </c>
      <c r="G9" s="7">
        <f>'21446331'!B15</f>
        <v>0.1</v>
      </c>
      <c r="H9" s="3">
        <f>'21446331'!B16</f>
        <v>10.46</v>
      </c>
      <c r="I9" s="6">
        <f>'21446331'!B11</f>
        <v>47203</v>
      </c>
      <c r="J9" s="6" t="str">
        <f>'21446331'!O3</f>
        <v/>
      </c>
      <c r="K9" s="19">
        <f ca="1">'21446331'!B12</f>
        <v>908</v>
      </c>
      <c r="L9" s="19" t="str">
        <f ca="1">'21446331'!P3</f>
        <v/>
      </c>
      <c r="M9" s="3">
        <f>'21446331'!K3</f>
        <v>0</v>
      </c>
      <c r="N9" s="3">
        <f>'21446331'!L3</f>
        <v>0</v>
      </c>
      <c r="O9" s="3">
        <f>'21446331'!M3</f>
        <v>0</v>
      </c>
      <c r="P9" s="10"/>
      <c r="AC9" s="3" t="str">
        <f ca="1">'21446331'!Z3</f>
        <v/>
      </c>
    </row>
    <row r="10" spans="1:29" x14ac:dyDescent="0.25">
      <c r="A10" s="2"/>
      <c r="B10" s="6"/>
      <c r="C10" s="26"/>
      <c r="D10" s="2"/>
      <c r="E10" s="2"/>
      <c r="F10" s="2"/>
      <c r="G10" s="7"/>
      <c r="H10" s="3"/>
      <c r="I10" s="6"/>
      <c r="J10" s="6"/>
      <c r="K10" s="19"/>
      <c r="L10" s="19"/>
      <c r="M10" s="3"/>
      <c r="N10" s="3"/>
      <c r="O10" s="3"/>
      <c r="P10" s="10"/>
      <c r="AC10" s="3"/>
    </row>
    <row r="11" spans="1:29" x14ac:dyDescent="0.25">
      <c r="A11" s="2"/>
      <c r="B11" s="6"/>
      <c r="C11" s="26"/>
      <c r="D11" s="2"/>
      <c r="E11" s="2"/>
      <c r="F11" s="2"/>
      <c r="G11" s="7"/>
      <c r="H11" s="3"/>
      <c r="I11" s="6"/>
      <c r="J11" s="6"/>
      <c r="K11" s="19"/>
      <c r="L11" s="19"/>
      <c r="M11" s="3"/>
      <c r="N11" s="3"/>
      <c r="O11" s="3"/>
      <c r="P11" s="10"/>
      <c r="AC11" s="3"/>
    </row>
    <row r="12" spans="1:29" x14ac:dyDescent="0.25">
      <c r="A12" s="1"/>
      <c r="B12" s="1"/>
      <c r="C12" s="1"/>
      <c r="D12" s="1"/>
      <c r="E12" s="1"/>
      <c r="F12" s="1"/>
      <c r="G12" s="1"/>
      <c r="H12" s="1"/>
      <c r="I12" s="15"/>
      <c r="J12" s="15"/>
      <c r="K12" s="25"/>
      <c r="L12" s="25"/>
      <c r="M12" s="1"/>
      <c r="N12" s="1"/>
      <c r="O12" s="1"/>
      <c r="AC12" s="1"/>
    </row>
    <row r="13" spans="1:29" x14ac:dyDescent="0.25">
      <c r="A13" s="1"/>
      <c r="B13" s="1"/>
      <c r="C13" s="1"/>
      <c r="D13" s="1"/>
      <c r="E13" s="1"/>
      <c r="F13" s="1"/>
      <c r="G13" s="1"/>
      <c r="H13" s="1"/>
      <c r="I13" s="15"/>
      <c r="J13" s="15"/>
      <c r="K13" s="25"/>
      <c r="L13" s="25"/>
      <c r="M13" s="1"/>
      <c r="N13" s="1"/>
      <c r="O13" s="1"/>
      <c r="AC13" s="1"/>
    </row>
    <row r="14" spans="1:29" x14ac:dyDescent="0.25">
      <c r="A14" s="1"/>
      <c r="B14" s="1"/>
      <c r="C14" s="1"/>
      <c r="D14" s="1"/>
      <c r="E14" s="1"/>
      <c r="F14" s="1"/>
      <c r="G14" s="1"/>
      <c r="H14" s="1"/>
      <c r="I14" s="15"/>
      <c r="J14" s="15"/>
      <c r="K14" s="25"/>
      <c r="L14" s="25"/>
      <c r="M14" s="1"/>
      <c r="N14" s="1"/>
      <c r="O14" s="1"/>
      <c r="AC14" s="1"/>
    </row>
    <row r="15" spans="1:29" x14ac:dyDescent="0.25">
      <c r="A15" s="1"/>
      <c r="B15" s="1"/>
      <c r="C15" s="1"/>
      <c r="D15" s="1"/>
      <c r="E15" s="1"/>
      <c r="F15" s="1"/>
      <c r="G15" s="1"/>
      <c r="H15" s="1"/>
      <c r="I15" s="15"/>
      <c r="J15" s="15"/>
      <c r="K15" s="25"/>
      <c r="L15" s="25"/>
      <c r="M15" s="1"/>
      <c r="N15" s="1"/>
      <c r="O15" s="1"/>
      <c r="AC15" s="1"/>
    </row>
    <row r="16" spans="1:29" x14ac:dyDescent="0.25">
      <c r="A16" s="1"/>
      <c r="B16" s="1"/>
      <c r="C16" s="1"/>
      <c r="D16" s="1"/>
      <c r="E16" s="1"/>
      <c r="F16" s="1"/>
      <c r="G16" s="1"/>
      <c r="H16" s="1"/>
      <c r="I16" s="15"/>
      <c r="J16" s="15"/>
      <c r="K16" s="25"/>
      <c r="L16" s="25"/>
      <c r="M16" s="1"/>
      <c r="N16" s="1"/>
      <c r="O16" s="1"/>
      <c r="AC16" s="1"/>
    </row>
    <row r="17" spans="1:29" x14ac:dyDescent="0.25">
      <c r="A17" s="1"/>
      <c r="B17" s="1"/>
      <c r="C17" s="1"/>
      <c r="D17" s="1"/>
      <c r="E17" s="1"/>
      <c r="F17" s="1"/>
      <c r="G17" s="1"/>
      <c r="H17" s="1"/>
      <c r="I17" s="15"/>
      <c r="J17" s="15"/>
      <c r="K17" s="25"/>
      <c r="L17" s="25"/>
      <c r="M17" s="1"/>
      <c r="N17" s="1"/>
      <c r="O17" s="1"/>
      <c r="AC17" s="1"/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5"/>
      <c r="J18" s="15"/>
      <c r="K18" s="25"/>
      <c r="L18" s="25"/>
      <c r="M18" s="1"/>
      <c r="N18" s="1"/>
      <c r="O18" s="1"/>
      <c r="AC18" s="1"/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5"/>
      <c r="J19" s="15"/>
      <c r="K19" s="25"/>
      <c r="L19" s="25"/>
      <c r="M19" s="1"/>
      <c r="N19" s="1"/>
      <c r="O19" s="1"/>
      <c r="AC19" s="1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5"/>
      <c r="J20" s="15"/>
      <c r="K20" s="25"/>
      <c r="L20" s="25"/>
      <c r="M20" s="1"/>
      <c r="N20" s="1"/>
      <c r="O20" s="1"/>
      <c r="AC20" s="1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5"/>
      <c r="J21" s="15"/>
      <c r="K21" s="25"/>
      <c r="L21" s="25"/>
      <c r="M21" s="1"/>
      <c r="N21" s="1"/>
      <c r="O21" s="1"/>
      <c r="AC21" s="1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5"/>
      <c r="J22" s="15"/>
      <c r="K22" s="25"/>
      <c r="L22" s="25"/>
      <c r="M22" s="1"/>
      <c r="N22" s="1"/>
      <c r="O22" s="1"/>
      <c r="AC22" s="1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5"/>
      <c r="J23" s="15"/>
      <c r="K23" s="25"/>
      <c r="L23" s="25"/>
      <c r="M23" s="1"/>
      <c r="N23" s="1"/>
      <c r="O23" s="1"/>
      <c r="AC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5"/>
      <c r="J24" s="15"/>
      <c r="K24" s="25"/>
      <c r="L24" s="25"/>
      <c r="M24" s="1"/>
      <c r="N24" s="1"/>
      <c r="O24" s="1"/>
      <c r="AC24" s="1"/>
    </row>
    <row r="25" spans="1:29" x14ac:dyDescent="0.25">
      <c r="A25" s="1"/>
      <c r="B25" s="1"/>
      <c r="C25" s="1"/>
      <c r="D25" s="1"/>
      <c r="E25" s="1"/>
      <c r="F25" s="1"/>
      <c r="G25" s="1"/>
      <c r="H25" s="1"/>
      <c r="I25" s="15"/>
      <c r="J25" s="15"/>
      <c r="K25" s="25"/>
      <c r="L25" s="25"/>
      <c r="M25" s="1"/>
      <c r="N25" s="1"/>
      <c r="O25" s="1"/>
      <c r="AC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5"/>
      <c r="J26" s="15"/>
      <c r="K26" s="25"/>
      <c r="L26" s="25"/>
      <c r="M26" s="1"/>
      <c r="N26" s="1"/>
      <c r="O26" s="1"/>
      <c r="AC26" s="1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5"/>
      <c r="J27" s="15"/>
      <c r="K27" s="25"/>
      <c r="L27" s="25"/>
      <c r="M27" s="1"/>
      <c r="N27" s="1"/>
      <c r="O27" s="1"/>
      <c r="AC27" s="1"/>
    </row>
  </sheetData>
  <mergeCells count="6">
    <mergeCell ref="W1:Z1"/>
    <mergeCell ref="A1:H1"/>
    <mergeCell ref="I1:L1"/>
    <mergeCell ref="M1:O1"/>
    <mergeCell ref="Q1:T1"/>
    <mergeCell ref="U1:V1"/>
  </mergeCells>
  <conditionalFormatting sqref="A3:O27">
    <cfRule type="expression" dxfId="31" priority="9">
      <formula>$AC3="+"</formula>
    </cfRule>
    <cfRule type="expression" dxfId="30" priority="10">
      <formula>AND($M3&gt;0,$H3=$M3)</formula>
    </cfRule>
  </conditionalFormatting>
  <conditionalFormatting sqref="AC3:AC27">
    <cfRule type="expression" dxfId="29" priority="2">
      <formula>AND($M3&gt;0,$H3=$M3)</formula>
    </cfRule>
  </conditionalFormatting>
  <conditionalFormatting sqref="AC5">
    <cfRule type="expression" dxfId="28" priority="1">
      <formula>$AC5="+"</formula>
    </cfRule>
  </conditionalFormatting>
  <hyperlinks>
    <hyperlink ref="C3" location="'20191904'!A1" display="'20191904'!A1" xr:uid="{87C3E6BC-C2D4-4CD6-83E2-4126641D3546}"/>
    <hyperlink ref="C4" location="'19883321'!A1" display="'19883321'!A1" xr:uid="{E1A2E8FA-E90A-432F-B098-8C25480A0509}"/>
    <hyperlink ref="C5" location="'20305579'!A1" display="'20305579'!A1" xr:uid="{ECFFBFB7-7506-4537-869C-290705C7A622}"/>
    <hyperlink ref="C6" location="'20439014'!A1" display="'20439014'!A1" xr:uid="{538BC4F1-7ED1-40D4-A494-F21250DA25CD}"/>
    <hyperlink ref="C7" location="'20718136'!A1" display="'20718136'!A1" xr:uid="{E7537E76-CD08-4A4D-A3A3-457A80B569A2}"/>
    <hyperlink ref="C8" location="'21231923'!A1" display="'21231923'!A1" xr:uid="{88875700-460F-4480-B4B9-DFBE0B1ECF78}"/>
    <hyperlink ref="C9" location="'21446331'!A1" display="'21446331'!A1" xr:uid="{30B86B29-AB93-4786-994C-F0FB6A7E09A0}"/>
  </hyperlinks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D5" sqref="D5"/>
    </sheetView>
  </sheetViews>
  <sheetFormatPr defaultRowHeight="15" x14ac:dyDescent="0.25"/>
  <cols>
    <col min="1" max="1" width="15.7109375" style="8" customWidth="1"/>
    <col min="2" max="4" width="10.7109375" customWidth="1"/>
    <col min="5" max="5" width="8.7109375" customWidth="1"/>
    <col min="6" max="9" width="10.7109375" customWidth="1"/>
    <col min="11" max="11" width="9.140625" style="14"/>
  </cols>
  <sheetData>
    <row r="1" spans="1:11" x14ac:dyDescent="0.25">
      <c r="A1" s="27" t="s">
        <v>2</v>
      </c>
      <c r="B1" s="12" t="s">
        <v>10</v>
      </c>
      <c r="C1" s="12" t="s">
        <v>11</v>
      </c>
      <c r="D1" s="12" t="s">
        <v>5</v>
      </c>
      <c r="F1" s="12" t="s">
        <v>10</v>
      </c>
      <c r="G1" s="12" t="s">
        <v>11</v>
      </c>
      <c r="H1" s="12" t="s">
        <v>5</v>
      </c>
      <c r="I1" s="12" t="s">
        <v>12</v>
      </c>
      <c r="K1" s="12" t="s">
        <v>27</v>
      </c>
    </row>
    <row r="2" spans="1:11" x14ac:dyDescent="0.25">
      <c r="A2" s="6">
        <v>46217</v>
      </c>
      <c r="B2" s="3">
        <v>20</v>
      </c>
      <c r="C2" s="3">
        <v>0</v>
      </c>
      <c r="D2" s="3">
        <v>0</v>
      </c>
      <c r="F2" s="3">
        <f>SUM(B2:B35)</f>
        <v>40</v>
      </c>
      <c r="G2" s="3">
        <f>SUM(C2:C35)</f>
        <v>0</v>
      </c>
      <c r="H2" s="3">
        <f>SUM(D2:D14)</f>
        <v>0.24</v>
      </c>
      <c r="I2" s="3">
        <f>F2-G2</f>
        <v>40</v>
      </c>
      <c r="K2" s="3">
        <f>B2*-1</f>
        <v>-20</v>
      </c>
    </row>
    <row r="3" spans="1:11" x14ac:dyDescent="0.25">
      <c r="A3" s="6">
        <v>46229</v>
      </c>
      <c r="B3" s="3">
        <v>10</v>
      </c>
      <c r="C3" s="3">
        <v>0</v>
      </c>
      <c r="D3" s="3">
        <v>0</v>
      </c>
      <c r="K3" s="3">
        <f>B3*-1</f>
        <v>-10</v>
      </c>
    </row>
    <row r="4" spans="1:11" x14ac:dyDescent="0.25">
      <c r="A4" s="6">
        <v>46258</v>
      </c>
      <c r="B4" s="3">
        <v>0</v>
      </c>
      <c r="C4" s="3">
        <v>0</v>
      </c>
      <c r="D4" s="3">
        <v>0.24</v>
      </c>
      <c r="K4" s="3">
        <f t="shared" ref="K4:K34" si="0">B4*-1</f>
        <v>0</v>
      </c>
    </row>
    <row r="5" spans="1:11" x14ac:dyDescent="0.25">
      <c r="A5" s="6">
        <v>46268</v>
      </c>
      <c r="B5" s="3">
        <v>10</v>
      </c>
      <c r="C5" s="3">
        <v>0</v>
      </c>
      <c r="D5" s="3">
        <v>0</v>
      </c>
      <c r="K5" s="3">
        <f t="shared" si="0"/>
        <v>-10</v>
      </c>
    </row>
    <row r="6" spans="1:11" x14ac:dyDescent="0.25">
      <c r="A6" s="6"/>
      <c r="B6" s="3"/>
      <c r="C6" s="3"/>
      <c r="D6" s="3"/>
      <c r="K6" s="3">
        <f t="shared" si="0"/>
        <v>0</v>
      </c>
    </row>
    <row r="7" spans="1:11" x14ac:dyDescent="0.25">
      <c r="A7" s="6"/>
      <c r="B7" s="3"/>
      <c r="C7" s="3"/>
      <c r="D7" s="3"/>
      <c r="K7" s="3">
        <f t="shared" si="0"/>
        <v>0</v>
      </c>
    </row>
    <row r="8" spans="1:11" x14ac:dyDescent="0.25">
      <c r="A8" s="6"/>
      <c r="B8" s="3"/>
      <c r="C8" s="3"/>
      <c r="D8" s="3"/>
      <c r="K8" s="3">
        <f t="shared" si="0"/>
        <v>0</v>
      </c>
    </row>
    <row r="9" spans="1:11" x14ac:dyDescent="0.25">
      <c r="A9" s="6"/>
      <c r="B9" s="3"/>
      <c r="C9" s="3"/>
      <c r="D9" s="3"/>
      <c r="K9" s="3">
        <f t="shared" si="0"/>
        <v>0</v>
      </c>
    </row>
    <row r="10" spans="1:11" x14ac:dyDescent="0.25">
      <c r="A10" s="6"/>
      <c r="B10" s="3"/>
      <c r="C10" s="3"/>
      <c r="D10" s="3"/>
      <c r="K10" s="3">
        <f t="shared" si="0"/>
        <v>0</v>
      </c>
    </row>
    <row r="11" spans="1:11" x14ac:dyDescent="0.25">
      <c r="A11" s="6"/>
      <c r="B11" s="3"/>
      <c r="C11" s="3"/>
      <c r="D11" s="3"/>
      <c r="K11" s="3">
        <f t="shared" si="0"/>
        <v>0</v>
      </c>
    </row>
    <row r="12" spans="1:11" x14ac:dyDescent="0.25">
      <c r="A12" s="6"/>
      <c r="B12" s="3"/>
      <c r="C12" s="3"/>
      <c r="D12" s="3"/>
      <c r="K12" s="3">
        <f t="shared" si="0"/>
        <v>0</v>
      </c>
    </row>
    <row r="13" spans="1:11" x14ac:dyDescent="0.25">
      <c r="A13" s="6"/>
      <c r="B13" s="3"/>
      <c r="C13" s="3"/>
      <c r="D13" s="3"/>
      <c r="K13" s="3">
        <f t="shared" si="0"/>
        <v>0</v>
      </c>
    </row>
    <row r="14" spans="1:11" x14ac:dyDescent="0.25">
      <c r="A14" s="6"/>
      <c r="B14" s="3"/>
      <c r="C14" s="3"/>
      <c r="D14" s="3"/>
      <c r="K14" s="3">
        <f t="shared" si="0"/>
        <v>0</v>
      </c>
    </row>
    <row r="15" spans="1:11" x14ac:dyDescent="0.25">
      <c r="A15" s="15"/>
      <c r="B15" s="1"/>
      <c r="C15" s="1"/>
      <c r="D15" s="1"/>
      <c r="K15" s="3">
        <f t="shared" si="0"/>
        <v>0</v>
      </c>
    </row>
    <row r="16" spans="1:11" x14ac:dyDescent="0.25">
      <c r="A16" s="15"/>
      <c r="B16" s="1"/>
      <c r="C16" s="1"/>
      <c r="D16" s="1"/>
      <c r="K16" s="3">
        <f t="shared" si="0"/>
        <v>0</v>
      </c>
    </row>
    <row r="17" spans="1:11" x14ac:dyDescent="0.25">
      <c r="A17" s="15"/>
      <c r="B17" s="1"/>
      <c r="C17" s="1"/>
      <c r="D17" s="1"/>
      <c r="K17" s="3">
        <f t="shared" si="0"/>
        <v>0</v>
      </c>
    </row>
    <row r="18" spans="1:11" x14ac:dyDescent="0.25">
      <c r="A18" s="15"/>
      <c r="B18" s="1"/>
      <c r="C18" s="1"/>
      <c r="D18" s="1"/>
      <c r="K18" s="3">
        <f t="shared" si="0"/>
        <v>0</v>
      </c>
    </row>
    <row r="19" spans="1:11" x14ac:dyDescent="0.25">
      <c r="A19" s="15"/>
      <c r="B19" s="1"/>
      <c r="C19" s="1"/>
      <c r="D19" s="1"/>
      <c r="K19" s="3">
        <f t="shared" si="0"/>
        <v>0</v>
      </c>
    </row>
    <row r="20" spans="1:11" x14ac:dyDescent="0.25">
      <c r="A20" s="15"/>
      <c r="B20" s="1"/>
      <c r="C20" s="1"/>
      <c r="D20" s="1"/>
      <c r="K20" s="3">
        <f t="shared" si="0"/>
        <v>0</v>
      </c>
    </row>
    <row r="21" spans="1:11" x14ac:dyDescent="0.25">
      <c r="A21" s="15"/>
      <c r="B21" s="1"/>
      <c r="C21" s="1"/>
      <c r="D21" s="1"/>
      <c r="K21" s="3">
        <f t="shared" si="0"/>
        <v>0</v>
      </c>
    </row>
    <row r="22" spans="1:11" x14ac:dyDescent="0.25">
      <c r="A22" s="15"/>
      <c r="B22" s="1"/>
      <c r="C22" s="1"/>
      <c r="D22" s="1"/>
      <c r="K22" s="3">
        <f t="shared" si="0"/>
        <v>0</v>
      </c>
    </row>
    <row r="23" spans="1:11" x14ac:dyDescent="0.25">
      <c r="A23" s="15"/>
      <c r="B23" s="1"/>
      <c r="C23" s="1"/>
      <c r="D23" s="1"/>
      <c r="K23" s="3">
        <f t="shared" si="0"/>
        <v>0</v>
      </c>
    </row>
    <row r="24" spans="1:11" x14ac:dyDescent="0.25">
      <c r="A24" s="15"/>
      <c r="B24" s="1"/>
      <c r="C24" s="1"/>
      <c r="D24" s="1"/>
      <c r="K24" s="3">
        <f t="shared" si="0"/>
        <v>0</v>
      </c>
    </row>
    <row r="25" spans="1:11" x14ac:dyDescent="0.25">
      <c r="A25" s="15"/>
      <c r="B25" s="1"/>
      <c r="C25" s="1"/>
      <c r="D25" s="1"/>
      <c r="K25" s="3">
        <f t="shared" si="0"/>
        <v>0</v>
      </c>
    </row>
    <row r="26" spans="1:11" x14ac:dyDescent="0.25">
      <c r="A26" s="15"/>
      <c r="B26" s="1"/>
      <c r="C26" s="1"/>
      <c r="D26" s="1"/>
      <c r="K26" s="3">
        <f t="shared" si="0"/>
        <v>0</v>
      </c>
    </row>
    <row r="27" spans="1:11" x14ac:dyDescent="0.25">
      <c r="A27" s="15"/>
      <c r="B27" s="1"/>
      <c r="C27" s="1"/>
      <c r="D27" s="1"/>
      <c r="K27" s="3">
        <f t="shared" si="0"/>
        <v>0</v>
      </c>
    </row>
    <row r="28" spans="1:11" x14ac:dyDescent="0.25">
      <c r="A28" s="15"/>
      <c r="B28" s="1"/>
      <c r="C28" s="1"/>
      <c r="D28" s="1"/>
      <c r="K28" s="3">
        <f t="shared" si="0"/>
        <v>0</v>
      </c>
    </row>
    <row r="29" spans="1:11" x14ac:dyDescent="0.25">
      <c r="A29" s="15"/>
      <c r="B29" s="1"/>
      <c r="C29" s="1"/>
      <c r="D29" s="1"/>
      <c r="K29" s="3">
        <f t="shared" si="0"/>
        <v>0</v>
      </c>
    </row>
    <row r="30" spans="1:11" x14ac:dyDescent="0.25">
      <c r="A30" s="15"/>
      <c r="B30" s="1"/>
      <c r="C30" s="1"/>
      <c r="D30" s="1"/>
      <c r="K30" s="3">
        <f t="shared" si="0"/>
        <v>0</v>
      </c>
    </row>
    <row r="31" spans="1:11" x14ac:dyDescent="0.25">
      <c r="A31" s="15"/>
      <c r="B31" s="1"/>
      <c r="C31" s="1"/>
      <c r="D31" s="1"/>
      <c r="K31" s="3">
        <f t="shared" si="0"/>
        <v>0</v>
      </c>
    </row>
    <row r="32" spans="1:11" x14ac:dyDescent="0.25">
      <c r="A32" s="15"/>
      <c r="B32" s="1"/>
      <c r="C32" s="1"/>
      <c r="D32" s="1"/>
      <c r="K32" s="3">
        <f t="shared" si="0"/>
        <v>0</v>
      </c>
    </row>
    <row r="33" spans="1:11" x14ac:dyDescent="0.25">
      <c r="A33" s="15"/>
      <c r="B33" s="1"/>
      <c r="C33" s="1"/>
      <c r="D33" s="1"/>
      <c r="K33" s="3">
        <f t="shared" si="0"/>
        <v>0</v>
      </c>
    </row>
    <row r="34" spans="1:11" x14ac:dyDescent="0.25">
      <c r="A34" s="15"/>
      <c r="B34" s="1"/>
      <c r="C34" s="1"/>
      <c r="D34" s="1"/>
      <c r="K34" s="3">
        <f t="shared" si="0"/>
        <v>0</v>
      </c>
    </row>
    <row r="35" spans="1:11" x14ac:dyDescent="0.25">
      <c r="A35" s="15"/>
      <c r="B35" s="1"/>
      <c r="C35" s="1"/>
      <c r="D35" s="1"/>
      <c r="K35" s="2"/>
    </row>
    <row r="36" spans="1:11" x14ac:dyDescent="0.25">
      <c r="A36" s="15"/>
      <c r="B36" s="1"/>
      <c r="C36" s="1"/>
      <c r="D36" s="1"/>
      <c r="K36" s="2"/>
    </row>
    <row r="37" spans="1:11" x14ac:dyDescent="0.25">
      <c r="A37" s="15"/>
      <c r="B37" s="1"/>
      <c r="C37" s="1"/>
      <c r="D37" s="1"/>
      <c r="K37" s="2"/>
    </row>
    <row r="38" spans="1:11" x14ac:dyDescent="0.25">
      <c r="A38" s="15"/>
      <c r="B38" s="1"/>
      <c r="C38" s="1"/>
      <c r="D38" s="1"/>
      <c r="K38" s="2"/>
    </row>
    <row r="39" spans="1:11" x14ac:dyDescent="0.25">
      <c r="A39" s="15"/>
      <c r="B39" s="1"/>
      <c r="C39" s="1"/>
      <c r="D39" s="1"/>
      <c r="K39" s="2"/>
    </row>
    <row r="40" spans="1:11" x14ac:dyDescent="0.25">
      <c r="A40" s="15"/>
      <c r="B40" s="1"/>
      <c r="C40" s="1"/>
      <c r="D40" s="1"/>
      <c r="K40" s="2"/>
    </row>
    <row r="41" spans="1:11" x14ac:dyDescent="0.25">
      <c r="A41" s="15"/>
      <c r="B41" s="1"/>
      <c r="C41" s="1"/>
      <c r="D41" s="1"/>
      <c r="K41" s="2"/>
    </row>
    <row r="42" spans="1:11" x14ac:dyDescent="0.25">
      <c r="A42" s="15"/>
      <c r="B42" s="1"/>
      <c r="C42" s="1"/>
      <c r="D42" s="1"/>
      <c r="K42" s="2"/>
    </row>
    <row r="43" spans="1:11" x14ac:dyDescent="0.25">
      <c r="A43" s="15"/>
      <c r="B43" s="1"/>
      <c r="C43" s="1"/>
      <c r="D43" s="1"/>
      <c r="K43" s="2"/>
    </row>
    <row r="44" spans="1:11" x14ac:dyDescent="0.25">
      <c r="A44" s="15"/>
      <c r="B44" s="1"/>
      <c r="C44" s="1"/>
      <c r="D44" s="1"/>
      <c r="K44" s="2"/>
    </row>
    <row r="45" spans="1:11" x14ac:dyDescent="0.25">
      <c r="A45" s="15"/>
      <c r="B45" s="1"/>
      <c r="C45" s="1"/>
      <c r="D45" s="1"/>
      <c r="K45" s="2"/>
    </row>
    <row r="46" spans="1:11" x14ac:dyDescent="0.25">
      <c r="A46" s="15"/>
      <c r="B46" s="1"/>
      <c r="C46" s="1"/>
      <c r="D46" s="1"/>
      <c r="K46" s="2"/>
    </row>
    <row r="47" spans="1:11" x14ac:dyDescent="0.25">
      <c r="A47" s="15"/>
      <c r="B47" s="1"/>
      <c r="C47" s="1"/>
      <c r="D47" s="1"/>
      <c r="K47" s="2"/>
    </row>
    <row r="48" spans="1:11" x14ac:dyDescent="0.25">
      <c r="A48" s="15"/>
      <c r="B48" s="1"/>
      <c r="C48" s="1"/>
      <c r="D48" s="1"/>
      <c r="K48" s="2"/>
    </row>
    <row r="49" spans="1:11" x14ac:dyDescent="0.25">
      <c r="A49" s="15"/>
      <c r="B49" s="1"/>
      <c r="C49" s="1"/>
      <c r="D49" s="1"/>
      <c r="K49" s="2"/>
    </row>
    <row r="50" spans="1:11" x14ac:dyDescent="0.25">
      <c r="A50" s="15"/>
      <c r="B50" s="1"/>
      <c r="C50" s="1"/>
      <c r="D50" s="1"/>
      <c r="K50" s="2"/>
    </row>
    <row r="51" spans="1:11" x14ac:dyDescent="0.25">
      <c r="A51" s="15"/>
      <c r="B51" s="1"/>
      <c r="C51" s="1"/>
      <c r="D51" s="1"/>
      <c r="K51" s="2"/>
    </row>
    <row r="52" spans="1:11" x14ac:dyDescent="0.25">
      <c r="A52" s="15"/>
      <c r="B52" s="1"/>
      <c r="C52" s="1"/>
      <c r="D52" s="1"/>
      <c r="K52" s="2"/>
    </row>
    <row r="53" spans="1:11" x14ac:dyDescent="0.25">
      <c r="A53" s="15"/>
      <c r="B53" s="1"/>
      <c r="C53" s="1"/>
      <c r="D53" s="1"/>
      <c r="K53" s="2"/>
    </row>
    <row r="54" spans="1:11" x14ac:dyDescent="0.25">
      <c r="A54" s="15"/>
      <c r="B54" s="1"/>
      <c r="C54" s="1"/>
      <c r="D54" s="1"/>
      <c r="K54" s="2"/>
    </row>
    <row r="55" spans="1:11" x14ac:dyDescent="0.25">
      <c r="A55" s="15"/>
      <c r="B55" s="1"/>
      <c r="C55" s="1"/>
      <c r="D55" s="1"/>
      <c r="K55" s="2"/>
    </row>
    <row r="56" spans="1:11" x14ac:dyDescent="0.25">
      <c r="A56" s="15"/>
      <c r="B56" s="1"/>
      <c r="C56" s="1"/>
      <c r="D56" s="1"/>
      <c r="K56" s="2"/>
    </row>
    <row r="57" spans="1:11" x14ac:dyDescent="0.25">
      <c r="A57" s="15"/>
      <c r="B57" s="1"/>
      <c r="C57" s="1"/>
      <c r="D57" s="1"/>
      <c r="K57" s="2"/>
    </row>
    <row r="58" spans="1:11" x14ac:dyDescent="0.25">
      <c r="A58" s="15"/>
      <c r="B58" s="1"/>
      <c r="C58" s="1"/>
      <c r="D58" s="1"/>
      <c r="K58" s="2"/>
    </row>
    <row r="59" spans="1:11" x14ac:dyDescent="0.25">
      <c r="A59" s="15"/>
      <c r="B59" s="1"/>
      <c r="C59" s="1"/>
      <c r="D59" s="1"/>
      <c r="K59" s="2"/>
    </row>
    <row r="60" spans="1:11" x14ac:dyDescent="0.25">
      <c r="A60" s="15"/>
      <c r="B60" s="1"/>
      <c r="C60" s="1"/>
      <c r="D60" s="1"/>
      <c r="K60" s="2"/>
    </row>
    <row r="61" spans="1:11" x14ac:dyDescent="0.25">
      <c r="A61" s="15"/>
      <c r="B61" s="1"/>
      <c r="C61" s="1"/>
      <c r="D61" s="1"/>
      <c r="K61" s="2"/>
    </row>
    <row r="62" spans="1:11" x14ac:dyDescent="0.25">
      <c r="A62" s="15"/>
      <c r="B62" s="1"/>
      <c r="C62" s="1"/>
      <c r="D62" s="1"/>
      <c r="K62" s="2"/>
    </row>
    <row r="63" spans="1:11" x14ac:dyDescent="0.25">
      <c r="A63" s="15"/>
      <c r="B63" s="1"/>
      <c r="C63" s="1"/>
      <c r="D63" s="1"/>
      <c r="K63" s="2"/>
    </row>
    <row r="64" spans="1:11" x14ac:dyDescent="0.25">
      <c r="A64" s="15"/>
      <c r="B64" s="1"/>
      <c r="C64" s="1"/>
      <c r="D64" s="1"/>
      <c r="K64" s="2"/>
    </row>
    <row r="65" spans="1:11" x14ac:dyDescent="0.25">
      <c r="A65" s="15"/>
      <c r="B65" s="1"/>
      <c r="C65" s="1"/>
      <c r="D65" s="1"/>
      <c r="K65" s="2"/>
    </row>
    <row r="66" spans="1:11" x14ac:dyDescent="0.25">
      <c r="A66" s="15"/>
      <c r="B66" s="1"/>
      <c r="C66" s="1"/>
      <c r="D66" s="1"/>
      <c r="K66" s="2"/>
    </row>
    <row r="67" spans="1:11" x14ac:dyDescent="0.25">
      <c r="A67" s="15"/>
      <c r="B67" s="1"/>
      <c r="C67" s="1"/>
      <c r="D67" s="1"/>
      <c r="K67" s="2"/>
    </row>
    <row r="68" spans="1:11" x14ac:dyDescent="0.25">
      <c r="A68" s="15"/>
      <c r="B68" s="1"/>
      <c r="C68" s="1"/>
      <c r="D68" s="1"/>
      <c r="K68" s="2"/>
    </row>
    <row r="69" spans="1:11" x14ac:dyDescent="0.25">
      <c r="A69" s="15"/>
      <c r="B69" s="1"/>
      <c r="C69" s="1"/>
      <c r="D69" s="1"/>
      <c r="K69" s="2"/>
    </row>
    <row r="70" spans="1:11" x14ac:dyDescent="0.25">
      <c r="A70" s="15"/>
      <c r="B70" s="1"/>
      <c r="C70" s="1"/>
      <c r="D70" s="1"/>
      <c r="K70" s="2"/>
    </row>
    <row r="71" spans="1:11" x14ac:dyDescent="0.25">
      <c r="A71" s="15"/>
      <c r="B71" s="1"/>
      <c r="C71" s="1"/>
      <c r="D71" s="1"/>
      <c r="K71" s="2"/>
    </row>
    <row r="72" spans="1:11" x14ac:dyDescent="0.25">
      <c r="A72" s="15"/>
      <c r="B72" s="1"/>
      <c r="C72" s="1"/>
      <c r="D72" s="1"/>
      <c r="K72" s="2"/>
    </row>
    <row r="73" spans="1:11" x14ac:dyDescent="0.25">
      <c r="A73" s="15"/>
      <c r="B73" s="1"/>
      <c r="C73" s="1"/>
      <c r="D73" s="1"/>
      <c r="K73" s="2"/>
    </row>
    <row r="74" spans="1:11" x14ac:dyDescent="0.25">
      <c r="A74" s="15"/>
      <c r="B74" s="1"/>
      <c r="C74" s="1"/>
      <c r="D74" s="1"/>
      <c r="K74" s="2"/>
    </row>
    <row r="75" spans="1:11" x14ac:dyDescent="0.25">
      <c r="A75" s="15"/>
      <c r="B75" s="1"/>
      <c r="C75" s="1"/>
      <c r="D75" s="1"/>
      <c r="K75" s="2"/>
    </row>
    <row r="76" spans="1:11" x14ac:dyDescent="0.25">
      <c r="A76" s="15"/>
      <c r="B76" s="1"/>
      <c r="C76" s="1"/>
      <c r="D76" s="1"/>
      <c r="K76" s="2"/>
    </row>
    <row r="77" spans="1:11" x14ac:dyDescent="0.25">
      <c r="A77" s="15"/>
      <c r="B77" s="1"/>
      <c r="C77" s="1"/>
      <c r="D77" s="1"/>
      <c r="K77" s="2"/>
    </row>
    <row r="78" spans="1:11" x14ac:dyDescent="0.25">
      <c r="A78" s="15"/>
      <c r="B78" s="1"/>
      <c r="C78" s="1"/>
      <c r="D78" s="1"/>
      <c r="K78" s="2"/>
    </row>
    <row r="79" spans="1:11" x14ac:dyDescent="0.25">
      <c r="A79" s="15"/>
      <c r="B79" s="1"/>
      <c r="C79" s="1"/>
      <c r="D79" s="1"/>
      <c r="K79" s="2"/>
    </row>
    <row r="80" spans="1:11" x14ac:dyDescent="0.25">
      <c r="A80" s="15"/>
      <c r="B80" s="1"/>
      <c r="C80" s="1"/>
      <c r="D80" s="1"/>
      <c r="K80" s="2"/>
    </row>
    <row r="81" spans="1:11" x14ac:dyDescent="0.25">
      <c r="A81" s="15"/>
      <c r="B81" s="1"/>
      <c r="C81" s="1"/>
      <c r="D81" s="1"/>
      <c r="K81" s="2"/>
    </row>
    <row r="82" spans="1:11" x14ac:dyDescent="0.25">
      <c r="A82" s="15"/>
      <c r="B82" s="1"/>
      <c r="C82" s="1"/>
      <c r="D82" s="1"/>
      <c r="K82" s="2"/>
    </row>
    <row r="83" spans="1:11" x14ac:dyDescent="0.25">
      <c r="A83" s="15"/>
      <c r="B83" s="1"/>
      <c r="C83" s="1"/>
      <c r="D83" s="1"/>
      <c r="K83" s="2"/>
    </row>
    <row r="84" spans="1:11" x14ac:dyDescent="0.25">
      <c r="A84" s="15"/>
      <c r="B84" s="1"/>
      <c r="C84" s="1"/>
      <c r="D84" s="1"/>
      <c r="K84" s="2"/>
    </row>
    <row r="85" spans="1:11" x14ac:dyDescent="0.25">
      <c r="A85" s="15"/>
      <c r="B85" s="1"/>
      <c r="C85" s="1"/>
      <c r="D85" s="1"/>
      <c r="K85" s="2"/>
    </row>
    <row r="86" spans="1:11" x14ac:dyDescent="0.25">
      <c r="A86" s="15"/>
      <c r="B86" s="1"/>
      <c r="C86" s="1"/>
      <c r="D86" s="1"/>
      <c r="K86" s="2"/>
    </row>
    <row r="87" spans="1:11" x14ac:dyDescent="0.25">
      <c r="A87" s="15"/>
      <c r="B87" s="1"/>
      <c r="C87" s="1"/>
      <c r="D87" s="1"/>
      <c r="K87" s="2"/>
    </row>
    <row r="88" spans="1:11" x14ac:dyDescent="0.25">
      <c r="A88" s="15"/>
      <c r="B88" s="1"/>
      <c r="C88" s="1"/>
      <c r="D88" s="1"/>
      <c r="K88" s="2"/>
    </row>
    <row r="89" spans="1:11" x14ac:dyDescent="0.25">
      <c r="A89" s="15"/>
      <c r="B89" s="1"/>
      <c r="C89" s="1"/>
      <c r="D89" s="1"/>
      <c r="K89" s="2"/>
    </row>
    <row r="90" spans="1:11" x14ac:dyDescent="0.25">
      <c r="A90" s="15"/>
      <c r="B90" s="1"/>
      <c r="C90" s="1"/>
      <c r="D90" s="1"/>
      <c r="K90" s="2"/>
    </row>
    <row r="91" spans="1:11" x14ac:dyDescent="0.25">
      <c r="A91" s="15"/>
      <c r="B91" s="1"/>
      <c r="C91" s="1"/>
      <c r="D91" s="1"/>
      <c r="K91" s="2"/>
    </row>
    <row r="92" spans="1:11" x14ac:dyDescent="0.25">
      <c r="A92" s="15"/>
      <c r="B92" s="1"/>
      <c r="C92" s="1"/>
      <c r="D92" s="1"/>
      <c r="K92" s="2"/>
    </row>
    <row r="93" spans="1:11" x14ac:dyDescent="0.25">
      <c r="A93" s="15"/>
      <c r="B93" s="1"/>
      <c r="C93" s="1"/>
      <c r="D93" s="1"/>
      <c r="K93" s="2"/>
    </row>
    <row r="94" spans="1:11" x14ac:dyDescent="0.25">
      <c r="A94" s="15"/>
      <c r="B94" s="1"/>
      <c r="C94" s="1"/>
      <c r="D94" s="1"/>
      <c r="K94" s="2"/>
    </row>
    <row r="95" spans="1:11" x14ac:dyDescent="0.25">
      <c r="A95" s="15"/>
      <c r="B95" s="1"/>
      <c r="C95" s="1"/>
      <c r="D95" s="1"/>
      <c r="K95" s="2"/>
    </row>
    <row r="96" spans="1:11" x14ac:dyDescent="0.25">
      <c r="A96" s="15"/>
      <c r="B96" s="1"/>
      <c r="C96" s="1"/>
      <c r="D96" s="1"/>
      <c r="K96" s="2"/>
    </row>
    <row r="97" spans="1:11" x14ac:dyDescent="0.25">
      <c r="A97" s="15"/>
      <c r="B97" s="1"/>
      <c r="C97" s="1"/>
      <c r="D97" s="1"/>
      <c r="K97" s="2"/>
    </row>
    <row r="98" spans="1:11" x14ac:dyDescent="0.25">
      <c r="A98" s="15"/>
      <c r="B98" s="1"/>
      <c r="C98" s="1"/>
      <c r="D98" s="1"/>
      <c r="K98" s="2"/>
    </row>
    <row r="99" spans="1:11" x14ac:dyDescent="0.25">
      <c r="A99" s="15"/>
      <c r="B99" s="1"/>
      <c r="C99" s="1"/>
      <c r="D99" s="1"/>
      <c r="K99" s="2"/>
    </row>
    <row r="100" spans="1:11" x14ac:dyDescent="0.25">
      <c r="A100" s="15"/>
      <c r="B100" s="1"/>
      <c r="C100" s="1"/>
      <c r="D100" s="1"/>
      <c r="K100" s="2"/>
    </row>
    <row r="101" spans="1:11" x14ac:dyDescent="0.25">
      <c r="A101" s="15"/>
      <c r="B101" s="1"/>
      <c r="C101" s="1"/>
      <c r="D101" s="1"/>
      <c r="K101" s="2"/>
    </row>
    <row r="102" spans="1:11" x14ac:dyDescent="0.25">
      <c r="A102" s="15"/>
      <c r="B102" s="1"/>
      <c r="C102" s="1"/>
      <c r="D102" s="1"/>
      <c r="K102" s="2"/>
    </row>
    <row r="103" spans="1:11" x14ac:dyDescent="0.25">
      <c r="A103" s="15"/>
      <c r="B103" s="1"/>
      <c r="C103" s="1"/>
      <c r="D103" s="1"/>
      <c r="K103" s="2"/>
    </row>
    <row r="104" spans="1:11" x14ac:dyDescent="0.25">
      <c r="A104" s="15"/>
      <c r="B104" s="1"/>
      <c r="C104" s="1"/>
      <c r="D104" s="1"/>
      <c r="K104" s="2"/>
    </row>
    <row r="105" spans="1:11" x14ac:dyDescent="0.25">
      <c r="A105" s="15"/>
      <c r="B105" s="1"/>
      <c r="C105" s="1"/>
      <c r="D105" s="1"/>
      <c r="K105" s="2"/>
    </row>
    <row r="106" spans="1:11" x14ac:dyDescent="0.25">
      <c r="A106" s="15"/>
      <c r="B106" s="1"/>
      <c r="C106" s="1"/>
      <c r="D106" s="1"/>
      <c r="K106" s="2"/>
    </row>
    <row r="107" spans="1:11" x14ac:dyDescent="0.25">
      <c r="A107" s="15"/>
      <c r="B107" s="1"/>
      <c r="C107" s="1"/>
      <c r="D107" s="1"/>
      <c r="K107" s="2"/>
    </row>
    <row r="108" spans="1:11" x14ac:dyDescent="0.25">
      <c r="A108" s="15"/>
      <c r="B108" s="1"/>
      <c r="C108" s="1"/>
      <c r="D108" s="1"/>
      <c r="K108" s="2"/>
    </row>
    <row r="109" spans="1:11" x14ac:dyDescent="0.25">
      <c r="A109" s="15"/>
      <c r="B109" s="1"/>
      <c r="C109" s="1"/>
      <c r="D109" s="1"/>
      <c r="K109" s="2"/>
    </row>
    <row r="110" spans="1:11" x14ac:dyDescent="0.25">
      <c r="A110" s="15"/>
      <c r="B110" s="1"/>
      <c r="C110" s="1"/>
      <c r="D110" s="1"/>
      <c r="K110" s="2"/>
    </row>
    <row r="111" spans="1:11" x14ac:dyDescent="0.25">
      <c r="A111" s="15"/>
      <c r="B111" s="1"/>
      <c r="C111" s="1"/>
      <c r="D111" s="1"/>
      <c r="K111" s="2"/>
    </row>
    <row r="112" spans="1:11" x14ac:dyDescent="0.25">
      <c r="A112" s="15"/>
      <c r="B112" s="1"/>
      <c r="C112" s="1"/>
      <c r="D112" s="1"/>
      <c r="K112" s="2"/>
    </row>
    <row r="113" spans="1:11" x14ac:dyDescent="0.25">
      <c r="A113" s="15"/>
      <c r="B113" s="1"/>
      <c r="C113" s="1"/>
      <c r="D113" s="1"/>
      <c r="K113" s="2"/>
    </row>
    <row r="114" spans="1:11" x14ac:dyDescent="0.25">
      <c r="A114" s="15"/>
      <c r="B114" s="1"/>
      <c r="C114" s="1"/>
      <c r="D114" s="1"/>
      <c r="K114" s="2"/>
    </row>
    <row r="115" spans="1:11" x14ac:dyDescent="0.25">
      <c r="A115" s="15"/>
      <c r="B115" s="1"/>
      <c r="C115" s="1"/>
      <c r="D115" s="1"/>
      <c r="K115" s="2"/>
    </row>
    <row r="116" spans="1:11" x14ac:dyDescent="0.25">
      <c r="A116" s="15"/>
      <c r="B116" s="1"/>
      <c r="C116" s="1"/>
      <c r="D116" s="1"/>
      <c r="K116" s="2"/>
    </row>
    <row r="117" spans="1:11" x14ac:dyDescent="0.25">
      <c r="A117" s="15"/>
      <c r="B117" s="1"/>
      <c r="C117" s="1"/>
      <c r="D117" s="1"/>
      <c r="K117" s="2"/>
    </row>
    <row r="118" spans="1:11" x14ac:dyDescent="0.25">
      <c r="A118" s="15"/>
      <c r="B118" s="1"/>
      <c r="C118" s="1"/>
      <c r="D118" s="1"/>
      <c r="K118" s="2"/>
    </row>
    <row r="119" spans="1:11" x14ac:dyDescent="0.25">
      <c r="A119" s="15"/>
      <c r="B119" s="1"/>
      <c r="C119" s="1"/>
      <c r="D119" s="1"/>
      <c r="K119" s="2"/>
    </row>
    <row r="120" spans="1:11" x14ac:dyDescent="0.25">
      <c r="A120" s="15"/>
      <c r="B120" s="1"/>
      <c r="C120" s="1"/>
      <c r="D120" s="1"/>
      <c r="K120" s="2"/>
    </row>
    <row r="121" spans="1:11" x14ac:dyDescent="0.25">
      <c r="A121" s="15"/>
      <c r="B121" s="1"/>
      <c r="C121" s="1"/>
      <c r="D121" s="1"/>
      <c r="K121" s="2"/>
    </row>
    <row r="122" spans="1:11" x14ac:dyDescent="0.25">
      <c r="A122" s="15"/>
      <c r="B122" s="1"/>
      <c r="C122" s="1"/>
      <c r="D122" s="1"/>
      <c r="K122" s="2"/>
    </row>
    <row r="123" spans="1:11" x14ac:dyDescent="0.25">
      <c r="A123" s="15"/>
      <c r="B123" s="1"/>
      <c r="C123" s="1"/>
      <c r="D123" s="1"/>
      <c r="K123" s="2"/>
    </row>
    <row r="124" spans="1:11" x14ac:dyDescent="0.25">
      <c r="A124" s="15"/>
      <c r="B124" s="1"/>
      <c r="C124" s="1"/>
      <c r="D124" s="1"/>
      <c r="K124" s="2"/>
    </row>
    <row r="125" spans="1:11" x14ac:dyDescent="0.25">
      <c r="A125" s="15"/>
      <c r="B125" s="1"/>
      <c r="C125" s="1"/>
      <c r="D125" s="1"/>
      <c r="K125" s="2"/>
    </row>
    <row r="126" spans="1:11" x14ac:dyDescent="0.25">
      <c r="A126" s="15"/>
      <c r="B126" s="1"/>
      <c r="C126" s="1"/>
      <c r="D126" s="1"/>
      <c r="K126" s="2"/>
    </row>
    <row r="127" spans="1:11" x14ac:dyDescent="0.25">
      <c r="A127" s="15"/>
      <c r="B127" s="1"/>
      <c r="C127" s="1"/>
      <c r="D127" s="1"/>
      <c r="K127" s="2"/>
    </row>
    <row r="128" spans="1:11" x14ac:dyDescent="0.25">
      <c r="A128" s="15"/>
      <c r="B128" s="1"/>
      <c r="C128" s="1"/>
      <c r="D128" s="1"/>
      <c r="K128" s="2"/>
    </row>
    <row r="129" spans="1:11" x14ac:dyDescent="0.25">
      <c r="A129" s="15"/>
      <c r="B129" s="1"/>
      <c r="C129" s="1"/>
      <c r="D129" s="1"/>
      <c r="K129" s="2"/>
    </row>
    <row r="130" spans="1:11" x14ac:dyDescent="0.25">
      <c r="A130" s="15"/>
      <c r="B130" s="1"/>
      <c r="C130" s="1"/>
      <c r="D130" s="1"/>
      <c r="K130" s="2"/>
    </row>
    <row r="131" spans="1:11" x14ac:dyDescent="0.25">
      <c r="A131" s="15"/>
      <c r="B131" s="1"/>
      <c r="C131" s="1"/>
      <c r="D131" s="1"/>
      <c r="K131" s="2"/>
    </row>
    <row r="132" spans="1:11" x14ac:dyDescent="0.25">
      <c r="A132" s="15"/>
      <c r="B132" s="1"/>
      <c r="C132" s="1"/>
      <c r="D132" s="1"/>
      <c r="K132" s="2"/>
    </row>
    <row r="133" spans="1:11" x14ac:dyDescent="0.25">
      <c r="A133" s="15"/>
      <c r="B133" s="1"/>
      <c r="C133" s="1"/>
      <c r="D133" s="1"/>
      <c r="K133" s="2"/>
    </row>
    <row r="134" spans="1:11" x14ac:dyDescent="0.25">
      <c r="A134" s="15"/>
      <c r="B134" s="1"/>
      <c r="C134" s="1"/>
      <c r="D134" s="1"/>
      <c r="K134" s="2"/>
    </row>
    <row r="135" spans="1:11" x14ac:dyDescent="0.25">
      <c r="A135" s="15"/>
      <c r="B135" s="1"/>
      <c r="C135" s="1"/>
      <c r="D135" s="1"/>
      <c r="K135" s="2"/>
    </row>
    <row r="136" spans="1:11" x14ac:dyDescent="0.25">
      <c r="A136" s="15"/>
      <c r="B136" s="1"/>
      <c r="C136" s="1"/>
      <c r="D136" s="1"/>
      <c r="K136" s="2"/>
    </row>
    <row r="137" spans="1:11" x14ac:dyDescent="0.25">
      <c r="A137" s="15"/>
      <c r="B137" s="1"/>
      <c r="C137" s="1"/>
      <c r="D137" s="1"/>
      <c r="K137" s="2"/>
    </row>
    <row r="138" spans="1:11" x14ac:dyDescent="0.25">
      <c r="A138" s="15"/>
      <c r="B138" s="1"/>
      <c r="C138" s="1"/>
      <c r="D138" s="1"/>
      <c r="K138" s="2"/>
    </row>
    <row r="139" spans="1:11" x14ac:dyDescent="0.25">
      <c r="A139" s="15"/>
      <c r="B139" s="1"/>
      <c r="C139" s="1"/>
      <c r="D139" s="1"/>
      <c r="K139" s="2"/>
    </row>
    <row r="140" spans="1:11" x14ac:dyDescent="0.25">
      <c r="A140" s="15"/>
      <c r="B140" s="1"/>
      <c r="C140" s="1"/>
      <c r="D140" s="1"/>
      <c r="K140" s="2"/>
    </row>
    <row r="141" spans="1:11" x14ac:dyDescent="0.25">
      <c r="A141" s="15"/>
      <c r="B141" s="1"/>
      <c r="C141" s="1"/>
      <c r="D141" s="1"/>
      <c r="K141" s="2"/>
    </row>
    <row r="142" spans="1:11" x14ac:dyDescent="0.25">
      <c r="A142" s="15"/>
      <c r="B142" s="1"/>
      <c r="C142" s="1"/>
      <c r="D142" s="1"/>
      <c r="K142" s="2"/>
    </row>
    <row r="143" spans="1:11" x14ac:dyDescent="0.25">
      <c r="A143" s="15"/>
      <c r="B143" s="1"/>
      <c r="C143" s="1"/>
      <c r="D143" s="1"/>
      <c r="K143" s="2"/>
    </row>
    <row r="144" spans="1:11" x14ac:dyDescent="0.25">
      <c r="A144" s="15"/>
      <c r="B144" s="1"/>
      <c r="C144" s="1"/>
      <c r="D144" s="1"/>
      <c r="K144" s="2"/>
    </row>
    <row r="145" spans="1:11" x14ac:dyDescent="0.25">
      <c r="A145" s="15"/>
      <c r="B145" s="1"/>
      <c r="C145" s="1"/>
      <c r="D145" s="1"/>
      <c r="K145" s="2"/>
    </row>
    <row r="146" spans="1:11" x14ac:dyDescent="0.25">
      <c r="A146" s="15"/>
      <c r="B146" s="1"/>
      <c r="C146" s="1"/>
      <c r="D146" s="1"/>
      <c r="K146" s="2"/>
    </row>
    <row r="147" spans="1:11" x14ac:dyDescent="0.25">
      <c r="A147" s="15"/>
      <c r="B147" s="1"/>
      <c r="C147" s="1"/>
      <c r="D147" s="1"/>
      <c r="K147" s="2"/>
    </row>
    <row r="148" spans="1:11" x14ac:dyDescent="0.25">
      <c r="A148" s="15"/>
      <c r="B148" s="1"/>
      <c r="C148" s="1"/>
      <c r="D148" s="1"/>
      <c r="K148" s="2"/>
    </row>
    <row r="149" spans="1:11" x14ac:dyDescent="0.25">
      <c r="A149" s="15"/>
      <c r="B149" s="1"/>
      <c r="C149" s="1"/>
      <c r="D149" s="1"/>
      <c r="K149" s="2"/>
    </row>
    <row r="150" spans="1:11" x14ac:dyDescent="0.25">
      <c r="A150" s="15"/>
      <c r="B150" s="1"/>
      <c r="C150" s="1"/>
      <c r="D150" s="1"/>
      <c r="K150" s="2"/>
    </row>
    <row r="151" spans="1:11" x14ac:dyDescent="0.25">
      <c r="A151" s="15"/>
      <c r="B151" s="1"/>
      <c r="C151" s="1"/>
      <c r="D151" s="1"/>
      <c r="K151" s="2"/>
    </row>
    <row r="152" spans="1:11" x14ac:dyDescent="0.25">
      <c r="A152" s="15"/>
      <c r="B152" s="1"/>
      <c r="C152" s="1"/>
      <c r="D152" s="1"/>
      <c r="K152" s="2"/>
    </row>
    <row r="153" spans="1:11" x14ac:dyDescent="0.25">
      <c r="A153" s="15"/>
      <c r="B153" s="1"/>
      <c r="C153" s="1"/>
      <c r="D153" s="1"/>
      <c r="K153" s="2"/>
    </row>
    <row r="154" spans="1:11" x14ac:dyDescent="0.25">
      <c r="A154" s="15"/>
      <c r="B154" s="1"/>
      <c r="C154" s="1"/>
      <c r="D154" s="1"/>
      <c r="K154" s="2"/>
    </row>
    <row r="155" spans="1:11" x14ac:dyDescent="0.25">
      <c r="A155" s="15"/>
      <c r="B155" s="1"/>
      <c r="C155" s="1"/>
      <c r="D155" s="1"/>
      <c r="K155" s="2"/>
    </row>
    <row r="156" spans="1:11" x14ac:dyDescent="0.25">
      <c r="A156" s="15"/>
      <c r="B156" s="1"/>
      <c r="C156" s="1"/>
      <c r="D156" s="1"/>
      <c r="K156" s="2"/>
    </row>
    <row r="157" spans="1:11" x14ac:dyDescent="0.25">
      <c r="A157" s="15"/>
      <c r="B157" s="1"/>
      <c r="C157" s="1"/>
      <c r="D157" s="1"/>
      <c r="K157" s="2"/>
    </row>
    <row r="158" spans="1:11" x14ac:dyDescent="0.25">
      <c r="A158" s="15"/>
      <c r="B158" s="1"/>
      <c r="C158" s="1"/>
      <c r="D158" s="1"/>
      <c r="K158" s="2"/>
    </row>
    <row r="159" spans="1:11" x14ac:dyDescent="0.25">
      <c r="A159" s="15"/>
      <c r="B159" s="1"/>
      <c r="C159" s="1"/>
      <c r="D159" s="1"/>
      <c r="K159" s="2"/>
    </row>
    <row r="160" spans="1:11" x14ac:dyDescent="0.25">
      <c r="A160" s="15"/>
      <c r="B160" s="1"/>
      <c r="C160" s="1"/>
      <c r="D160" s="1"/>
      <c r="K160" s="2"/>
    </row>
    <row r="161" spans="1:11" x14ac:dyDescent="0.25">
      <c r="A161" s="15"/>
      <c r="B161" s="1"/>
      <c r="C161" s="1"/>
      <c r="D161" s="1"/>
      <c r="K161" s="2"/>
    </row>
    <row r="162" spans="1:11" x14ac:dyDescent="0.25">
      <c r="A162" s="15"/>
      <c r="B162" s="1"/>
      <c r="C162" s="1"/>
      <c r="D162" s="1"/>
      <c r="K162" s="2"/>
    </row>
    <row r="163" spans="1:11" x14ac:dyDescent="0.25">
      <c r="A163" s="15"/>
      <c r="B163" s="1"/>
      <c r="C163" s="1"/>
      <c r="D163" s="1"/>
      <c r="K163" s="2"/>
    </row>
    <row r="164" spans="1:11" x14ac:dyDescent="0.25">
      <c r="A164" s="15"/>
      <c r="B164" s="1"/>
      <c r="C164" s="1"/>
      <c r="D164" s="1"/>
      <c r="K164" s="2"/>
    </row>
    <row r="165" spans="1:11" x14ac:dyDescent="0.25">
      <c r="A165" s="15"/>
      <c r="B165" s="1"/>
      <c r="C165" s="1"/>
      <c r="D165" s="1"/>
      <c r="K165" s="2"/>
    </row>
    <row r="166" spans="1:11" x14ac:dyDescent="0.25">
      <c r="A166" s="15"/>
      <c r="B166" s="1"/>
      <c r="C166" s="1"/>
      <c r="D166" s="1"/>
      <c r="K166" s="2"/>
    </row>
    <row r="167" spans="1:11" x14ac:dyDescent="0.25">
      <c r="A167" s="15"/>
      <c r="B167" s="1"/>
      <c r="C167" s="1"/>
      <c r="D167" s="1"/>
      <c r="K167" s="2"/>
    </row>
    <row r="168" spans="1:11" x14ac:dyDescent="0.25">
      <c r="A168" s="15"/>
      <c r="B168" s="1"/>
      <c r="C168" s="1"/>
      <c r="D168" s="1"/>
      <c r="K168" s="2"/>
    </row>
    <row r="169" spans="1:11" x14ac:dyDescent="0.25">
      <c r="A169" s="15"/>
      <c r="B169" s="1"/>
      <c r="C169" s="1"/>
      <c r="D169" s="1"/>
      <c r="K169" s="2"/>
    </row>
    <row r="170" spans="1:11" x14ac:dyDescent="0.25">
      <c r="A170" s="15"/>
      <c r="B170" s="1"/>
      <c r="C170" s="1"/>
      <c r="D170" s="1"/>
      <c r="K170" s="2"/>
    </row>
    <row r="171" spans="1:11" x14ac:dyDescent="0.25">
      <c r="A171" s="15"/>
      <c r="B171" s="1"/>
      <c r="C171" s="1"/>
      <c r="D171" s="1"/>
      <c r="K171" s="2"/>
    </row>
    <row r="172" spans="1:11" x14ac:dyDescent="0.25">
      <c r="A172" s="15"/>
      <c r="B172" s="1"/>
      <c r="C172" s="1"/>
      <c r="D172" s="1"/>
      <c r="K172" s="2"/>
    </row>
    <row r="173" spans="1:11" x14ac:dyDescent="0.25">
      <c r="A173" s="15"/>
      <c r="B173" s="1"/>
      <c r="C173" s="1"/>
      <c r="D173" s="1"/>
      <c r="K173" s="2"/>
    </row>
    <row r="174" spans="1:11" x14ac:dyDescent="0.25">
      <c r="A174" s="15"/>
      <c r="B174" s="1"/>
      <c r="C174" s="1"/>
      <c r="D174" s="1"/>
      <c r="K174" s="2"/>
    </row>
    <row r="175" spans="1:11" x14ac:dyDescent="0.25">
      <c r="A175" s="15"/>
      <c r="B175" s="1"/>
      <c r="C175" s="1"/>
      <c r="D175" s="1"/>
      <c r="K175" s="2"/>
    </row>
    <row r="176" spans="1:11" x14ac:dyDescent="0.25">
      <c r="A176" s="15"/>
      <c r="B176" s="1"/>
      <c r="C176" s="1"/>
      <c r="D176" s="1"/>
      <c r="K176" s="2"/>
    </row>
    <row r="177" spans="1:11" x14ac:dyDescent="0.25">
      <c r="A177" s="15"/>
      <c r="B177" s="1"/>
      <c r="C177" s="1"/>
      <c r="D177" s="1"/>
      <c r="K177" s="2"/>
    </row>
    <row r="178" spans="1:11" x14ac:dyDescent="0.25">
      <c r="A178" s="15"/>
      <c r="B178" s="1"/>
      <c r="C178" s="1"/>
      <c r="D178" s="1"/>
      <c r="K178" s="2"/>
    </row>
    <row r="179" spans="1:11" x14ac:dyDescent="0.25">
      <c r="A179" s="15"/>
      <c r="B179" s="1"/>
      <c r="C179" s="1"/>
      <c r="D179" s="1"/>
      <c r="K179" s="2"/>
    </row>
    <row r="180" spans="1:11" x14ac:dyDescent="0.25">
      <c r="A180" s="15"/>
      <c r="B180" s="1"/>
      <c r="C180" s="1"/>
      <c r="D180" s="1"/>
      <c r="K180" s="2"/>
    </row>
    <row r="181" spans="1:11" x14ac:dyDescent="0.25">
      <c r="A181" s="15"/>
      <c r="B181" s="1"/>
      <c r="C181" s="1"/>
      <c r="D181" s="1"/>
      <c r="K181" s="2"/>
    </row>
    <row r="182" spans="1:11" x14ac:dyDescent="0.25">
      <c r="A182" s="15"/>
      <c r="B182" s="1"/>
      <c r="C182" s="1"/>
      <c r="D182" s="1"/>
      <c r="K182" s="2"/>
    </row>
    <row r="183" spans="1:11" x14ac:dyDescent="0.25">
      <c r="A183" s="15"/>
      <c r="B183" s="1"/>
      <c r="C183" s="1"/>
      <c r="D183" s="1"/>
      <c r="K183" s="2"/>
    </row>
    <row r="184" spans="1:11" x14ac:dyDescent="0.25">
      <c r="A184" s="15"/>
      <c r="B184" s="1"/>
      <c r="C184" s="1"/>
      <c r="D184" s="1"/>
      <c r="K184" s="2"/>
    </row>
    <row r="185" spans="1:11" x14ac:dyDescent="0.25">
      <c r="A185" s="15"/>
      <c r="B185" s="1"/>
      <c r="C185" s="1"/>
      <c r="D185" s="1"/>
      <c r="K185" s="2"/>
    </row>
    <row r="186" spans="1:11" x14ac:dyDescent="0.25">
      <c r="A186" s="15"/>
      <c r="B186" s="1"/>
      <c r="C186" s="1"/>
      <c r="D186" s="1"/>
      <c r="K186" s="2"/>
    </row>
    <row r="187" spans="1:11" x14ac:dyDescent="0.25">
      <c r="A187" s="15"/>
      <c r="B187" s="1"/>
      <c r="C187" s="1"/>
      <c r="D187" s="1"/>
      <c r="K187" s="2"/>
    </row>
    <row r="188" spans="1:11" x14ac:dyDescent="0.25">
      <c r="A188" s="15"/>
      <c r="B188" s="1"/>
      <c r="C188" s="1"/>
      <c r="D188" s="1"/>
      <c r="K188" s="2"/>
    </row>
    <row r="189" spans="1:11" x14ac:dyDescent="0.25">
      <c r="A189" s="15"/>
      <c r="B189" s="1"/>
      <c r="C189" s="1"/>
      <c r="D189" s="1"/>
      <c r="K189" s="2"/>
    </row>
    <row r="190" spans="1:11" x14ac:dyDescent="0.25">
      <c r="A190" s="15"/>
      <c r="B190" s="1"/>
      <c r="C190" s="1"/>
      <c r="D190" s="1"/>
      <c r="K190" s="2"/>
    </row>
    <row r="191" spans="1:11" x14ac:dyDescent="0.25">
      <c r="A191" s="15"/>
      <c r="B191" s="1"/>
      <c r="C191" s="1"/>
      <c r="D191" s="1"/>
      <c r="K191" s="2"/>
    </row>
    <row r="192" spans="1:11" x14ac:dyDescent="0.25">
      <c r="A192" s="15"/>
      <c r="B192" s="1"/>
      <c r="C192" s="1"/>
      <c r="D192" s="1"/>
      <c r="K192" s="2"/>
    </row>
    <row r="193" spans="1:11" x14ac:dyDescent="0.25">
      <c r="A193" s="15"/>
      <c r="B193" s="1"/>
      <c r="C193" s="1"/>
      <c r="D193" s="1"/>
      <c r="K193" s="2"/>
    </row>
    <row r="194" spans="1:11" x14ac:dyDescent="0.25">
      <c r="A194" s="15"/>
      <c r="B194" s="1"/>
      <c r="C194" s="1"/>
      <c r="D194" s="1"/>
      <c r="K194" s="2"/>
    </row>
    <row r="195" spans="1:11" x14ac:dyDescent="0.25">
      <c r="A195" s="15"/>
      <c r="B195" s="1"/>
      <c r="C195" s="1"/>
      <c r="D195" s="1"/>
      <c r="K195" s="2"/>
    </row>
    <row r="196" spans="1:11" x14ac:dyDescent="0.25">
      <c r="A196" s="15"/>
      <c r="B196" s="1"/>
      <c r="C196" s="1"/>
      <c r="D196" s="1"/>
      <c r="K196" s="2"/>
    </row>
    <row r="197" spans="1:11" x14ac:dyDescent="0.25">
      <c r="A197" s="15"/>
      <c r="B197" s="1"/>
      <c r="C197" s="1"/>
      <c r="D197" s="1"/>
      <c r="K197" s="2"/>
    </row>
    <row r="198" spans="1:11" x14ac:dyDescent="0.25">
      <c r="A198" s="15"/>
      <c r="B198" s="1"/>
      <c r="C198" s="1"/>
      <c r="D198" s="1"/>
      <c r="K198" s="2"/>
    </row>
    <row r="199" spans="1:11" x14ac:dyDescent="0.25">
      <c r="A199" s="15"/>
      <c r="B199" s="1"/>
      <c r="C199" s="1"/>
      <c r="D199" s="1"/>
      <c r="K199" s="2"/>
    </row>
    <row r="200" spans="1:11" x14ac:dyDescent="0.25">
      <c r="A200" s="15">
        <f ca="1">TODAY()</f>
        <v>46295</v>
      </c>
      <c r="B200" s="1"/>
      <c r="C200" s="1"/>
      <c r="D200" s="1"/>
      <c r="K200" s="3">
        <f>Overview!W3</f>
        <v>41.010000000000005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520F-2021-4DE6-8226-384BA1D3208F}">
  <dimension ref="A1:Z53"/>
  <sheetViews>
    <sheetView topLeftCell="B1" workbookViewId="0">
      <selection activeCell="B23" sqref="B2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21446331</v>
      </c>
      <c r="D1" s="35" t="s">
        <v>2</v>
      </c>
      <c r="E1" s="36"/>
      <c r="F1" s="37"/>
      <c r="G1" s="35" t="s">
        <v>0</v>
      </c>
      <c r="H1" s="36"/>
      <c r="I1" s="37"/>
      <c r="J1" s="16"/>
      <c r="K1" s="35" t="s">
        <v>28</v>
      </c>
      <c r="L1" s="36"/>
      <c r="M1" s="36"/>
      <c r="N1" s="36"/>
      <c r="O1" s="36"/>
      <c r="P1" s="36"/>
      <c r="Q1" s="37"/>
      <c r="X1" s="35"/>
      <c r="Y1" s="36"/>
      <c r="Z1" s="37"/>
    </row>
    <row r="2" spans="1:26" x14ac:dyDescent="0.25">
      <c r="A2" s="5" t="s">
        <v>16</v>
      </c>
      <c r="B2" s="6" t="s">
        <v>46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45</v>
      </c>
      <c r="D3" s="11"/>
      <c r="E3" s="6"/>
      <c r="F3" s="19" t="str">
        <f>IF(E3&gt;0,E3-D3,"")</f>
        <v/>
      </c>
      <c r="G3" s="3"/>
      <c r="H3" s="3"/>
      <c r="I3" s="3"/>
      <c r="J3" s="14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46288</v>
      </c>
      <c r="Y3" s="3">
        <f>B16*-1</f>
        <v>-10.46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44</v>
      </c>
      <c r="D4" s="11"/>
      <c r="E4" s="6"/>
      <c r="F4" s="19" t="str">
        <f>IF(E4&gt;0,E4-D4,"")</f>
        <v/>
      </c>
      <c r="G4" s="2"/>
      <c r="H4" s="2"/>
      <c r="I4" s="3"/>
      <c r="J4" s="10"/>
      <c r="X4" s="6">
        <f>E3</f>
        <v>0</v>
      </c>
      <c r="Y4" s="3">
        <f>G3+H3-I3</f>
        <v>0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2 m. 6 mėn. 3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46288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46276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47203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>
        <f ca="1">IF(B16&lt;&gt;K3,(TODAY()-B11)*-1,"")</f>
        <v>908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</v>
      </c>
      <c r="B16" s="3">
        <v>10.46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7" priority="1">
      <formula>$Z$3="+"</formula>
    </cfRule>
    <cfRule type="expression" dxfId="26" priority="2">
      <formula>$B$16=$K$3</formula>
    </cfRule>
  </conditionalFormatting>
  <conditionalFormatting sqref="P3">
    <cfRule type="expression" dxfId="25" priority="3">
      <formula>$Z$3="+"</formula>
    </cfRule>
  </conditionalFormatting>
  <conditionalFormatting sqref="Z3">
    <cfRule type="expression" dxfId="24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30BA-26D9-4C58-BFC7-C2C1E3ED3BC4}">
  <dimension ref="A1:Z53"/>
  <sheetViews>
    <sheetView workbookViewId="0">
      <selection activeCell="I6" sqref="I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21231923</v>
      </c>
      <c r="D1" s="35" t="s">
        <v>2</v>
      </c>
      <c r="E1" s="36"/>
      <c r="F1" s="37"/>
      <c r="G1" s="35" t="s">
        <v>0</v>
      </c>
      <c r="H1" s="36"/>
      <c r="I1" s="37"/>
      <c r="J1" s="16"/>
      <c r="K1" s="35" t="s">
        <v>28</v>
      </c>
      <c r="L1" s="36"/>
      <c r="M1" s="36"/>
      <c r="N1" s="36"/>
      <c r="O1" s="36"/>
      <c r="P1" s="36"/>
      <c r="Q1" s="37"/>
      <c r="X1" s="35"/>
      <c r="Y1" s="36"/>
      <c r="Z1" s="37"/>
    </row>
    <row r="2" spans="1:26" x14ac:dyDescent="0.25">
      <c r="A2" s="5" t="s">
        <v>16</v>
      </c>
      <c r="B2" s="6" t="s">
        <v>53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52</v>
      </c>
      <c r="D3" s="11">
        <v>46285</v>
      </c>
      <c r="E3" s="6">
        <v>46290</v>
      </c>
      <c r="F3" s="19">
        <f>IF(E3&gt;0,E3-D3,"")</f>
        <v>5</v>
      </c>
      <c r="G3" s="3">
        <v>0.02</v>
      </c>
      <c r="H3" s="3">
        <v>0.08</v>
      </c>
      <c r="I3" s="3">
        <v>0</v>
      </c>
      <c r="J3" s="14"/>
      <c r="K3" s="3">
        <f>G53</f>
        <v>0.02</v>
      </c>
      <c r="L3" s="3">
        <f>H53</f>
        <v>0.08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46268</v>
      </c>
      <c r="Y3" s="3">
        <f>B16*-1</f>
        <v>-10.49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44</v>
      </c>
      <c r="D4" s="11"/>
      <c r="E4" s="6"/>
      <c r="F4" s="19" t="str">
        <f>IF(E4&gt;0,E4-D4,"")</f>
        <v/>
      </c>
      <c r="G4" s="3"/>
      <c r="H4" s="3"/>
      <c r="I4" s="3"/>
      <c r="J4" s="10"/>
      <c r="X4" s="6">
        <f>E3</f>
        <v>46290</v>
      </c>
      <c r="Y4" s="3">
        <f>G3+H3-I3</f>
        <v>0.1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10 mėn. 17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46268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46268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46588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>
        <f ca="1">IF(B16&lt;&gt;K3,(TODAY()-B11)*-1,"")</f>
        <v>293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36</v>
      </c>
      <c r="B16" s="3">
        <v>10.49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0.02</v>
      </c>
      <c r="H53" s="3">
        <f t="shared" ref="H53:I53" si="3">SUM(H3:H52)</f>
        <v>0.08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3">
      <formula>$Z$3="+"</formula>
    </cfRule>
  </conditionalFormatting>
  <conditionalFormatting sqref="Z3">
    <cfRule type="expression" dxfId="2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240A-D2CB-4B35-B05E-E153427746CC}"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20718136</v>
      </c>
      <c r="D1" s="35" t="s">
        <v>2</v>
      </c>
      <c r="E1" s="36"/>
      <c r="F1" s="37"/>
      <c r="G1" s="35" t="s">
        <v>0</v>
      </c>
      <c r="H1" s="36"/>
      <c r="I1" s="37"/>
      <c r="J1" s="16"/>
      <c r="K1" s="35" t="s">
        <v>28</v>
      </c>
      <c r="L1" s="36"/>
      <c r="M1" s="36"/>
      <c r="N1" s="36"/>
      <c r="O1" s="36"/>
      <c r="P1" s="36"/>
      <c r="Q1" s="37"/>
      <c r="X1" s="35"/>
      <c r="Y1" s="36"/>
      <c r="Z1" s="37"/>
    </row>
    <row r="2" spans="1:26" x14ac:dyDescent="0.25">
      <c r="A2" s="5" t="s">
        <v>16</v>
      </c>
      <c r="B2" s="6" t="s">
        <v>49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50</v>
      </c>
      <c r="D3" s="34">
        <v>46266</v>
      </c>
      <c r="E3" s="6">
        <v>46266</v>
      </c>
      <c r="F3" s="19">
        <f>IF(E3&gt;0,E3-D3,"")</f>
        <v>0</v>
      </c>
      <c r="G3" s="3">
        <v>0.43</v>
      </c>
      <c r="H3" s="3">
        <v>0.03</v>
      </c>
      <c r="I3" s="3">
        <v>0</v>
      </c>
      <c r="J3" s="14"/>
      <c r="K3" s="3">
        <f>G53</f>
        <v>0.43</v>
      </c>
      <c r="L3" s="3">
        <f>H53</f>
        <v>0.12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46259</v>
      </c>
      <c r="Y3" s="3">
        <f>B16*-1</f>
        <v>-13.01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44</v>
      </c>
      <c r="D4" s="11">
        <v>46283</v>
      </c>
      <c r="E4" s="6">
        <v>46287</v>
      </c>
      <c r="F4" s="19">
        <f>IF(E4&gt;0,E4-D4,"")</f>
        <v>4</v>
      </c>
      <c r="G4" s="3">
        <v>0</v>
      </c>
      <c r="H4" s="3">
        <v>0.09</v>
      </c>
      <c r="I4" s="3">
        <v>0</v>
      </c>
      <c r="J4" s="10"/>
      <c r="X4" s="6">
        <f>E3</f>
        <v>46266</v>
      </c>
      <c r="Y4" s="3">
        <f>G3+H3-I3</f>
        <v>0.45999999999999996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46287</v>
      </c>
      <c r="Y5" s="3">
        <f t="shared" ref="Y5:Y52" si="2">G4+H4-I4</f>
        <v>0.09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1 m. 8 mėn. 23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46259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46245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46891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>
        <f ca="1">IF(B16&lt;&gt;K3,(TODAY()-B11)*-1,"")</f>
        <v>596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0.125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36</v>
      </c>
      <c r="B16" s="3">
        <v>13.01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0.43</v>
      </c>
      <c r="H53" s="3">
        <f t="shared" ref="H53:I53" si="3">SUM(H3:H52)</f>
        <v>0.12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3">
      <formula>$Z$3="+"</formula>
    </cfRule>
  </conditionalFormatting>
  <conditionalFormatting sqref="Z3">
    <cfRule type="expression" dxfId="16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0215-1164-40DC-BC11-43B63E1EA40B}">
  <sheetPr>
    <tabColor rgb="FF92D050"/>
  </sheetPr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20439014</v>
      </c>
      <c r="D1" s="35" t="s">
        <v>2</v>
      </c>
      <c r="E1" s="36"/>
      <c r="F1" s="37"/>
      <c r="G1" s="35" t="s">
        <v>0</v>
      </c>
      <c r="H1" s="36"/>
      <c r="I1" s="37"/>
      <c r="J1" s="16"/>
      <c r="K1" s="35" t="s">
        <v>28</v>
      </c>
      <c r="L1" s="36"/>
      <c r="M1" s="36"/>
      <c r="N1" s="36"/>
      <c r="O1" s="36"/>
      <c r="P1" s="36"/>
      <c r="Q1" s="37"/>
      <c r="X1" s="35"/>
      <c r="Y1" s="36"/>
      <c r="Z1" s="37"/>
    </row>
    <row r="2" spans="1:26" x14ac:dyDescent="0.25">
      <c r="A2" s="5" t="s">
        <v>16</v>
      </c>
      <c r="B2" s="6" t="s">
        <v>49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50</v>
      </c>
      <c r="D3" s="11">
        <v>46259</v>
      </c>
      <c r="E3" s="6">
        <v>46259</v>
      </c>
      <c r="F3" s="19">
        <f>IF(E3&gt;0,E3-D3,"")</f>
        <v>0</v>
      </c>
      <c r="G3" s="3">
        <v>11.26</v>
      </c>
      <c r="H3" s="3">
        <v>0.12</v>
      </c>
      <c r="I3" s="3">
        <v>0</v>
      </c>
      <c r="J3" s="14"/>
      <c r="K3" s="3">
        <f>G53</f>
        <v>11.29</v>
      </c>
      <c r="L3" s="3">
        <f>H53</f>
        <v>0.12</v>
      </c>
      <c r="M3" s="3">
        <f>I53</f>
        <v>0</v>
      </c>
      <c r="N3" s="7">
        <f>IF(B16=K3,XIRR(Y3:Y52,X3:X52),"")</f>
        <v>0.14231763482093815</v>
      </c>
      <c r="O3" s="6">
        <f>IF(B16=K3,MAX(E:E),"")</f>
        <v>46260</v>
      </c>
      <c r="P3" s="2" t="str">
        <f ca="1">IF(Z3="+",TODAY()-B11,"")</f>
        <v/>
      </c>
      <c r="Q3" s="2">
        <f>IF(B16=K3,MAX(E:E)-B11,"")</f>
        <v>-152</v>
      </c>
      <c r="T3" s="13"/>
      <c r="X3" s="6">
        <f>B9</f>
        <v>46230</v>
      </c>
      <c r="Y3" s="3">
        <f>B16*-1</f>
        <v>-11.29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51</v>
      </c>
      <c r="D4" s="11">
        <v>46262</v>
      </c>
      <c r="E4" s="6">
        <v>46260</v>
      </c>
      <c r="F4" s="19">
        <f>IF(E4&gt;0,E4-D4,"")</f>
        <v>-2</v>
      </c>
      <c r="G4" s="3">
        <v>0.03</v>
      </c>
      <c r="H4" s="3">
        <v>0</v>
      </c>
      <c r="I4" s="3">
        <v>0</v>
      </c>
      <c r="J4" s="10"/>
      <c r="X4" s="6">
        <f>E3</f>
        <v>46259</v>
      </c>
      <c r="Y4" s="3">
        <f>G3+H3-I3</f>
        <v>11.379999999999999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46260</v>
      </c>
      <c r="Y5" s="3">
        <f t="shared" ref="Y5:Y52" si="2">G4+H4-I4</f>
        <v>0.03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5 mėn. 29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46230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46230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46412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36</v>
      </c>
      <c r="B16" s="3">
        <v>11.29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11.29</v>
      </c>
      <c r="H53" s="3">
        <f t="shared" ref="H53:I53" si="3">SUM(H3:H52)</f>
        <v>0.12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3">
      <formula>$Z$3="+"</formula>
    </cfRule>
  </conditionalFormatting>
  <conditionalFormatting sqref="Z3">
    <cfRule type="expression" dxfId="1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6905-B053-4343-BBAF-C90C4E40B612}">
  <sheetPr>
    <tabColor rgb="FF92D050"/>
  </sheetPr>
  <dimension ref="A1:Z53"/>
  <sheetViews>
    <sheetView workbookViewId="0">
      <selection activeCell="H4" sqref="H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20305579</v>
      </c>
      <c r="D1" s="35" t="s">
        <v>2</v>
      </c>
      <c r="E1" s="36"/>
      <c r="F1" s="37"/>
      <c r="G1" s="35" t="s">
        <v>0</v>
      </c>
      <c r="H1" s="36"/>
      <c r="I1" s="37"/>
      <c r="J1" s="16"/>
      <c r="K1" s="35" t="s">
        <v>28</v>
      </c>
      <c r="L1" s="36"/>
      <c r="M1" s="36"/>
      <c r="N1" s="36"/>
      <c r="O1" s="36"/>
      <c r="P1" s="36"/>
      <c r="Q1" s="37"/>
      <c r="X1" s="35"/>
      <c r="Y1" s="36"/>
      <c r="Z1" s="37"/>
    </row>
    <row r="2" spans="1:26" x14ac:dyDescent="0.25">
      <c r="A2" s="5" t="s">
        <v>16</v>
      </c>
      <c r="B2" s="6" t="s">
        <v>42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43</v>
      </c>
      <c r="D3" s="11">
        <v>46299</v>
      </c>
      <c r="E3" s="6">
        <v>46287</v>
      </c>
      <c r="F3" s="19">
        <f>IF(E3&gt;0,E3-D3,"")</f>
        <v>-12</v>
      </c>
      <c r="G3" s="3">
        <v>10.029999999999999</v>
      </c>
      <c r="H3" s="3">
        <v>0.26</v>
      </c>
      <c r="I3" s="3">
        <v>0</v>
      </c>
      <c r="J3" s="14"/>
      <c r="K3" s="3">
        <f>G53</f>
        <v>10.029999999999999</v>
      </c>
      <c r="L3" s="3">
        <f>H53</f>
        <v>0.26</v>
      </c>
      <c r="M3" s="3">
        <f>I53</f>
        <v>0</v>
      </c>
      <c r="N3" s="7">
        <f>IF(B16=K3,XIRR(Y3:Y52,X3:X52),"")</f>
        <v>0.15982694029808045</v>
      </c>
      <c r="O3" s="6">
        <f>IF(B16=K3,MAX(E:E),"")</f>
        <v>46287</v>
      </c>
      <c r="P3" s="2" t="str">
        <f ca="1">IF(Z3="+",TODAY()-B11,"")</f>
        <v/>
      </c>
      <c r="Q3" s="2">
        <f>IF(B16=K3,MAX(E:E)-B11,"")</f>
        <v>-12</v>
      </c>
      <c r="T3" s="13"/>
      <c r="X3" s="6">
        <f>B9</f>
        <v>46224</v>
      </c>
      <c r="Y3" s="3">
        <f>B16*-1</f>
        <v>-10.029999999999999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44</v>
      </c>
      <c r="D4" s="11"/>
      <c r="E4" s="6"/>
      <c r="F4" s="19" t="str">
        <f>IF(E4&gt;0,E4-D4,"")</f>
        <v/>
      </c>
      <c r="G4" s="28"/>
      <c r="H4" s="2"/>
      <c r="I4" s="2"/>
      <c r="J4" s="10"/>
      <c r="X4" s="6">
        <f>E3</f>
        <v>46287</v>
      </c>
      <c r="Y4" s="3">
        <f>G3+H3-I3</f>
        <v>10.29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2 mėn. 13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46224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46220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46299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0.15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36</v>
      </c>
      <c r="B16" s="3">
        <v>10.029999999999999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10.029999999999999</v>
      </c>
      <c r="H53" s="3">
        <f t="shared" ref="H53:I53" si="3">SUM(H3:H52)</f>
        <v>0.26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3">
      <formula>$Z$3="+"</formula>
    </cfRule>
  </conditionalFormatting>
  <conditionalFormatting sqref="Z3">
    <cfRule type="expression" dxfId="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60DD-D268-4B5D-B986-F933A571227C}">
  <dimension ref="A1:Z53"/>
  <sheetViews>
    <sheetView workbookViewId="0">
      <selection activeCell="I6" sqref="I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19883321</v>
      </c>
      <c r="D1" s="35" t="s">
        <v>2</v>
      </c>
      <c r="E1" s="36"/>
      <c r="F1" s="37"/>
      <c r="G1" s="35" t="s">
        <v>0</v>
      </c>
      <c r="H1" s="36"/>
      <c r="I1" s="37"/>
      <c r="J1" s="16"/>
      <c r="K1" s="35" t="s">
        <v>28</v>
      </c>
      <c r="L1" s="36"/>
      <c r="M1" s="36"/>
      <c r="N1" s="36"/>
      <c r="O1" s="36"/>
      <c r="P1" s="36"/>
      <c r="Q1" s="37"/>
      <c r="X1" s="35"/>
      <c r="Y1" s="36"/>
      <c r="Z1" s="37"/>
    </row>
    <row r="2" spans="1:26" x14ac:dyDescent="0.25">
      <c r="A2" s="5" t="s">
        <v>16</v>
      </c>
      <c r="B2" s="6" t="s">
        <v>46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45</v>
      </c>
      <c r="D3" s="11">
        <v>46220</v>
      </c>
      <c r="E3" s="6">
        <v>46226</v>
      </c>
      <c r="F3" s="19">
        <f>IF(E3&gt;0,E3-D3,"")</f>
        <v>6</v>
      </c>
      <c r="G3" s="3">
        <v>1.27</v>
      </c>
      <c r="H3" s="3">
        <v>0.02</v>
      </c>
      <c r="I3" s="3">
        <v>0</v>
      </c>
      <c r="J3" s="14"/>
      <c r="K3" s="3">
        <f>G53</f>
        <v>2.6</v>
      </c>
      <c r="L3" s="3">
        <f>H53</f>
        <v>0.16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46217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47</v>
      </c>
      <c r="D4" s="11">
        <v>46251</v>
      </c>
      <c r="E4" s="6">
        <v>46258</v>
      </c>
      <c r="F4" s="19">
        <f>IF(E4&gt;0,E4-D4,"")</f>
        <v>7</v>
      </c>
      <c r="G4" s="2">
        <v>1.31</v>
      </c>
      <c r="H4" s="2">
        <v>0.08</v>
      </c>
      <c r="I4" s="3">
        <v>0</v>
      </c>
      <c r="J4" s="10"/>
      <c r="X4" s="6">
        <f>E3</f>
        <v>46226</v>
      </c>
      <c r="Y4" s="3">
        <f>G3+H3-I3</f>
        <v>1.29</v>
      </c>
    </row>
    <row r="5" spans="1:26" x14ac:dyDescent="0.25">
      <c r="A5" s="5"/>
      <c r="B5" s="6"/>
      <c r="D5" s="11">
        <v>46282</v>
      </c>
      <c r="E5" s="6">
        <v>46286</v>
      </c>
      <c r="F5" s="19">
        <f t="shared" ref="F5:F52" si="0">IF(E5&gt;0,E5-D5,"")</f>
        <v>4</v>
      </c>
      <c r="G5" s="3">
        <v>0.02</v>
      </c>
      <c r="H5" s="3">
        <v>0.06</v>
      </c>
      <c r="I5" s="3">
        <v>0</v>
      </c>
      <c r="J5" s="10"/>
      <c r="X5" s="6">
        <f t="shared" ref="X5:X52" si="1">E4</f>
        <v>46258</v>
      </c>
      <c r="Y5" s="3">
        <f t="shared" ref="Y5:Y52" si="2">G4+H4-I4</f>
        <v>1.3900000000000001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46286</v>
      </c>
      <c r="Y6" s="3">
        <f t="shared" si="2"/>
        <v>0.08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3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46217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46195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46404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>
        <f ca="1">IF(B16&lt;&gt;K3,(TODAY()-B11)*-1,"")</f>
        <v>109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2.6</v>
      </c>
      <c r="H53" s="3">
        <f t="shared" ref="H53:I53" si="3">SUM(H3:H52)</f>
        <v>0.16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7">
      <formula>$Z$3="+"</formula>
    </cfRule>
  </conditionalFormatting>
  <conditionalFormatting sqref="Z3">
    <cfRule type="expression" dxfId="4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20191904</v>
      </c>
      <c r="D1" s="35" t="s">
        <v>2</v>
      </c>
      <c r="E1" s="36"/>
      <c r="F1" s="37"/>
      <c r="G1" s="35" t="s">
        <v>0</v>
      </c>
      <c r="H1" s="36"/>
      <c r="I1" s="37"/>
      <c r="J1" s="16"/>
      <c r="K1" s="35" t="s">
        <v>28</v>
      </c>
      <c r="L1" s="36"/>
      <c r="M1" s="36"/>
      <c r="N1" s="36"/>
      <c r="O1" s="36"/>
      <c r="P1" s="36"/>
      <c r="Q1" s="37"/>
      <c r="X1" s="35"/>
      <c r="Y1" s="36"/>
      <c r="Z1" s="37"/>
    </row>
    <row r="2" spans="1:26" x14ac:dyDescent="0.25">
      <c r="A2" s="5" t="s">
        <v>16</v>
      </c>
      <c r="B2" s="6" t="s">
        <v>42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43</v>
      </c>
      <c r="D3" s="11">
        <v>46296</v>
      </c>
      <c r="E3" s="6">
        <v>46224</v>
      </c>
      <c r="F3" s="19">
        <f>IF(E3&gt;0,E3-D3,"")</f>
        <v>-72</v>
      </c>
      <c r="G3" s="3">
        <v>10</v>
      </c>
      <c r="H3" s="3">
        <v>0.03</v>
      </c>
      <c r="I3" s="3">
        <v>0</v>
      </c>
      <c r="J3" s="14"/>
      <c r="K3" s="3">
        <f>G53</f>
        <v>10</v>
      </c>
      <c r="L3" s="3">
        <f>H53</f>
        <v>0.03</v>
      </c>
      <c r="M3" s="3">
        <f>I53</f>
        <v>0</v>
      </c>
      <c r="N3" s="7">
        <f>IF(B16=K3,XIRR(Y3:Y52,X3:X52),"")</f>
        <v>0.16905344128608707</v>
      </c>
      <c r="O3" s="6">
        <f>IF(B16=K3,MAX(E:E),"")</f>
        <v>46224</v>
      </c>
      <c r="P3" s="2" t="str">
        <f ca="1">IF(Z3="+",TODAY()-B11,"")</f>
        <v/>
      </c>
      <c r="Q3" s="2">
        <f>IF(B16=K3,MAX(E:E)-B11,"")</f>
        <v>-72</v>
      </c>
      <c r="T3" s="13"/>
      <c r="X3" s="6">
        <f>B9</f>
        <v>46217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44</v>
      </c>
      <c r="D4" s="11"/>
      <c r="E4" s="6"/>
      <c r="F4" s="19" t="str">
        <f>IF(E4&gt;0,E4-D4,"")</f>
        <v/>
      </c>
      <c r="G4" s="28"/>
      <c r="H4" s="2"/>
      <c r="I4" s="2"/>
      <c r="J4" s="10"/>
      <c r="X4" s="6">
        <f>E3</f>
        <v>46224</v>
      </c>
      <c r="Y4" s="3">
        <f>G3+H3-I3</f>
        <v>10.029999999999999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2 mėn. 17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46217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46213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46296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0.15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36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10</v>
      </c>
      <c r="H53" s="3">
        <f t="shared" ref="H53:I53" si="3">SUM(H3:H52)</f>
        <v>0.03</v>
      </c>
      <c r="I53" s="3">
        <f t="shared" si="3"/>
        <v>0</v>
      </c>
    </row>
  </sheetData>
  <mergeCells count="4">
    <mergeCell ref="K1:Q1"/>
    <mergeCell ref="D1:F1"/>
    <mergeCell ref="G1:I1"/>
    <mergeCell ref="X1:Z1"/>
  </mergeCells>
  <conditionalFormatting sqref="A1:B1">
    <cfRule type="expression" dxfId="3" priority="1">
      <formula>$Z$3="+"</formula>
    </cfRule>
    <cfRule type="expression" dxfId="2" priority="2">
      <formula>$B$16=$K$3</formula>
    </cfRule>
  </conditionalFormatting>
  <conditionalFormatting sqref="P3">
    <cfRule type="expression" dxfId="1" priority="5">
      <formula>$Z$3="+"</formula>
    </cfRule>
  </conditionalFormatting>
  <conditionalFormatting sqref="Z3">
    <cfRule type="expression" dxfId="0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Pinigai</vt:lpstr>
      <vt:lpstr>21446331</vt:lpstr>
      <vt:lpstr>21231923</vt:lpstr>
      <vt:lpstr>20718136</vt:lpstr>
      <vt:lpstr>20439014</vt:lpstr>
      <vt:lpstr>20305579</vt:lpstr>
      <vt:lpstr>19883321</vt:lpstr>
      <vt:lpstr>20191904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cp:lastPrinted>2025-11-12T09:16:41Z</cp:lastPrinted>
  <dcterms:created xsi:type="dcterms:W3CDTF">2025-05-22T07:09:11Z</dcterms:created>
  <dcterms:modified xsi:type="dcterms:W3CDTF">2026-09-30T17:26:13Z</dcterms:modified>
</cp:coreProperties>
</file>