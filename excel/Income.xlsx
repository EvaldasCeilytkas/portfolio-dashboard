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Income\"/>
    </mc:Choice>
  </mc:AlternateContent>
  <xr:revisionPtr revIDLastSave="0" documentId="13_ncr:1_{9D4FFF34-BE26-4879-B255-BD206DF25C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20439014" sheetId="26" r:id="rId3"/>
    <sheet name="20305579" sheetId="25" r:id="rId4"/>
    <sheet name="19883321" sheetId="24" r:id="rId5"/>
    <sheet name="20191904" sheetId="1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N6" i="1"/>
  <c r="M6" i="1"/>
  <c r="J6" i="1"/>
  <c r="I6" i="1"/>
  <c r="H6" i="1"/>
  <c r="G6" i="1"/>
  <c r="F6" i="1"/>
  <c r="E6" i="1"/>
  <c r="D6" i="1"/>
  <c r="C6" i="1"/>
  <c r="B6" i="1"/>
  <c r="I53" i="26"/>
  <c r="H53" i="26"/>
  <c r="G53" i="26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Q3" i="26"/>
  <c r="N3" i="26"/>
  <c r="M3" i="26"/>
  <c r="L3" i="26"/>
  <c r="K3" i="26"/>
  <c r="Z3" i="26" s="1"/>
  <c r="P3" i="26" s="1"/>
  <c r="L6" i="1" s="1"/>
  <c r="F3" i="26"/>
  <c r="B12" i="26" l="1"/>
  <c r="K6" i="1" s="1"/>
  <c r="O3" i="26"/>
  <c r="AA3" i="1"/>
  <c r="V3" i="1" s="1"/>
  <c r="U3" i="1"/>
  <c r="R3" i="1" s="1"/>
  <c r="L3" i="14"/>
  <c r="L3" i="24"/>
  <c r="L3" i="25"/>
  <c r="O3" i="1"/>
  <c r="O4" i="1"/>
  <c r="O5" i="1"/>
  <c r="N5" i="1"/>
  <c r="M5" i="1"/>
  <c r="J5" i="1"/>
  <c r="I5" i="1"/>
  <c r="H5" i="1"/>
  <c r="G5" i="1"/>
  <c r="F5" i="1"/>
  <c r="E5" i="1"/>
  <c r="D5" i="1"/>
  <c r="C5" i="1"/>
  <c r="B5" i="1"/>
  <c r="I53" i="25"/>
  <c r="H53" i="25"/>
  <c r="G53" i="25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N3" i="25" s="1"/>
  <c r="F5" i="25"/>
  <c r="Y4" i="25"/>
  <c r="X4" i="25"/>
  <c r="F4" i="25"/>
  <c r="Z3" i="25"/>
  <c r="P3" i="25" s="1"/>
  <c r="L5" i="1" s="1"/>
  <c r="Y3" i="25"/>
  <c r="X3" i="25"/>
  <c r="Q3" i="25"/>
  <c r="M3" i="25"/>
  <c r="K3" i="25"/>
  <c r="O3" i="25" s="1"/>
  <c r="F3" i="25"/>
  <c r="G4" i="1"/>
  <c r="G3" i="1"/>
  <c r="A200" i="15"/>
  <c r="K2" i="15"/>
  <c r="F4" i="14"/>
  <c r="AC5" i="1" l="1"/>
  <c r="B12" i="25"/>
  <c r="I4" i="1"/>
  <c r="H4" i="1"/>
  <c r="C4" i="1"/>
  <c r="B4" i="1"/>
  <c r="K5" i="1" l="1"/>
  <c r="I3" i="1"/>
  <c r="H3" i="1"/>
  <c r="B3" i="1"/>
  <c r="I53" i="24"/>
  <c r="M3" i="24" s="1"/>
  <c r="H53" i="24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F3" i="1" s="1"/>
  <c r="M3" i="1" l="1"/>
  <c r="Q3" i="24"/>
  <c r="N3" i="24"/>
  <c r="O3" i="24"/>
  <c r="J4" i="1" s="1"/>
  <c r="N4" i="1"/>
  <c r="Z3" i="24"/>
  <c r="B12" i="24"/>
  <c r="N3" i="14"/>
  <c r="O3" i="14"/>
  <c r="J3" i="1" s="1"/>
  <c r="N3" i="1"/>
  <c r="Z3" i="14"/>
  <c r="K4" i="1" l="1"/>
  <c r="P3" i="24"/>
  <c r="L4" i="1" s="1"/>
  <c r="AC4" i="1"/>
  <c r="P3" i="14"/>
  <c r="L3" i="1" s="1"/>
  <c r="AC3" i="1"/>
  <c r="E4" i="1"/>
  <c r="D4" i="1"/>
  <c r="B12" i="14" l="1"/>
  <c r="K3" i="1" s="1"/>
  <c r="H2" i="15"/>
  <c r="S3" i="1" s="1"/>
  <c r="E3" i="1" l="1"/>
  <c r="D3" i="1" l="1"/>
  <c r="C3" i="1"/>
  <c r="G2" i="15" l="1"/>
  <c r="F2" i="15"/>
  <c r="I2" i="15" l="1"/>
  <c r="Q3" i="1" s="1"/>
  <c r="W3" i="1" s="1"/>
  <c r="K200" i="15" l="1"/>
  <c r="X3" i="1"/>
  <c r="Y3" i="1"/>
  <c r="T3" i="1"/>
  <c r="Z3" i="1"/>
</calcChain>
</file>

<file path=xl/sharedStrings.xml><?xml version="1.0" encoding="utf-8"?>
<sst xmlns="http://schemas.openxmlformats.org/spreadsheetml/2006/main" count="179" uniqueCount="52">
  <si>
    <t>Paskola</t>
  </si>
  <si>
    <t>Palūkanos</t>
  </si>
  <si>
    <t>Data</t>
  </si>
  <si>
    <t>Investuota viso</t>
  </si>
  <si>
    <t>Pavadinimas</t>
  </si>
  <si>
    <t>Premijos</t>
  </si>
  <si>
    <t>Vertė</t>
  </si>
  <si>
    <t>%</t>
  </si>
  <si>
    <t>Gryni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</si>
  <si>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</si>
  <si>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</si>
  <si>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</si>
  <si>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</si>
  <si>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</si>
  <si>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</si>
  <si>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</si>
  <si>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</si>
  <si>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</si>
  <si>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</si>
  <si>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</si>
  <si>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</si>
  <si>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</si>
  <si>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</si>
  <si>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</si>
  <si>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</si>
  <si>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</si>
  <si>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</si>
  <si>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</si>
  <si>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</si>
  <si>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</si>
  <si>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</si>
  <si>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</si>
  <si>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</si>
  <si>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</si>
  <si>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</si>
  <si>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Liko, dienos</t>
  </si>
  <si>
    <t>Investuota, Eur</t>
  </si>
  <si>
    <t>Vėluoja</t>
  </si>
  <si>
    <t>Vėl./Anks.</t>
  </si>
  <si>
    <t>Inv. data</t>
  </si>
  <si>
    <t>Liko</t>
  </si>
  <si>
    <t>Eur.</t>
  </si>
  <si>
    <t>Indonesia</t>
  </si>
  <si>
    <t>Pinjam Yuk</t>
  </si>
  <si>
    <t>Installment loan</t>
  </si>
  <si>
    <t>Hoovi</t>
  </si>
  <si>
    <t>Estonia</t>
  </si>
  <si>
    <t>Business loan</t>
  </si>
  <si>
    <t xml:space="preserve">Premijos </t>
  </si>
  <si>
    <t>Bulgaria</t>
  </si>
  <si>
    <t>ITF Group JSC</t>
  </si>
  <si>
    <t>Consumer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</si>
</sst>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yyyy/mm/dd;@"/>
    <numFmt numFmtId="166" formatCode="0.0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A594872-CFA4-4CC8-BB8F-8820C5E3D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F25987-678F-4E62-870E-AEDD141B7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O7" sqref="O7"/>
    </sheetView>
  </sheetViews>
  <sheetFormatPr defaultRowHeight="15" x14ac:dyDescent="0.25"/>
  <cols>
    <col min="1" max="1" width="4.7109375" customWidth="1"/>
    <col min="2" max="2" width="12.7109375" customWidth="1"/>
    <col min="3" max="3" width="15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9" t="s">
        <v>0</v>
      </c>
      <c r="B1" s="39"/>
      <c r="C1" s="39"/>
      <c r="D1" s="39"/>
      <c r="E1" s="39"/>
      <c r="F1" s="39"/>
      <c r="G1" s="39"/>
      <c r="H1" s="40"/>
      <c r="I1" s="41" t="s">
        <v>31</v>
      </c>
      <c r="J1" s="42"/>
      <c r="K1" s="42"/>
      <c r="L1" s="43"/>
      <c r="M1" s="44" t="s">
        <v>24</v>
      </c>
      <c r="N1" s="44"/>
      <c r="O1" s="44"/>
      <c r="Q1" s="45" t="s">
        <v>23</v>
      </c>
      <c r="R1" s="46"/>
      <c r="S1" s="46"/>
      <c r="T1" s="47"/>
      <c r="U1" s="45" t="s">
        <v>24</v>
      </c>
      <c r="V1" s="47"/>
      <c r="W1" s="41" t="s">
        <v>6</v>
      </c>
      <c r="X1" s="42"/>
      <c r="Y1" s="42"/>
      <c r="Z1" s="43"/>
      <c r="AA1" s="4" t="s">
        <v>26</v>
      </c>
    </row>
    <row r="2" spans="1:29" x14ac:dyDescent="0.25">
      <c r="A2" s="16" t="s">
        <v>34</v>
      </c>
      <c r="B2" s="24" t="s">
        <v>39</v>
      </c>
      <c r="C2" s="4" t="s">
        <v>4</v>
      </c>
      <c r="D2" s="4" t="s">
        <v>16</v>
      </c>
      <c r="E2" s="4" t="s">
        <v>22</v>
      </c>
      <c r="F2" s="4" t="s">
        <v>17</v>
      </c>
      <c r="G2" s="4" t="s">
        <v>7</v>
      </c>
      <c r="H2" s="4" t="s">
        <v>9</v>
      </c>
      <c r="I2" s="4" t="s">
        <v>32</v>
      </c>
      <c r="J2" s="4" t="s">
        <v>33</v>
      </c>
      <c r="K2" s="4" t="s">
        <v>40</v>
      </c>
      <c r="L2" s="4" t="s">
        <v>37</v>
      </c>
      <c r="M2" s="4" t="s">
        <v>0</v>
      </c>
      <c r="N2" s="4" t="s">
        <v>1</v>
      </c>
      <c r="O2" s="4" t="s">
        <v>26</v>
      </c>
      <c r="P2" s="9"/>
      <c r="Q2" s="34" t="s">
        <v>10</v>
      </c>
      <c r="R2" s="34" t="s">
        <v>9</v>
      </c>
      <c r="S2" s="4" t="s">
        <v>48</v>
      </c>
      <c r="T2" s="4" t="s">
        <v>8</v>
      </c>
      <c r="U2" s="24" t="s">
        <v>0</v>
      </c>
      <c r="V2" s="24" t="s">
        <v>1</v>
      </c>
      <c r="W2" s="4" t="s">
        <v>25</v>
      </c>
      <c r="X2" s="4" t="s">
        <v>41</v>
      </c>
      <c r="Y2" s="4" t="s">
        <v>7</v>
      </c>
      <c r="Z2" s="4" t="s">
        <v>27</v>
      </c>
      <c r="AA2" s="4" t="s">
        <v>41</v>
      </c>
      <c r="AC2" s="12" t="s">
        <v>37</v>
      </c>
    </row>
    <row r="3" spans="1:29" x14ac:dyDescent="0.25">
      <c r="A3" s="2">
        <v>1</v>
      </c>
      <c r="B3" s="6">
        <f>'19883321'!B9</f>
        <v>46217</v>
      </c>
      <c r="C3" s="26">
        <f>'20191904'!B1</f>
        <v>20191904</v>
      </c>
      <c r="D3" s="2" t="str">
        <f>'20191904'!B2</f>
        <v>Indonesia</v>
      </c>
      <c r="E3" s="2" t="str">
        <f>'20191904'!B3</f>
        <v>Pinjam Yuk</v>
      </c>
      <c r="F3" s="2" t="str">
        <f>'20191904'!B8</f>
        <v>0 m. 2 mėn. 17 d.</v>
      </c>
      <c r="G3" s="7">
        <f>'20191904'!B15</f>
        <v>0.15</v>
      </c>
      <c r="H3" s="3">
        <f>'20191904'!B16</f>
        <v>10</v>
      </c>
      <c r="I3" s="6">
        <f>'20191904'!B11</f>
        <v>46296</v>
      </c>
      <c r="J3" s="6">
        <f>'20191904'!O3</f>
        <v>46224</v>
      </c>
      <c r="K3" s="19" t="str">
        <f ca="1">'20191904'!B12</f>
        <v/>
      </c>
      <c r="L3" s="19" t="str">
        <f ca="1">'20191904'!P3</f>
        <v/>
      </c>
      <c r="M3" s="3">
        <f>'20191904'!K3</f>
        <v>10</v>
      </c>
      <c r="N3" s="3">
        <f>'20191904'!L3</f>
        <v>0.03</v>
      </c>
      <c r="O3" s="3">
        <f>'20191904'!M3</f>
        <v>0</v>
      </c>
      <c r="P3" s="10"/>
      <c r="Q3" s="35">
        <f>Pinigai!I2</f>
        <v>30</v>
      </c>
      <c r="R3" s="36">
        <f>SUM(H3:H100)-U3</f>
        <v>30.05</v>
      </c>
      <c r="S3" s="35">
        <f>Pinigai!H2</f>
        <v>0</v>
      </c>
      <c r="T3" s="35">
        <f>W3-R3</f>
        <v>0</v>
      </c>
      <c r="U3" s="36">
        <f>SUM(M3:M100)</f>
        <v>11.27</v>
      </c>
      <c r="V3" s="36">
        <f>SUM(N3:N100)-AA3</f>
        <v>0.05</v>
      </c>
      <c r="W3" s="35">
        <f>Q3+S3+V3</f>
        <v>30.05</v>
      </c>
      <c r="X3" s="35">
        <f>W3-Q3</f>
        <v>5.0000000000000711E-2</v>
      </c>
      <c r="Y3" s="37">
        <f>(W3-Q3)/Q3</f>
        <v>1.6666666666666904E-3</v>
      </c>
      <c r="Z3" s="38" t="e">
        <f ca="1">XIRR(Pinigai!K2:K200,Pinigai!A2:A200)</f>
        <v>#NUM!</v>
      </c>
      <c r="AA3" s="36">
        <f>SUM(O3:O100)</f>
        <v>0</v>
      </c>
      <c r="AC3" s="3" t="str">
        <f ca="1">'20191904'!Z3</f>
        <v/>
      </c>
    </row>
    <row r="4" spans="1:29" x14ac:dyDescent="0.25">
      <c r="A4" s="2">
        <v>2</v>
      </c>
      <c r="B4" s="6">
        <f>'19883321'!B9</f>
        <v>46217</v>
      </c>
      <c r="C4" s="26">
        <f>'19883321'!B1</f>
        <v>19883321</v>
      </c>
      <c r="D4" s="2" t="str">
        <f>'19883321'!B2</f>
        <v>Estonia</v>
      </c>
      <c r="E4" s="2" t="str">
        <f>'19883321'!B3</f>
        <v>Hoovi</v>
      </c>
      <c r="F4" s="2" t="str">
        <f>'19883321'!B8</f>
        <v>0 m. 6 mėn. 3 d.</v>
      </c>
      <c r="G4" s="7">
        <f>'19883321'!B15</f>
        <v>0.1</v>
      </c>
      <c r="H4" s="3">
        <f>'19883321'!B16</f>
        <v>10</v>
      </c>
      <c r="I4" s="6">
        <f>'19883321'!B11</f>
        <v>46404</v>
      </c>
      <c r="J4" s="6" t="str">
        <f>'19883321'!O3</f>
        <v/>
      </c>
      <c r="K4" s="19">
        <f ca="1">'19883321'!B12</f>
        <v>174</v>
      </c>
      <c r="L4" s="19" t="str">
        <f ca="1">'19883321'!P3</f>
        <v/>
      </c>
      <c r="M4" s="3">
        <f>'19883321'!K3</f>
        <v>1.27</v>
      </c>
      <c r="N4" s="3">
        <f>'19883321'!L3</f>
        <v>0.02</v>
      </c>
      <c r="O4" s="3">
        <f>'19883321'!M3</f>
        <v>0</v>
      </c>
      <c r="P4" s="10"/>
      <c r="Q4" s="30"/>
      <c r="R4" s="30"/>
      <c r="S4" s="30"/>
      <c r="T4" s="30"/>
      <c r="U4" s="30"/>
      <c r="V4" s="30"/>
      <c r="W4" s="30"/>
      <c r="X4" s="30"/>
      <c r="Y4" s="33"/>
      <c r="Z4" s="33"/>
      <c r="AA4" s="33"/>
      <c r="AC4" s="3" t="str">
        <f ca="1">'19883321'!Z3</f>
        <v/>
      </c>
    </row>
    <row r="5" spans="1:29" x14ac:dyDescent="0.25">
      <c r="A5" s="2">
        <v>3</v>
      </c>
      <c r="B5" s="6">
        <f>'20305579'!B9</f>
        <v>46224</v>
      </c>
      <c r="C5" s="26">
        <f>'20305579'!B1</f>
        <v>20305579</v>
      </c>
      <c r="D5" s="2" t="str">
        <f>'20305579'!B2</f>
        <v>Indonesia</v>
      </c>
      <c r="E5" s="2" t="str">
        <f>'20305579'!B3</f>
        <v>Pinjam Yuk</v>
      </c>
      <c r="F5" s="2" t="str">
        <f>'20305579'!B8</f>
        <v>0 m. 2 mėn. 13 d.</v>
      </c>
      <c r="G5" s="7">
        <f>'20305579'!B15</f>
        <v>0.15</v>
      </c>
      <c r="H5" s="3">
        <f>'20305579'!B16</f>
        <v>10.029999999999999</v>
      </c>
      <c r="I5" s="6">
        <f>'20305579'!B11</f>
        <v>46299</v>
      </c>
      <c r="J5" s="6" t="str">
        <f>'20305579'!O3</f>
        <v/>
      </c>
      <c r="K5" s="19">
        <f ca="1">'20305579'!B12</f>
        <v>69</v>
      </c>
      <c r="L5" s="19" t="str">
        <f ca="1">'20305579'!P3</f>
        <v/>
      </c>
      <c r="M5" s="3">
        <f>'20305579'!K3</f>
        <v>0</v>
      </c>
      <c r="N5" s="3">
        <f>'20305579'!L3</f>
        <v>0</v>
      </c>
      <c r="O5" s="3">
        <f>'20305579'!M3</f>
        <v>0</v>
      </c>
      <c r="P5" s="10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C5" s="3" t="str">
        <f ca="1">'20305579'!Z3</f>
        <v/>
      </c>
    </row>
    <row r="6" spans="1:29" x14ac:dyDescent="0.25">
      <c r="A6" s="2">
        <v>4</v>
      </c>
      <c r="B6" s="6">
        <f>'20439014'!B9</f>
        <v>46230</v>
      </c>
      <c r="C6" s="26">
        <f>'20439014'!B1</f>
        <v>20439014</v>
      </c>
      <c r="D6" s="2" t="str">
        <f>'20439014'!B2</f>
        <v>Bulgaria</v>
      </c>
      <c r="E6" s="2" t="str">
        <f>'20439014'!B3</f>
        <v>ITF Group JSC</v>
      </c>
      <c r="F6" s="2" t="str">
        <f>'20439014'!B8</f>
        <v>0 m. 5 mėn. 29 d.</v>
      </c>
      <c r="G6" s="7">
        <f>'20439014'!B15</f>
        <v>0.13</v>
      </c>
      <c r="H6" s="3">
        <f>'20439014'!B16</f>
        <v>11.29</v>
      </c>
      <c r="I6" s="6">
        <f>'20439014'!B11</f>
        <v>46412</v>
      </c>
      <c r="J6" s="6" t="str">
        <f>'20439014'!O3</f>
        <v/>
      </c>
      <c r="K6" s="19">
        <f ca="1">'20439014'!B12</f>
        <v>182</v>
      </c>
      <c r="L6" s="19" t="str">
        <f ca="1">'20439014'!P3</f>
        <v/>
      </c>
      <c r="M6" s="3">
        <f>'20439014'!K3</f>
        <v>0</v>
      </c>
      <c r="N6" s="3">
        <f>'20439014'!L3</f>
        <v>0</v>
      </c>
      <c r="O6" s="3">
        <f>'20439014'!M3</f>
        <v>0</v>
      </c>
      <c r="P6" s="10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C6" s="3"/>
    </row>
    <row r="7" spans="1:29" x14ac:dyDescent="0.25">
      <c r="A7" s="2"/>
      <c r="B7" s="6"/>
      <c r="C7" s="26"/>
      <c r="D7" s="2"/>
      <c r="E7" s="2"/>
      <c r="F7" s="2"/>
      <c r="G7" s="7"/>
      <c r="H7" s="3"/>
      <c r="I7" s="6"/>
      <c r="J7" s="6"/>
      <c r="K7" s="19"/>
      <c r="L7" s="19"/>
      <c r="M7" s="3"/>
      <c r="N7" s="3"/>
      <c r="O7" s="3"/>
      <c r="P7" s="10"/>
      <c r="AC7" s="3"/>
    </row>
    <row r="8" spans="1:29" x14ac:dyDescent="0.25">
      <c r="A8" s="2"/>
      <c r="B8" s="6"/>
      <c r="C8" s="26"/>
      <c r="D8" s="2"/>
      <c r="E8" s="2"/>
      <c r="F8" s="2"/>
      <c r="G8" s="7"/>
      <c r="H8" s="3"/>
      <c r="I8" s="6"/>
      <c r="J8" s="6"/>
      <c r="K8" s="19"/>
      <c r="L8" s="19"/>
      <c r="M8" s="3"/>
      <c r="N8" s="3"/>
      <c r="O8" s="3"/>
      <c r="P8" s="10"/>
      <c r="AC8" s="3"/>
    </row>
    <row r="9" spans="1:29" x14ac:dyDescent="0.25">
      <c r="A9" s="2"/>
      <c r="B9" s="6"/>
      <c r="C9" s="26"/>
      <c r="D9" s="2"/>
      <c r="E9" s="2"/>
      <c r="F9" s="2"/>
      <c r="G9" s="7"/>
      <c r="H9" s="3"/>
      <c r="I9" s="6"/>
      <c r="J9" s="6"/>
      <c r="K9" s="19"/>
      <c r="L9" s="19"/>
      <c r="M9" s="3"/>
      <c r="N9" s="3"/>
      <c r="O9" s="3"/>
      <c r="P9" s="10"/>
      <c r="AC9" s="3"/>
    </row>
    <row r="10" spans="1:29" x14ac:dyDescent="0.25">
      <c r="A10" s="2"/>
      <c r="B10" s="6"/>
      <c r="C10" s="26"/>
      <c r="D10" s="2"/>
      <c r="E10" s="2"/>
      <c r="F10" s="2"/>
      <c r="G10" s="7"/>
      <c r="H10" s="3"/>
      <c r="I10" s="6"/>
      <c r="J10" s="6"/>
      <c r="K10" s="19"/>
      <c r="L10" s="19"/>
      <c r="M10" s="3"/>
      <c r="N10" s="3"/>
      <c r="O10" s="3"/>
      <c r="P10" s="10"/>
      <c r="AC10" s="3"/>
    </row>
    <row r="11" spans="1:29" x14ac:dyDescent="0.25">
      <c r="A11" s="2"/>
      <c r="B11" s="6"/>
      <c r="C11" s="26"/>
      <c r="D11" s="2"/>
      <c r="E11" s="2"/>
      <c r="F11" s="2"/>
      <c r="G11" s="7"/>
      <c r="H11" s="3"/>
      <c r="I11" s="6"/>
      <c r="J11" s="6"/>
      <c r="K11" s="19"/>
      <c r="L11" s="19"/>
      <c r="M11" s="3"/>
      <c r="N11" s="3"/>
      <c r="O11" s="3"/>
      <c r="P11" s="10"/>
      <c r="AC11" s="3"/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1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1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1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1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1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1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19" priority="9">
      <formula>$AC3="+"</formula>
    </cfRule>
    <cfRule type="expression" dxfId="18" priority="10">
      <formula>AND($M3&gt;0,$H3=$M3)</formula>
    </cfRule>
  </conditionalFormatting>
  <conditionalFormatting sqref="AC3:AC27">
    <cfRule type="expression" dxfId="17" priority="2">
      <formula>AND($M3&gt;0,$H3=$M3)</formula>
    </cfRule>
  </conditionalFormatting>
  <conditionalFormatting sqref="AC5">
    <cfRule type="expression" dxfId="16" priority="1">
      <formula>$AC5="+"</formula>
    </cfRule>
  </conditionalFormatting>
  <hyperlinks>
    <hyperlink ref="C3" location="'20191904'!A1" display="'20191904'!A1" xr:uid="{87C3E6BC-C2D4-4CD6-83E2-4126641D3546}"/>
    <hyperlink ref="C4" location="'19883321'!A1" display="'19883321'!A1" xr:uid="{E1A2E8FA-E90A-432F-B098-8C25480A0509}"/>
    <hyperlink ref="C5" location="'20305579'!A1" display="'20305579'!A1" xr:uid="{ECFFBFB7-7506-4537-869C-290705C7A622}"/>
    <hyperlink ref="C6" location="'20439014'!A1" display="'20439014'!A1" xr:uid="{538BC4F1-7ED1-40D4-A494-F21250DA25CD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F13" sqref="F13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10</v>
      </c>
      <c r="C1" s="12" t="s">
        <v>11</v>
      </c>
      <c r="D1" s="12" t="s">
        <v>5</v>
      </c>
      <c r="F1" s="12" t="s">
        <v>10</v>
      </c>
      <c r="G1" s="12" t="s">
        <v>11</v>
      </c>
      <c r="H1" s="12" t="s">
        <v>5</v>
      </c>
      <c r="I1" s="12" t="s">
        <v>12</v>
      </c>
      <c r="K1" s="12" t="s">
        <v>27</v>
      </c>
    </row>
    <row r="2" spans="1:11" x14ac:dyDescent="0.25">
      <c r="A2" s="6">
        <v>46217</v>
      </c>
      <c r="B2" s="3">
        <v>20</v>
      </c>
      <c r="C2" s="3">
        <v>0</v>
      </c>
      <c r="D2" s="3">
        <v>0</v>
      </c>
      <c r="F2" s="3">
        <f>SUM(B2:B35)</f>
        <v>30</v>
      </c>
      <c r="G2" s="3">
        <f>SUM(C2:C35)</f>
        <v>0</v>
      </c>
      <c r="H2" s="3">
        <f>SUM(D2:D14)</f>
        <v>0</v>
      </c>
      <c r="I2" s="3">
        <f>F2-G2</f>
        <v>30</v>
      </c>
      <c r="K2" s="3">
        <f>B2*-1</f>
        <v>-20</v>
      </c>
    </row>
    <row r="3" spans="1:11" x14ac:dyDescent="0.25">
      <c r="A3" s="6">
        <v>46229</v>
      </c>
      <c r="B3" s="3">
        <v>10</v>
      </c>
      <c r="C3" s="3">
        <v>0</v>
      </c>
      <c r="D3" s="3">
        <v>0</v>
      </c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46230</v>
      </c>
      <c r="B200" s="1"/>
      <c r="C200" s="1"/>
      <c r="D200" s="1"/>
      <c r="K200" s="3">
        <f>Overview!W3</f>
        <v>30.05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90215-1164-40DC-BC11-43B63E1EA40B}"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20439014</v>
      </c>
      <c r="D1" s="41" t="s">
        <v>2</v>
      </c>
      <c r="E1" s="42"/>
      <c r="F1" s="43"/>
      <c r="G1" s="41" t="s">
        <v>0</v>
      </c>
      <c r="H1" s="42"/>
      <c r="I1" s="43"/>
      <c r="J1" s="16"/>
      <c r="K1" s="41" t="s">
        <v>28</v>
      </c>
      <c r="L1" s="42"/>
      <c r="M1" s="42"/>
      <c r="N1" s="42"/>
      <c r="O1" s="42"/>
      <c r="P1" s="42"/>
      <c r="Q1" s="43"/>
      <c r="X1" s="41"/>
      <c r="Y1" s="42"/>
      <c r="Z1" s="43"/>
    </row>
    <row r="2" spans="1:26" x14ac:dyDescent="0.25">
      <c r="A2" s="5" t="s">
        <v>16</v>
      </c>
      <c r="B2" s="6" t="s">
        <v>49</v>
      </c>
      <c r="D2" s="32" t="s">
        <v>32</v>
      </c>
      <c r="E2" s="32" t="s">
        <v>33</v>
      </c>
      <c r="F2" s="29" t="s">
        <v>38</v>
      </c>
      <c r="G2" s="32" t="s">
        <v>13</v>
      </c>
      <c r="H2" s="32" t="s">
        <v>14</v>
      </c>
      <c r="I2" s="32" t="s">
        <v>30</v>
      </c>
      <c r="J2" s="10"/>
      <c r="K2" s="32" t="s">
        <v>0</v>
      </c>
      <c r="L2" s="32" t="s">
        <v>1</v>
      </c>
      <c r="M2" s="32" t="s">
        <v>26</v>
      </c>
      <c r="N2" s="32" t="s">
        <v>27</v>
      </c>
      <c r="O2" s="32" t="s">
        <v>2</v>
      </c>
      <c r="P2" s="32" t="s">
        <v>37</v>
      </c>
      <c r="Q2" s="32" t="s">
        <v>38</v>
      </c>
      <c r="X2" s="32" t="s">
        <v>2</v>
      </c>
      <c r="Y2" s="32" t="s">
        <v>29</v>
      </c>
      <c r="Z2" s="32" t="s">
        <v>37</v>
      </c>
    </row>
    <row r="3" spans="1:26" x14ac:dyDescent="0.25">
      <c r="A3" s="5" t="s">
        <v>19</v>
      </c>
      <c r="B3" s="6" t="s">
        <v>50</v>
      </c>
      <c r="D3" s="11"/>
      <c r="E3" s="6"/>
      <c r="F3" s="19" t="str">
        <f>IF(E3&gt;0,E3-D3,"")</f>
        <v/>
      </c>
      <c r="G3" s="3"/>
      <c r="H3" s="3"/>
      <c r="I3" s="3">
        <v>0</v>
      </c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46230</v>
      </c>
      <c r="Y3" s="3">
        <f>B16*-1</f>
        <v>-11.29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51</v>
      </c>
      <c r="D4" s="11"/>
      <c r="E4" s="6"/>
      <c r="F4" s="19" t="str">
        <f>IF(E4&gt;0,E4-D4,"")</f>
        <v/>
      </c>
      <c r="G4" s="28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46230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46230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46412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182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11.29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56905-B053-4343-BBAF-C90C4E40B612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20305579</v>
      </c>
      <c r="D1" s="41" t="s">
        <v>2</v>
      </c>
      <c r="E1" s="42"/>
      <c r="F1" s="43"/>
      <c r="G1" s="41" t="s">
        <v>0</v>
      </c>
      <c r="H1" s="42"/>
      <c r="I1" s="43"/>
      <c r="J1" s="16"/>
      <c r="K1" s="41" t="s">
        <v>28</v>
      </c>
      <c r="L1" s="42"/>
      <c r="M1" s="42"/>
      <c r="N1" s="42"/>
      <c r="O1" s="42"/>
      <c r="P1" s="42"/>
      <c r="Q1" s="43"/>
      <c r="X1" s="41"/>
      <c r="Y1" s="42"/>
      <c r="Z1" s="43"/>
    </row>
    <row r="2" spans="1:26" x14ac:dyDescent="0.25">
      <c r="A2" s="5" t="s">
        <v>16</v>
      </c>
      <c r="B2" s="6" t="s">
        <v>42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43</v>
      </c>
      <c r="D3" s="11"/>
      <c r="E3" s="6"/>
      <c r="F3" s="19" t="str">
        <f>IF(E3&gt;0,E3-D3,"")</f>
        <v/>
      </c>
      <c r="G3" s="3"/>
      <c r="H3" s="3"/>
      <c r="I3" s="3">
        <v>0</v>
      </c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46224</v>
      </c>
      <c r="Y3" s="3">
        <f>B16*-1</f>
        <v>-10.029999999999999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/>
      <c r="E4" s="6"/>
      <c r="F4" s="19" t="str">
        <f>IF(E4&gt;0,E4-D4,"")</f>
        <v/>
      </c>
      <c r="G4" s="28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2 mėn. 13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46224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46220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46299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69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10.029999999999999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19883321</v>
      </c>
      <c r="D1" s="41" t="s">
        <v>2</v>
      </c>
      <c r="E1" s="42"/>
      <c r="F1" s="43"/>
      <c r="G1" s="41" t="s">
        <v>0</v>
      </c>
      <c r="H1" s="42"/>
      <c r="I1" s="43"/>
      <c r="J1" s="16"/>
      <c r="K1" s="41" t="s">
        <v>28</v>
      </c>
      <c r="L1" s="42"/>
      <c r="M1" s="42"/>
      <c r="N1" s="42"/>
      <c r="O1" s="42"/>
      <c r="P1" s="42"/>
      <c r="Q1" s="43"/>
      <c r="X1" s="41"/>
      <c r="Y1" s="42"/>
      <c r="Z1" s="43"/>
    </row>
    <row r="2" spans="1:26" x14ac:dyDescent="0.25">
      <c r="A2" s="5" t="s">
        <v>16</v>
      </c>
      <c r="B2" s="6" t="s">
        <v>46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45</v>
      </c>
      <c r="D3" s="11">
        <v>46220</v>
      </c>
      <c r="E3" s="6">
        <v>46226</v>
      </c>
      <c r="F3" s="19">
        <f>IF(E3&gt;0,E3-D3,"")</f>
        <v>6</v>
      </c>
      <c r="G3" s="3">
        <v>1.27</v>
      </c>
      <c r="H3" s="3">
        <v>0.02</v>
      </c>
      <c r="I3" s="3">
        <v>0</v>
      </c>
      <c r="J3" s="14"/>
      <c r="K3" s="3">
        <f>G53</f>
        <v>1.27</v>
      </c>
      <c r="L3" s="3">
        <f>H53</f>
        <v>0.02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46217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47</v>
      </c>
      <c r="D4" s="11">
        <v>46251</v>
      </c>
      <c r="E4" s="6"/>
      <c r="F4" s="19" t="str">
        <f>IF(E4&gt;0,E4-D4,"")</f>
        <v/>
      </c>
      <c r="G4" s="2"/>
      <c r="H4" s="2"/>
      <c r="I4" s="2"/>
      <c r="J4" s="10"/>
      <c r="X4" s="6">
        <f>E3</f>
        <v>46226</v>
      </c>
      <c r="Y4" s="3">
        <f>G3+H3-I3</f>
        <v>1.29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3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46195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46404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>
        <f ca="1">IF(B16&lt;&gt;K3,(TODAY()-B11)*-1,"")</f>
        <v>174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1.27</v>
      </c>
      <c r="H53" s="3">
        <f t="shared" ref="H53:I53" si="3">SUM(H3:H52)</f>
        <v>0.02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7">
      <formula>$Z$3="+"</formula>
    </cfRule>
  </conditionalFormatting>
  <conditionalFormatting sqref="Z3">
    <cfRule type="expression" dxfId="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2">
        <v>20191904</v>
      </c>
      <c r="D1" s="41" t="s">
        <v>2</v>
      </c>
      <c r="E1" s="42"/>
      <c r="F1" s="43"/>
      <c r="G1" s="41" t="s">
        <v>0</v>
      </c>
      <c r="H1" s="42"/>
      <c r="I1" s="43"/>
      <c r="J1" s="16"/>
      <c r="K1" s="41" t="s">
        <v>28</v>
      </c>
      <c r="L1" s="42"/>
      <c r="M1" s="42"/>
      <c r="N1" s="42"/>
      <c r="O1" s="42"/>
      <c r="P1" s="42"/>
      <c r="Q1" s="43"/>
      <c r="X1" s="41"/>
      <c r="Y1" s="42"/>
      <c r="Z1" s="43"/>
    </row>
    <row r="2" spans="1:26" x14ac:dyDescent="0.25">
      <c r="A2" s="5" t="s">
        <v>16</v>
      </c>
      <c r="B2" s="6" t="s">
        <v>42</v>
      </c>
      <c r="D2" s="12" t="s">
        <v>32</v>
      </c>
      <c r="E2" s="12" t="s">
        <v>33</v>
      </c>
      <c r="F2" s="17" t="s">
        <v>38</v>
      </c>
      <c r="G2" s="12" t="s">
        <v>13</v>
      </c>
      <c r="H2" s="12" t="s">
        <v>14</v>
      </c>
      <c r="I2" s="12" t="s">
        <v>30</v>
      </c>
      <c r="J2" s="10"/>
      <c r="K2" s="12" t="s">
        <v>0</v>
      </c>
      <c r="L2" s="12" t="s">
        <v>1</v>
      </c>
      <c r="M2" s="12" t="s">
        <v>26</v>
      </c>
      <c r="N2" s="12" t="s">
        <v>27</v>
      </c>
      <c r="O2" s="12" t="s">
        <v>2</v>
      </c>
      <c r="P2" s="12" t="s">
        <v>37</v>
      </c>
      <c r="Q2" s="12" t="s">
        <v>38</v>
      </c>
      <c r="X2" s="12" t="s">
        <v>2</v>
      </c>
      <c r="Y2" s="12" t="s">
        <v>29</v>
      </c>
      <c r="Z2" s="12" t="s">
        <v>37</v>
      </c>
    </row>
    <row r="3" spans="1:26" x14ac:dyDescent="0.25">
      <c r="A3" s="5" t="s">
        <v>19</v>
      </c>
      <c r="B3" s="6" t="s">
        <v>43</v>
      </c>
      <c r="D3" s="11">
        <v>46296</v>
      </c>
      <c r="E3" s="6">
        <v>46224</v>
      </c>
      <c r="F3" s="19">
        <f>IF(E3&gt;0,E3-D3,"")</f>
        <v>-72</v>
      </c>
      <c r="G3" s="3">
        <v>10</v>
      </c>
      <c r="H3" s="3">
        <v>0.03</v>
      </c>
      <c r="I3" s="3">
        <v>0</v>
      </c>
      <c r="J3" s="14"/>
      <c r="K3" s="3">
        <f>G53</f>
        <v>10</v>
      </c>
      <c r="L3" s="3">
        <f>H53</f>
        <v>0.03</v>
      </c>
      <c r="M3" s="3">
        <f>I53</f>
        <v>0</v>
      </c>
      <c r="N3" s="7">
        <f>IF(B16=K3,XIRR(Y3:Y52,X3:X52),"")</f>
        <v>0.16905344128608707</v>
      </c>
      <c r="O3" s="6">
        <f>IF(B16=K3,MAX(E:E),"")</f>
        <v>46224</v>
      </c>
      <c r="P3" s="2" t="str">
        <f ca="1">IF(Z3="+",TODAY()-B11,"")</f>
        <v/>
      </c>
      <c r="Q3" s="2">
        <f>IF(B16=K3,MAX(E:E)-B11,"")</f>
        <v>-72</v>
      </c>
      <c r="T3" s="13"/>
      <c r="X3" s="6">
        <f>B9</f>
        <v>46217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20</v>
      </c>
      <c r="B4" s="6" t="s">
        <v>44</v>
      </c>
      <c r="D4" s="11"/>
      <c r="E4" s="6"/>
      <c r="F4" s="19" t="str">
        <f>IF(E4&gt;0,E4-D4,"")</f>
        <v/>
      </c>
      <c r="G4" s="28"/>
      <c r="H4" s="2"/>
      <c r="I4" s="2"/>
      <c r="J4" s="10"/>
      <c r="X4" s="6">
        <f>E3</f>
        <v>46224</v>
      </c>
      <c r="Y4" s="3">
        <f>G3+H3-I3</f>
        <v>10.029999999999999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2 mėn. 17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46217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21</v>
      </c>
      <c r="B10" s="6">
        <v>46213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31</v>
      </c>
      <c r="B11" s="6">
        <v>46296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35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36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22"/>
      <c r="F53" s="3"/>
      <c r="G53" s="3">
        <f>SUM(G3:G52)</f>
        <v>10</v>
      </c>
      <c r="H53" s="3">
        <f t="shared" ref="H53:I53" si="3">SUM(H3:H52)</f>
        <v>0.03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Pinigai</vt:lpstr>
      <vt:lpstr>20439014</vt:lpstr>
      <vt:lpstr>20305579</vt:lpstr>
      <vt:lpstr>19883321</vt:lpstr>
      <vt:lpstr>20191904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2026-07-27T13:29:44Z</dcterms:modified>
</cp:coreProperties>
</file>