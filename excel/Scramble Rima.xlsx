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Scramble\"/>
    </mc:Choice>
  </mc:AlternateContent>
  <xr:revisionPtr revIDLastSave="0" documentId="13_ncr:1_{A1709292-DE0D-449C-AC9E-3866557F65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August 2026" sheetId="36" r:id="rId3"/>
    <sheet name="July 2026" sheetId="35" r:id="rId4"/>
    <sheet name="June 2026" sheetId="34" r:id="rId5"/>
    <sheet name="May 2026" sheetId="33" r:id="rId6"/>
    <sheet name="April 2026" sheetId="32" r:id="rId7"/>
    <sheet name="March 2026" sheetId="31" r:id="rId8"/>
    <sheet name="February 2026" sheetId="30" r:id="rId9"/>
    <sheet name="January 2026" sheetId="29" r:id="rId10"/>
    <sheet name="December 2025" sheetId="28" r:id="rId11"/>
    <sheet name="November 2025" sheetId="27" r:id="rId12"/>
    <sheet name="October 2025" sheetId="26" r:id="rId13"/>
    <sheet name="September 2025" sheetId="25" r:id="rId14"/>
    <sheet name="August 2025" sheetId="1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F15" i="1"/>
  <c r="E15" i="1"/>
  <c r="D15" i="1"/>
  <c r="O15" i="1"/>
  <c r="N15" i="1"/>
  <c r="M15" i="1"/>
  <c r="J15" i="1"/>
  <c r="I15" i="1"/>
  <c r="H15" i="1"/>
  <c r="C15" i="1"/>
  <c r="B15" i="1"/>
  <c r="I53" i="36"/>
  <c r="H53" i="36"/>
  <c r="L3" i="36" s="1"/>
  <c r="G53" i="36"/>
  <c r="K3" i="36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M3" i="36"/>
  <c r="F3" i="36"/>
  <c r="E14" i="1"/>
  <c r="E13" i="1"/>
  <c r="E12" i="1"/>
  <c r="E11" i="1"/>
  <c r="E10" i="1"/>
  <c r="E9" i="1"/>
  <c r="E8" i="1"/>
  <c r="E7" i="1"/>
  <c r="E6" i="1"/>
  <c r="E5" i="1"/>
  <c r="E4" i="1"/>
  <c r="E3" i="1"/>
  <c r="Z3" i="36" l="1"/>
  <c r="Q3" i="36"/>
  <c r="O3" i="36"/>
  <c r="B12" i="36"/>
  <c r="K15" i="1" s="1"/>
  <c r="N3" i="36"/>
  <c r="F5" i="33"/>
  <c r="K3" i="15"/>
  <c r="K4" i="15"/>
  <c r="K5" i="15"/>
  <c r="K6" i="15"/>
  <c r="K7" i="15"/>
  <c r="K8" i="15"/>
  <c r="K9" i="15"/>
  <c r="K2" i="15"/>
  <c r="A200" i="15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P3" i="36" l="1"/>
  <c r="L15" i="1" s="1"/>
  <c r="AC15" i="1"/>
  <c r="L3" i="28"/>
  <c r="N7" i="1" s="1"/>
  <c r="N14" i="1"/>
  <c r="N13" i="1"/>
  <c r="N8" i="1"/>
  <c r="O3" i="35"/>
  <c r="J14" i="1" s="1"/>
  <c r="Z3" i="35"/>
  <c r="Q3" i="35"/>
  <c r="B12" i="35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4" i="1" l="1"/>
  <c r="P3" i="35"/>
  <c r="L14" i="1" s="1"/>
  <c r="AC14" i="1"/>
  <c r="P3" i="34"/>
  <c r="L13" i="1" s="1"/>
  <c r="AC13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<sst xmlns="http://schemas.openxmlformats.org/spreadsheetml/2006/main" count="511" uniqueCount="59">
  <si>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</si>
  <si>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</si>
  <si>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</si>
  <si>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</si>
  <si>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</si>
  <si>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</si>
  <si>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</si>
  <si>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</si>
  <si>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</si>
  <si>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</si>
  <si>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</si>
  <si>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</si>
  <si>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</si>
  <si>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</si>
  <si>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</si>
  <si>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</si>
  <si>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</si>
  <si>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</si>
  <si>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</si>
  <si>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</si>
  <si>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</si>
  <si>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</si>
  <si>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</si>
  <si>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</si>
  <si>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</si>
  <si>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</si>
  <si>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</si>
  <si>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</si>
  <si>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</si>
  <si>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</si>
  <si>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</si>
  <si>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</si>
  <si>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</si>
  <si>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</si>
  <si>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</si>
  <si>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</si>
  <si>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</si>
  <si>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</si>
  <si>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</si>
  <si>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</si>
  <si>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</si>
  <si>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</si>
  <si>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Scramble</t>
  </si>
  <si>
    <t>Estonia</t>
  </si>
  <si>
    <t>Busines loan</t>
  </si>
  <si>
    <t>9-12%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</si>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</sst>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2B417E-0E73-40BA-95CB-0B8A5F160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activeCell="Y8" sqref="Y8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4" t="s">
        <v>0</v>
      </c>
      <c r="B1" s="35"/>
      <c r="C1" s="35"/>
      <c r="D1" s="35"/>
      <c r="E1" s="35"/>
      <c r="F1" s="35"/>
      <c r="G1" s="35"/>
      <c r="H1" s="36"/>
      <c r="I1" s="34" t="s">
        <v>8</v>
      </c>
      <c r="J1" s="35"/>
      <c r="K1" s="35"/>
      <c r="L1" s="36"/>
      <c r="M1" s="37" t="s">
        <v>20</v>
      </c>
      <c r="N1" s="37"/>
      <c r="O1" s="37"/>
      <c r="Q1" s="38" t="s">
        <v>19</v>
      </c>
      <c r="R1" s="39"/>
      <c r="S1" s="39"/>
      <c r="T1" s="40"/>
      <c r="U1" s="38" t="s">
        <v>20</v>
      </c>
      <c r="V1" s="40"/>
      <c r="W1" s="34" t="s">
        <v>4</v>
      </c>
      <c r="X1" s="35"/>
      <c r="Y1" s="35"/>
      <c r="Z1" s="36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'August 2025'!B9</f>
        <v>45874</v>
      </c>
      <c r="C3" s="23" t="str">
        <f>'August 2025'!B1</f>
        <v>August 2025</v>
      </c>
      <c r="D3" s="2" t="str">
        <f>'August 2025'!B2</f>
        <v>Estonia</v>
      </c>
      <c r="E3" s="2" t="str">
        <f>'August 2025'!B3</f>
        <v>Scramble</v>
      </c>
      <c r="F3" s="2" t="str">
        <f>'August 2025'!B8</f>
        <v>0 m. 6 mėn. 0 d.</v>
      </c>
      <c r="G3" s="7" t="str">
        <f>'August 2025'!B15</f>
        <v>9-12%</v>
      </c>
      <c r="H3" s="3">
        <f>'August 2025'!B16</f>
        <v>220</v>
      </c>
      <c r="I3" s="6">
        <f>'August 2025'!B11</f>
        <v>46058</v>
      </c>
      <c r="J3" s="6">
        <f>'August 2025'!O3</f>
        <v>46058</v>
      </c>
      <c r="K3" s="6" t="str">
        <f ca="1">'August 2025'!B12</f>
        <v/>
      </c>
      <c r="L3" s="6" t="str">
        <f ca="1">'August 2025'!P3</f>
        <v/>
      </c>
      <c r="M3" s="3">
        <f>'August 2025'!K3</f>
        <v>220</v>
      </c>
      <c r="N3" s="3">
        <f>'August 2025'!L3</f>
        <v>10.32</v>
      </c>
      <c r="O3" s="3">
        <f>'August 2025'!M3</f>
        <v>0</v>
      </c>
      <c r="P3" s="9"/>
      <c r="Q3" s="27">
        <f>Pinigai!I2</f>
        <v>610</v>
      </c>
      <c r="R3" s="28">
        <f>SUM(H3:H98)-U3</f>
        <v>678.45999999999958</v>
      </c>
      <c r="S3" s="27">
        <f>Pinigai!H2</f>
        <v>24</v>
      </c>
      <c r="T3" s="27">
        <f>W3-R3</f>
        <v>3.0000000000427463E-2</v>
      </c>
      <c r="U3" s="28">
        <f>SUM(M3:M98)</f>
        <v>1102.7800000000002</v>
      </c>
      <c r="V3" s="28">
        <f>SUM(N3:N98)-AA3</f>
        <v>44.49</v>
      </c>
      <c r="W3" s="27">
        <f>Q3+S3+V3</f>
        <v>678.49</v>
      </c>
      <c r="X3" s="27">
        <f>W3-Q3</f>
        <v>68.490000000000009</v>
      </c>
      <c r="Y3" s="29">
        <f>(W3-Q3)/Q3</f>
        <v>0.11227868852459018</v>
      </c>
      <c r="Z3" s="30">
        <f ca="1">XIRR(Pinigai!K2:K200,Pinigai!A2:A200)</f>
        <v>0.12073680758476255</v>
      </c>
      <c r="AA3" s="27">
        <f>SUM(O3:O98)</f>
        <v>0</v>
      </c>
      <c r="AC3" s="3" t="str">
        <f ca="1">'August 2025'!Z3</f>
        <v/>
      </c>
    </row>
    <row r="4" spans="1:29" x14ac:dyDescent="0.25">
      <c r="A4" s="2">
        <v>2</v>
      </c>
      <c r="B4" s="6">
        <f>'September 2025'!B9</f>
        <v>45905</v>
      </c>
      <c r="C4" s="23" t="str">
        <f>'September 2025'!B1</f>
        <v>September 2025</v>
      </c>
      <c r="D4" s="2" t="str">
        <f>'September 2025'!B2</f>
        <v>Estonia</v>
      </c>
      <c r="E4" s="2" t="str">
        <f>'September 2025'!B3</f>
        <v>Scramble</v>
      </c>
      <c r="F4" s="2" t="str">
        <f>'September 2025'!B8</f>
        <v>0 m. 6 mėn. 0 d.</v>
      </c>
      <c r="G4" s="7" t="str">
        <f>'September 2025'!B15</f>
        <v>9-12%</v>
      </c>
      <c r="H4" s="3">
        <f>'September 2025'!B16</f>
        <v>222.28</v>
      </c>
      <c r="I4" s="6">
        <f>'September 2025'!B11</f>
        <v>46086</v>
      </c>
      <c r="J4" s="6">
        <f>'September 2025'!O3</f>
        <v>46086</v>
      </c>
      <c r="K4" s="6" t="str">
        <f ca="1">'September 2025'!B12</f>
        <v/>
      </c>
      <c r="L4" s="6" t="str">
        <f ca="1">'September 2025'!P3</f>
        <v/>
      </c>
      <c r="M4" s="3">
        <f>'September 2025'!K3</f>
        <v>222.28000000000003</v>
      </c>
      <c r="N4" s="3">
        <f>'September 2025'!L3</f>
        <v>10.15</v>
      </c>
      <c r="O4" s="3">
        <f>'September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'September 2025'!Z3</f>
        <v/>
      </c>
    </row>
    <row r="5" spans="1:29" x14ac:dyDescent="0.25">
      <c r="A5" s="2">
        <v>3</v>
      </c>
      <c r="B5" s="6">
        <f>'October 2025'!B9</f>
        <v>45936</v>
      </c>
      <c r="C5" s="23" t="str">
        <f>'October 2025'!B1</f>
        <v>October 2025</v>
      </c>
      <c r="D5" s="2" t="str">
        <f>'October 2025'!B2</f>
        <v>Estonia</v>
      </c>
      <c r="E5" s="2" t="str">
        <f>'October 2025'!B3</f>
        <v>Scramble</v>
      </c>
      <c r="F5" s="2" t="str">
        <f>'October 2025'!B8</f>
        <v>0 m. 6 mėn. 0 d.</v>
      </c>
      <c r="G5" s="7" t="str">
        <f>'October 2025'!B15</f>
        <v>9-12%</v>
      </c>
      <c r="H5" s="3">
        <f>'October 2025'!B16</f>
        <v>226.42</v>
      </c>
      <c r="I5" s="6">
        <f>'October 2025'!B11</f>
        <v>46118</v>
      </c>
      <c r="J5" s="6">
        <f>'October 2025'!O3</f>
        <v>46118</v>
      </c>
      <c r="K5" s="3" t="str">
        <f ca="1">'October 2025'!B12</f>
        <v/>
      </c>
      <c r="L5" s="3" t="str">
        <f ca="1">'October 2025'!P3</f>
        <v/>
      </c>
      <c r="M5" s="3">
        <f>'October 2025'!K3</f>
        <v>226.42</v>
      </c>
      <c r="N5" s="3">
        <f>'October 2025'!L3</f>
        <v>10.1</v>
      </c>
      <c r="O5" s="3">
        <f>'October 2025'!M3</f>
        <v>0</v>
      </c>
      <c r="P5" s="9"/>
      <c r="AC5" s="3" t="str">
        <f ca="1">'October 2025'!Z3</f>
        <v/>
      </c>
    </row>
    <row r="6" spans="1:29" x14ac:dyDescent="0.25">
      <c r="A6" s="2">
        <v>4</v>
      </c>
      <c r="B6" s="6">
        <f>'November 2025'!B9</f>
        <v>45966</v>
      </c>
      <c r="C6" s="23" t="str">
        <f>'November 2025'!B1</f>
        <v>November 2025</v>
      </c>
      <c r="D6" s="2" t="str">
        <f>'November 2025'!B2</f>
        <v>Estonia</v>
      </c>
      <c r="E6" s="2" t="str">
        <f>'November 2025'!B3</f>
        <v>Scramble</v>
      </c>
      <c r="F6" s="2" t="str">
        <f>'November 2025'!B8</f>
        <v>0 m. 6 mėn. 0 d.</v>
      </c>
      <c r="G6" s="7" t="str">
        <f>'November 2025'!B15</f>
        <v>9-12%</v>
      </c>
      <c r="H6" s="3">
        <f>'November 2025'!B16</f>
        <v>37.97</v>
      </c>
      <c r="I6" s="6">
        <f>'November 2025'!B11</f>
        <v>46147</v>
      </c>
      <c r="J6" s="6">
        <f>'November 2025'!O3</f>
        <v>46147</v>
      </c>
      <c r="K6" s="18" t="str">
        <f ca="1">'November 2025'!B12</f>
        <v/>
      </c>
      <c r="L6" s="18" t="str">
        <f ca="1">'November 2025'!P3</f>
        <v/>
      </c>
      <c r="M6" s="3">
        <f>'November 2025'!K3</f>
        <v>37.97</v>
      </c>
      <c r="N6" s="3">
        <f>'November 2025'!L3</f>
        <v>1.64</v>
      </c>
      <c r="O6" s="3">
        <f>'November 2025'!M3</f>
        <v>0</v>
      </c>
      <c r="P6" s="9"/>
      <c r="AC6" s="3" t="str">
        <f ca="1">'November 2025'!Z3</f>
        <v/>
      </c>
    </row>
    <row r="7" spans="1:29" x14ac:dyDescent="0.25">
      <c r="A7" s="2">
        <v>5</v>
      </c>
      <c r="B7" s="6">
        <f>'December 2025'!B9</f>
        <v>45996</v>
      </c>
      <c r="C7" s="23" t="str">
        <f>'December 2025'!B1</f>
        <v>December 2025</v>
      </c>
      <c r="D7" s="2" t="str">
        <f>'December 2025'!B2</f>
        <v>Estonia</v>
      </c>
      <c r="E7" s="2" t="str">
        <f>'December 2025'!B3</f>
        <v>Scramble</v>
      </c>
      <c r="F7" s="2" t="str">
        <f>'December 2025'!B8</f>
        <v>0 m. 6 mėn. 0 d.</v>
      </c>
      <c r="G7" s="7" t="str">
        <f>'December 2025'!B15</f>
        <v>9-12%</v>
      </c>
      <c r="H7" s="3">
        <f>'December 2025'!B16</f>
        <v>37.92</v>
      </c>
      <c r="I7" s="6">
        <f>'December 2025'!B11</f>
        <v>46178</v>
      </c>
      <c r="J7" s="6">
        <f>'December 2025'!O3</f>
        <v>46178</v>
      </c>
      <c r="K7" s="18" t="str">
        <f ca="1">'December 2025'!B12</f>
        <v/>
      </c>
      <c r="L7" s="18" t="str">
        <f ca="1">'December 2025'!P3</f>
        <v/>
      </c>
      <c r="M7" s="3">
        <f>'December 2025'!K3</f>
        <v>37.92</v>
      </c>
      <c r="N7" s="3">
        <f>'December 2025'!L3</f>
        <v>1.66</v>
      </c>
      <c r="O7" s="3">
        <f>'December 2025'!M3</f>
        <v>0</v>
      </c>
      <c r="P7" s="9"/>
      <c r="AC7" s="3" t="str">
        <f ca="1">'December 2025'!Z3</f>
        <v/>
      </c>
    </row>
    <row r="8" spans="1:29" x14ac:dyDescent="0.25">
      <c r="A8" s="2">
        <v>6</v>
      </c>
      <c r="B8" s="6">
        <f>'January 2026'!B9</f>
        <v>46027</v>
      </c>
      <c r="C8" s="23" t="str">
        <f>'January 2026'!B1</f>
        <v>January 2026</v>
      </c>
      <c r="D8" s="2" t="str">
        <f>'January 2026'!B2</f>
        <v>Estonia</v>
      </c>
      <c r="E8" s="2" t="str">
        <f>'January 2026'!B3</f>
        <v>Scramble</v>
      </c>
      <c r="F8" s="2" t="str">
        <f>'January 2026'!B8</f>
        <v>0 m. 6 mėn. 1 d.</v>
      </c>
      <c r="G8" s="7" t="str">
        <f>'January 2026'!B15</f>
        <v>9-12%</v>
      </c>
      <c r="H8" s="3">
        <f>'January 2026'!B16</f>
        <v>39.950000000000003</v>
      </c>
      <c r="I8" s="6">
        <f>'January 2026'!B11</f>
        <v>46209</v>
      </c>
      <c r="J8" s="6">
        <f>'January 2026'!O3</f>
        <v>46209</v>
      </c>
      <c r="K8" s="18" t="str">
        <f ca="1">'January 2026'!B12</f>
        <v/>
      </c>
      <c r="L8" s="18" t="str">
        <f ca="1">'January 2026'!P3</f>
        <v/>
      </c>
      <c r="M8" s="3">
        <f>'January 2026'!K3</f>
        <v>39.949999999999996</v>
      </c>
      <c r="N8" s="3">
        <f>'January 2026'!L3</f>
        <v>1.77</v>
      </c>
      <c r="O8" s="3">
        <f>'January 2026'!M3</f>
        <v>0</v>
      </c>
      <c r="P8" s="9"/>
      <c r="AC8" s="3" t="str">
        <f ca="1">'January 2026'!Z3</f>
        <v/>
      </c>
    </row>
    <row r="9" spans="1:29" x14ac:dyDescent="0.25">
      <c r="A9" s="2">
        <v>7</v>
      </c>
      <c r="B9" s="6">
        <f>'February 2026'!B9</f>
        <v>46058</v>
      </c>
      <c r="C9" s="23" t="str">
        <f>'February 2026'!B1</f>
        <v>February 2026</v>
      </c>
      <c r="D9" s="2" t="str">
        <f>'February 2026'!B2</f>
        <v>Estonia</v>
      </c>
      <c r="E9" s="2" t="str">
        <f>'February 2026'!B3</f>
        <v>Scramble</v>
      </c>
      <c r="F9" s="2" t="str">
        <f>'February 2026'!B8</f>
        <v>0 m. 6 mėn. 0 d.</v>
      </c>
      <c r="G9" s="7" t="str">
        <f>'February 2026'!B15</f>
        <v>9-12%</v>
      </c>
      <c r="H9" s="3">
        <f>'February 2026'!B16</f>
        <v>198.85</v>
      </c>
      <c r="I9" s="6">
        <f>'February 2026'!B11</f>
        <v>46239</v>
      </c>
      <c r="J9" s="6">
        <f>'February 2026'!O3</f>
        <v>46239</v>
      </c>
      <c r="K9" s="18" t="str">
        <f ca="1">'February 2026'!B12</f>
        <v/>
      </c>
      <c r="L9" s="18" t="str">
        <f ca="1">'February 2026'!P3</f>
        <v/>
      </c>
      <c r="M9" s="3">
        <f>'February 2026'!K3</f>
        <v>198.85</v>
      </c>
      <c r="N9" s="3">
        <f>'February 2026'!L3</f>
        <v>8.85</v>
      </c>
      <c r="O9" s="3">
        <f>'February 2026'!M3</f>
        <v>0</v>
      </c>
      <c r="P9" s="9"/>
      <c r="AC9" s="3" t="str">
        <f ca="1">'February 2026'!Z3</f>
        <v/>
      </c>
    </row>
    <row r="10" spans="1:29" x14ac:dyDescent="0.25">
      <c r="A10" s="2">
        <v>8</v>
      </c>
      <c r="B10" s="6">
        <f>'March 2026'!B9</f>
        <v>46086</v>
      </c>
      <c r="C10" s="23" t="str">
        <f>'March 2026'!B1</f>
        <v>March 2026</v>
      </c>
      <c r="D10" s="2" t="str">
        <f>'March 2026'!B2</f>
        <v>Estonia</v>
      </c>
      <c r="E10" s="2" t="str">
        <f>'March 2026'!B3</f>
        <v>Scramble</v>
      </c>
      <c r="F10" s="2" t="str">
        <f>'March 2026'!B8</f>
        <v>0 m. 6 mėn. 0 d.</v>
      </c>
      <c r="G10" s="7" t="str">
        <f>'March 2026'!B15</f>
        <v>9-12%</v>
      </c>
      <c r="H10" s="3">
        <f>'March 2026'!B16</f>
        <v>200.38</v>
      </c>
      <c r="I10" s="6">
        <f>'March 2026'!B11</f>
        <v>46270</v>
      </c>
      <c r="J10" s="6" t="str">
        <f>'March 2026'!O3</f>
        <v/>
      </c>
      <c r="K10" s="18">
        <f ca="1">'March 2026'!B12</f>
        <v>27</v>
      </c>
      <c r="L10" s="18" t="str">
        <f ca="1">'March 2026'!P3</f>
        <v/>
      </c>
      <c r="M10" s="3">
        <f>'March 2026'!K3</f>
        <v>47.8</v>
      </c>
      <c r="N10" s="3">
        <f>'March 2026'!L3</f>
        <v>0</v>
      </c>
      <c r="O10" s="3">
        <f>'March 2026'!M3</f>
        <v>0</v>
      </c>
      <c r="P10" s="9"/>
      <c r="AC10" s="3" t="str">
        <f ca="1">'March 2026'!Z3</f>
        <v/>
      </c>
    </row>
    <row r="11" spans="1:29" x14ac:dyDescent="0.25">
      <c r="A11" s="2">
        <v>9</v>
      </c>
      <c r="B11" s="6">
        <f>'April 2026'!B9</f>
        <v>46118</v>
      </c>
      <c r="C11" s="23" t="str">
        <f>'April 2026'!B1</f>
        <v>April 2026</v>
      </c>
      <c r="D11" s="2" t="str">
        <f>'April 2026'!B2</f>
        <v>Estonia</v>
      </c>
      <c r="E11" s="2" t="str">
        <f>'April 2026'!B3</f>
        <v>Scramble</v>
      </c>
      <c r="F11" s="2" t="str">
        <f>'April 2026'!B8</f>
        <v>0 m. 5 mėn. 29 d.</v>
      </c>
      <c r="G11" s="7" t="str">
        <f>'April 2026'!B15</f>
        <v>9-12%</v>
      </c>
      <c r="H11" s="3">
        <f>'April 2026'!B16</f>
        <v>205.39</v>
      </c>
      <c r="I11" s="6">
        <f>'April 2026'!B11</f>
        <v>46300</v>
      </c>
      <c r="J11" s="6" t="str">
        <f>'April 2026'!O3</f>
        <v/>
      </c>
      <c r="K11" s="18">
        <f ca="1">'April 2026'!B12</f>
        <v>57</v>
      </c>
      <c r="L11" s="18" t="str">
        <f ca="1">'April 2026'!P3</f>
        <v/>
      </c>
      <c r="M11" s="3">
        <f>'April 2026'!K3</f>
        <v>43.2</v>
      </c>
      <c r="N11" s="3">
        <f>'April 2026'!L3</f>
        <v>0</v>
      </c>
      <c r="O11" s="3">
        <f>'April 2026'!M3</f>
        <v>0</v>
      </c>
      <c r="P11" s="9"/>
      <c r="AC11" s="3" t="str">
        <f ca="1">'April 2026'!Z3</f>
        <v/>
      </c>
    </row>
    <row r="12" spans="1:29" x14ac:dyDescent="0.25">
      <c r="A12" s="2">
        <v>10</v>
      </c>
      <c r="B12" s="6">
        <f>'May 2026'!B9</f>
        <v>46147</v>
      </c>
      <c r="C12" s="24" t="str">
        <f>'May 2026'!B1</f>
        <v>May 2026</v>
      </c>
      <c r="D12" s="2" t="str">
        <f>'May 2026'!B2</f>
        <v>Estonia</v>
      </c>
      <c r="E12" s="2" t="str">
        <f>'May 2026'!B3</f>
        <v>Scramble</v>
      </c>
      <c r="F12" s="2" t="str">
        <f>'May 2026'!B8</f>
        <v>0 m. 6 mėn. 0 d.</v>
      </c>
      <c r="G12" s="7" t="str">
        <f>'May 2026'!B15</f>
        <v>9-12%</v>
      </c>
      <c r="H12" s="3">
        <f>'May 2026'!B16</f>
        <v>65.53</v>
      </c>
      <c r="I12" s="6">
        <f>'May 2026'!B11</f>
        <v>46331</v>
      </c>
      <c r="J12" s="6" t="str">
        <f>'May 2026'!O3</f>
        <v/>
      </c>
      <c r="K12" s="18">
        <f ca="1">'May 2026'!B12</f>
        <v>88</v>
      </c>
      <c r="L12" s="18" t="str">
        <f ca="1">'May 2026'!P3</f>
        <v/>
      </c>
      <c r="M12" s="3">
        <f>'May 2026'!K3</f>
        <v>18.39</v>
      </c>
      <c r="N12" s="3">
        <f>'May 2026'!L3</f>
        <v>0</v>
      </c>
      <c r="O12" s="3">
        <f>'May 2026'!M3</f>
        <v>0</v>
      </c>
      <c r="AC12" s="3" t="str">
        <f ca="1">'May 2026'!Z3</f>
        <v/>
      </c>
    </row>
    <row r="13" spans="1:29" x14ac:dyDescent="0.25">
      <c r="A13" s="2">
        <v>11</v>
      </c>
      <c r="B13" s="6">
        <f>'June 2026'!B9</f>
        <v>46178</v>
      </c>
      <c r="C13" s="24" t="str">
        <f>'June 2026'!B1</f>
        <v>June 2026</v>
      </c>
      <c r="D13" s="2" t="str">
        <f>'June 2026'!B2</f>
        <v>Estonia</v>
      </c>
      <c r="E13" s="2" t="str">
        <f>'June 2026'!B3</f>
        <v>Scramble</v>
      </c>
      <c r="F13" s="2" t="str">
        <f>'June 2026'!B8</f>
        <v>0 m. 6 mėn. 2 d.</v>
      </c>
      <c r="G13" s="7" t="str">
        <f>'June 2026'!B15</f>
        <v>9-12%</v>
      </c>
      <c r="H13" s="3">
        <f>'June 2026'!B16</f>
        <v>69.010000000000005</v>
      </c>
      <c r="I13" s="6">
        <f>'June 2026'!B11</f>
        <v>46363</v>
      </c>
      <c r="J13" s="6" t="str">
        <f>'June 2026'!O3</f>
        <v/>
      </c>
      <c r="K13" s="18">
        <f ca="1">'June 2026'!B12</f>
        <v>120</v>
      </c>
      <c r="L13" s="18" t="str">
        <f ca="1">'June 2026'!P3</f>
        <v/>
      </c>
      <c r="M13" s="3">
        <f>'June 2026'!K3</f>
        <v>8.2799999999999994</v>
      </c>
      <c r="N13" s="3">
        <f>'June 2026'!L3</f>
        <v>0</v>
      </c>
      <c r="O13" s="3">
        <f>'June 2026'!M3</f>
        <v>0</v>
      </c>
      <c r="AC13" s="3" t="str">
        <f ca="1">'June 2026'!Z3</f>
        <v/>
      </c>
    </row>
    <row r="14" spans="1:29" x14ac:dyDescent="0.25">
      <c r="A14" s="2">
        <v>12</v>
      </c>
      <c r="B14" s="6">
        <f>'July 2026'!B9</f>
        <v>46209</v>
      </c>
      <c r="C14" s="24" t="str">
        <f>'July 2026'!B1</f>
        <v>July 2026</v>
      </c>
      <c r="D14" s="2" t="str">
        <f>'July 2026'!B2</f>
        <v>Estonia</v>
      </c>
      <c r="E14" s="2" t="str">
        <f>'July 2026'!B3</f>
        <v>Scramble</v>
      </c>
      <c r="F14" s="2" t="str">
        <f>'July 2026'!B8</f>
        <v>0 m. 5 mėn. 30 d.</v>
      </c>
      <c r="G14" s="7" t="str">
        <f>'July 2026'!B15</f>
        <v>9-12%</v>
      </c>
      <c r="H14" s="3">
        <f>'July 2026'!B16</f>
        <v>71.86</v>
      </c>
      <c r="I14" s="6">
        <f>'July 2026'!B11</f>
        <v>46392</v>
      </c>
      <c r="J14" s="6" t="str">
        <f>'July 2026'!O3</f>
        <v/>
      </c>
      <c r="K14" s="18">
        <f ca="1">'July 2026'!B12</f>
        <v>149</v>
      </c>
      <c r="L14" s="18" t="str">
        <f ca="1">'July 2026'!P3</f>
        <v/>
      </c>
      <c r="M14" s="3">
        <f>'July 2026'!K3</f>
        <v>1.72</v>
      </c>
      <c r="N14" s="3">
        <f>'July 2026'!L3</f>
        <v>0</v>
      </c>
      <c r="O14" s="3">
        <f>'July 2026'!M3</f>
        <v>0</v>
      </c>
      <c r="AC14" s="3" t="str">
        <f ca="1">'July 2026'!Z3</f>
        <v/>
      </c>
    </row>
    <row r="15" spans="1:29" x14ac:dyDescent="0.25">
      <c r="A15" s="2">
        <v>13</v>
      </c>
      <c r="B15" s="6">
        <f>'August 2026'!B9</f>
        <v>46241</v>
      </c>
      <c r="C15" s="24" t="str">
        <f>'August 2026'!B1</f>
        <v>August 2026</v>
      </c>
      <c r="D15" s="2" t="str">
        <f>'August 2026'!B2</f>
        <v>Estonia</v>
      </c>
      <c r="E15" s="2" t="str">
        <f>'August 2026'!B3</f>
        <v>Scramble</v>
      </c>
      <c r="F15" s="2" t="str">
        <f>'August 2026'!B8</f>
        <v>0 m. 5 mėn. 29 d.</v>
      </c>
      <c r="G15" s="7" t="str">
        <f>'August 2026'!B15</f>
        <v>9-12%</v>
      </c>
      <c r="H15" s="3">
        <f>'August 2026'!B16</f>
        <v>185.68</v>
      </c>
      <c r="I15" s="6">
        <f>'August 2026'!B11</f>
        <v>46423</v>
      </c>
      <c r="J15" s="6" t="str">
        <f>'August 2026'!O3</f>
        <v/>
      </c>
      <c r="K15" s="18">
        <f ca="1">'August 2026'!B12</f>
        <v>180</v>
      </c>
      <c r="L15" s="18" t="str">
        <f ca="1">'August 2026'!P3</f>
        <v/>
      </c>
      <c r="M15" s="3">
        <f>'August 2026'!K3</f>
        <v>0</v>
      </c>
      <c r="N15" s="3">
        <f>'August 2026'!L3</f>
        <v>0</v>
      </c>
      <c r="O15" s="3">
        <f>'August 2026'!M3</f>
        <v>0</v>
      </c>
      <c r="AC15" s="3" t="str">
        <f ca="1">'August 2026'!Z3</f>
        <v/>
      </c>
    </row>
    <row r="16" spans="1:29" x14ac:dyDescent="0.25">
      <c r="A16" s="2"/>
      <c r="B16" s="6"/>
      <c r="C16" s="24"/>
      <c r="D16" s="2"/>
      <c r="E16" s="2"/>
      <c r="F16" s="2"/>
      <c r="G16" s="7"/>
      <c r="H16" s="3"/>
      <c r="I16" s="6"/>
      <c r="J16" s="6"/>
      <c r="K16" s="18"/>
      <c r="L16" s="18"/>
      <c r="M16" s="3"/>
      <c r="N16" s="3"/>
      <c r="O16" s="3"/>
      <c r="AC16" s="1"/>
    </row>
    <row r="17" spans="1:29" x14ac:dyDescent="0.25">
      <c r="A17" s="2"/>
      <c r="B17" s="6"/>
      <c r="C17" s="24"/>
      <c r="D17" s="2"/>
      <c r="E17" s="2"/>
      <c r="F17" s="2"/>
      <c r="G17" s="7"/>
      <c r="H17" s="3"/>
      <c r="I17" s="6"/>
      <c r="J17" s="6"/>
      <c r="K17" s="18"/>
      <c r="L17" s="18"/>
      <c r="M17" s="3"/>
      <c r="N17" s="3"/>
      <c r="O17" s="3"/>
      <c r="AC17" s="1"/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5">
    <cfRule type="expression" dxfId="55" priority="9">
      <formula>$AC3="+"</formula>
    </cfRule>
    <cfRule type="expression" dxfId="54" priority="13">
      <formula>AND($H3&gt;0,$H3=$M3)</formula>
    </cfRule>
  </conditionalFormatting>
  <conditionalFormatting sqref="AC3:AC25">
    <cfRule type="expression" dxfId="53" priority="2">
      <formula>AND($H3&gt;0,$H3=$M3)</formula>
    </cfRule>
  </conditionalFormatting>
  <conditionalFormatting sqref="AC6:AC15">
    <cfRule type="expression" dxfId="52" priority="1">
      <formula>$AC6="+"</formula>
    </cfRule>
  </conditionalFormatting>
  <hyperlinks>
    <hyperlink ref="C3" location="'August 2025'!A1" display="'August 2025'!A1" xr:uid="{B3F9066C-B2D9-4834-93BD-4CABB41F406E}"/>
    <hyperlink ref="C4" location="'September 2025'!A1" display="'September 2025'!A1" xr:uid="{0CEF1365-D47B-4187-BB87-7DB57ABEE334}"/>
    <hyperlink ref="C5" location="'October 2025'!A1" display="'October 2025'!A1" xr:uid="{E6469448-04FA-4E1A-9BD0-3D26BBD5D6EF}"/>
    <hyperlink ref="C6" location="'November 2025'!A1" display="'November 2025'!A1" xr:uid="{95EB2565-26E3-4087-8EF5-5AB8E508D4BA}"/>
    <hyperlink ref="C7" location="'December 2025'!A1" display="'December 2025'!A1" xr:uid="{AF74ED1D-0C44-4147-BB71-548719931AA2}"/>
    <hyperlink ref="C8" location="'January 2026'!A1" display="'January 2026'!A1" xr:uid="{FE46076B-E5C3-460F-ADB3-EB72E3831F54}"/>
    <hyperlink ref="C9" location="'February 2026'!A1" display="'February 2026'!A1" xr:uid="{D82C4B58-2076-4A93-8FD9-3BCDFC9C426E}"/>
    <hyperlink ref="C10" location="'March 2026'!A1" display="'March 2026'!A1" xr:uid="{7E1D5C03-0459-49D3-88C1-BDE22816B4A2}"/>
    <hyperlink ref="C11" location="'April 2026'!A1" display="'April 2026'!A1" xr:uid="{B3145920-5382-49D6-8149-9D439B789D12}"/>
    <hyperlink ref="C12" location="'May 2026'!A1" display="'May 2026'!A1" xr:uid="{245E7DBA-D947-40F8-8F15-9915FFE1DD5E}"/>
    <hyperlink ref="C13" location="'June 2026'!A1" display="'June 2026'!A1" xr:uid="{D41A3630-A56F-4916-B1AA-C5C3695F19A8}"/>
    <hyperlink ref="C14" location="'July 2026'!A1" display="'July 2026'!A1" xr:uid="{8B58AC79-8F19-4849-BA55-1D38985B2EEB}"/>
    <hyperlink ref="C15" location="'August 2026'!A1" display="'August 2026'!A1" xr:uid="{6EA87317-B9C8-43E4-8AE8-6D1BF358572F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workbookViewId="0">
      <selection activeCell="A5" sqref="A5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5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5" x14ac:dyDescent="0.25">
      <c r="A2" s="6">
        <v>45881</v>
      </c>
      <c r="B2" s="3">
        <v>205</v>
      </c>
      <c r="C2" s="3">
        <v>0</v>
      </c>
      <c r="D2" s="3">
        <v>0</v>
      </c>
      <c r="F2" s="3">
        <f>SUM(B2:B35)</f>
        <v>610</v>
      </c>
      <c r="G2" s="3">
        <f>SUM(C2:C35)</f>
        <v>0</v>
      </c>
      <c r="H2" s="3">
        <f>SUM(D2:D35)</f>
        <v>24</v>
      </c>
      <c r="I2" s="3">
        <f>F2-G2</f>
        <v>610</v>
      </c>
      <c r="K2" s="3">
        <f>B2*-1</f>
        <v>-205</v>
      </c>
      <c r="O2" s="33"/>
    </row>
    <row r="3" spans="1:15" x14ac:dyDescent="0.25">
      <c r="A3" s="6">
        <v>45881</v>
      </c>
      <c r="B3" s="3">
        <v>0</v>
      </c>
      <c r="C3" s="3">
        <v>0</v>
      </c>
      <c r="D3" s="3">
        <v>10</v>
      </c>
      <c r="K3" s="3">
        <f t="shared" ref="K3:K27" si="0">B3*-1</f>
        <v>0</v>
      </c>
    </row>
    <row r="4" spans="1:15" x14ac:dyDescent="0.25">
      <c r="A4" s="6">
        <v>45882</v>
      </c>
      <c r="B4" s="3">
        <v>5</v>
      </c>
      <c r="C4" s="3">
        <v>0</v>
      </c>
      <c r="D4" s="3">
        <v>0</v>
      </c>
      <c r="K4" s="3">
        <f t="shared" si="0"/>
        <v>-5</v>
      </c>
    </row>
    <row r="5" spans="1:15" x14ac:dyDescent="0.25">
      <c r="A5" s="6">
        <v>45889</v>
      </c>
      <c r="B5" s="3">
        <v>0</v>
      </c>
      <c r="C5" s="3">
        <v>0</v>
      </c>
      <c r="D5" s="3">
        <v>10</v>
      </c>
      <c r="K5" s="3">
        <f t="shared" si="0"/>
        <v>0</v>
      </c>
    </row>
    <row r="6" spans="1:15" x14ac:dyDescent="0.25">
      <c r="A6" s="6">
        <v>45898</v>
      </c>
      <c r="B6" s="3">
        <v>200</v>
      </c>
      <c r="C6" s="3">
        <v>0</v>
      </c>
      <c r="D6" s="3">
        <v>0</v>
      </c>
      <c r="K6" s="3">
        <f t="shared" si="0"/>
        <v>-200</v>
      </c>
    </row>
    <row r="7" spans="1:15" x14ac:dyDescent="0.25">
      <c r="A7" s="6">
        <v>45917</v>
      </c>
      <c r="B7" s="3">
        <v>0</v>
      </c>
      <c r="C7" s="3">
        <v>0</v>
      </c>
      <c r="D7" s="3">
        <v>2</v>
      </c>
      <c r="K7" s="3">
        <f t="shared" si="0"/>
        <v>0</v>
      </c>
    </row>
    <row r="8" spans="1:15" x14ac:dyDescent="0.25">
      <c r="A8" s="6">
        <v>45929</v>
      </c>
      <c r="B8" s="3">
        <v>200</v>
      </c>
      <c r="C8" s="3">
        <v>0</v>
      </c>
      <c r="D8" s="3">
        <v>0</v>
      </c>
      <c r="K8" s="3">
        <f t="shared" si="0"/>
        <v>-200</v>
      </c>
    </row>
    <row r="9" spans="1:15" x14ac:dyDescent="0.25">
      <c r="A9" s="6">
        <v>45947</v>
      </c>
      <c r="B9" s="3">
        <v>0</v>
      </c>
      <c r="C9" s="3">
        <v>0</v>
      </c>
      <c r="D9" s="3">
        <v>2</v>
      </c>
      <c r="K9" s="3">
        <f t="shared" si="0"/>
        <v>0</v>
      </c>
    </row>
    <row r="10" spans="1:15" x14ac:dyDescent="0.25">
      <c r="A10" s="6"/>
      <c r="B10" s="3"/>
      <c r="C10" s="3"/>
      <c r="D10" s="3"/>
      <c r="K10" s="3"/>
    </row>
    <row r="11" spans="1:15" x14ac:dyDescent="0.25">
      <c r="A11" s="6"/>
      <c r="B11" s="3"/>
      <c r="C11" s="3"/>
      <c r="D11" s="3"/>
      <c r="K11" s="3"/>
    </row>
    <row r="12" spans="1:15" x14ac:dyDescent="0.25">
      <c r="A12" s="6"/>
      <c r="B12" s="3"/>
      <c r="C12" s="3"/>
      <c r="D12" s="3"/>
      <c r="K12" s="3"/>
    </row>
    <row r="13" spans="1:15" x14ac:dyDescent="0.25">
      <c r="A13" s="6"/>
      <c r="B13" s="3"/>
      <c r="C13" s="3"/>
      <c r="D13" s="3"/>
      <c r="K13" s="3"/>
    </row>
    <row r="14" spans="1:15" x14ac:dyDescent="0.25">
      <c r="A14" s="6"/>
      <c r="B14" s="3"/>
      <c r="C14" s="3"/>
      <c r="D14" s="3"/>
      <c r="K14" s="3"/>
    </row>
    <row r="15" spans="1:15" x14ac:dyDescent="0.25">
      <c r="A15" s="6"/>
      <c r="B15" s="3"/>
      <c r="C15" s="3"/>
      <c r="D15" s="3"/>
      <c r="K15" s="3"/>
    </row>
    <row r="16" spans="1:15" x14ac:dyDescent="0.25">
      <c r="A16" s="6"/>
      <c r="B16" s="3"/>
      <c r="C16" s="3"/>
      <c r="D16" s="3"/>
      <c r="K16" s="3"/>
    </row>
    <row r="17" spans="1:11" x14ac:dyDescent="0.25">
      <c r="A17" s="6"/>
      <c r="B17" s="3"/>
      <c r="C17" s="3"/>
      <c r="D17" s="3"/>
      <c r="K17" s="3"/>
    </row>
    <row r="18" spans="1:11" x14ac:dyDescent="0.25">
      <c r="A18" s="6"/>
      <c r="B18" s="3"/>
      <c r="C18" s="3"/>
      <c r="D18" s="3"/>
      <c r="K18" s="3"/>
    </row>
    <row r="19" spans="1:11" x14ac:dyDescent="0.25">
      <c r="A19" s="6"/>
      <c r="B19" s="3"/>
      <c r="C19" s="3"/>
      <c r="D19" s="3"/>
      <c r="K19" s="3"/>
    </row>
    <row r="20" spans="1:11" x14ac:dyDescent="0.25">
      <c r="A20" s="6"/>
      <c r="B20" s="3"/>
      <c r="C20" s="3"/>
      <c r="D20" s="3"/>
      <c r="K20" s="3"/>
    </row>
    <row r="21" spans="1:11" x14ac:dyDescent="0.25">
      <c r="A21" s="6"/>
      <c r="B21" s="3"/>
      <c r="C21" s="3"/>
      <c r="D21" s="3"/>
      <c r="K21" s="3"/>
    </row>
    <row r="22" spans="1:11" x14ac:dyDescent="0.25">
      <c r="A22" s="6"/>
      <c r="B22" s="3"/>
      <c r="C22" s="3"/>
      <c r="D22" s="3"/>
      <c r="K22" s="3"/>
    </row>
    <row r="23" spans="1:11" x14ac:dyDescent="0.25">
      <c r="A23" s="6"/>
      <c r="B23" s="3"/>
      <c r="C23" s="3"/>
      <c r="D23" s="2"/>
      <c r="K23" s="3"/>
    </row>
    <row r="24" spans="1:11" x14ac:dyDescent="0.25">
      <c r="A24" s="6"/>
      <c r="B24" s="3"/>
      <c r="C24" s="3"/>
      <c r="D24" s="3"/>
      <c r="K24" s="3"/>
    </row>
    <row r="25" spans="1:11" x14ac:dyDescent="0.25">
      <c r="A25" s="6"/>
      <c r="B25" s="3"/>
      <c r="C25" s="3"/>
      <c r="D25" s="3"/>
      <c r="K25" s="3"/>
    </row>
    <row r="26" spans="1:11" x14ac:dyDescent="0.25">
      <c r="A26" s="6"/>
      <c r="B26" s="1"/>
      <c r="C26" s="1"/>
      <c r="D26" s="1"/>
      <c r="K26" s="3"/>
    </row>
    <row r="27" spans="1:11" x14ac:dyDescent="0.25">
      <c r="A27" s="6"/>
      <c r="B27" s="1"/>
      <c r="C27" s="1"/>
      <c r="D27" s="1"/>
      <c r="K27" s="3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46243</v>
      </c>
      <c r="B200" s="1"/>
      <c r="C200" s="1"/>
      <c r="D200" s="1"/>
      <c r="K200" s="25">
        <f>Overview!W3</f>
        <v>678.49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5D5DD-CBD2-4FD8-9F41-16B9523FDC2D}">
  <dimension ref="A1:Z53"/>
  <sheetViews>
    <sheetView zoomScaleNormal="100" workbookViewId="0">
      <selection activeCell="B25" sqref="B2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32" t="s">
        <v>24</v>
      </c>
      <c r="E2" s="32" t="s">
        <v>25</v>
      </c>
      <c r="F2" s="31" t="s">
        <v>29</v>
      </c>
      <c r="G2" s="32" t="s">
        <v>13</v>
      </c>
      <c r="H2" s="32" t="s">
        <v>14</v>
      </c>
      <c r="I2" s="32" t="s">
        <v>18</v>
      </c>
      <c r="J2" s="9"/>
      <c r="K2" s="32" t="s">
        <v>0</v>
      </c>
      <c r="L2" s="32" t="s">
        <v>1</v>
      </c>
      <c r="M2" s="32" t="s">
        <v>27</v>
      </c>
      <c r="N2" s="32" t="s">
        <v>22</v>
      </c>
      <c r="O2" s="32" t="s">
        <v>2</v>
      </c>
      <c r="P2" s="32" t="s">
        <v>30</v>
      </c>
      <c r="Q2" s="32" t="s">
        <v>29</v>
      </c>
      <c r="X2" s="32" t="s">
        <v>2</v>
      </c>
      <c r="Y2" s="32" t="s">
        <v>23</v>
      </c>
      <c r="Z2" s="32" t="s">
        <v>30</v>
      </c>
    </row>
    <row r="3" spans="1:26" x14ac:dyDescent="0.25">
      <c r="A3" s="5" t="s">
        <v>31</v>
      </c>
      <c r="B3" s="6" t="s">
        <v>42</v>
      </c>
      <c r="D3" s="6">
        <v>46270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46241</v>
      </c>
      <c r="Y3" s="3">
        <f>B16*-1</f>
        <v>-185.68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46300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46331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46361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46392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46423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46241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180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185.68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46239</v>
      </c>
      <c r="E3" s="6">
        <v>46239</v>
      </c>
      <c r="F3" s="18">
        <f t="shared" ref="F3:F52" si="0">IF(E3&gt;0,E3-D3,"")</f>
        <v>0</v>
      </c>
      <c r="G3" s="3">
        <v>1.72</v>
      </c>
      <c r="H3" s="3">
        <v>0</v>
      </c>
      <c r="I3" s="3">
        <v>0</v>
      </c>
      <c r="J3" s="13"/>
      <c r="K3" s="3">
        <f>G53</f>
        <v>1.72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-71.86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46270</v>
      </c>
      <c r="E4" s="6"/>
      <c r="F4" s="18" t="str">
        <f t="shared" si="0"/>
        <v/>
      </c>
      <c r="G4" s="3"/>
      <c r="H4" s="3"/>
      <c r="I4" s="3"/>
      <c r="J4" s="9"/>
      <c r="X4" s="6">
        <f>E3</f>
        <v>46239</v>
      </c>
      <c r="Y4" s="3">
        <f>G3+H3-I3</f>
        <v>1.72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149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71.86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1.72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7">
      <formula>$Z$3="+"</formula>
    </cfRule>
  </conditionalFormatting>
  <conditionalFormatting sqref="Z3">
    <cfRule type="expression" dxfId="4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J4" sqref="J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46209</v>
      </c>
      <c r="E3" s="6">
        <v>46209</v>
      </c>
      <c r="F3" s="18">
        <f t="shared" ref="F3:F52" si="0">IF(E3&gt;0,E3-D3,"")</f>
        <v>0</v>
      </c>
      <c r="G3" s="3">
        <v>4.1399999999999997</v>
      </c>
      <c r="H3" s="3">
        <v>0</v>
      </c>
      <c r="I3" s="3">
        <v>0</v>
      </c>
      <c r="J3" s="13"/>
      <c r="K3" s="3">
        <f>G53</f>
        <v>8.2799999999999994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-69.010000000000005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46239</v>
      </c>
      <c r="E4" s="6">
        <v>46239</v>
      </c>
      <c r="F4" s="18">
        <v>0</v>
      </c>
      <c r="G4" s="3">
        <v>4.1399999999999997</v>
      </c>
      <c r="H4" s="3">
        <v>0</v>
      </c>
      <c r="I4" s="3">
        <v>0</v>
      </c>
      <c r="J4" s="9"/>
      <c r="X4" s="6">
        <f>E3</f>
        <v>46209</v>
      </c>
      <c r="Y4" s="3">
        <f>G3+H3-I3</f>
        <v>4.1399999999999997</v>
      </c>
    </row>
    <row r="5" spans="1:26" x14ac:dyDescent="0.25">
      <c r="A5" s="5"/>
      <c r="B5" s="6"/>
      <c r="D5" s="6">
        <v>46270</v>
      </c>
      <c r="E5" s="6"/>
      <c r="F5" s="18" t="str">
        <f t="shared" si="0"/>
        <v/>
      </c>
      <c r="G5" s="3"/>
      <c r="H5" s="3"/>
      <c r="I5" s="3"/>
      <c r="J5" s="9"/>
      <c r="X5" s="6">
        <f t="shared" ref="X5:X52" si="1">E4</f>
        <v>46239</v>
      </c>
      <c r="Y5" s="3">
        <f t="shared" ref="Y5:Y52" si="2">G4+H4-I4</f>
        <v>4.1399999999999997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69.010000000000005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8.2799999999999994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7">
      <formula>$Z$3="+"</formula>
    </cfRule>
  </conditionalFormatting>
  <conditionalFormatting sqref="Z3">
    <cfRule type="expression" dxfId="4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J5" sqref="J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46178</v>
      </c>
      <c r="E3" s="6">
        <v>46178</v>
      </c>
      <c r="F3" s="18">
        <f t="shared" ref="F3:F52" si="0">IF(E3&gt;0,E3-D3,"")</f>
        <v>0</v>
      </c>
      <c r="G3" s="3">
        <v>6.13</v>
      </c>
      <c r="H3" s="3">
        <v>0</v>
      </c>
      <c r="I3" s="3">
        <v>0</v>
      </c>
      <c r="J3" s="13"/>
      <c r="K3" s="3">
        <f>G53</f>
        <v>18.39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-65.53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46209</v>
      </c>
      <c r="E4" s="6">
        <v>46209</v>
      </c>
      <c r="F4" s="18">
        <f t="shared" si="0"/>
        <v>0</v>
      </c>
      <c r="G4" s="2">
        <v>6.13</v>
      </c>
      <c r="H4" s="3">
        <v>0</v>
      </c>
      <c r="I4" s="3">
        <v>0</v>
      </c>
      <c r="J4" s="9"/>
      <c r="X4" s="6">
        <f>E3</f>
        <v>46178</v>
      </c>
      <c r="Y4" s="3">
        <f>G3+H3-I3</f>
        <v>6.13</v>
      </c>
    </row>
    <row r="5" spans="1:26" x14ac:dyDescent="0.25">
      <c r="A5" s="5"/>
      <c r="B5" s="6"/>
      <c r="D5" s="6">
        <v>46239</v>
      </c>
      <c r="E5" s="6">
        <v>46239</v>
      </c>
      <c r="F5" s="18">
        <f t="shared" si="0"/>
        <v>0</v>
      </c>
      <c r="G5" s="3">
        <v>6.13</v>
      </c>
      <c r="H5" s="3">
        <v>0</v>
      </c>
      <c r="I5" s="3">
        <v>0</v>
      </c>
      <c r="J5" s="9"/>
      <c r="X5" s="6">
        <f t="shared" ref="X5:X52" si="1">E4</f>
        <v>46209</v>
      </c>
      <c r="Y5" s="3">
        <f t="shared" ref="Y5:Y52" si="2">G4+H4-I4</f>
        <v>6.13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46239</v>
      </c>
      <c r="Y6" s="3">
        <f t="shared" si="2"/>
        <v>6.13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88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65.53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18.39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7">
      <formula>$Z$3="+"</formula>
    </cfRule>
  </conditionalFormatting>
  <conditionalFormatting sqref="Z3">
    <cfRule type="expression" dxfId="3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J6" sqref="J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46147</v>
      </c>
      <c r="E3" s="6">
        <v>46147</v>
      </c>
      <c r="F3" s="18">
        <f t="shared" ref="F3:F52" si="0">IF(E3&gt;0,E3-D3,"")</f>
        <v>0</v>
      </c>
      <c r="G3" s="3">
        <v>10.8</v>
      </c>
      <c r="H3" s="3">
        <v>0</v>
      </c>
      <c r="I3" s="3">
        <v>0</v>
      </c>
      <c r="J3" s="13"/>
      <c r="K3" s="3">
        <f>G53</f>
        <v>43.2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-205.39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46178</v>
      </c>
      <c r="E4" s="6">
        <v>46178</v>
      </c>
      <c r="F4" s="18">
        <f t="shared" si="0"/>
        <v>0</v>
      </c>
      <c r="G4" s="3">
        <v>10.8</v>
      </c>
      <c r="H4" s="3">
        <v>0</v>
      </c>
      <c r="I4" s="3">
        <v>0</v>
      </c>
      <c r="J4" s="9"/>
      <c r="X4" s="6">
        <f>E3</f>
        <v>46147</v>
      </c>
      <c r="Y4" s="3">
        <f>G3+H3-I3</f>
        <v>10.8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10.8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10.8</v>
      </c>
    </row>
    <row r="6" spans="1:26" x14ac:dyDescent="0.25">
      <c r="A6" s="5"/>
      <c r="B6" s="6"/>
      <c r="D6" s="6">
        <v>46239</v>
      </c>
      <c r="E6" s="6">
        <v>46239</v>
      </c>
      <c r="F6" s="18">
        <f t="shared" si="0"/>
        <v>0</v>
      </c>
      <c r="G6" s="3">
        <v>10.8</v>
      </c>
      <c r="H6" s="3">
        <v>0</v>
      </c>
      <c r="I6" s="3">
        <v>0</v>
      </c>
      <c r="J6" s="9"/>
      <c r="X6" s="6">
        <f t="shared" si="1"/>
        <v>46209</v>
      </c>
      <c r="Y6" s="3">
        <f t="shared" si="2"/>
        <v>10.8</v>
      </c>
    </row>
    <row r="7" spans="1:26" x14ac:dyDescent="0.25">
      <c r="A7" s="5"/>
      <c r="B7" s="6"/>
      <c r="D7" s="6">
        <v>46270</v>
      </c>
      <c r="E7" s="6"/>
      <c r="F7" s="18" t="str">
        <f t="shared" si="0"/>
        <v/>
      </c>
      <c r="G7" s="3"/>
      <c r="H7" s="3"/>
      <c r="I7" s="3"/>
      <c r="J7" s="13"/>
      <c r="X7" s="6">
        <f t="shared" si="1"/>
        <v>46239</v>
      </c>
      <c r="Y7" s="3">
        <f t="shared" si="2"/>
        <v>10.8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57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205.39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43.2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7">
      <formula>$Z$3="+"</formula>
    </cfRule>
  </conditionalFormatting>
  <conditionalFormatting sqref="Z3">
    <cfRule type="expression" dxfId="3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dimension ref="A1:Z53"/>
  <sheetViews>
    <sheetView zoomScaleNormal="100"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46118</v>
      </c>
      <c r="E3" s="6">
        <v>46118</v>
      </c>
      <c r="F3" s="18">
        <f t="shared" ref="F3:F52" si="0">IF(E3&gt;0,E3-D3,"")</f>
        <v>0</v>
      </c>
      <c r="G3" s="3">
        <v>9.6199999999999992</v>
      </c>
      <c r="H3" s="3">
        <v>0</v>
      </c>
      <c r="I3" s="3">
        <v>0</v>
      </c>
      <c r="J3" s="13"/>
      <c r="K3" s="3">
        <f>G53</f>
        <v>47.8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-200.38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46147</v>
      </c>
      <c r="E4" s="6">
        <v>46147</v>
      </c>
      <c r="F4" s="18">
        <f t="shared" si="0"/>
        <v>0</v>
      </c>
      <c r="G4" s="2">
        <v>9.6199999999999992</v>
      </c>
      <c r="H4" s="3">
        <v>0</v>
      </c>
      <c r="I4" s="3">
        <v>0</v>
      </c>
      <c r="J4" s="9"/>
      <c r="X4" s="6">
        <f>E3</f>
        <v>46118</v>
      </c>
      <c r="Y4" s="3">
        <f>G3+H3-I3</f>
        <v>9.6199999999999992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2">
        <v>9.6199999999999992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9.6199999999999992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9.6199999999999992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9.6199999999999992</v>
      </c>
    </row>
    <row r="7" spans="1:26" x14ac:dyDescent="0.25">
      <c r="A7" s="5"/>
      <c r="B7" s="6"/>
      <c r="D7" s="6">
        <v>46239</v>
      </c>
      <c r="E7" s="6">
        <v>46239</v>
      </c>
      <c r="F7" s="18">
        <f t="shared" si="0"/>
        <v>0</v>
      </c>
      <c r="G7" s="3">
        <v>9.32</v>
      </c>
      <c r="H7" s="3">
        <v>0</v>
      </c>
      <c r="I7" s="3">
        <v>0</v>
      </c>
      <c r="J7" s="13"/>
      <c r="X7" s="6">
        <f t="shared" si="1"/>
        <v>46209</v>
      </c>
      <c r="Y7" s="3">
        <f t="shared" si="2"/>
        <v>9.6199999999999992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46239</v>
      </c>
      <c r="Y8" s="3">
        <f t="shared" si="2"/>
        <v>9.32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27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200.38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47.8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46086</v>
      </c>
      <c r="E3" s="6">
        <v>46086</v>
      </c>
      <c r="F3" s="18">
        <f t="shared" ref="F3:F52" si="0">IF(E3&gt;0,E3-D3,"")</f>
        <v>0</v>
      </c>
      <c r="G3" s="3">
        <v>10.86</v>
      </c>
      <c r="H3" s="3">
        <v>0</v>
      </c>
      <c r="I3" s="3">
        <v>0</v>
      </c>
      <c r="J3" s="13"/>
      <c r="K3" s="3">
        <f>G53</f>
        <v>198.85</v>
      </c>
      <c r="L3" s="3">
        <f>H53</f>
        <v>8.85</v>
      </c>
      <c r="M3" s="3">
        <f>I53</f>
        <v>0</v>
      </c>
      <c r="N3" s="7">
        <f>IF(B16=K3,XIRR(Y3:Y52,X3:X52),"")</f>
        <v>0.10662775635719302</v>
      </c>
      <c r="O3" s="6">
        <f>IF(B16=K3,MAX(E:E),"")</f>
        <v>46239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46058</v>
      </c>
      <c r="Y3" s="3">
        <f>B16*-1</f>
        <v>-198.85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46118</v>
      </c>
      <c r="E4" s="6">
        <v>46118</v>
      </c>
      <c r="F4" s="18">
        <f t="shared" si="0"/>
        <v>0</v>
      </c>
      <c r="G4" s="2">
        <v>10.76</v>
      </c>
      <c r="H4" s="3">
        <v>0</v>
      </c>
      <c r="I4" s="3">
        <v>0</v>
      </c>
      <c r="J4" s="9"/>
      <c r="X4" s="6">
        <f>E3</f>
        <v>46086</v>
      </c>
      <c r="Y4" s="3">
        <f>G3+H3-I3</f>
        <v>10.86</v>
      </c>
    </row>
    <row r="5" spans="1:26" x14ac:dyDescent="0.25">
      <c r="A5" s="5"/>
      <c r="B5" s="6"/>
      <c r="D5" s="6">
        <v>46147</v>
      </c>
      <c r="E5" s="6">
        <v>46147</v>
      </c>
      <c r="F5" s="18">
        <v>0</v>
      </c>
      <c r="G5" s="2">
        <v>10.96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10.76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2">
        <v>10.76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10.96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2">
        <v>10.76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10.76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>
        <v>46239</v>
      </c>
      <c r="F8" s="18">
        <f t="shared" si="0"/>
        <v>0</v>
      </c>
      <c r="G8" s="2">
        <v>144.75</v>
      </c>
      <c r="H8" s="3">
        <v>8.85</v>
      </c>
      <c r="I8" s="3">
        <v>0</v>
      </c>
      <c r="J8" s="9"/>
      <c r="X8" s="6">
        <f t="shared" si="1"/>
        <v>46209</v>
      </c>
      <c r="Y8" s="3">
        <f t="shared" si="2"/>
        <v>10.76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46239</v>
      </c>
      <c r="Y9" s="3">
        <f t="shared" si="2"/>
        <v>153.6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198.85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198.85</v>
      </c>
      <c r="H53" s="3">
        <f t="shared" ref="H53:I53" si="3">SUM(H3:H52)</f>
        <v>8.85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I14" sqref="I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46058</v>
      </c>
      <c r="E3" s="6">
        <v>46058</v>
      </c>
      <c r="F3" s="18">
        <f t="shared" ref="F3:F52" si="0">IF(E3&gt;0,E3-D3,"")</f>
        <v>0</v>
      </c>
      <c r="G3" s="3">
        <v>2.2599999999999998</v>
      </c>
      <c r="H3" s="3">
        <v>0</v>
      </c>
      <c r="I3" s="3">
        <v>0</v>
      </c>
      <c r="J3" s="13"/>
      <c r="K3" s="3">
        <f>G53</f>
        <v>39.949999999999996</v>
      </c>
      <c r="L3" s="3">
        <f>H53</f>
        <v>1.77</v>
      </c>
      <c r="M3" s="3">
        <f>I53</f>
        <v>0</v>
      </c>
      <c r="N3" s="7">
        <f>IF(B16=K3,XIRR(Y3:Y52,X3:X52),"")</f>
        <v>0.10611786246299745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-39.950000000000003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46086</v>
      </c>
      <c r="E4" s="6">
        <v>46086</v>
      </c>
      <c r="F4" s="18">
        <f t="shared" si="0"/>
        <v>0</v>
      </c>
      <c r="G4" s="2">
        <v>2.2599999999999998</v>
      </c>
      <c r="H4" s="3">
        <v>0</v>
      </c>
      <c r="I4" s="3">
        <v>0</v>
      </c>
      <c r="J4" s="9"/>
      <c r="X4" s="6">
        <f>E3</f>
        <v>46058</v>
      </c>
      <c r="Y4" s="3">
        <f>G3+H3-I3</f>
        <v>2.2599999999999998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2">
        <v>2.2599999999999998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2.2599999999999998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2.2599999999999998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2.2599999999999998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2">
        <v>2.2599999999999998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2.2599999999999998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28.65</v>
      </c>
      <c r="H8" s="3">
        <v>1.77</v>
      </c>
      <c r="I8" s="3">
        <v>0</v>
      </c>
      <c r="J8" s="9"/>
      <c r="X8" s="6">
        <f t="shared" si="1"/>
        <v>46178</v>
      </c>
      <c r="Y8" s="3">
        <f t="shared" si="2"/>
        <v>2.2599999999999998</v>
      </c>
    </row>
    <row r="9" spans="1:26" x14ac:dyDescent="0.25">
      <c r="A9" s="5" t="s">
        <v>9</v>
      </c>
      <c r="B9" s="6">
        <v>46027</v>
      </c>
      <c r="D9" s="10"/>
      <c r="E9" s="10"/>
      <c r="F9" s="18"/>
      <c r="G9" s="3"/>
      <c r="H9" s="3"/>
      <c r="I9" s="3"/>
      <c r="J9" s="13"/>
      <c r="X9" s="6">
        <f t="shared" si="1"/>
        <v>46209</v>
      </c>
      <c r="Y9" s="3">
        <f t="shared" si="2"/>
        <v>30.419999999999998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39.950000000000003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39.949999999999996</v>
      </c>
      <c r="H53" s="3">
        <f t="shared" ref="H53:I53" si="3">SUM(H3:H52)</f>
        <v>1.77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G8" sqref="G8: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46027</v>
      </c>
      <c r="E3" s="6">
        <v>46027</v>
      </c>
      <c r="F3" s="18">
        <f t="shared" ref="F3:F52" si="0">IF(E3&gt;0,E3-D3,"")</f>
        <v>0</v>
      </c>
      <c r="G3" s="3">
        <v>2.0299999999999998</v>
      </c>
      <c r="H3" s="3">
        <v>0</v>
      </c>
      <c r="I3" s="3">
        <v>0</v>
      </c>
      <c r="J3" s="13"/>
      <c r="K3" s="3">
        <f>G53</f>
        <v>37.92</v>
      </c>
      <c r="L3" s="3">
        <f>H53</f>
        <v>1.66</v>
      </c>
      <c r="M3" s="3">
        <f>I53</f>
        <v>0</v>
      </c>
      <c r="N3" s="7">
        <f>IF(B16=K3,XIRR(Y3:Y52,X3:X52),"")</f>
        <v>0.10373992323875425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-37.92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46058</v>
      </c>
      <c r="E4" s="6">
        <v>46058</v>
      </c>
      <c r="F4" s="18">
        <f t="shared" si="0"/>
        <v>0</v>
      </c>
      <c r="G4" s="2">
        <v>2.0299999999999998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2.0299999999999998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f t="shared" si="0"/>
        <v>0</v>
      </c>
      <c r="G5" s="2">
        <v>2.0299999999999998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2.0299999999999998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2">
        <v>2.0299999999999998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2.0299999999999998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2">
        <v>2.0299999999999998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2.0299999999999998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27.77</v>
      </c>
      <c r="H8" s="3">
        <v>1.66</v>
      </c>
      <c r="I8" s="3">
        <v>0</v>
      </c>
      <c r="J8" s="9"/>
      <c r="X8" s="6">
        <f t="shared" si="1"/>
        <v>46147</v>
      </c>
      <c r="Y8" s="3">
        <f t="shared" si="2"/>
        <v>2.0299999999999998</v>
      </c>
    </row>
    <row r="9" spans="1:26" x14ac:dyDescent="0.25">
      <c r="A9" s="5" t="s">
        <v>9</v>
      </c>
      <c r="B9" s="6">
        <v>45996</v>
      </c>
      <c r="D9" s="10"/>
      <c r="E9" s="10"/>
      <c r="F9" s="18"/>
      <c r="G9" s="3"/>
      <c r="H9" s="3"/>
      <c r="I9" s="3"/>
      <c r="J9" s="13"/>
      <c r="X9" s="6">
        <f t="shared" si="1"/>
        <v>46178</v>
      </c>
      <c r="Y9" s="3">
        <f t="shared" si="2"/>
        <v>29.43</v>
      </c>
    </row>
    <row r="10" spans="1:26" x14ac:dyDescent="0.25">
      <c r="A10" s="5" t="s">
        <v>33</v>
      </c>
      <c r="B10" s="6">
        <v>46008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37.92</v>
      </c>
      <c r="H53" s="3">
        <f t="shared" ref="H53:I53" si="3">SUM(H3:H52)</f>
        <v>1.66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13" sqref="H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45996</v>
      </c>
      <c r="E3" s="6">
        <v>45996</v>
      </c>
      <c r="F3" s="18">
        <f t="shared" ref="F3:F52" si="0">IF(E3&gt;0,E3-D3,"")</f>
        <v>0</v>
      </c>
      <c r="G3" s="3">
        <v>1.95</v>
      </c>
      <c r="H3" s="3">
        <v>0</v>
      </c>
      <c r="I3" s="3">
        <v>0</v>
      </c>
      <c r="J3" s="13"/>
      <c r="K3" s="3">
        <f>G53</f>
        <v>37.97</v>
      </c>
      <c r="L3" s="3">
        <f>H53</f>
        <v>1.64</v>
      </c>
      <c r="M3" s="3">
        <f>I53</f>
        <v>0</v>
      </c>
      <c r="N3" s="7">
        <f>IF(B16=K3,XIRR(Y3:Y52,X3:X52),"")</f>
        <v>0.10221806168556213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-37.97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46027</v>
      </c>
      <c r="E4" s="6">
        <v>46027</v>
      </c>
      <c r="F4" s="18">
        <f t="shared" si="0"/>
        <v>0</v>
      </c>
      <c r="G4" s="2">
        <v>1.95</v>
      </c>
      <c r="H4" s="3">
        <v>0</v>
      </c>
      <c r="I4" s="3">
        <v>0</v>
      </c>
      <c r="J4" s="9"/>
      <c r="X4" s="6">
        <f>E3</f>
        <v>45996</v>
      </c>
      <c r="Y4" s="3">
        <f>G3+H3-I3</f>
        <v>1.95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2">
        <v>1.95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1.95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2">
        <v>1.95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1.95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2">
        <v>1.95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1.95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28.22</v>
      </c>
      <c r="H8" s="3">
        <v>1.64</v>
      </c>
      <c r="I8" s="3">
        <v>0</v>
      </c>
      <c r="J8" s="9"/>
      <c r="X8" s="6">
        <f t="shared" si="1"/>
        <v>46118</v>
      </c>
      <c r="Y8" s="3">
        <f t="shared" si="2"/>
        <v>1.95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2"/>
      <c r="H9" s="3"/>
      <c r="I9" s="3"/>
      <c r="J9" s="13"/>
      <c r="X9" s="6">
        <f t="shared" si="1"/>
        <v>46147</v>
      </c>
      <c r="Y9" s="3">
        <f t="shared" si="2"/>
        <v>29.86</v>
      </c>
    </row>
    <row r="10" spans="1:26" x14ac:dyDescent="0.25">
      <c r="A10" s="5" t="s">
        <v>33</v>
      </c>
      <c r="B10" s="6">
        <v>45978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37.97</v>
      </c>
      <c r="H53" s="3">
        <f t="shared" ref="H53:I53" si="3">SUM(H3:H52)</f>
        <v>1.64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45966</v>
      </c>
      <c r="E3" s="6">
        <v>45966</v>
      </c>
      <c r="F3" s="18">
        <f t="shared" ref="F3:F52" si="0">IF(E3&gt;0,E3-D3,"")</f>
        <v>0</v>
      </c>
      <c r="G3" s="2">
        <v>11.55</v>
      </c>
      <c r="H3" s="3">
        <v>0</v>
      </c>
      <c r="I3" s="3">
        <v>0</v>
      </c>
      <c r="J3" s="13"/>
      <c r="K3" s="3">
        <f>G53</f>
        <v>226.42</v>
      </c>
      <c r="L3" s="3">
        <f>H53</f>
        <v>10.1</v>
      </c>
      <c r="M3" s="3">
        <f>I53</f>
        <v>0</v>
      </c>
      <c r="N3" s="7">
        <f>IF(B16=K3,XIRR(Y3:Y52,X3:X52),"")</f>
        <v>0.10508826375007632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-226.42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45996</v>
      </c>
      <c r="E4" s="6">
        <v>45996</v>
      </c>
      <c r="F4" s="18">
        <f t="shared" si="0"/>
        <v>0</v>
      </c>
      <c r="G4" s="2">
        <v>11.55</v>
      </c>
      <c r="H4" s="3">
        <v>0</v>
      </c>
      <c r="I4" s="3">
        <v>0</v>
      </c>
      <c r="J4" s="9"/>
      <c r="X4" s="6">
        <f>E3</f>
        <v>45966</v>
      </c>
      <c r="Y4" s="3">
        <f>G3+H3-I3</f>
        <v>11.55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2">
        <v>11.55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11.55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11.55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11.55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2">
        <v>11.55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11.55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3">
        <v>168.67</v>
      </c>
      <c r="H8" s="3">
        <v>10.1</v>
      </c>
      <c r="I8" s="3">
        <v>0</v>
      </c>
      <c r="J8" s="9"/>
      <c r="X8" s="6">
        <f t="shared" si="1"/>
        <v>46086</v>
      </c>
      <c r="Y8" s="3">
        <f t="shared" si="2"/>
        <v>11.55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2"/>
      <c r="J9" s="13"/>
      <c r="X9" s="6">
        <f t="shared" si="1"/>
        <v>46118</v>
      </c>
      <c r="Y9" s="3">
        <f t="shared" si="2"/>
        <v>178.76999999999998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226.42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226.42</v>
      </c>
      <c r="H53" s="3">
        <f t="shared" ref="H53:I53" si="3">SUM(H3:H52)</f>
        <v>10.1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0">
      <formula>$Z$3="+"</formula>
    </cfRule>
  </conditionalFormatting>
  <conditionalFormatting sqref="Z3">
    <cfRule type="expression" dxfId="8" priority="11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45936</v>
      </c>
      <c r="E3" s="6">
        <v>45936</v>
      </c>
      <c r="F3" s="18">
        <f t="shared" ref="F3:F52" si="0">IF(E3&gt;0,E3-D3,"")</f>
        <v>0</v>
      </c>
      <c r="G3" s="2">
        <v>12.14</v>
      </c>
      <c r="H3" s="3">
        <v>0</v>
      </c>
      <c r="I3" s="3">
        <v>0</v>
      </c>
      <c r="J3" s="13"/>
      <c r="K3" s="3">
        <f>G53</f>
        <v>222.28000000000003</v>
      </c>
      <c r="L3" s="3">
        <f>H53</f>
        <v>10.15</v>
      </c>
      <c r="M3" s="3">
        <f>I53</f>
        <v>0</v>
      </c>
      <c r="N3" s="7">
        <f>IF(B16=K3,XIRR(Y3:Y52,X3:X52),"")</f>
        <v>0.10912081599235535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-222.28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45966</v>
      </c>
      <c r="E4" s="6">
        <v>45966</v>
      </c>
      <c r="F4" s="18">
        <f t="shared" si="0"/>
        <v>0</v>
      </c>
      <c r="G4" s="2">
        <v>12.14</v>
      </c>
      <c r="H4" s="3">
        <v>0</v>
      </c>
      <c r="I4" s="3">
        <v>0</v>
      </c>
      <c r="J4" s="9"/>
      <c r="X4" s="6">
        <f>E3</f>
        <v>45936</v>
      </c>
      <c r="Y4" s="3">
        <f>G3+H3-I3</f>
        <v>12.14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2">
        <v>12.14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12.14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2">
        <v>12.14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12.14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12.14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12.14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2">
        <v>161.58000000000001</v>
      </c>
      <c r="H8" s="3">
        <v>10.15</v>
      </c>
      <c r="I8" s="3">
        <v>0</v>
      </c>
      <c r="J8" s="9"/>
      <c r="X8" s="6">
        <f t="shared" si="1"/>
        <v>46058</v>
      </c>
      <c r="Y8" s="3">
        <f t="shared" si="2"/>
        <v>12.14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3"/>
      <c r="H9" s="2"/>
      <c r="I9" s="3"/>
      <c r="J9" s="13"/>
      <c r="X9" s="6">
        <f t="shared" si="1"/>
        <v>46086</v>
      </c>
      <c r="Y9" s="3">
        <f t="shared" si="2"/>
        <v>171.73000000000002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222.28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222.28000000000003</v>
      </c>
      <c r="H53" s="3">
        <f t="shared" ref="H53:I53" si="3">SUM(H3:H52)</f>
        <v>10.15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2" t="s">
        <v>46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45905</v>
      </c>
      <c r="E3" s="6">
        <v>45905</v>
      </c>
      <c r="F3" s="18">
        <f t="shared" ref="F3:F52" si="0">IF(E3&gt;0,E3-D3,"")</f>
        <v>0</v>
      </c>
      <c r="G3" s="3">
        <v>12.28</v>
      </c>
      <c r="H3" s="3">
        <v>0</v>
      </c>
      <c r="I3" s="3">
        <v>0</v>
      </c>
      <c r="J3" s="13"/>
      <c r="K3" s="3">
        <f>G53</f>
        <v>220</v>
      </c>
      <c r="L3" s="3">
        <f>H53</f>
        <v>10.32</v>
      </c>
      <c r="M3" s="3">
        <f>I53</f>
        <v>0</v>
      </c>
      <c r="N3" s="7">
        <f>IF(B16=K3,XIRR(Y3:Y52,X3:X52),"")</f>
        <v>0.11085233092308044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-220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45936</v>
      </c>
      <c r="E4" s="6">
        <v>45936</v>
      </c>
      <c r="F4" s="18">
        <f t="shared" si="0"/>
        <v>0</v>
      </c>
      <c r="G4" s="3">
        <v>12.28</v>
      </c>
      <c r="H4" s="3">
        <v>0</v>
      </c>
      <c r="I4" s="3">
        <v>0</v>
      </c>
      <c r="J4" s="9"/>
      <c r="X4" s="6">
        <f>E3</f>
        <v>45905</v>
      </c>
      <c r="Y4" s="3">
        <f>G3+H3-I3</f>
        <v>12.28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12.28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12.28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12.28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12.28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3">
        <v>12.28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12.28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3">
        <v>158.6</v>
      </c>
      <c r="H8" s="2">
        <v>10.32</v>
      </c>
      <c r="I8" s="3">
        <v>0</v>
      </c>
      <c r="J8" s="9"/>
      <c r="X8" s="6">
        <f t="shared" si="1"/>
        <v>46027</v>
      </c>
      <c r="Y8" s="3">
        <f t="shared" si="2"/>
        <v>12.28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2"/>
      <c r="H9" s="3"/>
      <c r="I9" s="3"/>
      <c r="J9" s="13"/>
      <c r="X9" s="6">
        <f t="shared" si="1"/>
        <v>46058</v>
      </c>
      <c r="Y9" s="3">
        <f t="shared" si="2"/>
        <v>168.92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220</v>
      </c>
      <c r="H53" s="3">
        <f t="shared" ref="H53:I53" si="3">SUM(H3:H52)</f>
        <v>10.32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Pinigai</vt:lpstr>
      <vt:lpstr>August 2026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2026-08-09T17:58:06Z</dcterms:modified>
</cp:coreProperties>
</file>