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"/>
    </mc:Choice>
  </mc:AlternateContent>
  <xr:revisionPtr revIDLastSave="0" documentId="13_ncr:1_{B516F417-16B2-4AB9-8B8C-FA0D4CE878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5" i="7" l="1"/>
  <c r="DJ6" i="7"/>
  <c r="DJ7" i="7"/>
  <c r="DJ8" i="7"/>
  <c r="DJ9" i="7"/>
  <c r="DJ10" i="7"/>
  <c r="DJ11" i="7"/>
  <c r="DJ12" i="7"/>
  <c r="DJ13" i="7"/>
  <c r="DJ14" i="7"/>
  <c r="DJ15" i="7"/>
  <c r="DJ16" i="7"/>
  <c r="DJ17" i="7"/>
  <c r="DJ18" i="7"/>
  <c r="DJ19" i="7"/>
  <c r="DJ20" i="7"/>
  <c r="DJ21" i="7"/>
  <c r="DJ22" i="7"/>
  <c r="DJ23" i="7"/>
  <c r="DJ24" i="7"/>
  <c r="DJ25" i="7"/>
  <c r="DJ26" i="7"/>
  <c r="DJ27" i="7"/>
  <c r="DJ28" i="7"/>
  <c r="DJ29" i="7"/>
  <c r="DJ30" i="7"/>
  <c r="DJ31" i="7"/>
  <c r="DJ32" i="7"/>
  <c r="DJ33" i="7"/>
  <c r="DJ34" i="7"/>
  <c r="DJ35" i="7"/>
  <c r="DJ36" i="7"/>
  <c r="DJ37" i="7"/>
  <c r="DJ38" i="7"/>
  <c r="DJ39" i="7"/>
  <c r="DJ40" i="7"/>
  <c r="DJ41" i="7"/>
  <c r="DJ42" i="7"/>
  <c r="DJ43" i="7"/>
  <c r="DJ44" i="7"/>
  <c r="DJ45" i="7"/>
  <c r="DJ46" i="7"/>
  <c r="DJ47" i="7"/>
  <c r="DJ48" i="7"/>
  <c r="DJ49" i="7"/>
  <c r="DJ50" i="7"/>
  <c r="DJ51" i="7"/>
  <c r="DJ52" i="7"/>
  <c r="DJ53" i="7"/>
  <c r="DJ54" i="7"/>
  <c r="DJ55" i="7"/>
  <c r="DJ56" i="7"/>
  <c r="DJ57" i="7"/>
  <c r="DJ58" i="7"/>
  <c r="DJ59" i="7"/>
  <c r="DJ60" i="7"/>
  <c r="DJ61" i="7"/>
  <c r="DJ62" i="7"/>
  <c r="DJ63" i="7"/>
  <c r="DJ64" i="7"/>
  <c r="DJ4" i="7"/>
  <c r="DJ3" i="7"/>
  <c r="DJ2" i="7"/>
  <c r="CB5" i="7"/>
  <c r="CB6" i="7"/>
  <c r="CB7" i="7"/>
  <c r="CB8" i="7"/>
  <c r="CB9" i="7"/>
  <c r="CB10" i="7"/>
  <c r="CB11" i="7"/>
  <c r="CB12" i="7"/>
  <c r="CB13" i="7"/>
  <c r="CB14" i="7"/>
  <c r="CB15" i="7"/>
  <c r="CB16" i="7"/>
  <c r="CB17" i="7"/>
  <c r="CB18" i="7"/>
  <c r="CB19" i="7"/>
  <c r="CB20" i="7"/>
  <c r="CB21" i="7"/>
  <c r="CB22" i="7"/>
  <c r="CB23" i="7"/>
  <c r="CB24" i="7"/>
  <c r="CB25" i="7"/>
  <c r="CB26" i="7"/>
  <c r="CB27" i="7"/>
  <c r="CB28" i="7"/>
  <c r="CB29" i="7"/>
  <c r="CB30" i="7"/>
  <c r="CB31" i="7"/>
  <c r="CB32" i="7"/>
  <c r="CB33" i="7"/>
  <c r="CB34" i="7"/>
  <c r="CB35" i="7"/>
  <c r="CB36" i="7"/>
  <c r="CB37" i="7"/>
  <c r="CB38" i="7"/>
  <c r="CB39" i="7"/>
  <c r="CB40" i="7"/>
  <c r="CB41" i="7"/>
  <c r="CB42" i="7"/>
  <c r="CB43" i="7"/>
  <c r="CB44" i="7"/>
  <c r="CB45" i="7"/>
  <c r="CB46" i="7"/>
  <c r="CB47" i="7"/>
  <c r="CB48" i="7"/>
  <c r="CB49" i="7"/>
  <c r="CB50" i="7"/>
  <c r="CB51" i="7"/>
  <c r="CB52" i="7"/>
  <c r="CB53" i="7"/>
  <c r="CB54" i="7"/>
  <c r="CB55" i="7"/>
  <c r="CB56" i="7"/>
  <c r="CB57" i="7"/>
  <c r="CB58" i="7"/>
  <c r="CB59" i="7"/>
  <c r="CB60" i="7"/>
  <c r="CB61" i="7"/>
  <c r="CB62" i="7"/>
  <c r="CB63" i="7"/>
  <c r="CB64" i="7"/>
  <c r="BZ3" i="7"/>
  <c r="BZ4" i="7"/>
  <c r="BZ5" i="7"/>
  <c r="BZ6" i="7"/>
  <c r="BZ7" i="7"/>
  <c r="BZ8" i="7"/>
  <c r="BZ9" i="7"/>
  <c r="BZ10" i="7"/>
  <c r="BZ11" i="7"/>
  <c r="BZ12" i="7"/>
  <c r="BZ13" i="7"/>
  <c r="BZ14" i="7"/>
  <c r="BZ15" i="7"/>
  <c r="BZ16" i="7"/>
  <c r="BZ17" i="7"/>
  <c r="BZ18" i="7"/>
  <c r="BZ19" i="7"/>
  <c r="BZ20" i="7"/>
  <c r="BZ21" i="7"/>
  <c r="BZ22" i="7"/>
  <c r="BZ23" i="7"/>
  <c r="BZ24" i="7"/>
  <c r="BZ25" i="7"/>
  <c r="BZ26" i="7"/>
  <c r="BZ27" i="7"/>
  <c r="BZ28" i="7"/>
  <c r="BZ29" i="7"/>
  <c r="BZ30" i="7"/>
  <c r="BZ31" i="7"/>
  <c r="BZ32" i="7"/>
  <c r="BZ33" i="7"/>
  <c r="BZ34" i="7"/>
  <c r="BZ35" i="7"/>
  <c r="BZ36" i="7"/>
  <c r="BZ37" i="7"/>
  <c r="BZ38" i="7"/>
  <c r="BZ39" i="7"/>
  <c r="BZ40" i="7"/>
  <c r="BZ41" i="7"/>
  <c r="BZ42" i="7"/>
  <c r="BZ43" i="7"/>
  <c r="BZ44" i="7"/>
  <c r="BZ45" i="7"/>
  <c r="BZ46" i="7"/>
  <c r="BZ47" i="7"/>
  <c r="BZ48" i="7"/>
  <c r="BZ49" i="7"/>
  <c r="BZ50" i="7"/>
  <c r="BZ51" i="7"/>
  <c r="BZ52" i="7"/>
  <c r="BZ53" i="7"/>
  <c r="BZ54" i="7"/>
  <c r="BZ55" i="7"/>
  <c r="BZ56" i="7"/>
  <c r="BZ57" i="7"/>
  <c r="BZ58" i="7"/>
  <c r="BZ59" i="7"/>
  <c r="BZ60" i="7"/>
  <c r="BZ61" i="7"/>
  <c r="BZ62" i="7"/>
  <c r="BZ63" i="7"/>
  <c r="BZ64" i="7"/>
  <c r="BO64" i="7"/>
  <c r="BF64" i="7"/>
  <c r="G64" i="7" l="1"/>
  <c r="M64" i="7"/>
  <c r="S64" i="7"/>
  <c r="V64" i="7"/>
  <c r="Y64" i="7"/>
  <c r="AB64" i="7"/>
  <c r="AE64" i="7"/>
  <c r="AH64" i="7"/>
  <c r="AK64" i="7"/>
  <c r="AN64" i="7"/>
  <c r="AQ64" i="7"/>
  <c r="AT64" i="7"/>
  <c r="AW64" i="7"/>
  <c r="AZ64" i="7"/>
  <c r="BC64" i="7"/>
  <c r="BQ64" i="7"/>
  <c r="BR64" i="7"/>
  <c r="BT64" i="7"/>
  <c r="BY64" i="7"/>
  <c r="CG64" i="7"/>
  <c r="CO64" i="7"/>
  <c r="CQ64" i="7"/>
  <c r="CS64" i="7"/>
  <c r="CU64" i="7"/>
  <c r="CV64" i="7"/>
  <c r="CW64" i="7"/>
  <c r="CX64" i="7"/>
  <c r="CY64" i="7"/>
  <c r="CZ64" i="7"/>
  <c r="DA64" i="7"/>
  <c r="DB64" i="7"/>
  <c r="DC64" i="7"/>
  <c r="DD64" i="7"/>
  <c r="DE64" i="7"/>
  <c r="DF64" i="7"/>
  <c r="DG64" i="7"/>
  <c r="DH64" i="7"/>
  <c r="DI64" i="7"/>
  <c r="DK64" i="7"/>
  <c r="DK5" i="7"/>
  <c r="DK6" i="7"/>
  <c r="DK7" i="7"/>
  <c r="DK8" i="7"/>
  <c r="DK9" i="7"/>
  <c r="DK10" i="7"/>
  <c r="DK11" i="7"/>
  <c r="DK12" i="7"/>
  <c r="DK13" i="7"/>
  <c r="DK14" i="7"/>
  <c r="DK15" i="7"/>
  <c r="DK16" i="7"/>
  <c r="DK17" i="7"/>
  <c r="DK18" i="7"/>
  <c r="DK19" i="7"/>
  <c r="DK20" i="7"/>
  <c r="DK21" i="7"/>
  <c r="DK22" i="7"/>
  <c r="DK23" i="7"/>
  <c r="DK24" i="7"/>
  <c r="DK25" i="7"/>
  <c r="DK26" i="7"/>
  <c r="DK27" i="7"/>
  <c r="DK28" i="7"/>
  <c r="DK29" i="7"/>
  <c r="DK30" i="7"/>
  <c r="DK31" i="7"/>
  <c r="DK32" i="7"/>
  <c r="DK33" i="7"/>
  <c r="DK34" i="7"/>
  <c r="DK35" i="7"/>
  <c r="DK36" i="7"/>
  <c r="DK37" i="7"/>
  <c r="DK38" i="7"/>
  <c r="DK39" i="7"/>
  <c r="DK40" i="7"/>
  <c r="DK41" i="7"/>
  <c r="DK42" i="7"/>
  <c r="DK43" i="7"/>
  <c r="DK44" i="7"/>
  <c r="DK45" i="7"/>
  <c r="DK46" i="7"/>
  <c r="DK47" i="7"/>
  <c r="DK48" i="7"/>
  <c r="DK49" i="7"/>
  <c r="DK50" i="7"/>
  <c r="DK51" i="7"/>
  <c r="DK52" i="7"/>
  <c r="DK53" i="7"/>
  <c r="DK54" i="7"/>
  <c r="DK55" i="7"/>
  <c r="DK56" i="7"/>
  <c r="DK57" i="7"/>
  <c r="DK58" i="7"/>
  <c r="DK59" i="7"/>
  <c r="DK60" i="7"/>
  <c r="DK61" i="7"/>
  <c r="DK62" i="7"/>
  <c r="DK63" i="7"/>
  <c r="DK4" i="7"/>
  <c r="DK3" i="7"/>
  <c r="DK2" i="7"/>
  <c r="DI5" i="7"/>
  <c r="DI6" i="7"/>
  <c r="DI7" i="7"/>
  <c r="DI8" i="7"/>
  <c r="DI9" i="7"/>
  <c r="DI10" i="7"/>
  <c r="DI11" i="7"/>
  <c r="DI12" i="7"/>
  <c r="DI13" i="7"/>
  <c r="DI14" i="7"/>
  <c r="DI15" i="7"/>
  <c r="DI16" i="7"/>
  <c r="DI17" i="7"/>
  <c r="DI18" i="7"/>
  <c r="DI19" i="7"/>
  <c r="DI20" i="7"/>
  <c r="DI21" i="7"/>
  <c r="DI22" i="7"/>
  <c r="DI23" i="7"/>
  <c r="DI24" i="7"/>
  <c r="DI25" i="7"/>
  <c r="DI26" i="7"/>
  <c r="DI27" i="7"/>
  <c r="DI28" i="7"/>
  <c r="DI29" i="7"/>
  <c r="DI30" i="7"/>
  <c r="DI31" i="7"/>
  <c r="DI32" i="7"/>
  <c r="DI33" i="7"/>
  <c r="DI34" i="7"/>
  <c r="DI35" i="7"/>
  <c r="DI36" i="7"/>
  <c r="DI37" i="7"/>
  <c r="DI38" i="7"/>
  <c r="DI39" i="7"/>
  <c r="DI40" i="7"/>
  <c r="DI41" i="7"/>
  <c r="DI42" i="7"/>
  <c r="DI43" i="7"/>
  <c r="DI44" i="7"/>
  <c r="DI45" i="7"/>
  <c r="DI46" i="7"/>
  <c r="DI47" i="7"/>
  <c r="DI48" i="7"/>
  <c r="DI49" i="7"/>
  <c r="DI50" i="7"/>
  <c r="DI51" i="7"/>
  <c r="DI52" i="7"/>
  <c r="DI53" i="7"/>
  <c r="DI54" i="7"/>
  <c r="DI55" i="7"/>
  <c r="DI56" i="7"/>
  <c r="DI57" i="7"/>
  <c r="DI58" i="7"/>
  <c r="DI59" i="7"/>
  <c r="DI60" i="7"/>
  <c r="DI61" i="7"/>
  <c r="DI62" i="7"/>
  <c r="DI63" i="7"/>
  <c r="DI4" i="7"/>
  <c r="DI3" i="7"/>
  <c r="DI2" i="7"/>
  <c r="BU64" i="7" l="1"/>
  <c r="BV64" i="7" s="1"/>
  <c r="CC64" i="7"/>
  <c r="CD64" i="7" s="1"/>
  <c r="CH64" i="7"/>
  <c r="CJ64" i="7"/>
  <c r="CA64" i="7"/>
  <c r="CK64" i="7" l="1"/>
  <c r="CL64" i="7" s="1"/>
  <c r="CG3" i="7"/>
  <c r="CG4" i="7"/>
  <c r="CG5" i="7"/>
  <c r="CG6" i="7"/>
  <c r="CG7" i="7"/>
  <c r="CG8" i="7"/>
  <c r="CG9" i="7"/>
  <c r="CG10" i="7"/>
  <c r="CG11" i="7"/>
  <c r="CG12" i="7"/>
  <c r="CG13" i="7"/>
  <c r="CG14" i="7"/>
  <c r="CG15" i="7"/>
  <c r="CG16" i="7"/>
  <c r="CG17" i="7"/>
  <c r="CG18" i="7"/>
  <c r="CG19" i="7"/>
  <c r="CG20" i="7"/>
  <c r="CG21" i="7"/>
  <c r="CG22" i="7"/>
  <c r="CG23" i="7"/>
  <c r="CG24" i="7"/>
  <c r="CG25" i="7"/>
  <c r="CG26" i="7"/>
  <c r="CG27" i="7"/>
  <c r="CG28" i="7"/>
  <c r="CG29" i="7"/>
  <c r="CG30" i="7"/>
  <c r="CG31" i="7"/>
  <c r="CG32" i="7"/>
  <c r="CG33" i="7"/>
  <c r="CG34" i="7"/>
  <c r="CG35" i="7"/>
  <c r="CG36" i="7"/>
  <c r="CG37" i="7"/>
  <c r="CG38" i="7"/>
  <c r="CG39" i="7"/>
  <c r="CG40" i="7"/>
  <c r="CG41" i="7"/>
  <c r="CG42" i="7"/>
  <c r="CG43" i="7"/>
  <c r="CG44" i="7"/>
  <c r="CG45" i="7"/>
  <c r="CG46" i="7"/>
  <c r="CG47" i="7"/>
  <c r="CG48" i="7"/>
  <c r="CG49" i="7"/>
  <c r="CG50" i="7"/>
  <c r="CG51" i="7"/>
  <c r="CG52" i="7"/>
  <c r="CG53" i="7"/>
  <c r="CG54" i="7"/>
  <c r="CG55" i="7"/>
  <c r="CG56" i="7"/>
  <c r="CG57" i="7"/>
  <c r="CG58" i="7"/>
  <c r="CG59" i="7"/>
  <c r="CG60" i="7"/>
  <c r="CG61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CB3" i="7"/>
  <c r="CB4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D16" i="19"/>
  <c r="D15" i="19"/>
  <c r="D14" i="19"/>
  <c r="D13" i="19"/>
  <c r="D12" i="19"/>
  <c r="D11" i="19"/>
  <c r="D10" i="19"/>
  <c r="H10" i="19" s="1"/>
  <c r="D9" i="19"/>
  <c r="D8" i="19"/>
  <c r="D7" i="19"/>
  <c r="D6" i="19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A10" i="19"/>
  <c r="A9" i="19"/>
  <c r="A8" i="19"/>
  <c r="A7" i="19"/>
  <c r="A6" i="19"/>
  <c r="A5" i="19"/>
  <c r="G4" i="19"/>
  <c r="E4" i="19"/>
  <c r="J63" i="7"/>
  <c r="DG5" i="7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H2" i="7"/>
  <c r="BC63" i="7"/>
  <c r="BC62" i="7"/>
  <c r="BC61" i="7"/>
  <c r="H6" i="19" l="1"/>
  <c r="H7" i="19"/>
  <c r="H11" i="19"/>
  <c r="H17" i="19"/>
  <c r="H13" i="19"/>
  <c r="H15" i="19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Q63" i="7"/>
  <c r="BR63" i="7"/>
  <c r="BS64" i="7" s="1"/>
  <c r="CI64" i="7" s="1"/>
  <c r="BT63" i="7"/>
  <c r="BY63" i="7"/>
  <c r="CG63" i="7"/>
  <c r="CO63" i="7"/>
  <c r="CQ63" i="7"/>
  <c r="CR63" i="7"/>
  <c r="CS63" i="7"/>
  <c r="CU63" i="7"/>
  <c r="CV63" i="7"/>
  <c r="CW63" i="7"/>
  <c r="CX63" i="7"/>
  <c r="CY63" i="7"/>
  <c r="CZ63" i="7"/>
  <c r="DA63" i="7"/>
  <c r="DB63" i="7"/>
  <c r="DC63" i="7"/>
  <c r="DD63" i="7"/>
  <c r="DE63" i="7"/>
  <c r="DF63" i="7"/>
  <c r="DH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J63" i="7"/>
  <c r="CC63" i="7"/>
  <c r="CH63" i="7"/>
  <c r="BU63" i="7"/>
  <c r="BW64" i="7" s="1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Q62" i="7"/>
  <c r="BR62" i="7"/>
  <c r="BS63" i="7" s="1"/>
  <c r="BT62" i="7"/>
  <c r="BY62" i="7"/>
  <c r="CA63" i="7"/>
  <c r="CG62" i="7"/>
  <c r="CO62" i="7"/>
  <c r="CP62" i="7"/>
  <c r="CQ62" i="7"/>
  <c r="CR62" i="7"/>
  <c r="CS62" i="7"/>
  <c r="CT62" i="7"/>
  <c r="CU62" i="7"/>
  <c r="CX62" i="7"/>
  <c r="CV62" i="7"/>
  <c r="CY62" i="7"/>
  <c r="CW62" i="7"/>
  <c r="DD62" i="7"/>
  <c r="CZ62" i="7"/>
  <c r="DA62" i="7"/>
  <c r="DB62" i="7"/>
  <c r="DC62" i="7"/>
  <c r="DE62" i="7"/>
  <c r="DF62" i="7"/>
  <c r="DH6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4" i="7"/>
  <c r="CD63" i="7" l="1"/>
  <c r="CE64" i="7"/>
  <c r="H5" i="1"/>
  <c r="H5" i="8"/>
  <c r="CI63" i="7"/>
  <c r="CK63" i="7"/>
  <c r="BV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J62" i="7"/>
  <c r="CC62" i="7"/>
  <c r="CE63" i="7" s="1"/>
  <c r="CH62" i="7"/>
  <c r="BU62" i="7"/>
  <c r="BV62" i="7" s="1"/>
  <c r="CI3" i="7"/>
  <c r="CA62" i="7"/>
  <c r="BT4" i="7"/>
  <c r="BT5" i="7"/>
  <c r="BT6" i="7"/>
  <c r="BT7" i="7"/>
  <c r="BT8" i="7"/>
  <c r="BT9" i="7"/>
  <c r="BT10" i="7"/>
  <c r="BT11" i="7"/>
  <c r="BT12" i="7"/>
  <c r="BT13" i="7"/>
  <c r="BT14" i="7"/>
  <c r="BT15" i="7"/>
  <c r="BT16" i="7"/>
  <c r="BT17" i="7"/>
  <c r="BT18" i="7"/>
  <c r="BT19" i="7"/>
  <c r="BT20" i="7"/>
  <c r="BT21" i="7"/>
  <c r="BT22" i="7"/>
  <c r="BT23" i="7"/>
  <c r="BT24" i="7"/>
  <c r="BT25" i="7"/>
  <c r="BT26" i="7"/>
  <c r="BT27" i="7"/>
  <c r="BT28" i="7"/>
  <c r="BT29" i="7"/>
  <c r="BT30" i="7"/>
  <c r="BT31" i="7"/>
  <c r="BT32" i="7"/>
  <c r="BT33" i="7"/>
  <c r="BT34" i="7"/>
  <c r="BT35" i="7"/>
  <c r="BT36" i="7"/>
  <c r="BT37" i="7"/>
  <c r="BT38" i="7"/>
  <c r="BT39" i="7"/>
  <c r="BT40" i="7"/>
  <c r="BT41" i="7"/>
  <c r="BT42" i="7"/>
  <c r="BT43" i="7"/>
  <c r="BT44" i="7"/>
  <c r="BT45" i="7"/>
  <c r="BT46" i="7"/>
  <c r="BT47" i="7"/>
  <c r="BT48" i="7"/>
  <c r="BT49" i="7"/>
  <c r="BT50" i="7"/>
  <c r="BT51" i="7"/>
  <c r="BT52" i="7"/>
  <c r="BT53" i="7"/>
  <c r="BT54" i="7"/>
  <c r="BT55" i="7"/>
  <c r="BT56" i="7"/>
  <c r="BT57" i="7"/>
  <c r="BT58" i="7"/>
  <c r="BT59" i="7"/>
  <c r="BT60" i="7"/>
  <c r="BT61" i="7"/>
  <c r="BT3" i="7"/>
  <c r="BR4" i="7"/>
  <c r="BR5" i="7"/>
  <c r="BR6" i="7"/>
  <c r="BR7" i="7"/>
  <c r="BR8" i="7"/>
  <c r="BR9" i="7"/>
  <c r="BR10" i="7"/>
  <c r="BR11" i="7"/>
  <c r="BR12" i="7"/>
  <c r="BR13" i="7"/>
  <c r="BR14" i="7"/>
  <c r="BR15" i="7"/>
  <c r="BR16" i="7"/>
  <c r="BR17" i="7"/>
  <c r="BR18" i="7"/>
  <c r="BR19" i="7"/>
  <c r="BR20" i="7"/>
  <c r="BR21" i="7"/>
  <c r="BR22" i="7"/>
  <c r="BR23" i="7"/>
  <c r="BR24" i="7"/>
  <c r="BR25" i="7"/>
  <c r="BR26" i="7"/>
  <c r="BR27" i="7"/>
  <c r="BR28" i="7"/>
  <c r="BR29" i="7"/>
  <c r="BR30" i="7"/>
  <c r="BR31" i="7"/>
  <c r="BR32" i="7"/>
  <c r="BR33" i="7"/>
  <c r="BR34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58" i="7"/>
  <c r="BR59" i="7"/>
  <c r="BR60" i="7"/>
  <c r="BR61" i="7"/>
  <c r="BS62" i="7" s="1"/>
  <c r="BR3" i="7"/>
  <c r="DF3" i="7"/>
  <c r="DF2" i="7"/>
  <c r="AZ61" i="7"/>
  <c r="CL63" i="7" l="1"/>
  <c r="CM64" i="7"/>
  <c r="BW63" i="7"/>
  <c r="CA8" i="7"/>
  <c r="CC6" i="7"/>
  <c r="G31" i="1"/>
  <c r="H31" i="2"/>
  <c r="G31" i="2"/>
  <c r="H31" i="5"/>
  <c r="H31" i="8"/>
  <c r="H31" i="11"/>
  <c r="G31" i="11"/>
  <c r="H31" i="10"/>
  <c r="G31" i="10"/>
  <c r="CC29" i="7"/>
  <c r="H31" i="6"/>
  <c r="G31" i="6"/>
  <c r="G31" i="5"/>
  <c r="G31" i="4"/>
  <c r="CA18" i="7"/>
  <c r="H31" i="4"/>
  <c r="H31" i="9"/>
  <c r="G31" i="9"/>
  <c r="G31" i="8"/>
  <c r="CC21" i="7"/>
  <c r="CH60" i="7"/>
  <c r="CH56" i="7"/>
  <c r="CH52" i="7"/>
  <c r="CH48" i="7"/>
  <c r="CH44" i="7"/>
  <c r="CH40" i="7"/>
  <c r="CH36" i="7"/>
  <c r="CH32" i="7"/>
  <c r="CH28" i="7"/>
  <c r="CH24" i="7"/>
  <c r="CH20" i="7"/>
  <c r="CH16" i="7"/>
  <c r="CH12" i="7"/>
  <c r="CH8" i="7"/>
  <c r="CH4" i="7"/>
  <c r="CJ59" i="7"/>
  <c r="CJ55" i="7"/>
  <c r="CJ51" i="7"/>
  <c r="CJ47" i="7"/>
  <c r="CJ43" i="7"/>
  <c r="CJ39" i="7"/>
  <c r="CJ35" i="7"/>
  <c r="CJ31" i="7"/>
  <c r="CJ27" i="7"/>
  <c r="CJ23" i="7"/>
  <c r="CJ19" i="7"/>
  <c r="CJ15" i="7"/>
  <c r="CJ11" i="7"/>
  <c r="CJ7" i="7"/>
  <c r="CC23" i="7"/>
  <c r="CA20" i="7"/>
  <c r="CH37" i="7"/>
  <c r="CA33" i="7"/>
  <c r="CH29" i="7"/>
  <c r="CA25" i="7"/>
  <c r="CA21" i="7"/>
  <c r="CH17" i="7"/>
  <c r="CA13" i="7"/>
  <c r="CA9" i="7"/>
  <c r="CH5" i="7"/>
  <c r="CJ60" i="7"/>
  <c r="CJ56" i="7"/>
  <c r="CJ52" i="7"/>
  <c r="CJ48" i="7"/>
  <c r="CJ44" i="7"/>
  <c r="CJ40" i="7"/>
  <c r="CJ36" i="7"/>
  <c r="CC32" i="7"/>
  <c r="CJ28" i="7"/>
  <c r="CJ24" i="7"/>
  <c r="CC20" i="7"/>
  <c r="CJ12" i="7"/>
  <c r="CC8" i="7"/>
  <c r="CJ4" i="7"/>
  <c r="CH26" i="7"/>
  <c r="CH14" i="7"/>
  <c r="CH6" i="7"/>
  <c r="CJ57" i="7"/>
  <c r="CJ49" i="7"/>
  <c r="CJ45" i="7"/>
  <c r="CJ37" i="7"/>
  <c r="CJ29" i="7"/>
  <c r="CJ21" i="7"/>
  <c r="CJ13" i="7"/>
  <c r="CJ16" i="7"/>
  <c r="CJ8" i="7"/>
  <c r="CH3" i="7"/>
  <c r="CH22" i="7"/>
  <c r="CH18" i="7"/>
  <c r="CH10" i="7"/>
  <c r="CJ61" i="7"/>
  <c r="CJ53" i="7"/>
  <c r="CJ41" i="7"/>
  <c r="CJ33" i="7"/>
  <c r="CJ25" i="7"/>
  <c r="CJ17" i="7"/>
  <c r="CJ9" i="7"/>
  <c r="CJ5" i="7"/>
  <c r="CC4" i="7"/>
  <c r="CJ20" i="7"/>
  <c r="CC9" i="7"/>
  <c r="CA24" i="7"/>
  <c r="CA12" i="7"/>
  <c r="CJ32" i="7"/>
  <c r="CC33" i="7"/>
  <c r="CH59" i="7"/>
  <c r="CH55" i="7"/>
  <c r="CH51" i="7"/>
  <c r="CH47" i="7"/>
  <c r="CH43" i="7"/>
  <c r="CH39" i="7"/>
  <c r="CH35" i="7"/>
  <c r="CH31" i="7"/>
  <c r="CH27" i="7"/>
  <c r="CH23" i="7"/>
  <c r="CH19" i="7"/>
  <c r="CH15" i="7"/>
  <c r="CH11" i="7"/>
  <c r="CH7" i="7"/>
  <c r="CJ3" i="7"/>
  <c r="CJ58" i="7"/>
  <c r="CJ54" i="7"/>
  <c r="CJ50" i="7"/>
  <c r="CJ46" i="7"/>
  <c r="CJ42" i="7"/>
  <c r="CJ38" i="7"/>
  <c r="CJ34" i="7"/>
  <c r="CJ30" i="7"/>
  <c r="CJ26" i="7"/>
  <c r="CJ22" i="7"/>
  <c r="CJ18" i="7"/>
  <c r="CJ14" i="7"/>
  <c r="CJ10" i="7"/>
  <c r="CJ6" i="7"/>
  <c r="CH34" i="7"/>
  <c r="CC30" i="7"/>
  <c r="CC22" i="7"/>
  <c r="CC18" i="7"/>
  <c r="CC10" i="7"/>
  <c r="CA6" i="7"/>
  <c r="CC17" i="7"/>
  <c r="CC5" i="7"/>
  <c r="CH30" i="7"/>
  <c r="CA22" i="7"/>
  <c r="CH58" i="7"/>
  <c r="CH50" i="7"/>
  <c r="CH42" i="7"/>
  <c r="CH33" i="7"/>
  <c r="CH25" i="7"/>
  <c r="CH21" i="7"/>
  <c r="CH13" i="7"/>
  <c r="CH9" i="7"/>
  <c r="CA11" i="7"/>
  <c r="CI62" i="7"/>
  <c r="CH57" i="7"/>
  <c r="CH53" i="7"/>
  <c r="CH49" i="7"/>
  <c r="CH45" i="7"/>
  <c r="CH41" i="7"/>
  <c r="CA29" i="7"/>
  <c r="CC11" i="7"/>
  <c r="CA30" i="7"/>
  <c r="CH54" i="7"/>
  <c r="CH46" i="7"/>
  <c r="CH38" i="7"/>
  <c r="CA31" i="7"/>
  <c r="CA23" i="7"/>
  <c r="CA19" i="7"/>
  <c r="CA7" i="7"/>
  <c r="CK62" i="7"/>
  <c r="CL62" i="7" s="1"/>
  <c r="CH61" i="7"/>
  <c r="CD62" i="7"/>
  <c r="CA27" i="7"/>
  <c r="CA15" i="7"/>
  <c r="CC3" i="7"/>
  <c r="CE3" i="7" s="1"/>
  <c r="CA10" i="7"/>
  <c r="CA32" i="7"/>
  <c r="CA16" i="7"/>
  <c r="CA4" i="7"/>
  <c r="CA5" i="7"/>
  <c r="CA14" i="7"/>
  <c r="CA26" i="7"/>
  <c r="CA17" i="7"/>
  <c r="CC16" i="7"/>
  <c r="CC28" i="7"/>
  <c r="CA28" i="7"/>
  <c r="CC12" i="7"/>
  <c r="CC24" i="7"/>
  <c r="CC7" i="7"/>
  <c r="CC13" i="7"/>
  <c r="CC19" i="7"/>
  <c r="CC25" i="7"/>
  <c r="CC31" i="7"/>
  <c r="CC14" i="7"/>
  <c r="CC26" i="7"/>
  <c r="CC15" i="7"/>
  <c r="CC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O61" i="7"/>
  <c r="CP61" i="7"/>
  <c r="CQ61" i="7"/>
  <c r="CR61" i="7"/>
  <c r="CS61" i="7"/>
  <c r="CT61" i="7"/>
  <c r="CU61" i="7"/>
  <c r="CX61" i="7"/>
  <c r="CV61" i="7"/>
  <c r="CY61" i="7"/>
  <c r="CW61" i="7"/>
  <c r="DD61" i="7"/>
  <c r="CZ61" i="7"/>
  <c r="DA61" i="7"/>
  <c r="DB61" i="7"/>
  <c r="DC61" i="7"/>
  <c r="DE61" i="7"/>
  <c r="DH61" i="7"/>
  <c r="DH5" i="7"/>
  <c r="DH6" i="7"/>
  <c r="DH7" i="7"/>
  <c r="DH8" i="7"/>
  <c r="DH9" i="7"/>
  <c r="DH10" i="7"/>
  <c r="DH11" i="7"/>
  <c r="DH12" i="7"/>
  <c r="DH13" i="7"/>
  <c r="DH14" i="7"/>
  <c r="DH15" i="7"/>
  <c r="DH16" i="7"/>
  <c r="DH17" i="7"/>
  <c r="DH18" i="7"/>
  <c r="DH19" i="7"/>
  <c r="DH20" i="7"/>
  <c r="DH21" i="7"/>
  <c r="DH22" i="7"/>
  <c r="DH23" i="7"/>
  <c r="DH24" i="7"/>
  <c r="DH25" i="7"/>
  <c r="DH26" i="7"/>
  <c r="DH27" i="7"/>
  <c r="DH28" i="7"/>
  <c r="DH29" i="7"/>
  <c r="DH30" i="7"/>
  <c r="DH31" i="7"/>
  <c r="DH32" i="7"/>
  <c r="DH33" i="7"/>
  <c r="DH34" i="7"/>
  <c r="DH35" i="7"/>
  <c r="DH36" i="7"/>
  <c r="DH37" i="7"/>
  <c r="DH38" i="7"/>
  <c r="DH39" i="7"/>
  <c r="DH40" i="7"/>
  <c r="DH41" i="7"/>
  <c r="DH42" i="7"/>
  <c r="DH43" i="7"/>
  <c r="DH44" i="7"/>
  <c r="DH45" i="7"/>
  <c r="DH46" i="7"/>
  <c r="DH47" i="7"/>
  <c r="DH48" i="7"/>
  <c r="DH49" i="7"/>
  <c r="DH50" i="7"/>
  <c r="DH51" i="7"/>
  <c r="DH52" i="7"/>
  <c r="DH53" i="7"/>
  <c r="DH54" i="7"/>
  <c r="DH55" i="7"/>
  <c r="DH56" i="7"/>
  <c r="DH57" i="7"/>
  <c r="DH58" i="7"/>
  <c r="DH59" i="7"/>
  <c r="DH60" i="7"/>
  <c r="DH4" i="7"/>
  <c r="DH3" i="7"/>
  <c r="CE28" i="7" l="1"/>
  <c r="CM63" i="7"/>
  <c r="CE33" i="7"/>
  <c r="CE22" i="7"/>
  <c r="CE32" i="7"/>
  <c r="CE8" i="7"/>
  <c r="CE29" i="7"/>
  <c r="CE9" i="7"/>
  <c r="CE30" i="7"/>
  <c r="CE21" i="7"/>
  <c r="CE17" i="7"/>
  <c r="CE18" i="7"/>
  <c r="CE23" i="7"/>
  <c r="CE5" i="7"/>
  <c r="CE6" i="7"/>
  <c r="CE24" i="7"/>
  <c r="CE11" i="7"/>
  <c r="CE20" i="7"/>
  <c r="CE12" i="7"/>
  <c r="CE13" i="7"/>
  <c r="CE10" i="7"/>
  <c r="CE4" i="7"/>
  <c r="CE14" i="7"/>
  <c r="CE7" i="7"/>
  <c r="CE16" i="7"/>
  <c r="CE25" i="7"/>
  <c r="CE31" i="7"/>
  <c r="CE27" i="7"/>
  <c r="CE26" i="7"/>
  <c r="CE19" i="7"/>
  <c r="CE15" i="7"/>
  <c r="BS61" i="7"/>
  <c r="BU61" i="7"/>
  <c r="BW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O60" i="7"/>
  <c r="CP60" i="7"/>
  <c r="CQ60" i="7"/>
  <c r="CR60" i="7"/>
  <c r="CS60" i="7"/>
  <c r="CT60" i="7"/>
  <c r="CU60" i="7"/>
  <c r="CX60" i="7"/>
  <c r="CV60" i="7"/>
  <c r="CY60" i="7"/>
  <c r="CW60" i="7"/>
  <c r="DD60" i="7"/>
  <c r="CZ60" i="7"/>
  <c r="DA60" i="7"/>
  <c r="DB60" i="7"/>
  <c r="DC60" i="7"/>
  <c r="DE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O59" i="7"/>
  <c r="CP59" i="7"/>
  <c r="CQ59" i="7"/>
  <c r="CR59" i="7"/>
  <c r="CS59" i="7"/>
  <c r="CT59" i="7"/>
  <c r="CU59" i="7"/>
  <c r="CX59" i="7"/>
  <c r="CV59" i="7"/>
  <c r="CY59" i="7"/>
  <c r="CW59" i="7"/>
  <c r="DD59" i="7"/>
  <c r="CZ59" i="7"/>
  <c r="DA59" i="7"/>
  <c r="DB59" i="7"/>
  <c r="DC59" i="7"/>
  <c r="DE59" i="7"/>
  <c r="CO4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X3" i="7"/>
  <c r="CX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Y3" i="7"/>
  <c r="CY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4" i="7"/>
  <c r="DD3" i="7"/>
  <c r="DD2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CZ3" i="7"/>
  <c r="CZ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4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4" i="7"/>
  <c r="DA3" i="7"/>
  <c r="DA2" i="7"/>
  <c r="DB3" i="7"/>
  <c r="DB2" i="7"/>
  <c r="DE2" i="7"/>
  <c r="DC2" i="7"/>
  <c r="DC3" i="7"/>
  <c r="DE3" i="7"/>
  <c r="BV61" i="7" l="1"/>
  <c r="CC61" i="7" s="1"/>
  <c r="CE62" i="7" s="1"/>
  <c r="BS60" i="7"/>
  <c r="BU60" i="7"/>
  <c r="BV60" i="7" s="1"/>
  <c r="BU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S59" i="7"/>
  <c r="CK61" i="7" l="1"/>
  <c r="CM62" i="7" s="1"/>
  <c r="CD61" i="7"/>
  <c r="CA59" i="7"/>
  <c r="CI59" i="7" s="1"/>
  <c r="CC59" i="7"/>
  <c r="BW61" i="7"/>
  <c r="BW60" i="7"/>
  <c r="BV59" i="7"/>
  <c r="CK59" i="7" s="1"/>
  <c r="BU58" i="7"/>
  <c r="BW59" i="7" s="1"/>
  <c r="CL59" i="7" l="1"/>
  <c r="CL61" i="7"/>
  <c r="CK60" i="7"/>
  <c r="CD59" i="7"/>
  <c r="CA60" i="7"/>
  <c r="CI60" i="7" s="1"/>
  <c r="CA61" i="7"/>
  <c r="CI61" i="7" s="1"/>
  <c r="CC60" i="7"/>
  <c r="CC58" i="7"/>
  <c r="BV58" i="7"/>
  <c r="CM60" i="7" l="1"/>
  <c r="CL60" i="7"/>
  <c r="CM61" i="7"/>
  <c r="CD58" i="7"/>
  <c r="CE60" i="7"/>
  <c r="CD60" i="7"/>
  <c r="CE61" i="7"/>
  <c r="CE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CA42" i="7" l="1"/>
  <c r="CC42" i="7"/>
  <c r="CA35" i="7"/>
  <c r="CC35" i="7"/>
  <c r="CA38" i="7"/>
  <c r="CC38" i="7"/>
  <c r="CA44" i="7"/>
  <c r="CC44" i="7"/>
  <c r="CA37" i="7"/>
  <c r="CC37" i="7"/>
  <c r="CA34" i="7"/>
  <c r="CC34" i="7"/>
  <c r="CA43" i="7"/>
  <c r="CC43" i="7"/>
  <c r="CA41" i="7"/>
  <c r="CC41" i="7"/>
  <c r="CA40" i="7"/>
  <c r="CC40" i="7"/>
  <c r="CA39" i="7"/>
  <c r="CC39" i="7"/>
  <c r="CA36" i="7"/>
  <c r="CC36" i="7"/>
  <c r="AH57" i="7"/>
  <c r="CE39" i="7" l="1"/>
  <c r="CE38" i="7"/>
  <c r="CE35" i="7"/>
  <c r="CE43" i="7"/>
  <c r="CE42" i="7"/>
  <c r="CE34" i="7"/>
  <c r="CE36" i="7"/>
  <c r="CE37" i="7"/>
  <c r="CE44" i="7"/>
  <c r="CE40" i="7"/>
  <c r="CE41" i="7"/>
  <c r="AK57" i="7"/>
  <c r="AN57" i="7" l="1"/>
  <c r="BS58" i="7" l="1"/>
  <c r="AQ57" i="7"/>
  <c r="CK58" i="7" l="1"/>
  <c r="CM59" i="7" s="1"/>
  <c r="BU57" i="7"/>
  <c r="BW58" i="7" s="1"/>
  <c r="M57" i="7"/>
  <c r="AB57" i="7"/>
  <c r="V57" i="7"/>
  <c r="AE57" i="7"/>
  <c r="Y57" i="7"/>
  <c r="AT57" i="7"/>
  <c r="AW57" i="7"/>
  <c r="CL58" i="7" l="1"/>
  <c r="BV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CA46" i="7" l="1"/>
  <c r="CC46" i="7"/>
  <c r="CA45" i="7"/>
  <c r="CC45" i="7"/>
  <c r="CC57" i="7"/>
  <c r="CA58" i="7"/>
  <c r="CI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U55" i="7"/>
  <c r="CA49" i="7" l="1"/>
  <c r="CC49" i="7"/>
  <c r="CA56" i="7"/>
  <c r="CC56" i="7"/>
  <c r="CA57" i="7"/>
  <c r="CA54" i="7"/>
  <c r="CC54" i="7"/>
  <c r="CA53" i="7"/>
  <c r="CC53" i="7"/>
  <c r="CA48" i="7"/>
  <c r="CC48" i="7"/>
  <c r="CA51" i="7"/>
  <c r="CC51" i="7"/>
  <c r="CD57" i="7"/>
  <c r="CE58" i="7"/>
  <c r="CA50" i="7"/>
  <c r="CC50" i="7"/>
  <c r="CE46" i="7"/>
  <c r="CA47" i="7"/>
  <c r="CC47" i="7"/>
  <c r="CA52" i="7"/>
  <c r="CC52" i="7"/>
  <c r="CA55" i="7"/>
  <c r="CC55" i="7"/>
  <c r="CE45" i="7"/>
  <c r="BV55" i="7"/>
  <c r="BS56" i="7"/>
  <c r="CI56" i="7" s="1"/>
  <c r="BS57" i="7"/>
  <c r="BU56" i="7"/>
  <c r="CK57" i="7" l="1"/>
  <c r="CM58" i="7" s="1"/>
  <c r="CI57" i="7"/>
  <c r="CE52" i="7"/>
  <c r="CD52" i="7"/>
  <c r="CE48" i="7"/>
  <c r="CD48" i="7"/>
  <c r="CE53" i="7"/>
  <c r="CD53" i="7"/>
  <c r="CE54" i="7"/>
  <c r="CD54" i="7"/>
  <c r="CE50" i="7"/>
  <c r="CD50" i="7"/>
  <c r="CE56" i="7"/>
  <c r="CD56" i="7"/>
  <c r="CE57" i="7"/>
  <c r="CE47" i="7"/>
  <c r="CD47" i="7"/>
  <c r="CE55" i="7"/>
  <c r="CD55" i="7"/>
  <c r="CE49" i="7"/>
  <c r="CD49" i="7"/>
  <c r="CE51" i="7"/>
  <c r="CD51" i="7"/>
  <c r="BW56" i="7"/>
  <c r="BV56" i="7"/>
  <c r="CK56" i="7" s="1"/>
  <c r="BW57" i="7"/>
  <c r="BS55" i="7"/>
  <c r="CL57" i="7" l="1"/>
  <c r="CK55" i="7"/>
  <c r="CM56" i="7" s="1"/>
  <c r="CI55" i="7"/>
  <c r="CL56" i="7"/>
  <c r="CM57" i="7"/>
  <c r="BU54" i="7"/>
  <c r="CL55" i="7" l="1"/>
  <c r="BV54" i="7"/>
  <c r="BW55" i="7"/>
  <c r="BS54" i="7" l="1"/>
  <c r="BU53" i="7"/>
  <c r="CK54" i="7" l="1"/>
  <c r="CL54" i="7" s="1"/>
  <c r="CI54" i="7"/>
  <c r="BV53" i="7"/>
  <c r="BW54" i="7"/>
  <c r="CM55" i="7" l="1"/>
  <c r="BS48" i="7"/>
  <c r="CI48" i="7" s="1"/>
  <c r="BS44" i="7"/>
  <c r="CI44" i="7" s="1"/>
  <c r="BS40" i="7"/>
  <c r="CI40" i="7" s="1"/>
  <c r="BS36" i="7"/>
  <c r="CI36" i="7" s="1"/>
  <c r="BS32" i="7"/>
  <c r="CI32" i="7" s="1"/>
  <c r="BS28" i="7"/>
  <c r="CI28" i="7" s="1"/>
  <c r="BS24" i="7"/>
  <c r="CI24" i="7" s="1"/>
  <c r="BS20" i="7"/>
  <c r="CI20" i="7" s="1"/>
  <c r="BS16" i="7"/>
  <c r="CI16" i="7" s="1"/>
  <c r="BS12" i="7"/>
  <c r="CI12" i="7" s="1"/>
  <c r="BS8" i="7"/>
  <c r="CI8" i="7" s="1"/>
  <c r="BU46" i="7"/>
  <c r="BU42" i="7"/>
  <c r="BU38" i="7"/>
  <c r="BU26" i="7"/>
  <c r="BU22" i="7"/>
  <c r="BU14" i="7"/>
  <c r="BU10" i="7"/>
  <c r="BU6" i="7"/>
  <c r="BU30" i="7"/>
  <c r="BU51" i="7"/>
  <c r="BU47" i="7"/>
  <c r="BU43" i="7"/>
  <c r="BU39" i="7"/>
  <c r="BU35" i="7"/>
  <c r="BU31" i="7"/>
  <c r="BU27" i="7"/>
  <c r="BU23" i="7"/>
  <c r="BU19" i="7"/>
  <c r="BU15" i="7"/>
  <c r="BU11" i="7"/>
  <c r="BU7" i="7"/>
  <c r="BS27" i="7"/>
  <c r="CI27" i="7" s="1"/>
  <c r="BU50" i="7"/>
  <c r="BS42" i="7"/>
  <c r="CI42" i="7" s="1"/>
  <c r="BS38" i="7"/>
  <c r="CI38" i="7" s="1"/>
  <c r="BS34" i="7"/>
  <c r="CI34" i="7" s="1"/>
  <c r="BS30" i="7"/>
  <c r="CI30" i="7" s="1"/>
  <c r="BS26" i="7"/>
  <c r="CI26" i="7" s="1"/>
  <c r="BS22" i="7"/>
  <c r="CI22" i="7" s="1"/>
  <c r="BS18" i="7"/>
  <c r="CI18" i="7" s="1"/>
  <c r="BS14" i="7"/>
  <c r="CI14" i="7" s="1"/>
  <c r="BS10" i="7"/>
  <c r="CI10" i="7" s="1"/>
  <c r="BS6" i="7"/>
  <c r="CI6" i="7" s="1"/>
  <c r="BU18" i="7"/>
  <c r="BS35" i="7"/>
  <c r="CI35" i="7" s="1"/>
  <c r="BU34" i="7"/>
  <c r="BS52" i="7"/>
  <c r="CI52" i="7" s="1"/>
  <c r="BS53" i="7"/>
  <c r="BS4" i="7"/>
  <c r="CI4" i="7" s="1"/>
  <c r="BU3" i="7"/>
  <c r="BU49" i="7"/>
  <c r="BU45" i="7"/>
  <c r="BU41" i="7"/>
  <c r="BU37" i="7"/>
  <c r="BU33" i="7"/>
  <c r="BU29" i="7"/>
  <c r="BU25" i="7"/>
  <c r="BU21" i="7"/>
  <c r="BU17" i="7"/>
  <c r="BU13" i="7"/>
  <c r="BU9" i="7"/>
  <c r="BU5" i="7"/>
  <c r="BS51" i="7"/>
  <c r="CI51" i="7" s="1"/>
  <c r="BS47" i="7"/>
  <c r="CI47" i="7" s="1"/>
  <c r="BS43" i="7"/>
  <c r="CI43" i="7" s="1"/>
  <c r="BS39" i="7"/>
  <c r="CI39" i="7" s="1"/>
  <c r="BS31" i="7"/>
  <c r="CI31" i="7" s="1"/>
  <c r="BS23" i="7"/>
  <c r="CI23" i="7" s="1"/>
  <c r="BS19" i="7"/>
  <c r="CI19" i="7" s="1"/>
  <c r="BS15" i="7"/>
  <c r="CI15" i="7" s="1"/>
  <c r="BS11" i="7"/>
  <c r="CI11" i="7" s="1"/>
  <c r="BS7" i="7"/>
  <c r="CI7" i="7" s="1"/>
  <c r="BU48" i="7"/>
  <c r="BU44" i="7"/>
  <c r="BU40" i="7"/>
  <c r="BU36" i="7"/>
  <c r="BU32" i="7"/>
  <c r="BU28" i="7"/>
  <c r="BU24" i="7"/>
  <c r="BU20" i="7"/>
  <c r="BU16" i="7"/>
  <c r="BU12" i="7"/>
  <c r="BU8" i="7"/>
  <c r="BU4" i="7"/>
  <c r="BS50" i="7"/>
  <c r="CI50" i="7" s="1"/>
  <c r="BS46" i="7"/>
  <c r="CI46" i="7" s="1"/>
  <c r="BS49" i="7"/>
  <c r="CI49" i="7" s="1"/>
  <c r="BS45" i="7"/>
  <c r="CI45" i="7" s="1"/>
  <c r="BS41" i="7"/>
  <c r="CI41" i="7" s="1"/>
  <c r="BS37" i="7"/>
  <c r="CI37" i="7" s="1"/>
  <c r="BS33" i="7"/>
  <c r="CI33" i="7" s="1"/>
  <c r="BS29" i="7"/>
  <c r="CI29" i="7" s="1"/>
  <c r="BS25" i="7"/>
  <c r="CI25" i="7" s="1"/>
  <c r="BS21" i="7"/>
  <c r="CI21" i="7" s="1"/>
  <c r="BS5" i="7"/>
  <c r="CI5" i="7" s="1"/>
  <c r="BU52" i="7"/>
  <c r="BS17" i="7"/>
  <c r="CI17" i="7" s="1"/>
  <c r="BS13" i="7"/>
  <c r="CI13" i="7" s="1"/>
  <c r="BS9" i="7"/>
  <c r="CI9" i="7" s="1"/>
  <c r="CK53" i="7" l="1"/>
  <c r="CL53" i="7" s="1"/>
  <c r="CI53" i="7"/>
  <c r="CK11" i="7"/>
  <c r="CK42" i="7"/>
  <c r="CK33" i="7"/>
  <c r="CK28" i="7"/>
  <c r="CK32" i="7"/>
  <c r="CK52" i="7"/>
  <c r="CK45" i="7"/>
  <c r="CK15" i="7"/>
  <c r="CK35" i="7"/>
  <c r="CK47" i="7"/>
  <c r="CK9" i="7"/>
  <c r="CK46" i="7"/>
  <c r="CK26" i="7"/>
  <c r="CK14" i="7"/>
  <c r="CK49" i="7"/>
  <c r="CK4" i="7"/>
  <c r="CK22" i="7"/>
  <c r="CK48" i="7"/>
  <c r="BW28" i="7"/>
  <c r="BV28" i="7"/>
  <c r="BW5" i="7"/>
  <c r="BV5" i="7"/>
  <c r="CK5" i="7" s="1"/>
  <c r="BW21" i="7"/>
  <c r="BV21" i="7"/>
  <c r="CK21" i="7" s="1"/>
  <c r="BW37" i="7"/>
  <c r="BV37" i="7"/>
  <c r="CK37" i="7" s="1"/>
  <c r="BW3" i="7"/>
  <c r="BV3" i="7"/>
  <c r="CK3" i="7" s="1"/>
  <c r="BW34" i="7"/>
  <c r="BV34" i="7"/>
  <c r="CK34" i="7" s="1"/>
  <c r="BW11" i="7"/>
  <c r="BV11" i="7"/>
  <c r="BW27" i="7"/>
  <c r="BV27" i="7"/>
  <c r="CK27" i="7" s="1"/>
  <c r="BW43" i="7"/>
  <c r="BV43" i="7"/>
  <c r="CK43" i="7" s="1"/>
  <c r="BW6" i="7"/>
  <c r="BV6" i="7"/>
  <c r="CK6" i="7" s="1"/>
  <c r="BW26" i="7"/>
  <c r="BV26" i="7"/>
  <c r="BW16" i="7"/>
  <c r="BV16" i="7"/>
  <c r="CK16" i="7" s="1"/>
  <c r="BW32" i="7"/>
  <c r="BV32" i="7"/>
  <c r="BW48" i="7"/>
  <c r="BV48" i="7"/>
  <c r="BW9" i="7"/>
  <c r="BV9" i="7"/>
  <c r="BW25" i="7"/>
  <c r="BV25" i="7"/>
  <c r="CK25" i="7" s="1"/>
  <c r="BW41" i="7"/>
  <c r="BV41" i="7"/>
  <c r="CK41" i="7" s="1"/>
  <c r="BW50" i="7"/>
  <c r="BV50" i="7"/>
  <c r="CK50" i="7" s="1"/>
  <c r="BW15" i="7"/>
  <c r="BV15" i="7"/>
  <c r="BW31" i="7"/>
  <c r="BV31" i="7"/>
  <c r="CK31" i="7" s="1"/>
  <c r="BW47" i="7"/>
  <c r="BV47" i="7"/>
  <c r="BW10" i="7"/>
  <c r="BV10" i="7"/>
  <c r="CK10" i="7" s="1"/>
  <c r="BW38" i="7"/>
  <c r="BV38" i="7"/>
  <c r="CK38" i="7" s="1"/>
  <c r="BW12" i="7"/>
  <c r="BV12" i="7"/>
  <c r="CK12" i="7" s="1"/>
  <c r="BW44" i="7"/>
  <c r="BV44" i="7"/>
  <c r="CK44" i="7" s="1"/>
  <c r="BW52" i="7"/>
  <c r="BV52" i="7"/>
  <c r="BW53" i="7"/>
  <c r="BW4" i="7"/>
  <c r="BV4" i="7"/>
  <c r="BW20" i="7"/>
  <c r="BV20" i="7"/>
  <c r="CK20" i="7" s="1"/>
  <c r="BW36" i="7"/>
  <c r="BV36" i="7"/>
  <c r="CK36" i="7" s="1"/>
  <c r="BW13" i="7"/>
  <c r="BV13" i="7"/>
  <c r="CK13" i="7" s="1"/>
  <c r="BW29" i="7"/>
  <c r="BV29" i="7"/>
  <c r="CK29" i="7" s="1"/>
  <c r="BW45" i="7"/>
  <c r="BV45" i="7"/>
  <c r="BW18" i="7"/>
  <c r="BV18" i="7"/>
  <c r="CK18" i="7" s="1"/>
  <c r="BW19" i="7"/>
  <c r="BV19" i="7"/>
  <c r="CK19" i="7" s="1"/>
  <c r="BW35" i="7"/>
  <c r="BV35" i="7"/>
  <c r="BW51" i="7"/>
  <c r="BV51" i="7"/>
  <c r="CK51" i="7" s="1"/>
  <c r="BW14" i="7"/>
  <c r="BV14" i="7"/>
  <c r="BW42" i="7"/>
  <c r="BV42" i="7"/>
  <c r="BW8" i="7"/>
  <c r="BV8" i="7"/>
  <c r="CK8" i="7" s="1"/>
  <c r="BW24" i="7"/>
  <c r="BV24" i="7"/>
  <c r="CK24" i="7" s="1"/>
  <c r="BW40" i="7"/>
  <c r="BV40" i="7"/>
  <c r="CK40" i="7" s="1"/>
  <c r="BW17" i="7"/>
  <c r="BV17" i="7"/>
  <c r="CK17" i="7" s="1"/>
  <c r="BW33" i="7"/>
  <c r="BV33" i="7"/>
  <c r="BW49" i="7"/>
  <c r="BV49" i="7"/>
  <c r="BW7" i="7"/>
  <c r="BV7" i="7"/>
  <c r="CK7" i="7" s="1"/>
  <c r="BW23" i="7"/>
  <c r="BV23" i="7"/>
  <c r="CK23" i="7" s="1"/>
  <c r="BW39" i="7"/>
  <c r="BV39" i="7"/>
  <c r="CK39" i="7" s="1"/>
  <c r="BW30" i="7"/>
  <c r="BV30" i="7"/>
  <c r="CK30" i="7" s="1"/>
  <c r="BW22" i="7"/>
  <c r="BV22" i="7"/>
  <c r="BW46" i="7"/>
  <c r="BV46" i="7"/>
  <c r="CM54" i="7" l="1"/>
  <c r="CM17" i="7"/>
  <c r="CM29" i="7"/>
  <c r="CM43" i="7"/>
  <c r="CM23" i="7"/>
  <c r="CM15" i="7"/>
  <c r="CM12" i="7"/>
  <c r="CM27" i="7"/>
  <c r="CM8" i="7"/>
  <c r="CM53" i="7"/>
  <c r="CM19" i="7"/>
  <c r="CM13" i="7"/>
  <c r="CM31" i="7"/>
  <c r="CM37" i="7"/>
  <c r="CM18" i="7"/>
  <c r="CM10" i="7"/>
  <c r="CM6" i="7"/>
  <c r="CM46" i="7"/>
  <c r="CM33" i="7"/>
  <c r="CM16" i="7"/>
  <c r="CM34" i="7"/>
  <c r="CM36" i="7"/>
  <c r="CM41" i="7"/>
  <c r="CM30" i="7"/>
  <c r="CM25" i="7"/>
  <c r="CM20" i="7"/>
  <c r="CM7" i="7"/>
  <c r="CM21" i="7"/>
  <c r="CL5" i="7"/>
  <c r="CM5" i="7"/>
  <c r="CM44" i="7"/>
  <c r="CM51" i="7"/>
  <c r="CL51" i="7"/>
  <c r="CM50" i="7"/>
  <c r="CL50" i="7"/>
  <c r="CM39" i="7"/>
  <c r="CM40" i="7"/>
  <c r="CM24" i="7"/>
  <c r="CM38" i="7"/>
  <c r="CM11" i="7"/>
  <c r="CM48" i="7"/>
  <c r="CL48" i="7"/>
  <c r="CM9" i="7"/>
  <c r="CM26" i="7"/>
  <c r="CM42" i="7"/>
  <c r="CM22" i="7"/>
  <c r="CM28" i="7"/>
  <c r="CM4" i="7"/>
  <c r="CL4" i="7"/>
  <c r="CM47" i="7"/>
  <c r="CL47" i="7"/>
  <c r="CM32" i="7"/>
  <c r="CM45" i="7"/>
  <c r="CM14" i="7"/>
  <c r="CL3" i="7"/>
  <c r="CM3" i="7"/>
  <c r="CM49" i="7"/>
  <c r="CL49" i="7"/>
  <c r="CM35" i="7"/>
  <c r="CM52" i="7"/>
  <c r="CL52" i="7"/>
</calcChain>
</file>

<file path=xl/sharedStrings.xml><?xml version="1.0" encoding="utf-8"?>
<sst xmlns="http://schemas.openxmlformats.org/spreadsheetml/2006/main" count="395" uniqueCount="50">
  <si>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</si>
  <si>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</si>
  <si>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</si>
  <si>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</si>
  <si>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</si>
  <si>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</si>
  <si>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</si>
  <si>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</si>
  <si>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</si>
  <si>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</si>
  <si>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</si>
  <si>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</si>
  <si>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</si>
  <si>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</si>
  <si>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</si>
  <si>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</si>
  <si>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</si>
  <si>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</si>
  <si>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</si>
  <si>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</si>
  <si>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</si>
  <si>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</si>
  <si>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</si>
  <si>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</si>
  <si>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</si>
  <si>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</si>
  <si>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</si>
  <si>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</si>
  <si>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</si>
  <si>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</si>
  <si>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</si>
  <si>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</si>
  <si>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</si>
  <si>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</si>
  <si>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</si>
  <si>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</si>
  <si>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</si>
  <si>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</si>
  <si>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</si>
  <si>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</si>
  <si>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</si>
  <si>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</si>
  <si>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</si>
  <si>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</si>
  <si>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</si>
  <si>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</si>
  <si>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</si>
  <si>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</si>
  <si>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</si>
  <si>
    <t>Twino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</si>
</sst>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66"/>
  <sheetViews>
    <sheetView tabSelected="1" workbookViewId="0">
      <pane xSplit="1" ySplit="2" topLeftCell="CP31" activePane="bottomRight" state="frozen"/>
      <selection pane="topRight" activeCell="B1" sqref="B1"/>
      <selection pane="bottomLeft" activeCell="A3" sqref="A3"/>
      <selection pane="bottomRight" activeCell="DK38" sqref="DK38"/>
    </sheetView>
  </sheetViews>
  <sheetFormatPr defaultColWidth="10.7109375" defaultRowHeight="15" x14ac:dyDescent="0.25"/>
  <cols>
    <col min="2" max="4" width="10.7109375" customWidth="1"/>
    <col min="11" max="13" width="10.7109375" style="3"/>
    <col min="14" max="16" width="10.7109375" customWidth="1"/>
    <col min="94" max="94" width="10.7109375" customWidth="1"/>
    <col min="98" max="98" width="10.7109375" customWidth="1"/>
    <col min="105" max="105" width="10.7109375" style="3"/>
    <col min="107" max="107" width="10.7109375" style="3"/>
    <col min="109" max="115" width="10.7109375" style="3"/>
  </cols>
  <sheetData>
    <row r="1" spans="1:115" ht="15.75" thickBot="1" x14ac:dyDescent="0.3">
      <c r="A1" s="37" t="s">
        <v>0</v>
      </c>
      <c r="B1" s="35" t="s">
        <v>3</v>
      </c>
      <c r="C1" s="35"/>
      <c r="D1" s="35"/>
      <c r="E1" s="35" t="s">
        <v>2</v>
      </c>
      <c r="F1" s="35"/>
      <c r="G1" s="35"/>
      <c r="H1" s="35" t="s">
        <v>4</v>
      </c>
      <c r="I1" s="35"/>
      <c r="J1" s="35"/>
      <c r="K1" s="35" t="s">
        <v>15</v>
      </c>
      <c r="L1" s="35"/>
      <c r="M1" s="35"/>
      <c r="N1" s="35" t="s">
        <v>5</v>
      </c>
      <c r="O1" s="35"/>
      <c r="P1" s="35"/>
      <c r="Q1" s="39" t="s">
        <v>6</v>
      </c>
      <c r="R1" s="40"/>
      <c r="S1" s="41"/>
      <c r="T1" s="35" t="s">
        <v>8</v>
      </c>
      <c r="U1" s="35"/>
      <c r="V1" s="35"/>
      <c r="W1" s="35" t="s">
        <v>10</v>
      </c>
      <c r="X1" s="35"/>
      <c r="Y1" s="35"/>
      <c r="Z1" s="35" t="s">
        <v>7</v>
      </c>
      <c r="AA1" s="35"/>
      <c r="AB1" s="35"/>
      <c r="AC1" s="35" t="s">
        <v>9</v>
      </c>
      <c r="AD1" s="35"/>
      <c r="AE1" s="35"/>
      <c r="AF1" s="35" t="s">
        <v>11</v>
      </c>
      <c r="AG1" s="35"/>
      <c r="AH1" s="35"/>
      <c r="AI1" s="35" t="s">
        <v>18</v>
      </c>
      <c r="AJ1" s="35"/>
      <c r="AK1" s="35"/>
      <c r="AL1" s="35" t="s">
        <v>19</v>
      </c>
      <c r="AM1" s="35"/>
      <c r="AN1" s="35"/>
      <c r="AO1" s="35" t="s">
        <v>20</v>
      </c>
      <c r="AP1" s="35"/>
      <c r="AQ1" s="35"/>
      <c r="AR1" s="35" t="s">
        <v>22</v>
      </c>
      <c r="AS1" s="35"/>
      <c r="AT1" s="35"/>
      <c r="AU1" s="35" t="s">
        <v>21</v>
      </c>
      <c r="AV1" s="35"/>
      <c r="AW1" s="35"/>
      <c r="AX1" s="35" t="s">
        <v>24</v>
      </c>
      <c r="AY1" s="35"/>
      <c r="AZ1" s="35"/>
      <c r="BA1" s="39" t="s">
        <v>25</v>
      </c>
      <c r="BB1" s="40"/>
      <c r="BC1" s="41"/>
      <c r="BD1" s="35" t="s">
        <v>46</v>
      </c>
      <c r="BE1" s="35"/>
      <c r="BF1" s="35"/>
      <c r="BG1" s="35" t="s">
        <v>47</v>
      </c>
      <c r="BH1" s="35"/>
      <c r="BI1" s="35"/>
      <c r="BJ1" s="35" t="s">
        <v>48</v>
      </c>
      <c r="BK1" s="35"/>
      <c r="BL1" s="35"/>
      <c r="BM1" s="35" t="s">
        <v>49</v>
      </c>
      <c r="BN1" s="35"/>
      <c r="BO1" s="35"/>
      <c r="BP1" s="3"/>
      <c r="BQ1" s="36" t="s">
        <v>26</v>
      </c>
      <c r="BR1" s="36"/>
      <c r="BS1" s="36"/>
      <c r="BT1" s="36"/>
      <c r="BU1" s="36"/>
      <c r="BV1" s="36"/>
      <c r="BW1" s="36"/>
      <c r="BX1" s="3"/>
      <c r="BY1" s="36" t="s">
        <v>27</v>
      </c>
      <c r="BZ1" s="36"/>
      <c r="CA1" s="36"/>
      <c r="CB1" s="36"/>
      <c r="CC1" s="36"/>
      <c r="CD1" s="36"/>
      <c r="CE1" s="36"/>
      <c r="CF1" s="27"/>
      <c r="CG1" s="36" t="s">
        <v>28</v>
      </c>
      <c r="CH1" s="36"/>
      <c r="CI1" s="36"/>
      <c r="CJ1" s="36"/>
      <c r="CK1" s="36"/>
      <c r="CL1" s="36"/>
      <c r="CM1" s="36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11"/>
      <c r="DB1" s="24"/>
      <c r="DC1" s="11"/>
      <c r="DD1" s="24"/>
      <c r="DE1" s="11"/>
      <c r="DF1" s="11"/>
      <c r="DG1" s="11"/>
      <c r="DH1" s="11"/>
      <c r="DI1" s="11"/>
      <c r="DJ1" s="34"/>
      <c r="DK1" s="11"/>
    </row>
    <row r="2" spans="1:115" ht="15.75" thickBot="1" x14ac:dyDescent="0.3">
      <c r="A2" s="38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34" t="s">
        <v>23</v>
      </c>
      <c r="BK2" s="34" t="s">
        <v>13</v>
      </c>
      <c r="BL2" s="34" t="s">
        <v>14</v>
      </c>
      <c r="BM2" s="11" t="s">
        <v>23</v>
      </c>
      <c r="BN2" s="11" t="s">
        <v>13</v>
      </c>
      <c r="BO2" s="11" t="s">
        <v>14</v>
      </c>
      <c r="BP2" s="3"/>
      <c r="BQ2" s="23" t="s">
        <v>0</v>
      </c>
      <c r="BR2" s="23" t="s">
        <v>23</v>
      </c>
      <c r="BS2" s="23" t="s">
        <v>16</v>
      </c>
      <c r="BT2" s="23" t="s">
        <v>13</v>
      </c>
      <c r="BU2" s="23" t="s">
        <v>17</v>
      </c>
      <c r="BV2" s="23" t="s">
        <v>14</v>
      </c>
      <c r="BW2" s="23" t="s">
        <v>16</v>
      </c>
      <c r="BX2" s="27"/>
      <c r="BY2" s="23" t="s">
        <v>0</v>
      </c>
      <c r="BZ2" s="23" t="s">
        <v>23</v>
      </c>
      <c r="CA2" s="23" t="s">
        <v>16</v>
      </c>
      <c r="CB2" s="23" t="s">
        <v>13</v>
      </c>
      <c r="CC2" s="23" t="s">
        <v>17</v>
      </c>
      <c r="CD2" s="23" t="s">
        <v>14</v>
      </c>
      <c r="CE2" s="23" t="s">
        <v>16</v>
      </c>
      <c r="CF2" s="27"/>
      <c r="CG2" s="23" t="s">
        <v>0</v>
      </c>
      <c r="CH2" s="23" t="s">
        <v>23</v>
      </c>
      <c r="CI2" s="23" t="s">
        <v>16</v>
      </c>
      <c r="CJ2" s="23" t="s">
        <v>13</v>
      </c>
      <c r="CK2" s="23" t="s">
        <v>17</v>
      </c>
      <c r="CL2" s="23" t="s">
        <v>14</v>
      </c>
      <c r="CM2" s="23" t="s">
        <v>16</v>
      </c>
      <c r="CO2" s="11" t="str">
        <f>A1</f>
        <v>Data</v>
      </c>
      <c r="CP2" s="11" t="str">
        <f>B1</f>
        <v>SEB Fondai</v>
      </c>
      <c r="CQ2" s="11" t="str">
        <f>E1</f>
        <v>SEB Mikro</v>
      </c>
      <c r="CR2" s="11" t="str">
        <f>H1</f>
        <v>SEB Robo</v>
      </c>
      <c r="CS2" s="26" t="str">
        <f>K1</f>
        <v>Revolut Brokerage</v>
      </c>
      <c r="CT2" s="25" t="str">
        <f>N1</f>
        <v>Revolut Robo</v>
      </c>
      <c r="CU2" s="11" t="str">
        <f>Q1</f>
        <v>Synergy</v>
      </c>
      <c r="CV2" s="11" t="str">
        <f>T1</f>
        <v>Profitus</v>
      </c>
      <c r="CW2" s="11" t="str">
        <f>W1</f>
        <v>Nordstreet</v>
      </c>
      <c r="CX2" s="11" t="str">
        <f>Z1</f>
        <v>Indemo</v>
      </c>
      <c r="CY2" s="11" t="str">
        <f>AC1</f>
        <v>Crowdpear</v>
      </c>
      <c r="CZ2" s="11" t="str">
        <f>AF1</f>
        <v>Scramble</v>
      </c>
      <c r="DA2" s="11" t="str">
        <f>AI1</f>
        <v>Nectaro</v>
      </c>
      <c r="DB2" s="11" t="str">
        <f>AL1</f>
        <v>Debitum</v>
      </c>
      <c r="DC2" s="11" t="str">
        <f>AO1</f>
        <v>Viainvest</v>
      </c>
      <c r="DD2" s="11" t="str">
        <f>AR1</f>
        <v>Rontgen</v>
      </c>
      <c r="DE2" s="11" t="str">
        <f>AU1</f>
        <v>Afranga</v>
      </c>
      <c r="DF2" s="25" t="str">
        <f>AX1</f>
        <v>Lendermarket</v>
      </c>
      <c r="DG2" s="25" t="str">
        <f>BA1</f>
        <v>Loanch</v>
      </c>
      <c r="DH2" s="25" t="str">
        <f>BD1</f>
        <v>Peerberry</v>
      </c>
      <c r="DI2" s="25" t="str">
        <f>BG1</f>
        <v>Income</v>
      </c>
      <c r="DJ2" s="25" t="str">
        <f>BJ1</f>
        <v>Lande</v>
      </c>
      <c r="DK2" s="25" t="str">
        <f>BM1</f>
        <v>Twino</v>
      </c>
    </row>
    <row r="3" spans="1:115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9">
        <v>0</v>
      </c>
      <c r="BN3" s="10">
        <v>0</v>
      </c>
      <c r="BO3" s="18">
        <v>0</v>
      </c>
      <c r="BP3" s="17"/>
      <c r="BQ3" s="21">
        <v>44378</v>
      </c>
      <c r="BR3" s="10">
        <f t="shared" ref="BR3:BR34" si="0">B3+E3+H3+K3+N3+Q3</f>
        <v>63</v>
      </c>
      <c r="BS3" s="10">
        <v>63</v>
      </c>
      <c r="BT3" s="10">
        <f t="shared" ref="BT3:BT34" si="1">C3+F3+I3+L3+O3+R3</f>
        <v>62.88</v>
      </c>
      <c r="BU3" s="10">
        <f>BT3-BR3</f>
        <v>-0.11999999999999744</v>
      </c>
      <c r="BV3" s="22">
        <f>BU3/BR3</f>
        <v>-1.9047619047618642E-3</v>
      </c>
      <c r="BW3" s="10">
        <f>BU3</f>
        <v>-0.11999999999999744</v>
      </c>
      <c r="BX3" s="17"/>
      <c r="BY3" s="16">
        <f t="shared" ref="BY3:BY61" si="2">A3</f>
        <v>44377</v>
      </c>
      <c r="BZ3" s="10">
        <f t="shared" ref="BZ3:BZ63" si="3">Z3+T3+AC3+W3+AR3+AF3+AI3+AL3+AO3+AU3+AX3+BA3+BD3+BG3+BJ3+BM3</f>
        <v>0</v>
      </c>
      <c r="CA3" s="10">
        <v>0</v>
      </c>
      <c r="CB3" s="10">
        <f t="shared" ref="CB3:CB4" si="4">AA3+U3+AD3+X3+AS3+AG3+AJ3+AM3+AP3+AV3+AY3+BB3+BE3</f>
        <v>0</v>
      </c>
      <c r="CC3" s="10">
        <f>CB3-BZ3</f>
        <v>0</v>
      </c>
      <c r="CD3" s="20">
        <v>0</v>
      </c>
      <c r="CE3" s="10">
        <f>CC3</f>
        <v>0</v>
      </c>
      <c r="CF3" s="17"/>
      <c r="CG3" s="16">
        <f t="shared" ref="CG3:CG61" si="5">A3</f>
        <v>44377</v>
      </c>
      <c r="CH3" s="10">
        <f>BR3+BZ3</f>
        <v>63</v>
      </c>
      <c r="CI3" s="10">
        <f>BS3+CA3</f>
        <v>63</v>
      </c>
      <c r="CJ3" s="10">
        <f>BT3+CB3</f>
        <v>62.88</v>
      </c>
      <c r="CK3" s="10">
        <f>CJ3-CH3</f>
        <v>-0.11999999999999744</v>
      </c>
      <c r="CL3" s="22">
        <f>CK3/CH3</f>
        <v>-1.9047619047618642E-3</v>
      </c>
      <c r="CM3" s="10">
        <f>CK3</f>
        <v>-0.11999999999999744</v>
      </c>
      <c r="CO3" s="21">
        <f t="shared" ref="CO3:CO34" si="6">A3</f>
        <v>44377</v>
      </c>
      <c r="CP3" s="10">
        <f>(C3-B3)</f>
        <v>-0.11999999999999744</v>
      </c>
      <c r="CQ3" s="10">
        <f>(F3-E3)</f>
        <v>0</v>
      </c>
      <c r="CR3" s="10">
        <f>(I3-H3)</f>
        <v>0</v>
      </c>
      <c r="CS3" s="10">
        <f>(L3-K3)</f>
        <v>0</v>
      </c>
      <c r="CT3" s="10">
        <f>O3-N3</f>
        <v>0</v>
      </c>
      <c r="CU3" s="10">
        <f>R3-Q3</f>
        <v>0</v>
      </c>
      <c r="CV3" s="10">
        <f>U3-T3</f>
        <v>0</v>
      </c>
      <c r="CW3" s="10">
        <f>X3-W3</f>
        <v>0</v>
      </c>
      <c r="CX3" s="10">
        <f>AA3-Z3</f>
        <v>0</v>
      </c>
      <c r="CY3" s="10">
        <f>AD3-AC3</f>
        <v>0</v>
      </c>
      <c r="CZ3" s="10">
        <f>AG3-AF3</f>
        <v>0</v>
      </c>
      <c r="DA3" s="10">
        <f>AJ3-AI3</f>
        <v>0</v>
      </c>
      <c r="DB3" s="10">
        <f>AM3-AL3</f>
        <v>0</v>
      </c>
      <c r="DC3" s="10">
        <f>AP3-AO3</f>
        <v>0</v>
      </c>
      <c r="DD3" s="10">
        <f>AS3-AR3</f>
        <v>0</v>
      </c>
      <c r="DE3" s="10">
        <f>(AV3-AU3)</f>
        <v>0</v>
      </c>
      <c r="DF3" s="10">
        <f>(AY3-AX3)</f>
        <v>0</v>
      </c>
      <c r="DG3" s="10">
        <f>(BB3-BA3)</f>
        <v>0</v>
      </c>
      <c r="DH3" s="10">
        <f>(BE3-BD3)</f>
        <v>0</v>
      </c>
      <c r="DI3" s="10">
        <f>(BH3-BG3)</f>
        <v>0</v>
      </c>
      <c r="DJ3" s="10">
        <f>(BK3-BJ3)</f>
        <v>0</v>
      </c>
      <c r="DK3" s="10">
        <f>(BN3-BM3)</f>
        <v>0</v>
      </c>
    </row>
    <row r="4" spans="1:115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9">
        <v>0</v>
      </c>
      <c r="BN4" s="10">
        <v>0</v>
      </c>
      <c r="BO4" s="18">
        <v>0</v>
      </c>
      <c r="BP4" s="17"/>
      <c r="BQ4" s="16">
        <f t="shared" ref="BQ4:BQ61" si="8">A4</f>
        <v>44408</v>
      </c>
      <c r="BR4" s="10">
        <f t="shared" si="0"/>
        <v>81</v>
      </c>
      <c r="BS4" s="4">
        <f>BR4-BR3</f>
        <v>18</v>
      </c>
      <c r="BT4" s="10">
        <f t="shared" si="1"/>
        <v>82.3</v>
      </c>
      <c r="BU4" s="4">
        <f t="shared" ref="BU4:BU52" si="9">BT4-BR4</f>
        <v>1.2999999999999972</v>
      </c>
      <c r="BV4" s="20">
        <f t="shared" ref="BV4:BV57" si="10">BU4/BR4</f>
        <v>1.6049382716049349E-2</v>
      </c>
      <c r="BW4" s="4">
        <f>BU4-BU3</f>
        <v>1.4199999999999946</v>
      </c>
      <c r="BX4" s="17"/>
      <c r="BY4" s="16">
        <f t="shared" si="2"/>
        <v>44408</v>
      </c>
      <c r="BZ4" s="10">
        <f t="shared" si="3"/>
        <v>0</v>
      </c>
      <c r="CA4" s="4">
        <f>BZ4-BZ3</f>
        <v>0</v>
      </c>
      <c r="CB4" s="10">
        <f t="shared" si="4"/>
        <v>0</v>
      </c>
      <c r="CC4" s="4">
        <f t="shared" ref="CC4:CC61" si="11">CB4-BZ4</f>
        <v>0</v>
      </c>
      <c r="CD4" s="20">
        <v>0</v>
      </c>
      <c r="CE4" s="4">
        <f>CC4-CC3</f>
        <v>0</v>
      </c>
      <c r="CF4" s="17"/>
      <c r="CG4" s="16">
        <f t="shared" si="5"/>
        <v>44408</v>
      </c>
      <c r="CH4" s="10">
        <f t="shared" ref="CH4:CH61" si="12">BR4+BZ4</f>
        <v>81</v>
      </c>
      <c r="CI4" s="10">
        <f t="shared" ref="CI4:CI61" si="13">BS4+CA4</f>
        <v>18</v>
      </c>
      <c r="CJ4" s="10">
        <f t="shared" ref="CJ4:CJ61" si="14">BT4+CB4</f>
        <v>82.3</v>
      </c>
      <c r="CK4" s="4">
        <f t="shared" ref="CK4:CK61" si="15">CJ4-CH4</f>
        <v>1.2999999999999972</v>
      </c>
      <c r="CL4" s="20">
        <f t="shared" ref="CL4:CL5" si="16">CK4/CH4</f>
        <v>1.6049382716049349E-2</v>
      </c>
      <c r="CM4" s="4">
        <f>CK4-CK3</f>
        <v>1.4199999999999946</v>
      </c>
      <c r="CO4" s="16">
        <f t="shared" si="6"/>
        <v>44408</v>
      </c>
      <c r="CP4" s="4">
        <f t="shared" ref="CP4:CP35" si="17">(C4-B4)-(C3-B3)</f>
        <v>1.4199999999999946</v>
      </c>
      <c r="CQ4" s="4">
        <f t="shared" ref="CQ4:CQ35" si="18">(F4-E4)-(F3-E3)</f>
        <v>0</v>
      </c>
      <c r="CR4" s="4">
        <f t="shared" ref="CR4:CR35" si="19">(I4-H4)-(I3-H3)</f>
        <v>0</v>
      </c>
      <c r="CS4" s="4">
        <f t="shared" ref="CS4:CS35" si="20">(L4-K4)-(L3-K3)</f>
        <v>0</v>
      </c>
      <c r="CT4" s="4">
        <f t="shared" ref="CT4:CT35" si="21">(O4-N4)-(O3-N3)</f>
        <v>0</v>
      </c>
      <c r="CU4" s="4">
        <f t="shared" ref="CU4:CU35" si="22">(R4-Q4)-(R3-Q3)</f>
        <v>0</v>
      </c>
      <c r="CV4" s="4">
        <f t="shared" ref="CV4:CV35" si="23">(U4-T4)-(U3-T3)</f>
        <v>0</v>
      </c>
      <c r="CW4" s="4">
        <f t="shared" ref="CW4:CW35" si="24">(X4-W4)-(X3-W3)</f>
        <v>0</v>
      </c>
      <c r="CX4" s="4">
        <f t="shared" ref="CX4:CX35" si="25">(AA4-Z4)-(AA3-Z3)</f>
        <v>0</v>
      </c>
      <c r="CY4" s="4">
        <f t="shared" ref="CY4:CY35" si="26">(AD4-AC4)-(AD3-AC3)</f>
        <v>0</v>
      </c>
      <c r="CZ4" s="4">
        <f t="shared" ref="CZ4:CZ35" si="27">(AG4-AF4)-(AG3-AF3)</f>
        <v>0</v>
      </c>
      <c r="DA4" s="4">
        <f t="shared" ref="DA4:DA35" si="28">(AJ4-AI4)-(AJ3-AI3)</f>
        <v>0</v>
      </c>
      <c r="DB4" s="4">
        <f t="shared" ref="DB4:DB35" si="29">(AM4-AL4)-(AM3-AL3)</f>
        <v>0</v>
      </c>
      <c r="DC4" s="4">
        <f t="shared" ref="DC4:DC35" si="30">(AP4-AO4)-(AP3-AO3)</f>
        <v>0</v>
      </c>
      <c r="DD4" s="4">
        <f t="shared" ref="DD4:DD35" si="31">(AS4-AR4)-(AS3-AR3)</f>
        <v>0</v>
      </c>
      <c r="DE4" s="4">
        <f t="shared" ref="DE4:DE35" si="32">(AV4-AU4)-(AV3-AU3)</f>
        <v>0</v>
      </c>
      <c r="DF4" s="10">
        <f t="shared" ref="DF4:DF35" si="33">(AY4-AX4)-(AY3-AX3)</f>
        <v>0</v>
      </c>
      <c r="DG4" s="10">
        <f>(BB4-BA4)-(BB3-BA3)</f>
        <v>0</v>
      </c>
      <c r="DH4" s="4">
        <f>(BE4-BD4)-(BE3-BD3)</f>
        <v>0</v>
      </c>
      <c r="DI4" s="4">
        <f>(BH4-BG4)-(BH3-BG3)</f>
        <v>0</v>
      </c>
      <c r="DJ4" s="4">
        <f>(BK4-BJ4)-(BK3-BJ3)</f>
        <v>0</v>
      </c>
      <c r="DK4" s="4">
        <f>(BN4-BM4)-(BN3-BM3)</f>
        <v>0</v>
      </c>
    </row>
    <row r="5" spans="1:115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9">
        <v>0</v>
      </c>
      <c r="BN5" s="10">
        <v>0</v>
      </c>
      <c r="BO5" s="18">
        <v>0</v>
      </c>
      <c r="BP5" s="17"/>
      <c r="BQ5" s="16">
        <f t="shared" si="8"/>
        <v>44439</v>
      </c>
      <c r="BR5" s="10">
        <f t="shared" si="0"/>
        <v>97</v>
      </c>
      <c r="BS5" s="4">
        <f>BR5-BR4</f>
        <v>16</v>
      </c>
      <c r="BT5" s="10">
        <f t="shared" si="1"/>
        <v>98.79</v>
      </c>
      <c r="BU5" s="4">
        <f t="shared" si="9"/>
        <v>1.7900000000000063</v>
      </c>
      <c r="BV5" s="20">
        <f t="shared" si="10"/>
        <v>1.8453608247422745E-2</v>
      </c>
      <c r="BW5" s="4">
        <f>BU5-BU4</f>
        <v>0.49000000000000909</v>
      </c>
      <c r="BX5" s="17"/>
      <c r="BY5" s="16">
        <f t="shared" si="2"/>
        <v>44439</v>
      </c>
      <c r="BZ5" s="10">
        <f t="shared" si="3"/>
        <v>0</v>
      </c>
      <c r="CA5" s="4">
        <f>BZ5-BZ4</f>
        <v>0</v>
      </c>
      <c r="CB5" s="10">
        <f t="shared" ref="CB5:CB63" si="34">AA5+U5+AD5+X5+AS5+AG5+AJ5+AM5+AP5+AV5+AY5+BB5+BE5+BG5+BK5+BM5</f>
        <v>0</v>
      </c>
      <c r="CC5" s="4">
        <f t="shared" si="11"/>
        <v>0</v>
      </c>
      <c r="CD5" s="20">
        <v>0</v>
      </c>
      <c r="CE5" s="4">
        <f>CC5-CC4</f>
        <v>0</v>
      </c>
      <c r="CF5" s="17"/>
      <c r="CG5" s="16">
        <f t="shared" si="5"/>
        <v>44439</v>
      </c>
      <c r="CH5" s="10">
        <f t="shared" si="12"/>
        <v>97</v>
      </c>
      <c r="CI5" s="10">
        <f t="shared" si="13"/>
        <v>16</v>
      </c>
      <c r="CJ5" s="10">
        <f t="shared" si="14"/>
        <v>98.79</v>
      </c>
      <c r="CK5" s="4">
        <f t="shared" si="15"/>
        <v>1.7900000000000063</v>
      </c>
      <c r="CL5" s="20">
        <f t="shared" si="16"/>
        <v>1.8453608247422745E-2</v>
      </c>
      <c r="CM5" s="4">
        <f>CK5-CK4</f>
        <v>0.49000000000000909</v>
      </c>
      <c r="CO5" s="16">
        <f t="shared" si="6"/>
        <v>44439</v>
      </c>
      <c r="CP5" s="4">
        <f t="shared" si="17"/>
        <v>0.49000000000000909</v>
      </c>
      <c r="CQ5" s="4">
        <f t="shared" si="18"/>
        <v>0</v>
      </c>
      <c r="CR5" s="4">
        <f t="shared" si="19"/>
        <v>0</v>
      </c>
      <c r="CS5" s="4">
        <f t="shared" si="20"/>
        <v>0</v>
      </c>
      <c r="CT5" s="4">
        <f t="shared" si="21"/>
        <v>0</v>
      </c>
      <c r="CU5" s="4">
        <f t="shared" si="22"/>
        <v>0</v>
      </c>
      <c r="CV5" s="4">
        <f t="shared" si="23"/>
        <v>0</v>
      </c>
      <c r="CW5" s="4">
        <f t="shared" si="24"/>
        <v>0</v>
      </c>
      <c r="CX5" s="4">
        <f t="shared" si="25"/>
        <v>0</v>
      </c>
      <c r="CY5" s="4">
        <f t="shared" si="26"/>
        <v>0</v>
      </c>
      <c r="CZ5" s="4">
        <f t="shared" si="27"/>
        <v>0</v>
      </c>
      <c r="DA5" s="4">
        <f t="shared" si="28"/>
        <v>0</v>
      </c>
      <c r="DB5" s="4">
        <f t="shared" si="29"/>
        <v>0</v>
      </c>
      <c r="DC5" s="4">
        <f t="shared" si="30"/>
        <v>0</v>
      </c>
      <c r="DD5" s="4">
        <f t="shared" si="31"/>
        <v>0</v>
      </c>
      <c r="DE5" s="4">
        <f t="shared" si="32"/>
        <v>0</v>
      </c>
      <c r="DF5" s="10">
        <f t="shared" si="33"/>
        <v>0</v>
      </c>
      <c r="DG5" s="10">
        <f t="shared" ref="DG5:DG63" si="35">(BB5-BA5)-(BB4-BA4)</f>
        <v>0</v>
      </c>
      <c r="DH5" s="4">
        <f t="shared" ref="DH5:DH60" si="36">(BE5-BD5)-(BE4-BD4)</f>
        <v>0</v>
      </c>
      <c r="DI5" s="4">
        <f t="shared" ref="DI5:DI63" si="37">(BH5-BG5)-(BH4-BG4)</f>
        <v>0</v>
      </c>
      <c r="DJ5" s="4">
        <f t="shared" ref="DJ5:DJ64" si="38">(BK5-BJ5)-(BK4-BJ4)</f>
        <v>0</v>
      </c>
      <c r="DK5" s="4">
        <f t="shared" ref="DJ5:DK63" si="39">(BN5-BM5)-(BN4-BM4)</f>
        <v>0</v>
      </c>
    </row>
    <row r="6" spans="1:115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9">
        <v>0</v>
      </c>
      <c r="BN6" s="10">
        <v>0</v>
      </c>
      <c r="BO6" s="18">
        <v>0</v>
      </c>
      <c r="BP6" s="17"/>
      <c r="BQ6" s="16">
        <f t="shared" si="8"/>
        <v>44469</v>
      </c>
      <c r="BR6" s="10">
        <f t="shared" si="0"/>
        <v>153</v>
      </c>
      <c r="BS6" s="4">
        <f t="shared" ref="BS6:BS42" si="40">BR6-BR5</f>
        <v>56</v>
      </c>
      <c r="BT6" s="10">
        <f t="shared" si="1"/>
        <v>154.27000000000001</v>
      </c>
      <c r="BU6" s="4">
        <f t="shared" si="9"/>
        <v>1.2700000000000102</v>
      </c>
      <c r="BV6" s="20">
        <f t="shared" si="10"/>
        <v>8.3006535947713084E-3</v>
      </c>
      <c r="BW6" s="4">
        <f>BU6-BU5</f>
        <v>-0.51999999999999602</v>
      </c>
      <c r="BX6" s="17"/>
      <c r="BY6" s="16">
        <f t="shared" si="2"/>
        <v>44469</v>
      </c>
      <c r="BZ6" s="10">
        <f t="shared" si="3"/>
        <v>0</v>
      </c>
      <c r="CA6" s="4">
        <f t="shared" ref="CA6:CA42" si="41">BZ6-BZ5</f>
        <v>0</v>
      </c>
      <c r="CB6" s="10">
        <f t="shared" si="34"/>
        <v>0</v>
      </c>
      <c r="CC6" s="4">
        <f t="shared" si="11"/>
        <v>0</v>
      </c>
      <c r="CD6" s="20">
        <v>0</v>
      </c>
      <c r="CE6" s="4">
        <f>CC6-CC5</f>
        <v>0</v>
      </c>
      <c r="CF6" s="17"/>
      <c r="CG6" s="16">
        <f t="shared" si="5"/>
        <v>44469</v>
      </c>
      <c r="CH6" s="10">
        <f t="shared" si="12"/>
        <v>153</v>
      </c>
      <c r="CI6" s="10">
        <f t="shared" si="13"/>
        <v>56</v>
      </c>
      <c r="CJ6" s="10">
        <f t="shared" si="14"/>
        <v>154.27000000000001</v>
      </c>
      <c r="CK6" s="4">
        <f t="shared" si="15"/>
        <v>1.2700000000000102</v>
      </c>
      <c r="CL6" s="20">
        <v>0</v>
      </c>
      <c r="CM6" s="4">
        <f>CK6-CK5</f>
        <v>-0.51999999999999602</v>
      </c>
      <c r="CO6" s="16">
        <f t="shared" si="6"/>
        <v>44469</v>
      </c>
      <c r="CP6" s="4">
        <f t="shared" si="17"/>
        <v>-0.51999999999999602</v>
      </c>
      <c r="CQ6" s="4">
        <f t="shared" si="18"/>
        <v>0</v>
      </c>
      <c r="CR6" s="4">
        <f t="shared" si="19"/>
        <v>0</v>
      </c>
      <c r="CS6" s="4">
        <f t="shared" si="20"/>
        <v>0</v>
      </c>
      <c r="CT6" s="4">
        <f t="shared" si="21"/>
        <v>0</v>
      </c>
      <c r="CU6" s="4">
        <f t="shared" si="22"/>
        <v>0</v>
      </c>
      <c r="CV6" s="4">
        <f t="shared" si="23"/>
        <v>0</v>
      </c>
      <c r="CW6" s="4">
        <f t="shared" si="24"/>
        <v>0</v>
      </c>
      <c r="CX6" s="4">
        <f t="shared" si="25"/>
        <v>0</v>
      </c>
      <c r="CY6" s="4">
        <f t="shared" si="26"/>
        <v>0</v>
      </c>
      <c r="CZ6" s="4">
        <f t="shared" si="27"/>
        <v>0</v>
      </c>
      <c r="DA6" s="4">
        <f t="shared" si="28"/>
        <v>0</v>
      </c>
      <c r="DB6" s="4">
        <f t="shared" si="29"/>
        <v>0</v>
      </c>
      <c r="DC6" s="4">
        <f t="shared" si="30"/>
        <v>0</v>
      </c>
      <c r="DD6" s="4">
        <f t="shared" si="31"/>
        <v>0</v>
      </c>
      <c r="DE6" s="4">
        <f t="shared" si="32"/>
        <v>0</v>
      </c>
      <c r="DF6" s="10">
        <f t="shared" si="33"/>
        <v>0</v>
      </c>
      <c r="DG6" s="10">
        <f t="shared" si="35"/>
        <v>0</v>
      </c>
      <c r="DH6" s="4">
        <f t="shared" si="36"/>
        <v>0</v>
      </c>
      <c r="DI6" s="4">
        <f t="shared" si="37"/>
        <v>0</v>
      </c>
      <c r="DJ6" s="4">
        <f t="shared" si="38"/>
        <v>0</v>
      </c>
      <c r="DK6" s="4">
        <f t="shared" si="39"/>
        <v>0</v>
      </c>
    </row>
    <row r="7" spans="1:115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9">
        <v>0</v>
      </c>
      <c r="BN7" s="10">
        <v>0</v>
      </c>
      <c r="BO7" s="18">
        <v>0</v>
      </c>
      <c r="BP7" s="17"/>
      <c r="BQ7" s="16">
        <f t="shared" si="8"/>
        <v>44500</v>
      </c>
      <c r="BR7" s="10">
        <f t="shared" si="0"/>
        <v>190</v>
      </c>
      <c r="BS7" s="4">
        <f t="shared" si="40"/>
        <v>37</v>
      </c>
      <c r="BT7" s="10">
        <f t="shared" si="1"/>
        <v>189.71</v>
      </c>
      <c r="BU7" s="4">
        <f t="shared" si="9"/>
        <v>-0.28999999999999204</v>
      </c>
      <c r="BV7" s="20">
        <f t="shared" si="10"/>
        <v>-1.5263157894736424E-3</v>
      </c>
      <c r="BW7" s="4">
        <f t="shared" ref="BW7:BW14" si="42">BU7-BU6</f>
        <v>-1.5600000000000023</v>
      </c>
      <c r="BX7" s="17"/>
      <c r="BY7" s="16">
        <f t="shared" si="2"/>
        <v>44500</v>
      </c>
      <c r="BZ7" s="10">
        <f t="shared" si="3"/>
        <v>0</v>
      </c>
      <c r="CA7" s="4">
        <f t="shared" si="41"/>
        <v>0</v>
      </c>
      <c r="CB7" s="10">
        <f t="shared" si="34"/>
        <v>0</v>
      </c>
      <c r="CC7" s="4">
        <f t="shared" si="11"/>
        <v>0</v>
      </c>
      <c r="CD7" s="20">
        <v>0</v>
      </c>
      <c r="CE7" s="4">
        <f t="shared" ref="CE7:CE14" si="43">CC7-CC6</f>
        <v>0</v>
      </c>
      <c r="CF7" s="17"/>
      <c r="CG7" s="16">
        <f t="shared" si="5"/>
        <v>44500</v>
      </c>
      <c r="CH7" s="10">
        <f t="shared" si="12"/>
        <v>190</v>
      </c>
      <c r="CI7" s="10">
        <f t="shared" si="13"/>
        <v>37</v>
      </c>
      <c r="CJ7" s="10">
        <f t="shared" si="14"/>
        <v>189.71</v>
      </c>
      <c r="CK7" s="4">
        <f t="shared" si="15"/>
        <v>-0.28999999999999204</v>
      </c>
      <c r="CL7" s="20">
        <v>0</v>
      </c>
      <c r="CM7" s="4">
        <f t="shared" ref="CM7:CM14" si="44">CK7-CK6</f>
        <v>-1.5600000000000023</v>
      </c>
      <c r="CO7" s="16">
        <f t="shared" si="6"/>
        <v>44500</v>
      </c>
      <c r="CP7" s="4">
        <f t="shared" si="17"/>
        <v>-1.5600000000000023</v>
      </c>
      <c r="CQ7" s="4">
        <f t="shared" si="18"/>
        <v>0</v>
      </c>
      <c r="CR7" s="4">
        <f t="shared" si="19"/>
        <v>0</v>
      </c>
      <c r="CS7" s="4">
        <f t="shared" si="20"/>
        <v>0</v>
      </c>
      <c r="CT7" s="4">
        <f t="shared" si="21"/>
        <v>0</v>
      </c>
      <c r="CU7" s="4">
        <f t="shared" si="22"/>
        <v>0</v>
      </c>
      <c r="CV7" s="4">
        <f t="shared" si="23"/>
        <v>0</v>
      </c>
      <c r="CW7" s="4">
        <f t="shared" si="24"/>
        <v>0</v>
      </c>
      <c r="CX7" s="4">
        <f t="shared" si="25"/>
        <v>0</v>
      </c>
      <c r="CY7" s="4">
        <f t="shared" si="26"/>
        <v>0</v>
      </c>
      <c r="CZ7" s="4">
        <f t="shared" si="27"/>
        <v>0</v>
      </c>
      <c r="DA7" s="4">
        <f t="shared" si="28"/>
        <v>0</v>
      </c>
      <c r="DB7" s="4">
        <f t="shared" si="29"/>
        <v>0</v>
      </c>
      <c r="DC7" s="4">
        <f t="shared" si="30"/>
        <v>0</v>
      </c>
      <c r="DD7" s="4">
        <f t="shared" si="31"/>
        <v>0</v>
      </c>
      <c r="DE7" s="4">
        <f t="shared" si="32"/>
        <v>0</v>
      </c>
      <c r="DF7" s="10">
        <f t="shared" si="33"/>
        <v>0</v>
      </c>
      <c r="DG7" s="10">
        <f t="shared" si="35"/>
        <v>0</v>
      </c>
      <c r="DH7" s="4">
        <f t="shared" si="36"/>
        <v>0</v>
      </c>
      <c r="DI7" s="4">
        <f t="shared" si="37"/>
        <v>0</v>
      </c>
      <c r="DJ7" s="4">
        <f t="shared" si="38"/>
        <v>0</v>
      </c>
      <c r="DK7" s="4">
        <f t="shared" si="39"/>
        <v>0</v>
      </c>
    </row>
    <row r="8" spans="1:115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9">
        <v>0</v>
      </c>
      <c r="BN8" s="10">
        <v>0</v>
      </c>
      <c r="BO8" s="18">
        <v>0</v>
      </c>
      <c r="BP8" s="17"/>
      <c r="BQ8" s="16">
        <f t="shared" si="8"/>
        <v>44530</v>
      </c>
      <c r="BR8" s="10">
        <f t="shared" si="0"/>
        <v>199</v>
      </c>
      <c r="BS8" s="4">
        <f t="shared" si="40"/>
        <v>9</v>
      </c>
      <c r="BT8" s="10">
        <f t="shared" si="1"/>
        <v>200.02</v>
      </c>
      <c r="BU8" s="4">
        <f t="shared" si="9"/>
        <v>1.0200000000000102</v>
      </c>
      <c r="BV8" s="20">
        <f t="shared" si="10"/>
        <v>5.1256281407035687E-3</v>
      </c>
      <c r="BW8" s="4">
        <f t="shared" si="42"/>
        <v>1.3100000000000023</v>
      </c>
      <c r="BX8" s="17"/>
      <c r="BY8" s="16">
        <f t="shared" si="2"/>
        <v>44530</v>
      </c>
      <c r="BZ8" s="10">
        <f t="shared" si="3"/>
        <v>0</v>
      </c>
      <c r="CA8" s="4">
        <f t="shared" si="41"/>
        <v>0</v>
      </c>
      <c r="CB8" s="10">
        <f t="shared" si="34"/>
        <v>0</v>
      </c>
      <c r="CC8" s="4">
        <f t="shared" si="11"/>
        <v>0</v>
      </c>
      <c r="CD8" s="20">
        <v>0</v>
      </c>
      <c r="CE8" s="4">
        <f t="shared" si="43"/>
        <v>0</v>
      </c>
      <c r="CF8" s="17"/>
      <c r="CG8" s="16">
        <f t="shared" si="5"/>
        <v>44530</v>
      </c>
      <c r="CH8" s="10">
        <f t="shared" si="12"/>
        <v>199</v>
      </c>
      <c r="CI8" s="10">
        <f t="shared" si="13"/>
        <v>9</v>
      </c>
      <c r="CJ8" s="10">
        <f t="shared" si="14"/>
        <v>200.02</v>
      </c>
      <c r="CK8" s="4">
        <f t="shared" si="15"/>
        <v>1.0200000000000102</v>
      </c>
      <c r="CL8" s="20">
        <v>0</v>
      </c>
      <c r="CM8" s="4">
        <f t="shared" si="44"/>
        <v>1.3100000000000023</v>
      </c>
      <c r="CO8" s="16">
        <f t="shared" si="6"/>
        <v>44530</v>
      </c>
      <c r="CP8" s="4">
        <f t="shared" si="17"/>
        <v>1.3100000000000023</v>
      </c>
      <c r="CQ8" s="4">
        <f t="shared" si="18"/>
        <v>0</v>
      </c>
      <c r="CR8" s="4">
        <f t="shared" si="19"/>
        <v>0</v>
      </c>
      <c r="CS8" s="4">
        <f t="shared" si="20"/>
        <v>0</v>
      </c>
      <c r="CT8" s="4">
        <f t="shared" si="21"/>
        <v>0</v>
      </c>
      <c r="CU8" s="4">
        <f t="shared" si="22"/>
        <v>0</v>
      </c>
      <c r="CV8" s="4">
        <f t="shared" si="23"/>
        <v>0</v>
      </c>
      <c r="CW8" s="4">
        <f t="shared" si="24"/>
        <v>0</v>
      </c>
      <c r="CX8" s="4">
        <f t="shared" si="25"/>
        <v>0</v>
      </c>
      <c r="CY8" s="4">
        <f t="shared" si="26"/>
        <v>0</v>
      </c>
      <c r="CZ8" s="4">
        <f t="shared" si="27"/>
        <v>0</v>
      </c>
      <c r="DA8" s="4">
        <f t="shared" si="28"/>
        <v>0</v>
      </c>
      <c r="DB8" s="4">
        <f t="shared" si="29"/>
        <v>0</v>
      </c>
      <c r="DC8" s="4">
        <f t="shared" si="30"/>
        <v>0</v>
      </c>
      <c r="DD8" s="4">
        <f t="shared" si="31"/>
        <v>0</v>
      </c>
      <c r="DE8" s="4">
        <f t="shared" si="32"/>
        <v>0</v>
      </c>
      <c r="DF8" s="10">
        <f t="shared" si="33"/>
        <v>0</v>
      </c>
      <c r="DG8" s="10">
        <f t="shared" si="35"/>
        <v>0</v>
      </c>
      <c r="DH8" s="4">
        <f t="shared" si="36"/>
        <v>0</v>
      </c>
      <c r="DI8" s="4">
        <f t="shared" si="37"/>
        <v>0</v>
      </c>
      <c r="DJ8" s="4">
        <f t="shared" si="38"/>
        <v>0</v>
      </c>
      <c r="DK8" s="4">
        <f t="shared" si="39"/>
        <v>0</v>
      </c>
    </row>
    <row r="9" spans="1:115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9">
        <v>0</v>
      </c>
      <c r="BN9" s="10">
        <v>0</v>
      </c>
      <c r="BO9" s="18">
        <v>0</v>
      </c>
      <c r="BP9" s="17"/>
      <c r="BQ9" s="16">
        <f t="shared" si="8"/>
        <v>44561</v>
      </c>
      <c r="BR9" s="10">
        <f t="shared" si="0"/>
        <v>244</v>
      </c>
      <c r="BS9" s="4">
        <f t="shared" si="40"/>
        <v>45</v>
      </c>
      <c r="BT9" s="10">
        <f t="shared" si="1"/>
        <v>248.63</v>
      </c>
      <c r="BU9" s="4">
        <f t="shared" si="9"/>
        <v>4.6299999999999955</v>
      </c>
      <c r="BV9" s="20">
        <f t="shared" si="10"/>
        <v>1.8975409836065556E-2</v>
      </c>
      <c r="BW9" s="4">
        <f t="shared" si="42"/>
        <v>3.6099999999999852</v>
      </c>
      <c r="BX9" s="17"/>
      <c r="BY9" s="16">
        <f t="shared" si="2"/>
        <v>44561</v>
      </c>
      <c r="BZ9" s="10">
        <f t="shared" si="3"/>
        <v>0</v>
      </c>
      <c r="CA9" s="4">
        <f t="shared" si="41"/>
        <v>0</v>
      </c>
      <c r="CB9" s="10">
        <f t="shared" si="34"/>
        <v>0</v>
      </c>
      <c r="CC9" s="4">
        <f t="shared" si="11"/>
        <v>0</v>
      </c>
      <c r="CD9" s="20">
        <v>0</v>
      </c>
      <c r="CE9" s="4">
        <f t="shared" si="43"/>
        <v>0</v>
      </c>
      <c r="CF9" s="17"/>
      <c r="CG9" s="16">
        <f t="shared" si="5"/>
        <v>44561</v>
      </c>
      <c r="CH9" s="10">
        <f t="shared" si="12"/>
        <v>244</v>
      </c>
      <c r="CI9" s="10">
        <f t="shared" si="13"/>
        <v>45</v>
      </c>
      <c r="CJ9" s="10">
        <f t="shared" si="14"/>
        <v>248.63</v>
      </c>
      <c r="CK9" s="4">
        <f t="shared" si="15"/>
        <v>4.6299999999999955</v>
      </c>
      <c r="CL9" s="20">
        <v>0</v>
      </c>
      <c r="CM9" s="4">
        <f t="shared" si="44"/>
        <v>3.6099999999999852</v>
      </c>
      <c r="CO9" s="16">
        <f t="shared" si="6"/>
        <v>44561</v>
      </c>
      <c r="CP9" s="4">
        <f t="shared" si="17"/>
        <v>3.6099999999999852</v>
      </c>
      <c r="CQ9" s="4">
        <f t="shared" si="18"/>
        <v>0</v>
      </c>
      <c r="CR9" s="4">
        <f t="shared" si="19"/>
        <v>0</v>
      </c>
      <c r="CS9" s="4">
        <f t="shared" si="20"/>
        <v>0</v>
      </c>
      <c r="CT9" s="4">
        <f t="shared" si="21"/>
        <v>0</v>
      </c>
      <c r="CU9" s="4">
        <f t="shared" si="22"/>
        <v>0</v>
      </c>
      <c r="CV9" s="4">
        <f t="shared" si="23"/>
        <v>0</v>
      </c>
      <c r="CW9" s="4">
        <f t="shared" si="24"/>
        <v>0</v>
      </c>
      <c r="CX9" s="4">
        <f t="shared" si="25"/>
        <v>0</v>
      </c>
      <c r="CY9" s="4">
        <f t="shared" si="26"/>
        <v>0</v>
      </c>
      <c r="CZ9" s="4">
        <f t="shared" si="27"/>
        <v>0</v>
      </c>
      <c r="DA9" s="4">
        <f t="shared" si="28"/>
        <v>0</v>
      </c>
      <c r="DB9" s="4">
        <f t="shared" si="29"/>
        <v>0</v>
      </c>
      <c r="DC9" s="4">
        <f t="shared" si="30"/>
        <v>0</v>
      </c>
      <c r="DD9" s="4">
        <f t="shared" si="31"/>
        <v>0</v>
      </c>
      <c r="DE9" s="4">
        <f t="shared" si="32"/>
        <v>0</v>
      </c>
      <c r="DF9" s="10">
        <f t="shared" si="33"/>
        <v>0</v>
      </c>
      <c r="DG9" s="10">
        <f t="shared" si="35"/>
        <v>0</v>
      </c>
      <c r="DH9" s="4">
        <f t="shared" si="36"/>
        <v>0</v>
      </c>
      <c r="DI9" s="4">
        <f t="shared" si="37"/>
        <v>0</v>
      </c>
      <c r="DJ9" s="4">
        <f t="shared" si="38"/>
        <v>0</v>
      </c>
      <c r="DK9" s="4">
        <f t="shared" si="39"/>
        <v>0</v>
      </c>
    </row>
    <row r="10" spans="1:115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9">
        <v>0</v>
      </c>
      <c r="BN10" s="10">
        <v>0</v>
      </c>
      <c r="BO10" s="18">
        <v>0</v>
      </c>
      <c r="BP10" s="17"/>
      <c r="BQ10" s="16">
        <f t="shared" si="8"/>
        <v>44592</v>
      </c>
      <c r="BR10" s="10">
        <f t="shared" si="0"/>
        <v>272</v>
      </c>
      <c r="BS10" s="4">
        <f t="shared" si="40"/>
        <v>28</v>
      </c>
      <c r="BT10" s="10">
        <f t="shared" si="1"/>
        <v>257.85000000000002</v>
      </c>
      <c r="BU10" s="4">
        <f t="shared" si="9"/>
        <v>-14.149999999999977</v>
      </c>
      <c r="BV10" s="20">
        <f t="shared" si="10"/>
        <v>-5.2022058823529331E-2</v>
      </c>
      <c r="BW10" s="4">
        <f t="shared" si="42"/>
        <v>-18.779999999999973</v>
      </c>
      <c r="BX10" s="17"/>
      <c r="BY10" s="16">
        <f t="shared" si="2"/>
        <v>44592</v>
      </c>
      <c r="BZ10" s="10">
        <f t="shared" si="3"/>
        <v>0</v>
      </c>
      <c r="CA10" s="4">
        <f t="shared" si="41"/>
        <v>0</v>
      </c>
      <c r="CB10" s="10">
        <f t="shared" si="34"/>
        <v>0</v>
      </c>
      <c r="CC10" s="4">
        <f t="shared" si="11"/>
        <v>0</v>
      </c>
      <c r="CD10" s="20">
        <v>0</v>
      </c>
      <c r="CE10" s="4">
        <f t="shared" si="43"/>
        <v>0</v>
      </c>
      <c r="CF10" s="17"/>
      <c r="CG10" s="16">
        <f t="shared" si="5"/>
        <v>44592</v>
      </c>
      <c r="CH10" s="10">
        <f t="shared" si="12"/>
        <v>272</v>
      </c>
      <c r="CI10" s="10">
        <f t="shared" si="13"/>
        <v>28</v>
      </c>
      <c r="CJ10" s="10">
        <f t="shared" si="14"/>
        <v>257.85000000000002</v>
      </c>
      <c r="CK10" s="4">
        <f t="shared" si="15"/>
        <v>-14.149999999999977</v>
      </c>
      <c r="CL10" s="20">
        <v>0</v>
      </c>
      <c r="CM10" s="4">
        <f t="shared" si="44"/>
        <v>-18.779999999999973</v>
      </c>
      <c r="CO10" s="16">
        <f t="shared" si="6"/>
        <v>44592</v>
      </c>
      <c r="CP10" s="4">
        <f t="shared" si="17"/>
        <v>-18.779999999999973</v>
      </c>
      <c r="CQ10" s="4">
        <f t="shared" si="18"/>
        <v>0</v>
      </c>
      <c r="CR10" s="4">
        <f t="shared" si="19"/>
        <v>0</v>
      </c>
      <c r="CS10" s="4">
        <f t="shared" si="20"/>
        <v>0</v>
      </c>
      <c r="CT10" s="4">
        <f t="shared" si="21"/>
        <v>0</v>
      </c>
      <c r="CU10" s="4">
        <f t="shared" si="22"/>
        <v>0</v>
      </c>
      <c r="CV10" s="4">
        <f t="shared" si="23"/>
        <v>0</v>
      </c>
      <c r="CW10" s="4">
        <f t="shared" si="24"/>
        <v>0</v>
      </c>
      <c r="CX10" s="4">
        <f t="shared" si="25"/>
        <v>0</v>
      </c>
      <c r="CY10" s="4">
        <f t="shared" si="26"/>
        <v>0</v>
      </c>
      <c r="CZ10" s="4">
        <f t="shared" si="27"/>
        <v>0</v>
      </c>
      <c r="DA10" s="4">
        <f t="shared" si="28"/>
        <v>0</v>
      </c>
      <c r="DB10" s="4">
        <f t="shared" si="29"/>
        <v>0</v>
      </c>
      <c r="DC10" s="4">
        <f t="shared" si="30"/>
        <v>0</v>
      </c>
      <c r="DD10" s="4">
        <f t="shared" si="31"/>
        <v>0</v>
      </c>
      <c r="DE10" s="4">
        <f t="shared" si="32"/>
        <v>0</v>
      </c>
      <c r="DF10" s="10">
        <f t="shared" si="33"/>
        <v>0</v>
      </c>
      <c r="DG10" s="10">
        <f t="shared" si="35"/>
        <v>0</v>
      </c>
      <c r="DH10" s="4">
        <f t="shared" si="36"/>
        <v>0</v>
      </c>
      <c r="DI10" s="4">
        <f t="shared" si="37"/>
        <v>0</v>
      </c>
      <c r="DJ10" s="4">
        <f t="shared" si="38"/>
        <v>0</v>
      </c>
      <c r="DK10" s="4">
        <f t="shared" si="39"/>
        <v>0</v>
      </c>
    </row>
    <row r="11" spans="1:115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9">
        <v>0</v>
      </c>
      <c r="BN11" s="10">
        <v>0</v>
      </c>
      <c r="BO11" s="18">
        <v>0</v>
      </c>
      <c r="BP11" s="17"/>
      <c r="BQ11" s="16">
        <f t="shared" si="8"/>
        <v>44620</v>
      </c>
      <c r="BR11" s="10">
        <f t="shared" si="0"/>
        <v>282</v>
      </c>
      <c r="BS11" s="4">
        <f t="shared" si="40"/>
        <v>10</v>
      </c>
      <c r="BT11" s="10">
        <f t="shared" si="1"/>
        <v>262.62</v>
      </c>
      <c r="BU11" s="4">
        <f t="shared" si="9"/>
        <v>-19.379999999999995</v>
      </c>
      <c r="BV11" s="20">
        <f t="shared" si="10"/>
        <v>-6.8723404255319129E-2</v>
      </c>
      <c r="BW11" s="4">
        <f t="shared" si="42"/>
        <v>-5.2300000000000182</v>
      </c>
      <c r="BX11" s="17"/>
      <c r="BY11" s="16">
        <f t="shared" si="2"/>
        <v>44620</v>
      </c>
      <c r="BZ11" s="10">
        <f t="shared" si="3"/>
        <v>0</v>
      </c>
      <c r="CA11" s="4">
        <f t="shared" si="41"/>
        <v>0</v>
      </c>
      <c r="CB11" s="10">
        <f t="shared" si="34"/>
        <v>0</v>
      </c>
      <c r="CC11" s="4">
        <f t="shared" si="11"/>
        <v>0</v>
      </c>
      <c r="CD11" s="20">
        <v>0</v>
      </c>
      <c r="CE11" s="4">
        <f t="shared" si="43"/>
        <v>0</v>
      </c>
      <c r="CF11" s="17"/>
      <c r="CG11" s="16">
        <f t="shared" si="5"/>
        <v>44620</v>
      </c>
      <c r="CH11" s="10">
        <f t="shared" si="12"/>
        <v>282</v>
      </c>
      <c r="CI11" s="10">
        <f t="shared" si="13"/>
        <v>10</v>
      </c>
      <c r="CJ11" s="10">
        <f t="shared" si="14"/>
        <v>262.62</v>
      </c>
      <c r="CK11" s="4">
        <f t="shared" si="15"/>
        <v>-19.379999999999995</v>
      </c>
      <c r="CL11" s="20">
        <v>0</v>
      </c>
      <c r="CM11" s="4">
        <f t="shared" si="44"/>
        <v>-5.2300000000000182</v>
      </c>
      <c r="CO11" s="16">
        <f t="shared" si="6"/>
        <v>44620</v>
      </c>
      <c r="CP11" s="4">
        <f t="shared" si="17"/>
        <v>-5.2300000000000182</v>
      </c>
      <c r="CQ11" s="4">
        <f t="shared" si="18"/>
        <v>0</v>
      </c>
      <c r="CR11" s="4">
        <f t="shared" si="19"/>
        <v>0</v>
      </c>
      <c r="CS11" s="4">
        <f t="shared" si="20"/>
        <v>0</v>
      </c>
      <c r="CT11" s="4">
        <f t="shared" si="21"/>
        <v>0</v>
      </c>
      <c r="CU11" s="4">
        <f t="shared" si="22"/>
        <v>0</v>
      </c>
      <c r="CV11" s="4">
        <f t="shared" si="23"/>
        <v>0</v>
      </c>
      <c r="CW11" s="4">
        <f t="shared" si="24"/>
        <v>0</v>
      </c>
      <c r="CX11" s="4">
        <f t="shared" si="25"/>
        <v>0</v>
      </c>
      <c r="CY11" s="4">
        <f t="shared" si="26"/>
        <v>0</v>
      </c>
      <c r="CZ11" s="4">
        <f t="shared" si="27"/>
        <v>0</v>
      </c>
      <c r="DA11" s="4">
        <f t="shared" si="28"/>
        <v>0</v>
      </c>
      <c r="DB11" s="4">
        <f t="shared" si="29"/>
        <v>0</v>
      </c>
      <c r="DC11" s="4">
        <f t="shared" si="30"/>
        <v>0</v>
      </c>
      <c r="DD11" s="4">
        <f t="shared" si="31"/>
        <v>0</v>
      </c>
      <c r="DE11" s="4">
        <f t="shared" si="32"/>
        <v>0</v>
      </c>
      <c r="DF11" s="10">
        <f t="shared" si="33"/>
        <v>0</v>
      </c>
      <c r="DG11" s="10">
        <f t="shared" si="35"/>
        <v>0</v>
      </c>
      <c r="DH11" s="4">
        <f t="shared" si="36"/>
        <v>0</v>
      </c>
      <c r="DI11" s="4">
        <f t="shared" si="37"/>
        <v>0</v>
      </c>
      <c r="DJ11" s="4">
        <f t="shared" si="38"/>
        <v>0</v>
      </c>
      <c r="DK11" s="4">
        <f t="shared" si="39"/>
        <v>0</v>
      </c>
    </row>
    <row r="12" spans="1:115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9">
        <v>0</v>
      </c>
      <c r="BN12" s="10">
        <v>0</v>
      </c>
      <c r="BO12" s="18">
        <v>0</v>
      </c>
      <c r="BP12" s="17"/>
      <c r="BQ12" s="16">
        <f t="shared" si="8"/>
        <v>44651</v>
      </c>
      <c r="BR12" s="10">
        <f t="shared" si="0"/>
        <v>292</v>
      </c>
      <c r="BS12" s="4">
        <f t="shared" si="40"/>
        <v>10</v>
      </c>
      <c r="BT12" s="10">
        <f t="shared" si="1"/>
        <v>280.58</v>
      </c>
      <c r="BU12" s="4">
        <f t="shared" si="9"/>
        <v>-11.420000000000016</v>
      </c>
      <c r="BV12" s="20">
        <f t="shared" si="10"/>
        <v>-3.9109589041095946E-2</v>
      </c>
      <c r="BW12" s="4">
        <f t="shared" si="42"/>
        <v>7.9599999999999795</v>
      </c>
      <c r="BX12" s="17"/>
      <c r="BY12" s="16">
        <f t="shared" si="2"/>
        <v>44651</v>
      </c>
      <c r="BZ12" s="10">
        <f t="shared" si="3"/>
        <v>0</v>
      </c>
      <c r="CA12" s="4">
        <f t="shared" si="41"/>
        <v>0</v>
      </c>
      <c r="CB12" s="10">
        <f t="shared" si="34"/>
        <v>0</v>
      </c>
      <c r="CC12" s="4">
        <f t="shared" si="11"/>
        <v>0</v>
      </c>
      <c r="CD12" s="20">
        <v>0</v>
      </c>
      <c r="CE12" s="4">
        <f t="shared" si="43"/>
        <v>0</v>
      </c>
      <c r="CF12" s="17"/>
      <c r="CG12" s="16">
        <f t="shared" si="5"/>
        <v>44651</v>
      </c>
      <c r="CH12" s="10">
        <f t="shared" si="12"/>
        <v>292</v>
      </c>
      <c r="CI12" s="10">
        <f t="shared" si="13"/>
        <v>10</v>
      </c>
      <c r="CJ12" s="10">
        <f t="shared" si="14"/>
        <v>280.58</v>
      </c>
      <c r="CK12" s="4">
        <f t="shared" si="15"/>
        <v>-11.420000000000016</v>
      </c>
      <c r="CL12" s="20">
        <v>0</v>
      </c>
      <c r="CM12" s="4">
        <f t="shared" si="44"/>
        <v>7.9599999999999795</v>
      </c>
      <c r="CO12" s="16">
        <f t="shared" si="6"/>
        <v>44651</v>
      </c>
      <c r="CP12" s="4">
        <f t="shared" si="17"/>
        <v>7.9599999999999795</v>
      </c>
      <c r="CQ12" s="4">
        <f t="shared" si="18"/>
        <v>0</v>
      </c>
      <c r="CR12" s="4">
        <f t="shared" si="19"/>
        <v>0</v>
      </c>
      <c r="CS12" s="4">
        <f t="shared" si="20"/>
        <v>0</v>
      </c>
      <c r="CT12" s="4">
        <f t="shared" si="21"/>
        <v>0</v>
      </c>
      <c r="CU12" s="4">
        <f t="shared" si="22"/>
        <v>0</v>
      </c>
      <c r="CV12" s="4">
        <f t="shared" si="23"/>
        <v>0</v>
      </c>
      <c r="CW12" s="4">
        <f t="shared" si="24"/>
        <v>0</v>
      </c>
      <c r="CX12" s="4">
        <f t="shared" si="25"/>
        <v>0</v>
      </c>
      <c r="CY12" s="4">
        <f t="shared" si="26"/>
        <v>0</v>
      </c>
      <c r="CZ12" s="4">
        <f t="shared" si="27"/>
        <v>0</v>
      </c>
      <c r="DA12" s="4">
        <f t="shared" si="28"/>
        <v>0</v>
      </c>
      <c r="DB12" s="4">
        <f t="shared" si="29"/>
        <v>0</v>
      </c>
      <c r="DC12" s="4">
        <f t="shared" si="30"/>
        <v>0</v>
      </c>
      <c r="DD12" s="4">
        <f t="shared" si="31"/>
        <v>0</v>
      </c>
      <c r="DE12" s="4">
        <f t="shared" si="32"/>
        <v>0</v>
      </c>
      <c r="DF12" s="10">
        <f t="shared" si="33"/>
        <v>0</v>
      </c>
      <c r="DG12" s="10">
        <f t="shared" si="35"/>
        <v>0</v>
      </c>
      <c r="DH12" s="4">
        <f t="shared" si="36"/>
        <v>0</v>
      </c>
      <c r="DI12" s="4">
        <f t="shared" si="37"/>
        <v>0</v>
      </c>
      <c r="DJ12" s="4">
        <f t="shared" si="38"/>
        <v>0</v>
      </c>
      <c r="DK12" s="4">
        <f t="shared" si="39"/>
        <v>0</v>
      </c>
    </row>
    <row r="13" spans="1:115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9">
        <v>0</v>
      </c>
      <c r="BN13" s="10">
        <v>0</v>
      </c>
      <c r="BO13" s="18">
        <v>0</v>
      </c>
      <c r="BP13" s="17"/>
      <c r="BQ13" s="16">
        <f t="shared" si="8"/>
        <v>44681</v>
      </c>
      <c r="BR13" s="10">
        <f t="shared" si="0"/>
        <v>302</v>
      </c>
      <c r="BS13" s="4">
        <f t="shared" si="40"/>
        <v>10</v>
      </c>
      <c r="BT13" s="10">
        <f t="shared" si="1"/>
        <v>279.52</v>
      </c>
      <c r="BU13" s="4">
        <f t="shared" si="9"/>
        <v>-22.480000000000018</v>
      </c>
      <c r="BV13" s="20">
        <f t="shared" si="10"/>
        <v>-7.4437086092715293E-2</v>
      </c>
      <c r="BW13" s="4">
        <f t="shared" si="42"/>
        <v>-11.060000000000002</v>
      </c>
      <c r="BX13" s="17"/>
      <c r="BY13" s="16">
        <f t="shared" si="2"/>
        <v>44681</v>
      </c>
      <c r="BZ13" s="10">
        <f t="shared" si="3"/>
        <v>0</v>
      </c>
      <c r="CA13" s="4">
        <f t="shared" si="41"/>
        <v>0</v>
      </c>
      <c r="CB13" s="10">
        <f t="shared" si="34"/>
        <v>0</v>
      </c>
      <c r="CC13" s="4">
        <f t="shared" si="11"/>
        <v>0</v>
      </c>
      <c r="CD13" s="20">
        <v>0</v>
      </c>
      <c r="CE13" s="4">
        <f t="shared" si="43"/>
        <v>0</v>
      </c>
      <c r="CF13" s="17"/>
      <c r="CG13" s="16">
        <f t="shared" si="5"/>
        <v>44681</v>
      </c>
      <c r="CH13" s="10">
        <f t="shared" si="12"/>
        <v>302</v>
      </c>
      <c r="CI13" s="10">
        <f t="shared" si="13"/>
        <v>10</v>
      </c>
      <c r="CJ13" s="10">
        <f t="shared" si="14"/>
        <v>279.52</v>
      </c>
      <c r="CK13" s="4">
        <f t="shared" si="15"/>
        <v>-22.480000000000018</v>
      </c>
      <c r="CL13" s="20">
        <v>0</v>
      </c>
      <c r="CM13" s="4">
        <f t="shared" si="44"/>
        <v>-11.060000000000002</v>
      </c>
      <c r="CO13" s="16">
        <f t="shared" si="6"/>
        <v>44681</v>
      </c>
      <c r="CP13" s="4">
        <f t="shared" si="17"/>
        <v>-11.060000000000002</v>
      </c>
      <c r="CQ13" s="4">
        <f t="shared" si="18"/>
        <v>0</v>
      </c>
      <c r="CR13" s="4">
        <f t="shared" si="19"/>
        <v>0</v>
      </c>
      <c r="CS13" s="4">
        <f t="shared" si="20"/>
        <v>0</v>
      </c>
      <c r="CT13" s="4">
        <f t="shared" si="21"/>
        <v>0</v>
      </c>
      <c r="CU13" s="4">
        <f t="shared" si="22"/>
        <v>0</v>
      </c>
      <c r="CV13" s="4">
        <f t="shared" si="23"/>
        <v>0</v>
      </c>
      <c r="CW13" s="4">
        <f t="shared" si="24"/>
        <v>0</v>
      </c>
      <c r="CX13" s="4">
        <f t="shared" si="25"/>
        <v>0</v>
      </c>
      <c r="CY13" s="4">
        <f t="shared" si="26"/>
        <v>0</v>
      </c>
      <c r="CZ13" s="4">
        <f t="shared" si="27"/>
        <v>0</v>
      </c>
      <c r="DA13" s="4">
        <f t="shared" si="28"/>
        <v>0</v>
      </c>
      <c r="DB13" s="4">
        <f t="shared" si="29"/>
        <v>0</v>
      </c>
      <c r="DC13" s="4">
        <f t="shared" si="30"/>
        <v>0</v>
      </c>
      <c r="DD13" s="4">
        <f t="shared" si="31"/>
        <v>0</v>
      </c>
      <c r="DE13" s="4">
        <f t="shared" si="32"/>
        <v>0</v>
      </c>
      <c r="DF13" s="10">
        <f t="shared" si="33"/>
        <v>0</v>
      </c>
      <c r="DG13" s="10">
        <f t="shared" si="35"/>
        <v>0</v>
      </c>
      <c r="DH13" s="4">
        <f t="shared" si="36"/>
        <v>0</v>
      </c>
      <c r="DI13" s="4">
        <f t="shared" si="37"/>
        <v>0</v>
      </c>
      <c r="DJ13" s="4">
        <f t="shared" si="38"/>
        <v>0</v>
      </c>
      <c r="DK13" s="4">
        <f t="shared" si="39"/>
        <v>0</v>
      </c>
    </row>
    <row r="14" spans="1:115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9">
        <v>0</v>
      </c>
      <c r="BN14" s="10">
        <v>0</v>
      </c>
      <c r="BO14" s="18">
        <v>0</v>
      </c>
      <c r="BP14" s="17"/>
      <c r="BQ14" s="16">
        <f t="shared" si="8"/>
        <v>44712</v>
      </c>
      <c r="BR14" s="10">
        <f t="shared" si="0"/>
        <v>312</v>
      </c>
      <c r="BS14" s="4">
        <f t="shared" si="40"/>
        <v>10</v>
      </c>
      <c r="BT14" s="10">
        <f t="shared" si="1"/>
        <v>285.89</v>
      </c>
      <c r="BU14" s="4">
        <f t="shared" si="9"/>
        <v>-26.110000000000014</v>
      </c>
      <c r="BV14" s="20">
        <f t="shared" si="10"/>
        <v>-8.368589743589748E-2</v>
      </c>
      <c r="BW14" s="4">
        <f t="shared" si="42"/>
        <v>-3.6299999999999955</v>
      </c>
      <c r="BX14" s="17"/>
      <c r="BY14" s="16">
        <f t="shared" si="2"/>
        <v>44712</v>
      </c>
      <c r="BZ14" s="10">
        <f t="shared" si="3"/>
        <v>0</v>
      </c>
      <c r="CA14" s="4">
        <f t="shared" si="41"/>
        <v>0</v>
      </c>
      <c r="CB14" s="10">
        <f t="shared" si="34"/>
        <v>0</v>
      </c>
      <c r="CC14" s="4">
        <f t="shared" si="11"/>
        <v>0</v>
      </c>
      <c r="CD14" s="20">
        <v>0</v>
      </c>
      <c r="CE14" s="4">
        <f t="shared" si="43"/>
        <v>0</v>
      </c>
      <c r="CF14" s="17"/>
      <c r="CG14" s="16">
        <f t="shared" si="5"/>
        <v>44712</v>
      </c>
      <c r="CH14" s="10">
        <f t="shared" si="12"/>
        <v>312</v>
      </c>
      <c r="CI14" s="10">
        <f t="shared" si="13"/>
        <v>10</v>
      </c>
      <c r="CJ14" s="10">
        <f t="shared" si="14"/>
        <v>285.89</v>
      </c>
      <c r="CK14" s="4">
        <f t="shared" si="15"/>
        <v>-26.110000000000014</v>
      </c>
      <c r="CL14" s="20">
        <v>0</v>
      </c>
      <c r="CM14" s="4">
        <f t="shared" si="44"/>
        <v>-3.6299999999999955</v>
      </c>
      <c r="CO14" s="16">
        <f t="shared" si="6"/>
        <v>44712</v>
      </c>
      <c r="CP14" s="4">
        <f t="shared" si="17"/>
        <v>-3.6299999999999955</v>
      </c>
      <c r="CQ14" s="4">
        <f t="shared" si="18"/>
        <v>0</v>
      </c>
      <c r="CR14" s="4">
        <f t="shared" si="19"/>
        <v>0</v>
      </c>
      <c r="CS14" s="4">
        <f t="shared" si="20"/>
        <v>0</v>
      </c>
      <c r="CT14" s="4">
        <f t="shared" si="21"/>
        <v>0</v>
      </c>
      <c r="CU14" s="4">
        <f t="shared" si="22"/>
        <v>0</v>
      </c>
      <c r="CV14" s="4">
        <f t="shared" si="23"/>
        <v>0</v>
      </c>
      <c r="CW14" s="4">
        <f t="shared" si="24"/>
        <v>0</v>
      </c>
      <c r="CX14" s="4">
        <f t="shared" si="25"/>
        <v>0</v>
      </c>
      <c r="CY14" s="4">
        <f t="shared" si="26"/>
        <v>0</v>
      </c>
      <c r="CZ14" s="4">
        <f t="shared" si="27"/>
        <v>0</v>
      </c>
      <c r="DA14" s="4">
        <f t="shared" si="28"/>
        <v>0</v>
      </c>
      <c r="DB14" s="4">
        <f t="shared" si="29"/>
        <v>0</v>
      </c>
      <c r="DC14" s="4">
        <f t="shared" si="30"/>
        <v>0</v>
      </c>
      <c r="DD14" s="4">
        <f t="shared" si="31"/>
        <v>0</v>
      </c>
      <c r="DE14" s="4">
        <f t="shared" si="32"/>
        <v>0</v>
      </c>
      <c r="DF14" s="10">
        <f t="shared" si="33"/>
        <v>0</v>
      </c>
      <c r="DG14" s="10">
        <f t="shared" si="35"/>
        <v>0</v>
      </c>
      <c r="DH14" s="4">
        <f t="shared" si="36"/>
        <v>0</v>
      </c>
      <c r="DI14" s="4">
        <f t="shared" si="37"/>
        <v>0</v>
      </c>
      <c r="DJ14" s="4">
        <f t="shared" si="38"/>
        <v>0</v>
      </c>
      <c r="DK14" s="4">
        <f t="shared" si="39"/>
        <v>0</v>
      </c>
    </row>
    <row r="15" spans="1:115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9">
        <v>0</v>
      </c>
      <c r="BN15" s="10">
        <v>0</v>
      </c>
      <c r="BO15" s="18">
        <v>0</v>
      </c>
      <c r="BP15" s="17"/>
      <c r="BQ15" s="16">
        <f t="shared" si="8"/>
        <v>44742</v>
      </c>
      <c r="BR15" s="10">
        <f t="shared" si="0"/>
        <v>322</v>
      </c>
      <c r="BS15" s="4">
        <f t="shared" si="40"/>
        <v>10</v>
      </c>
      <c r="BT15" s="10">
        <f t="shared" si="1"/>
        <v>280.10000000000002</v>
      </c>
      <c r="BU15" s="4">
        <f t="shared" si="9"/>
        <v>-41.899999999999977</v>
      </c>
      <c r="BV15" s="20">
        <f t="shared" si="10"/>
        <v>-0.13012422360248441</v>
      </c>
      <c r="BW15" s="4">
        <f>BU15-BU14</f>
        <v>-15.789999999999964</v>
      </c>
      <c r="BX15" s="17"/>
      <c r="BY15" s="16">
        <f t="shared" si="2"/>
        <v>44742</v>
      </c>
      <c r="BZ15" s="10">
        <f t="shared" si="3"/>
        <v>0</v>
      </c>
      <c r="CA15" s="4">
        <f t="shared" si="41"/>
        <v>0</v>
      </c>
      <c r="CB15" s="10">
        <f t="shared" si="34"/>
        <v>0</v>
      </c>
      <c r="CC15" s="4">
        <f t="shared" si="11"/>
        <v>0</v>
      </c>
      <c r="CD15" s="20">
        <v>0</v>
      </c>
      <c r="CE15" s="4">
        <f>CC15-CC14</f>
        <v>0</v>
      </c>
      <c r="CF15" s="17"/>
      <c r="CG15" s="16">
        <f t="shared" si="5"/>
        <v>44742</v>
      </c>
      <c r="CH15" s="10">
        <f t="shared" si="12"/>
        <v>322</v>
      </c>
      <c r="CI15" s="10">
        <f t="shared" si="13"/>
        <v>10</v>
      </c>
      <c r="CJ15" s="10">
        <f t="shared" si="14"/>
        <v>280.10000000000002</v>
      </c>
      <c r="CK15" s="4">
        <f t="shared" si="15"/>
        <v>-41.899999999999977</v>
      </c>
      <c r="CL15" s="20">
        <v>0</v>
      </c>
      <c r="CM15" s="4">
        <f>CK15-CK14</f>
        <v>-15.789999999999964</v>
      </c>
      <c r="CO15" s="16">
        <f t="shared" si="6"/>
        <v>44742</v>
      </c>
      <c r="CP15" s="4">
        <f t="shared" si="17"/>
        <v>-15.789999999999964</v>
      </c>
      <c r="CQ15" s="4">
        <f t="shared" si="18"/>
        <v>0</v>
      </c>
      <c r="CR15" s="4">
        <f t="shared" si="19"/>
        <v>0</v>
      </c>
      <c r="CS15" s="4">
        <f t="shared" si="20"/>
        <v>0</v>
      </c>
      <c r="CT15" s="4">
        <f t="shared" si="21"/>
        <v>0</v>
      </c>
      <c r="CU15" s="4">
        <f t="shared" si="22"/>
        <v>0</v>
      </c>
      <c r="CV15" s="4">
        <f t="shared" si="23"/>
        <v>0</v>
      </c>
      <c r="CW15" s="4">
        <f t="shared" si="24"/>
        <v>0</v>
      </c>
      <c r="CX15" s="4">
        <f t="shared" si="25"/>
        <v>0</v>
      </c>
      <c r="CY15" s="4">
        <f t="shared" si="26"/>
        <v>0</v>
      </c>
      <c r="CZ15" s="4">
        <f t="shared" si="27"/>
        <v>0</v>
      </c>
      <c r="DA15" s="4">
        <f t="shared" si="28"/>
        <v>0</v>
      </c>
      <c r="DB15" s="4">
        <f t="shared" si="29"/>
        <v>0</v>
      </c>
      <c r="DC15" s="4">
        <f t="shared" si="30"/>
        <v>0</v>
      </c>
      <c r="DD15" s="4">
        <f t="shared" si="31"/>
        <v>0</v>
      </c>
      <c r="DE15" s="4">
        <f t="shared" si="32"/>
        <v>0</v>
      </c>
      <c r="DF15" s="10">
        <f t="shared" si="33"/>
        <v>0</v>
      </c>
      <c r="DG15" s="10">
        <f t="shared" si="35"/>
        <v>0</v>
      </c>
      <c r="DH15" s="4">
        <f t="shared" si="36"/>
        <v>0</v>
      </c>
      <c r="DI15" s="4">
        <f t="shared" si="37"/>
        <v>0</v>
      </c>
      <c r="DJ15" s="4">
        <f t="shared" si="38"/>
        <v>0</v>
      </c>
      <c r="DK15" s="4">
        <f t="shared" si="39"/>
        <v>0</v>
      </c>
    </row>
    <row r="16" spans="1:115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9">
        <v>0</v>
      </c>
      <c r="BN16" s="10">
        <v>0</v>
      </c>
      <c r="BO16" s="18">
        <v>0</v>
      </c>
      <c r="BP16" s="17"/>
      <c r="BQ16" s="16">
        <f t="shared" si="8"/>
        <v>44773</v>
      </c>
      <c r="BR16" s="10">
        <f t="shared" si="0"/>
        <v>332</v>
      </c>
      <c r="BS16" s="4">
        <f t="shared" si="40"/>
        <v>10</v>
      </c>
      <c r="BT16" s="10">
        <f t="shared" si="1"/>
        <v>305.31</v>
      </c>
      <c r="BU16" s="4">
        <f t="shared" si="9"/>
        <v>-26.689999999999998</v>
      </c>
      <c r="BV16" s="20">
        <f t="shared" si="10"/>
        <v>-8.0391566265060235E-2</v>
      </c>
      <c r="BW16" s="4">
        <f>BU16-BU15</f>
        <v>15.20999999999998</v>
      </c>
      <c r="BX16" s="17"/>
      <c r="BY16" s="16">
        <f t="shared" si="2"/>
        <v>44773</v>
      </c>
      <c r="BZ16" s="10">
        <f t="shared" si="3"/>
        <v>0</v>
      </c>
      <c r="CA16" s="4">
        <f t="shared" si="41"/>
        <v>0</v>
      </c>
      <c r="CB16" s="10">
        <f t="shared" si="34"/>
        <v>0</v>
      </c>
      <c r="CC16" s="4">
        <f t="shared" si="11"/>
        <v>0</v>
      </c>
      <c r="CD16" s="20">
        <v>0</v>
      </c>
      <c r="CE16" s="4">
        <f>CC16-CC15</f>
        <v>0</v>
      </c>
      <c r="CF16" s="17"/>
      <c r="CG16" s="16">
        <f t="shared" si="5"/>
        <v>44773</v>
      </c>
      <c r="CH16" s="10">
        <f t="shared" si="12"/>
        <v>332</v>
      </c>
      <c r="CI16" s="10">
        <f t="shared" si="13"/>
        <v>10</v>
      </c>
      <c r="CJ16" s="10">
        <f t="shared" si="14"/>
        <v>305.31</v>
      </c>
      <c r="CK16" s="4">
        <f t="shared" si="15"/>
        <v>-26.689999999999998</v>
      </c>
      <c r="CL16" s="20">
        <v>0</v>
      </c>
      <c r="CM16" s="4">
        <f>CK16-CK15</f>
        <v>15.20999999999998</v>
      </c>
      <c r="CO16" s="16">
        <f t="shared" si="6"/>
        <v>44773</v>
      </c>
      <c r="CP16" s="4">
        <f t="shared" si="17"/>
        <v>15.20999999999998</v>
      </c>
      <c r="CQ16" s="4">
        <f t="shared" si="18"/>
        <v>0</v>
      </c>
      <c r="CR16" s="4">
        <f t="shared" si="19"/>
        <v>0</v>
      </c>
      <c r="CS16" s="4">
        <f t="shared" si="20"/>
        <v>0</v>
      </c>
      <c r="CT16" s="4">
        <f t="shared" si="21"/>
        <v>0</v>
      </c>
      <c r="CU16" s="4">
        <f t="shared" si="22"/>
        <v>0</v>
      </c>
      <c r="CV16" s="4">
        <f t="shared" si="23"/>
        <v>0</v>
      </c>
      <c r="CW16" s="4">
        <f t="shared" si="24"/>
        <v>0</v>
      </c>
      <c r="CX16" s="4">
        <f t="shared" si="25"/>
        <v>0</v>
      </c>
      <c r="CY16" s="4">
        <f t="shared" si="26"/>
        <v>0</v>
      </c>
      <c r="CZ16" s="4">
        <f t="shared" si="27"/>
        <v>0</v>
      </c>
      <c r="DA16" s="4">
        <f t="shared" si="28"/>
        <v>0</v>
      </c>
      <c r="DB16" s="4">
        <f t="shared" si="29"/>
        <v>0</v>
      </c>
      <c r="DC16" s="4">
        <f t="shared" si="30"/>
        <v>0</v>
      </c>
      <c r="DD16" s="4">
        <f t="shared" si="31"/>
        <v>0</v>
      </c>
      <c r="DE16" s="4">
        <f t="shared" si="32"/>
        <v>0</v>
      </c>
      <c r="DF16" s="10">
        <f t="shared" si="33"/>
        <v>0</v>
      </c>
      <c r="DG16" s="10">
        <f t="shared" si="35"/>
        <v>0</v>
      </c>
      <c r="DH16" s="4">
        <f t="shared" si="36"/>
        <v>0</v>
      </c>
      <c r="DI16" s="4">
        <f t="shared" si="37"/>
        <v>0</v>
      </c>
      <c r="DJ16" s="4">
        <f t="shared" si="38"/>
        <v>0</v>
      </c>
      <c r="DK16" s="4">
        <f t="shared" si="39"/>
        <v>0</v>
      </c>
    </row>
    <row r="17" spans="1:115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9">
        <v>0</v>
      </c>
      <c r="BN17" s="10">
        <v>0</v>
      </c>
      <c r="BO17" s="18">
        <v>0</v>
      </c>
      <c r="BP17" s="17"/>
      <c r="BQ17" s="16">
        <f t="shared" si="8"/>
        <v>44804</v>
      </c>
      <c r="BR17" s="10">
        <f t="shared" si="0"/>
        <v>342</v>
      </c>
      <c r="BS17" s="4">
        <f t="shared" si="40"/>
        <v>10</v>
      </c>
      <c r="BT17" s="10">
        <f t="shared" si="1"/>
        <v>308.79000000000002</v>
      </c>
      <c r="BU17" s="4">
        <f t="shared" si="9"/>
        <v>-33.20999999999998</v>
      </c>
      <c r="BV17" s="20">
        <f t="shared" si="10"/>
        <v>-9.7105263157894681E-2</v>
      </c>
      <c r="BW17" s="4">
        <f t="shared" ref="BW17:BW23" si="45">BU17-BU16</f>
        <v>-6.5199999999999818</v>
      </c>
      <c r="BX17" s="17"/>
      <c r="BY17" s="16">
        <f t="shared" si="2"/>
        <v>44804</v>
      </c>
      <c r="BZ17" s="10">
        <f t="shared" si="3"/>
        <v>0</v>
      </c>
      <c r="CA17" s="4">
        <f t="shared" si="41"/>
        <v>0</v>
      </c>
      <c r="CB17" s="10">
        <f t="shared" si="34"/>
        <v>0</v>
      </c>
      <c r="CC17" s="4">
        <f t="shared" si="11"/>
        <v>0</v>
      </c>
      <c r="CD17" s="20">
        <v>0</v>
      </c>
      <c r="CE17" s="4">
        <f t="shared" ref="CE17:CE23" si="46">CC17-CC16</f>
        <v>0</v>
      </c>
      <c r="CF17" s="17"/>
      <c r="CG17" s="16">
        <f t="shared" si="5"/>
        <v>44804</v>
      </c>
      <c r="CH17" s="10">
        <f t="shared" si="12"/>
        <v>342</v>
      </c>
      <c r="CI17" s="10">
        <f t="shared" si="13"/>
        <v>10</v>
      </c>
      <c r="CJ17" s="10">
        <f t="shared" si="14"/>
        <v>308.79000000000002</v>
      </c>
      <c r="CK17" s="4">
        <f t="shared" si="15"/>
        <v>-33.20999999999998</v>
      </c>
      <c r="CL17" s="20">
        <v>0</v>
      </c>
      <c r="CM17" s="4">
        <f t="shared" ref="CM17:CM23" si="47">CK17-CK16</f>
        <v>-6.5199999999999818</v>
      </c>
      <c r="CO17" s="16">
        <f t="shared" si="6"/>
        <v>44804</v>
      </c>
      <c r="CP17" s="4">
        <f t="shared" si="17"/>
        <v>-6.5199999999999818</v>
      </c>
      <c r="CQ17" s="4">
        <f t="shared" si="18"/>
        <v>0</v>
      </c>
      <c r="CR17" s="4">
        <f t="shared" si="19"/>
        <v>0</v>
      </c>
      <c r="CS17" s="4">
        <f t="shared" si="20"/>
        <v>0</v>
      </c>
      <c r="CT17" s="4">
        <f t="shared" si="21"/>
        <v>0</v>
      </c>
      <c r="CU17" s="4">
        <f t="shared" si="22"/>
        <v>0</v>
      </c>
      <c r="CV17" s="4">
        <f t="shared" si="23"/>
        <v>0</v>
      </c>
      <c r="CW17" s="4">
        <f t="shared" si="24"/>
        <v>0</v>
      </c>
      <c r="CX17" s="4">
        <f t="shared" si="25"/>
        <v>0</v>
      </c>
      <c r="CY17" s="4">
        <f t="shared" si="26"/>
        <v>0</v>
      </c>
      <c r="CZ17" s="4">
        <f t="shared" si="27"/>
        <v>0</v>
      </c>
      <c r="DA17" s="4">
        <f t="shared" si="28"/>
        <v>0</v>
      </c>
      <c r="DB17" s="4">
        <f t="shared" si="29"/>
        <v>0</v>
      </c>
      <c r="DC17" s="4">
        <f t="shared" si="30"/>
        <v>0</v>
      </c>
      <c r="DD17" s="4">
        <f t="shared" si="31"/>
        <v>0</v>
      </c>
      <c r="DE17" s="4">
        <f t="shared" si="32"/>
        <v>0</v>
      </c>
      <c r="DF17" s="10">
        <f t="shared" si="33"/>
        <v>0</v>
      </c>
      <c r="DG17" s="10">
        <f t="shared" si="35"/>
        <v>0</v>
      </c>
      <c r="DH17" s="4">
        <f t="shared" si="36"/>
        <v>0</v>
      </c>
      <c r="DI17" s="4">
        <f t="shared" si="37"/>
        <v>0</v>
      </c>
      <c r="DJ17" s="4">
        <f t="shared" si="38"/>
        <v>0</v>
      </c>
      <c r="DK17" s="4">
        <f t="shared" si="39"/>
        <v>0</v>
      </c>
    </row>
    <row r="18" spans="1:115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9">
        <v>0</v>
      </c>
      <c r="BN18" s="10">
        <v>0</v>
      </c>
      <c r="BO18" s="18">
        <v>0</v>
      </c>
      <c r="BP18" s="17"/>
      <c r="BQ18" s="16">
        <f t="shared" si="8"/>
        <v>44834</v>
      </c>
      <c r="BR18" s="10">
        <f t="shared" si="0"/>
        <v>352</v>
      </c>
      <c r="BS18" s="4">
        <f t="shared" si="40"/>
        <v>10</v>
      </c>
      <c r="BT18" s="10">
        <f t="shared" si="1"/>
        <v>294.64</v>
      </c>
      <c r="BU18" s="4">
        <f t="shared" si="9"/>
        <v>-57.360000000000014</v>
      </c>
      <c r="BV18" s="20">
        <f t="shared" si="10"/>
        <v>-0.16295454545454549</v>
      </c>
      <c r="BW18" s="4">
        <f t="shared" si="45"/>
        <v>-24.150000000000034</v>
      </c>
      <c r="BX18" s="17"/>
      <c r="BY18" s="16">
        <f t="shared" si="2"/>
        <v>44834</v>
      </c>
      <c r="BZ18" s="10">
        <f t="shared" si="3"/>
        <v>0</v>
      </c>
      <c r="CA18" s="4">
        <f t="shared" si="41"/>
        <v>0</v>
      </c>
      <c r="CB18" s="10">
        <f t="shared" si="34"/>
        <v>0</v>
      </c>
      <c r="CC18" s="4">
        <f t="shared" si="11"/>
        <v>0</v>
      </c>
      <c r="CD18" s="20">
        <v>0</v>
      </c>
      <c r="CE18" s="4">
        <f t="shared" si="46"/>
        <v>0</v>
      </c>
      <c r="CF18" s="17"/>
      <c r="CG18" s="16">
        <f t="shared" si="5"/>
        <v>44834</v>
      </c>
      <c r="CH18" s="10">
        <f t="shared" si="12"/>
        <v>352</v>
      </c>
      <c r="CI18" s="10">
        <f t="shared" si="13"/>
        <v>10</v>
      </c>
      <c r="CJ18" s="10">
        <f t="shared" si="14"/>
        <v>294.64</v>
      </c>
      <c r="CK18" s="4">
        <f t="shared" si="15"/>
        <v>-57.360000000000014</v>
      </c>
      <c r="CL18" s="20">
        <v>0</v>
      </c>
      <c r="CM18" s="4">
        <f t="shared" si="47"/>
        <v>-24.150000000000034</v>
      </c>
      <c r="CO18" s="16">
        <f t="shared" si="6"/>
        <v>44834</v>
      </c>
      <c r="CP18" s="4">
        <f t="shared" si="17"/>
        <v>-24.150000000000034</v>
      </c>
      <c r="CQ18" s="4">
        <f t="shared" si="18"/>
        <v>0</v>
      </c>
      <c r="CR18" s="4">
        <f t="shared" si="19"/>
        <v>0</v>
      </c>
      <c r="CS18" s="4">
        <f t="shared" si="20"/>
        <v>0</v>
      </c>
      <c r="CT18" s="4">
        <f t="shared" si="21"/>
        <v>0</v>
      </c>
      <c r="CU18" s="4">
        <f t="shared" si="22"/>
        <v>0</v>
      </c>
      <c r="CV18" s="4">
        <f t="shared" si="23"/>
        <v>0</v>
      </c>
      <c r="CW18" s="4">
        <f t="shared" si="24"/>
        <v>0</v>
      </c>
      <c r="CX18" s="4">
        <f t="shared" si="25"/>
        <v>0</v>
      </c>
      <c r="CY18" s="4">
        <f t="shared" si="26"/>
        <v>0</v>
      </c>
      <c r="CZ18" s="4">
        <f t="shared" si="27"/>
        <v>0</v>
      </c>
      <c r="DA18" s="4">
        <f t="shared" si="28"/>
        <v>0</v>
      </c>
      <c r="DB18" s="4">
        <f t="shared" si="29"/>
        <v>0</v>
      </c>
      <c r="DC18" s="4">
        <f t="shared" si="30"/>
        <v>0</v>
      </c>
      <c r="DD18" s="4">
        <f t="shared" si="31"/>
        <v>0</v>
      </c>
      <c r="DE18" s="4">
        <f t="shared" si="32"/>
        <v>0</v>
      </c>
      <c r="DF18" s="10">
        <f t="shared" si="33"/>
        <v>0</v>
      </c>
      <c r="DG18" s="10">
        <f t="shared" si="35"/>
        <v>0</v>
      </c>
      <c r="DH18" s="4">
        <f t="shared" si="36"/>
        <v>0</v>
      </c>
      <c r="DI18" s="4">
        <f t="shared" si="37"/>
        <v>0</v>
      </c>
      <c r="DJ18" s="4">
        <f t="shared" si="38"/>
        <v>0</v>
      </c>
      <c r="DK18" s="4">
        <f t="shared" si="39"/>
        <v>0</v>
      </c>
    </row>
    <row r="19" spans="1:115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9">
        <v>0</v>
      </c>
      <c r="BN19" s="10">
        <v>0</v>
      </c>
      <c r="BO19" s="18">
        <v>0</v>
      </c>
      <c r="BP19" s="17"/>
      <c r="BQ19" s="16">
        <f t="shared" si="8"/>
        <v>44865</v>
      </c>
      <c r="BR19" s="10">
        <f t="shared" si="0"/>
        <v>362</v>
      </c>
      <c r="BS19" s="4">
        <f t="shared" si="40"/>
        <v>10</v>
      </c>
      <c r="BT19" s="10">
        <f t="shared" si="1"/>
        <v>314.55</v>
      </c>
      <c r="BU19" s="4">
        <f t="shared" si="9"/>
        <v>-47.449999999999989</v>
      </c>
      <c r="BV19" s="20">
        <f t="shared" si="10"/>
        <v>-0.13107734806629831</v>
      </c>
      <c r="BW19" s="4">
        <f t="shared" si="45"/>
        <v>9.910000000000025</v>
      </c>
      <c r="BX19" s="17"/>
      <c r="BY19" s="16">
        <f t="shared" si="2"/>
        <v>44865</v>
      </c>
      <c r="BZ19" s="10">
        <f t="shared" si="3"/>
        <v>0</v>
      </c>
      <c r="CA19" s="4">
        <f t="shared" si="41"/>
        <v>0</v>
      </c>
      <c r="CB19" s="10">
        <f t="shared" si="34"/>
        <v>0</v>
      </c>
      <c r="CC19" s="4">
        <f t="shared" si="11"/>
        <v>0</v>
      </c>
      <c r="CD19" s="20">
        <v>0</v>
      </c>
      <c r="CE19" s="4">
        <f t="shared" si="46"/>
        <v>0</v>
      </c>
      <c r="CF19" s="17"/>
      <c r="CG19" s="16">
        <f t="shared" si="5"/>
        <v>44865</v>
      </c>
      <c r="CH19" s="10">
        <f t="shared" si="12"/>
        <v>362</v>
      </c>
      <c r="CI19" s="10">
        <f t="shared" si="13"/>
        <v>10</v>
      </c>
      <c r="CJ19" s="10">
        <f t="shared" si="14"/>
        <v>314.55</v>
      </c>
      <c r="CK19" s="4">
        <f t="shared" si="15"/>
        <v>-47.449999999999989</v>
      </c>
      <c r="CL19" s="20">
        <v>0</v>
      </c>
      <c r="CM19" s="4">
        <f t="shared" si="47"/>
        <v>9.910000000000025</v>
      </c>
      <c r="CO19" s="16">
        <f t="shared" si="6"/>
        <v>44865</v>
      </c>
      <c r="CP19" s="4">
        <f t="shared" si="17"/>
        <v>9.910000000000025</v>
      </c>
      <c r="CQ19" s="4">
        <f t="shared" si="18"/>
        <v>0</v>
      </c>
      <c r="CR19" s="4">
        <f t="shared" si="19"/>
        <v>0</v>
      </c>
      <c r="CS19" s="4">
        <f t="shared" si="20"/>
        <v>0</v>
      </c>
      <c r="CT19" s="4">
        <f t="shared" si="21"/>
        <v>0</v>
      </c>
      <c r="CU19" s="4">
        <f t="shared" si="22"/>
        <v>0</v>
      </c>
      <c r="CV19" s="4">
        <f t="shared" si="23"/>
        <v>0</v>
      </c>
      <c r="CW19" s="4">
        <f t="shared" si="24"/>
        <v>0</v>
      </c>
      <c r="CX19" s="4">
        <f t="shared" si="25"/>
        <v>0</v>
      </c>
      <c r="CY19" s="4">
        <f t="shared" si="26"/>
        <v>0</v>
      </c>
      <c r="CZ19" s="4">
        <f t="shared" si="27"/>
        <v>0</v>
      </c>
      <c r="DA19" s="4">
        <f t="shared" si="28"/>
        <v>0</v>
      </c>
      <c r="DB19" s="4">
        <f t="shared" si="29"/>
        <v>0</v>
      </c>
      <c r="DC19" s="4">
        <f t="shared" si="30"/>
        <v>0</v>
      </c>
      <c r="DD19" s="4">
        <f t="shared" si="31"/>
        <v>0</v>
      </c>
      <c r="DE19" s="4">
        <f t="shared" si="32"/>
        <v>0</v>
      </c>
      <c r="DF19" s="10">
        <f t="shared" si="33"/>
        <v>0</v>
      </c>
      <c r="DG19" s="10">
        <f t="shared" si="35"/>
        <v>0</v>
      </c>
      <c r="DH19" s="4">
        <f t="shared" si="36"/>
        <v>0</v>
      </c>
      <c r="DI19" s="4">
        <f t="shared" si="37"/>
        <v>0</v>
      </c>
      <c r="DJ19" s="4">
        <f t="shared" si="38"/>
        <v>0</v>
      </c>
      <c r="DK19" s="4">
        <f t="shared" si="39"/>
        <v>0</v>
      </c>
    </row>
    <row r="20" spans="1:115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9">
        <v>0</v>
      </c>
      <c r="BN20" s="10">
        <v>0</v>
      </c>
      <c r="BO20" s="18">
        <v>0</v>
      </c>
      <c r="BP20" s="17"/>
      <c r="BQ20" s="16">
        <f t="shared" si="8"/>
        <v>44895</v>
      </c>
      <c r="BR20" s="10">
        <f t="shared" si="0"/>
        <v>372</v>
      </c>
      <c r="BS20" s="4">
        <f t="shared" si="40"/>
        <v>10</v>
      </c>
      <c r="BT20" s="10">
        <f t="shared" si="1"/>
        <v>332.1</v>
      </c>
      <c r="BU20" s="4">
        <f t="shared" si="9"/>
        <v>-39.899999999999977</v>
      </c>
      <c r="BV20" s="20">
        <f t="shared" si="10"/>
        <v>-0.10725806451612897</v>
      </c>
      <c r="BW20" s="4">
        <f t="shared" si="45"/>
        <v>7.5500000000000114</v>
      </c>
      <c r="BX20" s="17"/>
      <c r="BY20" s="16">
        <f t="shared" si="2"/>
        <v>44895</v>
      </c>
      <c r="BZ20" s="10">
        <f t="shared" si="3"/>
        <v>0</v>
      </c>
      <c r="CA20" s="4">
        <f t="shared" si="41"/>
        <v>0</v>
      </c>
      <c r="CB20" s="10">
        <f t="shared" si="34"/>
        <v>0</v>
      </c>
      <c r="CC20" s="4">
        <f t="shared" si="11"/>
        <v>0</v>
      </c>
      <c r="CD20" s="20">
        <v>0</v>
      </c>
      <c r="CE20" s="4">
        <f t="shared" si="46"/>
        <v>0</v>
      </c>
      <c r="CF20" s="17"/>
      <c r="CG20" s="16">
        <f t="shared" si="5"/>
        <v>44895</v>
      </c>
      <c r="CH20" s="10">
        <f t="shared" si="12"/>
        <v>372</v>
      </c>
      <c r="CI20" s="10">
        <f t="shared" si="13"/>
        <v>10</v>
      </c>
      <c r="CJ20" s="10">
        <f t="shared" si="14"/>
        <v>332.1</v>
      </c>
      <c r="CK20" s="4">
        <f t="shared" si="15"/>
        <v>-39.899999999999977</v>
      </c>
      <c r="CL20" s="20">
        <v>0</v>
      </c>
      <c r="CM20" s="4">
        <f t="shared" si="47"/>
        <v>7.5500000000000114</v>
      </c>
      <c r="CO20" s="16">
        <f t="shared" si="6"/>
        <v>44895</v>
      </c>
      <c r="CP20" s="4">
        <f t="shared" si="17"/>
        <v>7.5500000000000114</v>
      </c>
      <c r="CQ20" s="4">
        <f t="shared" si="18"/>
        <v>0</v>
      </c>
      <c r="CR20" s="4">
        <f t="shared" si="19"/>
        <v>0</v>
      </c>
      <c r="CS20" s="4">
        <f t="shared" si="20"/>
        <v>0</v>
      </c>
      <c r="CT20" s="4">
        <f t="shared" si="21"/>
        <v>0</v>
      </c>
      <c r="CU20" s="4">
        <f t="shared" si="22"/>
        <v>0</v>
      </c>
      <c r="CV20" s="4">
        <f t="shared" si="23"/>
        <v>0</v>
      </c>
      <c r="CW20" s="4">
        <f t="shared" si="24"/>
        <v>0</v>
      </c>
      <c r="CX20" s="4">
        <f t="shared" si="25"/>
        <v>0</v>
      </c>
      <c r="CY20" s="4">
        <f t="shared" si="26"/>
        <v>0</v>
      </c>
      <c r="CZ20" s="4">
        <f t="shared" si="27"/>
        <v>0</v>
      </c>
      <c r="DA20" s="4">
        <f t="shared" si="28"/>
        <v>0</v>
      </c>
      <c r="DB20" s="4">
        <f t="shared" si="29"/>
        <v>0</v>
      </c>
      <c r="DC20" s="4">
        <f t="shared" si="30"/>
        <v>0</v>
      </c>
      <c r="DD20" s="4">
        <f t="shared" si="31"/>
        <v>0</v>
      </c>
      <c r="DE20" s="4">
        <f t="shared" si="32"/>
        <v>0</v>
      </c>
      <c r="DF20" s="10">
        <f t="shared" si="33"/>
        <v>0</v>
      </c>
      <c r="DG20" s="10">
        <f t="shared" si="35"/>
        <v>0</v>
      </c>
      <c r="DH20" s="4">
        <f t="shared" si="36"/>
        <v>0</v>
      </c>
      <c r="DI20" s="4">
        <f t="shared" si="37"/>
        <v>0</v>
      </c>
      <c r="DJ20" s="4">
        <f t="shared" si="38"/>
        <v>0</v>
      </c>
      <c r="DK20" s="4">
        <f t="shared" si="39"/>
        <v>0</v>
      </c>
    </row>
    <row r="21" spans="1:115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9">
        <v>0</v>
      </c>
      <c r="BN21" s="10">
        <v>0</v>
      </c>
      <c r="BO21" s="18">
        <v>0</v>
      </c>
      <c r="BP21" s="17"/>
      <c r="BQ21" s="16">
        <f t="shared" si="8"/>
        <v>44926</v>
      </c>
      <c r="BR21" s="10">
        <f t="shared" si="0"/>
        <v>382</v>
      </c>
      <c r="BS21" s="4">
        <f t="shared" si="40"/>
        <v>10</v>
      </c>
      <c r="BT21" s="10">
        <f t="shared" si="1"/>
        <v>336.2</v>
      </c>
      <c r="BU21" s="4">
        <f t="shared" si="9"/>
        <v>-45.800000000000011</v>
      </c>
      <c r="BV21" s="20">
        <f t="shared" si="10"/>
        <v>-0.11989528795811522</v>
      </c>
      <c r="BW21" s="4">
        <f t="shared" si="45"/>
        <v>-5.9000000000000341</v>
      </c>
      <c r="BX21" s="17"/>
      <c r="BY21" s="16">
        <f t="shared" si="2"/>
        <v>44926</v>
      </c>
      <c r="BZ21" s="10">
        <f t="shared" si="3"/>
        <v>0</v>
      </c>
      <c r="CA21" s="4">
        <f t="shared" si="41"/>
        <v>0</v>
      </c>
      <c r="CB21" s="10">
        <f t="shared" si="34"/>
        <v>0</v>
      </c>
      <c r="CC21" s="4">
        <f t="shared" si="11"/>
        <v>0</v>
      </c>
      <c r="CD21" s="20">
        <v>0</v>
      </c>
      <c r="CE21" s="4">
        <f t="shared" si="46"/>
        <v>0</v>
      </c>
      <c r="CF21" s="17"/>
      <c r="CG21" s="16">
        <f t="shared" si="5"/>
        <v>44926</v>
      </c>
      <c r="CH21" s="10">
        <f t="shared" si="12"/>
        <v>382</v>
      </c>
      <c r="CI21" s="10">
        <f t="shared" si="13"/>
        <v>10</v>
      </c>
      <c r="CJ21" s="10">
        <f t="shared" si="14"/>
        <v>336.2</v>
      </c>
      <c r="CK21" s="4">
        <f t="shared" si="15"/>
        <v>-45.800000000000011</v>
      </c>
      <c r="CL21" s="20">
        <v>0</v>
      </c>
      <c r="CM21" s="4">
        <f t="shared" si="47"/>
        <v>-5.9000000000000341</v>
      </c>
      <c r="CO21" s="16">
        <f t="shared" si="6"/>
        <v>44926</v>
      </c>
      <c r="CP21" s="4">
        <f t="shared" si="17"/>
        <v>-5.9000000000000341</v>
      </c>
      <c r="CQ21" s="4">
        <f t="shared" si="18"/>
        <v>0</v>
      </c>
      <c r="CR21" s="4">
        <f t="shared" si="19"/>
        <v>0</v>
      </c>
      <c r="CS21" s="4">
        <f t="shared" si="20"/>
        <v>0</v>
      </c>
      <c r="CT21" s="4">
        <f t="shared" si="21"/>
        <v>0</v>
      </c>
      <c r="CU21" s="4">
        <f t="shared" si="22"/>
        <v>0</v>
      </c>
      <c r="CV21" s="4">
        <f t="shared" si="23"/>
        <v>0</v>
      </c>
      <c r="CW21" s="4">
        <f t="shared" si="24"/>
        <v>0</v>
      </c>
      <c r="CX21" s="4">
        <f t="shared" si="25"/>
        <v>0</v>
      </c>
      <c r="CY21" s="4">
        <f t="shared" si="26"/>
        <v>0</v>
      </c>
      <c r="CZ21" s="4">
        <f t="shared" si="27"/>
        <v>0</v>
      </c>
      <c r="DA21" s="4">
        <f t="shared" si="28"/>
        <v>0</v>
      </c>
      <c r="DB21" s="4">
        <f t="shared" si="29"/>
        <v>0</v>
      </c>
      <c r="DC21" s="4">
        <f t="shared" si="30"/>
        <v>0</v>
      </c>
      <c r="DD21" s="4">
        <f t="shared" si="31"/>
        <v>0</v>
      </c>
      <c r="DE21" s="4">
        <f t="shared" si="32"/>
        <v>0</v>
      </c>
      <c r="DF21" s="10">
        <f t="shared" si="33"/>
        <v>0</v>
      </c>
      <c r="DG21" s="10">
        <f t="shared" si="35"/>
        <v>0</v>
      </c>
      <c r="DH21" s="4">
        <f t="shared" si="36"/>
        <v>0</v>
      </c>
      <c r="DI21" s="4">
        <f t="shared" si="37"/>
        <v>0</v>
      </c>
      <c r="DJ21" s="4">
        <f t="shared" si="38"/>
        <v>0</v>
      </c>
      <c r="DK21" s="4">
        <f t="shared" si="39"/>
        <v>0</v>
      </c>
    </row>
    <row r="22" spans="1:115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9">
        <v>0</v>
      </c>
      <c r="BN22" s="10">
        <v>0</v>
      </c>
      <c r="BO22" s="18">
        <v>0</v>
      </c>
      <c r="BP22" s="17"/>
      <c r="BQ22" s="16">
        <f t="shared" si="8"/>
        <v>44957</v>
      </c>
      <c r="BR22" s="10">
        <f t="shared" si="0"/>
        <v>392</v>
      </c>
      <c r="BS22" s="4">
        <f t="shared" si="40"/>
        <v>10</v>
      </c>
      <c r="BT22" s="10">
        <f t="shared" si="1"/>
        <v>360.08</v>
      </c>
      <c r="BU22" s="4">
        <f t="shared" si="9"/>
        <v>-31.920000000000016</v>
      </c>
      <c r="BV22" s="20">
        <f t="shared" si="10"/>
        <v>-8.1428571428571475E-2</v>
      </c>
      <c r="BW22" s="4">
        <f t="shared" si="45"/>
        <v>13.879999999999995</v>
      </c>
      <c r="BX22" s="17"/>
      <c r="BY22" s="16">
        <f t="shared" si="2"/>
        <v>44957</v>
      </c>
      <c r="BZ22" s="10">
        <f t="shared" si="3"/>
        <v>0</v>
      </c>
      <c r="CA22" s="4">
        <f t="shared" si="41"/>
        <v>0</v>
      </c>
      <c r="CB22" s="10">
        <f t="shared" si="34"/>
        <v>0</v>
      </c>
      <c r="CC22" s="4">
        <f t="shared" si="11"/>
        <v>0</v>
      </c>
      <c r="CD22" s="20">
        <v>0</v>
      </c>
      <c r="CE22" s="4">
        <f t="shared" si="46"/>
        <v>0</v>
      </c>
      <c r="CF22" s="17"/>
      <c r="CG22" s="16">
        <f t="shared" si="5"/>
        <v>44957</v>
      </c>
      <c r="CH22" s="10">
        <f t="shared" si="12"/>
        <v>392</v>
      </c>
      <c r="CI22" s="10">
        <f t="shared" si="13"/>
        <v>10</v>
      </c>
      <c r="CJ22" s="10">
        <f t="shared" si="14"/>
        <v>360.08</v>
      </c>
      <c r="CK22" s="4">
        <f t="shared" si="15"/>
        <v>-31.920000000000016</v>
      </c>
      <c r="CL22" s="20">
        <v>0</v>
      </c>
      <c r="CM22" s="4">
        <f t="shared" si="47"/>
        <v>13.879999999999995</v>
      </c>
      <c r="CO22" s="16">
        <f t="shared" si="6"/>
        <v>44957</v>
      </c>
      <c r="CP22" s="4">
        <f t="shared" si="17"/>
        <v>13.879999999999995</v>
      </c>
      <c r="CQ22" s="4">
        <f t="shared" si="18"/>
        <v>0</v>
      </c>
      <c r="CR22" s="4">
        <f t="shared" si="19"/>
        <v>0</v>
      </c>
      <c r="CS22" s="4">
        <f t="shared" si="20"/>
        <v>0</v>
      </c>
      <c r="CT22" s="4">
        <f t="shared" si="21"/>
        <v>0</v>
      </c>
      <c r="CU22" s="4">
        <f t="shared" si="22"/>
        <v>0</v>
      </c>
      <c r="CV22" s="4">
        <f t="shared" si="23"/>
        <v>0</v>
      </c>
      <c r="CW22" s="4">
        <f t="shared" si="24"/>
        <v>0</v>
      </c>
      <c r="CX22" s="4">
        <f t="shared" si="25"/>
        <v>0</v>
      </c>
      <c r="CY22" s="4">
        <f t="shared" si="26"/>
        <v>0</v>
      </c>
      <c r="CZ22" s="4">
        <f t="shared" si="27"/>
        <v>0</v>
      </c>
      <c r="DA22" s="4">
        <f t="shared" si="28"/>
        <v>0</v>
      </c>
      <c r="DB22" s="4">
        <f t="shared" si="29"/>
        <v>0</v>
      </c>
      <c r="DC22" s="4">
        <f t="shared" si="30"/>
        <v>0</v>
      </c>
      <c r="DD22" s="4">
        <f t="shared" si="31"/>
        <v>0</v>
      </c>
      <c r="DE22" s="4">
        <f t="shared" si="32"/>
        <v>0</v>
      </c>
      <c r="DF22" s="10">
        <f t="shared" si="33"/>
        <v>0</v>
      </c>
      <c r="DG22" s="10">
        <f t="shared" si="35"/>
        <v>0</v>
      </c>
      <c r="DH22" s="4">
        <f t="shared" si="36"/>
        <v>0</v>
      </c>
      <c r="DI22" s="4">
        <f t="shared" si="37"/>
        <v>0</v>
      </c>
      <c r="DJ22" s="4">
        <f t="shared" si="38"/>
        <v>0</v>
      </c>
      <c r="DK22" s="4">
        <f t="shared" si="39"/>
        <v>0</v>
      </c>
    </row>
    <row r="23" spans="1:115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9">
        <v>0</v>
      </c>
      <c r="BN23" s="10">
        <v>0</v>
      </c>
      <c r="BO23" s="18">
        <v>0</v>
      </c>
      <c r="BP23" s="17"/>
      <c r="BQ23" s="16">
        <f t="shared" si="8"/>
        <v>44985</v>
      </c>
      <c r="BR23" s="10">
        <f t="shared" si="0"/>
        <v>402</v>
      </c>
      <c r="BS23" s="4">
        <f t="shared" si="40"/>
        <v>10</v>
      </c>
      <c r="BT23" s="10">
        <f t="shared" si="1"/>
        <v>368.76</v>
      </c>
      <c r="BU23" s="4">
        <f t="shared" si="9"/>
        <v>-33.240000000000009</v>
      </c>
      <c r="BV23" s="20">
        <f t="shared" si="10"/>
        <v>-8.2686567164179131E-2</v>
      </c>
      <c r="BW23" s="4">
        <f t="shared" si="45"/>
        <v>-1.3199999999999932</v>
      </c>
      <c r="BX23" s="17"/>
      <c r="BY23" s="16">
        <f t="shared" si="2"/>
        <v>44985</v>
      </c>
      <c r="BZ23" s="10">
        <f t="shared" si="3"/>
        <v>0</v>
      </c>
      <c r="CA23" s="4">
        <f t="shared" si="41"/>
        <v>0</v>
      </c>
      <c r="CB23" s="10">
        <f t="shared" si="34"/>
        <v>0</v>
      </c>
      <c r="CC23" s="4">
        <f t="shared" si="11"/>
        <v>0</v>
      </c>
      <c r="CD23" s="20">
        <v>0</v>
      </c>
      <c r="CE23" s="4">
        <f t="shared" si="46"/>
        <v>0</v>
      </c>
      <c r="CF23" s="17"/>
      <c r="CG23" s="16">
        <f t="shared" si="5"/>
        <v>44985</v>
      </c>
      <c r="CH23" s="10">
        <f t="shared" si="12"/>
        <v>402</v>
      </c>
      <c r="CI23" s="10">
        <f t="shared" si="13"/>
        <v>10</v>
      </c>
      <c r="CJ23" s="10">
        <f t="shared" si="14"/>
        <v>368.76</v>
      </c>
      <c r="CK23" s="4">
        <f t="shared" si="15"/>
        <v>-33.240000000000009</v>
      </c>
      <c r="CL23" s="20">
        <v>0</v>
      </c>
      <c r="CM23" s="4">
        <f t="shared" si="47"/>
        <v>-1.3199999999999932</v>
      </c>
      <c r="CO23" s="16">
        <f t="shared" si="6"/>
        <v>44985</v>
      </c>
      <c r="CP23" s="4">
        <f t="shared" si="17"/>
        <v>-1.3199999999999932</v>
      </c>
      <c r="CQ23" s="4">
        <f t="shared" si="18"/>
        <v>0</v>
      </c>
      <c r="CR23" s="4">
        <f t="shared" si="19"/>
        <v>0</v>
      </c>
      <c r="CS23" s="4">
        <f t="shared" si="20"/>
        <v>0</v>
      </c>
      <c r="CT23" s="4">
        <f t="shared" si="21"/>
        <v>0</v>
      </c>
      <c r="CU23" s="4">
        <f t="shared" si="22"/>
        <v>0</v>
      </c>
      <c r="CV23" s="4">
        <f t="shared" si="23"/>
        <v>0</v>
      </c>
      <c r="CW23" s="4">
        <f t="shared" si="24"/>
        <v>0</v>
      </c>
      <c r="CX23" s="4">
        <f t="shared" si="25"/>
        <v>0</v>
      </c>
      <c r="CY23" s="4">
        <f t="shared" si="26"/>
        <v>0</v>
      </c>
      <c r="CZ23" s="4">
        <f t="shared" si="27"/>
        <v>0</v>
      </c>
      <c r="DA23" s="4">
        <f t="shared" si="28"/>
        <v>0</v>
      </c>
      <c r="DB23" s="4">
        <f t="shared" si="29"/>
        <v>0</v>
      </c>
      <c r="DC23" s="4">
        <f t="shared" si="30"/>
        <v>0</v>
      </c>
      <c r="DD23" s="4">
        <f t="shared" si="31"/>
        <v>0</v>
      </c>
      <c r="DE23" s="4">
        <f t="shared" si="32"/>
        <v>0</v>
      </c>
      <c r="DF23" s="10">
        <f t="shared" si="33"/>
        <v>0</v>
      </c>
      <c r="DG23" s="10">
        <f t="shared" si="35"/>
        <v>0</v>
      </c>
      <c r="DH23" s="4">
        <f t="shared" si="36"/>
        <v>0</v>
      </c>
      <c r="DI23" s="4">
        <f t="shared" si="37"/>
        <v>0</v>
      </c>
      <c r="DJ23" s="4">
        <f t="shared" si="38"/>
        <v>0</v>
      </c>
      <c r="DK23" s="4">
        <f t="shared" si="39"/>
        <v>0</v>
      </c>
    </row>
    <row r="24" spans="1:115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9">
        <v>0</v>
      </c>
      <c r="BN24" s="10">
        <v>0</v>
      </c>
      <c r="BO24" s="18">
        <v>0</v>
      </c>
      <c r="BP24" s="17"/>
      <c r="BQ24" s="16">
        <f t="shared" si="8"/>
        <v>45016</v>
      </c>
      <c r="BR24" s="10">
        <f t="shared" si="0"/>
        <v>412</v>
      </c>
      <c r="BS24" s="4">
        <f t="shared" si="40"/>
        <v>10</v>
      </c>
      <c r="BT24" s="10">
        <f t="shared" si="1"/>
        <v>374.19</v>
      </c>
      <c r="BU24" s="4">
        <f t="shared" si="9"/>
        <v>-37.81</v>
      </c>
      <c r="BV24" s="20">
        <f t="shared" si="10"/>
        <v>-9.1771844660194182E-2</v>
      </c>
      <c r="BW24" s="4">
        <f>BU24-BU23</f>
        <v>-4.5699999999999932</v>
      </c>
      <c r="BX24" s="17"/>
      <c r="BY24" s="16">
        <f t="shared" si="2"/>
        <v>45016</v>
      </c>
      <c r="BZ24" s="10">
        <f t="shared" si="3"/>
        <v>0</v>
      </c>
      <c r="CA24" s="4">
        <f t="shared" si="41"/>
        <v>0</v>
      </c>
      <c r="CB24" s="10">
        <f t="shared" si="34"/>
        <v>0</v>
      </c>
      <c r="CC24" s="4">
        <f t="shared" si="11"/>
        <v>0</v>
      </c>
      <c r="CD24" s="20">
        <v>0</v>
      </c>
      <c r="CE24" s="4">
        <f>CC24-CC23</f>
        <v>0</v>
      </c>
      <c r="CF24" s="17"/>
      <c r="CG24" s="16">
        <f t="shared" si="5"/>
        <v>45016</v>
      </c>
      <c r="CH24" s="10">
        <f t="shared" si="12"/>
        <v>412</v>
      </c>
      <c r="CI24" s="10">
        <f t="shared" si="13"/>
        <v>10</v>
      </c>
      <c r="CJ24" s="10">
        <f t="shared" si="14"/>
        <v>374.19</v>
      </c>
      <c r="CK24" s="4">
        <f t="shared" si="15"/>
        <v>-37.81</v>
      </c>
      <c r="CL24" s="20">
        <v>0</v>
      </c>
      <c r="CM24" s="4">
        <f>CK24-CK23</f>
        <v>-4.5699999999999932</v>
      </c>
      <c r="CO24" s="16">
        <f t="shared" si="6"/>
        <v>45016</v>
      </c>
      <c r="CP24" s="4">
        <f t="shared" si="17"/>
        <v>-4.5699999999999932</v>
      </c>
      <c r="CQ24" s="4">
        <f t="shared" si="18"/>
        <v>0</v>
      </c>
      <c r="CR24" s="4">
        <f t="shared" si="19"/>
        <v>0</v>
      </c>
      <c r="CS24" s="4">
        <f t="shared" si="20"/>
        <v>0</v>
      </c>
      <c r="CT24" s="4">
        <f t="shared" si="21"/>
        <v>0</v>
      </c>
      <c r="CU24" s="4">
        <f t="shared" si="22"/>
        <v>0</v>
      </c>
      <c r="CV24" s="4">
        <f t="shared" si="23"/>
        <v>0</v>
      </c>
      <c r="CW24" s="4">
        <f t="shared" si="24"/>
        <v>0</v>
      </c>
      <c r="CX24" s="4">
        <f t="shared" si="25"/>
        <v>0</v>
      </c>
      <c r="CY24" s="4">
        <f t="shared" si="26"/>
        <v>0</v>
      </c>
      <c r="CZ24" s="4">
        <f t="shared" si="27"/>
        <v>0</v>
      </c>
      <c r="DA24" s="4">
        <f t="shared" si="28"/>
        <v>0</v>
      </c>
      <c r="DB24" s="4">
        <f t="shared" si="29"/>
        <v>0</v>
      </c>
      <c r="DC24" s="4">
        <f t="shared" si="30"/>
        <v>0</v>
      </c>
      <c r="DD24" s="4">
        <f t="shared" si="31"/>
        <v>0</v>
      </c>
      <c r="DE24" s="4">
        <f t="shared" si="32"/>
        <v>0</v>
      </c>
      <c r="DF24" s="10">
        <f t="shared" si="33"/>
        <v>0</v>
      </c>
      <c r="DG24" s="10">
        <f t="shared" si="35"/>
        <v>0</v>
      </c>
      <c r="DH24" s="4">
        <f t="shared" si="36"/>
        <v>0</v>
      </c>
      <c r="DI24" s="4">
        <f t="shared" si="37"/>
        <v>0</v>
      </c>
      <c r="DJ24" s="4">
        <f t="shared" si="38"/>
        <v>0</v>
      </c>
      <c r="DK24" s="4">
        <f t="shared" si="39"/>
        <v>0</v>
      </c>
    </row>
    <row r="25" spans="1:115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9">
        <v>0</v>
      </c>
      <c r="BN25" s="10">
        <v>0</v>
      </c>
      <c r="BO25" s="18">
        <v>0</v>
      </c>
      <c r="BP25" s="17"/>
      <c r="BQ25" s="16">
        <f t="shared" si="8"/>
        <v>45046</v>
      </c>
      <c r="BR25" s="10">
        <f t="shared" si="0"/>
        <v>422</v>
      </c>
      <c r="BS25" s="4">
        <f t="shared" si="40"/>
        <v>10</v>
      </c>
      <c r="BT25" s="10">
        <f t="shared" si="1"/>
        <v>386.76</v>
      </c>
      <c r="BU25" s="4">
        <f t="shared" si="9"/>
        <v>-35.240000000000009</v>
      </c>
      <c r="BV25" s="20">
        <f t="shared" si="10"/>
        <v>-8.3507109004739358E-2</v>
      </c>
      <c r="BW25" s="4">
        <f>BU25-BU24</f>
        <v>2.5699999999999932</v>
      </c>
      <c r="BX25" s="17"/>
      <c r="BY25" s="16">
        <f t="shared" si="2"/>
        <v>45046</v>
      </c>
      <c r="BZ25" s="10">
        <f t="shared" si="3"/>
        <v>0</v>
      </c>
      <c r="CA25" s="4">
        <f t="shared" si="41"/>
        <v>0</v>
      </c>
      <c r="CB25" s="10">
        <f t="shared" si="34"/>
        <v>0</v>
      </c>
      <c r="CC25" s="4">
        <f t="shared" si="11"/>
        <v>0</v>
      </c>
      <c r="CD25" s="20">
        <v>0</v>
      </c>
      <c r="CE25" s="4">
        <f>CC25-CC24</f>
        <v>0</v>
      </c>
      <c r="CF25" s="17"/>
      <c r="CG25" s="16">
        <f t="shared" si="5"/>
        <v>45046</v>
      </c>
      <c r="CH25" s="10">
        <f t="shared" si="12"/>
        <v>422</v>
      </c>
      <c r="CI25" s="10">
        <f t="shared" si="13"/>
        <v>10</v>
      </c>
      <c r="CJ25" s="10">
        <f t="shared" si="14"/>
        <v>386.76</v>
      </c>
      <c r="CK25" s="4">
        <f t="shared" si="15"/>
        <v>-35.240000000000009</v>
      </c>
      <c r="CL25" s="20">
        <v>0</v>
      </c>
      <c r="CM25" s="4">
        <f>CK25-CK24</f>
        <v>2.5699999999999932</v>
      </c>
      <c r="CO25" s="16">
        <f t="shared" si="6"/>
        <v>45046</v>
      </c>
      <c r="CP25" s="4">
        <f t="shared" si="17"/>
        <v>2.5699999999999932</v>
      </c>
      <c r="CQ25" s="4">
        <f t="shared" si="18"/>
        <v>0</v>
      </c>
      <c r="CR25" s="4">
        <f t="shared" si="19"/>
        <v>0</v>
      </c>
      <c r="CS25" s="4">
        <f t="shared" si="20"/>
        <v>0</v>
      </c>
      <c r="CT25" s="4">
        <f t="shared" si="21"/>
        <v>0</v>
      </c>
      <c r="CU25" s="4">
        <f t="shared" si="22"/>
        <v>0</v>
      </c>
      <c r="CV25" s="4">
        <f t="shared" si="23"/>
        <v>0</v>
      </c>
      <c r="CW25" s="4">
        <f t="shared" si="24"/>
        <v>0</v>
      </c>
      <c r="CX25" s="4">
        <f t="shared" si="25"/>
        <v>0</v>
      </c>
      <c r="CY25" s="4">
        <f t="shared" si="26"/>
        <v>0</v>
      </c>
      <c r="CZ25" s="4">
        <f t="shared" si="27"/>
        <v>0</v>
      </c>
      <c r="DA25" s="4">
        <f t="shared" si="28"/>
        <v>0</v>
      </c>
      <c r="DB25" s="4">
        <f t="shared" si="29"/>
        <v>0</v>
      </c>
      <c r="DC25" s="4">
        <f t="shared" si="30"/>
        <v>0</v>
      </c>
      <c r="DD25" s="4">
        <f t="shared" si="31"/>
        <v>0</v>
      </c>
      <c r="DE25" s="4">
        <f t="shared" si="32"/>
        <v>0</v>
      </c>
      <c r="DF25" s="10">
        <f t="shared" si="33"/>
        <v>0</v>
      </c>
      <c r="DG25" s="10">
        <f t="shared" si="35"/>
        <v>0</v>
      </c>
      <c r="DH25" s="4">
        <f t="shared" si="36"/>
        <v>0</v>
      </c>
      <c r="DI25" s="4">
        <f t="shared" si="37"/>
        <v>0</v>
      </c>
      <c r="DJ25" s="4">
        <f t="shared" si="38"/>
        <v>0</v>
      </c>
      <c r="DK25" s="4">
        <f t="shared" si="39"/>
        <v>0</v>
      </c>
    </row>
    <row r="26" spans="1:115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9">
        <v>0</v>
      </c>
      <c r="BN26" s="10">
        <v>0</v>
      </c>
      <c r="BO26" s="18">
        <v>0</v>
      </c>
      <c r="BP26" s="17"/>
      <c r="BQ26" s="16">
        <f t="shared" si="8"/>
        <v>45077</v>
      </c>
      <c r="BR26" s="10">
        <f t="shared" si="0"/>
        <v>432</v>
      </c>
      <c r="BS26" s="4">
        <f t="shared" si="40"/>
        <v>10</v>
      </c>
      <c r="BT26" s="10">
        <f t="shared" si="1"/>
        <v>401.04</v>
      </c>
      <c r="BU26" s="4">
        <f t="shared" si="9"/>
        <v>-30.95999999999998</v>
      </c>
      <c r="BV26" s="20">
        <f t="shared" si="10"/>
        <v>-7.1666666666666615E-2</v>
      </c>
      <c r="BW26" s="4">
        <f t="shared" ref="BW26:BW33" si="48">BU26-BU25</f>
        <v>4.2800000000000296</v>
      </c>
      <c r="BX26" s="17"/>
      <c r="BY26" s="16">
        <f t="shared" si="2"/>
        <v>45077</v>
      </c>
      <c r="BZ26" s="10">
        <f t="shared" si="3"/>
        <v>0</v>
      </c>
      <c r="CA26" s="4">
        <f t="shared" si="41"/>
        <v>0</v>
      </c>
      <c r="CB26" s="10">
        <f t="shared" si="34"/>
        <v>0</v>
      </c>
      <c r="CC26" s="4">
        <f t="shared" si="11"/>
        <v>0</v>
      </c>
      <c r="CD26" s="20">
        <v>0</v>
      </c>
      <c r="CE26" s="4">
        <f t="shared" ref="CE26:CE33" si="49">CC26-CC25</f>
        <v>0</v>
      </c>
      <c r="CF26" s="17"/>
      <c r="CG26" s="16">
        <f t="shared" si="5"/>
        <v>45077</v>
      </c>
      <c r="CH26" s="10">
        <f t="shared" si="12"/>
        <v>432</v>
      </c>
      <c r="CI26" s="10">
        <f t="shared" si="13"/>
        <v>10</v>
      </c>
      <c r="CJ26" s="10">
        <f t="shared" si="14"/>
        <v>401.04</v>
      </c>
      <c r="CK26" s="4">
        <f t="shared" si="15"/>
        <v>-30.95999999999998</v>
      </c>
      <c r="CL26" s="20">
        <v>0</v>
      </c>
      <c r="CM26" s="4">
        <f t="shared" ref="CM26:CM33" si="50">CK26-CK25</f>
        <v>4.2800000000000296</v>
      </c>
      <c r="CO26" s="16">
        <f t="shared" si="6"/>
        <v>45077</v>
      </c>
      <c r="CP26" s="4">
        <f t="shared" si="17"/>
        <v>4.2800000000000296</v>
      </c>
      <c r="CQ26" s="4">
        <f t="shared" si="18"/>
        <v>0</v>
      </c>
      <c r="CR26" s="4">
        <f t="shared" si="19"/>
        <v>0</v>
      </c>
      <c r="CS26" s="4">
        <f t="shared" si="20"/>
        <v>0</v>
      </c>
      <c r="CT26" s="4">
        <f t="shared" si="21"/>
        <v>0</v>
      </c>
      <c r="CU26" s="4">
        <f t="shared" si="22"/>
        <v>0</v>
      </c>
      <c r="CV26" s="4">
        <f t="shared" si="23"/>
        <v>0</v>
      </c>
      <c r="CW26" s="4">
        <f t="shared" si="24"/>
        <v>0</v>
      </c>
      <c r="CX26" s="4">
        <f t="shared" si="25"/>
        <v>0</v>
      </c>
      <c r="CY26" s="4">
        <f t="shared" si="26"/>
        <v>0</v>
      </c>
      <c r="CZ26" s="4">
        <f t="shared" si="27"/>
        <v>0</v>
      </c>
      <c r="DA26" s="4">
        <f t="shared" si="28"/>
        <v>0</v>
      </c>
      <c r="DB26" s="4">
        <f t="shared" si="29"/>
        <v>0</v>
      </c>
      <c r="DC26" s="4">
        <f t="shared" si="30"/>
        <v>0</v>
      </c>
      <c r="DD26" s="4">
        <f t="shared" si="31"/>
        <v>0</v>
      </c>
      <c r="DE26" s="4">
        <f t="shared" si="32"/>
        <v>0</v>
      </c>
      <c r="DF26" s="10">
        <f t="shared" si="33"/>
        <v>0</v>
      </c>
      <c r="DG26" s="10">
        <f t="shared" si="35"/>
        <v>0</v>
      </c>
      <c r="DH26" s="4">
        <f t="shared" si="36"/>
        <v>0</v>
      </c>
      <c r="DI26" s="4">
        <f t="shared" si="37"/>
        <v>0</v>
      </c>
      <c r="DJ26" s="4">
        <f t="shared" si="38"/>
        <v>0</v>
      </c>
      <c r="DK26" s="4">
        <f t="shared" si="39"/>
        <v>0</v>
      </c>
    </row>
    <row r="27" spans="1:115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9">
        <v>0</v>
      </c>
      <c r="BN27" s="10">
        <v>0</v>
      </c>
      <c r="BO27" s="18">
        <v>0</v>
      </c>
      <c r="BP27" s="17"/>
      <c r="BQ27" s="16">
        <f t="shared" si="8"/>
        <v>45107</v>
      </c>
      <c r="BR27" s="10">
        <f t="shared" si="0"/>
        <v>442</v>
      </c>
      <c r="BS27" s="4">
        <f t="shared" si="40"/>
        <v>10</v>
      </c>
      <c r="BT27" s="10">
        <f t="shared" si="1"/>
        <v>413.45</v>
      </c>
      <c r="BU27" s="4">
        <f t="shared" si="9"/>
        <v>-28.550000000000011</v>
      </c>
      <c r="BV27" s="20">
        <f t="shared" si="10"/>
        <v>-6.4592760180995495E-2</v>
      </c>
      <c r="BW27" s="4">
        <f t="shared" si="48"/>
        <v>2.4099999999999682</v>
      </c>
      <c r="BX27" s="17"/>
      <c r="BY27" s="16">
        <f t="shared" si="2"/>
        <v>45107</v>
      </c>
      <c r="BZ27" s="10">
        <f t="shared" si="3"/>
        <v>0</v>
      </c>
      <c r="CA27" s="4">
        <f t="shared" si="41"/>
        <v>0</v>
      </c>
      <c r="CB27" s="10">
        <f t="shared" si="34"/>
        <v>0</v>
      </c>
      <c r="CC27" s="4">
        <f t="shared" si="11"/>
        <v>0</v>
      </c>
      <c r="CD27" s="20">
        <v>0</v>
      </c>
      <c r="CE27" s="4">
        <f t="shared" si="49"/>
        <v>0</v>
      </c>
      <c r="CF27" s="17"/>
      <c r="CG27" s="16">
        <f t="shared" si="5"/>
        <v>45107</v>
      </c>
      <c r="CH27" s="10">
        <f t="shared" si="12"/>
        <v>442</v>
      </c>
      <c r="CI27" s="10">
        <f t="shared" si="13"/>
        <v>10</v>
      </c>
      <c r="CJ27" s="10">
        <f t="shared" si="14"/>
        <v>413.45</v>
      </c>
      <c r="CK27" s="4">
        <f t="shared" si="15"/>
        <v>-28.550000000000011</v>
      </c>
      <c r="CL27" s="20">
        <v>0</v>
      </c>
      <c r="CM27" s="4">
        <f t="shared" si="50"/>
        <v>2.4099999999999682</v>
      </c>
      <c r="CO27" s="16">
        <f t="shared" si="6"/>
        <v>45107</v>
      </c>
      <c r="CP27" s="4">
        <f t="shared" si="17"/>
        <v>2.4099999999999682</v>
      </c>
      <c r="CQ27" s="4">
        <f t="shared" si="18"/>
        <v>0</v>
      </c>
      <c r="CR27" s="4">
        <f t="shared" si="19"/>
        <v>0</v>
      </c>
      <c r="CS27" s="4">
        <f t="shared" si="20"/>
        <v>0</v>
      </c>
      <c r="CT27" s="4">
        <f t="shared" si="21"/>
        <v>0</v>
      </c>
      <c r="CU27" s="4">
        <f t="shared" si="22"/>
        <v>0</v>
      </c>
      <c r="CV27" s="4">
        <f t="shared" si="23"/>
        <v>0</v>
      </c>
      <c r="CW27" s="4">
        <f t="shared" si="24"/>
        <v>0</v>
      </c>
      <c r="CX27" s="4">
        <f t="shared" si="25"/>
        <v>0</v>
      </c>
      <c r="CY27" s="4">
        <f t="shared" si="26"/>
        <v>0</v>
      </c>
      <c r="CZ27" s="4">
        <f t="shared" si="27"/>
        <v>0</v>
      </c>
      <c r="DA27" s="4">
        <f t="shared" si="28"/>
        <v>0</v>
      </c>
      <c r="DB27" s="4">
        <f t="shared" si="29"/>
        <v>0</v>
      </c>
      <c r="DC27" s="4">
        <f t="shared" si="30"/>
        <v>0</v>
      </c>
      <c r="DD27" s="4">
        <f t="shared" si="31"/>
        <v>0</v>
      </c>
      <c r="DE27" s="4">
        <f t="shared" si="32"/>
        <v>0</v>
      </c>
      <c r="DF27" s="10">
        <f t="shared" si="33"/>
        <v>0</v>
      </c>
      <c r="DG27" s="10">
        <f t="shared" si="35"/>
        <v>0</v>
      </c>
      <c r="DH27" s="4">
        <f t="shared" si="36"/>
        <v>0</v>
      </c>
      <c r="DI27" s="4">
        <f t="shared" si="37"/>
        <v>0</v>
      </c>
      <c r="DJ27" s="4">
        <f t="shared" si="38"/>
        <v>0</v>
      </c>
      <c r="DK27" s="4">
        <f t="shared" si="39"/>
        <v>0</v>
      </c>
    </row>
    <row r="28" spans="1:115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9">
        <v>0</v>
      </c>
      <c r="BN28" s="10">
        <v>0</v>
      </c>
      <c r="BO28" s="18">
        <v>0</v>
      </c>
      <c r="BP28" s="17"/>
      <c r="BQ28" s="16">
        <f t="shared" si="8"/>
        <v>45138</v>
      </c>
      <c r="BR28" s="10">
        <f t="shared" si="0"/>
        <v>452</v>
      </c>
      <c r="BS28" s="4">
        <f t="shared" si="40"/>
        <v>10</v>
      </c>
      <c r="BT28" s="10">
        <f t="shared" si="1"/>
        <v>430.52</v>
      </c>
      <c r="BU28" s="4">
        <f t="shared" si="9"/>
        <v>-21.480000000000018</v>
      </c>
      <c r="BV28" s="20">
        <f t="shared" si="10"/>
        <v>-4.7522123893805349E-2</v>
      </c>
      <c r="BW28" s="4">
        <f t="shared" si="48"/>
        <v>7.0699999999999932</v>
      </c>
      <c r="BX28" s="17"/>
      <c r="BY28" s="16">
        <f t="shared" si="2"/>
        <v>45138</v>
      </c>
      <c r="BZ28" s="10">
        <f t="shared" si="3"/>
        <v>0</v>
      </c>
      <c r="CA28" s="4">
        <f t="shared" si="41"/>
        <v>0</v>
      </c>
      <c r="CB28" s="10">
        <f t="shared" si="34"/>
        <v>0</v>
      </c>
      <c r="CC28" s="4">
        <f t="shared" si="11"/>
        <v>0</v>
      </c>
      <c r="CD28" s="20">
        <v>0</v>
      </c>
      <c r="CE28" s="4">
        <f t="shared" si="49"/>
        <v>0</v>
      </c>
      <c r="CF28" s="17"/>
      <c r="CG28" s="16">
        <f t="shared" si="5"/>
        <v>45138</v>
      </c>
      <c r="CH28" s="10">
        <f t="shared" si="12"/>
        <v>452</v>
      </c>
      <c r="CI28" s="10">
        <f t="shared" si="13"/>
        <v>10</v>
      </c>
      <c r="CJ28" s="10">
        <f t="shared" si="14"/>
        <v>430.52</v>
      </c>
      <c r="CK28" s="4">
        <f t="shared" si="15"/>
        <v>-21.480000000000018</v>
      </c>
      <c r="CL28" s="20">
        <v>0</v>
      </c>
      <c r="CM28" s="4">
        <f t="shared" si="50"/>
        <v>7.0699999999999932</v>
      </c>
      <c r="CO28" s="16">
        <f t="shared" si="6"/>
        <v>45138</v>
      </c>
      <c r="CP28" s="4">
        <f t="shared" si="17"/>
        <v>7.0699999999999932</v>
      </c>
      <c r="CQ28" s="4">
        <f t="shared" si="18"/>
        <v>0</v>
      </c>
      <c r="CR28" s="4">
        <f t="shared" si="19"/>
        <v>0</v>
      </c>
      <c r="CS28" s="4">
        <f t="shared" si="20"/>
        <v>0</v>
      </c>
      <c r="CT28" s="4">
        <f t="shared" si="21"/>
        <v>0</v>
      </c>
      <c r="CU28" s="4">
        <f t="shared" si="22"/>
        <v>0</v>
      </c>
      <c r="CV28" s="4">
        <f t="shared" si="23"/>
        <v>0</v>
      </c>
      <c r="CW28" s="4">
        <f t="shared" si="24"/>
        <v>0</v>
      </c>
      <c r="CX28" s="4">
        <f t="shared" si="25"/>
        <v>0</v>
      </c>
      <c r="CY28" s="4">
        <f t="shared" si="26"/>
        <v>0</v>
      </c>
      <c r="CZ28" s="4">
        <f t="shared" si="27"/>
        <v>0</v>
      </c>
      <c r="DA28" s="4">
        <f t="shared" si="28"/>
        <v>0</v>
      </c>
      <c r="DB28" s="4">
        <f t="shared" si="29"/>
        <v>0</v>
      </c>
      <c r="DC28" s="4">
        <f t="shared" si="30"/>
        <v>0</v>
      </c>
      <c r="DD28" s="4">
        <f t="shared" si="31"/>
        <v>0</v>
      </c>
      <c r="DE28" s="4">
        <f t="shared" si="32"/>
        <v>0</v>
      </c>
      <c r="DF28" s="10">
        <f t="shared" si="33"/>
        <v>0</v>
      </c>
      <c r="DG28" s="10">
        <f t="shared" si="35"/>
        <v>0</v>
      </c>
      <c r="DH28" s="4">
        <f t="shared" si="36"/>
        <v>0</v>
      </c>
      <c r="DI28" s="4">
        <f t="shared" si="37"/>
        <v>0</v>
      </c>
      <c r="DJ28" s="4">
        <f t="shared" si="38"/>
        <v>0</v>
      </c>
      <c r="DK28" s="4">
        <f t="shared" si="39"/>
        <v>0</v>
      </c>
    </row>
    <row r="29" spans="1:115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9">
        <v>0</v>
      </c>
      <c r="BN29" s="10">
        <v>0</v>
      </c>
      <c r="BO29" s="18">
        <v>0</v>
      </c>
      <c r="BP29" s="17"/>
      <c r="BQ29" s="16">
        <f t="shared" si="8"/>
        <v>45169</v>
      </c>
      <c r="BR29" s="10">
        <f t="shared" si="0"/>
        <v>462</v>
      </c>
      <c r="BS29" s="4">
        <f t="shared" si="40"/>
        <v>10</v>
      </c>
      <c r="BT29" s="10">
        <f t="shared" si="1"/>
        <v>435.68</v>
      </c>
      <c r="BU29" s="4">
        <f t="shared" si="9"/>
        <v>-26.319999999999993</v>
      </c>
      <c r="BV29" s="20">
        <f t="shared" si="10"/>
        <v>-5.6969696969696955E-2</v>
      </c>
      <c r="BW29" s="4">
        <f t="shared" si="48"/>
        <v>-4.839999999999975</v>
      </c>
      <c r="BX29" s="17"/>
      <c r="BY29" s="16">
        <f t="shared" si="2"/>
        <v>45169</v>
      </c>
      <c r="BZ29" s="10">
        <f t="shared" si="3"/>
        <v>0</v>
      </c>
      <c r="CA29" s="4">
        <f t="shared" si="41"/>
        <v>0</v>
      </c>
      <c r="CB29" s="10">
        <f t="shared" si="34"/>
        <v>0</v>
      </c>
      <c r="CC29" s="4">
        <f t="shared" si="11"/>
        <v>0</v>
      </c>
      <c r="CD29" s="20">
        <v>0</v>
      </c>
      <c r="CE29" s="4">
        <f t="shared" si="49"/>
        <v>0</v>
      </c>
      <c r="CF29" s="17"/>
      <c r="CG29" s="16">
        <f t="shared" si="5"/>
        <v>45169</v>
      </c>
      <c r="CH29" s="10">
        <f t="shared" si="12"/>
        <v>462</v>
      </c>
      <c r="CI29" s="10">
        <f t="shared" si="13"/>
        <v>10</v>
      </c>
      <c r="CJ29" s="10">
        <f t="shared" si="14"/>
        <v>435.68</v>
      </c>
      <c r="CK29" s="4">
        <f t="shared" si="15"/>
        <v>-26.319999999999993</v>
      </c>
      <c r="CL29" s="20">
        <v>0</v>
      </c>
      <c r="CM29" s="4">
        <f t="shared" si="50"/>
        <v>-4.839999999999975</v>
      </c>
      <c r="CO29" s="16">
        <f t="shared" si="6"/>
        <v>45169</v>
      </c>
      <c r="CP29" s="4">
        <f t="shared" si="17"/>
        <v>-4.839999999999975</v>
      </c>
      <c r="CQ29" s="4">
        <f t="shared" si="18"/>
        <v>0</v>
      </c>
      <c r="CR29" s="4">
        <f t="shared" si="19"/>
        <v>0</v>
      </c>
      <c r="CS29" s="4">
        <f t="shared" si="20"/>
        <v>0</v>
      </c>
      <c r="CT29" s="4">
        <f t="shared" si="21"/>
        <v>0</v>
      </c>
      <c r="CU29" s="4">
        <f t="shared" si="22"/>
        <v>0</v>
      </c>
      <c r="CV29" s="4">
        <f t="shared" si="23"/>
        <v>0</v>
      </c>
      <c r="CW29" s="4">
        <f t="shared" si="24"/>
        <v>0</v>
      </c>
      <c r="CX29" s="4">
        <f t="shared" si="25"/>
        <v>0</v>
      </c>
      <c r="CY29" s="4">
        <f t="shared" si="26"/>
        <v>0</v>
      </c>
      <c r="CZ29" s="4">
        <f t="shared" si="27"/>
        <v>0</v>
      </c>
      <c r="DA29" s="4">
        <f t="shared" si="28"/>
        <v>0</v>
      </c>
      <c r="DB29" s="4">
        <f t="shared" si="29"/>
        <v>0</v>
      </c>
      <c r="DC29" s="4">
        <f t="shared" si="30"/>
        <v>0</v>
      </c>
      <c r="DD29" s="4">
        <f t="shared" si="31"/>
        <v>0</v>
      </c>
      <c r="DE29" s="4">
        <f t="shared" si="32"/>
        <v>0</v>
      </c>
      <c r="DF29" s="10">
        <f t="shared" si="33"/>
        <v>0</v>
      </c>
      <c r="DG29" s="10">
        <f t="shared" si="35"/>
        <v>0</v>
      </c>
      <c r="DH29" s="4">
        <f t="shared" si="36"/>
        <v>0</v>
      </c>
      <c r="DI29" s="4">
        <f t="shared" si="37"/>
        <v>0</v>
      </c>
      <c r="DJ29" s="4">
        <f t="shared" si="38"/>
        <v>0</v>
      </c>
      <c r="DK29" s="4">
        <f t="shared" si="39"/>
        <v>0</v>
      </c>
    </row>
    <row r="30" spans="1:115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9">
        <v>0</v>
      </c>
      <c r="BN30" s="10">
        <v>0</v>
      </c>
      <c r="BO30" s="18">
        <v>0</v>
      </c>
      <c r="BP30" s="17"/>
      <c r="BQ30" s="16">
        <f t="shared" si="8"/>
        <v>45199</v>
      </c>
      <c r="BR30" s="10">
        <f t="shared" si="0"/>
        <v>472</v>
      </c>
      <c r="BS30" s="4">
        <f t="shared" si="40"/>
        <v>10</v>
      </c>
      <c r="BT30" s="10">
        <f t="shared" si="1"/>
        <v>439</v>
      </c>
      <c r="BU30" s="4">
        <f t="shared" si="9"/>
        <v>-33</v>
      </c>
      <c r="BV30" s="20">
        <f t="shared" si="10"/>
        <v>-6.991525423728813E-2</v>
      </c>
      <c r="BW30" s="4">
        <f t="shared" si="48"/>
        <v>-6.6800000000000068</v>
      </c>
      <c r="BX30" s="17"/>
      <c r="BY30" s="16">
        <f t="shared" si="2"/>
        <v>45199</v>
      </c>
      <c r="BZ30" s="10">
        <f t="shared" si="3"/>
        <v>0</v>
      </c>
      <c r="CA30" s="4">
        <f t="shared" si="41"/>
        <v>0</v>
      </c>
      <c r="CB30" s="10">
        <f t="shared" si="34"/>
        <v>0</v>
      </c>
      <c r="CC30" s="4">
        <f t="shared" si="11"/>
        <v>0</v>
      </c>
      <c r="CD30" s="20">
        <v>0</v>
      </c>
      <c r="CE30" s="4">
        <f t="shared" si="49"/>
        <v>0</v>
      </c>
      <c r="CF30" s="17"/>
      <c r="CG30" s="16">
        <f t="shared" si="5"/>
        <v>45199</v>
      </c>
      <c r="CH30" s="10">
        <f t="shared" si="12"/>
        <v>472</v>
      </c>
      <c r="CI30" s="10">
        <f t="shared" si="13"/>
        <v>10</v>
      </c>
      <c r="CJ30" s="10">
        <f t="shared" si="14"/>
        <v>439</v>
      </c>
      <c r="CK30" s="4">
        <f t="shared" si="15"/>
        <v>-33</v>
      </c>
      <c r="CL30" s="20">
        <v>0</v>
      </c>
      <c r="CM30" s="4">
        <f t="shared" si="50"/>
        <v>-6.6800000000000068</v>
      </c>
      <c r="CO30" s="16">
        <f t="shared" si="6"/>
        <v>45199</v>
      </c>
      <c r="CP30" s="4">
        <f t="shared" si="17"/>
        <v>-6.6800000000000068</v>
      </c>
      <c r="CQ30" s="4">
        <f t="shared" si="18"/>
        <v>0</v>
      </c>
      <c r="CR30" s="4">
        <f t="shared" si="19"/>
        <v>0</v>
      </c>
      <c r="CS30" s="4">
        <f t="shared" si="20"/>
        <v>0</v>
      </c>
      <c r="CT30" s="4">
        <f t="shared" si="21"/>
        <v>0</v>
      </c>
      <c r="CU30" s="4">
        <f t="shared" si="22"/>
        <v>0</v>
      </c>
      <c r="CV30" s="4">
        <f t="shared" si="23"/>
        <v>0</v>
      </c>
      <c r="CW30" s="4">
        <f t="shared" si="24"/>
        <v>0</v>
      </c>
      <c r="CX30" s="4">
        <f t="shared" si="25"/>
        <v>0</v>
      </c>
      <c r="CY30" s="4">
        <f t="shared" si="26"/>
        <v>0</v>
      </c>
      <c r="CZ30" s="4">
        <f t="shared" si="27"/>
        <v>0</v>
      </c>
      <c r="DA30" s="4">
        <f t="shared" si="28"/>
        <v>0</v>
      </c>
      <c r="DB30" s="4">
        <f t="shared" si="29"/>
        <v>0</v>
      </c>
      <c r="DC30" s="4">
        <f t="shared" si="30"/>
        <v>0</v>
      </c>
      <c r="DD30" s="4">
        <f t="shared" si="31"/>
        <v>0</v>
      </c>
      <c r="DE30" s="4">
        <f t="shared" si="32"/>
        <v>0</v>
      </c>
      <c r="DF30" s="10">
        <f t="shared" si="33"/>
        <v>0</v>
      </c>
      <c r="DG30" s="10">
        <f t="shared" si="35"/>
        <v>0</v>
      </c>
      <c r="DH30" s="4">
        <f t="shared" si="36"/>
        <v>0</v>
      </c>
      <c r="DI30" s="4">
        <f t="shared" si="37"/>
        <v>0</v>
      </c>
      <c r="DJ30" s="4">
        <f t="shared" si="38"/>
        <v>0</v>
      </c>
      <c r="DK30" s="4">
        <f t="shared" si="39"/>
        <v>0</v>
      </c>
    </row>
    <row r="31" spans="1:115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9">
        <v>0</v>
      </c>
      <c r="BN31" s="10">
        <v>0</v>
      </c>
      <c r="BO31" s="18">
        <v>0</v>
      </c>
      <c r="BP31" s="17"/>
      <c r="BQ31" s="16">
        <f t="shared" si="8"/>
        <v>45230</v>
      </c>
      <c r="BR31" s="10">
        <f t="shared" si="0"/>
        <v>482</v>
      </c>
      <c r="BS31" s="4">
        <f t="shared" si="40"/>
        <v>10</v>
      </c>
      <c r="BT31" s="10">
        <f t="shared" si="1"/>
        <v>435.05</v>
      </c>
      <c r="BU31" s="4">
        <f t="shared" si="9"/>
        <v>-46.949999999999989</v>
      </c>
      <c r="BV31" s="20">
        <f t="shared" si="10"/>
        <v>-9.7406639004149351E-2</v>
      </c>
      <c r="BW31" s="4">
        <f t="shared" si="48"/>
        <v>-13.949999999999989</v>
      </c>
      <c r="BX31" s="17"/>
      <c r="BY31" s="16">
        <f t="shared" si="2"/>
        <v>45230</v>
      </c>
      <c r="BZ31" s="10">
        <f t="shared" si="3"/>
        <v>0</v>
      </c>
      <c r="CA31" s="4">
        <f t="shared" si="41"/>
        <v>0</v>
      </c>
      <c r="CB31" s="10">
        <f t="shared" si="34"/>
        <v>0</v>
      </c>
      <c r="CC31" s="4">
        <f t="shared" si="11"/>
        <v>0</v>
      </c>
      <c r="CD31" s="20">
        <v>0</v>
      </c>
      <c r="CE31" s="4">
        <f t="shared" si="49"/>
        <v>0</v>
      </c>
      <c r="CF31" s="17"/>
      <c r="CG31" s="16">
        <f t="shared" si="5"/>
        <v>45230</v>
      </c>
      <c r="CH31" s="10">
        <f t="shared" si="12"/>
        <v>482</v>
      </c>
      <c r="CI31" s="10">
        <f t="shared" si="13"/>
        <v>10</v>
      </c>
      <c r="CJ31" s="10">
        <f t="shared" si="14"/>
        <v>435.05</v>
      </c>
      <c r="CK31" s="4">
        <f t="shared" si="15"/>
        <v>-46.949999999999989</v>
      </c>
      <c r="CL31" s="20">
        <v>0</v>
      </c>
      <c r="CM31" s="4">
        <f t="shared" si="50"/>
        <v>-13.949999999999989</v>
      </c>
      <c r="CO31" s="16">
        <f t="shared" si="6"/>
        <v>45230</v>
      </c>
      <c r="CP31" s="4">
        <f t="shared" si="17"/>
        <v>-13.949999999999989</v>
      </c>
      <c r="CQ31" s="4">
        <f t="shared" si="18"/>
        <v>0</v>
      </c>
      <c r="CR31" s="4">
        <f t="shared" si="19"/>
        <v>0</v>
      </c>
      <c r="CS31" s="4">
        <f t="shared" si="20"/>
        <v>0</v>
      </c>
      <c r="CT31" s="4">
        <f t="shared" si="21"/>
        <v>0</v>
      </c>
      <c r="CU31" s="4">
        <f t="shared" si="22"/>
        <v>0</v>
      </c>
      <c r="CV31" s="4">
        <f t="shared" si="23"/>
        <v>0</v>
      </c>
      <c r="CW31" s="4">
        <f t="shared" si="24"/>
        <v>0</v>
      </c>
      <c r="CX31" s="4">
        <f t="shared" si="25"/>
        <v>0</v>
      </c>
      <c r="CY31" s="4">
        <f t="shared" si="26"/>
        <v>0</v>
      </c>
      <c r="CZ31" s="4">
        <f t="shared" si="27"/>
        <v>0</v>
      </c>
      <c r="DA31" s="4">
        <f t="shared" si="28"/>
        <v>0</v>
      </c>
      <c r="DB31" s="4">
        <f t="shared" si="29"/>
        <v>0</v>
      </c>
      <c r="DC31" s="4">
        <f t="shared" si="30"/>
        <v>0</v>
      </c>
      <c r="DD31" s="4">
        <f t="shared" si="31"/>
        <v>0</v>
      </c>
      <c r="DE31" s="4">
        <f t="shared" si="32"/>
        <v>0</v>
      </c>
      <c r="DF31" s="10">
        <f t="shared" si="33"/>
        <v>0</v>
      </c>
      <c r="DG31" s="10">
        <f t="shared" si="35"/>
        <v>0</v>
      </c>
      <c r="DH31" s="4">
        <f t="shared" si="36"/>
        <v>0</v>
      </c>
      <c r="DI31" s="4">
        <f t="shared" si="37"/>
        <v>0</v>
      </c>
      <c r="DJ31" s="4">
        <f t="shared" si="38"/>
        <v>0</v>
      </c>
      <c r="DK31" s="4">
        <f t="shared" si="39"/>
        <v>0</v>
      </c>
    </row>
    <row r="32" spans="1:115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9">
        <v>0</v>
      </c>
      <c r="BN32" s="10">
        <v>0</v>
      </c>
      <c r="BO32" s="18">
        <v>0</v>
      </c>
      <c r="BP32" s="17"/>
      <c r="BQ32" s="16">
        <f t="shared" si="8"/>
        <v>45260</v>
      </c>
      <c r="BR32" s="10">
        <f t="shared" si="0"/>
        <v>492</v>
      </c>
      <c r="BS32" s="4">
        <f t="shared" si="40"/>
        <v>10</v>
      </c>
      <c r="BT32" s="10">
        <f t="shared" si="1"/>
        <v>473.05</v>
      </c>
      <c r="BU32" s="4">
        <f t="shared" si="9"/>
        <v>-18.949999999999989</v>
      </c>
      <c r="BV32" s="20">
        <f t="shared" si="10"/>
        <v>-3.8516260162601602E-2</v>
      </c>
      <c r="BW32" s="4">
        <f t="shared" si="48"/>
        <v>28</v>
      </c>
      <c r="BX32" s="17"/>
      <c r="BY32" s="16">
        <f t="shared" si="2"/>
        <v>45260</v>
      </c>
      <c r="BZ32" s="10">
        <f t="shared" si="3"/>
        <v>0</v>
      </c>
      <c r="CA32" s="4">
        <f t="shared" si="41"/>
        <v>0</v>
      </c>
      <c r="CB32" s="10">
        <f t="shared" si="34"/>
        <v>0</v>
      </c>
      <c r="CC32" s="4">
        <f t="shared" si="11"/>
        <v>0</v>
      </c>
      <c r="CD32" s="20">
        <v>0</v>
      </c>
      <c r="CE32" s="4">
        <f t="shared" si="49"/>
        <v>0</v>
      </c>
      <c r="CF32" s="17"/>
      <c r="CG32" s="16">
        <f t="shared" si="5"/>
        <v>45260</v>
      </c>
      <c r="CH32" s="10">
        <f t="shared" si="12"/>
        <v>492</v>
      </c>
      <c r="CI32" s="10">
        <f t="shared" si="13"/>
        <v>10</v>
      </c>
      <c r="CJ32" s="10">
        <f t="shared" si="14"/>
        <v>473.05</v>
      </c>
      <c r="CK32" s="4">
        <f t="shared" si="15"/>
        <v>-18.949999999999989</v>
      </c>
      <c r="CL32" s="20">
        <v>0</v>
      </c>
      <c r="CM32" s="4">
        <f t="shared" si="50"/>
        <v>28</v>
      </c>
      <c r="CO32" s="16">
        <f t="shared" si="6"/>
        <v>45260</v>
      </c>
      <c r="CP32" s="4">
        <f t="shared" si="17"/>
        <v>28</v>
      </c>
      <c r="CQ32" s="4">
        <f t="shared" si="18"/>
        <v>0</v>
      </c>
      <c r="CR32" s="4">
        <f t="shared" si="19"/>
        <v>0</v>
      </c>
      <c r="CS32" s="4">
        <f t="shared" si="20"/>
        <v>0</v>
      </c>
      <c r="CT32" s="4">
        <f t="shared" si="21"/>
        <v>0</v>
      </c>
      <c r="CU32" s="4">
        <f t="shared" si="22"/>
        <v>0</v>
      </c>
      <c r="CV32" s="4">
        <f t="shared" si="23"/>
        <v>0</v>
      </c>
      <c r="CW32" s="4">
        <f t="shared" si="24"/>
        <v>0</v>
      </c>
      <c r="CX32" s="4">
        <f t="shared" si="25"/>
        <v>0</v>
      </c>
      <c r="CY32" s="4">
        <f t="shared" si="26"/>
        <v>0</v>
      </c>
      <c r="CZ32" s="4">
        <f t="shared" si="27"/>
        <v>0</v>
      </c>
      <c r="DA32" s="4">
        <f t="shared" si="28"/>
        <v>0</v>
      </c>
      <c r="DB32" s="4">
        <f t="shared" si="29"/>
        <v>0</v>
      </c>
      <c r="DC32" s="4">
        <f t="shared" si="30"/>
        <v>0</v>
      </c>
      <c r="DD32" s="4">
        <f t="shared" si="31"/>
        <v>0</v>
      </c>
      <c r="DE32" s="4">
        <f t="shared" si="32"/>
        <v>0</v>
      </c>
      <c r="DF32" s="10">
        <f t="shared" si="33"/>
        <v>0</v>
      </c>
      <c r="DG32" s="10">
        <f t="shared" si="35"/>
        <v>0</v>
      </c>
      <c r="DH32" s="4">
        <f t="shared" si="36"/>
        <v>0</v>
      </c>
      <c r="DI32" s="4">
        <f t="shared" si="37"/>
        <v>0</v>
      </c>
      <c r="DJ32" s="4">
        <f t="shared" si="38"/>
        <v>0</v>
      </c>
      <c r="DK32" s="4">
        <f t="shared" si="39"/>
        <v>0</v>
      </c>
    </row>
    <row r="33" spans="1:115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9">
        <v>0</v>
      </c>
      <c r="BN33" s="10">
        <v>0</v>
      </c>
      <c r="BO33" s="18">
        <v>0</v>
      </c>
      <c r="BP33" s="17"/>
      <c r="BQ33" s="16">
        <f t="shared" si="8"/>
        <v>45291</v>
      </c>
      <c r="BR33" s="10">
        <f t="shared" si="0"/>
        <v>502</v>
      </c>
      <c r="BS33" s="4">
        <f t="shared" si="40"/>
        <v>10</v>
      </c>
      <c r="BT33" s="10">
        <f t="shared" si="1"/>
        <v>503.87</v>
      </c>
      <c r="BU33" s="4">
        <f t="shared" si="9"/>
        <v>1.8700000000000045</v>
      </c>
      <c r="BV33" s="20">
        <f t="shared" si="10"/>
        <v>3.7250996015936347E-3</v>
      </c>
      <c r="BW33" s="4">
        <f t="shared" si="48"/>
        <v>20.819999999999993</v>
      </c>
      <c r="BX33" s="17"/>
      <c r="BY33" s="16">
        <f t="shared" si="2"/>
        <v>45291</v>
      </c>
      <c r="BZ33" s="10">
        <f t="shared" si="3"/>
        <v>0</v>
      </c>
      <c r="CA33" s="4">
        <f t="shared" si="41"/>
        <v>0</v>
      </c>
      <c r="CB33" s="10">
        <f t="shared" si="34"/>
        <v>0</v>
      </c>
      <c r="CC33" s="4">
        <f t="shared" si="11"/>
        <v>0</v>
      </c>
      <c r="CD33" s="20">
        <v>0</v>
      </c>
      <c r="CE33" s="4">
        <f t="shared" si="49"/>
        <v>0</v>
      </c>
      <c r="CF33" s="17"/>
      <c r="CG33" s="16">
        <f t="shared" si="5"/>
        <v>45291</v>
      </c>
      <c r="CH33" s="10">
        <f t="shared" si="12"/>
        <v>502</v>
      </c>
      <c r="CI33" s="10">
        <f t="shared" si="13"/>
        <v>10</v>
      </c>
      <c r="CJ33" s="10">
        <f t="shared" si="14"/>
        <v>503.87</v>
      </c>
      <c r="CK33" s="4">
        <f t="shared" si="15"/>
        <v>1.8700000000000045</v>
      </c>
      <c r="CL33" s="20">
        <v>0</v>
      </c>
      <c r="CM33" s="4">
        <f t="shared" si="50"/>
        <v>20.819999999999993</v>
      </c>
      <c r="CO33" s="16">
        <f t="shared" si="6"/>
        <v>45291</v>
      </c>
      <c r="CP33" s="4">
        <f t="shared" si="17"/>
        <v>20.819999999999993</v>
      </c>
      <c r="CQ33" s="4">
        <f t="shared" si="18"/>
        <v>0</v>
      </c>
      <c r="CR33" s="4">
        <f t="shared" si="19"/>
        <v>0</v>
      </c>
      <c r="CS33" s="4">
        <f t="shared" si="20"/>
        <v>0</v>
      </c>
      <c r="CT33" s="4">
        <f t="shared" si="21"/>
        <v>0</v>
      </c>
      <c r="CU33" s="4">
        <f t="shared" si="22"/>
        <v>0</v>
      </c>
      <c r="CV33" s="4">
        <f t="shared" si="23"/>
        <v>0</v>
      </c>
      <c r="CW33" s="4">
        <f t="shared" si="24"/>
        <v>0</v>
      </c>
      <c r="CX33" s="4">
        <f t="shared" si="25"/>
        <v>0</v>
      </c>
      <c r="CY33" s="4">
        <f t="shared" si="26"/>
        <v>0</v>
      </c>
      <c r="CZ33" s="4">
        <f t="shared" si="27"/>
        <v>0</v>
      </c>
      <c r="DA33" s="4">
        <f t="shared" si="28"/>
        <v>0</v>
      </c>
      <c r="DB33" s="4">
        <f t="shared" si="29"/>
        <v>0</v>
      </c>
      <c r="DC33" s="4">
        <f t="shared" si="30"/>
        <v>0</v>
      </c>
      <c r="DD33" s="4">
        <f t="shared" si="31"/>
        <v>0</v>
      </c>
      <c r="DE33" s="4">
        <f t="shared" si="32"/>
        <v>0</v>
      </c>
      <c r="DF33" s="10">
        <f t="shared" si="33"/>
        <v>0</v>
      </c>
      <c r="DG33" s="10">
        <f t="shared" si="35"/>
        <v>0</v>
      </c>
      <c r="DH33" s="4">
        <f t="shared" si="36"/>
        <v>0</v>
      </c>
      <c r="DI33" s="4">
        <f t="shared" si="37"/>
        <v>0</v>
      </c>
      <c r="DJ33" s="4">
        <f t="shared" si="38"/>
        <v>0</v>
      </c>
      <c r="DK33" s="4">
        <f t="shared" si="39"/>
        <v>0</v>
      </c>
    </row>
    <row r="34" spans="1:115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9">
        <v>0</v>
      </c>
      <c r="BN34" s="10">
        <v>0</v>
      </c>
      <c r="BO34" s="18">
        <v>0</v>
      </c>
      <c r="BP34" s="17"/>
      <c r="BQ34" s="16">
        <f t="shared" si="8"/>
        <v>45322</v>
      </c>
      <c r="BR34" s="10">
        <f t="shared" si="0"/>
        <v>640.94000000000005</v>
      </c>
      <c r="BS34" s="4">
        <f t="shared" si="40"/>
        <v>138.94000000000005</v>
      </c>
      <c r="BT34" s="10">
        <f t="shared" si="1"/>
        <v>647.1</v>
      </c>
      <c r="BU34" s="4">
        <f t="shared" si="9"/>
        <v>6.1599999999999682</v>
      </c>
      <c r="BV34" s="20">
        <f t="shared" si="10"/>
        <v>9.6108840141042335E-3</v>
      </c>
      <c r="BW34" s="4">
        <f>BU34-BU33</f>
        <v>4.2899999999999636</v>
      </c>
      <c r="BX34" s="17"/>
      <c r="BY34" s="16">
        <f t="shared" si="2"/>
        <v>45322</v>
      </c>
      <c r="BZ34" s="10">
        <f t="shared" si="3"/>
        <v>0</v>
      </c>
      <c r="CA34" s="4">
        <f t="shared" si="41"/>
        <v>0</v>
      </c>
      <c r="CB34" s="10">
        <f t="shared" si="34"/>
        <v>0</v>
      </c>
      <c r="CC34" s="4">
        <f t="shared" si="11"/>
        <v>0</v>
      </c>
      <c r="CD34" s="20">
        <v>0</v>
      </c>
      <c r="CE34" s="4">
        <f>CC34-CC33</f>
        <v>0</v>
      </c>
      <c r="CF34" s="17"/>
      <c r="CG34" s="16">
        <f t="shared" si="5"/>
        <v>45322</v>
      </c>
      <c r="CH34" s="10">
        <f t="shared" si="12"/>
        <v>640.94000000000005</v>
      </c>
      <c r="CI34" s="10">
        <f t="shared" si="13"/>
        <v>138.94000000000005</v>
      </c>
      <c r="CJ34" s="10">
        <f t="shared" si="14"/>
        <v>647.1</v>
      </c>
      <c r="CK34" s="4">
        <f t="shared" si="15"/>
        <v>6.1599999999999682</v>
      </c>
      <c r="CL34" s="20">
        <v>0</v>
      </c>
      <c r="CM34" s="4">
        <f>CK34-CK33</f>
        <v>4.2899999999999636</v>
      </c>
      <c r="CO34" s="16">
        <f t="shared" si="6"/>
        <v>45322</v>
      </c>
      <c r="CP34" s="4">
        <f t="shared" si="17"/>
        <v>8.0299999999999727</v>
      </c>
      <c r="CQ34" s="4">
        <f t="shared" si="18"/>
        <v>0</v>
      </c>
      <c r="CR34" s="4">
        <f t="shared" si="19"/>
        <v>0</v>
      </c>
      <c r="CS34" s="4">
        <f t="shared" si="20"/>
        <v>0</v>
      </c>
      <c r="CT34" s="4">
        <f t="shared" si="21"/>
        <v>0</v>
      </c>
      <c r="CU34" s="4">
        <f t="shared" si="22"/>
        <v>-3.7399999999999949</v>
      </c>
      <c r="CV34" s="4">
        <f t="shared" si="23"/>
        <v>0</v>
      </c>
      <c r="CW34" s="4">
        <f t="shared" si="24"/>
        <v>0</v>
      </c>
      <c r="CX34" s="4">
        <f t="shared" si="25"/>
        <v>0</v>
      </c>
      <c r="CY34" s="4">
        <f t="shared" si="26"/>
        <v>0</v>
      </c>
      <c r="CZ34" s="4">
        <f t="shared" si="27"/>
        <v>0</v>
      </c>
      <c r="DA34" s="4">
        <f t="shared" si="28"/>
        <v>0</v>
      </c>
      <c r="DB34" s="4">
        <f t="shared" si="29"/>
        <v>0</v>
      </c>
      <c r="DC34" s="4">
        <f t="shared" si="30"/>
        <v>0</v>
      </c>
      <c r="DD34" s="4">
        <f t="shared" si="31"/>
        <v>0</v>
      </c>
      <c r="DE34" s="4">
        <f t="shared" si="32"/>
        <v>0</v>
      </c>
      <c r="DF34" s="10">
        <f t="shared" si="33"/>
        <v>0</v>
      </c>
      <c r="DG34" s="10">
        <f t="shared" si="35"/>
        <v>0</v>
      </c>
      <c r="DH34" s="4">
        <f t="shared" si="36"/>
        <v>0</v>
      </c>
      <c r="DI34" s="4">
        <f t="shared" si="37"/>
        <v>0</v>
      </c>
      <c r="DJ34" s="4">
        <f t="shared" si="38"/>
        <v>0</v>
      </c>
      <c r="DK34" s="4">
        <f t="shared" si="39"/>
        <v>0</v>
      </c>
    </row>
    <row r="35" spans="1:115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1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9">
        <v>0</v>
      </c>
      <c r="BN35" s="10">
        <v>0</v>
      </c>
      <c r="BO35" s="18">
        <v>0</v>
      </c>
      <c r="BP35" s="17"/>
      <c r="BQ35" s="16">
        <f t="shared" si="8"/>
        <v>45351</v>
      </c>
      <c r="BR35" s="10">
        <f t="shared" ref="BR35:BR63" si="52">B35+E35+H35+K35+N35+Q35</f>
        <v>765.94</v>
      </c>
      <c r="BS35" s="4">
        <f t="shared" si="40"/>
        <v>125</v>
      </c>
      <c r="BT35" s="10">
        <f t="shared" ref="BT35:BT63" si="53">C35+F35+I35+L35+O35+R35</f>
        <v>794.49</v>
      </c>
      <c r="BU35" s="4">
        <f t="shared" si="9"/>
        <v>28.549999999999955</v>
      </c>
      <c r="BV35" s="20">
        <f t="shared" si="10"/>
        <v>3.7274460140480914E-2</v>
      </c>
      <c r="BW35" s="4">
        <f>BU35-BU34</f>
        <v>22.389999999999986</v>
      </c>
      <c r="BX35" s="17"/>
      <c r="BY35" s="16">
        <f t="shared" si="2"/>
        <v>45351</v>
      </c>
      <c r="BZ35" s="10">
        <f t="shared" si="3"/>
        <v>0</v>
      </c>
      <c r="CA35" s="4">
        <f t="shared" si="41"/>
        <v>0</v>
      </c>
      <c r="CB35" s="10">
        <f t="shared" si="34"/>
        <v>0</v>
      </c>
      <c r="CC35" s="4">
        <f t="shared" si="11"/>
        <v>0</v>
      </c>
      <c r="CD35" s="20">
        <v>0</v>
      </c>
      <c r="CE35" s="4">
        <f>CC35-CC34</f>
        <v>0</v>
      </c>
      <c r="CF35" s="17"/>
      <c r="CG35" s="16">
        <f t="shared" si="5"/>
        <v>45351</v>
      </c>
      <c r="CH35" s="10">
        <f t="shared" si="12"/>
        <v>765.94</v>
      </c>
      <c r="CI35" s="10">
        <f t="shared" si="13"/>
        <v>125</v>
      </c>
      <c r="CJ35" s="10">
        <f t="shared" si="14"/>
        <v>794.49</v>
      </c>
      <c r="CK35" s="4">
        <f t="shared" si="15"/>
        <v>28.549999999999955</v>
      </c>
      <c r="CL35" s="20">
        <v>0</v>
      </c>
      <c r="CM35" s="4">
        <f>CK35-CK34</f>
        <v>22.389999999999986</v>
      </c>
      <c r="CO35" s="16">
        <f t="shared" ref="CO35:CO63" si="54">A35</f>
        <v>45351</v>
      </c>
      <c r="CP35" s="4">
        <f t="shared" si="17"/>
        <v>13.120000000000005</v>
      </c>
      <c r="CQ35" s="4">
        <f t="shared" si="18"/>
        <v>0</v>
      </c>
      <c r="CR35" s="4">
        <f t="shared" si="19"/>
        <v>0</v>
      </c>
      <c r="CS35" s="4">
        <f t="shared" si="20"/>
        <v>0</v>
      </c>
      <c r="CT35" s="4">
        <f t="shared" si="21"/>
        <v>4.0000000000006253E-2</v>
      </c>
      <c r="CU35" s="4">
        <f t="shared" si="22"/>
        <v>9.2299999999999898</v>
      </c>
      <c r="CV35" s="4">
        <f t="shared" si="23"/>
        <v>0</v>
      </c>
      <c r="CW35" s="4">
        <f t="shared" si="24"/>
        <v>0</v>
      </c>
      <c r="CX35" s="4">
        <f t="shared" si="25"/>
        <v>0</v>
      </c>
      <c r="CY35" s="4">
        <f t="shared" si="26"/>
        <v>0</v>
      </c>
      <c r="CZ35" s="4">
        <f t="shared" si="27"/>
        <v>0</v>
      </c>
      <c r="DA35" s="4">
        <f t="shared" si="28"/>
        <v>0</v>
      </c>
      <c r="DB35" s="4">
        <f t="shared" si="29"/>
        <v>0</v>
      </c>
      <c r="DC35" s="4">
        <f t="shared" si="30"/>
        <v>0</v>
      </c>
      <c r="DD35" s="4">
        <f t="shared" si="31"/>
        <v>0</v>
      </c>
      <c r="DE35" s="4">
        <f t="shared" si="32"/>
        <v>0</v>
      </c>
      <c r="DF35" s="10">
        <f t="shared" si="33"/>
        <v>0</v>
      </c>
      <c r="DG35" s="10">
        <f t="shared" si="35"/>
        <v>0</v>
      </c>
      <c r="DH35" s="4">
        <f t="shared" si="36"/>
        <v>0</v>
      </c>
      <c r="DI35" s="4">
        <f t="shared" si="37"/>
        <v>0</v>
      </c>
      <c r="DJ35" s="4">
        <f t="shared" si="38"/>
        <v>0</v>
      </c>
      <c r="DK35" s="4">
        <f t="shared" si="39"/>
        <v>0</v>
      </c>
    </row>
    <row r="36" spans="1:115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5">(O36-N36)/N36</f>
        <v>1.519999999999996E-2</v>
      </c>
      <c r="Q36" s="6">
        <v>100</v>
      </c>
      <c r="R36" s="2">
        <v>106.16</v>
      </c>
      <c r="S36" s="18">
        <f t="shared" si="51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9">
        <v>0</v>
      </c>
      <c r="BN36" s="10">
        <v>0</v>
      </c>
      <c r="BO36" s="18">
        <v>0</v>
      </c>
      <c r="BP36" s="17"/>
      <c r="BQ36" s="16">
        <f t="shared" si="8"/>
        <v>45382</v>
      </c>
      <c r="BR36" s="10">
        <f t="shared" si="52"/>
        <v>780.94</v>
      </c>
      <c r="BS36" s="4">
        <f t="shared" si="40"/>
        <v>15</v>
      </c>
      <c r="BT36" s="10">
        <f t="shared" si="53"/>
        <v>827.42</v>
      </c>
      <c r="BU36" s="4">
        <f t="shared" si="9"/>
        <v>46.479999999999905</v>
      </c>
      <c r="BV36" s="20">
        <f t="shared" si="10"/>
        <v>5.9518016749045895E-2</v>
      </c>
      <c r="BW36" s="4">
        <f t="shared" ref="BW36:BW43" si="56">BU36-BU35</f>
        <v>17.92999999999995</v>
      </c>
      <c r="BX36" s="17"/>
      <c r="BY36" s="16">
        <f t="shared" si="2"/>
        <v>45382</v>
      </c>
      <c r="BZ36" s="10">
        <f t="shared" si="3"/>
        <v>0</v>
      </c>
      <c r="CA36" s="4">
        <f t="shared" si="41"/>
        <v>0</v>
      </c>
      <c r="CB36" s="10">
        <f t="shared" si="34"/>
        <v>0</v>
      </c>
      <c r="CC36" s="4">
        <f t="shared" si="11"/>
        <v>0</v>
      </c>
      <c r="CD36" s="20">
        <v>0</v>
      </c>
      <c r="CE36" s="4">
        <f t="shared" ref="CE36:CE43" si="57">CC36-CC35</f>
        <v>0</v>
      </c>
      <c r="CF36" s="17"/>
      <c r="CG36" s="16">
        <f t="shared" si="5"/>
        <v>45382</v>
      </c>
      <c r="CH36" s="10">
        <f t="shared" si="12"/>
        <v>780.94</v>
      </c>
      <c r="CI36" s="10">
        <f t="shared" si="13"/>
        <v>15</v>
      </c>
      <c r="CJ36" s="10">
        <f t="shared" si="14"/>
        <v>827.42</v>
      </c>
      <c r="CK36" s="4">
        <f t="shared" si="15"/>
        <v>46.479999999999905</v>
      </c>
      <c r="CL36" s="20">
        <v>0</v>
      </c>
      <c r="CM36" s="4">
        <f t="shared" ref="CM36:CM43" si="58">CK36-CK35</f>
        <v>17.92999999999995</v>
      </c>
      <c r="CO36" s="16">
        <f t="shared" si="54"/>
        <v>45382</v>
      </c>
      <c r="CP36" s="4">
        <f t="shared" ref="CP36:CP62" si="59">(C36-B36)-(C35-B35)</f>
        <v>15.779999999999973</v>
      </c>
      <c r="CQ36" s="4">
        <f t="shared" ref="CQ36:CQ63" si="60">(F36-E36)-(F35-E35)</f>
        <v>0</v>
      </c>
      <c r="CR36" s="4">
        <f t="shared" ref="CR36:CR63" si="61">(I36-H36)-(I35-H35)</f>
        <v>0</v>
      </c>
      <c r="CS36" s="4">
        <f t="shared" ref="CS36:CS63" si="62">(L36-K36)-(L35-K35)</f>
        <v>0</v>
      </c>
      <c r="CT36" s="4">
        <f t="shared" ref="CT36:CT62" si="63">(O36-N36)-(O35-N35)</f>
        <v>1.4799999999999898</v>
      </c>
      <c r="CU36" s="4">
        <f t="shared" ref="CU36:CU63" si="64">(R36-Q36)-(R35-Q35)</f>
        <v>0.67000000000000171</v>
      </c>
      <c r="CV36" s="4">
        <f t="shared" ref="CV36:CV63" si="65">(U36-T36)-(U35-T35)</f>
        <v>0</v>
      </c>
      <c r="CW36" s="4">
        <f t="shared" ref="CW36:CW62" si="66">(X36-W36)-(X35-W35)</f>
        <v>0</v>
      </c>
      <c r="CX36" s="4">
        <f t="shared" ref="CX36:CX62" si="67">(AA36-Z36)-(AA35-Z35)</f>
        <v>0</v>
      </c>
      <c r="CY36" s="4">
        <f t="shared" ref="CY36:CY63" si="68">(AD36-AC36)-(AD35-AC35)</f>
        <v>0</v>
      </c>
      <c r="CZ36" s="4">
        <f t="shared" ref="CZ36:CZ62" si="69">(AG36-AF36)-(AG35-AF35)</f>
        <v>0</v>
      </c>
      <c r="DA36" s="4">
        <f t="shared" ref="DA36:DA63" si="70">(AJ36-AI36)-(AJ35-AI35)</f>
        <v>0</v>
      </c>
      <c r="DB36" s="4">
        <f t="shared" ref="DB36:DB63" si="71">(AM36-AL36)-(AM35-AL35)</f>
        <v>0</v>
      </c>
      <c r="DC36" s="4">
        <f t="shared" ref="DC36:DC62" si="72">(AP36-AO36)-(AP35-AO35)</f>
        <v>0</v>
      </c>
      <c r="DD36" s="4">
        <f t="shared" ref="DD36:DD62" si="73">(AS36-AR36)-(AS35-AR35)</f>
        <v>0</v>
      </c>
      <c r="DE36" s="4">
        <f t="shared" ref="DE36:DE63" si="74">(AV36-AU36)-(AV35-AU35)</f>
        <v>0</v>
      </c>
      <c r="DF36" s="10">
        <f t="shared" ref="DF36:DF63" si="75">(AY36-AX36)-(AY35-AX35)</f>
        <v>0</v>
      </c>
      <c r="DG36" s="10">
        <f t="shared" si="35"/>
        <v>0</v>
      </c>
      <c r="DH36" s="4">
        <f t="shared" si="36"/>
        <v>0</v>
      </c>
      <c r="DI36" s="4">
        <f t="shared" si="37"/>
        <v>0</v>
      </c>
      <c r="DJ36" s="4">
        <f t="shared" si="38"/>
        <v>0</v>
      </c>
      <c r="DK36" s="4">
        <f t="shared" si="39"/>
        <v>0</v>
      </c>
    </row>
    <row r="37" spans="1:115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5"/>
        <v>3.4000000000000341E-3</v>
      </c>
      <c r="Q37" s="6">
        <v>100</v>
      </c>
      <c r="R37" s="2">
        <v>104.32</v>
      </c>
      <c r="S37" s="18">
        <f t="shared" si="51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9">
        <v>0</v>
      </c>
      <c r="BN37" s="10">
        <v>0</v>
      </c>
      <c r="BO37" s="18">
        <v>0</v>
      </c>
      <c r="BP37" s="17"/>
      <c r="BQ37" s="16">
        <f t="shared" si="8"/>
        <v>45412</v>
      </c>
      <c r="BR37" s="10">
        <f t="shared" si="52"/>
        <v>805.94</v>
      </c>
      <c r="BS37" s="4">
        <f t="shared" si="40"/>
        <v>25</v>
      </c>
      <c r="BT37" s="10">
        <f t="shared" si="53"/>
        <v>840</v>
      </c>
      <c r="BU37" s="4">
        <f t="shared" si="9"/>
        <v>34.059999999999945</v>
      </c>
      <c r="BV37" s="20">
        <f t="shared" si="10"/>
        <v>4.2261210511948713E-2</v>
      </c>
      <c r="BW37" s="4">
        <f t="shared" si="56"/>
        <v>-12.419999999999959</v>
      </c>
      <c r="BX37" s="17"/>
      <c r="BY37" s="16">
        <f t="shared" si="2"/>
        <v>45412</v>
      </c>
      <c r="BZ37" s="10">
        <f t="shared" si="3"/>
        <v>0</v>
      </c>
      <c r="CA37" s="4">
        <f t="shared" si="41"/>
        <v>0</v>
      </c>
      <c r="CB37" s="10">
        <f t="shared" si="34"/>
        <v>0</v>
      </c>
      <c r="CC37" s="4">
        <f t="shared" si="11"/>
        <v>0</v>
      </c>
      <c r="CD37" s="20">
        <v>0</v>
      </c>
      <c r="CE37" s="4">
        <f t="shared" si="57"/>
        <v>0</v>
      </c>
      <c r="CF37" s="17"/>
      <c r="CG37" s="16">
        <f t="shared" si="5"/>
        <v>45412</v>
      </c>
      <c r="CH37" s="10">
        <f t="shared" si="12"/>
        <v>805.94</v>
      </c>
      <c r="CI37" s="10">
        <f t="shared" si="13"/>
        <v>25</v>
      </c>
      <c r="CJ37" s="10">
        <f t="shared" si="14"/>
        <v>840</v>
      </c>
      <c r="CK37" s="4">
        <f t="shared" si="15"/>
        <v>34.059999999999945</v>
      </c>
      <c r="CL37" s="20">
        <v>0</v>
      </c>
      <c r="CM37" s="4">
        <f t="shared" si="58"/>
        <v>-12.419999999999959</v>
      </c>
      <c r="CO37" s="16">
        <f t="shared" si="54"/>
        <v>45412</v>
      </c>
      <c r="CP37" s="4">
        <f t="shared" si="59"/>
        <v>-9.3999999999999773</v>
      </c>
      <c r="CQ37" s="4">
        <f t="shared" si="60"/>
        <v>0</v>
      </c>
      <c r="CR37" s="4">
        <f t="shared" si="61"/>
        <v>0</v>
      </c>
      <c r="CS37" s="4">
        <f t="shared" si="62"/>
        <v>0</v>
      </c>
      <c r="CT37" s="4">
        <f t="shared" si="63"/>
        <v>-1.1799999999999926</v>
      </c>
      <c r="CU37" s="4">
        <f t="shared" si="64"/>
        <v>-1.8400000000000034</v>
      </c>
      <c r="CV37" s="4">
        <f t="shared" si="65"/>
        <v>0</v>
      </c>
      <c r="CW37" s="4">
        <f t="shared" si="66"/>
        <v>0</v>
      </c>
      <c r="CX37" s="4">
        <f t="shared" si="67"/>
        <v>0</v>
      </c>
      <c r="CY37" s="4">
        <f t="shared" si="68"/>
        <v>0</v>
      </c>
      <c r="CZ37" s="4">
        <f t="shared" si="69"/>
        <v>0</v>
      </c>
      <c r="DA37" s="4">
        <f t="shared" si="70"/>
        <v>0</v>
      </c>
      <c r="DB37" s="4">
        <f t="shared" si="71"/>
        <v>0</v>
      </c>
      <c r="DC37" s="4">
        <f t="shared" si="72"/>
        <v>0</v>
      </c>
      <c r="DD37" s="4">
        <f t="shared" si="73"/>
        <v>0</v>
      </c>
      <c r="DE37" s="4">
        <f t="shared" si="74"/>
        <v>0</v>
      </c>
      <c r="DF37" s="10">
        <f t="shared" si="75"/>
        <v>0</v>
      </c>
      <c r="DG37" s="10">
        <f t="shared" si="35"/>
        <v>0</v>
      </c>
      <c r="DH37" s="4">
        <f t="shared" si="36"/>
        <v>0</v>
      </c>
      <c r="DI37" s="4">
        <f t="shared" si="37"/>
        <v>0</v>
      </c>
      <c r="DJ37" s="4">
        <f t="shared" si="38"/>
        <v>0</v>
      </c>
      <c r="DK37" s="4">
        <f t="shared" si="39"/>
        <v>0</v>
      </c>
    </row>
    <row r="38" spans="1:115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5"/>
        <v>1.1099999999999994E-2</v>
      </c>
      <c r="Q38" s="9">
        <v>150</v>
      </c>
      <c r="R38" s="8">
        <v>158.46</v>
      </c>
      <c r="S38" s="18">
        <f t="shared" si="51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9">
        <v>0</v>
      </c>
      <c r="BN38" s="10">
        <v>0</v>
      </c>
      <c r="BO38" s="18">
        <v>0</v>
      </c>
      <c r="BP38" s="17"/>
      <c r="BQ38" s="16">
        <f t="shared" si="8"/>
        <v>45443</v>
      </c>
      <c r="BR38" s="10">
        <f t="shared" si="52"/>
        <v>939.88</v>
      </c>
      <c r="BS38" s="4">
        <f t="shared" si="40"/>
        <v>133.93999999999994</v>
      </c>
      <c r="BT38" s="10">
        <f t="shared" si="53"/>
        <v>993.2</v>
      </c>
      <c r="BU38" s="4">
        <f t="shared" si="9"/>
        <v>53.32000000000005</v>
      </c>
      <c r="BV38" s="20">
        <f t="shared" si="10"/>
        <v>5.6730646465506289E-2</v>
      </c>
      <c r="BW38" s="4">
        <f t="shared" si="56"/>
        <v>19.260000000000105</v>
      </c>
      <c r="BX38" s="17"/>
      <c r="BY38" s="16">
        <f t="shared" si="2"/>
        <v>45443</v>
      </c>
      <c r="BZ38" s="10">
        <f t="shared" si="3"/>
        <v>0</v>
      </c>
      <c r="CA38" s="4">
        <f t="shared" si="41"/>
        <v>0</v>
      </c>
      <c r="CB38" s="10">
        <f t="shared" si="34"/>
        <v>0</v>
      </c>
      <c r="CC38" s="4">
        <f t="shared" si="11"/>
        <v>0</v>
      </c>
      <c r="CD38" s="20">
        <v>0</v>
      </c>
      <c r="CE38" s="4">
        <f t="shared" si="57"/>
        <v>0</v>
      </c>
      <c r="CF38" s="17"/>
      <c r="CG38" s="16">
        <f t="shared" si="5"/>
        <v>45443</v>
      </c>
      <c r="CH38" s="10">
        <f t="shared" si="12"/>
        <v>939.88</v>
      </c>
      <c r="CI38" s="10">
        <f t="shared" si="13"/>
        <v>133.93999999999994</v>
      </c>
      <c r="CJ38" s="10">
        <f t="shared" si="14"/>
        <v>993.2</v>
      </c>
      <c r="CK38" s="4">
        <f t="shared" si="15"/>
        <v>53.32000000000005</v>
      </c>
      <c r="CL38" s="20">
        <v>0</v>
      </c>
      <c r="CM38" s="4">
        <f t="shared" si="58"/>
        <v>19.260000000000105</v>
      </c>
      <c r="CO38" s="16">
        <f t="shared" si="54"/>
        <v>45443</v>
      </c>
      <c r="CP38" s="4">
        <f t="shared" si="59"/>
        <v>15.050000000000068</v>
      </c>
      <c r="CQ38" s="4">
        <f t="shared" si="60"/>
        <v>-0.69999999999999929</v>
      </c>
      <c r="CR38" s="4">
        <f t="shared" si="61"/>
        <v>0</v>
      </c>
      <c r="CS38" s="4">
        <f t="shared" si="62"/>
        <v>0</v>
      </c>
      <c r="CT38" s="4">
        <f t="shared" si="63"/>
        <v>0.76999999999999602</v>
      </c>
      <c r="CU38" s="4">
        <f t="shared" si="64"/>
        <v>4.1400000000000148</v>
      </c>
      <c r="CV38" s="4">
        <f t="shared" si="65"/>
        <v>0</v>
      </c>
      <c r="CW38" s="4">
        <f t="shared" si="66"/>
        <v>0</v>
      </c>
      <c r="CX38" s="4">
        <f t="shared" si="67"/>
        <v>0</v>
      </c>
      <c r="CY38" s="4">
        <f t="shared" si="68"/>
        <v>0</v>
      </c>
      <c r="CZ38" s="4">
        <f t="shared" si="69"/>
        <v>0</v>
      </c>
      <c r="DA38" s="4">
        <f t="shared" si="70"/>
        <v>0</v>
      </c>
      <c r="DB38" s="4">
        <f t="shared" si="71"/>
        <v>0</v>
      </c>
      <c r="DC38" s="4">
        <f t="shared" si="72"/>
        <v>0</v>
      </c>
      <c r="DD38" s="4">
        <f t="shared" si="73"/>
        <v>0</v>
      </c>
      <c r="DE38" s="4">
        <f t="shared" si="74"/>
        <v>0</v>
      </c>
      <c r="DF38" s="10">
        <f t="shared" si="75"/>
        <v>0</v>
      </c>
      <c r="DG38" s="10">
        <f t="shared" si="35"/>
        <v>0</v>
      </c>
      <c r="DH38" s="4">
        <f t="shared" si="36"/>
        <v>0</v>
      </c>
      <c r="DI38" s="4">
        <f t="shared" si="37"/>
        <v>0</v>
      </c>
      <c r="DJ38" s="4">
        <f t="shared" si="38"/>
        <v>0</v>
      </c>
      <c r="DK38" s="4">
        <f t="shared" si="39"/>
        <v>0</v>
      </c>
    </row>
    <row r="39" spans="1:115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6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5"/>
        <v>5.8299999999999984E-2</v>
      </c>
      <c r="Q39" s="9">
        <v>150</v>
      </c>
      <c r="R39" s="8">
        <v>169.71</v>
      </c>
      <c r="S39" s="18">
        <f t="shared" si="51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9">
        <v>0</v>
      </c>
      <c r="BN39" s="10">
        <v>0</v>
      </c>
      <c r="BO39" s="18">
        <v>0</v>
      </c>
      <c r="BP39" s="17"/>
      <c r="BQ39" s="16">
        <f t="shared" si="8"/>
        <v>45473</v>
      </c>
      <c r="BR39" s="10">
        <f t="shared" si="52"/>
        <v>964.8599999999999</v>
      </c>
      <c r="BS39" s="4">
        <f t="shared" si="40"/>
        <v>24.979999999999905</v>
      </c>
      <c r="BT39" s="10">
        <f t="shared" si="53"/>
        <v>1053.31</v>
      </c>
      <c r="BU39" s="4">
        <f t="shared" si="9"/>
        <v>88.450000000000045</v>
      </c>
      <c r="BV39" s="20">
        <f t="shared" si="10"/>
        <v>9.1671330555728348E-2</v>
      </c>
      <c r="BW39" s="4">
        <f t="shared" si="56"/>
        <v>35.129999999999995</v>
      </c>
      <c r="BX39" s="17"/>
      <c r="BY39" s="16">
        <f t="shared" si="2"/>
        <v>45473</v>
      </c>
      <c r="BZ39" s="10">
        <f t="shared" si="3"/>
        <v>0</v>
      </c>
      <c r="CA39" s="4">
        <f t="shared" si="41"/>
        <v>0</v>
      </c>
      <c r="CB39" s="10">
        <f t="shared" si="34"/>
        <v>0</v>
      </c>
      <c r="CC39" s="4">
        <f t="shared" si="11"/>
        <v>0</v>
      </c>
      <c r="CD39" s="20">
        <v>0</v>
      </c>
      <c r="CE39" s="4">
        <f t="shared" si="57"/>
        <v>0</v>
      </c>
      <c r="CF39" s="17"/>
      <c r="CG39" s="16">
        <f t="shared" si="5"/>
        <v>45473</v>
      </c>
      <c r="CH39" s="10">
        <f t="shared" si="12"/>
        <v>964.8599999999999</v>
      </c>
      <c r="CI39" s="10">
        <f t="shared" si="13"/>
        <v>24.979999999999905</v>
      </c>
      <c r="CJ39" s="10">
        <f t="shared" si="14"/>
        <v>1053.31</v>
      </c>
      <c r="CK39" s="4">
        <f t="shared" si="15"/>
        <v>88.450000000000045</v>
      </c>
      <c r="CL39" s="20">
        <v>0</v>
      </c>
      <c r="CM39" s="4">
        <f t="shared" si="58"/>
        <v>35.129999999999995</v>
      </c>
      <c r="CO39" s="16">
        <f t="shared" si="54"/>
        <v>45473</v>
      </c>
      <c r="CP39" s="4">
        <f t="shared" si="59"/>
        <v>17.909999999999968</v>
      </c>
      <c r="CQ39" s="4">
        <f t="shared" si="60"/>
        <v>1.2500000000000036</v>
      </c>
      <c r="CR39" s="4">
        <f t="shared" si="61"/>
        <v>0</v>
      </c>
      <c r="CS39" s="4">
        <f t="shared" si="62"/>
        <v>0</v>
      </c>
      <c r="CT39" s="4">
        <f t="shared" si="63"/>
        <v>4.7199999999999989</v>
      </c>
      <c r="CU39" s="4">
        <f t="shared" si="64"/>
        <v>11.25</v>
      </c>
      <c r="CV39" s="4">
        <f t="shared" si="65"/>
        <v>0</v>
      </c>
      <c r="CW39" s="4">
        <f t="shared" si="66"/>
        <v>0</v>
      </c>
      <c r="CX39" s="4">
        <f t="shared" si="67"/>
        <v>0</v>
      </c>
      <c r="CY39" s="4">
        <f t="shared" si="68"/>
        <v>0</v>
      </c>
      <c r="CZ39" s="4">
        <f t="shared" si="69"/>
        <v>0</v>
      </c>
      <c r="DA39" s="4">
        <f t="shared" si="70"/>
        <v>0</v>
      </c>
      <c r="DB39" s="4">
        <f t="shared" si="71"/>
        <v>0</v>
      </c>
      <c r="DC39" s="4">
        <f t="shared" si="72"/>
        <v>0</v>
      </c>
      <c r="DD39" s="4">
        <f t="shared" si="73"/>
        <v>0</v>
      </c>
      <c r="DE39" s="4">
        <f t="shared" si="74"/>
        <v>0</v>
      </c>
      <c r="DF39" s="10">
        <f t="shared" si="75"/>
        <v>0</v>
      </c>
      <c r="DG39" s="10">
        <f t="shared" si="35"/>
        <v>0</v>
      </c>
      <c r="DH39" s="4">
        <f t="shared" si="36"/>
        <v>0</v>
      </c>
      <c r="DI39" s="4">
        <f t="shared" si="37"/>
        <v>0</v>
      </c>
      <c r="DJ39" s="4">
        <f t="shared" si="38"/>
        <v>0</v>
      </c>
      <c r="DK39" s="4">
        <f t="shared" si="39"/>
        <v>0</v>
      </c>
    </row>
    <row r="40" spans="1:115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6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5"/>
        <v>5.3700000000000046E-2</v>
      </c>
      <c r="Q40" s="9">
        <v>200</v>
      </c>
      <c r="R40" s="8">
        <v>215.76</v>
      </c>
      <c r="S40" s="18">
        <f t="shared" si="51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9">
        <v>0</v>
      </c>
      <c r="BN40" s="10">
        <v>0</v>
      </c>
      <c r="BO40" s="18">
        <v>0</v>
      </c>
      <c r="BP40" s="17"/>
      <c r="BQ40" s="16">
        <f t="shared" si="8"/>
        <v>45504</v>
      </c>
      <c r="BR40" s="10">
        <f t="shared" si="52"/>
        <v>1049.8599999999999</v>
      </c>
      <c r="BS40" s="4">
        <f t="shared" si="40"/>
        <v>85</v>
      </c>
      <c r="BT40" s="10">
        <f t="shared" si="53"/>
        <v>1126.6599999999999</v>
      </c>
      <c r="BU40" s="4">
        <f t="shared" si="9"/>
        <v>76.799999999999955</v>
      </c>
      <c r="BV40" s="20">
        <f t="shared" si="10"/>
        <v>7.3152610824300343E-2</v>
      </c>
      <c r="BW40" s="4">
        <f t="shared" si="56"/>
        <v>-11.650000000000091</v>
      </c>
      <c r="BX40" s="17"/>
      <c r="BY40" s="16">
        <f t="shared" si="2"/>
        <v>45504</v>
      </c>
      <c r="BZ40" s="10">
        <f t="shared" si="3"/>
        <v>0</v>
      </c>
      <c r="CA40" s="4">
        <f t="shared" si="41"/>
        <v>0</v>
      </c>
      <c r="CB40" s="10">
        <f t="shared" si="34"/>
        <v>0</v>
      </c>
      <c r="CC40" s="4">
        <f t="shared" si="11"/>
        <v>0</v>
      </c>
      <c r="CD40" s="20">
        <v>0</v>
      </c>
      <c r="CE40" s="4">
        <f t="shared" si="57"/>
        <v>0</v>
      </c>
      <c r="CF40" s="17"/>
      <c r="CG40" s="16">
        <f t="shared" si="5"/>
        <v>45504</v>
      </c>
      <c r="CH40" s="10">
        <f t="shared" si="12"/>
        <v>1049.8599999999999</v>
      </c>
      <c r="CI40" s="10">
        <f t="shared" si="13"/>
        <v>85</v>
      </c>
      <c r="CJ40" s="10">
        <f t="shared" si="14"/>
        <v>1126.6599999999999</v>
      </c>
      <c r="CK40" s="4">
        <f t="shared" si="15"/>
        <v>76.799999999999955</v>
      </c>
      <c r="CL40" s="20">
        <v>0</v>
      </c>
      <c r="CM40" s="4">
        <f t="shared" si="58"/>
        <v>-11.650000000000091</v>
      </c>
      <c r="CO40" s="16">
        <f t="shared" si="54"/>
        <v>45504</v>
      </c>
      <c r="CP40" s="4">
        <f t="shared" si="59"/>
        <v>-7.5299999999999727</v>
      </c>
      <c r="CQ40" s="4">
        <f t="shared" si="60"/>
        <v>0.28999999999999915</v>
      </c>
      <c r="CR40" s="4">
        <f t="shared" si="61"/>
        <v>0</v>
      </c>
      <c r="CS40" s="4">
        <f t="shared" si="62"/>
        <v>0</v>
      </c>
      <c r="CT40" s="4">
        <f t="shared" si="63"/>
        <v>-0.45999999999999375</v>
      </c>
      <c r="CU40" s="4">
        <f t="shared" si="64"/>
        <v>-3.9500000000000171</v>
      </c>
      <c r="CV40" s="4">
        <f t="shared" si="65"/>
        <v>0</v>
      </c>
      <c r="CW40" s="4">
        <f t="shared" si="66"/>
        <v>0</v>
      </c>
      <c r="CX40" s="4">
        <f t="shared" si="67"/>
        <v>0</v>
      </c>
      <c r="CY40" s="4">
        <f t="shared" si="68"/>
        <v>0</v>
      </c>
      <c r="CZ40" s="4">
        <f t="shared" si="69"/>
        <v>0</v>
      </c>
      <c r="DA40" s="4">
        <f t="shared" si="70"/>
        <v>0</v>
      </c>
      <c r="DB40" s="4">
        <f t="shared" si="71"/>
        <v>0</v>
      </c>
      <c r="DC40" s="4">
        <f t="shared" si="72"/>
        <v>0</v>
      </c>
      <c r="DD40" s="4">
        <f t="shared" si="73"/>
        <v>0</v>
      </c>
      <c r="DE40" s="4">
        <f t="shared" si="74"/>
        <v>0</v>
      </c>
      <c r="DF40" s="10">
        <f t="shared" si="75"/>
        <v>0</v>
      </c>
      <c r="DG40" s="10">
        <f t="shared" si="35"/>
        <v>0</v>
      </c>
      <c r="DH40" s="4">
        <f t="shared" si="36"/>
        <v>0</v>
      </c>
      <c r="DI40" s="4">
        <f t="shared" si="37"/>
        <v>0</v>
      </c>
      <c r="DJ40" s="4">
        <f t="shared" si="38"/>
        <v>0</v>
      </c>
      <c r="DK40" s="4">
        <f t="shared" si="39"/>
        <v>0</v>
      </c>
    </row>
    <row r="41" spans="1:115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6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5"/>
        <v>4.4200000000000017E-2</v>
      </c>
      <c r="Q41" s="9">
        <v>200</v>
      </c>
      <c r="R41" s="8">
        <v>211.23</v>
      </c>
      <c r="S41" s="18">
        <f t="shared" si="51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9">
        <v>0</v>
      </c>
      <c r="BN41" s="10">
        <v>0</v>
      </c>
      <c r="BO41" s="18">
        <v>0</v>
      </c>
      <c r="BP41" s="17"/>
      <c r="BQ41" s="16">
        <f t="shared" si="8"/>
        <v>45535</v>
      </c>
      <c r="BR41" s="10">
        <f t="shared" si="52"/>
        <v>1074.8599999999999</v>
      </c>
      <c r="BS41" s="4">
        <f t="shared" si="40"/>
        <v>25</v>
      </c>
      <c r="BT41" s="10">
        <f t="shared" si="53"/>
        <v>1159.6599999999999</v>
      </c>
      <c r="BU41" s="4">
        <f t="shared" si="9"/>
        <v>84.799999999999955</v>
      </c>
      <c r="BV41" s="20">
        <f t="shared" si="10"/>
        <v>7.8893995497087963E-2</v>
      </c>
      <c r="BW41" s="4">
        <f t="shared" si="56"/>
        <v>8</v>
      </c>
      <c r="BX41" s="17"/>
      <c r="BY41" s="16">
        <f t="shared" si="2"/>
        <v>45535</v>
      </c>
      <c r="BZ41" s="10">
        <f t="shared" si="3"/>
        <v>0</v>
      </c>
      <c r="CA41" s="4">
        <f t="shared" si="41"/>
        <v>0</v>
      </c>
      <c r="CB41" s="10">
        <f t="shared" si="34"/>
        <v>0</v>
      </c>
      <c r="CC41" s="4">
        <f t="shared" si="11"/>
        <v>0</v>
      </c>
      <c r="CD41" s="20">
        <v>0</v>
      </c>
      <c r="CE41" s="4">
        <f t="shared" si="57"/>
        <v>0</v>
      </c>
      <c r="CF41" s="17"/>
      <c r="CG41" s="16">
        <f t="shared" si="5"/>
        <v>45535</v>
      </c>
      <c r="CH41" s="10">
        <f t="shared" si="12"/>
        <v>1074.8599999999999</v>
      </c>
      <c r="CI41" s="10">
        <f t="shared" si="13"/>
        <v>25</v>
      </c>
      <c r="CJ41" s="10">
        <f t="shared" si="14"/>
        <v>1159.6599999999999</v>
      </c>
      <c r="CK41" s="4">
        <f t="shared" si="15"/>
        <v>84.799999999999955</v>
      </c>
      <c r="CL41" s="20">
        <v>0</v>
      </c>
      <c r="CM41" s="4">
        <f t="shared" si="58"/>
        <v>8</v>
      </c>
      <c r="CO41" s="16">
        <f t="shared" si="54"/>
        <v>45535</v>
      </c>
      <c r="CP41" s="4">
        <f t="shared" si="59"/>
        <v>13.629999999999995</v>
      </c>
      <c r="CQ41" s="4">
        <f t="shared" si="60"/>
        <v>-0.14999999999999858</v>
      </c>
      <c r="CR41" s="4">
        <f t="shared" si="61"/>
        <v>0</v>
      </c>
      <c r="CS41" s="4">
        <f t="shared" si="62"/>
        <v>0</v>
      </c>
      <c r="CT41" s="4">
        <f t="shared" si="63"/>
        <v>-0.95000000000000284</v>
      </c>
      <c r="CU41" s="4">
        <f t="shared" si="64"/>
        <v>-4.5300000000000011</v>
      </c>
      <c r="CV41" s="4">
        <f t="shared" si="65"/>
        <v>0</v>
      </c>
      <c r="CW41" s="4">
        <f t="shared" si="66"/>
        <v>0</v>
      </c>
      <c r="CX41" s="4">
        <f t="shared" si="67"/>
        <v>0</v>
      </c>
      <c r="CY41" s="4">
        <f t="shared" si="68"/>
        <v>0</v>
      </c>
      <c r="CZ41" s="4">
        <f t="shared" si="69"/>
        <v>0</v>
      </c>
      <c r="DA41" s="4">
        <f t="shared" si="70"/>
        <v>0</v>
      </c>
      <c r="DB41" s="4">
        <f t="shared" si="71"/>
        <v>0</v>
      </c>
      <c r="DC41" s="4">
        <f t="shared" si="72"/>
        <v>0</v>
      </c>
      <c r="DD41" s="4">
        <f t="shared" si="73"/>
        <v>0</v>
      </c>
      <c r="DE41" s="4">
        <f t="shared" si="74"/>
        <v>0</v>
      </c>
      <c r="DF41" s="10">
        <f t="shared" si="75"/>
        <v>0</v>
      </c>
      <c r="DG41" s="10">
        <f t="shared" si="35"/>
        <v>0</v>
      </c>
      <c r="DH41" s="4">
        <f t="shared" si="36"/>
        <v>0</v>
      </c>
      <c r="DI41" s="4">
        <f t="shared" si="37"/>
        <v>0</v>
      </c>
      <c r="DJ41" s="4">
        <f t="shared" si="38"/>
        <v>0</v>
      </c>
      <c r="DK41" s="4">
        <f t="shared" si="39"/>
        <v>0</v>
      </c>
    </row>
    <row r="42" spans="1:115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6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5"/>
        <v>4.6700000000000019E-2</v>
      </c>
      <c r="Q42" s="9">
        <v>200</v>
      </c>
      <c r="R42" s="8">
        <v>223.06</v>
      </c>
      <c r="S42" s="18">
        <f t="shared" si="51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9">
        <v>0</v>
      </c>
      <c r="BN42" s="10">
        <v>0</v>
      </c>
      <c r="BO42" s="18">
        <v>0</v>
      </c>
      <c r="BP42" s="17"/>
      <c r="BQ42" s="16">
        <f t="shared" si="8"/>
        <v>45565</v>
      </c>
      <c r="BR42" s="10">
        <f t="shared" si="52"/>
        <v>1089.8599999999999</v>
      </c>
      <c r="BS42" s="4">
        <f t="shared" si="40"/>
        <v>15</v>
      </c>
      <c r="BT42" s="10">
        <f t="shared" si="53"/>
        <v>1199.8399999999999</v>
      </c>
      <c r="BU42" s="4">
        <f t="shared" si="9"/>
        <v>109.98000000000002</v>
      </c>
      <c r="BV42" s="20">
        <f t="shared" si="10"/>
        <v>0.1009120437487384</v>
      </c>
      <c r="BW42" s="4">
        <f t="shared" si="56"/>
        <v>25.180000000000064</v>
      </c>
      <c r="BX42" s="17"/>
      <c r="BY42" s="16">
        <f t="shared" si="2"/>
        <v>45565</v>
      </c>
      <c r="BZ42" s="10">
        <f t="shared" si="3"/>
        <v>0</v>
      </c>
      <c r="CA42" s="4">
        <f t="shared" si="41"/>
        <v>0</v>
      </c>
      <c r="CB42" s="10">
        <f t="shared" si="34"/>
        <v>0</v>
      </c>
      <c r="CC42" s="4">
        <f t="shared" si="11"/>
        <v>0</v>
      </c>
      <c r="CD42" s="20">
        <v>0</v>
      </c>
      <c r="CE42" s="4">
        <f t="shared" si="57"/>
        <v>0</v>
      </c>
      <c r="CF42" s="17"/>
      <c r="CG42" s="16">
        <f t="shared" si="5"/>
        <v>45565</v>
      </c>
      <c r="CH42" s="10">
        <f t="shared" si="12"/>
        <v>1089.8599999999999</v>
      </c>
      <c r="CI42" s="10">
        <f t="shared" si="13"/>
        <v>15</v>
      </c>
      <c r="CJ42" s="10">
        <f t="shared" si="14"/>
        <v>1199.8399999999999</v>
      </c>
      <c r="CK42" s="4">
        <f t="shared" si="15"/>
        <v>109.98000000000002</v>
      </c>
      <c r="CL42" s="20">
        <v>0</v>
      </c>
      <c r="CM42" s="4">
        <f t="shared" si="58"/>
        <v>25.180000000000064</v>
      </c>
      <c r="CO42" s="16">
        <f t="shared" si="54"/>
        <v>45565</v>
      </c>
      <c r="CP42" s="4">
        <f t="shared" si="59"/>
        <v>12.549999999999955</v>
      </c>
      <c r="CQ42" s="4">
        <f t="shared" si="60"/>
        <v>0.54999999999999716</v>
      </c>
      <c r="CR42" s="4">
        <f t="shared" si="61"/>
        <v>0</v>
      </c>
      <c r="CS42" s="4">
        <f t="shared" si="62"/>
        <v>0</v>
      </c>
      <c r="CT42" s="4">
        <f t="shared" si="63"/>
        <v>0.25</v>
      </c>
      <c r="CU42" s="4">
        <f t="shared" si="64"/>
        <v>11.830000000000013</v>
      </c>
      <c r="CV42" s="4">
        <f t="shared" si="65"/>
        <v>0</v>
      </c>
      <c r="CW42" s="4">
        <f t="shared" si="66"/>
        <v>0</v>
      </c>
      <c r="CX42" s="4">
        <f t="shared" si="67"/>
        <v>0</v>
      </c>
      <c r="CY42" s="4">
        <f t="shared" si="68"/>
        <v>0</v>
      </c>
      <c r="CZ42" s="4">
        <f t="shared" si="69"/>
        <v>0</v>
      </c>
      <c r="DA42" s="4">
        <f t="shared" si="70"/>
        <v>0</v>
      </c>
      <c r="DB42" s="4">
        <f t="shared" si="71"/>
        <v>0</v>
      </c>
      <c r="DC42" s="4">
        <f t="shared" si="72"/>
        <v>0</v>
      </c>
      <c r="DD42" s="4">
        <f t="shared" si="73"/>
        <v>0</v>
      </c>
      <c r="DE42" s="4">
        <f t="shared" si="74"/>
        <v>0</v>
      </c>
      <c r="DF42" s="10">
        <f t="shared" si="75"/>
        <v>0</v>
      </c>
      <c r="DG42" s="10">
        <f t="shared" si="35"/>
        <v>0</v>
      </c>
      <c r="DH42" s="4">
        <f t="shared" si="36"/>
        <v>0</v>
      </c>
      <c r="DI42" s="4">
        <f t="shared" si="37"/>
        <v>0</v>
      </c>
      <c r="DJ42" s="4">
        <f t="shared" si="38"/>
        <v>0</v>
      </c>
      <c r="DK42" s="4">
        <f t="shared" si="39"/>
        <v>0</v>
      </c>
    </row>
    <row r="43" spans="1:115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6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5"/>
        <v>6.3700000000000048E-2</v>
      </c>
      <c r="Q43" s="6">
        <v>200</v>
      </c>
      <c r="R43" s="2">
        <v>234.77</v>
      </c>
      <c r="S43" s="18">
        <f t="shared" si="51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9">
        <v>0</v>
      </c>
      <c r="BN43" s="10">
        <v>0</v>
      </c>
      <c r="BO43" s="18">
        <v>0</v>
      </c>
      <c r="BP43" s="17"/>
      <c r="BQ43" s="16">
        <f t="shared" si="8"/>
        <v>45596</v>
      </c>
      <c r="BR43" s="10">
        <f t="shared" si="52"/>
        <v>1124.8599999999999</v>
      </c>
      <c r="BS43" s="4">
        <f>BR43-BR42</f>
        <v>35</v>
      </c>
      <c r="BT43" s="10">
        <f t="shared" si="53"/>
        <v>1248.54</v>
      </c>
      <c r="BU43" s="4">
        <f t="shared" si="9"/>
        <v>123.68000000000006</v>
      </c>
      <c r="BV43" s="20">
        <f t="shared" si="10"/>
        <v>0.10995146062621133</v>
      </c>
      <c r="BW43" s="4">
        <f t="shared" si="56"/>
        <v>13.700000000000045</v>
      </c>
      <c r="BX43" s="17"/>
      <c r="BY43" s="16">
        <f t="shared" si="2"/>
        <v>45596</v>
      </c>
      <c r="BZ43" s="10">
        <f t="shared" si="3"/>
        <v>0</v>
      </c>
      <c r="CA43" s="4">
        <f>BZ43-BZ42</f>
        <v>0</v>
      </c>
      <c r="CB43" s="10">
        <f t="shared" si="34"/>
        <v>0</v>
      </c>
      <c r="CC43" s="4">
        <f t="shared" si="11"/>
        <v>0</v>
      </c>
      <c r="CD43" s="20">
        <v>0</v>
      </c>
      <c r="CE43" s="4">
        <f t="shared" si="57"/>
        <v>0</v>
      </c>
      <c r="CF43" s="17"/>
      <c r="CG43" s="16">
        <f t="shared" si="5"/>
        <v>45596</v>
      </c>
      <c r="CH43" s="10">
        <f t="shared" si="12"/>
        <v>1124.8599999999999</v>
      </c>
      <c r="CI43" s="10">
        <f t="shared" si="13"/>
        <v>35</v>
      </c>
      <c r="CJ43" s="10">
        <f t="shared" si="14"/>
        <v>1248.54</v>
      </c>
      <c r="CK43" s="4">
        <f t="shared" si="15"/>
        <v>123.68000000000006</v>
      </c>
      <c r="CL43" s="20">
        <v>0</v>
      </c>
      <c r="CM43" s="4">
        <f t="shared" si="58"/>
        <v>13.700000000000045</v>
      </c>
      <c r="CO43" s="16">
        <f t="shared" si="54"/>
        <v>45596</v>
      </c>
      <c r="CP43" s="4">
        <f t="shared" si="59"/>
        <v>0.82000000000005002</v>
      </c>
      <c r="CQ43" s="4">
        <f t="shared" si="60"/>
        <v>-0.53000000000000114</v>
      </c>
      <c r="CR43" s="4">
        <f t="shared" si="61"/>
        <v>0</v>
      </c>
      <c r="CS43" s="4">
        <f t="shared" si="62"/>
        <v>0</v>
      </c>
      <c r="CT43" s="4">
        <f t="shared" si="63"/>
        <v>1.7000000000000028</v>
      </c>
      <c r="CU43" s="4">
        <f t="shared" si="64"/>
        <v>11.710000000000008</v>
      </c>
      <c r="CV43" s="4">
        <f t="shared" si="65"/>
        <v>0</v>
      </c>
      <c r="CW43" s="4">
        <f t="shared" si="66"/>
        <v>0</v>
      </c>
      <c r="CX43" s="4">
        <f t="shared" si="67"/>
        <v>0</v>
      </c>
      <c r="CY43" s="4">
        <f t="shared" si="68"/>
        <v>0</v>
      </c>
      <c r="CZ43" s="4">
        <f t="shared" si="69"/>
        <v>0</v>
      </c>
      <c r="DA43" s="4">
        <f t="shared" si="70"/>
        <v>0</v>
      </c>
      <c r="DB43" s="4">
        <f t="shared" si="71"/>
        <v>0</v>
      </c>
      <c r="DC43" s="4">
        <f t="shared" si="72"/>
        <v>0</v>
      </c>
      <c r="DD43" s="4">
        <f t="shared" si="73"/>
        <v>0</v>
      </c>
      <c r="DE43" s="4">
        <f t="shared" si="74"/>
        <v>0</v>
      </c>
      <c r="DF43" s="10">
        <f t="shared" si="75"/>
        <v>0</v>
      </c>
      <c r="DG43" s="10">
        <f t="shared" si="35"/>
        <v>0</v>
      </c>
      <c r="DH43" s="4">
        <f t="shared" si="36"/>
        <v>0</v>
      </c>
      <c r="DI43" s="4">
        <f t="shared" si="37"/>
        <v>0</v>
      </c>
      <c r="DJ43" s="4">
        <f t="shared" si="38"/>
        <v>0</v>
      </c>
      <c r="DK43" s="4">
        <f t="shared" si="39"/>
        <v>0</v>
      </c>
    </row>
    <row r="44" spans="1:115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6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5"/>
        <v>0.11480000000000004</v>
      </c>
      <c r="Q44" s="6">
        <v>250</v>
      </c>
      <c r="R44" s="2">
        <v>293.73</v>
      </c>
      <c r="S44" s="18">
        <f t="shared" si="51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9">
        <v>0</v>
      </c>
      <c r="BN44" s="10">
        <v>0</v>
      </c>
      <c r="BO44" s="18">
        <v>0</v>
      </c>
      <c r="BP44" s="17"/>
      <c r="BQ44" s="16">
        <f t="shared" si="8"/>
        <v>45626</v>
      </c>
      <c r="BR44" s="10">
        <f t="shared" si="52"/>
        <v>1239.8399999999999</v>
      </c>
      <c r="BS44" s="4">
        <f>BR44-BR43</f>
        <v>114.98000000000002</v>
      </c>
      <c r="BT44" s="10">
        <f t="shared" si="53"/>
        <v>1393.34</v>
      </c>
      <c r="BU44" s="4">
        <f t="shared" si="9"/>
        <v>153.5</v>
      </c>
      <c r="BV44" s="20">
        <f t="shared" si="10"/>
        <v>0.12380629758678539</v>
      </c>
      <c r="BW44" s="4">
        <f>BU44-BU43</f>
        <v>29.819999999999936</v>
      </c>
      <c r="BX44" s="17"/>
      <c r="BY44" s="16">
        <f t="shared" si="2"/>
        <v>45626</v>
      </c>
      <c r="BZ44" s="10">
        <f t="shared" si="3"/>
        <v>0</v>
      </c>
      <c r="CA44" s="4">
        <f>BZ44-BZ43</f>
        <v>0</v>
      </c>
      <c r="CB44" s="10">
        <f t="shared" si="34"/>
        <v>0</v>
      </c>
      <c r="CC44" s="4">
        <f t="shared" si="11"/>
        <v>0</v>
      </c>
      <c r="CD44" s="20">
        <v>0</v>
      </c>
      <c r="CE44" s="4">
        <f>CC44-CC43</f>
        <v>0</v>
      </c>
      <c r="CF44" s="17"/>
      <c r="CG44" s="16">
        <f t="shared" si="5"/>
        <v>45626</v>
      </c>
      <c r="CH44" s="10">
        <f t="shared" si="12"/>
        <v>1239.8399999999999</v>
      </c>
      <c r="CI44" s="10">
        <f t="shared" si="13"/>
        <v>114.98000000000002</v>
      </c>
      <c r="CJ44" s="10">
        <f t="shared" si="14"/>
        <v>1393.34</v>
      </c>
      <c r="CK44" s="4">
        <f t="shared" si="15"/>
        <v>153.5</v>
      </c>
      <c r="CL44" s="20">
        <v>0</v>
      </c>
      <c r="CM44" s="4">
        <f>CK44-CK43</f>
        <v>29.819999999999936</v>
      </c>
      <c r="CO44" s="16">
        <f t="shared" si="54"/>
        <v>45626</v>
      </c>
      <c r="CP44" s="4">
        <f t="shared" si="59"/>
        <v>13.840000000000032</v>
      </c>
      <c r="CQ44" s="4">
        <f t="shared" si="60"/>
        <v>1.9099999999999966</v>
      </c>
      <c r="CR44" s="4">
        <f t="shared" si="61"/>
        <v>0</v>
      </c>
      <c r="CS44" s="4">
        <f t="shared" si="62"/>
        <v>0</v>
      </c>
      <c r="CT44" s="4">
        <f t="shared" si="63"/>
        <v>5.1099999999999994</v>
      </c>
      <c r="CU44" s="4">
        <f t="shared" si="64"/>
        <v>8.960000000000008</v>
      </c>
      <c r="CV44" s="4">
        <f t="shared" si="65"/>
        <v>0</v>
      </c>
      <c r="CW44" s="4">
        <f t="shared" si="66"/>
        <v>0</v>
      </c>
      <c r="CX44" s="4">
        <f t="shared" si="67"/>
        <v>0</v>
      </c>
      <c r="CY44" s="4">
        <f t="shared" si="68"/>
        <v>0</v>
      </c>
      <c r="CZ44" s="4">
        <f t="shared" si="69"/>
        <v>0</v>
      </c>
      <c r="DA44" s="4">
        <f t="shared" si="70"/>
        <v>0</v>
      </c>
      <c r="DB44" s="4">
        <f t="shared" si="71"/>
        <v>0</v>
      </c>
      <c r="DC44" s="4">
        <f t="shared" si="72"/>
        <v>0</v>
      </c>
      <c r="DD44" s="4">
        <f t="shared" si="73"/>
        <v>0</v>
      </c>
      <c r="DE44" s="4">
        <f t="shared" si="74"/>
        <v>0</v>
      </c>
      <c r="DF44" s="10">
        <f t="shared" si="75"/>
        <v>0</v>
      </c>
      <c r="DG44" s="10">
        <f t="shared" si="35"/>
        <v>0</v>
      </c>
      <c r="DH44" s="4">
        <f t="shared" si="36"/>
        <v>0</v>
      </c>
      <c r="DI44" s="4">
        <f t="shared" si="37"/>
        <v>0</v>
      </c>
      <c r="DJ44" s="4">
        <f t="shared" si="38"/>
        <v>0</v>
      </c>
      <c r="DK44" s="4">
        <f t="shared" si="39"/>
        <v>0</v>
      </c>
    </row>
    <row r="45" spans="1:115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6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5"/>
        <v>0.11027272727272723</v>
      </c>
      <c r="Q45" s="9">
        <v>300</v>
      </c>
      <c r="R45" s="9">
        <v>352</v>
      </c>
      <c r="S45" s="18">
        <f t="shared" si="51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9">
        <v>0</v>
      </c>
      <c r="BN45" s="10">
        <v>0</v>
      </c>
      <c r="BO45" s="18">
        <v>0</v>
      </c>
      <c r="BP45" s="17"/>
      <c r="BQ45" s="16">
        <f t="shared" si="8"/>
        <v>45657</v>
      </c>
      <c r="BR45" s="10">
        <f t="shared" si="52"/>
        <v>1324.84</v>
      </c>
      <c r="BS45" s="4">
        <f t="shared" ref="BS45:BS52" si="77">BR45-BR44</f>
        <v>85</v>
      </c>
      <c r="BT45" s="10">
        <f t="shared" si="53"/>
        <v>1485.53</v>
      </c>
      <c r="BU45" s="4">
        <f t="shared" si="9"/>
        <v>160.69000000000005</v>
      </c>
      <c r="BV45" s="20">
        <f t="shared" si="10"/>
        <v>0.12129011805199123</v>
      </c>
      <c r="BW45" s="4">
        <f>BU45-BU44</f>
        <v>7.1900000000000546</v>
      </c>
      <c r="BX45" s="17"/>
      <c r="BY45" s="16">
        <f t="shared" si="2"/>
        <v>45657</v>
      </c>
      <c r="BZ45" s="10">
        <f t="shared" si="3"/>
        <v>0</v>
      </c>
      <c r="CA45" s="4">
        <f t="shared" ref="CA45:CA61" si="78">BZ45-BZ44</f>
        <v>0</v>
      </c>
      <c r="CB45" s="10">
        <f t="shared" si="34"/>
        <v>0</v>
      </c>
      <c r="CC45" s="4">
        <f t="shared" si="11"/>
        <v>0</v>
      </c>
      <c r="CD45" s="20">
        <v>0</v>
      </c>
      <c r="CE45" s="4">
        <f>CC45-CC44</f>
        <v>0</v>
      </c>
      <c r="CF45" s="17"/>
      <c r="CG45" s="16">
        <f t="shared" si="5"/>
        <v>45657</v>
      </c>
      <c r="CH45" s="10">
        <f t="shared" si="12"/>
        <v>1324.84</v>
      </c>
      <c r="CI45" s="10">
        <f t="shared" si="13"/>
        <v>85</v>
      </c>
      <c r="CJ45" s="10">
        <f t="shared" si="14"/>
        <v>1485.53</v>
      </c>
      <c r="CK45" s="4">
        <f t="shared" si="15"/>
        <v>160.69000000000005</v>
      </c>
      <c r="CL45" s="20">
        <v>0</v>
      </c>
      <c r="CM45" s="4">
        <f>CK45-CK44</f>
        <v>7.1900000000000546</v>
      </c>
      <c r="CO45" s="16">
        <f t="shared" si="54"/>
        <v>45657</v>
      </c>
      <c r="CP45" s="4">
        <f t="shared" si="59"/>
        <v>-1.1700000000000728</v>
      </c>
      <c r="CQ45" s="4">
        <f t="shared" si="60"/>
        <v>-0.53000000000000114</v>
      </c>
      <c r="CR45" s="4">
        <f t="shared" si="61"/>
        <v>0</v>
      </c>
      <c r="CS45" s="4">
        <f t="shared" si="62"/>
        <v>-2.9999999999999361E-2</v>
      </c>
      <c r="CT45" s="4">
        <f t="shared" si="63"/>
        <v>0.64999999999999147</v>
      </c>
      <c r="CU45" s="4">
        <f t="shared" si="64"/>
        <v>8.2699999999999818</v>
      </c>
      <c r="CV45" s="4">
        <f t="shared" si="65"/>
        <v>0</v>
      </c>
      <c r="CW45" s="4">
        <f t="shared" si="66"/>
        <v>0</v>
      </c>
      <c r="CX45" s="4">
        <f t="shared" si="67"/>
        <v>0</v>
      </c>
      <c r="CY45" s="4">
        <f t="shared" si="68"/>
        <v>0</v>
      </c>
      <c r="CZ45" s="4">
        <f t="shared" si="69"/>
        <v>0</v>
      </c>
      <c r="DA45" s="4">
        <f t="shared" si="70"/>
        <v>0</v>
      </c>
      <c r="DB45" s="4">
        <f t="shared" si="71"/>
        <v>0</v>
      </c>
      <c r="DC45" s="4">
        <f t="shared" si="72"/>
        <v>0</v>
      </c>
      <c r="DD45" s="4">
        <f t="shared" si="73"/>
        <v>0</v>
      </c>
      <c r="DE45" s="4">
        <f t="shared" si="74"/>
        <v>0</v>
      </c>
      <c r="DF45" s="10">
        <f t="shared" si="75"/>
        <v>0</v>
      </c>
      <c r="DG45" s="10">
        <f t="shared" si="35"/>
        <v>0</v>
      </c>
      <c r="DH45" s="4">
        <f t="shared" si="36"/>
        <v>0</v>
      </c>
      <c r="DI45" s="4">
        <f t="shared" si="37"/>
        <v>0</v>
      </c>
      <c r="DJ45" s="4">
        <f t="shared" si="38"/>
        <v>0</v>
      </c>
      <c r="DK45" s="4">
        <f t="shared" si="39"/>
        <v>0</v>
      </c>
    </row>
    <row r="46" spans="1:115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6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9">(L46-K46)/K46</f>
        <v>8.9999999999999854E-3</v>
      </c>
      <c r="N46" s="6">
        <v>110</v>
      </c>
      <c r="O46" s="4">
        <v>124.57</v>
      </c>
      <c r="P46" s="18">
        <f t="shared" si="55"/>
        <v>0.13245454545454538</v>
      </c>
      <c r="Q46" s="6">
        <v>300</v>
      </c>
      <c r="R46" s="6">
        <v>362.15</v>
      </c>
      <c r="S46" s="18">
        <f t="shared" si="51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6">
        <v>0</v>
      </c>
      <c r="BN46" s="4">
        <v>0</v>
      </c>
      <c r="BO46" s="19">
        <v>0</v>
      </c>
      <c r="BP46" s="17"/>
      <c r="BQ46" s="16">
        <f t="shared" si="8"/>
        <v>45688</v>
      </c>
      <c r="BR46" s="10">
        <f t="shared" si="52"/>
        <v>1379.84</v>
      </c>
      <c r="BS46" s="4">
        <f t="shared" si="77"/>
        <v>55</v>
      </c>
      <c r="BT46" s="10">
        <f t="shared" si="53"/>
        <v>1583.4399999999996</v>
      </c>
      <c r="BU46" s="4">
        <f t="shared" si="9"/>
        <v>203.59999999999968</v>
      </c>
      <c r="BV46" s="20">
        <f t="shared" si="10"/>
        <v>0.147553339517625</v>
      </c>
      <c r="BW46" s="4">
        <f>BU46-BU45</f>
        <v>42.909999999999627</v>
      </c>
      <c r="BX46" s="17"/>
      <c r="BY46" s="16">
        <f t="shared" si="2"/>
        <v>45688</v>
      </c>
      <c r="BZ46" s="10">
        <f t="shared" si="3"/>
        <v>0</v>
      </c>
      <c r="CA46" s="4">
        <f t="shared" si="78"/>
        <v>0</v>
      </c>
      <c r="CB46" s="10">
        <f t="shared" si="34"/>
        <v>0</v>
      </c>
      <c r="CC46" s="4">
        <f t="shared" si="11"/>
        <v>0</v>
      </c>
      <c r="CD46" s="20">
        <v>0</v>
      </c>
      <c r="CE46" s="4">
        <f>CC46-CC45</f>
        <v>0</v>
      </c>
      <c r="CF46" s="17"/>
      <c r="CG46" s="16">
        <f t="shared" si="5"/>
        <v>45688</v>
      </c>
      <c r="CH46" s="10">
        <f t="shared" si="12"/>
        <v>1379.84</v>
      </c>
      <c r="CI46" s="10">
        <f t="shared" si="13"/>
        <v>55</v>
      </c>
      <c r="CJ46" s="10">
        <f t="shared" si="14"/>
        <v>1583.4399999999996</v>
      </c>
      <c r="CK46" s="4">
        <f t="shared" si="15"/>
        <v>203.59999999999968</v>
      </c>
      <c r="CL46" s="20">
        <v>0</v>
      </c>
      <c r="CM46" s="4">
        <f>CK46-CK45</f>
        <v>42.909999999999627</v>
      </c>
      <c r="CO46" s="16">
        <f t="shared" si="54"/>
        <v>45688</v>
      </c>
      <c r="CP46" s="4">
        <f t="shared" si="59"/>
        <v>28.220000000000027</v>
      </c>
      <c r="CQ46" s="4">
        <f t="shared" si="60"/>
        <v>1.980000000000004</v>
      </c>
      <c r="CR46" s="4">
        <f t="shared" si="61"/>
        <v>0</v>
      </c>
      <c r="CS46" s="4">
        <f t="shared" si="62"/>
        <v>0.11999999999999922</v>
      </c>
      <c r="CT46" s="4">
        <f t="shared" si="63"/>
        <v>2.4399999999999977</v>
      </c>
      <c r="CU46" s="4">
        <f t="shared" si="64"/>
        <v>10.149999999999977</v>
      </c>
      <c r="CV46" s="4">
        <f t="shared" si="65"/>
        <v>0</v>
      </c>
      <c r="CW46" s="4">
        <f t="shared" si="66"/>
        <v>0</v>
      </c>
      <c r="CX46" s="4">
        <f t="shared" si="67"/>
        <v>0</v>
      </c>
      <c r="CY46" s="4">
        <f t="shared" si="68"/>
        <v>0</v>
      </c>
      <c r="CZ46" s="4">
        <f t="shared" si="69"/>
        <v>0</v>
      </c>
      <c r="DA46" s="4">
        <f t="shared" si="70"/>
        <v>0</v>
      </c>
      <c r="DB46" s="4">
        <f t="shared" si="71"/>
        <v>0</v>
      </c>
      <c r="DC46" s="4">
        <f t="shared" si="72"/>
        <v>0</v>
      </c>
      <c r="DD46" s="4">
        <f t="shared" si="73"/>
        <v>0</v>
      </c>
      <c r="DE46" s="4">
        <f t="shared" si="74"/>
        <v>0</v>
      </c>
      <c r="DF46" s="10">
        <f t="shared" si="75"/>
        <v>0</v>
      </c>
      <c r="DG46" s="10">
        <f t="shared" si="35"/>
        <v>0</v>
      </c>
      <c r="DH46" s="4">
        <f t="shared" si="36"/>
        <v>0</v>
      </c>
      <c r="DI46" s="4">
        <f t="shared" si="37"/>
        <v>0</v>
      </c>
      <c r="DJ46" s="4">
        <f t="shared" si="38"/>
        <v>0</v>
      </c>
      <c r="DK46" s="4">
        <f t="shared" si="39"/>
        <v>0</v>
      </c>
    </row>
    <row r="47" spans="1:115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6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9"/>
        <v>-3.2000000000000028E-2</v>
      </c>
      <c r="N47" s="6">
        <v>110</v>
      </c>
      <c r="O47" s="4">
        <v>123.13</v>
      </c>
      <c r="P47" s="18">
        <f t="shared" si="55"/>
        <v>0.11936363636363632</v>
      </c>
      <c r="Q47" s="6">
        <v>300</v>
      </c>
      <c r="R47" s="6">
        <v>338.57</v>
      </c>
      <c r="S47" s="18">
        <f t="shared" si="51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6">
        <v>0</v>
      </c>
      <c r="BN47" s="4">
        <v>0</v>
      </c>
      <c r="BO47" s="19">
        <v>0</v>
      </c>
      <c r="BP47" s="17"/>
      <c r="BQ47" s="16">
        <f t="shared" si="8"/>
        <v>45716</v>
      </c>
      <c r="BR47" s="10">
        <f t="shared" si="52"/>
        <v>1414.83</v>
      </c>
      <c r="BS47" s="4">
        <f t="shared" si="77"/>
        <v>34.990000000000009</v>
      </c>
      <c r="BT47" s="10">
        <f t="shared" si="53"/>
        <v>1599.72</v>
      </c>
      <c r="BU47" s="4">
        <f t="shared" si="9"/>
        <v>184.8900000000001</v>
      </c>
      <c r="BV47" s="20">
        <f t="shared" si="10"/>
        <v>0.13068001102605975</v>
      </c>
      <c r="BW47" s="4">
        <f t="shared" ref="BW47:BW54" si="80">BU47-BU46</f>
        <v>-18.709999999999582</v>
      </c>
      <c r="BX47" s="17"/>
      <c r="BY47" s="16">
        <f t="shared" si="2"/>
        <v>45716</v>
      </c>
      <c r="BZ47" s="10">
        <f t="shared" si="3"/>
        <v>150</v>
      </c>
      <c r="CA47" s="4">
        <f t="shared" si="78"/>
        <v>150</v>
      </c>
      <c r="CB47" s="10">
        <f t="shared" si="34"/>
        <v>150.63999999999999</v>
      </c>
      <c r="CC47" s="4">
        <f t="shared" si="11"/>
        <v>0.63999999999998636</v>
      </c>
      <c r="CD47" s="20">
        <f t="shared" ref="CD47:CD61" si="81">CC47/BZ47</f>
        <v>4.2666666666665758E-3</v>
      </c>
      <c r="CE47" s="4">
        <f t="shared" ref="CE47:CE54" si="82">CC47-CC46</f>
        <v>0.63999999999998636</v>
      </c>
      <c r="CF47" s="17"/>
      <c r="CG47" s="16">
        <f t="shared" si="5"/>
        <v>45716</v>
      </c>
      <c r="CH47" s="10">
        <f t="shared" si="12"/>
        <v>1564.83</v>
      </c>
      <c r="CI47" s="10">
        <f t="shared" si="13"/>
        <v>184.99</v>
      </c>
      <c r="CJ47" s="10">
        <f t="shared" si="14"/>
        <v>1750.3600000000001</v>
      </c>
      <c r="CK47" s="4">
        <f t="shared" si="15"/>
        <v>185.5300000000002</v>
      </c>
      <c r="CL47" s="20">
        <f t="shared" ref="CL47:CL61" si="83">CK47/CH47</f>
        <v>0.11856239974949369</v>
      </c>
      <c r="CM47" s="4">
        <f t="shared" ref="CM47:CM54" si="84">CK47-CK46</f>
        <v>-18.069999999999482</v>
      </c>
      <c r="CO47" s="16">
        <f t="shared" si="54"/>
        <v>45716</v>
      </c>
      <c r="CP47" s="4">
        <f t="shared" si="59"/>
        <v>6.9199999999999591</v>
      </c>
      <c r="CQ47" s="4">
        <f t="shared" si="60"/>
        <v>-0.19999999999999574</v>
      </c>
      <c r="CR47" s="4">
        <f t="shared" si="61"/>
        <v>0</v>
      </c>
      <c r="CS47" s="4">
        <f t="shared" si="62"/>
        <v>-0.41000000000000014</v>
      </c>
      <c r="CT47" s="4">
        <f t="shared" si="63"/>
        <v>-1.4399999999999977</v>
      </c>
      <c r="CU47" s="4">
        <f t="shared" si="64"/>
        <v>-23.579999999999984</v>
      </c>
      <c r="CV47" s="4">
        <f t="shared" si="65"/>
        <v>0</v>
      </c>
      <c r="CW47" s="4">
        <f t="shared" si="66"/>
        <v>0.64000000000000057</v>
      </c>
      <c r="CX47" s="4">
        <f t="shared" si="67"/>
        <v>0</v>
      </c>
      <c r="CY47" s="4">
        <f t="shared" si="68"/>
        <v>0</v>
      </c>
      <c r="CZ47" s="4">
        <f t="shared" si="69"/>
        <v>0</v>
      </c>
      <c r="DA47" s="4">
        <f t="shared" si="70"/>
        <v>0</v>
      </c>
      <c r="DB47" s="4">
        <f t="shared" si="71"/>
        <v>0</v>
      </c>
      <c r="DC47" s="4">
        <f t="shared" si="72"/>
        <v>0</v>
      </c>
      <c r="DD47" s="4">
        <f t="shared" si="73"/>
        <v>0</v>
      </c>
      <c r="DE47" s="4">
        <f t="shared" si="74"/>
        <v>0</v>
      </c>
      <c r="DF47" s="10">
        <f t="shared" si="75"/>
        <v>0</v>
      </c>
      <c r="DG47" s="10">
        <f t="shared" si="35"/>
        <v>0</v>
      </c>
      <c r="DH47" s="4">
        <f t="shared" si="36"/>
        <v>0</v>
      </c>
      <c r="DI47" s="4">
        <f t="shared" si="37"/>
        <v>0</v>
      </c>
      <c r="DJ47" s="4">
        <f t="shared" si="38"/>
        <v>0</v>
      </c>
      <c r="DK47" s="4">
        <f t="shared" si="39"/>
        <v>0</v>
      </c>
    </row>
    <row r="48" spans="1:115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6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9"/>
        <v>-0.13300000000000001</v>
      </c>
      <c r="N48" s="6">
        <v>120</v>
      </c>
      <c r="O48" s="4">
        <v>125.43</v>
      </c>
      <c r="P48" s="18">
        <f t="shared" si="55"/>
        <v>4.5250000000000054E-2</v>
      </c>
      <c r="Q48" s="6">
        <v>350</v>
      </c>
      <c r="R48" s="6">
        <v>349.62</v>
      </c>
      <c r="S48" s="18">
        <f t="shared" si="51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6">
        <v>0</v>
      </c>
      <c r="BN48" s="4">
        <v>0</v>
      </c>
      <c r="BO48" s="19">
        <v>0</v>
      </c>
      <c r="BP48" s="17"/>
      <c r="BQ48" s="16">
        <f t="shared" si="8"/>
        <v>45747</v>
      </c>
      <c r="BR48" s="10">
        <f t="shared" si="52"/>
        <v>1634.61</v>
      </c>
      <c r="BS48" s="4">
        <f t="shared" si="77"/>
        <v>219.77999999999997</v>
      </c>
      <c r="BT48" s="10">
        <f t="shared" si="53"/>
        <v>1717.4900000000002</v>
      </c>
      <c r="BU48" s="4">
        <f t="shared" si="9"/>
        <v>82.880000000000337</v>
      </c>
      <c r="BV48" s="20">
        <f t="shared" si="10"/>
        <v>5.0703225845920644E-2</v>
      </c>
      <c r="BW48" s="4">
        <f t="shared" si="80"/>
        <v>-102.00999999999976</v>
      </c>
      <c r="BX48" s="17"/>
      <c r="BY48" s="16">
        <f t="shared" si="2"/>
        <v>45747</v>
      </c>
      <c r="BZ48" s="10">
        <f t="shared" si="3"/>
        <v>1060</v>
      </c>
      <c r="CA48" s="4">
        <f t="shared" si="78"/>
        <v>910</v>
      </c>
      <c r="CB48" s="10">
        <f t="shared" si="34"/>
        <v>1127.6199999999999</v>
      </c>
      <c r="CC48" s="4">
        <f t="shared" si="11"/>
        <v>67.619999999999891</v>
      </c>
      <c r="CD48" s="20">
        <f t="shared" si="81"/>
        <v>6.379245283018857E-2</v>
      </c>
      <c r="CE48" s="4">
        <f t="shared" si="82"/>
        <v>66.979999999999905</v>
      </c>
      <c r="CF48" s="17"/>
      <c r="CG48" s="16">
        <f t="shared" si="5"/>
        <v>45747</v>
      </c>
      <c r="CH48" s="10">
        <f t="shared" si="12"/>
        <v>2694.6099999999997</v>
      </c>
      <c r="CI48" s="10">
        <f t="shared" si="13"/>
        <v>1129.78</v>
      </c>
      <c r="CJ48" s="10">
        <f t="shared" si="14"/>
        <v>2845.11</v>
      </c>
      <c r="CK48" s="4">
        <f t="shared" si="15"/>
        <v>150.50000000000045</v>
      </c>
      <c r="CL48" s="20">
        <f t="shared" si="83"/>
        <v>5.5852238357313476E-2</v>
      </c>
      <c r="CM48" s="4">
        <f t="shared" si="84"/>
        <v>-35.029999999999745</v>
      </c>
      <c r="CO48" s="16">
        <f t="shared" si="54"/>
        <v>45747</v>
      </c>
      <c r="CP48" s="4">
        <f t="shared" si="59"/>
        <v>-48.659999999999854</v>
      </c>
      <c r="CQ48" s="4">
        <f t="shared" si="60"/>
        <v>-5.6899999999999977</v>
      </c>
      <c r="CR48" s="4">
        <f t="shared" si="61"/>
        <v>0</v>
      </c>
      <c r="CS48" s="4">
        <f t="shared" si="62"/>
        <v>-1.0099999999999998</v>
      </c>
      <c r="CT48" s="4">
        <f t="shared" si="63"/>
        <v>-7.6999999999999886</v>
      </c>
      <c r="CU48" s="4">
        <f t="shared" si="64"/>
        <v>-38.949999999999989</v>
      </c>
      <c r="CV48" s="4">
        <f t="shared" si="65"/>
        <v>0</v>
      </c>
      <c r="CW48" s="4">
        <f t="shared" si="66"/>
        <v>1.980000000000004</v>
      </c>
      <c r="CX48" s="4">
        <f t="shared" si="67"/>
        <v>55</v>
      </c>
      <c r="CY48" s="4">
        <f t="shared" si="68"/>
        <v>10</v>
      </c>
      <c r="CZ48" s="4">
        <f t="shared" si="69"/>
        <v>0</v>
      </c>
      <c r="DA48" s="4">
        <f t="shared" si="70"/>
        <v>0</v>
      </c>
      <c r="DB48" s="4">
        <f t="shared" si="71"/>
        <v>0</v>
      </c>
      <c r="DC48" s="4">
        <f t="shared" si="72"/>
        <v>0</v>
      </c>
      <c r="DD48" s="4">
        <f t="shared" si="73"/>
        <v>0</v>
      </c>
      <c r="DE48" s="4">
        <f t="shared" si="74"/>
        <v>0</v>
      </c>
      <c r="DF48" s="10">
        <f t="shared" si="75"/>
        <v>0</v>
      </c>
      <c r="DG48" s="10">
        <f t="shared" si="35"/>
        <v>0</v>
      </c>
      <c r="DH48" s="4">
        <f t="shared" si="36"/>
        <v>0</v>
      </c>
      <c r="DI48" s="4">
        <f t="shared" si="37"/>
        <v>0</v>
      </c>
      <c r="DJ48" s="4">
        <f t="shared" si="38"/>
        <v>0</v>
      </c>
      <c r="DK48" s="4">
        <f t="shared" si="39"/>
        <v>0</v>
      </c>
    </row>
    <row r="49" spans="1:115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6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9"/>
        <v>-8.9999999999999854E-3</v>
      </c>
      <c r="N49" s="6">
        <v>183.94</v>
      </c>
      <c r="O49" s="4">
        <v>184.9</v>
      </c>
      <c r="P49" s="18">
        <f t="shared" si="55"/>
        <v>5.2190931825595735E-3</v>
      </c>
      <c r="Q49" s="6">
        <v>350</v>
      </c>
      <c r="R49" s="6">
        <v>332.76</v>
      </c>
      <c r="S49" s="18">
        <f t="shared" si="51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6">
        <v>0</v>
      </c>
      <c r="BN49" s="4">
        <v>0</v>
      </c>
      <c r="BO49" s="19">
        <v>0</v>
      </c>
      <c r="BP49" s="17"/>
      <c r="BQ49" s="16">
        <f t="shared" si="8"/>
        <v>45777</v>
      </c>
      <c r="BR49" s="10">
        <f t="shared" si="52"/>
        <v>1858.5500000000002</v>
      </c>
      <c r="BS49" s="4">
        <f t="shared" si="77"/>
        <v>223.94000000000028</v>
      </c>
      <c r="BT49" s="10">
        <f t="shared" si="53"/>
        <v>1893.7400000000002</v>
      </c>
      <c r="BU49" s="4">
        <f t="shared" si="9"/>
        <v>35.190000000000055</v>
      </c>
      <c r="BV49" s="20">
        <f t="shared" si="10"/>
        <v>1.8934115304942052E-2</v>
      </c>
      <c r="BW49" s="4">
        <f t="shared" si="80"/>
        <v>-47.690000000000282</v>
      </c>
      <c r="BX49" s="17"/>
      <c r="BY49" s="16">
        <f t="shared" si="2"/>
        <v>45777</v>
      </c>
      <c r="BZ49" s="10">
        <f t="shared" si="3"/>
        <v>1590</v>
      </c>
      <c r="CA49" s="4">
        <f t="shared" si="78"/>
        <v>530</v>
      </c>
      <c r="CB49" s="10">
        <f t="shared" si="34"/>
        <v>1699.2600000000002</v>
      </c>
      <c r="CC49" s="4">
        <f t="shared" si="11"/>
        <v>109.26000000000022</v>
      </c>
      <c r="CD49" s="20">
        <f t="shared" si="81"/>
        <v>6.8716981132075611E-2</v>
      </c>
      <c r="CE49" s="4">
        <f t="shared" si="82"/>
        <v>41.640000000000327</v>
      </c>
      <c r="CF49" s="17"/>
      <c r="CG49" s="16">
        <f t="shared" si="5"/>
        <v>45777</v>
      </c>
      <c r="CH49" s="10">
        <f t="shared" si="12"/>
        <v>3448.55</v>
      </c>
      <c r="CI49" s="10">
        <f t="shared" si="13"/>
        <v>753.94000000000028</v>
      </c>
      <c r="CJ49" s="10">
        <f t="shared" si="14"/>
        <v>3593.0000000000005</v>
      </c>
      <c r="CK49" s="4">
        <f t="shared" si="15"/>
        <v>144.45000000000027</v>
      </c>
      <c r="CL49" s="20">
        <f t="shared" si="83"/>
        <v>4.188716996998746E-2</v>
      </c>
      <c r="CM49" s="4">
        <f t="shared" si="84"/>
        <v>-6.0500000000001819</v>
      </c>
      <c r="CO49" s="16">
        <f t="shared" si="54"/>
        <v>45777</v>
      </c>
      <c r="CP49" s="4">
        <f t="shared" si="59"/>
        <v>-30.980000000000132</v>
      </c>
      <c r="CQ49" s="4">
        <f t="shared" si="60"/>
        <v>-2.6800000000000068</v>
      </c>
      <c r="CR49" s="4">
        <f t="shared" si="61"/>
        <v>6.1500000000000057</v>
      </c>
      <c r="CS49" s="4">
        <f t="shared" si="62"/>
        <v>1.1500000000000004</v>
      </c>
      <c r="CT49" s="4">
        <f t="shared" si="63"/>
        <v>-4.4699999999999989</v>
      </c>
      <c r="CU49" s="4">
        <f t="shared" si="64"/>
        <v>-16.860000000000014</v>
      </c>
      <c r="CV49" s="4">
        <f t="shared" si="65"/>
        <v>0</v>
      </c>
      <c r="CW49" s="4">
        <f t="shared" si="66"/>
        <v>2.9900000000000091</v>
      </c>
      <c r="CX49" s="4">
        <f t="shared" si="67"/>
        <v>28.649999999999977</v>
      </c>
      <c r="CY49" s="4">
        <f t="shared" si="68"/>
        <v>10</v>
      </c>
      <c r="CZ49" s="4">
        <f t="shared" si="69"/>
        <v>0</v>
      </c>
      <c r="DA49" s="4">
        <f t="shared" si="70"/>
        <v>0</v>
      </c>
      <c r="DB49" s="4">
        <f t="shared" si="71"/>
        <v>0</v>
      </c>
      <c r="DC49" s="4">
        <f t="shared" si="72"/>
        <v>0</v>
      </c>
      <c r="DD49" s="4">
        <f t="shared" si="73"/>
        <v>0</v>
      </c>
      <c r="DE49" s="4">
        <f t="shared" si="74"/>
        <v>0</v>
      </c>
      <c r="DF49" s="10">
        <f t="shared" si="75"/>
        <v>0</v>
      </c>
      <c r="DG49" s="10">
        <f t="shared" si="35"/>
        <v>0</v>
      </c>
      <c r="DH49" s="4">
        <f t="shared" si="36"/>
        <v>0</v>
      </c>
      <c r="DI49" s="4">
        <f t="shared" si="37"/>
        <v>0</v>
      </c>
      <c r="DJ49" s="4">
        <f t="shared" si="38"/>
        <v>0</v>
      </c>
      <c r="DK49" s="4">
        <f t="shared" si="39"/>
        <v>0</v>
      </c>
    </row>
    <row r="50" spans="1:115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6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9"/>
        <v>4.9912652857499379E-2</v>
      </c>
      <c r="N50" s="6">
        <v>198.59</v>
      </c>
      <c r="O50" s="4">
        <v>204.65</v>
      </c>
      <c r="P50" s="18">
        <f t="shared" si="55"/>
        <v>3.0515131678332252E-2</v>
      </c>
      <c r="Q50" s="6">
        <v>350</v>
      </c>
      <c r="R50" s="6">
        <v>373.8</v>
      </c>
      <c r="S50" s="18">
        <f t="shared" si="51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6">
        <v>0</v>
      </c>
      <c r="BN50" s="4">
        <v>0</v>
      </c>
      <c r="BO50" s="19">
        <v>0</v>
      </c>
      <c r="BP50" s="17"/>
      <c r="BQ50" s="16">
        <f t="shared" si="8"/>
        <v>45808</v>
      </c>
      <c r="BR50" s="10">
        <f t="shared" si="52"/>
        <v>2008.73</v>
      </c>
      <c r="BS50" s="4">
        <f t="shared" si="77"/>
        <v>150.17999999999984</v>
      </c>
      <c r="BT50" s="10">
        <f t="shared" si="53"/>
        <v>2156.27</v>
      </c>
      <c r="BU50" s="4">
        <f t="shared" si="9"/>
        <v>147.53999999999996</v>
      </c>
      <c r="BV50" s="20">
        <f t="shared" si="10"/>
        <v>7.3449393397818502E-2</v>
      </c>
      <c r="BW50" s="4">
        <f t="shared" si="80"/>
        <v>112.34999999999991</v>
      </c>
      <c r="BX50" s="17"/>
      <c r="BY50" s="16">
        <f t="shared" si="2"/>
        <v>45808</v>
      </c>
      <c r="BZ50" s="10">
        <f t="shared" si="3"/>
        <v>2080</v>
      </c>
      <c r="CA50" s="4">
        <f t="shared" si="78"/>
        <v>490</v>
      </c>
      <c r="CB50" s="10">
        <f t="shared" si="34"/>
        <v>2194.87</v>
      </c>
      <c r="CC50" s="4">
        <f t="shared" si="11"/>
        <v>114.86999999999989</v>
      </c>
      <c r="CD50" s="20">
        <f t="shared" si="81"/>
        <v>5.5225961538461488E-2</v>
      </c>
      <c r="CE50" s="4">
        <f t="shared" si="82"/>
        <v>5.6099999999996726</v>
      </c>
      <c r="CF50" s="17"/>
      <c r="CG50" s="16">
        <f t="shared" si="5"/>
        <v>45808</v>
      </c>
      <c r="CH50" s="10">
        <f t="shared" si="12"/>
        <v>4088.73</v>
      </c>
      <c r="CI50" s="10">
        <f t="shared" si="13"/>
        <v>640.17999999999984</v>
      </c>
      <c r="CJ50" s="10">
        <f t="shared" si="14"/>
        <v>4351.1399999999994</v>
      </c>
      <c r="CK50" s="4">
        <f t="shared" si="15"/>
        <v>262.4099999999994</v>
      </c>
      <c r="CL50" s="20">
        <f t="shared" si="83"/>
        <v>6.41788526021526E-2</v>
      </c>
      <c r="CM50" s="4">
        <f t="shared" si="84"/>
        <v>117.95999999999913</v>
      </c>
      <c r="CO50" s="16">
        <f t="shared" si="54"/>
        <v>45808</v>
      </c>
      <c r="CP50" s="4">
        <f t="shared" si="59"/>
        <v>51.429999999999836</v>
      </c>
      <c r="CQ50" s="4">
        <f t="shared" si="60"/>
        <v>5.4699999999999989</v>
      </c>
      <c r="CR50" s="4">
        <f t="shared" si="61"/>
        <v>7.1299999999999955</v>
      </c>
      <c r="CS50" s="4">
        <f t="shared" si="62"/>
        <v>2.1799999999999997</v>
      </c>
      <c r="CT50" s="4">
        <f t="shared" si="63"/>
        <v>5.0999999999999943</v>
      </c>
      <c r="CU50" s="4">
        <f t="shared" si="64"/>
        <v>41.04000000000002</v>
      </c>
      <c r="CV50" s="4">
        <f t="shared" si="65"/>
        <v>2.1200000000000045</v>
      </c>
      <c r="CW50" s="4">
        <f t="shared" si="66"/>
        <v>3.4900000000000091</v>
      </c>
      <c r="CX50" s="4">
        <f t="shared" si="67"/>
        <v>0</v>
      </c>
      <c r="CY50" s="4">
        <f t="shared" si="68"/>
        <v>0</v>
      </c>
      <c r="CZ50" s="4">
        <f t="shared" si="69"/>
        <v>0</v>
      </c>
      <c r="DA50" s="4">
        <f t="shared" si="70"/>
        <v>0</v>
      </c>
      <c r="DB50" s="4">
        <f t="shared" si="71"/>
        <v>0</v>
      </c>
      <c r="DC50" s="4">
        <f t="shared" si="72"/>
        <v>0</v>
      </c>
      <c r="DD50" s="4">
        <f t="shared" si="73"/>
        <v>0</v>
      </c>
      <c r="DE50" s="4">
        <f t="shared" si="74"/>
        <v>0</v>
      </c>
      <c r="DF50" s="10">
        <f t="shared" si="75"/>
        <v>0</v>
      </c>
      <c r="DG50" s="10">
        <f t="shared" si="35"/>
        <v>0</v>
      </c>
      <c r="DH50" s="4">
        <f t="shared" si="36"/>
        <v>0</v>
      </c>
      <c r="DI50" s="4">
        <f t="shared" si="37"/>
        <v>0</v>
      </c>
      <c r="DJ50" s="4">
        <f t="shared" si="38"/>
        <v>0</v>
      </c>
      <c r="DK50" s="4">
        <f t="shared" si="39"/>
        <v>0</v>
      </c>
    </row>
    <row r="51" spans="1:115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6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9"/>
        <v>8.3083682844018306E-2</v>
      </c>
      <c r="N51" s="6">
        <v>223.59</v>
      </c>
      <c r="O51" s="4">
        <v>228.3</v>
      </c>
      <c r="P51" s="18">
        <f t="shared" si="55"/>
        <v>2.106534281497387E-2</v>
      </c>
      <c r="Q51" s="6">
        <v>350</v>
      </c>
      <c r="R51" s="6">
        <v>381.22</v>
      </c>
      <c r="S51" s="18">
        <f t="shared" si="51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6">
        <v>0</v>
      </c>
      <c r="BN51" s="4">
        <v>0</v>
      </c>
      <c r="BO51" s="19">
        <v>0</v>
      </c>
      <c r="BP51" s="17"/>
      <c r="BQ51" s="16">
        <f t="shared" si="8"/>
        <v>45838</v>
      </c>
      <c r="BR51" s="10">
        <f t="shared" si="52"/>
        <v>2073.73</v>
      </c>
      <c r="BS51" s="4">
        <f t="shared" si="77"/>
        <v>65</v>
      </c>
      <c r="BT51" s="10">
        <f t="shared" si="53"/>
        <v>2224.27</v>
      </c>
      <c r="BU51" s="4">
        <f t="shared" si="9"/>
        <v>150.53999999999996</v>
      </c>
      <c r="BV51" s="20">
        <f t="shared" si="10"/>
        <v>7.2593828511908473E-2</v>
      </c>
      <c r="BW51" s="4">
        <f t="shared" si="80"/>
        <v>3</v>
      </c>
      <c r="BX51" s="17"/>
      <c r="BY51" s="16">
        <f t="shared" si="2"/>
        <v>45838</v>
      </c>
      <c r="BZ51" s="10">
        <f t="shared" si="3"/>
        <v>2320</v>
      </c>
      <c r="CA51" s="4">
        <f t="shared" si="78"/>
        <v>240</v>
      </c>
      <c r="CB51" s="10">
        <f t="shared" si="34"/>
        <v>2474.84</v>
      </c>
      <c r="CC51" s="4">
        <f t="shared" si="11"/>
        <v>154.84000000000015</v>
      </c>
      <c r="CD51" s="20">
        <f t="shared" si="81"/>
        <v>6.6741379310344892E-2</v>
      </c>
      <c r="CE51" s="4">
        <f t="shared" si="82"/>
        <v>39.970000000000255</v>
      </c>
      <c r="CF51" s="17"/>
      <c r="CG51" s="16">
        <f t="shared" si="5"/>
        <v>45838</v>
      </c>
      <c r="CH51" s="10">
        <f t="shared" si="12"/>
        <v>4393.7299999999996</v>
      </c>
      <c r="CI51" s="10">
        <f t="shared" si="13"/>
        <v>305</v>
      </c>
      <c r="CJ51" s="10">
        <f t="shared" si="14"/>
        <v>4699.1100000000006</v>
      </c>
      <c r="CK51" s="4">
        <f t="shared" si="15"/>
        <v>305.38000000000102</v>
      </c>
      <c r="CL51" s="20">
        <f t="shared" si="83"/>
        <v>6.9503588067541935E-2</v>
      </c>
      <c r="CM51" s="4">
        <f t="shared" si="84"/>
        <v>42.970000000001619</v>
      </c>
      <c r="CO51" s="16">
        <f t="shared" si="54"/>
        <v>45838</v>
      </c>
      <c r="CP51" s="4">
        <f t="shared" si="59"/>
        <v>-8.5999999999999091</v>
      </c>
      <c r="CQ51" s="4">
        <f t="shared" si="60"/>
        <v>1.3900000000000148</v>
      </c>
      <c r="CR51" s="4">
        <f t="shared" si="61"/>
        <v>1.9800000000000182</v>
      </c>
      <c r="CS51" s="4">
        <f t="shared" si="62"/>
        <v>2.1599999999999966</v>
      </c>
      <c r="CT51" s="4">
        <f t="shared" si="63"/>
        <v>-1.3499999999999943</v>
      </c>
      <c r="CU51" s="4">
        <f t="shared" si="64"/>
        <v>7.4200000000000159</v>
      </c>
      <c r="CV51" s="4">
        <f t="shared" si="65"/>
        <v>8.4399999999999409</v>
      </c>
      <c r="CW51" s="4">
        <f t="shared" si="66"/>
        <v>7.7799999999999727</v>
      </c>
      <c r="CX51" s="4">
        <f t="shared" si="67"/>
        <v>0.11000000000001364</v>
      </c>
      <c r="CY51" s="4">
        <f t="shared" si="68"/>
        <v>13.639999999999986</v>
      </c>
      <c r="CZ51" s="4">
        <f t="shared" si="69"/>
        <v>10</v>
      </c>
      <c r="DA51" s="4">
        <f t="shared" si="70"/>
        <v>0</v>
      </c>
      <c r="DB51" s="4">
        <f t="shared" si="71"/>
        <v>0</v>
      </c>
      <c r="DC51" s="4">
        <f t="shared" si="72"/>
        <v>0</v>
      </c>
      <c r="DD51" s="4">
        <f t="shared" si="73"/>
        <v>0</v>
      </c>
      <c r="DE51" s="4">
        <f t="shared" si="74"/>
        <v>0</v>
      </c>
      <c r="DF51" s="10">
        <f t="shared" si="75"/>
        <v>0</v>
      </c>
      <c r="DG51" s="10">
        <f t="shared" si="35"/>
        <v>0</v>
      </c>
      <c r="DH51" s="4">
        <f t="shared" si="36"/>
        <v>0</v>
      </c>
      <c r="DI51" s="4">
        <f t="shared" si="37"/>
        <v>0</v>
      </c>
      <c r="DJ51" s="4">
        <f t="shared" si="38"/>
        <v>0</v>
      </c>
      <c r="DK51" s="4">
        <f t="shared" si="39"/>
        <v>0</v>
      </c>
    </row>
    <row r="52" spans="1:115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6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9"/>
        <v>0.10282802038573007</v>
      </c>
      <c r="N52" s="6">
        <v>255.17</v>
      </c>
      <c r="O52" s="4">
        <v>270.75</v>
      </c>
      <c r="P52" s="18">
        <f t="shared" si="55"/>
        <v>6.1057334326135568E-2</v>
      </c>
      <c r="Q52" s="6">
        <v>350</v>
      </c>
      <c r="R52" s="6">
        <v>407.43</v>
      </c>
      <c r="S52" s="18">
        <f t="shared" si="51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6">
        <v>0</v>
      </c>
      <c r="BN52" s="4">
        <v>0</v>
      </c>
      <c r="BO52" s="19">
        <v>0</v>
      </c>
      <c r="BP52" s="17"/>
      <c r="BQ52" s="16">
        <f t="shared" si="8"/>
        <v>45869</v>
      </c>
      <c r="BR52" s="10">
        <f t="shared" si="52"/>
        <v>2240.29</v>
      </c>
      <c r="BS52" s="4">
        <f t="shared" si="77"/>
        <v>166.55999999999995</v>
      </c>
      <c r="BT52" s="10">
        <f t="shared" si="53"/>
        <v>2483.7199999999998</v>
      </c>
      <c r="BU52" s="4">
        <f t="shared" si="9"/>
        <v>243.42999999999984</v>
      </c>
      <c r="BV52" s="20">
        <f t="shared" si="10"/>
        <v>0.10866003954845124</v>
      </c>
      <c r="BW52" s="4">
        <f t="shared" si="80"/>
        <v>92.889999999999873</v>
      </c>
      <c r="BX52" s="17"/>
      <c r="BY52" s="16">
        <f t="shared" si="2"/>
        <v>45869</v>
      </c>
      <c r="BZ52" s="10">
        <f t="shared" si="3"/>
        <v>2680</v>
      </c>
      <c r="CA52" s="4">
        <f t="shared" si="78"/>
        <v>360</v>
      </c>
      <c r="CB52" s="10">
        <f t="shared" si="34"/>
        <v>2853.3799999999997</v>
      </c>
      <c r="CC52" s="4">
        <f t="shared" si="11"/>
        <v>173.37999999999965</v>
      </c>
      <c r="CD52" s="20">
        <f t="shared" si="81"/>
        <v>6.469402985074614E-2</v>
      </c>
      <c r="CE52" s="4">
        <f t="shared" si="82"/>
        <v>18.539999999999509</v>
      </c>
      <c r="CF52" s="17"/>
      <c r="CG52" s="16">
        <f t="shared" si="5"/>
        <v>45869</v>
      </c>
      <c r="CH52" s="10">
        <f t="shared" si="12"/>
        <v>4920.29</v>
      </c>
      <c r="CI52" s="10">
        <f t="shared" si="13"/>
        <v>526.55999999999995</v>
      </c>
      <c r="CJ52" s="10">
        <f t="shared" si="14"/>
        <v>5337.0999999999995</v>
      </c>
      <c r="CK52" s="4">
        <f t="shared" si="15"/>
        <v>416.80999999999949</v>
      </c>
      <c r="CL52" s="20">
        <f t="shared" si="83"/>
        <v>8.4712486459131375E-2</v>
      </c>
      <c r="CM52" s="4">
        <f t="shared" si="84"/>
        <v>111.42999999999847</v>
      </c>
      <c r="CO52" s="16">
        <f t="shared" si="54"/>
        <v>45869</v>
      </c>
      <c r="CP52" s="4">
        <f t="shared" si="59"/>
        <v>34.980000000000018</v>
      </c>
      <c r="CQ52" s="4">
        <f t="shared" si="60"/>
        <v>5.2799999999999727</v>
      </c>
      <c r="CR52" s="4">
        <f t="shared" si="61"/>
        <v>9.4199999999999875</v>
      </c>
      <c r="CS52" s="4">
        <f t="shared" si="62"/>
        <v>6.1300000000000097</v>
      </c>
      <c r="CT52" s="4">
        <f t="shared" si="63"/>
        <v>10.870000000000005</v>
      </c>
      <c r="CU52" s="4">
        <f t="shared" si="64"/>
        <v>26.20999999999998</v>
      </c>
      <c r="CV52" s="4">
        <f t="shared" si="65"/>
        <v>2.2600000000001046</v>
      </c>
      <c r="CW52" s="4">
        <f t="shared" si="66"/>
        <v>4.7999999999999545</v>
      </c>
      <c r="CX52" s="4">
        <f t="shared" si="67"/>
        <v>0</v>
      </c>
      <c r="CY52" s="4">
        <f t="shared" si="68"/>
        <v>6.4800000000000182</v>
      </c>
      <c r="CZ52" s="4">
        <f t="shared" si="69"/>
        <v>5</v>
      </c>
      <c r="DA52" s="4">
        <f t="shared" si="70"/>
        <v>0</v>
      </c>
      <c r="DB52" s="4">
        <f t="shared" si="71"/>
        <v>0</v>
      </c>
      <c r="DC52" s="4">
        <f t="shared" si="72"/>
        <v>0</v>
      </c>
      <c r="DD52" s="4">
        <f t="shared" si="73"/>
        <v>0</v>
      </c>
      <c r="DE52" s="4">
        <f t="shared" si="74"/>
        <v>0</v>
      </c>
      <c r="DF52" s="10">
        <f t="shared" si="75"/>
        <v>0</v>
      </c>
      <c r="DG52" s="10">
        <f t="shared" si="35"/>
        <v>0</v>
      </c>
      <c r="DH52" s="4">
        <f t="shared" si="36"/>
        <v>0</v>
      </c>
      <c r="DI52" s="4">
        <f t="shared" si="37"/>
        <v>0</v>
      </c>
      <c r="DJ52" s="4">
        <f t="shared" si="38"/>
        <v>0</v>
      </c>
      <c r="DK52" s="4">
        <f t="shared" si="39"/>
        <v>0</v>
      </c>
    </row>
    <row r="53" spans="1:115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6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9"/>
        <v>5.7839674818418119E-2</v>
      </c>
      <c r="N53" s="6">
        <v>283.14999999999998</v>
      </c>
      <c r="O53" s="4">
        <v>296.55</v>
      </c>
      <c r="P53" s="18">
        <f t="shared" si="55"/>
        <v>4.7324739537347817E-2</v>
      </c>
      <c r="Q53" s="6">
        <v>350</v>
      </c>
      <c r="R53" s="6">
        <v>412.19</v>
      </c>
      <c r="S53" s="18">
        <f t="shared" si="51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6">
        <v>0</v>
      </c>
      <c r="BN53" s="4">
        <v>0</v>
      </c>
      <c r="BO53" s="19">
        <v>0</v>
      </c>
      <c r="BP53" s="17"/>
      <c r="BQ53" s="16">
        <f t="shared" si="8"/>
        <v>45900</v>
      </c>
      <c r="BR53" s="10">
        <f t="shared" si="52"/>
        <v>2373.27</v>
      </c>
      <c r="BS53" s="4">
        <f t="shared" ref="BS53" si="91">BR53-BR52</f>
        <v>132.98000000000002</v>
      </c>
      <c r="BT53" s="10">
        <f t="shared" si="53"/>
        <v>2620.67</v>
      </c>
      <c r="BU53" s="4">
        <f t="shared" ref="BU53" si="92">BT53-BR53</f>
        <v>247.40000000000009</v>
      </c>
      <c r="BV53" s="20">
        <f t="shared" si="10"/>
        <v>0.10424435483531165</v>
      </c>
      <c r="BW53" s="4">
        <f t="shared" si="80"/>
        <v>3.9700000000002547</v>
      </c>
      <c r="BX53" s="17"/>
      <c r="BY53" s="16">
        <f t="shared" si="2"/>
        <v>45900</v>
      </c>
      <c r="BZ53" s="10">
        <f t="shared" si="3"/>
        <v>2890</v>
      </c>
      <c r="CA53" s="4">
        <f t="shared" si="78"/>
        <v>210</v>
      </c>
      <c r="CB53" s="10">
        <f t="shared" si="34"/>
        <v>3071.39</v>
      </c>
      <c r="CC53" s="4">
        <f t="shared" si="11"/>
        <v>181.38999999999987</v>
      </c>
      <c r="CD53" s="20">
        <f t="shared" si="81"/>
        <v>6.2764705882352903E-2</v>
      </c>
      <c r="CE53" s="4">
        <f t="shared" si="82"/>
        <v>8.0100000000002183</v>
      </c>
      <c r="CF53" s="17"/>
      <c r="CG53" s="16">
        <f t="shared" si="5"/>
        <v>45900</v>
      </c>
      <c r="CH53" s="10">
        <f t="shared" si="12"/>
        <v>5263.27</v>
      </c>
      <c r="CI53" s="10">
        <f t="shared" si="13"/>
        <v>342.98</v>
      </c>
      <c r="CJ53" s="10">
        <f t="shared" si="14"/>
        <v>5692.0599999999995</v>
      </c>
      <c r="CK53" s="4">
        <f t="shared" si="15"/>
        <v>428.78999999999905</v>
      </c>
      <c r="CL53" s="20">
        <f t="shared" si="83"/>
        <v>8.1468364723831191E-2</v>
      </c>
      <c r="CM53" s="4">
        <f t="shared" si="84"/>
        <v>11.979999999999563</v>
      </c>
      <c r="CO53" s="16">
        <f t="shared" si="54"/>
        <v>45900</v>
      </c>
      <c r="CP53" s="4">
        <f t="shared" si="59"/>
        <v>4.0299999999999727</v>
      </c>
      <c r="CQ53" s="4">
        <f t="shared" si="60"/>
        <v>-4.9999999999982947E-2</v>
      </c>
      <c r="CR53" s="4">
        <f t="shared" si="61"/>
        <v>-0.97999999999998977</v>
      </c>
      <c r="CS53" s="4">
        <f t="shared" si="62"/>
        <v>-1.6099999999999994</v>
      </c>
      <c r="CT53" s="4">
        <f t="shared" si="63"/>
        <v>-2.1799999999999784</v>
      </c>
      <c r="CU53" s="4">
        <f t="shared" si="64"/>
        <v>4.7599999999999909</v>
      </c>
      <c r="CV53" s="4">
        <f t="shared" si="65"/>
        <v>1.4399999999999409</v>
      </c>
      <c r="CW53" s="4">
        <f t="shared" si="66"/>
        <v>6.57000000000005</v>
      </c>
      <c r="CX53" s="4">
        <f t="shared" si="67"/>
        <v>0</v>
      </c>
      <c r="CY53" s="4">
        <f t="shared" si="68"/>
        <v>0</v>
      </c>
      <c r="CZ53" s="4">
        <f t="shared" si="69"/>
        <v>0</v>
      </c>
      <c r="DA53" s="4">
        <f t="shared" si="70"/>
        <v>0</v>
      </c>
      <c r="DB53" s="4">
        <f t="shared" si="71"/>
        <v>0</v>
      </c>
      <c r="DC53" s="4">
        <f t="shared" si="72"/>
        <v>0</v>
      </c>
      <c r="DD53" s="4">
        <f t="shared" si="73"/>
        <v>0</v>
      </c>
      <c r="DE53" s="4">
        <f t="shared" si="74"/>
        <v>0</v>
      </c>
      <c r="DF53" s="10">
        <f t="shared" si="75"/>
        <v>0</v>
      </c>
      <c r="DG53" s="10">
        <f t="shared" si="35"/>
        <v>0</v>
      </c>
      <c r="DH53" s="4">
        <f t="shared" si="36"/>
        <v>0</v>
      </c>
      <c r="DI53" s="4">
        <f t="shared" si="37"/>
        <v>0</v>
      </c>
      <c r="DJ53" s="4">
        <f t="shared" si="38"/>
        <v>0</v>
      </c>
      <c r="DK53" s="4">
        <f t="shared" si="39"/>
        <v>0</v>
      </c>
    </row>
    <row r="54" spans="1:115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6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9"/>
        <v>0.10351529960570897</v>
      </c>
      <c r="N54" s="6">
        <v>298.14999999999998</v>
      </c>
      <c r="O54" s="4">
        <v>318.20999999999998</v>
      </c>
      <c r="P54" s="18">
        <f t="shared" si="55"/>
        <v>6.7281569679691441E-2</v>
      </c>
      <c r="Q54" s="6">
        <v>350</v>
      </c>
      <c r="R54" s="6">
        <v>448.31</v>
      </c>
      <c r="S54" s="18">
        <f t="shared" si="51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6">
        <v>0</v>
      </c>
      <c r="BN54" s="4">
        <v>0</v>
      </c>
      <c r="BO54" s="19">
        <v>0</v>
      </c>
      <c r="BP54" s="17"/>
      <c r="BQ54" s="16">
        <f t="shared" si="8"/>
        <v>45930</v>
      </c>
      <c r="BR54" s="10">
        <f t="shared" si="52"/>
        <v>2453.27</v>
      </c>
      <c r="BS54" s="4">
        <f t="shared" ref="BS54" si="93">BR54-BR53</f>
        <v>80</v>
      </c>
      <c r="BT54" s="10">
        <f t="shared" si="53"/>
        <v>2768.16</v>
      </c>
      <c r="BU54" s="4">
        <f t="shared" ref="BU54:BU55" si="94">BT54-BR54</f>
        <v>314.88999999999987</v>
      </c>
      <c r="BV54" s="20">
        <f t="shared" si="10"/>
        <v>0.12835521569170938</v>
      </c>
      <c r="BW54" s="4">
        <f t="shared" si="80"/>
        <v>67.489999999999782</v>
      </c>
      <c r="BX54" s="17"/>
      <c r="BY54" s="16">
        <f t="shared" si="2"/>
        <v>45930</v>
      </c>
      <c r="BZ54" s="10">
        <f t="shared" si="3"/>
        <v>3520</v>
      </c>
      <c r="CA54" s="4">
        <f t="shared" si="78"/>
        <v>630</v>
      </c>
      <c r="CB54" s="10">
        <f t="shared" si="34"/>
        <v>3742.2499999999995</v>
      </c>
      <c r="CC54" s="4">
        <f t="shared" si="11"/>
        <v>222.24999999999955</v>
      </c>
      <c r="CD54" s="20">
        <f t="shared" si="81"/>
        <v>6.3139204545454422E-2</v>
      </c>
      <c r="CE54" s="4">
        <f t="shared" si="82"/>
        <v>40.859999999999673</v>
      </c>
      <c r="CF54" s="17"/>
      <c r="CG54" s="16">
        <f t="shared" si="5"/>
        <v>45930</v>
      </c>
      <c r="CH54" s="10">
        <f t="shared" si="12"/>
        <v>5973.27</v>
      </c>
      <c r="CI54" s="10">
        <f t="shared" si="13"/>
        <v>710</v>
      </c>
      <c r="CJ54" s="10">
        <f t="shared" si="14"/>
        <v>6510.41</v>
      </c>
      <c r="CK54" s="4">
        <f t="shared" si="15"/>
        <v>537.13999999999942</v>
      </c>
      <c r="CL54" s="20">
        <f t="shared" si="83"/>
        <v>8.9923944506107939E-2</v>
      </c>
      <c r="CM54" s="4">
        <f t="shared" si="84"/>
        <v>108.35000000000036</v>
      </c>
      <c r="CO54" s="16">
        <f t="shared" si="54"/>
        <v>45930</v>
      </c>
      <c r="CP54" s="4">
        <f t="shared" si="59"/>
        <v>4.2599999999999909</v>
      </c>
      <c r="CQ54" s="4">
        <f t="shared" si="60"/>
        <v>3.6999999999999886</v>
      </c>
      <c r="CR54" s="4">
        <f t="shared" si="61"/>
        <v>6.789999999999992</v>
      </c>
      <c r="CS54" s="4">
        <f t="shared" si="62"/>
        <v>9.960000000000008</v>
      </c>
      <c r="CT54" s="4">
        <f t="shared" si="63"/>
        <v>6.6599999999999682</v>
      </c>
      <c r="CU54" s="4">
        <f t="shared" si="64"/>
        <v>36.120000000000005</v>
      </c>
      <c r="CV54" s="4">
        <f t="shared" si="65"/>
        <v>18.519999999999982</v>
      </c>
      <c r="CW54" s="4">
        <f t="shared" si="66"/>
        <v>7.8300000000000409</v>
      </c>
      <c r="CX54" s="4">
        <f t="shared" si="67"/>
        <v>0</v>
      </c>
      <c r="CY54" s="4">
        <f t="shared" si="68"/>
        <v>12.870000000000005</v>
      </c>
      <c r="CZ54" s="4">
        <f t="shared" si="69"/>
        <v>1</v>
      </c>
      <c r="DA54" s="4">
        <f t="shared" si="70"/>
        <v>0.51999999999999602</v>
      </c>
      <c r="DB54" s="4">
        <f t="shared" si="71"/>
        <v>0.11999999999999744</v>
      </c>
      <c r="DC54" s="4">
        <f t="shared" si="72"/>
        <v>0</v>
      </c>
      <c r="DD54" s="4">
        <f t="shared" si="73"/>
        <v>0</v>
      </c>
      <c r="DE54" s="4">
        <f t="shared" si="74"/>
        <v>0</v>
      </c>
      <c r="DF54" s="10">
        <f t="shared" si="75"/>
        <v>0</v>
      </c>
      <c r="DG54" s="10">
        <f t="shared" si="35"/>
        <v>0</v>
      </c>
      <c r="DH54" s="4">
        <f t="shared" si="36"/>
        <v>0</v>
      </c>
      <c r="DI54" s="4">
        <f t="shared" si="37"/>
        <v>0</v>
      </c>
      <c r="DJ54" s="4">
        <f t="shared" si="38"/>
        <v>0</v>
      </c>
      <c r="DK54" s="4">
        <f t="shared" si="39"/>
        <v>0</v>
      </c>
    </row>
    <row r="55" spans="1:115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6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9"/>
        <v>0.15138870778458724</v>
      </c>
      <c r="N55" s="6">
        <v>313.14999999999998</v>
      </c>
      <c r="O55" s="4">
        <v>345.43</v>
      </c>
      <c r="P55" s="18">
        <f t="shared" si="55"/>
        <v>0.10308159029219234</v>
      </c>
      <c r="Q55" s="6">
        <v>350</v>
      </c>
      <c r="R55" s="6">
        <v>467.81</v>
      </c>
      <c r="S55" s="18">
        <f t="shared" si="51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M55" s="6">
        <v>0</v>
      </c>
      <c r="BN55" s="4">
        <v>0</v>
      </c>
      <c r="BO55" s="19">
        <v>0</v>
      </c>
      <c r="BQ55" s="16">
        <f t="shared" si="8"/>
        <v>45961</v>
      </c>
      <c r="BR55" s="10">
        <f t="shared" si="52"/>
        <v>2598.27</v>
      </c>
      <c r="BS55" s="4">
        <f t="shared" ref="BS55:BS60" si="98">BR55-BR54</f>
        <v>145</v>
      </c>
      <c r="BT55" s="10">
        <f t="shared" si="53"/>
        <v>3034.0099999999998</v>
      </c>
      <c r="BU55" s="4">
        <f t="shared" si="94"/>
        <v>435.73999999999978</v>
      </c>
      <c r="BV55" s="20">
        <f t="shared" si="10"/>
        <v>0.16770389528416976</v>
      </c>
      <c r="BW55" s="4">
        <f>BU55-BU54</f>
        <v>120.84999999999991</v>
      </c>
      <c r="BX55" s="17"/>
      <c r="BY55" s="16">
        <f t="shared" si="2"/>
        <v>45961</v>
      </c>
      <c r="BZ55" s="10">
        <f t="shared" si="3"/>
        <v>4040</v>
      </c>
      <c r="CA55" s="4">
        <f t="shared" si="78"/>
        <v>520</v>
      </c>
      <c r="CB55" s="10">
        <f t="shared" si="34"/>
        <v>4332.9900000000007</v>
      </c>
      <c r="CC55" s="4">
        <f t="shared" si="11"/>
        <v>292.99000000000069</v>
      </c>
      <c r="CD55" s="20">
        <f t="shared" si="81"/>
        <v>7.2522277227722948E-2</v>
      </c>
      <c r="CE55" s="4">
        <f>CC55-CC54</f>
        <v>70.740000000001146</v>
      </c>
      <c r="CF55" s="17"/>
      <c r="CG55" s="16">
        <f t="shared" si="5"/>
        <v>45961</v>
      </c>
      <c r="CH55" s="10">
        <f t="shared" si="12"/>
        <v>6638.27</v>
      </c>
      <c r="CI55" s="10">
        <f t="shared" si="13"/>
        <v>665</v>
      </c>
      <c r="CJ55" s="10">
        <f t="shared" si="14"/>
        <v>7367</v>
      </c>
      <c r="CK55" s="4">
        <f t="shared" si="15"/>
        <v>728.72999999999956</v>
      </c>
      <c r="CL55" s="20">
        <f t="shared" si="83"/>
        <v>0.10977709553844593</v>
      </c>
      <c r="CM55" s="4">
        <f>CK55-CK54</f>
        <v>191.59000000000015</v>
      </c>
      <c r="CO55" s="16">
        <f t="shared" si="54"/>
        <v>45961</v>
      </c>
      <c r="CP55" s="4">
        <f t="shared" si="59"/>
        <v>54.960000000000036</v>
      </c>
      <c r="CQ55" s="4">
        <f t="shared" si="60"/>
        <v>6.25</v>
      </c>
      <c r="CR55" s="4">
        <f t="shared" si="61"/>
        <v>11.72999999999999</v>
      </c>
      <c r="CS55" s="4">
        <f t="shared" si="62"/>
        <v>16.189999999999969</v>
      </c>
      <c r="CT55" s="4">
        <f t="shared" si="63"/>
        <v>12.220000000000027</v>
      </c>
      <c r="CU55" s="4">
        <f t="shared" si="64"/>
        <v>19.5</v>
      </c>
      <c r="CV55" s="4">
        <f t="shared" si="65"/>
        <v>2.7699999999999818</v>
      </c>
      <c r="CW55" s="4">
        <f t="shared" si="66"/>
        <v>33.509999999999991</v>
      </c>
      <c r="CX55" s="4">
        <f t="shared" si="67"/>
        <v>0.28999999999996362</v>
      </c>
      <c r="CY55" s="4">
        <f t="shared" si="68"/>
        <v>10.279999999999973</v>
      </c>
      <c r="CZ55" s="4">
        <f t="shared" si="69"/>
        <v>22.110000000000014</v>
      </c>
      <c r="DA55" s="4">
        <f t="shared" si="70"/>
        <v>1.269999999999996</v>
      </c>
      <c r="DB55" s="4">
        <f t="shared" si="71"/>
        <v>0.51000000000000512</v>
      </c>
      <c r="DC55" s="4">
        <f t="shared" si="72"/>
        <v>0</v>
      </c>
      <c r="DD55" s="4">
        <f t="shared" si="73"/>
        <v>0</v>
      </c>
      <c r="DE55" s="4">
        <f t="shared" si="74"/>
        <v>0</v>
      </c>
      <c r="DF55" s="10">
        <f t="shared" si="75"/>
        <v>0</v>
      </c>
      <c r="DG55" s="10">
        <f t="shared" si="35"/>
        <v>0</v>
      </c>
      <c r="DH55" s="4">
        <f t="shared" si="36"/>
        <v>0</v>
      </c>
      <c r="DI55" s="4">
        <f t="shared" si="37"/>
        <v>0</v>
      </c>
      <c r="DJ55" s="4">
        <f t="shared" si="38"/>
        <v>0</v>
      </c>
      <c r="DK55" s="4">
        <f t="shared" si="39"/>
        <v>0</v>
      </c>
    </row>
    <row r="56" spans="1:115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6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9"/>
        <v>8.4162976611489179E-2</v>
      </c>
      <c r="N56" s="6">
        <v>328.15</v>
      </c>
      <c r="O56" s="4">
        <v>357.23</v>
      </c>
      <c r="P56" s="18">
        <f t="shared" si="55"/>
        <v>8.8618010056376789E-2</v>
      </c>
      <c r="Q56" s="6">
        <v>350</v>
      </c>
      <c r="R56" s="6">
        <v>458.11</v>
      </c>
      <c r="S56" s="18">
        <f t="shared" si="51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M56" s="6">
        <v>0</v>
      </c>
      <c r="BN56" s="4">
        <v>0</v>
      </c>
      <c r="BO56" s="19">
        <v>0</v>
      </c>
      <c r="BQ56" s="16">
        <f t="shared" si="8"/>
        <v>45991</v>
      </c>
      <c r="BR56" s="10">
        <f t="shared" si="52"/>
        <v>2778.14</v>
      </c>
      <c r="BS56" s="4">
        <f t="shared" si="98"/>
        <v>179.86999999999989</v>
      </c>
      <c r="BT56" s="10">
        <f t="shared" si="53"/>
        <v>3159.29</v>
      </c>
      <c r="BU56" s="4">
        <f t="shared" ref="BU56" si="101">BT56-BR56</f>
        <v>381.15000000000009</v>
      </c>
      <c r="BV56" s="20">
        <f t="shared" si="10"/>
        <v>0.13719610962730464</v>
      </c>
      <c r="BW56" s="4">
        <f>BU56-BU55</f>
        <v>-54.589999999999691</v>
      </c>
      <c r="BX56" s="17"/>
      <c r="BY56" s="16">
        <f t="shared" si="2"/>
        <v>45991</v>
      </c>
      <c r="BZ56" s="10">
        <f t="shared" si="3"/>
        <v>4910</v>
      </c>
      <c r="CA56" s="4">
        <f t="shared" si="78"/>
        <v>870</v>
      </c>
      <c r="CB56" s="10">
        <f t="shared" si="34"/>
        <v>5228.1799999999994</v>
      </c>
      <c r="CC56" s="4">
        <f t="shared" si="11"/>
        <v>318.17999999999938</v>
      </c>
      <c r="CD56" s="20">
        <f t="shared" si="81"/>
        <v>6.480244399185324E-2</v>
      </c>
      <c r="CE56" s="4">
        <f>CC56-CC55</f>
        <v>25.18999999999869</v>
      </c>
      <c r="CF56" s="17"/>
      <c r="CG56" s="16">
        <f t="shared" si="5"/>
        <v>45991</v>
      </c>
      <c r="CH56" s="10">
        <f t="shared" si="12"/>
        <v>7688.1399999999994</v>
      </c>
      <c r="CI56" s="10">
        <f t="shared" si="13"/>
        <v>1049.8699999999999</v>
      </c>
      <c r="CJ56" s="10">
        <f t="shared" si="14"/>
        <v>8387.4699999999993</v>
      </c>
      <c r="CK56" s="4">
        <f t="shared" si="15"/>
        <v>699.32999999999993</v>
      </c>
      <c r="CL56" s="20">
        <f t="shared" si="83"/>
        <v>9.0962183310917849E-2</v>
      </c>
      <c r="CM56" s="4">
        <f>CK56-CK55</f>
        <v>-29.399999999999636</v>
      </c>
      <c r="CO56" s="16">
        <f t="shared" si="54"/>
        <v>45991</v>
      </c>
      <c r="CP56" s="4">
        <f t="shared" si="59"/>
        <v>-36.220000000000027</v>
      </c>
      <c r="CQ56" s="4">
        <f t="shared" si="60"/>
        <v>2.7199999999999989</v>
      </c>
      <c r="CR56" s="4">
        <f t="shared" si="61"/>
        <v>-1.6800000000000068</v>
      </c>
      <c r="CS56" s="4">
        <f t="shared" si="62"/>
        <v>-6.5099999999999909</v>
      </c>
      <c r="CT56" s="4">
        <f t="shared" si="63"/>
        <v>-3.1999999999999886</v>
      </c>
      <c r="CU56" s="4">
        <f t="shared" si="64"/>
        <v>-9.6999999999999886</v>
      </c>
      <c r="CV56" s="4">
        <f t="shared" si="65"/>
        <v>5.2300000000000182</v>
      </c>
      <c r="CW56" s="4">
        <f t="shared" si="66"/>
        <v>8.3700000000000045</v>
      </c>
      <c r="CX56" s="4">
        <f t="shared" si="67"/>
        <v>0</v>
      </c>
      <c r="CY56" s="4">
        <f t="shared" si="68"/>
        <v>5.7799999999999727</v>
      </c>
      <c r="CZ56" s="4">
        <f t="shared" si="69"/>
        <v>1</v>
      </c>
      <c r="DA56" s="4">
        <f t="shared" si="70"/>
        <v>2.6800000000000068</v>
      </c>
      <c r="DB56" s="4">
        <f t="shared" si="71"/>
        <v>0.77000000000000313</v>
      </c>
      <c r="DC56" s="4">
        <f t="shared" si="72"/>
        <v>0.86000000000001364</v>
      </c>
      <c r="DD56" s="4">
        <f t="shared" si="73"/>
        <v>0</v>
      </c>
      <c r="DE56" s="4">
        <f t="shared" si="74"/>
        <v>0.5</v>
      </c>
      <c r="DF56" s="10">
        <f t="shared" si="75"/>
        <v>0</v>
      </c>
      <c r="DG56" s="10">
        <f t="shared" si="35"/>
        <v>0</v>
      </c>
      <c r="DH56" s="4">
        <f t="shared" si="36"/>
        <v>0</v>
      </c>
      <c r="DI56" s="4">
        <f t="shared" si="37"/>
        <v>0</v>
      </c>
      <c r="DJ56" s="4">
        <f t="shared" si="38"/>
        <v>0</v>
      </c>
      <c r="DK56" s="4">
        <f t="shared" si="39"/>
        <v>0</v>
      </c>
    </row>
    <row r="57" spans="1:115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6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5"/>
        <v>8.1917528777502593E-2</v>
      </c>
      <c r="Q57" s="6">
        <v>350</v>
      </c>
      <c r="R57" s="6">
        <v>455.13</v>
      </c>
      <c r="S57" s="18">
        <f t="shared" si="51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M57" s="6">
        <v>0</v>
      </c>
      <c r="BN57" s="4">
        <v>0</v>
      </c>
      <c r="BO57" s="19">
        <v>0</v>
      </c>
      <c r="BQ57" s="16">
        <f t="shared" si="8"/>
        <v>46022</v>
      </c>
      <c r="BR57" s="10">
        <f t="shared" si="52"/>
        <v>3026.17</v>
      </c>
      <c r="BS57" s="4">
        <f t="shared" si="98"/>
        <v>248.0300000000002</v>
      </c>
      <c r="BT57" s="10">
        <f t="shared" si="53"/>
        <v>3425.8</v>
      </c>
      <c r="BU57" s="4">
        <f t="shared" ref="BU57" si="106">BT57-BR57</f>
        <v>399.63000000000011</v>
      </c>
      <c r="BV57" s="20">
        <f t="shared" si="10"/>
        <v>0.13205801392519259</v>
      </c>
      <c r="BW57" s="4">
        <f t="shared" ref="BW57" si="107">BU57-BU56</f>
        <v>18.480000000000018</v>
      </c>
      <c r="BX57" s="17"/>
      <c r="BY57" s="16">
        <f t="shared" si="2"/>
        <v>46022</v>
      </c>
      <c r="BZ57" s="10">
        <f t="shared" si="3"/>
        <v>5450</v>
      </c>
      <c r="CA57" s="4">
        <f t="shared" si="78"/>
        <v>540</v>
      </c>
      <c r="CB57" s="10">
        <f t="shared" si="34"/>
        <v>5831.42</v>
      </c>
      <c r="CC57" s="4">
        <f t="shared" si="11"/>
        <v>381.42000000000007</v>
      </c>
      <c r="CD57" s="20">
        <f t="shared" si="81"/>
        <v>6.9985321100917444E-2</v>
      </c>
      <c r="CE57" s="4">
        <f t="shared" ref="CE57:CE61" si="108">CC57-CC56</f>
        <v>63.240000000000691</v>
      </c>
      <c r="CF57" s="17"/>
      <c r="CG57" s="16">
        <f t="shared" si="5"/>
        <v>46022</v>
      </c>
      <c r="CH57" s="10">
        <f t="shared" si="12"/>
        <v>8476.17</v>
      </c>
      <c r="CI57" s="10">
        <f t="shared" si="13"/>
        <v>788.0300000000002</v>
      </c>
      <c r="CJ57" s="10">
        <f t="shared" si="14"/>
        <v>9257.2200000000012</v>
      </c>
      <c r="CK57" s="4">
        <f t="shared" si="15"/>
        <v>781.05000000000109</v>
      </c>
      <c r="CL57" s="20">
        <f t="shared" si="83"/>
        <v>9.2146570915873693E-2</v>
      </c>
      <c r="CM57" s="4">
        <f t="shared" ref="CM57:CM61" si="109">CK57-CK56</f>
        <v>81.720000000001164</v>
      </c>
      <c r="CO57" s="16">
        <f t="shared" si="54"/>
        <v>46022</v>
      </c>
      <c r="CP57" s="4">
        <f t="shared" si="59"/>
        <v>19.430000000000064</v>
      </c>
      <c r="CQ57" s="4">
        <f t="shared" si="60"/>
        <v>3.2300000000000182</v>
      </c>
      <c r="CR57" s="4">
        <f t="shared" si="61"/>
        <v>1.1099999999999852</v>
      </c>
      <c r="CS57" s="4">
        <f t="shared" si="62"/>
        <v>-1.3400000000000318</v>
      </c>
      <c r="CT57" s="4">
        <f t="shared" si="63"/>
        <v>-0.97000000000002728</v>
      </c>
      <c r="CU57" s="4">
        <f t="shared" si="64"/>
        <v>-2.9800000000000182</v>
      </c>
      <c r="CV57" s="4">
        <f t="shared" si="65"/>
        <v>8.4700000000000273</v>
      </c>
      <c r="CW57" s="4">
        <f t="shared" si="66"/>
        <v>12.819999999999936</v>
      </c>
      <c r="CX57" s="4">
        <f t="shared" si="67"/>
        <v>0.7800000000000864</v>
      </c>
      <c r="CY57" s="4">
        <f t="shared" si="68"/>
        <v>24.950000000000045</v>
      </c>
      <c r="CZ57" s="4">
        <f t="shared" si="69"/>
        <v>10.509999999999991</v>
      </c>
      <c r="DA57" s="4">
        <f t="shared" si="70"/>
        <v>2.3300000000000125</v>
      </c>
      <c r="DB57" s="4">
        <f t="shared" si="71"/>
        <v>1.1199999999999903</v>
      </c>
      <c r="DC57" s="4">
        <f t="shared" si="72"/>
        <v>1.2699999999999818</v>
      </c>
      <c r="DD57" s="4">
        <f t="shared" si="73"/>
        <v>0</v>
      </c>
      <c r="DE57" s="4">
        <f t="shared" si="74"/>
        <v>0.99000000000000909</v>
      </c>
      <c r="DF57" s="10">
        <f t="shared" si="75"/>
        <v>0</v>
      </c>
      <c r="DG57" s="10">
        <f t="shared" si="35"/>
        <v>0</v>
      </c>
      <c r="DH57" s="4">
        <f t="shared" si="36"/>
        <v>0</v>
      </c>
      <c r="DI57" s="4">
        <f t="shared" si="37"/>
        <v>0</v>
      </c>
      <c r="DJ57" s="4">
        <f t="shared" si="38"/>
        <v>0</v>
      </c>
      <c r="DK57" s="4">
        <f t="shared" si="39"/>
        <v>0</v>
      </c>
    </row>
    <row r="58" spans="1:115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M58" s="6">
        <v>0</v>
      </c>
      <c r="BN58" s="4">
        <v>0</v>
      </c>
      <c r="BO58" s="19">
        <v>0</v>
      </c>
      <c r="BQ58" s="16">
        <f t="shared" si="8"/>
        <v>46053</v>
      </c>
      <c r="BR58" s="10">
        <f t="shared" si="52"/>
        <v>3161.1400000000003</v>
      </c>
      <c r="BS58" s="4">
        <f t="shared" si="98"/>
        <v>134.97000000000025</v>
      </c>
      <c r="BT58" s="10">
        <f t="shared" si="53"/>
        <v>3606.7000000000003</v>
      </c>
      <c r="BU58" s="4">
        <f t="shared" ref="BU58" si="122">BT58-BR58</f>
        <v>445.55999999999995</v>
      </c>
      <c r="BV58" s="20">
        <f t="shared" ref="BV58" si="123">BU58/BR58</f>
        <v>0.14094915125555968</v>
      </c>
      <c r="BW58" s="4">
        <f t="shared" ref="BW58" si="124">BU58-BU57</f>
        <v>45.929999999999836</v>
      </c>
      <c r="BX58" s="17"/>
      <c r="BY58" s="16">
        <f t="shared" si="2"/>
        <v>46053</v>
      </c>
      <c r="BZ58" s="10">
        <f t="shared" si="3"/>
        <v>5750</v>
      </c>
      <c r="CA58" s="4">
        <f t="shared" si="78"/>
        <v>300</v>
      </c>
      <c r="CB58" s="10">
        <f t="shared" si="34"/>
        <v>6182.09</v>
      </c>
      <c r="CC58" s="4">
        <f t="shared" si="11"/>
        <v>432.09000000000015</v>
      </c>
      <c r="CD58" s="20">
        <f t="shared" si="81"/>
        <v>7.5146086956521765E-2</v>
      </c>
      <c r="CE58" s="4">
        <f t="shared" si="108"/>
        <v>50.670000000000073</v>
      </c>
      <c r="CF58" s="17"/>
      <c r="CG58" s="16">
        <f t="shared" si="5"/>
        <v>46053</v>
      </c>
      <c r="CH58" s="10">
        <f t="shared" si="12"/>
        <v>8911.14</v>
      </c>
      <c r="CI58" s="10">
        <f t="shared" si="13"/>
        <v>434.97000000000025</v>
      </c>
      <c r="CJ58" s="10">
        <f t="shared" si="14"/>
        <v>9788.7900000000009</v>
      </c>
      <c r="CK58" s="4">
        <f t="shared" si="15"/>
        <v>877.65000000000146</v>
      </c>
      <c r="CL58" s="20">
        <f t="shared" si="83"/>
        <v>9.8489082204970574E-2</v>
      </c>
      <c r="CM58" s="4">
        <f t="shared" si="109"/>
        <v>96.600000000000364</v>
      </c>
      <c r="CO58" s="16">
        <f t="shared" si="54"/>
        <v>46053</v>
      </c>
      <c r="CP58" s="4">
        <f t="shared" si="59"/>
        <v>33.660000000000082</v>
      </c>
      <c r="CQ58" s="4">
        <f t="shared" si="60"/>
        <v>11.299999999999955</v>
      </c>
      <c r="CR58" s="4">
        <f t="shared" si="61"/>
        <v>2.8500000000000227</v>
      </c>
      <c r="CS58" s="4">
        <f t="shared" si="62"/>
        <v>-0.82999999999992724</v>
      </c>
      <c r="CT58" s="4">
        <f t="shared" si="63"/>
        <v>3.0000000000029559E-2</v>
      </c>
      <c r="CU58" s="4">
        <f t="shared" si="64"/>
        <v>-1.0799999999999841</v>
      </c>
      <c r="CV58" s="4">
        <f t="shared" si="65"/>
        <v>9.0699999999999363</v>
      </c>
      <c r="CW58" s="4">
        <f t="shared" si="66"/>
        <v>11.139999999999986</v>
      </c>
      <c r="CX58" s="4">
        <f t="shared" si="67"/>
        <v>0</v>
      </c>
      <c r="CY58" s="4">
        <f t="shared" si="68"/>
        <v>8.3199999999999363</v>
      </c>
      <c r="CZ58" s="4">
        <f t="shared" si="69"/>
        <v>7.1499999999999773</v>
      </c>
      <c r="DA58" s="4">
        <f t="shared" si="70"/>
        <v>2.1999999999999886</v>
      </c>
      <c r="DB58" s="4">
        <f t="shared" si="71"/>
        <v>1.3100000000000165</v>
      </c>
      <c r="DC58" s="4">
        <f t="shared" si="72"/>
        <v>1.75</v>
      </c>
      <c r="DD58" s="4">
        <f t="shared" si="73"/>
        <v>7.5800000000000409</v>
      </c>
      <c r="DE58" s="4">
        <f t="shared" si="74"/>
        <v>2.1499999999999773</v>
      </c>
      <c r="DF58" s="10">
        <f t="shared" si="75"/>
        <v>0</v>
      </c>
      <c r="DG58" s="10">
        <f t="shared" si="35"/>
        <v>0</v>
      </c>
      <c r="DH58" s="4">
        <f t="shared" si="36"/>
        <v>0</v>
      </c>
      <c r="DI58" s="4">
        <f t="shared" si="37"/>
        <v>0</v>
      </c>
      <c r="DJ58" s="4">
        <f t="shared" si="38"/>
        <v>0</v>
      </c>
      <c r="DK58" s="4">
        <f t="shared" si="39"/>
        <v>0</v>
      </c>
    </row>
    <row r="59" spans="1:115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M59" s="6">
        <v>0</v>
      </c>
      <c r="BN59" s="4">
        <v>0</v>
      </c>
      <c r="BO59" s="19">
        <v>0</v>
      </c>
      <c r="BQ59" s="16">
        <f t="shared" si="8"/>
        <v>46081</v>
      </c>
      <c r="BR59" s="10">
        <f t="shared" si="52"/>
        <v>3376.1200000000003</v>
      </c>
      <c r="BS59" s="4">
        <f t="shared" si="98"/>
        <v>214.98000000000002</v>
      </c>
      <c r="BT59" s="10">
        <f t="shared" si="53"/>
        <v>3850.02</v>
      </c>
      <c r="BU59" s="4">
        <f t="shared" ref="BU59" si="137">BT59-BR59</f>
        <v>473.89999999999964</v>
      </c>
      <c r="BV59" s="20">
        <f t="shared" ref="BV59" si="138">BU59/BR59</f>
        <v>0.14036823335663412</v>
      </c>
      <c r="BW59" s="4">
        <f t="shared" ref="BW59" si="139">BU59-BU58</f>
        <v>28.339999999999691</v>
      </c>
      <c r="BX59" s="17"/>
      <c r="BY59" s="16">
        <f t="shared" si="2"/>
        <v>46081</v>
      </c>
      <c r="BZ59" s="10">
        <f t="shared" si="3"/>
        <v>5890</v>
      </c>
      <c r="CA59" s="4">
        <f t="shared" si="78"/>
        <v>140</v>
      </c>
      <c r="CB59" s="10">
        <f t="shared" si="34"/>
        <v>6355.94</v>
      </c>
      <c r="CC59" s="4">
        <f t="shared" si="11"/>
        <v>465.9399999999996</v>
      </c>
      <c r="CD59" s="20">
        <f t="shared" si="81"/>
        <v>7.9106960950763944E-2</v>
      </c>
      <c r="CE59" s="4">
        <f t="shared" si="108"/>
        <v>33.849999999999454</v>
      </c>
      <c r="CF59" s="17"/>
      <c r="CG59" s="16">
        <f t="shared" si="5"/>
        <v>46081</v>
      </c>
      <c r="CH59" s="10">
        <f t="shared" si="12"/>
        <v>9266.1200000000008</v>
      </c>
      <c r="CI59" s="10">
        <f t="shared" si="13"/>
        <v>354.98</v>
      </c>
      <c r="CJ59" s="10">
        <f t="shared" si="14"/>
        <v>10205.959999999999</v>
      </c>
      <c r="CK59" s="4">
        <f t="shared" si="15"/>
        <v>939.83999999999833</v>
      </c>
      <c r="CL59" s="20">
        <f t="shared" si="83"/>
        <v>0.10142756623052564</v>
      </c>
      <c r="CM59" s="4">
        <f t="shared" si="109"/>
        <v>62.189999999996871</v>
      </c>
      <c r="CO59" s="16">
        <f t="shared" si="54"/>
        <v>46081</v>
      </c>
      <c r="CP59" s="4">
        <f t="shared" si="59"/>
        <v>18.720000000000027</v>
      </c>
      <c r="CQ59" s="4">
        <f t="shared" si="60"/>
        <v>13.310000000000059</v>
      </c>
      <c r="CR59" s="4">
        <f t="shared" si="61"/>
        <v>7.839999999999975</v>
      </c>
      <c r="CS59" s="4">
        <f t="shared" si="62"/>
        <v>4.7600000000000477</v>
      </c>
      <c r="CT59" s="4">
        <f t="shared" si="63"/>
        <v>2.4499999999999886</v>
      </c>
      <c r="CU59" s="4">
        <f t="shared" si="64"/>
        <v>-18.740000000000009</v>
      </c>
      <c r="CV59" s="4">
        <f t="shared" si="65"/>
        <v>4.2200000000000273</v>
      </c>
      <c r="CW59" s="4">
        <f t="shared" si="66"/>
        <v>9.8400000000000318</v>
      </c>
      <c r="CX59" s="4">
        <f t="shared" si="67"/>
        <v>0</v>
      </c>
      <c r="CY59" s="4">
        <f t="shared" si="68"/>
        <v>8.1400000000001</v>
      </c>
      <c r="CZ59" s="4">
        <f t="shared" si="69"/>
        <v>4.4700000000000273</v>
      </c>
      <c r="DA59" s="4">
        <f t="shared" si="70"/>
        <v>2.3299999999999841</v>
      </c>
      <c r="DB59" s="4">
        <f t="shared" si="71"/>
        <v>1.3699999999999761</v>
      </c>
      <c r="DC59" s="4">
        <f t="shared" si="72"/>
        <v>1.8600000000000136</v>
      </c>
      <c r="DD59" s="4">
        <f t="shared" si="73"/>
        <v>0</v>
      </c>
      <c r="DE59" s="4">
        <f t="shared" si="74"/>
        <v>1.6200000000000045</v>
      </c>
      <c r="DF59" s="10">
        <f t="shared" si="75"/>
        <v>0</v>
      </c>
      <c r="DG59" s="10">
        <f t="shared" si="35"/>
        <v>0</v>
      </c>
      <c r="DH59" s="4">
        <f t="shared" si="36"/>
        <v>0</v>
      </c>
      <c r="DI59" s="4">
        <f t="shared" si="37"/>
        <v>0</v>
      </c>
      <c r="DJ59" s="4">
        <f t="shared" si="38"/>
        <v>0</v>
      </c>
      <c r="DK59" s="4">
        <f t="shared" si="39"/>
        <v>0</v>
      </c>
    </row>
    <row r="60" spans="1:115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M60" s="6">
        <v>0</v>
      </c>
      <c r="BN60" s="4">
        <v>0</v>
      </c>
      <c r="BO60" s="19">
        <v>0</v>
      </c>
      <c r="BQ60" s="16">
        <f t="shared" si="8"/>
        <v>46112</v>
      </c>
      <c r="BR60" s="10">
        <f t="shared" si="52"/>
        <v>3641.07</v>
      </c>
      <c r="BS60" s="4">
        <f t="shared" si="98"/>
        <v>264.94999999999982</v>
      </c>
      <c r="BT60" s="10">
        <f t="shared" si="53"/>
        <v>3899.83</v>
      </c>
      <c r="BU60" s="4">
        <f t="shared" ref="BU60" si="152">BT60-BR60</f>
        <v>258.75999999999976</v>
      </c>
      <c r="BV60" s="20">
        <f t="shared" ref="BV60" si="153">BU60/BR60</f>
        <v>7.1067021507413966E-2</v>
      </c>
      <c r="BW60" s="4">
        <f t="shared" ref="BW60" si="154">BU60-BU59</f>
        <v>-215.13999999999987</v>
      </c>
      <c r="BX60" s="17"/>
      <c r="BY60" s="16">
        <f t="shared" si="2"/>
        <v>46112</v>
      </c>
      <c r="BZ60" s="10">
        <f t="shared" si="3"/>
        <v>5970</v>
      </c>
      <c r="CA60" s="4">
        <f t="shared" si="78"/>
        <v>80</v>
      </c>
      <c r="CB60" s="10">
        <f t="shared" si="34"/>
        <v>6495.12</v>
      </c>
      <c r="CC60" s="4">
        <f t="shared" si="11"/>
        <v>525.11999999999989</v>
      </c>
      <c r="CD60" s="20">
        <f t="shared" si="81"/>
        <v>8.7959798994974858E-2</v>
      </c>
      <c r="CE60" s="4">
        <f t="shared" si="108"/>
        <v>59.180000000000291</v>
      </c>
      <c r="CF60" s="17"/>
      <c r="CG60" s="16">
        <f t="shared" si="5"/>
        <v>46112</v>
      </c>
      <c r="CH60" s="10">
        <f t="shared" si="12"/>
        <v>9611.07</v>
      </c>
      <c r="CI60" s="10">
        <f t="shared" si="13"/>
        <v>344.94999999999982</v>
      </c>
      <c r="CJ60" s="10">
        <f t="shared" si="14"/>
        <v>10394.950000000001</v>
      </c>
      <c r="CK60" s="4">
        <f t="shared" si="15"/>
        <v>783.88000000000102</v>
      </c>
      <c r="CL60" s="20">
        <f t="shared" si="83"/>
        <v>8.1560117655994704E-2</v>
      </c>
      <c r="CM60" s="4">
        <f t="shared" si="109"/>
        <v>-155.95999999999731</v>
      </c>
      <c r="CO60" s="16">
        <f t="shared" si="54"/>
        <v>46112</v>
      </c>
      <c r="CP60" s="4">
        <f t="shared" si="59"/>
        <v>-114.75999999999999</v>
      </c>
      <c r="CQ60" s="4">
        <f t="shared" si="60"/>
        <v>-36.29000000000002</v>
      </c>
      <c r="CR60" s="4">
        <f t="shared" si="61"/>
        <v>-25.879999999999995</v>
      </c>
      <c r="CS60" s="4">
        <f t="shared" si="62"/>
        <v>-15.430000000000064</v>
      </c>
      <c r="CT60" s="4">
        <f t="shared" si="63"/>
        <v>-7.6500000000000341</v>
      </c>
      <c r="CU60" s="4">
        <f t="shared" si="64"/>
        <v>-15.129999999999995</v>
      </c>
      <c r="CV60" s="4">
        <f t="shared" si="65"/>
        <v>10.150000000000091</v>
      </c>
      <c r="CW60" s="4">
        <f t="shared" si="66"/>
        <v>8.9800000000000182</v>
      </c>
      <c r="CX60" s="4">
        <f t="shared" si="67"/>
        <v>2.9999999999972715E-2</v>
      </c>
      <c r="CY60" s="4">
        <f t="shared" si="68"/>
        <v>15.710000000000036</v>
      </c>
      <c r="CZ60" s="4">
        <f t="shared" si="69"/>
        <v>6.5900000000000318</v>
      </c>
      <c r="DA60" s="4">
        <f t="shared" si="70"/>
        <v>2.5099999999999909</v>
      </c>
      <c r="DB60" s="4">
        <f t="shared" si="71"/>
        <v>1.6300000000000239</v>
      </c>
      <c r="DC60" s="4">
        <f t="shared" si="72"/>
        <v>2.0199999999999818</v>
      </c>
      <c r="DD60" s="4">
        <f t="shared" si="73"/>
        <v>0</v>
      </c>
      <c r="DE60" s="4">
        <f t="shared" si="74"/>
        <v>1.5600000000000023</v>
      </c>
      <c r="DF60" s="10">
        <f t="shared" si="75"/>
        <v>10</v>
      </c>
      <c r="DG60" s="10">
        <f t="shared" si="35"/>
        <v>0</v>
      </c>
      <c r="DH60" s="4">
        <f t="shared" si="36"/>
        <v>0</v>
      </c>
      <c r="DI60" s="4">
        <f t="shared" si="37"/>
        <v>0</v>
      </c>
      <c r="DJ60" s="4">
        <f t="shared" si="38"/>
        <v>0</v>
      </c>
      <c r="DK60" s="4">
        <f t="shared" si="39"/>
        <v>0</v>
      </c>
    </row>
    <row r="61" spans="1:115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M61" s="6">
        <v>0</v>
      </c>
      <c r="BN61" s="4">
        <v>0</v>
      </c>
      <c r="BO61" s="19">
        <v>0</v>
      </c>
      <c r="BQ61" s="16">
        <f t="shared" si="8"/>
        <v>46142</v>
      </c>
      <c r="BR61" s="10">
        <f t="shared" si="52"/>
        <v>3846.04</v>
      </c>
      <c r="BS61" s="4">
        <f t="shared" ref="BS61" si="168">BR61-BR60</f>
        <v>204.9699999999998</v>
      </c>
      <c r="BT61" s="10">
        <f t="shared" si="53"/>
        <v>4393.03</v>
      </c>
      <c r="BU61" s="4">
        <f t="shared" ref="BU61" si="169">BT61-BR61</f>
        <v>546.98999999999978</v>
      </c>
      <c r="BV61" s="20">
        <f t="shared" ref="BV61" si="170">BU61/BR61</f>
        <v>0.14222160975964884</v>
      </c>
      <c r="BW61" s="4">
        <f t="shared" ref="BW61" si="171">BU61-BU60</f>
        <v>288.23</v>
      </c>
      <c r="BX61" s="17"/>
      <c r="BY61" s="16">
        <f t="shared" si="2"/>
        <v>46142</v>
      </c>
      <c r="BZ61" s="10">
        <f t="shared" si="3"/>
        <v>6110</v>
      </c>
      <c r="CA61" s="4">
        <f t="shared" si="78"/>
        <v>140</v>
      </c>
      <c r="CB61" s="10">
        <f t="shared" si="34"/>
        <v>6685.7199999999993</v>
      </c>
      <c r="CC61" s="4">
        <f t="shared" si="11"/>
        <v>575.71999999999935</v>
      </c>
      <c r="CD61" s="20">
        <f t="shared" si="81"/>
        <v>9.4225859247135738E-2</v>
      </c>
      <c r="CE61" s="4">
        <f t="shared" si="108"/>
        <v>50.599999999999454</v>
      </c>
      <c r="CF61" s="17"/>
      <c r="CG61" s="16">
        <f t="shared" si="5"/>
        <v>46142</v>
      </c>
      <c r="CH61" s="10">
        <f t="shared" si="12"/>
        <v>9956.0400000000009</v>
      </c>
      <c r="CI61" s="10">
        <f t="shared" si="13"/>
        <v>344.9699999999998</v>
      </c>
      <c r="CJ61" s="10">
        <f t="shared" si="14"/>
        <v>11078.75</v>
      </c>
      <c r="CK61" s="4">
        <f t="shared" si="15"/>
        <v>1122.7099999999991</v>
      </c>
      <c r="CL61" s="20">
        <f t="shared" si="83"/>
        <v>0.11276672251216337</v>
      </c>
      <c r="CM61" s="4">
        <f t="shared" si="109"/>
        <v>338.82999999999811</v>
      </c>
      <c r="CO61" s="16">
        <f t="shared" si="54"/>
        <v>46142</v>
      </c>
      <c r="CP61" s="4">
        <f t="shared" si="59"/>
        <v>94.240000000000009</v>
      </c>
      <c r="CQ61" s="4">
        <f t="shared" si="60"/>
        <v>43.569999999999993</v>
      </c>
      <c r="CR61" s="4">
        <f t="shared" si="61"/>
        <v>33.04000000000002</v>
      </c>
      <c r="CS61" s="4">
        <f t="shared" si="62"/>
        <v>41.529999999999973</v>
      </c>
      <c r="CT61" s="4">
        <f t="shared" si="63"/>
        <v>17.25</v>
      </c>
      <c r="CU61" s="4">
        <f t="shared" si="64"/>
        <v>58.599999999999966</v>
      </c>
      <c r="CV61" s="4">
        <f t="shared" si="65"/>
        <v>10.279999999999973</v>
      </c>
      <c r="CW61" s="4">
        <f t="shared" si="66"/>
        <v>12.490000000000009</v>
      </c>
      <c r="CX61" s="4">
        <f t="shared" si="67"/>
        <v>0</v>
      </c>
      <c r="CY61" s="4">
        <f t="shared" si="68"/>
        <v>0</v>
      </c>
      <c r="CZ61" s="4">
        <f t="shared" si="69"/>
        <v>6.8999999999999773</v>
      </c>
      <c r="DA61" s="4">
        <f t="shared" si="70"/>
        <v>4.0900000000000318</v>
      </c>
      <c r="DB61" s="4">
        <f t="shared" si="71"/>
        <v>1.8599999999999852</v>
      </c>
      <c r="DC61" s="4">
        <f t="shared" si="72"/>
        <v>2.4800000000000182</v>
      </c>
      <c r="DD61" s="4">
        <f t="shared" si="73"/>
        <v>10.549999999999955</v>
      </c>
      <c r="DE61" s="4">
        <f t="shared" si="74"/>
        <v>1.8700000000000045</v>
      </c>
      <c r="DF61" s="10">
        <f t="shared" si="75"/>
        <v>7.9999999999998295E-2</v>
      </c>
      <c r="DG61" s="10">
        <f t="shared" si="35"/>
        <v>0</v>
      </c>
      <c r="DH61" s="4">
        <f t="shared" ref="DH61" si="172">(BE61-BD61)-(BE60-BD60)</f>
        <v>0</v>
      </c>
      <c r="DI61" s="4">
        <f t="shared" si="37"/>
        <v>0</v>
      </c>
      <c r="DJ61" s="4">
        <f t="shared" si="38"/>
        <v>0</v>
      </c>
      <c r="DK61" s="4">
        <f t="shared" si="39"/>
        <v>0</v>
      </c>
    </row>
    <row r="62" spans="1:115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M62" s="6">
        <v>0</v>
      </c>
      <c r="BN62" s="4">
        <v>0</v>
      </c>
      <c r="BO62" s="19">
        <v>0</v>
      </c>
      <c r="BQ62" s="16">
        <f>A62</f>
        <v>46173</v>
      </c>
      <c r="BR62" s="10">
        <f t="shared" si="52"/>
        <v>4090.8700000000003</v>
      </c>
      <c r="BS62" s="4">
        <f t="shared" ref="BS62" si="188">BR62-BR61</f>
        <v>244.83000000000038</v>
      </c>
      <c r="BT62" s="10">
        <f t="shared" si="53"/>
        <v>4891.04</v>
      </c>
      <c r="BU62" s="4">
        <f t="shared" ref="BU62" si="189">BT62-BR62</f>
        <v>800.16999999999962</v>
      </c>
      <c r="BV62" s="20">
        <f t="shared" ref="BV62" si="190">BU62/BR62</f>
        <v>0.19559898016803259</v>
      </c>
      <c r="BW62" s="4">
        <f t="shared" ref="BW62" si="191">BU62-BU61</f>
        <v>253.17999999999984</v>
      </c>
      <c r="BX62" s="17"/>
      <c r="BY62" s="16">
        <f>A62</f>
        <v>46173</v>
      </c>
      <c r="BZ62" s="10">
        <f t="shared" si="3"/>
        <v>6240</v>
      </c>
      <c r="CA62" s="4">
        <f t="shared" ref="CA62" si="192">BZ62-BZ61</f>
        <v>130</v>
      </c>
      <c r="CB62" s="10">
        <f t="shared" si="34"/>
        <v>6849.1699999999992</v>
      </c>
      <c r="CC62" s="4">
        <f t="shared" ref="CC62" si="193">CB62-BZ62</f>
        <v>609.16999999999916</v>
      </c>
      <c r="CD62" s="20">
        <f t="shared" ref="CD62" si="194">CC62/BZ62</f>
        <v>9.7623397435897305E-2</v>
      </c>
      <c r="CE62" s="4">
        <f t="shared" ref="CE62" si="195">CC62-CC61</f>
        <v>33.449999999999818</v>
      </c>
      <c r="CF62" s="17"/>
      <c r="CG62" s="16">
        <f>A62</f>
        <v>46173</v>
      </c>
      <c r="CH62" s="10">
        <f t="shared" ref="CH62" si="196">BR62+BZ62</f>
        <v>10330.870000000001</v>
      </c>
      <c r="CI62" s="10">
        <f t="shared" ref="CI62" si="197">BS62+CA62</f>
        <v>374.83000000000038</v>
      </c>
      <c r="CJ62" s="10">
        <f t="shared" ref="CJ62" si="198">BT62+CB62</f>
        <v>11740.21</v>
      </c>
      <c r="CK62" s="4">
        <f t="shared" ref="CK62" si="199">CJ62-CH62</f>
        <v>1409.3399999999983</v>
      </c>
      <c r="CL62" s="20">
        <f t="shared" ref="CL62" si="200">CK62/CH62</f>
        <v>0.13642026276586564</v>
      </c>
      <c r="CM62" s="4">
        <f t="shared" ref="CM62" si="201">CK62-CK61</f>
        <v>286.6299999999992</v>
      </c>
      <c r="CO62" s="16">
        <f t="shared" si="54"/>
        <v>46173</v>
      </c>
      <c r="CP62" s="4">
        <f t="shared" si="59"/>
        <v>67.289999999999964</v>
      </c>
      <c r="CQ62" s="4">
        <f t="shared" si="60"/>
        <v>46.809999999999945</v>
      </c>
      <c r="CR62" s="4">
        <f t="shared" si="61"/>
        <v>30.029999999999973</v>
      </c>
      <c r="CS62" s="4">
        <f t="shared" si="62"/>
        <v>60.299999999999955</v>
      </c>
      <c r="CT62" s="4">
        <f t="shared" si="63"/>
        <v>14.57000000000005</v>
      </c>
      <c r="CU62" s="4">
        <f t="shared" si="64"/>
        <v>34.180000000000064</v>
      </c>
      <c r="CV62" s="4">
        <f t="shared" si="65"/>
        <v>4.5099999999999909</v>
      </c>
      <c r="CW62" s="4">
        <f t="shared" si="66"/>
        <v>9.5899999999999181</v>
      </c>
      <c r="CX62" s="4">
        <f t="shared" si="67"/>
        <v>0.50999999999999091</v>
      </c>
      <c r="CY62" s="4">
        <f t="shared" si="68"/>
        <v>0</v>
      </c>
      <c r="CZ62" s="4">
        <f t="shared" si="69"/>
        <v>9.1399999999998727</v>
      </c>
      <c r="DA62" s="4">
        <f t="shared" si="70"/>
        <v>2.3499999999999659</v>
      </c>
      <c r="DB62" s="4">
        <f t="shared" si="71"/>
        <v>2.460000000000008</v>
      </c>
      <c r="DC62" s="4">
        <f t="shared" si="72"/>
        <v>2.5299999999999727</v>
      </c>
      <c r="DD62" s="4">
        <f t="shared" si="73"/>
        <v>0</v>
      </c>
      <c r="DE62" s="4">
        <f t="shared" si="74"/>
        <v>1.9800000000000182</v>
      </c>
      <c r="DF62" s="10">
        <f t="shared" si="75"/>
        <v>0.30000000000000426</v>
      </c>
      <c r="DG62" s="10">
        <f t="shared" si="35"/>
        <v>7.9999999999998295E-2</v>
      </c>
      <c r="DH62" s="4">
        <f t="shared" ref="DH62" si="202">(BE62-BD62)-(BE61-BD61)</f>
        <v>0</v>
      </c>
      <c r="DI62" s="4">
        <f t="shared" si="37"/>
        <v>0</v>
      </c>
      <c r="DJ62" s="4">
        <f t="shared" si="38"/>
        <v>0</v>
      </c>
      <c r="DK62" s="4">
        <f t="shared" si="39"/>
        <v>0</v>
      </c>
    </row>
    <row r="63" spans="1:115" x14ac:dyDescent="0.25">
      <c r="A63" s="12">
        <v>46203</v>
      </c>
      <c r="B63" s="6">
        <v>0</v>
      </c>
      <c r="C63" s="4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M63" s="6">
        <v>0</v>
      </c>
      <c r="BN63" s="4">
        <v>0</v>
      </c>
      <c r="BO63" s="19">
        <v>0</v>
      </c>
      <c r="BQ63" s="16">
        <f>A63</f>
        <v>46203</v>
      </c>
      <c r="BR63" s="10">
        <f t="shared" si="52"/>
        <v>4665.0599999999995</v>
      </c>
      <c r="BS63" s="4">
        <f t="shared" ref="BS63" si="217">BR63-BR62</f>
        <v>574.18999999999915</v>
      </c>
      <c r="BT63" s="10">
        <f t="shared" si="53"/>
        <v>5147.43</v>
      </c>
      <c r="BU63" s="4">
        <f t="shared" ref="BU63" si="218">BT63-BR63</f>
        <v>482.3700000000008</v>
      </c>
      <c r="BV63" s="20">
        <f t="shared" ref="BV63" si="219">BU63/BR63</f>
        <v>0.10340059934920469</v>
      </c>
      <c r="BW63" s="4">
        <f t="shared" ref="BW63" si="220">BU63-BU62</f>
        <v>-317.79999999999882</v>
      </c>
      <c r="BX63" s="17"/>
      <c r="BY63" s="16">
        <f>A63</f>
        <v>46203</v>
      </c>
      <c r="BZ63" s="10">
        <f t="shared" si="3"/>
        <v>6335.07</v>
      </c>
      <c r="CA63" s="4">
        <f t="shared" ref="CA63" si="221">BZ63-BZ62</f>
        <v>95.069999999999709</v>
      </c>
      <c r="CB63" s="10">
        <f t="shared" si="34"/>
        <v>7019.4300000000012</v>
      </c>
      <c r="CC63" s="4">
        <f t="shared" ref="CC63" si="222">CB63-BZ63</f>
        <v>684.36000000000149</v>
      </c>
      <c r="CD63" s="20">
        <f t="shared" ref="CD63" si="223">CC63/BZ63</f>
        <v>0.10802721990443698</v>
      </c>
      <c r="CE63" s="4">
        <f t="shared" ref="CE63" si="224">CC63-CC62</f>
        <v>75.190000000002328</v>
      </c>
      <c r="CF63" s="17"/>
      <c r="CG63" s="16">
        <f>A63</f>
        <v>46203</v>
      </c>
      <c r="CH63" s="10">
        <f t="shared" ref="CH63" si="225">BR63+BZ63</f>
        <v>11000.13</v>
      </c>
      <c r="CI63" s="10">
        <f t="shared" ref="CI63" si="226">BS63+CA63</f>
        <v>669.25999999999885</v>
      </c>
      <c r="CJ63" s="10">
        <f t="shared" ref="CJ63" si="227">BT63+CB63</f>
        <v>12166.86</v>
      </c>
      <c r="CK63" s="4">
        <f t="shared" ref="CK63" si="228">CJ63-CH63</f>
        <v>1166.7300000000014</v>
      </c>
      <c r="CL63" s="20">
        <f t="shared" ref="CL63" si="229">CK63/CH63</f>
        <v>0.10606511013960758</v>
      </c>
      <c r="CM63" s="4">
        <f t="shared" ref="CM63" si="230">CK63-CK62</f>
        <v>-242.60999999999694</v>
      </c>
      <c r="CO63" s="16">
        <f t="shared" si="54"/>
        <v>46203</v>
      </c>
      <c r="CP63" s="4">
        <v>0</v>
      </c>
      <c r="CQ63" s="4">
        <f t="shared" si="60"/>
        <v>21.699999999999932</v>
      </c>
      <c r="CR63" s="4">
        <f t="shared" si="61"/>
        <v>7.5199999999999818</v>
      </c>
      <c r="CS63" s="4">
        <f t="shared" si="62"/>
        <v>18.480000000000018</v>
      </c>
      <c r="CT63" s="4">
        <v>0</v>
      </c>
      <c r="CU63" s="4">
        <f t="shared" si="64"/>
        <v>-37.32000000000005</v>
      </c>
      <c r="CV63" s="4">
        <f t="shared" si="65"/>
        <v>12.549999999999955</v>
      </c>
      <c r="CW63" s="4">
        <f t="shared" ref="CW63" si="231">(X63-W63)-(X62-W62)</f>
        <v>9.7400000000000091</v>
      </c>
      <c r="CX63" s="4">
        <f t="shared" ref="CX63" si="232">(AA63-Z63)-(AA62-Z62)</f>
        <v>0.82000000000005002</v>
      </c>
      <c r="CY63" s="4">
        <f t="shared" si="68"/>
        <v>22.569999999999936</v>
      </c>
      <c r="CZ63" s="4">
        <f t="shared" ref="CZ63" si="233">(AG63-AF63)-(AG62-AF62)</f>
        <v>16.75</v>
      </c>
      <c r="DA63" s="4">
        <f t="shared" si="70"/>
        <v>3.0100000000000477</v>
      </c>
      <c r="DB63" s="4">
        <f t="shared" si="71"/>
        <v>2.0999999999999943</v>
      </c>
      <c r="DC63" s="4">
        <f t="shared" ref="DC63" si="234">(AP63-AO63)-(AP62-AO62)</f>
        <v>2.7100000000000364</v>
      </c>
      <c r="DD63" s="4">
        <f t="shared" ref="DD63" si="235">(AS63-AR63)-(AS62-AR62)</f>
        <v>1.6699999999999591</v>
      </c>
      <c r="DE63" s="4">
        <f t="shared" si="74"/>
        <v>2.2099999999999795</v>
      </c>
      <c r="DF63" s="10">
        <f t="shared" si="75"/>
        <v>0.83999999999999631</v>
      </c>
      <c r="DG63" s="10">
        <f t="shared" si="35"/>
        <v>0.22000000000000242</v>
      </c>
      <c r="DH63" s="4">
        <f t="shared" ref="DH63" si="236">(BE63-BD63)-(BE62-BD62)</f>
        <v>0</v>
      </c>
      <c r="DI63" s="4">
        <f t="shared" si="37"/>
        <v>0</v>
      </c>
      <c r="DJ63" s="4">
        <f t="shared" si="38"/>
        <v>0</v>
      </c>
      <c r="DK63" s="4">
        <f t="shared" si="39"/>
        <v>0</v>
      </c>
    </row>
    <row r="64" spans="1:115" x14ac:dyDescent="0.25">
      <c r="A64" s="12">
        <v>46234</v>
      </c>
      <c r="B64" s="6">
        <v>0</v>
      </c>
      <c r="C64" s="4">
        <v>0</v>
      </c>
      <c r="D64" s="18">
        <v>0</v>
      </c>
      <c r="E64" s="6">
        <v>2994.57</v>
      </c>
      <c r="F64" s="4">
        <v>3028.57</v>
      </c>
      <c r="G64" s="18">
        <f t="shared" ref="G64" si="237">(F64-E64)/E64</f>
        <v>1.135388386312559E-2</v>
      </c>
      <c r="H64" s="6">
        <v>0</v>
      </c>
      <c r="I64" s="4">
        <v>0</v>
      </c>
      <c r="J64" s="18">
        <v>0</v>
      </c>
      <c r="K64" s="6">
        <v>1670</v>
      </c>
      <c r="L64" s="4">
        <v>1773.83</v>
      </c>
      <c r="M64" s="18">
        <f t="shared" ref="M64" si="238">(L64-K64)/K64</f>
        <v>6.2173652694610733E-2</v>
      </c>
      <c r="N64" s="6">
        <v>0</v>
      </c>
      <c r="O64" s="4">
        <v>0</v>
      </c>
      <c r="P64" s="18">
        <v>1</v>
      </c>
      <c r="Q64" s="6">
        <v>350</v>
      </c>
      <c r="R64" s="6">
        <v>471.62</v>
      </c>
      <c r="S64" s="18">
        <f t="shared" ref="S64" si="239">(R64-Q64)/Q64</f>
        <v>0.34748571428571429</v>
      </c>
      <c r="T64" s="6">
        <v>1020</v>
      </c>
      <c r="U64" s="4">
        <v>1125.3399999999999</v>
      </c>
      <c r="V64" s="19">
        <f t="shared" ref="V64" si="240">(U64-T64)/T64</f>
        <v>0.10327450980392149</v>
      </c>
      <c r="W64" s="6">
        <v>950</v>
      </c>
      <c r="X64" s="4">
        <v>1111.8499999999999</v>
      </c>
      <c r="Y64" s="19">
        <f t="shared" ref="Y64" si="241">(X64-W64)/W64</f>
        <v>0.17036842105263147</v>
      </c>
      <c r="Z64" s="6">
        <v>550</v>
      </c>
      <c r="AA64" s="4">
        <v>637.05999999999995</v>
      </c>
      <c r="AB64" s="19">
        <f t="shared" ref="AB64" si="242">(AA64-Z64)/Z64</f>
        <v>0.15829090909090898</v>
      </c>
      <c r="AC64" s="6">
        <v>1030</v>
      </c>
      <c r="AD64" s="4">
        <v>1186.8399999999999</v>
      </c>
      <c r="AE64" s="19">
        <f t="shared" ref="AE64" si="243">(AD64-AC64)/AC64</f>
        <v>0.15227184466019408</v>
      </c>
      <c r="AF64" s="6">
        <v>950</v>
      </c>
      <c r="AG64" s="4">
        <v>1062.9100000000001</v>
      </c>
      <c r="AH64" s="19">
        <f t="shared" ref="AH64" si="244">(AG64-AF64)/AF64</f>
        <v>0.11885263157894746</v>
      </c>
      <c r="AI64" s="6">
        <v>300</v>
      </c>
      <c r="AJ64" s="4">
        <v>326.39</v>
      </c>
      <c r="AK64" s="19">
        <f t="shared" ref="AK64" si="245">(AJ64-AI64)/AI64</f>
        <v>8.7966666666666624E-2</v>
      </c>
      <c r="AL64" s="6">
        <v>240</v>
      </c>
      <c r="AM64" s="4">
        <v>255.6</v>
      </c>
      <c r="AN64" s="19">
        <f t="shared" ref="AN64" si="246">(AM64-AL64)/AL64</f>
        <v>6.4999999999999974E-2</v>
      </c>
      <c r="AO64" s="6">
        <v>340</v>
      </c>
      <c r="AP64" s="4">
        <v>358.35</v>
      </c>
      <c r="AQ64" s="19">
        <f t="shared" ref="AQ64" si="247">(AP64-AO64)/AO64</f>
        <v>5.3970588235294187E-2</v>
      </c>
      <c r="AR64" s="6">
        <v>674.21</v>
      </c>
      <c r="AS64" s="4">
        <v>704.67</v>
      </c>
      <c r="AT64" s="19">
        <f t="shared" ref="AT64" si="248">(AS64-AR64)/AR64</f>
        <v>4.5178801856988061E-2</v>
      </c>
      <c r="AU64" s="6">
        <v>290</v>
      </c>
      <c r="AV64" s="4">
        <v>305</v>
      </c>
      <c r="AW64" s="19">
        <f t="shared" ref="AW64" si="249">(AV64-AU64)/AU64</f>
        <v>5.1724137931034482E-2</v>
      </c>
      <c r="AX64" s="6">
        <v>100</v>
      </c>
      <c r="AY64" s="4">
        <v>111.91</v>
      </c>
      <c r="AZ64" s="19">
        <f>(AY64-AX64)/AX64</f>
        <v>0.11909999999999997</v>
      </c>
      <c r="BA64" s="6">
        <v>20</v>
      </c>
      <c r="BB64" s="4">
        <v>20.58</v>
      </c>
      <c r="BC64" s="19">
        <f>(BB64-BA64)/BA64</f>
        <v>2.8999999999999915E-2</v>
      </c>
      <c r="BD64" s="6">
        <v>20</v>
      </c>
      <c r="BE64" s="4">
        <v>20.16</v>
      </c>
      <c r="BF64" s="19">
        <f>(BE64-BD64)/BD64</f>
        <v>8.0000000000000071E-3</v>
      </c>
      <c r="BG64" s="6">
        <v>30</v>
      </c>
      <c r="BH64" s="4">
        <v>30.05</v>
      </c>
      <c r="BI64" s="19">
        <v>1</v>
      </c>
      <c r="BJ64" s="6">
        <v>50</v>
      </c>
      <c r="BK64" s="4">
        <v>56.65</v>
      </c>
      <c r="BL64" s="19">
        <v>1</v>
      </c>
      <c r="BM64" s="6">
        <v>75</v>
      </c>
      <c r="BN64" s="4">
        <v>78</v>
      </c>
      <c r="BO64" s="19">
        <f>(BN64-BM64)/BM64</f>
        <v>0.04</v>
      </c>
      <c r="BQ64" s="16">
        <f>A64</f>
        <v>46234</v>
      </c>
      <c r="BR64" s="10">
        <f t="shared" ref="BR64" si="250">B64+E64+H64+K64+N64+Q64</f>
        <v>5014.57</v>
      </c>
      <c r="BS64" s="4">
        <f t="shared" ref="BS64" si="251">BR64-BR63</f>
        <v>349.51000000000022</v>
      </c>
      <c r="BT64" s="10">
        <f t="shared" ref="BT64" si="252">C64+F64+I64+L64+O64+R64</f>
        <v>5274.0199999999995</v>
      </c>
      <c r="BU64" s="4">
        <f t="shared" ref="BU64" si="253">BT64-BR64</f>
        <v>259.44999999999982</v>
      </c>
      <c r="BV64" s="20">
        <f t="shared" ref="BV64" si="254">BU64/BR64</f>
        <v>5.1739231878306584E-2</v>
      </c>
      <c r="BW64" s="4">
        <f t="shared" ref="BW64" si="255">BU64-BU63</f>
        <v>-222.92000000000098</v>
      </c>
      <c r="BX64" s="17"/>
      <c r="BY64" s="16">
        <f>A64</f>
        <v>46234</v>
      </c>
      <c r="BZ64" s="10">
        <f>Z64+T64+AC64+W64+AR64+AF64+AI64+AL64+AO64+AU64+AX64+BA64+BD64+BG64+BJ64+BM64</f>
        <v>6639.21</v>
      </c>
      <c r="CA64" s="4">
        <f t="shared" ref="CA64" si="256">BZ64-BZ63</f>
        <v>304.14000000000033</v>
      </c>
      <c r="CB64" s="10">
        <f>AA64+U64+AD64+X64+AS64+AG64+AJ64+AM64+AP64+AV64+AY64+BB64+BE64+BG64+BK64+BM64</f>
        <v>7388.3099999999995</v>
      </c>
      <c r="CC64" s="4">
        <f t="shared" ref="CC64" si="257">CB64-BZ64</f>
        <v>749.09999999999945</v>
      </c>
      <c r="CD64" s="20">
        <f t="shared" ref="CD64" si="258">CC64/BZ64</f>
        <v>0.11282968907445305</v>
      </c>
      <c r="CE64" s="4">
        <f t="shared" ref="CE64" si="259">CC64-CC63</f>
        <v>64.739999999997963</v>
      </c>
      <c r="CF64" s="17"/>
      <c r="CG64" s="16">
        <f>A64</f>
        <v>46234</v>
      </c>
      <c r="CH64" s="10">
        <f t="shared" ref="CH64" si="260">BR64+BZ64</f>
        <v>11653.779999999999</v>
      </c>
      <c r="CI64" s="10">
        <f t="shared" ref="CI64" si="261">BS64+CA64</f>
        <v>653.65000000000055</v>
      </c>
      <c r="CJ64" s="10">
        <f t="shared" ref="CJ64" si="262">BT64+CB64</f>
        <v>12662.329999999998</v>
      </c>
      <c r="CK64" s="4">
        <f t="shared" ref="CK64" si="263">CJ64-CH64</f>
        <v>1008.5499999999993</v>
      </c>
      <c r="CL64" s="20">
        <f t="shared" ref="CL64" si="264">CK64/CH64</f>
        <v>8.6542735490115597E-2</v>
      </c>
      <c r="CM64" s="4">
        <f t="shared" ref="CM64" si="265">CK64-CK63</f>
        <v>-158.18000000000211</v>
      </c>
      <c r="CO64" s="16">
        <f t="shared" ref="CO64" si="266">A64</f>
        <v>46234</v>
      </c>
      <c r="CP64" s="4">
        <v>0</v>
      </c>
      <c r="CQ64" s="4">
        <f t="shared" ref="CQ64" si="267">(F64-E64)-(F63-E63)</f>
        <v>-89.889999999999873</v>
      </c>
      <c r="CR64" s="4">
        <v>0</v>
      </c>
      <c r="CS64" s="4">
        <f t="shared" ref="CS64" si="268">(L64-K64)-(L63-K63)</f>
        <v>-31.960000000000036</v>
      </c>
      <c r="CT64" s="4">
        <v>0</v>
      </c>
      <c r="CU64" s="4">
        <f t="shared" ref="CU64" si="269">(R64-Q64)-(R63-Q63)</f>
        <v>-4.0199999999999818</v>
      </c>
      <c r="CV64" s="4">
        <f t="shared" ref="CV64" si="270">(U64-T64)-(U63-T63)</f>
        <v>5.3099999999999454</v>
      </c>
      <c r="CW64" s="4">
        <f t="shared" ref="CW64" si="271">(X64-W64)-(X63-W63)</f>
        <v>9.2899999999999636</v>
      </c>
      <c r="CX64" s="4">
        <f t="shared" ref="CX64" si="272">(AA64-Z64)-(AA63-Z63)</f>
        <v>0.86999999999989086</v>
      </c>
      <c r="CY64" s="4">
        <f t="shared" ref="CY64" si="273">(AD64-AC64)-(AD63-AC63)</f>
        <v>8.0999999999999091</v>
      </c>
      <c r="CZ64" s="4">
        <f t="shared" ref="CZ64" si="274">(AG64-AF64)-(AG63-AF63)</f>
        <v>12.290000000000191</v>
      </c>
      <c r="DA64" s="4">
        <f t="shared" ref="DA64" si="275">(AJ64-AI64)-(AJ63-AI63)</f>
        <v>3.0999999999999659</v>
      </c>
      <c r="DB64" s="4">
        <f t="shared" ref="DB64" si="276">(AM64-AL64)-(AM63-AL63)</f>
        <v>2.3499999999999943</v>
      </c>
      <c r="DC64" s="4">
        <f t="shared" ref="DC64" si="277">(AP64-AO64)-(AP63-AO63)</f>
        <v>2.8700000000000045</v>
      </c>
      <c r="DD64" s="4">
        <f t="shared" ref="DD64" si="278">(AS64-AR64)-(AS63-AR63)</f>
        <v>10.659999999999968</v>
      </c>
      <c r="DE64" s="4">
        <f t="shared" ref="DE64" si="279">(AV64-AU64)-(AV63-AU63)</f>
        <v>2.1200000000000045</v>
      </c>
      <c r="DF64" s="10">
        <f t="shared" ref="DF64" si="280">(AY64-AX64)-(AY63-AX63)</f>
        <v>0.68999999999999773</v>
      </c>
      <c r="DG64" s="10">
        <f t="shared" ref="DG64" si="281">(BB64-BA64)-(BB63-BA63)</f>
        <v>0.27999999999999758</v>
      </c>
      <c r="DH64" s="4">
        <f t="shared" ref="DH64" si="282">(BE64-BD64)-(BE63-BD63)</f>
        <v>0.16000000000000014</v>
      </c>
      <c r="DI64" s="4">
        <f t="shared" ref="DI64" si="283">(BH64-BG64)-(BH63-BG63)</f>
        <v>5.0000000000000711E-2</v>
      </c>
      <c r="DJ64" s="4">
        <f t="shared" si="38"/>
        <v>6.6499999999999986</v>
      </c>
      <c r="DK64" s="4">
        <f t="shared" ref="DJ64:DK64" si="284">(BN64-BM64)-(BN63-BM63)</f>
        <v>3</v>
      </c>
    </row>
    <row r="66" spans="33:33" x14ac:dyDescent="0.25">
      <c r="AG66" s="17"/>
    </row>
  </sheetData>
  <mergeCells count="26">
    <mergeCell ref="W1:Y1"/>
    <mergeCell ref="AC1:AE1"/>
    <mergeCell ref="T1:V1"/>
    <mergeCell ref="Z1:AB1"/>
    <mergeCell ref="AU1:AW1"/>
    <mergeCell ref="AI1:AK1"/>
    <mergeCell ref="AL1:AN1"/>
    <mergeCell ref="A1:A2"/>
    <mergeCell ref="Q1:S1"/>
    <mergeCell ref="B1:D1"/>
    <mergeCell ref="E1:G1"/>
    <mergeCell ref="H1:J1"/>
    <mergeCell ref="K1:M1"/>
    <mergeCell ref="N1:P1"/>
    <mergeCell ref="AO1:AQ1"/>
    <mergeCell ref="AR1:AT1"/>
    <mergeCell ref="AF1:AH1"/>
    <mergeCell ref="CG1:CM1"/>
    <mergeCell ref="BQ1:BW1"/>
    <mergeCell ref="BD1:BF1"/>
    <mergeCell ref="AX1:AZ1"/>
    <mergeCell ref="BA1:BC1"/>
    <mergeCell ref="BY1:CE1"/>
    <mergeCell ref="BG1:BI1"/>
    <mergeCell ref="BM1:BO1"/>
    <mergeCell ref="BJ1:BL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6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9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2026-08-13T12:12:07Z</dcterms:modified>
</cp:coreProperties>
</file>