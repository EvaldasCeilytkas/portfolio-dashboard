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2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6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17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vestavimas 2026.08.08\"/>
    </mc:Choice>
  </mc:AlternateContent>
  <xr:revisionPtr revIDLastSave="0" documentId="13_ncr:1_{666AA8DA-6290-4A74-83F4-3AABF32AB95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vestavimas" sheetId="7" r:id="rId1"/>
    <sheet name="P2P 2026.06" sheetId="19" r:id="rId2"/>
    <sheet name="P2P 2026.05" sheetId="18" r:id="rId3"/>
    <sheet name="P2P 2026.04" sheetId="17" r:id="rId4"/>
    <sheet name="P2P 2026.03" sheetId="16" r:id="rId5"/>
    <sheet name="P2P 2025.02" sheetId="1" r:id="rId6"/>
    <sheet name="P2P 2025.03" sheetId="2" r:id="rId7"/>
    <sheet name="P2P 2025.04" sheetId="8" r:id="rId8"/>
    <sheet name="P2P 2025.05" sheetId="9" r:id="rId9"/>
    <sheet name="P2P 2025.06" sheetId="4" r:id="rId10"/>
    <sheet name="P2P 2025.07" sheetId="5" r:id="rId11"/>
    <sheet name="P2P 2025.08" sheetId="6" r:id="rId12"/>
    <sheet name="P2P 2025.09" sheetId="10" r:id="rId13"/>
    <sheet name="P2P 2025.10" sheetId="11" r:id="rId14"/>
    <sheet name="P2P 2025.11" sheetId="12" r:id="rId15"/>
    <sheet name="P2P 2025.12" sheetId="13" r:id="rId16"/>
    <sheet name="P2P 2026.01" sheetId="14" r:id="rId17"/>
    <sheet name="P2P 2026.02" sheetId="1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66" i="7" l="1"/>
  <c r="S66" i="7" l="1"/>
  <c r="G66" i="7"/>
  <c r="M66" i="7"/>
  <c r="V66" i="7"/>
  <c r="Y66" i="7"/>
  <c r="AB66" i="7"/>
  <c r="AE66" i="7"/>
  <c r="AH66" i="7"/>
  <c r="AK66" i="7"/>
  <c r="AN66" i="7"/>
  <c r="AQ66" i="7"/>
  <c r="AT66" i="7"/>
  <c r="AW66" i="7"/>
  <c r="AZ66" i="7"/>
  <c r="BC66" i="7"/>
  <c r="BF66" i="7"/>
  <c r="BI66" i="7"/>
  <c r="BL66" i="7"/>
  <c r="BQ66" i="7"/>
  <c r="BR66" i="7"/>
  <c r="BT66" i="7"/>
  <c r="BY66" i="7"/>
  <c r="BZ66" i="7"/>
  <c r="CA66" i="7" s="1"/>
  <c r="CB66" i="7"/>
  <c r="CG66" i="7"/>
  <c r="CO66" i="7"/>
  <c r="CQ66" i="7"/>
  <c r="CS66" i="7"/>
  <c r="CU66" i="7"/>
  <c r="CV66" i="7"/>
  <c r="CW66" i="7"/>
  <c r="CX66" i="7"/>
  <c r="CY66" i="7"/>
  <c r="CZ66" i="7"/>
  <c r="DA66" i="7"/>
  <c r="DB66" i="7"/>
  <c r="DC66" i="7"/>
  <c r="DD66" i="7"/>
  <c r="DE66" i="7"/>
  <c r="DF66" i="7"/>
  <c r="DG66" i="7"/>
  <c r="DH66" i="7"/>
  <c r="DI66" i="7"/>
  <c r="DJ66" i="7"/>
  <c r="DK66" i="7"/>
  <c r="BL65" i="7"/>
  <c r="BL64" i="7"/>
  <c r="CJ66" i="7" l="1"/>
  <c r="CH66" i="7"/>
  <c r="BU66" i="7"/>
  <c r="BS66" i="7"/>
  <c r="CI66" i="7" s="1"/>
  <c r="CC66" i="7"/>
  <c r="BI65" i="7"/>
  <c r="BI64" i="7"/>
  <c r="CK66" i="7" l="1"/>
  <c r="CL66" i="7" s="1"/>
  <c r="BW66" i="7"/>
  <c r="BV66" i="7"/>
  <c r="CE66" i="7"/>
  <c r="CD66" i="7"/>
  <c r="G65" i="7"/>
  <c r="M65" i="7"/>
  <c r="S65" i="7"/>
  <c r="V65" i="7"/>
  <c r="Y65" i="7"/>
  <c r="AB65" i="7"/>
  <c r="AE65" i="7"/>
  <c r="AH65" i="7"/>
  <c r="AK65" i="7"/>
  <c r="AN65" i="7"/>
  <c r="AQ65" i="7"/>
  <c r="AT65" i="7"/>
  <c r="AW65" i="7"/>
  <c r="AZ65" i="7"/>
  <c r="BC65" i="7"/>
  <c r="BF65" i="7"/>
  <c r="BQ65" i="7"/>
  <c r="BR65" i="7"/>
  <c r="BT65" i="7"/>
  <c r="BY65" i="7"/>
  <c r="BZ65" i="7"/>
  <c r="CA65" i="7" s="1"/>
  <c r="CB65" i="7"/>
  <c r="CG65" i="7"/>
  <c r="CO65" i="7"/>
  <c r="CQ65" i="7"/>
  <c r="CS65" i="7"/>
  <c r="CU65" i="7"/>
  <c r="CV65" i="7"/>
  <c r="CW65" i="7"/>
  <c r="CX65" i="7"/>
  <c r="CY65" i="7"/>
  <c r="CZ65" i="7"/>
  <c r="DA65" i="7"/>
  <c r="DB65" i="7"/>
  <c r="DC65" i="7"/>
  <c r="DD65" i="7"/>
  <c r="DE65" i="7"/>
  <c r="DF65" i="7"/>
  <c r="DG65" i="7"/>
  <c r="DH65" i="7"/>
  <c r="DI65" i="7"/>
  <c r="DJ65" i="7"/>
  <c r="DK65" i="7"/>
  <c r="DJ5" i="7"/>
  <c r="DJ6" i="7"/>
  <c r="DJ7" i="7"/>
  <c r="DJ8" i="7"/>
  <c r="DJ9" i="7"/>
  <c r="DJ10" i="7"/>
  <c r="DJ11" i="7"/>
  <c r="DJ12" i="7"/>
  <c r="DJ13" i="7"/>
  <c r="DJ14" i="7"/>
  <c r="DJ15" i="7"/>
  <c r="DJ16" i="7"/>
  <c r="DJ17" i="7"/>
  <c r="DJ18" i="7"/>
  <c r="DJ19" i="7"/>
  <c r="DJ20" i="7"/>
  <c r="DJ21" i="7"/>
  <c r="DJ22" i="7"/>
  <c r="DJ23" i="7"/>
  <c r="DJ24" i="7"/>
  <c r="DJ25" i="7"/>
  <c r="DJ26" i="7"/>
  <c r="DJ27" i="7"/>
  <c r="DJ28" i="7"/>
  <c r="DJ29" i="7"/>
  <c r="DJ30" i="7"/>
  <c r="DJ31" i="7"/>
  <c r="DJ32" i="7"/>
  <c r="DJ33" i="7"/>
  <c r="DJ34" i="7"/>
  <c r="DJ35" i="7"/>
  <c r="DJ36" i="7"/>
  <c r="DJ37" i="7"/>
  <c r="DJ38" i="7"/>
  <c r="DJ39" i="7"/>
  <c r="DJ40" i="7"/>
  <c r="DJ41" i="7"/>
  <c r="DJ42" i="7"/>
  <c r="DJ43" i="7"/>
  <c r="DJ44" i="7"/>
  <c r="DJ45" i="7"/>
  <c r="DJ46" i="7"/>
  <c r="DJ47" i="7"/>
  <c r="DJ48" i="7"/>
  <c r="DJ49" i="7"/>
  <c r="DJ50" i="7"/>
  <c r="DJ51" i="7"/>
  <c r="DJ52" i="7"/>
  <c r="DJ53" i="7"/>
  <c r="DJ54" i="7"/>
  <c r="DJ55" i="7"/>
  <c r="DJ56" i="7"/>
  <c r="DJ57" i="7"/>
  <c r="DJ58" i="7"/>
  <c r="DJ59" i="7"/>
  <c r="DJ60" i="7"/>
  <c r="DJ61" i="7"/>
  <c r="DJ62" i="7"/>
  <c r="DJ63" i="7"/>
  <c r="DJ64" i="7"/>
  <c r="DJ4" i="7"/>
  <c r="DJ3" i="7"/>
  <c r="DJ2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B34" i="7"/>
  <c r="CB35" i="7"/>
  <c r="CB36" i="7"/>
  <c r="CB37" i="7"/>
  <c r="CB38" i="7"/>
  <c r="CB39" i="7"/>
  <c r="CB40" i="7"/>
  <c r="CB41" i="7"/>
  <c r="CB42" i="7"/>
  <c r="CB43" i="7"/>
  <c r="CB44" i="7"/>
  <c r="CB45" i="7"/>
  <c r="CB46" i="7"/>
  <c r="CB47" i="7"/>
  <c r="CB48" i="7"/>
  <c r="CB49" i="7"/>
  <c r="CB50" i="7"/>
  <c r="CB51" i="7"/>
  <c r="CB52" i="7"/>
  <c r="CB53" i="7"/>
  <c r="CB54" i="7"/>
  <c r="CB55" i="7"/>
  <c r="CB56" i="7"/>
  <c r="CB57" i="7"/>
  <c r="CB58" i="7"/>
  <c r="CB59" i="7"/>
  <c r="CB60" i="7"/>
  <c r="CB61" i="7"/>
  <c r="CB62" i="7"/>
  <c r="CB63" i="7"/>
  <c r="CB64" i="7"/>
  <c r="BZ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Z35" i="7"/>
  <c r="BZ36" i="7"/>
  <c r="BZ37" i="7"/>
  <c r="BZ38" i="7"/>
  <c r="BZ39" i="7"/>
  <c r="BZ40" i="7"/>
  <c r="BZ41" i="7"/>
  <c r="BZ42" i="7"/>
  <c r="BZ43" i="7"/>
  <c r="BZ44" i="7"/>
  <c r="BZ45" i="7"/>
  <c r="BZ46" i="7"/>
  <c r="BZ47" i="7"/>
  <c r="BZ48" i="7"/>
  <c r="BZ49" i="7"/>
  <c r="BZ50" i="7"/>
  <c r="BZ51" i="7"/>
  <c r="BZ52" i="7"/>
  <c r="BZ53" i="7"/>
  <c r="BZ54" i="7"/>
  <c r="BZ55" i="7"/>
  <c r="BZ56" i="7"/>
  <c r="BZ57" i="7"/>
  <c r="BZ58" i="7"/>
  <c r="BZ59" i="7"/>
  <c r="BZ60" i="7"/>
  <c r="BZ61" i="7"/>
  <c r="BZ62" i="7"/>
  <c r="BZ63" i="7"/>
  <c r="BZ64" i="7"/>
  <c r="BF64" i="7"/>
  <c r="CM66" i="7" l="1"/>
  <c r="CC65" i="7"/>
  <c r="CD65" i="7" s="1"/>
  <c r="CJ65" i="7"/>
  <c r="CH65" i="7"/>
  <c r="BU65" i="7"/>
  <c r="BS65" i="7"/>
  <c r="CI65" i="7" s="1"/>
  <c r="G64" i="7"/>
  <c r="M64" i="7"/>
  <c r="S64" i="7"/>
  <c r="V64" i="7"/>
  <c r="Y64" i="7"/>
  <c r="AB64" i="7"/>
  <c r="AE64" i="7"/>
  <c r="AH64" i="7"/>
  <c r="AK64" i="7"/>
  <c r="AN64" i="7"/>
  <c r="AQ64" i="7"/>
  <c r="AT64" i="7"/>
  <c r="AW64" i="7"/>
  <c r="AZ64" i="7"/>
  <c r="BC64" i="7"/>
  <c r="BQ64" i="7"/>
  <c r="BR64" i="7"/>
  <c r="BT64" i="7"/>
  <c r="BY64" i="7"/>
  <c r="CG64" i="7"/>
  <c r="CO64" i="7"/>
  <c r="CQ64" i="7"/>
  <c r="CS64" i="7"/>
  <c r="CU64" i="7"/>
  <c r="CV64" i="7"/>
  <c r="CW64" i="7"/>
  <c r="CX64" i="7"/>
  <c r="CY64" i="7"/>
  <c r="CZ64" i="7"/>
  <c r="DA64" i="7"/>
  <c r="DB64" i="7"/>
  <c r="DC64" i="7"/>
  <c r="DD64" i="7"/>
  <c r="DE64" i="7"/>
  <c r="DF64" i="7"/>
  <c r="DG64" i="7"/>
  <c r="DH64" i="7"/>
  <c r="DI64" i="7"/>
  <c r="DK64" i="7"/>
  <c r="DK5" i="7"/>
  <c r="DK6" i="7"/>
  <c r="DK7" i="7"/>
  <c r="DK8" i="7"/>
  <c r="DK9" i="7"/>
  <c r="DK10" i="7"/>
  <c r="DK11" i="7"/>
  <c r="DK12" i="7"/>
  <c r="DK13" i="7"/>
  <c r="DK14" i="7"/>
  <c r="DK15" i="7"/>
  <c r="DK16" i="7"/>
  <c r="DK17" i="7"/>
  <c r="DK18" i="7"/>
  <c r="DK19" i="7"/>
  <c r="DK20" i="7"/>
  <c r="DK21" i="7"/>
  <c r="DK22" i="7"/>
  <c r="DK23" i="7"/>
  <c r="DK24" i="7"/>
  <c r="DK25" i="7"/>
  <c r="DK26" i="7"/>
  <c r="DK27" i="7"/>
  <c r="DK28" i="7"/>
  <c r="DK29" i="7"/>
  <c r="DK30" i="7"/>
  <c r="DK31" i="7"/>
  <c r="DK32" i="7"/>
  <c r="DK33" i="7"/>
  <c r="DK34" i="7"/>
  <c r="DK35" i="7"/>
  <c r="DK36" i="7"/>
  <c r="DK37" i="7"/>
  <c r="DK38" i="7"/>
  <c r="DK39" i="7"/>
  <c r="DK40" i="7"/>
  <c r="DK41" i="7"/>
  <c r="DK42" i="7"/>
  <c r="DK43" i="7"/>
  <c r="DK44" i="7"/>
  <c r="DK45" i="7"/>
  <c r="DK46" i="7"/>
  <c r="DK47" i="7"/>
  <c r="DK48" i="7"/>
  <c r="DK49" i="7"/>
  <c r="DK50" i="7"/>
  <c r="DK51" i="7"/>
  <c r="DK52" i="7"/>
  <c r="DK53" i="7"/>
  <c r="DK54" i="7"/>
  <c r="DK55" i="7"/>
  <c r="DK56" i="7"/>
  <c r="DK57" i="7"/>
  <c r="DK58" i="7"/>
  <c r="DK59" i="7"/>
  <c r="DK60" i="7"/>
  <c r="DK61" i="7"/>
  <c r="DK62" i="7"/>
  <c r="DK63" i="7"/>
  <c r="DK4" i="7"/>
  <c r="DK3" i="7"/>
  <c r="DK2" i="7"/>
  <c r="DI5" i="7"/>
  <c r="DI6" i="7"/>
  <c r="DI7" i="7"/>
  <c r="DI8" i="7"/>
  <c r="DI9" i="7"/>
  <c r="DI10" i="7"/>
  <c r="DI11" i="7"/>
  <c r="DI12" i="7"/>
  <c r="DI13" i="7"/>
  <c r="DI14" i="7"/>
  <c r="DI15" i="7"/>
  <c r="DI16" i="7"/>
  <c r="DI17" i="7"/>
  <c r="DI18" i="7"/>
  <c r="DI19" i="7"/>
  <c r="DI20" i="7"/>
  <c r="DI21" i="7"/>
  <c r="DI22" i="7"/>
  <c r="DI23" i="7"/>
  <c r="DI24" i="7"/>
  <c r="DI25" i="7"/>
  <c r="DI26" i="7"/>
  <c r="DI27" i="7"/>
  <c r="DI28" i="7"/>
  <c r="DI29" i="7"/>
  <c r="DI30" i="7"/>
  <c r="DI31" i="7"/>
  <c r="DI32" i="7"/>
  <c r="DI33" i="7"/>
  <c r="DI34" i="7"/>
  <c r="DI35" i="7"/>
  <c r="DI36" i="7"/>
  <c r="DI37" i="7"/>
  <c r="DI38" i="7"/>
  <c r="DI39" i="7"/>
  <c r="DI40" i="7"/>
  <c r="DI41" i="7"/>
  <c r="DI42" i="7"/>
  <c r="DI43" i="7"/>
  <c r="DI44" i="7"/>
  <c r="DI45" i="7"/>
  <c r="DI46" i="7"/>
  <c r="DI47" i="7"/>
  <c r="DI48" i="7"/>
  <c r="DI49" i="7"/>
  <c r="DI50" i="7"/>
  <c r="DI51" i="7"/>
  <c r="DI52" i="7"/>
  <c r="DI53" i="7"/>
  <c r="DI54" i="7"/>
  <c r="DI55" i="7"/>
  <c r="DI56" i="7"/>
  <c r="DI57" i="7"/>
  <c r="DI58" i="7"/>
  <c r="DI59" i="7"/>
  <c r="DI60" i="7"/>
  <c r="DI61" i="7"/>
  <c r="DI62" i="7"/>
  <c r="DI63" i="7"/>
  <c r="DI4" i="7"/>
  <c r="DI3" i="7"/>
  <c r="DI2" i="7"/>
  <c r="CK65" i="7" l="1"/>
  <c r="BW65" i="7"/>
  <c r="BV65" i="7"/>
  <c r="BU64" i="7"/>
  <c r="BV64" i="7" s="1"/>
  <c r="CC64" i="7"/>
  <c r="CD64" i="7" s="1"/>
  <c r="CH64" i="7"/>
  <c r="CJ64" i="7"/>
  <c r="CA64" i="7"/>
  <c r="CE65" i="7" l="1"/>
  <c r="CL65" i="7"/>
  <c r="CK64" i="7"/>
  <c r="CL64" i="7" s="1"/>
  <c r="CG3" i="7"/>
  <c r="CG4" i="7"/>
  <c r="CG5" i="7"/>
  <c r="CG6" i="7"/>
  <c r="CG7" i="7"/>
  <c r="CG8" i="7"/>
  <c r="CG9" i="7"/>
  <c r="CG10" i="7"/>
  <c r="CG11" i="7"/>
  <c r="CG12" i="7"/>
  <c r="CG13" i="7"/>
  <c r="CG14" i="7"/>
  <c r="CG15" i="7"/>
  <c r="CG16" i="7"/>
  <c r="CG17" i="7"/>
  <c r="CG18" i="7"/>
  <c r="CG19" i="7"/>
  <c r="CG20" i="7"/>
  <c r="CG21" i="7"/>
  <c r="CG22" i="7"/>
  <c r="CG23" i="7"/>
  <c r="CG24" i="7"/>
  <c r="CG25" i="7"/>
  <c r="CG26" i="7"/>
  <c r="CG27" i="7"/>
  <c r="CG28" i="7"/>
  <c r="CG29" i="7"/>
  <c r="CG30" i="7"/>
  <c r="CG31" i="7"/>
  <c r="CG32" i="7"/>
  <c r="CG33" i="7"/>
  <c r="CG34" i="7"/>
  <c r="CG35" i="7"/>
  <c r="CG36" i="7"/>
  <c r="CG37" i="7"/>
  <c r="CG38" i="7"/>
  <c r="CG39" i="7"/>
  <c r="CG40" i="7"/>
  <c r="CG41" i="7"/>
  <c r="CG42" i="7"/>
  <c r="CG43" i="7"/>
  <c r="CG44" i="7"/>
  <c r="CG45" i="7"/>
  <c r="CG46" i="7"/>
  <c r="CG47" i="7"/>
  <c r="CG48" i="7"/>
  <c r="CG49" i="7"/>
  <c r="CG50" i="7"/>
  <c r="CG51" i="7"/>
  <c r="CG52" i="7"/>
  <c r="CG53" i="7"/>
  <c r="CG54" i="7"/>
  <c r="CG55" i="7"/>
  <c r="CG56" i="7"/>
  <c r="CG57" i="7"/>
  <c r="CG58" i="7"/>
  <c r="CG59" i="7"/>
  <c r="CG60" i="7"/>
  <c r="CG61" i="7"/>
  <c r="BQ4" i="7"/>
  <c r="BQ5" i="7"/>
  <c r="BQ6" i="7"/>
  <c r="BQ7" i="7"/>
  <c r="BQ8" i="7"/>
  <c r="BQ9" i="7"/>
  <c r="BQ10" i="7"/>
  <c r="BQ11" i="7"/>
  <c r="BQ12" i="7"/>
  <c r="BQ13" i="7"/>
  <c r="BQ14" i="7"/>
  <c r="BQ15" i="7"/>
  <c r="BQ16" i="7"/>
  <c r="BQ17" i="7"/>
  <c r="BQ18" i="7"/>
  <c r="BQ19" i="7"/>
  <c r="BQ20" i="7"/>
  <c r="BQ21" i="7"/>
  <c r="BQ22" i="7"/>
  <c r="BQ23" i="7"/>
  <c r="BQ24" i="7"/>
  <c r="BQ25" i="7"/>
  <c r="BQ26" i="7"/>
  <c r="BQ27" i="7"/>
  <c r="BQ28" i="7"/>
  <c r="BQ29" i="7"/>
  <c r="BQ30" i="7"/>
  <c r="BQ31" i="7"/>
  <c r="BQ32" i="7"/>
  <c r="BQ33" i="7"/>
  <c r="BQ34" i="7"/>
  <c r="BQ35" i="7"/>
  <c r="BQ36" i="7"/>
  <c r="BQ37" i="7"/>
  <c r="BQ38" i="7"/>
  <c r="BQ39" i="7"/>
  <c r="BQ40" i="7"/>
  <c r="BQ41" i="7"/>
  <c r="BQ42" i="7"/>
  <c r="BQ43" i="7"/>
  <c r="BQ44" i="7"/>
  <c r="BQ45" i="7"/>
  <c r="BQ46" i="7"/>
  <c r="BQ47" i="7"/>
  <c r="BQ48" i="7"/>
  <c r="BQ49" i="7"/>
  <c r="BQ50" i="7"/>
  <c r="BQ51" i="7"/>
  <c r="BQ52" i="7"/>
  <c r="BQ53" i="7"/>
  <c r="BQ54" i="7"/>
  <c r="BQ55" i="7"/>
  <c r="BQ56" i="7"/>
  <c r="BQ57" i="7"/>
  <c r="BQ58" i="7"/>
  <c r="BQ59" i="7"/>
  <c r="BQ60" i="7"/>
  <c r="BQ61" i="7"/>
  <c r="BY3" i="7"/>
  <c r="BY4" i="7"/>
  <c r="BY5" i="7"/>
  <c r="BY6" i="7"/>
  <c r="BY7" i="7"/>
  <c r="BY8" i="7"/>
  <c r="BY9" i="7"/>
  <c r="BY10" i="7"/>
  <c r="BY11" i="7"/>
  <c r="BY12" i="7"/>
  <c r="BY13" i="7"/>
  <c r="BY14" i="7"/>
  <c r="BY15" i="7"/>
  <c r="BY16" i="7"/>
  <c r="BY17" i="7"/>
  <c r="BY18" i="7"/>
  <c r="BY19" i="7"/>
  <c r="BY20" i="7"/>
  <c r="BY21" i="7"/>
  <c r="BY22" i="7"/>
  <c r="BY23" i="7"/>
  <c r="BY24" i="7"/>
  <c r="BY25" i="7"/>
  <c r="BY26" i="7"/>
  <c r="BY27" i="7"/>
  <c r="BY28" i="7"/>
  <c r="BY29" i="7"/>
  <c r="BY30" i="7"/>
  <c r="BY31" i="7"/>
  <c r="BY32" i="7"/>
  <c r="BY33" i="7"/>
  <c r="BY34" i="7"/>
  <c r="BY35" i="7"/>
  <c r="BY36" i="7"/>
  <c r="BY37" i="7"/>
  <c r="BY38" i="7"/>
  <c r="BY39" i="7"/>
  <c r="BY40" i="7"/>
  <c r="BY41" i="7"/>
  <c r="BY42" i="7"/>
  <c r="BY43" i="7"/>
  <c r="BY44" i="7"/>
  <c r="BY45" i="7"/>
  <c r="BY46" i="7"/>
  <c r="BY47" i="7"/>
  <c r="BY48" i="7"/>
  <c r="BY49" i="7"/>
  <c r="BY50" i="7"/>
  <c r="BY51" i="7"/>
  <c r="BY52" i="7"/>
  <c r="BY53" i="7"/>
  <c r="BY54" i="7"/>
  <c r="BY55" i="7"/>
  <c r="BY56" i="7"/>
  <c r="BY57" i="7"/>
  <c r="BY58" i="7"/>
  <c r="BY59" i="7"/>
  <c r="BY60" i="7"/>
  <c r="BY61" i="7"/>
  <c r="F16" i="17"/>
  <c r="E16" i="17"/>
  <c r="D16" i="17"/>
  <c r="C16" i="17"/>
  <c r="A16" i="17"/>
  <c r="F16" i="18"/>
  <c r="E16" i="18"/>
  <c r="D16" i="18"/>
  <c r="C16" i="18"/>
  <c r="A16" i="18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CB3" i="7"/>
  <c r="CB4" i="7"/>
  <c r="E17" i="19"/>
  <c r="E16" i="19"/>
  <c r="E15" i="19"/>
  <c r="E14" i="19"/>
  <c r="E13" i="19"/>
  <c r="E12" i="19"/>
  <c r="E11" i="19"/>
  <c r="E10" i="19"/>
  <c r="E9" i="19"/>
  <c r="E8" i="19"/>
  <c r="E7" i="19"/>
  <c r="E5" i="19"/>
  <c r="E6" i="19"/>
  <c r="D17" i="19"/>
  <c r="D16" i="19"/>
  <c r="D15" i="19"/>
  <c r="D14" i="19"/>
  <c r="D13" i="19"/>
  <c r="D12" i="19"/>
  <c r="D11" i="19"/>
  <c r="D10" i="19"/>
  <c r="H10" i="19" s="1"/>
  <c r="D9" i="19"/>
  <c r="D8" i="19"/>
  <c r="D7" i="19"/>
  <c r="D6" i="19"/>
  <c r="C17" i="19"/>
  <c r="A17" i="19"/>
  <c r="A16" i="19"/>
  <c r="C16" i="19"/>
  <c r="C15" i="19"/>
  <c r="C14" i="19"/>
  <c r="C13" i="19"/>
  <c r="C12" i="19"/>
  <c r="C11" i="19"/>
  <c r="C10" i="19"/>
  <c r="C9" i="19"/>
  <c r="C8" i="19"/>
  <c r="C7" i="19"/>
  <c r="C6" i="19"/>
  <c r="D5" i="19"/>
  <c r="H5" i="19" s="1"/>
  <c r="C5" i="19"/>
  <c r="A15" i="19"/>
  <c r="A14" i="19"/>
  <c r="A13" i="19"/>
  <c r="A12" i="19"/>
  <c r="A11" i="19"/>
  <c r="A10" i="19"/>
  <c r="A9" i="19"/>
  <c r="A8" i="19"/>
  <c r="A7" i="19"/>
  <c r="A6" i="19"/>
  <c r="A5" i="19"/>
  <c r="G4" i="19"/>
  <c r="E4" i="19"/>
  <c r="J63" i="7"/>
  <c r="DG5" i="7"/>
  <c r="DG6" i="7"/>
  <c r="DG7" i="7"/>
  <c r="DG8" i="7"/>
  <c r="DG9" i="7"/>
  <c r="DG10" i="7"/>
  <c r="DG11" i="7"/>
  <c r="DG12" i="7"/>
  <c r="DG13" i="7"/>
  <c r="DG14" i="7"/>
  <c r="DG15" i="7"/>
  <c r="DG16" i="7"/>
  <c r="DG17" i="7"/>
  <c r="DG18" i="7"/>
  <c r="DG19" i="7"/>
  <c r="DG20" i="7"/>
  <c r="DG21" i="7"/>
  <c r="DG22" i="7"/>
  <c r="DG23" i="7"/>
  <c r="DG24" i="7"/>
  <c r="DG25" i="7"/>
  <c r="DG26" i="7"/>
  <c r="DG27" i="7"/>
  <c r="DG28" i="7"/>
  <c r="DG29" i="7"/>
  <c r="DG30" i="7"/>
  <c r="DG31" i="7"/>
  <c r="DG32" i="7"/>
  <c r="DG33" i="7"/>
  <c r="DG34" i="7"/>
  <c r="DG35" i="7"/>
  <c r="DG36" i="7"/>
  <c r="DG37" i="7"/>
  <c r="DG38" i="7"/>
  <c r="DG39" i="7"/>
  <c r="DG40" i="7"/>
  <c r="DG41" i="7"/>
  <c r="DG42" i="7"/>
  <c r="DG43" i="7"/>
  <c r="DG44" i="7"/>
  <c r="DG45" i="7"/>
  <c r="DG46" i="7"/>
  <c r="DG47" i="7"/>
  <c r="DG48" i="7"/>
  <c r="DG49" i="7"/>
  <c r="DG50" i="7"/>
  <c r="DG51" i="7"/>
  <c r="DG52" i="7"/>
  <c r="DG53" i="7"/>
  <c r="DG54" i="7"/>
  <c r="DG55" i="7"/>
  <c r="DG56" i="7"/>
  <c r="DG57" i="7"/>
  <c r="DG58" i="7"/>
  <c r="DG59" i="7"/>
  <c r="DG60" i="7"/>
  <c r="DG61" i="7"/>
  <c r="DG62" i="7"/>
  <c r="DG63" i="7"/>
  <c r="DG4" i="7"/>
  <c r="DG3" i="7"/>
  <c r="DG2" i="7"/>
  <c r="DH2" i="7"/>
  <c r="BC63" i="7"/>
  <c r="BC62" i="7"/>
  <c r="BC61" i="7"/>
  <c r="CM65" i="7" l="1"/>
  <c r="H6" i="19"/>
  <c r="H7" i="19"/>
  <c r="H11" i="19"/>
  <c r="H17" i="19"/>
  <c r="H13" i="19"/>
  <c r="H15" i="19"/>
  <c r="G14" i="19"/>
  <c r="G16" i="19"/>
  <c r="G17" i="19"/>
  <c r="G8" i="19"/>
  <c r="H9" i="19"/>
  <c r="H14" i="19"/>
  <c r="H16" i="19"/>
  <c r="H12" i="19"/>
  <c r="G12" i="19"/>
  <c r="F31" i="19"/>
  <c r="E31" i="19"/>
  <c r="G7" i="19"/>
  <c r="G5" i="19"/>
  <c r="H8" i="19"/>
  <c r="C31" i="19"/>
  <c r="G6" i="19"/>
  <c r="G9" i="19"/>
  <c r="G11" i="19"/>
  <c r="G13" i="19"/>
  <c r="D31" i="19"/>
  <c r="G15" i="19"/>
  <c r="G10" i="19"/>
  <c r="G63" i="7"/>
  <c r="M63" i="7"/>
  <c r="S63" i="7"/>
  <c r="V63" i="7"/>
  <c r="Y63" i="7"/>
  <c r="AB63" i="7"/>
  <c r="AE63" i="7"/>
  <c r="AH63" i="7"/>
  <c r="AK63" i="7"/>
  <c r="AN63" i="7"/>
  <c r="AQ63" i="7"/>
  <c r="AT63" i="7"/>
  <c r="AW63" i="7"/>
  <c r="AZ63" i="7"/>
  <c r="BQ63" i="7"/>
  <c r="BR63" i="7"/>
  <c r="BS64" i="7" s="1"/>
  <c r="CI64" i="7" s="1"/>
  <c r="BT63" i="7"/>
  <c r="BY63" i="7"/>
  <c r="CG63" i="7"/>
  <c r="CO63" i="7"/>
  <c r="CQ63" i="7"/>
  <c r="CR63" i="7"/>
  <c r="CS63" i="7"/>
  <c r="CU63" i="7"/>
  <c r="CV63" i="7"/>
  <c r="CW63" i="7"/>
  <c r="CX63" i="7"/>
  <c r="CY63" i="7"/>
  <c r="CZ63" i="7"/>
  <c r="DA63" i="7"/>
  <c r="DB63" i="7"/>
  <c r="DC63" i="7"/>
  <c r="DD63" i="7"/>
  <c r="DE63" i="7"/>
  <c r="DF63" i="7"/>
  <c r="DH63" i="7"/>
  <c r="F15" i="18"/>
  <c r="F14" i="18"/>
  <c r="F13" i="18"/>
  <c r="F12" i="18"/>
  <c r="F11" i="18"/>
  <c r="F10" i="18"/>
  <c r="F9" i="18"/>
  <c r="F8" i="18"/>
  <c r="F7" i="18"/>
  <c r="F6" i="18"/>
  <c r="F5" i="18"/>
  <c r="F15" i="17"/>
  <c r="F14" i="17"/>
  <c r="F13" i="17"/>
  <c r="F12" i="17"/>
  <c r="F11" i="17"/>
  <c r="F10" i="17"/>
  <c r="F9" i="17"/>
  <c r="F8" i="17"/>
  <c r="F7" i="17"/>
  <c r="F6" i="17"/>
  <c r="F5" i="17"/>
  <c r="E15" i="17"/>
  <c r="E15" i="18"/>
  <c r="E14" i="18"/>
  <c r="E13" i="18"/>
  <c r="E12" i="18"/>
  <c r="E11" i="18"/>
  <c r="E10" i="18"/>
  <c r="E9" i="18"/>
  <c r="E8" i="18"/>
  <c r="E7" i="18"/>
  <c r="E6" i="18"/>
  <c r="E5" i="18"/>
  <c r="D15" i="18"/>
  <c r="D14" i="18"/>
  <c r="D13" i="18"/>
  <c r="D12" i="18"/>
  <c r="D11" i="18"/>
  <c r="D10" i="18"/>
  <c r="D9" i="18"/>
  <c r="D8" i="18"/>
  <c r="D7" i="18"/>
  <c r="D6" i="18"/>
  <c r="D5" i="18"/>
  <c r="C15" i="18"/>
  <c r="C14" i="18"/>
  <c r="C13" i="18"/>
  <c r="C12" i="18"/>
  <c r="C11" i="18"/>
  <c r="C10" i="18"/>
  <c r="C9" i="18"/>
  <c r="C8" i="18"/>
  <c r="C7" i="18"/>
  <c r="C6" i="18"/>
  <c r="C5" i="18"/>
  <c r="A15" i="18"/>
  <c r="A14" i="18"/>
  <c r="A13" i="18"/>
  <c r="A12" i="18"/>
  <c r="A11" i="18"/>
  <c r="A10" i="18"/>
  <c r="A9" i="18"/>
  <c r="A8" i="18"/>
  <c r="A7" i="18"/>
  <c r="A6" i="18"/>
  <c r="A5" i="18"/>
  <c r="G4" i="18"/>
  <c r="E4" i="18"/>
  <c r="E14" i="17"/>
  <c r="E13" i="17"/>
  <c r="E12" i="17"/>
  <c r="E11" i="17"/>
  <c r="E10" i="17"/>
  <c r="E9" i="17"/>
  <c r="E8" i="17"/>
  <c r="E7" i="17"/>
  <c r="E6" i="17"/>
  <c r="E5" i="17"/>
  <c r="D15" i="17"/>
  <c r="D14" i="17"/>
  <c r="D13" i="17"/>
  <c r="D12" i="17"/>
  <c r="D11" i="17"/>
  <c r="D10" i="17"/>
  <c r="D9" i="17"/>
  <c r="D8" i="17"/>
  <c r="D7" i="17"/>
  <c r="D6" i="17"/>
  <c r="D5" i="17"/>
  <c r="C15" i="17"/>
  <c r="C14" i="17"/>
  <c r="C13" i="17"/>
  <c r="C12" i="17"/>
  <c r="C11" i="17"/>
  <c r="C10" i="17"/>
  <c r="C9" i="17"/>
  <c r="C8" i="17"/>
  <c r="C7" i="17"/>
  <c r="C6" i="17"/>
  <c r="C5" i="17"/>
  <c r="A15" i="17"/>
  <c r="A14" i="17"/>
  <c r="A13" i="17"/>
  <c r="A12" i="17"/>
  <c r="A11" i="17"/>
  <c r="A10" i="17"/>
  <c r="A9" i="17"/>
  <c r="A8" i="17"/>
  <c r="A7" i="17"/>
  <c r="A6" i="17"/>
  <c r="A5" i="17"/>
  <c r="G4" i="17"/>
  <c r="E4" i="17"/>
  <c r="E15" i="16"/>
  <c r="F15" i="16"/>
  <c r="D15" i="16"/>
  <c r="C15" i="16"/>
  <c r="A15" i="16"/>
  <c r="F14" i="16"/>
  <c r="F13" i="16"/>
  <c r="F12" i="16"/>
  <c r="F11" i="16"/>
  <c r="F10" i="16"/>
  <c r="F9" i="16"/>
  <c r="F8" i="16"/>
  <c r="F7" i="16"/>
  <c r="F6" i="16"/>
  <c r="F5" i="16"/>
  <c r="E14" i="15"/>
  <c r="E14" i="16"/>
  <c r="E13" i="16"/>
  <c r="E12" i="16"/>
  <c r="E11" i="16"/>
  <c r="E10" i="16"/>
  <c r="E9" i="16"/>
  <c r="E8" i="16"/>
  <c r="E7" i="16"/>
  <c r="E6" i="16"/>
  <c r="E5" i="16"/>
  <c r="D14" i="16"/>
  <c r="D13" i="16"/>
  <c r="D12" i="16"/>
  <c r="D11" i="16"/>
  <c r="D10" i="16"/>
  <c r="D9" i="16"/>
  <c r="D8" i="16"/>
  <c r="D7" i="16"/>
  <c r="D6" i="16"/>
  <c r="D5" i="16"/>
  <c r="C14" i="16"/>
  <c r="C13" i="16"/>
  <c r="C12" i="16"/>
  <c r="C11" i="16"/>
  <c r="C10" i="16"/>
  <c r="C9" i="16"/>
  <c r="C8" i="16"/>
  <c r="C7" i="16"/>
  <c r="C6" i="16"/>
  <c r="C5" i="16"/>
  <c r="A14" i="16"/>
  <c r="A13" i="16"/>
  <c r="A12" i="16"/>
  <c r="A11" i="16"/>
  <c r="A10" i="16"/>
  <c r="A9" i="16"/>
  <c r="A8" i="16"/>
  <c r="A7" i="16"/>
  <c r="A6" i="16"/>
  <c r="A5" i="16"/>
  <c r="G4" i="16"/>
  <c r="E4" i="16"/>
  <c r="F14" i="15"/>
  <c r="F13" i="15"/>
  <c r="F12" i="15"/>
  <c r="F11" i="15"/>
  <c r="F10" i="15"/>
  <c r="F9" i="15"/>
  <c r="F8" i="15"/>
  <c r="F7" i="15"/>
  <c r="F6" i="15"/>
  <c r="F5" i="15"/>
  <c r="E13" i="15"/>
  <c r="E12" i="15"/>
  <c r="E11" i="15"/>
  <c r="E10" i="15"/>
  <c r="E9" i="15"/>
  <c r="E8" i="15"/>
  <c r="E7" i="15"/>
  <c r="E6" i="15"/>
  <c r="E5" i="15"/>
  <c r="D14" i="15"/>
  <c r="D13" i="15"/>
  <c r="D12" i="15"/>
  <c r="D11" i="15"/>
  <c r="D10" i="15"/>
  <c r="D9" i="15"/>
  <c r="D8" i="15"/>
  <c r="D7" i="15"/>
  <c r="D6" i="15"/>
  <c r="D5" i="15"/>
  <c r="C14" i="15"/>
  <c r="C13" i="15"/>
  <c r="C12" i="15"/>
  <c r="C11" i="15"/>
  <c r="C10" i="15"/>
  <c r="C9" i="15"/>
  <c r="C8" i="15"/>
  <c r="C7" i="15"/>
  <c r="C6" i="15"/>
  <c r="C5" i="15"/>
  <c r="A14" i="15"/>
  <c r="A13" i="15"/>
  <c r="A12" i="15"/>
  <c r="A11" i="15"/>
  <c r="A10" i="15"/>
  <c r="A9" i="15"/>
  <c r="A8" i="15"/>
  <c r="A7" i="15"/>
  <c r="A6" i="15"/>
  <c r="A5" i="15"/>
  <c r="G4" i="15"/>
  <c r="E4" i="15"/>
  <c r="F14" i="14"/>
  <c r="F13" i="14"/>
  <c r="F12" i="14"/>
  <c r="F11" i="14"/>
  <c r="F10" i="14"/>
  <c r="F9" i="14"/>
  <c r="F8" i="14"/>
  <c r="F7" i="14"/>
  <c r="F6" i="14"/>
  <c r="F5" i="14"/>
  <c r="E14" i="14"/>
  <c r="E13" i="14"/>
  <c r="E12" i="14"/>
  <c r="E11" i="14"/>
  <c r="E10" i="14"/>
  <c r="E9" i="14"/>
  <c r="E8" i="14"/>
  <c r="E7" i="14"/>
  <c r="E6" i="14"/>
  <c r="E5" i="14"/>
  <c r="D14" i="14"/>
  <c r="D13" i="14"/>
  <c r="D12" i="14"/>
  <c r="D11" i="14"/>
  <c r="D10" i="14"/>
  <c r="D9" i="14"/>
  <c r="D8" i="14"/>
  <c r="D7" i="14"/>
  <c r="D6" i="14"/>
  <c r="D5" i="14"/>
  <c r="C14" i="14"/>
  <c r="C13" i="14"/>
  <c r="C12" i="14"/>
  <c r="C11" i="14"/>
  <c r="C10" i="14"/>
  <c r="C9" i="14"/>
  <c r="C8" i="14"/>
  <c r="C7" i="14"/>
  <c r="C6" i="14"/>
  <c r="C5" i="14"/>
  <c r="A14" i="14"/>
  <c r="A13" i="14"/>
  <c r="A12" i="14"/>
  <c r="A11" i="14"/>
  <c r="A10" i="14"/>
  <c r="A9" i="14"/>
  <c r="A8" i="14"/>
  <c r="A7" i="14"/>
  <c r="A6" i="14"/>
  <c r="A5" i="14"/>
  <c r="G4" i="14"/>
  <c r="E4" i="14"/>
  <c r="F14" i="13"/>
  <c r="F13" i="13"/>
  <c r="F12" i="13"/>
  <c r="F11" i="13"/>
  <c r="F10" i="13"/>
  <c r="F9" i="13"/>
  <c r="F8" i="13"/>
  <c r="F7" i="13"/>
  <c r="F6" i="13"/>
  <c r="F5" i="13"/>
  <c r="E14" i="13"/>
  <c r="E13" i="13"/>
  <c r="E12" i="13"/>
  <c r="E11" i="13"/>
  <c r="E10" i="13"/>
  <c r="E9" i="13"/>
  <c r="E8" i="13"/>
  <c r="E7" i="13"/>
  <c r="E6" i="13"/>
  <c r="E5" i="13"/>
  <c r="D14" i="13"/>
  <c r="D13" i="13"/>
  <c r="D12" i="13"/>
  <c r="D11" i="13"/>
  <c r="D10" i="13"/>
  <c r="D9" i="13"/>
  <c r="D8" i="13"/>
  <c r="D7" i="13"/>
  <c r="D6" i="13"/>
  <c r="D5" i="13"/>
  <c r="C14" i="13"/>
  <c r="C13" i="13"/>
  <c r="C12" i="13"/>
  <c r="C11" i="13"/>
  <c r="C10" i="13"/>
  <c r="C9" i="13"/>
  <c r="C8" i="13"/>
  <c r="C7" i="13"/>
  <c r="C6" i="13"/>
  <c r="C5" i="13"/>
  <c r="A14" i="13"/>
  <c r="A13" i="13"/>
  <c r="A12" i="13"/>
  <c r="A11" i="13"/>
  <c r="A10" i="13"/>
  <c r="A9" i="13"/>
  <c r="A8" i="13"/>
  <c r="A7" i="13"/>
  <c r="A6" i="13"/>
  <c r="A5" i="13"/>
  <c r="G4" i="13"/>
  <c r="E4" i="13"/>
  <c r="F14" i="12"/>
  <c r="E14" i="12"/>
  <c r="D14" i="12"/>
  <c r="C14" i="12"/>
  <c r="A14" i="12"/>
  <c r="E13" i="12"/>
  <c r="F13" i="12"/>
  <c r="C13" i="12"/>
  <c r="D13" i="12"/>
  <c r="A13" i="12"/>
  <c r="E12" i="12"/>
  <c r="E11" i="12"/>
  <c r="E10" i="12"/>
  <c r="E9" i="12"/>
  <c r="E8" i="12"/>
  <c r="E7" i="12"/>
  <c r="E6" i="12"/>
  <c r="E5" i="12"/>
  <c r="F12" i="12"/>
  <c r="F11" i="12"/>
  <c r="F10" i="12"/>
  <c r="F9" i="12"/>
  <c r="F8" i="12"/>
  <c r="F7" i="12"/>
  <c r="F6" i="12"/>
  <c r="F5" i="12"/>
  <c r="D12" i="12"/>
  <c r="D11" i="12"/>
  <c r="D10" i="12"/>
  <c r="D9" i="12"/>
  <c r="D8" i="12"/>
  <c r="D7" i="12"/>
  <c r="D6" i="12"/>
  <c r="D5" i="12"/>
  <c r="C12" i="12"/>
  <c r="F12" i="11"/>
  <c r="E12" i="11"/>
  <c r="D12" i="11"/>
  <c r="C12" i="11"/>
  <c r="C11" i="12"/>
  <c r="C10" i="12"/>
  <c r="C9" i="12"/>
  <c r="C8" i="12"/>
  <c r="C7" i="12"/>
  <c r="C6" i="12"/>
  <c r="C5" i="12"/>
  <c r="A12" i="12"/>
  <c r="A11" i="12"/>
  <c r="A10" i="12"/>
  <c r="A9" i="12"/>
  <c r="A8" i="12"/>
  <c r="A7" i="12"/>
  <c r="A6" i="12"/>
  <c r="A5" i="12"/>
  <c r="G4" i="12"/>
  <c r="E4" i="12"/>
  <c r="H13" i="18" l="1"/>
  <c r="H31" i="19"/>
  <c r="G31" i="19"/>
  <c r="H15" i="18"/>
  <c r="H14" i="18"/>
  <c r="G13" i="18"/>
  <c r="H11" i="18"/>
  <c r="H14" i="17"/>
  <c r="H8" i="16"/>
  <c r="H8" i="12"/>
  <c r="G6" i="18"/>
  <c r="H6" i="18"/>
  <c r="H9" i="14"/>
  <c r="G5" i="13"/>
  <c r="H16" i="18"/>
  <c r="H12" i="13"/>
  <c r="H14" i="13"/>
  <c r="H15" i="17"/>
  <c r="H9" i="18"/>
  <c r="H11" i="14"/>
  <c r="H12" i="12"/>
  <c r="H8" i="15"/>
  <c r="G8" i="12"/>
  <c r="H10" i="13"/>
  <c r="CJ63" i="7"/>
  <c r="CC63" i="7"/>
  <c r="CH63" i="7"/>
  <c r="BU63" i="7"/>
  <c r="BW64" i="7" s="1"/>
  <c r="H12" i="16"/>
  <c r="H5" i="17"/>
  <c r="H8" i="18"/>
  <c r="G9" i="15"/>
  <c r="G9" i="16"/>
  <c r="H6" i="13"/>
  <c r="H9" i="13"/>
  <c r="G7" i="14"/>
  <c r="H11" i="17"/>
  <c r="H12" i="17"/>
  <c r="E31" i="18"/>
  <c r="H7" i="18"/>
  <c r="G10" i="18"/>
  <c r="G5" i="17"/>
  <c r="H6" i="12"/>
  <c r="G11" i="15"/>
  <c r="H7" i="17"/>
  <c r="H5" i="14"/>
  <c r="G10" i="15"/>
  <c r="H12" i="15"/>
  <c r="H8" i="17"/>
  <c r="H13" i="12"/>
  <c r="H6" i="15"/>
  <c r="G9" i="13"/>
  <c r="H10" i="17"/>
  <c r="G6" i="12"/>
  <c r="G6" i="14"/>
  <c r="H13" i="14"/>
  <c r="H7" i="16"/>
  <c r="H14" i="16"/>
  <c r="H14" i="15"/>
  <c r="H11" i="16"/>
  <c r="G10" i="14"/>
  <c r="G8" i="18"/>
  <c r="D31" i="18"/>
  <c r="G7" i="13"/>
  <c r="G8" i="16"/>
  <c r="H8" i="13"/>
  <c r="H14" i="14"/>
  <c r="H6" i="14"/>
  <c r="H10" i="15"/>
  <c r="H7" i="14"/>
  <c r="G12" i="16"/>
  <c r="G11" i="16"/>
  <c r="H6" i="17"/>
  <c r="G12" i="12"/>
  <c r="H10" i="14"/>
  <c r="H16" i="17"/>
  <c r="G9" i="17"/>
  <c r="G10" i="17"/>
  <c r="F31" i="18"/>
  <c r="H12" i="18"/>
  <c r="C31" i="18"/>
  <c r="G11" i="18"/>
  <c r="H10" i="18"/>
  <c r="G5" i="18"/>
  <c r="G12" i="18"/>
  <c r="G15" i="18"/>
  <c r="H5" i="18"/>
  <c r="G7" i="18"/>
  <c r="G14" i="18"/>
  <c r="G9" i="18"/>
  <c r="G16" i="18"/>
  <c r="G16" i="17"/>
  <c r="F31" i="17"/>
  <c r="G12" i="17"/>
  <c r="E31" i="17"/>
  <c r="G7" i="17"/>
  <c r="G11" i="17"/>
  <c r="G8" i="17"/>
  <c r="G13" i="17"/>
  <c r="C31" i="17"/>
  <c r="G6" i="17"/>
  <c r="H9" i="17"/>
  <c r="G15" i="17"/>
  <c r="H13" i="17"/>
  <c r="D31" i="17"/>
  <c r="G14" i="17"/>
  <c r="H15" i="16"/>
  <c r="G15" i="16"/>
  <c r="F31" i="16"/>
  <c r="H10" i="16"/>
  <c r="H6" i="16"/>
  <c r="G13" i="16"/>
  <c r="G7" i="16"/>
  <c r="E31" i="16"/>
  <c r="G5" i="16"/>
  <c r="G14" i="16"/>
  <c r="G10" i="16"/>
  <c r="G6" i="16"/>
  <c r="C31" i="16"/>
  <c r="H5" i="16"/>
  <c r="H9" i="16"/>
  <c r="H13" i="16"/>
  <c r="D31" i="16"/>
  <c r="H13" i="15"/>
  <c r="F31" i="15"/>
  <c r="H9" i="15"/>
  <c r="E31" i="15"/>
  <c r="D31" i="15"/>
  <c r="G14" i="15"/>
  <c r="G6" i="15"/>
  <c r="G7" i="15"/>
  <c r="C31" i="15"/>
  <c r="G5" i="15"/>
  <c r="G13" i="15"/>
  <c r="H7" i="15"/>
  <c r="H5" i="15"/>
  <c r="G8" i="15"/>
  <c r="G12" i="15"/>
  <c r="H11" i="15"/>
  <c r="F31" i="14"/>
  <c r="G8" i="14"/>
  <c r="G11" i="14"/>
  <c r="G5" i="14"/>
  <c r="G12" i="14"/>
  <c r="G9" i="14"/>
  <c r="C31" i="14"/>
  <c r="H12" i="14"/>
  <c r="G14" i="14"/>
  <c r="E31" i="14"/>
  <c r="H8" i="14"/>
  <c r="D31" i="14"/>
  <c r="G13" i="14"/>
  <c r="F31" i="13"/>
  <c r="G14" i="13"/>
  <c r="G11" i="13"/>
  <c r="E31" i="13"/>
  <c r="G12" i="13"/>
  <c r="G8" i="13"/>
  <c r="D31" i="13"/>
  <c r="G13" i="13"/>
  <c r="H5" i="13"/>
  <c r="G6" i="13"/>
  <c r="H7" i="13"/>
  <c r="G10" i="13"/>
  <c r="H11" i="13"/>
  <c r="H13" i="13"/>
  <c r="C31" i="13"/>
  <c r="H14" i="12"/>
  <c r="G14" i="12"/>
  <c r="G13" i="12"/>
  <c r="H11" i="12"/>
  <c r="H10" i="12"/>
  <c r="H7" i="12"/>
  <c r="F31" i="12"/>
  <c r="G11" i="12"/>
  <c r="D31" i="12"/>
  <c r="G7" i="12"/>
  <c r="G10" i="12"/>
  <c r="G9" i="12"/>
  <c r="C31" i="12"/>
  <c r="H5" i="12"/>
  <c r="H9" i="12"/>
  <c r="E31" i="12"/>
  <c r="G5" i="12"/>
  <c r="A12" i="11"/>
  <c r="H12" i="11"/>
  <c r="G12" i="11"/>
  <c r="F11" i="11"/>
  <c r="F10" i="11"/>
  <c r="F9" i="11"/>
  <c r="F8" i="11"/>
  <c r="F7" i="11"/>
  <c r="F6" i="11"/>
  <c r="F5" i="11"/>
  <c r="E11" i="11"/>
  <c r="E10" i="11"/>
  <c r="E9" i="11"/>
  <c r="E8" i="11"/>
  <c r="E7" i="11"/>
  <c r="E6" i="11"/>
  <c r="E5" i="11"/>
  <c r="D11" i="11"/>
  <c r="D10" i="11"/>
  <c r="D9" i="11"/>
  <c r="D8" i="11"/>
  <c r="D7" i="11"/>
  <c r="D6" i="11"/>
  <c r="D5" i="11"/>
  <c r="C11" i="11"/>
  <c r="C10" i="11"/>
  <c r="C9" i="11"/>
  <c r="C8" i="11"/>
  <c r="C7" i="11"/>
  <c r="C6" i="11"/>
  <c r="C5" i="11"/>
  <c r="A11" i="11"/>
  <c r="A10" i="11"/>
  <c r="A9" i="11"/>
  <c r="A8" i="11"/>
  <c r="A7" i="11"/>
  <c r="A6" i="11"/>
  <c r="A5" i="11"/>
  <c r="G4" i="11"/>
  <c r="E4" i="11"/>
  <c r="F11" i="10"/>
  <c r="E11" i="10"/>
  <c r="D11" i="10"/>
  <c r="C11" i="10"/>
  <c r="A11" i="10"/>
  <c r="E10" i="10"/>
  <c r="F10" i="10"/>
  <c r="D10" i="10"/>
  <c r="C10" i="10"/>
  <c r="A10" i="10"/>
  <c r="F9" i="10"/>
  <c r="F8" i="10"/>
  <c r="F7" i="10"/>
  <c r="F6" i="10"/>
  <c r="F5" i="10"/>
  <c r="E9" i="10"/>
  <c r="E8" i="10"/>
  <c r="E7" i="10"/>
  <c r="E6" i="10"/>
  <c r="E5" i="10"/>
  <c r="D9" i="10"/>
  <c r="D8" i="10"/>
  <c r="D7" i="10"/>
  <c r="D6" i="10"/>
  <c r="D5" i="10"/>
  <c r="C9" i="10"/>
  <c r="C8" i="10"/>
  <c r="C7" i="10"/>
  <c r="C6" i="10"/>
  <c r="C5" i="10"/>
  <c r="A9" i="10"/>
  <c r="A8" i="10"/>
  <c r="A7" i="10"/>
  <c r="A6" i="10"/>
  <c r="A5" i="10"/>
  <c r="G4" i="10"/>
  <c r="E4" i="10"/>
  <c r="F9" i="6"/>
  <c r="F8" i="6"/>
  <c r="F7" i="6"/>
  <c r="F6" i="6"/>
  <c r="F5" i="6"/>
  <c r="E9" i="6"/>
  <c r="E8" i="6"/>
  <c r="E7" i="6"/>
  <c r="E6" i="6"/>
  <c r="E5" i="6"/>
  <c r="D9" i="6"/>
  <c r="D8" i="6"/>
  <c r="D7" i="6"/>
  <c r="D6" i="6"/>
  <c r="D5" i="6"/>
  <c r="C9" i="6"/>
  <c r="C8" i="6"/>
  <c r="C7" i="6"/>
  <c r="C6" i="6"/>
  <c r="C5" i="6"/>
  <c r="A9" i="6"/>
  <c r="A8" i="6"/>
  <c r="A7" i="6"/>
  <c r="A6" i="6"/>
  <c r="A5" i="6"/>
  <c r="G4" i="6"/>
  <c r="E4" i="6"/>
  <c r="F9" i="5"/>
  <c r="F8" i="5"/>
  <c r="F7" i="5"/>
  <c r="F6" i="5"/>
  <c r="F5" i="5"/>
  <c r="E9" i="5"/>
  <c r="E8" i="5"/>
  <c r="E7" i="5"/>
  <c r="E6" i="5"/>
  <c r="E5" i="5"/>
  <c r="D9" i="5"/>
  <c r="D8" i="5"/>
  <c r="D7" i="5"/>
  <c r="D6" i="5"/>
  <c r="D5" i="5"/>
  <c r="C9" i="5"/>
  <c r="C8" i="5"/>
  <c r="C7" i="5"/>
  <c r="C6" i="5"/>
  <c r="C5" i="5"/>
  <c r="A9" i="5"/>
  <c r="A8" i="5"/>
  <c r="A7" i="5"/>
  <c r="A6" i="5"/>
  <c r="A5" i="5"/>
  <c r="G4" i="5"/>
  <c r="E4" i="5"/>
  <c r="F9" i="4"/>
  <c r="F8" i="4"/>
  <c r="E9" i="4"/>
  <c r="D9" i="4"/>
  <c r="C9" i="4"/>
  <c r="A9" i="4"/>
  <c r="F7" i="4"/>
  <c r="F6" i="4"/>
  <c r="F5" i="4"/>
  <c r="E8" i="4"/>
  <c r="E7" i="4"/>
  <c r="E6" i="4"/>
  <c r="E5" i="4"/>
  <c r="D8" i="4"/>
  <c r="D7" i="4"/>
  <c r="D6" i="4"/>
  <c r="D5" i="4"/>
  <c r="C8" i="4"/>
  <c r="C7" i="4"/>
  <c r="C6" i="4"/>
  <c r="C5" i="4"/>
  <c r="A8" i="4"/>
  <c r="A7" i="4"/>
  <c r="A6" i="4"/>
  <c r="A5" i="4"/>
  <c r="G4" i="4"/>
  <c r="E4" i="4"/>
  <c r="F8" i="9"/>
  <c r="F7" i="9"/>
  <c r="F6" i="9"/>
  <c r="F5" i="9"/>
  <c r="E8" i="9"/>
  <c r="E7" i="9"/>
  <c r="E6" i="9"/>
  <c r="E5" i="9"/>
  <c r="D8" i="9"/>
  <c r="D7" i="9"/>
  <c r="D6" i="9"/>
  <c r="D5" i="9"/>
  <c r="C8" i="9"/>
  <c r="C7" i="9"/>
  <c r="C6" i="9"/>
  <c r="C5" i="9"/>
  <c r="A8" i="9"/>
  <c r="A7" i="9"/>
  <c r="A6" i="9"/>
  <c r="A5" i="9"/>
  <c r="G4" i="9"/>
  <c r="E4" i="9"/>
  <c r="F8" i="8"/>
  <c r="F7" i="8"/>
  <c r="F6" i="8"/>
  <c r="F5" i="8"/>
  <c r="E8" i="8"/>
  <c r="E7" i="8"/>
  <c r="E6" i="8"/>
  <c r="E5" i="8"/>
  <c r="D8" i="8"/>
  <c r="D7" i="8"/>
  <c r="D6" i="8"/>
  <c r="D5" i="8"/>
  <c r="C8" i="8"/>
  <c r="C7" i="8"/>
  <c r="C6" i="8"/>
  <c r="C5" i="8"/>
  <c r="G4" i="8"/>
  <c r="E4" i="8"/>
  <c r="A8" i="8"/>
  <c r="A7" i="8"/>
  <c r="A6" i="8"/>
  <c r="A5" i="8"/>
  <c r="F8" i="2"/>
  <c r="F7" i="2"/>
  <c r="F6" i="2"/>
  <c r="F5" i="2"/>
  <c r="F6" i="1"/>
  <c r="F5" i="1"/>
  <c r="C8" i="2"/>
  <c r="C7" i="2"/>
  <c r="C6" i="2"/>
  <c r="C5" i="2"/>
  <c r="E8" i="2"/>
  <c r="D8" i="2"/>
  <c r="A8" i="2"/>
  <c r="E7" i="2"/>
  <c r="D7" i="2"/>
  <c r="A7" i="2"/>
  <c r="E6" i="2"/>
  <c r="D6" i="2"/>
  <c r="A6" i="2"/>
  <c r="E5" i="2"/>
  <c r="D5" i="2"/>
  <c r="A5" i="2"/>
  <c r="E6" i="1"/>
  <c r="E5" i="1"/>
  <c r="D6" i="1"/>
  <c r="D5" i="1"/>
  <c r="C6" i="1"/>
  <c r="C5" i="1"/>
  <c r="A6" i="1"/>
  <c r="A5" i="1"/>
  <c r="D62" i="7"/>
  <c r="G62" i="7"/>
  <c r="J62" i="7"/>
  <c r="M62" i="7"/>
  <c r="P62" i="7"/>
  <c r="S62" i="7"/>
  <c r="AB62" i="7"/>
  <c r="V62" i="7"/>
  <c r="AE62" i="7"/>
  <c r="Y62" i="7"/>
  <c r="AT62" i="7"/>
  <c r="AH62" i="7"/>
  <c r="AK62" i="7"/>
  <c r="AN62" i="7"/>
  <c r="AQ62" i="7"/>
  <c r="AW62" i="7"/>
  <c r="AZ62" i="7"/>
  <c r="BQ62" i="7"/>
  <c r="BR62" i="7"/>
  <c r="BS63" i="7" s="1"/>
  <c r="BT62" i="7"/>
  <c r="BY62" i="7"/>
  <c r="CA63" i="7"/>
  <c r="CG62" i="7"/>
  <c r="CO62" i="7"/>
  <c r="CP62" i="7"/>
  <c r="CQ62" i="7"/>
  <c r="CR62" i="7"/>
  <c r="CS62" i="7"/>
  <c r="CT62" i="7"/>
  <c r="CU62" i="7"/>
  <c r="CX62" i="7"/>
  <c r="CV62" i="7"/>
  <c r="CY62" i="7"/>
  <c r="CW62" i="7"/>
  <c r="DD62" i="7"/>
  <c r="CZ62" i="7"/>
  <c r="DA62" i="7"/>
  <c r="DB62" i="7"/>
  <c r="DC62" i="7"/>
  <c r="DE62" i="7"/>
  <c r="DF62" i="7"/>
  <c r="DH62" i="7"/>
  <c r="DF5" i="7"/>
  <c r="DF6" i="7"/>
  <c r="DF7" i="7"/>
  <c r="DF8" i="7"/>
  <c r="DF9" i="7"/>
  <c r="DF10" i="7"/>
  <c r="DF11" i="7"/>
  <c r="DF12" i="7"/>
  <c r="DF13" i="7"/>
  <c r="DF14" i="7"/>
  <c r="DF15" i="7"/>
  <c r="DF16" i="7"/>
  <c r="DF17" i="7"/>
  <c r="DF18" i="7"/>
  <c r="DF19" i="7"/>
  <c r="DF20" i="7"/>
  <c r="DF21" i="7"/>
  <c r="DF22" i="7"/>
  <c r="DF23" i="7"/>
  <c r="DF24" i="7"/>
  <c r="DF25" i="7"/>
  <c r="DF26" i="7"/>
  <c r="DF27" i="7"/>
  <c r="DF28" i="7"/>
  <c r="DF29" i="7"/>
  <c r="DF30" i="7"/>
  <c r="DF31" i="7"/>
  <c r="DF32" i="7"/>
  <c r="DF33" i="7"/>
  <c r="DF34" i="7"/>
  <c r="DF35" i="7"/>
  <c r="DF36" i="7"/>
  <c r="DF37" i="7"/>
  <c r="DF38" i="7"/>
  <c r="DF39" i="7"/>
  <c r="DF40" i="7"/>
  <c r="DF41" i="7"/>
  <c r="DF42" i="7"/>
  <c r="DF43" i="7"/>
  <c r="DF44" i="7"/>
  <c r="DF45" i="7"/>
  <c r="DF46" i="7"/>
  <c r="DF47" i="7"/>
  <c r="DF48" i="7"/>
  <c r="DF49" i="7"/>
  <c r="DF50" i="7"/>
  <c r="DF51" i="7"/>
  <c r="DF52" i="7"/>
  <c r="DF53" i="7"/>
  <c r="DF54" i="7"/>
  <c r="DF55" i="7"/>
  <c r="DF56" i="7"/>
  <c r="DF57" i="7"/>
  <c r="DF58" i="7"/>
  <c r="DF59" i="7"/>
  <c r="DF60" i="7"/>
  <c r="DF61" i="7"/>
  <c r="DF4" i="7"/>
  <c r="CD63" i="7" l="1"/>
  <c r="CE64" i="7"/>
  <c r="H5" i="1"/>
  <c r="H5" i="8"/>
  <c r="CI63" i="7"/>
  <c r="CK63" i="7"/>
  <c r="BV63" i="7"/>
  <c r="H8" i="11"/>
  <c r="G9" i="10"/>
  <c r="G9" i="4"/>
  <c r="H9" i="6"/>
  <c r="H11" i="10"/>
  <c r="G6" i="10"/>
  <c r="G7" i="2"/>
  <c r="H8" i="9"/>
  <c r="H5" i="5"/>
  <c r="H10" i="10"/>
  <c r="G6" i="11"/>
  <c r="H11" i="11"/>
  <c r="G6" i="1"/>
  <c r="G8" i="2"/>
  <c r="H5" i="2"/>
  <c r="H8" i="5"/>
  <c r="H9" i="5"/>
  <c r="H5" i="10"/>
  <c r="F31" i="8"/>
  <c r="H6" i="2"/>
  <c r="H31" i="18"/>
  <c r="G31" i="18"/>
  <c r="H31" i="17"/>
  <c r="G31" i="17"/>
  <c r="G31" i="16"/>
  <c r="H31" i="16"/>
  <c r="H31" i="15"/>
  <c r="G31" i="15"/>
  <c r="H31" i="14"/>
  <c r="G31" i="14"/>
  <c r="G31" i="13"/>
  <c r="H31" i="13"/>
  <c r="G31" i="12"/>
  <c r="H31" i="12"/>
  <c r="F31" i="11"/>
  <c r="H9" i="11"/>
  <c r="H7" i="11"/>
  <c r="E31" i="11"/>
  <c r="G9" i="11"/>
  <c r="D31" i="11"/>
  <c r="G10" i="11"/>
  <c r="G8" i="11"/>
  <c r="C31" i="11"/>
  <c r="G5" i="11"/>
  <c r="H6" i="11"/>
  <c r="H10" i="11"/>
  <c r="H5" i="11"/>
  <c r="G7" i="11"/>
  <c r="G11" i="11"/>
  <c r="G11" i="10"/>
  <c r="G10" i="10"/>
  <c r="H8" i="10"/>
  <c r="G7" i="10"/>
  <c r="H6" i="1"/>
  <c r="H31" i="1" s="1"/>
  <c r="G5" i="2"/>
  <c r="H8" i="2"/>
  <c r="F31" i="2"/>
  <c r="H7" i="2"/>
  <c r="C31" i="9"/>
  <c r="H9" i="4"/>
  <c r="F31" i="10"/>
  <c r="H6" i="10"/>
  <c r="H7" i="10"/>
  <c r="H9" i="10"/>
  <c r="F31" i="5"/>
  <c r="C31" i="10"/>
  <c r="G5" i="10"/>
  <c r="D31" i="1"/>
  <c r="F31" i="1"/>
  <c r="H7" i="4"/>
  <c r="E31" i="10"/>
  <c r="G8" i="10"/>
  <c r="D31" i="10"/>
  <c r="H8" i="6"/>
  <c r="H6" i="6"/>
  <c r="F31" i="6"/>
  <c r="H5" i="6"/>
  <c r="E31" i="6"/>
  <c r="G6" i="6"/>
  <c r="G8" i="6"/>
  <c r="C31" i="6"/>
  <c r="G7" i="6"/>
  <c r="G5" i="6"/>
  <c r="G9" i="6"/>
  <c r="H7" i="6"/>
  <c r="D31" i="6"/>
  <c r="H6" i="5"/>
  <c r="E31" i="5"/>
  <c r="G6" i="5"/>
  <c r="G7" i="5"/>
  <c r="C31" i="5"/>
  <c r="G5" i="5"/>
  <c r="G9" i="5"/>
  <c r="G8" i="5"/>
  <c r="H7" i="5"/>
  <c r="D31" i="5"/>
  <c r="G5" i="1"/>
  <c r="G7" i="8"/>
  <c r="C31" i="4"/>
  <c r="F31" i="4"/>
  <c r="G7" i="4"/>
  <c r="H8" i="4"/>
  <c r="E31" i="2"/>
  <c r="H6" i="8"/>
  <c r="G6" i="8"/>
  <c r="H7" i="9"/>
  <c r="H8" i="8"/>
  <c r="H5" i="4"/>
  <c r="D31" i="2"/>
  <c r="D31" i="9"/>
  <c r="E31" i="4"/>
  <c r="G6" i="4"/>
  <c r="G8" i="4"/>
  <c r="H6" i="4"/>
  <c r="D31" i="4"/>
  <c r="G5" i="4"/>
  <c r="F31" i="9"/>
  <c r="G8" i="9"/>
  <c r="E31" i="9"/>
  <c r="G6" i="9"/>
  <c r="G7" i="9"/>
  <c r="G5" i="9"/>
  <c r="H6" i="9"/>
  <c r="H5" i="9"/>
  <c r="E31" i="8"/>
  <c r="G5" i="8"/>
  <c r="C31" i="8"/>
  <c r="D31" i="8"/>
  <c r="G8" i="8"/>
  <c r="H7" i="8"/>
  <c r="G6" i="2"/>
  <c r="C31" i="2"/>
  <c r="C31" i="1"/>
  <c r="E31" i="1"/>
  <c r="CJ62" i="7"/>
  <c r="CC62" i="7"/>
  <c r="CE63" i="7" s="1"/>
  <c r="CH62" i="7"/>
  <c r="BU62" i="7"/>
  <c r="BV62" i="7" s="1"/>
  <c r="CI3" i="7"/>
  <c r="CA62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T35" i="7"/>
  <c r="BT36" i="7"/>
  <c r="BT37" i="7"/>
  <c r="BT38" i="7"/>
  <c r="BT39" i="7"/>
  <c r="BT40" i="7"/>
  <c r="BT41" i="7"/>
  <c r="BT42" i="7"/>
  <c r="BT43" i="7"/>
  <c r="BT44" i="7"/>
  <c r="BT45" i="7"/>
  <c r="BT46" i="7"/>
  <c r="BT47" i="7"/>
  <c r="BT48" i="7"/>
  <c r="BT49" i="7"/>
  <c r="BT50" i="7"/>
  <c r="BT51" i="7"/>
  <c r="BT52" i="7"/>
  <c r="BT53" i="7"/>
  <c r="BT54" i="7"/>
  <c r="BT55" i="7"/>
  <c r="BT56" i="7"/>
  <c r="BT57" i="7"/>
  <c r="BT58" i="7"/>
  <c r="BT59" i="7"/>
  <c r="BT60" i="7"/>
  <c r="BT61" i="7"/>
  <c r="BT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R35" i="7"/>
  <c r="BR36" i="7"/>
  <c r="BR37" i="7"/>
  <c r="BR38" i="7"/>
  <c r="BR39" i="7"/>
  <c r="BR40" i="7"/>
  <c r="BR41" i="7"/>
  <c r="BR42" i="7"/>
  <c r="BR43" i="7"/>
  <c r="BR44" i="7"/>
  <c r="BR45" i="7"/>
  <c r="BR46" i="7"/>
  <c r="BR47" i="7"/>
  <c r="BR48" i="7"/>
  <c r="BR49" i="7"/>
  <c r="BR50" i="7"/>
  <c r="BR51" i="7"/>
  <c r="BR52" i="7"/>
  <c r="BR53" i="7"/>
  <c r="BR54" i="7"/>
  <c r="BR55" i="7"/>
  <c r="BR56" i="7"/>
  <c r="BR57" i="7"/>
  <c r="BR58" i="7"/>
  <c r="BR59" i="7"/>
  <c r="BR60" i="7"/>
  <c r="BR61" i="7"/>
  <c r="BS62" i="7" s="1"/>
  <c r="BR3" i="7"/>
  <c r="DF3" i="7"/>
  <c r="DF2" i="7"/>
  <c r="AZ61" i="7"/>
  <c r="CL63" i="7" l="1"/>
  <c r="CM64" i="7"/>
  <c r="BW63" i="7"/>
  <c r="CA8" i="7"/>
  <c r="CC6" i="7"/>
  <c r="G31" i="1"/>
  <c r="H31" i="2"/>
  <c r="G31" i="2"/>
  <c r="H31" i="5"/>
  <c r="H31" i="8"/>
  <c r="H31" i="11"/>
  <c r="G31" i="11"/>
  <c r="H31" i="10"/>
  <c r="G31" i="10"/>
  <c r="CC29" i="7"/>
  <c r="H31" i="6"/>
  <c r="G31" i="6"/>
  <c r="G31" i="5"/>
  <c r="G31" i="4"/>
  <c r="CA18" i="7"/>
  <c r="H31" i="4"/>
  <c r="H31" i="9"/>
  <c r="G31" i="9"/>
  <c r="G31" i="8"/>
  <c r="CC21" i="7"/>
  <c r="CH60" i="7"/>
  <c r="CH56" i="7"/>
  <c r="CH52" i="7"/>
  <c r="CH48" i="7"/>
  <c r="CH44" i="7"/>
  <c r="CH40" i="7"/>
  <c r="CH36" i="7"/>
  <c r="CH32" i="7"/>
  <c r="CH28" i="7"/>
  <c r="CH24" i="7"/>
  <c r="CH20" i="7"/>
  <c r="CH16" i="7"/>
  <c r="CH12" i="7"/>
  <c r="CH8" i="7"/>
  <c r="CH4" i="7"/>
  <c r="CJ59" i="7"/>
  <c r="CJ55" i="7"/>
  <c r="CJ51" i="7"/>
  <c r="CJ47" i="7"/>
  <c r="CJ43" i="7"/>
  <c r="CJ39" i="7"/>
  <c r="CJ35" i="7"/>
  <c r="CJ31" i="7"/>
  <c r="CJ27" i="7"/>
  <c r="CJ23" i="7"/>
  <c r="CJ19" i="7"/>
  <c r="CJ15" i="7"/>
  <c r="CJ11" i="7"/>
  <c r="CJ7" i="7"/>
  <c r="CC23" i="7"/>
  <c r="CA20" i="7"/>
  <c r="CH37" i="7"/>
  <c r="CA33" i="7"/>
  <c r="CH29" i="7"/>
  <c r="CA25" i="7"/>
  <c r="CA21" i="7"/>
  <c r="CH17" i="7"/>
  <c r="CA13" i="7"/>
  <c r="CA9" i="7"/>
  <c r="CH5" i="7"/>
  <c r="CJ60" i="7"/>
  <c r="CJ56" i="7"/>
  <c r="CJ52" i="7"/>
  <c r="CJ48" i="7"/>
  <c r="CJ44" i="7"/>
  <c r="CJ40" i="7"/>
  <c r="CJ36" i="7"/>
  <c r="CC32" i="7"/>
  <c r="CJ28" i="7"/>
  <c r="CJ24" i="7"/>
  <c r="CC20" i="7"/>
  <c r="CJ12" i="7"/>
  <c r="CC8" i="7"/>
  <c r="CJ4" i="7"/>
  <c r="CH26" i="7"/>
  <c r="CH14" i="7"/>
  <c r="CH6" i="7"/>
  <c r="CJ57" i="7"/>
  <c r="CJ49" i="7"/>
  <c r="CJ45" i="7"/>
  <c r="CJ37" i="7"/>
  <c r="CJ29" i="7"/>
  <c r="CJ21" i="7"/>
  <c r="CJ13" i="7"/>
  <c r="CJ16" i="7"/>
  <c r="CJ8" i="7"/>
  <c r="CH3" i="7"/>
  <c r="CH22" i="7"/>
  <c r="CH18" i="7"/>
  <c r="CH10" i="7"/>
  <c r="CJ61" i="7"/>
  <c r="CJ53" i="7"/>
  <c r="CJ41" i="7"/>
  <c r="CJ33" i="7"/>
  <c r="CJ25" i="7"/>
  <c r="CJ17" i="7"/>
  <c r="CJ9" i="7"/>
  <c r="CJ5" i="7"/>
  <c r="CC4" i="7"/>
  <c r="CJ20" i="7"/>
  <c r="CC9" i="7"/>
  <c r="CA24" i="7"/>
  <c r="CA12" i="7"/>
  <c r="CJ32" i="7"/>
  <c r="CC33" i="7"/>
  <c r="CH59" i="7"/>
  <c r="CH55" i="7"/>
  <c r="CH51" i="7"/>
  <c r="CH47" i="7"/>
  <c r="CH43" i="7"/>
  <c r="CH39" i="7"/>
  <c r="CH35" i="7"/>
  <c r="CH31" i="7"/>
  <c r="CH27" i="7"/>
  <c r="CH23" i="7"/>
  <c r="CH19" i="7"/>
  <c r="CH15" i="7"/>
  <c r="CH11" i="7"/>
  <c r="CH7" i="7"/>
  <c r="CJ3" i="7"/>
  <c r="CJ58" i="7"/>
  <c r="CJ54" i="7"/>
  <c r="CJ50" i="7"/>
  <c r="CJ46" i="7"/>
  <c r="CJ42" i="7"/>
  <c r="CJ38" i="7"/>
  <c r="CJ34" i="7"/>
  <c r="CJ30" i="7"/>
  <c r="CJ26" i="7"/>
  <c r="CJ22" i="7"/>
  <c r="CJ18" i="7"/>
  <c r="CJ14" i="7"/>
  <c r="CJ10" i="7"/>
  <c r="CJ6" i="7"/>
  <c r="CH34" i="7"/>
  <c r="CC30" i="7"/>
  <c r="CC22" i="7"/>
  <c r="CC18" i="7"/>
  <c r="CC10" i="7"/>
  <c r="CA6" i="7"/>
  <c r="CC17" i="7"/>
  <c r="CC5" i="7"/>
  <c r="CH30" i="7"/>
  <c r="CA22" i="7"/>
  <c r="CH58" i="7"/>
  <c r="CH50" i="7"/>
  <c r="CH42" i="7"/>
  <c r="CH33" i="7"/>
  <c r="CH25" i="7"/>
  <c r="CH21" i="7"/>
  <c r="CH13" i="7"/>
  <c r="CH9" i="7"/>
  <c r="CA11" i="7"/>
  <c r="CI62" i="7"/>
  <c r="CH57" i="7"/>
  <c r="CH53" i="7"/>
  <c r="CH49" i="7"/>
  <c r="CH45" i="7"/>
  <c r="CH41" i="7"/>
  <c r="CA29" i="7"/>
  <c r="CC11" i="7"/>
  <c r="CA30" i="7"/>
  <c r="CH54" i="7"/>
  <c r="CH46" i="7"/>
  <c r="CH38" i="7"/>
  <c r="CA31" i="7"/>
  <c r="CA23" i="7"/>
  <c r="CA19" i="7"/>
  <c r="CA7" i="7"/>
  <c r="CK62" i="7"/>
  <c r="CL62" i="7" s="1"/>
  <c r="CH61" i="7"/>
  <c r="CD62" i="7"/>
  <c r="CA27" i="7"/>
  <c r="CA15" i="7"/>
  <c r="CC3" i="7"/>
  <c r="CE3" i="7" s="1"/>
  <c r="CA10" i="7"/>
  <c r="CA32" i="7"/>
  <c r="CA16" i="7"/>
  <c r="CA4" i="7"/>
  <c r="CA5" i="7"/>
  <c r="CA14" i="7"/>
  <c r="CA26" i="7"/>
  <c r="CA17" i="7"/>
  <c r="CC16" i="7"/>
  <c r="CC28" i="7"/>
  <c r="CA28" i="7"/>
  <c r="CC12" i="7"/>
  <c r="CC24" i="7"/>
  <c r="CC7" i="7"/>
  <c r="CC13" i="7"/>
  <c r="CC19" i="7"/>
  <c r="CC25" i="7"/>
  <c r="CC31" i="7"/>
  <c r="CC14" i="7"/>
  <c r="CC26" i="7"/>
  <c r="CC15" i="7"/>
  <c r="CC27" i="7"/>
  <c r="D61" i="7"/>
  <c r="G61" i="7"/>
  <c r="J61" i="7"/>
  <c r="M61" i="7"/>
  <c r="P61" i="7"/>
  <c r="S61" i="7"/>
  <c r="AB61" i="7"/>
  <c r="V61" i="7"/>
  <c r="AE61" i="7"/>
  <c r="Y61" i="7"/>
  <c r="AT61" i="7"/>
  <c r="AH61" i="7"/>
  <c r="AK61" i="7"/>
  <c r="AN61" i="7"/>
  <c r="AQ61" i="7"/>
  <c r="AW61" i="7"/>
  <c r="CO61" i="7"/>
  <c r="CP61" i="7"/>
  <c r="CQ61" i="7"/>
  <c r="CR61" i="7"/>
  <c r="CS61" i="7"/>
  <c r="CT61" i="7"/>
  <c r="CU61" i="7"/>
  <c r="CX61" i="7"/>
  <c r="CV61" i="7"/>
  <c r="CY61" i="7"/>
  <c r="CW61" i="7"/>
  <c r="DD61" i="7"/>
  <c r="CZ61" i="7"/>
  <c r="DA61" i="7"/>
  <c r="DB61" i="7"/>
  <c r="DC61" i="7"/>
  <c r="DE61" i="7"/>
  <c r="DH61" i="7"/>
  <c r="DH5" i="7"/>
  <c r="DH6" i="7"/>
  <c r="DH7" i="7"/>
  <c r="DH8" i="7"/>
  <c r="DH9" i="7"/>
  <c r="DH10" i="7"/>
  <c r="DH11" i="7"/>
  <c r="DH12" i="7"/>
  <c r="DH13" i="7"/>
  <c r="DH14" i="7"/>
  <c r="DH15" i="7"/>
  <c r="DH16" i="7"/>
  <c r="DH17" i="7"/>
  <c r="DH18" i="7"/>
  <c r="DH19" i="7"/>
  <c r="DH20" i="7"/>
  <c r="DH21" i="7"/>
  <c r="DH22" i="7"/>
  <c r="DH23" i="7"/>
  <c r="DH24" i="7"/>
  <c r="DH25" i="7"/>
  <c r="DH26" i="7"/>
  <c r="DH27" i="7"/>
  <c r="DH28" i="7"/>
  <c r="DH29" i="7"/>
  <c r="DH30" i="7"/>
  <c r="DH31" i="7"/>
  <c r="DH32" i="7"/>
  <c r="DH33" i="7"/>
  <c r="DH34" i="7"/>
  <c r="DH35" i="7"/>
  <c r="DH36" i="7"/>
  <c r="DH37" i="7"/>
  <c r="DH38" i="7"/>
  <c r="DH39" i="7"/>
  <c r="DH40" i="7"/>
  <c r="DH41" i="7"/>
  <c r="DH42" i="7"/>
  <c r="DH43" i="7"/>
  <c r="DH44" i="7"/>
  <c r="DH45" i="7"/>
  <c r="DH46" i="7"/>
  <c r="DH47" i="7"/>
  <c r="DH48" i="7"/>
  <c r="DH49" i="7"/>
  <c r="DH50" i="7"/>
  <c r="DH51" i="7"/>
  <c r="DH52" i="7"/>
  <c r="DH53" i="7"/>
  <c r="DH54" i="7"/>
  <c r="DH55" i="7"/>
  <c r="DH56" i="7"/>
  <c r="DH57" i="7"/>
  <c r="DH58" i="7"/>
  <c r="DH59" i="7"/>
  <c r="DH60" i="7"/>
  <c r="DH4" i="7"/>
  <c r="DH3" i="7"/>
  <c r="CE28" i="7" l="1"/>
  <c r="CM63" i="7"/>
  <c r="CE33" i="7"/>
  <c r="CE22" i="7"/>
  <c r="CE32" i="7"/>
  <c r="CE8" i="7"/>
  <c r="CE29" i="7"/>
  <c r="CE9" i="7"/>
  <c r="CE30" i="7"/>
  <c r="CE21" i="7"/>
  <c r="CE17" i="7"/>
  <c r="CE18" i="7"/>
  <c r="CE23" i="7"/>
  <c r="CE5" i="7"/>
  <c r="CE6" i="7"/>
  <c r="CE24" i="7"/>
  <c r="CE11" i="7"/>
  <c r="CE20" i="7"/>
  <c r="CE12" i="7"/>
  <c r="CE13" i="7"/>
  <c r="CE10" i="7"/>
  <c r="CE4" i="7"/>
  <c r="CE14" i="7"/>
  <c r="CE7" i="7"/>
  <c r="CE16" i="7"/>
  <c r="CE25" i="7"/>
  <c r="CE31" i="7"/>
  <c r="CE27" i="7"/>
  <c r="CE26" i="7"/>
  <c r="CE19" i="7"/>
  <c r="CE15" i="7"/>
  <c r="BS61" i="7"/>
  <c r="BU61" i="7"/>
  <c r="BW62" i="7" s="1"/>
  <c r="D60" i="7"/>
  <c r="G60" i="7"/>
  <c r="J60" i="7"/>
  <c r="M60" i="7"/>
  <c r="P60" i="7"/>
  <c r="S60" i="7"/>
  <c r="AB60" i="7"/>
  <c r="V60" i="7"/>
  <c r="AE60" i="7"/>
  <c r="Y60" i="7"/>
  <c r="AT60" i="7"/>
  <c r="AH60" i="7"/>
  <c r="AK60" i="7"/>
  <c r="AN60" i="7"/>
  <c r="AQ60" i="7"/>
  <c r="AW60" i="7"/>
  <c r="CO60" i="7"/>
  <c r="CP60" i="7"/>
  <c r="CQ60" i="7"/>
  <c r="CR60" i="7"/>
  <c r="CS60" i="7"/>
  <c r="CT60" i="7"/>
  <c r="CU60" i="7"/>
  <c r="CX60" i="7"/>
  <c r="CV60" i="7"/>
  <c r="CY60" i="7"/>
  <c r="CW60" i="7"/>
  <c r="DD60" i="7"/>
  <c r="CZ60" i="7"/>
  <c r="DA60" i="7"/>
  <c r="DB60" i="7"/>
  <c r="DC60" i="7"/>
  <c r="DE60" i="7"/>
  <c r="D59" i="7"/>
  <c r="G59" i="7"/>
  <c r="J59" i="7"/>
  <c r="M59" i="7"/>
  <c r="P59" i="7"/>
  <c r="S59" i="7"/>
  <c r="AB59" i="7"/>
  <c r="V59" i="7"/>
  <c r="AE59" i="7"/>
  <c r="Y59" i="7"/>
  <c r="AT59" i="7"/>
  <c r="AH59" i="7"/>
  <c r="AK59" i="7"/>
  <c r="AN59" i="7"/>
  <c r="AQ59" i="7"/>
  <c r="AW59" i="7"/>
  <c r="CO59" i="7"/>
  <c r="CP59" i="7"/>
  <c r="CQ59" i="7"/>
  <c r="CR59" i="7"/>
  <c r="CS59" i="7"/>
  <c r="CT59" i="7"/>
  <c r="CU59" i="7"/>
  <c r="CX59" i="7"/>
  <c r="CV59" i="7"/>
  <c r="CY59" i="7"/>
  <c r="CW59" i="7"/>
  <c r="DD59" i="7"/>
  <c r="CZ59" i="7"/>
  <c r="DA59" i="7"/>
  <c r="DB59" i="7"/>
  <c r="DC59" i="7"/>
  <c r="DE59" i="7"/>
  <c r="CO4" i="7"/>
  <c r="CO5" i="7"/>
  <c r="CO6" i="7"/>
  <c r="CO7" i="7"/>
  <c r="CO8" i="7"/>
  <c r="CO9" i="7"/>
  <c r="CO10" i="7"/>
  <c r="CO11" i="7"/>
  <c r="CO12" i="7"/>
  <c r="CO13" i="7"/>
  <c r="CO14" i="7"/>
  <c r="CO15" i="7"/>
  <c r="CO16" i="7"/>
  <c r="CO17" i="7"/>
  <c r="CO18" i="7"/>
  <c r="CO19" i="7"/>
  <c r="CO20" i="7"/>
  <c r="CO21" i="7"/>
  <c r="CO22" i="7"/>
  <c r="CO23" i="7"/>
  <c r="CO24" i="7"/>
  <c r="CO25" i="7"/>
  <c r="CO26" i="7"/>
  <c r="CO27" i="7"/>
  <c r="CO28" i="7"/>
  <c r="CO29" i="7"/>
  <c r="CO30" i="7"/>
  <c r="CO31" i="7"/>
  <c r="CO32" i="7"/>
  <c r="CO33" i="7"/>
  <c r="CO34" i="7"/>
  <c r="CO35" i="7"/>
  <c r="CO36" i="7"/>
  <c r="CO37" i="7"/>
  <c r="CO38" i="7"/>
  <c r="CO39" i="7"/>
  <c r="CO40" i="7"/>
  <c r="CO41" i="7"/>
  <c r="CO42" i="7"/>
  <c r="CO43" i="7"/>
  <c r="CO44" i="7"/>
  <c r="CO45" i="7"/>
  <c r="CO46" i="7"/>
  <c r="CO47" i="7"/>
  <c r="CO48" i="7"/>
  <c r="CO49" i="7"/>
  <c r="CO50" i="7"/>
  <c r="CO51" i="7"/>
  <c r="CO52" i="7"/>
  <c r="CO53" i="7"/>
  <c r="CO54" i="7"/>
  <c r="CO55" i="7"/>
  <c r="CO56" i="7"/>
  <c r="CO57" i="7"/>
  <c r="CO58" i="7"/>
  <c r="CO3" i="7"/>
  <c r="CO2" i="7"/>
  <c r="CP5" i="7"/>
  <c r="CP6" i="7"/>
  <c r="CP7" i="7"/>
  <c r="CP8" i="7"/>
  <c r="CP9" i="7"/>
  <c r="CP10" i="7"/>
  <c r="CP11" i="7"/>
  <c r="CP12" i="7"/>
  <c r="CP13" i="7"/>
  <c r="CP14" i="7"/>
  <c r="CP15" i="7"/>
  <c r="CP16" i="7"/>
  <c r="CP17" i="7"/>
  <c r="CP18" i="7"/>
  <c r="CP19" i="7"/>
  <c r="CP20" i="7"/>
  <c r="CP21" i="7"/>
  <c r="CP22" i="7"/>
  <c r="CP23" i="7"/>
  <c r="CP24" i="7"/>
  <c r="CP25" i="7"/>
  <c r="CP26" i="7"/>
  <c r="CP27" i="7"/>
  <c r="CP28" i="7"/>
  <c r="CP29" i="7"/>
  <c r="CP30" i="7"/>
  <c r="CP31" i="7"/>
  <c r="CP32" i="7"/>
  <c r="CP33" i="7"/>
  <c r="CP34" i="7"/>
  <c r="CP35" i="7"/>
  <c r="CP36" i="7"/>
  <c r="CP37" i="7"/>
  <c r="CP38" i="7"/>
  <c r="CP39" i="7"/>
  <c r="CP40" i="7"/>
  <c r="CP41" i="7"/>
  <c r="CP42" i="7"/>
  <c r="CP43" i="7"/>
  <c r="CP44" i="7"/>
  <c r="CP45" i="7"/>
  <c r="CP46" i="7"/>
  <c r="CP47" i="7"/>
  <c r="CP48" i="7"/>
  <c r="CP49" i="7"/>
  <c r="CP50" i="7"/>
  <c r="CP51" i="7"/>
  <c r="CP52" i="7"/>
  <c r="CP53" i="7"/>
  <c r="CP54" i="7"/>
  <c r="CP55" i="7"/>
  <c r="CP56" i="7"/>
  <c r="CP57" i="7"/>
  <c r="CP58" i="7"/>
  <c r="CP4" i="7"/>
  <c r="CP3" i="7"/>
  <c r="CP2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35" i="7"/>
  <c r="CQ36" i="7"/>
  <c r="CQ37" i="7"/>
  <c r="CQ38" i="7"/>
  <c r="CQ39" i="7"/>
  <c r="CQ40" i="7"/>
  <c r="CQ41" i="7"/>
  <c r="CQ42" i="7"/>
  <c r="CQ43" i="7"/>
  <c r="CQ44" i="7"/>
  <c r="CQ45" i="7"/>
  <c r="CQ46" i="7"/>
  <c r="CQ47" i="7"/>
  <c r="CQ48" i="7"/>
  <c r="CQ49" i="7"/>
  <c r="CQ50" i="7"/>
  <c r="CQ51" i="7"/>
  <c r="CQ52" i="7"/>
  <c r="CQ53" i="7"/>
  <c r="CQ54" i="7"/>
  <c r="CQ55" i="7"/>
  <c r="CQ56" i="7"/>
  <c r="CQ57" i="7"/>
  <c r="CQ58" i="7"/>
  <c r="CQ4" i="7"/>
  <c r="CQ3" i="7"/>
  <c r="CQ2" i="7"/>
  <c r="CR5" i="7"/>
  <c r="CR6" i="7"/>
  <c r="CR7" i="7"/>
  <c r="CR8" i="7"/>
  <c r="CR9" i="7"/>
  <c r="CR10" i="7"/>
  <c r="CR11" i="7"/>
  <c r="CR12" i="7"/>
  <c r="CR13" i="7"/>
  <c r="CR14" i="7"/>
  <c r="CR15" i="7"/>
  <c r="CR16" i="7"/>
  <c r="CR17" i="7"/>
  <c r="CR18" i="7"/>
  <c r="CR19" i="7"/>
  <c r="CR20" i="7"/>
  <c r="CR21" i="7"/>
  <c r="CR22" i="7"/>
  <c r="CR23" i="7"/>
  <c r="CR24" i="7"/>
  <c r="CR25" i="7"/>
  <c r="CR26" i="7"/>
  <c r="CR27" i="7"/>
  <c r="CR28" i="7"/>
  <c r="CR29" i="7"/>
  <c r="CR30" i="7"/>
  <c r="CR31" i="7"/>
  <c r="CR32" i="7"/>
  <c r="CR33" i="7"/>
  <c r="CR34" i="7"/>
  <c r="CR35" i="7"/>
  <c r="CR36" i="7"/>
  <c r="CR37" i="7"/>
  <c r="CR38" i="7"/>
  <c r="CR39" i="7"/>
  <c r="CR40" i="7"/>
  <c r="CR41" i="7"/>
  <c r="CR42" i="7"/>
  <c r="CR43" i="7"/>
  <c r="CR44" i="7"/>
  <c r="CR45" i="7"/>
  <c r="CR46" i="7"/>
  <c r="CR47" i="7"/>
  <c r="CR48" i="7"/>
  <c r="CR49" i="7"/>
  <c r="CR50" i="7"/>
  <c r="CR51" i="7"/>
  <c r="CR52" i="7"/>
  <c r="CR53" i="7"/>
  <c r="CR54" i="7"/>
  <c r="CR55" i="7"/>
  <c r="CR56" i="7"/>
  <c r="CR57" i="7"/>
  <c r="CR58" i="7"/>
  <c r="CR4" i="7"/>
  <c r="CR3" i="7"/>
  <c r="CR2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35" i="7"/>
  <c r="CS36" i="7"/>
  <c r="CS37" i="7"/>
  <c r="CS38" i="7"/>
  <c r="CS39" i="7"/>
  <c r="CS40" i="7"/>
  <c r="CS41" i="7"/>
  <c r="CS42" i="7"/>
  <c r="CS43" i="7"/>
  <c r="CS44" i="7"/>
  <c r="CS45" i="7"/>
  <c r="CS46" i="7"/>
  <c r="CS47" i="7"/>
  <c r="CS48" i="7"/>
  <c r="CS49" i="7"/>
  <c r="CS50" i="7"/>
  <c r="CS51" i="7"/>
  <c r="CS52" i="7"/>
  <c r="CS53" i="7"/>
  <c r="CS54" i="7"/>
  <c r="CS55" i="7"/>
  <c r="CS56" i="7"/>
  <c r="CS57" i="7"/>
  <c r="CS58" i="7"/>
  <c r="CS4" i="7"/>
  <c r="CS3" i="7"/>
  <c r="CS2" i="7"/>
  <c r="CT5" i="7"/>
  <c r="CT6" i="7"/>
  <c r="CT7" i="7"/>
  <c r="CT8" i="7"/>
  <c r="CT9" i="7"/>
  <c r="CT10" i="7"/>
  <c r="CT11" i="7"/>
  <c r="CT12" i="7"/>
  <c r="CT13" i="7"/>
  <c r="CT14" i="7"/>
  <c r="CT15" i="7"/>
  <c r="CT16" i="7"/>
  <c r="CT17" i="7"/>
  <c r="CT18" i="7"/>
  <c r="CT19" i="7"/>
  <c r="CT20" i="7"/>
  <c r="CT21" i="7"/>
  <c r="CT22" i="7"/>
  <c r="CT23" i="7"/>
  <c r="CT24" i="7"/>
  <c r="CT25" i="7"/>
  <c r="CT26" i="7"/>
  <c r="CT27" i="7"/>
  <c r="CT28" i="7"/>
  <c r="CT29" i="7"/>
  <c r="CT30" i="7"/>
  <c r="CT31" i="7"/>
  <c r="CT32" i="7"/>
  <c r="CT33" i="7"/>
  <c r="CT34" i="7"/>
  <c r="CT35" i="7"/>
  <c r="CT36" i="7"/>
  <c r="CT37" i="7"/>
  <c r="CT38" i="7"/>
  <c r="CT39" i="7"/>
  <c r="CT40" i="7"/>
  <c r="CT41" i="7"/>
  <c r="CT42" i="7"/>
  <c r="CT43" i="7"/>
  <c r="CT44" i="7"/>
  <c r="CT45" i="7"/>
  <c r="CT46" i="7"/>
  <c r="CT47" i="7"/>
  <c r="CT48" i="7"/>
  <c r="CT49" i="7"/>
  <c r="CT50" i="7"/>
  <c r="CT51" i="7"/>
  <c r="CT52" i="7"/>
  <c r="CT53" i="7"/>
  <c r="CT54" i="7"/>
  <c r="CT55" i="7"/>
  <c r="CT56" i="7"/>
  <c r="CT57" i="7"/>
  <c r="CT58" i="7"/>
  <c r="CT4" i="7"/>
  <c r="CT3" i="7"/>
  <c r="CT2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35" i="7"/>
  <c r="CU36" i="7"/>
  <c r="CU37" i="7"/>
  <c r="CU38" i="7"/>
  <c r="CU39" i="7"/>
  <c r="CU40" i="7"/>
  <c r="CU41" i="7"/>
  <c r="CU42" i="7"/>
  <c r="CU43" i="7"/>
  <c r="CU44" i="7"/>
  <c r="CU45" i="7"/>
  <c r="CU46" i="7"/>
  <c r="CU47" i="7"/>
  <c r="CU48" i="7"/>
  <c r="CU49" i="7"/>
  <c r="CU50" i="7"/>
  <c r="CU51" i="7"/>
  <c r="CU52" i="7"/>
  <c r="CU53" i="7"/>
  <c r="CU54" i="7"/>
  <c r="CU55" i="7"/>
  <c r="CU56" i="7"/>
  <c r="CU57" i="7"/>
  <c r="CU58" i="7"/>
  <c r="CU4" i="7"/>
  <c r="CU3" i="7"/>
  <c r="CU2" i="7"/>
  <c r="CX5" i="7"/>
  <c r="CX6" i="7"/>
  <c r="CX7" i="7"/>
  <c r="CX8" i="7"/>
  <c r="CX9" i="7"/>
  <c r="CX10" i="7"/>
  <c r="CX11" i="7"/>
  <c r="CX12" i="7"/>
  <c r="CX13" i="7"/>
  <c r="CX14" i="7"/>
  <c r="CX15" i="7"/>
  <c r="CX16" i="7"/>
  <c r="CX17" i="7"/>
  <c r="CX18" i="7"/>
  <c r="CX19" i="7"/>
  <c r="CX20" i="7"/>
  <c r="CX21" i="7"/>
  <c r="CX22" i="7"/>
  <c r="CX23" i="7"/>
  <c r="CX24" i="7"/>
  <c r="CX25" i="7"/>
  <c r="CX26" i="7"/>
  <c r="CX27" i="7"/>
  <c r="CX28" i="7"/>
  <c r="CX29" i="7"/>
  <c r="CX30" i="7"/>
  <c r="CX31" i="7"/>
  <c r="CX32" i="7"/>
  <c r="CX33" i="7"/>
  <c r="CX34" i="7"/>
  <c r="CX35" i="7"/>
  <c r="CX36" i="7"/>
  <c r="CX37" i="7"/>
  <c r="CX38" i="7"/>
  <c r="CX39" i="7"/>
  <c r="CX40" i="7"/>
  <c r="CX41" i="7"/>
  <c r="CX42" i="7"/>
  <c r="CX43" i="7"/>
  <c r="CX44" i="7"/>
  <c r="CX45" i="7"/>
  <c r="CX46" i="7"/>
  <c r="CX47" i="7"/>
  <c r="CX48" i="7"/>
  <c r="CX49" i="7"/>
  <c r="CX50" i="7"/>
  <c r="CX51" i="7"/>
  <c r="CX52" i="7"/>
  <c r="CX53" i="7"/>
  <c r="CX54" i="7"/>
  <c r="CX55" i="7"/>
  <c r="CX56" i="7"/>
  <c r="CX57" i="7"/>
  <c r="CX58" i="7"/>
  <c r="CX4" i="7"/>
  <c r="CX3" i="7"/>
  <c r="CX2" i="7"/>
  <c r="CV5" i="7"/>
  <c r="CV6" i="7"/>
  <c r="CV7" i="7"/>
  <c r="CV8" i="7"/>
  <c r="CV9" i="7"/>
  <c r="CV10" i="7"/>
  <c r="CV11" i="7"/>
  <c r="CV12" i="7"/>
  <c r="CV13" i="7"/>
  <c r="CV14" i="7"/>
  <c r="CV15" i="7"/>
  <c r="CV16" i="7"/>
  <c r="CV17" i="7"/>
  <c r="CV18" i="7"/>
  <c r="CV19" i="7"/>
  <c r="CV20" i="7"/>
  <c r="CV21" i="7"/>
  <c r="CV22" i="7"/>
  <c r="CV23" i="7"/>
  <c r="CV24" i="7"/>
  <c r="CV25" i="7"/>
  <c r="CV26" i="7"/>
  <c r="CV27" i="7"/>
  <c r="CV28" i="7"/>
  <c r="CV29" i="7"/>
  <c r="CV30" i="7"/>
  <c r="CV31" i="7"/>
  <c r="CV32" i="7"/>
  <c r="CV33" i="7"/>
  <c r="CV34" i="7"/>
  <c r="CV35" i="7"/>
  <c r="CV36" i="7"/>
  <c r="CV37" i="7"/>
  <c r="CV38" i="7"/>
  <c r="CV39" i="7"/>
  <c r="CV40" i="7"/>
  <c r="CV41" i="7"/>
  <c r="CV42" i="7"/>
  <c r="CV43" i="7"/>
  <c r="CV44" i="7"/>
  <c r="CV45" i="7"/>
  <c r="CV46" i="7"/>
  <c r="CV47" i="7"/>
  <c r="CV48" i="7"/>
  <c r="CV49" i="7"/>
  <c r="CV50" i="7"/>
  <c r="CV51" i="7"/>
  <c r="CV52" i="7"/>
  <c r="CV53" i="7"/>
  <c r="CV54" i="7"/>
  <c r="CV55" i="7"/>
  <c r="CV56" i="7"/>
  <c r="CV57" i="7"/>
  <c r="CV58" i="7"/>
  <c r="CV4" i="7"/>
  <c r="CV3" i="7"/>
  <c r="CV2" i="7"/>
  <c r="CY5" i="7"/>
  <c r="CY6" i="7"/>
  <c r="CY7" i="7"/>
  <c r="CY8" i="7"/>
  <c r="CY9" i="7"/>
  <c r="CY10" i="7"/>
  <c r="CY11" i="7"/>
  <c r="CY12" i="7"/>
  <c r="CY13" i="7"/>
  <c r="CY14" i="7"/>
  <c r="CY15" i="7"/>
  <c r="CY16" i="7"/>
  <c r="CY17" i="7"/>
  <c r="CY18" i="7"/>
  <c r="CY19" i="7"/>
  <c r="CY20" i="7"/>
  <c r="CY21" i="7"/>
  <c r="CY22" i="7"/>
  <c r="CY23" i="7"/>
  <c r="CY24" i="7"/>
  <c r="CY25" i="7"/>
  <c r="CY26" i="7"/>
  <c r="CY27" i="7"/>
  <c r="CY28" i="7"/>
  <c r="CY29" i="7"/>
  <c r="CY30" i="7"/>
  <c r="CY31" i="7"/>
  <c r="CY32" i="7"/>
  <c r="CY33" i="7"/>
  <c r="CY34" i="7"/>
  <c r="CY35" i="7"/>
  <c r="CY36" i="7"/>
  <c r="CY37" i="7"/>
  <c r="CY38" i="7"/>
  <c r="CY39" i="7"/>
  <c r="CY40" i="7"/>
  <c r="CY41" i="7"/>
  <c r="CY42" i="7"/>
  <c r="CY43" i="7"/>
  <c r="CY44" i="7"/>
  <c r="CY45" i="7"/>
  <c r="CY46" i="7"/>
  <c r="CY47" i="7"/>
  <c r="CY48" i="7"/>
  <c r="CY49" i="7"/>
  <c r="CY50" i="7"/>
  <c r="CY51" i="7"/>
  <c r="CY52" i="7"/>
  <c r="CY53" i="7"/>
  <c r="CY54" i="7"/>
  <c r="CY55" i="7"/>
  <c r="CY56" i="7"/>
  <c r="CY57" i="7"/>
  <c r="CY58" i="7"/>
  <c r="CY4" i="7"/>
  <c r="CY3" i="7"/>
  <c r="CY2" i="7"/>
  <c r="CW5" i="7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35" i="7"/>
  <c r="CW36" i="7"/>
  <c r="CW37" i="7"/>
  <c r="CW38" i="7"/>
  <c r="CW39" i="7"/>
  <c r="CW40" i="7"/>
  <c r="CW41" i="7"/>
  <c r="CW42" i="7"/>
  <c r="CW43" i="7"/>
  <c r="CW44" i="7"/>
  <c r="CW45" i="7"/>
  <c r="CW46" i="7"/>
  <c r="CW47" i="7"/>
  <c r="CW48" i="7"/>
  <c r="CW49" i="7"/>
  <c r="CW50" i="7"/>
  <c r="CW51" i="7"/>
  <c r="CW52" i="7"/>
  <c r="CW53" i="7"/>
  <c r="CW54" i="7"/>
  <c r="CW55" i="7"/>
  <c r="CW56" i="7"/>
  <c r="CW57" i="7"/>
  <c r="CW58" i="7"/>
  <c r="CW4" i="7"/>
  <c r="CW3" i="7"/>
  <c r="CW2" i="7"/>
  <c r="DD5" i="7"/>
  <c r="DD6" i="7"/>
  <c r="DD7" i="7"/>
  <c r="DD8" i="7"/>
  <c r="DD9" i="7"/>
  <c r="DD10" i="7"/>
  <c r="DD11" i="7"/>
  <c r="DD12" i="7"/>
  <c r="DD13" i="7"/>
  <c r="DD14" i="7"/>
  <c r="DD15" i="7"/>
  <c r="DD16" i="7"/>
  <c r="DD17" i="7"/>
  <c r="DD18" i="7"/>
  <c r="DD19" i="7"/>
  <c r="DD20" i="7"/>
  <c r="DD21" i="7"/>
  <c r="DD22" i="7"/>
  <c r="DD23" i="7"/>
  <c r="DD24" i="7"/>
  <c r="DD25" i="7"/>
  <c r="DD26" i="7"/>
  <c r="DD27" i="7"/>
  <c r="DD28" i="7"/>
  <c r="DD29" i="7"/>
  <c r="DD30" i="7"/>
  <c r="DD31" i="7"/>
  <c r="DD32" i="7"/>
  <c r="DD33" i="7"/>
  <c r="DD34" i="7"/>
  <c r="DD35" i="7"/>
  <c r="DD36" i="7"/>
  <c r="DD37" i="7"/>
  <c r="DD38" i="7"/>
  <c r="DD39" i="7"/>
  <c r="DD40" i="7"/>
  <c r="DD41" i="7"/>
  <c r="DD42" i="7"/>
  <c r="DD43" i="7"/>
  <c r="DD44" i="7"/>
  <c r="DD45" i="7"/>
  <c r="DD46" i="7"/>
  <c r="DD47" i="7"/>
  <c r="DD48" i="7"/>
  <c r="DD49" i="7"/>
  <c r="DD50" i="7"/>
  <c r="DD51" i="7"/>
  <c r="DD52" i="7"/>
  <c r="DD53" i="7"/>
  <c r="DD54" i="7"/>
  <c r="DD55" i="7"/>
  <c r="DD56" i="7"/>
  <c r="DD57" i="7"/>
  <c r="DD58" i="7"/>
  <c r="DD4" i="7"/>
  <c r="DD3" i="7"/>
  <c r="DD2" i="7"/>
  <c r="CZ5" i="7"/>
  <c r="CZ6" i="7"/>
  <c r="CZ7" i="7"/>
  <c r="CZ8" i="7"/>
  <c r="CZ9" i="7"/>
  <c r="CZ10" i="7"/>
  <c r="CZ11" i="7"/>
  <c r="CZ12" i="7"/>
  <c r="CZ13" i="7"/>
  <c r="CZ14" i="7"/>
  <c r="CZ15" i="7"/>
  <c r="CZ16" i="7"/>
  <c r="CZ17" i="7"/>
  <c r="CZ18" i="7"/>
  <c r="CZ19" i="7"/>
  <c r="CZ20" i="7"/>
  <c r="CZ21" i="7"/>
  <c r="CZ22" i="7"/>
  <c r="CZ23" i="7"/>
  <c r="CZ24" i="7"/>
  <c r="CZ25" i="7"/>
  <c r="CZ26" i="7"/>
  <c r="CZ27" i="7"/>
  <c r="CZ28" i="7"/>
  <c r="CZ29" i="7"/>
  <c r="CZ30" i="7"/>
  <c r="CZ31" i="7"/>
  <c r="CZ32" i="7"/>
  <c r="CZ33" i="7"/>
  <c r="CZ34" i="7"/>
  <c r="CZ35" i="7"/>
  <c r="CZ36" i="7"/>
  <c r="CZ37" i="7"/>
  <c r="CZ38" i="7"/>
  <c r="CZ39" i="7"/>
  <c r="CZ40" i="7"/>
  <c r="CZ41" i="7"/>
  <c r="CZ42" i="7"/>
  <c r="CZ43" i="7"/>
  <c r="CZ44" i="7"/>
  <c r="CZ45" i="7"/>
  <c r="CZ46" i="7"/>
  <c r="CZ47" i="7"/>
  <c r="CZ48" i="7"/>
  <c r="CZ49" i="7"/>
  <c r="CZ50" i="7"/>
  <c r="CZ51" i="7"/>
  <c r="CZ52" i="7"/>
  <c r="CZ53" i="7"/>
  <c r="CZ54" i="7"/>
  <c r="CZ55" i="7"/>
  <c r="CZ56" i="7"/>
  <c r="CZ57" i="7"/>
  <c r="CZ58" i="7"/>
  <c r="CZ4" i="7"/>
  <c r="CZ3" i="7"/>
  <c r="CZ2" i="7"/>
  <c r="DA5" i="7"/>
  <c r="DA6" i="7"/>
  <c r="DA7" i="7"/>
  <c r="DA8" i="7"/>
  <c r="DA9" i="7"/>
  <c r="DA10" i="7"/>
  <c r="DA11" i="7"/>
  <c r="DA12" i="7"/>
  <c r="DA13" i="7"/>
  <c r="DA14" i="7"/>
  <c r="DA15" i="7"/>
  <c r="DA16" i="7"/>
  <c r="DA17" i="7"/>
  <c r="DA18" i="7"/>
  <c r="DA19" i="7"/>
  <c r="DA20" i="7"/>
  <c r="DA21" i="7"/>
  <c r="DA22" i="7"/>
  <c r="DA23" i="7"/>
  <c r="DA24" i="7"/>
  <c r="DA25" i="7"/>
  <c r="DA26" i="7"/>
  <c r="DA27" i="7"/>
  <c r="DA28" i="7"/>
  <c r="DA29" i="7"/>
  <c r="DA30" i="7"/>
  <c r="DA31" i="7"/>
  <c r="DA32" i="7"/>
  <c r="DA33" i="7"/>
  <c r="DA34" i="7"/>
  <c r="DA35" i="7"/>
  <c r="DA36" i="7"/>
  <c r="DA37" i="7"/>
  <c r="DA38" i="7"/>
  <c r="DA39" i="7"/>
  <c r="DA40" i="7"/>
  <c r="DA41" i="7"/>
  <c r="DA42" i="7"/>
  <c r="DA43" i="7"/>
  <c r="DA44" i="7"/>
  <c r="DA45" i="7"/>
  <c r="DA46" i="7"/>
  <c r="DA47" i="7"/>
  <c r="DA48" i="7"/>
  <c r="DA49" i="7"/>
  <c r="DA50" i="7"/>
  <c r="DA51" i="7"/>
  <c r="DA52" i="7"/>
  <c r="DA53" i="7"/>
  <c r="DA54" i="7"/>
  <c r="DA55" i="7"/>
  <c r="DA56" i="7"/>
  <c r="DA57" i="7"/>
  <c r="DA58" i="7"/>
  <c r="DA4" i="7"/>
  <c r="DB5" i="7"/>
  <c r="DB6" i="7"/>
  <c r="DB7" i="7"/>
  <c r="DB8" i="7"/>
  <c r="DB9" i="7"/>
  <c r="DB10" i="7"/>
  <c r="DB11" i="7"/>
  <c r="DB12" i="7"/>
  <c r="DB13" i="7"/>
  <c r="DB14" i="7"/>
  <c r="DB15" i="7"/>
  <c r="DB16" i="7"/>
  <c r="DB17" i="7"/>
  <c r="DB18" i="7"/>
  <c r="DB19" i="7"/>
  <c r="DB20" i="7"/>
  <c r="DB21" i="7"/>
  <c r="DB22" i="7"/>
  <c r="DB23" i="7"/>
  <c r="DB24" i="7"/>
  <c r="DB25" i="7"/>
  <c r="DB26" i="7"/>
  <c r="DB27" i="7"/>
  <c r="DB28" i="7"/>
  <c r="DB29" i="7"/>
  <c r="DB30" i="7"/>
  <c r="DB31" i="7"/>
  <c r="DB32" i="7"/>
  <c r="DB33" i="7"/>
  <c r="DB34" i="7"/>
  <c r="DB35" i="7"/>
  <c r="DB36" i="7"/>
  <c r="DB37" i="7"/>
  <c r="DB38" i="7"/>
  <c r="DB39" i="7"/>
  <c r="DB40" i="7"/>
  <c r="DB41" i="7"/>
  <c r="DB42" i="7"/>
  <c r="DB43" i="7"/>
  <c r="DB44" i="7"/>
  <c r="DB45" i="7"/>
  <c r="DB46" i="7"/>
  <c r="DB47" i="7"/>
  <c r="DB48" i="7"/>
  <c r="DB49" i="7"/>
  <c r="DB50" i="7"/>
  <c r="DB51" i="7"/>
  <c r="DB52" i="7"/>
  <c r="DB53" i="7"/>
  <c r="DB54" i="7"/>
  <c r="DB55" i="7"/>
  <c r="DB56" i="7"/>
  <c r="DB57" i="7"/>
  <c r="DB58" i="7"/>
  <c r="DB4" i="7"/>
  <c r="DC5" i="7"/>
  <c r="DC6" i="7"/>
  <c r="DC7" i="7"/>
  <c r="DC8" i="7"/>
  <c r="DC9" i="7"/>
  <c r="DC10" i="7"/>
  <c r="DC11" i="7"/>
  <c r="DC12" i="7"/>
  <c r="DC13" i="7"/>
  <c r="DC14" i="7"/>
  <c r="DC15" i="7"/>
  <c r="DC16" i="7"/>
  <c r="DC17" i="7"/>
  <c r="DC18" i="7"/>
  <c r="DC19" i="7"/>
  <c r="DC20" i="7"/>
  <c r="DC21" i="7"/>
  <c r="DC22" i="7"/>
  <c r="DC23" i="7"/>
  <c r="DC24" i="7"/>
  <c r="DC25" i="7"/>
  <c r="DC26" i="7"/>
  <c r="DC27" i="7"/>
  <c r="DC28" i="7"/>
  <c r="DC29" i="7"/>
  <c r="DC30" i="7"/>
  <c r="DC31" i="7"/>
  <c r="DC32" i="7"/>
  <c r="DC33" i="7"/>
  <c r="DC34" i="7"/>
  <c r="DC35" i="7"/>
  <c r="DC36" i="7"/>
  <c r="DC37" i="7"/>
  <c r="DC38" i="7"/>
  <c r="DC39" i="7"/>
  <c r="DC40" i="7"/>
  <c r="DC41" i="7"/>
  <c r="DC42" i="7"/>
  <c r="DC43" i="7"/>
  <c r="DC44" i="7"/>
  <c r="DC45" i="7"/>
  <c r="DC46" i="7"/>
  <c r="DC47" i="7"/>
  <c r="DC48" i="7"/>
  <c r="DC49" i="7"/>
  <c r="DC50" i="7"/>
  <c r="DC51" i="7"/>
  <c r="DC52" i="7"/>
  <c r="DC53" i="7"/>
  <c r="DC54" i="7"/>
  <c r="DC55" i="7"/>
  <c r="DC56" i="7"/>
  <c r="DC57" i="7"/>
  <c r="DC58" i="7"/>
  <c r="DC4" i="7"/>
  <c r="DE5" i="7"/>
  <c r="DE6" i="7"/>
  <c r="DE7" i="7"/>
  <c r="DE8" i="7"/>
  <c r="DE9" i="7"/>
  <c r="DE10" i="7"/>
  <c r="DE11" i="7"/>
  <c r="DE12" i="7"/>
  <c r="DE13" i="7"/>
  <c r="DE14" i="7"/>
  <c r="DE15" i="7"/>
  <c r="DE16" i="7"/>
  <c r="DE17" i="7"/>
  <c r="DE18" i="7"/>
  <c r="DE19" i="7"/>
  <c r="DE20" i="7"/>
  <c r="DE21" i="7"/>
  <c r="DE22" i="7"/>
  <c r="DE23" i="7"/>
  <c r="DE24" i="7"/>
  <c r="DE25" i="7"/>
  <c r="DE26" i="7"/>
  <c r="DE27" i="7"/>
  <c r="DE28" i="7"/>
  <c r="DE29" i="7"/>
  <c r="DE30" i="7"/>
  <c r="DE31" i="7"/>
  <c r="DE32" i="7"/>
  <c r="DE33" i="7"/>
  <c r="DE34" i="7"/>
  <c r="DE35" i="7"/>
  <c r="DE36" i="7"/>
  <c r="DE37" i="7"/>
  <c r="DE38" i="7"/>
  <c r="DE39" i="7"/>
  <c r="DE40" i="7"/>
  <c r="DE41" i="7"/>
  <c r="DE42" i="7"/>
  <c r="DE43" i="7"/>
  <c r="DE44" i="7"/>
  <c r="DE45" i="7"/>
  <c r="DE46" i="7"/>
  <c r="DE47" i="7"/>
  <c r="DE48" i="7"/>
  <c r="DE49" i="7"/>
  <c r="DE50" i="7"/>
  <c r="DE51" i="7"/>
  <c r="DE52" i="7"/>
  <c r="DE53" i="7"/>
  <c r="DE54" i="7"/>
  <c r="DE55" i="7"/>
  <c r="DE56" i="7"/>
  <c r="DE57" i="7"/>
  <c r="DE58" i="7"/>
  <c r="DE4" i="7"/>
  <c r="DA3" i="7"/>
  <c r="DA2" i="7"/>
  <c r="DB3" i="7"/>
  <c r="DB2" i="7"/>
  <c r="DE2" i="7"/>
  <c r="DC2" i="7"/>
  <c r="DC3" i="7"/>
  <c r="DE3" i="7"/>
  <c r="BV61" i="7" l="1"/>
  <c r="CC61" i="7" s="1"/>
  <c r="CE62" i="7" s="1"/>
  <c r="BS60" i="7"/>
  <c r="BU60" i="7"/>
  <c r="BV60" i="7" s="1"/>
  <c r="BU59" i="7"/>
  <c r="D58" i="7"/>
  <c r="G58" i="7"/>
  <c r="J58" i="7"/>
  <c r="M58" i="7"/>
  <c r="P58" i="7"/>
  <c r="S58" i="7"/>
  <c r="AB58" i="7"/>
  <c r="V58" i="7"/>
  <c r="AE58" i="7"/>
  <c r="Y58" i="7"/>
  <c r="AT58" i="7"/>
  <c r="AH58" i="7"/>
  <c r="AK58" i="7"/>
  <c r="AN58" i="7"/>
  <c r="AQ58" i="7"/>
  <c r="AW58" i="7"/>
  <c r="BS59" i="7"/>
  <c r="CK61" i="7" l="1"/>
  <c r="CM62" i="7" s="1"/>
  <c r="CD61" i="7"/>
  <c r="CA59" i="7"/>
  <c r="CI59" i="7" s="1"/>
  <c r="CC59" i="7"/>
  <c r="BW61" i="7"/>
  <c r="BW60" i="7"/>
  <c r="BV59" i="7"/>
  <c r="CK59" i="7" s="1"/>
  <c r="BU58" i="7"/>
  <c r="BW59" i="7" s="1"/>
  <c r="CL59" i="7" l="1"/>
  <c r="CL61" i="7"/>
  <c r="CK60" i="7"/>
  <c r="CD59" i="7"/>
  <c r="CA60" i="7"/>
  <c r="CI60" i="7" s="1"/>
  <c r="CA61" i="7"/>
  <c r="CI61" i="7" s="1"/>
  <c r="CC60" i="7"/>
  <c r="CC58" i="7"/>
  <c r="BV58" i="7"/>
  <c r="CM60" i="7" l="1"/>
  <c r="CL60" i="7"/>
  <c r="CM61" i="7"/>
  <c r="CD58" i="7"/>
  <c r="CE60" i="7"/>
  <c r="CD60" i="7"/>
  <c r="CE61" i="7"/>
  <c r="CE59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35" i="7"/>
  <c r="J50" i="7" l="1"/>
  <c r="J51" i="7"/>
  <c r="J52" i="7"/>
  <c r="J53" i="7"/>
  <c r="J54" i="7"/>
  <c r="J55" i="7"/>
  <c r="J56" i="7"/>
  <c r="J57" i="7"/>
  <c r="J49" i="7"/>
  <c r="G39" i="7" l="1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38" i="7"/>
  <c r="D4" i="7" l="1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3" i="7"/>
  <c r="S35" i="7" l="1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34" i="7"/>
  <c r="CA42" i="7" l="1"/>
  <c r="CC42" i="7"/>
  <c r="CA35" i="7"/>
  <c r="CC35" i="7"/>
  <c r="CA38" i="7"/>
  <c r="CC38" i="7"/>
  <c r="CA44" i="7"/>
  <c r="CC44" i="7"/>
  <c r="CA37" i="7"/>
  <c r="CC37" i="7"/>
  <c r="CA34" i="7"/>
  <c r="CC34" i="7"/>
  <c r="CA43" i="7"/>
  <c r="CC43" i="7"/>
  <c r="CA41" i="7"/>
  <c r="CC41" i="7"/>
  <c r="CA40" i="7"/>
  <c r="CC40" i="7"/>
  <c r="CA39" i="7"/>
  <c r="CC39" i="7"/>
  <c r="CA36" i="7"/>
  <c r="CC36" i="7"/>
  <c r="AH57" i="7"/>
  <c r="CE39" i="7" l="1"/>
  <c r="CE38" i="7"/>
  <c r="CE35" i="7"/>
  <c r="CE43" i="7"/>
  <c r="CE42" i="7"/>
  <c r="CE34" i="7"/>
  <c r="CE36" i="7"/>
  <c r="CE37" i="7"/>
  <c r="CE44" i="7"/>
  <c r="CE40" i="7"/>
  <c r="CE41" i="7"/>
  <c r="AK57" i="7"/>
  <c r="AN57" i="7" l="1"/>
  <c r="BS58" i="7" l="1"/>
  <c r="AQ57" i="7"/>
  <c r="CK58" i="7" l="1"/>
  <c r="CM59" i="7" s="1"/>
  <c r="BU57" i="7"/>
  <c r="BW58" i="7" s="1"/>
  <c r="M57" i="7"/>
  <c r="AB57" i="7"/>
  <c r="V57" i="7"/>
  <c r="AE57" i="7"/>
  <c r="Y57" i="7"/>
  <c r="AT57" i="7"/>
  <c r="AW57" i="7"/>
  <c r="CL58" i="7" l="1"/>
  <c r="BV57" i="7"/>
  <c r="M46" i="7"/>
  <c r="M47" i="7"/>
  <c r="M48" i="7"/>
  <c r="M49" i="7"/>
  <c r="M50" i="7"/>
  <c r="M51" i="7"/>
  <c r="M52" i="7"/>
  <c r="M53" i="7"/>
  <c r="M54" i="7"/>
  <c r="M55" i="7"/>
  <c r="M56" i="7"/>
  <c r="M45" i="7"/>
  <c r="AE49" i="7"/>
  <c r="AE50" i="7"/>
  <c r="AE51" i="7"/>
  <c r="AE52" i="7"/>
  <c r="AE53" i="7"/>
  <c r="AE54" i="7"/>
  <c r="AE55" i="7"/>
  <c r="AE56" i="7"/>
  <c r="AE48" i="7"/>
  <c r="V48" i="7"/>
  <c r="V49" i="7"/>
  <c r="V50" i="7"/>
  <c r="V51" i="7"/>
  <c r="V52" i="7"/>
  <c r="V53" i="7"/>
  <c r="V54" i="7"/>
  <c r="V55" i="7"/>
  <c r="V56" i="7"/>
  <c r="V47" i="7"/>
  <c r="AB49" i="7"/>
  <c r="AB50" i="7"/>
  <c r="AB51" i="7"/>
  <c r="AB52" i="7"/>
  <c r="AB53" i="7"/>
  <c r="AB54" i="7"/>
  <c r="AB55" i="7"/>
  <c r="AB56" i="7"/>
  <c r="AB48" i="7"/>
  <c r="CA46" i="7" l="1"/>
  <c r="CC46" i="7"/>
  <c r="CA45" i="7"/>
  <c r="CC45" i="7"/>
  <c r="CC57" i="7"/>
  <c r="CA58" i="7"/>
  <c r="CI58" i="7" s="1"/>
  <c r="Y48" i="7"/>
  <c r="Y49" i="7"/>
  <c r="Y50" i="7"/>
  <c r="Y51" i="7"/>
  <c r="Y52" i="7"/>
  <c r="Y53" i="7"/>
  <c r="Y54" i="7"/>
  <c r="Y55" i="7"/>
  <c r="Y56" i="7"/>
  <c r="Y47" i="7"/>
  <c r="AT56" i="7"/>
  <c r="AQ56" i="7"/>
  <c r="AQ55" i="7"/>
  <c r="AN55" i="7"/>
  <c r="AN56" i="7"/>
  <c r="AN54" i="7"/>
  <c r="AK55" i="7"/>
  <c r="AK56" i="7"/>
  <c r="AK54" i="7"/>
  <c r="AH52" i="7"/>
  <c r="AH53" i="7"/>
  <c r="AH54" i="7"/>
  <c r="AH55" i="7"/>
  <c r="AH56" i="7"/>
  <c r="AH51" i="7"/>
  <c r="AW56" i="7"/>
  <c r="BU55" i="7"/>
  <c r="CA49" i="7" l="1"/>
  <c r="CC49" i="7"/>
  <c r="CA56" i="7"/>
  <c r="CC56" i="7"/>
  <c r="CA57" i="7"/>
  <c r="CA54" i="7"/>
  <c r="CC54" i="7"/>
  <c r="CA53" i="7"/>
  <c r="CC53" i="7"/>
  <c r="CA48" i="7"/>
  <c r="CC48" i="7"/>
  <c r="CA51" i="7"/>
  <c r="CC51" i="7"/>
  <c r="CD57" i="7"/>
  <c r="CE58" i="7"/>
  <c r="CA50" i="7"/>
  <c r="CC50" i="7"/>
  <c r="CE46" i="7"/>
  <c r="CA47" i="7"/>
  <c r="CC47" i="7"/>
  <c r="CA52" i="7"/>
  <c r="CC52" i="7"/>
  <c r="CA55" i="7"/>
  <c r="CC55" i="7"/>
  <c r="CE45" i="7"/>
  <c r="BV55" i="7"/>
  <c r="BS56" i="7"/>
  <c r="CI56" i="7" s="1"/>
  <c r="BS57" i="7"/>
  <c r="BU56" i="7"/>
  <c r="CK57" i="7" l="1"/>
  <c r="CM58" i="7" s="1"/>
  <c r="CI57" i="7"/>
  <c r="CE52" i="7"/>
  <c r="CD52" i="7"/>
  <c r="CE48" i="7"/>
  <c r="CD48" i="7"/>
  <c r="CE53" i="7"/>
  <c r="CD53" i="7"/>
  <c r="CE54" i="7"/>
  <c r="CD54" i="7"/>
  <c r="CE50" i="7"/>
  <c r="CD50" i="7"/>
  <c r="CE56" i="7"/>
  <c r="CD56" i="7"/>
  <c r="CE57" i="7"/>
  <c r="CE47" i="7"/>
  <c r="CD47" i="7"/>
  <c r="CE55" i="7"/>
  <c r="CD55" i="7"/>
  <c r="CE49" i="7"/>
  <c r="CD49" i="7"/>
  <c r="CE51" i="7"/>
  <c r="CD51" i="7"/>
  <c r="BW56" i="7"/>
  <c r="BV56" i="7"/>
  <c r="CK56" i="7" s="1"/>
  <c r="BW57" i="7"/>
  <c r="BS55" i="7"/>
  <c r="CL57" i="7" l="1"/>
  <c r="CK55" i="7"/>
  <c r="CM56" i="7" s="1"/>
  <c r="CI55" i="7"/>
  <c r="CL56" i="7"/>
  <c r="CM57" i="7"/>
  <c r="BU54" i="7"/>
  <c r="CL55" i="7" l="1"/>
  <c r="BV54" i="7"/>
  <c r="BW55" i="7"/>
  <c r="BS54" i="7" l="1"/>
  <c r="BU53" i="7"/>
  <c r="CK54" i="7" l="1"/>
  <c r="CL54" i="7" s="1"/>
  <c r="CI54" i="7"/>
  <c r="BV53" i="7"/>
  <c r="BW54" i="7"/>
  <c r="CM55" i="7" l="1"/>
  <c r="BS48" i="7"/>
  <c r="CI48" i="7" s="1"/>
  <c r="BS44" i="7"/>
  <c r="CI44" i="7" s="1"/>
  <c r="BS40" i="7"/>
  <c r="CI40" i="7" s="1"/>
  <c r="BS36" i="7"/>
  <c r="CI36" i="7" s="1"/>
  <c r="BS32" i="7"/>
  <c r="CI32" i="7" s="1"/>
  <c r="BS28" i="7"/>
  <c r="CI28" i="7" s="1"/>
  <c r="BS24" i="7"/>
  <c r="CI24" i="7" s="1"/>
  <c r="BS20" i="7"/>
  <c r="CI20" i="7" s="1"/>
  <c r="BS16" i="7"/>
  <c r="CI16" i="7" s="1"/>
  <c r="BS12" i="7"/>
  <c r="CI12" i="7" s="1"/>
  <c r="BS8" i="7"/>
  <c r="CI8" i="7" s="1"/>
  <c r="BU46" i="7"/>
  <c r="BU42" i="7"/>
  <c r="BU38" i="7"/>
  <c r="BU26" i="7"/>
  <c r="BU22" i="7"/>
  <c r="BU14" i="7"/>
  <c r="BU10" i="7"/>
  <c r="BU6" i="7"/>
  <c r="BU30" i="7"/>
  <c r="BU51" i="7"/>
  <c r="BU47" i="7"/>
  <c r="BU43" i="7"/>
  <c r="BU39" i="7"/>
  <c r="BU35" i="7"/>
  <c r="BU31" i="7"/>
  <c r="BU27" i="7"/>
  <c r="BU23" i="7"/>
  <c r="BU19" i="7"/>
  <c r="BU15" i="7"/>
  <c r="BU11" i="7"/>
  <c r="BU7" i="7"/>
  <c r="BS27" i="7"/>
  <c r="CI27" i="7" s="1"/>
  <c r="BU50" i="7"/>
  <c r="BS42" i="7"/>
  <c r="CI42" i="7" s="1"/>
  <c r="BS38" i="7"/>
  <c r="CI38" i="7" s="1"/>
  <c r="BS34" i="7"/>
  <c r="CI34" i="7" s="1"/>
  <c r="BS30" i="7"/>
  <c r="CI30" i="7" s="1"/>
  <c r="BS26" i="7"/>
  <c r="CI26" i="7" s="1"/>
  <c r="BS22" i="7"/>
  <c r="CI22" i="7" s="1"/>
  <c r="BS18" i="7"/>
  <c r="CI18" i="7" s="1"/>
  <c r="BS14" i="7"/>
  <c r="CI14" i="7" s="1"/>
  <c r="BS10" i="7"/>
  <c r="CI10" i="7" s="1"/>
  <c r="BS6" i="7"/>
  <c r="CI6" i="7" s="1"/>
  <c r="BU18" i="7"/>
  <c r="BS35" i="7"/>
  <c r="CI35" i="7" s="1"/>
  <c r="BU34" i="7"/>
  <c r="BS52" i="7"/>
  <c r="CI52" i="7" s="1"/>
  <c r="BS53" i="7"/>
  <c r="BS4" i="7"/>
  <c r="CI4" i="7" s="1"/>
  <c r="BU3" i="7"/>
  <c r="BU49" i="7"/>
  <c r="BU45" i="7"/>
  <c r="BU41" i="7"/>
  <c r="BU37" i="7"/>
  <c r="BU33" i="7"/>
  <c r="BU29" i="7"/>
  <c r="BU25" i="7"/>
  <c r="BU21" i="7"/>
  <c r="BU17" i="7"/>
  <c r="BU13" i="7"/>
  <c r="BU9" i="7"/>
  <c r="BU5" i="7"/>
  <c r="BS51" i="7"/>
  <c r="CI51" i="7" s="1"/>
  <c r="BS47" i="7"/>
  <c r="CI47" i="7" s="1"/>
  <c r="BS43" i="7"/>
  <c r="CI43" i="7" s="1"/>
  <c r="BS39" i="7"/>
  <c r="CI39" i="7" s="1"/>
  <c r="BS31" i="7"/>
  <c r="CI31" i="7" s="1"/>
  <c r="BS23" i="7"/>
  <c r="CI23" i="7" s="1"/>
  <c r="BS19" i="7"/>
  <c r="CI19" i="7" s="1"/>
  <c r="BS15" i="7"/>
  <c r="CI15" i="7" s="1"/>
  <c r="BS11" i="7"/>
  <c r="CI11" i="7" s="1"/>
  <c r="BS7" i="7"/>
  <c r="CI7" i="7" s="1"/>
  <c r="BU48" i="7"/>
  <c r="BU44" i="7"/>
  <c r="BU40" i="7"/>
  <c r="BU36" i="7"/>
  <c r="BU32" i="7"/>
  <c r="BU28" i="7"/>
  <c r="BU24" i="7"/>
  <c r="BU20" i="7"/>
  <c r="BU16" i="7"/>
  <c r="BU12" i="7"/>
  <c r="BU8" i="7"/>
  <c r="BU4" i="7"/>
  <c r="BS50" i="7"/>
  <c r="CI50" i="7" s="1"/>
  <c r="BS46" i="7"/>
  <c r="CI46" i="7" s="1"/>
  <c r="BS49" i="7"/>
  <c r="CI49" i="7" s="1"/>
  <c r="BS45" i="7"/>
  <c r="CI45" i="7" s="1"/>
  <c r="BS41" i="7"/>
  <c r="CI41" i="7" s="1"/>
  <c r="BS37" i="7"/>
  <c r="CI37" i="7" s="1"/>
  <c r="BS33" i="7"/>
  <c r="CI33" i="7" s="1"/>
  <c r="BS29" i="7"/>
  <c r="CI29" i="7" s="1"/>
  <c r="BS25" i="7"/>
  <c r="CI25" i="7" s="1"/>
  <c r="BS21" i="7"/>
  <c r="CI21" i="7" s="1"/>
  <c r="BS5" i="7"/>
  <c r="CI5" i="7" s="1"/>
  <c r="BU52" i="7"/>
  <c r="BS17" i="7"/>
  <c r="CI17" i="7" s="1"/>
  <c r="BS13" i="7"/>
  <c r="CI13" i="7" s="1"/>
  <c r="BS9" i="7"/>
  <c r="CI9" i="7" s="1"/>
  <c r="CK53" i="7" l="1"/>
  <c r="CL53" i="7" s="1"/>
  <c r="CI53" i="7"/>
  <c r="CK11" i="7"/>
  <c r="CK42" i="7"/>
  <c r="CK33" i="7"/>
  <c r="CK28" i="7"/>
  <c r="CK32" i="7"/>
  <c r="CK52" i="7"/>
  <c r="CK45" i="7"/>
  <c r="CK15" i="7"/>
  <c r="CK35" i="7"/>
  <c r="CK47" i="7"/>
  <c r="CK9" i="7"/>
  <c r="CK46" i="7"/>
  <c r="CK26" i="7"/>
  <c r="CK14" i="7"/>
  <c r="CK49" i="7"/>
  <c r="CK4" i="7"/>
  <c r="CK22" i="7"/>
  <c r="CK48" i="7"/>
  <c r="BW28" i="7"/>
  <c r="BV28" i="7"/>
  <c r="BW5" i="7"/>
  <c r="BV5" i="7"/>
  <c r="CK5" i="7" s="1"/>
  <c r="BW21" i="7"/>
  <c r="BV21" i="7"/>
  <c r="CK21" i="7" s="1"/>
  <c r="BW37" i="7"/>
  <c r="BV37" i="7"/>
  <c r="CK37" i="7" s="1"/>
  <c r="BW3" i="7"/>
  <c r="BV3" i="7"/>
  <c r="CK3" i="7" s="1"/>
  <c r="BW34" i="7"/>
  <c r="BV34" i="7"/>
  <c r="CK34" i="7" s="1"/>
  <c r="BW11" i="7"/>
  <c r="BV11" i="7"/>
  <c r="BW27" i="7"/>
  <c r="BV27" i="7"/>
  <c r="CK27" i="7" s="1"/>
  <c r="BW43" i="7"/>
  <c r="BV43" i="7"/>
  <c r="CK43" i="7" s="1"/>
  <c r="BW6" i="7"/>
  <c r="BV6" i="7"/>
  <c r="CK6" i="7" s="1"/>
  <c r="BW26" i="7"/>
  <c r="BV26" i="7"/>
  <c r="BW16" i="7"/>
  <c r="BV16" i="7"/>
  <c r="CK16" i="7" s="1"/>
  <c r="BW32" i="7"/>
  <c r="BV32" i="7"/>
  <c r="BW48" i="7"/>
  <c r="BV48" i="7"/>
  <c r="BW9" i="7"/>
  <c r="BV9" i="7"/>
  <c r="BW25" i="7"/>
  <c r="BV25" i="7"/>
  <c r="CK25" i="7" s="1"/>
  <c r="BW41" i="7"/>
  <c r="BV41" i="7"/>
  <c r="CK41" i="7" s="1"/>
  <c r="BW50" i="7"/>
  <c r="BV50" i="7"/>
  <c r="CK50" i="7" s="1"/>
  <c r="BW15" i="7"/>
  <c r="BV15" i="7"/>
  <c r="BW31" i="7"/>
  <c r="BV31" i="7"/>
  <c r="CK31" i="7" s="1"/>
  <c r="BW47" i="7"/>
  <c r="BV47" i="7"/>
  <c r="BW10" i="7"/>
  <c r="BV10" i="7"/>
  <c r="CK10" i="7" s="1"/>
  <c r="BW38" i="7"/>
  <c r="BV38" i="7"/>
  <c r="CK38" i="7" s="1"/>
  <c r="BW12" i="7"/>
  <c r="BV12" i="7"/>
  <c r="CK12" i="7" s="1"/>
  <c r="BW44" i="7"/>
  <c r="BV44" i="7"/>
  <c r="CK44" i="7" s="1"/>
  <c r="BW52" i="7"/>
  <c r="BV52" i="7"/>
  <c r="BW53" i="7"/>
  <c r="BW4" i="7"/>
  <c r="BV4" i="7"/>
  <c r="BW20" i="7"/>
  <c r="BV20" i="7"/>
  <c r="CK20" i="7" s="1"/>
  <c r="BW36" i="7"/>
  <c r="BV36" i="7"/>
  <c r="CK36" i="7" s="1"/>
  <c r="BW13" i="7"/>
  <c r="BV13" i="7"/>
  <c r="CK13" i="7" s="1"/>
  <c r="BW29" i="7"/>
  <c r="BV29" i="7"/>
  <c r="CK29" i="7" s="1"/>
  <c r="BW45" i="7"/>
  <c r="BV45" i="7"/>
  <c r="BW18" i="7"/>
  <c r="BV18" i="7"/>
  <c r="CK18" i="7" s="1"/>
  <c r="BW19" i="7"/>
  <c r="BV19" i="7"/>
  <c r="CK19" i="7" s="1"/>
  <c r="BW35" i="7"/>
  <c r="BV35" i="7"/>
  <c r="BW51" i="7"/>
  <c r="BV51" i="7"/>
  <c r="CK51" i="7" s="1"/>
  <c r="BW14" i="7"/>
  <c r="BV14" i="7"/>
  <c r="BW42" i="7"/>
  <c r="BV42" i="7"/>
  <c r="BW8" i="7"/>
  <c r="BV8" i="7"/>
  <c r="CK8" i="7" s="1"/>
  <c r="BW24" i="7"/>
  <c r="BV24" i="7"/>
  <c r="CK24" i="7" s="1"/>
  <c r="BW40" i="7"/>
  <c r="BV40" i="7"/>
  <c r="CK40" i="7" s="1"/>
  <c r="BW17" i="7"/>
  <c r="BV17" i="7"/>
  <c r="CK17" i="7" s="1"/>
  <c r="BW33" i="7"/>
  <c r="BV33" i="7"/>
  <c r="BW49" i="7"/>
  <c r="BV49" i="7"/>
  <c r="BW7" i="7"/>
  <c r="BV7" i="7"/>
  <c r="CK7" i="7" s="1"/>
  <c r="BW23" i="7"/>
  <c r="BV23" i="7"/>
  <c r="CK23" i="7" s="1"/>
  <c r="BW39" i="7"/>
  <c r="BV39" i="7"/>
  <c r="CK39" i="7" s="1"/>
  <c r="BW30" i="7"/>
  <c r="BV30" i="7"/>
  <c r="CK30" i="7" s="1"/>
  <c r="BW22" i="7"/>
  <c r="BV22" i="7"/>
  <c r="BW46" i="7"/>
  <c r="BV46" i="7"/>
  <c r="CM54" i="7" l="1"/>
  <c r="CM17" i="7"/>
  <c r="CM29" i="7"/>
  <c r="CM43" i="7"/>
  <c r="CM23" i="7"/>
  <c r="CM15" i="7"/>
  <c r="CM12" i="7"/>
  <c r="CM27" i="7"/>
  <c r="CM8" i="7"/>
  <c r="CM53" i="7"/>
  <c r="CM19" i="7"/>
  <c r="CM13" i="7"/>
  <c r="CM31" i="7"/>
  <c r="CM37" i="7"/>
  <c r="CM18" i="7"/>
  <c r="CM10" i="7"/>
  <c r="CM6" i="7"/>
  <c r="CM46" i="7"/>
  <c r="CM33" i="7"/>
  <c r="CM16" i="7"/>
  <c r="CM34" i="7"/>
  <c r="CM36" i="7"/>
  <c r="CM41" i="7"/>
  <c r="CM30" i="7"/>
  <c r="CM25" i="7"/>
  <c r="CM20" i="7"/>
  <c r="CM7" i="7"/>
  <c r="CM21" i="7"/>
  <c r="CL5" i="7"/>
  <c r="CM5" i="7"/>
  <c r="CM44" i="7"/>
  <c r="CM51" i="7"/>
  <c r="CL51" i="7"/>
  <c r="CM50" i="7"/>
  <c r="CL50" i="7"/>
  <c r="CM39" i="7"/>
  <c r="CM40" i="7"/>
  <c r="CM24" i="7"/>
  <c r="CM38" i="7"/>
  <c r="CM11" i="7"/>
  <c r="CM48" i="7"/>
  <c r="CL48" i="7"/>
  <c r="CM9" i="7"/>
  <c r="CM26" i="7"/>
  <c r="CM42" i="7"/>
  <c r="CM22" i="7"/>
  <c r="CM28" i="7"/>
  <c r="CM4" i="7"/>
  <c r="CL4" i="7"/>
  <c r="CM47" i="7"/>
  <c r="CL47" i="7"/>
  <c r="CM32" i="7"/>
  <c r="CM45" i="7"/>
  <c r="CM14" i="7"/>
  <c r="CL3" i="7"/>
  <c r="CM3" i="7"/>
  <c r="CM49" i="7"/>
  <c r="CL49" i="7"/>
  <c r="CM35" i="7"/>
  <c r="CM52" i="7"/>
  <c r="CL52" i="7"/>
</calcChain>
</file>

<file path=xl/sharedStrings.xml><?xml version="1.0" encoding="utf-8"?>
<sst xmlns="http://schemas.openxmlformats.org/spreadsheetml/2006/main" count="395" uniqueCount="50">
  <si>
    <t>Data</t>
  </si>
  <si>
    <t>Viso:</t>
  </si>
  <si>
    <t>SEB Mikro</t>
  </si>
  <si>
    <t>SEB Fondai</t>
  </si>
  <si>
    <t>SEB Robo</t>
  </si>
  <si>
    <t>Revolut Robo</t>
  </si>
  <si>
    <t>Synergy</t>
  </si>
  <si>
    <t>Indemo</t>
  </si>
  <si>
    <t>Profitus</t>
  </si>
  <si>
    <t>Crowdpear</t>
  </si>
  <si>
    <t>Nordstreet</t>
  </si>
  <si>
    <t>Scramble</t>
  </si>
  <si>
    <t>Investuota</t>
  </si>
  <si>
    <t>Vertė</t>
  </si>
  <si>
    <t>%</t>
  </si>
  <si>
    <t>Revolut Brokerage</t>
  </si>
  <si>
    <t>Per mėn.</t>
  </si>
  <si>
    <t>Prieaugis</t>
  </si>
  <si>
    <t>Nectaro</t>
  </si>
  <si>
    <t>Debitum</t>
  </si>
  <si>
    <t>Viainvest</t>
  </si>
  <si>
    <t>Afranga</t>
  </si>
  <si>
    <t>Rontgen</t>
  </si>
  <si>
    <t>Įnešta</t>
  </si>
  <si>
    <t>Lendermarket</t>
  </si>
  <si>
    <t>Loanch</t>
  </si>
  <si>
    <t>Fondai</t>
  </si>
  <si>
    <t>P2P</t>
  </si>
  <si>
    <t>Viso</t>
  </si>
  <si>
    <t>2025 vasaris</t>
  </si>
  <si>
    <t>Platforma</t>
  </si>
  <si>
    <t>Būsena</t>
  </si>
  <si>
    <t>Aktyvi</t>
  </si>
  <si>
    <t>2025 kovas</t>
  </si>
  <si>
    <t>2025.02.28</t>
  </si>
  <si>
    <t>2025.01.31</t>
  </si>
  <si>
    <t>Pelnas</t>
  </si>
  <si>
    <t>2025.04.30</t>
  </si>
  <si>
    <t>2025.05.31</t>
  </si>
  <si>
    <t>2025.06.30</t>
  </si>
  <si>
    <t>2025.07.31</t>
  </si>
  <si>
    <t>2025.08.31</t>
  </si>
  <si>
    <t>2025.10</t>
  </si>
  <si>
    <t>2025.09.30</t>
  </si>
  <si>
    <t>2025.10.31</t>
  </si>
  <si>
    <t>2025.11.30</t>
  </si>
  <si>
    <t>Peerberry</t>
  </si>
  <si>
    <t>Income</t>
  </si>
  <si>
    <t>Lande</t>
  </si>
  <si>
    <t>Twino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</si>
</sst>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/>
    <xf numFmtId="0" fontId="3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0" fontId="2" fillId="0" borderId="1" xfId="0" applyFont="1" applyBorder="1"/>
    <xf numFmtId="164" fontId="0" fillId="0" borderId="11" xfId="0" applyNumberFormat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57-4182-A679-B9920E239A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57-4182-A679-B9920E239A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57-4182-A679-B9920E239A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57-4182-A679-B9920E239A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957-4182-A679-B9920E239A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957-4182-A679-B9920E239A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957-4182-A679-B9920E239A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2025.10'!$A$5:$A$11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2025.09'!$D$5:$D$11</c:f>
              <c:numCache>
                <c:formatCode>0.00</c:formatCode>
                <c:ptCount val="7"/>
                <c:pt idx="0">
                  <c:v>932.78</c:v>
                </c:pt>
                <c:pt idx="1">
                  <c:v>836.08</c:v>
                </c:pt>
                <c:pt idx="2">
                  <c:v>553.76</c:v>
                </c:pt>
                <c:pt idx="3">
                  <c:v>852.99</c:v>
                </c:pt>
                <c:pt idx="4">
                  <c:v>416</c:v>
                </c:pt>
                <c:pt idx="5">
                  <c:v>100.52</c:v>
                </c:pt>
                <c:pt idx="6">
                  <c:v>50.12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957-4182-A679-B9920E239A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2026.06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D9-4803-9650-66C7AE00A9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D9-4803-9650-66C7AE00A9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D9-4803-9650-66C7AE00A9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D9-4803-9650-66C7AE00A9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D9-4803-9650-66C7AE00A9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D9-4803-9650-66C7AE00A9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D9-4803-9650-66C7AE00A9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ED9-4803-9650-66C7AE00A9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ED9-4803-9650-66C7AE00A98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ED9-4803-9650-66C7AE00A98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ED9-4803-9650-66C7AE00A98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ED9-4803-9650-66C7AE00A98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ED9-4803-9650-66C7AE00A985}"/>
              </c:ext>
            </c:extLst>
          </c:dPt>
          <c:dLbls>
            <c:dLbl>
              <c:idx val="1"/>
              <c:layout>
                <c:manualLayout>
                  <c:x val="-1.4423076923076924E-2"/>
                  <c:y val="-0.225165523775786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D9-4803-9650-66C7AE00A985}"/>
                </c:ext>
              </c:extLst>
            </c:dLbl>
            <c:dLbl>
              <c:idx val="9"/>
              <c:layout>
                <c:manualLayout>
                  <c:x val="-5.7692307692307696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ED9-4803-9650-66C7AE00A985}"/>
                </c:ext>
              </c:extLst>
            </c:dLbl>
            <c:dLbl>
              <c:idx val="10"/>
              <c:layout>
                <c:manualLayout>
                  <c:x val="-4.9679487179487176E-2"/>
                  <c:y val="-3.973509243102111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ED9-4803-9650-66C7AE00A985}"/>
                </c:ext>
              </c:extLst>
            </c:dLbl>
            <c:dLbl>
              <c:idx val="11"/>
              <c:layout>
                <c:manualLayout>
                  <c:x val="8.6538461538461536E-2"/>
                  <c:y val="-2.649006162068074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ED9-4803-9650-66C7AE00A985}"/>
                </c:ext>
              </c:extLst>
            </c:dLbl>
            <c:dLbl>
              <c:idx val="12"/>
              <c:layout>
                <c:manualLayout>
                  <c:x val="0.21634615384615385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ED9-4803-9650-66C7AE00A98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'P2P 2026.06'!$A$5:$A$17</c:f>
              <c:strCache>
                <c:ptCount val="13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  <c:pt idx="10">
                  <c:v>Lendermarket</c:v>
                </c:pt>
                <c:pt idx="11">
                  <c:v>Loanch</c:v>
                </c:pt>
                <c:pt idx="12">
                  <c:v>Peerberry</c:v>
                </c:pt>
              </c:strCache>
            </c:strRef>
          </c:cat>
          <c:val>
            <c:numRef>
              <c:f>'P2P 2026.06'!$D$5:$D$17</c:f>
              <c:numCache>
                <c:formatCode>0.00</c:formatCode>
                <c:ptCount val="13"/>
                <c:pt idx="0">
                  <c:v>1120.03</c:v>
                </c:pt>
                <c:pt idx="1">
                  <c:v>1102.56</c:v>
                </c:pt>
                <c:pt idx="2">
                  <c:v>616.19000000000005</c:v>
                </c:pt>
                <c:pt idx="3">
                  <c:v>1178.74</c:v>
                </c:pt>
                <c:pt idx="4">
                  <c:v>1050.6199999999999</c:v>
                </c:pt>
                <c:pt idx="5">
                  <c:v>323.29000000000002</c:v>
                </c:pt>
                <c:pt idx="6">
                  <c:v>213.25</c:v>
                </c:pt>
                <c:pt idx="7">
                  <c:v>355.48</c:v>
                </c:pt>
                <c:pt idx="8">
                  <c:v>654.87</c:v>
                </c:pt>
                <c:pt idx="9">
                  <c:v>282.88</c:v>
                </c:pt>
                <c:pt idx="10">
                  <c:v>81.22</c:v>
                </c:pt>
                <c:pt idx="11">
                  <c:v>20.3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ED9-4803-9650-66C7AE00A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lt-LT"/>
              <a:t>2026.06 pelnas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'P2P 2026.06'!$A$5:$A$17</c:f>
              <c:strCache>
                <c:ptCount val="13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  <c:pt idx="10">
                  <c:v>Lendermarket</c:v>
                </c:pt>
                <c:pt idx="11">
                  <c:v>Loanch</c:v>
                </c:pt>
                <c:pt idx="12">
                  <c:v>Peerberry</c:v>
                </c:pt>
              </c:strCache>
            </c:strRef>
          </c:cat>
          <c:val>
            <c:numRef>
              <c:f>'P2P 2026.06'!$G$5:$G$17</c:f>
              <c:numCache>
                <c:formatCode>0.00</c:formatCode>
                <c:ptCount val="13"/>
                <c:pt idx="0">
                  <c:v>12.549999999999955</c:v>
                </c:pt>
                <c:pt idx="1">
                  <c:v>9.7400000000000091</c:v>
                </c:pt>
                <c:pt idx="2">
                  <c:v>0.82000000000005002</c:v>
                </c:pt>
                <c:pt idx="3">
                  <c:v>22.569999999999936</c:v>
                </c:pt>
                <c:pt idx="4">
                  <c:v>16.75</c:v>
                </c:pt>
                <c:pt idx="5">
                  <c:v>3.0100000000000477</c:v>
                </c:pt>
                <c:pt idx="6">
                  <c:v>2.0999999999999943</c:v>
                </c:pt>
                <c:pt idx="7">
                  <c:v>2.7100000000000364</c:v>
                </c:pt>
                <c:pt idx="8">
                  <c:v>1.6699999999999591</c:v>
                </c:pt>
                <c:pt idx="9">
                  <c:v>2.2099999999999795</c:v>
                </c:pt>
                <c:pt idx="10">
                  <c:v>0.83999999999999631</c:v>
                </c:pt>
                <c:pt idx="11">
                  <c:v>0.22000000000000242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B-40CE-BC23-237BA8D420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0D-4F0B-88C9-2AAF8B84FE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0D-4F0B-88C9-2AAF8B84FE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0D-4F0B-88C9-2AAF8B84FE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0D-4F0B-88C9-2AAF8B84FE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0D-4F0B-88C9-2AAF8B84FE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0D-4F0B-88C9-2AAF8B84FE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0D-4F0B-88C9-2AAF8B84FE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2025.10'!$A$5:$A$11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2025.09'!$D$5:$D$11</c:f>
              <c:numCache>
                <c:formatCode>0.00</c:formatCode>
                <c:ptCount val="7"/>
                <c:pt idx="0">
                  <c:v>932.78</c:v>
                </c:pt>
                <c:pt idx="1">
                  <c:v>836.08</c:v>
                </c:pt>
                <c:pt idx="2">
                  <c:v>553.76</c:v>
                </c:pt>
                <c:pt idx="3">
                  <c:v>852.99</c:v>
                </c:pt>
                <c:pt idx="4">
                  <c:v>416</c:v>
                </c:pt>
                <c:pt idx="5">
                  <c:v>100.52</c:v>
                </c:pt>
                <c:pt idx="6">
                  <c:v>50.12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70D-4F0B-88C9-2AAF8B84FE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  <a:r>
              <a:rPr lang="en-US" baseline="0"/>
              <a:t>.05</a:t>
            </a:r>
            <a:endParaRPr lang="lt-L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06-4AF2-9736-BBE9FA6CC3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06-4AF2-9736-BBE9FA6CC3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06-4AF2-9736-BBE9FA6CC3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06-4AF2-9736-BBE9FA6CC3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06-4AF2-9736-BBE9FA6CC3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06-4AF2-9736-BBE9FA6CC3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06-4AF2-9736-BBE9FA6CC38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06-4AF2-9736-BBE9FA6CC38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06-4AF2-9736-BBE9FA6CC38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806-4AF2-9736-BBE9FA6CC38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806-4AF2-9736-BBE9FA6CC38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806-4AF2-9736-BBE9FA6CC387}"/>
              </c:ext>
            </c:extLst>
          </c:dPt>
          <c:dLbls>
            <c:dLbl>
              <c:idx val="1"/>
              <c:layout>
                <c:manualLayout>
                  <c:x val="-1.4423076923076924E-2"/>
                  <c:y val="-0.225165523775786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06-4AF2-9736-BBE9FA6CC387}"/>
                </c:ext>
              </c:extLst>
            </c:dLbl>
            <c:dLbl>
              <c:idx val="4"/>
              <c:layout>
                <c:manualLayout>
                  <c:x val="-1.6025641025641025E-3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806-4AF2-9736-BBE9FA6CC387}"/>
                </c:ext>
              </c:extLst>
            </c:dLbl>
            <c:dLbl>
              <c:idx val="9"/>
              <c:layout>
                <c:manualLayout>
                  <c:x val="-5.7692307692307696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806-4AF2-9736-BBE9FA6CC387}"/>
                </c:ext>
              </c:extLst>
            </c:dLbl>
            <c:dLbl>
              <c:idx val="10"/>
              <c:layout>
                <c:manualLayout>
                  <c:x val="-4.9679487179487176E-2"/>
                  <c:y val="-3.973509243102111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806-4AF2-9736-BBE9FA6CC387}"/>
                </c:ext>
              </c:extLst>
            </c:dLbl>
            <c:dLbl>
              <c:idx val="11"/>
              <c:layout>
                <c:manualLayout>
                  <c:x val="8.6538461538461536E-2"/>
                  <c:y val="-2.649006162068074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806-4AF2-9736-BBE9FA6CC38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'P2P 2026.05'!$A$5:$A$16</c:f>
              <c:strCache>
                <c:ptCount val="12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  <c:pt idx="10">
                  <c:v>Lendermarket</c:v>
                </c:pt>
                <c:pt idx="11">
                  <c:v>Loanch</c:v>
                </c:pt>
              </c:strCache>
            </c:strRef>
          </c:cat>
          <c:val>
            <c:numRef>
              <c:f>'P2P 2026.05'!$D$5:$D$16</c:f>
              <c:numCache>
                <c:formatCode>0.00</c:formatCode>
                <c:ptCount val="12"/>
                <c:pt idx="0">
                  <c:v>1107.48</c:v>
                </c:pt>
                <c:pt idx="1">
                  <c:v>1092.82</c:v>
                </c:pt>
                <c:pt idx="2">
                  <c:v>615.37</c:v>
                </c:pt>
                <c:pt idx="3">
                  <c:v>1156.17</c:v>
                </c:pt>
                <c:pt idx="4">
                  <c:v>1033.8699999999999</c:v>
                </c:pt>
                <c:pt idx="5">
                  <c:v>320.27999999999997</c:v>
                </c:pt>
                <c:pt idx="6">
                  <c:v>211.15</c:v>
                </c:pt>
                <c:pt idx="7">
                  <c:v>342.77</c:v>
                </c:pt>
                <c:pt idx="8">
                  <c:v>618.13</c:v>
                </c:pt>
                <c:pt idx="9">
                  <c:v>280.67</c:v>
                </c:pt>
                <c:pt idx="10">
                  <c:v>50.38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806-4AF2-9736-BBE9FA6CC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lt-LT"/>
              <a:t>2026.05 pelnas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'P2P 2026.05'!$A$5:$A$16</c:f>
              <c:strCache>
                <c:ptCount val="12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  <c:pt idx="10">
                  <c:v>Lendermarket</c:v>
                </c:pt>
                <c:pt idx="11">
                  <c:v>Loanch</c:v>
                </c:pt>
              </c:strCache>
            </c:strRef>
          </c:cat>
          <c:val>
            <c:numRef>
              <c:f>'P2P 2026.05'!$G$5:$G$16</c:f>
              <c:numCache>
                <c:formatCode>0.00</c:formatCode>
                <c:ptCount val="12"/>
                <c:pt idx="0">
                  <c:v>4.5099999999999909</c:v>
                </c:pt>
                <c:pt idx="1">
                  <c:v>9.5899999999999181</c:v>
                </c:pt>
                <c:pt idx="2">
                  <c:v>0.50999999999999091</c:v>
                </c:pt>
                <c:pt idx="3">
                  <c:v>0</c:v>
                </c:pt>
                <c:pt idx="4">
                  <c:v>9.1399999999998727</c:v>
                </c:pt>
                <c:pt idx="5">
                  <c:v>2.3499999999999659</c:v>
                </c:pt>
                <c:pt idx="6">
                  <c:v>2.460000000000008</c:v>
                </c:pt>
                <c:pt idx="7">
                  <c:v>2.5299999999999727</c:v>
                </c:pt>
                <c:pt idx="8">
                  <c:v>0</c:v>
                </c:pt>
                <c:pt idx="9">
                  <c:v>1.9800000000000182</c:v>
                </c:pt>
                <c:pt idx="10">
                  <c:v>0.30000000000000426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9-41A2-8252-157F120DBB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4B-4B1D-8D46-648640915A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4B-4B1D-8D46-648640915A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4B-4B1D-8D46-648640915A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4B-4B1D-8D46-648640915A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4B-4B1D-8D46-648640915A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4B-4B1D-8D46-648640915A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94B-4B1D-8D46-648640915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2025.10'!$A$5:$A$11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2025.09'!$D$5:$D$11</c:f>
              <c:numCache>
                <c:formatCode>0.00</c:formatCode>
                <c:ptCount val="7"/>
                <c:pt idx="0">
                  <c:v>932.78</c:v>
                </c:pt>
                <c:pt idx="1">
                  <c:v>836.08</c:v>
                </c:pt>
                <c:pt idx="2">
                  <c:v>553.76</c:v>
                </c:pt>
                <c:pt idx="3">
                  <c:v>852.99</c:v>
                </c:pt>
                <c:pt idx="4">
                  <c:v>416</c:v>
                </c:pt>
                <c:pt idx="5">
                  <c:v>100.52</c:v>
                </c:pt>
                <c:pt idx="6">
                  <c:v>50.12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94B-4B1D-8D46-648640915A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2026.04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5A-438D-AC8B-3711C62FF6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5A-438D-AC8B-3711C62FF6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5A-438D-AC8B-3711C62FF6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5A-438D-AC8B-3711C62FF6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5A-438D-AC8B-3711C62FF6B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5A-438D-AC8B-3711C62FF6B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5A-438D-AC8B-3711C62FF6B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95A-438D-AC8B-3711C62FF6B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95A-438D-AC8B-3711C62FF6B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95A-438D-AC8B-3711C62FF6B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95A-438D-AC8B-3711C62FF6B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DD4-4006-A83D-910CFF9B2F77}"/>
              </c:ext>
            </c:extLst>
          </c:dPt>
          <c:dLbls>
            <c:dLbl>
              <c:idx val="1"/>
              <c:layout>
                <c:manualLayout>
                  <c:x val="-1.444043321299639E-2"/>
                  <c:y val="-0.2097129878303892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5A-438D-AC8B-3711C62FF6BA}"/>
                </c:ext>
              </c:extLst>
            </c:dLbl>
            <c:dLbl>
              <c:idx val="9"/>
              <c:layout>
                <c:manualLayout>
                  <c:x val="-8.3433614119534733E-2"/>
                  <c:y val="-2.0235229978916554E-1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5A-438D-AC8B-3711C62FF6BA}"/>
                </c:ext>
              </c:extLst>
            </c:dLbl>
            <c:dLbl>
              <c:idx val="10"/>
              <c:layout>
                <c:manualLayout>
                  <c:x val="4.8134777376654045E-3"/>
                  <c:y val="-2.428255648562402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5A-438D-AC8B-3711C62FF6BA}"/>
                </c:ext>
              </c:extLst>
            </c:dLbl>
            <c:dLbl>
              <c:idx val="11"/>
              <c:layout>
                <c:manualLayout>
                  <c:x val="0.17328519855595667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DD4-4006-A83D-910CFF9B2F7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'P2P 2026.04'!$A$5:$A$16</c:f>
              <c:strCache>
                <c:ptCount val="12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  <c:pt idx="10">
                  <c:v>Lendermarket</c:v>
                </c:pt>
                <c:pt idx="11">
                  <c:v>Loanch</c:v>
                </c:pt>
              </c:strCache>
            </c:strRef>
          </c:cat>
          <c:val>
            <c:numRef>
              <c:f>'P2P 2026.04'!$D$5:$D$16</c:f>
              <c:numCache>
                <c:formatCode>0.00</c:formatCode>
                <c:ptCount val="12"/>
                <c:pt idx="0">
                  <c:v>1102.97</c:v>
                </c:pt>
                <c:pt idx="1">
                  <c:v>1083.23</c:v>
                </c:pt>
                <c:pt idx="2">
                  <c:v>604.86</c:v>
                </c:pt>
                <c:pt idx="3">
                  <c:v>1156.17</c:v>
                </c:pt>
                <c:pt idx="4">
                  <c:v>1024.73</c:v>
                </c:pt>
                <c:pt idx="5">
                  <c:v>307.93</c:v>
                </c:pt>
                <c:pt idx="6">
                  <c:v>188.69</c:v>
                </c:pt>
                <c:pt idx="7">
                  <c:v>290.24</c:v>
                </c:pt>
                <c:pt idx="8">
                  <c:v>618.13</c:v>
                </c:pt>
                <c:pt idx="9">
                  <c:v>258.69</c:v>
                </c:pt>
                <c:pt idx="10">
                  <c:v>30.08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95A-438D-AC8B-3711C62FF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lt-LT"/>
              <a:t>2026.04 pelnas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'P2P 2026.04'!$A$5:$A$16</c:f>
              <c:strCache>
                <c:ptCount val="12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  <c:pt idx="10">
                  <c:v>Lendermarket</c:v>
                </c:pt>
                <c:pt idx="11">
                  <c:v>Loanch</c:v>
                </c:pt>
              </c:strCache>
            </c:strRef>
          </c:cat>
          <c:val>
            <c:numRef>
              <c:f>'P2P 2026.04'!$G$5:$G$16</c:f>
              <c:numCache>
                <c:formatCode>0.00</c:formatCode>
                <c:ptCount val="12"/>
                <c:pt idx="0">
                  <c:v>10.279999999999973</c:v>
                </c:pt>
                <c:pt idx="1">
                  <c:v>12.490000000000009</c:v>
                </c:pt>
                <c:pt idx="2">
                  <c:v>0</c:v>
                </c:pt>
                <c:pt idx="3">
                  <c:v>0</c:v>
                </c:pt>
                <c:pt idx="4">
                  <c:v>6.8999999999999773</c:v>
                </c:pt>
                <c:pt idx="5">
                  <c:v>4.0900000000000318</c:v>
                </c:pt>
                <c:pt idx="6">
                  <c:v>1.8599999999999852</c:v>
                </c:pt>
                <c:pt idx="7">
                  <c:v>2.4800000000000182</c:v>
                </c:pt>
                <c:pt idx="8">
                  <c:v>10.549999999999955</c:v>
                </c:pt>
                <c:pt idx="9">
                  <c:v>1.8700000000000045</c:v>
                </c:pt>
                <c:pt idx="10">
                  <c:v>7.9999999999998295E-2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D-42BD-B721-24BFBDE1BC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B7-45F8-99EB-E2AF8FEA7F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B7-45F8-99EB-E2AF8FEA7F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B7-45F8-99EB-E2AF8FEA7F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B7-45F8-99EB-E2AF8FEA7F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B7-45F8-99EB-E2AF8FEA7F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B7-45F8-99EB-E2AF8FEA7F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FB7-45F8-99EB-E2AF8FEA7F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2025.10'!$A$5:$A$11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2025.09'!$D$5:$D$11</c:f>
              <c:numCache>
                <c:formatCode>0.00</c:formatCode>
                <c:ptCount val="7"/>
                <c:pt idx="0">
                  <c:v>932.78</c:v>
                </c:pt>
                <c:pt idx="1">
                  <c:v>836.08</c:v>
                </c:pt>
                <c:pt idx="2">
                  <c:v>553.76</c:v>
                </c:pt>
                <c:pt idx="3">
                  <c:v>852.99</c:v>
                </c:pt>
                <c:pt idx="4">
                  <c:v>416</c:v>
                </c:pt>
                <c:pt idx="5">
                  <c:v>100.52</c:v>
                </c:pt>
                <c:pt idx="6">
                  <c:v>50.12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FB7-45F8-99EB-E2AF8FEA7F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2025.09'!$A$5:$A$11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2025.09'!$G$5:$G$11</c:f>
              <c:numCache>
                <c:formatCode>0.00</c:formatCode>
                <c:ptCount val="7"/>
                <c:pt idx="0">
                  <c:v>18.519999999999982</c:v>
                </c:pt>
                <c:pt idx="1">
                  <c:v>7.8300000000000409</c:v>
                </c:pt>
                <c:pt idx="2">
                  <c:v>0</c:v>
                </c:pt>
                <c:pt idx="3">
                  <c:v>12.870000000000005</c:v>
                </c:pt>
                <c:pt idx="4">
                  <c:v>1</c:v>
                </c:pt>
                <c:pt idx="5">
                  <c:v>0.51999999999999602</c:v>
                </c:pt>
                <c:pt idx="6">
                  <c:v>0.11999999999999744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1-4931-ABA2-666548E3B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7E-4B62-9965-177BA883A8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7E-4B62-9965-177BA883A8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7E-4B62-9965-177BA883A8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7E-4B62-9965-177BA883A8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7E-4B62-9965-177BA883A8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7E-4B62-9965-177BA883A8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7E-4B62-9965-177BA883A8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47E-4B62-9965-177BA883A89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47E-4B62-9965-177BA883A89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47E-4B62-9965-177BA883A89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69A-4E35-9022-CA67526E57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2026.03'!$A$5:$A$15</c:f>
              <c:strCache>
                <c:ptCount val="11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  <c:pt idx="10">
                  <c:v>Lendermarket</c:v>
                </c:pt>
              </c:strCache>
            </c:strRef>
          </c:cat>
          <c:val>
            <c:numRef>
              <c:f>'P2P 2026.03'!$D$5:$D$15</c:f>
              <c:numCache>
                <c:formatCode>0.00</c:formatCode>
                <c:ptCount val="11"/>
                <c:pt idx="0">
                  <c:v>1092.69</c:v>
                </c:pt>
                <c:pt idx="1">
                  <c:v>1070.74</c:v>
                </c:pt>
                <c:pt idx="2">
                  <c:v>604.86</c:v>
                </c:pt>
                <c:pt idx="3">
                  <c:v>1156.17</c:v>
                </c:pt>
                <c:pt idx="4">
                  <c:v>967.83</c:v>
                </c:pt>
                <c:pt idx="5">
                  <c:v>303.83999999999997</c:v>
                </c:pt>
                <c:pt idx="6">
                  <c:v>166.83</c:v>
                </c:pt>
                <c:pt idx="7">
                  <c:v>277.76</c:v>
                </c:pt>
                <c:pt idx="8">
                  <c:v>607.58000000000004</c:v>
                </c:pt>
                <c:pt idx="9">
                  <c:v>236.82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47E-4B62-9965-177BA883A8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2026.03'!$A$5:$A$15</c:f>
              <c:strCache>
                <c:ptCount val="11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  <c:pt idx="10">
                  <c:v>Lendermarket</c:v>
                </c:pt>
              </c:strCache>
            </c:strRef>
          </c:cat>
          <c:val>
            <c:numRef>
              <c:f>'P2P 2026.03'!$G$5:$G$15</c:f>
              <c:numCache>
                <c:formatCode>0.00</c:formatCode>
                <c:ptCount val="11"/>
                <c:pt idx="0">
                  <c:v>10.150000000000091</c:v>
                </c:pt>
                <c:pt idx="1">
                  <c:v>8.9800000000000182</c:v>
                </c:pt>
                <c:pt idx="2">
                  <c:v>2.9999999999972715E-2</c:v>
                </c:pt>
                <c:pt idx="3">
                  <c:v>15.710000000000036</c:v>
                </c:pt>
                <c:pt idx="4">
                  <c:v>6.5900000000000318</c:v>
                </c:pt>
                <c:pt idx="5">
                  <c:v>2.5099999999999909</c:v>
                </c:pt>
                <c:pt idx="6">
                  <c:v>1.6300000000000239</c:v>
                </c:pt>
                <c:pt idx="7">
                  <c:v>2.0199999999999818</c:v>
                </c:pt>
                <c:pt idx="8">
                  <c:v>0</c:v>
                </c:pt>
                <c:pt idx="9">
                  <c:v>1.5600000000000023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1-4B9B-8A47-A64964FE7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CE-4C99-80CD-10BCA21BF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CE-4C99-80CD-10BCA21BFD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2025.02'!$A$5:$A$6</c:f>
              <c:strCache>
                <c:ptCount val="2"/>
                <c:pt idx="0">
                  <c:v>Profitus</c:v>
                </c:pt>
                <c:pt idx="1">
                  <c:v>Nordstreet</c:v>
                </c:pt>
              </c:strCache>
            </c:strRef>
          </c:cat>
          <c:val>
            <c:numRef>
              <c:f>'P2P 2025.02'!$D$5:$D$6</c:f>
              <c:numCache>
                <c:formatCode>0.00</c:formatCode>
                <c:ptCount val="2"/>
                <c:pt idx="0">
                  <c:v>100</c:v>
                </c:pt>
                <c:pt idx="1">
                  <c:v>50.64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CE-4C99-80CD-10BCA21BFD2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2025.02'!$A$5:$A$8</c:f>
              <c:strCache>
                <c:ptCount val="2"/>
                <c:pt idx="0">
                  <c:v>Profitus</c:v>
                </c:pt>
                <c:pt idx="1">
                  <c:v>Nordstreet</c:v>
                </c:pt>
              </c:strCache>
            </c:strRef>
          </c:cat>
          <c:val>
            <c:numRef>
              <c:f>'P2P 2025.02'!$G$5:$G$8</c:f>
              <c:numCache>
                <c:formatCode>0.00</c:formatCode>
                <c:ptCount val="4"/>
                <c:pt idx="0">
                  <c:v>0</c:v>
                </c:pt>
                <c:pt idx="1">
                  <c:v>0.64000000000000057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0-4BD3-8CD4-882F444B6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05-4D57-B052-07A9D0D774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05-4D57-B052-07A9D0D774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05-4D57-B052-07A9D0D774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05-4D57-B052-07A9D0D774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2025.03'!$A$5:$A$8</c:f>
              <c:strCache>
                <c:ptCount val="4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</c:strCache>
            </c:strRef>
          </c:cat>
          <c:val>
            <c:numRef>
              <c:f>'P2P 2025.03'!$D$5:$D$8</c:f>
              <c:numCache>
                <c:formatCode>0.00</c:formatCode>
                <c:ptCount val="4"/>
                <c:pt idx="0">
                  <c:v>400</c:v>
                </c:pt>
                <c:pt idx="1">
                  <c:v>202.62</c:v>
                </c:pt>
                <c:pt idx="2">
                  <c:v>115</c:v>
                </c:pt>
                <c:pt idx="3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05-4D57-B052-07A9D0D774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2025.03'!$A$5:$A$8</c:f>
              <c:strCache>
                <c:ptCount val="4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</c:strCache>
            </c:strRef>
          </c:cat>
          <c:val>
            <c:numRef>
              <c:f>'P2P 2025.03'!$G$5:$G$8</c:f>
              <c:numCache>
                <c:formatCode>0.00</c:formatCode>
                <c:ptCount val="4"/>
                <c:pt idx="0">
                  <c:v>0</c:v>
                </c:pt>
                <c:pt idx="1">
                  <c:v>1.980000000000004</c:v>
                </c:pt>
                <c:pt idx="2">
                  <c:v>55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F-4525-9397-719265BAD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50-4045-901B-CB812764E5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50-4045-901B-CB812764E5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50-4045-901B-CB812764E5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50-4045-901B-CB812764E5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2025.04'!$A$5:$A$8</c:f>
              <c:strCache>
                <c:ptCount val="4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</c:strCache>
            </c:strRef>
          </c:cat>
          <c:val>
            <c:numRef>
              <c:f>'P2P 2025.04'!$D$5:$D$8</c:f>
              <c:numCache>
                <c:formatCode>0.00</c:formatCode>
                <c:ptCount val="4"/>
                <c:pt idx="0">
                  <c:v>500</c:v>
                </c:pt>
                <c:pt idx="1">
                  <c:v>305.61</c:v>
                </c:pt>
                <c:pt idx="2">
                  <c:v>273.64999999999998</c:v>
                </c:pt>
                <c:pt idx="3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50-4045-901B-CB812764E5A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2025.04'!$A$5:$A$8</c:f>
              <c:strCache>
                <c:ptCount val="4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</c:strCache>
            </c:strRef>
          </c:cat>
          <c:val>
            <c:numRef>
              <c:f>'P2P 2025.04'!$G$5:$G$8</c:f>
              <c:numCache>
                <c:formatCode>0.00</c:formatCode>
                <c:ptCount val="4"/>
                <c:pt idx="0">
                  <c:v>0</c:v>
                </c:pt>
                <c:pt idx="1">
                  <c:v>2.9900000000000091</c:v>
                </c:pt>
                <c:pt idx="2">
                  <c:v>28.649999999999977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A-4749-903F-D6F1AD59F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87-479C-999E-4E809D4A24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87-479C-999E-4E809D4A24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87-479C-999E-4E809D4A24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87-479C-999E-4E809D4A24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2025.05'!$A$5:$A$8</c:f>
              <c:strCache>
                <c:ptCount val="4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</c:strCache>
            </c:strRef>
          </c:cat>
          <c:val>
            <c:numRef>
              <c:f>'P2P 2025.05'!$D$5:$D$8</c:f>
              <c:numCache>
                <c:formatCode>0.00</c:formatCode>
                <c:ptCount val="4"/>
                <c:pt idx="0">
                  <c:v>702.12</c:v>
                </c:pt>
                <c:pt idx="1">
                  <c:v>409.1</c:v>
                </c:pt>
                <c:pt idx="2">
                  <c:v>363.65</c:v>
                </c:pt>
                <c:pt idx="3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87-479C-999E-4E809D4A245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2025.05'!$A$5:$A$8</c:f>
              <c:strCache>
                <c:ptCount val="4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</c:strCache>
            </c:strRef>
          </c:cat>
          <c:val>
            <c:numRef>
              <c:f>'P2P 2025.05'!$G$5:$G$8</c:f>
              <c:numCache>
                <c:formatCode>0.00</c:formatCode>
                <c:ptCount val="4"/>
                <c:pt idx="0">
                  <c:v>2.1200000000000045</c:v>
                </c:pt>
                <c:pt idx="1">
                  <c:v>3.4900000000000091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4-4166-9CD3-3882C45A2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39-4559-9436-D3295FCD79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39-4559-9436-D3295FCD79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39-4559-9436-D3295FCD79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39-4559-9436-D3295FCD79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6B-4370-8124-A7C0387590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2025.06'!$A$5:$A$9</c:f>
              <c:strCache>
                <c:ptCount val="5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</c:strCache>
            </c:strRef>
          </c:cat>
          <c:val>
            <c:numRef>
              <c:f>'P2P 2025.06'!$D$5:$D$9</c:f>
              <c:numCache>
                <c:formatCode>0.00</c:formatCode>
                <c:ptCount val="5"/>
                <c:pt idx="0">
                  <c:v>710.56</c:v>
                </c:pt>
                <c:pt idx="1">
                  <c:v>516.88</c:v>
                </c:pt>
                <c:pt idx="2">
                  <c:v>403.76</c:v>
                </c:pt>
                <c:pt idx="3">
                  <c:v>733.64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39-4559-9436-D3295FCD79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2025.06'!$A$5:$A$9</c:f>
              <c:strCache>
                <c:ptCount val="5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</c:strCache>
            </c:strRef>
          </c:cat>
          <c:val>
            <c:numRef>
              <c:f>'P2P 2025.06'!$G$5:$G$9</c:f>
              <c:numCache>
                <c:formatCode>0.00</c:formatCode>
                <c:ptCount val="5"/>
                <c:pt idx="0">
                  <c:v>8.4399999999999409</c:v>
                </c:pt>
                <c:pt idx="1">
                  <c:v>7.7799999999999727</c:v>
                </c:pt>
                <c:pt idx="2">
                  <c:v>0.11000000000001364</c:v>
                </c:pt>
                <c:pt idx="3">
                  <c:v>13.639999999999986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3-4C35-A4FD-F61D7B519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A4-44A9-A6EC-658D153AA1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A4-44A9-A6EC-658D153AA1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A4-44A9-A6EC-658D153AA1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A4-44A9-A6EC-658D153AA1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A4-44A9-A6EC-658D153AA1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2025.07'!$A$5:$A$9</c:f>
              <c:strCache>
                <c:ptCount val="5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</c:strCache>
            </c:strRef>
          </c:cat>
          <c:val>
            <c:numRef>
              <c:f>'P2P 2025.07'!$D$5:$D$9</c:f>
              <c:numCache>
                <c:formatCode>0.00</c:formatCode>
                <c:ptCount val="5"/>
                <c:pt idx="0">
                  <c:v>812.82</c:v>
                </c:pt>
                <c:pt idx="1">
                  <c:v>621.67999999999995</c:v>
                </c:pt>
                <c:pt idx="2">
                  <c:v>463.76</c:v>
                </c:pt>
                <c:pt idx="3">
                  <c:v>740.12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A4-44A9-A6EC-658D153AA1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2025.07'!$A$5:$A$9</c:f>
              <c:strCache>
                <c:ptCount val="5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</c:strCache>
            </c:strRef>
          </c:cat>
          <c:val>
            <c:numRef>
              <c:f>'P2P 2025.07'!$G$5:$G$9</c:f>
              <c:numCache>
                <c:formatCode>0.00</c:formatCode>
                <c:ptCount val="5"/>
                <c:pt idx="0">
                  <c:v>2.2600000000001046</c:v>
                </c:pt>
                <c:pt idx="1">
                  <c:v>4.7999999999999545</c:v>
                </c:pt>
                <c:pt idx="2">
                  <c:v>0</c:v>
                </c:pt>
                <c:pt idx="3">
                  <c:v>6.4800000000000182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2-47C4-96A1-F205E9414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BD-42BE-B999-BBFA73A22B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BD-42BE-B999-BBFA73A22B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BD-42BE-B999-BBFA73A22B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BD-42BE-B999-BBFA73A22B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BD-42BE-B999-BBFA73A22B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2025.08'!$A$5:$A$9</c:f>
              <c:strCache>
                <c:ptCount val="5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</c:strCache>
            </c:strRef>
          </c:cat>
          <c:val>
            <c:numRef>
              <c:f>'P2P 2025.08'!$D$5:$D$9</c:f>
              <c:numCache>
                <c:formatCode>0.00</c:formatCode>
                <c:ptCount val="5"/>
                <c:pt idx="0">
                  <c:v>814.26</c:v>
                </c:pt>
                <c:pt idx="1">
                  <c:v>678.25</c:v>
                </c:pt>
                <c:pt idx="2">
                  <c:v>523.76</c:v>
                </c:pt>
                <c:pt idx="3">
                  <c:v>740.12</c:v>
                </c:pt>
                <c:pt idx="4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BD-42BE-B999-BBFA73A22BC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2025.08'!$A$5:$A$9</c:f>
              <c:strCache>
                <c:ptCount val="5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</c:strCache>
            </c:strRef>
          </c:cat>
          <c:val>
            <c:numRef>
              <c:f>'P2P 2025.08'!$G$5:$G$9</c:f>
              <c:numCache>
                <c:formatCode>0.00</c:formatCode>
                <c:ptCount val="5"/>
                <c:pt idx="0">
                  <c:v>1.4399999999999409</c:v>
                </c:pt>
                <c:pt idx="1">
                  <c:v>6.57000000000005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1-4403-B756-0F312E9E0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AF-48F0-BF06-65639A0047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AF-48F0-BF06-65639A0047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AF-48F0-BF06-65639A0047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AF-48F0-BF06-65639A0047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AF-48F0-BF06-65639A0047D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678-48FE-A24B-7AD885A8BAE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678-48FE-A24B-7AD885A8BA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2025.09'!$A$5:$A$11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2025.09'!$D$5:$D$11</c:f>
              <c:numCache>
                <c:formatCode>0.00</c:formatCode>
                <c:ptCount val="7"/>
                <c:pt idx="0">
                  <c:v>932.78</c:v>
                </c:pt>
                <c:pt idx="1">
                  <c:v>836.08</c:v>
                </c:pt>
                <c:pt idx="2">
                  <c:v>553.76</c:v>
                </c:pt>
                <c:pt idx="3">
                  <c:v>852.99</c:v>
                </c:pt>
                <c:pt idx="4">
                  <c:v>416</c:v>
                </c:pt>
                <c:pt idx="5">
                  <c:v>100.52</c:v>
                </c:pt>
                <c:pt idx="6">
                  <c:v>50.12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AF-48F0-BF06-65639A0047D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2025.09'!$A$5:$A$11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2025.09'!$G$5:$G$11</c:f>
              <c:numCache>
                <c:formatCode>0.00</c:formatCode>
                <c:ptCount val="7"/>
                <c:pt idx="0">
                  <c:v>18.519999999999982</c:v>
                </c:pt>
                <c:pt idx="1">
                  <c:v>7.8300000000000409</c:v>
                </c:pt>
                <c:pt idx="2">
                  <c:v>0</c:v>
                </c:pt>
                <c:pt idx="3">
                  <c:v>12.870000000000005</c:v>
                </c:pt>
                <c:pt idx="4">
                  <c:v>1</c:v>
                </c:pt>
                <c:pt idx="5">
                  <c:v>0.51999999999999602</c:v>
                </c:pt>
                <c:pt idx="6">
                  <c:v>0.11999999999999744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E-4B37-BE0A-5AABE2E74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54-4B1E-9C21-91EF07B717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54-4B1E-9C21-91EF07B717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54-4B1E-9C21-91EF07B717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54-4B1E-9C21-91EF07B717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54-4B1E-9C21-91EF07B717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A54-4B1E-9C21-91EF07B717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A54-4B1E-9C21-91EF07B717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11C-445F-B814-A7F8BD7467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2025.10'!$A$5:$A$12</c:f>
              <c:strCache>
                <c:ptCount val="8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</c:strCache>
            </c:strRef>
          </c:cat>
          <c:val>
            <c:numRef>
              <c:f>'P2P 2025.10'!$D$5:$D$12</c:f>
              <c:numCache>
                <c:formatCode>0.00</c:formatCode>
                <c:ptCount val="8"/>
                <c:pt idx="0">
                  <c:v>935.55</c:v>
                </c:pt>
                <c:pt idx="1">
                  <c:v>969.59</c:v>
                </c:pt>
                <c:pt idx="2">
                  <c:v>584.04999999999995</c:v>
                </c:pt>
                <c:pt idx="3">
                  <c:v>963.27</c:v>
                </c:pt>
                <c:pt idx="4">
                  <c:v>538.11</c:v>
                </c:pt>
                <c:pt idx="5">
                  <c:v>191.79</c:v>
                </c:pt>
                <c:pt idx="6">
                  <c:v>50.63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A54-4B1E-9C21-91EF07B717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2025.10'!$A$5:$A$12</c:f>
              <c:strCache>
                <c:ptCount val="8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</c:strCache>
            </c:strRef>
          </c:cat>
          <c:val>
            <c:numRef>
              <c:f>'P2P 2025.10'!$G$5:$G$12</c:f>
              <c:numCache>
                <c:formatCode>0.00</c:formatCode>
                <c:ptCount val="8"/>
                <c:pt idx="0">
                  <c:v>2.7699999999999818</c:v>
                </c:pt>
                <c:pt idx="1">
                  <c:v>33.509999999999991</c:v>
                </c:pt>
                <c:pt idx="2">
                  <c:v>0.28999999999996362</c:v>
                </c:pt>
                <c:pt idx="3">
                  <c:v>10.279999999999973</c:v>
                </c:pt>
                <c:pt idx="4">
                  <c:v>22.110000000000014</c:v>
                </c:pt>
                <c:pt idx="5">
                  <c:v>1.269999999999996</c:v>
                </c:pt>
                <c:pt idx="6">
                  <c:v>0.51000000000000512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2-4979-AD06-D4452C9A3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0F-45DA-8079-27B897E243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0F-45DA-8079-27B897E243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0F-45DA-8079-27B897E243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0F-45DA-8079-27B897E243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0F-45DA-8079-27B897E243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0F-45DA-8079-27B897E243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10F-45DA-8079-27B897E243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2025.10'!$A$5:$A$11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2025.09'!$D$5:$D$11</c:f>
              <c:numCache>
                <c:formatCode>0.00</c:formatCode>
                <c:ptCount val="7"/>
                <c:pt idx="0">
                  <c:v>932.78</c:v>
                </c:pt>
                <c:pt idx="1">
                  <c:v>836.08</c:v>
                </c:pt>
                <c:pt idx="2">
                  <c:v>553.76</c:v>
                </c:pt>
                <c:pt idx="3">
                  <c:v>852.99</c:v>
                </c:pt>
                <c:pt idx="4">
                  <c:v>416</c:v>
                </c:pt>
                <c:pt idx="5">
                  <c:v>100.52</c:v>
                </c:pt>
                <c:pt idx="6">
                  <c:v>50.12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10F-45DA-8079-27B897E2439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2025.09'!$A$5:$A$11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2025.09'!$G$5:$G$11</c:f>
              <c:numCache>
                <c:formatCode>0.00</c:formatCode>
                <c:ptCount val="7"/>
                <c:pt idx="0">
                  <c:v>18.519999999999982</c:v>
                </c:pt>
                <c:pt idx="1">
                  <c:v>7.8300000000000409</c:v>
                </c:pt>
                <c:pt idx="2">
                  <c:v>0</c:v>
                </c:pt>
                <c:pt idx="3">
                  <c:v>12.870000000000005</c:v>
                </c:pt>
                <c:pt idx="4">
                  <c:v>1</c:v>
                </c:pt>
                <c:pt idx="5">
                  <c:v>0.51999999999999602</c:v>
                </c:pt>
                <c:pt idx="6">
                  <c:v>0.11999999999999744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5-4C1C-9965-ED161504B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C5-4068-9C85-87D3DF5372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C5-4068-9C85-87D3DF5372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C5-4068-9C85-87D3DF5372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C5-4068-9C85-87D3DF5372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C5-4068-9C85-87D3DF5372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C5-4068-9C85-87D3DF5372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7C5-4068-9C85-87D3DF5372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7C5-4068-9C85-87D3DF5372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724-4CD1-B280-8F0EC2FBB9A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724-4CD1-B280-8F0EC2FBB9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2025.11'!$A$5:$A$14</c:f>
              <c:strCache>
                <c:ptCount val="10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</c:strCache>
            </c:strRef>
          </c:cat>
          <c:val>
            <c:numRef>
              <c:f>'P2P 2025.11'!$D$5:$D$14</c:f>
              <c:numCache>
                <c:formatCode>0.00</c:formatCode>
                <c:ptCount val="10"/>
                <c:pt idx="0">
                  <c:v>940.78</c:v>
                </c:pt>
                <c:pt idx="1">
                  <c:v>977.96</c:v>
                </c:pt>
                <c:pt idx="2">
                  <c:v>584.04999999999995</c:v>
                </c:pt>
                <c:pt idx="3">
                  <c:v>969.05</c:v>
                </c:pt>
                <c:pt idx="4">
                  <c:v>639.11</c:v>
                </c:pt>
                <c:pt idx="5">
                  <c:v>214.47</c:v>
                </c:pt>
                <c:pt idx="6">
                  <c:v>101.4</c:v>
                </c:pt>
                <c:pt idx="7">
                  <c:v>150.86000000000001</c:v>
                </c:pt>
                <c:pt idx="8">
                  <c:v>500</c:v>
                </c:pt>
                <c:pt idx="9">
                  <c:v>150.5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7C5-4068-9C85-87D3DF53723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2025.11'!$A$5:$A$14</c:f>
              <c:strCache>
                <c:ptCount val="10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</c:strCache>
            </c:strRef>
          </c:cat>
          <c:val>
            <c:numRef>
              <c:f>'P2P 2025.11'!$G$5:$G$14</c:f>
              <c:numCache>
                <c:formatCode>0.00</c:formatCode>
                <c:ptCount val="10"/>
                <c:pt idx="0">
                  <c:v>5.2300000000000182</c:v>
                </c:pt>
                <c:pt idx="1">
                  <c:v>8.3700000000000045</c:v>
                </c:pt>
                <c:pt idx="2">
                  <c:v>0</c:v>
                </c:pt>
                <c:pt idx="3">
                  <c:v>5.7799999999999727</c:v>
                </c:pt>
                <c:pt idx="4">
                  <c:v>1</c:v>
                </c:pt>
                <c:pt idx="5">
                  <c:v>2.6800000000000068</c:v>
                </c:pt>
                <c:pt idx="6">
                  <c:v>0.77000000000000313</c:v>
                </c:pt>
                <c:pt idx="7">
                  <c:v>0.86000000000001364</c:v>
                </c:pt>
                <c:pt idx="8">
                  <c:v>0</c:v>
                </c:pt>
                <c:pt idx="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2-49CF-854B-94A0F9770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12-4222-9D2E-640E3AB59D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12-4222-9D2E-640E3AB59D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12-4222-9D2E-640E3AB59D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12-4222-9D2E-640E3AB59D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12-4222-9D2E-640E3AB59D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12-4222-9D2E-640E3AB59D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12-4222-9D2E-640E3AB59D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2025.10'!$A$5:$A$11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2025.09'!$D$5:$D$11</c:f>
              <c:numCache>
                <c:formatCode>0.00</c:formatCode>
                <c:ptCount val="7"/>
                <c:pt idx="0">
                  <c:v>932.78</c:v>
                </c:pt>
                <c:pt idx="1">
                  <c:v>836.08</c:v>
                </c:pt>
                <c:pt idx="2">
                  <c:v>553.76</c:v>
                </c:pt>
                <c:pt idx="3">
                  <c:v>852.99</c:v>
                </c:pt>
                <c:pt idx="4">
                  <c:v>416</c:v>
                </c:pt>
                <c:pt idx="5">
                  <c:v>100.52</c:v>
                </c:pt>
                <c:pt idx="6">
                  <c:v>50.12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12-4222-9D2E-640E3AB59DF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2025.09'!$A$5:$A$11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2025.09'!$G$5:$G$11</c:f>
              <c:numCache>
                <c:formatCode>0.00</c:formatCode>
                <c:ptCount val="7"/>
                <c:pt idx="0">
                  <c:v>18.519999999999982</c:v>
                </c:pt>
                <c:pt idx="1">
                  <c:v>7.8300000000000409</c:v>
                </c:pt>
                <c:pt idx="2">
                  <c:v>0</c:v>
                </c:pt>
                <c:pt idx="3">
                  <c:v>12.870000000000005</c:v>
                </c:pt>
                <c:pt idx="4">
                  <c:v>1</c:v>
                </c:pt>
                <c:pt idx="5">
                  <c:v>0.51999999999999602</c:v>
                </c:pt>
                <c:pt idx="6">
                  <c:v>0.11999999999999744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1-4F40-8DFF-F09080787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6D-4C79-B583-4BA7FAAECD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6D-4C79-B583-4BA7FAAECD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6D-4C79-B583-4BA7FAAECD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6D-4C79-B583-4BA7FAAECD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6D-4C79-B583-4BA7FAAECD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6D-4C79-B583-4BA7FAAECD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6D-4C79-B583-4BA7FAAECD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D6D-4C79-B583-4BA7FAAECD3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D6D-4C79-B583-4BA7FAAECD3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D6D-4C79-B583-4BA7FAAECD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2025.12'!$A$5:$A$14</c:f>
              <c:strCache>
                <c:ptCount val="10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</c:strCache>
            </c:strRef>
          </c:cat>
          <c:val>
            <c:numRef>
              <c:f>'P2P 2025.12'!$D$5:$D$14</c:f>
              <c:numCache>
                <c:formatCode>0.00</c:formatCode>
                <c:ptCount val="10"/>
                <c:pt idx="0">
                  <c:v>1049.25</c:v>
                </c:pt>
                <c:pt idx="1">
                  <c:v>990.78</c:v>
                </c:pt>
                <c:pt idx="2">
                  <c:v>604.83000000000004</c:v>
                </c:pt>
                <c:pt idx="3">
                  <c:v>1094</c:v>
                </c:pt>
                <c:pt idx="4">
                  <c:v>849.62</c:v>
                </c:pt>
                <c:pt idx="5">
                  <c:v>246.8</c:v>
                </c:pt>
                <c:pt idx="6">
                  <c:v>122.52</c:v>
                </c:pt>
                <c:pt idx="7">
                  <c:v>202.13</c:v>
                </c:pt>
                <c:pt idx="8">
                  <c:v>500</c:v>
                </c:pt>
                <c:pt idx="9">
                  <c:v>171.49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D6D-4C79-B583-4BA7FAAECD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2025.12'!$A$5:$A$14</c:f>
              <c:strCache>
                <c:ptCount val="10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</c:strCache>
            </c:strRef>
          </c:cat>
          <c:val>
            <c:numRef>
              <c:f>'P2P 2025.12'!$G$5:$G$14</c:f>
              <c:numCache>
                <c:formatCode>0.00</c:formatCode>
                <c:ptCount val="10"/>
                <c:pt idx="0">
                  <c:v>8.4700000000000273</c:v>
                </c:pt>
                <c:pt idx="1">
                  <c:v>12.819999999999936</c:v>
                </c:pt>
                <c:pt idx="2">
                  <c:v>0.7800000000000864</c:v>
                </c:pt>
                <c:pt idx="3">
                  <c:v>24.950000000000045</c:v>
                </c:pt>
                <c:pt idx="4">
                  <c:v>10.509999999999991</c:v>
                </c:pt>
                <c:pt idx="5">
                  <c:v>2.3300000000000125</c:v>
                </c:pt>
                <c:pt idx="6">
                  <c:v>1.1199999999999903</c:v>
                </c:pt>
                <c:pt idx="7">
                  <c:v>1.2699999999999818</c:v>
                </c:pt>
                <c:pt idx="8">
                  <c:v>0</c:v>
                </c:pt>
                <c:pt idx="9">
                  <c:v>0.99000000000000909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3-4A3A-AC25-061D2E452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04-4786-927D-27CA296B38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04-4786-927D-27CA296B38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04-4786-927D-27CA296B38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04-4786-927D-27CA296B38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B04-4786-927D-27CA296B38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B04-4786-927D-27CA296B38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B04-4786-927D-27CA296B38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2025.10'!$A$5:$A$11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2025.09'!$D$5:$D$11</c:f>
              <c:numCache>
                <c:formatCode>0.00</c:formatCode>
                <c:ptCount val="7"/>
                <c:pt idx="0">
                  <c:v>932.78</c:v>
                </c:pt>
                <c:pt idx="1">
                  <c:v>836.08</c:v>
                </c:pt>
                <c:pt idx="2">
                  <c:v>553.76</c:v>
                </c:pt>
                <c:pt idx="3">
                  <c:v>852.99</c:v>
                </c:pt>
                <c:pt idx="4">
                  <c:v>416</c:v>
                </c:pt>
                <c:pt idx="5">
                  <c:v>100.52</c:v>
                </c:pt>
                <c:pt idx="6">
                  <c:v>50.12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B04-4786-927D-27CA296B38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2025.09'!$A$5:$A$11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2025.09'!$G$5:$G$11</c:f>
              <c:numCache>
                <c:formatCode>0.00</c:formatCode>
                <c:ptCount val="7"/>
                <c:pt idx="0">
                  <c:v>18.519999999999982</c:v>
                </c:pt>
                <c:pt idx="1">
                  <c:v>7.8300000000000409</c:v>
                </c:pt>
                <c:pt idx="2">
                  <c:v>0</c:v>
                </c:pt>
                <c:pt idx="3">
                  <c:v>12.870000000000005</c:v>
                </c:pt>
                <c:pt idx="4">
                  <c:v>1</c:v>
                </c:pt>
                <c:pt idx="5">
                  <c:v>0.51999999999999602</c:v>
                </c:pt>
                <c:pt idx="6">
                  <c:v>0.11999999999999744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4-4418-B762-D11BF0099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51-4F02-A399-62055535AB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51-4F02-A399-62055535AB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51-4F02-A399-62055535AB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51-4F02-A399-62055535AB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51-4F02-A399-62055535AB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51-4F02-A399-62055535AB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451-4F02-A399-62055535AB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451-4F02-A399-62055535AB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451-4F02-A399-62055535AB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451-4F02-A399-62055535AB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2026.01'!$A$5:$A$14</c:f>
              <c:strCache>
                <c:ptCount val="10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</c:strCache>
            </c:strRef>
          </c:cat>
          <c:val>
            <c:numRef>
              <c:f>'P2P 2026.01'!$D$5:$D$14</c:f>
              <c:numCache>
                <c:formatCode>0.00</c:formatCode>
                <c:ptCount val="10"/>
                <c:pt idx="0">
                  <c:v>1058.32</c:v>
                </c:pt>
                <c:pt idx="1">
                  <c:v>1001.92</c:v>
                </c:pt>
                <c:pt idx="2">
                  <c:v>604.83000000000004</c:v>
                </c:pt>
                <c:pt idx="3">
                  <c:v>1102.32</c:v>
                </c:pt>
                <c:pt idx="4">
                  <c:v>956.77</c:v>
                </c:pt>
                <c:pt idx="5">
                  <c:v>299</c:v>
                </c:pt>
                <c:pt idx="6">
                  <c:v>143.83000000000001</c:v>
                </c:pt>
                <c:pt idx="7">
                  <c:v>213.88</c:v>
                </c:pt>
                <c:pt idx="8">
                  <c:v>607.58000000000004</c:v>
                </c:pt>
                <c:pt idx="9">
                  <c:v>193.64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451-4F02-A399-62055535AB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2026.01'!$A$5:$A$14</c:f>
              <c:strCache>
                <c:ptCount val="10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</c:strCache>
            </c:strRef>
          </c:cat>
          <c:val>
            <c:numRef>
              <c:f>'P2P 2026.01'!$G$5:$G$14</c:f>
              <c:numCache>
                <c:formatCode>0.00</c:formatCode>
                <c:ptCount val="10"/>
                <c:pt idx="0">
                  <c:v>9.0699999999999363</c:v>
                </c:pt>
                <c:pt idx="1">
                  <c:v>11.139999999999986</c:v>
                </c:pt>
                <c:pt idx="2">
                  <c:v>0</c:v>
                </c:pt>
                <c:pt idx="3">
                  <c:v>8.3199999999999363</c:v>
                </c:pt>
                <c:pt idx="4">
                  <c:v>7.1499999999999773</c:v>
                </c:pt>
                <c:pt idx="5">
                  <c:v>2.1999999999999886</c:v>
                </c:pt>
                <c:pt idx="6">
                  <c:v>1.3100000000000165</c:v>
                </c:pt>
                <c:pt idx="7">
                  <c:v>1.75</c:v>
                </c:pt>
                <c:pt idx="8">
                  <c:v>7.5800000000000409</c:v>
                </c:pt>
                <c:pt idx="9">
                  <c:v>2.1499999999999773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A-4A32-BF2E-CC0AA9C6B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8C-4AAC-94A6-D9231C381C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8C-4AAC-94A6-D9231C381C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8C-4AAC-94A6-D9231C381C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8C-4AAC-94A6-D9231C381C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8C-4AAC-94A6-D9231C381C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8C-4AAC-94A6-D9231C381C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58C-4AAC-94A6-D9231C381C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2025.10'!$A$5:$A$11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2025.09'!$D$5:$D$11</c:f>
              <c:numCache>
                <c:formatCode>0.00</c:formatCode>
                <c:ptCount val="7"/>
                <c:pt idx="0">
                  <c:v>932.78</c:v>
                </c:pt>
                <c:pt idx="1">
                  <c:v>836.08</c:v>
                </c:pt>
                <c:pt idx="2">
                  <c:v>553.76</c:v>
                </c:pt>
                <c:pt idx="3">
                  <c:v>852.99</c:v>
                </c:pt>
                <c:pt idx="4">
                  <c:v>416</c:v>
                </c:pt>
                <c:pt idx="5">
                  <c:v>100.52</c:v>
                </c:pt>
                <c:pt idx="6">
                  <c:v>50.12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8C-4AAC-94A6-D9231C381CF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2025.09'!$A$5:$A$11</c:f>
              <c:strCache>
                <c:ptCount val="7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</c:strCache>
            </c:strRef>
          </c:cat>
          <c:val>
            <c:numRef>
              <c:f>'P2P 2025.09'!$G$5:$G$11</c:f>
              <c:numCache>
                <c:formatCode>0.00</c:formatCode>
                <c:ptCount val="7"/>
                <c:pt idx="0">
                  <c:v>18.519999999999982</c:v>
                </c:pt>
                <c:pt idx="1">
                  <c:v>7.8300000000000409</c:v>
                </c:pt>
                <c:pt idx="2">
                  <c:v>0</c:v>
                </c:pt>
                <c:pt idx="3">
                  <c:v>12.870000000000005</c:v>
                </c:pt>
                <c:pt idx="4">
                  <c:v>1</c:v>
                </c:pt>
                <c:pt idx="5">
                  <c:v>0.51999999999999602</c:v>
                </c:pt>
                <c:pt idx="6">
                  <c:v>0.11999999999999744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9-4646-9E8D-993F738CB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7F-4D13-9963-811A79B450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7F-4D13-9963-811A79B450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7F-4D13-9963-811A79B450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7F-4D13-9963-811A79B450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7F-4D13-9963-811A79B450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7F-4D13-9963-811A79B450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7F-4D13-9963-811A79B450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7F-4D13-9963-811A79B450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A7F-4D13-9963-811A79B450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A7F-4D13-9963-811A79B450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'P2P 2026.02'!$A$5:$A$14</c:f>
              <c:strCache>
                <c:ptCount val="10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</c:strCache>
            </c:strRef>
          </c:cat>
          <c:val>
            <c:numRef>
              <c:f>'P2P 2026.02'!$D$5:$D$14</c:f>
              <c:numCache>
                <c:formatCode>0.00</c:formatCode>
                <c:ptCount val="10"/>
                <c:pt idx="0">
                  <c:v>1082.54</c:v>
                </c:pt>
                <c:pt idx="1">
                  <c:v>1061.76</c:v>
                </c:pt>
                <c:pt idx="2">
                  <c:v>604.83000000000004</c:v>
                </c:pt>
                <c:pt idx="3">
                  <c:v>1110.46</c:v>
                </c:pt>
                <c:pt idx="4">
                  <c:v>961.24</c:v>
                </c:pt>
                <c:pt idx="5">
                  <c:v>301.33</c:v>
                </c:pt>
                <c:pt idx="6">
                  <c:v>165.2</c:v>
                </c:pt>
                <c:pt idx="7">
                  <c:v>245.74</c:v>
                </c:pt>
                <c:pt idx="8">
                  <c:v>607.58000000000004</c:v>
                </c:pt>
                <c:pt idx="9">
                  <c:v>215.26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A7F-4D13-9963-811A79B450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'P2P 2026.02'!$A$5:$A$14</c:f>
              <c:strCache>
                <c:ptCount val="10"/>
                <c:pt idx="0">
                  <c:v>Profitus</c:v>
                </c:pt>
                <c:pt idx="1">
                  <c:v>Nordstreet</c:v>
                </c:pt>
                <c:pt idx="2">
                  <c:v>Indemo</c:v>
                </c:pt>
                <c:pt idx="3">
                  <c:v>Crowdpear</c:v>
                </c:pt>
                <c:pt idx="4">
                  <c:v>Scramble</c:v>
                </c:pt>
                <c:pt idx="5">
                  <c:v>Nectaro</c:v>
                </c:pt>
                <c:pt idx="6">
                  <c:v>Debitum</c:v>
                </c:pt>
                <c:pt idx="7">
                  <c:v>Viainvest</c:v>
                </c:pt>
                <c:pt idx="8">
                  <c:v>Rontgen</c:v>
                </c:pt>
                <c:pt idx="9">
                  <c:v>Afranga</c:v>
                </c:pt>
              </c:strCache>
            </c:strRef>
          </c:cat>
          <c:val>
            <c:numRef>
              <c:f>'P2P 2026.02'!$G$5:$G$14</c:f>
              <c:numCache>
                <c:formatCode>0.00</c:formatCode>
                <c:ptCount val="10"/>
                <c:pt idx="0">
                  <c:v>4.2200000000000273</c:v>
                </c:pt>
                <c:pt idx="1">
                  <c:v>9.8400000000000318</c:v>
                </c:pt>
                <c:pt idx="2">
                  <c:v>0</c:v>
                </c:pt>
                <c:pt idx="3">
                  <c:v>8.1400000000001</c:v>
                </c:pt>
                <c:pt idx="4">
                  <c:v>4.4700000000000273</c:v>
                </c:pt>
                <c:pt idx="5">
                  <c:v>2.3299999999999841</c:v>
                </c:pt>
                <c:pt idx="6">
                  <c:v>1.3699999999999761</c:v>
                </c:pt>
                <c:pt idx="7">
                  <c:v>1.8600000000000136</c:v>
                </c:pt>
                <c:pt idx="8">
                  <c:v>0</c:v>
                </c:pt>
                <c:pt idx="9">
                  <c:v>1.6200000000000045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5-4DDF-B1B0-84E738984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22752"/>
        <c:axId val="1593623712"/>
      </c:barChart>
      <c:catAx>
        <c:axId val="1593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3712"/>
        <c:crosses val="autoZero"/>
        <c:auto val="1"/>
        <c:lblAlgn val="ctr"/>
        <c:lblOffset val="100"/>
        <c:noMultiLvlLbl val="0"/>
      </c:catAx>
      <c:valAx>
        <c:axId val="15936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2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3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4" Type="http://schemas.openxmlformats.org/officeDocument/2006/relationships/chart" Target="../charts/chart4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CD667-D3D7-4517-8D91-FA7D7562A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190499</xdr:rowOff>
    </xdr:from>
    <xdr:to>
      <xdr:col>22</xdr:col>
      <xdr:colOff>0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26B48F-C873-4F6E-A414-8E52EDCD3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185737</xdr:rowOff>
    </xdr:from>
    <xdr:to>
      <xdr:col>7</xdr:col>
      <xdr:colOff>1038225</xdr:colOff>
      <xdr:row>47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4DD76F-B91F-4B5E-AA79-9EB4E08E5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FAB8C-DEDA-4293-BBD3-DFA772F6F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190499</xdr:rowOff>
    </xdr:from>
    <xdr:to>
      <xdr:col>22</xdr:col>
      <xdr:colOff>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914DD7-B825-47D8-B041-B500AAEB4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185737</xdr:rowOff>
    </xdr:from>
    <xdr:to>
      <xdr:col>7</xdr:col>
      <xdr:colOff>1047749</xdr:colOff>
      <xdr:row>48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0CF1D5-18F7-49D4-86B5-745D0BD34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7E659-F265-4392-8508-ACD24ADD5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0</xdr:row>
      <xdr:rowOff>190499</xdr:rowOff>
    </xdr:from>
    <xdr:to>
      <xdr:col>21</xdr:col>
      <xdr:colOff>600074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AE0A71-5FE4-4DE7-82AE-B7730F340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185736</xdr:rowOff>
    </xdr:from>
    <xdr:to>
      <xdr:col>7</xdr:col>
      <xdr:colOff>1047749</xdr:colOff>
      <xdr:row>48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CB14F4-3009-4BBF-A44F-38A8F40FE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504E3-05C8-4455-9391-15812994C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C4AF88-C773-4A95-A531-874DBCA85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502729-A155-446E-AAF2-7ABF44E75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0D490E-F9C5-48CA-9A17-55CA3DA65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8C414C-448C-41A1-93C0-B32CDB16B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18</xdr:col>
      <xdr:colOff>0</xdr:colOff>
      <xdr:row>40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1916D5-33DE-42AC-ABFA-658412BEB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EC2843-6BB6-4FC9-A12A-85DC03523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18</xdr:col>
      <xdr:colOff>0</xdr:colOff>
      <xdr:row>40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2CAC25-4EAA-4ADC-97F7-FFF2B0069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4E0CBD-3B2B-4C1B-8D47-BA6DF96CB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18</xdr:col>
      <xdr:colOff>0</xdr:colOff>
      <xdr:row>40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AB2F88-23E8-4957-979B-C1093802D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1C3FCE-1E36-4AF2-8D6C-33EF6BA30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BC174D-56C0-65BA-1D9C-6DE257402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136C94-CF76-4EBB-842C-9A67305E9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2CDFBB-B83D-4781-ADE5-903A6D976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38E3F-288B-433E-8E3E-AC6B3E529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C18FDD-3581-459A-A6D5-52D8CCEC8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836908-6581-43AC-AC3A-8BD5A4B7C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1FE0BA-EB7D-4FBC-8738-FCFD701E8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61D95-0425-45FC-8C8A-9022FDF19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BA360A-1F59-4B0A-88D8-C12CB47A9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81B24-E5B9-4BE0-8271-CCD2EB441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D3A69E-4AEC-4D4E-9F49-F1E2C3076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631CD5-89C3-4FAE-811B-9E6019E08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B8BCFE-D29F-498C-B5C4-1898600BF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C78D68-6885-4047-A63E-C67DEC2FE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A548F9-4A7E-485C-964B-E3AE06B17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D6852-2211-41E2-B4BC-30E5C401B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0943B2-6B02-4021-99FB-3FB2C5F8E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280BDE-A9E9-46C3-9FD9-0F9B10306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2FFFEF-481B-4A0E-ADE1-79A7CE36F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55CEC-528E-45E4-8014-5D52742DC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4988BA-F9D0-4873-A874-C5BF37C20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58E2F5-648A-4AFF-91E9-CCCD28058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F2F4FE-B0BB-420F-8458-3CD6EC379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6D6E4-1DC9-4CB3-91F0-3C216D1F9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CDBB9E-C4F8-4AD3-A6C2-D0FDE7D5B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190499</xdr:rowOff>
    </xdr:from>
    <xdr:to>
      <xdr:col>18</xdr:col>
      <xdr:colOff>0</xdr:colOff>
      <xdr:row>25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D06693-B5E1-4D70-BDB1-857D15351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185737</xdr:rowOff>
    </xdr:from>
    <xdr:to>
      <xdr:col>18</xdr:col>
      <xdr:colOff>0</xdr:colOff>
      <xdr:row>40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E60BA8-178B-4889-B495-1555CE2A9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66"/>
  <sheetViews>
    <sheetView tabSelected="1" workbookViewId="0">
      <pane xSplit="1" ySplit="2" topLeftCell="CL42" activePane="bottomRight" state="frozen"/>
      <selection pane="topRight" activeCell="B1" sqref="B1"/>
      <selection pane="bottomLeft" activeCell="A3" sqref="A3"/>
      <selection pane="bottomRight" activeCell="CH66" sqref="CH66"/>
    </sheetView>
  </sheetViews>
  <sheetFormatPr defaultColWidth="10.7109375" defaultRowHeight="15" x14ac:dyDescent="0.25"/>
  <cols>
    <col min="2" max="4" width="10.7109375" customWidth="1"/>
    <col min="11" max="13" width="10.7109375" style="3"/>
    <col min="14" max="16" width="10.7109375" customWidth="1"/>
    <col min="94" max="94" width="10.7109375" customWidth="1"/>
    <col min="98" max="98" width="10.7109375" customWidth="1"/>
    <col min="105" max="105" width="10.7109375" style="3"/>
    <col min="107" max="107" width="10.7109375" style="3"/>
    <col min="109" max="115" width="10.7109375" style="3"/>
  </cols>
  <sheetData>
    <row r="1" spans="1:115" ht="15.75" thickBot="1" x14ac:dyDescent="0.3">
      <c r="A1" s="35" t="s">
        <v>0</v>
      </c>
      <c r="B1" s="34" t="s">
        <v>3</v>
      </c>
      <c r="C1" s="34"/>
      <c r="D1" s="34"/>
      <c r="E1" s="34" t="s">
        <v>2</v>
      </c>
      <c r="F1" s="34"/>
      <c r="G1" s="34"/>
      <c r="H1" s="34" t="s">
        <v>4</v>
      </c>
      <c r="I1" s="34"/>
      <c r="J1" s="34"/>
      <c r="K1" s="34" t="s">
        <v>15</v>
      </c>
      <c r="L1" s="34"/>
      <c r="M1" s="34"/>
      <c r="N1" s="34" t="s">
        <v>5</v>
      </c>
      <c r="O1" s="34"/>
      <c r="P1" s="34"/>
      <c r="Q1" s="37" t="s">
        <v>6</v>
      </c>
      <c r="R1" s="38"/>
      <c r="S1" s="39"/>
      <c r="T1" s="34" t="s">
        <v>8</v>
      </c>
      <c r="U1" s="34"/>
      <c r="V1" s="34"/>
      <c r="W1" s="34" t="s">
        <v>10</v>
      </c>
      <c r="X1" s="34"/>
      <c r="Y1" s="34"/>
      <c r="Z1" s="34" t="s">
        <v>7</v>
      </c>
      <c r="AA1" s="34"/>
      <c r="AB1" s="34"/>
      <c r="AC1" s="34" t="s">
        <v>9</v>
      </c>
      <c r="AD1" s="34"/>
      <c r="AE1" s="34"/>
      <c r="AF1" s="34" t="s">
        <v>11</v>
      </c>
      <c r="AG1" s="34"/>
      <c r="AH1" s="34"/>
      <c r="AI1" s="34" t="s">
        <v>18</v>
      </c>
      <c r="AJ1" s="34"/>
      <c r="AK1" s="34"/>
      <c r="AL1" s="34" t="s">
        <v>19</v>
      </c>
      <c r="AM1" s="34"/>
      <c r="AN1" s="34"/>
      <c r="AO1" s="34" t="s">
        <v>20</v>
      </c>
      <c r="AP1" s="34"/>
      <c r="AQ1" s="34"/>
      <c r="AR1" s="34" t="s">
        <v>22</v>
      </c>
      <c r="AS1" s="34"/>
      <c r="AT1" s="34"/>
      <c r="AU1" s="34" t="s">
        <v>21</v>
      </c>
      <c r="AV1" s="34"/>
      <c r="AW1" s="34"/>
      <c r="AX1" s="34" t="s">
        <v>24</v>
      </c>
      <c r="AY1" s="34"/>
      <c r="AZ1" s="34"/>
      <c r="BA1" s="37" t="s">
        <v>25</v>
      </c>
      <c r="BB1" s="38"/>
      <c r="BC1" s="39"/>
      <c r="BD1" s="34" t="s">
        <v>46</v>
      </c>
      <c r="BE1" s="34"/>
      <c r="BF1" s="34"/>
      <c r="BG1" s="34" t="s">
        <v>47</v>
      </c>
      <c r="BH1" s="34"/>
      <c r="BI1" s="34"/>
      <c r="BJ1" s="34" t="s">
        <v>48</v>
      </c>
      <c r="BK1" s="34"/>
      <c r="BL1" s="34"/>
      <c r="BM1" s="34" t="s">
        <v>49</v>
      </c>
      <c r="BN1" s="34"/>
      <c r="BO1" s="34"/>
      <c r="BP1" s="3"/>
      <c r="BQ1" s="40" t="s">
        <v>26</v>
      </c>
      <c r="BR1" s="40"/>
      <c r="BS1" s="40"/>
      <c r="BT1" s="40"/>
      <c r="BU1" s="40"/>
      <c r="BV1" s="40"/>
      <c r="BW1" s="40"/>
      <c r="BX1" s="3"/>
      <c r="BY1" s="40" t="s">
        <v>27</v>
      </c>
      <c r="BZ1" s="40"/>
      <c r="CA1" s="40"/>
      <c r="CB1" s="40"/>
      <c r="CC1" s="40"/>
      <c r="CD1" s="40"/>
      <c r="CE1" s="40"/>
      <c r="CF1" s="27"/>
      <c r="CG1" s="40" t="s">
        <v>28</v>
      </c>
      <c r="CH1" s="40"/>
      <c r="CI1" s="40"/>
      <c r="CJ1" s="40"/>
      <c r="CK1" s="40"/>
      <c r="CL1" s="40"/>
      <c r="CM1" s="40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11"/>
      <c r="DB1" s="24"/>
      <c r="DC1" s="11"/>
      <c r="DD1" s="24"/>
      <c r="DE1" s="11"/>
      <c r="DF1" s="11"/>
      <c r="DG1" s="11"/>
      <c r="DH1" s="11"/>
      <c r="DI1" s="11"/>
      <c r="DJ1" s="11"/>
      <c r="DK1" s="11"/>
    </row>
    <row r="2" spans="1:115" ht="15.75" thickBot="1" x14ac:dyDescent="0.3">
      <c r="A2" s="36"/>
      <c r="B2" s="11" t="s">
        <v>12</v>
      </c>
      <c r="C2" s="11" t="s">
        <v>13</v>
      </c>
      <c r="D2" s="11" t="s">
        <v>14</v>
      </c>
      <c r="E2" s="11" t="s">
        <v>12</v>
      </c>
      <c r="F2" s="11" t="s">
        <v>13</v>
      </c>
      <c r="G2" s="11" t="s">
        <v>14</v>
      </c>
      <c r="H2" s="11" t="s">
        <v>12</v>
      </c>
      <c r="I2" s="11" t="s">
        <v>13</v>
      </c>
      <c r="J2" s="11" t="s">
        <v>14</v>
      </c>
      <c r="K2" s="11" t="s">
        <v>12</v>
      </c>
      <c r="L2" s="11" t="s">
        <v>13</v>
      </c>
      <c r="M2" s="11" t="s">
        <v>14</v>
      </c>
      <c r="N2" s="11" t="s">
        <v>12</v>
      </c>
      <c r="O2" s="11" t="s">
        <v>13</v>
      </c>
      <c r="P2" s="11" t="s">
        <v>14</v>
      </c>
      <c r="Q2" s="11" t="s">
        <v>12</v>
      </c>
      <c r="R2" s="11" t="s">
        <v>13</v>
      </c>
      <c r="S2" s="11" t="s">
        <v>14</v>
      </c>
      <c r="T2" s="11" t="s">
        <v>12</v>
      </c>
      <c r="U2" s="11" t="s">
        <v>13</v>
      </c>
      <c r="V2" s="11" t="s">
        <v>14</v>
      </c>
      <c r="W2" s="11" t="s">
        <v>12</v>
      </c>
      <c r="X2" s="11" t="s">
        <v>13</v>
      </c>
      <c r="Y2" s="11" t="s">
        <v>14</v>
      </c>
      <c r="Z2" s="11" t="s">
        <v>12</v>
      </c>
      <c r="AA2" s="11" t="s">
        <v>13</v>
      </c>
      <c r="AB2" s="11" t="s">
        <v>14</v>
      </c>
      <c r="AC2" s="11" t="s">
        <v>12</v>
      </c>
      <c r="AD2" s="11" t="s">
        <v>13</v>
      </c>
      <c r="AE2" s="11" t="s">
        <v>14</v>
      </c>
      <c r="AF2" s="11" t="s">
        <v>23</v>
      </c>
      <c r="AG2" s="11" t="s">
        <v>13</v>
      </c>
      <c r="AH2" s="11" t="s">
        <v>14</v>
      </c>
      <c r="AI2" s="11" t="s">
        <v>23</v>
      </c>
      <c r="AJ2" s="11" t="s">
        <v>13</v>
      </c>
      <c r="AK2" s="11" t="s">
        <v>14</v>
      </c>
      <c r="AL2" s="11" t="s">
        <v>23</v>
      </c>
      <c r="AM2" s="11" t="s">
        <v>13</v>
      </c>
      <c r="AN2" s="11" t="s">
        <v>14</v>
      </c>
      <c r="AO2" s="11" t="s">
        <v>23</v>
      </c>
      <c r="AP2" s="11" t="s">
        <v>13</v>
      </c>
      <c r="AQ2" s="11" t="s">
        <v>14</v>
      </c>
      <c r="AR2" s="11" t="s">
        <v>23</v>
      </c>
      <c r="AS2" s="11" t="s">
        <v>13</v>
      </c>
      <c r="AT2" s="11" t="s">
        <v>14</v>
      </c>
      <c r="AU2" s="11" t="s">
        <v>23</v>
      </c>
      <c r="AV2" s="11" t="s">
        <v>13</v>
      </c>
      <c r="AW2" s="11" t="s">
        <v>14</v>
      </c>
      <c r="AX2" s="11" t="s">
        <v>23</v>
      </c>
      <c r="AY2" s="11" t="s">
        <v>13</v>
      </c>
      <c r="AZ2" s="11" t="s">
        <v>14</v>
      </c>
      <c r="BA2" s="11" t="s">
        <v>23</v>
      </c>
      <c r="BB2" s="11" t="s">
        <v>13</v>
      </c>
      <c r="BC2" s="11" t="s">
        <v>14</v>
      </c>
      <c r="BD2" s="11" t="s">
        <v>23</v>
      </c>
      <c r="BE2" s="11" t="s">
        <v>13</v>
      </c>
      <c r="BF2" s="11" t="s">
        <v>14</v>
      </c>
      <c r="BG2" s="11" t="s">
        <v>23</v>
      </c>
      <c r="BH2" s="11" t="s">
        <v>13</v>
      </c>
      <c r="BI2" s="11" t="s">
        <v>14</v>
      </c>
      <c r="BJ2" s="11" t="s">
        <v>23</v>
      </c>
      <c r="BK2" s="11" t="s">
        <v>13</v>
      </c>
      <c r="BL2" s="11" t="s">
        <v>14</v>
      </c>
      <c r="BM2" s="11" t="s">
        <v>23</v>
      </c>
      <c r="BN2" s="11" t="s">
        <v>13</v>
      </c>
      <c r="BO2" s="11" t="s">
        <v>14</v>
      </c>
      <c r="BP2" s="3"/>
      <c r="BQ2" s="23" t="s">
        <v>0</v>
      </c>
      <c r="BR2" s="23" t="s">
        <v>23</v>
      </c>
      <c r="BS2" s="23" t="s">
        <v>16</v>
      </c>
      <c r="BT2" s="23" t="s">
        <v>13</v>
      </c>
      <c r="BU2" s="23" t="s">
        <v>17</v>
      </c>
      <c r="BV2" s="23" t="s">
        <v>14</v>
      </c>
      <c r="BW2" s="23" t="s">
        <v>16</v>
      </c>
      <c r="BX2" s="27"/>
      <c r="BY2" s="23" t="s">
        <v>0</v>
      </c>
      <c r="BZ2" s="23" t="s">
        <v>23</v>
      </c>
      <c r="CA2" s="23" t="s">
        <v>16</v>
      </c>
      <c r="CB2" s="23" t="s">
        <v>13</v>
      </c>
      <c r="CC2" s="23" t="s">
        <v>17</v>
      </c>
      <c r="CD2" s="23" t="s">
        <v>14</v>
      </c>
      <c r="CE2" s="23" t="s">
        <v>16</v>
      </c>
      <c r="CF2" s="27"/>
      <c r="CG2" s="23" t="s">
        <v>0</v>
      </c>
      <c r="CH2" s="23" t="s">
        <v>23</v>
      </c>
      <c r="CI2" s="23" t="s">
        <v>16</v>
      </c>
      <c r="CJ2" s="23" t="s">
        <v>13</v>
      </c>
      <c r="CK2" s="23" t="s">
        <v>17</v>
      </c>
      <c r="CL2" s="23" t="s">
        <v>14</v>
      </c>
      <c r="CM2" s="23" t="s">
        <v>16</v>
      </c>
      <c r="CO2" s="11" t="str">
        <f>A1</f>
        <v>Data</v>
      </c>
      <c r="CP2" s="11" t="str">
        <f>B1</f>
        <v>SEB Fondai</v>
      </c>
      <c r="CQ2" s="11" t="str">
        <f>E1</f>
        <v>SEB Mikro</v>
      </c>
      <c r="CR2" s="11" t="str">
        <f>H1</f>
        <v>SEB Robo</v>
      </c>
      <c r="CS2" s="26" t="str">
        <f>K1</f>
        <v>Revolut Brokerage</v>
      </c>
      <c r="CT2" s="25" t="str">
        <f>N1</f>
        <v>Revolut Robo</v>
      </c>
      <c r="CU2" s="11" t="str">
        <f>Q1</f>
        <v>Synergy</v>
      </c>
      <c r="CV2" s="11" t="str">
        <f>T1</f>
        <v>Profitus</v>
      </c>
      <c r="CW2" s="11" t="str">
        <f>W1</f>
        <v>Nordstreet</v>
      </c>
      <c r="CX2" s="11" t="str">
        <f>Z1</f>
        <v>Indemo</v>
      </c>
      <c r="CY2" s="11" t="str">
        <f>AC1</f>
        <v>Crowdpear</v>
      </c>
      <c r="CZ2" s="11" t="str">
        <f>AF1</f>
        <v>Scramble</v>
      </c>
      <c r="DA2" s="11" t="str">
        <f>AI1</f>
        <v>Nectaro</v>
      </c>
      <c r="DB2" s="11" t="str">
        <f>AL1</f>
        <v>Debitum</v>
      </c>
      <c r="DC2" s="11" t="str">
        <f>AO1</f>
        <v>Viainvest</v>
      </c>
      <c r="DD2" s="11" t="str">
        <f>AR1</f>
        <v>Rontgen</v>
      </c>
      <c r="DE2" s="11" t="str">
        <f>AU1</f>
        <v>Afranga</v>
      </c>
      <c r="DF2" s="25" t="str">
        <f>AX1</f>
        <v>Lendermarket</v>
      </c>
      <c r="DG2" s="25" t="str">
        <f>BA1</f>
        <v>Loanch</v>
      </c>
      <c r="DH2" s="25" t="str">
        <f>BD1</f>
        <v>Peerberry</v>
      </c>
      <c r="DI2" s="25" t="str">
        <f>BG1</f>
        <v>Income</v>
      </c>
      <c r="DJ2" s="25" t="str">
        <f>BJ1</f>
        <v>Lande</v>
      </c>
      <c r="DK2" s="25" t="str">
        <f>BM1</f>
        <v>Twino</v>
      </c>
    </row>
    <row r="3" spans="1:115" x14ac:dyDescent="0.25">
      <c r="A3" s="12">
        <v>44377</v>
      </c>
      <c r="B3" s="13">
        <v>63</v>
      </c>
      <c r="C3" s="8">
        <v>62.88</v>
      </c>
      <c r="D3" s="18">
        <f>(C3-B3)/B3</f>
        <v>-1.9047619047618642E-3</v>
      </c>
      <c r="E3" s="9">
        <v>0</v>
      </c>
      <c r="F3" s="10">
        <v>0</v>
      </c>
      <c r="G3" s="18">
        <v>0</v>
      </c>
      <c r="H3" s="9">
        <v>0</v>
      </c>
      <c r="I3" s="10">
        <v>0</v>
      </c>
      <c r="J3" s="18">
        <v>0</v>
      </c>
      <c r="K3" s="9">
        <v>0</v>
      </c>
      <c r="L3" s="10">
        <v>0</v>
      </c>
      <c r="M3" s="18">
        <v>0</v>
      </c>
      <c r="N3" s="9">
        <v>0</v>
      </c>
      <c r="O3" s="10">
        <v>0</v>
      </c>
      <c r="P3" s="18">
        <v>0</v>
      </c>
      <c r="Q3" s="9">
        <v>0</v>
      </c>
      <c r="R3" s="10">
        <v>0</v>
      </c>
      <c r="S3" s="18">
        <v>0</v>
      </c>
      <c r="T3" s="9">
        <v>0</v>
      </c>
      <c r="U3" s="10">
        <v>0</v>
      </c>
      <c r="V3" s="18">
        <v>0</v>
      </c>
      <c r="W3" s="9">
        <v>0</v>
      </c>
      <c r="X3" s="10">
        <v>0</v>
      </c>
      <c r="Y3" s="18">
        <v>0</v>
      </c>
      <c r="Z3" s="10">
        <v>0</v>
      </c>
      <c r="AA3" s="10">
        <v>0</v>
      </c>
      <c r="AB3" s="18">
        <v>0</v>
      </c>
      <c r="AC3" s="9">
        <v>0</v>
      </c>
      <c r="AD3" s="10">
        <v>0</v>
      </c>
      <c r="AE3" s="18">
        <v>0</v>
      </c>
      <c r="AF3" s="9">
        <v>0</v>
      </c>
      <c r="AG3" s="10">
        <v>0</v>
      </c>
      <c r="AH3" s="18">
        <v>0</v>
      </c>
      <c r="AI3" s="9">
        <v>0</v>
      </c>
      <c r="AJ3" s="10">
        <v>0</v>
      </c>
      <c r="AK3" s="18">
        <v>0</v>
      </c>
      <c r="AL3" s="9">
        <v>0</v>
      </c>
      <c r="AM3" s="10">
        <v>0</v>
      </c>
      <c r="AN3" s="18">
        <v>0</v>
      </c>
      <c r="AO3" s="9">
        <v>0</v>
      </c>
      <c r="AP3" s="10">
        <v>0</v>
      </c>
      <c r="AQ3" s="18">
        <v>0</v>
      </c>
      <c r="AR3" s="9">
        <v>0</v>
      </c>
      <c r="AS3" s="10">
        <v>0</v>
      </c>
      <c r="AT3" s="18">
        <v>0</v>
      </c>
      <c r="AU3" s="9">
        <v>0</v>
      </c>
      <c r="AV3" s="10">
        <v>0</v>
      </c>
      <c r="AW3" s="18">
        <v>0</v>
      </c>
      <c r="AX3" s="9">
        <v>0</v>
      </c>
      <c r="AY3" s="10">
        <v>0</v>
      </c>
      <c r="AZ3" s="18">
        <v>0</v>
      </c>
      <c r="BA3" s="9">
        <v>0</v>
      </c>
      <c r="BB3" s="10">
        <v>0</v>
      </c>
      <c r="BC3" s="18">
        <v>0</v>
      </c>
      <c r="BD3" s="9">
        <v>0</v>
      </c>
      <c r="BE3" s="10">
        <v>0</v>
      </c>
      <c r="BF3" s="18">
        <v>0</v>
      </c>
      <c r="BG3" s="9">
        <v>0</v>
      </c>
      <c r="BH3" s="10">
        <v>0</v>
      </c>
      <c r="BI3" s="18">
        <v>0</v>
      </c>
      <c r="BJ3" s="9">
        <v>0</v>
      </c>
      <c r="BK3" s="10">
        <v>0</v>
      </c>
      <c r="BL3" s="18">
        <v>0</v>
      </c>
      <c r="BM3" s="9">
        <v>0</v>
      </c>
      <c r="BN3" s="10">
        <v>0</v>
      </c>
      <c r="BO3" s="18">
        <v>0</v>
      </c>
      <c r="BP3" s="17"/>
      <c r="BQ3" s="21">
        <v>44378</v>
      </c>
      <c r="BR3" s="10">
        <f t="shared" ref="BR3:BR34" si="0">B3+E3+H3+K3+N3+Q3</f>
        <v>63</v>
      </c>
      <c r="BS3" s="10">
        <v>63</v>
      </c>
      <c r="BT3" s="10">
        <f t="shared" ref="BT3:BT34" si="1">C3+F3+I3+L3+O3+R3</f>
        <v>62.88</v>
      </c>
      <c r="BU3" s="10">
        <f>BT3-BR3</f>
        <v>-0.11999999999999744</v>
      </c>
      <c r="BV3" s="22">
        <f>BU3/BR3</f>
        <v>-1.9047619047618642E-3</v>
      </c>
      <c r="BW3" s="10">
        <f>BU3</f>
        <v>-0.11999999999999744</v>
      </c>
      <c r="BX3" s="17"/>
      <c r="BY3" s="16">
        <f t="shared" ref="BY3:BY61" si="2">A3</f>
        <v>44377</v>
      </c>
      <c r="BZ3" s="10">
        <f t="shared" ref="BZ3:BZ63" si="3">Z3+T3+AC3+W3+AR3+AF3+AI3+AL3+AO3+AU3+AX3+BA3+BD3+BG3+BJ3+BM3</f>
        <v>0</v>
      </c>
      <c r="CA3" s="10">
        <v>0</v>
      </c>
      <c r="CB3" s="10">
        <f t="shared" ref="CB3:CB4" si="4">AA3+U3+AD3+X3+AS3+AG3+AJ3+AM3+AP3+AV3+AY3+BB3+BE3</f>
        <v>0</v>
      </c>
      <c r="CC3" s="10">
        <f>CB3-BZ3</f>
        <v>0</v>
      </c>
      <c r="CD3" s="20">
        <v>0</v>
      </c>
      <c r="CE3" s="10">
        <f>CC3</f>
        <v>0</v>
      </c>
      <c r="CF3" s="17"/>
      <c r="CG3" s="16">
        <f t="shared" ref="CG3:CG61" si="5">A3</f>
        <v>44377</v>
      </c>
      <c r="CH3" s="10">
        <f>BR3+BZ3</f>
        <v>63</v>
      </c>
      <c r="CI3" s="10">
        <f>BS3+CA3</f>
        <v>63</v>
      </c>
      <c r="CJ3" s="10">
        <f>BT3+CB3</f>
        <v>62.88</v>
      </c>
      <c r="CK3" s="10">
        <f>CJ3-CH3</f>
        <v>-0.11999999999999744</v>
      </c>
      <c r="CL3" s="22">
        <f>CK3/CH3</f>
        <v>-1.9047619047618642E-3</v>
      </c>
      <c r="CM3" s="10">
        <f>CK3</f>
        <v>-0.11999999999999744</v>
      </c>
      <c r="CO3" s="21">
        <f t="shared" ref="CO3:CO34" si="6">A3</f>
        <v>44377</v>
      </c>
      <c r="CP3" s="10">
        <f>(C3-B3)</f>
        <v>-0.11999999999999744</v>
      </c>
      <c r="CQ3" s="10">
        <f>(F3-E3)</f>
        <v>0</v>
      </c>
      <c r="CR3" s="10">
        <f>(I3-H3)</f>
        <v>0</v>
      </c>
      <c r="CS3" s="10">
        <f>(L3-K3)</f>
        <v>0</v>
      </c>
      <c r="CT3" s="10">
        <f>O3-N3</f>
        <v>0</v>
      </c>
      <c r="CU3" s="10">
        <f>R3-Q3</f>
        <v>0</v>
      </c>
      <c r="CV3" s="10">
        <f>U3-T3</f>
        <v>0</v>
      </c>
      <c r="CW3" s="10">
        <f>X3-W3</f>
        <v>0</v>
      </c>
      <c r="CX3" s="10">
        <f>AA3-Z3</f>
        <v>0</v>
      </c>
      <c r="CY3" s="10">
        <f>AD3-AC3</f>
        <v>0</v>
      </c>
      <c r="CZ3" s="10">
        <f>AG3-AF3</f>
        <v>0</v>
      </c>
      <c r="DA3" s="10">
        <f>AJ3-AI3</f>
        <v>0</v>
      </c>
      <c r="DB3" s="10">
        <f>AM3-AL3</f>
        <v>0</v>
      </c>
      <c r="DC3" s="10">
        <f>AP3-AO3</f>
        <v>0</v>
      </c>
      <c r="DD3" s="10">
        <f>AS3-AR3</f>
        <v>0</v>
      </c>
      <c r="DE3" s="10">
        <f>(AV3-AU3)</f>
        <v>0</v>
      </c>
      <c r="DF3" s="10">
        <f>(AY3-AX3)</f>
        <v>0</v>
      </c>
      <c r="DG3" s="10">
        <f>(BB3-BA3)</f>
        <v>0</v>
      </c>
      <c r="DH3" s="10">
        <f>(BE3-BD3)</f>
        <v>0</v>
      </c>
      <c r="DI3" s="10">
        <f>(BH3-BG3)</f>
        <v>0</v>
      </c>
      <c r="DJ3" s="10">
        <f>(BK3-BJ3)</f>
        <v>0</v>
      </c>
      <c r="DK3" s="10">
        <f>(BN3-BM3)</f>
        <v>0</v>
      </c>
    </row>
    <row r="4" spans="1:115" x14ac:dyDescent="0.25">
      <c r="A4" s="12">
        <v>44408</v>
      </c>
      <c r="B4" s="14">
        <v>81</v>
      </c>
      <c r="C4" s="10">
        <v>82.3</v>
      </c>
      <c r="D4" s="18">
        <f t="shared" ref="D4:D57" si="7">(C4-B4)/B4</f>
        <v>1.6049382716049349E-2</v>
      </c>
      <c r="E4" s="9">
        <v>0</v>
      </c>
      <c r="F4" s="10">
        <v>0</v>
      </c>
      <c r="G4" s="18">
        <v>0</v>
      </c>
      <c r="H4" s="9">
        <v>0</v>
      </c>
      <c r="I4" s="10">
        <v>0</v>
      </c>
      <c r="J4" s="18">
        <v>0</v>
      </c>
      <c r="K4" s="9">
        <v>0</v>
      </c>
      <c r="L4" s="10">
        <v>0</v>
      </c>
      <c r="M4" s="18">
        <v>0</v>
      </c>
      <c r="N4" s="9">
        <v>0</v>
      </c>
      <c r="O4" s="10">
        <v>0</v>
      </c>
      <c r="P4" s="18">
        <v>0</v>
      </c>
      <c r="Q4" s="9">
        <v>0</v>
      </c>
      <c r="R4" s="10">
        <v>0</v>
      </c>
      <c r="S4" s="18">
        <v>0</v>
      </c>
      <c r="T4" s="9">
        <v>0</v>
      </c>
      <c r="U4" s="10">
        <v>0</v>
      </c>
      <c r="V4" s="18">
        <v>0</v>
      </c>
      <c r="W4" s="9">
        <v>0</v>
      </c>
      <c r="X4" s="10">
        <v>0</v>
      </c>
      <c r="Y4" s="18">
        <v>0</v>
      </c>
      <c r="Z4" s="10">
        <v>0</v>
      </c>
      <c r="AA4" s="10">
        <v>0</v>
      </c>
      <c r="AB4" s="18">
        <v>0</v>
      </c>
      <c r="AC4" s="9">
        <v>0</v>
      </c>
      <c r="AD4" s="10">
        <v>0</v>
      </c>
      <c r="AE4" s="18">
        <v>0</v>
      </c>
      <c r="AF4" s="9">
        <v>0</v>
      </c>
      <c r="AG4" s="10">
        <v>0</v>
      </c>
      <c r="AH4" s="18">
        <v>0</v>
      </c>
      <c r="AI4" s="9">
        <v>0</v>
      </c>
      <c r="AJ4" s="10">
        <v>0</v>
      </c>
      <c r="AK4" s="18">
        <v>0</v>
      </c>
      <c r="AL4" s="9">
        <v>0</v>
      </c>
      <c r="AM4" s="10">
        <v>0</v>
      </c>
      <c r="AN4" s="18">
        <v>0</v>
      </c>
      <c r="AO4" s="9">
        <v>0</v>
      </c>
      <c r="AP4" s="10">
        <v>0</v>
      </c>
      <c r="AQ4" s="18">
        <v>0</v>
      </c>
      <c r="AR4" s="9">
        <v>0</v>
      </c>
      <c r="AS4" s="10">
        <v>0</v>
      </c>
      <c r="AT4" s="18">
        <v>0</v>
      </c>
      <c r="AU4" s="9">
        <v>0</v>
      </c>
      <c r="AV4" s="10">
        <v>0</v>
      </c>
      <c r="AW4" s="18">
        <v>0</v>
      </c>
      <c r="AX4" s="9">
        <v>0</v>
      </c>
      <c r="AY4" s="10">
        <v>0</v>
      </c>
      <c r="AZ4" s="18">
        <v>0</v>
      </c>
      <c r="BA4" s="9">
        <v>0</v>
      </c>
      <c r="BB4" s="10">
        <v>0</v>
      </c>
      <c r="BC4" s="18">
        <v>0</v>
      </c>
      <c r="BD4" s="9">
        <v>0</v>
      </c>
      <c r="BE4" s="10">
        <v>0</v>
      </c>
      <c r="BF4" s="18">
        <v>0</v>
      </c>
      <c r="BG4" s="9">
        <v>0</v>
      </c>
      <c r="BH4" s="10">
        <v>0</v>
      </c>
      <c r="BI4" s="18">
        <v>0</v>
      </c>
      <c r="BJ4" s="9">
        <v>0</v>
      </c>
      <c r="BK4" s="10">
        <v>0</v>
      </c>
      <c r="BL4" s="18">
        <v>0</v>
      </c>
      <c r="BM4" s="9">
        <v>0</v>
      </c>
      <c r="BN4" s="10">
        <v>0</v>
      </c>
      <c r="BO4" s="18">
        <v>0</v>
      </c>
      <c r="BP4" s="17"/>
      <c r="BQ4" s="16">
        <f t="shared" ref="BQ4:BQ61" si="8">A4</f>
        <v>44408</v>
      </c>
      <c r="BR4" s="10">
        <f t="shared" si="0"/>
        <v>81</v>
      </c>
      <c r="BS4" s="4">
        <f>BR4-BR3</f>
        <v>18</v>
      </c>
      <c r="BT4" s="10">
        <f t="shared" si="1"/>
        <v>82.3</v>
      </c>
      <c r="BU4" s="4">
        <f t="shared" ref="BU4:BU52" si="9">BT4-BR4</f>
        <v>1.2999999999999972</v>
      </c>
      <c r="BV4" s="20">
        <f t="shared" ref="BV4:BV57" si="10">BU4/BR4</f>
        <v>1.6049382716049349E-2</v>
      </c>
      <c r="BW4" s="4">
        <f>BU4-BU3</f>
        <v>1.4199999999999946</v>
      </c>
      <c r="BX4" s="17"/>
      <c r="BY4" s="16">
        <f t="shared" si="2"/>
        <v>44408</v>
      </c>
      <c r="BZ4" s="10">
        <f t="shared" si="3"/>
        <v>0</v>
      </c>
      <c r="CA4" s="4">
        <f>BZ4-BZ3</f>
        <v>0</v>
      </c>
      <c r="CB4" s="10">
        <f t="shared" si="4"/>
        <v>0</v>
      </c>
      <c r="CC4" s="4">
        <f t="shared" ref="CC4:CC61" si="11">CB4-BZ4</f>
        <v>0</v>
      </c>
      <c r="CD4" s="20">
        <v>0</v>
      </c>
      <c r="CE4" s="4">
        <f>CC4-CC3</f>
        <v>0</v>
      </c>
      <c r="CF4" s="17"/>
      <c r="CG4" s="16">
        <f t="shared" si="5"/>
        <v>44408</v>
      </c>
      <c r="CH4" s="10">
        <f t="shared" ref="CH4:CH61" si="12">BR4+BZ4</f>
        <v>81</v>
      </c>
      <c r="CI4" s="10">
        <f t="shared" ref="CI4:CI61" si="13">BS4+CA4</f>
        <v>18</v>
      </c>
      <c r="CJ4" s="10">
        <f t="shared" ref="CJ4:CJ61" si="14">BT4+CB4</f>
        <v>82.3</v>
      </c>
      <c r="CK4" s="4">
        <f t="shared" ref="CK4:CK61" si="15">CJ4-CH4</f>
        <v>1.2999999999999972</v>
      </c>
      <c r="CL4" s="20">
        <f t="shared" ref="CL4:CL5" si="16">CK4/CH4</f>
        <v>1.6049382716049349E-2</v>
      </c>
      <c r="CM4" s="4">
        <f>CK4-CK3</f>
        <v>1.4199999999999946</v>
      </c>
      <c r="CO4" s="16">
        <f t="shared" si="6"/>
        <v>44408</v>
      </c>
      <c r="CP4" s="4">
        <f t="shared" ref="CP4:CP35" si="17">(C4-B4)-(C3-B3)</f>
        <v>1.4199999999999946</v>
      </c>
      <c r="CQ4" s="4">
        <f t="shared" ref="CQ4:CQ35" si="18">(F4-E4)-(F3-E3)</f>
        <v>0</v>
      </c>
      <c r="CR4" s="4">
        <f t="shared" ref="CR4:CR35" si="19">(I4-H4)-(I3-H3)</f>
        <v>0</v>
      </c>
      <c r="CS4" s="4">
        <f t="shared" ref="CS4:CS35" si="20">(L4-K4)-(L3-K3)</f>
        <v>0</v>
      </c>
      <c r="CT4" s="4">
        <f t="shared" ref="CT4:CT35" si="21">(O4-N4)-(O3-N3)</f>
        <v>0</v>
      </c>
      <c r="CU4" s="4">
        <f t="shared" ref="CU4:CU35" si="22">(R4-Q4)-(R3-Q3)</f>
        <v>0</v>
      </c>
      <c r="CV4" s="4">
        <f t="shared" ref="CV4:CV35" si="23">(U4-T4)-(U3-T3)</f>
        <v>0</v>
      </c>
      <c r="CW4" s="4">
        <f t="shared" ref="CW4:CW35" si="24">(X4-W4)-(X3-W3)</f>
        <v>0</v>
      </c>
      <c r="CX4" s="4">
        <f t="shared" ref="CX4:CX35" si="25">(AA4-Z4)-(AA3-Z3)</f>
        <v>0</v>
      </c>
      <c r="CY4" s="4">
        <f t="shared" ref="CY4:CY35" si="26">(AD4-AC4)-(AD3-AC3)</f>
        <v>0</v>
      </c>
      <c r="CZ4" s="4">
        <f t="shared" ref="CZ4:CZ35" si="27">(AG4-AF4)-(AG3-AF3)</f>
        <v>0</v>
      </c>
      <c r="DA4" s="4">
        <f t="shared" ref="DA4:DA35" si="28">(AJ4-AI4)-(AJ3-AI3)</f>
        <v>0</v>
      </c>
      <c r="DB4" s="4">
        <f t="shared" ref="DB4:DB35" si="29">(AM4-AL4)-(AM3-AL3)</f>
        <v>0</v>
      </c>
      <c r="DC4" s="4">
        <f t="shared" ref="DC4:DC35" si="30">(AP4-AO4)-(AP3-AO3)</f>
        <v>0</v>
      </c>
      <c r="DD4" s="4">
        <f t="shared" ref="DD4:DD35" si="31">(AS4-AR4)-(AS3-AR3)</f>
        <v>0</v>
      </c>
      <c r="DE4" s="4">
        <f t="shared" ref="DE4:DE35" si="32">(AV4-AU4)-(AV3-AU3)</f>
        <v>0</v>
      </c>
      <c r="DF4" s="10">
        <f t="shared" ref="DF4:DF35" si="33">(AY4-AX4)-(AY3-AX3)</f>
        <v>0</v>
      </c>
      <c r="DG4" s="10">
        <f>(BB4-BA4)-(BB3-BA3)</f>
        <v>0</v>
      </c>
      <c r="DH4" s="4">
        <f>(BE4-BD4)-(BE3-BD3)</f>
        <v>0</v>
      </c>
      <c r="DI4" s="4">
        <f>(BH4-BG4)-(BH3-BG3)</f>
        <v>0</v>
      </c>
      <c r="DJ4" s="4">
        <f>(BK4-BJ4)-(BK3-BJ3)</f>
        <v>0</v>
      </c>
      <c r="DK4" s="4">
        <f>(BN4-BM4)-(BN3-BM3)</f>
        <v>0</v>
      </c>
    </row>
    <row r="5" spans="1:115" x14ac:dyDescent="0.25">
      <c r="A5" s="12">
        <v>44439</v>
      </c>
      <c r="B5" s="14">
        <v>97</v>
      </c>
      <c r="C5" s="8">
        <v>98.79</v>
      </c>
      <c r="D5" s="18">
        <f t="shared" si="7"/>
        <v>1.8453608247422745E-2</v>
      </c>
      <c r="E5" s="9">
        <v>0</v>
      </c>
      <c r="F5" s="10">
        <v>0</v>
      </c>
      <c r="G5" s="18">
        <v>0</v>
      </c>
      <c r="H5" s="9">
        <v>0</v>
      </c>
      <c r="I5" s="10">
        <v>0</v>
      </c>
      <c r="J5" s="18">
        <v>0</v>
      </c>
      <c r="K5" s="9">
        <v>0</v>
      </c>
      <c r="L5" s="10">
        <v>0</v>
      </c>
      <c r="M5" s="18">
        <v>0</v>
      </c>
      <c r="N5" s="9">
        <v>0</v>
      </c>
      <c r="O5" s="10">
        <v>0</v>
      </c>
      <c r="P5" s="18">
        <v>0</v>
      </c>
      <c r="Q5" s="9">
        <v>0</v>
      </c>
      <c r="R5" s="10">
        <v>0</v>
      </c>
      <c r="S5" s="18">
        <v>0</v>
      </c>
      <c r="T5" s="9">
        <v>0</v>
      </c>
      <c r="U5" s="10">
        <v>0</v>
      </c>
      <c r="V5" s="18">
        <v>0</v>
      </c>
      <c r="W5" s="9">
        <v>0</v>
      </c>
      <c r="X5" s="10">
        <v>0</v>
      </c>
      <c r="Y5" s="18">
        <v>0</v>
      </c>
      <c r="Z5" s="10">
        <v>0</v>
      </c>
      <c r="AA5" s="10">
        <v>0</v>
      </c>
      <c r="AB5" s="18">
        <v>0</v>
      </c>
      <c r="AC5" s="9">
        <v>0</v>
      </c>
      <c r="AD5" s="10">
        <v>0</v>
      </c>
      <c r="AE5" s="18">
        <v>0</v>
      </c>
      <c r="AF5" s="9">
        <v>0</v>
      </c>
      <c r="AG5" s="10">
        <v>0</v>
      </c>
      <c r="AH5" s="18">
        <v>0</v>
      </c>
      <c r="AI5" s="9">
        <v>0</v>
      </c>
      <c r="AJ5" s="10">
        <v>0</v>
      </c>
      <c r="AK5" s="18">
        <v>0</v>
      </c>
      <c r="AL5" s="9">
        <v>0</v>
      </c>
      <c r="AM5" s="10">
        <v>0</v>
      </c>
      <c r="AN5" s="18">
        <v>0</v>
      </c>
      <c r="AO5" s="9">
        <v>0</v>
      </c>
      <c r="AP5" s="10">
        <v>0</v>
      </c>
      <c r="AQ5" s="18">
        <v>0</v>
      </c>
      <c r="AR5" s="9">
        <v>0</v>
      </c>
      <c r="AS5" s="10">
        <v>0</v>
      </c>
      <c r="AT5" s="18">
        <v>0</v>
      </c>
      <c r="AU5" s="9">
        <v>0</v>
      </c>
      <c r="AV5" s="10">
        <v>0</v>
      </c>
      <c r="AW5" s="18">
        <v>0</v>
      </c>
      <c r="AX5" s="9">
        <v>0</v>
      </c>
      <c r="AY5" s="10">
        <v>0</v>
      </c>
      <c r="AZ5" s="18">
        <v>0</v>
      </c>
      <c r="BA5" s="9">
        <v>0</v>
      </c>
      <c r="BB5" s="10">
        <v>0</v>
      </c>
      <c r="BC5" s="18">
        <v>0</v>
      </c>
      <c r="BD5" s="9">
        <v>0</v>
      </c>
      <c r="BE5" s="10">
        <v>0</v>
      </c>
      <c r="BF5" s="18">
        <v>0</v>
      </c>
      <c r="BG5" s="9">
        <v>0</v>
      </c>
      <c r="BH5" s="10">
        <v>0</v>
      </c>
      <c r="BI5" s="18">
        <v>0</v>
      </c>
      <c r="BJ5" s="9">
        <v>0</v>
      </c>
      <c r="BK5" s="10">
        <v>0</v>
      </c>
      <c r="BL5" s="18">
        <v>0</v>
      </c>
      <c r="BM5" s="9">
        <v>0</v>
      </c>
      <c r="BN5" s="10">
        <v>0</v>
      </c>
      <c r="BO5" s="18">
        <v>0</v>
      </c>
      <c r="BP5" s="17"/>
      <c r="BQ5" s="16">
        <f t="shared" si="8"/>
        <v>44439</v>
      </c>
      <c r="BR5" s="10">
        <f t="shared" si="0"/>
        <v>97</v>
      </c>
      <c r="BS5" s="4">
        <f>BR5-BR4</f>
        <v>16</v>
      </c>
      <c r="BT5" s="10">
        <f t="shared" si="1"/>
        <v>98.79</v>
      </c>
      <c r="BU5" s="4">
        <f t="shared" si="9"/>
        <v>1.7900000000000063</v>
      </c>
      <c r="BV5" s="20">
        <f t="shared" si="10"/>
        <v>1.8453608247422745E-2</v>
      </c>
      <c r="BW5" s="4">
        <f>BU5-BU4</f>
        <v>0.49000000000000909</v>
      </c>
      <c r="BX5" s="17"/>
      <c r="BY5" s="16">
        <f t="shared" si="2"/>
        <v>44439</v>
      </c>
      <c r="BZ5" s="10">
        <f t="shared" si="3"/>
        <v>0</v>
      </c>
      <c r="CA5" s="4">
        <f>BZ5-BZ4</f>
        <v>0</v>
      </c>
      <c r="CB5" s="10">
        <f t="shared" ref="CB5:CB63" si="34">AA5+U5+AD5+X5+AS5+AG5+AJ5+AM5+AP5+AV5+AY5+BB5+BE5+BG5+BK5+BM5</f>
        <v>0</v>
      </c>
      <c r="CC5" s="4">
        <f t="shared" si="11"/>
        <v>0</v>
      </c>
      <c r="CD5" s="20">
        <v>0</v>
      </c>
      <c r="CE5" s="4">
        <f>CC5-CC4</f>
        <v>0</v>
      </c>
      <c r="CF5" s="17"/>
      <c r="CG5" s="16">
        <f t="shared" si="5"/>
        <v>44439</v>
      </c>
      <c r="CH5" s="10">
        <f t="shared" si="12"/>
        <v>97</v>
      </c>
      <c r="CI5" s="10">
        <f t="shared" si="13"/>
        <v>16</v>
      </c>
      <c r="CJ5" s="10">
        <f t="shared" si="14"/>
        <v>98.79</v>
      </c>
      <c r="CK5" s="4">
        <f t="shared" si="15"/>
        <v>1.7900000000000063</v>
      </c>
      <c r="CL5" s="20">
        <f t="shared" si="16"/>
        <v>1.8453608247422745E-2</v>
      </c>
      <c r="CM5" s="4">
        <f>CK5-CK4</f>
        <v>0.49000000000000909</v>
      </c>
      <c r="CO5" s="16">
        <f t="shared" si="6"/>
        <v>44439</v>
      </c>
      <c r="CP5" s="4">
        <f t="shared" si="17"/>
        <v>0.49000000000000909</v>
      </c>
      <c r="CQ5" s="4">
        <f t="shared" si="18"/>
        <v>0</v>
      </c>
      <c r="CR5" s="4">
        <f t="shared" si="19"/>
        <v>0</v>
      </c>
      <c r="CS5" s="4">
        <f t="shared" si="20"/>
        <v>0</v>
      </c>
      <c r="CT5" s="4">
        <f t="shared" si="21"/>
        <v>0</v>
      </c>
      <c r="CU5" s="4">
        <f t="shared" si="22"/>
        <v>0</v>
      </c>
      <c r="CV5" s="4">
        <f t="shared" si="23"/>
        <v>0</v>
      </c>
      <c r="CW5" s="4">
        <f t="shared" si="24"/>
        <v>0</v>
      </c>
      <c r="CX5" s="4">
        <f t="shared" si="25"/>
        <v>0</v>
      </c>
      <c r="CY5" s="4">
        <f t="shared" si="26"/>
        <v>0</v>
      </c>
      <c r="CZ5" s="4">
        <f t="shared" si="27"/>
        <v>0</v>
      </c>
      <c r="DA5" s="4">
        <f t="shared" si="28"/>
        <v>0</v>
      </c>
      <c r="DB5" s="4">
        <f t="shared" si="29"/>
        <v>0</v>
      </c>
      <c r="DC5" s="4">
        <f t="shared" si="30"/>
        <v>0</v>
      </c>
      <c r="DD5" s="4">
        <f t="shared" si="31"/>
        <v>0</v>
      </c>
      <c r="DE5" s="4">
        <f t="shared" si="32"/>
        <v>0</v>
      </c>
      <c r="DF5" s="10">
        <f t="shared" si="33"/>
        <v>0</v>
      </c>
      <c r="DG5" s="10">
        <f t="shared" ref="DG5:DG63" si="35">(BB5-BA5)-(BB4-BA4)</f>
        <v>0</v>
      </c>
      <c r="DH5" s="4">
        <f t="shared" ref="DH5:DH60" si="36">(BE5-BD5)-(BE4-BD4)</f>
        <v>0</v>
      </c>
      <c r="DI5" s="4">
        <f t="shared" ref="DI5:DI63" si="37">(BH5-BG5)-(BH4-BG4)</f>
        <v>0</v>
      </c>
      <c r="DJ5" s="4">
        <f t="shared" ref="DJ5:DJ64" si="38">(BK5-BJ5)-(BK4-BJ4)</f>
        <v>0</v>
      </c>
      <c r="DK5" s="4">
        <f t="shared" ref="DK5:DK63" si="39">(BN5-BM5)-(BN4-BM4)</f>
        <v>0</v>
      </c>
    </row>
    <row r="6" spans="1:115" x14ac:dyDescent="0.25">
      <c r="A6" s="12">
        <v>44469</v>
      </c>
      <c r="B6" s="14">
        <v>153</v>
      </c>
      <c r="C6" s="8">
        <v>154.27000000000001</v>
      </c>
      <c r="D6" s="18">
        <f t="shared" si="7"/>
        <v>8.3006535947713084E-3</v>
      </c>
      <c r="E6" s="9">
        <v>0</v>
      </c>
      <c r="F6" s="10">
        <v>0</v>
      </c>
      <c r="G6" s="18">
        <v>0</v>
      </c>
      <c r="H6" s="9">
        <v>0</v>
      </c>
      <c r="I6" s="10">
        <v>0</v>
      </c>
      <c r="J6" s="18">
        <v>0</v>
      </c>
      <c r="K6" s="9">
        <v>0</v>
      </c>
      <c r="L6" s="10">
        <v>0</v>
      </c>
      <c r="M6" s="18">
        <v>0</v>
      </c>
      <c r="N6" s="9">
        <v>0</v>
      </c>
      <c r="O6" s="10">
        <v>0</v>
      </c>
      <c r="P6" s="18">
        <v>0</v>
      </c>
      <c r="Q6" s="9">
        <v>0</v>
      </c>
      <c r="R6" s="10">
        <v>0</v>
      </c>
      <c r="S6" s="18">
        <v>0</v>
      </c>
      <c r="T6" s="9">
        <v>0</v>
      </c>
      <c r="U6" s="10">
        <v>0</v>
      </c>
      <c r="V6" s="18">
        <v>0</v>
      </c>
      <c r="W6" s="9">
        <v>0</v>
      </c>
      <c r="X6" s="10">
        <v>0</v>
      </c>
      <c r="Y6" s="18">
        <v>0</v>
      </c>
      <c r="Z6" s="10">
        <v>0</v>
      </c>
      <c r="AA6" s="10">
        <v>0</v>
      </c>
      <c r="AB6" s="18">
        <v>0</v>
      </c>
      <c r="AC6" s="9">
        <v>0</v>
      </c>
      <c r="AD6" s="10">
        <v>0</v>
      </c>
      <c r="AE6" s="18">
        <v>0</v>
      </c>
      <c r="AF6" s="9">
        <v>0</v>
      </c>
      <c r="AG6" s="10">
        <v>0</v>
      </c>
      <c r="AH6" s="18">
        <v>0</v>
      </c>
      <c r="AI6" s="9">
        <v>0</v>
      </c>
      <c r="AJ6" s="10">
        <v>0</v>
      </c>
      <c r="AK6" s="18">
        <v>0</v>
      </c>
      <c r="AL6" s="9">
        <v>0</v>
      </c>
      <c r="AM6" s="10">
        <v>0</v>
      </c>
      <c r="AN6" s="18">
        <v>0</v>
      </c>
      <c r="AO6" s="9">
        <v>0</v>
      </c>
      <c r="AP6" s="10">
        <v>0</v>
      </c>
      <c r="AQ6" s="18">
        <v>0</v>
      </c>
      <c r="AR6" s="9">
        <v>0</v>
      </c>
      <c r="AS6" s="10">
        <v>0</v>
      </c>
      <c r="AT6" s="18">
        <v>0</v>
      </c>
      <c r="AU6" s="9">
        <v>0</v>
      </c>
      <c r="AV6" s="10">
        <v>0</v>
      </c>
      <c r="AW6" s="18">
        <v>0</v>
      </c>
      <c r="AX6" s="9">
        <v>0</v>
      </c>
      <c r="AY6" s="10">
        <v>0</v>
      </c>
      <c r="AZ6" s="18">
        <v>0</v>
      </c>
      <c r="BA6" s="9">
        <v>0</v>
      </c>
      <c r="BB6" s="10">
        <v>0</v>
      </c>
      <c r="BC6" s="18">
        <v>0</v>
      </c>
      <c r="BD6" s="9">
        <v>0</v>
      </c>
      <c r="BE6" s="10">
        <v>0</v>
      </c>
      <c r="BF6" s="18">
        <v>0</v>
      </c>
      <c r="BG6" s="9">
        <v>0</v>
      </c>
      <c r="BH6" s="10">
        <v>0</v>
      </c>
      <c r="BI6" s="18">
        <v>0</v>
      </c>
      <c r="BJ6" s="9">
        <v>0</v>
      </c>
      <c r="BK6" s="10">
        <v>0</v>
      </c>
      <c r="BL6" s="18">
        <v>0</v>
      </c>
      <c r="BM6" s="9">
        <v>0</v>
      </c>
      <c r="BN6" s="10">
        <v>0</v>
      </c>
      <c r="BO6" s="18">
        <v>0</v>
      </c>
      <c r="BP6" s="17"/>
      <c r="BQ6" s="16">
        <f t="shared" si="8"/>
        <v>44469</v>
      </c>
      <c r="BR6" s="10">
        <f t="shared" si="0"/>
        <v>153</v>
      </c>
      <c r="BS6" s="4">
        <f t="shared" ref="BS6:BS42" si="40">BR6-BR5</f>
        <v>56</v>
      </c>
      <c r="BT6" s="10">
        <f t="shared" si="1"/>
        <v>154.27000000000001</v>
      </c>
      <c r="BU6" s="4">
        <f t="shared" si="9"/>
        <v>1.2700000000000102</v>
      </c>
      <c r="BV6" s="20">
        <f t="shared" si="10"/>
        <v>8.3006535947713084E-3</v>
      </c>
      <c r="BW6" s="4">
        <f>BU6-BU5</f>
        <v>-0.51999999999999602</v>
      </c>
      <c r="BX6" s="17"/>
      <c r="BY6" s="16">
        <f t="shared" si="2"/>
        <v>44469</v>
      </c>
      <c r="BZ6" s="10">
        <f t="shared" si="3"/>
        <v>0</v>
      </c>
      <c r="CA6" s="4">
        <f t="shared" ref="CA6:CA42" si="41">BZ6-BZ5</f>
        <v>0</v>
      </c>
      <c r="CB6" s="10">
        <f t="shared" si="34"/>
        <v>0</v>
      </c>
      <c r="CC6" s="4">
        <f t="shared" si="11"/>
        <v>0</v>
      </c>
      <c r="CD6" s="20">
        <v>0</v>
      </c>
      <c r="CE6" s="4">
        <f>CC6-CC5</f>
        <v>0</v>
      </c>
      <c r="CF6" s="17"/>
      <c r="CG6" s="16">
        <f t="shared" si="5"/>
        <v>44469</v>
      </c>
      <c r="CH6" s="10">
        <f t="shared" si="12"/>
        <v>153</v>
      </c>
      <c r="CI6" s="10">
        <f t="shared" si="13"/>
        <v>56</v>
      </c>
      <c r="CJ6" s="10">
        <f t="shared" si="14"/>
        <v>154.27000000000001</v>
      </c>
      <c r="CK6" s="4">
        <f t="shared" si="15"/>
        <v>1.2700000000000102</v>
      </c>
      <c r="CL6" s="20">
        <v>0</v>
      </c>
      <c r="CM6" s="4">
        <f>CK6-CK5</f>
        <v>-0.51999999999999602</v>
      </c>
      <c r="CO6" s="16">
        <f t="shared" si="6"/>
        <v>44469</v>
      </c>
      <c r="CP6" s="4">
        <f t="shared" si="17"/>
        <v>-0.51999999999999602</v>
      </c>
      <c r="CQ6" s="4">
        <f t="shared" si="18"/>
        <v>0</v>
      </c>
      <c r="CR6" s="4">
        <f t="shared" si="19"/>
        <v>0</v>
      </c>
      <c r="CS6" s="4">
        <f t="shared" si="20"/>
        <v>0</v>
      </c>
      <c r="CT6" s="4">
        <f t="shared" si="21"/>
        <v>0</v>
      </c>
      <c r="CU6" s="4">
        <f t="shared" si="22"/>
        <v>0</v>
      </c>
      <c r="CV6" s="4">
        <f t="shared" si="23"/>
        <v>0</v>
      </c>
      <c r="CW6" s="4">
        <f t="shared" si="24"/>
        <v>0</v>
      </c>
      <c r="CX6" s="4">
        <f t="shared" si="25"/>
        <v>0</v>
      </c>
      <c r="CY6" s="4">
        <f t="shared" si="26"/>
        <v>0</v>
      </c>
      <c r="CZ6" s="4">
        <f t="shared" si="27"/>
        <v>0</v>
      </c>
      <c r="DA6" s="4">
        <f t="shared" si="28"/>
        <v>0</v>
      </c>
      <c r="DB6" s="4">
        <f t="shared" si="29"/>
        <v>0</v>
      </c>
      <c r="DC6" s="4">
        <f t="shared" si="30"/>
        <v>0</v>
      </c>
      <c r="DD6" s="4">
        <f t="shared" si="31"/>
        <v>0</v>
      </c>
      <c r="DE6" s="4">
        <f t="shared" si="32"/>
        <v>0</v>
      </c>
      <c r="DF6" s="10">
        <f t="shared" si="33"/>
        <v>0</v>
      </c>
      <c r="DG6" s="10">
        <f t="shared" si="35"/>
        <v>0</v>
      </c>
      <c r="DH6" s="4">
        <f t="shared" si="36"/>
        <v>0</v>
      </c>
      <c r="DI6" s="4">
        <f t="shared" si="37"/>
        <v>0</v>
      </c>
      <c r="DJ6" s="4">
        <f t="shared" si="38"/>
        <v>0</v>
      </c>
      <c r="DK6" s="4">
        <f t="shared" si="39"/>
        <v>0</v>
      </c>
    </row>
    <row r="7" spans="1:115" x14ac:dyDescent="0.25">
      <c r="A7" s="12">
        <v>44500</v>
      </c>
      <c r="B7" s="14">
        <v>190</v>
      </c>
      <c r="C7" s="8">
        <v>189.71</v>
      </c>
      <c r="D7" s="18">
        <f t="shared" si="7"/>
        <v>-1.5263157894736424E-3</v>
      </c>
      <c r="E7" s="9">
        <v>0</v>
      </c>
      <c r="F7" s="10">
        <v>0</v>
      </c>
      <c r="G7" s="18">
        <v>0</v>
      </c>
      <c r="H7" s="9">
        <v>0</v>
      </c>
      <c r="I7" s="10">
        <v>0</v>
      </c>
      <c r="J7" s="18">
        <v>0</v>
      </c>
      <c r="K7" s="9">
        <v>0</v>
      </c>
      <c r="L7" s="10">
        <v>0</v>
      </c>
      <c r="M7" s="18">
        <v>0</v>
      </c>
      <c r="N7" s="9">
        <v>0</v>
      </c>
      <c r="O7" s="10">
        <v>0</v>
      </c>
      <c r="P7" s="18">
        <v>0</v>
      </c>
      <c r="Q7" s="9">
        <v>0</v>
      </c>
      <c r="R7" s="10">
        <v>0</v>
      </c>
      <c r="S7" s="18">
        <v>0</v>
      </c>
      <c r="T7" s="9">
        <v>0</v>
      </c>
      <c r="U7" s="10">
        <v>0</v>
      </c>
      <c r="V7" s="18">
        <v>0</v>
      </c>
      <c r="W7" s="9">
        <v>0</v>
      </c>
      <c r="X7" s="10">
        <v>0</v>
      </c>
      <c r="Y7" s="18">
        <v>0</v>
      </c>
      <c r="Z7" s="10">
        <v>0</v>
      </c>
      <c r="AA7" s="10">
        <v>0</v>
      </c>
      <c r="AB7" s="18">
        <v>0</v>
      </c>
      <c r="AC7" s="9">
        <v>0</v>
      </c>
      <c r="AD7" s="10">
        <v>0</v>
      </c>
      <c r="AE7" s="18">
        <v>0</v>
      </c>
      <c r="AF7" s="9">
        <v>0</v>
      </c>
      <c r="AG7" s="10">
        <v>0</v>
      </c>
      <c r="AH7" s="18">
        <v>0</v>
      </c>
      <c r="AI7" s="9">
        <v>0</v>
      </c>
      <c r="AJ7" s="10">
        <v>0</v>
      </c>
      <c r="AK7" s="18">
        <v>0</v>
      </c>
      <c r="AL7" s="9">
        <v>0</v>
      </c>
      <c r="AM7" s="10">
        <v>0</v>
      </c>
      <c r="AN7" s="18">
        <v>0</v>
      </c>
      <c r="AO7" s="9">
        <v>0</v>
      </c>
      <c r="AP7" s="10">
        <v>0</v>
      </c>
      <c r="AQ7" s="18">
        <v>0</v>
      </c>
      <c r="AR7" s="9">
        <v>0</v>
      </c>
      <c r="AS7" s="10">
        <v>0</v>
      </c>
      <c r="AT7" s="18">
        <v>0</v>
      </c>
      <c r="AU7" s="9">
        <v>0</v>
      </c>
      <c r="AV7" s="10">
        <v>0</v>
      </c>
      <c r="AW7" s="18">
        <v>0</v>
      </c>
      <c r="AX7" s="9">
        <v>0</v>
      </c>
      <c r="AY7" s="10">
        <v>0</v>
      </c>
      <c r="AZ7" s="18">
        <v>0</v>
      </c>
      <c r="BA7" s="9">
        <v>0</v>
      </c>
      <c r="BB7" s="10">
        <v>0</v>
      </c>
      <c r="BC7" s="18">
        <v>0</v>
      </c>
      <c r="BD7" s="9">
        <v>0</v>
      </c>
      <c r="BE7" s="10">
        <v>0</v>
      </c>
      <c r="BF7" s="18">
        <v>0</v>
      </c>
      <c r="BG7" s="9">
        <v>0</v>
      </c>
      <c r="BH7" s="10">
        <v>0</v>
      </c>
      <c r="BI7" s="18">
        <v>0</v>
      </c>
      <c r="BJ7" s="9">
        <v>0</v>
      </c>
      <c r="BK7" s="10">
        <v>0</v>
      </c>
      <c r="BL7" s="18">
        <v>0</v>
      </c>
      <c r="BM7" s="9">
        <v>0</v>
      </c>
      <c r="BN7" s="10">
        <v>0</v>
      </c>
      <c r="BO7" s="18">
        <v>0</v>
      </c>
      <c r="BP7" s="17"/>
      <c r="BQ7" s="16">
        <f t="shared" si="8"/>
        <v>44500</v>
      </c>
      <c r="BR7" s="10">
        <f t="shared" si="0"/>
        <v>190</v>
      </c>
      <c r="BS7" s="4">
        <f t="shared" si="40"/>
        <v>37</v>
      </c>
      <c r="BT7" s="10">
        <f t="shared" si="1"/>
        <v>189.71</v>
      </c>
      <c r="BU7" s="4">
        <f t="shared" si="9"/>
        <v>-0.28999999999999204</v>
      </c>
      <c r="BV7" s="20">
        <f t="shared" si="10"/>
        <v>-1.5263157894736424E-3</v>
      </c>
      <c r="BW7" s="4">
        <f t="shared" ref="BW7:BW14" si="42">BU7-BU6</f>
        <v>-1.5600000000000023</v>
      </c>
      <c r="BX7" s="17"/>
      <c r="BY7" s="16">
        <f t="shared" si="2"/>
        <v>44500</v>
      </c>
      <c r="BZ7" s="10">
        <f t="shared" si="3"/>
        <v>0</v>
      </c>
      <c r="CA7" s="4">
        <f t="shared" si="41"/>
        <v>0</v>
      </c>
      <c r="CB7" s="10">
        <f t="shared" si="34"/>
        <v>0</v>
      </c>
      <c r="CC7" s="4">
        <f t="shared" si="11"/>
        <v>0</v>
      </c>
      <c r="CD7" s="20">
        <v>0</v>
      </c>
      <c r="CE7" s="4">
        <f t="shared" ref="CE7:CE14" si="43">CC7-CC6</f>
        <v>0</v>
      </c>
      <c r="CF7" s="17"/>
      <c r="CG7" s="16">
        <f t="shared" si="5"/>
        <v>44500</v>
      </c>
      <c r="CH7" s="10">
        <f t="shared" si="12"/>
        <v>190</v>
      </c>
      <c r="CI7" s="10">
        <f t="shared" si="13"/>
        <v>37</v>
      </c>
      <c r="CJ7" s="10">
        <f t="shared" si="14"/>
        <v>189.71</v>
      </c>
      <c r="CK7" s="4">
        <f t="shared" si="15"/>
        <v>-0.28999999999999204</v>
      </c>
      <c r="CL7" s="20">
        <v>0</v>
      </c>
      <c r="CM7" s="4">
        <f t="shared" ref="CM7:CM14" si="44">CK7-CK6</f>
        <v>-1.5600000000000023</v>
      </c>
      <c r="CO7" s="16">
        <f t="shared" si="6"/>
        <v>44500</v>
      </c>
      <c r="CP7" s="4">
        <f t="shared" si="17"/>
        <v>-1.5600000000000023</v>
      </c>
      <c r="CQ7" s="4">
        <f t="shared" si="18"/>
        <v>0</v>
      </c>
      <c r="CR7" s="4">
        <f t="shared" si="19"/>
        <v>0</v>
      </c>
      <c r="CS7" s="4">
        <f t="shared" si="20"/>
        <v>0</v>
      </c>
      <c r="CT7" s="4">
        <f t="shared" si="21"/>
        <v>0</v>
      </c>
      <c r="CU7" s="4">
        <f t="shared" si="22"/>
        <v>0</v>
      </c>
      <c r="CV7" s="4">
        <f t="shared" si="23"/>
        <v>0</v>
      </c>
      <c r="CW7" s="4">
        <f t="shared" si="24"/>
        <v>0</v>
      </c>
      <c r="CX7" s="4">
        <f t="shared" si="25"/>
        <v>0</v>
      </c>
      <c r="CY7" s="4">
        <f t="shared" si="26"/>
        <v>0</v>
      </c>
      <c r="CZ7" s="4">
        <f t="shared" si="27"/>
        <v>0</v>
      </c>
      <c r="DA7" s="4">
        <f t="shared" si="28"/>
        <v>0</v>
      </c>
      <c r="DB7" s="4">
        <f t="shared" si="29"/>
        <v>0</v>
      </c>
      <c r="DC7" s="4">
        <f t="shared" si="30"/>
        <v>0</v>
      </c>
      <c r="DD7" s="4">
        <f t="shared" si="31"/>
        <v>0</v>
      </c>
      <c r="DE7" s="4">
        <f t="shared" si="32"/>
        <v>0</v>
      </c>
      <c r="DF7" s="10">
        <f t="shared" si="33"/>
        <v>0</v>
      </c>
      <c r="DG7" s="10">
        <f t="shared" si="35"/>
        <v>0</v>
      </c>
      <c r="DH7" s="4">
        <f t="shared" si="36"/>
        <v>0</v>
      </c>
      <c r="DI7" s="4">
        <f t="shared" si="37"/>
        <v>0</v>
      </c>
      <c r="DJ7" s="4">
        <f t="shared" si="38"/>
        <v>0</v>
      </c>
      <c r="DK7" s="4">
        <f t="shared" si="39"/>
        <v>0</v>
      </c>
    </row>
    <row r="8" spans="1:115" x14ac:dyDescent="0.25">
      <c r="A8" s="12">
        <v>44530</v>
      </c>
      <c r="B8" s="14">
        <v>199</v>
      </c>
      <c r="C8" s="8">
        <v>200.02</v>
      </c>
      <c r="D8" s="18">
        <f t="shared" si="7"/>
        <v>5.1256281407035687E-3</v>
      </c>
      <c r="E8" s="9">
        <v>0</v>
      </c>
      <c r="F8" s="10">
        <v>0</v>
      </c>
      <c r="G8" s="18">
        <v>0</v>
      </c>
      <c r="H8" s="9">
        <v>0</v>
      </c>
      <c r="I8" s="10">
        <v>0</v>
      </c>
      <c r="J8" s="18">
        <v>0</v>
      </c>
      <c r="K8" s="9">
        <v>0</v>
      </c>
      <c r="L8" s="10">
        <v>0</v>
      </c>
      <c r="M8" s="18">
        <v>0</v>
      </c>
      <c r="N8" s="9">
        <v>0</v>
      </c>
      <c r="O8" s="10">
        <v>0</v>
      </c>
      <c r="P8" s="18">
        <v>0</v>
      </c>
      <c r="Q8" s="9">
        <v>0</v>
      </c>
      <c r="R8" s="10">
        <v>0</v>
      </c>
      <c r="S8" s="18">
        <v>0</v>
      </c>
      <c r="T8" s="9">
        <v>0</v>
      </c>
      <c r="U8" s="10">
        <v>0</v>
      </c>
      <c r="V8" s="18">
        <v>0</v>
      </c>
      <c r="W8" s="9">
        <v>0</v>
      </c>
      <c r="X8" s="10">
        <v>0</v>
      </c>
      <c r="Y8" s="18">
        <v>0</v>
      </c>
      <c r="Z8" s="10">
        <v>0</v>
      </c>
      <c r="AA8" s="10">
        <v>0</v>
      </c>
      <c r="AB8" s="18">
        <v>0</v>
      </c>
      <c r="AC8" s="9">
        <v>0</v>
      </c>
      <c r="AD8" s="10">
        <v>0</v>
      </c>
      <c r="AE8" s="18">
        <v>0</v>
      </c>
      <c r="AF8" s="9">
        <v>0</v>
      </c>
      <c r="AG8" s="10">
        <v>0</v>
      </c>
      <c r="AH8" s="18">
        <v>0</v>
      </c>
      <c r="AI8" s="9">
        <v>0</v>
      </c>
      <c r="AJ8" s="10">
        <v>0</v>
      </c>
      <c r="AK8" s="18">
        <v>0</v>
      </c>
      <c r="AL8" s="9">
        <v>0</v>
      </c>
      <c r="AM8" s="10">
        <v>0</v>
      </c>
      <c r="AN8" s="18">
        <v>0</v>
      </c>
      <c r="AO8" s="9">
        <v>0</v>
      </c>
      <c r="AP8" s="10">
        <v>0</v>
      </c>
      <c r="AQ8" s="18">
        <v>0</v>
      </c>
      <c r="AR8" s="9">
        <v>0</v>
      </c>
      <c r="AS8" s="10">
        <v>0</v>
      </c>
      <c r="AT8" s="18">
        <v>0</v>
      </c>
      <c r="AU8" s="9">
        <v>0</v>
      </c>
      <c r="AV8" s="10">
        <v>0</v>
      </c>
      <c r="AW8" s="18">
        <v>0</v>
      </c>
      <c r="AX8" s="9">
        <v>0</v>
      </c>
      <c r="AY8" s="10">
        <v>0</v>
      </c>
      <c r="AZ8" s="18">
        <v>0</v>
      </c>
      <c r="BA8" s="9">
        <v>0</v>
      </c>
      <c r="BB8" s="10">
        <v>0</v>
      </c>
      <c r="BC8" s="18">
        <v>0</v>
      </c>
      <c r="BD8" s="9">
        <v>0</v>
      </c>
      <c r="BE8" s="10">
        <v>0</v>
      </c>
      <c r="BF8" s="18">
        <v>0</v>
      </c>
      <c r="BG8" s="9">
        <v>0</v>
      </c>
      <c r="BH8" s="10">
        <v>0</v>
      </c>
      <c r="BI8" s="18">
        <v>0</v>
      </c>
      <c r="BJ8" s="9">
        <v>0</v>
      </c>
      <c r="BK8" s="10">
        <v>0</v>
      </c>
      <c r="BL8" s="18">
        <v>0</v>
      </c>
      <c r="BM8" s="9">
        <v>0</v>
      </c>
      <c r="BN8" s="10">
        <v>0</v>
      </c>
      <c r="BO8" s="18">
        <v>0</v>
      </c>
      <c r="BP8" s="17"/>
      <c r="BQ8" s="16">
        <f t="shared" si="8"/>
        <v>44530</v>
      </c>
      <c r="BR8" s="10">
        <f t="shared" si="0"/>
        <v>199</v>
      </c>
      <c r="BS8" s="4">
        <f t="shared" si="40"/>
        <v>9</v>
      </c>
      <c r="BT8" s="10">
        <f t="shared" si="1"/>
        <v>200.02</v>
      </c>
      <c r="BU8" s="4">
        <f t="shared" si="9"/>
        <v>1.0200000000000102</v>
      </c>
      <c r="BV8" s="20">
        <f t="shared" si="10"/>
        <v>5.1256281407035687E-3</v>
      </c>
      <c r="BW8" s="4">
        <f t="shared" si="42"/>
        <v>1.3100000000000023</v>
      </c>
      <c r="BX8" s="17"/>
      <c r="BY8" s="16">
        <f t="shared" si="2"/>
        <v>44530</v>
      </c>
      <c r="BZ8" s="10">
        <f t="shared" si="3"/>
        <v>0</v>
      </c>
      <c r="CA8" s="4">
        <f t="shared" si="41"/>
        <v>0</v>
      </c>
      <c r="CB8" s="10">
        <f t="shared" si="34"/>
        <v>0</v>
      </c>
      <c r="CC8" s="4">
        <f t="shared" si="11"/>
        <v>0</v>
      </c>
      <c r="CD8" s="20">
        <v>0</v>
      </c>
      <c r="CE8" s="4">
        <f t="shared" si="43"/>
        <v>0</v>
      </c>
      <c r="CF8" s="17"/>
      <c r="CG8" s="16">
        <f t="shared" si="5"/>
        <v>44530</v>
      </c>
      <c r="CH8" s="10">
        <f t="shared" si="12"/>
        <v>199</v>
      </c>
      <c r="CI8" s="10">
        <f t="shared" si="13"/>
        <v>9</v>
      </c>
      <c r="CJ8" s="10">
        <f t="shared" si="14"/>
        <v>200.02</v>
      </c>
      <c r="CK8" s="4">
        <f t="shared" si="15"/>
        <v>1.0200000000000102</v>
      </c>
      <c r="CL8" s="20">
        <v>0</v>
      </c>
      <c r="CM8" s="4">
        <f t="shared" si="44"/>
        <v>1.3100000000000023</v>
      </c>
      <c r="CO8" s="16">
        <f t="shared" si="6"/>
        <v>44530</v>
      </c>
      <c r="CP8" s="4">
        <f t="shared" si="17"/>
        <v>1.3100000000000023</v>
      </c>
      <c r="CQ8" s="4">
        <f t="shared" si="18"/>
        <v>0</v>
      </c>
      <c r="CR8" s="4">
        <f t="shared" si="19"/>
        <v>0</v>
      </c>
      <c r="CS8" s="4">
        <f t="shared" si="20"/>
        <v>0</v>
      </c>
      <c r="CT8" s="4">
        <f t="shared" si="21"/>
        <v>0</v>
      </c>
      <c r="CU8" s="4">
        <f t="shared" si="22"/>
        <v>0</v>
      </c>
      <c r="CV8" s="4">
        <f t="shared" si="23"/>
        <v>0</v>
      </c>
      <c r="CW8" s="4">
        <f t="shared" si="24"/>
        <v>0</v>
      </c>
      <c r="CX8" s="4">
        <f t="shared" si="25"/>
        <v>0</v>
      </c>
      <c r="CY8" s="4">
        <f t="shared" si="26"/>
        <v>0</v>
      </c>
      <c r="CZ8" s="4">
        <f t="shared" si="27"/>
        <v>0</v>
      </c>
      <c r="DA8" s="4">
        <f t="shared" si="28"/>
        <v>0</v>
      </c>
      <c r="DB8" s="4">
        <f t="shared" si="29"/>
        <v>0</v>
      </c>
      <c r="DC8" s="4">
        <f t="shared" si="30"/>
        <v>0</v>
      </c>
      <c r="DD8" s="4">
        <f t="shared" si="31"/>
        <v>0</v>
      </c>
      <c r="DE8" s="4">
        <f t="shared" si="32"/>
        <v>0</v>
      </c>
      <c r="DF8" s="10">
        <f t="shared" si="33"/>
        <v>0</v>
      </c>
      <c r="DG8" s="10">
        <f t="shared" si="35"/>
        <v>0</v>
      </c>
      <c r="DH8" s="4">
        <f t="shared" si="36"/>
        <v>0</v>
      </c>
      <c r="DI8" s="4">
        <f t="shared" si="37"/>
        <v>0</v>
      </c>
      <c r="DJ8" s="4">
        <f t="shared" si="38"/>
        <v>0</v>
      </c>
      <c r="DK8" s="4">
        <f t="shared" si="39"/>
        <v>0</v>
      </c>
    </row>
    <row r="9" spans="1:115" x14ac:dyDescent="0.25">
      <c r="A9" s="12">
        <v>44561</v>
      </c>
      <c r="B9" s="14">
        <v>244</v>
      </c>
      <c r="C9" s="8">
        <v>248.63</v>
      </c>
      <c r="D9" s="18">
        <f t="shared" si="7"/>
        <v>1.8975409836065556E-2</v>
      </c>
      <c r="E9" s="9">
        <v>0</v>
      </c>
      <c r="F9" s="10">
        <v>0</v>
      </c>
      <c r="G9" s="18">
        <v>0</v>
      </c>
      <c r="H9" s="9">
        <v>0</v>
      </c>
      <c r="I9" s="10">
        <v>0</v>
      </c>
      <c r="J9" s="18">
        <v>0</v>
      </c>
      <c r="K9" s="9">
        <v>0</v>
      </c>
      <c r="L9" s="10">
        <v>0</v>
      </c>
      <c r="M9" s="18">
        <v>0</v>
      </c>
      <c r="N9" s="9">
        <v>0</v>
      </c>
      <c r="O9" s="10">
        <v>0</v>
      </c>
      <c r="P9" s="18">
        <v>0</v>
      </c>
      <c r="Q9" s="9">
        <v>0</v>
      </c>
      <c r="R9" s="10">
        <v>0</v>
      </c>
      <c r="S9" s="18">
        <v>0</v>
      </c>
      <c r="T9" s="9">
        <v>0</v>
      </c>
      <c r="U9" s="10">
        <v>0</v>
      </c>
      <c r="V9" s="18">
        <v>0</v>
      </c>
      <c r="W9" s="9">
        <v>0</v>
      </c>
      <c r="X9" s="10">
        <v>0</v>
      </c>
      <c r="Y9" s="18">
        <v>0</v>
      </c>
      <c r="Z9" s="10">
        <v>0</v>
      </c>
      <c r="AA9" s="10">
        <v>0</v>
      </c>
      <c r="AB9" s="18">
        <v>0</v>
      </c>
      <c r="AC9" s="9">
        <v>0</v>
      </c>
      <c r="AD9" s="10">
        <v>0</v>
      </c>
      <c r="AE9" s="18">
        <v>0</v>
      </c>
      <c r="AF9" s="9">
        <v>0</v>
      </c>
      <c r="AG9" s="10">
        <v>0</v>
      </c>
      <c r="AH9" s="18">
        <v>0</v>
      </c>
      <c r="AI9" s="9">
        <v>0</v>
      </c>
      <c r="AJ9" s="10">
        <v>0</v>
      </c>
      <c r="AK9" s="18">
        <v>0</v>
      </c>
      <c r="AL9" s="9">
        <v>0</v>
      </c>
      <c r="AM9" s="10">
        <v>0</v>
      </c>
      <c r="AN9" s="18">
        <v>0</v>
      </c>
      <c r="AO9" s="9">
        <v>0</v>
      </c>
      <c r="AP9" s="10">
        <v>0</v>
      </c>
      <c r="AQ9" s="18">
        <v>0</v>
      </c>
      <c r="AR9" s="9">
        <v>0</v>
      </c>
      <c r="AS9" s="10">
        <v>0</v>
      </c>
      <c r="AT9" s="18">
        <v>0</v>
      </c>
      <c r="AU9" s="9">
        <v>0</v>
      </c>
      <c r="AV9" s="10">
        <v>0</v>
      </c>
      <c r="AW9" s="18">
        <v>0</v>
      </c>
      <c r="AX9" s="9">
        <v>0</v>
      </c>
      <c r="AY9" s="10">
        <v>0</v>
      </c>
      <c r="AZ9" s="18">
        <v>0</v>
      </c>
      <c r="BA9" s="9">
        <v>0</v>
      </c>
      <c r="BB9" s="10">
        <v>0</v>
      </c>
      <c r="BC9" s="18">
        <v>0</v>
      </c>
      <c r="BD9" s="9">
        <v>0</v>
      </c>
      <c r="BE9" s="10">
        <v>0</v>
      </c>
      <c r="BF9" s="18">
        <v>0</v>
      </c>
      <c r="BG9" s="9">
        <v>0</v>
      </c>
      <c r="BH9" s="10">
        <v>0</v>
      </c>
      <c r="BI9" s="18">
        <v>0</v>
      </c>
      <c r="BJ9" s="9">
        <v>0</v>
      </c>
      <c r="BK9" s="10">
        <v>0</v>
      </c>
      <c r="BL9" s="18">
        <v>0</v>
      </c>
      <c r="BM9" s="9">
        <v>0</v>
      </c>
      <c r="BN9" s="10">
        <v>0</v>
      </c>
      <c r="BO9" s="18">
        <v>0</v>
      </c>
      <c r="BP9" s="17"/>
      <c r="BQ9" s="16">
        <f t="shared" si="8"/>
        <v>44561</v>
      </c>
      <c r="BR9" s="10">
        <f t="shared" si="0"/>
        <v>244</v>
      </c>
      <c r="BS9" s="4">
        <f t="shared" si="40"/>
        <v>45</v>
      </c>
      <c r="BT9" s="10">
        <f t="shared" si="1"/>
        <v>248.63</v>
      </c>
      <c r="BU9" s="4">
        <f t="shared" si="9"/>
        <v>4.6299999999999955</v>
      </c>
      <c r="BV9" s="20">
        <f t="shared" si="10"/>
        <v>1.8975409836065556E-2</v>
      </c>
      <c r="BW9" s="4">
        <f t="shared" si="42"/>
        <v>3.6099999999999852</v>
      </c>
      <c r="BX9" s="17"/>
      <c r="BY9" s="16">
        <f t="shared" si="2"/>
        <v>44561</v>
      </c>
      <c r="BZ9" s="10">
        <f t="shared" si="3"/>
        <v>0</v>
      </c>
      <c r="CA9" s="4">
        <f t="shared" si="41"/>
        <v>0</v>
      </c>
      <c r="CB9" s="10">
        <f t="shared" si="34"/>
        <v>0</v>
      </c>
      <c r="CC9" s="4">
        <f t="shared" si="11"/>
        <v>0</v>
      </c>
      <c r="CD9" s="20">
        <v>0</v>
      </c>
      <c r="CE9" s="4">
        <f t="shared" si="43"/>
        <v>0</v>
      </c>
      <c r="CF9" s="17"/>
      <c r="CG9" s="16">
        <f t="shared" si="5"/>
        <v>44561</v>
      </c>
      <c r="CH9" s="10">
        <f t="shared" si="12"/>
        <v>244</v>
      </c>
      <c r="CI9" s="10">
        <f t="shared" si="13"/>
        <v>45</v>
      </c>
      <c r="CJ9" s="10">
        <f t="shared" si="14"/>
        <v>248.63</v>
      </c>
      <c r="CK9" s="4">
        <f t="shared" si="15"/>
        <v>4.6299999999999955</v>
      </c>
      <c r="CL9" s="20">
        <v>0</v>
      </c>
      <c r="CM9" s="4">
        <f t="shared" si="44"/>
        <v>3.6099999999999852</v>
      </c>
      <c r="CO9" s="16">
        <f t="shared" si="6"/>
        <v>44561</v>
      </c>
      <c r="CP9" s="4">
        <f t="shared" si="17"/>
        <v>3.6099999999999852</v>
      </c>
      <c r="CQ9" s="4">
        <f t="shared" si="18"/>
        <v>0</v>
      </c>
      <c r="CR9" s="4">
        <f t="shared" si="19"/>
        <v>0</v>
      </c>
      <c r="CS9" s="4">
        <f t="shared" si="20"/>
        <v>0</v>
      </c>
      <c r="CT9" s="4">
        <f t="shared" si="21"/>
        <v>0</v>
      </c>
      <c r="CU9" s="4">
        <f t="shared" si="22"/>
        <v>0</v>
      </c>
      <c r="CV9" s="4">
        <f t="shared" si="23"/>
        <v>0</v>
      </c>
      <c r="CW9" s="4">
        <f t="shared" si="24"/>
        <v>0</v>
      </c>
      <c r="CX9" s="4">
        <f t="shared" si="25"/>
        <v>0</v>
      </c>
      <c r="CY9" s="4">
        <f t="shared" si="26"/>
        <v>0</v>
      </c>
      <c r="CZ9" s="4">
        <f t="shared" si="27"/>
        <v>0</v>
      </c>
      <c r="DA9" s="4">
        <f t="shared" si="28"/>
        <v>0</v>
      </c>
      <c r="DB9" s="4">
        <f t="shared" si="29"/>
        <v>0</v>
      </c>
      <c r="DC9" s="4">
        <f t="shared" si="30"/>
        <v>0</v>
      </c>
      <c r="DD9" s="4">
        <f t="shared" si="31"/>
        <v>0</v>
      </c>
      <c r="DE9" s="4">
        <f t="shared" si="32"/>
        <v>0</v>
      </c>
      <c r="DF9" s="10">
        <f t="shared" si="33"/>
        <v>0</v>
      </c>
      <c r="DG9" s="10">
        <f t="shared" si="35"/>
        <v>0</v>
      </c>
      <c r="DH9" s="4">
        <f t="shared" si="36"/>
        <v>0</v>
      </c>
      <c r="DI9" s="4">
        <f t="shared" si="37"/>
        <v>0</v>
      </c>
      <c r="DJ9" s="4">
        <f t="shared" si="38"/>
        <v>0</v>
      </c>
      <c r="DK9" s="4">
        <f t="shared" si="39"/>
        <v>0</v>
      </c>
    </row>
    <row r="10" spans="1:115" x14ac:dyDescent="0.25">
      <c r="A10" s="12">
        <v>44592</v>
      </c>
      <c r="B10" s="14">
        <v>272</v>
      </c>
      <c r="C10" s="8">
        <v>257.85000000000002</v>
      </c>
      <c r="D10" s="18">
        <f t="shared" si="7"/>
        <v>-5.2022058823529331E-2</v>
      </c>
      <c r="E10" s="9">
        <v>0</v>
      </c>
      <c r="F10" s="10">
        <v>0</v>
      </c>
      <c r="G10" s="18">
        <v>0</v>
      </c>
      <c r="H10" s="9">
        <v>0</v>
      </c>
      <c r="I10" s="10">
        <v>0</v>
      </c>
      <c r="J10" s="18">
        <v>0</v>
      </c>
      <c r="K10" s="9">
        <v>0</v>
      </c>
      <c r="L10" s="10">
        <v>0</v>
      </c>
      <c r="M10" s="18">
        <v>0</v>
      </c>
      <c r="N10" s="9">
        <v>0</v>
      </c>
      <c r="O10" s="10">
        <v>0</v>
      </c>
      <c r="P10" s="18">
        <v>0</v>
      </c>
      <c r="Q10" s="9">
        <v>0</v>
      </c>
      <c r="R10" s="10">
        <v>0</v>
      </c>
      <c r="S10" s="18">
        <v>0</v>
      </c>
      <c r="T10" s="9">
        <v>0</v>
      </c>
      <c r="U10" s="10">
        <v>0</v>
      </c>
      <c r="V10" s="18">
        <v>0</v>
      </c>
      <c r="W10" s="9">
        <v>0</v>
      </c>
      <c r="X10" s="10">
        <v>0</v>
      </c>
      <c r="Y10" s="18">
        <v>0</v>
      </c>
      <c r="Z10" s="10">
        <v>0</v>
      </c>
      <c r="AA10" s="10">
        <v>0</v>
      </c>
      <c r="AB10" s="18">
        <v>0</v>
      </c>
      <c r="AC10" s="9">
        <v>0</v>
      </c>
      <c r="AD10" s="10">
        <v>0</v>
      </c>
      <c r="AE10" s="18">
        <v>0</v>
      </c>
      <c r="AF10" s="9">
        <v>0</v>
      </c>
      <c r="AG10" s="10">
        <v>0</v>
      </c>
      <c r="AH10" s="18">
        <v>0</v>
      </c>
      <c r="AI10" s="9">
        <v>0</v>
      </c>
      <c r="AJ10" s="10">
        <v>0</v>
      </c>
      <c r="AK10" s="18">
        <v>0</v>
      </c>
      <c r="AL10" s="9">
        <v>0</v>
      </c>
      <c r="AM10" s="10">
        <v>0</v>
      </c>
      <c r="AN10" s="18">
        <v>0</v>
      </c>
      <c r="AO10" s="9">
        <v>0</v>
      </c>
      <c r="AP10" s="10">
        <v>0</v>
      </c>
      <c r="AQ10" s="18">
        <v>0</v>
      </c>
      <c r="AR10" s="9">
        <v>0</v>
      </c>
      <c r="AS10" s="10">
        <v>0</v>
      </c>
      <c r="AT10" s="18">
        <v>0</v>
      </c>
      <c r="AU10" s="9">
        <v>0</v>
      </c>
      <c r="AV10" s="10">
        <v>0</v>
      </c>
      <c r="AW10" s="18">
        <v>0</v>
      </c>
      <c r="AX10" s="9">
        <v>0</v>
      </c>
      <c r="AY10" s="10">
        <v>0</v>
      </c>
      <c r="AZ10" s="18">
        <v>0</v>
      </c>
      <c r="BA10" s="9">
        <v>0</v>
      </c>
      <c r="BB10" s="10">
        <v>0</v>
      </c>
      <c r="BC10" s="18">
        <v>0</v>
      </c>
      <c r="BD10" s="9">
        <v>0</v>
      </c>
      <c r="BE10" s="10">
        <v>0</v>
      </c>
      <c r="BF10" s="18">
        <v>0</v>
      </c>
      <c r="BG10" s="9">
        <v>0</v>
      </c>
      <c r="BH10" s="10">
        <v>0</v>
      </c>
      <c r="BI10" s="18">
        <v>0</v>
      </c>
      <c r="BJ10" s="9">
        <v>0</v>
      </c>
      <c r="BK10" s="10">
        <v>0</v>
      </c>
      <c r="BL10" s="18">
        <v>0</v>
      </c>
      <c r="BM10" s="9">
        <v>0</v>
      </c>
      <c r="BN10" s="10">
        <v>0</v>
      </c>
      <c r="BO10" s="18">
        <v>0</v>
      </c>
      <c r="BP10" s="17"/>
      <c r="BQ10" s="16">
        <f t="shared" si="8"/>
        <v>44592</v>
      </c>
      <c r="BR10" s="10">
        <f t="shared" si="0"/>
        <v>272</v>
      </c>
      <c r="BS10" s="4">
        <f t="shared" si="40"/>
        <v>28</v>
      </c>
      <c r="BT10" s="10">
        <f t="shared" si="1"/>
        <v>257.85000000000002</v>
      </c>
      <c r="BU10" s="4">
        <f t="shared" si="9"/>
        <v>-14.149999999999977</v>
      </c>
      <c r="BV10" s="20">
        <f t="shared" si="10"/>
        <v>-5.2022058823529331E-2</v>
      </c>
      <c r="BW10" s="4">
        <f t="shared" si="42"/>
        <v>-18.779999999999973</v>
      </c>
      <c r="BX10" s="17"/>
      <c r="BY10" s="16">
        <f t="shared" si="2"/>
        <v>44592</v>
      </c>
      <c r="BZ10" s="10">
        <f t="shared" si="3"/>
        <v>0</v>
      </c>
      <c r="CA10" s="4">
        <f t="shared" si="41"/>
        <v>0</v>
      </c>
      <c r="CB10" s="10">
        <f t="shared" si="34"/>
        <v>0</v>
      </c>
      <c r="CC10" s="4">
        <f t="shared" si="11"/>
        <v>0</v>
      </c>
      <c r="CD10" s="20">
        <v>0</v>
      </c>
      <c r="CE10" s="4">
        <f t="shared" si="43"/>
        <v>0</v>
      </c>
      <c r="CF10" s="17"/>
      <c r="CG10" s="16">
        <f t="shared" si="5"/>
        <v>44592</v>
      </c>
      <c r="CH10" s="10">
        <f t="shared" si="12"/>
        <v>272</v>
      </c>
      <c r="CI10" s="10">
        <f t="shared" si="13"/>
        <v>28</v>
      </c>
      <c r="CJ10" s="10">
        <f t="shared" si="14"/>
        <v>257.85000000000002</v>
      </c>
      <c r="CK10" s="4">
        <f t="shared" si="15"/>
        <v>-14.149999999999977</v>
      </c>
      <c r="CL10" s="20">
        <v>0</v>
      </c>
      <c r="CM10" s="4">
        <f t="shared" si="44"/>
        <v>-18.779999999999973</v>
      </c>
      <c r="CO10" s="16">
        <f t="shared" si="6"/>
        <v>44592</v>
      </c>
      <c r="CP10" s="4">
        <f t="shared" si="17"/>
        <v>-18.779999999999973</v>
      </c>
      <c r="CQ10" s="4">
        <f t="shared" si="18"/>
        <v>0</v>
      </c>
      <c r="CR10" s="4">
        <f t="shared" si="19"/>
        <v>0</v>
      </c>
      <c r="CS10" s="4">
        <f t="shared" si="20"/>
        <v>0</v>
      </c>
      <c r="CT10" s="4">
        <f t="shared" si="21"/>
        <v>0</v>
      </c>
      <c r="CU10" s="4">
        <f t="shared" si="22"/>
        <v>0</v>
      </c>
      <c r="CV10" s="4">
        <f t="shared" si="23"/>
        <v>0</v>
      </c>
      <c r="CW10" s="4">
        <f t="shared" si="24"/>
        <v>0</v>
      </c>
      <c r="CX10" s="4">
        <f t="shared" si="25"/>
        <v>0</v>
      </c>
      <c r="CY10" s="4">
        <f t="shared" si="26"/>
        <v>0</v>
      </c>
      <c r="CZ10" s="4">
        <f t="shared" si="27"/>
        <v>0</v>
      </c>
      <c r="DA10" s="4">
        <f t="shared" si="28"/>
        <v>0</v>
      </c>
      <c r="DB10" s="4">
        <f t="shared" si="29"/>
        <v>0</v>
      </c>
      <c r="DC10" s="4">
        <f t="shared" si="30"/>
        <v>0</v>
      </c>
      <c r="DD10" s="4">
        <f t="shared" si="31"/>
        <v>0</v>
      </c>
      <c r="DE10" s="4">
        <f t="shared" si="32"/>
        <v>0</v>
      </c>
      <c r="DF10" s="10">
        <f t="shared" si="33"/>
        <v>0</v>
      </c>
      <c r="DG10" s="10">
        <f t="shared" si="35"/>
        <v>0</v>
      </c>
      <c r="DH10" s="4">
        <f t="shared" si="36"/>
        <v>0</v>
      </c>
      <c r="DI10" s="4">
        <f t="shared" si="37"/>
        <v>0</v>
      </c>
      <c r="DJ10" s="4">
        <f t="shared" si="38"/>
        <v>0</v>
      </c>
      <c r="DK10" s="4">
        <f t="shared" si="39"/>
        <v>0</v>
      </c>
    </row>
    <row r="11" spans="1:115" x14ac:dyDescent="0.25">
      <c r="A11" s="12">
        <v>44620</v>
      </c>
      <c r="B11" s="14">
        <v>282</v>
      </c>
      <c r="C11" s="8">
        <v>262.62</v>
      </c>
      <c r="D11" s="18">
        <f t="shared" si="7"/>
        <v>-6.8723404255319129E-2</v>
      </c>
      <c r="E11" s="9">
        <v>0</v>
      </c>
      <c r="F11" s="10">
        <v>0</v>
      </c>
      <c r="G11" s="18">
        <v>0</v>
      </c>
      <c r="H11" s="9">
        <v>0</v>
      </c>
      <c r="I11" s="10">
        <v>0</v>
      </c>
      <c r="J11" s="18">
        <v>0</v>
      </c>
      <c r="K11" s="9">
        <v>0</v>
      </c>
      <c r="L11" s="10">
        <v>0</v>
      </c>
      <c r="M11" s="18">
        <v>0</v>
      </c>
      <c r="N11" s="9">
        <v>0</v>
      </c>
      <c r="O11" s="10">
        <v>0</v>
      </c>
      <c r="P11" s="18">
        <v>0</v>
      </c>
      <c r="Q11" s="9">
        <v>0</v>
      </c>
      <c r="R11" s="10">
        <v>0</v>
      </c>
      <c r="S11" s="18">
        <v>0</v>
      </c>
      <c r="T11" s="9">
        <v>0</v>
      </c>
      <c r="U11" s="10">
        <v>0</v>
      </c>
      <c r="V11" s="18">
        <v>0</v>
      </c>
      <c r="W11" s="9">
        <v>0</v>
      </c>
      <c r="X11" s="10">
        <v>0</v>
      </c>
      <c r="Y11" s="18">
        <v>0</v>
      </c>
      <c r="Z11" s="10">
        <v>0</v>
      </c>
      <c r="AA11" s="10">
        <v>0</v>
      </c>
      <c r="AB11" s="18">
        <v>0</v>
      </c>
      <c r="AC11" s="9">
        <v>0</v>
      </c>
      <c r="AD11" s="10">
        <v>0</v>
      </c>
      <c r="AE11" s="18">
        <v>0</v>
      </c>
      <c r="AF11" s="9">
        <v>0</v>
      </c>
      <c r="AG11" s="10">
        <v>0</v>
      </c>
      <c r="AH11" s="18">
        <v>0</v>
      </c>
      <c r="AI11" s="9">
        <v>0</v>
      </c>
      <c r="AJ11" s="10">
        <v>0</v>
      </c>
      <c r="AK11" s="18">
        <v>0</v>
      </c>
      <c r="AL11" s="9">
        <v>0</v>
      </c>
      <c r="AM11" s="10">
        <v>0</v>
      </c>
      <c r="AN11" s="18">
        <v>0</v>
      </c>
      <c r="AO11" s="9">
        <v>0</v>
      </c>
      <c r="AP11" s="10">
        <v>0</v>
      </c>
      <c r="AQ11" s="18">
        <v>0</v>
      </c>
      <c r="AR11" s="9">
        <v>0</v>
      </c>
      <c r="AS11" s="10">
        <v>0</v>
      </c>
      <c r="AT11" s="18">
        <v>0</v>
      </c>
      <c r="AU11" s="9">
        <v>0</v>
      </c>
      <c r="AV11" s="10">
        <v>0</v>
      </c>
      <c r="AW11" s="18">
        <v>0</v>
      </c>
      <c r="AX11" s="9">
        <v>0</v>
      </c>
      <c r="AY11" s="10">
        <v>0</v>
      </c>
      <c r="AZ11" s="18">
        <v>0</v>
      </c>
      <c r="BA11" s="9">
        <v>0</v>
      </c>
      <c r="BB11" s="10">
        <v>0</v>
      </c>
      <c r="BC11" s="18">
        <v>0</v>
      </c>
      <c r="BD11" s="9">
        <v>0</v>
      </c>
      <c r="BE11" s="10">
        <v>0</v>
      </c>
      <c r="BF11" s="18">
        <v>0</v>
      </c>
      <c r="BG11" s="9">
        <v>0</v>
      </c>
      <c r="BH11" s="10">
        <v>0</v>
      </c>
      <c r="BI11" s="18">
        <v>0</v>
      </c>
      <c r="BJ11" s="9">
        <v>0</v>
      </c>
      <c r="BK11" s="10">
        <v>0</v>
      </c>
      <c r="BL11" s="18">
        <v>0</v>
      </c>
      <c r="BM11" s="9">
        <v>0</v>
      </c>
      <c r="BN11" s="10">
        <v>0</v>
      </c>
      <c r="BO11" s="18">
        <v>0</v>
      </c>
      <c r="BP11" s="17"/>
      <c r="BQ11" s="16">
        <f t="shared" si="8"/>
        <v>44620</v>
      </c>
      <c r="BR11" s="10">
        <f t="shared" si="0"/>
        <v>282</v>
      </c>
      <c r="BS11" s="4">
        <f t="shared" si="40"/>
        <v>10</v>
      </c>
      <c r="BT11" s="10">
        <f t="shared" si="1"/>
        <v>262.62</v>
      </c>
      <c r="BU11" s="4">
        <f t="shared" si="9"/>
        <v>-19.379999999999995</v>
      </c>
      <c r="BV11" s="20">
        <f t="shared" si="10"/>
        <v>-6.8723404255319129E-2</v>
      </c>
      <c r="BW11" s="4">
        <f t="shared" si="42"/>
        <v>-5.2300000000000182</v>
      </c>
      <c r="BX11" s="17"/>
      <c r="BY11" s="16">
        <f t="shared" si="2"/>
        <v>44620</v>
      </c>
      <c r="BZ11" s="10">
        <f t="shared" si="3"/>
        <v>0</v>
      </c>
      <c r="CA11" s="4">
        <f t="shared" si="41"/>
        <v>0</v>
      </c>
      <c r="CB11" s="10">
        <f t="shared" si="34"/>
        <v>0</v>
      </c>
      <c r="CC11" s="4">
        <f t="shared" si="11"/>
        <v>0</v>
      </c>
      <c r="CD11" s="20">
        <v>0</v>
      </c>
      <c r="CE11" s="4">
        <f t="shared" si="43"/>
        <v>0</v>
      </c>
      <c r="CF11" s="17"/>
      <c r="CG11" s="16">
        <f t="shared" si="5"/>
        <v>44620</v>
      </c>
      <c r="CH11" s="10">
        <f t="shared" si="12"/>
        <v>282</v>
      </c>
      <c r="CI11" s="10">
        <f t="shared" si="13"/>
        <v>10</v>
      </c>
      <c r="CJ11" s="10">
        <f t="shared" si="14"/>
        <v>262.62</v>
      </c>
      <c r="CK11" s="4">
        <f t="shared" si="15"/>
        <v>-19.379999999999995</v>
      </c>
      <c r="CL11" s="20">
        <v>0</v>
      </c>
      <c r="CM11" s="4">
        <f t="shared" si="44"/>
        <v>-5.2300000000000182</v>
      </c>
      <c r="CO11" s="16">
        <f t="shared" si="6"/>
        <v>44620</v>
      </c>
      <c r="CP11" s="4">
        <f t="shared" si="17"/>
        <v>-5.2300000000000182</v>
      </c>
      <c r="CQ11" s="4">
        <f t="shared" si="18"/>
        <v>0</v>
      </c>
      <c r="CR11" s="4">
        <f t="shared" si="19"/>
        <v>0</v>
      </c>
      <c r="CS11" s="4">
        <f t="shared" si="20"/>
        <v>0</v>
      </c>
      <c r="CT11" s="4">
        <f t="shared" si="21"/>
        <v>0</v>
      </c>
      <c r="CU11" s="4">
        <f t="shared" si="22"/>
        <v>0</v>
      </c>
      <c r="CV11" s="4">
        <f t="shared" si="23"/>
        <v>0</v>
      </c>
      <c r="CW11" s="4">
        <f t="shared" si="24"/>
        <v>0</v>
      </c>
      <c r="CX11" s="4">
        <f t="shared" si="25"/>
        <v>0</v>
      </c>
      <c r="CY11" s="4">
        <f t="shared" si="26"/>
        <v>0</v>
      </c>
      <c r="CZ11" s="4">
        <f t="shared" si="27"/>
        <v>0</v>
      </c>
      <c r="DA11" s="4">
        <f t="shared" si="28"/>
        <v>0</v>
      </c>
      <c r="DB11" s="4">
        <f t="shared" si="29"/>
        <v>0</v>
      </c>
      <c r="DC11" s="4">
        <f t="shared" si="30"/>
        <v>0</v>
      </c>
      <c r="DD11" s="4">
        <f t="shared" si="31"/>
        <v>0</v>
      </c>
      <c r="DE11" s="4">
        <f t="shared" si="32"/>
        <v>0</v>
      </c>
      <c r="DF11" s="10">
        <f t="shared" si="33"/>
        <v>0</v>
      </c>
      <c r="DG11" s="10">
        <f t="shared" si="35"/>
        <v>0</v>
      </c>
      <c r="DH11" s="4">
        <f t="shared" si="36"/>
        <v>0</v>
      </c>
      <c r="DI11" s="4">
        <f t="shared" si="37"/>
        <v>0</v>
      </c>
      <c r="DJ11" s="4">
        <f t="shared" si="38"/>
        <v>0</v>
      </c>
      <c r="DK11" s="4">
        <f t="shared" si="39"/>
        <v>0</v>
      </c>
    </row>
    <row r="12" spans="1:115" x14ac:dyDescent="0.25">
      <c r="A12" s="12">
        <v>44651</v>
      </c>
      <c r="B12" s="14">
        <v>292</v>
      </c>
      <c r="C12" s="8">
        <v>280.58</v>
      </c>
      <c r="D12" s="18">
        <f t="shared" si="7"/>
        <v>-3.9109589041095946E-2</v>
      </c>
      <c r="E12" s="9">
        <v>0</v>
      </c>
      <c r="F12" s="10">
        <v>0</v>
      </c>
      <c r="G12" s="18">
        <v>0</v>
      </c>
      <c r="H12" s="9">
        <v>0</v>
      </c>
      <c r="I12" s="10">
        <v>0</v>
      </c>
      <c r="J12" s="18">
        <v>0</v>
      </c>
      <c r="K12" s="9">
        <v>0</v>
      </c>
      <c r="L12" s="10">
        <v>0</v>
      </c>
      <c r="M12" s="18">
        <v>0</v>
      </c>
      <c r="N12" s="9">
        <v>0</v>
      </c>
      <c r="O12" s="10">
        <v>0</v>
      </c>
      <c r="P12" s="18">
        <v>0</v>
      </c>
      <c r="Q12" s="9">
        <v>0</v>
      </c>
      <c r="R12" s="10">
        <v>0</v>
      </c>
      <c r="S12" s="18">
        <v>0</v>
      </c>
      <c r="T12" s="9">
        <v>0</v>
      </c>
      <c r="U12" s="10">
        <v>0</v>
      </c>
      <c r="V12" s="18">
        <v>0</v>
      </c>
      <c r="W12" s="9">
        <v>0</v>
      </c>
      <c r="X12" s="10">
        <v>0</v>
      </c>
      <c r="Y12" s="18">
        <v>0</v>
      </c>
      <c r="Z12" s="10">
        <v>0</v>
      </c>
      <c r="AA12" s="10">
        <v>0</v>
      </c>
      <c r="AB12" s="18">
        <v>0</v>
      </c>
      <c r="AC12" s="9">
        <v>0</v>
      </c>
      <c r="AD12" s="10">
        <v>0</v>
      </c>
      <c r="AE12" s="18">
        <v>0</v>
      </c>
      <c r="AF12" s="9">
        <v>0</v>
      </c>
      <c r="AG12" s="10">
        <v>0</v>
      </c>
      <c r="AH12" s="18">
        <v>0</v>
      </c>
      <c r="AI12" s="9">
        <v>0</v>
      </c>
      <c r="AJ12" s="10">
        <v>0</v>
      </c>
      <c r="AK12" s="18">
        <v>0</v>
      </c>
      <c r="AL12" s="9">
        <v>0</v>
      </c>
      <c r="AM12" s="10">
        <v>0</v>
      </c>
      <c r="AN12" s="18">
        <v>0</v>
      </c>
      <c r="AO12" s="9">
        <v>0</v>
      </c>
      <c r="AP12" s="10">
        <v>0</v>
      </c>
      <c r="AQ12" s="18">
        <v>0</v>
      </c>
      <c r="AR12" s="9">
        <v>0</v>
      </c>
      <c r="AS12" s="10">
        <v>0</v>
      </c>
      <c r="AT12" s="18">
        <v>0</v>
      </c>
      <c r="AU12" s="9">
        <v>0</v>
      </c>
      <c r="AV12" s="10">
        <v>0</v>
      </c>
      <c r="AW12" s="18">
        <v>0</v>
      </c>
      <c r="AX12" s="9">
        <v>0</v>
      </c>
      <c r="AY12" s="10">
        <v>0</v>
      </c>
      <c r="AZ12" s="18">
        <v>0</v>
      </c>
      <c r="BA12" s="9">
        <v>0</v>
      </c>
      <c r="BB12" s="10">
        <v>0</v>
      </c>
      <c r="BC12" s="18">
        <v>0</v>
      </c>
      <c r="BD12" s="9">
        <v>0</v>
      </c>
      <c r="BE12" s="10">
        <v>0</v>
      </c>
      <c r="BF12" s="18">
        <v>0</v>
      </c>
      <c r="BG12" s="9">
        <v>0</v>
      </c>
      <c r="BH12" s="10">
        <v>0</v>
      </c>
      <c r="BI12" s="18">
        <v>0</v>
      </c>
      <c r="BJ12" s="9">
        <v>0</v>
      </c>
      <c r="BK12" s="10">
        <v>0</v>
      </c>
      <c r="BL12" s="18">
        <v>0</v>
      </c>
      <c r="BM12" s="9">
        <v>0</v>
      </c>
      <c r="BN12" s="10">
        <v>0</v>
      </c>
      <c r="BO12" s="18">
        <v>0</v>
      </c>
      <c r="BP12" s="17"/>
      <c r="BQ12" s="16">
        <f t="shared" si="8"/>
        <v>44651</v>
      </c>
      <c r="BR12" s="10">
        <f t="shared" si="0"/>
        <v>292</v>
      </c>
      <c r="BS12" s="4">
        <f t="shared" si="40"/>
        <v>10</v>
      </c>
      <c r="BT12" s="10">
        <f t="shared" si="1"/>
        <v>280.58</v>
      </c>
      <c r="BU12" s="4">
        <f t="shared" si="9"/>
        <v>-11.420000000000016</v>
      </c>
      <c r="BV12" s="20">
        <f t="shared" si="10"/>
        <v>-3.9109589041095946E-2</v>
      </c>
      <c r="BW12" s="4">
        <f t="shared" si="42"/>
        <v>7.9599999999999795</v>
      </c>
      <c r="BX12" s="17"/>
      <c r="BY12" s="16">
        <f t="shared" si="2"/>
        <v>44651</v>
      </c>
      <c r="BZ12" s="10">
        <f t="shared" si="3"/>
        <v>0</v>
      </c>
      <c r="CA12" s="4">
        <f t="shared" si="41"/>
        <v>0</v>
      </c>
      <c r="CB12" s="10">
        <f t="shared" si="34"/>
        <v>0</v>
      </c>
      <c r="CC12" s="4">
        <f t="shared" si="11"/>
        <v>0</v>
      </c>
      <c r="CD12" s="20">
        <v>0</v>
      </c>
      <c r="CE12" s="4">
        <f t="shared" si="43"/>
        <v>0</v>
      </c>
      <c r="CF12" s="17"/>
      <c r="CG12" s="16">
        <f t="shared" si="5"/>
        <v>44651</v>
      </c>
      <c r="CH12" s="10">
        <f t="shared" si="12"/>
        <v>292</v>
      </c>
      <c r="CI12" s="10">
        <f t="shared" si="13"/>
        <v>10</v>
      </c>
      <c r="CJ12" s="10">
        <f t="shared" si="14"/>
        <v>280.58</v>
      </c>
      <c r="CK12" s="4">
        <f t="shared" si="15"/>
        <v>-11.420000000000016</v>
      </c>
      <c r="CL12" s="20">
        <v>0</v>
      </c>
      <c r="CM12" s="4">
        <f t="shared" si="44"/>
        <v>7.9599999999999795</v>
      </c>
      <c r="CO12" s="16">
        <f t="shared" si="6"/>
        <v>44651</v>
      </c>
      <c r="CP12" s="4">
        <f t="shared" si="17"/>
        <v>7.9599999999999795</v>
      </c>
      <c r="CQ12" s="4">
        <f t="shared" si="18"/>
        <v>0</v>
      </c>
      <c r="CR12" s="4">
        <f t="shared" si="19"/>
        <v>0</v>
      </c>
      <c r="CS12" s="4">
        <f t="shared" si="20"/>
        <v>0</v>
      </c>
      <c r="CT12" s="4">
        <f t="shared" si="21"/>
        <v>0</v>
      </c>
      <c r="CU12" s="4">
        <f t="shared" si="22"/>
        <v>0</v>
      </c>
      <c r="CV12" s="4">
        <f t="shared" si="23"/>
        <v>0</v>
      </c>
      <c r="CW12" s="4">
        <f t="shared" si="24"/>
        <v>0</v>
      </c>
      <c r="CX12" s="4">
        <f t="shared" si="25"/>
        <v>0</v>
      </c>
      <c r="CY12" s="4">
        <f t="shared" si="26"/>
        <v>0</v>
      </c>
      <c r="CZ12" s="4">
        <f t="shared" si="27"/>
        <v>0</v>
      </c>
      <c r="DA12" s="4">
        <f t="shared" si="28"/>
        <v>0</v>
      </c>
      <c r="DB12" s="4">
        <f t="shared" si="29"/>
        <v>0</v>
      </c>
      <c r="DC12" s="4">
        <f t="shared" si="30"/>
        <v>0</v>
      </c>
      <c r="DD12" s="4">
        <f t="shared" si="31"/>
        <v>0</v>
      </c>
      <c r="DE12" s="4">
        <f t="shared" si="32"/>
        <v>0</v>
      </c>
      <c r="DF12" s="10">
        <f t="shared" si="33"/>
        <v>0</v>
      </c>
      <c r="DG12" s="10">
        <f t="shared" si="35"/>
        <v>0</v>
      </c>
      <c r="DH12" s="4">
        <f t="shared" si="36"/>
        <v>0</v>
      </c>
      <c r="DI12" s="4">
        <f t="shared" si="37"/>
        <v>0</v>
      </c>
      <c r="DJ12" s="4">
        <f t="shared" si="38"/>
        <v>0</v>
      </c>
      <c r="DK12" s="4">
        <f t="shared" si="39"/>
        <v>0</v>
      </c>
    </row>
    <row r="13" spans="1:115" x14ac:dyDescent="0.25">
      <c r="A13" s="12">
        <v>44681</v>
      </c>
      <c r="B13" s="14">
        <v>302</v>
      </c>
      <c r="C13" s="8">
        <v>279.52</v>
      </c>
      <c r="D13" s="18">
        <f t="shared" si="7"/>
        <v>-7.4437086092715293E-2</v>
      </c>
      <c r="E13" s="9">
        <v>0</v>
      </c>
      <c r="F13" s="10">
        <v>0</v>
      </c>
      <c r="G13" s="18">
        <v>0</v>
      </c>
      <c r="H13" s="9">
        <v>0</v>
      </c>
      <c r="I13" s="10">
        <v>0</v>
      </c>
      <c r="J13" s="18">
        <v>0</v>
      </c>
      <c r="K13" s="9">
        <v>0</v>
      </c>
      <c r="L13" s="10">
        <v>0</v>
      </c>
      <c r="M13" s="18">
        <v>0</v>
      </c>
      <c r="N13" s="9">
        <v>0</v>
      </c>
      <c r="O13" s="10">
        <v>0</v>
      </c>
      <c r="P13" s="18">
        <v>0</v>
      </c>
      <c r="Q13" s="9">
        <v>0</v>
      </c>
      <c r="R13" s="10">
        <v>0</v>
      </c>
      <c r="S13" s="18">
        <v>0</v>
      </c>
      <c r="T13" s="9">
        <v>0</v>
      </c>
      <c r="U13" s="10">
        <v>0</v>
      </c>
      <c r="V13" s="18">
        <v>0</v>
      </c>
      <c r="W13" s="9">
        <v>0</v>
      </c>
      <c r="X13" s="10">
        <v>0</v>
      </c>
      <c r="Y13" s="18">
        <v>0</v>
      </c>
      <c r="Z13" s="10">
        <v>0</v>
      </c>
      <c r="AA13" s="10">
        <v>0</v>
      </c>
      <c r="AB13" s="18">
        <v>0</v>
      </c>
      <c r="AC13" s="9">
        <v>0</v>
      </c>
      <c r="AD13" s="10">
        <v>0</v>
      </c>
      <c r="AE13" s="18">
        <v>0</v>
      </c>
      <c r="AF13" s="9">
        <v>0</v>
      </c>
      <c r="AG13" s="10">
        <v>0</v>
      </c>
      <c r="AH13" s="18">
        <v>0</v>
      </c>
      <c r="AI13" s="9">
        <v>0</v>
      </c>
      <c r="AJ13" s="10">
        <v>0</v>
      </c>
      <c r="AK13" s="18">
        <v>0</v>
      </c>
      <c r="AL13" s="9">
        <v>0</v>
      </c>
      <c r="AM13" s="10">
        <v>0</v>
      </c>
      <c r="AN13" s="18">
        <v>0</v>
      </c>
      <c r="AO13" s="9">
        <v>0</v>
      </c>
      <c r="AP13" s="10">
        <v>0</v>
      </c>
      <c r="AQ13" s="18">
        <v>0</v>
      </c>
      <c r="AR13" s="9">
        <v>0</v>
      </c>
      <c r="AS13" s="10">
        <v>0</v>
      </c>
      <c r="AT13" s="18">
        <v>0</v>
      </c>
      <c r="AU13" s="9">
        <v>0</v>
      </c>
      <c r="AV13" s="10">
        <v>0</v>
      </c>
      <c r="AW13" s="18">
        <v>0</v>
      </c>
      <c r="AX13" s="9">
        <v>0</v>
      </c>
      <c r="AY13" s="10">
        <v>0</v>
      </c>
      <c r="AZ13" s="18">
        <v>0</v>
      </c>
      <c r="BA13" s="9">
        <v>0</v>
      </c>
      <c r="BB13" s="10">
        <v>0</v>
      </c>
      <c r="BC13" s="18">
        <v>0</v>
      </c>
      <c r="BD13" s="9">
        <v>0</v>
      </c>
      <c r="BE13" s="10">
        <v>0</v>
      </c>
      <c r="BF13" s="18">
        <v>0</v>
      </c>
      <c r="BG13" s="9">
        <v>0</v>
      </c>
      <c r="BH13" s="10">
        <v>0</v>
      </c>
      <c r="BI13" s="18">
        <v>0</v>
      </c>
      <c r="BJ13" s="9">
        <v>0</v>
      </c>
      <c r="BK13" s="10">
        <v>0</v>
      </c>
      <c r="BL13" s="18">
        <v>0</v>
      </c>
      <c r="BM13" s="9">
        <v>0</v>
      </c>
      <c r="BN13" s="10">
        <v>0</v>
      </c>
      <c r="BO13" s="18">
        <v>0</v>
      </c>
      <c r="BP13" s="17"/>
      <c r="BQ13" s="16">
        <f t="shared" si="8"/>
        <v>44681</v>
      </c>
      <c r="BR13" s="10">
        <f t="shared" si="0"/>
        <v>302</v>
      </c>
      <c r="BS13" s="4">
        <f t="shared" si="40"/>
        <v>10</v>
      </c>
      <c r="BT13" s="10">
        <f t="shared" si="1"/>
        <v>279.52</v>
      </c>
      <c r="BU13" s="4">
        <f t="shared" si="9"/>
        <v>-22.480000000000018</v>
      </c>
      <c r="BV13" s="20">
        <f t="shared" si="10"/>
        <v>-7.4437086092715293E-2</v>
      </c>
      <c r="BW13" s="4">
        <f t="shared" si="42"/>
        <v>-11.060000000000002</v>
      </c>
      <c r="BX13" s="17"/>
      <c r="BY13" s="16">
        <f t="shared" si="2"/>
        <v>44681</v>
      </c>
      <c r="BZ13" s="10">
        <f t="shared" si="3"/>
        <v>0</v>
      </c>
      <c r="CA13" s="4">
        <f t="shared" si="41"/>
        <v>0</v>
      </c>
      <c r="CB13" s="10">
        <f t="shared" si="34"/>
        <v>0</v>
      </c>
      <c r="CC13" s="4">
        <f t="shared" si="11"/>
        <v>0</v>
      </c>
      <c r="CD13" s="20">
        <v>0</v>
      </c>
      <c r="CE13" s="4">
        <f t="shared" si="43"/>
        <v>0</v>
      </c>
      <c r="CF13" s="17"/>
      <c r="CG13" s="16">
        <f t="shared" si="5"/>
        <v>44681</v>
      </c>
      <c r="CH13" s="10">
        <f t="shared" si="12"/>
        <v>302</v>
      </c>
      <c r="CI13" s="10">
        <f t="shared" si="13"/>
        <v>10</v>
      </c>
      <c r="CJ13" s="10">
        <f t="shared" si="14"/>
        <v>279.52</v>
      </c>
      <c r="CK13" s="4">
        <f t="shared" si="15"/>
        <v>-22.480000000000018</v>
      </c>
      <c r="CL13" s="20">
        <v>0</v>
      </c>
      <c r="CM13" s="4">
        <f t="shared" si="44"/>
        <v>-11.060000000000002</v>
      </c>
      <c r="CO13" s="16">
        <f t="shared" si="6"/>
        <v>44681</v>
      </c>
      <c r="CP13" s="4">
        <f t="shared" si="17"/>
        <v>-11.060000000000002</v>
      </c>
      <c r="CQ13" s="4">
        <f t="shared" si="18"/>
        <v>0</v>
      </c>
      <c r="CR13" s="4">
        <f t="shared" si="19"/>
        <v>0</v>
      </c>
      <c r="CS13" s="4">
        <f t="shared" si="20"/>
        <v>0</v>
      </c>
      <c r="CT13" s="4">
        <f t="shared" si="21"/>
        <v>0</v>
      </c>
      <c r="CU13" s="4">
        <f t="shared" si="22"/>
        <v>0</v>
      </c>
      <c r="CV13" s="4">
        <f t="shared" si="23"/>
        <v>0</v>
      </c>
      <c r="CW13" s="4">
        <f t="shared" si="24"/>
        <v>0</v>
      </c>
      <c r="CX13" s="4">
        <f t="shared" si="25"/>
        <v>0</v>
      </c>
      <c r="CY13" s="4">
        <f t="shared" si="26"/>
        <v>0</v>
      </c>
      <c r="CZ13" s="4">
        <f t="shared" si="27"/>
        <v>0</v>
      </c>
      <c r="DA13" s="4">
        <f t="shared" si="28"/>
        <v>0</v>
      </c>
      <c r="DB13" s="4">
        <f t="shared" si="29"/>
        <v>0</v>
      </c>
      <c r="DC13" s="4">
        <f t="shared" si="30"/>
        <v>0</v>
      </c>
      <c r="DD13" s="4">
        <f t="shared" si="31"/>
        <v>0</v>
      </c>
      <c r="DE13" s="4">
        <f t="shared" si="32"/>
        <v>0</v>
      </c>
      <c r="DF13" s="10">
        <f t="shared" si="33"/>
        <v>0</v>
      </c>
      <c r="DG13" s="10">
        <f t="shared" si="35"/>
        <v>0</v>
      </c>
      <c r="DH13" s="4">
        <f t="shared" si="36"/>
        <v>0</v>
      </c>
      <c r="DI13" s="4">
        <f t="shared" si="37"/>
        <v>0</v>
      </c>
      <c r="DJ13" s="4">
        <f t="shared" si="38"/>
        <v>0</v>
      </c>
      <c r="DK13" s="4">
        <f t="shared" si="39"/>
        <v>0</v>
      </c>
    </row>
    <row r="14" spans="1:115" x14ac:dyDescent="0.25">
      <c r="A14" s="12">
        <v>44712</v>
      </c>
      <c r="B14" s="14">
        <v>312</v>
      </c>
      <c r="C14" s="8">
        <v>285.89</v>
      </c>
      <c r="D14" s="18">
        <f t="shared" si="7"/>
        <v>-8.368589743589748E-2</v>
      </c>
      <c r="E14" s="9">
        <v>0</v>
      </c>
      <c r="F14" s="10">
        <v>0</v>
      </c>
      <c r="G14" s="18">
        <v>0</v>
      </c>
      <c r="H14" s="9">
        <v>0</v>
      </c>
      <c r="I14" s="10">
        <v>0</v>
      </c>
      <c r="J14" s="18">
        <v>0</v>
      </c>
      <c r="K14" s="9">
        <v>0</v>
      </c>
      <c r="L14" s="10">
        <v>0</v>
      </c>
      <c r="M14" s="18">
        <v>0</v>
      </c>
      <c r="N14" s="9">
        <v>0</v>
      </c>
      <c r="O14" s="10">
        <v>0</v>
      </c>
      <c r="P14" s="18">
        <v>0</v>
      </c>
      <c r="Q14" s="9">
        <v>0</v>
      </c>
      <c r="R14" s="10">
        <v>0</v>
      </c>
      <c r="S14" s="18">
        <v>0</v>
      </c>
      <c r="T14" s="9">
        <v>0</v>
      </c>
      <c r="U14" s="10">
        <v>0</v>
      </c>
      <c r="V14" s="18">
        <v>0</v>
      </c>
      <c r="W14" s="9">
        <v>0</v>
      </c>
      <c r="X14" s="10">
        <v>0</v>
      </c>
      <c r="Y14" s="18">
        <v>0</v>
      </c>
      <c r="Z14" s="10">
        <v>0</v>
      </c>
      <c r="AA14" s="10">
        <v>0</v>
      </c>
      <c r="AB14" s="18">
        <v>0</v>
      </c>
      <c r="AC14" s="9">
        <v>0</v>
      </c>
      <c r="AD14" s="10">
        <v>0</v>
      </c>
      <c r="AE14" s="18">
        <v>0</v>
      </c>
      <c r="AF14" s="9">
        <v>0</v>
      </c>
      <c r="AG14" s="10">
        <v>0</v>
      </c>
      <c r="AH14" s="18">
        <v>0</v>
      </c>
      <c r="AI14" s="9">
        <v>0</v>
      </c>
      <c r="AJ14" s="10">
        <v>0</v>
      </c>
      <c r="AK14" s="18">
        <v>0</v>
      </c>
      <c r="AL14" s="9">
        <v>0</v>
      </c>
      <c r="AM14" s="10">
        <v>0</v>
      </c>
      <c r="AN14" s="18">
        <v>0</v>
      </c>
      <c r="AO14" s="9">
        <v>0</v>
      </c>
      <c r="AP14" s="10">
        <v>0</v>
      </c>
      <c r="AQ14" s="18">
        <v>0</v>
      </c>
      <c r="AR14" s="9">
        <v>0</v>
      </c>
      <c r="AS14" s="10">
        <v>0</v>
      </c>
      <c r="AT14" s="18">
        <v>0</v>
      </c>
      <c r="AU14" s="9">
        <v>0</v>
      </c>
      <c r="AV14" s="10">
        <v>0</v>
      </c>
      <c r="AW14" s="18">
        <v>0</v>
      </c>
      <c r="AX14" s="9">
        <v>0</v>
      </c>
      <c r="AY14" s="10">
        <v>0</v>
      </c>
      <c r="AZ14" s="18">
        <v>0</v>
      </c>
      <c r="BA14" s="9">
        <v>0</v>
      </c>
      <c r="BB14" s="10">
        <v>0</v>
      </c>
      <c r="BC14" s="18">
        <v>0</v>
      </c>
      <c r="BD14" s="9">
        <v>0</v>
      </c>
      <c r="BE14" s="10">
        <v>0</v>
      </c>
      <c r="BF14" s="18">
        <v>0</v>
      </c>
      <c r="BG14" s="9">
        <v>0</v>
      </c>
      <c r="BH14" s="10">
        <v>0</v>
      </c>
      <c r="BI14" s="18">
        <v>0</v>
      </c>
      <c r="BJ14" s="9">
        <v>0</v>
      </c>
      <c r="BK14" s="10">
        <v>0</v>
      </c>
      <c r="BL14" s="18">
        <v>0</v>
      </c>
      <c r="BM14" s="9">
        <v>0</v>
      </c>
      <c r="BN14" s="10">
        <v>0</v>
      </c>
      <c r="BO14" s="18">
        <v>0</v>
      </c>
      <c r="BP14" s="17"/>
      <c r="BQ14" s="16">
        <f t="shared" si="8"/>
        <v>44712</v>
      </c>
      <c r="BR14" s="10">
        <f t="shared" si="0"/>
        <v>312</v>
      </c>
      <c r="BS14" s="4">
        <f t="shared" si="40"/>
        <v>10</v>
      </c>
      <c r="BT14" s="10">
        <f t="shared" si="1"/>
        <v>285.89</v>
      </c>
      <c r="BU14" s="4">
        <f t="shared" si="9"/>
        <v>-26.110000000000014</v>
      </c>
      <c r="BV14" s="20">
        <f t="shared" si="10"/>
        <v>-8.368589743589748E-2</v>
      </c>
      <c r="BW14" s="4">
        <f t="shared" si="42"/>
        <v>-3.6299999999999955</v>
      </c>
      <c r="BX14" s="17"/>
      <c r="BY14" s="16">
        <f t="shared" si="2"/>
        <v>44712</v>
      </c>
      <c r="BZ14" s="10">
        <f t="shared" si="3"/>
        <v>0</v>
      </c>
      <c r="CA14" s="4">
        <f t="shared" si="41"/>
        <v>0</v>
      </c>
      <c r="CB14" s="10">
        <f t="shared" si="34"/>
        <v>0</v>
      </c>
      <c r="CC14" s="4">
        <f t="shared" si="11"/>
        <v>0</v>
      </c>
      <c r="CD14" s="20">
        <v>0</v>
      </c>
      <c r="CE14" s="4">
        <f t="shared" si="43"/>
        <v>0</v>
      </c>
      <c r="CF14" s="17"/>
      <c r="CG14" s="16">
        <f t="shared" si="5"/>
        <v>44712</v>
      </c>
      <c r="CH14" s="10">
        <f t="shared" si="12"/>
        <v>312</v>
      </c>
      <c r="CI14" s="10">
        <f t="shared" si="13"/>
        <v>10</v>
      </c>
      <c r="CJ14" s="10">
        <f t="shared" si="14"/>
        <v>285.89</v>
      </c>
      <c r="CK14" s="4">
        <f t="shared" si="15"/>
        <v>-26.110000000000014</v>
      </c>
      <c r="CL14" s="20">
        <v>0</v>
      </c>
      <c r="CM14" s="4">
        <f t="shared" si="44"/>
        <v>-3.6299999999999955</v>
      </c>
      <c r="CO14" s="16">
        <f t="shared" si="6"/>
        <v>44712</v>
      </c>
      <c r="CP14" s="4">
        <f t="shared" si="17"/>
        <v>-3.6299999999999955</v>
      </c>
      <c r="CQ14" s="4">
        <f t="shared" si="18"/>
        <v>0</v>
      </c>
      <c r="CR14" s="4">
        <f t="shared" si="19"/>
        <v>0</v>
      </c>
      <c r="CS14" s="4">
        <f t="shared" si="20"/>
        <v>0</v>
      </c>
      <c r="CT14" s="4">
        <f t="shared" si="21"/>
        <v>0</v>
      </c>
      <c r="CU14" s="4">
        <f t="shared" si="22"/>
        <v>0</v>
      </c>
      <c r="CV14" s="4">
        <f t="shared" si="23"/>
        <v>0</v>
      </c>
      <c r="CW14" s="4">
        <f t="shared" si="24"/>
        <v>0</v>
      </c>
      <c r="CX14" s="4">
        <f t="shared" si="25"/>
        <v>0</v>
      </c>
      <c r="CY14" s="4">
        <f t="shared" si="26"/>
        <v>0</v>
      </c>
      <c r="CZ14" s="4">
        <f t="shared" si="27"/>
        <v>0</v>
      </c>
      <c r="DA14" s="4">
        <f t="shared" si="28"/>
        <v>0</v>
      </c>
      <c r="DB14" s="4">
        <f t="shared" si="29"/>
        <v>0</v>
      </c>
      <c r="DC14" s="4">
        <f t="shared" si="30"/>
        <v>0</v>
      </c>
      <c r="DD14" s="4">
        <f t="shared" si="31"/>
        <v>0</v>
      </c>
      <c r="DE14" s="4">
        <f t="shared" si="32"/>
        <v>0</v>
      </c>
      <c r="DF14" s="10">
        <f t="shared" si="33"/>
        <v>0</v>
      </c>
      <c r="DG14" s="10">
        <f t="shared" si="35"/>
        <v>0</v>
      </c>
      <c r="DH14" s="4">
        <f t="shared" si="36"/>
        <v>0</v>
      </c>
      <c r="DI14" s="4">
        <f t="shared" si="37"/>
        <v>0</v>
      </c>
      <c r="DJ14" s="4">
        <f t="shared" si="38"/>
        <v>0</v>
      </c>
      <c r="DK14" s="4">
        <f t="shared" si="39"/>
        <v>0</v>
      </c>
    </row>
    <row r="15" spans="1:115" x14ac:dyDescent="0.25">
      <c r="A15" s="12">
        <v>44742</v>
      </c>
      <c r="B15" s="14">
        <v>322</v>
      </c>
      <c r="C15" s="10">
        <v>280.10000000000002</v>
      </c>
      <c r="D15" s="18">
        <f t="shared" si="7"/>
        <v>-0.13012422360248441</v>
      </c>
      <c r="E15" s="9">
        <v>0</v>
      </c>
      <c r="F15" s="10">
        <v>0</v>
      </c>
      <c r="G15" s="18">
        <v>0</v>
      </c>
      <c r="H15" s="9">
        <v>0</v>
      </c>
      <c r="I15" s="10">
        <v>0</v>
      </c>
      <c r="J15" s="18">
        <v>0</v>
      </c>
      <c r="K15" s="9">
        <v>0</v>
      </c>
      <c r="L15" s="10">
        <v>0</v>
      </c>
      <c r="M15" s="18">
        <v>0</v>
      </c>
      <c r="N15" s="9">
        <v>0</v>
      </c>
      <c r="O15" s="10">
        <v>0</v>
      </c>
      <c r="P15" s="18">
        <v>0</v>
      </c>
      <c r="Q15" s="9">
        <v>0</v>
      </c>
      <c r="R15" s="10">
        <v>0</v>
      </c>
      <c r="S15" s="18">
        <v>0</v>
      </c>
      <c r="T15" s="9">
        <v>0</v>
      </c>
      <c r="U15" s="10">
        <v>0</v>
      </c>
      <c r="V15" s="18">
        <v>0</v>
      </c>
      <c r="W15" s="9">
        <v>0</v>
      </c>
      <c r="X15" s="10">
        <v>0</v>
      </c>
      <c r="Y15" s="18">
        <v>0</v>
      </c>
      <c r="Z15" s="10">
        <v>0</v>
      </c>
      <c r="AA15" s="10">
        <v>0</v>
      </c>
      <c r="AB15" s="18">
        <v>0</v>
      </c>
      <c r="AC15" s="9">
        <v>0</v>
      </c>
      <c r="AD15" s="10">
        <v>0</v>
      </c>
      <c r="AE15" s="18">
        <v>0</v>
      </c>
      <c r="AF15" s="9">
        <v>0</v>
      </c>
      <c r="AG15" s="10">
        <v>0</v>
      </c>
      <c r="AH15" s="18">
        <v>0</v>
      </c>
      <c r="AI15" s="9">
        <v>0</v>
      </c>
      <c r="AJ15" s="10">
        <v>0</v>
      </c>
      <c r="AK15" s="18">
        <v>0</v>
      </c>
      <c r="AL15" s="9">
        <v>0</v>
      </c>
      <c r="AM15" s="10">
        <v>0</v>
      </c>
      <c r="AN15" s="18">
        <v>0</v>
      </c>
      <c r="AO15" s="9">
        <v>0</v>
      </c>
      <c r="AP15" s="10">
        <v>0</v>
      </c>
      <c r="AQ15" s="18">
        <v>0</v>
      </c>
      <c r="AR15" s="9">
        <v>0</v>
      </c>
      <c r="AS15" s="10">
        <v>0</v>
      </c>
      <c r="AT15" s="18">
        <v>0</v>
      </c>
      <c r="AU15" s="9">
        <v>0</v>
      </c>
      <c r="AV15" s="10">
        <v>0</v>
      </c>
      <c r="AW15" s="18">
        <v>0</v>
      </c>
      <c r="AX15" s="9">
        <v>0</v>
      </c>
      <c r="AY15" s="10">
        <v>0</v>
      </c>
      <c r="AZ15" s="18">
        <v>0</v>
      </c>
      <c r="BA15" s="9">
        <v>0</v>
      </c>
      <c r="BB15" s="10">
        <v>0</v>
      </c>
      <c r="BC15" s="18">
        <v>0</v>
      </c>
      <c r="BD15" s="9">
        <v>0</v>
      </c>
      <c r="BE15" s="10">
        <v>0</v>
      </c>
      <c r="BF15" s="18">
        <v>0</v>
      </c>
      <c r="BG15" s="9">
        <v>0</v>
      </c>
      <c r="BH15" s="10">
        <v>0</v>
      </c>
      <c r="BI15" s="18">
        <v>0</v>
      </c>
      <c r="BJ15" s="9">
        <v>0</v>
      </c>
      <c r="BK15" s="10">
        <v>0</v>
      </c>
      <c r="BL15" s="18">
        <v>0</v>
      </c>
      <c r="BM15" s="9">
        <v>0</v>
      </c>
      <c r="BN15" s="10">
        <v>0</v>
      </c>
      <c r="BO15" s="18">
        <v>0</v>
      </c>
      <c r="BP15" s="17"/>
      <c r="BQ15" s="16">
        <f t="shared" si="8"/>
        <v>44742</v>
      </c>
      <c r="BR15" s="10">
        <f t="shared" si="0"/>
        <v>322</v>
      </c>
      <c r="BS15" s="4">
        <f t="shared" si="40"/>
        <v>10</v>
      </c>
      <c r="BT15" s="10">
        <f t="shared" si="1"/>
        <v>280.10000000000002</v>
      </c>
      <c r="BU15" s="4">
        <f t="shared" si="9"/>
        <v>-41.899999999999977</v>
      </c>
      <c r="BV15" s="20">
        <f t="shared" si="10"/>
        <v>-0.13012422360248441</v>
      </c>
      <c r="BW15" s="4">
        <f>BU15-BU14</f>
        <v>-15.789999999999964</v>
      </c>
      <c r="BX15" s="17"/>
      <c r="BY15" s="16">
        <f t="shared" si="2"/>
        <v>44742</v>
      </c>
      <c r="BZ15" s="10">
        <f t="shared" si="3"/>
        <v>0</v>
      </c>
      <c r="CA15" s="4">
        <f t="shared" si="41"/>
        <v>0</v>
      </c>
      <c r="CB15" s="10">
        <f t="shared" si="34"/>
        <v>0</v>
      </c>
      <c r="CC15" s="4">
        <f t="shared" si="11"/>
        <v>0</v>
      </c>
      <c r="CD15" s="20">
        <v>0</v>
      </c>
      <c r="CE15" s="4">
        <f>CC15-CC14</f>
        <v>0</v>
      </c>
      <c r="CF15" s="17"/>
      <c r="CG15" s="16">
        <f t="shared" si="5"/>
        <v>44742</v>
      </c>
      <c r="CH15" s="10">
        <f t="shared" si="12"/>
        <v>322</v>
      </c>
      <c r="CI15" s="10">
        <f t="shared" si="13"/>
        <v>10</v>
      </c>
      <c r="CJ15" s="10">
        <f t="shared" si="14"/>
        <v>280.10000000000002</v>
      </c>
      <c r="CK15" s="4">
        <f t="shared" si="15"/>
        <v>-41.899999999999977</v>
      </c>
      <c r="CL15" s="20">
        <v>0</v>
      </c>
      <c r="CM15" s="4">
        <f>CK15-CK14</f>
        <v>-15.789999999999964</v>
      </c>
      <c r="CO15" s="16">
        <f t="shared" si="6"/>
        <v>44742</v>
      </c>
      <c r="CP15" s="4">
        <f t="shared" si="17"/>
        <v>-15.789999999999964</v>
      </c>
      <c r="CQ15" s="4">
        <f t="shared" si="18"/>
        <v>0</v>
      </c>
      <c r="CR15" s="4">
        <f t="shared" si="19"/>
        <v>0</v>
      </c>
      <c r="CS15" s="4">
        <f t="shared" si="20"/>
        <v>0</v>
      </c>
      <c r="CT15" s="4">
        <f t="shared" si="21"/>
        <v>0</v>
      </c>
      <c r="CU15" s="4">
        <f t="shared" si="22"/>
        <v>0</v>
      </c>
      <c r="CV15" s="4">
        <f t="shared" si="23"/>
        <v>0</v>
      </c>
      <c r="CW15" s="4">
        <f t="shared" si="24"/>
        <v>0</v>
      </c>
      <c r="CX15" s="4">
        <f t="shared" si="25"/>
        <v>0</v>
      </c>
      <c r="CY15" s="4">
        <f t="shared" si="26"/>
        <v>0</v>
      </c>
      <c r="CZ15" s="4">
        <f t="shared" si="27"/>
        <v>0</v>
      </c>
      <c r="DA15" s="4">
        <f t="shared" si="28"/>
        <v>0</v>
      </c>
      <c r="DB15" s="4">
        <f t="shared" si="29"/>
        <v>0</v>
      </c>
      <c r="DC15" s="4">
        <f t="shared" si="30"/>
        <v>0</v>
      </c>
      <c r="DD15" s="4">
        <f t="shared" si="31"/>
        <v>0</v>
      </c>
      <c r="DE15" s="4">
        <f t="shared" si="32"/>
        <v>0</v>
      </c>
      <c r="DF15" s="10">
        <f t="shared" si="33"/>
        <v>0</v>
      </c>
      <c r="DG15" s="10">
        <f t="shared" si="35"/>
        <v>0</v>
      </c>
      <c r="DH15" s="4">
        <f t="shared" si="36"/>
        <v>0</v>
      </c>
      <c r="DI15" s="4">
        <f t="shared" si="37"/>
        <v>0</v>
      </c>
      <c r="DJ15" s="4">
        <f t="shared" si="38"/>
        <v>0</v>
      </c>
      <c r="DK15" s="4">
        <f t="shared" si="39"/>
        <v>0</v>
      </c>
    </row>
    <row r="16" spans="1:115" x14ac:dyDescent="0.25">
      <c r="A16" s="12">
        <v>44773</v>
      </c>
      <c r="B16" s="14">
        <v>332</v>
      </c>
      <c r="C16" s="8">
        <v>305.31</v>
      </c>
      <c r="D16" s="18">
        <f t="shared" si="7"/>
        <v>-8.0391566265060235E-2</v>
      </c>
      <c r="E16" s="9">
        <v>0</v>
      </c>
      <c r="F16" s="10">
        <v>0</v>
      </c>
      <c r="G16" s="18">
        <v>0</v>
      </c>
      <c r="H16" s="9">
        <v>0</v>
      </c>
      <c r="I16" s="10">
        <v>0</v>
      </c>
      <c r="J16" s="18">
        <v>0</v>
      </c>
      <c r="K16" s="9">
        <v>0</v>
      </c>
      <c r="L16" s="10">
        <v>0</v>
      </c>
      <c r="M16" s="18">
        <v>0</v>
      </c>
      <c r="N16" s="9">
        <v>0</v>
      </c>
      <c r="O16" s="10">
        <v>0</v>
      </c>
      <c r="P16" s="18">
        <v>0</v>
      </c>
      <c r="Q16" s="9">
        <v>0</v>
      </c>
      <c r="R16" s="10">
        <v>0</v>
      </c>
      <c r="S16" s="18">
        <v>0</v>
      </c>
      <c r="T16" s="9">
        <v>0</v>
      </c>
      <c r="U16" s="10">
        <v>0</v>
      </c>
      <c r="V16" s="18">
        <v>0</v>
      </c>
      <c r="W16" s="9">
        <v>0</v>
      </c>
      <c r="X16" s="10">
        <v>0</v>
      </c>
      <c r="Y16" s="18">
        <v>0</v>
      </c>
      <c r="Z16" s="10">
        <v>0</v>
      </c>
      <c r="AA16" s="10">
        <v>0</v>
      </c>
      <c r="AB16" s="18">
        <v>0</v>
      </c>
      <c r="AC16" s="9">
        <v>0</v>
      </c>
      <c r="AD16" s="10">
        <v>0</v>
      </c>
      <c r="AE16" s="18">
        <v>0</v>
      </c>
      <c r="AF16" s="9">
        <v>0</v>
      </c>
      <c r="AG16" s="10">
        <v>0</v>
      </c>
      <c r="AH16" s="18">
        <v>0</v>
      </c>
      <c r="AI16" s="9">
        <v>0</v>
      </c>
      <c r="AJ16" s="10">
        <v>0</v>
      </c>
      <c r="AK16" s="18">
        <v>0</v>
      </c>
      <c r="AL16" s="9">
        <v>0</v>
      </c>
      <c r="AM16" s="10">
        <v>0</v>
      </c>
      <c r="AN16" s="18">
        <v>0</v>
      </c>
      <c r="AO16" s="9">
        <v>0</v>
      </c>
      <c r="AP16" s="10">
        <v>0</v>
      </c>
      <c r="AQ16" s="18">
        <v>0</v>
      </c>
      <c r="AR16" s="9">
        <v>0</v>
      </c>
      <c r="AS16" s="10">
        <v>0</v>
      </c>
      <c r="AT16" s="18">
        <v>0</v>
      </c>
      <c r="AU16" s="9">
        <v>0</v>
      </c>
      <c r="AV16" s="10">
        <v>0</v>
      </c>
      <c r="AW16" s="18">
        <v>0</v>
      </c>
      <c r="AX16" s="9">
        <v>0</v>
      </c>
      <c r="AY16" s="10">
        <v>0</v>
      </c>
      <c r="AZ16" s="18">
        <v>0</v>
      </c>
      <c r="BA16" s="9">
        <v>0</v>
      </c>
      <c r="BB16" s="10">
        <v>0</v>
      </c>
      <c r="BC16" s="18">
        <v>0</v>
      </c>
      <c r="BD16" s="9">
        <v>0</v>
      </c>
      <c r="BE16" s="10">
        <v>0</v>
      </c>
      <c r="BF16" s="18">
        <v>0</v>
      </c>
      <c r="BG16" s="9">
        <v>0</v>
      </c>
      <c r="BH16" s="10">
        <v>0</v>
      </c>
      <c r="BI16" s="18">
        <v>0</v>
      </c>
      <c r="BJ16" s="9">
        <v>0</v>
      </c>
      <c r="BK16" s="10">
        <v>0</v>
      </c>
      <c r="BL16" s="18">
        <v>0</v>
      </c>
      <c r="BM16" s="9">
        <v>0</v>
      </c>
      <c r="BN16" s="10">
        <v>0</v>
      </c>
      <c r="BO16" s="18">
        <v>0</v>
      </c>
      <c r="BP16" s="17"/>
      <c r="BQ16" s="16">
        <f t="shared" si="8"/>
        <v>44773</v>
      </c>
      <c r="BR16" s="10">
        <f t="shared" si="0"/>
        <v>332</v>
      </c>
      <c r="BS16" s="4">
        <f t="shared" si="40"/>
        <v>10</v>
      </c>
      <c r="BT16" s="10">
        <f t="shared" si="1"/>
        <v>305.31</v>
      </c>
      <c r="BU16" s="4">
        <f t="shared" si="9"/>
        <v>-26.689999999999998</v>
      </c>
      <c r="BV16" s="20">
        <f t="shared" si="10"/>
        <v>-8.0391566265060235E-2</v>
      </c>
      <c r="BW16" s="4">
        <f>BU16-BU15</f>
        <v>15.20999999999998</v>
      </c>
      <c r="BX16" s="17"/>
      <c r="BY16" s="16">
        <f t="shared" si="2"/>
        <v>44773</v>
      </c>
      <c r="BZ16" s="10">
        <f t="shared" si="3"/>
        <v>0</v>
      </c>
      <c r="CA16" s="4">
        <f t="shared" si="41"/>
        <v>0</v>
      </c>
      <c r="CB16" s="10">
        <f t="shared" si="34"/>
        <v>0</v>
      </c>
      <c r="CC16" s="4">
        <f t="shared" si="11"/>
        <v>0</v>
      </c>
      <c r="CD16" s="20">
        <v>0</v>
      </c>
      <c r="CE16" s="4">
        <f>CC16-CC15</f>
        <v>0</v>
      </c>
      <c r="CF16" s="17"/>
      <c r="CG16" s="16">
        <f t="shared" si="5"/>
        <v>44773</v>
      </c>
      <c r="CH16" s="10">
        <f t="shared" si="12"/>
        <v>332</v>
      </c>
      <c r="CI16" s="10">
        <f t="shared" si="13"/>
        <v>10</v>
      </c>
      <c r="CJ16" s="10">
        <f t="shared" si="14"/>
        <v>305.31</v>
      </c>
      <c r="CK16" s="4">
        <f t="shared" si="15"/>
        <v>-26.689999999999998</v>
      </c>
      <c r="CL16" s="20">
        <v>0</v>
      </c>
      <c r="CM16" s="4">
        <f>CK16-CK15</f>
        <v>15.20999999999998</v>
      </c>
      <c r="CO16" s="16">
        <f t="shared" si="6"/>
        <v>44773</v>
      </c>
      <c r="CP16" s="4">
        <f t="shared" si="17"/>
        <v>15.20999999999998</v>
      </c>
      <c r="CQ16" s="4">
        <f t="shared" si="18"/>
        <v>0</v>
      </c>
      <c r="CR16" s="4">
        <f t="shared" si="19"/>
        <v>0</v>
      </c>
      <c r="CS16" s="4">
        <f t="shared" si="20"/>
        <v>0</v>
      </c>
      <c r="CT16" s="4">
        <f t="shared" si="21"/>
        <v>0</v>
      </c>
      <c r="CU16" s="4">
        <f t="shared" si="22"/>
        <v>0</v>
      </c>
      <c r="CV16" s="4">
        <f t="shared" si="23"/>
        <v>0</v>
      </c>
      <c r="CW16" s="4">
        <f t="shared" si="24"/>
        <v>0</v>
      </c>
      <c r="CX16" s="4">
        <f t="shared" si="25"/>
        <v>0</v>
      </c>
      <c r="CY16" s="4">
        <f t="shared" si="26"/>
        <v>0</v>
      </c>
      <c r="CZ16" s="4">
        <f t="shared" si="27"/>
        <v>0</v>
      </c>
      <c r="DA16" s="4">
        <f t="shared" si="28"/>
        <v>0</v>
      </c>
      <c r="DB16" s="4">
        <f t="shared" si="29"/>
        <v>0</v>
      </c>
      <c r="DC16" s="4">
        <f t="shared" si="30"/>
        <v>0</v>
      </c>
      <c r="DD16" s="4">
        <f t="shared" si="31"/>
        <v>0</v>
      </c>
      <c r="DE16" s="4">
        <f t="shared" si="32"/>
        <v>0</v>
      </c>
      <c r="DF16" s="10">
        <f t="shared" si="33"/>
        <v>0</v>
      </c>
      <c r="DG16" s="10">
        <f t="shared" si="35"/>
        <v>0</v>
      </c>
      <c r="DH16" s="4">
        <f t="shared" si="36"/>
        <v>0</v>
      </c>
      <c r="DI16" s="4">
        <f t="shared" si="37"/>
        <v>0</v>
      </c>
      <c r="DJ16" s="4">
        <f t="shared" si="38"/>
        <v>0</v>
      </c>
      <c r="DK16" s="4">
        <f t="shared" si="39"/>
        <v>0</v>
      </c>
    </row>
    <row r="17" spans="1:115" x14ac:dyDescent="0.25">
      <c r="A17" s="12">
        <v>44804</v>
      </c>
      <c r="B17" s="14">
        <v>342</v>
      </c>
      <c r="C17" s="8">
        <v>308.79000000000002</v>
      </c>
      <c r="D17" s="18">
        <f t="shared" si="7"/>
        <v>-9.7105263157894681E-2</v>
      </c>
      <c r="E17" s="9">
        <v>0</v>
      </c>
      <c r="F17" s="10">
        <v>0</v>
      </c>
      <c r="G17" s="18">
        <v>0</v>
      </c>
      <c r="H17" s="9">
        <v>0</v>
      </c>
      <c r="I17" s="10">
        <v>0</v>
      </c>
      <c r="J17" s="18">
        <v>0</v>
      </c>
      <c r="K17" s="9">
        <v>0</v>
      </c>
      <c r="L17" s="10">
        <v>0</v>
      </c>
      <c r="M17" s="18">
        <v>0</v>
      </c>
      <c r="N17" s="9">
        <v>0</v>
      </c>
      <c r="O17" s="10">
        <v>0</v>
      </c>
      <c r="P17" s="18">
        <v>0</v>
      </c>
      <c r="Q17" s="9">
        <v>0</v>
      </c>
      <c r="R17" s="10">
        <v>0</v>
      </c>
      <c r="S17" s="18">
        <v>0</v>
      </c>
      <c r="T17" s="9">
        <v>0</v>
      </c>
      <c r="U17" s="10">
        <v>0</v>
      </c>
      <c r="V17" s="18">
        <v>0</v>
      </c>
      <c r="W17" s="9">
        <v>0</v>
      </c>
      <c r="X17" s="10">
        <v>0</v>
      </c>
      <c r="Y17" s="18">
        <v>0</v>
      </c>
      <c r="Z17" s="10">
        <v>0</v>
      </c>
      <c r="AA17" s="10">
        <v>0</v>
      </c>
      <c r="AB17" s="18">
        <v>0</v>
      </c>
      <c r="AC17" s="9">
        <v>0</v>
      </c>
      <c r="AD17" s="10">
        <v>0</v>
      </c>
      <c r="AE17" s="18">
        <v>0</v>
      </c>
      <c r="AF17" s="9">
        <v>0</v>
      </c>
      <c r="AG17" s="10">
        <v>0</v>
      </c>
      <c r="AH17" s="18">
        <v>0</v>
      </c>
      <c r="AI17" s="9">
        <v>0</v>
      </c>
      <c r="AJ17" s="10">
        <v>0</v>
      </c>
      <c r="AK17" s="18">
        <v>0</v>
      </c>
      <c r="AL17" s="9">
        <v>0</v>
      </c>
      <c r="AM17" s="10">
        <v>0</v>
      </c>
      <c r="AN17" s="18">
        <v>0</v>
      </c>
      <c r="AO17" s="9">
        <v>0</v>
      </c>
      <c r="AP17" s="10">
        <v>0</v>
      </c>
      <c r="AQ17" s="18">
        <v>0</v>
      </c>
      <c r="AR17" s="9">
        <v>0</v>
      </c>
      <c r="AS17" s="10">
        <v>0</v>
      </c>
      <c r="AT17" s="18">
        <v>0</v>
      </c>
      <c r="AU17" s="9">
        <v>0</v>
      </c>
      <c r="AV17" s="10">
        <v>0</v>
      </c>
      <c r="AW17" s="18">
        <v>0</v>
      </c>
      <c r="AX17" s="9">
        <v>0</v>
      </c>
      <c r="AY17" s="10">
        <v>0</v>
      </c>
      <c r="AZ17" s="18">
        <v>0</v>
      </c>
      <c r="BA17" s="9">
        <v>0</v>
      </c>
      <c r="BB17" s="10">
        <v>0</v>
      </c>
      <c r="BC17" s="18">
        <v>0</v>
      </c>
      <c r="BD17" s="9">
        <v>0</v>
      </c>
      <c r="BE17" s="10">
        <v>0</v>
      </c>
      <c r="BF17" s="18">
        <v>0</v>
      </c>
      <c r="BG17" s="9">
        <v>0</v>
      </c>
      <c r="BH17" s="10">
        <v>0</v>
      </c>
      <c r="BI17" s="18">
        <v>0</v>
      </c>
      <c r="BJ17" s="9">
        <v>0</v>
      </c>
      <c r="BK17" s="10">
        <v>0</v>
      </c>
      <c r="BL17" s="18">
        <v>0</v>
      </c>
      <c r="BM17" s="9">
        <v>0</v>
      </c>
      <c r="BN17" s="10">
        <v>0</v>
      </c>
      <c r="BO17" s="18">
        <v>0</v>
      </c>
      <c r="BP17" s="17"/>
      <c r="BQ17" s="16">
        <f t="shared" si="8"/>
        <v>44804</v>
      </c>
      <c r="BR17" s="10">
        <f t="shared" si="0"/>
        <v>342</v>
      </c>
      <c r="BS17" s="4">
        <f t="shared" si="40"/>
        <v>10</v>
      </c>
      <c r="BT17" s="10">
        <f t="shared" si="1"/>
        <v>308.79000000000002</v>
      </c>
      <c r="BU17" s="4">
        <f t="shared" si="9"/>
        <v>-33.20999999999998</v>
      </c>
      <c r="BV17" s="20">
        <f t="shared" si="10"/>
        <v>-9.7105263157894681E-2</v>
      </c>
      <c r="BW17" s="4">
        <f t="shared" ref="BW17:BW23" si="45">BU17-BU16</f>
        <v>-6.5199999999999818</v>
      </c>
      <c r="BX17" s="17"/>
      <c r="BY17" s="16">
        <f t="shared" si="2"/>
        <v>44804</v>
      </c>
      <c r="BZ17" s="10">
        <f t="shared" si="3"/>
        <v>0</v>
      </c>
      <c r="CA17" s="4">
        <f t="shared" si="41"/>
        <v>0</v>
      </c>
      <c r="CB17" s="10">
        <f t="shared" si="34"/>
        <v>0</v>
      </c>
      <c r="CC17" s="4">
        <f t="shared" si="11"/>
        <v>0</v>
      </c>
      <c r="CD17" s="20">
        <v>0</v>
      </c>
      <c r="CE17" s="4">
        <f t="shared" ref="CE17:CE23" si="46">CC17-CC16</f>
        <v>0</v>
      </c>
      <c r="CF17" s="17"/>
      <c r="CG17" s="16">
        <f t="shared" si="5"/>
        <v>44804</v>
      </c>
      <c r="CH17" s="10">
        <f t="shared" si="12"/>
        <v>342</v>
      </c>
      <c r="CI17" s="10">
        <f t="shared" si="13"/>
        <v>10</v>
      </c>
      <c r="CJ17" s="10">
        <f t="shared" si="14"/>
        <v>308.79000000000002</v>
      </c>
      <c r="CK17" s="4">
        <f t="shared" si="15"/>
        <v>-33.20999999999998</v>
      </c>
      <c r="CL17" s="20">
        <v>0</v>
      </c>
      <c r="CM17" s="4">
        <f t="shared" ref="CM17:CM23" si="47">CK17-CK16</f>
        <v>-6.5199999999999818</v>
      </c>
      <c r="CO17" s="16">
        <f t="shared" si="6"/>
        <v>44804</v>
      </c>
      <c r="CP17" s="4">
        <f t="shared" si="17"/>
        <v>-6.5199999999999818</v>
      </c>
      <c r="CQ17" s="4">
        <f t="shared" si="18"/>
        <v>0</v>
      </c>
      <c r="CR17" s="4">
        <f t="shared" si="19"/>
        <v>0</v>
      </c>
      <c r="CS17" s="4">
        <f t="shared" si="20"/>
        <v>0</v>
      </c>
      <c r="CT17" s="4">
        <f t="shared" si="21"/>
        <v>0</v>
      </c>
      <c r="CU17" s="4">
        <f t="shared" si="22"/>
        <v>0</v>
      </c>
      <c r="CV17" s="4">
        <f t="shared" si="23"/>
        <v>0</v>
      </c>
      <c r="CW17" s="4">
        <f t="shared" si="24"/>
        <v>0</v>
      </c>
      <c r="CX17" s="4">
        <f t="shared" si="25"/>
        <v>0</v>
      </c>
      <c r="CY17" s="4">
        <f t="shared" si="26"/>
        <v>0</v>
      </c>
      <c r="CZ17" s="4">
        <f t="shared" si="27"/>
        <v>0</v>
      </c>
      <c r="DA17" s="4">
        <f t="shared" si="28"/>
        <v>0</v>
      </c>
      <c r="DB17" s="4">
        <f t="shared" si="29"/>
        <v>0</v>
      </c>
      <c r="DC17" s="4">
        <f t="shared" si="30"/>
        <v>0</v>
      </c>
      <c r="DD17" s="4">
        <f t="shared" si="31"/>
        <v>0</v>
      </c>
      <c r="DE17" s="4">
        <f t="shared" si="32"/>
        <v>0</v>
      </c>
      <c r="DF17" s="10">
        <f t="shared" si="33"/>
        <v>0</v>
      </c>
      <c r="DG17" s="10">
        <f t="shared" si="35"/>
        <v>0</v>
      </c>
      <c r="DH17" s="4">
        <f t="shared" si="36"/>
        <v>0</v>
      </c>
      <c r="DI17" s="4">
        <f t="shared" si="37"/>
        <v>0</v>
      </c>
      <c r="DJ17" s="4">
        <f t="shared" si="38"/>
        <v>0</v>
      </c>
      <c r="DK17" s="4">
        <f t="shared" si="39"/>
        <v>0</v>
      </c>
    </row>
    <row r="18" spans="1:115" x14ac:dyDescent="0.25">
      <c r="A18" s="12">
        <v>44834</v>
      </c>
      <c r="B18" s="14">
        <v>352</v>
      </c>
      <c r="C18" s="8">
        <v>294.64</v>
      </c>
      <c r="D18" s="18">
        <f t="shared" si="7"/>
        <v>-0.16295454545454549</v>
      </c>
      <c r="E18" s="9">
        <v>0</v>
      </c>
      <c r="F18" s="10">
        <v>0</v>
      </c>
      <c r="G18" s="18">
        <v>0</v>
      </c>
      <c r="H18" s="9">
        <v>0</v>
      </c>
      <c r="I18" s="10">
        <v>0</v>
      </c>
      <c r="J18" s="18">
        <v>0</v>
      </c>
      <c r="K18" s="9">
        <v>0</v>
      </c>
      <c r="L18" s="10">
        <v>0</v>
      </c>
      <c r="M18" s="18">
        <v>0</v>
      </c>
      <c r="N18" s="9">
        <v>0</v>
      </c>
      <c r="O18" s="10">
        <v>0</v>
      </c>
      <c r="P18" s="18">
        <v>0</v>
      </c>
      <c r="Q18" s="9">
        <v>0</v>
      </c>
      <c r="R18" s="10">
        <v>0</v>
      </c>
      <c r="S18" s="18">
        <v>0</v>
      </c>
      <c r="T18" s="9">
        <v>0</v>
      </c>
      <c r="U18" s="10">
        <v>0</v>
      </c>
      <c r="V18" s="18">
        <v>0</v>
      </c>
      <c r="W18" s="9">
        <v>0</v>
      </c>
      <c r="X18" s="10">
        <v>0</v>
      </c>
      <c r="Y18" s="18">
        <v>0</v>
      </c>
      <c r="Z18" s="10">
        <v>0</v>
      </c>
      <c r="AA18" s="10">
        <v>0</v>
      </c>
      <c r="AB18" s="18">
        <v>0</v>
      </c>
      <c r="AC18" s="9">
        <v>0</v>
      </c>
      <c r="AD18" s="10">
        <v>0</v>
      </c>
      <c r="AE18" s="18">
        <v>0</v>
      </c>
      <c r="AF18" s="9">
        <v>0</v>
      </c>
      <c r="AG18" s="10">
        <v>0</v>
      </c>
      <c r="AH18" s="18">
        <v>0</v>
      </c>
      <c r="AI18" s="9">
        <v>0</v>
      </c>
      <c r="AJ18" s="10">
        <v>0</v>
      </c>
      <c r="AK18" s="18">
        <v>0</v>
      </c>
      <c r="AL18" s="9">
        <v>0</v>
      </c>
      <c r="AM18" s="10">
        <v>0</v>
      </c>
      <c r="AN18" s="18">
        <v>0</v>
      </c>
      <c r="AO18" s="9">
        <v>0</v>
      </c>
      <c r="AP18" s="10">
        <v>0</v>
      </c>
      <c r="AQ18" s="18">
        <v>0</v>
      </c>
      <c r="AR18" s="9">
        <v>0</v>
      </c>
      <c r="AS18" s="10">
        <v>0</v>
      </c>
      <c r="AT18" s="18">
        <v>0</v>
      </c>
      <c r="AU18" s="9">
        <v>0</v>
      </c>
      <c r="AV18" s="10">
        <v>0</v>
      </c>
      <c r="AW18" s="18">
        <v>0</v>
      </c>
      <c r="AX18" s="9">
        <v>0</v>
      </c>
      <c r="AY18" s="10">
        <v>0</v>
      </c>
      <c r="AZ18" s="18">
        <v>0</v>
      </c>
      <c r="BA18" s="9">
        <v>0</v>
      </c>
      <c r="BB18" s="10">
        <v>0</v>
      </c>
      <c r="BC18" s="18">
        <v>0</v>
      </c>
      <c r="BD18" s="9">
        <v>0</v>
      </c>
      <c r="BE18" s="10">
        <v>0</v>
      </c>
      <c r="BF18" s="18">
        <v>0</v>
      </c>
      <c r="BG18" s="9">
        <v>0</v>
      </c>
      <c r="BH18" s="10">
        <v>0</v>
      </c>
      <c r="BI18" s="18">
        <v>0</v>
      </c>
      <c r="BJ18" s="9">
        <v>0</v>
      </c>
      <c r="BK18" s="10">
        <v>0</v>
      </c>
      <c r="BL18" s="18">
        <v>0</v>
      </c>
      <c r="BM18" s="9">
        <v>0</v>
      </c>
      <c r="BN18" s="10">
        <v>0</v>
      </c>
      <c r="BO18" s="18">
        <v>0</v>
      </c>
      <c r="BP18" s="17"/>
      <c r="BQ18" s="16">
        <f t="shared" si="8"/>
        <v>44834</v>
      </c>
      <c r="BR18" s="10">
        <f t="shared" si="0"/>
        <v>352</v>
      </c>
      <c r="BS18" s="4">
        <f t="shared" si="40"/>
        <v>10</v>
      </c>
      <c r="BT18" s="10">
        <f t="shared" si="1"/>
        <v>294.64</v>
      </c>
      <c r="BU18" s="4">
        <f t="shared" si="9"/>
        <v>-57.360000000000014</v>
      </c>
      <c r="BV18" s="20">
        <f t="shared" si="10"/>
        <v>-0.16295454545454549</v>
      </c>
      <c r="BW18" s="4">
        <f t="shared" si="45"/>
        <v>-24.150000000000034</v>
      </c>
      <c r="BX18" s="17"/>
      <c r="BY18" s="16">
        <f t="shared" si="2"/>
        <v>44834</v>
      </c>
      <c r="BZ18" s="10">
        <f t="shared" si="3"/>
        <v>0</v>
      </c>
      <c r="CA18" s="4">
        <f t="shared" si="41"/>
        <v>0</v>
      </c>
      <c r="CB18" s="10">
        <f t="shared" si="34"/>
        <v>0</v>
      </c>
      <c r="CC18" s="4">
        <f t="shared" si="11"/>
        <v>0</v>
      </c>
      <c r="CD18" s="20">
        <v>0</v>
      </c>
      <c r="CE18" s="4">
        <f t="shared" si="46"/>
        <v>0</v>
      </c>
      <c r="CF18" s="17"/>
      <c r="CG18" s="16">
        <f t="shared" si="5"/>
        <v>44834</v>
      </c>
      <c r="CH18" s="10">
        <f t="shared" si="12"/>
        <v>352</v>
      </c>
      <c r="CI18" s="10">
        <f t="shared" si="13"/>
        <v>10</v>
      </c>
      <c r="CJ18" s="10">
        <f t="shared" si="14"/>
        <v>294.64</v>
      </c>
      <c r="CK18" s="4">
        <f t="shared" si="15"/>
        <v>-57.360000000000014</v>
      </c>
      <c r="CL18" s="20">
        <v>0</v>
      </c>
      <c r="CM18" s="4">
        <f t="shared" si="47"/>
        <v>-24.150000000000034</v>
      </c>
      <c r="CO18" s="16">
        <f t="shared" si="6"/>
        <v>44834</v>
      </c>
      <c r="CP18" s="4">
        <f t="shared" si="17"/>
        <v>-24.150000000000034</v>
      </c>
      <c r="CQ18" s="4">
        <f t="shared" si="18"/>
        <v>0</v>
      </c>
      <c r="CR18" s="4">
        <f t="shared" si="19"/>
        <v>0</v>
      </c>
      <c r="CS18" s="4">
        <f t="shared" si="20"/>
        <v>0</v>
      </c>
      <c r="CT18" s="4">
        <f t="shared" si="21"/>
        <v>0</v>
      </c>
      <c r="CU18" s="4">
        <f t="shared" si="22"/>
        <v>0</v>
      </c>
      <c r="CV18" s="4">
        <f t="shared" si="23"/>
        <v>0</v>
      </c>
      <c r="CW18" s="4">
        <f t="shared" si="24"/>
        <v>0</v>
      </c>
      <c r="CX18" s="4">
        <f t="shared" si="25"/>
        <v>0</v>
      </c>
      <c r="CY18" s="4">
        <f t="shared" si="26"/>
        <v>0</v>
      </c>
      <c r="CZ18" s="4">
        <f t="shared" si="27"/>
        <v>0</v>
      </c>
      <c r="DA18" s="4">
        <f t="shared" si="28"/>
        <v>0</v>
      </c>
      <c r="DB18" s="4">
        <f t="shared" si="29"/>
        <v>0</v>
      </c>
      <c r="DC18" s="4">
        <f t="shared" si="30"/>
        <v>0</v>
      </c>
      <c r="DD18" s="4">
        <f t="shared" si="31"/>
        <v>0</v>
      </c>
      <c r="DE18" s="4">
        <f t="shared" si="32"/>
        <v>0</v>
      </c>
      <c r="DF18" s="10">
        <f t="shared" si="33"/>
        <v>0</v>
      </c>
      <c r="DG18" s="10">
        <f t="shared" si="35"/>
        <v>0</v>
      </c>
      <c r="DH18" s="4">
        <f t="shared" si="36"/>
        <v>0</v>
      </c>
      <c r="DI18" s="4">
        <f t="shared" si="37"/>
        <v>0</v>
      </c>
      <c r="DJ18" s="4">
        <f t="shared" si="38"/>
        <v>0</v>
      </c>
      <c r="DK18" s="4">
        <f t="shared" si="39"/>
        <v>0</v>
      </c>
    </row>
    <row r="19" spans="1:115" x14ac:dyDescent="0.25">
      <c r="A19" s="12">
        <v>44865</v>
      </c>
      <c r="B19" s="14">
        <v>362</v>
      </c>
      <c r="C19" s="8">
        <v>314.55</v>
      </c>
      <c r="D19" s="18">
        <f t="shared" si="7"/>
        <v>-0.13107734806629831</v>
      </c>
      <c r="E19" s="9">
        <v>0</v>
      </c>
      <c r="F19" s="10">
        <v>0</v>
      </c>
      <c r="G19" s="18">
        <v>0</v>
      </c>
      <c r="H19" s="9">
        <v>0</v>
      </c>
      <c r="I19" s="10">
        <v>0</v>
      </c>
      <c r="J19" s="18">
        <v>0</v>
      </c>
      <c r="K19" s="9">
        <v>0</v>
      </c>
      <c r="L19" s="10">
        <v>0</v>
      </c>
      <c r="M19" s="18">
        <v>0</v>
      </c>
      <c r="N19" s="9">
        <v>0</v>
      </c>
      <c r="O19" s="10">
        <v>0</v>
      </c>
      <c r="P19" s="18">
        <v>0</v>
      </c>
      <c r="Q19" s="9">
        <v>0</v>
      </c>
      <c r="R19" s="10">
        <v>0</v>
      </c>
      <c r="S19" s="18">
        <v>0</v>
      </c>
      <c r="T19" s="9">
        <v>0</v>
      </c>
      <c r="U19" s="10">
        <v>0</v>
      </c>
      <c r="V19" s="18">
        <v>0</v>
      </c>
      <c r="W19" s="9">
        <v>0</v>
      </c>
      <c r="X19" s="10">
        <v>0</v>
      </c>
      <c r="Y19" s="18">
        <v>0</v>
      </c>
      <c r="Z19" s="10">
        <v>0</v>
      </c>
      <c r="AA19" s="10">
        <v>0</v>
      </c>
      <c r="AB19" s="18">
        <v>0</v>
      </c>
      <c r="AC19" s="9">
        <v>0</v>
      </c>
      <c r="AD19" s="10">
        <v>0</v>
      </c>
      <c r="AE19" s="18">
        <v>0</v>
      </c>
      <c r="AF19" s="9">
        <v>0</v>
      </c>
      <c r="AG19" s="10">
        <v>0</v>
      </c>
      <c r="AH19" s="18">
        <v>0</v>
      </c>
      <c r="AI19" s="9">
        <v>0</v>
      </c>
      <c r="AJ19" s="10">
        <v>0</v>
      </c>
      <c r="AK19" s="18">
        <v>0</v>
      </c>
      <c r="AL19" s="9">
        <v>0</v>
      </c>
      <c r="AM19" s="10">
        <v>0</v>
      </c>
      <c r="AN19" s="18">
        <v>0</v>
      </c>
      <c r="AO19" s="9">
        <v>0</v>
      </c>
      <c r="AP19" s="10">
        <v>0</v>
      </c>
      <c r="AQ19" s="18">
        <v>0</v>
      </c>
      <c r="AR19" s="9">
        <v>0</v>
      </c>
      <c r="AS19" s="10">
        <v>0</v>
      </c>
      <c r="AT19" s="18">
        <v>0</v>
      </c>
      <c r="AU19" s="9">
        <v>0</v>
      </c>
      <c r="AV19" s="10">
        <v>0</v>
      </c>
      <c r="AW19" s="18">
        <v>0</v>
      </c>
      <c r="AX19" s="9">
        <v>0</v>
      </c>
      <c r="AY19" s="10">
        <v>0</v>
      </c>
      <c r="AZ19" s="18">
        <v>0</v>
      </c>
      <c r="BA19" s="9">
        <v>0</v>
      </c>
      <c r="BB19" s="10">
        <v>0</v>
      </c>
      <c r="BC19" s="18">
        <v>0</v>
      </c>
      <c r="BD19" s="9">
        <v>0</v>
      </c>
      <c r="BE19" s="10">
        <v>0</v>
      </c>
      <c r="BF19" s="18">
        <v>0</v>
      </c>
      <c r="BG19" s="9">
        <v>0</v>
      </c>
      <c r="BH19" s="10">
        <v>0</v>
      </c>
      <c r="BI19" s="18">
        <v>0</v>
      </c>
      <c r="BJ19" s="9">
        <v>0</v>
      </c>
      <c r="BK19" s="10">
        <v>0</v>
      </c>
      <c r="BL19" s="18">
        <v>0</v>
      </c>
      <c r="BM19" s="9">
        <v>0</v>
      </c>
      <c r="BN19" s="10">
        <v>0</v>
      </c>
      <c r="BO19" s="18">
        <v>0</v>
      </c>
      <c r="BP19" s="17"/>
      <c r="BQ19" s="16">
        <f t="shared" si="8"/>
        <v>44865</v>
      </c>
      <c r="BR19" s="10">
        <f t="shared" si="0"/>
        <v>362</v>
      </c>
      <c r="BS19" s="4">
        <f t="shared" si="40"/>
        <v>10</v>
      </c>
      <c r="BT19" s="10">
        <f t="shared" si="1"/>
        <v>314.55</v>
      </c>
      <c r="BU19" s="4">
        <f t="shared" si="9"/>
        <v>-47.449999999999989</v>
      </c>
      <c r="BV19" s="20">
        <f t="shared" si="10"/>
        <v>-0.13107734806629831</v>
      </c>
      <c r="BW19" s="4">
        <f t="shared" si="45"/>
        <v>9.910000000000025</v>
      </c>
      <c r="BX19" s="17"/>
      <c r="BY19" s="16">
        <f t="shared" si="2"/>
        <v>44865</v>
      </c>
      <c r="BZ19" s="10">
        <f t="shared" si="3"/>
        <v>0</v>
      </c>
      <c r="CA19" s="4">
        <f t="shared" si="41"/>
        <v>0</v>
      </c>
      <c r="CB19" s="10">
        <f t="shared" si="34"/>
        <v>0</v>
      </c>
      <c r="CC19" s="4">
        <f t="shared" si="11"/>
        <v>0</v>
      </c>
      <c r="CD19" s="20">
        <v>0</v>
      </c>
      <c r="CE19" s="4">
        <f t="shared" si="46"/>
        <v>0</v>
      </c>
      <c r="CF19" s="17"/>
      <c r="CG19" s="16">
        <f t="shared" si="5"/>
        <v>44865</v>
      </c>
      <c r="CH19" s="10">
        <f t="shared" si="12"/>
        <v>362</v>
      </c>
      <c r="CI19" s="10">
        <f t="shared" si="13"/>
        <v>10</v>
      </c>
      <c r="CJ19" s="10">
        <f t="shared" si="14"/>
        <v>314.55</v>
      </c>
      <c r="CK19" s="4">
        <f t="shared" si="15"/>
        <v>-47.449999999999989</v>
      </c>
      <c r="CL19" s="20">
        <v>0</v>
      </c>
      <c r="CM19" s="4">
        <f t="shared" si="47"/>
        <v>9.910000000000025</v>
      </c>
      <c r="CO19" s="16">
        <f t="shared" si="6"/>
        <v>44865</v>
      </c>
      <c r="CP19" s="4">
        <f t="shared" si="17"/>
        <v>9.910000000000025</v>
      </c>
      <c r="CQ19" s="4">
        <f t="shared" si="18"/>
        <v>0</v>
      </c>
      <c r="CR19" s="4">
        <f t="shared" si="19"/>
        <v>0</v>
      </c>
      <c r="CS19" s="4">
        <f t="shared" si="20"/>
        <v>0</v>
      </c>
      <c r="CT19" s="4">
        <f t="shared" si="21"/>
        <v>0</v>
      </c>
      <c r="CU19" s="4">
        <f t="shared" si="22"/>
        <v>0</v>
      </c>
      <c r="CV19" s="4">
        <f t="shared" si="23"/>
        <v>0</v>
      </c>
      <c r="CW19" s="4">
        <f t="shared" si="24"/>
        <v>0</v>
      </c>
      <c r="CX19" s="4">
        <f t="shared" si="25"/>
        <v>0</v>
      </c>
      <c r="CY19" s="4">
        <f t="shared" si="26"/>
        <v>0</v>
      </c>
      <c r="CZ19" s="4">
        <f t="shared" si="27"/>
        <v>0</v>
      </c>
      <c r="DA19" s="4">
        <f t="shared" si="28"/>
        <v>0</v>
      </c>
      <c r="DB19" s="4">
        <f t="shared" si="29"/>
        <v>0</v>
      </c>
      <c r="DC19" s="4">
        <f t="shared" si="30"/>
        <v>0</v>
      </c>
      <c r="DD19" s="4">
        <f t="shared" si="31"/>
        <v>0</v>
      </c>
      <c r="DE19" s="4">
        <f t="shared" si="32"/>
        <v>0</v>
      </c>
      <c r="DF19" s="10">
        <f t="shared" si="33"/>
        <v>0</v>
      </c>
      <c r="DG19" s="10">
        <f t="shared" si="35"/>
        <v>0</v>
      </c>
      <c r="DH19" s="4">
        <f t="shared" si="36"/>
        <v>0</v>
      </c>
      <c r="DI19" s="4">
        <f t="shared" si="37"/>
        <v>0</v>
      </c>
      <c r="DJ19" s="4">
        <f t="shared" si="38"/>
        <v>0</v>
      </c>
      <c r="DK19" s="4">
        <f t="shared" si="39"/>
        <v>0</v>
      </c>
    </row>
    <row r="20" spans="1:115" x14ac:dyDescent="0.25">
      <c r="A20" s="12">
        <v>44895</v>
      </c>
      <c r="B20" s="14">
        <v>372</v>
      </c>
      <c r="C20" s="10">
        <v>332.1</v>
      </c>
      <c r="D20" s="18">
        <f t="shared" si="7"/>
        <v>-0.10725806451612897</v>
      </c>
      <c r="E20" s="9">
        <v>0</v>
      </c>
      <c r="F20" s="10">
        <v>0</v>
      </c>
      <c r="G20" s="18">
        <v>0</v>
      </c>
      <c r="H20" s="9">
        <v>0</v>
      </c>
      <c r="I20" s="10">
        <v>0</v>
      </c>
      <c r="J20" s="18">
        <v>0</v>
      </c>
      <c r="K20" s="9">
        <v>0</v>
      </c>
      <c r="L20" s="10">
        <v>0</v>
      </c>
      <c r="M20" s="18">
        <v>0</v>
      </c>
      <c r="N20" s="9">
        <v>0</v>
      </c>
      <c r="O20" s="10">
        <v>0</v>
      </c>
      <c r="P20" s="18">
        <v>0</v>
      </c>
      <c r="Q20" s="9">
        <v>0</v>
      </c>
      <c r="R20" s="10">
        <v>0</v>
      </c>
      <c r="S20" s="18">
        <v>0</v>
      </c>
      <c r="T20" s="9">
        <v>0</v>
      </c>
      <c r="U20" s="10">
        <v>0</v>
      </c>
      <c r="V20" s="18">
        <v>0</v>
      </c>
      <c r="W20" s="9">
        <v>0</v>
      </c>
      <c r="X20" s="10">
        <v>0</v>
      </c>
      <c r="Y20" s="18">
        <v>0</v>
      </c>
      <c r="Z20" s="10">
        <v>0</v>
      </c>
      <c r="AA20" s="10">
        <v>0</v>
      </c>
      <c r="AB20" s="18">
        <v>0</v>
      </c>
      <c r="AC20" s="9">
        <v>0</v>
      </c>
      <c r="AD20" s="10">
        <v>0</v>
      </c>
      <c r="AE20" s="18">
        <v>0</v>
      </c>
      <c r="AF20" s="9">
        <v>0</v>
      </c>
      <c r="AG20" s="10">
        <v>0</v>
      </c>
      <c r="AH20" s="18">
        <v>0</v>
      </c>
      <c r="AI20" s="9">
        <v>0</v>
      </c>
      <c r="AJ20" s="10">
        <v>0</v>
      </c>
      <c r="AK20" s="18">
        <v>0</v>
      </c>
      <c r="AL20" s="9">
        <v>0</v>
      </c>
      <c r="AM20" s="10">
        <v>0</v>
      </c>
      <c r="AN20" s="18">
        <v>0</v>
      </c>
      <c r="AO20" s="9">
        <v>0</v>
      </c>
      <c r="AP20" s="10">
        <v>0</v>
      </c>
      <c r="AQ20" s="18">
        <v>0</v>
      </c>
      <c r="AR20" s="9">
        <v>0</v>
      </c>
      <c r="AS20" s="10">
        <v>0</v>
      </c>
      <c r="AT20" s="18">
        <v>0</v>
      </c>
      <c r="AU20" s="9">
        <v>0</v>
      </c>
      <c r="AV20" s="10">
        <v>0</v>
      </c>
      <c r="AW20" s="18">
        <v>0</v>
      </c>
      <c r="AX20" s="9">
        <v>0</v>
      </c>
      <c r="AY20" s="10">
        <v>0</v>
      </c>
      <c r="AZ20" s="18">
        <v>0</v>
      </c>
      <c r="BA20" s="9">
        <v>0</v>
      </c>
      <c r="BB20" s="10">
        <v>0</v>
      </c>
      <c r="BC20" s="18">
        <v>0</v>
      </c>
      <c r="BD20" s="9">
        <v>0</v>
      </c>
      <c r="BE20" s="10">
        <v>0</v>
      </c>
      <c r="BF20" s="18">
        <v>0</v>
      </c>
      <c r="BG20" s="9">
        <v>0</v>
      </c>
      <c r="BH20" s="10">
        <v>0</v>
      </c>
      <c r="BI20" s="18">
        <v>0</v>
      </c>
      <c r="BJ20" s="9">
        <v>0</v>
      </c>
      <c r="BK20" s="10">
        <v>0</v>
      </c>
      <c r="BL20" s="18">
        <v>0</v>
      </c>
      <c r="BM20" s="9">
        <v>0</v>
      </c>
      <c r="BN20" s="10">
        <v>0</v>
      </c>
      <c r="BO20" s="18">
        <v>0</v>
      </c>
      <c r="BP20" s="17"/>
      <c r="BQ20" s="16">
        <f t="shared" si="8"/>
        <v>44895</v>
      </c>
      <c r="BR20" s="10">
        <f t="shared" si="0"/>
        <v>372</v>
      </c>
      <c r="BS20" s="4">
        <f t="shared" si="40"/>
        <v>10</v>
      </c>
      <c r="BT20" s="10">
        <f t="shared" si="1"/>
        <v>332.1</v>
      </c>
      <c r="BU20" s="4">
        <f t="shared" si="9"/>
        <v>-39.899999999999977</v>
      </c>
      <c r="BV20" s="20">
        <f t="shared" si="10"/>
        <v>-0.10725806451612897</v>
      </c>
      <c r="BW20" s="4">
        <f t="shared" si="45"/>
        <v>7.5500000000000114</v>
      </c>
      <c r="BX20" s="17"/>
      <c r="BY20" s="16">
        <f t="shared" si="2"/>
        <v>44895</v>
      </c>
      <c r="BZ20" s="10">
        <f t="shared" si="3"/>
        <v>0</v>
      </c>
      <c r="CA20" s="4">
        <f t="shared" si="41"/>
        <v>0</v>
      </c>
      <c r="CB20" s="10">
        <f t="shared" si="34"/>
        <v>0</v>
      </c>
      <c r="CC20" s="4">
        <f t="shared" si="11"/>
        <v>0</v>
      </c>
      <c r="CD20" s="20">
        <v>0</v>
      </c>
      <c r="CE20" s="4">
        <f t="shared" si="46"/>
        <v>0</v>
      </c>
      <c r="CF20" s="17"/>
      <c r="CG20" s="16">
        <f t="shared" si="5"/>
        <v>44895</v>
      </c>
      <c r="CH20" s="10">
        <f t="shared" si="12"/>
        <v>372</v>
      </c>
      <c r="CI20" s="10">
        <f t="shared" si="13"/>
        <v>10</v>
      </c>
      <c r="CJ20" s="10">
        <f t="shared" si="14"/>
        <v>332.1</v>
      </c>
      <c r="CK20" s="4">
        <f t="shared" si="15"/>
        <v>-39.899999999999977</v>
      </c>
      <c r="CL20" s="20">
        <v>0</v>
      </c>
      <c r="CM20" s="4">
        <f t="shared" si="47"/>
        <v>7.5500000000000114</v>
      </c>
      <c r="CO20" s="16">
        <f t="shared" si="6"/>
        <v>44895</v>
      </c>
      <c r="CP20" s="4">
        <f t="shared" si="17"/>
        <v>7.5500000000000114</v>
      </c>
      <c r="CQ20" s="4">
        <f t="shared" si="18"/>
        <v>0</v>
      </c>
      <c r="CR20" s="4">
        <f t="shared" si="19"/>
        <v>0</v>
      </c>
      <c r="CS20" s="4">
        <f t="shared" si="20"/>
        <v>0</v>
      </c>
      <c r="CT20" s="4">
        <f t="shared" si="21"/>
        <v>0</v>
      </c>
      <c r="CU20" s="4">
        <f t="shared" si="22"/>
        <v>0</v>
      </c>
      <c r="CV20" s="4">
        <f t="shared" si="23"/>
        <v>0</v>
      </c>
      <c r="CW20" s="4">
        <f t="shared" si="24"/>
        <v>0</v>
      </c>
      <c r="CX20" s="4">
        <f t="shared" si="25"/>
        <v>0</v>
      </c>
      <c r="CY20" s="4">
        <f t="shared" si="26"/>
        <v>0</v>
      </c>
      <c r="CZ20" s="4">
        <f t="shared" si="27"/>
        <v>0</v>
      </c>
      <c r="DA20" s="4">
        <f t="shared" si="28"/>
        <v>0</v>
      </c>
      <c r="DB20" s="4">
        <f t="shared" si="29"/>
        <v>0</v>
      </c>
      <c r="DC20" s="4">
        <f t="shared" si="30"/>
        <v>0</v>
      </c>
      <c r="DD20" s="4">
        <f t="shared" si="31"/>
        <v>0</v>
      </c>
      <c r="DE20" s="4">
        <f t="shared" si="32"/>
        <v>0</v>
      </c>
      <c r="DF20" s="10">
        <f t="shared" si="33"/>
        <v>0</v>
      </c>
      <c r="DG20" s="10">
        <f t="shared" si="35"/>
        <v>0</v>
      </c>
      <c r="DH20" s="4">
        <f t="shared" si="36"/>
        <v>0</v>
      </c>
      <c r="DI20" s="4">
        <f t="shared" si="37"/>
        <v>0</v>
      </c>
      <c r="DJ20" s="4">
        <f t="shared" si="38"/>
        <v>0</v>
      </c>
      <c r="DK20" s="4">
        <f t="shared" si="39"/>
        <v>0</v>
      </c>
    </row>
    <row r="21" spans="1:115" x14ac:dyDescent="0.25">
      <c r="A21" s="12">
        <v>44926</v>
      </c>
      <c r="B21" s="14">
        <v>382</v>
      </c>
      <c r="C21" s="10">
        <v>336.2</v>
      </c>
      <c r="D21" s="18">
        <f t="shared" si="7"/>
        <v>-0.11989528795811522</v>
      </c>
      <c r="E21" s="9">
        <v>0</v>
      </c>
      <c r="F21" s="10">
        <v>0</v>
      </c>
      <c r="G21" s="18">
        <v>0</v>
      </c>
      <c r="H21" s="9">
        <v>0</v>
      </c>
      <c r="I21" s="10">
        <v>0</v>
      </c>
      <c r="J21" s="18">
        <v>0</v>
      </c>
      <c r="K21" s="9">
        <v>0</v>
      </c>
      <c r="L21" s="10">
        <v>0</v>
      </c>
      <c r="M21" s="18">
        <v>0</v>
      </c>
      <c r="N21" s="9">
        <v>0</v>
      </c>
      <c r="O21" s="10">
        <v>0</v>
      </c>
      <c r="P21" s="18">
        <v>0</v>
      </c>
      <c r="Q21" s="9">
        <v>0</v>
      </c>
      <c r="R21" s="10">
        <v>0</v>
      </c>
      <c r="S21" s="18">
        <v>0</v>
      </c>
      <c r="T21" s="9">
        <v>0</v>
      </c>
      <c r="U21" s="10">
        <v>0</v>
      </c>
      <c r="V21" s="18">
        <v>0</v>
      </c>
      <c r="W21" s="9">
        <v>0</v>
      </c>
      <c r="X21" s="10">
        <v>0</v>
      </c>
      <c r="Y21" s="18">
        <v>0</v>
      </c>
      <c r="Z21" s="10">
        <v>0</v>
      </c>
      <c r="AA21" s="10">
        <v>0</v>
      </c>
      <c r="AB21" s="18">
        <v>0</v>
      </c>
      <c r="AC21" s="9">
        <v>0</v>
      </c>
      <c r="AD21" s="10">
        <v>0</v>
      </c>
      <c r="AE21" s="18">
        <v>0</v>
      </c>
      <c r="AF21" s="9">
        <v>0</v>
      </c>
      <c r="AG21" s="10">
        <v>0</v>
      </c>
      <c r="AH21" s="18">
        <v>0</v>
      </c>
      <c r="AI21" s="9">
        <v>0</v>
      </c>
      <c r="AJ21" s="10">
        <v>0</v>
      </c>
      <c r="AK21" s="18">
        <v>0</v>
      </c>
      <c r="AL21" s="9">
        <v>0</v>
      </c>
      <c r="AM21" s="10">
        <v>0</v>
      </c>
      <c r="AN21" s="18">
        <v>0</v>
      </c>
      <c r="AO21" s="9">
        <v>0</v>
      </c>
      <c r="AP21" s="10">
        <v>0</v>
      </c>
      <c r="AQ21" s="18">
        <v>0</v>
      </c>
      <c r="AR21" s="9">
        <v>0</v>
      </c>
      <c r="AS21" s="10">
        <v>0</v>
      </c>
      <c r="AT21" s="18">
        <v>0</v>
      </c>
      <c r="AU21" s="9">
        <v>0</v>
      </c>
      <c r="AV21" s="10">
        <v>0</v>
      </c>
      <c r="AW21" s="18">
        <v>0</v>
      </c>
      <c r="AX21" s="9">
        <v>0</v>
      </c>
      <c r="AY21" s="10">
        <v>0</v>
      </c>
      <c r="AZ21" s="18">
        <v>0</v>
      </c>
      <c r="BA21" s="9">
        <v>0</v>
      </c>
      <c r="BB21" s="10">
        <v>0</v>
      </c>
      <c r="BC21" s="18">
        <v>0</v>
      </c>
      <c r="BD21" s="9">
        <v>0</v>
      </c>
      <c r="BE21" s="10">
        <v>0</v>
      </c>
      <c r="BF21" s="18">
        <v>0</v>
      </c>
      <c r="BG21" s="9">
        <v>0</v>
      </c>
      <c r="BH21" s="10">
        <v>0</v>
      </c>
      <c r="BI21" s="18">
        <v>0</v>
      </c>
      <c r="BJ21" s="9">
        <v>0</v>
      </c>
      <c r="BK21" s="10">
        <v>0</v>
      </c>
      <c r="BL21" s="18">
        <v>0</v>
      </c>
      <c r="BM21" s="9">
        <v>0</v>
      </c>
      <c r="BN21" s="10">
        <v>0</v>
      </c>
      <c r="BO21" s="18">
        <v>0</v>
      </c>
      <c r="BP21" s="17"/>
      <c r="BQ21" s="16">
        <f t="shared" si="8"/>
        <v>44926</v>
      </c>
      <c r="BR21" s="10">
        <f t="shared" si="0"/>
        <v>382</v>
      </c>
      <c r="BS21" s="4">
        <f t="shared" si="40"/>
        <v>10</v>
      </c>
      <c r="BT21" s="10">
        <f t="shared" si="1"/>
        <v>336.2</v>
      </c>
      <c r="BU21" s="4">
        <f t="shared" si="9"/>
        <v>-45.800000000000011</v>
      </c>
      <c r="BV21" s="20">
        <f t="shared" si="10"/>
        <v>-0.11989528795811522</v>
      </c>
      <c r="BW21" s="4">
        <f t="shared" si="45"/>
        <v>-5.9000000000000341</v>
      </c>
      <c r="BX21" s="17"/>
      <c r="BY21" s="16">
        <f t="shared" si="2"/>
        <v>44926</v>
      </c>
      <c r="BZ21" s="10">
        <f t="shared" si="3"/>
        <v>0</v>
      </c>
      <c r="CA21" s="4">
        <f t="shared" si="41"/>
        <v>0</v>
      </c>
      <c r="CB21" s="10">
        <f t="shared" si="34"/>
        <v>0</v>
      </c>
      <c r="CC21" s="4">
        <f t="shared" si="11"/>
        <v>0</v>
      </c>
      <c r="CD21" s="20">
        <v>0</v>
      </c>
      <c r="CE21" s="4">
        <f t="shared" si="46"/>
        <v>0</v>
      </c>
      <c r="CF21" s="17"/>
      <c r="CG21" s="16">
        <f t="shared" si="5"/>
        <v>44926</v>
      </c>
      <c r="CH21" s="10">
        <f t="shared" si="12"/>
        <v>382</v>
      </c>
      <c r="CI21" s="10">
        <f t="shared" si="13"/>
        <v>10</v>
      </c>
      <c r="CJ21" s="10">
        <f t="shared" si="14"/>
        <v>336.2</v>
      </c>
      <c r="CK21" s="4">
        <f t="shared" si="15"/>
        <v>-45.800000000000011</v>
      </c>
      <c r="CL21" s="20">
        <v>0</v>
      </c>
      <c r="CM21" s="4">
        <f t="shared" si="47"/>
        <v>-5.9000000000000341</v>
      </c>
      <c r="CO21" s="16">
        <f t="shared" si="6"/>
        <v>44926</v>
      </c>
      <c r="CP21" s="4">
        <f t="shared" si="17"/>
        <v>-5.9000000000000341</v>
      </c>
      <c r="CQ21" s="4">
        <f t="shared" si="18"/>
        <v>0</v>
      </c>
      <c r="CR21" s="4">
        <f t="shared" si="19"/>
        <v>0</v>
      </c>
      <c r="CS21" s="4">
        <f t="shared" si="20"/>
        <v>0</v>
      </c>
      <c r="CT21" s="4">
        <f t="shared" si="21"/>
        <v>0</v>
      </c>
      <c r="CU21" s="4">
        <f t="shared" si="22"/>
        <v>0</v>
      </c>
      <c r="CV21" s="4">
        <f t="shared" si="23"/>
        <v>0</v>
      </c>
      <c r="CW21" s="4">
        <f t="shared" si="24"/>
        <v>0</v>
      </c>
      <c r="CX21" s="4">
        <f t="shared" si="25"/>
        <v>0</v>
      </c>
      <c r="CY21" s="4">
        <f t="shared" si="26"/>
        <v>0</v>
      </c>
      <c r="CZ21" s="4">
        <f t="shared" si="27"/>
        <v>0</v>
      </c>
      <c r="DA21" s="4">
        <f t="shared" si="28"/>
        <v>0</v>
      </c>
      <c r="DB21" s="4">
        <f t="shared" si="29"/>
        <v>0</v>
      </c>
      <c r="DC21" s="4">
        <f t="shared" si="30"/>
        <v>0</v>
      </c>
      <c r="DD21" s="4">
        <f t="shared" si="31"/>
        <v>0</v>
      </c>
      <c r="DE21" s="4">
        <f t="shared" si="32"/>
        <v>0</v>
      </c>
      <c r="DF21" s="10">
        <f t="shared" si="33"/>
        <v>0</v>
      </c>
      <c r="DG21" s="10">
        <f t="shared" si="35"/>
        <v>0</v>
      </c>
      <c r="DH21" s="4">
        <f t="shared" si="36"/>
        <v>0</v>
      </c>
      <c r="DI21" s="4">
        <f t="shared" si="37"/>
        <v>0</v>
      </c>
      <c r="DJ21" s="4">
        <f t="shared" si="38"/>
        <v>0</v>
      </c>
      <c r="DK21" s="4">
        <f t="shared" si="39"/>
        <v>0</v>
      </c>
    </row>
    <row r="22" spans="1:115" x14ac:dyDescent="0.25">
      <c r="A22" s="12">
        <v>44957</v>
      </c>
      <c r="B22" s="14">
        <v>392</v>
      </c>
      <c r="C22" s="8">
        <v>360.08</v>
      </c>
      <c r="D22" s="18">
        <f t="shared" si="7"/>
        <v>-8.1428571428571475E-2</v>
      </c>
      <c r="E22" s="9">
        <v>0</v>
      </c>
      <c r="F22" s="10">
        <v>0</v>
      </c>
      <c r="G22" s="18">
        <v>0</v>
      </c>
      <c r="H22" s="9">
        <v>0</v>
      </c>
      <c r="I22" s="10">
        <v>0</v>
      </c>
      <c r="J22" s="18">
        <v>0</v>
      </c>
      <c r="K22" s="9">
        <v>0</v>
      </c>
      <c r="L22" s="10">
        <v>0</v>
      </c>
      <c r="M22" s="18">
        <v>0</v>
      </c>
      <c r="N22" s="9">
        <v>0</v>
      </c>
      <c r="O22" s="10">
        <v>0</v>
      </c>
      <c r="P22" s="18">
        <v>0</v>
      </c>
      <c r="Q22" s="9">
        <v>0</v>
      </c>
      <c r="R22" s="10">
        <v>0</v>
      </c>
      <c r="S22" s="18">
        <v>0</v>
      </c>
      <c r="T22" s="9">
        <v>0</v>
      </c>
      <c r="U22" s="10">
        <v>0</v>
      </c>
      <c r="V22" s="18">
        <v>0</v>
      </c>
      <c r="W22" s="9">
        <v>0</v>
      </c>
      <c r="X22" s="10">
        <v>0</v>
      </c>
      <c r="Y22" s="18">
        <v>0</v>
      </c>
      <c r="Z22" s="10">
        <v>0</v>
      </c>
      <c r="AA22" s="10">
        <v>0</v>
      </c>
      <c r="AB22" s="18">
        <v>0</v>
      </c>
      <c r="AC22" s="9">
        <v>0</v>
      </c>
      <c r="AD22" s="10">
        <v>0</v>
      </c>
      <c r="AE22" s="18">
        <v>0</v>
      </c>
      <c r="AF22" s="9">
        <v>0</v>
      </c>
      <c r="AG22" s="10">
        <v>0</v>
      </c>
      <c r="AH22" s="18">
        <v>0</v>
      </c>
      <c r="AI22" s="9">
        <v>0</v>
      </c>
      <c r="AJ22" s="10">
        <v>0</v>
      </c>
      <c r="AK22" s="18">
        <v>0</v>
      </c>
      <c r="AL22" s="9">
        <v>0</v>
      </c>
      <c r="AM22" s="10">
        <v>0</v>
      </c>
      <c r="AN22" s="18">
        <v>0</v>
      </c>
      <c r="AO22" s="9">
        <v>0</v>
      </c>
      <c r="AP22" s="10">
        <v>0</v>
      </c>
      <c r="AQ22" s="18">
        <v>0</v>
      </c>
      <c r="AR22" s="9">
        <v>0</v>
      </c>
      <c r="AS22" s="10">
        <v>0</v>
      </c>
      <c r="AT22" s="18">
        <v>0</v>
      </c>
      <c r="AU22" s="9">
        <v>0</v>
      </c>
      <c r="AV22" s="10">
        <v>0</v>
      </c>
      <c r="AW22" s="18">
        <v>0</v>
      </c>
      <c r="AX22" s="9">
        <v>0</v>
      </c>
      <c r="AY22" s="10">
        <v>0</v>
      </c>
      <c r="AZ22" s="18">
        <v>0</v>
      </c>
      <c r="BA22" s="9">
        <v>0</v>
      </c>
      <c r="BB22" s="10">
        <v>0</v>
      </c>
      <c r="BC22" s="18">
        <v>0</v>
      </c>
      <c r="BD22" s="9">
        <v>0</v>
      </c>
      <c r="BE22" s="10">
        <v>0</v>
      </c>
      <c r="BF22" s="18">
        <v>0</v>
      </c>
      <c r="BG22" s="9">
        <v>0</v>
      </c>
      <c r="BH22" s="10">
        <v>0</v>
      </c>
      <c r="BI22" s="18">
        <v>0</v>
      </c>
      <c r="BJ22" s="9">
        <v>0</v>
      </c>
      <c r="BK22" s="10">
        <v>0</v>
      </c>
      <c r="BL22" s="18">
        <v>0</v>
      </c>
      <c r="BM22" s="9">
        <v>0</v>
      </c>
      <c r="BN22" s="10">
        <v>0</v>
      </c>
      <c r="BO22" s="18">
        <v>0</v>
      </c>
      <c r="BP22" s="17"/>
      <c r="BQ22" s="16">
        <f t="shared" si="8"/>
        <v>44957</v>
      </c>
      <c r="BR22" s="10">
        <f t="shared" si="0"/>
        <v>392</v>
      </c>
      <c r="BS22" s="4">
        <f t="shared" si="40"/>
        <v>10</v>
      </c>
      <c r="BT22" s="10">
        <f t="shared" si="1"/>
        <v>360.08</v>
      </c>
      <c r="BU22" s="4">
        <f t="shared" si="9"/>
        <v>-31.920000000000016</v>
      </c>
      <c r="BV22" s="20">
        <f t="shared" si="10"/>
        <v>-8.1428571428571475E-2</v>
      </c>
      <c r="BW22" s="4">
        <f t="shared" si="45"/>
        <v>13.879999999999995</v>
      </c>
      <c r="BX22" s="17"/>
      <c r="BY22" s="16">
        <f t="shared" si="2"/>
        <v>44957</v>
      </c>
      <c r="BZ22" s="10">
        <f t="shared" si="3"/>
        <v>0</v>
      </c>
      <c r="CA22" s="4">
        <f t="shared" si="41"/>
        <v>0</v>
      </c>
      <c r="CB22" s="10">
        <f t="shared" si="34"/>
        <v>0</v>
      </c>
      <c r="CC22" s="4">
        <f t="shared" si="11"/>
        <v>0</v>
      </c>
      <c r="CD22" s="20">
        <v>0</v>
      </c>
      <c r="CE22" s="4">
        <f t="shared" si="46"/>
        <v>0</v>
      </c>
      <c r="CF22" s="17"/>
      <c r="CG22" s="16">
        <f t="shared" si="5"/>
        <v>44957</v>
      </c>
      <c r="CH22" s="10">
        <f t="shared" si="12"/>
        <v>392</v>
      </c>
      <c r="CI22" s="10">
        <f t="shared" si="13"/>
        <v>10</v>
      </c>
      <c r="CJ22" s="10">
        <f t="shared" si="14"/>
        <v>360.08</v>
      </c>
      <c r="CK22" s="4">
        <f t="shared" si="15"/>
        <v>-31.920000000000016</v>
      </c>
      <c r="CL22" s="20">
        <v>0</v>
      </c>
      <c r="CM22" s="4">
        <f t="shared" si="47"/>
        <v>13.879999999999995</v>
      </c>
      <c r="CO22" s="16">
        <f t="shared" si="6"/>
        <v>44957</v>
      </c>
      <c r="CP22" s="4">
        <f t="shared" si="17"/>
        <v>13.879999999999995</v>
      </c>
      <c r="CQ22" s="4">
        <f t="shared" si="18"/>
        <v>0</v>
      </c>
      <c r="CR22" s="4">
        <f t="shared" si="19"/>
        <v>0</v>
      </c>
      <c r="CS22" s="4">
        <f t="shared" si="20"/>
        <v>0</v>
      </c>
      <c r="CT22" s="4">
        <f t="shared" si="21"/>
        <v>0</v>
      </c>
      <c r="CU22" s="4">
        <f t="shared" si="22"/>
        <v>0</v>
      </c>
      <c r="CV22" s="4">
        <f t="shared" si="23"/>
        <v>0</v>
      </c>
      <c r="CW22" s="4">
        <f t="shared" si="24"/>
        <v>0</v>
      </c>
      <c r="CX22" s="4">
        <f t="shared" si="25"/>
        <v>0</v>
      </c>
      <c r="CY22" s="4">
        <f t="shared" si="26"/>
        <v>0</v>
      </c>
      <c r="CZ22" s="4">
        <f t="shared" si="27"/>
        <v>0</v>
      </c>
      <c r="DA22" s="4">
        <f t="shared" si="28"/>
        <v>0</v>
      </c>
      <c r="DB22" s="4">
        <f t="shared" si="29"/>
        <v>0</v>
      </c>
      <c r="DC22" s="4">
        <f t="shared" si="30"/>
        <v>0</v>
      </c>
      <c r="DD22" s="4">
        <f t="shared" si="31"/>
        <v>0</v>
      </c>
      <c r="DE22" s="4">
        <f t="shared" si="32"/>
        <v>0</v>
      </c>
      <c r="DF22" s="10">
        <f t="shared" si="33"/>
        <v>0</v>
      </c>
      <c r="DG22" s="10">
        <f t="shared" si="35"/>
        <v>0</v>
      </c>
      <c r="DH22" s="4">
        <f t="shared" si="36"/>
        <v>0</v>
      </c>
      <c r="DI22" s="4">
        <f t="shared" si="37"/>
        <v>0</v>
      </c>
      <c r="DJ22" s="4">
        <f t="shared" si="38"/>
        <v>0</v>
      </c>
      <c r="DK22" s="4">
        <f t="shared" si="39"/>
        <v>0</v>
      </c>
    </row>
    <row r="23" spans="1:115" x14ac:dyDescent="0.25">
      <c r="A23" s="12">
        <v>44985</v>
      </c>
      <c r="B23" s="14">
        <v>402</v>
      </c>
      <c r="C23" s="8">
        <v>368.76</v>
      </c>
      <c r="D23" s="18">
        <f t="shared" si="7"/>
        <v>-8.2686567164179131E-2</v>
      </c>
      <c r="E23" s="9">
        <v>0</v>
      </c>
      <c r="F23" s="10">
        <v>0</v>
      </c>
      <c r="G23" s="18">
        <v>0</v>
      </c>
      <c r="H23" s="9">
        <v>0</v>
      </c>
      <c r="I23" s="10">
        <v>0</v>
      </c>
      <c r="J23" s="18">
        <v>0</v>
      </c>
      <c r="K23" s="9">
        <v>0</v>
      </c>
      <c r="L23" s="10">
        <v>0</v>
      </c>
      <c r="M23" s="18">
        <v>0</v>
      </c>
      <c r="N23" s="9">
        <v>0</v>
      </c>
      <c r="O23" s="10">
        <v>0</v>
      </c>
      <c r="P23" s="18">
        <v>0</v>
      </c>
      <c r="Q23" s="9">
        <v>0</v>
      </c>
      <c r="R23" s="10">
        <v>0</v>
      </c>
      <c r="S23" s="18">
        <v>0</v>
      </c>
      <c r="T23" s="9">
        <v>0</v>
      </c>
      <c r="U23" s="10">
        <v>0</v>
      </c>
      <c r="V23" s="18">
        <v>0</v>
      </c>
      <c r="W23" s="9">
        <v>0</v>
      </c>
      <c r="X23" s="10">
        <v>0</v>
      </c>
      <c r="Y23" s="18">
        <v>0</v>
      </c>
      <c r="Z23" s="10">
        <v>0</v>
      </c>
      <c r="AA23" s="10">
        <v>0</v>
      </c>
      <c r="AB23" s="18">
        <v>0</v>
      </c>
      <c r="AC23" s="9">
        <v>0</v>
      </c>
      <c r="AD23" s="10">
        <v>0</v>
      </c>
      <c r="AE23" s="18">
        <v>0</v>
      </c>
      <c r="AF23" s="9">
        <v>0</v>
      </c>
      <c r="AG23" s="10">
        <v>0</v>
      </c>
      <c r="AH23" s="18">
        <v>0</v>
      </c>
      <c r="AI23" s="9">
        <v>0</v>
      </c>
      <c r="AJ23" s="10">
        <v>0</v>
      </c>
      <c r="AK23" s="18">
        <v>0</v>
      </c>
      <c r="AL23" s="9">
        <v>0</v>
      </c>
      <c r="AM23" s="10">
        <v>0</v>
      </c>
      <c r="AN23" s="18">
        <v>0</v>
      </c>
      <c r="AO23" s="9">
        <v>0</v>
      </c>
      <c r="AP23" s="10">
        <v>0</v>
      </c>
      <c r="AQ23" s="18">
        <v>0</v>
      </c>
      <c r="AR23" s="9">
        <v>0</v>
      </c>
      <c r="AS23" s="10">
        <v>0</v>
      </c>
      <c r="AT23" s="18">
        <v>0</v>
      </c>
      <c r="AU23" s="9">
        <v>0</v>
      </c>
      <c r="AV23" s="10">
        <v>0</v>
      </c>
      <c r="AW23" s="18">
        <v>0</v>
      </c>
      <c r="AX23" s="9">
        <v>0</v>
      </c>
      <c r="AY23" s="10">
        <v>0</v>
      </c>
      <c r="AZ23" s="18">
        <v>0</v>
      </c>
      <c r="BA23" s="9">
        <v>0</v>
      </c>
      <c r="BB23" s="10">
        <v>0</v>
      </c>
      <c r="BC23" s="18">
        <v>0</v>
      </c>
      <c r="BD23" s="9">
        <v>0</v>
      </c>
      <c r="BE23" s="10">
        <v>0</v>
      </c>
      <c r="BF23" s="18">
        <v>0</v>
      </c>
      <c r="BG23" s="9">
        <v>0</v>
      </c>
      <c r="BH23" s="10">
        <v>0</v>
      </c>
      <c r="BI23" s="18">
        <v>0</v>
      </c>
      <c r="BJ23" s="9">
        <v>0</v>
      </c>
      <c r="BK23" s="10">
        <v>0</v>
      </c>
      <c r="BL23" s="18">
        <v>0</v>
      </c>
      <c r="BM23" s="9">
        <v>0</v>
      </c>
      <c r="BN23" s="10">
        <v>0</v>
      </c>
      <c r="BO23" s="18">
        <v>0</v>
      </c>
      <c r="BP23" s="17"/>
      <c r="BQ23" s="16">
        <f t="shared" si="8"/>
        <v>44985</v>
      </c>
      <c r="BR23" s="10">
        <f t="shared" si="0"/>
        <v>402</v>
      </c>
      <c r="BS23" s="4">
        <f t="shared" si="40"/>
        <v>10</v>
      </c>
      <c r="BT23" s="10">
        <f t="shared" si="1"/>
        <v>368.76</v>
      </c>
      <c r="BU23" s="4">
        <f t="shared" si="9"/>
        <v>-33.240000000000009</v>
      </c>
      <c r="BV23" s="20">
        <f t="shared" si="10"/>
        <v>-8.2686567164179131E-2</v>
      </c>
      <c r="BW23" s="4">
        <f t="shared" si="45"/>
        <v>-1.3199999999999932</v>
      </c>
      <c r="BX23" s="17"/>
      <c r="BY23" s="16">
        <f t="shared" si="2"/>
        <v>44985</v>
      </c>
      <c r="BZ23" s="10">
        <f t="shared" si="3"/>
        <v>0</v>
      </c>
      <c r="CA23" s="4">
        <f t="shared" si="41"/>
        <v>0</v>
      </c>
      <c r="CB23" s="10">
        <f t="shared" si="34"/>
        <v>0</v>
      </c>
      <c r="CC23" s="4">
        <f t="shared" si="11"/>
        <v>0</v>
      </c>
      <c r="CD23" s="20">
        <v>0</v>
      </c>
      <c r="CE23" s="4">
        <f t="shared" si="46"/>
        <v>0</v>
      </c>
      <c r="CF23" s="17"/>
      <c r="CG23" s="16">
        <f t="shared" si="5"/>
        <v>44985</v>
      </c>
      <c r="CH23" s="10">
        <f t="shared" si="12"/>
        <v>402</v>
      </c>
      <c r="CI23" s="10">
        <f t="shared" si="13"/>
        <v>10</v>
      </c>
      <c r="CJ23" s="10">
        <f t="shared" si="14"/>
        <v>368.76</v>
      </c>
      <c r="CK23" s="4">
        <f t="shared" si="15"/>
        <v>-33.240000000000009</v>
      </c>
      <c r="CL23" s="20">
        <v>0</v>
      </c>
      <c r="CM23" s="4">
        <f t="shared" si="47"/>
        <v>-1.3199999999999932</v>
      </c>
      <c r="CO23" s="16">
        <f t="shared" si="6"/>
        <v>44985</v>
      </c>
      <c r="CP23" s="4">
        <f t="shared" si="17"/>
        <v>-1.3199999999999932</v>
      </c>
      <c r="CQ23" s="4">
        <f t="shared" si="18"/>
        <v>0</v>
      </c>
      <c r="CR23" s="4">
        <f t="shared" si="19"/>
        <v>0</v>
      </c>
      <c r="CS23" s="4">
        <f t="shared" si="20"/>
        <v>0</v>
      </c>
      <c r="CT23" s="4">
        <f t="shared" si="21"/>
        <v>0</v>
      </c>
      <c r="CU23" s="4">
        <f t="shared" si="22"/>
        <v>0</v>
      </c>
      <c r="CV23" s="4">
        <f t="shared" si="23"/>
        <v>0</v>
      </c>
      <c r="CW23" s="4">
        <f t="shared" si="24"/>
        <v>0</v>
      </c>
      <c r="CX23" s="4">
        <f t="shared" si="25"/>
        <v>0</v>
      </c>
      <c r="CY23" s="4">
        <f t="shared" si="26"/>
        <v>0</v>
      </c>
      <c r="CZ23" s="4">
        <f t="shared" si="27"/>
        <v>0</v>
      </c>
      <c r="DA23" s="4">
        <f t="shared" si="28"/>
        <v>0</v>
      </c>
      <c r="DB23" s="4">
        <f t="shared" si="29"/>
        <v>0</v>
      </c>
      <c r="DC23" s="4">
        <f t="shared" si="30"/>
        <v>0</v>
      </c>
      <c r="DD23" s="4">
        <f t="shared" si="31"/>
        <v>0</v>
      </c>
      <c r="DE23" s="4">
        <f t="shared" si="32"/>
        <v>0</v>
      </c>
      <c r="DF23" s="10">
        <f t="shared" si="33"/>
        <v>0</v>
      </c>
      <c r="DG23" s="10">
        <f t="shared" si="35"/>
        <v>0</v>
      </c>
      <c r="DH23" s="4">
        <f t="shared" si="36"/>
        <v>0</v>
      </c>
      <c r="DI23" s="4">
        <f t="shared" si="37"/>
        <v>0</v>
      </c>
      <c r="DJ23" s="4">
        <f t="shared" si="38"/>
        <v>0</v>
      </c>
      <c r="DK23" s="4">
        <f t="shared" si="39"/>
        <v>0</v>
      </c>
    </row>
    <row r="24" spans="1:115" x14ac:dyDescent="0.25">
      <c r="A24" s="12">
        <v>45016</v>
      </c>
      <c r="B24" s="14">
        <v>412</v>
      </c>
      <c r="C24" s="8">
        <v>374.19</v>
      </c>
      <c r="D24" s="18">
        <f t="shared" si="7"/>
        <v>-9.1771844660194182E-2</v>
      </c>
      <c r="E24" s="9">
        <v>0</v>
      </c>
      <c r="F24" s="10">
        <v>0</v>
      </c>
      <c r="G24" s="18">
        <v>0</v>
      </c>
      <c r="H24" s="9">
        <v>0</v>
      </c>
      <c r="I24" s="10">
        <v>0</v>
      </c>
      <c r="J24" s="18">
        <v>0</v>
      </c>
      <c r="K24" s="9">
        <v>0</v>
      </c>
      <c r="L24" s="10">
        <v>0</v>
      </c>
      <c r="M24" s="18">
        <v>0</v>
      </c>
      <c r="N24" s="9">
        <v>0</v>
      </c>
      <c r="O24" s="10">
        <v>0</v>
      </c>
      <c r="P24" s="18">
        <v>0</v>
      </c>
      <c r="Q24" s="9">
        <v>0</v>
      </c>
      <c r="R24" s="10">
        <v>0</v>
      </c>
      <c r="S24" s="18">
        <v>0</v>
      </c>
      <c r="T24" s="9">
        <v>0</v>
      </c>
      <c r="U24" s="10">
        <v>0</v>
      </c>
      <c r="V24" s="18">
        <v>0</v>
      </c>
      <c r="W24" s="9">
        <v>0</v>
      </c>
      <c r="X24" s="10">
        <v>0</v>
      </c>
      <c r="Y24" s="18">
        <v>0</v>
      </c>
      <c r="Z24" s="10">
        <v>0</v>
      </c>
      <c r="AA24" s="10">
        <v>0</v>
      </c>
      <c r="AB24" s="18">
        <v>0</v>
      </c>
      <c r="AC24" s="9">
        <v>0</v>
      </c>
      <c r="AD24" s="10">
        <v>0</v>
      </c>
      <c r="AE24" s="18">
        <v>0</v>
      </c>
      <c r="AF24" s="9">
        <v>0</v>
      </c>
      <c r="AG24" s="10">
        <v>0</v>
      </c>
      <c r="AH24" s="18">
        <v>0</v>
      </c>
      <c r="AI24" s="9">
        <v>0</v>
      </c>
      <c r="AJ24" s="10">
        <v>0</v>
      </c>
      <c r="AK24" s="18">
        <v>0</v>
      </c>
      <c r="AL24" s="9">
        <v>0</v>
      </c>
      <c r="AM24" s="10">
        <v>0</v>
      </c>
      <c r="AN24" s="18">
        <v>0</v>
      </c>
      <c r="AO24" s="9">
        <v>0</v>
      </c>
      <c r="AP24" s="10">
        <v>0</v>
      </c>
      <c r="AQ24" s="18">
        <v>0</v>
      </c>
      <c r="AR24" s="9">
        <v>0</v>
      </c>
      <c r="AS24" s="10">
        <v>0</v>
      </c>
      <c r="AT24" s="18">
        <v>0</v>
      </c>
      <c r="AU24" s="9">
        <v>0</v>
      </c>
      <c r="AV24" s="10">
        <v>0</v>
      </c>
      <c r="AW24" s="18">
        <v>0</v>
      </c>
      <c r="AX24" s="9">
        <v>0</v>
      </c>
      <c r="AY24" s="10">
        <v>0</v>
      </c>
      <c r="AZ24" s="18">
        <v>0</v>
      </c>
      <c r="BA24" s="9">
        <v>0</v>
      </c>
      <c r="BB24" s="10">
        <v>0</v>
      </c>
      <c r="BC24" s="18">
        <v>0</v>
      </c>
      <c r="BD24" s="9">
        <v>0</v>
      </c>
      <c r="BE24" s="10">
        <v>0</v>
      </c>
      <c r="BF24" s="18">
        <v>0</v>
      </c>
      <c r="BG24" s="9">
        <v>0</v>
      </c>
      <c r="BH24" s="10">
        <v>0</v>
      </c>
      <c r="BI24" s="18">
        <v>0</v>
      </c>
      <c r="BJ24" s="9">
        <v>0</v>
      </c>
      <c r="BK24" s="10">
        <v>0</v>
      </c>
      <c r="BL24" s="18">
        <v>0</v>
      </c>
      <c r="BM24" s="9">
        <v>0</v>
      </c>
      <c r="BN24" s="10">
        <v>0</v>
      </c>
      <c r="BO24" s="18">
        <v>0</v>
      </c>
      <c r="BP24" s="17"/>
      <c r="BQ24" s="16">
        <f t="shared" si="8"/>
        <v>45016</v>
      </c>
      <c r="BR24" s="10">
        <f t="shared" si="0"/>
        <v>412</v>
      </c>
      <c r="BS24" s="4">
        <f t="shared" si="40"/>
        <v>10</v>
      </c>
      <c r="BT24" s="10">
        <f t="shared" si="1"/>
        <v>374.19</v>
      </c>
      <c r="BU24" s="4">
        <f t="shared" si="9"/>
        <v>-37.81</v>
      </c>
      <c r="BV24" s="20">
        <f t="shared" si="10"/>
        <v>-9.1771844660194182E-2</v>
      </c>
      <c r="BW24" s="4">
        <f>BU24-BU23</f>
        <v>-4.5699999999999932</v>
      </c>
      <c r="BX24" s="17"/>
      <c r="BY24" s="16">
        <f t="shared" si="2"/>
        <v>45016</v>
      </c>
      <c r="BZ24" s="10">
        <f t="shared" si="3"/>
        <v>0</v>
      </c>
      <c r="CA24" s="4">
        <f t="shared" si="41"/>
        <v>0</v>
      </c>
      <c r="CB24" s="10">
        <f t="shared" si="34"/>
        <v>0</v>
      </c>
      <c r="CC24" s="4">
        <f t="shared" si="11"/>
        <v>0</v>
      </c>
      <c r="CD24" s="20">
        <v>0</v>
      </c>
      <c r="CE24" s="4">
        <f>CC24-CC23</f>
        <v>0</v>
      </c>
      <c r="CF24" s="17"/>
      <c r="CG24" s="16">
        <f t="shared" si="5"/>
        <v>45016</v>
      </c>
      <c r="CH24" s="10">
        <f t="shared" si="12"/>
        <v>412</v>
      </c>
      <c r="CI24" s="10">
        <f t="shared" si="13"/>
        <v>10</v>
      </c>
      <c r="CJ24" s="10">
        <f t="shared" si="14"/>
        <v>374.19</v>
      </c>
      <c r="CK24" s="4">
        <f t="shared" si="15"/>
        <v>-37.81</v>
      </c>
      <c r="CL24" s="20">
        <v>0</v>
      </c>
      <c r="CM24" s="4">
        <f>CK24-CK23</f>
        <v>-4.5699999999999932</v>
      </c>
      <c r="CO24" s="16">
        <f t="shared" si="6"/>
        <v>45016</v>
      </c>
      <c r="CP24" s="4">
        <f t="shared" si="17"/>
        <v>-4.5699999999999932</v>
      </c>
      <c r="CQ24" s="4">
        <f t="shared" si="18"/>
        <v>0</v>
      </c>
      <c r="CR24" s="4">
        <f t="shared" si="19"/>
        <v>0</v>
      </c>
      <c r="CS24" s="4">
        <f t="shared" si="20"/>
        <v>0</v>
      </c>
      <c r="CT24" s="4">
        <f t="shared" si="21"/>
        <v>0</v>
      </c>
      <c r="CU24" s="4">
        <f t="shared" si="22"/>
        <v>0</v>
      </c>
      <c r="CV24" s="4">
        <f t="shared" si="23"/>
        <v>0</v>
      </c>
      <c r="CW24" s="4">
        <f t="shared" si="24"/>
        <v>0</v>
      </c>
      <c r="CX24" s="4">
        <f t="shared" si="25"/>
        <v>0</v>
      </c>
      <c r="CY24" s="4">
        <f t="shared" si="26"/>
        <v>0</v>
      </c>
      <c r="CZ24" s="4">
        <f t="shared" si="27"/>
        <v>0</v>
      </c>
      <c r="DA24" s="4">
        <f t="shared" si="28"/>
        <v>0</v>
      </c>
      <c r="DB24" s="4">
        <f t="shared" si="29"/>
        <v>0</v>
      </c>
      <c r="DC24" s="4">
        <f t="shared" si="30"/>
        <v>0</v>
      </c>
      <c r="DD24" s="4">
        <f t="shared" si="31"/>
        <v>0</v>
      </c>
      <c r="DE24" s="4">
        <f t="shared" si="32"/>
        <v>0</v>
      </c>
      <c r="DF24" s="10">
        <f t="shared" si="33"/>
        <v>0</v>
      </c>
      <c r="DG24" s="10">
        <f t="shared" si="35"/>
        <v>0</v>
      </c>
      <c r="DH24" s="4">
        <f t="shared" si="36"/>
        <v>0</v>
      </c>
      <c r="DI24" s="4">
        <f t="shared" si="37"/>
        <v>0</v>
      </c>
      <c r="DJ24" s="4">
        <f t="shared" si="38"/>
        <v>0</v>
      </c>
      <c r="DK24" s="4">
        <f t="shared" si="39"/>
        <v>0</v>
      </c>
    </row>
    <row r="25" spans="1:115" x14ac:dyDescent="0.25">
      <c r="A25" s="12">
        <v>45046</v>
      </c>
      <c r="B25" s="14">
        <v>422</v>
      </c>
      <c r="C25" s="8">
        <v>386.76</v>
      </c>
      <c r="D25" s="18">
        <f t="shared" si="7"/>
        <v>-8.3507109004739358E-2</v>
      </c>
      <c r="E25" s="9">
        <v>0</v>
      </c>
      <c r="F25" s="10">
        <v>0</v>
      </c>
      <c r="G25" s="18">
        <v>0</v>
      </c>
      <c r="H25" s="9">
        <v>0</v>
      </c>
      <c r="I25" s="10">
        <v>0</v>
      </c>
      <c r="J25" s="18">
        <v>0</v>
      </c>
      <c r="K25" s="9">
        <v>0</v>
      </c>
      <c r="L25" s="10">
        <v>0</v>
      </c>
      <c r="M25" s="18">
        <v>0</v>
      </c>
      <c r="N25" s="9">
        <v>0</v>
      </c>
      <c r="O25" s="10">
        <v>0</v>
      </c>
      <c r="P25" s="18">
        <v>0</v>
      </c>
      <c r="Q25" s="9">
        <v>0</v>
      </c>
      <c r="R25" s="10">
        <v>0</v>
      </c>
      <c r="S25" s="18">
        <v>0</v>
      </c>
      <c r="T25" s="9">
        <v>0</v>
      </c>
      <c r="U25" s="10">
        <v>0</v>
      </c>
      <c r="V25" s="18">
        <v>0</v>
      </c>
      <c r="W25" s="9">
        <v>0</v>
      </c>
      <c r="X25" s="10">
        <v>0</v>
      </c>
      <c r="Y25" s="18">
        <v>0</v>
      </c>
      <c r="Z25" s="10">
        <v>0</v>
      </c>
      <c r="AA25" s="10">
        <v>0</v>
      </c>
      <c r="AB25" s="18">
        <v>0</v>
      </c>
      <c r="AC25" s="9">
        <v>0</v>
      </c>
      <c r="AD25" s="10">
        <v>0</v>
      </c>
      <c r="AE25" s="18">
        <v>0</v>
      </c>
      <c r="AF25" s="9">
        <v>0</v>
      </c>
      <c r="AG25" s="10">
        <v>0</v>
      </c>
      <c r="AH25" s="18">
        <v>0</v>
      </c>
      <c r="AI25" s="9">
        <v>0</v>
      </c>
      <c r="AJ25" s="10">
        <v>0</v>
      </c>
      <c r="AK25" s="18">
        <v>0</v>
      </c>
      <c r="AL25" s="9">
        <v>0</v>
      </c>
      <c r="AM25" s="10">
        <v>0</v>
      </c>
      <c r="AN25" s="18">
        <v>0</v>
      </c>
      <c r="AO25" s="9">
        <v>0</v>
      </c>
      <c r="AP25" s="10">
        <v>0</v>
      </c>
      <c r="AQ25" s="18">
        <v>0</v>
      </c>
      <c r="AR25" s="9">
        <v>0</v>
      </c>
      <c r="AS25" s="10">
        <v>0</v>
      </c>
      <c r="AT25" s="18">
        <v>0</v>
      </c>
      <c r="AU25" s="9">
        <v>0</v>
      </c>
      <c r="AV25" s="10">
        <v>0</v>
      </c>
      <c r="AW25" s="18">
        <v>0</v>
      </c>
      <c r="AX25" s="9">
        <v>0</v>
      </c>
      <c r="AY25" s="10">
        <v>0</v>
      </c>
      <c r="AZ25" s="18">
        <v>0</v>
      </c>
      <c r="BA25" s="9">
        <v>0</v>
      </c>
      <c r="BB25" s="10">
        <v>0</v>
      </c>
      <c r="BC25" s="18">
        <v>0</v>
      </c>
      <c r="BD25" s="9">
        <v>0</v>
      </c>
      <c r="BE25" s="10">
        <v>0</v>
      </c>
      <c r="BF25" s="18">
        <v>0</v>
      </c>
      <c r="BG25" s="9">
        <v>0</v>
      </c>
      <c r="BH25" s="10">
        <v>0</v>
      </c>
      <c r="BI25" s="18">
        <v>0</v>
      </c>
      <c r="BJ25" s="9">
        <v>0</v>
      </c>
      <c r="BK25" s="10">
        <v>0</v>
      </c>
      <c r="BL25" s="18">
        <v>0</v>
      </c>
      <c r="BM25" s="9">
        <v>0</v>
      </c>
      <c r="BN25" s="10">
        <v>0</v>
      </c>
      <c r="BO25" s="18">
        <v>0</v>
      </c>
      <c r="BP25" s="17"/>
      <c r="BQ25" s="16">
        <f t="shared" si="8"/>
        <v>45046</v>
      </c>
      <c r="BR25" s="10">
        <f t="shared" si="0"/>
        <v>422</v>
      </c>
      <c r="BS25" s="4">
        <f t="shared" si="40"/>
        <v>10</v>
      </c>
      <c r="BT25" s="10">
        <f t="shared" si="1"/>
        <v>386.76</v>
      </c>
      <c r="BU25" s="4">
        <f t="shared" si="9"/>
        <v>-35.240000000000009</v>
      </c>
      <c r="BV25" s="20">
        <f t="shared" si="10"/>
        <v>-8.3507109004739358E-2</v>
      </c>
      <c r="BW25" s="4">
        <f>BU25-BU24</f>
        <v>2.5699999999999932</v>
      </c>
      <c r="BX25" s="17"/>
      <c r="BY25" s="16">
        <f t="shared" si="2"/>
        <v>45046</v>
      </c>
      <c r="BZ25" s="10">
        <f t="shared" si="3"/>
        <v>0</v>
      </c>
      <c r="CA25" s="4">
        <f t="shared" si="41"/>
        <v>0</v>
      </c>
      <c r="CB25" s="10">
        <f t="shared" si="34"/>
        <v>0</v>
      </c>
      <c r="CC25" s="4">
        <f t="shared" si="11"/>
        <v>0</v>
      </c>
      <c r="CD25" s="20">
        <v>0</v>
      </c>
      <c r="CE25" s="4">
        <f>CC25-CC24</f>
        <v>0</v>
      </c>
      <c r="CF25" s="17"/>
      <c r="CG25" s="16">
        <f t="shared" si="5"/>
        <v>45046</v>
      </c>
      <c r="CH25" s="10">
        <f t="shared" si="12"/>
        <v>422</v>
      </c>
      <c r="CI25" s="10">
        <f t="shared" si="13"/>
        <v>10</v>
      </c>
      <c r="CJ25" s="10">
        <f t="shared" si="14"/>
        <v>386.76</v>
      </c>
      <c r="CK25" s="4">
        <f t="shared" si="15"/>
        <v>-35.240000000000009</v>
      </c>
      <c r="CL25" s="20">
        <v>0</v>
      </c>
      <c r="CM25" s="4">
        <f>CK25-CK24</f>
        <v>2.5699999999999932</v>
      </c>
      <c r="CO25" s="16">
        <f t="shared" si="6"/>
        <v>45046</v>
      </c>
      <c r="CP25" s="4">
        <f t="shared" si="17"/>
        <v>2.5699999999999932</v>
      </c>
      <c r="CQ25" s="4">
        <f t="shared" si="18"/>
        <v>0</v>
      </c>
      <c r="CR25" s="4">
        <f t="shared" si="19"/>
        <v>0</v>
      </c>
      <c r="CS25" s="4">
        <f t="shared" si="20"/>
        <v>0</v>
      </c>
      <c r="CT25" s="4">
        <f t="shared" si="21"/>
        <v>0</v>
      </c>
      <c r="CU25" s="4">
        <f t="shared" si="22"/>
        <v>0</v>
      </c>
      <c r="CV25" s="4">
        <f t="shared" si="23"/>
        <v>0</v>
      </c>
      <c r="CW25" s="4">
        <f t="shared" si="24"/>
        <v>0</v>
      </c>
      <c r="CX25" s="4">
        <f t="shared" si="25"/>
        <v>0</v>
      </c>
      <c r="CY25" s="4">
        <f t="shared" si="26"/>
        <v>0</v>
      </c>
      <c r="CZ25" s="4">
        <f t="shared" si="27"/>
        <v>0</v>
      </c>
      <c r="DA25" s="4">
        <f t="shared" si="28"/>
        <v>0</v>
      </c>
      <c r="DB25" s="4">
        <f t="shared" si="29"/>
        <v>0</v>
      </c>
      <c r="DC25" s="4">
        <f t="shared" si="30"/>
        <v>0</v>
      </c>
      <c r="DD25" s="4">
        <f t="shared" si="31"/>
        <v>0</v>
      </c>
      <c r="DE25" s="4">
        <f t="shared" si="32"/>
        <v>0</v>
      </c>
      <c r="DF25" s="10">
        <f t="shared" si="33"/>
        <v>0</v>
      </c>
      <c r="DG25" s="10">
        <f t="shared" si="35"/>
        <v>0</v>
      </c>
      <c r="DH25" s="4">
        <f t="shared" si="36"/>
        <v>0</v>
      </c>
      <c r="DI25" s="4">
        <f t="shared" si="37"/>
        <v>0</v>
      </c>
      <c r="DJ25" s="4">
        <f t="shared" si="38"/>
        <v>0</v>
      </c>
      <c r="DK25" s="4">
        <f t="shared" si="39"/>
        <v>0</v>
      </c>
    </row>
    <row r="26" spans="1:115" x14ac:dyDescent="0.25">
      <c r="A26" s="12">
        <v>45077</v>
      </c>
      <c r="B26" s="14">
        <v>432</v>
      </c>
      <c r="C26" s="8">
        <v>401.04</v>
      </c>
      <c r="D26" s="18">
        <f t="shared" si="7"/>
        <v>-7.1666666666666615E-2</v>
      </c>
      <c r="E26" s="9">
        <v>0</v>
      </c>
      <c r="F26" s="10">
        <v>0</v>
      </c>
      <c r="G26" s="18">
        <v>0</v>
      </c>
      <c r="H26" s="9">
        <v>0</v>
      </c>
      <c r="I26" s="10">
        <v>0</v>
      </c>
      <c r="J26" s="18">
        <v>0</v>
      </c>
      <c r="K26" s="9">
        <v>0</v>
      </c>
      <c r="L26" s="10">
        <v>0</v>
      </c>
      <c r="M26" s="18">
        <v>0</v>
      </c>
      <c r="N26" s="9">
        <v>0</v>
      </c>
      <c r="O26" s="10">
        <v>0</v>
      </c>
      <c r="P26" s="18">
        <v>0</v>
      </c>
      <c r="Q26" s="9">
        <v>0</v>
      </c>
      <c r="R26" s="10">
        <v>0</v>
      </c>
      <c r="S26" s="18">
        <v>0</v>
      </c>
      <c r="T26" s="9">
        <v>0</v>
      </c>
      <c r="U26" s="10">
        <v>0</v>
      </c>
      <c r="V26" s="18">
        <v>0</v>
      </c>
      <c r="W26" s="9">
        <v>0</v>
      </c>
      <c r="X26" s="10">
        <v>0</v>
      </c>
      <c r="Y26" s="18">
        <v>0</v>
      </c>
      <c r="Z26" s="10">
        <v>0</v>
      </c>
      <c r="AA26" s="10">
        <v>0</v>
      </c>
      <c r="AB26" s="18">
        <v>0</v>
      </c>
      <c r="AC26" s="9">
        <v>0</v>
      </c>
      <c r="AD26" s="10">
        <v>0</v>
      </c>
      <c r="AE26" s="18">
        <v>0</v>
      </c>
      <c r="AF26" s="9">
        <v>0</v>
      </c>
      <c r="AG26" s="10">
        <v>0</v>
      </c>
      <c r="AH26" s="18">
        <v>0</v>
      </c>
      <c r="AI26" s="9">
        <v>0</v>
      </c>
      <c r="AJ26" s="10">
        <v>0</v>
      </c>
      <c r="AK26" s="18">
        <v>0</v>
      </c>
      <c r="AL26" s="9">
        <v>0</v>
      </c>
      <c r="AM26" s="10">
        <v>0</v>
      </c>
      <c r="AN26" s="18">
        <v>0</v>
      </c>
      <c r="AO26" s="9">
        <v>0</v>
      </c>
      <c r="AP26" s="10">
        <v>0</v>
      </c>
      <c r="AQ26" s="18">
        <v>0</v>
      </c>
      <c r="AR26" s="9">
        <v>0</v>
      </c>
      <c r="AS26" s="10">
        <v>0</v>
      </c>
      <c r="AT26" s="18">
        <v>0</v>
      </c>
      <c r="AU26" s="9">
        <v>0</v>
      </c>
      <c r="AV26" s="10">
        <v>0</v>
      </c>
      <c r="AW26" s="18">
        <v>0</v>
      </c>
      <c r="AX26" s="9">
        <v>0</v>
      </c>
      <c r="AY26" s="10">
        <v>0</v>
      </c>
      <c r="AZ26" s="18">
        <v>0</v>
      </c>
      <c r="BA26" s="9">
        <v>0</v>
      </c>
      <c r="BB26" s="10">
        <v>0</v>
      </c>
      <c r="BC26" s="18">
        <v>0</v>
      </c>
      <c r="BD26" s="9">
        <v>0</v>
      </c>
      <c r="BE26" s="10">
        <v>0</v>
      </c>
      <c r="BF26" s="18">
        <v>0</v>
      </c>
      <c r="BG26" s="9">
        <v>0</v>
      </c>
      <c r="BH26" s="10">
        <v>0</v>
      </c>
      <c r="BI26" s="18">
        <v>0</v>
      </c>
      <c r="BJ26" s="9">
        <v>0</v>
      </c>
      <c r="BK26" s="10">
        <v>0</v>
      </c>
      <c r="BL26" s="18">
        <v>0</v>
      </c>
      <c r="BM26" s="9">
        <v>0</v>
      </c>
      <c r="BN26" s="10">
        <v>0</v>
      </c>
      <c r="BO26" s="18">
        <v>0</v>
      </c>
      <c r="BP26" s="17"/>
      <c r="BQ26" s="16">
        <f t="shared" si="8"/>
        <v>45077</v>
      </c>
      <c r="BR26" s="10">
        <f t="shared" si="0"/>
        <v>432</v>
      </c>
      <c r="BS26" s="4">
        <f t="shared" si="40"/>
        <v>10</v>
      </c>
      <c r="BT26" s="10">
        <f t="shared" si="1"/>
        <v>401.04</v>
      </c>
      <c r="BU26" s="4">
        <f t="shared" si="9"/>
        <v>-30.95999999999998</v>
      </c>
      <c r="BV26" s="20">
        <f t="shared" si="10"/>
        <v>-7.1666666666666615E-2</v>
      </c>
      <c r="BW26" s="4">
        <f t="shared" ref="BW26:BW33" si="48">BU26-BU25</f>
        <v>4.2800000000000296</v>
      </c>
      <c r="BX26" s="17"/>
      <c r="BY26" s="16">
        <f t="shared" si="2"/>
        <v>45077</v>
      </c>
      <c r="BZ26" s="10">
        <f t="shared" si="3"/>
        <v>0</v>
      </c>
      <c r="CA26" s="4">
        <f t="shared" si="41"/>
        <v>0</v>
      </c>
      <c r="CB26" s="10">
        <f t="shared" si="34"/>
        <v>0</v>
      </c>
      <c r="CC26" s="4">
        <f t="shared" si="11"/>
        <v>0</v>
      </c>
      <c r="CD26" s="20">
        <v>0</v>
      </c>
      <c r="CE26" s="4">
        <f t="shared" ref="CE26:CE33" si="49">CC26-CC25</f>
        <v>0</v>
      </c>
      <c r="CF26" s="17"/>
      <c r="CG26" s="16">
        <f t="shared" si="5"/>
        <v>45077</v>
      </c>
      <c r="CH26" s="10">
        <f t="shared" si="12"/>
        <v>432</v>
      </c>
      <c r="CI26" s="10">
        <f t="shared" si="13"/>
        <v>10</v>
      </c>
      <c r="CJ26" s="10">
        <f t="shared" si="14"/>
        <v>401.04</v>
      </c>
      <c r="CK26" s="4">
        <f t="shared" si="15"/>
        <v>-30.95999999999998</v>
      </c>
      <c r="CL26" s="20">
        <v>0</v>
      </c>
      <c r="CM26" s="4">
        <f t="shared" ref="CM26:CM33" si="50">CK26-CK25</f>
        <v>4.2800000000000296</v>
      </c>
      <c r="CO26" s="16">
        <f t="shared" si="6"/>
        <v>45077</v>
      </c>
      <c r="CP26" s="4">
        <f t="shared" si="17"/>
        <v>4.2800000000000296</v>
      </c>
      <c r="CQ26" s="4">
        <f t="shared" si="18"/>
        <v>0</v>
      </c>
      <c r="CR26" s="4">
        <f t="shared" si="19"/>
        <v>0</v>
      </c>
      <c r="CS26" s="4">
        <f t="shared" si="20"/>
        <v>0</v>
      </c>
      <c r="CT26" s="4">
        <f t="shared" si="21"/>
        <v>0</v>
      </c>
      <c r="CU26" s="4">
        <f t="shared" si="22"/>
        <v>0</v>
      </c>
      <c r="CV26" s="4">
        <f t="shared" si="23"/>
        <v>0</v>
      </c>
      <c r="CW26" s="4">
        <f t="shared" si="24"/>
        <v>0</v>
      </c>
      <c r="CX26" s="4">
        <f t="shared" si="25"/>
        <v>0</v>
      </c>
      <c r="CY26" s="4">
        <f t="shared" si="26"/>
        <v>0</v>
      </c>
      <c r="CZ26" s="4">
        <f t="shared" si="27"/>
        <v>0</v>
      </c>
      <c r="DA26" s="4">
        <f t="shared" si="28"/>
        <v>0</v>
      </c>
      <c r="DB26" s="4">
        <f t="shared" si="29"/>
        <v>0</v>
      </c>
      <c r="DC26" s="4">
        <f t="shared" si="30"/>
        <v>0</v>
      </c>
      <c r="DD26" s="4">
        <f t="shared" si="31"/>
        <v>0</v>
      </c>
      <c r="DE26" s="4">
        <f t="shared" si="32"/>
        <v>0</v>
      </c>
      <c r="DF26" s="10">
        <f t="shared" si="33"/>
        <v>0</v>
      </c>
      <c r="DG26" s="10">
        <f t="shared" si="35"/>
        <v>0</v>
      </c>
      <c r="DH26" s="4">
        <f t="shared" si="36"/>
        <v>0</v>
      </c>
      <c r="DI26" s="4">
        <f t="shared" si="37"/>
        <v>0</v>
      </c>
      <c r="DJ26" s="4">
        <f t="shared" si="38"/>
        <v>0</v>
      </c>
      <c r="DK26" s="4">
        <f t="shared" si="39"/>
        <v>0</v>
      </c>
    </row>
    <row r="27" spans="1:115" x14ac:dyDescent="0.25">
      <c r="A27" s="12">
        <v>45107</v>
      </c>
      <c r="B27" s="14">
        <v>442</v>
      </c>
      <c r="C27" s="8">
        <v>413.45</v>
      </c>
      <c r="D27" s="18">
        <f t="shared" si="7"/>
        <v>-6.4592760180995495E-2</v>
      </c>
      <c r="E27" s="9">
        <v>0</v>
      </c>
      <c r="F27" s="10">
        <v>0</v>
      </c>
      <c r="G27" s="18">
        <v>0</v>
      </c>
      <c r="H27" s="9">
        <v>0</v>
      </c>
      <c r="I27" s="10">
        <v>0</v>
      </c>
      <c r="J27" s="18">
        <v>0</v>
      </c>
      <c r="K27" s="9">
        <v>0</v>
      </c>
      <c r="L27" s="10">
        <v>0</v>
      </c>
      <c r="M27" s="18">
        <v>0</v>
      </c>
      <c r="N27" s="9">
        <v>0</v>
      </c>
      <c r="O27" s="10">
        <v>0</v>
      </c>
      <c r="P27" s="18">
        <v>0</v>
      </c>
      <c r="Q27" s="9">
        <v>0</v>
      </c>
      <c r="R27" s="10">
        <v>0</v>
      </c>
      <c r="S27" s="18">
        <v>0</v>
      </c>
      <c r="T27" s="9">
        <v>0</v>
      </c>
      <c r="U27" s="10">
        <v>0</v>
      </c>
      <c r="V27" s="18">
        <v>0</v>
      </c>
      <c r="W27" s="9">
        <v>0</v>
      </c>
      <c r="X27" s="10">
        <v>0</v>
      </c>
      <c r="Y27" s="18">
        <v>0</v>
      </c>
      <c r="Z27" s="10">
        <v>0</v>
      </c>
      <c r="AA27" s="10">
        <v>0</v>
      </c>
      <c r="AB27" s="18">
        <v>0</v>
      </c>
      <c r="AC27" s="9">
        <v>0</v>
      </c>
      <c r="AD27" s="10">
        <v>0</v>
      </c>
      <c r="AE27" s="18">
        <v>0</v>
      </c>
      <c r="AF27" s="9">
        <v>0</v>
      </c>
      <c r="AG27" s="10">
        <v>0</v>
      </c>
      <c r="AH27" s="18">
        <v>0</v>
      </c>
      <c r="AI27" s="9">
        <v>0</v>
      </c>
      <c r="AJ27" s="10">
        <v>0</v>
      </c>
      <c r="AK27" s="18">
        <v>0</v>
      </c>
      <c r="AL27" s="9">
        <v>0</v>
      </c>
      <c r="AM27" s="10">
        <v>0</v>
      </c>
      <c r="AN27" s="18">
        <v>0</v>
      </c>
      <c r="AO27" s="9">
        <v>0</v>
      </c>
      <c r="AP27" s="10">
        <v>0</v>
      </c>
      <c r="AQ27" s="18">
        <v>0</v>
      </c>
      <c r="AR27" s="9">
        <v>0</v>
      </c>
      <c r="AS27" s="10">
        <v>0</v>
      </c>
      <c r="AT27" s="18">
        <v>0</v>
      </c>
      <c r="AU27" s="9">
        <v>0</v>
      </c>
      <c r="AV27" s="10">
        <v>0</v>
      </c>
      <c r="AW27" s="18">
        <v>0</v>
      </c>
      <c r="AX27" s="9">
        <v>0</v>
      </c>
      <c r="AY27" s="10">
        <v>0</v>
      </c>
      <c r="AZ27" s="18">
        <v>0</v>
      </c>
      <c r="BA27" s="9">
        <v>0</v>
      </c>
      <c r="BB27" s="10">
        <v>0</v>
      </c>
      <c r="BC27" s="18">
        <v>0</v>
      </c>
      <c r="BD27" s="9">
        <v>0</v>
      </c>
      <c r="BE27" s="10">
        <v>0</v>
      </c>
      <c r="BF27" s="18">
        <v>0</v>
      </c>
      <c r="BG27" s="9">
        <v>0</v>
      </c>
      <c r="BH27" s="10">
        <v>0</v>
      </c>
      <c r="BI27" s="18">
        <v>0</v>
      </c>
      <c r="BJ27" s="9">
        <v>0</v>
      </c>
      <c r="BK27" s="10">
        <v>0</v>
      </c>
      <c r="BL27" s="18">
        <v>0</v>
      </c>
      <c r="BM27" s="9">
        <v>0</v>
      </c>
      <c r="BN27" s="10">
        <v>0</v>
      </c>
      <c r="BO27" s="18">
        <v>0</v>
      </c>
      <c r="BP27" s="17"/>
      <c r="BQ27" s="16">
        <f t="shared" si="8"/>
        <v>45107</v>
      </c>
      <c r="BR27" s="10">
        <f t="shared" si="0"/>
        <v>442</v>
      </c>
      <c r="BS27" s="4">
        <f t="shared" si="40"/>
        <v>10</v>
      </c>
      <c r="BT27" s="10">
        <f t="shared" si="1"/>
        <v>413.45</v>
      </c>
      <c r="BU27" s="4">
        <f t="shared" si="9"/>
        <v>-28.550000000000011</v>
      </c>
      <c r="BV27" s="20">
        <f t="shared" si="10"/>
        <v>-6.4592760180995495E-2</v>
      </c>
      <c r="BW27" s="4">
        <f t="shared" si="48"/>
        <v>2.4099999999999682</v>
      </c>
      <c r="BX27" s="17"/>
      <c r="BY27" s="16">
        <f t="shared" si="2"/>
        <v>45107</v>
      </c>
      <c r="BZ27" s="10">
        <f t="shared" si="3"/>
        <v>0</v>
      </c>
      <c r="CA27" s="4">
        <f t="shared" si="41"/>
        <v>0</v>
      </c>
      <c r="CB27" s="10">
        <f t="shared" si="34"/>
        <v>0</v>
      </c>
      <c r="CC27" s="4">
        <f t="shared" si="11"/>
        <v>0</v>
      </c>
      <c r="CD27" s="20">
        <v>0</v>
      </c>
      <c r="CE27" s="4">
        <f t="shared" si="49"/>
        <v>0</v>
      </c>
      <c r="CF27" s="17"/>
      <c r="CG27" s="16">
        <f t="shared" si="5"/>
        <v>45107</v>
      </c>
      <c r="CH27" s="10">
        <f t="shared" si="12"/>
        <v>442</v>
      </c>
      <c r="CI27" s="10">
        <f t="shared" si="13"/>
        <v>10</v>
      </c>
      <c r="CJ27" s="10">
        <f t="shared" si="14"/>
        <v>413.45</v>
      </c>
      <c r="CK27" s="4">
        <f t="shared" si="15"/>
        <v>-28.550000000000011</v>
      </c>
      <c r="CL27" s="20">
        <v>0</v>
      </c>
      <c r="CM27" s="4">
        <f t="shared" si="50"/>
        <v>2.4099999999999682</v>
      </c>
      <c r="CO27" s="16">
        <f t="shared" si="6"/>
        <v>45107</v>
      </c>
      <c r="CP27" s="4">
        <f t="shared" si="17"/>
        <v>2.4099999999999682</v>
      </c>
      <c r="CQ27" s="4">
        <f t="shared" si="18"/>
        <v>0</v>
      </c>
      <c r="CR27" s="4">
        <f t="shared" si="19"/>
        <v>0</v>
      </c>
      <c r="CS27" s="4">
        <f t="shared" si="20"/>
        <v>0</v>
      </c>
      <c r="CT27" s="4">
        <f t="shared" si="21"/>
        <v>0</v>
      </c>
      <c r="CU27" s="4">
        <f t="shared" si="22"/>
        <v>0</v>
      </c>
      <c r="CV27" s="4">
        <f t="shared" si="23"/>
        <v>0</v>
      </c>
      <c r="CW27" s="4">
        <f t="shared" si="24"/>
        <v>0</v>
      </c>
      <c r="CX27" s="4">
        <f t="shared" si="25"/>
        <v>0</v>
      </c>
      <c r="CY27" s="4">
        <f t="shared" si="26"/>
        <v>0</v>
      </c>
      <c r="CZ27" s="4">
        <f t="shared" si="27"/>
        <v>0</v>
      </c>
      <c r="DA27" s="4">
        <f t="shared" si="28"/>
        <v>0</v>
      </c>
      <c r="DB27" s="4">
        <f t="shared" si="29"/>
        <v>0</v>
      </c>
      <c r="DC27" s="4">
        <f t="shared" si="30"/>
        <v>0</v>
      </c>
      <c r="DD27" s="4">
        <f t="shared" si="31"/>
        <v>0</v>
      </c>
      <c r="DE27" s="4">
        <f t="shared" si="32"/>
        <v>0</v>
      </c>
      <c r="DF27" s="10">
        <f t="shared" si="33"/>
        <v>0</v>
      </c>
      <c r="DG27" s="10">
        <f t="shared" si="35"/>
        <v>0</v>
      </c>
      <c r="DH27" s="4">
        <f t="shared" si="36"/>
        <v>0</v>
      </c>
      <c r="DI27" s="4">
        <f t="shared" si="37"/>
        <v>0</v>
      </c>
      <c r="DJ27" s="4">
        <f t="shared" si="38"/>
        <v>0</v>
      </c>
      <c r="DK27" s="4">
        <f t="shared" si="39"/>
        <v>0</v>
      </c>
    </row>
    <row r="28" spans="1:115" x14ac:dyDescent="0.25">
      <c r="A28" s="12">
        <v>45138</v>
      </c>
      <c r="B28" s="14">
        <v>452</v>
      </c>
      <c r="C28" s="8">
        <v>430.52</v>
      </c>
      <c r="D28" s="18">
        <f t="shared" si="7"/>
        <v>-4.7522123893805349E-2</v>
      </c>
      <c r="E28" s="9">
        <v>0</v>
      </c>
      <c r="F28" s="10">
        <v>0</v>
      </c>
      <c r="G28" s="18">
        <v>0</v>
      </c>
      <c r="H28" s="9">
        <v>0</v>
      </c>
      <c r="I28" s="10">
        <v>0</v>
      </c>
      <c r="J28" s="18">
        <v>0</v>
      </c>
      <c r="K28" s="9">
        <v>0</v>
      </c>
      <c r="L28" s="10">
        <v>0</v>
      </c>
      <c r="M28" s="18">
        <v>0</v>
      </c>
      <c r="N28" s="9">
        <v>0</v>
      </c>
      <c r="O28" s="10">
        <v>0</v>
      </c>
      <c r="P28" s="18">
        <v>0</v>
      </c>
      <c r="Q28" s="9">
        <v>0</v>
      </c>
      <c r="R28" s="10">
        <v>0</v>
      </c>
      <c r="S28" s="18">
        <v>0</v>
      </c>
      <c r="T28" s="9">
        <v>0</v>
      </c>
      <c r="U28" s="10">
        <v>0</v>
      </c>
      <c r="V28" s="18">
        <v>0</v>
      </c>
      <c r="W28" s="9">
        <v>0</v>
      </c>
      <c r="X28" s="10">
        <v>0</v>
      </c>
      <c r="Y28" s="18">
        <v>0</v>
      </c>
      <c r="Z28" s="10">
        <v>0</v>
      </c>
      <c r="AA28" s="10">
        <v>0</v>
      </c>
      <c r="AB28" s="18">
        <v>0</v>
      </c>
      <c r="AC28" s="9">
        <v>0</v>
      </c>
      <c r="AD28" s="10">
        <v>0</v>
      </c>
      <c r="AE28" s="18">
        <v>0</v>
      </c>
      <c r="AF28" s="9">
        <v>0</v>
      </c>
      <c r="AG28" s="10">
        <v>0</v>
      </c>
      <c r="AH28" s="18">
        <v>0</v>
      </c>
      <c r="AI28" s="9">
        <v>0</v>
      </c>
      <c r="AJ28" s="10">
        <v>0</v>
      </c>
      <c r="AK28" s="18">
        <v>0</v>
      </c>
      <c r="AL28" s="9">
        <v>0</v>
      </c>
      <c r="AM28" s="10">
        <v>0</v>
      </c>
      <c r="AN28" s="18">
        <v>0</v>
      </c>
      <c r="AO28" s="9">
        <v>0</v>
      </c>
      <c r="AP28" s="10">
        <v>0</v>
      </c>
      <c r="AQ28" s="18">
        <v>0</v>
      </c>
      <c r="AR28" s="9">
        <v>0</v>
      </c>
      <c r="AS28" s="10">
        <v>0</v>
      </c>
      <c r="AT28" s="18">
        <v>0</v>
      </c>
      <c r="AU28" s="9">
        <v>0</v>
      </c>
      <c r="AV28" s="10">
        <v>0</v>
      </c>
      <c r="AW28" s="18">
        <v>0</v>
      </c>
      <c r="AX28" s="9">
        <v>0</v>
      </c>
      <c r="AY28" s="10">
        <v>0</v>
      </c>
      <c r="AZ28" s="18">
        <v>0</v>
      </c>
      <c r="BA28" s="9">
        <v>0</v>
      </c>
      <c r="BB28" s="10">
        <v>0</v>
      </c>
      <c r="BC28" s="18">
        <v>0</v>
      </c>
      <c r="BD28" s="9">
        <v>0</v>
      </c>
      <c r="BE28" s="10">
        <v>0</v>
      </c>
      <c r="BF28" s="18">
        <v>0</v>
      </c>
      <c r="BG28" s="9">
        <v>0</v>
      </c>
      <c r="BH28" s="10">
        <v>0</v>
      </c>
      <c r="BI28" s="18">
        <v>0</v>
      </c>
      <c r="BJ28" s="9">
        <v>0</v>
      </c>
      <c r="BK28" s="10">
        <v>0</v>
      </c>
      <c r="BL28" s="18">
        <v>0</v>
      </c>
      <c r="BM28" s="9">
        <v>0</v>
      </c>
      <c r="BN28" s="10">
        <v>0</v>
      </c>
      <c r="BO28" s="18">
        <v>0</v>
      </c>
      <c r="BP28" s="17"/>
      <c r="BQ28" s="16">
        <f t="shared" si="8"/>
        <v>45138</v>
      </c>
      <c r="BR28" s="10">
        <f t="shared" si="0"/>
        <v>452</v>
      </c>
      <c r="BS28" s="4">
        <f t="shared" si="40"/>
        <v>10</v>
      </c>
      <c r="BT28" s="10">
        <f t="shared" si="1"/>
        <v>430.52</v>
      </c>
      <c r="BU28" s="4">
        <f t="shared" si="9"/>
        <v>-21.480000000000018</v>
      </c>
      <c r="BV28" s="20">
        <f t="shared" si="10"/>
        <v>-4.7522123893805349E-2</v>
      </c>
      <c r="BW28" s="4">
        <f t="shared" si="48"/>
        <v>7.0699999999999932</v>
      </c>
      <c r="BX28" s="17"/>
      <c r="BY28" s="16">
        <f t="shared" si="2"/>
        <v>45138</v>
      </c>
      <c r="BZ28" s="10">
        <f t="shared" si="3"/>
        <v>0</v>
      </c>
      <c r="CA28" s="4">
        <f t="shared" si="41"/>
        <v>0</v>
      </c>
      <c r="CB28" s="10">
        <f t="shared" si="34"/>
        <v>0</v>
      </c>
      <c r="CC28" s="4">
        <f t="shared" si="11"/>
        <v>0</v>
      </c>
      <c r="CD28" s="20">
        <v>0</v>
      </c>
      <c r="CE28" s="4">
        <f t="shared" si="49"/>
        <v>0</v>
      </c>
      <c r="CF28" s="17"/>
      <c r="CG28" s="16">
        <f t="shared" si="5"/>
        <v>45138</v>
      </c>
      <c r="CH28" s="10">
        <f t="shared" si="12"/>
        <v>452</v>
      </c>
      <c r="CI28" s="10">
        <f t="shared" si="13"/>
        <v>10</v>
      </c>
      <c r="CJ28" s="10">
        <f t="shared" si="14"/>
        <v>430.52</v>
      </c>
      <c r="CK28" s="4">
        <f t="shared" si="15"/>
        <v>-21.480000000000018</v>
      </c>
      <c r="CL28" s="20">
        <v>0</v>
      </c>
      <c r="CM28" s="4">
        <f t="shared" si="50"/>
        <v>7.0699999999999932</v>
      </c>
      <c r="CO28" s="16">
        <f t="shared" si="6"/>
        <v>45138</v>
      </c>
      <c r="CP28" s="4">
        <f t="shared" si="17"/>
        <v>7.0699999999999932</v>
      </c>
      <c r="CQ28" s="4">
        <f t="shared" si="18"/>
        <v>0</v>
      </c>
      <c r="CR28" s="4">
        <f t="shared" si="19"/>
        <v>0</v>
      </c>
      <c r="CS28" s="4">
        <f t="shared" si="20"/>
        <v>0</v>
      </c>
      <c r="CT28" s="4">
        <f t="shared" si="21"/>
        <v>0</v>
      </c>
      <c r="CU28" s="4">
        <f t="shared" si="22"/>
        <v>0</v>
      </c>
      <c r="CV28" s="4">
        <f t="shared" si="23"/>
        <v>0</v>
      </c>
      <c r="CW28" s="4">
        <f t="shared" si="24"/>
        <v>0</v>
      </c>
      <c r="CX28" s="4">
        <f t="shared" si="25"/>
        <v>0</v>
      </c>
      <c r="CY28" s="4">
        <f t="shared" si="26"/>
        <v>0</v>
      </c>
      <c r="CZ28" s="4">
        <f t="shared" si="27"/>
        <v>0</v>
      </c>
      <c r="DA28" s="4">
        <f t="shared" si="28"/>
        <v>0</v>
      </c>
      <c r="DB28" s="4">
        <f t="shared" si="29"/>
        <v>0</v>
      </c>
      <c r="DC28" s="4">
        <f t="shared" si="30"/>
        <v>0</v>
      </c>
      <c r="DD28" s="4">
        <f t="shared" si="31"/>
        <v>0</v>
      </c>
      <c r="DE28" s="4">
        <f t="shared" si="32"/>
        <v>0</v>
      </c>
      <c r="DF28" s="10">
        <f t="shared" si="33"/>
        <v>0</v>
      </c>
      <c r="DG28" s="10">
        <f t="shared" si="35"/>
        <v>0</v>
      </c>
      <c r="DH28" s="4">
        <f t="shared" si="36"/>
        <v>0</v>
      </c>
      <c r="DI28" s="4">
        <f t="shared" si="37"/>
        <v>0</v>
      </c>
      <c r="DJ28" s="4">
        <f t="shared" si="38"/>
        <v>0</v>
      </c>
      <c r="DK28" s="4">
        <f t="shared" si="39"/>
        <v>0</v>
      </c>
    </row>
    <row r="29" spans="1:115" x14ac:dyDescent="0.25">
      <c r="A29" s="12">
        <v>45169</v>
      </c>
      <c r="B29" s="14">
        <v>462</v>
      </c>
      <c r="C29" s="8">
        <v>435.68</v>
      </c>
      <c r="D29" s="18">
        <f t="shared" si="7"/>
        <v>-5.6969696969696955E-2</v>
      </c>
      <c r="E29" s="9">
        <v>0</v>
      </c>
      <c r="F29" s="10">
        <v>0</v>
      </c>
      <c r="G29" s="18">
        <v>0</v>
      </c>
      <c r="H29" s="9">
        <v>0</v>
      </c>
      <c r="I29" s="10">
        <v>0</v>
      </c>
      <c r="J29" s="18">
        <v>0</v>
      </c>
      <c r="K29" s="9">
        <v>0</v>
      </c>
      <c r="L29" s="10">
        <v>0</v>
      </c>
      <c r="M29" s="18">
        <v>0</v>
      </c>
      <c r="N29" s="9">
        <v>0</v>
      </c>
      <c r="O29" s="10">
        <v>0</v>
      </c>
      <c r="P29" s="18">
        <v>0</v>
      </c>
      <c r="Q29" s="9">
        <v>0</v>
      </c>
      <c r="R29" s="10">
        <v>0</v>
      </c>
      <c r="S29" s="18">
        <v>0</v>
      </c>
      <c r="T29" s="9">
        <v>0</v>
      </c>
      <c r="U29" s="10">
        <v>0</v>
      </c>
      <c r="V29" s="18">
        <v>0</v>
      </c>
      <c r="W29" s="9">
        <v>0</v>
      </c>
      <c r="X29" s="10">
        <v>0</v>
      </c>
      <c r="Y29" s="18">
        <v>0</v>
      </c>
      <c r="Z29" s="10">
        <v>0</v>
      </c>
      <c r="AA29" s="10">
        <v>0</v>
      </c>
      <c r="AB29" s="18">
        <v>0</v>
      </c>
      <c r="AC29" s="9">
        <v>0</v>
      </c>
      <c r="AD29" s="10">
        <v>0</v>
      </c>
      <c r="AE29" s="18">
        <v>0</v>
      </c>
      <c r="AF29" s="9">
        <v>0</v>
      </c>
      <c r="AG29" s="10">
        <v>0</v>
      </c>
      <c r="AH29" s="18">
        <v>0</v>
      </c>
      <c r="AI29" s="9">
        <v>0</v>
      </c>
      <c r="AJ29" s="10">
        <v>0</v>
      </c>
      <c r="AK29" s="18">
        <v>0</v>
      </c>
      <c r="AL29" s="9">
        <v>0</v>
      </c>
      <c r="AM29" s="10">
        <v>0</v>
      </c>
      <c r="AN29" s="18">
        <v>0</v>
      </c>
      <c r="AO29" s="9">
        <v>0</v>
      </c>
      <c r="AP29" s="10">
        <v>0</v>
      </c>
      <c r="AQ29" s="18">
        <v>0</v>
      </c>
      <c r="AR29" s="9">
        <v>0</v>
      </c>
      <c r="AS29" s="10">
        <v>0</v>
      </c>
      <c r="AT29" s="18">
        <v>0</v>
      </c>
      <c r="AU29" s="9">
        <v>0</v>
      </c>
      <c r="AV29" s="10">
        <v>0</v>
      </c>
      <c r="AW29" s="18">
        <v>0</v>
      </c>
      <c r="AX29" s="9">
        <v>0</v>
      </c>
      <c r="AY29" s="10">
        <v>0</v>
      </c>
      <c r="AZ29" s="18">
        <v>0</v>
      </c>
      <c r="BA29" s="9">
        <v>0</v>
      </c>
      <c r="BB29" s="10">
        <v>0</v>
      </c>
      <c r="BC29" s="18">
        <v>0</v>
      </c>
      <c r="BD29" s="9">
        <v>0</v>
      </c>
      <c r="BE29" s="10">
        <v>0</v>
      </c>
      <c r="BF29" s="18">
        <v>0</v>
      </c>
      <c r="BG29" s="9">
        <v>0</v>
      </c>
      <c r="BH29" s="10">
        <v>0</v>
      </c>
      <c r="BI29" s="18">
        <v>0</v>
      </c>
      <c r="BJ29" s="9">
        <v>0</v>
      </c>
      <c r="BK29" s="10">
        <v>0</v>
      </c>
      <c r="BL29" s="18">
        <v>0</v>
      </c>
      <c r="BM29" s="9">
        <v>0</v>
      </c>
      <c r="BN29" s="10">
        <v>0</v>
      </c>
      <c r="BO29" s="18">
        <v>0</v>
      </c>
      <c r="BP29" s="17"/>
      <c r="BQ29" s="16">
        <f t="shared" si="8"/>
        <v>45169</v>
      </c>
      <c r="BR29" s="10">
        <f t="shared" si="0"/>
        <v>462</v>
      </c>
      <c r="BS29" s="4">
        <f t="shared" si="40"/>
        <v>10</v>
      </c>
      <c r="BT29" s="10">
        <f t="shared" si="1"/>
        <v>435.68</v>
      </c>
      <c r="BU29" s="4">
        <f t="shared" si="9"/>
        <v>-26.319999999999993</v>
      </c>
      <c r="BV29" s="20">
        <f t="shared" si="10"/>
        <v>-5.6969696969696955E-2</v>
      </c>
      <c r="BW29" s="4">
        <f t="shared" si="48"/>
        <v>-4.839999999999975</v>
      </c>
      <c r="BX29" s="17"/>
      <c r="BY29" s="16">
        <f t="shared" si="2"/>
        <v>45169</v>
      </c>
      <c r="BZ29" s="10">
        <f t="shared" si="3"/>
        <v>0</v>
      </c>
      <c r="CA29" s="4">
        <f t="shared" si="41"/>
        <v>0</v>
      </c>
      <c r="CB29" s="10">
        <f t="shared" si="34"/>
        <v>0</v>
      </c>
      <c r="CC29" s="4">
        <f t="shared" si="11"/>
        <v>0</v>
      </c>
      <c r="CD29" s="20">
        <v>0</v>
      </c>
      <c r="CE29" s="4">
        <f t="shared" si="49"/>
        <v>0</v>
      </c>
      <c r="CF29" s="17"/>
      <c r="CG29" s="16">
        <f t="shared" si="5"/>
        <v>45169</v>
      </c>
      <c r="CH29" s="10">
        <f t="shared" si="12"/>
        <v>462</v>
      </c>
      <c r="CI29" s="10">
        <f t="shared" si="13"/>
        <v>10</v>
      </c>
      <c r="CJ29" s="10">
        <f t="shared" si="14"/>
        <v>435.68</v>
      </c>
      <c r="CK29" s="4">
        <f t="shared" si="15"/>
        <v>-26.319999999999993</v>
      </c>
      <c r="CL29" s="20">
        <v>0</v>
      </c>
      <c r="CM29" s="4">
        <f t="shared" si="50"/>
        <v>-4.839999999999975</v>
      </c>
      <c r="CO29" s="16">
        <f t="shared" si="6"/>
        <v>45169</v>
      </c>
      <c r="CP29" s="4">
        <f t="shared" si="17"/>
        <v>-4.839999999999975</v>
      </c>
      <c r="CQ29" s="4">
        <f t="shared" si="18"/>
        <v>0</v>
      </c>
      <c r="CR29" s="4">
        <f t="shared" si="19"/>
        <v>0</v>
      </c>
      <c r="CS29" s="4">
        <f t="shared" si="20"/>
        <v>0</v>
      </c>
      <c r="CT29" s="4">
        <f t="shared" si="21"/>
        <v>0</v>
      </c>
      <c r="CU29" s="4">
        <f t="shared" si="22"/>
        <v>0</v>
      </c>
      <c r="CV29" s="4">
        <f t="shared" si="23"/>
        <v>0</v>
      </c>
      <c r="CW29" s="4">
        <f t="shared" si="24"/>
        <v>0</v>
      </c>
      <c r="CX29" s="4">
        <f t="shared" si="25"/>
        <v>0</v>
      </c>
      <c r="CY29" s="4">
        <f t="shared" si="26"/>
        <v>0</v>
      </c>
      <c r="CZ29" s="4">
        <f t="shared" si="27"/>
        <v>0</v>
      </c>
      <c r="DA29" s="4">
        <f t="shared" si="28"/>
        <v>0</v>
      </c>
      <c r="DB29" s="4">
        <f t="shared" si="29"/>
        <v>0</v>
      </c>
      <c r="DC29" s="4">
        <f t="shared" si="30"/>
        <v>0</v>
      </c>
      <c r="DD29" s="4">
        <f t="shared" si="31"/>
        <v>0</v>
      </c>
      <c r="DE29" s="4">
        <f t="shared" si="32"/>
        <v>0</v>
      </c>
      <c r="DF29" s="10">
        <f t="shared" si="33"/>
        <v>0</v>
      </c>
      <c r="DG29" s="10">
        <f t="shared" si="35"/>
        <v>0</v>
      </c>
      <c r="DH29" s="4">
        <f t="shared" si="36"/>
        <v>0</v>
      </c>
      <c r="DI29" s="4">
        <f t="shared" si="37"/>
        <v>0</v>
      </c>
      <c r="DJ29" s="4">
        <f t="shared" si="38"/>
        <v>0</v>
      </c>
      <c r="DK29" s="4">
        <f t="shared" si="39"/>
        <v>0</v>
      </c>
    </row>
    <row r="30" spans="1:115" x14ac:dyDescent="0.25">
      <c r="A30" s="12">
        <v>45199</v>
      </c>
      <c r="B30" s="14">
        <v>472</v>
      </c>
      <c r="C30" s="10">
        <v>439</v>
      </c>
      <c r="D30" s="18">
        <f t="shared" si="7"/>
        <v>-6.991525423728813E-2</v>
      </c>
      <c r="E30" s="9">
        <v>0</v>
      </c>
      <c r="F30" s="10">
        <v>0</v>
      </c>
      <c r="G30" s="18">
        <v>0</v>
      </c>
      <c r="H30" s="9">
        <v>0</v>
      </c>
      <c r="I30" s="10">
        <v>0</v>
      </c>
      <c r="J30" s="18">
        <v>0</v>
      </c>
      <c r="K30" s="9">
        <v>0</v>
      </c>
      <c r="L30" s="10">
        <v>0</v>
      </c>
      <c r="M30" s="18">
        <v>0</v>
      </c>
      <c r="N30" s="9">
        <v>0</v>
      </c>
      <c r="O30" s="10">
        <v>0</v>
      </c>
      <c r="P30" s="18">
        <v>0</v>
      </c>
      <c r="Q30" s="9">
        <v>0</v>
      </c>
      <c r="R30" s="10">
        <v>0</v>
      </c>
      <c r="S30" s="18">
        <v>0</v>
      </c>
      <c r="T30" s="9">
        <v>0</v>
      </c>
      <c r="U30" s="10">
        <v>0</v>
      </c>
      <c r="V30" s="18">
        <v>0</v>
      </c>
      <c r="W30" s="9">
        <v>0</v>
      </c>
      <c r="X30" s="10">
        <v>0</v>
      </c>
      <c r="Y30" s="18">
        <v>0</v>
      </c>
      <c r="Z30" s="10">
        <v>0</v>
      </c>
      <c r="AA30" s="10">
        <v>0</v>
      </c>
      <c r="AB30" s="18">
        <v>0</v>
      </c>
      <c r="AC30" s="9">
        <v>0</v>
      </c>
      <c r="AD30" s="10">
        <v>0</v>
      </c>
      <c r="AE30" s="18">
        <v>0</v>
      </c>
      <c r="AF30" s="9">
        <v>0</v>
      </c>
      <c r="AG30" s="10">
        <v>0</v>
      </c>
      <c r="AH30" s="18">
        <v>0</v>
      </c>
      <c r="AI30" s="9">
        <v>0</v>
      </c>
      <c r="AJ30" s="10">
        <v>0</v>
      </c>
      <c r="AK30" s="18">
        <v>0</v>
      </c>
      <c r="AL30" s="9">
        <v>0</v>
      </c>
      <c r="AM30" s="10">
        <v>0</v>
      </c>
      <c r="AN30" s="18">
        <v>0</v>
      </c>
      <c r="AO30" s="9">
        <v>0</v>
      </c>
      <c r="AP30" s="10">
        <v>0</v>
      </c>
      <c r="AQ30" s="18">
        <v>0</v>
      </c>
      <c r="AR30" s="9">
        <v>0</v>
      </c>
      <c r="AS30" s="10">
        <v>0</v>
      </c>
      <c r="AT30" s="18">
        <v>0</v>
      </c>
      <c r="AU30" s="9">
        <v>0</v>
      </c>
      <c r="AV30" s="10">
        <v>0</v>
      </c>
      <c r="AW30" s="18">
        <v>0</v>
      </c>
      <c r="AX30" s="9">
        <v>0</v>
      </c>
      <c r="AY30" s="10">
        <v>0</v>
      </c>
      <c r="AZ30" s="18">
        <v>0</v>
      </c>
      <c r="BA30" s="9">
        <v>0</v>
      </c>
      <c r="BB30" s="10">
        <v>0</v>
      </c>
      <c r="BC30" s="18">
        <v>0</v>
      </c>
      <c r="BD30" s="9">
        <v>0</v>
      </c>
      <c r="BE30" s="10">
        <v>0</v>
      </c>
      <c r="BF30" s="18">
        <v>0</v>
      </c>
      <c r="BG30" s="9">
        <v>0</v>
      </c>
      <c r="BH30" s="10">
        <v>0</v>
      </c>
      <c r="BI30" s="18">
        <v>0</v>
      </c>
      <c r="BJ30" s="9">
        <v>0</v>
      </c>
      <c r="BK30" s="10">
        <v>0</v>
      </c>
      <c r="BL30" s="18">
        <v>0</v>
      </c>
      <c r="BM30" s="9">
        <v>0</v>
      </c>
      <c r="BN30" s="10">
        <v>0</v>
      </c>
      <c r="BO30" s="18">
        <v>0</v>
      </c>
      <c r="BP30" s="17"/>
      <c r="BQ30" s="16">
        <f t="shared" si="8"/>
        <v>45199</v>
      </c>
      <c r="BR30" s="10">
        <f t="shared" si="0"/>
        <v>472</v>
      </c>
      <c r="BS30" s="4">
        <f t="shared" si="40"/>
        <v>10</v>
      </c>
      <c r="BT30" s="10">
        <f t="shared" si="1"/>
        <v>439</v>
      </c>
      <c r="BU30" s="4">
        <f t="shared" si="9"/>
        <v>-33</v>
      </c>
      <c r="BV30" s="20">
        <f t="shared" si="10"/>
        <v>-6.991525423728813E-2</v>
      </c>
      <c r="BW30" s="4">
        <f t="shared" si="48"/>
        <v>-6.6800000000000068</v>
      </c>
      <c r="BX30" s="17"/>
      <c r="BY30" s="16">
        <f t="shared" si="2"/>
        <v>45199</v>
      </c>
      <c r="BZ30" s="10">
        <f t="shared" si="3"/>
        <v>0</v>
      </c>
      <c r="CA30" s="4">
        <f t="shared" si="41"/>
        <v>0</v>
      </c>
      <c r="CB30" s="10">
        <f t="shared" si="34"/>
        <v>0</v>
      </c>
      <c r="CC30" s="4">
        <f t="shared" si="11"/>
        <v>0</v>
      </c>
      <c r="CD30" s="20">
        <v>0</v>
      </c>
      <c r="CE30" s="4">
        <f t="shared" si="49"/>
        <v>0</v>
      </c>
      <c r="CF30" s="17"/>
      <c r="CG30" s="16">
        <f t="shared" si="5"/>
        <v>45199</v>
      </c>
      <c r="CH30" s="10">
        <f t="shared" si="12"/>
        <v>472</v>
      </c>
      <c r="CI30" s="10">
        <f t="shared" si="13"/>
        <v>10</v>
      </c>
      <c r="CJ30" s="10">
        <f t="shared" si="14"/>
        <v>439</v>
      </c>
      <c r="CK30" s="4">
        <f t="shared" si="15"/>
        <v>-33</v>
      </c>
      <c r="CL30" s="20">
        <v>0</v>
      </c>
      <c r="CM30" s="4">
        <f t="shared" si="50"/>
        <v>-6.6800000000000068</v>
      </c>
      <c r="CO30" s="16">
        <f t="shared" si="6"/>
        <v>45199</v>
      </c>
      <c r="CP30" s="4">
        <f t="shared" si="17"/>
        <v>-6.6800000000000068</v>
      </c>
      <c r="CQ30" s="4">
        <f t="shared" si="18"/>
        <v>0</v>
      </c>
      <c r="CR30" s="4">
        <f t="shared" si="19"/>
        <v>0</v>
      </c>
      <c r="CS30" s="4">
        <f t="shared" si="20"/>
        <v>0</v>
      </c>
      <c r="CT30" s="4">
        <f t="shared" si="21"/>
        <v>0</v>
      </c>
      <c r="CU30" s="4">
        <f t="shared" si="22"/>
        <v>0</v>
      </c>
      <c r="CV30" s="4">
        <f t="shared" si="23"/>
        <v>0</v>
      </c>
      <c r="CW30" s="4">
        <f t="shared" si="24"/>
        <v>0</v>
      </c>
      <c r="CX30" s="4">
        <f t="shared" si="25"/>
        <v>0</v>
      </c>
      <c r="CY30" s="4">
        <f t="shared" si="26"/>
        <v>0</v>
      </c>
      <c r="CZ30" s="4">
        <f t="shared" si="27"/>
        <v>0</v>
      </c>
      <c r="DA30" s="4">
        <f t="shared" si="28"/>
        <v>0</v>
      </c>
      <c r="DB30" s="4">
        <f t="shared" si="29"/>
        <v>0</v>
      </c>
      <c r="DC30" s="4">
        <f t="shared" si="30"/>
        <v>0</v>
      </c>
      <c r="DD30" s="4">
        <f t="shared" si="31"/>
        <v>0</v>
      </c>
      <c r="DE30" s="4">
        <f t="shared" si="32"/>
        <v>0</v>
      </c>
      <c r="DF30" s="10">
        <f t="shared" si="33"/>
        <v>0</v>
      </c>
      <c r="DG30" s="10">
        <f t="shared" si="35"/>
        <v>0</v>
      </c>
      <c r="DH30" s="4">
        <f t="shared" si="36"/>
        <v>0</v>
      </c>
      <c r="DI30" s="4">
        <f t="shared" si="37"/>
        <v>0</v>
      </c>
      <c r="DJ30" s="4">
        <f t="shared" si="38"/>
        <v>0</v>
      </c>
      <c r="DK30" s="4">
        <f t="shared" si="39"/>
        <v>0</v>
      </c>
    </row>
    <row r="31" spans="1:115" x14ac:dyDescent="0.25">
      <c r="A31" s="12">
        <v>45230</v>
      </c>
      <c r="B31" s="14">
        <v>482</v>
      </c>
      <c r="C31" s="8">
        <v>435.05</v>
      </c>
      <c r="D31" s="18">
        <f t="shared" si="7"/>
        <v>-9.7406639004149351E-2</v>
      </c>
      <c r="E31" s="9">
        <v>0</v>
      </c>
      <c r="F31" s="10">
        <v>0</v>
      </c>
      <c r="G31" s="18">
        <v>0</v>
      </c>
      <c r="H31" s="9">
        <v>0</v>
      </c>
      <c r="I31" s="10">
        <v>0</v>
      </c>
      <c r="J31" s="18">
        <v>0</v>
      </c>
      <c r="K31" s="9">
        <v>0</v>
      </c>
      <c r="L31" s="10">
        <v>0</v>
      </c>
      <c r="M31" s="18">
        <v>0</v>
      </c>
      <c r="N31" s="9">
        <v>0</v>
      </c>
      <c r="O31" s="10">
        <v>0</v>
      </c>
      <c r="P31" s="18">
        <v>0</v>
      </c>
      <c r="Q31" s="9">
        <v>0</v>
      </c>
      <c r="R31" s="10">
        <v>0</v>
      </c>
      <c r="S31" s="18">
        <v>0</v>
      </c>
      <c r="T31" s="9">
        <v>0</v>
      </c>
      <c r="U31" s="10">
        <v>0</v>
      </c>
      <c r="V31" s="18">
        <v>0</v>
      </c>
      <c r="W31" s="9">
        <v>0</v>
      </c>
      <c r="X31" s="10">
        <v>0</v>
      </c>
      <c r="Y31" s="18">
        <v>0</v>
      </c>
      <c r="Z31" s="10">
        <v>0</v>
      </c>
      <c r="AA31" s="10">
        <v>0</v>
      </c>
      <c r="AB31" s="18">
        <v>0</v>
      </c>
      <c r="AC31" s="9">
        <v>0</v>
      </c>
      <c r="AD31" s="10">
        <v>0</v>
      </c>
      <c r="AE31" s="18">
        <v>0</v>
      </c>
      <c r="AF31" s="9">
        <v>0</v>
      </c>
      <c r="AG31" s="10">
        <v>0</v>
      </c>
      <c r="AH31" s="18">
        <v>0</v>
      </c>
      <c r="AI31" s="9">
        <v>0</v>
      </c>
      <c r="AJ31" s="10">
        <v>0</v>
      </c>
      <c r="AK31" s="18">
        <v>0</v>
      </c>
      <c r="AL31" s="9">
        <v>0</v>
      </c>
      <c r="AM31" s="10">
        <v>0</v>
      </c>
      <c r="AN31" s="18">
        <v>0</v>
      </c>
      <c r="AO31" s="9">
        <v>0</v>
      </c>
      <c r="AP31" s="10">
        <v>0</v>
      </c>
      <c r="AQ31" s="18">
        <v>0</v>
      </c>
      <c r="AR31" s="9">
        <v>0</v>
      </c>
      <c r="AS31" s="10">
        <v>0</v>
      </c>
      <c r="AT31" s="18">
        <v>0</v>
      </c>
      <c r="AU31" s="9">
        <v>0</v>
      </c>
      <c r="AV31" s="10">
        <v>0</v>
      </c>
      <c r="AW31" s="18">
        <v>0</v>
      </c>
      <c r="AX31" s="9">
        <v>0</v>
      </c>
      <c r="AY31" s="10">
        <v>0</v>
      </c>
      <c r="AZ31" s="18">
        <v>0</v>
      </c>
      <c r="BA31" s="9">
        <v>0</v>
      </c>
      <c r="BB31" s="10">
        <v>0</v>
      </c>
      <c r="BC31" s="18">
        <v>0</v>
      </c>
      <c r="BD31" s="9">
        <v>0</v>
      </c>
      <c r="BE31" s="10">
        <v>0</v>
      </c>
      <c r="BF31" s="18">
        <v>0</v>
      </c>
      <c r="BG31" s="9">
        <v>0</v>
      </c>
      <c r="BH31" s="10">
        <v>0</v>
      </c>
      <c r="BI31" s="18">
        <v>0</v>
      </c>
      <c r="BJ31" s="9">
        <v>0</v>
      </c>
      <c r="BK31" s="10">
        <v>0</v>
      </c>
      <c r="BL31" s="18">
        <v>0</v>
      </c>
      <c r="BM31" s="9">
        <v>0</v>
      </c>
      <c r="BN31" s="10">
        <v>0</v>
      </c>
      <c r="BO31" s="18">
        <v>0</v>
      </c>
      <c r="BP31" s="17"/>
      <c r="BQ31" s="16">
        <f t="shared" si="8"/>
        <v>45230</v>
      </c>
      <c r="BR31" s="10">
        <f t="shared" si="0"/>
        <v>482</v>
      </c>
      <c r="BS31" s="4">
        <f t="shared" si="40"/>
        <v>10</v>
      </c>
      <c r="BT31" s="10">
        <f t="shared" si="1"/>
        <v>435.05</v>
      </c>
      <c r="BU31" s="4">
        <f t="shared" si="9"/>
        <v>-46.949999999999989</v>
      </c>
      <c r="BV31" s="20">
        <f t="shared" si="10"/>
        <v>-9.7406639004149351E-2</v>
      </c>
      <c r="BW31" s="4">
        <f t="shared" si="48"/>
        <v>-13.949999999999989</v>
      </c>
      <c r="BX31" s="17"/>
      <c r="BY31" s="16">
        <f t="shared" si="2"/>
        <v>45230</v>
      </c>
      <c r="BZ31" s="10">
        <f t="shared" si="3"/>
        <v>0</v>
      </c>
      <c r="CA31" s="4">
        <f t="shared" si="41"/>
        <v>0</v>
      </c>
      <c r="CB31" s="10">
        <f t="shared" si="34"/>
        <v>0</v>
      </c>
      <c r="CC31" s="4">
        <f t="shared" si="11"/>
        <v>0</v>
      </c>
      <c r="CD31" s="20">
        <v>0</v>
      </c>
      <c r="CE31" s="4">
        <f t="shared" si="49"/>
        <v>0</v>
      </c>
      <c r="CF31" s="17"/>
      <c r="CG31" s="16">
        <f t="shared" si="5"/>
        <v>45230</v>
      </c>
      <c r="CH31" s="10">
        <f t="shared" si="12"/>
        <v>482</v>
      </c>
      <c r="CI31" s="10">
        <f t="shared" si="13"/>
        <v>10</v>
      </c>
      <c r="CJ31" s="10">
        <f t="shared" si="14"/>
        <v>435.05</v>
      </c>
      <c r="CK31" s="4">
        <f t="shared" si="15"/>
        <v>-46.949999999999989</v>
      </c>
      <c r="CL31" s="20">
        <v>0</v>
      </c>
      <c r="CM31" s="4">
        <f t="shared" si="50"/>
        <v>-13.949999999999989</v>
      </c>
      <c r="CO31" s="16">
        <f t="shared" si="6"/>
        <v>45230</v>
      </c>
      <c r="CP31" s="4">
        <f t="shared" si="17"/>
        <v>-13.949999999999989</v>
      </c>
      <c r="CQ31" s="4">
        <f t="shared" si="18"/>
        <v>0</v>
      </c>
      <c r="CR31" s="4">
        <f t="shared" si="19"/>
        <v>0</v>
      </c>
      <c r="CS31" s="4">
        <f t="shared" si="20"/>
        <v>0</v>
      </c>
      <c r="CT31" s="4">
        <f t="shared" si="21"/>
        <v>0</v>
      </c>
      <c r="CU31" s="4">
        <f t="shared" si="22"/>
        <v>0</v>
      </c>
      <c r="CV31" s="4">
        <f t="shared" si="23"/>
        <v>0</v>
      </c>
      <c r="CW31" s="4">
        <f t="shared" si="24"/>
        <v>0</v>
      </c>
      <c r="CX31" s="4">
        <f t="shared" si="25"/>
        <v>0</v>
      </c>
      <c r="CY31" s="4">
        <f t="shared" si="26"/>
        <v>0</v>
      </c>
      <c r="CZ31" s="4">
        <f t="shared" si="27"/>
        <v>0</v>
      </c>
      <c r="DA31" s="4">
        <f t="shared" si="28"/>
        <v>0</v>
      </c>
      <c r="DB31" s="4">
        <f t="shared" si="29"/>
        <v>0</v>
      </c>
      <c r="DC31" s="4">
        <f t="shared" si="30"/>
        <v>0</v>
      </c>
      <c r="DD31" s="4">
        <f t="shared" si="31"/>
        <v>0</v>
      </c>
      <c r="DE31" s="4">
        <f t="shared" si="32"/>
        <v>0</v>
      </c>
      <c r="DF31" s="10">
        <f t="shared" si="33"/>
        <v>0</v>
      </c>
      <c r="DG31" s="10">
        <f t="shared" si="35"/>
        <v>0</v>
      </c>
      <c r="DH31" s="4">
        <f t="shared" si="36"/>
        <v>0</v>
      </c>
      <c r="DI31" s="4">
        <f t="shared" si="37"/>
        <v>0</v>
      </c>
      <c r="DJ31" s="4">
        <f t="shared" si="38"/>
        <v>0</v>
      </c>
      <c r="DK31" s="4">
        <f t="shared" si="39"/>
        <v>0</v>
      </c>
    </row>
    <row r="32" spans="1:115" x14ac:dyDescent="0.25">
      <c r="A32" s="12">
        <v>45260</v>
      </c>
      <c r="B32" s="14">
        <v>492</v>
      </c>
      <c r="C32" s="8">
        <v>473.05</v>
      </c>
      <c r="D32" s="18">
        <f t="shared" si="7"/>
        <v>-3.8516260162601602E-2</v>
      </c>
      <c r="E32" s="9">
        <v>0</v>
      </c>
      <c r="F32" s="10">
        <v>0</v>
      </c>
      <c r="G32" s="18">
        <v>0</v>
      </c>
      <c r="H32" s="9">
        <v>0</v>
      </c>
      <c r="I32" s="10">
        <v>0</v>
      </c>
      <c r="J32" s="18">
        <v>0</v>
      </c>
      <c r="K32" s="9">
        <v>0</v>
      </c>
      <c r="L32" s="10">
        <v>0</v>
      </c>
      <c r="M32" s="18">
        <v>0</v>
      </c>
      <c r="N32" s="9">
        <v>0</v>
      </c>
      <c r="O32" s="10">
        <v>0</v>
      </c>
      <c r="P32" s="18">
        <v>0</v>
      </c>
      <c r="Q32" s="9">
        <v>0</v>
      </c>
      <c r="R32" s="10">
        <v>0</v>
      </c>
      <c r="S32" s="18">
        <v>0</v>
      </c>
      <c r="T32" s="9">
        <v>0</v>
      </c>
      <c r="U32" s="10">
        <v>0</v>
      </c>
      <c r="V32" s="18">
        <v>0</v>
      </c>
      <c r="W32" s="9">
        <v>0</v>
      </c>
      <c r="X32" s="10">
        <v>0</v>
      </c>
      <c r="Y32" s="18">
        <v>0</v>
      </c>
      <c r="Z32" s="10">
        <v>0</v>
      </c>
      <c r="AA32" s="10">
        <v>0</v>
      </c>
      <c r="AB32" s="18">
        <v>0</v>
      </c>
      <c r="AC32" s="9">
        <v>0</v>
      </c>
      <c r="AD32" s="10">
        <v>0</v>
      </c>
      <c r="AE32" s="18">
        <v>0</v>
      </c>
      <c r="AF32" s="9">
        <v>0</v>
      </c>
      <c r="AG32" s="10">
        <v>0</v>
      </c>
      <c r="AH32" s="18">
        <v>0</v>
      </c>
      <c r="AI32" s="9">
        <v>0</v>
      </c>
      <c r="AJ32" s="10">
        <v>0</v>
      </c>
      <c r="AK32" s="18">
        <v>0</v>
      </c>
      <c r="AL32" s="9">
        <v>0</v>
      </c>
      <c r="AM32" s="10">
        <v>0</v>
      </c>
      <c r="AN32" s="18">
        <v>0</v>
      </c>
      <c r="AO32" s="9">
        <v>0</v>
      </c>
      <c r="AP32" s="10">
        <v>0</v>
      </c>
      <c r="AQ32" s="18">
        <v>0</v>
      </c>
      <c r="AR32" s="9">
        <v>0</v>
      </c>
      <c r="AS32" s="10">
        <v>0</v>
      </c>
      <c r="AT32" s="18">
        <v>0</v>
      </c>
      <c r="AU32" s="9">
        <v>0</v>
      </c>
      <c r="AV32" s="10">
        <v>0</v>
      </c>
      <c r="AW32" s="18">
        <v>0</v>
      </c>
      <c r="AX32" s="9">
        <v>0</v>
      </c>
      <c r="AY32" s="10">
        <v>0</v>
      </c>
      <c r="AZ32" s="18">
        <v>0</v>
      </c>
      <c r="BA32" s="9">
        <v>0</v>
      </c>
      <c r="BB32" s="10">
        <v>0</v>
      </c>
      <c r="BC32" s="18">
        <v>0</v>
      </c>
      <c r="BD32" s="9">
        <v>0</v>
      </c>
      <c r="BE32" s="10">
        <v>0</v>
      </c>
      <c r="BF32" s="18">
        <v>0</v>
      </c>
      <c r="BG32" s="9">
        <v>0</v>
      </c>
      <c r="BH32" s="10">
        <v>0</v>
      </c>
      <c r="BI32" s="18">
        <v>0</v>
      </c>
      <c r="BJ32" s="9">
        <v>0</v>
      </c>
      <c r="BK32" s="10">
        <v>0</v>
      </c>
      <c r="BL32" s="18">
        <v>0</v>
      </c>
      <c r="BM32" s="9">
        <v>0</v>
      </c>
      <c r="BN32" s="10">
        <v>0</v>
      </c>
      <c r="BO32" s="18">
        <v>0</v>
      </c>
      <c r="BP32" s="17"/>
      <c r="BQ32" s="16">
        <f t="shared" si="8"/>
        <v>45260</v>
      </c>
      <c r="BR32" s="10">
        <f t="shared" si="0"/>
        <v>492</v>
      </c>
      <c r="BS32" s="4">
        <f t="shared" si="40"/>
        <v>10</v>
      </c>
      <c r="BT32" s="10">
        <f t="shared" si="1"/>
        <v>473.05</v>
      </c>
      <c r="BU32" s="4">
        <f t="shared" si="9"/>
        <v>-18.949999999999989</v>
      </c>
      <c r="BV32" s="20">
        <f t="shared" si="10"/>
        <v>-3.8516260162601602E-2</v>
      </c>
      <c r="BW32" s="4">
        <f t="shared" si="48"/>
        <v>28</v>
      </c>
      <c r="BX32" s="17"/>
      <c r="BY32" s="16">
        <f t="shared" si="2"/>
        <v>45260</v>
      </c>
      <c r="BZ32" s="10">
        <f t="shared" si="3"/>
        <v>0</v>
      </c>
      <c r="CA32" s="4">
        <f t="shared" si="41"/>
        <v>0</v>
      </c>
      <c r="CB32" s="10">
        <f t="shared" si="34"/>
        <v>0</v>
      </c>
      <c r="CC32" s="4">
        <f t="shared" si="11"/>
        <v>0</v>
      </c>
      <c r="CD32" s="20">
        <v>0</v>
      </c>
      <c r="CE32" s="4">
        <f t="shared" si="49"/>
        <v>0</v>
      </c>
      <c r="CF32" s="17"/>
      <c r="CG32" s="16">
        <f t="shared" si="5"/>
        <v>45260</v>
      </c>
      <c r="CH32" s="10">
        <f t="shared" si="12"/>
        <v>492</v>
      </c>
      <c r="CI32" s="10">
        <f t="shared" si="13"/>
        <v>10</v>
      </c>
      <c r="CJ32" s="10">
        <f t="shared" si="14"/>
        <v>473.05</v>
      </c>
      <c r="CK32" s="4">
        <f t="shared" si="15"/>
        <v>-18.949999999999989</v>
      </c>
      <c r="CL32" s="20">
        <v>0</v>
      </c>
      <c r="CM32" s="4">
        <f t="shared" si="50"/>
        <v>28</v>
      </c>
      <c r="CO32" s="16">
        <f t="shared" si="6"/>
        <v>45260</v>
      </c>
      <c r="CP32" s="4">
        <f t="shared" si="17"/>
        <v>28</v>
      </c>
      <c r="CQ32" s="4">
        <f t="shared" si="18"/>
        <v>0</v>
      </c>
      <c r="CR32" s="4">
        <f t="shared" si="19"/>
        <v>0</v>
      </c>
      <c r="CS32" s="4">
        <f t="shared" si="20"/>
        <v>0</v>
      </c>
      <c r="CT32" s="4">
        <f t="shared" si="21"/>
        <v>0</v>
      </c>
      <c r="CU32" s="4">
        <f t="shared" si="22"/>
        <v>0</v>
      </c>
      <c r="CV32" s="4">
        <f t="shared" si="23"/>
        <v>0</v>
      </c>
      <c r="CW32" s="4">
        <f t="shared" si="24"/>
        <v>0</v>
      </c>
      <c r="CX32" s="4">
        <f t="shared" si="25"/>
        <v>0</v>
      </c>
      <c r="CY32" s="4">
        <f t="shared" si="26"/>
        <v>0</v>
      </c>
      <c r="CZ32" s="4">
        <f t="shared" si="27"/>
        <v>0</v>
      </c>
      <c r="DA32" s="4">
        <f t="shared" si="28"/>
        <v>0</v>
      </c>
      <c r="DB32" s="4">
        <f t="shared" si="29"/>
        <v>0</v>
      </c>
      <c r="DC32" s="4">
        <f t="shared" si="30"/>
        <v>0</v>
      </c>
      <c r="DD32" s="4">
        <f t="shared" si="31"/>
        <v>0</v>
      </c>
      <c r="DE32" s="4">
        <f t="shared" si="32"/>
        <v>0</v>
      </c>
      <c r="DF32" s="10">
        <f t="shared" si="33"/>
        <v>0</v>
      </c>
      <c r="DG32" s="10">
        <f t="shared" si="35"/>
        <v>0</v>
      </c>
      <c r="DH32" s="4">
        <f t="shared" si="36"/>
        <v>0</v>
      </c>
      <c r="DI32" s="4">
        <f t="shared" si="37"/>
        <v>0</v>
      </c>
      <c r="DJ32" s="4">
        <f t="shared" si="38"/>
        <v>0</v>
      </c>
      <c r="DK32" s="4">
        <f t="shared" si="39"/>
        <v>0</v>
      </c>
    </row>
    <row r="33" spans="1:115" x14ac:dyDescent="0.25">
      <c r="A33" s="12">
        <v>45291</v>
      </c>
      <c r="B33" s="15">
        <v>502</v>
      </c>
      <c r="C33" s="8">
        <v>503.87</v>
      </c>
      <c r="D33" s="18">
        <f t="shared" si="7"/>
        <v>3.7250996015936347E-3</v>
      </c>
      <c r="E33" s="9">
        <v>0</v>
      </c>
      <c r="F33" s="10">
        <v>0</v>
      </c>
      <c r="G33" s="18">
        <v>0</v>
      </c>
      <c r="H33" s="9">
        <v>0</v>
      </c>
      <c r="I33" s="10">
        <v>0</v>
      </c>
      <c r="J33" s="18">
        <v>0</v>
      </c>
      <c r="K33" s="9">
        <v>0</v>
      </c>
      <c r="L33" s="10">
        <v>0</v>
      </c>
      <c r="M33" s="18">
        <v>0</v>
      </c>
      <c r="N33" s="9">
        <v>0</v>
      </c>
      <c r="O33" s="10">
        <v>0</v>
      </c>
      <c r="P33" s="18">
        <v>0</v>
      </c>
      <c r="Q33" s="9">
        <v>0</v>
      </c>
      <c r="R33" s="10">
        <v>0</v>
      </c>
      <c r="S33" s="18">
        <v>0</v>
      </c>
      <c r="T33" s="9">
        <v>0</v>
      </c>
      <c r="U33" s="10">
        <v>0</v>
      </c>
      <c r="V33" s="18">
        <v>0</v>
      </c>
      <c r="W33" s="9">
        <v>0</v>
      </c>
      <c r="X33" s="10">
        <v>0</v>
      </c>
      <c r="Y33" s="18">
        <v>0</v>
      </c>
      <c r="Z33" s="10">
        <v>0</v>
      </c>
      <c r="AA33" s="10">
        <v>0</v>
      </c>
      <c r="AB33" s="18">
        <v>0</v>
      </c>
      <c r="AC33" s="9">
        <v>0</v>
      </c>
      <c r="AD33" s="10">
        <v>0</v>
      </c>
      <c r="AE33" s="18">
        <v>0</v>
      </c>
      <c r="AF33" s="9">
        <v>0</v>
      </c>
      <c r="AG33" s="10">
        <v>0</v>
      </c>
      <c r="AH33" s="18">
        <v>0</v>
      </c>
      <c r="AI33" s="9">
        <v>0</v>
      </c>
      <c r="AJ33" s="10">
        <v>0</v>
      </c>
      <c r="AK33" s="18">
        <v>0</v>
      </c>
      <c r="AL33" s="9">
        <v>0</v>
      </c>
      <c r="AM33" s="10">
        <v>0</v>
      </c>
      <c r="AN33" s="18">
        <v>0</v>
      </c>
      <c r="AO33" s="9">
        <v>0</v>
      </c>
      <c r="AP33" s="10">
        <v>0</v>
      </c>
      <c r="AQ33" s="18">
        <v>0</v>
      </c>
      <c r="AR33" s="9">
        <v>0</v>
      </c>
      <c r="AS33" s="10">
        <v>0</v>
      </c>
      <c r="AT33" s="18">
        <v>0</v>
      </c>
      <c r="AU33" s="9">
        <v>0</v>
      </c>
      <c r="AV33" s="10">
        <v>0</v>
      </c>
      <c r="AW33" s="18">
        <v>0</v>
      </c>
      <c r="AX33" s="9">
        <v>0</v>
      </c>
      <c r="AY33" s="10">
        <v>0</v>
      </c>
      <c r="AZ33" s="18">
        <v>0</v>
      </c>
      <c r="BA33" s="9">
        <v>0</v>
      </c>
      <c r="BB33" s="10">
        <v>0</v>
      </c>
      <c r="BC33" s="18">
        <v>0</v>
      </c>
      <c r="BD33" s="9">
        <v>0</v>
      </c>
      <c r="BE33" s="10">
        <v>0</v>
      </c>
      <c r="BF33" s="18">
        <v>0</v>
      </c>
      <c r="BG33" s="9">
        <v>0</v>
      </c>
      <c r="BH33" s="10">
        <v>0</v>
      </c>
      <c r="BI33" s="18">
        <v>0</v>
      </c>
      <c r="BJ33" s="9">
        <v>0</v>
      </c>
      <c r="BK33" s="10">
        <v>0</v>
      </c>
      <c r="BL33" s="18">
        <v>0</v>
      </c>
      <c r="BM33" s="9">
        <v>0</v>
      </c>
      <c r="BN33" s="10">
        <v>0</v>
      </c>
      <c r="BO33" s="18">
        <v>0</v>
      </c>
      <c r="BP33" s="17"/>
      <c r="BQ33" s="16">
        <f t="shared" si="8"/>
        <v>45291</v>
      </c>
      <c r="BR33" s="10">
        <f t="shared" si="0"/>
        <v>502</v>
      </c>
      <c r="BS33" s="4">
        <f t="shared" si="40"/>
        <v>10</v>
      </c>
      <c r="BT33" s="10">
        <f t="shared" si="1"/>
        <v>503.87</v>
      </c>
      <c r="BU33" s="4">
        <f t="shared" si="9"/>
        <v>1.8700000000000045</v>
      </c>
      <c r="BV33" s="20">
        <f t="shared" si="10"/>
        <v>3.7250996015936347E-3</v>
      </c>
      <c r="BW33" s="4">
        <f t="shared" si="48"/>
        <v>20.819999999999993</v>
      </c>
      <c r="BX33" s="17"/>
      <c r="BY33" s="16">
        <f t="shared" si="2"/>
        <v>45291</v>
      </c>
      <c r="BZ33" s="10">
        <f t="shared" si="3"/>
        <v>0</v>
      </c>
      <c r="CA33" s="4">
        <f t="shared" si="41"/>
        <v>0</v>
      </c>
      <c r="CB33" s="10">
        <f t="shared" si="34"/>
        <v>0</v>
      </c>
      <c r="CC33" s="4">
        <f t="shared" si="11"/>
        <v>0</v>
      </c>
      <c r="CD33" s="20">
        <v>0</v>
      </c>
      <c r="CE33" s="4">
        <f t="shared" si="49"/>
        <v>0</v>
      </c>
      <c r="CF33" s="17"/>
      <c r="CG33" s="16">
        <f t="shared" si="5"/>
        <v>45291</v>
      </c>
      <c r="CH33" s="10">
        <f t="shared" si="12"/>
        <v>502</v>
      </c>
      <c r="CI33" s="10">
        <f t="shared" si="13"/>
        <v>10</v>
      </c>
      <c r="CJ33" s="10">
        <f t="shared" si="14"/>
        <v>503.87</v>
      </c>
      <c r="CK33" s="4">
        <f t="shared" si="15"/>
        <v>1.8700000000000045</v>
      </c>
      <c r="CL33" s="20">
        <v>0</v>
      </c>
      <c r="CM33" s="4">
        <f t="shared" si="50"/>
        <v>20.819999999999993</v>
      </c>
      <c r="CO33" s="16">
        <f t="shared" si="6"/>
        <v>45291</v>
      </c>
      <c r="CP33" s="4">
        <f t="shared" si="17"/>
        <v>20.819999999999993</v>
      </c>
      <c r="CQ33" s="4">
        <f t="shared" si="18"/>
        <v>0</v>
      </c>
      <c r="CR33" s="4">
        <f t="shared" si="19"/>
        <v>0</v>
      </c>
      <c r="CS33" s="4">
        <f t="shared" si="20"/>
        <v>0</v>
      </c>
      <c r="CT33" s="4">
        <f t="shared" si="21"/>
        <v>0</v>
      </c>
      <c r="CU33" s="4">
        <f t="shared" si="22"/>
        <v>0</v>
      </c>
      <c r="CV33" s="4">
        <f t="shared" si="23"/>
        <v>0</v>
      </c>
      <c r="CW33" s="4">
        <f t="shared" si="24"/>
        <v>0</v>
      </c>
      <c r="CX33" s="4">
        <f t="shared" si="25"/>
        <v>0</v>
      </c>
      <c r="CY33" s="4">
        <f t="shared" si="26"/>
        <v>0</v>
      </c>
      <c r="CZ33" s="4">
        <f t="shared" si="27"/>
        <v>0</v>
      </c>
      <c r="DA33" s="4">
        <f t="shared" si="28"/>
        <v>0</v>
      </c>
      <c r="DB33" s="4">
        <f t="shared" si="29"/>
        <v>0</v>
      </c>
      <c r="DC33" s="4">
        <f t="shared" si="30"/>
        <v>0</v>
      </c>
      <c r="DD33" s="4">
        <f t="shared" si="31"/>
        <v>0</v>
      </c>
      <c r="DE33" s="4">
        <f t="shared" si="32"/>
        <v>0</v>
      </c>
      <c r="DF33" s="10">
        <f t="shared" si="33"/>
        <v>0</v>
      </c>
      <c r="DG33" s="10">
        <f t="shared" si="35"/>
        <v>0</v>
      </c>
      <c r="DH33" s="4">
        <f t="shared" si="36"/>
        <v>0</v>
      </c>
      <c r="DI33" s="4">
        <f t="shared" si="37"/>
        <v>0</v>
      </c>
      <c r="DJ33" s="4">
        <f t="shared" si="38"/>
        <v>0</v>
      </c>
      <c r="DK33" s="4">
        <f t="shared" si="39"/>
        <v>0</v>
      </c>
    </row>
    <row r="34" spans="1:115" x14ac:dyDescent="0.25">
      <c r="A34" s="12">
        <v>45322</v>
      </c>
      <c r="B34" s="7">
        <v>540.94000000000005</v>
      </c>
      <c r="C34" s="8">
        <v>550.84</v>
      </c>
      <c r="D34" s="18">
        <f t="shared" si="7"/>
        <v>1.8301475209819899E-2</v>
      </c>
      <c r="E34" s="9">
        <v>0</v>
      </c>
      <c r="F34" s="10">
        <v>0</v>
      </c>
      <c r="G34" s="18">
        <v>0</v>
      </c>
      <c r="H34" s="9">
        <v>0</v>
      </c>
      <c r="I34" s="10">
        <v>0</v>
      </c>
      <c r="J34" s="18">
        <v>0</v>
      </c>
      <c r="K34" s="4">
        <v>0</v>
      </c>
      <c r="L34" s="4">
        <v>0</v>
      </c>
      <c r="M34" s="19">
        <v>0</v>
      </c>
      <c r="N34" s="9">
        <v>0</v>
      </c>
      <c r="O34" s="10">
        <v>0</v>
      </c>
      <c r="P34" s="18">
        <v>0</v>
      </c>
      <c r="Q34" s="9">
        <v>100</v>
      </c>
      <c r="R34" s="8">
        <v>96.26</v>
      </c>
      <c r="S34" s="18">
        <f>(R34-Q34)/Q34</f>
        <v>-3.7399999999999947E-2</v>
      </c>
      <c r="T34" s="9">
        <v>0</v>
      </c>
      <c r="U34" s="10">
        <v>0</v>
      </c>
      <c r="V34" s="18">
        <v>0</v>
      </c>
      <c r="W34" s="9">
        <v>0</v>
      </c>
      <c r="X34" s="10">
        <v>0</v>
      </c>
      <c r="Y34" s="18">
        <v>0</v>
      </c>
      <c r="Z34" s="9">
        <v>0</v>
      </c>
      <c r="AA34" s="10">
        <v>0</v>
      </c>
      <c r="AB34" s="18">
        <v>0</v>
      </c>
      <c r="AC34" s="9">
        <v>0</v>
      </c>
      <c r="AD34" s="10">
        <v>0</v>
      </c>
      <c r="AE34" s="18">
        <v>0</v>
      </c>
      <c r="AF34" s="9">
        <v>0</v>
      </c>
      <c r="AG34" s="10">
        <v>0</v>
      </c>
      <c r="AH34" s="18">
        <v>0</v>
      </c>
      <c r="AI34" s="9">
        <v>0</v>
      </c>
      <c r="AJ34" s="10">
        <v>0</v>
      </c>
      <c r="AK34" s="18">
        <v>0</v>
      </c>
      <c r="AL34" s="9">
        <v>0</v>
      </c>
      <c r="AM34" s="10">
        <v>0</v>
      </c>
      <c r="AN34" s="18">
        <v>0</v>
      </c>
      <c r="AO34" s="9">
        <v>0</v>
      </c>
      <c r="AP34" s="10">
        <v>0</v>
      </c>
      <c r="AQ34" s="18">
        <v>0</v>
      </c>
      <c r="AR34" s="9">
        <v>0</v>
      </c>
      <c r="AS34" s="10">
        <v>0</v>
      </c>
      <c r="AT34" s="18">
        <v>0</v>
      </c>
      <c r="AU34" s="9">
        <v>0</v>
      </c>
      <c r="AV34" s="10">
        <v>0</v>
      </c>
      <c r="AW34" s="18">
        <v>0</v>
      </c>
      <c r="AX34" s="9">
        <v>0</v>
      </c>
      <c r="AY34" s="10">
        <v>0</v>
      </c>
      <c r="AZ34" s="18">
        <v>0</v>
      </c>
      <c r="BA34" s="9">
        <v>0</v>
      </c>
      <c r="BB34" s="10">
        <v>0</v>
      </c>
      <c r="BC34" s="18">
        <v>0</v>
      </c>
      <c r="BD34" s="9">
        <v>0</v>
      </c>
      <c r="BE34" s="10">
        <v>0</v>
      </c>
      <c r="BF34" s="18">
        <v>0</v>
      </c>
      <c r="BG34" s="9">
        <v>0</v>
      </c>
      <c r="BH34" s="10">
        <v>0</v>
      </c>
      <c r="BI34" s="18">
        <v>0</v>
      </c>
      <c r="BJ34" s="9">
        <v>0</v>
      </c>
      <c r="BK34" s="10">
        <v>0</v>
      </c>
      <c r="BL34" s="18">
        <v>0</v>
      </c>
      <c r="BM34" s="9">
        <v>0</v>
      </c>
      <c r="BN34" s="10">
        <v>0</v>
      </c>
      <c r="BO34" s="18">
        <v>0</v>
      </c>
      <c r="BP34" s="17"/>
      <c r="BQ34" s="16">
        <f t="shared" si="8"/>
        <v>45322</v>
      </c>
      <c r="BR34" s="10">
        <f t="shared" si="0"/>
        <v>640.94000000000005</v>
      </c>
      <c r="BS34" s="4">
        <f t="shared" si="40"/>
        <v>138.94000000000005</v>
      </c>
      <c r="BT34" s="10">
        <f t="shared" si="1"/>
        <v>647.1</v>
      </c>
      <c r="BU34" s="4">
        <f t="shared" si="9"/>
        <v>6.1599999999999682</v>
      </c>
      <c r="BV34" s="20">
        <f t="shared" si="10"/>
        <v>9.6108840141042335E-3</v>
      </c>
      <c r="BW34" s="4">
        <f>BU34-BU33</f>
        <v>4.2899999999999636</v>
      </c>
      <c r="BX34" s="17"/>
      <c r="BY34" s="16">
        <f t="shared" si="2"/>
        <v>45322</v>
      </c>
      <c r="BZ34" s="10">
        <f t="shared" si="3"/>
        <v>0</v>
      </c>
      <c r="CA34" s="4">
        <f t="shared" si="41"/>
        <v>0</v>
      </c>
      <c r="CB34" s="10">
        <f t="shared" si="34"/>
        <v>0</v>
      </c>
      <c r="CC34" s="4">
        <f t="shared" si="11"/>
        <v>0</v>
      </c>
      <c r="CD34" s="20">
        <v>0</v>
      </c>
      <c r="CE34" s="4">
        <f>CC34-CC33</f>
        <v>0</v>
      </c>
      <c r="CF34" s="17"/>
      <c r="CG34" s="16">
        <f t="shared" si="5"/>
        <v>45322</v>
      </c>
      <c r="CH34" s="10">
        <f t="shared" si="12"/>
        <v>640.94000000000005</v>
      </c>
      <c r="CI34" s="10">
        <f t="shared" si="13"/>
        <v>138.94000000000005</v>
      </c>
      <c r="CJ34" s="10">
        <f t="shared" si="14"/>
        <v>647.1</v>
      </c>
      <c r="CK34" s="4">
        <f t="shared" si="15"/>
        <v>6.1599999999999682</v>
      </c>
      <c r="CL34" s="20">
        <v>0</v>
      </c>
      <c r="CM34" s="4">
        <f>CK34-CK33</f>
        <v>4.2899999999999636</v>
      </c>
      <c r="CO34" s="16">
        <f t="shared" si="6"/>
        <v>45322</v>
      </c>
      <c r="CP34" s="4">
        <f t="shared" si="17"/>
        <v>8.0299999999999727</v>
      </c>
      <c r="CQ34" s="4">
        <f t="shared" si="18"/>
        <v>0</v>
      </c>
      <c r="CR34" s="4">
        <f t="shared" si="19"/>
        <v>0</v>
      </c>
      <c r="CS34" s="4">
        <f t="shared" si="20"/>
        <v>0</v>
      </c>
      <c r="CT34" s="4">
        <f t="shared" si="21"/>
        <v>0</v>
      </c>
      <c r="CU34" s="4">
        <f t="shared" si="22"/>
        <v>-3.7399999999999949</v>
      </c>
      <c r="CV34" s="4">
        <f t="shared" si="23"/>
        <v>0</v>
      </c>
      <c r="CW34" s="4">
        <f t="shared" si="24"/>
        <v>0</v>
      </c>
      <c r="CX34" s="4">
        <f t="shared" si="25"/>
        <v>0</v>
      </c>
      <c r="CY34" s="4">
        <f t="shared" si="26"/>
        <v>0</v>
      </c>
      <c r="CZ34" s="4">
        <f t="shared" si="27"/>
        <v>0</v>
      </c>
      <c r="DA34" s="4">
        <f t="shared" si="28"/>
        <v>0</v>
      </c>
      <c r="DB34" s="4">
        <f t="shared" si="29"/>
        <v>0</v>
      </c>
      <c r="DC34" s="4">
        <f t="shared" si="30"/>
        <v>0</v>
      </c>
      <c r="DD34" s="4">
        <f t="shared" si="31"/>
        <v>0</v>
      </c>
      <c r="DE34" s="4">
        <f t="shared" si="32"/>
        <v>0</v>
      </c>
      <c r="DF34" s="10">
        <f t="shared" si="33"/>
        <v>0</v>
      </c>
      <c r="DG34" s="10">
        <f t="shared" si="35"/>
        <v>0</v>
      </c>
      <c r="DH34" s="4">
        <f t="shared" si="36"/>
        <v>0</v>
      </c>
      <c r="DI34" s="4">
        <f t="shared" si="37"/>
        <v>0</v>
      </c>
      <c r="DJ34" s="4">
        <f t="shared" si="38"/>
        <v>0</v>
      </c>
      <c r="DK34" s="4">
        <f t="shared" si="39"/>
        <v>0</v>
      </c>
    </row>
    <row r="35" spans="1:115" x14ac:dyDescent="0.25">
      <c r="A35" s="12">
        <v>45351</v>
      </c>
      <c r="B35" s="7">
        <v>565.94000000000005</v>
      </c>
      <c r="C35" s="8">
        <v>588.96</v>
      </c>
      <c r="D35" s="18">
        <f t="shared" si="7"/>
        <v>4.0675690002473723E-2</v>
      </c>
      <c r="E35" s="9">
        <v>0</v>
      </c>
      <c r="F35" s="10">
        <v>0</v>
      </c>
      <c r="G35" s="18">
        <v>0</v>
      </c>
      <c r="H35" s="9">
        <v>0</v>
      </c>
      <c r="I35" s="10">
        <v>0</v>
      </c>
      <c r="J35" s="18">
        <v>0</v>
      </c>
      <c r="K35" s="4">
        <v>0</v>
      </c>
      <c r="L35" s="4">
        <v>0</v>
      </c>
      <c r="M35" s="19">
        <v>0</v>
      </c>
      <c r="N35" s="9">
        <v>100</v>
      </c>
      <c r="O35" s="10">
        <v>100.04</v>
      </c>
      <c r="P35" s="18">
        <f>(O35-N35)/N35</f>
        <v>4.0000000000006252E-4</v>
      </c>
      <c r="Q35" s="9">
        <v>100</v>
      </c>
      <c r="R35" s="8">
        <v>105.49</v>
      </c>
      <c r="S35" s="18">
        <f t="shared" ref="S35:S57" si="51">(R35-Q35)/Q35</f>
        <v>5.4899999999999949E-2</v>
      </c>
      <c r="T35" s="9">
        <v>0</v>
      </c>
      <c r="U35" s="10">
        <v>0</v>
      </c>
      <c r="V35" s="18">
        <v>0</v>
      </c>
      <c r="W35" s="9">
        <v>0</v>
      </c>
      <c r="X35" s="10">
        <v>0</v>
      </c>
      <c r="Y35" s="18">
        <v>0</v>
      </c>
      <c r="Z35" s="9">
        <v>0</v>
      </c>
      <c r="AA35" s="10">
        <v>0</v>
      </c>
      <c r="AB35" s="18">
        <v>0</v>
      </c>
      <c r="AC35" s="9">
        <v>0</v>
      </c>
      <c r="AD35" s="10">
        <v>0</v>
      </c>
      <c r="AE35" s="18">
        <v>0</v>
      </c>
      <c r="AF35" s="9">
        <v>0</v>
      </c>
      <c r="AG35" s="10">
        <v>0</v>
      </c>
      <c r="AH35" s="18">
        <v>0</v>
      </c>
      <c r="AI35" s="9">
        <v>0</v>
      </c>
      <c r="AJ35" s="10">
        <v>0</v>
      </c>
      <c r="AK35" s="18">
        <v>0</v>
      </c>
      <c r="AL35" s="9">
        <v>0</v>
      </c>
      <c r="AM35" s="10">
        <v>0</v>
      </c>
      <c r="AN35" s="18">
        <v>0</v>
      </c>
      <c r="AO35" s="9">
        <v>0</v>
      </c>
      <c r="AP35" s="10">
        <v>0</v>
      </c>
      <c r="AQ35" s="18">
        <v>0</v>
      </c>
      <c r="AR35" s="9">
        <v>0</v>
      </c>
      <c r="AS35" s="10">
        <v>0</v>
      </c>
      <c r="AT35" s="18">
        <v>0</v>
      </c>
      <c r="AU35" s="9">
        <v>0</v>
      </c>
      <c r="AV35" s="10">
        <v>0</v>
      </c>
      <c r="AW35" s="18">
        <v>0</v>
      </c>
      <c r="AX35" s="9">
        <v>0</v>
      </c>
      <c r="AY35" s="10">
        <v>0</v>
      </c>
      <c r="AZ35" s="18">
        <v>0</v>
      </c>
      <c r="BA35" s="9">
        <v>0</v>
      </c>
      <c r="BB35" s="10">
        <v>0</v>
      </c>
      <c r="BC35" s="18">
        <v>0</v>
      </c>
      <c r="BD35" s="9">
        <v>0</v>
      </c>
      <c r="BE35" s="10">
        <v>0</v>
      </c>
      <c r="BF35" s="18">
        <v>0</v>
      </c>
      <c r="BG35" s="9">
        <v>0</v>
      </c>
      <c r="BH35" s="10">
        <v>0</v>
      </c>
      <c r="BI35" s="18">
        <v>0</v>
      </c>
      <c r="BJ35" s="9">
        <v>0</v>
      </c>
      <c r="BK35" s="10">
        <v>0</v>
      </c>
      <c r="BL35" s="18">
        <v>0</v>
      </c>
      <c r="BM35" s="9">
        <v>0</v>
      </c>
      <c r="BN35" s="10">
        <v>0</v>
      </c>
      <c r="BO35" s="18">
        <v>0</v>
      </c>
      <c r="BP35" s="17"/>
      <c r="BQ35" s="16">
        <f t="shared" si="8"/>
        <v>45351</v>
      </c>
      <c r="BR35" s="10">
        <f t="shared" ref="BR35:BR63" si="52">B35+E35+H35+K35+N35+Q35</f>
        <v>765.94</v>
      </c>
      <c r="BS35" s="4">
        <f t="shared" si="40"/>
        <v>125</v>
      </c>
      <c r="BT35" s="10">
        <f t="shared" ref="BT35:BT63" si="53">C35+F35+I35+L35+O35+R35</f>
        <v>794.49</v>
      </c>
      <c r="BU35" s="4">
        <f t="shared" si="9"/>
        <v>28.549999999999955</v>
      </c>
      <c r="BV35" s="20">
        <f t="shared" si="10"/>
        <v>3.7274460140480914E-2</v>
      </c>
      <c r="BW35" s="4">
        <f>BU35-BU34</f>
        <v>22.389999999999986</v>
      </c>
      <c r="BX35" s="17"/>
      <c r="BY35" s="16">
        <f t="shared" si="2"/>
        <v>45351</v>
      </c>
      <c r="BZ35" s="10">
        <f t="shared" si="3"/>
        <v>0</v>
      </c>
      <c r="CA35" s="4">
        <f t="shared" si="41"/>
        <v>0</v>
      </c>
      <c r="CB35" s="10">
        <f t="shared" si="34"/>
        <v>0</v>
      </c>
      <c r="CC35" s="4">
        <f t="shared" si="11"/>
        <v>0</v>
      </c>
      <c r="CD35" s="20">
        <v>0</v>
      </c>
      <c r="CE35" s="4">
        <f>CC35-CC34</f>
        <v>0</v>
      </c>
      <c r="CF35" s="17"/>
      <c r="CG35" s="16">
        <f t="shared" si="5"/>
        <v>45351</v>
      </c>
      <c r="CH35" s="10">
        <f t="shared" si="12"/>
        <v>765.94</v>
      </c>
      <c r="CI35" s="10">
        <f t="shared" si="13"/>
        <v>125</v>
      </c>
      <c r="CJ35" s="10">
        <f t="shared" si="14"/>
        <v>794.49</v>
      </c>
      <c r="CK35" s="4">
        <f t="shared" si="15"/>
        <v>28.549999999999955</v>
      </c>
      <c r="CL35" s="20">
        <v>0</v>
      </c>
      <c r="CM35" s="4">
        <f>CK35-CK34</f>
        <v>22.389999999999986</v>
      </c>
      <c r="CO35" s="16">
        <f t="shared" ref="CO35:CO63" si="54">A35</f>
        <v>45351</v>
      </c>
      <c r="CP35" s="4">
        <f t="shared" si="17"/>
        <v>13.120000000000005</v>
      </c>
      <c r="CQ35" s="4">
        <f t="shared" si="18"/>
        <v>0</v>
      </c>
      <c r="CR35" s="4">
        <f t="shared" si="19"/>
        <v>0</v>
      </c>
      <c r="CS35" s="4">
        <f t="shared" si="20"/>
        <v>0</v>
      </c>
      <c r="CT35" s="4">
        <f t="shared" si="21"/>
        <v>4.0000000000006253E-2</v>
      </c>
      <c r="CU35" s="4">
        <f t="shared" si="22"/>
        <v>9.2299999999999898</v>
      </c>
      <c r="CV35" s="4">
        <f t="shared" si="23"/>
        <v>0</v>
      </c>
      <c r="CW35" s="4">
        <f t="shared" si="24"/>
        <v>0</v>
      </c>
      <c r="CX35" s="4">
        <f t="shared" si="25"/>
        <v>0</v>
      </c>
      <c r="CY35" s="4">
        <f t="shared" si="26"/>
        <v>0</v>
      </c>
      <c r="CZ35" s="4">
        <f t="shared" si="27"/>
        <v>0</v>
      </c>
      <c r="DA35" s="4">
        <f t="shared" si="28"/>
        <v>0</v>
      </c>
      <c r="DB35" s="4">
        <f t="shared" si="29"/>
        <v>0</v>
      </c>
      <c r="DC35" s="4">
        <f t="shared" si="30"/>
        <v>0</v>
      </c>
      <c r="DD35" s="4">
        <f t="shared" si="31"/>
        <v>0</v>
      </c>
      <c r="DE35" s="4">
        <f t="shared" si="32"/>
        <v>0</v>
      </c>
      <c r="DF35" s="10">
        <f t="shared" si="33"/>
        <v>0</v>
      </c>
      <c r="DG35" s="10">
        <f t="shared" si="35"/>
        <v>0</v>
      </c>
      <c r="DH35" s="4">
        <f t="shared" si="36"/>
        <v>0</v>
      </c>
      <c r="DI35" s="4">
        <f t="shared" si="37"/>
        <v>0</v>
      </c>
      <c r="DJ35" s="4">
        <f t="shared" si="38"/>
        <v>0</v>
      </c>
      <c r="DK35" s="4">
        <f t="shared" si="39"/>
        <v>0</v>
      </c>
    </row>
    <row r="36" spans="1:115" x14ac:dyDescent="0.25">
      <c r="A36" s="12">
        <v>45382</v>
      </c>
      <c r="B36" s="5">
        <v>580.94000000000005</v>
      </c>
      <c r="C36" s="2">
        <v>619.74</v>
      </c>
      <c r="D36" s="18">
        <f t="shared" si="7"/>
        <v>6.6788308603298013E-2</v>
      </c>
      <c r="E36" s="6">
        <v>0</v>
      </c>
      <c r="F36" s="4">
        <v>0</v>
      </c>
      <c r="G36" s="19">
        <v>0</v>
      </c>
      <c r="H36" s="9">
        <v>0</v>
      </c>
      <c r="I36" s="10">
        <v>0</v>
      </c>
      <c r="J36" s="18">
        <v>0</v>
      </c>
      <c r="K36" s="4">
        <v>0</v>
      </c>
      <c r="L36" s="4">
        <v>0</v>
      </c>
      <c r="M36" s="19">
        <v>0</v>
      </c>
      <c r="N36" s="9">
        <v>100</v>
      </c>
      <c r="O36" s="2">
        <v>101.52</v>
      </c>
      <c r="P36" s="18">
        <f t="shared" ref="P36:P57" si="55">(O36-N36)/N36</f>
        <v>1.519999999999996E-2</v>
      </c>
      <c r="Q36" s="6">
        <v>100</v>
      </c>
      <c r="R36" s="2">
        <v>106.16</v>
      </c>
      <c r="S36" s="18">
        <f t="shared" si="51"/>
        <v>6.1599999999999967E-2</v>
      </c>
      <c r="T36" s="9">
        <v>0</v>
      </c>
      <c r="U36" s="10">
        <v>0</v>
      </c>
      <c r="V36" s="18">
        <v>0</v>
      </c>
      <c r="W36" s="9">
        <v>0</v>
      </c>
      <c r="X36" s="10">
        <v>0</v>
      </c>
      <c r="Y36" s="18">
        <v>0</v>
      </c>
      <c r="Z36" s="9">
        <v>0</v>
      </c>
      <c r="AA36" s="10">
        <v>0</v>
      </c>
      <c r="AB36" s="18">
        <v>0</v>
      </c>
      <c r="AC36" s="9">
        <v>0</v>
      </c>
      <c r="AD36" s="10">
        <v>0</v>
      </c>
      <c r="AE36" s="18">
        <v>0</v>
      </c>
      <c r="AF36" s="9">
        <v>0</v>
      </c>
      <c r="AG36" s="10">
        <v>0</v>
      </c>
      <c r="AH36" s="18">
        <v>0</v>
      </c>
      <c r="AI36" s="9">
        <v>0</v>
      </c>
      <c r="AJ36" s="10">
        <v>0</v>
      </c>
      <c r="AK36" s="18">
        <v>0</v>
      </c>
      <c r="AL36" s="9">
        <v>0</v>
      </c>
      <c r="AM36" s="10">
        <v>0</v>
      </c>
      <c r="AN36" s="18">
        <v>0</v>
      </c>
      <c r="AO36" s="9">
        <v>0</v>
      </c>
      <c r="AP36" s="10">
        <v>0</v>
      </c>
      <c r="AQ36" s="18">
        <v>0</v>
      </c>
      <c r="AR36" s="9">
        <v>0</v>
      </c>
      <c r="AS36" s="10">
        <v>0</v>
      </c>
      <c r="AT36" s="18">
        <v>0</v>
      </c>
      <c r="AU36" s="9">
        <v>0</v>
      </c>
      <c r="AV36" s="10">
        <v>0</v>
      </c>
      <c r="AW36" s="18">
        <v>0</v>
      </c>
      <c r="AX36" s="9">
        <v>0</v>
      </c>
      <c r="AY36" s="10">
        <v>0</v>
      </c>
      <c r="AZ36" s="18">
        <v>0</v>
      </c>
      <c r="BA36" s="9">
        <v>0</v>
      </c>
      <c r="BB36" s="10">
        <v>0</v>
      </c>
      <c r="BC36" s="18">
        <v>0</v>
      </c>
      <c r="BD36" s="9">
        <v>0</v>
      </c>
      <c r="BE36" s="10">
        <v>0</v>
      </c>
      <c r="BF36" s="18">
        <v>0</v>
      </c>
      <c r="BG36" s="9">
        <v>0</v>
      </c>
      <c r="BH36" s="10">
        <v>0</v>
      </c>
      <c r="BI36" s="18">
        <v>0</v>
      </c>
      <c r="BJ36" s="9">
        <v>0</v>
      </c>
      <c r="BK36" s="10">
        <v>0</v>
      </c>
      <c r="BL36" s="18">
        <v>0</v>
      </c>
      <c r="BM36" s="9">
        <v>0</v>
      </c>
      <c r="BN36" s="10">
        <v>0</v>
      </c>
      <c r="BO36" s="18">
        <v>0</v>
      </c>
      <c r="BP36" s="17"/>
      <c r="BQ36" s="16">
        <f t="shared" si="8"/>
        <v>45382</v>
      </c>
      <c r="BR36" s="10">
        <f t="shared" si="52"/>
        <v>780.94</v>
      </c>
      <c r="BS36" s="4">
        <f t="shared" si="40"/>
        <v>15</v>
      </c>
      <c r="BT36" s="10">
        <f t="shared" si="53"/>
        <v>827.42</v>
      </c>
      <c r="BU36" s="4">
        <f t="shared" si="9"/>
        <v>46.479999999999905</v>
      </c>
      <c r="BV36" s="20">
        <f t="shared" si="10"/>
        <v>5.9518016749045895E-2</v>
      </c>
      <c r="BW36" s="4">
        <f t="shared" ref="BW36:BW43" si="56">BU36-BU35</f>
        <v>17.92999999999995</v>
      </c>
      <c r="BX36" s="17"/>
      <c r="BY36" s="16">
        <f t="shared" si="2"/>
        <v>45382</v>
      </c>
      <c r="BZ36" s="10">
        <f t="shared" si="3"/>
        <v>0</v>
      </c>
      <c r="CA36" s="4">
        <f t="shared" si="41"/>
        <v>0</v>
      </c>
      <c r="CB36" s="10">
        <f t="shared" si="34"/>
        <v>0</v>
      </c>
      <c r="CC36" s="4">
        <f t="shared" si="11"/>
        <v>0</v>
      </c>
      <c r="CD36" s="20">
        <v>0</v>
      </c>
      <c r="CE36" s="4">
        <f t="shared" ref="CE36:CE43" si="57">CC36-CC35</f>
        <v>0</v>
      </c>
      <c r="CF36" s="17"/>
      <c r="CG36" s="16">
        <f t="shared" si="5"/>
        <v>45382</v>
      </c>
      <c r="CH36" s="10">
        <f t="shared" si="12"/>
        <v>780.94</v>
      </c>
      <c r="CI36" s="10">
        <f t="shared" si="13"/>
        <v>15</v>
      </c>
      <c r="CJ36" s="10">
        <f t="shared" si="14"/>
        <v>827.42</v>
      </c>
      <c r="CK36" s="4">
        <f t="shared" si="15"/>
        <v>46.479999999999905</v>
      </c>
      <c r="CL36" s="20">
        <v>0</v>
      </c>
      <c r="CM36" s="4">
        <f t="shared" ref="CM36:CM43" si="58">CK36-CK35</f>
        <v>17.92999999999995</v>
      </c>
      <c r="CO36" s="16">
        <f t="shared" si="54"/>
        <v>45382</v>
      </c>
      <c r="CP36" s="4">
        <f t="shared" ref="CP36:CP62" si="59">(C36-B36)-(C35-B35)</f>
        <v>15.779999999999973</v>
      </c>
      <c r="CQ36" s="4">
        <f t="shared" ref="CQ36:CQ63" si="60">(F36-E36)-(F35-E35)</f>
        <v>0</v>
      </c>
      <c r="CR36" s="4">
        <f t="shared" ref="CR36:CR63" si="61">(I36-H36)-(I35-H35)</f>
        <v>0</v>
      </c>
      <c r="CS36" s="4">
        <f t="shared" ref="CS36:CS63" si="62">(L36-K36)-(L35-K35)</f>
        <v>0</v>
      </c>
      <c r="CT36" s="4">
        <f t="shared" ref="CT36:CT62" si="63">(O36-N36)-(O35-N35)</f>
        <v>1.4799999999999898</v>
      </c>
      <c r="CU36" s="4">
        <f t="shared" ref="CU36:CU63" si="64">(R36-Q36)-(R35-Q35)</f>
        <v>0.67000000000000171</v>
      </c>
      <c r="CV36" s="4">
        <f t="shared" ref="CV36:CV63" si="65">(U36-T36)-(U35-T35)</f>
        <v>0</v>
      </c>
      <c r="CW36" s="4">
        <f t="shared" ref="CW36:CW62" si="66">(X36-W36)-(X35-W35)</f>
        <v>0</v>
      </c>
      <c r="CX36" s="4">
        <f t="shared" ref="CX36:CX62" si="67">(AA36-Z36)-(AA35-Z35)</f>
        <v>0</v>
      </c>
      <c r="CY36" s="4">
        <f t="shared" ref="CY36:CY63" si="68">(AD36-AC36)-(AD35-AC35)</f>
        <v>0</v>
      </c>
      <c r="CZ36" s="4">
        <f t="shared" ref="CZ36:CZ62" si="69">(AG36-AF36)-(AG35-AF35)</f>
        <v>0</v>
      </c>
      <c r="DA36" s="4">
        <f t="shared" ref="DA36:DA63" si="70">(AJ36-AI36)-(AJ35-AI35)</f>
        <v>0</v>
      </c>
      <c r="DB36" s="4">
        <f t="shared" ref="DB36:DB63" si="71">(AM36-AL36)-(AM35-AL35)</f>
        <v>0</v>
      </c>
      <c r="DC36" s="4">
        <f t="shared" ref="DC36:DC62" si="72">(AP36-AO36)-(AP35-AO35)</f>
        <v>0</v>
      </c>
      <c r="DD36" s="4">
        <f t="shared" ref="DD36:DD62" si="73">(AS36-AR36)-(AS35-AR35)</f>
        <v>0</v>
      </c>
      <c r="DE36" s="4">
        <f t="shared" ref="DE36:DE63" si="74">(AV36-AU36)-(AV35-AU35)</f>
        <v>0</v>
      </c>
      <c r="DF36" s="10">
        <f t="shared" ref="DF36:DF63" si="75">(AY36-AX36)-(AY35-AX35)</f>
        <v>0</v>
      </c>
      <c r="DG36" s="10">
        <f t="shared" si="35"/>
        <v>0</v>
      </c>
      <c r="DH36" s="4">
        <f t="shared" si="36"/>
        <v>0</v>
      </c>
      <c r="DI36" s="4">
        <f t="shared" si="37"/>
        <v>0</v>
      </c>
      <c r="DJ36" s="4">
        <f t="shared" si="38"/>
        <v>0</v>
      </c>
      <c r="DK36" s="4">
        <f t="shared" si="39"/>
        <v>0</v>
      </c>
    </row>
    <row r="37" spans="1:115" x14ac:dyDescent="0.25">
      <c r="A37" s="12">
        <v>45412</v>
      </c>
      <c r="B37" s="5">
        <v>605.94000000000005</v>
      </c>
      <c r="C37" s="2">
        <v>635.34</v>
      </c>
      <c r="D37" s="18">
        <f t="shared" si="7"/>
        <v>4.8519655411426832E-2</v>
      </c>
      <c r="E37" s="6">
        <v>0</v>
      </c>
      <c r="F37" s="4">
        <v>0</v>
      </c>
      <c r="G37" s="19">
        <v>0</v>
      </c>
      <c r="H37" s="9">
        <v>0</v>
      </c>
      <c r="I37" s="10">
        <v>0</v>
      </c>
      <c r="J37" s="18">
        <v>0</v>
      </c>
      <c r="K37" s="4">
        <v>0</v>
      </c>
      <c r="L37" s="4">
        <v>0</v>
      </c>
      <c r="M37" s="19">
        <v>0</v>
      </c>
      <c r="N37" s="9">
        <v>100</v>
      </c>
      <c r="O37" s="2">
        <v>100.34</v>
      </c>
      <c r="P37" s="18">
        <f t="shared" si="55"/>
        <v>3.4000000000000341E-3</v>
      </c>
      <c r="Q37" s="6">
        <v>100</v>
      </c>
      <c r="R37" s="2">
        <v>104.32</v>
      </c>
      <c r="S37" s="18">
        <f t="shared" si="51"/>
        <v>4.3199999999999933E-2</v>
      </c>
      <c r="T37" s="9">
        <v>0</v>
      </c>
      <c r="U37" s="10">
        <v>0</v>
      </c>
      <c r="V37" s="18">
        <v>0</v>
      </c>
      <c r="W37" s="9">
        <v>0</v>
      </c>
      <c r="X37" s="10">
        <v>0</v>
      </c>
      <c r="Y37" s="18">
        <v>0</v>
      </c>
      <c r="Z37" s="9">
        <v>0</v>
      </c>
      <c r="AA37" s="10">
        <v>0</v>
      </c>
      <c r="AB37" s="18">
        <v>0</v>
      </c>
      <c r="AC37" s="9">
        <v>0</v>
      </c>
      <c r="AD37" s="10">
        <v>0</v>
      </c>
      <c r="AE37" s="18">
        <v>0</v>
      </c>
      <c r="AF37" s="9">
        <v>0</v>
      </c>
      <c r="AG37" s="10">
        <v>0</v>
      </c>
      <c r="AH37" s="18">
        <v>0</v>
      </c>
      <c r="AI37" s="9">
        <v>0</v>
      </c>
      <c r="AJ37" s="10">
        <v>0</v>
      </c>
      <c r="AK37" s="18">
        <v>0</v>
      </c>
      <c r="AL37" s="9">
        <v>0</v>
      </c>
      <c r="AM37" s="10">
        <v>0</v>
      </c>
      <c r="AN37" s="18">
        <v>0</v>
      </c>
      <c r="AO37" s="9">
        <v>0</v>
      </c>
      <c r="AP37" s="10">
        <v>0</v>
      </c>
      <c r="AQ37" s="18">
        <v>0</v>
      </c>
      <c r="AR37" s="9">
        <v>0</v>
      </c>
      <c r="AS37" s="10">
        <v>0</v>
      </c>
      <c r="AT37" s="18">
        <v>0</v>
      </c>
      <c r="AU37" s="9">
        <v>0</v>
      </c>
      <c r="AV37" s="10">
        <v>0</v>
      </c>
      <c r="AW37" s="18">
        <v>0</v>
      </c>
      <c r="AX37" s="9">
        <v>0</v>
      </c>
      <c r="AY37" s="10">
        <v>0</v>
      </c>
      <c r="AZ37" s="18">
        <v>0</v>
      </c>
      <c r="BA37" s="9">
        <v>0</v>
      </c>
      <c r="BB37" s="10">
        <v>0</v>
      </c>
      <c r="BC37" s="18">
        <v>0</v>
      </c>
      <c r="BD37" s="9">
        <v>0</v>
      </c>
      <c r="BE37" s="10">
        <v>0</v>
      </c>
      <c r="BF37" s="18">
        <v>0</v>
      </c>
      <c r="BG37" s="9">
        <v>0</v>
      </c>
      <c r="BH37" s="10">
        <v>0</v>
      </c>
      <c r="BI37" s="18">
        <v>0</v>
      </c>
      <c r="BJ37" s="9">
        <v>0</v>
      </c>
      <c r="BK37" s="10">
        <v>0</v>
      </c>
      <c r="BL37" s="18">
        <v>0</v>
      </c>
      <c r="BM37" s="9">
        <v>0</v>
      </c>
      <c r="BN37" s="10">
        <v>0</v>
      </c>
      <c r="BO37" s="18">
        <v>0</v>
      </c>
      <c r="BP37" s="17"/>
      <c r="BQ37" s="16">
        <f t="shared" si="8"/>
        <v>45412</v>
      </c>
      <c r="BR37" s="10">
        <f t="shared" si="52"/>
        <v>805.94</v>
      </c>
      <c r="BS37" s="4">
        <f t="shared" si="40"/>
        <v>25</v>
      </c>
      <c r="BT37" s="10">
        <f t="shared" si="53"/>
        <v>840</v>
      </c>
      <c r="BU37" s="4">
        <f t="shared" si="9"/>
        <v>34.059999999999945</v>
      </c>
      <c r="BV37" s="20">
        <f t="shared" si="10"/>
        <v>4.2261210511948713E-2</v>
      </c>
      <c r="BW37" s="4">
        <f t="shared" si="56"/>
        <v>-12.419999999999959</v>
      </c>
      <c r="BX37" s="17"/>
      <c r="BY37" s="16">
        <f t="shared" si="2"/>
        <v>45412</v>
      </c>
      <c r="BZ37" s="10">
        <f t="shared" si="3"/>
        <v>0</v>
      </c>
      <c r="CA37" s="4">
        <f t="shared" si="41"/>
        <v>0</v>
      </c>
      <c r="CB37" s="10">
        <f t="shared" si="34"/>
        <v>0</v>
      </c>
      <c r="CC37" s="4">
        <f t="shared" si="11"/>
        <v>0</v>
      </c>
      <c r="CD37" s="20">
        <v>0</v>
      </c>
      <c r="CE37" s="4">
        <f t="shared" si="57"/>
        <v>0</v>
      </c>
      <c r="CF37" s="17"/>
      <c r="CG37" s="16">
        <f t="shared" si="5"/>
        <v>45412</v>
      </c>
      <c r="CH37" s="10">
        <f t="shared" si="12"/>
        <v>805.94</v>
      </c>
      <c r="CI37" s="10">
        <f t="shared" si="13"/>
        <v>25</v>
      </c>
      <c r="CJ37" s="10">
        <f t="shared" si="14"/>
        <v>840</v>
      </c>
      <c r="CK37" s="4">
        <f t="shared" si="15"/>
        <v>34.059999999999945</v>
      </c>
      <c r="CL37" s="20">
        <v>0</v>
      </c>
      <c r="CM37" s="4">
        <f t="shared" si="58"/>
        <v>-12.419999999999959</v>
      </c>
      <c r="CO37" s="16">
        <f t="shared" si="54"/>
        <v>45412</v>
      </c>
      <c r="CP37" s="4">
        <f t="shared" si="59"/>
        <v>-9.3999999999999773</v>
      </c>
      <c r="CQ37" s="4">
        <f t="shared" si="60"/>
        <v>0</v>
      </c>
      <c r="CR37" s="4">
        <f t="shared" si="61"/>
        <v>0</v>
      </c>
      <c r="CS37" s="4">
        <f t="shared" si="62"/>
        <v>0</v>
      </c>
      <c r="CT37" s="4">
        <f t="shared" si="63"/>
        <v>-1.1799999999999926</v>
      </c>
      <c r="CU37" s="4">
        <f t="shared" si="64"/>
        <v>-1.8400000000000034</v>
      </c>
      <c r="CV37" s="4">
        <f t="shared" si="65"/>
        <v>0</v>
      </c>
      <c r="CW37" s="4">
        <f t="shared" si="66"/>
        <v>0</v>
      </c>
      <c r="CX37" s="4">
        <f t="shared" si="67"/>
        <v>0</v>
      </c>
      <c r="CY37" s="4">
        <f t="shared" si="68"/>
        <v>0</v>
      </c>
      <c r="CZ37" s="4">
        <f t="shared" si="69"/>
        <v>0</v>
      </c>
      <c r="DA37" s="4">
        <f t="shared" si="70"/>
        <v>0</v>
      </c>
      <c r="DB37" s="4">
        <f t="shared" si="71"/>
        <v>0</v>
      </c>
      <c r="DC37" s="4">
        <f t="shared" si="72"/>
        <v>0</v>
      </c>
      <c r="DD37" s="4">
        <f t="shared" si="73"/>
        <v>0</v>
      </c>
      <c r="DE37" s="4">
        <f t="shared" si="74"/>
        <v>0</v>
      </c>
      <c r="DF37" s="10">
        <f t="shared" si="75"/>
        <v>0</v>
      </c>
      <c r="DG37" s="10">
        <f t="shared" si="35"/>
        <v>0</v>
      </c>
      <c r="DH37" s="4">
        <f t="shared" si="36"/>
        <v>0</v>
      </c>
      <c r="DI37" s="4">
        <f t="shared" si="37"/>
        <v>0</v>
      </c>
      <c r="DJ37" s="4">
        <f t="shared" si="38"/>
        <v>0</v>
      </c>
      <c r="DK37" s="4">
        <f t="shared" si="39"/>
        <v>0</v>
      </c>
    </row>
    <row r="38" spans="1:115" x14ac:dyDescent="0.25">
      <c r="A38" s="12">
        <v>45443</v>
      </c>
      <c r="B38" s="7">
        <v>659.92</v>
      </c>
      <c r="C38" s="8">
        <v>704.37</v>
      </c>
      <c r="D38" s="18">
        <f t="shared" si="7"/>
        <v>6.7356649290823203E-2</v>
      </c>
      <c r="E38" s="9">
        <v>29.96</v>
      </c>
      <c r="F38" s="8">
        <v>29.26</v>
      </c>
      <c r="G38" s="18">
        <f>(F38-E38)/E38</f>
        <v>-2.3364485981308386E-2</v>
      </c>
      <c r="H38" s="9">
        <v>0</v>
      </c>
      <c r="I38" s="10">
        <v>0</v>
      </c>
      <c r="J38" s="18">
        <v>0</v>
      </c>
      <c r="K38" s="4">
        <v>0</v>
      </c>
      <c r="L38" s="4">
        <v>0</v>
      </c>
      <c r="M38" s="19">
        <v>0</v>
      </c>
      <c r="N38" s="9">
        <v>100</v>
      </c>
      <c r="O38" s="8">
        <v>101.11</v>
      </c>
      <c r="P38" s="18">
        <f t="shared" si="55"/>
        <v>1.1099999999999994E-2</v>
      </c>
      <c r="Q38" s="9">
        <v>150</v>
      </c>
      <c r="R38" s="8">
        <v>158.46</v>
      </c>
      <c r="S38" s="18">
        <f t="shared" si="51"/>
        <v>5.6400000000000054E-2</v>
      </c>
      <c r="T38" s="9">
        <v>0</v>
      </c>
      <c r="U38" s="10">
        <v>0</v>
      </c>
      <c r="V38" s="18">
        <v>0</v>
      </c>
      <c r="W38" s="9">
        <v>0</v>
      </c>
      <c r="X38" s="10">
        <v>0</v>
      </c>
      <c r="Y38" s="18">
        <v>0</v>
      </c>
      <c r="Z38" s="9">
        <v>0</v>
      </c>
      <c r="AA38" s="10">
        <v>0</v>
      </c>
      <c r="AB38" s="18">
        <v>0</v>
      </c>
      <c r="AC38" s="9">
        <v>0</v>
      </c>
      <c r="AD38" s="10">
        <v>0</v>
      </c>
      <c r="AE38" s="18">
        <v>0</v>
      </c>
      <c r="AF38" s="9">
        <v>0</v>
      </c>
      <c r="AG38" s="10">
        <v>0</v>
      </c>
      <c r="AH38" s="18">
        <v>0</v>
      </c>
      <c r="AI38" s="9">
        <v>0</v>
      </c>
      <c r="AJ38" s="10">
        <v>0</v>
      </c>
      <c r="AK38" s="18">
        <v>0</v>
      </c>
      <c r="AL38" s="9">
        <v>0</v>
      </c>
      <c r="AM38" s="10">
        <v>0</v>
      </c>
      <c r="AN38" s="18">
        <v>0</v>
      </c>
      <c r="AO38" s="9">
        <v>0</v>
      </c>
      <c r="AP38" s="10">
        <v>0</v>
      </c>
      <c r="AQ38" s="18">
        <v>0</v>
      </c>
      <c r="AR38" s="9">
        <v>0</v>
      </c>
      <c r="AS38" s="10">
        <v>0</v>
      </c>
      <c r="AT38" s="18">
        <v>0</v>
      </c>
      <c r="AU38" s="9">
        <v>0</v>
      </c>
      <c r="AV38" s="10">
        <v>0</v>
      </c>
      <c r="AW38" s="18">
        <v>0</v>
      </c>
      <c r="AX38" s="9">
        <v>0</v>
      </c>
      <c r="AY38" s="10">
        <v>0</v>
      </c>
      <c r="AZ38" s="18">
        <v>0</v>
      </c>
      <c r="BA38" s="9">
        <v>0</v>
      </c>
      <c r="BB38" s="10">
        <v>0</v>
      </c>
      <c r="BC38" s="18">
        <v>0</v>
      </c>
      <c r="BD38" s="9">
        <v>0</v>
      </c>
      <c r="BE38" s="10">
        <v>0</v>
      </c>
      <c r="BF38" s="18">
        <v>0</v>
      </c>
      <c r="BG38" s="9">
        <v>0</v>
      </c>
      <c r="BH38" s="10">
        <v>0</v>
      </c>
      <c r="BI38" s="18">
        <v>0</v>
      </c>
      <c r="BJ38" s="9">
        <v>0</v>
      </c>
      <c r="BK38" s="10">
        <v>0</v>
      </c>
      <c r="BL38" s="18">
        <v>0</v>
      </c>
      <c r="BM38" s="9">
        <v>0</v>
      </c>
      <c r="BN38" s="10">
        <v>0</v>
      </c>
      <c r="BO38" s="18">
        <v>0</v>
      </c>
      <c r="BP38" s="17"/>
      <c r="BQ38" s="16">
        <f t="shared" si="8"/>
        <v>45443</v>
      </c>
      <c r="BR38" s="10">
        <f t="shared" si="52"/>
        <v>939.88</v>
      </c>
      <c r="BS38" s="4">
        <f t="shared" si="40"/>
        <v>133.93999999999994</v>
      </c>
      <c r="BT38" s="10">
        <f t="shared" si="53"/>
        <v>993.2</v>
      </c>
      <c r="BU38" s="4">
        <f t="shared" si="9"/>
        <v>53.32000000000005</v>
      </c>
      <c r="BV38" s="20">
        <f t="shared" si="10"/>
        <v>5.6730646465506289E-2</v>
      </c>
      <c r="BW38" s="4">
        <f t="shared" si="56"/>
        <v>19.260000000000105</v>
      </c>
      <c r="BX38" s="17"/>
      <c r="BY38" s="16">
        <f t="shared" si="2"/>
        <v>45443</v>
      </c>
      <c r="BZ38" s="10">
        <f t="shared" si="3"/>
        <v>0</v>
      </c>
      <c r="CA38" s="4">
        <f t="shared" si="41"/>
        <v>0</v>
      </c>
      <c r="CB38" s="10">
        <f t="shared" si="34"/>
        <v>0</v>
      </c>
      <c r="CC38" s="4">
        <f t="shared" si="11"/>
        <v>0</v>
      </c>
      <c r="CD38" s="20">
        <v>0</v>
      </c>
      <c r="CE38" s="4">
        <f t="shared" si="57"/>
        <v>0</v>
      </c>
      <c r="CF38" s="17"/>
      <c r="CG38" s="16">
        <f t="shared" si="5"/>
        <v>45443</v>
      </c>
      <c r="CH38" s="10">
        <f t="shared" si="12"/>
        <v>939.88</v>
      </c>
      <c r="CI38" s="10">
        <f t="shared" si="13"/>
        <v>133.93999999999994</v>
      </c>
      <c r="CJ38" s="10">
        <f t="shared" si="14"/>
        <v>993.2</v>
      </c>
      <c r="CK38" s="4">
        <f t="shared" si="15"/>
        <v>53.32000000000005</v>
      </c>
      <c r="CL38" s="20">
        <v>0</v>
      </c>
      <c r="CM38" s="4">
        <f t="shared" si="58"/>
        <v>19.260000000000105</v>
      </c>
      <c r="CO38" s="16">
        <f t="shared" si="54"/>
        <v>45443</v>
      </c>
      <c r="CP38" s="4">
        <f t="shared" si="59"/>
        <v>15.050000000000068</v>
      </c>
      <c r="CQ38" s="4">
        <f t="shared" si="60"/>
        <v>-0.69999999999999929</v>
      </c>
      <c r="CR38" s="4">
        <f t="shared" si="61"/>
        <v>0</v>
      </c>
      <c r="CS38" s="4">
        <f t="shared" si="62"/>
        <v>0</v>
      </c>
      <c r="CT38" s="4">
        <f t="shared" si="63"/>
        <v>0.76999999999999602</v>
      </c>
      <c r="CU38" s="4">
        <f t="shared" si="64"/>
        <v>4.1400000000000148</v>
      </c>
      <c r="CV38" s="4">
        <f t="shared" si="65"/>
        <v>0</v>
      </c>
      <c r="CW38" s="4">
        <f t="shared" si="66"/>
        <v>0</v>
      </c>
      <c r="CX38" s="4">
        <f t="shared" si="67"/>
        <v>0</v>
      </c>
      <c r="CY38" s="4">
        <f t="shared" si="68"/>
        <v>0</v>
      </c>
      <c r="CZ38" s="4">
        <f t="shared" si="69"/>
        <v>0</v>
      </c>
      <c r="DA38" s="4">
        <f t="shared" si="70"/>
        <v>0</v>
      </c>
      <c r="DB38" s="4">
        <f t="shared" si="71"/>
        <v>0</v>
      </c>
      <c r="DC38" s="4">
        <f t="shared" si="72"/>
        <v>0</v>
      </c>
      <c r="DD38" s="4">
        <f t="shared" si="73"/>
        <v>0</v>
      </c>
      <c r="DE38" s="4">
        <f t="shared" si="74"/>
        <v>0</v>
      </c>
      <c r="DF38" s="10">
        <f t="shared" si="75"/>
        <v>0</v>
      </c>
      <c r="DG38" s="10">
        <f t="shared" si="35"/>
        <v>0</v>
      </c>
      <c r="DH38" s="4">
        <f t="shared" si="36"/>
        <v>0</v>
      </c>
      <c r="DI38" s="4">
        <f t="shared" si="37"/>
        <v>0</v>
      </c>
      <c r="DJ38" s="4">
        <f t="shared" si="38"/>
        <v>0</v>
      </c>
      <c r="DK38" s="4">
        <f t="shared" si="39"/>
        <v>0</v>
      </c>
    </row>
    <row r="39" spans="1:115" x14ac:dyDescent="0.25">
      <c r="A39" s="12">
        <v>45473</v>
      </c>
      <c r="B39" s="7">
        <v>674.92</v>
      </c>
      <c r="C39" s="8">
        <v>737.28</v>
      </c>
      <c r="D39" s="18">
        <f t="shared" si="7"/>
        <v>9.2396135838321611E-2</v>
      </c>
      <c r="E39" s="9">
        <v>39.94</v>
      </c>
      <c r="F39" s="8">
        <v>40.49</v>
      </c>
      <c r="G39" s="18">
        <f t="shared" ref="G39:G57" si="76">(F39-E39)/E39</f>
        <v>1.3770655983976072E-2</v>
      </c>
      <c r="H39" s="9">
        <v>0</v>
      </c>
      <c r="I39" s="10">
        <v>0</v>
      </c>
      <c r="J39" s="18">
        <v>0</v>
      </c>
      <c r="K39" s="4">
        <v>0</v>
      </c>
      <c r="L39" s="4">
        <v>0</v>
      </c>
      <c r="M39" s="19">
        <v>0</v>
      </c>
      <c r="N39" s="9">
        <v>100</v>
      </c>
      <c r="O39" s="8">
        <v>105.83</v>
      </c>
      <c r="P39" s="18">
        <f t="shared" si="55"/>
        <v>5.8299999999999984E-2</v>
      </c>
      <c r="Q39" s="9">
        <v>150</v>
      </c>
      <c r="R39" s="8">
        <v>169.71</v>
      </c>
      <c r="S39" s="18">
        <f t="shared" si="51"/>
        <v>0.13140000000000004</v>
      </c>
      <c r="T39" s="9">
        <v>0</v>
      </c>
      <c r="U39" s="10">
        <v>0</v>
      </c>
      <c r="V39" s="18">
        <v>0</v>
      </c>
      <c r="W39" s="9">
        <v>0</v>
      </c>
      <c r="X39" s="10">
        <v>0</v>
      </c>
      <c r="Y39" s="18">
        <v>0</v>
      </c>
      <c r="Z39" s="9">
        <v>0</v>
      </c>
      <c r="AA39" s="10">
        <v>0</v>
      </c>
      <c r="AB39" s="18">
        <v>0</v>
      </c>
      <c r="AC39" s="9">
        <v>0</v>
      </c>
      <c r="AD39" s="10">
        <v>0</v>
      </c>
      <c r="AE39" s="18">
        <v>0</v>
      </c>
      <c r="AF39" s="9">
        <v>0</v>
      </c>
      <c r="AG39" s="10">
        <v>0</v>
      </c>
      <c r="AH39" s="18">
        <v>0</v>
      </c>
      <c r="AI39" s="9">
        <v>0</v>
      </c>
      <c r="AJ39" s="10">
        <v>0</v>
      </c>
      <c r="AK39" s="18">
        <v>0</v>
      </c>
      <c r="AL39" s="9">
        <v>0</v>
      </c>
      <c r="AM39" s="10">
        <v>0</v>
      </c>
      <c r="AN39" s="18">
        <v>0</v>
      </c>
      <c r="AO39" s="9">
        <v>0</v>
      </c>
      <c r="AP39" s="10">
        <v>0</v>
      </c>
      <c r="AQ39" s="18">
        <v>0</v>
      </c>
      <c r="AR39" s="9">
        <v>0</v>
      </c>
      <c r="AS39" s="10">
        <v>0</v>
      </c>
      <c r="AT39" s="18">
        <v>0</v>
      </c>
      <c r="AU39" s="9">
        <v>0</v>
      </c>
      <c r="AV39" s="10">
        <v>0</v>
      </c>
      <c r="AW39" s="18">
        <v>0</v>
      </c>
      <c r="AX39" s="9">
        <v>0</v>
      </c>
      <c r="AY39" s="10">
        <v>0</v>
      </c>
      <c r="AZ39" s="18">
        <v>0</v>
      </c>
      <c r="BA39" s="9">
        <v>0</v>
      </c>
      <c r="BB39" s="10">
        <v>0</v>
      </c>
      <c r="BC39" s="18">
        <v>0</v>
      </c>
      <c r="BD39" s="9">
        <v>0</v>
      </c>
      <c r="BE39" s="10">
        <v>0</v>
      </c>
      <c r="BF39" s="18">
        <v>0</v>
      </c>
      <c r="BG39" s="9">
        <v>0</v>
      </c>
      <c r="BH39" s="10">
        <v>0</v>
      </c>
      <c r="BI39" s="18">
        <v>0</v>
      </c>
      <c r="BJ39" s="9">
        <v>0</v>
      </c>
      <c r="BK39" s="10">
        <v>0</v>
      </c>
      <c r="BL39" s="18">
        <v>0</v>
      </c>
      <c r="BM39" s="9">
        <v>0</v>
      </c>
      <c r="BN39" s="10">
        <v>0</v>
      </c>
      <c r="BO39" s="18">
        <v>0</v>
      </c>
      <c r="BP39" s="17"/>
      <c r="BQ39" s="16">
        <f t="shared" si="8"/>
        <v>45473</v>
      </c>
      <c r="BR39" s="10">
        <f t="shared" si="52"/>
        <v>964.8599999999999</v>
      </c>
      <c r="BS39" s="4">
        <f t="shared" si="40"/>
        <v>24.979999999999905</v>
      </c>
      <c r="BT39" s="10">
        <f t="shared" si="53"/>
        <v>1053.31</v>
      </c>
      <c r="BU39" s="4">
        <f t="shared" si="9"/>
        <v>88.450000000000045</v>
      </c>
      <c r="BV39" s="20">
        <f t="shared" si="10"/>
        <v>9.1671330555728348E-2</v>
      </c>
      <c r="BW39" s="4">
        <f t="shared" si="56"/>
        <v>35.129999999999995</v>
      </c>
      <c r="BX39" s="17"/>
      <c r="BY39" s="16">
        <f t="shared" si="2"/>
        <v>45473</v>
      </c>
      <c r="BZ39" s="10">
        <f t="shared" si="3"/>
        <v>0</v>
      </c>
      <c r="CA39" s="4">
        <f t="shared" si="41"/>
        <v>0</v>
      </c>
      <c r="CB39" s="10">
        <f t="shared" si="34"/>
        <v>0</v>
      </c>
      <c r="CC39" s="4">
        <f t="shared" si="11"/>
        <v>0</v>
      </c>
      <c r="CD39" s="20">
        <v>0</v>
      </c>
      <c r="CE39" s="4">
        <f t="shared" si="57"/>
        <v>0</v>
      </c>
      <c r="CF39" s="17"/>
      <c r="CG39" s="16">
        <f t="shared" si="5"/>
        <v>45473</v>
      </c>
      <c r="CH39" s="10">
        <f t="shared" si="12"/>
        <v>964.8599999999999</v>
      </c>
      <c r="CI39" s="10">
        <f t="shared" si="13"/>
        <v>24.979999999999905</v>
      </c>
      <c r="CJ39" s="10">
        <f t="shared" si="14"/>
        <v>1053.31</v>
      </c>
      <c r="CK39" s="4">
        <f t="shared" si="15"/>
        <v>88.450000000000045</v>
      </c>
      <c r="CL39" s="20">
        <v>0</v>
      </c>
      <c r="CM39" s="4">
        <f t="shared" si="58"/>
        <v>35.129999999999995</v>
      </c>
      <c r="CO39" s="16">
        <f t="shared" si="54"/>
        <v>45473</v>
      </c>
      <c r="CP39" s="4">
        <f t="shared" si="59"/>
        <v>17.909999999999968</v>
      </c>
      <c r="CQ39" s="4">
        <f t="shared" si="60"/>
        <v>1.2500000000000036</v>
      </c>
      <c r="CR39" s="4">
        <f t="shared" si="61"/>
        <v>0</v>
      </c>
      <c r="CS39" s="4">
        <f t="shared" si="62"/>
        <v>0</v>
      </c>
      <c r="CT39" s="4">
        <f t="shared" si="63"/>
        <v>4.7199999999999989</v>
      </c>
      <c r="CU39" s="4">
        <f t="shared" si="64"/>
        <v>11.25</v>
      </c>
      <c r="CV39" s="4">
        <f t="shared" si="65"/>
        <v>0</v>
      </c>
      <c r="CW39" s="4">
        <f t="shared" si="66"/>
        <v>0</v>
      </c>
      <c r="CX39" s="4">
        <f t="shared" si="67"/>
        <v>0</v>
      </c>
      <c r="CY39" s="4">
        <f t="shared" si="68"/>
        <v>0</v>
      </c>
      <c r="CZ39" s="4">
        <f t="shared" si="69"/>
        <v>0</v>
      </c>
      <c r="DA39" s="4">
        <f t="shared" si="70"/>
        <v>0</v>
      </c>
      <c r="DB39" s="4">
        <f t="shared" si="71"/>
        <v>0</v>
      </c>
      <c r="DC39" s="4">
        <f t="shared" si="72"/>
        <v>0</v>
      </c>
      <c r="DD39" s="4">
        <f t="shared" si="73"/>
        <v>0</v>
      </c>
      <c r="DE39" s="4">
        <f t="shared" si="74"/>
        <v>0</v>
      </c>
      <c r="DF39" s="10">
        <f t="shared" si="75"/>
        <v>0</v>
      </c>
      <c r="DG39" s="10">
        <f t="shared" si="35"/>
        <v>0</v>
      </c>
      <c r="DH39" s="4">
        <f t="shared" si="36"/>
        <v>0</v>
      </c>
      <c r="DI39" s="4">
        <f t="shared" si="37"/>
        <v>0</v>
      </c>
      <c r="DJ39" s="4">
        <f t="shared" si="38"/>
        <v>0</v>
      </c>
      <c r="DK39" s="4">
        <f t="shared" si="39"/>
        <v>0</v>
      </c>
    </row>
    <row r="40" spans="1:115" x14ac:dyDescent="0.25">
      <c r="A40" s="12">
        <v>45504</v>
      </c>
      <c r="B40" s="7">
        <v>709.92</v>
      </c>
      <c r="C40" s="8">
        <v>764.75</v>
      </c>
      <c r="D40" s="18">
        <f t="shared" si="7"/>
        <v>7.7234054541356831E-2</v>
      </c>
      <c r="E40" s="9">
        <v>39.94</v>
      </c>
      <c r="F40" s="8">
        <v>40.78</v>
      </c>
      <c r="G40" s="18">
        <f t="shared" si="76"/>
        <v>2.1031547320981558E-2</v>
      </c>
      <c r="H40" s="9">
        <v>0</v>
      </c>
      <c r="I40" s="10">
        <v>0</v>
      </c>
      <c r="J40" s="18">
        <v>0</v>
      </c>
      <c r="K40" s="4">
        <v>0</v>
      </c>
      <c r="L40" s="4">
        <v>0</v>
      </c>
      <c r="M40" s="19">
        <v>0</v>
      </c>
      <c r="N40" s="9">
        <v>100</v>
      </c>
      <c r="O40" s="8">
        <v>105.37</v>
      </c>
      <c r="P40" s="18">
        <f t="shared" si="55"/>
        <v>5.3700000000000046E-2</v>
      </c>
      <c r="Q40" s="9">
        <v>200</v>
      </c>
      <c r="R40" s="8">
        <v>215.76</v>
      </c>
      <c r="S40" s="18">
        <f t="shared" si="51"/>
        <v>7.8799999999999953E-2</v>
      </c>
      <c r="T40" s="9">
        <v>0</v>
      </c>
      <c r="U40" s="10">
        <v>0</v>
      </c>
      <c r="V40" s="18">
        <v>0</v>
      </c>
      <c r="W40" s="9">
        <v>0</v>
      </c>
      <c r="X40" s="10">
        <v>0</v>
      </c>
      <c r="Y40" s="18">
        <v>0</v>
      </c>
      <c r="Z40" s="9">
        <v>0</v>
      </c>
      <c r="AA40" s="10">
        <v>0</v>
      </c>
      <c r="AB40" s="18">
        <v>0</v>
      </c>
      <c r="AC40" s="9">
        <v>0</v>
      </c>
      <c r="AD40" s="10">
        <v>0</v>
      </c>
      <c r="AE40" s="18">
        <v>0</v>
      </c>
      <c r="AF40" s="9">
        <v>0</v>
      </c>
      <c r="AG40" s="10">
        <v>0</v>
      </c>
      <c r="AH40" s="18">
        <v>0</v>
      </c>
      <c r="AI40" s="9">
        <v>0</v>
      </c>
      <c r="AJ40" s="10">
        <v>0</v>
      </c>
      <c r="AK40" s="18">
        <v>0</v>
      </c>
      <c r="AL40" s="9">
        <v>0</v>
      </c>
      <c r="AM40" s="10">
        <v>0</v>
      </c>
      <c r="AN40" s="18">
        <v>0</v>
      </c>
      <c r="AO40" s="9">
        <v>0</v>
      </c>
      <c r="AP40" s="10">
        <v>0</v>
      </c>
      <c r="AQ40" s="18">
        <v>0</v>
      </c>
      <c r="AR40" s="9">
        <v>0</v>
      </c>
      <c r="AS40" s="10">
        <v>0</v>
      </c>
      <c r="AT40" s="18">
        <v>0</v>
      </c>
      <c r="AU40" s="9">
        <v>0</v>
      </c>
      <c r="AV40" s="10">
        <v>0</v>
      </c>
      <c r="AW40" s="18">
        <v>0</v>
      </c>
      <c r="AX40" s="9">
        <v>0</v>
      </c>
      <c r="AY40" s="10">
        <v>0</v>
      </c>
      <c r="AZ40" s="18">
        <v>0</v>
      </c>
      <c r="BA40" s="9">
        <v>0</v>
      </c>
      <c r="BB40" s="10">
        <v>0</v>
      </c>
      <c r="BC40" s="18">
        <v>0</v>
      </c>
      <c r="BD40" s="9">
        <v>0</v>
      </c>
      <c r="BE40" s="10">
        <v>0</v>
      </c>
      <c r="BF40" s="18">
        <v>0</v>
      </c>
      <c r="BG40" s="9">
        <v>0</v>
      </c>
      <c r="BH40" s="10">
        <v>0</v>
      </c>
      <c r="BI40" s="18">
        <v>0</v>
      </c>
      <c r="BJ40" s="9">
        <v>0</v>
      </c>
      <c r="BK40" s="10">
        <v>0</v>
      </c>
      <c r="BL40" s="18">
        <v>0</v>
      </c>
      <c r="BM40" s="9">
        <v>0</v>
      </c>
      <c r="BN40" s="10">
        <v>0</v>
      </c>
      <c r="BO40" s="18">
        <v>0</v>
      </c>
      <c r="BP40" s="17"/>
      <c r="BQ40" s="16">
        <f t="shared" si="8"/>
        <v>45504</v>
      </c>
      <c r="BR40" s="10">
        <f t="shared" si="52"/>
        <v>1049.8599999999999</v>
      </c>
      <c r="BS40" s="4">
        <f t="shared" si="40"/>
        <v>85</v>
      </c>
      <c r="BT40" s="10">
        <f t="shared" si="53"/>
        <v>1126.6599999999999</v>
      </c>
      <c r="BU40" s="4">
        <f t="shared" si="9"/>
        <v>76.799999999999955</v>
      </c>
      <c r="BV40" s="20">
        <f t="shared" si="10"/>
        <v>7.3152610824300343E-2</v>
      </c>
      <c r="BW40" s="4">
        <f t="shared" si="56"/>
        <v>-11.650000000000091</v>
      </c>
      <c r="BX40" s="17"/>
      <c r="BY40" s="16">
        <f t="shared" si="2"/>
        <v>45504</v>
      </c>
      <c r="BZ40" s="10">
        <f t="shared" si="3"/>
        <v>0</v>
      </c>
      <c r="CA40" s="4">
        <f t="shared" si="41"/>
        <v>0</v>
      </c>
      <c r="CB40" s="10">
        <f t="shared" si="34"/>
        <v>0</v>
      </c>
      <c r="CC40" s="4">
        <f t="shared" si="11"/>
        <v>0</v>
      </c>
      <c r="CD40" s="20">
        <v>0</v>
      </c>
      <c r="CE40" s="4">
        <f t="shared" si="57"/>
        <v>0</v>
      </c>
      <c r="CF40" s="17"/>
      <c r="CG40" s="16">
        <f t="shared" si="5"/>
        <v>45504</v>
      </c>
      <c r="CH40" s="10">
        <f t="shared" si="12"/>
        <v>1049.8599999999999</v>
      </c>
      <c r="CI40" s="10">
        <f t="shared" si="13"/>
        <v>85</v>
      </c>
      <c r="CJ40" s="10">
        <f t="shared" si="14"/>
        <v>1126.6599999999999</v>
      </c>
      <c r="CK40" s="4">
        <f t="shared" si="15"/>
        <v>76.799999999999955</v>
      </c>
      <c r="CL40" s="20">
        <v>0</v>
      </c>
      <c r="CM40" s="4">
        <f t="shared" si="58"/>
        <v>-11.650000000000091</v>
      </c>
      <c r="CO40" s="16">
        <f t="shared" si="54"/>
        <v>45504</v>
      </c>
      <c r="CP40" s="4">
        <f t="shared" si="59"/>
        <v>-7.5299999999999727</v>
      </c>
      <c r="CQ40" s="4">
        <f t="shared" si="60"/>
        <v>0.28999999999999915</v>
      </c>
      <c r="CR40" s="4">
        <f t="shared" si="61"/>
        <v>0</v>
      </c>
      <c r="CS40" s="4">
        <f t="shared" si="62"/>
        <v>0</v>
      </c>
      <c r="CT40" s="4">
        <f t="shared" si="63"/>
        <v>-0.45999999999999375</v>
      </c>
      <c r="CU40" s="4">
        <f t="shared" si="64"/>
        <v>-3.9500000000000171</v>
      </c>
      <c r="CV40" s="4">
        <f t="shared" si="65"/>
        <v>0</v>
      </c>
      <c r="CW40" s="4">
        <f t="shared" si="66"/>
        <v>0</v>
      </c>
      <c r="CX40" s="4">
        <f t="shared" si="67"/>
        <v>0</v>
      </c>
      <c r="CY40" s="4">
        <f t="shared" si="68"/>
        <v>0</v>
      </c>
      <c r="CZ40" s="4">
        <f t="shared" si="69"/>
        <v>0</v>
      </c>
      <c r="DA40" s="4">
        <f t="shared" si="70"/>
        <v>0</v>
      </c>
      <c r="DB40" s="4">
        <f t="shared" si="71"/>
        <v>0</v>
      </c>
      <c r="DC40" s="4">
        <f t="shared" si="72"/>
        <v>0</v>
      </c>
      <c r="DD40" s="4">
        <f t="shared" si="73"/>
        <v>0</v>
      </c>
      <c r="DE40" s="4">
        <f t="shared" si="74"/>
        <v>0</v>
      </c>
      <c r="DF40" s="10">
        <f t="shared" si="75"/>
        <v>0</v>
      </c>
      <c r="DG40" s="10">
        <f t="shared" si="35"/>
        <v>0</v>
      </c>
      <c r="DH40" s="4">
        <f t="shared" si="36"/>
        <v>0</v>
      </c>
      <c r="DI40" s="4">
        <f t="shared" si="37"/>
        <v>0</v>
      </c>
      <c r="DJ40" s="4">
        <f t="shared" si="38"/>
        <v>0</v>
      </c>
      <c r="DK40" s="4">
        <f t="shared" si="39"/>
        <v>0</v>
      </c>
    </row>
    <row r="41" spans="1:115" x14ac:dyDescent="0.25">
      <c r="A41" s="12">
        <v>45535</v>
      </c>
      <c r="B41" s="7">
        <v>734.92</v>
      </c>
      <c r="C41" s="8">
        <v>803.38</v>
      </c>
      <c r="D41" s="18">
        <f t="shared" si="7"/>
        <v>9.315299624448925E-2</v>
      </c>
      <c r="E41" s="9">
        <v>39.94</v>
      </c>
      <c r="F41" s="8">
        <v>40.630000000000003</v>
      </c>
      <c r="G41" s="18">
        <f t="shared" si="76"/>
        <v>1.727591387080633E-2</v>
      </c>
      <c r="H41" s="9">
        <v>0</v>
      </c>
      <c r="I41" s="10">
        <v>0</v>
      </c>
      <c r="J41" s="18">
        <v>0</v>
      </c>
      <c r="K41" s="4">
        <v>0</v>
      </c>
      <c r="L41" s="4">
        <v>0</v>
      </c>
      <c r="M41" s="19">
        <v>0</v>
      </c>
      <c r="N41" s="9">
        <v>100</v>
      </c>
      <c r="O41" s="8">
        <v>104.42</v>
      </c>
      <c r="P41" s="18">
        <f t="shared" si="55"/>
        <v>4.4200000000000017E-2</v>
      </c>
      <c r="Q41" s="9">
        <v>200</v>
      </c>
      <c r="R41" s="8">
        <v>211.23</v>
      </c>
      <c r="S41" s="18">
        <f t="shared" si="51"/>
        <v>5.614999999999995E-2</v>
      </c>
      <c r="T41" s="9">
        <v>0</v>
      </c>
      <c r="U41" s="10">
        <v>0</v>
      </c>
      <c r="V41" s="18">
        <v>0</v>
      </c>
      <c r="W41" s="9">
        <v>0</v>
      </c>
      <c r="X41" s="10">
        <v>0</v>
      </c>
      <c r="Y41" s="18">
        <v>0</v>
      </c>
      <c r="Z41" s="9">
        <v>0</v>
      </c>
      <c r="AA41" s="10">
        <v>0</v>
      </c>
      <c r="AB41" s="18">
        <v>0</v>
      </c>
      <c r="AC41" s="9">
        <v>0</v>
      </c>
      <c r="AD41" s="10">
        <v>0</v>
      </c>
      <c r="AE41" s="18">
        <v>0</v>
      </c>
      <c r="AF41" s="9">
        <v>0</v>
      </c>
      <c r="AG41" s="10">
        <v>0</v>
      </c>
      <c r="AH41" s="18">
        <v>0</v>
      </c>
      <c r="AI41" s="9">
        <v>0</v>
      </c>
      <c r="AJ41" s="10">
        <v>0</v>
      </c>
      <c r="AK41" s="18">
        <v>0</v>
      </c>
      <c r="AL41" s="9">
        <v>0</v>
      </c>
      <c r="AM41" s="10">
        <v>0</v>
      </c>
      <c r="AN41" s="18">
        <v>0</v>
      </c>
      <c r="AO41" s="9">
        <v>0</v>
      </c>
      <c r="AP41" s="10">
        <v>0</v>
      </c>
      <c r="AQ41" s="18">
        <v>0</v>
      </c>
      <c r="AR41" s="9">
        <v>0</v>
      </c>
      <c r="AS41" s="10">
        <v>0</v>
      </c>
      <c r="AT41" s="18">
        <v>0</v>
      </c>
      <c r="AU41" s="9">
        <v>0</v>
      </c>
      <c r="AV41" s="10">
        <v>0</v>
      </c>
      <c r="AW41" s="18">
        <v>0</v>
      </c>
      <c r="AX41" s="9">
        <v>0</v>
      </c>
      <c r="AY41" s="10">
        <v>0</v>
      </c>
      <c r="AZ41" s="18">
        <v>0</v>
      </c>
      <c r="BA41" s="9">
        <v>0</v>
      </c>
      <c r="BB41" s="10">
        <v>0</v>
      </c>
      <c r="BC41" s="18">
        <v>0</v>
      </c>
      <c r="BD41" s="9">
        <v>0</v>
      </c>
      <c r="BE41" s="10">
        <v>0</v>
      </c>
      <c r="BF41" s="18">
        <v>0</v>
      </c>
      <c r="BG41" s="9">
        <v>0</v>
      </c>
      <c r="BH41" s="10">
        <v>0</v>
      </c>
      <c r="BI41" s="18">
        <v>0</v>
      </c>
      <c r="BJ41" s="9">
        <v>0</v>
      </c>
      <c r="BK41" s="10">
        <v>0</v>
      </c>
      <c r="BL41" s="18">
        <v>0</v>
      </c>
      <c r="BM41" s="9">
        <v>0</v>
      </c>
      <c r="BN41" s="10">
        <v>0</v>
      </c>
      <c r="BO41" s="18">
        <v>0</v>
      </c>
      <c r="BP41" s="17"/>
      <c r="BQ41" s="16">
        <f t="shared" si="8"/>
        <v>45535</v>
      </c>
      <c r="BR41" s="10">
        <f t="shared" si="52"/>
        <v>1074.8599999999999</v>
      </c>
      <c r="BS41" s="4">
        <f t="shared" si="40"/>
        <v>25</v>
      </c>
      <c r="BT41" s="10">
        <f t="shared" si="53"/>
        <v>1159.6599999999999</v>
      </c>
      <c r="BU41" s="4">
        <f t="shared" si="9"/>
        <v>84.799999999999955</v>
      </c>
      <c r="BV41" s="20">
        <f t="shared" si="10"/>
        <v>7.8893995497087963E-2</v>
      </c>
      <c r="BW41" s="4">
        <f t="shared" si="56"/>
        <v>8</v>
      </c>
      <c r="BX41" s="17"/>
      <c r="BY41" s="16">
        <f t="shared" si="2"/>
        <v>45535</v>
      </c>
      <c r="BZ41" s="10">
        <f t="shared" si="3"/>
        <v>0</v>
      </c>
      <c r="CA41" s="4">
        <f t="shared" si="41"/>
        <v>0</v>
      </c>
      <c r="CB41" s="10">
        <f t="shared" si="34"/>
        <v>0</v>
      </c>
      <c r="CC41" s="4">
        <f t="shared" si="11"/>
        <v>0</v>
      </c>
      <c r="CD41" s="20">
        <v>0</v>
      </c>
      <c r="CE41" s="4">
        <f t="shared" si="57"/>
        <v>0</v>
      </c>
      <c r="CF41" s="17"/>
      <c r="CG41" s="16">
        <f t="shared" si="5"/>
        <v>45535</v>
      </c>
      <c r="CH41" s="10">
        <f t="shared" si="12"/>
        <v>1074.8599999999999</v>
      </c>
      <c r="CI41" s="10">
        <f t="shared" si="13"/>
        <v>25</v>
      </c>
      <c r="CJ41" s="10">
        <f t="shared" si="14"/>
        <v>1159.6599999999999</v>
      </c>
      <c r="CK41" s="4">
        <f t="shared" si="15"/>
        <v>84.799999999999955</v>
      </c>
      <c r="CL41" s="20">
        <v>0</v>
      </c>
      <c r="CM41" s="4">
        <f t="shared" si="58"/>
        <v>8</v>
      </c>
      <c r="CO41" s="16">
        <f t="shared" si="54"/>
        <v>45535</v>
      </c>
      <c r="CP41" s="4">
        <f t="shared" si="59"/>
        <v>13.629999999999995</v>
      </c>
      <c r="CQ41" s="4">
        <f t="shared" si="60"/>
        <v>-0.14999999999999858</v>
      </c>
      <c r="CR41" s="4">
        <f t="shared" si="61"/>
        <v>0</v>
      </c>
      <c r="CS41" s="4">
        <f t="shared" si="62"/>
        <v>0</v>
      </c>
      <c r="CT41" s="4">
        <f t="shared" si="63"/>
        <v>-0.95000000000000284</v>
      </c>
      <c r="CU41" s="4">
        <f t="shared" si="64"/>
        <v>-4.5300000000000011</v>
      </c>
      <c r="CV41" s="4">
        <f t="shared" si="65"/>
        <v>0</v>
      </c>
      <c r="CW41" s="4">
        <f t="shared" si="66"/>
        <v>0</v>
      </c>
      <c r="CX41" s="4">
        <f t="shared" si="67"/>
        <v>0</v>
      </c>
      <c r="CY41" s="4">
        <f t="shared" si="68"/>
        <v>0</v>
      </c>
      <c r="CZ41" s="4">
        <f t="shared" si="69"/>
        <v>0</v>
      </c>
      <c r="DA41" s="4">
        <f t="shared" si="70"/>
        <v>0</v>
      </c>
      <c r="DB41" s="4">
        <f t="shared" si="71"/>
        <v>0</v>
      </c>
      <c r="DC41" s="4">
        <f t="shared" si="72"/>
        <v>0</v>
      </c>
      <c r="DD41" s="4">
        <f t="shared" si="73"/>
        <v>0</v>
      </c>
      <c r="DE41" s="4">
        <f t="shared" si="74"/>
        <v>0</v>
      </c>
      <c r="DF41" s="10">
        <f t="shared" si="75"/>
        <v>0</v>
      </c>
      <c r="DG41" s="10">
        <f t="shared" si="35"/>
        <v>0</v>
      </c>
      <c r="DH41" s="4">
        <f t="shared" si="36"/>
        <v>0</v>
      </c>
      <c r="DI41" s="4">
        <f t="shared" si="37"/>
        <v>0</v>
      </c>
      <c r="DJ41" s="4">
        <f t="shared" si="38"/>
        <v>0</v>
      </c>
      <c r="DK41" s="4">
        <f t="shared" si="39"/>
        <v>0</v>
      </c>
    </row>
    <row r="42" spans="1:115" x14ac:dyDescent="0.25">
      <c r="A42" s="12">
        <v>45565</v>
      </c>
      <c r="B42" s="7">
        <v>749.92</v>
      </c>
      <c r="C42" s="8">
        <v>830.93</v>
      </c>
      <c r="D42" s="18">
        <f t="shared" si="7"/>
        <v>0.10802485598463836</v>
      </c>
      <c r="E42" s="9">
        <v>39.94</v>
      </c>
      <c r="F42" s="8">
        <v>41.18</v>
      </c>
      <c r="G42" s="18">
        <f t="shared" si="76"/>
        <v>3.1046569854782224E-2</v>
      </c>
      <c r="H42" s="9">
        <v>0</v>
      </c>
      <c r="I42" s="10">
        <v>0</v>
      </c>
      <c r="J42" s="18">
        <v>0</v>
      </c>
      <c r="K42" s="4">
        <v>0</v>
      </c>
      <c r="L42" s="4">
        <v>0</v>
      </c>
      <c r="M42" s="19">
        <v>0</v>
      </c>
      <c r="N42" s="9">
        <v>100</v>
      </c>
      <c r="O42" s="8">
        <v>104.67</v>
      </c>
      <c r="P42" s="18">
        <f t="shared" si="55"/>
        <v>4.6700000000000019E-2</v>
      </c>
      <c r="Q42" s="9">
        <v>200</v>
      </c>
      <c r="R42" s="8">
        <v>223.06</v>
      </c>
      <c r="S42" s="18">
        <f t="shared" si="51"/>
        <v>0.11530000000000001</v>
      </c>
      <c r="T42" s="9">
        <v>0</v>
      </c>
      <c r="U42" s="10">
        <v>0</v>
      </c>
      <c r="V42" s="18">
        <v>0</v>
      </c>
      <c r="W42" s="9">
        <v>0</v>
      </c>
      <c r="X42" s="10">
        <v>0</v>
      </c>
      <c r="Y42" s="18">
        <v>0</v>
      </c>
      <c r="Z42" s="9">
        <v>0</v>
      </c>
      <c r="AA42" s="10">
        <v>0</v>
      </c>
      <c r="AB42" s="18">
        <v>0</v>
      </c>
      <c r="AC42" s="9">
        <v>0</v>
      </c>
      <c r="AD42" s="10">
        <v>0</v>
      </c>
      <c r="AE42" s="18">
        <v>0</v>
      </c>
      <c r="AF42" s="9">
        <v>0</v>
      </c>
      <c r="AG42" s="10">
        <v>0</v>
      </c>
      <c r="AH42" s="18">
        <v>0</v>
      </c>
      <c r="AI42" s="9">
        <v>0</v>
      </c>
      <c r="AJ42" s="10">
        <v>0</v>
      </c>
      <c r="AK42" s="18">
        <v>0</v>
      </c>
      <c r="AL42" s="9">
        <v>0</v>
      </c>
      <c r="AM42" s="10">
        <v>0</v>
      </c>
      <c r="AN42" s="18">
        <v>0</v>
      </c>
      <c r="AO42" s="9">
        <v>0</v>
      </c>
      <c r="AP42" s="10">
        <v>0</v>
      </c>
      <c r="AQ42" s="18">
        <v>0</v>
      </c>
      <c r="AR42" s="9">
        <v>0</v>
      </c>
      <c r="AS42" s="10">
        <v>0</v>
      </c>
      <c r="AT42" s="18">
        <v>0</v>
      </c>
      <c r="AU42" s="9">
        <v>0</v>
      </c>
      <c r="AV42" s="10">
        <v>0</v>
      </c>
      <c r="AW42" s="18">
        <v>0</v>
      </c>
      <c r="AX42" s="9">
        <v>0</v>
      </c>
      <c r="AY42" s="10">
        <v>0</v>
      </c>
      <c r="AZ42" s="18">
        <v>0</v>
      </c>
      <c r="BA42" s="9">
        <v>0</v>
      </c>
      <c r="BB42" s="10">
        <v>0</v>
      </c>
      <c r="BC42" s="18">
        <v>0</v>
      </c>
      <c r="BD42" s="9">
        <v>0</v>
      </c>
      <c r="BE42" s="10">
        <v>0</v>
      </c>
      <c r="BF42" s="18">
        <v>0</v>
      </c>
      <c r="BG42" s="9">
        <v>0</v>
      </c>
      <c r="BH42" s="10">
        <v>0</v>
      </c>
      <c r="BI42" s="18">
        <v>0</v>
      </c>
      <c r="BJ42" s="9">
        <v>0</v>
      </c>
      <c r="BK42" s="10">
        <v>0</v>
      </c>
      <c r="BL42" s="18">
        <v>0</v>
      </c>
      <c r="BM42" s="9">
        <v>0</v>
      </c>
      <c r="BN42" s="10">
        <v>0</v>
      </c>
      <c r="BO42" s="18">
        <v>0</v>
      </c>
      <c r="BP42" s="17"/>
      <c r="BQ42" s="16">
        <f t="shared" si="8"/>
        <v>45565</v>
      </c>
      <c r="BR42" s="10">
        <f t="shared" si="52"/>
        <v>1089.8599999999999</v>
      </c>
      <c r="BS42" s="4">
        <f t="shared" si="40"/>
        <v>15</v>
      </c>
      <c r="BT42" s="10">
        <f t="shared" si="53"/>
        <v>1199.8399999999999</v>
      </c>
      <c r="BU42" s="4">
        <f t="shared" si="9"/>
        <v>109.98000000000002</v>
      </c>
      <c r="BV42" s="20">
        <f t="shared" si="10"/>
        <v>0.1009120437487384</v>
      </c>
      <c r="BW42" s="4">
        <f t="shared" si="56"/>
        <v>25.180000000000064</v>
      </c>
      <c r="BX42" s="17"/>
      <c r="BY42" s="16">
        <f t="shared" si="2"/>
        <v>45565</v>
      </c>
      <c r="BZ42" s="10">
        <f t="shared" si="3"/>
        <v>0</v>
      </c>
      <c r="CA42" s="4">
        <f t="shared" si="41"/>
        <v>0</v>
      </c>
      <c r="CB42" s="10">
        <f t="shared" si="34"/>
        <v>0</v>
      </c>
      <c r="CC42" s="4">
        <f t="shared" si="11"/>
        <v>0</v>
      </c>
      <c r="CD42" s="20">
        <v>0</v>
      </c>
      <c r="CE42" s="4">
        <f t="shared" si="57"/>
        <v>0</v>
      </c>
      <c r="CF42" s="17"/>
      <c r="CG42" s="16">
        <f t="shared" si="5"/>
        <v>45565</v>
      </c>
      <c r="CH42" s="10">
        <f t="shared" si="12"/>
        <v>1089.8599999999999</v>
      </c>
      <c r="CI42" s="10">
        <f t="shared" si="13"/>
        <v>15</v>
      </c>
      <c r="CJ42" s="10">
        <f t="shared" si="14"/>
        <v>1199.8399999999999</v>
      </c>
      <c r="CK42" s="4">
        <f t="shared" si="15"/>
        <v>109.98000000000002</v>
      </c>
      <c r="CL42" s="20">
        <v>0</v>
      </c>
      <c r="CM42" s="4">
        <f t="shared" si="58"/>
        <v>25.180000000000064</v>
      </c>
      <c r="CO42" s="16">
        <f t="shared" si="54"/>
        <v>45565</v>
      </c>
      <c r="CP42" s="4">
        <f t="shared" si="59"/>
        <v>12.549999999999955</v>
      </c>
      <c r="CQ42" s="4">
        <f t="shared" si="60"/>
        <v>0.54999999999999716</v>
      </c>
      <c r="CR42" s="4">
        <f t="shared" si="61"/>
        <v>0</v>
      </c>
      <c r="CS42" s="4">
        <f t="shared" si="62"/>
        <v>0</v>
      </c>
      <c r="CT42" s="4">
        <f t="shared" si="63"/>
        <v>0.25</v>
      </c>
      <c r="CU42" s="4">
        <f t="shared" si="64"/>
        <v>11.830000000000013</v>
      </c>
      <c r="CV42" s="4">
        <f t="shared" si="65"/>
        <v>0</v>
      </c>
      <c r="CW42" s="4">
        <f t="shared" si="66"/>
        <v>0</v>
      </c>
      <c r="CX42" s="4">
        <f t="shared" si="67"/>
        <v>0</v>
      </c>
      <c r="CY42" s="4">
        <f t="shared" si="68"/>
        <v>0</v>
      </c>
      <c r="CZ42" s="4">
        <f t="shared" si="69"/>
        <v>0</v>
      </c>
      <c r="DA42" s="4">
        <f t="shared" si="70"/>
        <v>0</v>
      </c>
      <c r="DB42" s="4">
        <f t="shared" si="71"/>
        <v>0</v>
      </c>
      <c r="DC42" s="4">
        <f t="shared" si="72"/>
        <v>0</v>
      </c>
      <c r="DD42" s="4">
        <f t="shared" si="73"/>
        <v>0</v>
      </c>
      <c r="DE42" s="4">
        <f t="shared" si="74"/>
        <v>0</v>
      </c>
      <c r="DF42" s="10">
        <f t="shared" si="75"/>
        <v>0</v>
      </c>
      <c r="DG42" s="10">
        <f t="shared" si="35"/>
        <v>0</v>
      </c>
      <c r="DH42" s="4">
        <f t="shared" si="36"/>
        <v>0</v>
      </c>
      <c r="DI42" s="4">
        <f t="shared" si="37"/>
        <v>0</v>
      </c>
      <c r="DJ42" s="4">
        <f t="shared" si="38"/>
        <v>0</v>
      </c>
      <c r="DK42" s="4">
        <f t="shared" si="39"/>
        <v>0</v>
      </c>
    </row>
    <row r="43" spans="1:115" x14ac:dyDescent="0.25">
      <c r="A43" s="12">
        <v>45596</v>
      </c>
      <c r="B43" s="5">
        <v>784.92</v>
      </c>
      <c r="C43" s="2">
        <v>866.75</v>
      </c>
      <c r="D43" s="18">
        <f t="shared" si="7"/>
        <v>0.10425266269173934</v>
      </c>
      <c r="E43" s="6">
        <v>39.94</v>
      </c>
      <c r="F43" s="2">
        <v>40.65</v>
      </c>
      <c r="G43" s="18">
        <f t="shared" si="76"/>
        <v>1.7776664997496267E-2</v>
      </c>
      <c r="H43" s="9">
        <v>0</v>
      </c>
      <c r="I43" s="10">
        <v>0</v>
      </c>
      <c r="J43" s="18">
        <v>0</v>
      </c>
      <c r="K43" s="4">
        <v>0</v>
      </c>
      <c r="L43" s="4">
        <v>0</v>
      </c>
      <c r="M43" s="19">
        <v>0</v>
      </c>
      <c r="N43" s="6">
        <v>100</v>
      </c>
      <c r="O43" s="2">
        <v>106.37</v>
      </c>
      <c r="P43" s="18">
        <f t="shared" si="55"/>
        <v>6.3700000000000048E-2</v>
      </c>
      <c r="Q43" s="6">
        <v>200</v>
      </c>
      <c r="R43" s="2">
        <v>234.77</v>
      </c>
      <c r="S43" s="18">
        <f t="shared" si="51"/>
        <v>0.17385000000000006</v>
      </c>
      <c r="T43" s="9">
        <v>0</v>
      </c>
      <c r="U43" s="10">
        <v>0</v>
      </c>
      <c r="V43" s="18">
        <v>0</v>
      </c>
      <c r="W43" s="9">
        <v>0</v>
      </c>
      <c r="X43" s="10">
        <v>0</v>
      </c>
      <c r="Y43" s="18">
        <v>0</v>
      </c>
      <c r="Z43" s="9">
        <v>0</v>
      </c>
      <c r="AA43" s="10">
        <v>0</v>
      </c>
      <c r="AB43" s="18">
        <v>0</v>
      </c>
      <c r="AC43" s="9">
        <v>0</v>
      </c>
      <c r="AD43" s="10">
        <v>0</v>
      </c>
      <c r="AE43" s="18">
        <v>0</v>
      </c>
      <c r="AF43" s="9">
        <v>0</v>
      </c>
      <c r="AG43" s="10">
        <v>0</v>
      </c>
      <c r="AH43" s="18">
        <v>0</v>
      </c>
      <c r="AI43" s="9">
        <v>0</v>
      </c>
      <c r="AJ43" s="10">
        <v>0</v>
      </c>
      <c r="AK43" s="18">
        <v>0</v>
      </c>
      <c r="AL43" s="9">
        <v>0</v>
      </c>
      <c r="AM43" s="10">
        <v>0</v>
      </c>
      <c r="AN43" s="18">
        <v>0</v>
      </c>
      <c r="AO43" s="9">
        <v>0</v>
      </c>
      <c r="AP43" s="10">
        <v>0</v>
      </c>
      <c r="AQ43" s="18">
        <v>0</v>
      </c>
      <c r="AR43" s="9">
        <v>0</v>
      </c>
      <c r="AS43" s="10">
        <v>0</v>
      </c>
      <c r="AT43" s="18">
        <v>0</v>
      </c>
      <c r="AU43" s="9">
        <v>0</v>
      </c>
      <c r="AV43" s="10">
        <v>0</v>
      </c>
      <c r="AW43" s="18">
        <v>0</v>
      </c>
      <c r="AX43" s="9">
        <v>0</v>
      </c>
      <c r="AY43" s="10">
        <v>0</v>
      </c>
      <c r="AZ43" s="18">
        <v>0</v>
      </c>
      <c r="BA43" s="9">
        <v>0</v>
      </c>
      <c r="BB43" s="10">
        <v>0</v>
      </c>
      <c r="BC43" s="18">
        <v>0</v>
      </c>
      <c r="BD43" s="9">
        <v>0</v>
      </c>
      <c r="BE43" s="10">
        <v>0</v>
      </c>
      <c r="BF43" s="18">
        <v>0</v>
      </c>
      <c r="BG43" s="9">
        <v>0</v>
      </c>
      <c r="BH43" s="10">
        <v>0</v>
      </c>
      <c r="BI43" s="18">
        <v>0</v>
      </c>
      <c r="BJ43" s="9">
        <v>0</v>
      </c>
      <c r="BK43" s="10">
        <v>0</v>
      </c>
      <c r="BL43" s="18">
        <v>0</v>
      </c>
      <c r="BM43" s="9">
        <v>0</v>
      </c>
      <c r="BN43" s="10">
        <v>0</v>
      </c>
      <c r="BO43" s="18">
        <v>0</v>
      </c>
      <c r="BP43" s="17"/>
      <c r="BQ43" s="16">
        <f t="shared" si="8"/>
        <v>45596</v>
      </c>
      <c r="BR43" s="10">
        <f t="shared" si="52"/>
        <v>1124.8599999999999</v>
      </c>
      <c r="BS43" s="4">
        <f>BR43-BR42</f>
        <v>35</v>
      </c>
      <c r="BT43" s="10">
        <f t="shared" si="53"/>
        <v>1248.54</v>
      </c>
      <c r="BU43" s="4">
        <f t="shared" si="9"/>
        <v>123.68000000000006</v>
      </c>
      <c r="BV43" s="20">
        <f t="shared" si="10"/>
        <v>0.10995146062621133</v>
      </c>
      <c r="BW43" s="4">
        <f t="shared" si="56"/>
        <v>13.700000000000045</v>
      </c>
      <c r="BX43" s="17"/>
      <c r="BY43" s="16">
        <f t="shared" si="2"/>
        <v>45596</v>
      </c>
      <c r="BZ43" s="10">
        <f t="shared" si="3"/>
        <v>0</v>
      </c>
      <c r="CA43" s="4">
        <f>BZ43-BZ42</f>
        <v>0</v>
      </c>
      <c r="CB43" s="10">
        <f t="shared" si="34"/>
        <v>0</v>
      </c>
      <c r="CC43" s="4">
        <f t="shared" si="11"/>
        <v>0</v>
      </c>
      <c r="CD43" s="20">
        <v>0</v>
      </c>
      <c r="CE43" s="4">
        <f t="shared" si="57"/>
        <v>0</v>
      </c>
      <c r="CF43" s="17"/>
      <c r="CG43" s="16">
        <f t="shared" si="5"/>
        <v>45596</v>
      </c>
      <c r="CH43" s="10">
        <f t="shared" si="12"/>
        <v>1124.8599999999999</v>
      </c>
      <c r="CI43" s="10">
        <f t="shared" si="13"/>
        <v>35</v>
      </c>
      <c r="CJ43" s="10">
        <f t="shared" si="14"/>
        <v>1248.54</v>
      </c>
      <c r="CK43" s="4">
        <f t="shared" si="15"/>
        <v>123.68000000000006</v>
      </c>
      <c r="CL43" s="20">
        <v>0</v>
      </c>
      <c r="CM43" s="4">
        <f t="shared" si="58"/>
        <v>13.700000000000045</v>
      </c>
      <c r="CO43" s="16">
        <f t="shared" si="54"/>
        <v>45596</v>
      </c>
      <c r="CP43" s="4">
        <f t="shared" si="59"/>
        <v>0.82000000000005002</v>
      </c>
      <c r="CQ43" s="4">
        <f t="shared" si="60"/>
        <v>-0.53000000000000114</v>
      </c>
      <c r="CR43" s="4">
        <f t="shared" si="61"/>
        <v>0</v>
      </c>
      <c r="CS43" s="4">
        <f t="shared" si="62"/>
        <v>0</v>
      </c>
      <c r="CT43" s="4">
        <f t="shared" si="63"/>
        <v>1.7000000000000028</v>
      </c>
      <c r="CU43" s="4">
        <f t="shared" si="64"/>
        <v>11.710000000000008</v>
      </c>
      <c r="CV43" s="4">
        <f t="shared" si="65"/>
        <v>0</v>
      </c>
      <c r="CW43" s="4">
        <f t="shared" si="66"/>
        <v>0</v>
      </c>
      <c r="CX43" s="4">
        <f t="shared" si="67"/>
        <v>0</v>
      </c>
      <c r="CY43" s="4">
        <f t="shared" si="68"/>
        <v>0</v>
      </c>
      <c r="CZ43" s="4">
        <f t="shared" si="69"/>
        <v>0</v>
      </c>
      <c r="DA43" s="4">
        <f t="shared" si="70"/>
        <v>0</v>
      </c>
      <c r="DB43" s="4">
        <f t="shared" si="71"/>
        <v>0</v>
      </c>
      <c r="DC43" s="4">
        <f t="shared" si="72"/>
        <v>0</v>
      </c>
      <c r="DD43" s="4">
        <f t="shared" si="73"/>
        <v>0</v>
      </c>
      <c r="DE43" s="4">
        <f t="shared" si="74"/>
        <v>0</v>
      </c>
      <c r="DF43" s="10">
        <f t="shared" si="75"/>
        <v>0</v>
      </c>
      <c r="DG43" s="10">
        <f t="shared" si="35"/>
        <v>0</v>
      </c>
      <c r="DH43" s="4">
        <f t="shared" si="36"/>
        <v>0</v>
      </c>
      <c r="DI43" s="4">
        <f t="shared" si="37"/>
        <v>0</v>
      </c>
      <c r="DJ43" s="4">
        <f t="shared" si="38"/>
        <v>0</v>
      </c>
      <c r="DK43" s="4">
        <f t="shared" si="39"/>
        <v>0</v>
      </c>
    </row>
    <row r="44" spans="1:115" x14ac:dyDescent="0.25">
      <c r="A44" s="12">
        <v>45626</v>
      </c>
      <c r="B44" s="5">
        <v>829.92</v>
      </c>
      <c r="C44" s="2">
        <v>925.59</v>
      </c>
      <c r="D44" s="18">
        <f t="shared" si="7"/>
        <v>0.11527617119722393</v>
      </c>
      <c r="E44" s="6">
        <v>59.92</v>
      </c>
      <c r="F44" s="2">
        <v>62.54</v>
      </c>
      <c r="G44" s="18">
        <f t="shared" si="76"/>
        <v>4.3724966622162839E-2</v>
      </c>
      <c r="H44" s="9">
        <v>0</v>
      </c>
      <c r="I44" s="10">
        <v>0</v>
      </c>
      <c r="J44" s="18">
        <v>0</v>
      </c>
      <c r="K44" s="4">
        <v>0</v>
      </c>
      <c r="L44" s="4">
        <v>0</v>
      </c>
      <c r="M44" s="19">
        <v>0</v>
      </c>
      <c r="N44" s="6">
        <v>100</v>
      </c>
      <c r="O44" s="2">
        <v>111.48</v>
      </c>
      <c r="P44" s="18">
        <f t="shared" si="55"/>
        <v>0.11480000000000004</v>
      </c>
      <c r="Q44" s="6">
        <v>250</v>
      </c>
      <c r="R44" s="2">
        <v>293.73</v>
      </c>
      <c r="S44" s="18">
        <f t="shared" si="51"/>
        <v>0.17492000000000008</v>
      </c>
      <c r="T44" s="9">
        <v>0</v>
      </c>
      <c r="U44" s="10">
        <v>0</v>
      </c>
      <c r="V44" s="18">
        <v>0</v>
      </c>
      <c r="W44" s="9">
        <v>0</v>
      </c>
      <c r="X44" s="10">
        <v>0</v>
      </c>
      <c r="Y44" s="18">
        <v>0</v>
      </c>
      <c r="Z44" s="9">
        <v>0</v>
      </c>
      <c r="AA44" s="10">
        <v>0</v>
      </c>
      <c r="AB44" s="18">
        <v>0</v>
      </c>
      <c r="AC44" s="9">
        <v>0</v>
      </c>
      <c r="AD44" s="10">
        <v>0</v>
      </c>
      <c r="AE44" s="18">
        <v>0</v>
      </c>
      <c r="AF44" s="9">
        <v>0</v>
      </c>
      <c r="AG44" s="10">
        <v>0</v>
      </c>
      <c r="AH44" s="18">
        <v>0</v>
      </c>
      <c r="AI44" s="9">
        <v>0</v>
      </c>
      <c r="AJ44" s="10">
        <v>0</v>
      </c>
      <c r="AK44" s="18">
        <v>0</v>
      </c>
      <c r="AL44" s="9">
        <v>0</v>
      </c>
      <c r="AM44" s="10">
        <v>0</v>
      </c>
      <c r="AN44" s="18">
        <v>0</v>
      </c>
      <c r="AO44" s="9">
        <v>0</v>
      </c>
      <c r="AP44" s="10">
        <v>0</v>
      </c>
      <c r="AQ44" s="18">
        <v>0</v>
      </c>
      <c r="AR44" s="9">
        <v>0</v>
      </c>
      <c r="AS44" s="10">
        <v>0</v>
      </c>
      <c r="AT44" s="18">
        <v>0</v>
      </c>
      <c r="AU44" s="9">
        <v>0</v>
      </c>
      <c r="AV44" s="10">
        <v>0</v>
      </c>
      <c r="AW44" s="18">
        <v>0</v>
      </c>
      <c r="AX44" s="9">
        <v>0</v>
      </c>
      <c r="AY44" s="10">
        <v>0</v>
      </c>
      <c r="AZ44" s="18">
        <v>0</v>
      </c>
      <c r="BA44" s="9">
        <v>0</v>
      </c>
      <c r="BB44" s="10">
        <v>0</v>
      </c>
      <c r="BC44" s="18">
        <v>0</v>
      </c>
      <c r="BD44" s="9">
        <v>0</v>
      </c>
      <c r="BE44" s="10">
        <v>0</v>
      </c>
      <c r="BF44" s="18">
        <v>0</v>
      </c>
      <c r="BG44" s="9">
        <v>0</v>
      </c>
      <c r="BH44" s="10">
        <v>0</v>
      </c>
      <c r="BI44" s="18">
        <v>0</v>
      </c>
      <c r="BJ44" s="9">
        <v>0</v>
      </c>
      <c r="BK44" s="10">
        <v>0</v>
      </c>
      <c r="BL44" s="18">
        <v>0</v>
      </c>
      <c r="BM44" s="9">
        <v>0</v>
      </c>
      <c r="BN44" s="10">
        <v>0</v>
      </c>
      <c r="BO44" s="18">
        <v>0</v>
      </c>
      <c r="BP44" s="17"/>
      <c r="BQ44" s="16">
        <f t="shared" si="8"/>
        <v>45626</v>
      </c>
      <c r="BR44" s="10">
        <f t="shared" si="52"/>
        <v>1239.8399999999999</v>
      </c>
      <c r="BS44" s="4">
        <f>BR44-BR43</f>
        <v>114.98000000000002</v>
      </c>
      <c r="BT44" s="10">
        <f t="shared" si="53"/>
        <v>1393.34</v>
      </c>
      <c r="BU44" s="4">
        <f t="shared" si="9"/>
        <v>153.5</v>
      </c>
      <c r="BV44" s="20">
        <f t="shared" si="10"/>
        <v>0.12380629758678539</v>
      </c>
      <c r="BW44" s="4">
        <f>BU44-BU43</f>
        <v>29.819999999999936</v>
      </c>
      <c r="BX44" s="17"/>
      <c r="BY44" s="16">
        <f t="shared" si="2"/>
        <v>45626</v>
      </c>
      <c r="BZ44" s="10">
        <f t="shared" si="3"/>
        <v>0</v>
      </c>
      <c r="CA44" s="4">
        <f>BZ44-BZ43</f>
        <v>0</v>
      </c>
      <c r="CB44" s="10">
        <f t="shared" si="34"/>
        <v>0</v>
      </c>
      <c r="CC44" s="4">
        <f t="shared" si="11"/>
        <v>0</v>
      </c>
      <c r="CD44" s="20">
        <v>0</v>
      </c>
      <c r="CE44" s="4">
        <f>CC44-CC43</f>
        <v>0</v>
      </c>
      <c r="CF44" s="17"/>
      <c r="CG44" s="16">
        <f t="shared" si="5"/>
        <v>45626</v>
      </c>
      <c r="CH44" s="10">
        <f t="shared" si="12"/>
        <v>1239.8399999999999</v>
      </c>
      <c r="CI44" s="10">
        <f t="shared" si="13"/>
        <v>114.98000000000002</v>
      </c>
      <c r="CJ44" s="10">
        <f t="shared" si="14"/>
        <v>1393.34</v>
      </c>
      <c r="CK44" s="4">
        <f t="shared" si="15"/>
        <v>153.5</v>
      </c>
      <c r="CL44" s="20">
        <v>0</v>
      </c>
      <c r="CM44" s="4">
        <f>CK44-CK43</f>
        <v>29.819999999999936</v>
      </c>
      <c r="CO44" s="16">
        <f t="shared" si="54"/>
        <v>45626</v>
      </c>
      <c r="CP44" s="4">
        <f t="shared" si="59"/>
        <v>13.840000000000032</v>
      </c>
      <c r="CQ44" s="4">
        <f t="shared" si="60"/>
        <v>1.9099999999999966</v>
      </c>
      <c r="CR44" s="4">
        <f t="shared" si="61"/>
        <v>0</v>
      </c>
      <c r="CS44" s="4">
        <f t="shared" si="62"/>
        <v>0</v>
      </c>
      <c r="CT44" s="4">
        <f t="shared" si="63"/>
        <v>5.1099999999999994</v>
      </c>
      <c r="CU44" s="4">
        <f t="shared" si="64"/>
        <v>8.960000000000008</v>
      </c>
      <c r="CV44" s="4">
        <f t="shared" si="65"/>
        <v>0</v>
      </c>
      <c r="CW44" s="4">
        <f t="shared" si="66"/>
        <v>0</v>
      </c>
      <c r="CX44" s="4">
        <f t="shared" si="67"/>
        <v>0</v>
      </c>
      <c r="CY44" s="4">
        <f t="shared" si="68"/>
        <v>0</v>
      </c>
      <c r="CZ44" s="4">
        <f t="shared" si="69"/>
        <v>0</v>
      </c>
      <c r="DA44" s="4">
        <f t="shared" si="70"/>
        <v>0</v>
      </c>
      <c r="DB44" s="4">
        <f t="shared" si="71"/>
        <v>0</v>
      </c>
      <c r="DC44" s="4">
        <f t="shared" si="72"/>
        <v>0</v>
      </c>
      <c r="DD44" s="4">
        <f t="shared" si="73"/>
        <v>0</v>
      </c>
      <c r="DE44" s="4">
        <f t="shared" si="74"/>
        <v>0</v>
      </c>
      <c r="DF44" s="10">
        <f t="shared" si="75"/>
        <v>0</v>
      </c>
      <c r="DG44" s="10">
        <f t="shared" si="35"/>
        <v>0</v>
      </c>
      <c r="DH44" s="4">
        <f t="shared" si="36"/>
        <v>0</v>
      </c>
      <c r="DI44" s="4">
        <f t="shared" si="37"/>
        <v>0</v>
      </c>
      <c r="DJ44" s="4">
        <f t="shared" si="38"/>
        <v>0</v>
      </c>
      <c r="DK44" s="4">
        <f t="shared" si="39"/>
        <v>0</v>
      </c>
    </row>
    <row r="45" spans="1:115" x14ac:dyDescent="0.25">
      <c r="A45" s="12">
        <v>45657</v>
      </c>
      <c r="B45" s="7">
        <v>844.92</v>
      </c>
      <c r="C45" s="8">
        <v>939.42</v>
      </c>
      <c r="D45" s="18">
        <f t="shared" si="7"/>
        <v>0.11184490839369408</v>
      </c>
      <c r="E45" s="9">
        <v>59.92</v>
      </c>
      <c r="F45" s="10">
        <v>62.01</v>
      </c>
      <c r="G45" s="18">
        <f t="shared" si="76"/>
        <v>3.4879839786381782E-2</v>
      </c>
      <c r="H45" s="9">
        <v>0</v>
      </c>
      <c r="I45" s="10">
        <v>0</v>
      </c>
      <c r="J45" s="18">
        <v>0</v>
      </c>
      <c r="K45" s="9">
        <v>10</v>
      </c>
      <c r="L45" s="10">
        <v>9.9700000000000006</v>
      </c>
      <c r="M45" s="18">
        <f>(L45-K45)/K45</f>
        <v>-2.9999999999999359E-3</v>
      </c>
      <c r="N45" s="9">
        <v>110</v>
      </c>
      <c r="O45" s="10">
        <v>122.13</v>
      </c>
      <c r="P45" s="18">
        <f t="shared" si="55"/>
        <v>0.11027272727272723</v>
      </c>
      <c r="Q45" s="9">
        <v>300</v>
      </c>
      <c r="R45" s="9">
        <v>352</v>
      </c>
      <c r="S45" s="18">
        <f t="shared" si="51"/>
        <v>0.17333333333333334</v>
      </c>
      <c r="T45" s="9">
        <v>0</v>
      </c>
      <c r="U45" s="10">
        <v>0</v>
      </c>
      <c r="V45" s="18">
        <v>0</v>
      </c>
      <c r="W45" s="9">
        <v>0</v>
      </c>
      <c r="X45" s="10">
        <v>0</v>
      </c>
      <c r="Y45" s="18">
        <v>0</v>
      </c>
      <c r="Z45" s="9">
        <v>0</v>
      </c>
      <c r="AA45" s="10">
        <v>0</v>
      </c>
      <c r="AB45" s="18">
        <v>0</v>
      </c>
      <c r="AC45" s="9">
        <v>0</v>
      </c>
      <c r="AD45" s="10">
        <v>0</v>
      </c>
      <c r="AE45" s="18">
        <v>0</v>
      </c>
      <c r="AF45" s="9">
        <v>0</v>
      </c>
      <c r="AG45" s="10">
        <v>0</v>
      </c>
      <c r="AH45" s="18">
        <v>0</v>
      </c>
      <c r="AI45" s="9">
        <v>0</v>
      </c>
      <c r="AJ45" s="10">
        <v>0</v>
      </c>
      <c r="AK45" s="18">
        <v>0</v>
      </c>
      <c r="AL45" s="9">
        <v>0</v>
      </c>
      <c r="AM45" s="10">
        <v>0</v>
      </c>
      <c r="AN45" s="18">
        <v>0</v>
      </c>
      <c r="AO45" s="9">
        <v>0</v>
      </c>
      <c r="AP45" s="10">
        <v>0</v>
      </c>
      <c r="AQ45" s="18">
        <v>0</v>
      </c>
      <c r="AR45" s="9">
        <v>0</v>
      </c>
      <c r="AS45" s="10">
        <v>0</v>
      </c>
      <c r="AT45" s="18">
        <v>0</v>
      </c>
      <c r="AU45" s="9">
        <v>0</v>
      </c>
      <c r="AV45" s="10">
        <v>0</v>
      </c>
      <c r="AW45" s="18">
        <v>0</v>
      </c>
      <c r="AX45" s="9">
        <v>0</v>
      </c>
      <c r="AY45" s="10">
        <v>0</v>
      </c>
      <c r="AZ45" s="18">
        <v>0</v>
      </c>
      <c r="BA45" s="9">
        <v>0</v>
      </c>
      <c r="BB45" s="10">
        <v>0</v>
      </c>
      <c r="BC45" s="18">
        <v>0</v>
      </c>
      <c r="BD45" s="9">
        <v>0</v>
      </c>
      <c r="BE45" s="10">
        <v>0</v>
      </c>
      <c r="BF45" s="18">
        <v>0</v>
      </c>
      <c r="BG45" s="9">
        <v>0</v>
      </c>
      <c r="BH45" s="10">
        <v>0</v>
      </c>
      <c r="BI45" s="18">
        <v>0</v>
      </c>
      <c r="BJ45" s="9">
        <v>0</v>
      </c>
      <c r="BK45" s="10">
        <v>0</v>
      </c>
      <c r="BL45" s="18">
        <v>0</v>
      </c>
      <c r="BM45" s="9">
        <v>0</v>
      </c>
      <c r="BN45" s="10">
        <v>0</v>
      </c>
      <c r="BO45" s="18">
        <v>0</v>
      </c>
      <c r="BP45" s="17"/>
      <c r="BQ45" s="16">
        <f t="shared" si="8"/>
        <v>45657</v>
      </c>
      <c r="BR45" s="10">
        <f t="shared" si="52"/>
        <v>1324.84</v>
      </c>
      <c r="BS45" s="4">
        <f t="shared" ref="BS45:BS52" si="77">BR45-BR44</f>
        <v>85</v>
      </c>
      <c r="BT45" s="10">
        <f t="shared" si="53"/>
        <v>1485.53</v>
      </c>
      <c r="BU45" s="4">
        <f t="shared" si="9"/>
        <v>160.69000000000005</v>
      </c>
      <c r="BV45" s="20">
        <f t="shared" si="10"/>
        <v>0.12129011805199123</v>
      </c>
      <c r="BW45" s="4">
        <f>BU45-BU44</f>
        <v>7.1900000000000546</v>
      </c>
      <c r="BX45" s="17"/>
      <c r="BY45" s="16">
        <f t="shared" si="2"/>
        <v>45657</v>
      </c>
      <c r="BZ45" s="10">
        <f t="shared" si="3"/>
        <v>0</v>
      </c>
      <c r="CA45" s="4">
        <f t="shared" ref="CA45:CA61" si="78">BZ45-BZ44</f>
        <v>0</v>
      </c>
      <c r="CB45" s="10">
        <f t="shared" si="34"/>
        <v>0</v>
      </c>
      <c r="CC45" s="4">
        <f t="shared" si="11"/>
        <v>0</v>
      </c>
      <c r="CD45" s="20">
        <v>0</v>
      </c>
      <c r="CE45" s="4">
        <f>CC45-CC44</f>
        <v>0</v>
      </c>
      <c r="CF45" s="17"/>
      <c r="CG45" s="16">
        <f t="shared" si="5"/>
        <v>45657</v>
      </c>
      <c r="CH45" s="10">
        <f t="shared" si="12"/>
        <v>1324.84</v>
      </c>
      <c r="CI45" s="10">
        <f t="shared" si="13"/>
        <v>85</v>
      </c>
      <c r="CJ45" s="10">
        <f t="shared" si="14"/>
        <v>1485.53</v>
      </c>
      <c r="CK45" s="4">
        <f t="shared" si="15"/>
        <v>160.69000000000005</v>
      </c>
      <c r="CL45" s="20">
        <v>0</v>
      </c>
      <c r="CM45" s="4">
        <f>CK45-CK44</f>
        <v>7.1900000000000546</v>
      </c>
      <c r="CO45" s="16">
        <f t="shared" si="54"/>
        <v>45657</v>
      </c>
      <c r="CP45" s="4">
        <f t="shared" si="59"/>
        <v>-1.1700000000000728</v>
      </c>
      <c r="CQ45" s="4">
        <f t="shared" si="60"/>
        <v>-0.53000000000000114</v>
      </c>
      <c r="CR45" s="4">
        <f t="shared" si="61"/>
        <v>0</v>
      </c>
      <c r="CS45" s="4">
        <f t="shared" si="62"/>
        <v>-2.9999999999999361E-2</v>
      </c>
      <c r="CT45" s="4">
        <f t="shared" si="63"/>
        <v>0.64999999999999147</v>
      </c>
      <c r="CU45" s="4">
        <f t="shared" si="64"/>
        <v>8.2699999999999818</v>
      </c>
      <c r="CV45" s="4">
        <f t="shared" si="65"/>
        <v>0</v>
      </c>
      <c r="CW45" s="4">
        <f t="shared" si="66"/>
        <v>0</v>
      </c>
      <c r="CX45" s="4">
        <f t="shared" si="67"/>
        <v>0</v>
      </c>
      <c r="CY45" s="4">
        <f t="shared" si="68"/>
        <v>0</v>
      </c>
      <c r="CZ45" s="4">
        <f t="shared" si="69"/>
        <v>0</v>
      </c>
      <c r="DA45" s="4">
        <f t="shared" si="70"/>
        <v>0</v>
      </c>
      <c r="DB45" s="4">
        <f t="shared" si="71"/>
        <v>0</v>
      </c>
      <c r="DC45" s="4">
        <f t="shared" si="72"/>
        <v>0</v>
      </c>
      <c r="DD45" s="4">
        <f t="shared" si="73"/>
        <v>0</v>
      </c>
      <c r="DE45" s="4">
        <f t="shared" si="74"/>
        <v>0</v>
      </c>
      <c r="DF45" s="10">
        <f t="shared" si="75"/>
        <v>0</v>
      </c>
      <c r="DG45" s="10">
        <f t="shared" si="35"/>
        <v>0</v>
      </c>
      <c r="DH45" s="4">
        <f t="shared" si="36"/>
        <v>0</v>
      </c>
      <c r="DI45" s="4">
        <f t="shared" si="37"/>
        <v>0</v>
      </c>
      <c r="DJ45" s="4">
        <f t="shared" si="38"/>
        <v>0</v>
      </c>
      <c r="DK45" s="4">
        <f t="shared" si="39"/>
        <v>0</v>
      </c>
    </row>
    <row r="46" spans="1:115" x14ac:dyDescent="0.25">
      <c r="A46" s="12">
        <v>45688</v>
      </c>
      <c r="B46" s="5">
        <v>899.92</v>
      </c>
      <c r="C46" s="2">
        <v>1022.64</v>
      </c>
      <c r="D46" s="18">
        <f t="shared" si="7"/>
        <v>0.13636767712685577</v>
      </c>
      <c r="E46" s="6">
        <v>59.92</v>
      </c>
      <c r="F46" s="4">
        <v>63.99</v>
      </c>
      <c r="G46" s="18">
        <f t="shared" si="76"/>
        <v>6.7923898531375176E-2</v>
      </c>
      <c r="H46" s="6">
        <v>0</v>
      </c>
      <c r="I46" s="4">
        <v>0</v>
      </c>
      <c r="J46" s="19">
        <v>0</v>
      </c>
      <c r="K46" s="6">
        <v>10</v>
      </c>
      <c r="L46" s="4">
        <v>10.09</v>
      </c>
      <c r="M46" s="18">
        <f t="shared" ref="M46:M56" si="79">(L46-K46)/K46</f>
        <v>8.9999999999999854E-3</v>
      </c>
      <c r="N46" s="6">
        <v>110</v>
      </c>
      <c r="O46" s="4">
        <v>124.57</v>
      </c>
      <c r="P46" s="18">
        <f t="shared" si="55"/>
        <v>0.13245454545454538</v>
      </c>
      <c r="Q46" s="6">
        <v>300</v>
      </c>
      <c r="R46" s="6">
        <v>362.15</v>
      </c>
      <c r="S46" s="18">
        <f t="shared" si="51"/>
        <v>0.20716666666666658</v>
      </c>
      <c r="T46" s="6">
        <v>0</v>
      </c>
      <c r="U46" s="4">
        <v>0</v>
      </c>
      <c r="V46" s="19">
        <v>0</v>
      </c>
      <c r="W46" s="6">
        <v>0</v>
      </c>
      <c r="X46" s="4">
        <v>0</v>
      </c>
      <c r="Y46" s="19">
        <v>0</v>
      </c>
      <c r="Z46" s="6">
        <v>0</v>
      </c>
      <c r="AA46" s="4">
        <v>0</v>
      </c>
      <c r="AB46" s="19">
        <v>0</v>
      </c>
      <c r="AC46" s="6">
        <v>0</v>
      </c>
      <c r="AD46" s="4">
        <v>0</v>
      </c>
      <c r="AE46" s="19">
        <v>0</v>
      </c>
      <c r="AF46" s="6">
        <v>0</v>
      </c>
      <c r="AG46" s="4">
        <v>0</v>
      </c>
      <c r="AH46" s="19">
        <v>0</v>
      </c>
      <c r="AI46" s="6">
        <v>0</v>
      </c>
      <c r="AJ46" s="4">
        <v>0</v>
      </c>
      <c r="AK46" s="19">
        <v>0</v>
      </c>
      <c r="AL46" s="6">
        <v>0</v>
      </c>
      <c r="AM46" s="4">
        <v>0</v>
      </c>
      <c r="AN46" s="19">
        <v>0</v>
      </c>
      <c r="AO46" s="6">
        <v>0</v>
      </c>
      <c r="AP46" s="4">
        <v>0</v>
      </c>
      <c r="AQ46" s="19">
        <v>0</v>
      </c>
      <c r="AR46" s="6">
        <v>0</v>
      </c>
      <c r="AS46" s="4">
        <v>0</v>
      </c>
      <c r="AT46" s="19">
        <v>0</v>
      </c>
      <c r="AU46" s="6">
        <v>0</v>
      </c>
      <c r="AV46" s="4">
        <v>0</v>
      </c>
      <c r="AW46" s="19">
        <v>0</v>
      </c>
      <c r="AX46" s="6">
        <v>0</v>
      </c>
      <c r="AY46" s="4">
        <v>0</v>
      </c>
      <c r="AZ46" s="19">
        <v>0</v>
      </c>
      <c r="BA46" s="6">
        <v>0</v>
      </c>
      <c r="BB46" s="4">
        <v>0</v>
      </c>
      <c r="BC46" s="19">
        <v>0</v>
      </c>
      <c r="BD46" s="6">
        <v>0</v>
      </c>
      <c r="BE46" s="4">
        <v>0</v>
      </c>
      <c r="BF46" s="19">
        <v>0</v>
      </c>
      <c r="BG46" s="6">
        <v>0</v>
      </c>
      <c r="BH46" s="4">
        <v>0</v>
      </c>
      <c r="BI46" s="19">
        <v>0</v>
      </c>
      <c r="BJ46" s="6">
        <v>0</v>
      </c>
      <c r="BK46" s="4">
        <v>0</v>
      </c>
      <c r="BL46" s="19">
        <v>0</v>
      </c>
      <c r="BM46" s="6">
        <v>0</v>
      </c>
      <c r="BN46" s="4">
        <v>0</v>
      </c>
      <c r="BO46" s="19">
        <v>0</v>
      </c>
      <c r="BP46" s="17"/>
      <c r="BQ46" s="16">
        <f t="shared" si="8"/>
        <v>45688</v>
      </c>
      <c r="BR46" s="10">
        <f t="shared" si="52"/>
        <v>1379.84</v>
      </c>
      <c r="BS46" s="4">
        <f t="shared" si="77"/>
        <v>55</v>
      </c>
      <c r="BT46" s="10">
        <f t="shared" si="53"/>
        <v>1583.4399999999996</v>
      </c>
      <c r="BU46" s="4">
        <f t="shared" si="9"/>
        <v>203.59999999999968</v>
      </c>
      <c r="BV46" s="20">
        <f t="shared" si="10"/>
        <v>0.147553339517625</v>
      </c>
      <c r="BW46" s="4">
        <f>BU46-BU45</f>
        <v>42.909999999999627</v>
      </c>
      <c r="BX46" s="17"/>
      <c r="BY46" s="16">
        <f t="shared" si="2"/>
        <v>45688</v>
      </c>
      <c r="BZ46" s="10">
        <f t="shared" si="3"/>
        <v>0</v>
      </c>
      <c r="CA46" s="4">
        <f t="shared" si="78"/>
        <v>0</v>
      </c>
      <c r="CB46" s="10">
        <f t="shared" si="34"/>
        <v>0</v>
      </c>
      <c r="CC46" s="4">
        <f t="shared" si="11"/>
        <v>0</v>
      </c>
      <c r="CD46" s="20">
        <v>0</v>
      </c>
      <c r="CE46" s="4">
        <f>CC46-CC45</f>
        <v>0</v>
      </c>
      <c r="CF46" s="17"/>
      <c r="CG46" s="16">
        <f t="shared" si="5"/>
        <v>45688</v>
      </c>
      <c r="CH46" s="10">
        <f t="shared" si="12"/>
        <v>1379.84</v>
      </c>
      <c r="CI46" s="10">
        <f t="shared" si="13"/>
        <v>55</v>
      </c>
      <c r="CJ46" s="10">
        <f t="shared" si="14"/>
        <v>1583.4399999999996</v>
      </c>
      <c r="CK46" s="4">
        <f t="shared" si="15"/>
        <v>203.59999999999968</v>
      </c>
      <c r="CL46" s="20">
        <v>0</v>
      </c>
      <c r="CM46" s="4">
        <f>CK46-CK45</f>
        <v>42.909999999999627</v>
      </c>
      <c r="CO46" s="16">
        <f t="shared" si="54"/>
        <v>45688</v>
      </c>
      <c r="CP46" s="4">
        <f t="shared" si="59"/>
        <v>28.220000000000027</v>
      </c>
      <c r="CQ46" s="4">
        <f t="shared" si="60"/>
        <v>1.980000000000004</v>
      </c>
      <c r="CR46" s="4">
        <f t="shared" si="61"/>
        <v>0</v>
      </c>
      <c r="CS46" s="4">
        <f t="shared" si="62"/>
        <v>0.11999999999999922</v>
      </c>
      <c r="CT46" s="4">
        <f t="shared" si="63"/>
        <v>2.4399999999999977</v>
      </c>
      <c r="CU46" s="4">
        <f t="shared" si="64"/>
        <v>10.149999999999977</v>
      </c>
      <c r="CV46" s="4">
        <f t="shared" si="65"/>
        <v>0</v>
      </c>
      <c r="CW46" s="4">
        <f t="shared" si="66"/>
        <v>0</v>
      </c>
      <c r="CX46" s="4">
        <f t="shared" si="67"/>
        <v>0</v>
      </c>
      <c r="CY46" s="4">
        <f t="shared" si="68"/>
        <v>0</v>
      </c>
      <c r="CZ46" s="4">
        <f t="shared" si="69"/>
        <v>0</v>
      </c>
      <c r="DA46" s="4">
        <f t="shared" si="70"/>
        <v>0</v>
      </c>
      <c r="DB46" s="4">
        <f t="shared" si="71"/>
        <v>0</v>
      </c>
      <c r="DC46" s="4">
        <f t="shared" si="72"/>
        <v>0</v>
      </c>
      <c r="DD46" s="4">
        <f t="shared" si="73"/>
        <v>0</v>
      </c>
      <c r="DE46" s="4">
        <f t="shared" si="74"/>
        <v>0</v>
      </c>
      <c r="DF46" s="10">
        <f t="shared" si="75"/>
        <v>0</v>
      </c>
      <c r="DG46" s="10">
        <f t="shared" si="35"/>
        <v>0</v>
      </c>
      <c r="DH46" s="4">
        <f t="shared" si="36"/>
        <v>0</v>
      </c>
      <c r="DI46" s="4">
        <f t="shared" si="37"/>
        <v>0</v>
      </c>
      <c r="DJ46" s="4">
        <f t="shared" si="38"/>
        <v>0</v>
      </c>
      <c r="DK46" s="4">
        <f t="shared" si="39"/>
        <v>0</v>
      </c>
    </row>
    <row r="47" spans="1:115" x14ac:dyDescent="0.25">
      <c r="A47" s="12">
        <v>45716</v>
      </c>
      <c r="B47" s="5">
        <v>924.92</v>
      </c>
      <c r="C47" s="2">
        <v>1054.56</v>
      </c>
      <c r="D47" s="18">
        <f t="shared" si="7"/>
        <v>0.14016347359771655</v>
      </c>
      <c r="E47" s="6">
        <v>69.91</v>
      </c>
      <c r="F47" s="4">
        <v>73.78</v>
      </c>
      <c r="G47" s="18">
        <f t="shared" si="76"/>
        <v>5.535688742669153E-2</v>
      </c>
      <c r="H47" s="6">
        <v>0</v>
      </c>
      <c r="I47" s="4">
        <v>0</v>
      </c>
      <c r="J47" s="19">
        <v>0</v>
      </c>
      <c r="K47" s="6">
        <v>10</v>
      </c>
      <c r="L47" s="4">
        <v>9.68</v>
      </c>
      <c r="M47" s="18">
        <f t="shared" si="79"/>
        <v>-3.2000000000000028E-2</v>
      </c>
      <c r="N47" s="6">
        <v>110</v>
      </c>
      <c r="O47" s="4">
        <v>123.13</v>
      </c>
      <c r="P47" s="18">
        <f t="shared" si="55"/>
        <v>0.11936363636363632</v>
      </c>
      <c r="Q47" s="6">
        <v>300</v>
      </c>
      <c r="R47" s="6">
        <v>338.57</v>
      </c>
      <c r="S47" s="18">
        <f t="shared" si="51"/>
        <v>0.12856666666666663</v>
      </c>
      <c r="T47" s="6">
        <v>100</v>
      </c>
      <c r="U47" s="4">
        <v>100</v>
      </c>
      <c r="V47" s="19">
        <f>(U47-T47)/T47</f>
        <v>0</v>
      </c>
      <c r="W47" s="6">
        <v>50</v>
      </c>
      <c r="X47" s="4">
        <v>50.64</v>
      </c>
      <c r="Y47" s="19">
        <f>(X47-W47)/W47</f>
        <v>1.2800000000000011E-2</v>
      </c>
      <c r="Z47" s="6">
        <v>0</v>
      </c>
      <c r="AA47" s="4">
        <v>0</v>
      </c>
      <c r="AB47" s="19">
        <v>0</v>
      </c>
      <c r="AC47" s="6">
        <v>0</v>
      </c>
      <c r="AD47" s="4">
        <v>0</v>
      </c>
      <c r="AE47" s="19">
        <v>0</v>
      </c>
      <c r="AF47" s="6">
        <v>0</v>
      </c>
      <c r="AG47" s="4">
        <v>0</v>
      </c>
      <c r="AH47" s="19">
        <v>0</v>
      </c>
      <c r="AI47" s="6">
        <v>0</v>
      </c>
      <c r="AJ47" s="4">
        <v>0</v>
      </c>
      <c r="AK47" s="19">
        <v>0</v>
      </c>
      <c r="AL47" s="6">
        <v>0</v>
      </c>
      <c r="AM47" s="4">
        <v>0</v>
      </c>
      <c r="AN47" s="19">
        <v>0</v>
      </c>
      <c r="AO47" s="6">
        <v>0</v>
      </c>
      <c r="AP47" s="4">
        <v>0</v>
      </c>
      <c r="AQ47" s="19">
        <v>0</v>
      </c>
      <c r="AR47" s="6">
        <v>0</v>
      </c>
      <c r="AS47" s="4">
        <v>0</v>
      </c>
      <c r="AT47" s="19">
        <v>0</v>
      </c>
      <c r="AU47" s="6">
        <v>0</v>
      </c>
      <c r="AV47" s="4">
        <v>0</v>
      </c>
      <c r="AW47" s="19">
        <v>0</v>
      </c>
      <c r="AX47" s="6">
        <v>0</v>
      </c>
      <c r="AY47" s="4">
        <v>0</v>
      </c>
      <c r="AZ47" s="19">
        <v>0</v>
      </c>
      <c r="BA47" s="6">
        <v>0</v>
      </c>
      <c r="BB47" s="4">
        <v>0</v>
      </c>
      <c r="BC47" s="19">
        <v>0</v>
      </c>
      <c r="BD47" s="6">
        <v>0</v>
      </c>
      <c r="BE47" s="4">
        <v>0</v>
      </c>
      <c r="BF47" s="19">
        <v>0</v>
      </c>
      <c r="BG47" s="6">
        <v>0</v>
      </c>
      <c r="BH47" s="4">
        <v>0</v>
      </c>
      <c r="BI47" s="19">
        <v>0</v>
      </c>
      <c r="BJ47" s="6">
        <v>0</v>
      </c>
      <c r="BK47" s="4">
        <v>0</v>
      </c>
      <c r="BL47" s="19">
        <v>0</v>
      </c>
      <c r="BM47" s="6">
        <v>0</v>
      </c>
      <c r="BN47" s="4">
        <v>0</v>
      </c>
      <c r="BO47" s="19">
        <v>0</v>
      </c>
      <c r="BP47" s="17"/>
      <c r="BQ47" s="16">
        <f t="shared" si="8"/>
        <v>45716</v>
      </c>
      <c r="BR47" s="10">
        <f t="shared" si="52"/>
        <v>1414.83</v>
      </c>
      <c r="BS47" s="4">
        <f t="shared" si="77"/>
        <v>34.990000000000009</v>
      </c>
      <c r="BT47" s="10">
        <f t="shared" si="53"/>
        <v>1599.72</v>
      </c>
      <c r="BU47" s="4">
        <f t="shared" si="9"/>
        <v>184.8900000000001</v>
      </c>
      <c r="BV47" s="20">
        <f t="shared" si="10"/>
        <v>0.13068001102605975</v>
      </c>
      <c r="BW47" s="4">
        <f t="shared" ref="BW47:BW54" si="80">BU47-BU46</f>
        <v>-18.709999999999582</v>
      </c>
      <c r="BX47" s="17"/>
      <c r="BY47" s="16">
        <f t="shared" si="2"/>
        <v>45716</v>
      </c>
      <c r="BZ47" s="10">
        <f t="shared" si="3"/>
        <v>150</v>
      </c>
      <c r="CA47" s="4">
        <f t="shared" si="78"/>
        <v>150</v>
      </c>
      <c r="CB47" s="10">
        <f t="shared" si="34"/>
        <v>150.63999999999999</v>
      </c>
      <c r="CC47" s="4">
        <f t="shared" si="11"/>
        <v>0.63999999999998636</v>
      </c>
      <c r="CD47" s="20">
        <f t="shared" ref="CD47:CD61" si="81">CC47/BZ47</f>
        <v>4.2666666666665758E-3</v>
      </c>
      <c r="CE47" s="4">
        <f t="shared" ref="CE47:CE54" si="82">CC47-CC46</f>
        <v>0.63999999999998636</v>
      </c>
      <c r="CF47" s="17"/>
      <c r="CG47" s="16">
        <f t="shared" si="5"/>
        <v>45716</v>
      </c>
      <c r="CH47" s="10">
        <f t="shared" si="12"/>
        <v>1564.83</v>
      </c>
      <c r="CI47" s="10">
        <f t="shared" si="13"/>
        <v>184.99</v>
      </c>
      <c r="CJ47" s="10">
        <f t="shared" si="14"/>
        <v>1750.3600000000001</v>
      </c>
      <c r="CK47" s="4">
        <f t="shared" si="15"/>
        <v>185.5300000000002</v>
      </c>
      <c r="CL47" s="20">
        <f t="shared" ref="CL47:CL61" si="83">CK47/CH47</f>
        <v>0.11856239974949369</v>
      </c>
      <c r="CM47" s="4">
        <f t="shared" ref="CM47:CM54" si="84">CK47-CK46</f>
        <v>-18.069999999999482</v>
      </c>
      <c r="CO47" s="16">
        <f t="shared" si="54"/>
        <v>45716</v>
      </c>
      <c r="CP47" s="4">
        <f t="shared" si="59"/>
        <v>6.9199999999999591</v>
      </c>
      <c r="CQ47" s="4">
        <f t="shared" si="60"/>
        <v>-0.19999999999999574</v>
      </c>
      <c r="CR47" s="4">
        <f t="shared" si="61"/>
        <v>0</v>
      </c>
      <c r="CS47" s="4">
        <f t="shared" si="62"/>
        <v>-0.41000000000000014</v>
      </c>
      <c r="CT47" s="4">
        <f t="shared" si="63"/>
        <v>-1.4399999999999977</v>
      </c>
      <c r="CU47" s="4">
        <f t="shared" si="64"/>
        <v>-23.579999999999984</v>
      </c>
      <c r="CV47" s="4">
        <f t="shared" si="65"/>
        <v>0</v>
      </c>
      <c r="CW47" s="4">
        <f t="shared" si="66"/>
        <v>0.64000000000000057</v>
      </c>
      <c r="CX47" s="4">
        <f t="shared" si="67"/>
        <v>0</v>
      </c>
      <c r="CY47" s="4">
        <f t="shared" si="68"/>
        <v>0</v>
      </c>
      <c r="CZ47" s="4">
        <f t="shared" si="69"/>
        <v>0</v>
      </c>
      <c r="DA47" s="4">
        <f t="shared" si="70"/>
        <v>0</v>
      </c>
      <c r="DB47" s="4">
        <f t="shared" si="71"/>
        <v>0</v>
      </c>
      <c r="DC47" s="4">
        <f t="shared" si="72"/>
        <v>0</v>
      </c>
      <c r="DD47" s="4">
        <f t="shared" si="73"/>
        <v>0</v>
      </c>
      <c r="DE47" s="4">
        <f t="shared" si="74"/>
        <v>0</v>
      </c>
      <c r="DF47" s="10">
        <f t="shared" si="75"/>
        <v>0</v>
      </c>
      <c r="DG47" s="10">
        <f t="shared" si="35"/>
        <v>0</v>
      </c>
      <c r="DH47" s="4">
        <f t="shared" si="36"/>
        <v>0</v>
      </c>
      <c r="DI47" s="4">
        <f t="shared" si="37"/>
        <v>0</v>
      </c>
      <c r="DJ47" s="4">
        <f t="shared" si="38"/>
        <v>0</v>
      </c>
      <c r="DK47" s="4">
        <f t="shared" si="39"/>
        <v>0</v>
      </c>
    </row>
    <row r="48" spans="1:115" x14ac:dyDescent="0.25">
      <c r="A48" s="12">
        <v>45747</v>
      </c>
      <c r="B48" s="5">
        <v>1014.92</v>
      </c>
      <c r="C48" s="4">
        <v>1095.9000000000001</v>
      </c>
      <c r="D48" s="18">
        <f t="shared" si="7"/>
        <v>7.9789540062271055E-2</v>
      </c>
      <c r="E48" s="6">
        <v>139.69</v>
      </c>
      <c r="F48" s="4">
        <v>137.87</v>
      </c>
      <c r="G48" s="18">
        <f t="shared" si="76"/>
        <v>-1.3028849595532917E-2</v>
      </c>
      <c r="H48" s="6">
        <v>0</v>
      </c>
      <c r="I48" s="4">
        <v>0</v>
      </c>
      <c r="J48" s="19">
        <v>0</v>
      </c>
      <c r="K48" s="6">
        <v>10</v>
      </c>
      <c r="L48" s="4">
        <v>8.67</v>
      </c>
      <c r="M48" s="18">
        <f t="shared" si="79"/>
        <v>-0.13300000000000001</v>
      </c>
      <c r="N48" s="6">
        <v>120</v>
      </c>
      <c r="O48" s="4">
        <v>125.43</v>
      </c>
      <c r="P48" s="18">
        <f t="shared" si="55"/>
        <v>4.5250000000000054E-2</v>
      </c>
      <c r="Q48" s="6">
        <v>350</v>
      </c>
      <c r="R48" s="6">
        <v>349.62</v>
      </c>
      <c r="S48" s="18">
        <f t="shared" si="51"/>
        <v>-1.0857142857142728E-3</v>
      </c>
      <c r="T48" s="6">
        <v>400</v>
      </c>
      <c r="U48" s="4">
        <v>400</v>
      </c>
      <c r="V48" s="19">
        <f t="shared" ref="V48:V56" si="85">(U48-T48)/T48</f>
        <v>0</v>
      </c>
      <c r="W48" s="6">
        <v>200</v>
      </c>
      <c r="X48" s="4">
        <v>202.62</v>
      </c>
      <c r="Y48" s="19">
        <f t="shared" ref="Y48:Y56" si="86">(X48-W48)/W48</f>
        <v>1.3100000000000023E-2</v>
      </c>
      <c r="Z48" s="6">
        <v>60</v>
      </c>
      <c r="AA48" s="4">
        <v>115</v>
      </c>
      <c r="AB48" s="19">
        <f t="shared" ref="AB48:AB62" si="87">(AA48-Z48)/Z48</f>
        <v>0.91666666666666663</v>
      </c>
      <c r="AC48" s="6">
        <v>400</v>
      </c>
      <c r="AD48" s="4">
        <v>410</v>
      </c>
      <c r="AE48" s="19">
        <f>(AD48-AC48)/AC48</f>
        <v>2.5000000000000001E-2</v>
      </c>
      <c r="AF48" s="6">
        <v>0</v>
      </c>
      <c r="AG48" s="4">
        <v>0</v>
      </c>
      <c r="AH48" s="19">
        <v>0</v>
      </c>
      <c r="AI48" s="6">
        <v>0</v>
      </c>
      <c r="AJ48" s="4">
        <v>0</v>
      </c>
      <c r="AK48" s="19">
        <v>0</v>
      </c>
      <c r="AL48" s="6">
        <v>0</v>
      </c>
      <c r="AM48" s="4">
        <v>0</v>
      </c>
      <c r="AN48" s="19">
        <v>0</v>
      </c>
      <c r="AO48" s="6">
        <v>0</v>
      </c>
      <c r="AP48" s="4">
        <v>0</v>
      </c>
      <c r="AQ48" s="19">
        <v>0</v>
      </c>
      <c r="AR48" s="6">
        <v>0</v>
      </c>
      <c r="AS48" s="4">
        <v>0</v>
      </c>
      <c r="AT48" s="19">
        <v>0</v>
      </c>
      <c r="AU48" s="6">
        <v>0</v>
      </c>
      <c r="AV48" s="4">
        <v>0</v>
      </c>
      <c r="AW48" s="19">
        <v>0</v>
      </c>
      <c r="AX48" s="6">
        <v>0</v>
      </c>
      <c r="AY48" s="4">
        <v>0</v>
      </c>
      <c r="AZ48" s="19">
        <v>0</v>
      </c>
      <c r="BA48" s="6">
        <v>0</v>
      </c>
      <c r="BB48" s="4">
        <v>0</v>
      </c>
      <c r="BC48" s="19">
        <v>0</v>
      </c>
      <c r="BD48" s="6">
        <v>0</v>
      </c>
      <c r="BE48" s="4">
        <v>0</v>
      </c>
      <c r="BF48" s="19">
        <v>0</v>
      </c>
      <c r="BG48" s="6">
        <v>0</v>
      </c>
      <c r="BH48" s="4">
        <v>0</v>
      </c>
      <c r="BI48" s="19">
        <v>0</v>
      </c>
      <c r="BJ48" s="6">
        <v>0</v>
      </c>
      <c r="BK48" s="4">
        <v>0</v>
      </c>
      <c r="BL48" s="19">
        <v>0</v>
      </c>
      <c r="BM48" s="6">
        <v>0</v>
      </c>
      <c r="BN48" s="4">
        <v>0</v>
      </c>
      <c r="BO48" s="19">
        <v>0</v>
      </c>
      <c r="BP48" s="17"/>
      <c r="BQ48" s="16">
        <f t="shared" si="8"/>
        <v>45747</v>
      </c>
      <c r="BR48" s="10">
        <f t="shared" si="52"/>
        <v>1634.61</v>
      </c>
      <c r="BS48" s="4">
        <f t="shared" si="77"/>
        <v>219.77999999999997</v>
      </c>
      <c r="BT48" s="10">
        <f t="shared" si="53"/>
        <v>1717.4900000000002</v>
      </c>
      <c r="BU48" s="4">
        <f t="shared" si="9"/>
        <v>82.880000000000337</v>
      </c>
      <c r="BV48" s="20">
        <f t="shared" si="10"/>
        <v>5.0703225845920644E-2</v>
      </c>
      <c r="BW48" s="4">
        <f t="shared" si="80"/>
        <v>-102.00999999999976</v>
      </c>
      <c r="BX48" s="17"/>
      <c r="BY48" s="16">
        <f t="shared" si="2"/>
        <v>45747</v>
      </c>
      <c r="BZ48" s="10">
        <f t="shared" si="3"/>
        <v>1060</v>
      </c>
      <c r="CA48" s="4">
        <f t="shared" si="78"/>
        <v>910</v>
      </c>
      <c r="CB48" s="10">
        <f t="shared" si="34"/>
        <v>1127.6199999999999</v>
      </c>
      <c r="CC48" s="4">
        <f t="shared" si="11"/>
        <v>67.619999999999891</v>
      </c>
      <c r="CD48" s="20">
        <f t="shared" si="81"/>
        <v>6.379245283018857E-2</v>
      </c>
      <c r="CE48" s="4">
        <f t="shared" si="82"/>
        <v>66.979999999999905</v>
      </c>
      <c r="CF48" s="17"/>
      <c r="CG48" s="16">
        <f t="shared" si="5"/>
        <v>45747</v>
      </c>
      <c r="CH48" s="10">
        <f t="shared" si="12"/>
        <v>2694.6099999999997</v>
      </c>
      <c r="CI48" s="10">
        <f t="shared" si="13"/>
        <v>1129.78</v>
      </c>
      <c r="CJ48" s="10">
        <f t="shared" si="14"/>
        <v>2845.11</v>
      </c>
      <c r="CK48" s="4">
        <f t="shared" si="15"/>
        <v>150.50000000000045</v>
      </c>
      <c r="CL48" s="20">
        <f t="shared" si="83"/>
        <v>5.5852238357313476E-2</v>
      </c>
      <c r="CM48" s="4">
        <f t="shared" si="84"/>
        <v>-35.029999999999745</v>
      </c>
      <c r="CO48" s="16">
        <f t="shared" si="54"/>
        <v>45747</v>
      </c>
      <c r="CP48" s="4">
        <f t="shared" si="59"/>
        <v>-48.659999999999854</v>
      </c>
      <c r="CQ48" s="4">
        <f t="shared" si="60"/>
        <v>-5.6899999999999977</v>
      </c>
      <c r="CR48" s="4">
        <f t="shared" si="61"/>
        <v>0</v>
      </c>
      <c r="CS48" s="4">
        <f t="shared" si="62"/>
        <v>-1.0099999999999998</v>
      </c>
      <c r="CT48" s="4">
        <f t="shared" si="63"/>
        <v>-7.6999999999999886</v>
      </c>
      <c r="CU48" s="4">
        <f t="shared" si="64"/>
        <v>-38.949999999999989</v>
      </c>
      <c r="CV48" s="4">
        <f t="shared" si="65"/>
        <v>0</v>
      </c>
      <c r="CW48" s="4">
        <f t="shared" si="66"/>
        <v>1.980000000000004</v>
      </c>
      <c r="CX48" s="4">
        <f t="shared" si="67"/>
        <v>55</v>
      </c>
      <c r="CY48" s="4">
        <f t="shared" si="68"/>
        <v>10</v>
      </c>
      <c r="CZ48" s="4">
        <f t="shared" si="69"/>
        <v>0</v>
      </c>
      <c r="DA48" s="4">
        <f t="shared" si="70"/>
        <v>0</v>
      </c>
      <c r="DB48" s="4">
        <f t="shared" si="71"/>
        <v>0</v>
      </c>
      <c r="DC48" s="4">
        <f t="shared" si="72"/>
        <v>0</v>
      </c>
      <c r="DD48" s="4">
        <f t="shared" si="73"/>
        <v>0</v>
      </c>
      <c r="DE48" s="4">
        <f t="shared" si="74"/>
        <v>0</v>
      </c>
      <c r="DF48" s="10">
        <f t="shared" si="75"/>
        <v>0</v>
      </c>
      <c r="DG48" s="10">
        <f t="shared" si="35"/>
        <v>0</v>
      </c>
      <c r="DH48" s="4">
        <f t="shared" si="36"/>
        <v>0</v>
      </c>
      <c r="DI48" s="4">
        <f t="shared" si="37"/>
        <v>0</v>
      </c>
      <c r="DJ48" s="4">
        <f t="shared" si="38"/>
        <v>0</v>
      </c>
      <c r="DK48" s="4">
        <f t="shared" si="39"/>
        <v>0</v>
      </c>
    </row>
    <row r="49" spans="1:115" x14ac:dyDescent="0.25">
      <c r="A49" s="12">
        <v>45777</v>
      </c>
      <c r="B49" s="5">
        <v>1054.92</v>
      </c>
      <c r="C49" s="2">
        <v>1104.92</v>
      </c>
      <c r="D49" s="18">
        <f t="shared" si="7"/>
        <v>4.7396959011109845E-2</v>
      </c>
      <c r="E49" s="6">
        <v>139.69</v>
      </c>
      <c r="F49" s="4">
        <v>135.19</v>
      </c>
      <c r="G49" s="18">
        <f t="shared" si="76"/>
        <v>-3.2214188560383709E-2</v>
      </c>
      <c r="H49" s="6">
        <v>110</v>
      </c>
      <c r="I49" s="4">
        <v>116.15</v>
      </c>
      <c r="J49" s="19">
        <f>(I49-H49)/H49</f>
        <v>5.5909090909090964E-2</v>
      </c>
      <c r="K49" s="6">
        <v>20</v>
      </c>
      <c r="L49" s="4">
        <v>19.82</v>
      </c>
      <c r="M49" s="18">
        <f t="shared" si="79"/>
        <v>-8.9999999999999854E-3</v>
      </c>
      <c r="N49" s="6">
        <v>183.94</v>
      </c>
      <c r="O49" s="4">
        <v>184.9</v>
      </c>
      <c r="P49" s="18">
        <f t="shared" si="55"/>
        <v>5.2190931825595735E-3</v>
      </c>
      <c r="Q49" s="6">
        <v>350</v>
      </c>
      <c r="R49" s="6">
        <v>332.76</v>
      </c>
      <c r="S49" s="18">
        <f t="shared" si="51"/>
        <v>-4.9257142857142881E-2</v>
      </c>
      <c r="T49" s="6">
        <v>500</v>
      </c>
      <c r="U49" s="4">
        <v>500</v>
      </c>
      <c r="V49" s="19">
        <f t="shared" si="85"/>
        <v>0</v>
      </c>
      <c r="W49" s="6">
        <v>300</v>
      </c>
      <c r="X49" s="4">
        <v>305.61</v>
      </c>
      <c r="Y49" s="19">
        <f t="shared" si="86"/>
        <v>1.8700000000000046E-2</v>
      </c>
      <c r="Z49" s="6">
        <v>190</v>
      </c>
      <c r="AA49" s="4">
        <v>273.64999999999998</v>
      </c>
      <c r="AB49" s="19">
        <f t="shared" si="87"/>
        <v>0.44026315789473675</v>
      </c>
      <c r="AC49" s="6">
        <v>600</v>
      </c>
      <c r="AD49" s="4">
        <v>620</v>
      </c>
      <c r="AE49" s="19">
        <f t="shared" ref="AE49:AE56" si="88">(AD49-AC49)/AC49</f>
        <v>3.3333333333333333E-2</v>
      </c>
      <c r="AF49" s="6">
        <v>0</v>
      </c>
      <c r="AG49" s="4">
        <v>0</v>
      </c>
      <c r="AH49" s="19">
        <v>0</v>
      </c>
      <c r="AI49" s="6">
        <v>0</v>
      </c>
      <c r="AJ49" s="4">
        <v>0</v>
      </c>
      <c r="AK49" s="19">
        <v>0</v>
      </c>
      <c r="AL49" s="6">
        <v>0</v>
      </c>
      <c r="AM49" s="4">
        <v>0</v>
      </c>
      <c r="AN49" s="19">
        <v>0</v>
      </c>
      <c r="AO49" s="6">
        <v>0</v>
      </c>
      <c r="AP49" s="4">
        <v>0</v>
      </c>
      <c r="AQ49" s="19">
        <v>0</v>
      </c>
      <c r="AR49" s="6">
        <v>0</v>
      </c>
      <c r="AS49" s="4">
        <v>0</v>
      </c>
      <c r="AT49" s="19">
        <v>0</v>
      </c>
      <c r="AU49" s="6">
        <v>0</v>
      </c>
      <c r="AV49" s="4">
        <v>0</v>
      </c>
      <c r="AW49" s="19">
        <v>0</v>
      </c>
      <c r="AX49" s="6">
        <v>0</v>
      </c>
      <c r="AY49" s="4">
        <v>0</v>
      </c>
      <c r="AZ49" s="19">
        <v>0</v>
      </c>
      <c r="BA49" s="6">
        <v>0</v>
      </c>
      <c r="BB49" s="4">
        <v>0</v>
      </c>
      <c r="BC49" s="19">
        <v>0</v>
      </c>
      <c r="BD49" s="6">
        <v>0</v>
      </c>
      <c r="BE49" s="4">
        <v>0</v>
      </c>
      <c r="BF49" s="19">
        <v>0</v>
      </c>
      <c r="BG49" s="6">
        <v>0</v>
      </c>
      <c r="BH49" s="4">
        <v>0</v>
      </c>
      <c r="BI49" s="19">
        <v>0</v>
      </c>
      <c r="BJ49" s="6">
        <v>0</v>
      </c>
      <c r="BK49" s="4">
        <v>0</v>
      </c>
      <c r="BL49" s="19">
        <v>0</v>
      </c>
      <c r="BM49" s="6">
        <v>0</v>
      </c>
      <c r="BN49" s="4">
        <v>0</v>
      </c>
      <c r="BO49" s="19">
        <v>0</v>
      </c>
      <c r="BP49" s="17"/>
      <c r="BQ49" s="16">
        <f t="shared" si="8"/>
        <v>45777</v>
      </c>
      <c r="BR49" s="10">
        <f t="shared" si="52"/>
        <v>1858.5500000000002</v>
      </c>
      <c r="BS49" s="4">
        <f t="shared" si="77"/>
        <v>223.94000000000028</v>
      </c>
      <c r="BT49" s="10">
        <f t="shared" si="53"/>
        <v>1893.7400000000002</v>
      </c>
      <c r="BU49" s="4">
        <f t="shared" si="9"/>
        <v>35.190000000000055</v>
      </c>
      <c r="BV49" s="20">
        <f t="shared" si="10"/>
        <v>1.8934115304942052E-2</v>
      </c>
      <c r="BW49" s="4">
        <f t="shared" si="80"/>
        <v>-47.690000000000282</v>
      </c>
      <c r="BX49" s="17"/>
      <c r="BY49" s="16">
        <f t="shared" si="2"/>
        <v>45777</v>
      </c>
      <c r="BZ49" s="10">
        <f t="shared" si="3"/>
        <v>1590</v>
      </c>
      <c r="CA49" s="4">
        <f t="shared" si="78"/>
        <v>530</v>
      </c>
      <c r="CB49" s="10">
        <f t="shared" si="34"/>
        <v>1699.2600000000002</v>
      </c>
      <c r="CC49" s="4">
        <f t="shared" si="11"/>
        <v>109.26000000000022</v>
      </c>
      <c r="CD49" s="20">
        <f t="shared" si="81"/>
        <v>6.8716981132075611E-2</v>
      </c>
      <c r="CE49" s="4">
        <f t="shared" si="82"/>
        <v>41.640000000000327</v>
      </c>
      <c r="CF49" s="17"/>
      <c r="CG49" s="16">
        <f t="shared" si="5"/>
        <v>45777</v>
      </c>
      <c r="CH49" s="10">
        <f t="shared" si="12"/>
        <v>3448.55</v>
      </c>
      <c r="CI49" s="10">
        <f t="shared" si="13"/>
        <v>753.94000000000028</v>
      </c>
      <c r="CJ49" s="10">
        <f t="shared" si="14"/>
        <v>3593.0000000000005</v>
      </c>
      <c r="CK49" s="4">
        <f t="shared" si="15"/>
        <v>144.45000000000027</v>
      </c>
      <c r="CL49" s="20">
        <f t="shared" si="83"/>
        <v>4.188716996998746E-2</v>
      </c>
      <c r="CM49" s="4">
        <f t="shared" si="84"/>
        <v>-6.0500000000001819</v>
      </c>
      <c r="CO49" s="16">
        <f t="shared" si="54"/>
        <v>45777</v>
      </c>
      <c r="CP49" s="4">
        <f t="shared" si="59"/>
        <v>-30.980000000000132</v>
      </c>
      <c r="CQ49" s="4">
        <f t="shared" si="60"/>
        <v>-2.6800000000000068</v>
      </c>
      <c r="CR49" s="4">
        <f t="shared" si="61"/>
        <v>6.1500000000000057</v>
      </c>
      <c r="CS49" s="4">
        <f t="shared" si="62"/>
        <v>1.1500000000000004</v>
      </c>
      <c r="CT49" s="4">
        <f t="shared" si="63"/>
        <v>-4.4699999999999989</v>
      </c>
      <c r="CU49" s="4">
        <f t="shared" si="64"/>
        <v>-16.860000000000014</v>
      </c>
      <c r="CV49" s="4">
        <f t="shared" si="65"/>
        <v>0</v>
      </c>
      <c r="CW49" s="4">
        <f t="shared" si="66"/>
        <v>2.9900000000000091</v>
      </c>
      <c r="CX49" s="4">
        <f t="shared" si="67"/>
        <v>28.649999999999977</v>
      </c>
      <c r="CY49" s="4">
        <f t="shared" si="68"/>
        <v>10</v>
      </c>
      <c r="CZ49" s="4">
        <f t="shared" si="69"/>
        <v>0</v>
      </c>
      <c r="DA49" s="4">
        <f t="shared" si="70"/>
        <v>0</v>
      </c>
      <c r="DB49" s="4">
        <f t="shared" si="71"/>
        <v>0</v>
      </c>
      <c r="DC49" s="4">
        <f t="shared" si="72"/>
        <v>0</v>
      </c>
      <c r="DD49" s="4">
        <f t="shared" si="73"/>
        <v>0</v>
      </c>
      <c r="DE49" s="4">
        <f t="shared" si="74"/>
        <v>0</v>
      </c>
      <c r="DF49" s="10">
        <f t="shared" si="75"/>
        <v>0</v>
      </c>
      <c r="DG49" s="10">
        <f t="shared" si="35"/>
        <v>0</v>
      </c>
      <c r="DH49" s="4">
        <f t="shared" si="36"/>
        <v>0</v>
      </c>
      <c r="DI49" s="4">
        <f t="shared" si="37"/>
        <v>0</v>
      </c>
      <c r="DJ49" s="4">
        <f t="shared" si="38"/>
        <v>0</v>
      </c>
      <c r="DK49" s="4">
        <f t="shared" si="39"/>
        <v>0</v>
      </c>
    </row>
    <row r="50" spans="1:115" x14ac:dyDescent="0.25">
      <c r="A50" s="12">
        <v>45808</v>
      </c>
      <c r="B50" s="5">
        <v>1114.92</v>
      </c>
      <c r="C50" s="2">
        <v>1216.3499999999999</v>
      </c>
      <c r="D50" s="18">
        <f t="shared" si="7"/>
        <v>9.0975137229576855E-2</v>
      </c>
      <c r="E50" s="6">
        <v>149.66999999999999</v>
      </c>
      <c r="F50" s="4">
        <v>150.63999999999999</v>
      </c>
      <c r="G50" s="18">
        <f t="shared" si="76"/>
        <v>6.4809247010088793E-3</v>
      </c>
      <c r="H50" s="6">
        <v>155.47999999999999</v>
      </c>
      <c r="I50" s="4">
        <v>168.76</v>
      </c>
      <c r="J50" s="19">
        <f t="shared" ref="J50:J57" si="89">(I50-H50)/H50</f>
        <v>8.5412914844352983E-2</v>
      </c>
      <c r="K50" s="6">
        <v>40.07</v>
      </c>
      <c r="L50" s="4">
        <v>42.07</v>
      </c>
      <c r="M50" s="18">
        <f t="shared" si="79"/>
        <v>4.9912652857499379E-2</v>
      </c>
      <c r="N50" s="6">
        <v>198.59</v>
      </c>
      <c r="O50" s="4">
        <v>204.65</v>
      </c>
      <c r="P50" s="18">
        <f t="shared" si="55"/>
        <v>3.0515131678332252E-2</v>
      </c>
      <c r="Q50" s="6">
        <v>350</v>
      </c>
      <c r="R50" s="6">
        <v>373.8</v>
      </c>
      <c r="S50" s="18">
        <f t="shared" si="51"/>
        <v>6.8000000000000033E-2</v>
      </c>
      <c r="T50" s="6">
        <v>700</v>
      </c>
      <c r="U50" s="4">
        <v>702.12</v>
      </c>
      <c r="V50" s="19">
        <f t="shared" si="85"/>
        <v>3.0285714285714352E-3</v>
      </c>
      <c r="W50" s="6">
        <v>400</v>
      </c>
      <c r="X50" s="4">
        <v>409.1</v>
      </c>
      <c r="Y50" s="19">
        <f t="shared" si="86"/>
        <v>2.2750000000000058E-2</v>
      </c>
      <c r="Z50" s="6">
        <v>280</v>
      </c>
      <c r="AA50" s="4">
        <v>363.65</v>
      </c>
      <c r="AB50" s="19">
        <f t="shared" si="87"/>
        <v>0.2987499999999999</v>
      </c>
      <c r="AC50" s="6">
        <v>700</v>
      </c>
      <c r="AD50" s="4">
        <v>720</v>
      </c>
      <c r="AE50" s="19">
        <f t="shared" si="88"/>
        <v>2.8571428571428571E-2</v>
      </c>
      <c r="AF50" s="6">
        <v>0</v>
      </c>
      <c r="AG50" s="4">
        <v>0</v>
      </c>
      <c r="AH50" s="19">
        <v>0</v>
      </c>
      <c r="AI50" s="6">
        <v>0</v>
      </c>
      <c r="AJ50" s="4">
        <v>0</v>
      </c>
      <c r="AK50" s="19">
        <v>0</v>
      </c>
      <c r="AL50" s="6">
        <v>0</v>
      </c>
      <c r="AM50" s="4">
        <v>0</v>
      </c>
      <c r="AN50" s="19">
        <v>0</v>
      </c>
      <c r="AO50" s="6">
        <v>0</v>
      </c>
      <c r="AP50" s="4">
        <v>0</v>
      </c>
      <c r="AQ50" s="19">
        <v>0</v>
      </c>
      <c r="AR50" s="6">
        <v>0</v>
      </c>
      <c r="AS50" s="4">
        <v>0</v>
      </c>
      <c r="AT50" s="19">
        <v>0</v>
      </c>
      <c r="AU50" s="6">
        <v>0</v>
      </c>
      <c r="AV50" s="4">
        <v>0</v>
      </c>
      <c r="AW50" s="19">
        <v>0</v>
      </c>
      <c r="AX50" s="6">
        <v>0</v>
      </c>
      <c r="AY50" s="4">
        <v>0</v>
      </c>
      <c r="AZ50" s="19">
        <v>0</v>
      </c>
      <c r="BA50" s="6">
        <v>0</v>
      </c>
      <c r="BB50" s="4">
        <v>0</v>
      </c>
      <c r="BC50" s="19">
        <v>0</v>
      </c>
      <c r="BD50" s="6">
        <v>0</v>
      </c>
      <c r="BE50" s="4">
        <v>0</v>
      </c>
      <c r="BF50" s="19">
        <v>0</v>
      </c>
      <c r="BG50" s="6">
        <v>0</v>
      </c>
      <c r="BH50" s="4">
        <v>0</v>
      </c>
      <c r="BI50" s="19">
        <v>0</v>
      </c>
      <c r="BJ50" s="6">
        <v>0</v>
      </c>
      <c r="BK50" s="4">
        <v>0</v>
      </c>
      <c r="BL50" s="19">
        <v>0</v>
      </c>
      <c r="BM50" s="6">
        <v>0</v>
      </c>
      <c r="BN50" s="4">
        <v>0</v>
      </c>
      <c r="BO50" s="19">
        <v>0</v>
      </c>
      <c r="BP50" s="17"/>
      <c r="BQ50" s="16">
        <f t="shared" si="8"/>
        <v>45808</v>
      </c>
      <c r="BR50" s="10">
        <f t="shared" si="52"/>
        <v>2008.73</v>
      </c>
      <c r="BS50" s="4">
        <f t="shared" si="77"/>
        <v>150.17999999999984</v>
      </c>
      <c r="BT50" s="10">
        <f t="shared" si="53"/>
        <v>2156.27</v>
      </c>
      <c r="BU50" s="4">
        <f t="shared" si="9"/>
        <v>147.53999999999996</v>
      </c>
      <c r="BV50" s="20">
        <f t="shared" si="10"/>
        <v>7.3449393397818502E-2</v>
      </c>
      <c r="BW50" s="4">
        <f t="shared" si="80"/>
        <v>112.34999999999991</v>
      </c>
      <c r="BX50" s="17"/>
      <c r="BY50" s="16">
        <f t="shared" si="2"/>
        <v>45808</v>
      </c>
      <c r="BZ50" s="10">
        <f t="shared" si="3"/>
        <v>2080</v>
      </c>
      <c r="CA50" s="4">
        <f t="shared" si="78"/>
        <v>490</v>
      </c>
      <c r="CB50" s="10">
        <f t="shared" si="34"/>
        <v>2194.87</v>
      </c>
      <c r="CC50" s="4">
        <f t="shared" si="11"/>
        <v>114.86999999999989</v>
      </c>
      <c r="CD50" s="20">
        <f t="shared" si="81"/>
        <v>5.5225961538461488E-2</v>
      </c>
      <c r="CE50" s="4">
        <f t="shared" si="82"/>
        <v>5.6099999999996726</v>
      </c>
      <c r="CF50" s="17"/>
      <c r="CG50" s="16">
        <f t="shared" si="5"/>
        <v>45808</v>
      </c>
      <c r="CH50" s="10">
        <f t="shared" si="12"/>
        <v>4088.73</v>
      </c>
      <c r="CI50" s="10">
        <f t="shared" si="13"/>
        <v>640.17999999999984</v>
      </c>
      <c r="CJ50" s="10">
        <f t="shared" si="14"/>
        <v>4351.1399999999994</v>
      </c>
      <c r="CK50" s="4">
        <f t="shared" si="15"/>
        <v>262.4099999999994</v>
      </c>
      <c r="CL50" s="20">
        <f t="shared" si="83"/>
        <v>6.41788526021526E-2</v>
      </c>
      <c r="CM50" s="4">
        <f t="shared" si="84"/>
        <v>117.95999999999913</v>
      </c>
      <c r="CO50" s="16">
        <f t="shared" si="54"/>
        <v>45808</v>
      </c>
      <c r="CP50" s="4">
        <f t="shared" si="59"/>
        <v>51.429999999999836</v>
      </c>
      <c r="CQ50" s="4">
        <f t="shared" si="60"/>
        <v>5.4699999999999989</v>
      </c>
      <c r="CR50" s="4">
        <f t="shared" si="61"/>
        <v>7.1299999999999955</v>
      </c>
      <c r="CS50" s="4">
        <f t="shared" si="62"/>
        <v>2.1799999999999997</v>
      </c>
      <c r="CT50" s="4">
        <f t="shared" si="63"/>
        <v>5.0999999999999943</v>
      </c>
      <c r="CU50" s="4">
        <f t="shared" si="64"/>
        <v>41.04000000000002</v>
      </c>
      <c r="CV50" s="4">
        <f t="shared" si="65"/>
        <v>2.1200000000000045</v>
      </c>
      <c r="CW50" s="4">
        <f t="shared" si="66"/>
        <v>3.4900000000000091</v>
      </c>
      <c r="CX50" s="4">
        <f t="shared" si="67"/>
        <v>0</v>
      </c>
      <c r="CY50" s="4">
        <f t="shared" si="68"/>
        <v>0</v>
      </c>
      <c r="CZ50" s="4">
        <f t="shared" si="69"/>
        <v>0</v>
      </c>
      <c r="DA50" s="4">
        <f t="shared" si="70"/>
        <v>0</v>
      </c>
      <c r="DB50" s="4">
        <f t="shared" si="71"/>
        <v>0</v>
      </c>
      <c r="DC50" s="4">
        <f t="shared" si="72"/>
        <v>0</v>
      </c>
      <c r="DD50" s="4">
        <f t="shared" si="73"/>
        <v>0</v>
      </c>
      <c r="DE50" s="4">
        <f t="shared" si="74"/>
        <v>0</v>
      </c>
      <c r="DF50" s="10">
        <f t="shared" si="75"/>
        <v>0</v>
      </c>
      <c r="DG50" s="10">
        <f t="shared" si="35"/>
        <v>0</v>
      </c>
      <c r="DH50" s="4">
        <f t="shared" si="36"/>
        <v>0</v>
      </c>
      <c r="DI50" s="4">
        <f t="shared" si="37"/>
        <v>0</v>
      </c>
      <c r="DJ50" s="4">
        <f t="shared" si="38"/>
        <v>0</v>
      </c>
      <c r="DK50" s="4">
        <f t="shared" si="39"/>
        <v>0</v>
      </c>
    </row>
    <row r="51" spans="1:115" x14ac:dyDescent="0.25">
      <c r="A51" s="12">
        <v>45838</v>
      </c>
      <c r="B51" s="5">
        <v>1134.92</v>
      </c>
      <c r="C51" s="2">
        <v>1227.75</v>
      </c>
      <c r="D51" s="18">
        <f t="shared" si="7"/>
        <v>8.1794311493321045E-2</v>
      </c>
      <c r="E51" s="6">
        <v>149.66999999999999</v>
      </c>
      <c r="F51" s="4">
        <v>152.03</v>
      </c>
      <c r="G51" s="18">
        <f t="shared" si="76"/>
        <v>1.5768022983898001E-2</v>
      </c>
      <c r="H51" s="6">
        <v>165.48</v>
      </c>
      <c r="I51" s="4">
        <v>180.74</v>
      </c>
      <c r="J51" s="19">
        <f t="shared" si="89"/>
        <v>9.2216582064297919E-2</v>
      </c>
      <c r="K51" s="6">
        <v>50.07</v>
      </c>
      <c r="L51" s="4">
        <v>54.23</v>
      </c>
      <c r="M51" s="18">
        <f t="shared" si="79"/>
        <v>8.3083682844018306E-2</v>
      </c>
      <c r="N51" s="6">
        <v>223.59</v>
      </c>
      <c r="O51" s="4">
        <v>228.3</v>
      </c>
      <c r="P51" s="18">
        <f t="shared" si="55"/>
        <v>2.106534281497387E-2</v>
      </c>
      <c r="Q51" s="6">
        <v>350</v>
      </c>
      <c r="R51" s="6">
        <v>381.22</v>
      </c>
      <c r="S51" s="18">
        <f t="shared" si="51"/>
        <v>8.9200000000000085E-2</v>
      </c>
      <c r="T51" s="6">
        <v>700</v>
      </c>
      <c r="U51" s="4">
        <v>710.56</v>
      </c>
      <c r="V51" s="19">
        <f t="shared" si="85"/>
        <v>1.5085714285714208E-2</v>
      </c>
      <c r="W51" s="6">
        <v>500</v>
      </c>
      <c r="X51" s="4">
        <v>516.88</v>
      </c>
      <c r="Y51" s="19">
        <f t="shared" si="86"/>
        <v>3.3759999999999991E-2</v>
      </c>
      <c r="Z51" s="6">
        <v>320</v>
      </c>
      <c r="AA51" s="4">
        <v>403.76</v>
      </c>
      <c r="AB51" s="19">
        <f t="shared" si="87"/>
        <v>0.26174999999999998</v>
      </c>
      <c r="AC51" s="6">
        <v>700</v>
      </c>
      <c r="AD51" s="4">
        <v>733.64</v>
      </c>
      <c r="AE51" s="19">
        <f t="shared" si="88"/>
        <v>4.805714285714284E-2</v>
      </c>
      <c r="AF51" s="6">
        <v>100</v>
      </c>
      <c r="AG51" s="4">
        <v>110</v>
      </c>
      <c r="AH51" s="19">
        <f>(AG51-AF51)/AF51</f>
        <v>0.1</v>
      </c>
      <c r="AI51" s="6">
        <v>0</v>
      </c>
      <c r="AJ51" s="4">
        <v>0</v>
      </c>
      <c r="AK51" s="19">
        <v>0</v>
      </c>
      <c r="AL51" s="6">
        <v>0</v>
      </c>
      <c r="AM51" s="4">
        <v>0</v>
      </c>
      <c r="AN51" s="19">
        <v>0</v>
      </c>
      <c r="AO51" s="6">
        <v>0</v>
      </c>
      <c r="AP51" s="4">
        <v>0</v>
      </c>
      <c r="AQ51" s="19">
        <v>0</v>
      </c>
      <c r="AR51" s="6">
        <v>0</v>
      </c>
      <c r="AS51" s="4">
        <v>0</v>
      </c>
      <c r="AT51" s="19">
        <v>0</v>
      </c>
      <c r="AU51" s="6">
        <v>0</v>
      </c>
      <c r="AV51" s="4">
        <v>0</v>
      </c>
      <c r="AW51" s="19">
        <v>0</v>
      </c>
      <c r="AX51" s="6">
        <v>0</v>
      </c>
      <c r="AY51" s="4">
        <v>0</v>
      </c>
      <c r="AZ51" s="19">
        <v>0</v>
      </c>
      <c r="BA51" s="6">
        <v>0</v>
      </c>
      <c r="BB51" s="4">
        <v>0</v>
      </c>
      <c r="BC51" s="19">
        <v>0</v>
      </c>
      <c r="BD51" s="6">
        <v>0</v>
      </c>
      <c r="BE51" s="4">
        <v>0</v>
      </c>
      <c r="BF51" s="19">
        <v>0</v>
      </c>
      <c r="BG51" s="6">
        <v>0</v>
      </c>
      <c r="BH51" s="4">
        <v>0</v>
      </c>
      <c r="BI51" s="19">
        <v>0</v>
      </c>
      <c r="BJ51" s="6">
        <v>0</v>
      </c>
      <c r="BK51" s="4">
        <v>0</v>
      </c>
      <c r="BL51" s="19">
        <v>0</v>
      </c>
      <c r="BM51" s="6">
        <v>0</v>
      </c>
      <c r="BN51" s="4">
        <v>0</v>
      </c>
      <c r="BO51" s="19">
        <v>0</v>
      </c>
      <c r="BP51" s="17"/>
      <c r="BQ51" s="16">
        <f t="shared" si="8"/>
        <v>45838</v>
      </c>
      <c r="BR51" s="10">
        <f t="shared" si="52"/>
        <v>2073.73</v>
      </c>
      <c r="BS51" s="4">
        <f t="shared" si="77"/>
        <v>65</v>
      </c>
      <c r="BT51" s="10">
        <f t="shared" si="53"/>
        <v>2224.27</v>
      </c>
      <c r="BU51" s="4">
        <f t="shared" si="9"/>
        <v>150.53999999999996</v>
      </c>
      <c r="BV51" s="20">
        <f t="shared" si="10"/>
        <v>7.2593828511908473E-2</v>
      </c>
      <c r="BW51" s="4">
        <f t="shared" si="80"/>
        <v>3</v>
      </c>
      <c r="BX51" s="17"/>
      <c r="BY51" s="16">
        <f t="shared" si="2"/>
        <v>45838</v>
      </c>
      <c r="BZ51" s="10">
        <f t="shared" si="3"/>
        <v>2320</v>
      </c>
      <c r="CA51" s="4">
        <f t="shared" si="78"/>
        <v>240</v>
      </c>
      <c r="CB51" s="10">
        <f t="shared" si="34"/>
        <v>2474.84</v>
      </c>
      <c r="CC51" s="4">
        <f t="shared" si="11"/>
        <v>154.84000000000015</v>
      </c>
      <c r="CD51" s="20">
        <f t="shared" si="81"/>
        <v>6.6741379310344892E-2</v>
      </c>
      <c r="CE51" s="4">
        <f t="shared" si="82"/>
        <v>39.970000000000255</v>
      </c>
      <c r="CF51" s="17"/>
      <c r="CG51" s="16">
        <f t="shared" si="5"/>
        <v>45838</v>
      </c>
      <c r="CH51" s="10">
        <f t="shared" si="12"/>
        <v>4393.7299999999996</v>
      </c>
      <c r="CI51" s="10">
        <f t="shared" si="13"/>
        <v>305</v>
      </c>
      <c r="CJ51" s="10">
        <f t="shared" si="14"/>
        <v>4699.1100000000006</v>
      </c>
      <c r="CK51" s="4">
        <f t="shared" si="15"/>
        <v>305.38000000000102</v>
      </c>
      <c r="CL51" s="20">
        <f t="shared" si="83"/>
        <v>6.9503588067541935E-2</v>
      </c>
      <c r="CM51" s="4">
        <f t="shared" si="84"/>
        <v>42.970000000001619</v>
      </c>
      <c r="CO51" s="16">
        <f t="shared" si="54"/>
        <v>45838</v>
      </c>
      <c r="CP51" s="4">
        <f t="shared" si="59"/>
        <v>-8.5999999999999091</v>
      </c>
      <c r="CQ51" s="4">
        <f t="shared" si="60"/>
        <v>1.3900000000000148</v>
      </c>
      <c r="CR51" s="4">
        <f t="shared" si="61"/>
        <v>1.9800000000000182</v>
      </c>
      <c r="CS51" s="4">
        <f t="shared" si="62"/>
        <v>2.1599999999999966</v>
      </c>
      <c r="CT51" s="4">
        <f t="shared" si="63"/>
        <v>-1.3499999999999943</v>
      </c>
      <c r="CU51" s="4">
        <f t="shared" si="64"/>
        <v>7.4200000000000159</v>
      </c>
      <c r="CV51" s="4">
        <f t="shared" si="65"/>
        <v>8.4399999999999409</v>
      </c>
      <c r="CW51" s="4">
        <f t="shared" si="66"/>
        <v>7.7799999999999727</v>
      </c>
      <c r="CX51" s="4">
        <f t="shared" si="67"/>
        <v>0.11000000000001364</v>
      </c>
      <c r="CY51" s="4">
        <f t="shared" si="68"/>
        <v>13.639999999999986</v>
      </c>
      <c r="CZ51" s="4">
        <f t="shared" si="69"/>
        <v>10</v>
      </c>
      <c r="DA51" s="4">
        <f t="shared" si="70"/>
        <v>0</v>
      </c>
      <c r="DB51" s="4">
        <f t="shared" si="71"/>
        <v>0</v>
      </c>
      <c r="DC51" s="4">
        <f t="shared" si="72"/>
        <v>0</v>
      </c>
      <c r="DD51" s="4">
        <f t="shared" si="73"/>
        <v>0</v>
      </c>
      <c r="DE51" s="4">
        <f t="shared" si="74"/>
        <v>0</v>
      </c>
      <c r="DF51" s="10">
        <f t="shared" si="75"/>
        <v>0</v>
      </c>
      <c r="DG51" s="10">
        <f t="shared" si="35"/>
        <v>0</v>
      </c>
      <c r="DH51" s="4">
        <f t="shared" si="36"/>
        <v>0</v>
      </c>
      <c r="DI51" s="4">
        <f t="shared" si="37"/>
        <v>0</v>
      </c>
      <c r="DJ51" s="4">
        <f t="shared" si="38"/>
        <v>0</v>
      </c>
      <c r="DK51" s="4">
        <f t="shared" si="39"/>
        <v>0</v>
      </c>
    </row>
    <row r="52" spans="1:115" x14ac:dyDescent="0.25">
      <c r="A52" s="12">
        <v>45869</v>
      </c>
      <c r="B52" s="5">
        <v>1194.92</v>
      </c>
      <c r="C52" s="2">
        <v>1322.73</v>
      </c>
      <c r="D52" s="18">
        <f t="shared" si="7"/>
        <v>0.10696113547350446</v>
      </c>
      <c r="E52" s="6">
        <v>159.65</v>
      </c>
      <c r="F52" s="4">
        <v>167.29</v>
      </c>
      <c r="G52" s="18">
        <f t="shared" si="76"/>
        <v>4.7854682117131141E-2</v>
      </c>
      <c r="H52" s="6">
        <v>180.48</v>
      </c>
      <c r="I52" s="4">
        <v>205.16</v>
      </c>
      <c r="J52" s="19">
        <f t="shared" si="89"/>
        <v>0.13674645390070927</v>
      </c>
      <c r="K52" s="6">
        <v>100.07</v>
      </c>
      <c r="L52" s="4">
        <v>110.36</v>
      </c>
      <c r="M52" s="18">
        <f t="shared" si="79"/>
        <v>0.10282802038573007</v>
      </c>
      <c r="N52" s="6">
        <v>255.17</v>
      </c>
      <c r="O52" s="4">
        <v>270.75</v>
      </c>
      <c r="P52" s="18">
        <f t="shared" si="55"/>
        <v>6.1057334326135568E-2</v>
      </c>
      <c r="Q52" s="6">
        <v>350</v>
      </c>
      <c r="R52" s="6">
        <v>407.43</v>
      </c>
      <c r="S52" s="18">
        <f t="shared" si="51"/>
        <v>0.16408571428571431</v>
      </c>
      <c r="T52" s="6">
        <v>800</v>
      </c>
      <c r="U52" s="4">
        <v>812.82</v>
      </c>
      <c r="V52" s="19">
        <f t="shared" si="85"/>
        <v>1.6025000000000063E-2</v>
      </c>
      <c r="W52" s="6">
        <v>600</v>
      </c>
      <c r="X52" s="4">
        <v>621.67999999999995</v>
      </c>
      <c r="Y52" s="19">
        <f t="shared" si="86"/>
        <v>3.6133333333333247E-2</v>
      </c>
      <c r="Z52" s="6">
        <v>380</v>
      </c>
      <c r="AA52" s="4">
        <v>463.76</v>
      </c>
      <c r="AB52" s="19">
        <f t="shared" si="87"/>
        <v>0.22042105263157893</v>
      </c>
      <c r="AC52" s="6">
        <v>700</v>
      </c>
      <c r="AD52" s="4">
        <v>740.12</v>
      </c>
      <c r="AE52" s="19">
        <f t="shared" si="88"/>
        <v>5.731428571428572E-2</v>
      </c>
      <c r="AF52" s="6">
        <v>200</v>
      </c>
      <c r="AG52" s="4">
        <v>215</v>
      </c>
      <c r="AH52" s="19">
        <f t="shared" ref="AH52:AH57" si="90">(AG52-AF52)/AF52</f>
        <v>7.4999999999999997E-2</v>
      </c>
      <c r="AI52" s="6">
        <v>0</v>
      </c>
      <c r="AJ52" s="4">
        <v>0</v>
      </c>
      <c r="AK52" s="19">
        <v>0</v>
      </c>
      <c r="AL52" s="6">
        <v>0</v>
      </c>
      <c r="AM52" s="4">
        <v>0</v>
      </c>
      <c r="AN52" s="19">
        <v>0</v>
      </c>
      <c r="AO52" s="6">
        <v>0</v>
      </c>
      <c r="AP52" s="4">
        <v>0</v>
      </c>
      <c r="AQ52" s="19">
        <v>0</v>
      </c>
      <c r="AR52" s="6">
        <v>0</v>
      </c>
      <c r="AS52" s="4">
        <v>0</v>
      </c>
      <c r="AT52" s="19">
        <v>0</v>
      </c>
      <c r="AU52" s="6">
        <v>0</v>
      </c>
      <c r="AV52" s="4">
        <v>0</v>
      </c>
      <c r="AW52" s="19">
        <v>0</v>
      </c>
      <c r="AX52" s="6">
        <v>0</v>
      </c>
      <c r="AY52" s="4">
        <v>0</v>
      </c>
      <c r="AZ52" s="19">
        <v>0</v>
      </c>
      <c r="BA52" s="6">
        <v>0</v>
      </c>
      <c r="BB52" s="4">
        <v>0</v>
      </c>
      <c r="BC52" s="19">
        <v>0</v>
      </c>
      <c r="BD52" s="6">
        <v>0</v>
      </c>
      <c r="BE52" s="4">
        <v>0</v>
      </c>
      <c r="BF52" s="19">
        <v>0</v>
      </c>
      <c r="BG52" s="6">
        <v>0</v>
      </c>
      <c r="BH52" s="4">
        <v>0</v>
      </c>
      <c r="BI52" s="19">
        <v>0</v>
      </c>
      <c r="BJ52" s="6">
        <v>0</v>
      </c>
      <c r="BK52" s="4">
        <v>0</v>
      </c>
      <c r="BL52" s="19">
        <v>0</v>
      </c>
      <c r="BM52" s="6">
        <v>0</v>
      </c>
      <c r="BN52" s="4">
        <v>0</v>
      </c>
      <c r="BO52" s="19">
        <v>0</v>
      </c>
      <c r="BP52" s="17"/>
      <c r="BQ52" s="16">
        <f t="shared" si="8"/>
        <v>45869</v>
      </c>
      <c r="BR52" s="10">
        <f t="shared" si="52"/>
        <v>2240.29</v>
      </c>
      <c r="BS52" s="4">
        <f t="shared" si="77"/>
        <v>166.55999999999995</v>
      </c>
      <c r="BT52" s="10">
        <f t="shared" si="53"/>
        <v>2483.7199999999998</v>
      </c>
      <c r="BU52" s="4">
        <f t="shared" si="9"/>
        <v>243.42999999999984</v>
      </c>
      <c r="BV52" s="20">
        <f t="shared" si="10"/>
        <v>0.10866003954845124</v>
      </c>
      <c r="BW52" s="4">
        <f t="shared" si="80"/>
        <v>92.889999999999873</v>
      </c>
      <c r="BX52" s="17"/>
      <c r="BY52" s="16">
        <f t="shared" si="2"/>
        <v>45869</v>
      </c>
      <c r="BZ52" s="10">
        <f t="shared" si="3"/>
        <v>2680</v>
      </c>
      <c r="CA52" s="4">
        <f t="shared" si="78"/>
        <v>360</v>
      </c>
      <c r="CB52" s="10">
        <f t="shared" si="34"/>
        <v>2853.3799999999997</v>
      </c>
      <c r="CC52" s="4">
        <f t="shared" si="11"/>
        <v>173.37999999999965</v>
      </c>
      <c r="CD52" s="20">
        <f t="shared" si="81"/>
        <v>6.469402985074614E-2</v>
      </c>
      <c r="CE52" s="4">
        <f t="shared" si="82"/>
        <v>18.539999999999509</v>
      </c>
      <c r="CF52" s="17"/>
      <c r="CG52" s="16">
        <f t="shared" si="5"/>
        <v>45869</v>
      </c>
      <c r="CH52" s="10">
        <f t="shared" si="12"/>
        <v>4920.29</v>
      </c>
      <c r="CI52" s="10">
        <f t="shared" si="13"/>
        <v>526.55999999999995</v>
      </c>
      <c r="CJ52" s="10">
        <f t="shared" si="14"/>
        <v>5337.0999999999995</v>
      </c>
      <c r="CK52" s="4">
        <f t="shared" si="15"/>
        <v>416.80999999999949</v>
      </c>
      <c r="CL52" s="20">
        <f t="shared" si="83"/>
        <v>8.4712486459131375E-2</v>
      </c>
      <c r="CM52" s="4">
        <f t="shared" si="84"/>
        <v>111.42999999999847</v>
      </c>
      <c r="CO52" s="16">
        <f t="shared" si="54"/>
        <v>45869</v>
      </c>
      <c r="CP52" s="4">
        <f t="shared" si="59"/>
        <v>34.980000000000018</v>
      </c>
      <c r="CQ52" s="4">
        <f t="shared" si="60"/>
        <v>5.2799999999999727</v>
      </c>
      <c r="CR52" s="4">
        <f t="shared" si="61"/>
        <v>9.4199999999999875</v>
      </c>
      <c r="CS52" s="4">
        <f t="shared" si="62"/>
        <v>6.1300000000000097</v>
      </c>
      <c r="CT52" s="4">
        <f t="shared" si="63"/>
        <v>10.870000000000005</v>
      </c>
      <c r="CU52" s="4">
        <f t="shared" si="64"/>
        <v>26.20999999999998</v>
      </c>
      <c r="CV52" s="4">
        <f t="shared" si="65"/>
        <v>2.2600000000001046</v>
      </c>
      <c r="CW52" s="4">
        <f t="shared" si="66"/>
        <v>4.7999999999999545</v>
      </c>
      <c r="CX52" s="4">
        <f t="shared" si="67"/>
        <v>0</v>
      </c>
      <c r="CY52" s="4">
        <f t="shared" si="68"/>
        <v>6.4800000000000182</v>
      </c>
      <c r="CZ52" s="4">
        <f t="shared" si="69"/>
        <v>5</v>
      </c>
      <c r="DA52" s="4">
        <f t="shared" si="70"/>
        <v>0</v>
      </c>
      <c r="DB52" s="4">
        <f t="shared" si="71"/>
        <v>0</v>
      </c>
      <c r="DC52" s="4">
        <f t="shared" si="72"/>
        <v>0</v>
      </c>
      <c r="DD52" s="4">
        <f t="shared" si="73"/>
        <v>0</v>
      </c>
      <c r="DE52" s="4">
        <f t="shared" si="74"/>
        <v>0</v>
      </c>
      <c r="DF52" s="10">
        <f t="shared" si="75"/>
        <v>0</v>
      </c>
      <c r="DG52" s="10">
        <f t="shared" si="35"/>
        <v>0</v>
      </c>
      <c r="DH52" s="4">
        <f t="shared" si="36"/>
        <v>0</v>
      </c>
      <c r="DI52" s="4">
        <f t="shared" si="37"/>
        <v>0</v>
      </c>
      <c r="DJ52" s="4">
        <f t="shared" si="38"/>
        <v>0</v>
      </c>
      <c r="DK52" s="4">
        <f t="shared" si="39"/>
        <v>0</v>
      </c>
    </row>
    <row r="53" spans="1:115" x14ac:dyDescent="0.25">
      <c r="A53" s="12">
        <v>45900</v>
      </c>
      <c r="B53" s="5">
        <v>1234.92</v>
      </c>
      <c r="C53" s="2">
        <v>1366.76</v>
      </c>
      <c r="D53" s="18">
        <f t="shared" si="7"/>
        <v>0.10675995206167194</v>
      </c>
      <c r="E53" s="6">
        <v>159.65</v>
      </c>
      <c r="F53" s="4">
        <v>167.24</v>
      </c>
      <c r="G53" s="18">
        <f t="shared" si="76"/>
        <v>4.7541497024741641E-2</v>
      </c>
      <c r="H53" s="6">
        <v>195.48</v>
      </c>
      <c r="I53" s="4">
        <v>219.18</v>
      </c>
      <c r="J53" s="19">
        <f t="shared" si="89"/>
        <v>0.12124002455494177</v>
      </c>
      <c r="K53" s="6">
        <v>150.07</v>
      </c>
      <c r="L53" s="4">
        <v>158.75</v>
      </c>
      <c r="M53" s="18">
        <f t="shared" si="79"/>
        <v>5.7839674818418119E-2</v>
      </c>
      <c r="N53" s="6">
        <v>283.14999999999998</v>
      </c>
      <c r="O53" s="4">
        <v>296.55</v>
      </c>
      <c r="P53" s="18">
        <f t="shared" si="55"/>
        <v>4.7324739537347817E-2</v>
      </c>
      <c r="Q53" s="6">
        <v>350</v>
      </c>
      <c r="R53" s="6">
        <v>412.19</v>
      </c>
      <c r="S53" s="18">
        <f t="shared" si="51"/>
        <v>0.17768571428571428</v>
      </c>
      <c r="T53" s="6">
        <v>800</v>
      </c>
      <c r="U53" s="4">
        <v>814.26</v>
      </c>
      <c r="V53" s="19">
        <f t="shared" si="85"/>
        <v>1.782499999999999E-2</v>
      </c>
      <c r="W53" s="6">
        <v>650</v>
      </c>
      <c r="X53" s="4">
        <v>678.25</v>
      </c>
      <c r="Y53" s="19">
        <f t="shared" si="86"/>
        <v>4.3461538461538461E-2</v>
      </c>
      <c r="Z53" s="6">
        <v>440</v>
      </c>
      <c r="AA53" s="4">
        <v>523.76</v>
      </c>
      <c r="AB53" s="19">
        <f t="shared" si="87"/>
        <v>0.19036363636363635</v>
      </c>
      <c r="AC53" s="6">
        <v>700</v>
      </c>
      <c r="AD53" s="4">
        <v>740.12</v>
      </c>
      <c r="AE53" s="19">
        <f t="shared" si="88"/>
        <v>5.731428571428572E-2</v>
      </c>
      <c r="AF53" s="6">
        <v>300</v>
      </c>
      <c r="AG53" s="4">
        <v>315</v>
      </c>
      <c r="AH53" s="19">
        <f t="shared" si="90"/>
        <v>0.05</v>
      </c>
      <c r="AI53" s="6">
        <v>0</v>
      </c>
      <c r="AJ53" s="4">
        <v>0</v>
      </c>
      <c r="AK53" s="19">
        <v>0</v>
      </c>
      <c r="AL53" s="6">
        <v>0</v>
      </c>
      <c r="AM53" s="4">
        <v>0</v>
      </c>
      <c r="AN53" s="19">
        <v>0</v>
      </c>
      <c r="AO53" s="6">
        <v>0</v>
      </c>
      <c r="AP53" s="4">
        <v>0</v>
      </c>
      <c r="AQ53" s="19">
        <v>0</v>
      </c>
      <c r="AR53" s="6">
        <v>0</v>
      </c>
      <c r="AS53" s="4">
        <v>0</v>
      </c>
      <c r="AT53" s="19">
        <v>0</v>
      </c>
      <c r="AU53" s="6">
        <v>0</v>
      </c>
      <c r="AV53" s="4">
        <v>0</v>
      </c>
      <c r="AW53" s="19">
        <v>0</v>
      </c>
      <c r="AX53" s="6">
        <v>0</v>
      </c>
      <c r="AY53" s="4">
        <v>0</v>
      </c>
      <c r="AZ53" s="19">
        <v>0</v>
      </c>
      <c r="BA53" s="6">
        <v>0</v>
      </c>
      <c r="BB53" s="4">
        <v>0</v>
      </c>
      <c r="BC53" s="19">
        <v>0</v>
      </c>
      <c r="BD53" s="6">
        <v>0</v>
      </c>
      <c r="BE53" s="4">
        <v>0</v>
      </c>
      <c r="BF53" s="19">
        <v>0</v>
      </c>
      <c r="BG53" s="6">
        <v>0</v>
      </c>
      <c r="BH53" s="4">
        <v>0</v>
      </c>
      <c r="BI53" s="19">
        <v>0</v>
      </c>
      <c r="BJ53" s="6">
        <v>0</v>
      </c>
      <c r="BK53" s="4">
        <v>0</v>
      </c>
      <c r="BL53" s="19">
        <v>0</v>
      </c>
      <c r="BM53" s="6">
        <v>0</v>
      </c>
      <c r="BN53" s="4">
        <v>0</v>
      </c>
      <c r="BO53" s="19">
        <v>0</v>
      </c>
      <c r="BP53" s="17"/>
      <c r="BQ53" s="16">
        <f t="shared" si="8"/>
        <v>45900</v>
      </c>
      <c r="BR53" s="10">
        <f t="shared" si="52"/>
        <v>2373.27</v>
      </c>
      <c r="BS53" s="4">
        <f t="shared" ref="BS53" si="91">BR53-BR52</f>
        <v>132.98000000000002</v>
      </c>
      <c r="BT53" s="10">
        <f t="shared" si="53"/>
        <v>2620.67</v>
      </c>
      <c r="BU53" s="4">
        <f t="shared" ref="BU53" si="92">BT53-BR53</f>
        <v>247.40000000000009</v>
      </c>
      <c r="BV53" s="20">
        <f t="shared" si="10"/>
        <v>0.10424435483531165</v>
      </c>
      <c r="BW53" s="4">
        <f t="shared" si="80"/>
        <v>3.9700000000002547</v>
      </c>
      <c r="BX53" s="17"/>
      <c r="BY53" s="16">
        <f t="shared" si="2"/>
        <v>45900</v>
      </c>
      <c r="BZ53" s="10">
        <f t="shared" si="3"/>
        <v>2890</v>
      </c>
      <c r="CA53" s="4">
        <f t="shared" si="78"/>
        <v>210</v>
      </c>
      <c r="CB53" s="10">
        <f t="shared" si="34"/>
        <v>3071.39</v>
      </c>
      <c r="CC53" s="4">
        <f t="shared" si="11"/>
        <v>181.38999999999987</v>
      </c>
      <c r="CD53" s="20">
        <f t="shared" si="81"/>
        <v>6.2764705882352903E-2</v>
      </c>
      <c r="CE53" s="4">
        <f t="shared" si="82"/>
        <v>8.0100000000002183</v>
      </c>
      <c r="CF53" s="17"/>
      <c r="CG53" s="16">
        <f t="shared" si="5"/>
        <v>45900</v>
      </c>
      <c r="CH53" s="10">
        <f t="shared" si="12"/>
        <v>5263.27</v>
      </c>
      <c r="CI53" s="10">
        <f t="shared" si="13"/>
        <v>342.98</v>
      </c>
      <c r="CJ53" s="10">
        <f t="shared" si="14"/>
        <v>5692.0599999999995</v>
      </c>
      <c r="CK53" s="4">
        <f t="shared" si="15"/>
        <v>428.78999999999905</v>
      </c>
      <c r="CL53" s="20">
        <f t="shared" si="83"/>
        <v>8.1468364723831191E-2</v>
      </c>
      <c r="CM53" s="4">
        <f t="shared" si="84"/>
        <v>11.979999999999563</v>
      </c>
      <c r="CO53" s="16">
        <f t="shared" si="54"/>
        <v>45900</v>
      </c>
      <c r="CP53" s="4">
        <f t="shared" si="59"/>
        <v>4.0299999999999727</v>
      </c>
      <c r="CQ53" s="4">
        <f t="shared" si="60"/>
        <v>-4.9999999999982947E-2</v>
      </c>
      <c r="CR53" s="4">
        <f t="shared" si="61"/>
        <v>-0.97999999999998977</v>
      </c>
      <c r="CS53" s="4">
        <f t="shared" si="62"/>
        <v>-1.6099999999999994</v>
      </c>
      <c r="CT53" s="4">
        <f t="shared" si="63"/>
        <v>-2.1799999999999784</v>
      </c>
      <c r="CU53" s="4">
        <f t="shared" si="64"/>
        <v>4.7599999999999909</v>
      </c>
      <c r="CV53" s="4">
        <f t="shared" si="65"/>
        <v>1.4399999999999409</v>
      </c>
      <c r="CW53" s="4">
        <f t="shared" si="66"/>
        <v>6.57000000000005</v>
      </c>
      <c r="CX53" s="4">
        <f t="shared" si="67"/>
        <v>0</v>
      </c>
      <c r="CY53" s="4">
        <f t="shared" si="68"/>
        <v>0</v>
      </c>
      <c r="CZ53" s="4">
        <f t="shared" si="69"/>
        <v>0</v>
      </c>
      <c r="DA53" s="4">
        <f t="shared" si="70"/>
        <v>0</v>
      </c>
      <c r="DB53" s="4">
        <f t="shared" si="71"/>
        <v>0</v>
      </c>
      <c r="DC53" s="4">
        <f t="shared" si="72"/>
        <v>0</v>
      </c>
      <c r="DD53" s="4">
        <f t="shared" si="73"/>
        <v>0</v>
      </c>
      <c r="DE53" s="4">
        <f t="shared" si="74"/>
        <v>0</v>
      </c>
      <c r="DF53" s="10">
        <f t="shared" si="75"/>
        <v>0</v>
      </c>
      <c r="DG53" s="10">
        <f t="shared" si="35"/>
        <v>0</v>
      </c>
      <c r="DH53" s="4">
        <f t="shared" si="36"/>
        <v>0</v>
      </c>
      <c r="DI53" s="4">
        <f t="shared" si="37"/>
        <v>0</v>
      </c>
      <c r="DJ53" s="4">
        <f t="shared" si="38"/>
        <v>0</v>
      </c>
      <c r="DK53" s="4">
        <f t="shared" si="39"/>
        <v>0</v>
      </c>
    </row>
    <row r="54" spans="1:115" x14ac:dyDescent="0.25">
      <c r="A54" s="12">
        <v>45930</v>
      </c>
      <c r="B54" s="5">
        <v>1254.92</v>
      </c>
      <c r="C54" s="2">
        <v>1391.02</v>
      </c>
      <c r="D54" s="18">
        <f t="shared" si="7"/>
        <v>0.10845312848627793</v>
      </c>
      <c r="E54" s="6">
        <v>159.65</v>
      </c>
      <c r="F54" s="4">
        <v>170.94</v>
      </c>
      <c r="G54" s="18">
        <f t="shared" si="76"/>
        <v>7.0717193861572131E-2</v>
      </c>
      <c r="H54" s="6">
        <v>210.48</v>
      </c>
      <c r="I54" s="4">
        <v>240.97</v>
      </c>
      <c r="J54" s="19">
        <f t="shared" si="89"/>
        <v>0.14485936906119351</v>
      </c>
      <c r="K54" s="6">
        <v>180.07</v>
      </c>
      <c r="L54" s="4">
        <v>198.71</v>
      </c>
      <c r="M54" s="18">
        <f t="shared" si="79"/>
        <v>0.10351529960570897</v>
      </c>
      <c r="N54" s="6">
        <v>298.14999999999998</v>
      </c>
      <c r="O54" s="4">
        <v>318.20999999999998</v>
      </c>
      <c r="P54" s="18">
        <f t="shared" si="55"/>
        <v>6.7281569679691441E-2</v>
      </c>
      <c r="Q54" s="6">
        <v>350</v>
      </c>
      <c r="R54" s="6">
        <v>448.31</v>
      </c>
      <c r="S54" s="18">
        <f t="shared" si="51"/>
        <v>0.28088571428571429</v>
      </c>
      <c r="T54" s="6">
        <v>900</v>
      </c>
      <c r="U54" s="4">
        <v>932.78</v>
      </c>
      <c r="V54" s="19">
        <f t="shared" si="85"/>
        <v>3.6422222222222189E-2</v>
      </c>
      <c r="W54" s="6">
        <v>800</v>
      </c>
      <c r="X54" s="4">
        <v>836.08</v>
      </c>
      <c r="Y54" s="19">
        <f t="shared" si="86"/>
        <v>4.510000000000005E-2</v>
      </c>
      <c r="Z54" s="6">
        <v>470</v>
      </c>
      <c r="AA54" s="4">
        <v>553.76</v>
      </c>
      <c r="AB54" s="19">
        <f t="shared" si="87"/>
        <v>0.17821276595744678</v>
      </c>
      <c r="AC54" s="6">
        <v>800</v>
      </c>
      <c r="AD54" s="4">
        <v>852.99</v>
      </c>
      <c r="AE54" s="19">
        <f t="shared" si="88"/>
        <v>6.6237500000000005E-2</v>
      </c>
      <c r="AF54" s="6">
        <v>400</v>
      </c>
      <c r="AG54" s="4">
        <v>416</v>
      </c>
      <c r="AH54" s="19">
        <f t="shared" si="90"/>
        <v>0.04</v>
      </c>
      <c r="AI54" s="6">
        <v>100</v>
      </c>
      <c r="AJ54" s="4">
        <v>100.52</v>
      </c>
      <c r="AK54" s="19">
        <f>(AJ54-AI54)/AI54</f>
        <v>5.1999999999999599E-3</v>
      </c>
      <c r="AL54" s="6">
        <v>50</v>
      </c>
      <c r="AM54" s="4">
        <v>50.12</v>
      </c>
      <c r="AN54" s="19">
        <f>(AM54-AL54)/AL54</f>
        <v>2.399999999999949E-3</v>
      </c>
      <c r="AO54" s="6">
        <v>0</v>
      </c>
      <c r="AP54" s="4">
        <v>0</v>
      </c>
      <c r="AQ54" s="19">
        <v>0</v>
      </c>
      <c r="AR54" s="6">
        <v>0</v>
      </c>
      <c r="AS54" s="4">
        <v>0</v>
      </c>
      <c r="AT54" s="19">
        <v>0</v>
      </c>
      <c r="AU54" s="6">
        <v>0</v>
      </c>
      <c r="AV54" s="4">
        <v>0</v>
      </c>
      <c r="AW54" s="19">
        <v>0</v>
      </c>
      <c r="AX54" s="6">
        <v>0</v>
      </c>
      <c r="AY54" s="4">
        <v>0</v>
      </c>
      <c r="AZ54" s="19">
        <v>0</v>
      </c>
      <c r="BA54" s="6">
        <v>0</v>
      </c>
      <c r="BB54" s="4">
        <v>0</v>
      </c>
      <c r="BC54" s="19">
        <v>0</v>
      </c>
      <c r="BD54" s="6">
        <v>0</v>
      </c>
      <c r="BE54" s="4">
        <v>0</v>
      </c>
      <c r="BF54" s="19">
        <v>0</v>
      </c>
      <c r="BG54" s="6">
        <v>0</v>
      </c>
      <c r="BH54" s="4">
        <v>0</v>
      </c>
      <c r="BI54" s="19">
        <v>0</v>
      </c>
      <c r="BJ54" s="6">
        <v>0</v>
      </c>
      <c r="BK54" s="4">
        <v>0</v>
      </c>
      <c r="BL54" s="19">
        <v>0</v>
      </c>
      <c r="BM54" s="6">
        <v>0</v>
      </c>
      <c r="BN54" s="4">
        <v>0</v>
      </c>
      <c r="BO54" s="19">
        <v>0</v>
      </c>
      <c r="BP54" s="17"/>
      <c r="BQ54" s="16">
        <f t="shared" si="8"/>
        <v>45930</v>
      </c>
      <c r="BR54" s="10">
        <f t="shared" si="52"/>
        <v>2453.27</v>
      </c>
      <c r="BS54" s="4">
        <f t="shared" ref="BS54" si="93">BR54-BR53</f>
        <v>80</v>
      </c>
      <c r="BT54" s="10">
        <f t="shared" si="53"/>
        <v>2768.16</v>
      </c>
      <c r="BU54" s="4">
        <f t="shared" ref="BU54:BU55" si="94">BT54-BR54</f>
        <v>314.88999999999987</v>
      </c>
      <c r="BV54" s="20">
        <f t="shared" si="10"/>
        <v>0.12835521569170938</v>
      </c>
      <c r="BW54" s="4">
        <f t="shared" si="80"/>
        <v>67.489999999999782</v>
      </c>
      <c r="BX54" s="17"/>
      <c r="BY54" s="16">
        <f t="shared" si="2"/>
        <v>45930</v>
      </c>
      <c r="BZ54" s="10">
        <f t="shared" si="3"/>
        <v>3520</v>
      </c>
      <c r="CA54" s="4">
        <f t="shared" si="78"/>
        <v>630</v>
      </c>
      <c r="CB54" s="10">
        <f t="shared" si="34"/>
        <v>3742.2499999999995</v>
      </c>
      <c r="CC54" s="4">
        <f t="shared" si="11"/>
        <v>222.24999999999955</v>
      </c>
      <c r="CD54" s="20">
        <f t="shared" si="81"/>
        <v>6.3139204545454422E-2</v>
      </c>
      <c r="CE54" s="4">
        <f t="shared" si="82"/>
        <v>40.859999999999673</v>
      </c>
      <c r="CF54" s="17"/>
      <c r="CG54" s="16">
        <f t="shared" si="5"/>
        <v>45930</v>
      </c>
      <c r="CH54" s="10">
        <f t="shared" si="12"/>
        <v>5973.27</v>
      </c>
      <c r="CI54" s="10">
        <f t="shared" si="13"/>
        <v>710</v>
      </c>
      <c r="CJ54" s="10">
        <f t="shared" si="14"/>
        <v>6510.41</v>
      </c>
      <c r="CK54" s="4">
        <f t="shared" si="15"/>
        <v>537.13999999999942</v>
      </c>
      <c r="CL54" s="20">
        <f t="shared" si="83"/>
        <v>8.9923944506107939E-2</v>
      </c>
      <c r="CM54" s="4">
        <f t="shared" si="84"/>
        <v>108.35000000000036</v>
      </c>
      <c r="CO54" s="16">
        <f t="shared" si="54"/>
        <v>45930</v>
      </c>
      <c r="CP54" s="4">
        <f t="shared" si="59"/>
        <v>4.2599999999999909</v>
      </c>
      <c r="CQ54" s="4">
        <f t="shared" si="60"/>
        <v>3.6999999999999886</v>
      </c>
      <c r="CR54" s="4">
        <f t="shared" si="61"/>
        <v>6.789999999999992</v>
      </c>
      <c r="CS54" s="4">
        <f t="shared" si="62"/>
        <v>9.960000000000008</v>
      </c>
      <c r="CT54" s="4">
        <f t="shared" si="63"/>
        <v>6.6599999999999682</v>
      </c>
      <c r="CU54" s="4">
        <f t="shared" si="64"/>
        <v>36.120000000000005</v>
      </c>
      <c r="CV54" s="4">
        <f t="shared" si="65"/>
        <v>18.519999999999982</v>
      </c>
      <c r="CW54" s="4">
        <f t="shared" si="66"/>
        <v>7.8300000000000409</v>
      </c>
      <c r="CX54" s="4">
        <f t="shared" si="67"/>
        <v>0</v>
      </c>
      <c r="CY54" s="4">
        <f t="shared" si="68"/>
        <v>12.870000000000005</v>
      </c>
      <c r="CZ54" s="4">
        <f t="shared" si="69"/>
        <v>1</v>
      </c>
      <c r="DA54" s="4">
        <f t="shared" si="70"/>
        <v>0.51999999999999602</v>
      </c>
      <c r="DB54" s="4">
        <f t="shared" si="71"/>
        <v>0.11999999999999744</v>
      </c>
      <c r="DC54" s="4">
        <f t="shared" si="72"/>
        <v>0</v>
      </c>
      <c r="DD54" s="4">
        <f t="shared" si="73"/>
        <v>0</v>
      </c>
      <c r="DE54" s="4">
        <f t="shared" si="74"/>
        <v>0</v>
      </c>
      <c r="DF54" s="10">
        <f t="shared" si="75"/>
        <v>0</v>
      </c>
      <c r="DG54" s="10">
        <f t="shared" si="35"/>
        <v>0</v>
      </c>
      <c r="DH54" s="4">
        <f t="shared" si="36"/>
        <v>0</v>
      </c>
      <c r="DI54" s="4">
        <f t="shared" si="37"/>
        <v>0</v>
      </c>
      <c r="DJ54" s="4">
        <f t="shared" si="38"/>
        <v>0</v>
      </c>
      <c r="DK54" s="4">
        <f t="shared" si="39"/>
        <v>0</v>
      </c>
    </row>
    <row r="55" spans="1:115" x14ac:dyDescent="0.25">
      <c r="A55" s="12">
        <v>45961</v>
      </c>
      <c r="B55" s="5">
        <v>1314.92</v>
      </c>
      <c r="C55" s="2">
        <v>1505.98</v>
      </c>
      <c r="D55" s="18">
        <f t="shared" si="7"/>
        <v>0.14530161530739508</v>
      </c>
      <c r="E55" s="6">
        <v>159.65</v>
      </c>
      <c r="F55" s="4">
        <v>177.19</v>
      </c>
      <c r="G55" s="18">
        <f t="shared" si="76"/>
        <v>0.10986533041027241</v>
      </c>
      <c r="H55" s="6">
        <v>230.48</v>
      </c>
      <c r="I55" s="4">
        <v>272.7</v>
      </c>
      <c r="J55" s="19">
        <f t="shared" si="89"/>
        <v>0.18318292259632071</v>
      </c>
      <c r="K55" s="6">
        <v>230.07</v>
      </c>
      <c r="L55" s="4">
        <v>264.89999999999998</v>
      </c>
      <c r="M55" s="18">
        <f t="shared" si="79"/>
        <v>0.15138870778458724</v>
      </c>
      <c r="N55" s="6">
        <v>313.14999999999998</v>
      </c>
      <c r="O55" s="4">
        <v>345.43</v>
      </c>
      <c r="P55" s="18">
        <f t="shared" si="55"/>
        <v>0.10308159029219234</v>
      </c>
      <c r="Q55" s="6">
        <v>350</v>
      </c>
      <c r="R55" s="6">
        <v>467.81</v>
      </c>
      <c r="S55" s="18">
        <f t="shared" si="51"/>
        <v>0.33660000000000001</v>
      </c>
      <c r="T55" s="6">
        <v>900</v>
      </c>
      <c r="U55" s="4">
        <v>935.55</v>
      </c>
      <c r="V55" s="19">
        <f t="shared" si="85"/>
        <v>3.9499999999999952E-2</v>
      </c>
      <c r="W55" s="6">
        <v>900</v>
      </c>
      <c r="X55" s="4">
        <v>969.59</v>
      </c>
      <c r="Y55" s="19">
        <f t="shared" si="86"/>
        <v>7.7322222222222264E-2</v>
      </c>
      <c r="Z55" s="6">
        <v>500</v>
      </c>
      <c r="AA55" s="4">
        <v>584.04999999999995</v>
      </c>
      <c r="AB55" s="19">
        <f t="shared" si="87"/>
        <v>0.16809999999999992</v>
      </c>
      <c r="AC55" s="6">
        <v>900</v>
      </c>
      <c r="AD55" s="4">
        <v>963.27</v>
      </c>
      <c r="AE55" s="19">
        <f t="shared" si="88"/>
        <v>7.0299999999999974E-2</v>
      </c>
      <c r="AF55" s="6">
        <v>500</v>
      </c>
      <c r="AG55" s="4">
        <v>538.11</v>
      </c>
      <c r="AH55" s="19">
        <f t="shared" si="90"/>
        <v>7.6220000000000024E-2</v>
      </c>
      <c r="AI55" s="6">
        <v>190</v>
      </c>
      <c r="AJ55" s="4">
        <v>191.79</v>
      </c>
      <c r="AK55" s="19">
        <f t="shared" ref="AK55:AK57" si="95">(AJ55-AI55)/AI55</f>
        <v>9.4210526315789047E-3</v>
      </c>
      <c r="AL55" s="6">
        <v>50</v>
      </c>
      <c r="AM55" s="4">
        <v>50.63</v>
      </c>
      <c r="AN55" s="19">
        <f t="shared" ref="AN55:AN57" si="96">(AM55-AL55)/AL55</f>
        <v>1.260000000000005E-2</v>
      </c>
      <c r="AO55" s="6">
        <v>100</v>
      </c>
      <c r="AP55" s="4">
        <v>100</v>
      </c>
      <c r="AQ55" s="19">
        <f t="shared" ref="AQ55:AQ60" si="97">(AP55-AO55)/AO55</f>
        <v>0</v>
      </c>
      <c r="AR55" s="6">
        <v>0</v>
      </c>
      <c r="AS55" s="4">
        <v>0</v>
      </c>
      <c r="AT55" s="19">
        <v>0</v>
      </c>
      <c r="AU55" s="6">
        <v>0</v>
      </c>
      <c r="AV55" s="4">
        <v>0</v>
      </c>
      <c r="AW55" s="19">
        <v>0</v>
      </c>
      <c r="AX55" s="6">
        <v>0</v>
      </c>
      <c r="AY55" s="4">
        <v>0</v>
      </c>
      <c r="AZ55" s="19">
        <v>0</v>
      </c>
      <c r="BA55" s="6">
        <v>0</v>
      </c>
      <c r="BB55" s="4">
        <v>0</v>
      </c>
      <c r="BC55" s="19">
        <v>0</v>
      </c>
      <c r="BD55" s="6">
        <v>0</v>
      </c>
      <c r="BE55" s="4">
        <v>0</v>
      </c>
      <c r="BF55" s="19">
        <v>0</v>
      </c>
      <c r="BG55" s="6">
        <v>0</v>
      </c>
      <c r="BH55" s="4">
        <v>0</v>
      </c>
      <c r="BI55" s="19">
        <v>0</v>
      </c>
      <c r="BJ55" s="6">
        <v>0</v>
      </c>
      <c r="BK55" s="4">
        <v>0</v>
      </c>
      <c r="BL55" s="19">
        <v>0</v>
      </c>
      <c r="BM55" s="6">
        <v>0</v>
      </c>
      <c r="BN55" s="4">
        <v>0</v>
      </c>
      <c r="BO55" s="19">
        <v>0</v>
      </c>
      <c r="BQ55" s="16">
        <f t="shared" si="8"/>
        <v>45961</v>
      </c>
      <c r="BR55" s="10">
        <f t="shared" si="52"/>
        <v>2598.27</v>
      </c>
      <c r="BS55" s="4">
        <f t="shared" ref="BS55:BS60" si="98">BR55-BR54</f>
        <v>145</v>
      </c>
      <c r="BT55" s="10">
        <f t="shared" si="53"/>
        <v>3034.0099999999998</v>
      </c>
      <c r="BU55" s="4">
        <f t="shared" si="94"/>
        <v>435.73999999999978</v>
      </c>
      <c r="BV55" s="20">
        <f t="shared" si="10"/>
        <v>0.16770389528416976</v>
      </c>
      <c r="BW55" s="4">
        <f>BU55-BU54</f>
        <v>120.84999999999991</v>
      </c>
      <c r="BX55" s="17"/>
      <c r="BY55" s="16">
        <f t="shared" si="2"/>
        <v>45961</v>
      </c>
      <c r="BZ55" s="10">
        <f t="shared" si="3"/>
        <v>4040</v>
      </c>
      <c r="CA55" s="4">
        <f t="shared" si="78"/>
        <v>520</v>
      </c>
      <c r="CB55" s="10">
        <f t="shared" si="34"/>
        <v>4332.9900000000007</v>
      </c>
      <c r="CC55" s="4">
        <f t="shared" si="11"/>
        <v>292.99000000000069</v>
      </c>
      <c r="CD55" s="20">
        <f t="shared" si="81"/>
        <v>7.2522277227722948E-2</v>
      </c>
      <c r="CE55" s="4">
        <f>CC55-CC54</f>
        <v>70.740000000001146</v>
      </c>
      <c r="CF55" s="17"/>
      <c r="CG55" s="16">
        <f t="shared" si="5"/>
        <v>45961</v>
      </c>
      <c r="CH55" s="10">
        <f t="shared" si="12"/>
        <v>6638.27</v>
      </c>
      <c r="CI55" s="10">
        <f t="shared" si="13"/>
        <v>665</v>
      </c>
      <c r="CJ55" s="10">
        <f t="shared" si="14"/>
        <v>7367</v>
      </c>
      <c r="CK55" s="4">
        <f t="shared" si="15"/>
        <v>728.72999999999956</v>
      </c>
      <c r="CL55" s="20">
        <f t="shared" si="83"/>
        <v>0.10977709553844593</v>
      </c>
      <c r="CM55" s="4">
        <f>CK55-CK54</f>
        <v>191.59000000000015</v>
      </c>
      <c r="CO55" s="16">
        <f t="shared" si="54"/>
        <v>45961</v>
      </c>
      <c r="CP55" s="4">
        <f t="shared" si="59"/>
        <v>54.960000000000036</v>
      </c>
      <c r="CQ55" s="4">
        <f t="shared" si="60"/>
        <v>6.25</v>
      </c>
      <c r="CR55" s="4">
        <f t="shared" si="61"/>
        <v>11.72999999999999</v>
      </c>
      <c r="CS55" s="4">
        <f t="shared" si="62"/>
        <v>16.189999999999969</v>
      </c>
      <c r="CT55" s="4">
        <f t="shared" si="63"/>
        <v>12.220000000000027</v>
      </c>
      <c r="CU55" s="4">
        <f t="shared" si="64"/>
        <v>19.5</v>
      </c>
      <c r="CV55" s="4">
        <f t="shared" si="65"/>
        <v>2.7699999999999818</v>
      </c>
      <c r="CW55" s="4">
        <f t="shared" si="66"/>
        <v>33.509999999999991</v>
      </c>
      <c r="CX55" s="4">
        <f t="shared" si="67"/>
        <v>0.28999999999996362</v>
      </c>
      <c r="CY55" s="4">
        <f t="shared" si="68"/>
        <v>10.279999999999973</v>
      </c>
      <c r="CZ55" s="4">
        <f t="shared" si="69"/>
        <v>22.110000000000014</v>
      </c>
      <c r="DA55" s="4">
        <f t="shared" si="70"/>
        <v>1.269999999999996</v>
      </c>
      <c r="DB55" s="4">
        <f t="shared" si="71"/>
        <v>0.51000000000000512</v>
      </c>
      <c r="DC55" s="4">
        <f t="shared" si="72"/>
        <v>0</v>
      </c>
      <c r="DD55" s="4">
        <f t="shared" si="73"/>
        <v>0</v>
      </c>
      <c r="DE55" s="4">
        <f t="shared" si="74"/>
        <v>0</v>
      </c>
      <c r="DF55" s="10">
        <f t="shared" si="75"/>
        <v>0</v>
      </c>
      <c r="DG55" s="10">
        <f t="shared" si="35"/>
        <v>0</v>
      </c>
      <c r="DH55" s="4">
        <f t="shared" si="36"/>
        <v>0</v>
      </c>
      <c r="DI55" s="4">
        <f t="shared" si="37"/>
        <v>0</v>
      </c>
      <c r="DJ55" s="4">
        <f t="shared" si="38"/>
        <v>0</v>
      </c>
      <c r="DK55" s="4">
        <f t="shared" si="39"/>
        <v>0</v>
      </c>
    </row>
    <row r="56" spans="1:115" x14ac:dyDescent="0.25">
      <c r="A56" s="12">
        <v>45991</v>
      </c>
      <c r="B56" s="6">
        <v>1167</v>
      </c>
      <c r="C56" s="2">
        <v>1321.84</v>
      </c>
      <c r="D56" s="18">
        <f t="shared" si="7"/>
        <v>0.13268209083119101</v>
      </c>
      <c r="E56" s="6">
        <v>346.02</v>
      </c>
      <c r="F56" s="4">
        <v>366.28</v>
      </c>
      <c r="G56" s="18">
        <f t="shared" si="76"/>
        <v>5.8551528813363368E-2</v>
      </c>
      <c r="H56" s="6">
        <v>250.48</v>
      </c>
      <c r="I56" s="4">
        <v>291.02</v>
      </c>
      <c r="J56" s="19">
        <f t="shared" si="89"/>
        <v>0.16184924944107312</v>
      </c>
      <c r="K56" s="6">
        <v>336.49</v>
      </c>
      <c r="L56" s="4">
        <v>364.81</v>
      </c>
      <c r="M56" s="18">
        <f t="shared" si="79"/>
        <v>8.4162976611489179E-2</v>
      </c>
      <c r="N56" s="6">
        <v>328.15</v>
      </c>
      <c r="O56" s="4">
        <v>357.23</v>
      </c>
      <c r="P56" s="18">
        <f t="shared" si="55"/>
        <v>8.8618010056376789E-2</v>
      </c>
      <c r="Q56" s="6">
        <v>350</v>
      </c>
      <c r="R56" s="6">
        <v>458.11</v>
      </c>
      <c r="S56" s="18">
        <f t="shared" si="51"/>
        <v>0.30888571428571432</v>
      </c>
      <c r="T56" s="6">
        <v>900</v>
      </c>
      <c r="U56" s="4">
        <v>940.78</v>
      </c>
      <c r="V56" s="19">
        <f t="shared" si="85"/>
        <v>4.531111111111108E-2</v>
      </c>
      <c r="W56" s="6">
        <v>900</v>
      </c>
      <c r="X56" s="4">
        <v>977.96</v>
      </c>
      <c r="Y56" s="19">
        <f t="shared" si="86"/>
        <v>8.6622222222222267E-2</v>
      </c>
      <c r="Z56" s="6">
        <v>500</v>
      </c>
      <c r="AA56" s="4">
        <v>584.04999999999995</v>
      </c>
      <c r="AB56" s="19">
        <f t="shared" si="87"/>
        <v>0.16809999999999992</v>
      </c>
      <c r="AC56" s="6">
        <v>900</v>
      </c>
      <c r="AD56" s="4">
        <v>969.05</v>
      </c>
      <c r="AE56" s="19">
        <f t="shared" si="88"/>
        <v>7.6722222222222178E-2</v>
      </c>
      <c r="AF56" s="6">
        <v>600</v>
      </c>
      <c r="AG56" s="4">
        <v>639.11</v>
      </c>
      <c r="AH56" s="19">
        <f t="shared" si="90"/>
        <v>6.5183333333333357E-2</v>
      </c>
      <c r="AI56" s="6">
        <v>210</v>
      </c>
      <c r="AJ56" s="4">
        <v>214.47</v>
      </c>
      <c r="AK56" s="19">
        <f t="shared" si="95"/>
        <v>2.1285714285714279E-2</v>
      </c>
      <c r="AL56" s="6">
        <v>100</v>
      </c>
      <c r="AM56" s="4">
        <v>101.4</v>
      </c>
      <c r="AN56" s="19">
        <f t="shared" si="96"/>
        <v>1.4000000000000058E-2</v>
      </c>
      <c r="AO56" s="6">
        <v>150</v>
      </c>
      <c r="AP56" s="4">
        <v>150.86000000000001</v>
      </c>
      <c r="AQ56" s="19">
        <f t="shared" si="97"/>
        <v>5.7333333333334244E-3</v>
      </c>
      <c r="AR56" s="6">
        <v>500</v>
      </c>
      <c r="AS56" s="4">
        <v>500</v>
      </c>
      <c r="AT56" s="19">
        <f t="shared" ref="AT56:AT61" si="99">(AS56-AR56)/AR56</f>
        <v>0</v>
      </c>
      <c r="AU56" s="6">
        <v>150</v>
      </c>
      <c r="AV56" s="4">
        <v>150.5</v>
      </c>
      <c r="AW56" s="19">
        <f t="shared" ref="AW56:AW61" si="100">(AV56-AU56)/AU56</f>
        <v>3.3333333333333335E-3</v>
      </c>
      <c r="AX56" s="6">
        <v>0</v>
      </c>
      <c r="AY56" s="4">
        <v>0</v>
      </c>
      <c r="AZ56" s="19">
        <v>0</v>
      </c>
      <c r="BA56" s="6">
        <v>0</v>
      </c>
      <c r="BB56" s="4">
        <v>0</v>
      </c>
      <c r="BC56" s="19">
        <v>0</v>
      </c>
      <c r="BD56" s="6">
        <v>0</v>
      </c>
      <c r="BE56" s="4">
        <v>0</v>
      </c>
      <c r="BF56" s="19">
        <v>0</v>
      </c>
      <c r="BG56" s="6">
        <v>0</v>
      </c>
      <c r="BH56" s="4">
        <v>0</v>
      </c>
      <c r="BI56" s="19">
        <v>0</v>
      </c>
      <c r="BJ56" s="6">
        <v>0</v>
      </c>
      <c r="BK56" s="4">
        <v>0</v>
      </c>
      <c r="BL56" s="19">
        <v>0</v>
      </c>
      <c r="BM56" s="6">
        <v>0</v>
      </c>
      <c r="BN56" s="4">
        <v>0</v>
      </c>
      <c r="BO56" s="19">
        <v>0</v>
      </c>
      <c r="BQ56" s="16">
        <f t="shared" si="8"/>
        <v>45991</v>
      </c>
      <c r="BR56" s="10">
        <f t="shared" si="52"/>
        <v>2778.14</v>
      </c>
      <c r="BS56" s="4">
        <f t="shared" si="98"/>
        <v>179.86999999999989</v>
      </c>
      <c r="BT56" s="10">
        <f t="shared" si="53"/>
        <v>3159.29</v>
      </c>
      <c r="BU56" s="4">
        <f t="shared" ref="BU56" si="101">BT56-BR56</f>
        <v>381.15000000000009</v>
      </c>
      <c r="BV56" s="20">
        <f t="shared" si="10"/>
        <v>0.13719610962730464</v>
      </c>
      <c r="BW56" s="4">
        <f>BU56-BU55</f>
        <v>-54.589999999999691</v>
      </c>
      <c r="BX56" s="17"/>
      <c r="BY56" s="16">
        <f t="shared" si="2"/>
        <v>45991</v>
      </c>
      <c r="BZ56" s="10">
        <f t="shared" si="3"/>
        <v>4910</v>
      </c>
      <c r="CA56" s="4">
        <f t="shared" si="78"/>
        <v>870</v>
      </c>
      <c r="CB56" s="10">
        <f t="shared" si="34"/>
        <v>5228.1799999999994</v>
      </c>
      <c r="CC56" s="4">
        <f t="shared" si="11"/>
        <v>318.17999999999938</v>
      </c>
      <c r="CD56" s="20">
        <f t="shared" si="81"/>
        <v>6.480244399185324E-2</v>
      </c>
      <c r="CE56" s="4">
        <f>CC56-CC55</f>
        <v>25.18999999999869</v>
      </c>
      <c r="CF56" s="17"/>
      <c r="CG56" s="16">
        <f t="shared" si="5"/>
        <v>45991</v>
      </c>
      <c r="CH56" s="10">
        <f t="shared" si="12"/>
        <v>7688.1399999999994</v>
      </c>
      <c r="CI56" s="10">
        <f t="shared" si="13"/>
        <v>1049.8699999999999</v>
      </c>
      <c r="CJ56" s="10">
        <f t="shared" si="14"/>
        <v>8387.4699999999993</v>
      </c>
      <c r="CK56" s="4">
        <f t="shared" si="15"/>
        <v>699.32999999999993</v>
      </c>
      <c r="CL56" s="20">
        <f t="shared" si="83"/>
        <v>9.0962183310917849E-2</v>
      </c>
      <c r="CM56" s="4">
        <f>CK56-CK55</f>
        <v>-29.399999999999636</v>
      </c>
      <c r="CO56" s="16">
        <f t="shared" si="54"/>
        <v>45991</v>
      </c>
      <c r="CP56" s="4">
        <f t="shared" si="59"/>
        <v>-36.220000000000027</v>
      </c>
      <c r="CQ56" s="4">
        <f t="shared" si="60"/>
        <v>2.7199999999999989</v>
      </c>
      <c r="CR56" s="4">
        <f t="shared" si="61"/>
        <v>-1.6800000000000068</v>
      </c>
      <c r="CS56" s="4">
        <f t="shared" si="62"/>
        <v>-6.5099999999999909</v>
      </c>
      <c r="CT56" s="4">
        <f t="shared" si="63"/>
        <v>-3.1999999999999886</v>
      </c>
      <c r="CU56" s="4">
        <f t="shared" si="64"/>
        <v>-9.6999999999999886</v>
      </c>
      <c r="CV56" s="4">
        <f t="shared" si="65"/>
        <v>5.2300000000000182</v>
      </c>
      <c r="CW56" s="4">
        <f t="shared" si="66"/>
        <v>8.3700000000000045</v>
      </c>
      <c r="CX56" s="4">
        <f t="shared" si="67"/>
        <v>0</v>
      </c>
      <c r="CY56" s="4">
        <f t="shared" si="68"/>
        <v>5.7799999999999727</v>
      </c>
      <c r="CZ56" s="4">
        <f t="shared" si="69"/>
        <v>1</v>
      </c>
      <c r="DA56" s="4">
        <f t="shared" si="70"/>
        <v>2.6800000000000068</v>
      </c>
      <c r="DB56" s="4">
        <f t="shared" si="71"/>
        <v>0.77000000000000313</v>
      </c>
      <c r="DC56" s="4">
        <f t="shared" si="72"/>
        <v>0.86000000000001364</v>
      </c>
      <c r="DD56" s="4">
        <f t="shared" si="73"/>
        <v>0</v>
      </c>
      <c r="DE56" s="4">
        <f t="shared" si="74"/>
        <v>0.5</v>
      </c>
      <c r="DF56" s="10">
        <f t="shared" si="75"/>
        <v>0</v>
      </c>
      <c r="DG56" s="10">
        <f t="shared" si="35"/>
        <v>0</v>
      </c>
      <c r="DH56" s="4">
        <f t="shared" si="36"/>
        <v>0</v>
      </c>
      <c r="DI56" s="4">
        <f t="shared" si="37"/>
        <v>0</v>
      </c>
      <c r="DJ56" s="4">
        <f t="shared" si="38"/>
        <v>0</v>
      </c>
      <c r="DK56" s="4">
        <f t="shared" si="39"/>
        <v>0</v>
      </c>
    </row>
    <row r="57" spans="1:115" x14ac:dyDescent="0.25">
      <c r="A57" s="12">
        <v>46022</v>
      </c>
      <c r="B57" s="6">
        <v>1207</v>
      </c>
      <c r="C57" s="2">
        <v>1381.27</v>
      </c>
      <c r="D57" s="18">
        <f t="shared" si="7"/>
        <v>0.14438276719138357</v>
      </c>
      <c r="E57" s="6">
        <v>356</v>
      </c>
      <c r="F57" s="4">
        <v>379.49</v>
      </c>
      <c r="G57" s="18">
        <f t="shared" si="76"/>
        <v>6.598314606741576E-2</v>
      </c>
      <c r="H57" s="6">
        <v>270.48</v>
      </c>
      <c r="I57" s="4">
        <v>312.13</v>
      </c>
      <c r="J57" s="19">
        <f t="shared" si="89"/>
        <v>0.15398550724637672</v>
      </c>
      <c r="K57" s="6">
        <v>499.54</v>
      </c>
      <c r="L57" s="4">
        <v>526.52</v>
      </c>
      <c r="M57" s="18">
        <f t="shared" ref="M57" si="102">(L57-K57)/K57</f>
        <v>5.4009688913800619E-2</v>
      </c>
      <c r="N57" s="6">
        <v>343.15</v>
      </c>
      <c r="O57" s="4">
        <v>371.26</v>
      </c>
      <c r="P57" s="18">
        <f t="shared" si="55"/>
        <v>8.1917528777502593E-2</v>
      </c>
      <c r="Q57" s="6">
        <v>350</v>
      </c>
      <c r="R57" s="6">
        <v>455.13</v>
      </c>
      <c r="S57" s="18">
        <f t="shared" si="51"/>
        <v>0.30037142857142857</v>
      </c>
      <c r="T57" s="6">
        <v>1000</v>
      </c>
      <c r="U57" s="4">
        <v>1049.25</v>
      </c>
      <c r="V57" s="19">
        <f t="shared" ref="V57" si="103">(U57-T57)/T57</f>
        <v>4.9250000000000002E-2</v>
      </c>
      <c r="W57" s="6">
        <v>900</v>
      </c>
      <c r="X57" s="4">
        <v>990.78</v>
      </c>
      <c r="Y57" s="19">
        <f t="shared" ref="Y57" si="104">(X57-W57)/W57</f>
        <v>0.10086666666666663</v>
      </c>
      <c r="Z57" s="6">
        <v>520</v>
      </c>
      <c r="AA57" s="4">
        <v>604.83000000000004</v>
      </c>
      <c r="AB57" s="19">
        <f t="shared" si="87"/>
        <v>0.16313461538461546</v>
      </c>
      <c r="AC57" s="6">
        <v>1000</v>
      </c>
      <c r="AD57" s="4">
        <v>1094</v>
      </c>
      <c r="AE57" s="19">
        <f t="shared" ref="AE57" si="105">(AD57-AC57)/AC57</f>
        <v>9.4E-2</v>
      </c>
      <c r="AF57" s="6">
        <v>800</v>
      </c>
      <c r="AG57" s="4">
        <v>849.62</v>
      </c>
      <c r="AH57" s="19">
        <f t="shared" si="90"/>
        <v>6.2025000000000004E-2</v>
      </c>
      <c r="AI57" s="6">
        <v>240</v>
      </c>
      <c r="AJ57" s="4">
        <v>246.8</v>
      </c>
      <c r="AK57" s="19">
        <f t="shared" si="95"/>
        <v>2.833333333333338E-2</v>
      </c>
      <c r="AL57" s="6">
        <v>120</v>
      </c>
      <c r="AM57" s="4">
        <v>122.52</v>
      </c>
      <c r="AN57" s="19">
        <f t="shared" si="96"/>
        <v>2.0999999999999967E-2</v>
      </c>
      <c r="AO57" s="6">
        <v>200</v>
      </c>
      <c r="AP57" s="4">
        <v>202.13</v>
      </c>
      <c r="AQ57" s="19">
        <f t="shared" si="97"/>
        <v>1.0649999999999977E-2</v>
      </c>
      <c r="AR57" s="6">
        <v>500</v>
      </c>
      <c r="AS57" s="4">
        <v>500</v>
      </c>
      <c r="AT57" s="19">
        <f t="shared" si="99"/>
        <v>0</v>
      </c>
      <c r="AU57" s="6">
        <v>170</v>
      </c>
      <c r="AV57" s="4">
        <v>171.49</v>
      </c>
      <c r="AW57" s="19">
        <f t="shared" si="100"/>
        <v>8.7647058823529939E-3</v>
      </c>
      <c r="AX57" s="6">
        <v>0</v>
      </c>
      <c r="AY57" s="4">
        <v>0</v>
      </c>
      <c r="AZ57" s="19">
        <v>0</v>
      </c>
      <c r="BA57" s="6">
        <v>0</v>
      </c>
      <c r="BB57" s="4">
        <v>0</v>
      </c>
      <c r="BC57" s="19">
        <v>0</v>
      </c>
      <c r="BD57" s="6">
        <v>0</v>
      </c>
      <c r="BE57" s="4">
        <v>0</v>
      </c>
      <c r="BF57" s="19">
        <v>0</v>
      </c>
      <c r="BG57" s="6">
        <v>0</v>
      </c>
      <c r="BH57" s="4">
        <v>0</v>
      </c>
      <c r="BI57" s="19">
        <v>0</v>
      </c>
      <c r="BJ57" s="6">
        <v>0</v>
      </c>
      <c r="BK57" s="4">
        <v>0</v>
      </c>
      <c r="BL57" s="19">
        <v>0</v>
      </c>
      <c r="BM57" s="6">
        <v>0</v>
      </c>
      <c r="BN57" s="4">
        <v>0</v>
      </c>
      <c r="BO57" s="19">
        <v>0</v>
      </c>
      <c r="BQ57" s="16">
        <f t="shared" si="8"/>
        <v>46022</v>
      </c>
      <c r="BR57" s="10">
        <f t="shared" si="52"/>
        <v>3026.17</v>
      </c>
      <c r="BS57" s="4">
        <f t="shared" si="98"/>
        <v>248.0300000000002</v>
      </c>
      <c r="BT57" s="10">
        <f t="shared" si="53"/>
        <v>3425.8</v>
      </c>
      <c r="BU57" s="4">
        <f t="shared" ref="BU57" si="106">BT57-BR57</f>
        <v>399.63000000000011</v>
      </c>
      <c r="BV57" s="20">
        <f t="shared" si="10"/>
        <v>0.13205801392519259</v>
      </c>
      <c r="BW57" s="4">
        <f t="shared" ref="BW57" si="107">BU57-BU56</f>
        <v>18.480000000000018</v>
      </c>
      <c r="BX57" s="17"/>
      <c r="BY57" s="16">
        <f t="shared" si="2"/>
        <v>46022</v>
      </c>
      <c r="BZ57" s="10">
        <f t="shared" si="3"/>
        <v>5450</v>
      </c>
      <c r="CA57" s="4">
        <f t="shared" si="78"/>
        <v>540</v>
      </c>
      <c r="CB57" s="10">
        <f t="shared" si="34"/>
        <v>5831.42</v>
      </c>
      <c r="CC57" s="4">
        <f t="shared" si="11"/>
        <v>381.42000000000007</v>
      </c>
      <c r="CD57" s="20">
        <f t="shared" si="81"/>
        <v>6.9985321100917444E-2</v>
      </c>
      <c r="CE57" s="4">
        <f t="shared" ref="CE57:CE61" si="108">CC57-CC56</f>
        <v>63.240000000000691</v>
      </c>
      <c r="CF57" s="17"/>
      <c r="CG57" s="16">
        <f t="shared" si="5"/>
        <v>46022</v>
      </c>
      <c r="CH57" s="10">
        <f t="shared" si="12"/>
        <v>8476.17</v>
      </c>
      <c r="CI57" s="10">
        <f t="shared" si="13"/>
        <v>788.0300000000002</v>
      </c>
      <c r="CJ57" s="10">
        <f t="shared" si="14"/>
        <v>9257.2200000000012</v>
      </c>
      <c r="CK57" s="4">
        <f t="shared" si="15"/>
        <v>781.05000000000109</v>
      </c>
      <c r="CL57" s="20">
        <f t="shared" si="83"/>
        <v>9.2146570915873693E-2</v>
      </c>
      <c r="CM57" s="4">
        <f t="shared" ref="CM57:CM61" si="109">CK57-CK56</f>
        <v>81.720000000001164</v>
      </c>
      <c r="CO57" s="16">
        <f t="shared" si="54"/>
        <v>46022</v>
      </c>
      <c r="CP57" s="4">
        <f t="shared" si="59"/>
        <v>19.430000000000064</v>
      </c>
      <c r="CQ57" s="4">
        <f t="shared" si="60"/>
        <v>3.2300000000000182</v>
      </c>
      <c r="CR57" s="4">
        <f t="shared" si="61"/>
        <v>1.1099999999999852</v>
      </c>
      <c r="CS57" s="4">
        <f t="shared" si="62"/>
        <v>-1.3400000000000318</v>
      </c>
      <c r="CT57" s="4">
        <f t="shared" si="63"/>
        <v>-0.97000000000002728</v>
      </c>
      <c r="CU57" s="4">
        <f t="shared" si="64"/>
        <v>-2.9800000000000182</v>
      </c>
      <c r="CV57" s="4">
        <f t="shared" si="65"/>
        <v>8.4700000000000273</v>
      </c>
      <c r="CW57" s="4">
        <f t="shared" si="66"/>
        <v>12.819999999999936</v>
      </c>
      <c r="CX57" s="4">
        <f t="shared" si="67"/>
        <v>0.7800000000000864</v>
      </c>
      <c r="CY57" s="4">
        <f t="shared" si="68"/>
        <v>24.950000000000045</v>
      </c>
      <c r="CZ57" s="4">
        <f t="shared" si="69"/>
        <v>10.509999999999991</v>
      </c>
      <c r="DA57" s="4">
        <f t="shared" si="70"/>
        <v>2.3300000000000125</v>
      </c>
      <c r="DB57" s="4">
        <f t="shared" si="71"/>
        <v>1.1199999999999903</v>
      </c>
      <c r="DC57" s="4">
        <f t="shared" si="72"/>
        <v>1.2699999999999818</v>
      </c>
      <c r="DD57" s="4">
        <f t="shared" si="73"/>
        <v>0</v>
      </c>
      <c r="DE57" s="4">
        <f t="shared" si="74"/>
        <v>0.99000000000000909</v>
      </c>
      <c r="DF57" s="10">
        <f t="shared" si="75"/>
        <v>0</v>
      </c>
      <c r="DG57" s="10">
        <f t="shared" si="35"/>
        <v>0</v>
      </c>
      <c r="DH57" s="4">
        <f t="shared" si="36"/>
        <v>0</v>
      </c>
      <c r="DI57" s="4">
        <f t="shared" si="37"/>
        <v>0</v>
      </c>
      <c r="DJ57" s="4">
        <f t="shared" si="38"/>
        <v>0</v>
      </c>
      <c r="DK57" s="4">
        <f t="shared" si="39"/>
        <v>0</v>
      </c>
    </row>
    <row r="58" spans="1:115" x14ac:dyDescent="0.25">
      <c r="A58" s="12">
        <v>46053</v>
      </c>
      <c r="B58" s="6">
        <v>1267</v>
      </c>
      <c r="C58" s="2">
        <v>1474.93</v>
      </c>
      <c r="D58" s="18">
        <f t="shared" ref="D58" si="110">(C58-B58)/B58</f>
        <v>0.16411207576953438</v>
      </c>
      <c r="E58" s="6">
        <v>395.97</v>
      </c>
      <c r="F58" s="4">
        <v>430.76</v>
      </c>
      <c r="G58" s="18">
        <f t="shared" ref="G58" si="111">(F58-E58)/E58</f>
        <v>8.7860191428643486E-2</v>
      </c>
      <c r="H58" s="6">
        <v>290.48</v>
      </c>
      <c r="I58" s="4">
        <v>334.98</v>
      </c>
      <c r="J58" s="19">
        <f t="shared" ref="J58" si="112">(I58-H58)/H58</f>
        <v>0.15319471220049571</v>
      </c>
      <c r="K58" s="6">
        <v>499.54</v>
      </c>
      <c r="L58" s="4">
        <v>525.69000000000005</v>
      </c>
      <c r="M58" s="18">
        <f t="shared" ref="M58" si="113">(L58-K58)/K58</f>
        <v>5.2348160307482954E-2</v>
      </c>
      <c r="N58" s="6">
        <v>358.15</v>
      </c>
      <c r="O58" s="4">
        <v>386.29</v>
      </c>
      <c r="P58" s="18">
        <f t="shared" ref="P58" si="114">(O58-N58)/N58</f>
        <v>7.857043138349866E-2</v>
      </c>
      <c r="Q58" s="6">
        <v>350</v>
      </c>
      <c r="R58" s="6">
        <v>454.05</v>
      </c>
      <c r="S58" s="18">
        <f t="shared" ref="S58" si="115">(R58-Q58)/Q58</f>
        <v>0.29728571428571432</v>
      </c>
      <c r="T58" s="6">
        <v>1000</v>
      </c>
      <c r="U58" s="4">
        <v>1058.32</v>
      </c>
      <c r="V58" s="19">
        <f t="shared" ref="V58" si="116">(U58-T58)/T58</f>
        <v>5.8319999999999934E-2</v>
      </c>
      <c r="W58" s="6">
        <v>900</v>
      </c>
      <c r="X58" s="4">
        <v>1001.92</v>
      </c>
      <c r="Y58" s="19">
        <f t="shared" ref="Y58" si="117">(X58-W58)/W58</f>
        <v>0.1132444444444444</v>
      </c>
      <c r="Z58" s="6">
        <v>520</v>
      </c>
      <c r="AA58" s="4">
        <v>604.83000000000004</v>
      </c>
      <c r="AB58" s="19">
        <f t="shared" si="87"/>
        <v>0.16313461538461546</v>
      </c>
      <c r="AC58" s="6">
        <v>1000</v>
      </c>
      <c r="AD58" s="4">
        <v>1102.32</v>
      </c>
      <c r="AE58" s="19">
        <f t="shared" ref="AE58" si="118">(AD58-AC58)/AC58</f>
        <v>0.10231999999999994</v>
      </c>
      <c r="AF58" s="6">
        <v>900</v>
      </c>
      <c r="AG58" s="4">
        <v>956.77</v>
      </c>
      <c r="AH58" s="19">
        <f t="shared" ref="AH58" si="119">(AG58-AF58)/AF58</f>
        <v>6.307777777777776E-2</v>
      </c>
      <c r="AI58" s="6">
        <v>290</v>
      </c>
      <c r="AJ58" s="4">
        <v>299</v>
      </c>
      <c r="AK58" s="19">
        <f t="shared" ref="AK58" si="120">(AJ58-AI58)/AI58</f>
        <v>3.1034482758620689E-2</v>
      </c>
      <c r="AL58" s="6">
        <v>140</v>
      </c>
      <c r="AM58" s="4">
        <v>143.83000000000001</v>
      </c>
      <c r="AN58" s="19">
        <f t="shared" ref="AN58" si="121">(AM58-AL58)/AL58</f>
        <v>2.7357142857142948E-2</v>
      </c>
      <c r="AO58" s="6">
        <v>210</v>
      </c>
      <c r="AP58" s="4">
        <v>213.88</v>
      </c>
      <c r="AQ58" s="19">
        <f t="shared" si="97"/>
        <v>1.8476190476190455E-2</v>
      </c>
      <c r="AR58" s="6">
        <v>600</v>
      </c>
      <c r="AS58" s="4">
        <v>607.58000000000004</v>
      </c>
      <c r="AT58" s="19">
        <f t="shared" si="99"/>
        <v>1.2633333333333401E-2</v>
      </c>
      <c r="AU58" s="6">
        <v>190</v>
      </c>
      <c r="AV58" s="4">
        <v>193.64</v>
      </c>
      <c r="AW58" s="19">
        <f t="shared" si="100"/>
        <v>1.9157894736842034E-2</v>
      </c>
      <c r="AX58" s="6">
        <v>0</v>
      </c>
      <c r="AY58" s="4">
        <v>0</v>
      </c>
      <c r="AZ58" s="19">
        <v>0</v>
      </c>
      <c r="BA58" s="6">
        <v>0</v>
      </c>
      <c r="BB58" s="4">
        <v>0</v>
      </c>
      <c r="BC58" s="19">
        <v>0</v>
      </c>
      <c r="BD58" s="6">
        <v>0</v>
      </c>
      <c r="BE58" s="4">
        <v>0</v>
      </c>
      <c r="BF58" s="19">
        <v>0</v>
      </c>
      <c r="BG58" s="6">
        <v>0</v>
      </c>
      <c r="BH58" s="4">
        <v>0</v>
      </c>
      <c r="BI58" s="19">
        <v>0</v>
      </c>
      <c r="BJ58" s="6">
        <v>0</v>
      </c>
      <c r="BK58" s="4">
        <v>0</v>
      </c>
      <c r="BL58" s="19">
        <v>0</v>
      </c>
      <c r="BM58" s="6">
        <v>0</v>
      </c>
      <c r="BN58" s="4">
        <v>0</v>
      </c>
      <c r="BO58" s="19">
        <v>0</v>
      </c>
      <c r="BQ58" s="16">
        <f t="shared" si="8"/>
        <v>46053</v>
      </c>
      <c r="BR58" s="10">
        <f t="shared" si="52"/>
        <v>3161.1400000000003</v>
      </c>
      <c r="BS58" s="4">
        <f t="shared" si="98"/>
        <v>134.97000000000025</v>
      </c>
      <c r="BT58" s="10">
        <f t="shared" si="53"/>
        <v>3606.7000000000003</v>
      </c>
      <c r="BU58" s="4">
        <f t="shared" ref="BU58" si="122">BT58-BR58</f>
        <v>445.55999999999995</v>
      </c>
      <c r="BV58" s="20">
        <f t="shared" ref="BV58" si="123">BU58/BR58</f>
        <v>0.14094915125555968</v>
      </c>
      <c r="BW58" s="4">
        <f t="shared" ref="BW58" si="124">BU58-BU57</f>
        <v>45.929999999999836</v>
      </c>
      <c r="BX58" s="17"/>
      <c r="BY58" s="16">
        <f t="shared" si="2"/>
        <v>46053</v>
      </c>
      <c r="BZ58" s="10">
        <f t="shared" si="3"/>
        <v>5750</v>
      </c>
      <c r="CA58" s="4">
        <f t="shared" si="78"/>
        <v>300</v>
      </c>
      <c r="CB58" s="10">
        <f t="shared" si="34"/>
        <v>6182.09</v>
      </c>
      <c r="CC58" s="4">
        <f t="shared" si="11"/>
        <v>432.09000000000015</v>
      </c>
      <c r="CD58" s="20">
        <f t="shared" si="81"/>
        <v>7.5146086956521765E-2</v>
      </c>
      <c r="CE58" s="4">
        <f t="shared" si="108"/>
        <v>50.670000000000073</v>
      </c>
      <c r="CF58" s="17"/>
      <c r="CG58" s="16">
        <f t="shared" si="5"/>
        <v>46053</v>
      </c>
      <c r="CH58" s="10">
        <f t="shared" si="12"/>
        <v>8911.14</v>
      </c>
      <c r="CI58" s="10">
        <f t="shared" si="13"/>
        <v>434.97000000000025</v>
      </c>
      <c r="CJ58" s="10">
        <f t="shared" si="14"/>
        <v>9788.7900000000009</v>
      </c>
      <c r="CK58" s="4">
        <f t="shared" si="15"/>
        <v>877.65000000000146</v>
      </c>
      <c r="CL58" s="20">
        <f t="shared" si="83"/>
        <v>9.8489082204970574E-2</v>
      </c>
      <c r="CM58" s="4">
        <f t="shared" si="109"/>
        <v>96.600000000000364</v>
      </c>
      <c r="CO58" s="16">
        <f t="shared" si="54"/>
        <v>46053</v>
      </c>
      <c r="CP58" s="4">
        <f t="shared" si="59"/>
        <v>33.660000000000082</v>
      </c>
      <c r="CQ58" s="4">
        <f t="shared" si="60"/>
        <v>11.299999999999955</v>
      </c>
      <c r="CR58" s="4">
        <f t="shared" si="61"/>
        <v>2.8500000000000227</v>
      </c>
      <c r="CS58" s="4">
        <f t="shared" si="62"/>
        <v>-0.82999999999992724</v>
      </c>
      <c r="CT58" s="4">
        <f t="shared" si="63"/>
        <v>3.0000000000029559E-2</v>
      </c>
      <c r="CU58" s="4">
        <f t="shared" si="64"/>
        <v>-1.0799999999999841</v>
      </c>
      <c r="CV58" s="4">
        <f t="shared" si="65"/>
        <v>9.0699999999999363</v>
      </c>
      <c r="CW58" s="4">
        <f t="shared" si="66"/>
        <v>11.139999999999986</v>
      </c>
      <c r="CX58" s="4">
        <f t="shared" si="67"/>
        <v>0</v>
      </c>
      <c r="CY58" s="4">
        <f t="shared" si="68"/>
        <v>8.3199999999999363</v>
      </c>
      <c r="CZ58" s="4">
        <f t="shared" si="69"/>
        <v>7.1499999999999773</v>
      </c>
      <c r="DA58" s="4">
        <f t="shared" si="70"/>
        <v>2.1999999999999886</v>
      </c>
      <c r="DB58" s="4">
        <f t="shared" si="71"/>
        <v>1.3100000000000165</v>
      </c>
      <c r="DC58" s="4">
        <f t="shared" si="72"/>
        <v>1.75</v>
      </c>
      <c r="DD58" s="4">
        <f t="shared" si="73"/>
        <v>7.5800000000000409</v>
      </c>
      <c r="DE58" s="4">
        <f t="shared" si="74"/>
        <v>2.1499999999999773</v>
      </c>
      <c r="DF58" s="10">
        <f t="shared" si="75"/>
        <v>0</v>
      </c>
      <c r="DG58" s="10">
        <f t="shared" si="35"/>
        <v>0</v>
      </c>
      <c r="DH58" s="4">
        <f t="shared" si="36"/>
        <v>0</v>
      </c>
      <c r="DI58" s="4">
        <f t="shared" si="37"/>
        <v>0</v>
      </c>
      <c r="DJ58" s="4">
        <f t="shared" si="38"/>
        <v>0</v>
      </c>
      <c r="DK58" s="4">
        <f t="shared" si="39"/>
        <v>0</v>
      </c>
    </row>
    <row r="59" spans="1:115" x14ac:dyDescent="0.25">
      <c r="A59" s="12">
        <v>46081</v>
      </c>
      <c r="B59" s="6">
        <v>1287</v>
      </c>
      <c r="C59" s="2">
        <v>1513.65</v>
      </c>
      <c r="D59" s="18">
        <f t="shared" ref="D59" si="125">(C59-B59)/B59</f>
        <v>0.17610722610722618</v>
      </c>
      <c r="E59" s="6">
        <v>435.95</v>
      </c>
      <c r="F59" s="4">
        <v>484.05</v>
      </c>
      <c r="G59" s="18">
        <f t="shared" ref="G59" si="126">(F59-E59)/E59</f>
        <v>0.11033375387085681</v>
      </c>
      <c r="H59" s="6">
        <v>310.48</v>
      </c>
      <c r="I59" s="4">
        <v>362.82</v>
      </c>
      <c r="J59" s="19">
        <f t="shared" ref="J59" si="127">(I59-H59)/H59</f>
        <v>0.16857768616335986</v>
      </c>
      <c r="K59" s="6">
        <v>619.54</v>
      </c>
      <c r="L59" s="4">
        <v>650.45000000000005</v>
      </c>
      <c r="M59" s="18">
        <f t="shared" ref="M59" si="128">(L59-K59)/K59</f>
        <v>4.9891855247441788E-2</v>
      </c>
      <c r="N59" s="6">
        <v>373.15</v>
      </c>
      <c r="O59" s="4">
        <v>403.74</v>
      </c>
      <c r="P59" s="18">
        <f t="shared" ref="P59" si="129">(O59-N59)/N59</f>
        <v>8.1977756934208848E-2</v>
      </c>
      <c r="Q59" s="6">
        <v>350</v>
      </c>
      <c r="R59" s="6">
        <v>435.31</v>
      </c>
      <c r="S59" s="18">
        <f t="shared" ref="S59" si="130">(R59-Q59)/Q59</f>
        <v>0.24374285714285715</v>
      </c>
      <c r="T59" s="6">
        <v>1020</v>
      </c>
      <c r="U59" s="4">
        <v>1082.54</v>
      </c>
      <c r="V59" s="19">
        <f t="shared" ref="V59" si="131">(U59-T59)/T59</f>
        <v>6.1313725490196043E-2</v>
      </c>
      <c r="W59" s="6">
        <v>950</v>
      </c>
      <c r="X59" s="4">
        <v>1061.76</v>
      </c>
      <c r="Y59" s="19">
        <f t="shared" ref="Y59" si="132">(X59-W59)/W59</f>
        <v>0.11764210526315788</v>
      </c>
      <c r="Z59" s="6">
        <v>520</v>
      </c>
      <c r="AA59" s="4">
        <v>604.83000000000004</v>
      </c>
      <c r="AB59" s="19">
        <f t="shared" si="87"/>
        <v>0.16313461538461546</v>
      </c>
      <c r="AC59" s="6">
        <v>1000</v>
      </c>
      <c r="AD59" s="4">
        <v>1110.46</v>
      </c>
      <c r="AE59" s="19">
        <f t="shared" ref="AE59" si="133">(AD59-AC59)/AC59</f>
        <v>0.11046000000000003</v>
      </c>
      <c r="AF59" s="6">
        <v>900</v>
      </c>
      <c r="AG59" s="4">
        <v>961.24</v>
      </c>
      <c r="AH59" s="19">
        <f t="shared" ref="AH59" si="134">(AG59-AF59)/AF59</f>
        <v>6.8044444444444449E-2</v>
      </c>
      <c r="AI59" s="6">
        <v>290</v>
      </c>
      <c r="AJ59" s="4">
        <v>301.33</v>
      </c>
      <c r="AK59" s="19">
        <f t="shared" ref="AK59" si="135">(AJ59-AI59)/AI59</f>
        <v>3.9068965517241323E-2</v>
      </c>
      <c r="AL59" s="6">
        <v>160</v>
      </c>
      <c r="AM59" s="4">
        <v>165.2</v>
      </c>
      <c r="AN59" s="19">
        <f t="shared" ref="AN59" si="136">(AM59-AL59)/AL59</f>
        <v>3.2499999999999932E-2</v>
      </c>
      <c r="AO59" s="6">
        <v>240</v>
      </c>
      <c r="AP59" s="4">
        <v>245.74</v>
      </c>
      <c r="AQ59" s="19">
        <f t="shared" si="97"/>
        <v>2.3916666666666704E-2</v>
      </c>
      <c r="AR59" s="6">
        <v>600</v>
      </c>
      <c r="AS59" s="4">
        <v>607.58000000000004</v>
      </c>
      <c r="AT59" s="19">
        <f t="shared" si="99"/>
        <v>1.2633333333333401E-2</v>
      </c>
      <c r="AU59" s="6">
        <v>210</v>
      </c>
      <c r="AV59" s="4">
        <v>215.26</v>
      </c>
      <c r="AW59" s="19">
        <f t="shared" si="100"/>
        <v>2.5047619047619003E-2</v>
      </c>
      <c r="AX59" s="6">
        <v>0</v>
      </c>
      <c r="AY59" s="4">
        <v>0</v>
      </c>
      <c r="AZ59" s="19">
        <v>0</v>
      </c>
      <c r="BA59" s="6">
        <v>0</v>
      </c>
      <c r="BB59" s="4">
        <v>0</v>
      </c>
      <c r="BC59" s="19">
        <v>0</v>
      </c>
      <c r="BD59" s="6">
        <v>0</v>
      </c>
      <c r="BE59" s="4">
        <v>0</v>
      </c>
      <c r="BF59" s="19">
        <v>0</v>
      </c>
      <c r="BG59" s="6">
        <v>0</v>
      </c>
      <c r="BH59" s="4">
        <v>0</v>
      </c>
      <c r="BI59" s="19">
        <v>0</v>
      </c>
      <c r="BJ59" s="6">
        <v>0</v>
      </c>
      <c r="BK59" s="4">
        <v>0</v>
      </c>
      <c r="BL59" s="19">
        <v>0</v>
      </c>
      <c r="BM59" s="6">
        <v>0</v>
      </c>
      <c r="BN59" s="4">
        <v>0</v>
      </c>
      <c r="BO59" s="19">
        <v>0</v>
      </c>
      <c r="BQ59" s="16">
        <f t="shared" si="8"/>
        <v>46081</v>
      </c>
      <c r="BR59" s="10">
        <f t="shared" si="52"/>
        <v>3376.1200000000003</v>
      </c>
      <c r="BS59" s="4">
        <f t="shared" si="98"/>
        <v>214.98000000000002</v>
      </c>
      <c r="BT59" s="10">
        <f t="shared" si="53"/>
        <v>3850.02</v>
      </c>
      <c r="BU59" s="4">
        <f t="shared" ref="BU59" si="137">BT59-BR59</f>
        <v>473.89999999999964</v>
      </c>
      <c r="BV59" s="20">
        <f t="shared" ref="BV59" si="138">BU59/BR59</f>
        <v>0.14036823335663412</v>
      </c>
      <c r="BW59" s="4">
        <f t="shared" ref="BW59" si="139">BU59-BU58</f>
        <v>28.339999999999691</v>
      </c>
      <c r="BX59" s="17"/>
      <c r="BY59" s="16">
        <f t="shared" si="2"/>
        <v>46081</v>
      </c>
      <c r="BZ59" s="10">
        <f t="shared" si="3"/>
        <v>5890</v>
      </c>
      <c r="CA59" s="4">
        <f t="shared" si="78"/>
        <v>140</v>
      </c>
      <c r="CB59" s="10">
        <f t="shared" si="34"/>
        <v>6355.94</v>
      </c>
      <c r="CC59" s="4">
        <f t="shared" si="11"/>
        <v>465.9399999999996</v>
      </c>
      <c r="CD59" s="20">
        <f t="shared" si="81"/>
        <v>7.9106960950763944E-2</v>
      </c>
      <c r="CE59" s="4">
        <f t="shared" si="108"/>
        <v>33.849999999999454</v>
      </c>
      <c r="CF59" s="17"/>
      <c r="CG59" s="16">
        <f t="shared" si="5"/>
        <v>46081</v>
      </c>
      <c r="CH59" s="10">
        <f t="shared" si="12"/>
        <v>9266.1200000000008</v>
      </c>
      <c r="CI59" s="10">
        <f t="shared" si="13"/>
        <v>354.98</v>
      </c>
      <c r="CJ59" s="10">
        <f t="shared" si="14"/>
        <v>10205.959999999999</v>
      </c>
      <c r="CK59" s="4">
        <f t="shared" si="15"/>
        <v>939.83999999999833</v>
      </c>
      <c r="CL59" s="20">
        <f t="shared" si="83"/>
        <v>0.10142756623052564</v>
      </c>
      <c r="CM59" s="4">
        <f t="shared" si="109"/>
        <v>62.189999999996871</v>
      </c>
      <c r="CO59" s="16">
        <f t="shared" si="54"/>
        <v>46081</v>
      </c>
      <c r="CP59" s="4">
        <f t="shared" si="59"/>
        <v>18.720000000000027</v>
      </c>
      <c r="CQ59" s="4">
        <f t="shared" si="60"/>
        <v>13.310000000000059</v>
      </c>
      <c r="CR59" s="4">
        <f t="shared" si="61"/>
        <v>7.839999999999975</v>
      </c>
      <c r="CS59" s="4">
        <f t="shared" si="62"/>
        <v>4.7600000000000477</v>
      </c>
      <c r="CT59" s="4">
        <f t="shared" si="63"/>
        <v>2.4499999999999886</v>
      </c>
      <c r="CU59" s="4">
        <f t="shared" si="64"/>
        <v>-18.740000000000009</v>
      </c>
      <c r="CV59" s="4">
        <f t="shared" si="65"/>
        <v>4.2200000000000273</v>
      </c>
      <c r="CW59" s="4">
        <f t="shared" si="66"/>
        <v>9.8400000000000318</v>
      </c>
      <c r="CX59" s="4">
        <f t="shared" si="67"/>
        <v>0</v>
      </c>
      <c r="CY59" s="4">
        <f t="shared" si="68"/>
        <v>8.1400000000001</v>
      </c>
      <c r="CZ59" s="4">
        <f t="shared" si="69"/>
        <v>4.4700000000000273</v>
      </c>
      <c r="DA59" s="4">
        <f t="shared" si="70"/>
        <v>2.3299999999999841</v>
      </c>
      <c r="DB59" s="4">
        <f t="shared" si="71"/>
        <v>1.3699999999999761</v>
      </c>
      <c r="DC59" s="4">
        <f t="shared" si="72"/>
        <v>1.8600000000000136</v>
      </c>
      <c r="DD59" s="4">
        <f t="shared" si="73"/>
        <v>0</v>
      </c>
      <c r="DE59" s="4">
        <f t="shared" si="74"/>
        <v>1.6200000000000045</v>
      </c>
      <c r="DF59" s="10">
        <f t="shared" si="75"/>
        <v>0</v>
      </c>
      <c r="DG59" s="10">
        <f t="shared" si="35"/>
        <v>0</v>
      </c>
      <c r="DH59" s="4">
        <f t="shared" si="36"/>
        <v>0</v>
      </c>
      <c r="DI59" s="4">
        <f t="shared" si="37"/>
        <v>0</v>
      </c>
      <c r="DJ59" s="4">
        <f t="shared" si="38"/>
        <v>0</v>
      </c>
      <c r="DK59" s="4">
        <f t="shared" si="39"/>
        <v>0</v>
      </c>
    </row>
    <row r="60" spans="1:115" x14ac:dyDescent="0.25">
      <c r="A60" s="12">
        <v>46112</v>
      </c>
      <c r="B60" s="6">
        <v>1347</v>
      </c>
      <c r="C60" s="2">
        <v>1458.89</v>
      </c>
      <c r="D60" s="18">
        <f t="shared" ref="D60" si="140">(C60-B60)/B60</f>
        <v>8.3066072754268819E-2</v>
      </c>
      <c r="E60" s="6">
        <v>475.9</v>
      </c>
      <c r="F60" s="4">
        <v>487.71</v>
      </c>
      <c r="G60" s="18">
        <f t="shared" ref="G60" si="141">(F60-E60)/E60</f>
        <v>2.4816137844084898E-2</v>
      </c>
      <c r="H60" s="6">
        <v>330.48</v>
      </c>
      <c r="I60" s="4">
        <v>356.94</v>
      </c>
      <c r="J60" s="19">
        <f t="shared" ref="J60" si="142">(I60-H60)/H60</f>
        <v>8.0065359477124121E-2</v>
      </c>
      <c r="K60" s="6">
        <v>749.54</v>
      </c>
      <c r="L60" s="4">
        <v>765.02</v>
      </c>
      <c r="M60" s="18">
        <f t="shared" ref="M60" si="143">(L60-K60)/K60</f>
        <v>2.065266696907439E-2</v>
      </c>
      <c r="N60" s="6">
        <v>388.15</v>
      </c>
      <c r="O60" s="4">
        <v>411.09</v>
      </c>
      <c r="P60" s="18">
        <f t="shared" ref="P60" si="144">(O60-N60)/N60</f>
        <v>5.9100863068401392E-2</v>
      </c>
      <c r="Q60" s="6">
        <v>350</v>
      </c>
      <c r="R60" s="6">
        <v>420.18</v>
      </c>
      <c r="S60" s="18">
        <f t="shared" ref="S60" si="145">(R60-Q60)/Q60</f>
        <v>0.20051428571428573</v>
      </c>
      <c r="T60" s="6">
        <v>1020</v>
      </c>
      <c r="U60" s="4">
        <v>1092.69</v>
      </c>
      <c r="V60" s="19">
        <f t="shared" ref="V60" si="146">(U60-T60)/T60</f>
        <v>7.1264705882352994E-2</v>
      </c>
      <c r="W60" s="6">
        <v>950</v>
      </c>
      <c r="X60" s="4">
        <v>1070.74</v>
      </c>
      <c r="Y60" s="19">
        <f t="shared" ref="Y60" si="147">(X60-W60)/W60</f>
        <v>0.12709473684210526</v>
      </c>
      <c r="Z60" s="6">
        <v>520</v>
      </c>
      <c r="AA60" s="4">
        <v>604.86</v>
      </c>
      <c r="AB60" s="19">
        <f t="shared" si="87"/>
        <v>0.16319230769230772</v>
      </c>
      <c r="AC60" s="6">
        <v>1030</v>
      </c>
      <c r="AD60" s="4">
        <v>1156.17</v>
      </c>
      <c r="AE60" s="19">
        <f t="shared" ref="AE60" si="148">(AD60-AC60)/AC60</f>
        <v>0.12249514563106803</v>
      </c>
      <c r="AF60" s="6">
        <v>900</v>
      </c>
      <c r="AG60" s="4">
        <v>967.83</v>
      </c>
      <c r="AH60" s="19">
        <f t="shared" ref="AH60" si="149">(AG60-AF60)/AF60</f>
        <v>7.5366666666666707E-2</v>
      </c>
      <c r="AI60" s="6">
        <v>290</v>
      </c>
      <c r="AJ60" s="4">
        <v>303.83999999999997</v>
      </c>
      <c r="AK60" s="19">
        <f t="shared" ref="AK60" si="150">(AJ60-AI60)/AI60</f>
        <v>4.7724137931034395E-2</v>
      </c>
      <c r="AL60" s="6">
        <v>160</v>
      </c>
      <c r="AM60" s="4">
        <v>166.83</v>
      </c>
      <c r="AN60" s="19">
        <f t="shared" ref="AN60" si="151">(AM60-AL60)/AL60</f>
        <v>4.268750000000008E-2</v>
      </c>
      <c r="AO60" s="6">
        <v>270</v>
      </c>
      <c r="AP60" s="4">
        <v>277.76</v>
      </c>
      <c r="AQ60" s="19">
        <f t="shared" si="97"/>
        <v>2.8740740740740706E-2</v>
      </c>
      <c r="AR60" s="6">
        <v>600</v>
      </c>
      <c r="AS60" s="4">
        <v>607.58000000000004</v>
      </c>
      <c r="AT60" s="19">
        <f t="shared" si="99"/>
        <v>1.2633333333333401E-2</v>
      </c>
      <c r="AU60" s="6">
        <v>230</v>
      </c>
      <c r="AV60" s="4">
        <v>236.82</v>
      </c>
      <c r="AW60" s="19">
        <f t="shared" si="100"/>
        <v>2.965217391304345E-2</v>
      </c>
      <c r="AX60" s="6">
        <v>0</v>
      </c>
      <c r="AY60" s="4">
        <v>10</v>
      </c>
      <c r="AZ60" s="19">
        <v>0</v>
      </c>
      <c r="BA60" s="6">
        <v>0</v>
      </c>
      <c r="BB60" s="4">
        <v>0</v>
      </c>
      <c r="BC60" s="19">
        <v>1</v>
      </c>
      <c r="BD60" s="6">
        <v>0</v>
      </c>
      <c r="BE60" s="4">
        <v>0</v>
      </c>
      <c r="BF60" s="19">
        <v>0</v>
      </c>
      <c r="BG60" s="6">
        <v>0</v>
      </c>
      <c r="BH60" s="4">
        <v>0</v>
      </c>
      <c r="BI60" s="19">
        <v>0</v>
      </c>
      <c r="BJ60" s="6">
        <v>0</v>
      </c>
      <c r="BK60" s="4">
        <v>0</v>
      </c>
      <c r="BL60" s="19">
        <v>0</v>
      </c>
      <c r="BM60" s="6">
        <v>0</v>
      </c>
      <c r="BN60" s="4">
        <v>0</v>
      </c>
      <c r="BO60" s="19">
        <v>0</v>
      </c>
      <c r="BQ60" s="16">
        <f t="shared" si="8"/>
        <v>46112</v>
      </c>
      <c r="BR60" s="10">
        <f t="shared" si="52"/>
        <v>3641.07</v>
      </c>
      <c r="BS60" s="4">
        <f t="shared" si="98"/>
        <v>264.94999999999982</v>
      </c>
      <c r="BT60" s="10">
        <f t="shared" si="53"/>
        <v>3899.83</v>
      </c>
      <c r="BU60" s="4">
        <f t="shared" ref="BU60" si="152">BT60-BR60</f>
        <v>258.75999999999976</v>
      </c>
      <c r="BV60" s="20">
        <f t="shared" ref="BV60" si="153">BU60/BR60</f>
        <v>7.1067021507413966E-2</v>
      </c>
      <c r="BW60" s="4">
        <f t="shared" ref="BW60" si="154">BU60-BU59</f>
        <v>-215.13999999999987</v>
      </c>
      <c r="BX60" s="17"/>
      <c r="BY60" s="16">
        <f t="shared" si="2"/>
        <v>46112</v>
      </c>
      <c r="BZ60" s="10">
        <f t="shared" si="3"/>
        <v>5970</v>
      </c>
      <c r="CA60" s="4">
        <f t="shared" si="78"/>
        <v>80</v>
      </c>
      <c r="CB60" s="10">
        <f t="shared" si="34"/>
        <v>6495.12</v>
      </c>
      <c r="CC60" s="4">
        <f t="shared" si="11"/>
        <v>525.11999999999989</v>
      </c>
      <c r="CD60" s="20">
        <f t="shared" si="81"/>
        <v>8.7959798994974858E-2</v>
      </c>
      <c r="CE60" s="4">
        <f t="shared" si="108"/>
        <v>59.180000000000291</v>
      </c>
      <c r="CF60" s="17"/>
      <c r="CG60" s="16">
        <f t="shared" si="5"/>
        <v>46112</v>
      </c>
      <c r="CH60" s="10">
        <f t="shared" si="12"/>
        <v>9611.07</v>
      </c>
      <c r="CI60" s="10">
        <f t="shared" si="13"/>
        <v>344.94999999999982</v>
      </c>
      <c r="CJ60" s="10">
        <f t="shared" si="14"/>
        <v>10394.950000000001</v>
      </c>
      <c r="CK60" s="4">
        <f t="shared" si="15"/>
        <v>783.88000000000102</v>
      </c>
      <c r="CL60" s="20">
        <f t="shared" si="83"/>
        <v>8.1560117655994704E-2</v>
      </c>
      <c r="CM60" s="4">
        <f t="shared" si="109"/>
        <v>-155.95999999999731</v>
      </c>
      <c r="CO60" s="16">
        <f t="shared" si="54"/>
        <v>46112</v>
      </c>
      <c r="CP60" s="4">
        <f t="shared" si="59"/>
        <v>-114.75999999999999</v>
      </c>
      <c r="CQ60" s="4">
        <f t="shared" si="60"/>
        <v>-36.29000000000002</v>
      </c>
      <c r="CR60" s="4">
        <f t="shared" si="61"/>
        <v>-25.879999999999995</v>
      </c>
      <c r="CS60" s="4">
        <f t="shared" si="62"/>
        <v>-15.430000000000064</v>
      </c>
      <c r="CT60" s="4">
        <f t="shared" si="63"/>
        <v>-7.6500000000000341</v>
      </c>
      <c r="CU60" s="4">
        <f t="shared" si="64"/>
        <v>-15.129999999999995</v>
      </c>
      <c r="CV60" s="4">
        <f t="shared" si="65"/>
        <v>10.150000000000091</v>
      </c>
      <c r="CW60" s="4">
        <f t="shared" si="66"/>
        <v>8.9800000000000182</v>
      </c>
      <c r="CX60" s="4">
        <f t="shared" si="67"/>
        <v>2.9999999999972715E-2</v>
      </c>
      <c r="CY60" s="4">
        <f t="shared" si="68"/>
        <v>15.710000000000036</v>
      </c>
      <c r="CZ60" s="4">
        <f t="shared" si="69"/>
        <v>6.5900000000000318</v>
      </c>
      <c r="DA60" s="4">
        <f t="shared" si="70"/>
        <v>2.5099999999999909</v>
      </c>
      <c r="DB60" s="4">
        <f t="shared" si="71"/>
        <v>1.6300000000000239</v>
      </c>
      <c r="DC60" s="4">
        <f t="shared" si="72"/>
        <v>2.0199999999999818</v>
      </c>
      <c r="DD60" s="4">
        <f t="shared" si="73"/>
        <v>0</v>
      </c>
      <c r="DE60" s="4">
        <f t="shared" si="74"/>
        <v>1.5600000000000023</v>
      </c>
      <c r="DF60" s="10">
        <f t="shared" si="75"/>
        <v>10</v>
      </c>
      <c r="DG60" s="10">
        <f t="shared" si="35"/>
        <v>0</v>
      </c>
      <c r="DH60" s="4">
        <f t="shared" si="36"/>
        <v>0</v>
      </c>
      <c r="DI60" s="4">
        <f t="shared" si="37"/>
        <v>0</v>
      </c>
      <c r="DJ60" s="4">
        <f t="shared" si="38"/>
        <v>0</v>
      </c>
      <c r="DK60" s="4">
        <f t="shared" si="39"/>
        <v>0</v>
      </c>
    </row>
    <row r="61" spans="1:115" x14ac:dyDescent="0.25">
      <c r="A61" s="12">
        <v>46142</v>
      </c>
      <c r="B61" s="6">
        <v>1387</v>
      </c>
      <c r="C61" s="2">
        <v>1593.13</v>
      </c>
      <c r="D61" s="18">
        <f t="shared" ref="D61" si="155">(C61-B61)/B61</f>
        <v>0.14861571737563092</v>
      </c>
      <c r="E61" s="6">
        <v>525.87</v>
      </c>
      <c r="F61" s="4">
        <v>581.25</v>
      </c>
      <c r="G61" s="18">
        <f t="shared" ref="G61" si="156">(F61-E61)/E61</f>
        <v>0.10531119858520166</v>
      </c>
      <c r="H61" s="6">
        <v>350.48</v>
      </c>
      <c r="I61" s="4">
        <v>409.98</v>
      </c>
      <c r="J61" s="19">
        <f t="shared" ref="J61" si="157">(I61-H61)/H61</f>
        <v>0.16976717644373429</v>
      </c>
      <c r="K61" s="6">
        <v>829.54</v>
      </c>
      <c r="L61" s="4">
        <v>886.55</v>
      </c>
      <c r="M61" s="18">
        <f t="shared" ref="M61" si="158">(L61-K61)/K61</f>
        <v>6.8724835450972827E-2</v>
      </c>
      <c r="N61" s="6">
        <v>403.15</v>
      </c>
      <c r="O61" s="4">
        <v>443.34</v>
      </c>
      <c r="P61" s="18">
        <f t="shared" ref="P61" si="159">(O61-N61)/N61</f>
        <v>9.9689941709041302E-2</v>
      </c>
      <c r="Q61" s="6">
        <v>350</v>
      </c>
      <c r="R61" s="6">
        <v>478.78</v>
      </c>
      <c r="S61" s="18">
        <f t="shared" ref="S61" si="160">(R61-Q61)/Q61</f>
        <v>0.36794285714285707</v>
      </c>
      <c r="T61" s="6">
        <v>1020</v>
      </c>
      <c r="U61" s="4">
        <v>1102.97</v>
      </c>
      <c r="V61" s="19">
        <f t="shared" ref="V61" si="161">(U61-T61)/T61</f>
        <v>8.1343137254901984E-2</v>
      </c>
      <c r="W61" s="6">
        <v>950</v>
      </c>
      <c r="X61" s="4">
        <v>1083.23</v>
      </c>
      <c r="Y61" s="19">
        <f t="shared" ref="Y61" si="162">(X61-W61)/W61</f>
        <v>0.14024210526315792</v>
      </c>
      <c r="Z61" s="6">
        <v>520</v>
      </c>
      <c r="AA61" s="4">
        <v>604.86</v>
      </c>
      <c r="AB61" s="19">
        <f t="shared" si="87"/>
        <v>0.16319230769230772</v>
      </c>
      <c r="AC61" s="6">
        <v>1030</v>
      </c>
      <c r="AD61" s="4">
        <v>1156.17</v>
      </c>
      <c r="AE61" s="19">
        <f t="shared" ref="AE61" si="163">(AD61-AC61)/AC61</f>
        <v>0.12249514563106803</v>
      </c>
      <c r="AF61" s="6">
        <v>950</v>
      </c>
      <c r="AG61" s="4">
        <v>1024.73</v>
      </c>
      <c r="AH61" s="19">
        <f t="shared" ref="AH61" si="164">(AG61-AF61)/AF61</f>
        <v>7.8663157894736865E-2</v>
      </c>
      <c r="AI61" s="6">
        <v>290</v>
      </c>
      <c r="AJ61" s="4">
        <v>307.93</v>
      </c>
      <c r="AK61" s="19">
        <f t="shared" ref="AK61" si="165">(AJ61-AI61)/AI61</f>
        <v>6.1827586206896573E-2</v>
      </c>
      <c r="AL61" s="6">
        <v>180</v>
      </c>
      <c r="AM61" s="4">
        <v>188.69</v>
      </c>
      <c r="AN61" s="19">
        <f t="shared" ref="AN61" si="166">(AM61-AL61)/AL61</f>
        <v>4.8277777777777767E-2</v>
      </c>
      <c r="AO61" s="6">
        <v>280</v>
      </c>
      <c r="AP61" s="4">
        <v>290.24</v>
      </c>
      <c r="AQ61" s="19">
        <f t="shared" ref="AQ61" si="167">(AP61-AO61)/AO61</f>
        <v>3.6571428571428602E-2</v>
      </c>
      <c r="AR61" s="6">
        <v>600</v>
      </c>
      <c r="AS61" s="4">
        <v>618.13</v>
      </c>
      <c r="AT61" s="19">
        <f t="shared" si="99"/>
        <v>3.0216666666666659E-2</v>
      </c>
      <c r="AU61" s="6">
        <v>250</v>
      </c>
      <c r="AV61" s="4">
        <v>258.69</v>
      </c>
      <c r="AW61" s="19">
        <f t="shared" si="100"/>
        <v>3.4759999999999992E-2</v>
      </c>
      <c r="AX61" s="6">
        <v>20</v>
      </c>
      <c r="AY61" s="4">
        <v>30.08</v>
      </c>
      <c r="AZ61" s="19">
        <f t="shared" ref="AZ61:AZ66" si="168">(AY61-AX61)/AX61</f>
        <v>0.50399999999999989</v>
      </c>
      <c r="BA61" s="6">
        <v>20</v>
      </c>
      <c r="BB61" s="4">
        <v>20</v>
      </c>
      <c r="BC61" s="19">
        <f t="shared" ref="BC61:BC66" si="169">(BB61-BA61)/BA61</f>
        <v>0</v>
      </c>
      <c r="BD61" s="6">
        <v>0</v>
      </c>
      <c r="BE61" s="4">
        <v>0</v>
      </c>
      <c r="BF61" s="19">
        <v>0</v>
      </c>
      <c r="BG61" s="6">
        <v>0</v>
      </c>
      <c r="BH61" s="4">
        <v>0</v>
      </c>
      <c r="BI61" s="19">
        <v>0</v>
      </c>
      <c r="BJ61" s="6">
        <v>0</v>
      </c>
      <c r="BK61" s="4">
        <v>0</v>
      </c>
      <c r="BL61" s="19">
        <v>0</v>
      </c>
      <c r="BM61" s="6">
        <v>0</v>
      </c>
      <c r="BN61" s="4">
        <v>0</v>
      </c>
      <c r="BO61" s="19">
        <v>0</v>
      </c>
      <c r="BQ61" s="16">
        <f t="shared" si="8"/>
        <v>46142</v>
      </c>
      <c r="BR61" s="10">
        <f t="shared" si="52"/>
        <v>3846.04</v>
      </c>
      <c r="BS61" s="4">
        <f t="shared" ref="BS61" si="170">BR61-BR60</f>
        <v>204.9699999999998</v>
      </c>
      <c r="BT61" s="10">
        <f t="shared" si="53"/>
        <v>4393.03</v>
      </c>
      <c r="BU61" s="4">
        <f t="shared" ref="BU61" si="171">BT61-BR61</f>
        <v>546.98999999999978</v>
      </c>
      <c r="BV61" s="20">
        <f t="shared" ref="BV61" si="172">BU61/BR61</f>
        <v>0.14222160975964884</v>
      </c>
      <c r="BW61" s="4">
        <f t="shared" ref="BW61" si="173">BU61-BU60</f>
        <v>288.23</v>
      </c>
      <c r="BX61" s="17"/>
      <c r="BY61" s="16">
        <f t="shared" si="2"/>
        <v>46142</v>
      </c>
      <c r="BZ61" s="10">
        <f t="shared" si="3"/>
        <v>6110</v>
      </c>
      <c r="CA61" s="4">
        <f t="shared" si="78"/>
        <v>140</v>
      </c>
      <c r="CB61" s="10">
        <f t="shared" si="34"/>
        <v>6685.7199999999993</v>
      </c>
      <c r="CC61" s="4">
        <f t="shared" si="11"/>
        <v>575.71999999999935</v>
      </c>
      <c r="CD61" s="20">
        <f t="shared" si="81"/>
        <v>9.4225859247135738E-2</v>
      </c>
      <c r="CE61" s="4">
        <f t="shared" si="108"/>
        <v>50.599999999999454</v>
      </c>
      <c r="CF61" s="17"/>
      <c r="CG61" s="16">
        <f t="shared" si="5"/>
        <v>46142</v>
      </c>
      <c r="CH61" s="10">
        <f t="shared" si="12"/>
        <v>9956.0400000000009</v>
      </c>
      <c r="CI61" s="10">
        <f t="shared" si="13"/>
        <v>344.9699999999998</v>
      </c>
      <c r="CJ61" s="10">
        <f t="shared" si="14"/>
        <v>11078.75</v>
      </c>
      <c r="CK61" s="4">
        <f t="shared" si="15"/>
        <v>1122.7099999999991</v>
      </c>
      <c r="CL61" s="20">
        <f t="shared" si="83"/>
        <v>0.11276672251216337</v>
      </c>
      <c r="CM61" s="4">
        <f t="shared" si="109"/>
        <v>338.82999999999811</v>
      </c>
      <c r="CO61" s="16">
        <f t="shared" si="54"/>
        <v>46142</v>
      </c>
      <c r="CP61" s="4">
        <f t="shared" si="59"/>
        <v>94.240000000000009</v>
      </c>
      <c r="CQ61" s="4">
        <f t="shared" si="60"/>
        <v>43.569999999999993</v>
      </c>
      <c r="CR61" s="4">
        <f t="shared" si="61"/>
        <v>33.04000000000002</v>
      </c>
      <c r="CS61" s="4">
        <f t="shared" si="62"/>
        <v>41.529999999999973</v>
      </c>
      <c r="CT61" s="4">
        <f t="shared" si="63"/>
        <v>17.25</v>
      </c>
      <c r="CU61" s="4">
        <f t="shared" si="64"/>
        <v>58.599999999999966</v>
      </c>
      <c r="CV61" s="4">
        <f t="shared" si="65"/>
        <v>10.279999999999973</v>
      </c>
      <c r="CW61" s="4">
        <f t="shared" si="66"/>
        <v>12.490000000000009</v>
      </c>
      <c r="CX61" s="4">
        <f t="shared" si="67"/>
        <v>0</v>
      </c>
      <c r="CY61" s="4">
        <f t="shared" si="68"/>
        <v>0</v>
      </c>
      <c r="CZ61" s="4">
        <f t="shared" si="69"/>
        <v>6.8999999999999773</v>
      </c>
      <c r="DA61" s="4">
        <f t="shared" si="70"/>
        <v>4.0900000000000318</v>
      </c>
      <c r="DB61" s="4">
        <f t="shared" si="71"/>
        <v>1.8599999999999852</v>
      </c>
      <c r="DC61" s="4">
        <f t="shared" si="72"/>
        <v>2.4800000000000182</v>
      </c>
      <c r="DD61" s="4">
        <f t="shared" si="73"/>
        <v>10.549999999999955</v>
      </c>
      <c r="DE61" s="4">
        <f t="shared" si="74"/>
        <v>1.8700000000000045</v>
      </c>
      <c r="DF61" s="10">
        <f t="shared" si="75"/>
        <v>7.9999999999998295E-2</v>
      </c>
      <c r="DG61" s="10">
        <f t="shared" si="35"/>
        <v>0</v>
      </c>
      <c r="DH61" s="4">
        <f t="shared" ref="DH61" si="174">(BE61-BD61)-(BE60-BD60)</f>
        <v>0</v>
      </c>
      <c r="DI61" s="4">
        <f t="shared" si="37"/>
        <v>0</v>
      </c>
      <c r="DJ61" s="4">
        <f t="shared" si="38"/>
        <v>0</v>
      </c>
      <c r="DK61" s="4">
        <f t="shared" si="39"/>
        <v>0</v>
      </c>
    </row>
    <row r="62" spans="1:115" x14ac:dyDescent="0.25">
      <c r="A62" s="12">
        <v>46173</v>
      </c>
      <c r="B62" s="6">
        <v>1427</v>
      </c>
      <c r="C62" s="2">
        <v>1700.42</v>
      </c>
      <c r="D62" s="18">
        <f t="shared" ref="D62" si="175">(C62-B62)/B62</f>
        <v>0.19160476524176601</v>
      </c>
      <c r="E62" s="6">
        <v>575.70000000000005</v>
      </c>
      <c r="F62" s="4">
        <v>677.89</v>
      </c>
      <c r="G62" s="18">
        <f t="shared" ref="G62" si="176">(F62-E62)/E62</f>
        <v>0.17750564530137214</v>
      </c>
      <c r="H62" s="6">
        <v>370.48</v>
      </c>
      <c r="I62" s="4">
        <v>460.01</v>
      </c>
      <c r="J62" s="19">
        <f t="shared" ref="J62" si="177">(I62-H62)/H62</f>
        <v>0.24165946879723593</v>
      </c>
      <c r="K62" s="6">
        <v>949.54</v>
      </c>
      <c r="L62" s="4">
        <v>1066.8499999999999</v>
      </c>
      <c r="M62" s="18">
        <f t="shared" ref="M62" si="178">(L62-K62)/K62</f>
        <v>0.12354403184699955</v>
      </c>
      <c r="N62" s="6">
        <v>418.15</v>
      </c>
      <c r="O62" s="4">
        <v>472.91</v>
      </c>
      <c r="P62" s="18">
        <f t="shared" ref="P62" si="179">(O62-N62)/N62</f>
        <v>0.13095779026665083</v>
      </c>
      <c r="Q62" s="6">
        <v>350</v>
      </c>
      <c r="R62" s="6">
        <v>512.96</v>
      </c>
      <c r="S62" s="18">
        <f t="shared" ref="S62" si="180">(R62-Q62)/Q62</f>
        <v>0.46560000000000012</v>
      </c>
      <c r="T62" s="6">
        <v>1020</v>
      </c>
      <c r="U62" s="4">
        <v>1107.48</v>
      </c>
      <c r="V62" s="19">
        <f t="shared" ref="V62" si="181">(U62-T62)/T62</f>
        <v>8.5764705882352965E-2</v>
      </c>
      <c r="W62" s="6">
        <v>950</v>
      </c>
      <c r="X62" s="4">
        <v>1092.82</v>
      </c>
      <c r="Y62" s="19">
        <f t="shared" ref="Y62" si="182">(X62-W62)/W62</f>
        <v>0.1503368421052631</v>
      </c>
      <c r="Z62" s="6">
        <v>530</v>
      </c>
      <c r="AA62" s="4">
        <v>615.37</v>
      </c>
      <c r="AB62" s="19">
        <f t="shared" si="87"/>
        <v>0.1610754716981132</v>
      </c>
      <c r="AC62" s="6">
        <v>1030</v>
      </c>
      <c r="AD62" s="4">
        <v>1156.17</v>
      </c>
      <c r="AE62" s="19">
        <f t="shared" ref="AE62" si="183">(AD62-AC62)/AC62</f>
        <v>0.12249514563106803</v>
      </c>
      <c r="AF62" s="6">
        <v>950</v>
      </c>
      <c r="AG62" s="4">
        <v>1033.8699999999999</v>
      </c>
      <c r="AH62" s="19">
        <f t="shared" ref="AH62" si="184">(AG62-AF62)/AF62</f>
        <v>8.8284210526315673E-2</v>
      </c>
      <c r="AI62" s="6">
        <v>300</v>
      </c>
      <c r="AJ62" s="4">
        <v>320.27999999999997</v>
      </c>
      <c r="AK62" s="19">
        <f t="shared" ref="AK62" si="185">(AJ62-AI62)/AI62</f>
        <v>6.759999999999991E-2</v>
      </c>
      <c r="AL62" s="6">
        <v>200</v>
      </c>
      <c r="AM62" s="4">
        <v>211.15</v>
      </c>
      <c r="AN62" s="19">
        <f t="shared" ref="AN62" si="186">(AM62-AL62)/AL62</f>
        <v>5.5750000000000029E-2</v>
      </c>
      <c r="AO62" s="6">
        <v>330</v>
      </c>
      <c r="AP62" s="4">
        <v>342.77</v>
      </c>
      <c r="AQ62" s="19">
        <f t="shared" ref="AQ62" si="187">(AP62-AO62)/AO62</f>
        <v>3.8696969696969639E-2</v>
      </c>
      <c r="AR62" s="6">
        <v>600</v>
      </c>
      <c r="AS62" s="4">
        <v>618.13</v>
      </c>
      <c r="AT62" s="19">
        <f t="shared" ref="AT62" si="188">(AS62-AR62)/AR62</f>
        <v>3.0216666666666659E-2</v>
      </c>
      <c r="AU62" s="6">
        <v>270</v>
      </c>
      <c r="AV62" s="4">
        <v>280.67</v>
      </c>
      <c r="AW62" s="19">
        <f t="shared" ref="AW62" si="189">(AV62-AU62)/AU62</f>
        <v>3.9518518518518578E-2</v>
      </c>
      <c r="AX62" s="6">
        <v>40</v>
      </c>
      <c r="AY62" s="4">
        <v>50.38</v>
      </c>
      <c r="AZ62" s="19">
        <f t="shared" si="168"/>
        <v>0.25950000000000006</v>
      </c>
      <c r="BA62" s="6">
        <v>20</v>
      </c>
      <c r="BB62" s="4">
        <v>20.079999999999998</v>
      </c>
      <c r="BC62" s="19">
        <f t="shared" si="169"/>
        <v>3.9999999999999151E-3</v>
      </c>
      <c r="BD62" s="6">
        <v>0</v>
      </c>
      <c r="BE62" s="4">
        <v>0</v>
      </c>
      <c r="BF62" s="19">
        <v>0</v>
      </c>
      <c r="BG62" s="6">
        <v>0</v>
      </c>
      <c r="BH62" s="4">
        <v>0</v>
      </c>
      <c r="BI62" s="19">
        <v>0</v>
      </c>
      <c r="BJ62" s="6">
        <v>0</v>
      </c>
      <c r="BK62" s="4">
        <v>0</v>
      </c>
      <c r="BL62" s="19">
        <v>0</v>
      </c>
      <c r="BM62" s="6">
        <v>0</v>
      </c>
      <c r="BN62" s="4">
        <v>0</v>
      </c>
      <c r="BO62" s="19">
        <v>0</v>
      </c>
      <c r="BQ62" s="16">
        <f>A62</f>
        <v>46173</v>
      </c>
      <c r="BR62" s="10">
        <f t="shared" si="52"/>
        <v>4090.8700000000003</v>
      </c>
      <c r="BS62" s="4">
        <f t="shared" ref="BS62" si="190">BR62-BR61</f>
        <v>244.83000000000038</v>
      </c>
      <c r="BT62" s="10">
        <f t="shared" si="53"/>
        <v>4891.04</v>
      </c>
      <c r="BU62" s="4">
        <f t="shared" ref="BU62" si="191">BT62-BR62</f>
        <v>800.16999999999962</v>
      </c>
      <c r="BV62" s="20">
        <f t="shared" ref="BV62" si="192">BU62/BR62</f>
        <v>0.19559898016803259</v>
      </c>
      <c r="BW62" s="4">
        <f t="shared" ref="BW62" si="193">BU62-BU61</f>
        <v>253.17999999999984</v>
      </c>
      <c r="BX62" s="17"/>
      <c r="BY62" s="16">
        <f>A62</f>
        <v>46173</v>
      </c>
      <c r="BZ62" s="10">
        <f t="shared" si="3"/>
        <v>6240</v>
      </c>
      <c r="CA62" s="4">
        <f t="shared" ref="CA62" si="194">BZ62-BZ61</f>
        <v>130</v>
      </c>
      <c r="CB62" s="10">
        <f t="shared" si="34"/>
        <v>6849.1699999999992</v>
      </c>
      <c r="CC62" s="4">
        <f t="shared" ref="CC62" si="195">CB62-BZ62</f>
        <v>609.16999999999916</v>
      </c>
      <c r="CD62" s="20">
        <f t="shared" ref="CD62" si="196">CC62/BZ62</f>
        <v>9.7623397435897305E-2</v>
      </c>
      <c r="CE62" s="4">
        <f t="shared" ref="CE62" si="197">CC62-CC61</f>
        <v>33.449999999999818</v>
      </c>
      <c r="CF62" s="17"/>
      <c r="CG62" s="16">
        <f>A62</f>
        <v>46173</v>
      </c>
      <c r="CH62" s="10">
        <f t="shared" ref="CH62" si="198">BR62+BZ62</f>
        <v>10330.870000000001</v>
      </c>
      <c r="CI62" s="10">
        <f t="shared" ref="CI62" si="199">BS62+CA62</f>
        <v>374.83000000000038</v>
      </c>
      <c r="CJ62" s="10">
        <f t="shared" ref="CJ62" si="200">BT62+CB62</f>
        <v>11740.21</v>
      </c>
      <c r="CK62" s="4">
        <f t="shared" ref="CK62" si="201">CJ62-CH62</f>
        <v>1409.3399999999983</v>
      </c>
      <c r="CL62" s="20">
        <f t="shared" ref="CL62" si="202">CK62/CH62</f>
        <v>0.13642026276586564</v>
      </c>
      <c r="CM62" s="4">
        <f t="shared" ref="CM62" si="203">CK62-CK61</f>
        <v>286.6299999999992</v>
      </c>
      <c r="CO62" s="16">
        <f t="shared" si="54"/>
        <v>46173</v>
      </c>
      <c r="CP62" s="4">
        <f t="shared" si="59"/>
        <v>67.289999999999964</v>
      </c>
      <c r="CQ62" s="4">
        <f t="shared" si="60"/>
        <v>46.809999999999945</v>
      </c>
      <c r="CR62" s="4">
        <f t="shared" si="61"/>
        <v>30.029999999999973</v>
      </c>
      <c r="CS62" s="4">
        <f t="shared" si="62"/>
        <v>60.299999999999955</v>
      </c>
      <c r="CT62" s="4">
        <f t="shared" si="63"/>
        <v>14.57000000000005</v>
      </c>
      <c r="CU62" s="4">
        <f t="shared" si="64"/>
        <v>34.180000000000064</v>
      </c>
      <c r="CV62" s="4">
        <f t="shared" si="65"/>
        <v>4.5099999999999909</v>
      </c>
      <c r="CW62" s="4">
        <f t="shared" si="66"/>
        <v>9.5899999999999181</v>
      </c>
      <c r="CX62" s="4">
        <f t="shared" si="67"/>
        <v>0.50999999999999091</v>
      </c>
      <c r="CY62" s="4">
        <f t="shared" si="68"/>
        <v>0</v>
      </c>
      <c r="CZ62" s="4">
        <f t="shared" si="69"/>
        <v>9.1399999999998727</v>
      </c>
      <c r="DA62" s="4">
        <f t="shared" si="70"/>
        <v>2.3499999999999659</v>
      </c>
      <c r="DB62" s="4">
        <f t="shared" si="71"/>
        <v>2.460000000000008</v>
      </c>
      <c r="DC62" s="4">
        <f t="shared" si="72"/>
        <v>2.5299999999999727</v>
      </c>
      <c r="DD62" s="4">
        <f t="shared" si="73"/>
        <v>0</v>
      </c>
      <c r="DE62" s="4">
        <f t="shared" si="74"/>
        <v>1.9800000000000182</v>
      </c>
      <c r="DF62" s="10">
        <f t="shared" si="75"/>
        <v>0.30000000000000426</v>
      </c>
      <c r="DG62" s="10">
        <f t="shared" si="35"/>
        <v>7.9999999999998295E-2</v>
      </c>
      <c r="DH62" s="4">
        <f t="shared" ref="DH62" si="204">(BE62-BD62)-(BE61-BD61)</f>
        <v>0</v>
      </c>
      <c r="DI62" s="4">
        <f t="shared" si="37"/>
        <v>0</v>
      </c>
      <c r="DJ62" s="4">
        <f t="shared" si="38"/>
        <v>0</v>
      </c>
      <c r="DK62" s="4">
        <f t="shared" si="39"/>
        <v>0</v>
      </c>
    </row>
    <row r="63" spans="1:115" x14ac:dyDescent="0.25">
      <c r="A63" s="12">
        <v>46203</v>
      </c>
      <c r="B63" s="6">
        <v>0</v>
      </c>
      <c r="C63" s="4">
        <v>0</v>
      </c>
      <c r="D63" s="18">
        <v>0</v>
      </c>
      <c r="E63" s="6">
        <v>2394.58</v>
      </c>
      <c r="F63" s="4">
        <v>2518.4699999999998</v>
      </c>
      <c r="G63" s="18">
        <f t="shared" ref="G63" si="205">(F63-E63)/E63</f>
        <v>5.1737674247675947E-2</v>
      </c>
      <c r="H63" s="6">
        <v>390.48</v>
      </c>
      <c r="I63" s="4">
        <v>487.53</v>
      </c>
      <c r="J63" s="19">
        <f t="shared" ref="J63" si="206">(I63-H63)/H63</f>
        <v>0.24854025814382286</v>
      </c>
      <c r="K63" s="6">
        <v>1530</v>
      </c>
      <c r="L63" s="4">
        <v>1665.79</v>
      </c>
      <c r="M63" s="18">
        <f t="shared" ref="M63" si="207">(L63-K63)/K63</f>
        <v>8.8751633986928077E-2</v>
      </c>
      <c r="N63" s="6">
        <v>0</v>
      </c>
      <c r="O63" s="4">
        <v>0</v>
      </c>
      <c r="P63" s="18">
        <v>0</v>
      </c>
      <c r="Q63" s="6">
        <v>350</v>
      </c>
      <c r="R63" s="6">
        <v>475.64</v>
      </c>
      <c r="S63" s="18">
        <f t="shared" ref="S63" si="208">(R63-Q63)/Q63</f>
        <v>0.35897142857142855</v>
      </c>
      <c r="T63" s="6">
        <v>1020</v>
      </c>
      <c r="U63" s="4">
        <v>1120.03</v>
      </c>
      <c r="V63" s="19">
        <f t="shared" ref="V63" si="209">(U63-T63)/T63</f>
        <v>9.806862745098037E-2</v>
      </c>
      <c r="W63" s="6">
        <v>950</v>
      </c>
      <c r="X63" s="4">
        <v>1102.56</v>
      </c>
      <c r="Y63" s="19">
        <f t="shared" ref="Y63" si="210">(X63-W63)/W63</f>
        <v>0.16058947368421048</v>
      </c>
      <c r="Z63" s="6">
        <v>530</v>
      </c>
      <c r="AA63" s="4">
        <v>616.19000000000005</v>
      </c>
      <c r="AB63" s="19">
        <f t="shared" ref="AB63" si="211">(AA63-Z63)/Z63</f>
        <v>0.16262264150943406</v>
      </c>
      <c r="AC63" s="6">
        <v>1030</v>
      </c>
      <c r="AD63" s="4">
        <v>1178.74</v>
      </c>
      <c r="AE63" s="19">
        <f t="shared" ref="AE63" si="212">(AD63-AC63)/AC63</f>
        <v>0.14440776699029126</v>
      </c>
      <c r="AF63" s="6">
        <v>950</v>
      </c>
      <c r="AG63" s="4">
        <v>1050.6199999999999</v>
      </c>
      <c r="AH63" s="19">
        <f t="shared" ref="AH63" si="213">(AG63-AF63)/AF63</f>
        <v>0.1059157894736841</v>
      </c>
      <c r="AI63" s="6">
        <v>300</v>
      </c>
      <c r="AJ63" s="4">
        <v>323.29000000000002</v>
      </c>
      <c r="AK63" s="19">
        <f t="shared" ref="AK63" si="214">(AJ63-AI63)/AI63</f>
        <v>7.7633333333333401E-2</v>
      </c>
      <c r="AL63" s="6">
        <v>200</v>
      </c>
      <c r="AM63" s="4">
        <v>213.25</v>
      </c>
      <c r="AN63" s="19">
        <f t="shared" ref="AN63" si="215">(AM63-AL63)/AL63</f>
        <v>6.6250000000000003E-2</v>
      </c>
      <c r="AO63" s="6">
        <v>340</v>
      </c>
      <c r="AP63" s="4">
        <v>355.48</v>
      </c>
      <c r="AQ63" s="19">
        <f t="shared" ref="AQ63" si="216">(AP63-AO63)/AO63</f>
        <v>4.5529411764705936E-2</v>
      </c>
      <c r="AR63" s="6">
        <v>635.07000000000005</v>
      </c>
      <c r="AS63" s="4">
        <v>654.87</v>
      </c>
      <c r="AT63" s="19">
        <f t="shared" ref="AT63" si="217">(AS63-AR63)/AR63</f>
        <v>3.1177665454201826E-2</v>
      </c>
      <c r="AU63" s="6">
        <v>270</v>
      </c>
      <c r="AV63" s="4">
        <v>282.88</v>
      </c>
      <c r="AW63" s="19">
        <f t="shared" ref="AW63" si="218">(AV63-AU63)/AU63</f>
        <v>4.7703703703703686E-2</v>
      </c>
      <c r="AX63" s="6">
        <v>70</v>
      </c>
      <c r="AY63" s="4">
        <v>81.22</v>
      </c>
      <c r="AZ63" s="19">
        <f t="shared" si="168"/>
        <v>0.16028571428571428</v>
      </c>
      <c r="BA63" s="6">
        <v>20</v>
      </c>
      <c r="BB63" s="4">
        <v>20.3</v>
      </c>
      <c r="BC63" s="19">
        <f t="shared" si="169"/>
        <v>1.5000000000000036E-2</v>
      </c>
      <c r="BD63" s="6">
        <v>20</v>
      </c>
      <c r="BE63" s="4">
        <v>20</v>
      </c>
      <c r="BF63" s="19">
        <v>0</v>
      </c>
      <c r="BG63" s="6">
        <v>0</v>
      </c>
      <c r="BH63" s="4">
        <v>0</v>
      </c>
      <c r="BI63" s="19">
        <v>0</v>
      </c>
      <c r="BJ63" s="6">
        <v>0</v>
      </c>
      <c r="BK63" s="4">
        <v>0</v>
      </c>
      <c r="BL63" s="19">
        <v>0</v>
      </c>
      <c r="BM63" s="6">
        <v>0</v>
      </c>
      <c r="BN63" s="4">
        <v>0</v>
      </c>
      <c r="BO63" s="19">
        <v>0</v>
      </c>
      <c r="BQ63" s="16">
        <f>A63</f>
        <v>46203</v>
      </c>
      <c r="BR63" s="10">
        <f t="shared" si="52"/>
        <v>4665.0599999999995</v>
      </c>
      <c r="BS63" s="4">
        <f t="shared" ref="BS63" si="219">BR63-BR62</f>
        <v>574.18999999999915</v>
      </c>
      <c r="BT63" s="10">
        <f t="shared" si="53"/>
        <v>5147.43</v>
      </c>
      <c r="BU63" s="4">
        <f t="shared" ref="BU63" si="220">BT63-BR63</f>
        <v>482.3700000000008</v>
      </c>
      <c r="BV63" s="20">
        <f t="shared" ref="BV63" si="221">BU63/BR63</f>
        <v>0.10340059934920469</v>
      </c>
      <c r="BW63" s="4">
        <f t="shared" ref="BW63" si="222">BU63-BU62</f>
        <v>-317.79999999999882</v>
      </c>
      <c r="BX63" s="17"/>
      <c r="BY63" s="16">
        <f>A63</f>
        <v>46203</v>
      </c>
      <c r="BZ63" s="10">
        <f t="shared" si="3"/>
        <v>6335.07</v>
      </c>
      <c r="CA63" s="4">
        <f t="shared" ref="CA63" si="223">BZ63-BZ62</f>
        <v>95.069999999999709</v>
      </c>
      <c r="CB63" s="10">
        <f t="shared" si="34"/>
        <v>7019.4300000000012</v>
      </c>
      <c r="CC63" s="4">
        <f t="shared" ref="CC63" si="224">CB63-BZ63</f>
        <v>684.36000000000149</v>
      </c>
      <c r="CD63" s="20">
        <f t="shared" ref="CD63" si="225">CC63/BZ63</f>
        <v>0.10802721990443698</v>
      </c>
      <c r="CE63" s="4">
        <f t="shared" ref="CE63" si="226">CC63-CC62</f>
        <v>75.190000000002328</v>
      </c>
      <c r="CF63" s="17"/>
      <c r="CG63" s="16">
        <f>A63</f>
        <v>46203</v>
      </c>
      <c r="CH63" s="10">
        <f t="shared" ref="CH63" si="227">BR63+BZ63</f>
        <v>11000.13</v>
      </c>
      <c r="CI63" s="10">
        <f t="shared" ref="CI63" si="228">BS63+CA63</f>
        <v>669.25999999999885</v>
      </c>
      <c r="CJ63" s="10">
        <f t="shared" ref="CJ63" si="229">BT63+CB63</f>
        <v>12166.86</v>
      </c>
      <c r="CK63" s="4">
        <f t="shared" ref="CK63" si="230">CJ63-CH63</f>
        <v>1166.7300000000014</v>
      </c>
      <c r="CL63" s="20">
        <f t="shared" ref="CL63" si="231">CK63/CH63</f>
        <v>0.10606511013960758</v>
      </c>
      <c r="CM63" s="4">
        <f t="shared" ref="CM63" si="232">CK63-CK62</f>
        <v>-242.60999999999694</v>
      </c>
      <c r="CO63" s="16">
        <f t="shared" si="54"/>
        <v>46203</v>
      </c>
      <c r="CP63" s="4">
        <v>0</v>
      </c>
      <c r="CQ63" s="4">
        <f t="shared" si="60"/>
        <v>21.699999999999932</v>
      </c>
      <c r="CR63" s="4">
        <f t="shared" si="61"/>
        <v>7.5199999999999818</v>
      </c>
      <c r="CS63" s="4">
        <f t="shared" si="62"/>
        <v>18.480000000000018</v>
      </c>
      <c r="CT63" s="4">
        <v>0</v>
      </c>
      <c r="CU63" s="4">
        <f t="shared" si="64"/>
        <v>-37.32000000000005</v>
      </c>
      <c r="CV63" s="4">
        <f t="shared" si="65"/>
        <v>12.549999999999955</v>
      </c>
      <c r="CW63" s="4">
        <f t="shared" ref="CW63" si="233">(X63-W63)-(X62-W62)</f>
        <v>9.7400000000000091</v>
      </c>
      <c r="CX63" s="4">
        <f t="shared" ref="CX63" si="234">(AA63-Z63)-(AA62-Z62)</f>
        <v>0.82000000000005002</v>
      </c>
      <c r="CY63" s="4">
        <f t="shared" si="68"/>
        <v>22.569999999999936</v>
      </c>
      <c r="CZ63" s="4">
        <f t="shared" ref="CZ63" si="235">(AG63-AF63)-(AG62-AF62)</f>
        <v>16.75</v>
      </c>
      <c r="DA63" s="4">
        <f t="shared" si="70"/>
        <v>3.0100000000000477</v>
      </c>
      <c r="DB63" s="4">
        <f t="shared" si="71"/>
        <v>2.0999999999999943</v>
      </c>
      <c r="DC63" s="4">
        <f t="shared" ref="DC63" si="236">(AP63-AO63)-(AP62-AO62)</f>
        <v>2.7100000000000364</v>
      </c>
      <c r="DD63" s="4">
        <f t="shared" ref="DD63" si="237">(AS63-AR63)-(AS62-AR62)</f>
        <v>1.6699999999999591</v>
      </c>
      <c r="DE63" s="4">
        <f t="shared" si="74"/>
        <v>2.2099999999999795</v>
      </c>
      <c r="DF63" s="10">
        <f t="shared" si="75"/>
        <v>0.83999999999999631</v>
      </c>
      <c r="DG63" s="10">
        <f t="shared" si="35"/>
        <v>0.22000000000000242</v>
      </c>
      <c r="DH63" s="4">
        <f t="shared" ref="DH63" si="238">(BE63-BD63)-(BE62-BD62)</f>
        <v>0</v>
      </c>
      <c r="DI63" s="4">
        <f t="shared" si="37"/>
        <v>0</v>
      </c>
      <c r="DJ63" s="4">
        <f t="shared" si="38"/>
        <v>0</v>
      </c>
      <c r="DK63" s="4">
        <f t="shared" si="39"/>
        <v>0</v>
      </c>
    </row>
    <row r="64" spans="1:115" x14ac:dyDescent="0.25">
      <c r="A64" s="12">
        <v>46234</v>
      </c>
      <c r="B64" s="6">
        <v>0</v>
      </c>
      <c r="C64" s="4">
        <v>0</v>
      </c>
      <c r="D64" s="18">
        <v>0</v>
      </c>
      <c r="E64" s="6">
        <v>2994.57</v>
      </c>
      <c r="F64" s="4">
        <v>3028.57</v>
      </c>
      <c r="G64" s="18">
        <f t="shared" ref="G64" si="239">(F64-E64)/E64</f>
        <v>1.135388386312559E-2</v>
      </c>
      <c r="H64" s="6">
        <v>0</v>
      </c>
      <c r="I64" s="4">
        <v>0</v>
      </c>
      <c r="J64" s="18">
        <v>0</v>
      </c>
      <c r="K64" s="6">
        <v>1670</v>
      </c>
      <c r="L64" s="4">
        <v>1773.83</v>
      </c>
      <c r="M64" s="18">
        <f t="shared" ref="M64" si="240">(L64-K64)/K64</f>
        <v>6.2173652694610733E-2</v>
      </c>
      <c r="N64" s="6">
        <v>0</v>
      </c>
      <c r="O64" s="4">
        <v>0</v>
      </c>
      <c r="P64" s="18">
        <v>0</v>
      </c>
      <c r="Q64" s="6">
        <v>350</v>
      </c>
      <c r="R64" s="6">
        <v>471.62</v>
      </c>
      <c r="S64" s="18">
        <f t="shared" ref="S64" si="241">(R64-Q64)/Q64</f>
        <v>0.34748571428571429</v>
      </c>
      <c r="T64" s="6">
        <v>1020</v>
      </c>
      <c r="U64" s="4">
        <v>1125.3399999999999</v>
      </c>
      <c r="V64" s="19">
        <f t="shared" ref="V64" si="242">(U64-T64)/T64</f>
        <v>0.10327450980392149</v>
      </c>
      <c r="W64" s="6">
        <v>950</v>
      </c>
      <c r="X64" s="4">
        <v>1111.8499999999999</v>
      </c>
      <c r="Y64" s="19">
        <f t="shared" ref="Y64" si="243">(X64-W64)/W64</f>
        <v>0.17036842105263147</v>
      </c>
      <c r="Z64" s="6">
        <v>550</v>
      </c>
      <c r="AA64" s="4">
        <v>637.05999999999995</v>
      </c>
      <c r="AB64" s="19">
        <f t="shared" ref="AB64" si="244">(AA64-Z64)/Z64</f>
        <v>0.15829090909090898</v>
      </c>
      <c r="AC64" s="6">
        <v>1030</v>
      </c>
      <c r="AD64" s="4">
        <v>1186.48</v>
      </c>
      <c r="AE64" s="19">
        <f t="shared" ref="AE64" si="245">(AD64-AC64)/AC64</f>
        <v>0.15192233009708739</v>
      </c>
      <c r="AF64" s="6">
        <v>950</v>
      </c>
      <c r="AG64" s="4">
        <v>1062.9100000000001</v>
      </c>
      <c r="AH64" s="19">
        <f t="shared" ref="AH64" si="246">(AG64-AF64)/AF64</f>
        <v>0.11885263157894746</v>
      </c>
      <c r="AI64" s="6">
        <v>300</v>
      </c>
      <c r="AJ64" s="4">
        <v>326.39</v>
      </c>
      <c r="AK64" s="19">
        <f t="shared" ref="AK64" si="247">(AJ64-AI64)/AI64</f>
        <v>8.7966666666666624E-2</v>
      </c>
      <c r="AL64" s="6">
        <v>240</v>
      </c>
      <c r="AM64" s="4">
        <v>255.6</v>
      </c>
      <c r="AN64" s="19">
        <f t="shared" ref="AN64" si="248">(AM64-AL64)/AL64</f>
        <v>6.4999999999999974E-2</v>
      </c>
      <c r="AO64" s="6">
        <v>340</v>
      </c>
      <c r="AP64" s="4">
        <v>358.35</v>
      </c>
      <c r="AQ64" s="19">
        <f t="shared" ref="AQ64" si="249">(AP64-AO64)/AO64</f>
        <v>5.3970588235294187E-2</v>
      </c>
      <c r="AR64" s="6">
        <v>674.21</v>
      </c>
      <c r="AS64" s="4">
        <v>704.67</v>
      </c>
      <c r="AT64" s="19">
        <f t="shared" ref="AT64" si="250">(AS64-AR64)/AR64</f>
        <v>4.5178801856988061E-2</v>
      </c>
      <c r="AU64" s="6">
        <v>290</v>
      </c>
      <c r="AV64" s="4">
        <v>305</v>
      </c>
      <c r="AW64" s="19">
        <f t="shared" ref="AW64" si="251">(AV64-AU64)/AU64</f>
        <v>5.1724137931034482E-2</v>
      </c>
      <c r="AX64" s="6">
        <v>100</v>
      </c>
      <c r="AY64" s="4">
        <v>111.91</v>
      </c>
      <c r="AZ64" s="19">
        <f t="shared" si="168"/>
        <v>0.11909999999999997</v>
      </c>
      <c r="BA64" s="6">
        <v>20</v>
      </c>
      <c r="BB64" s="4">
        <v>20.58</v>
      </c>
      <c r="BC64" s="19">
        <f t="shared" si="169"/>
        <v>2.8999999999999915E-2</v>
      </c>
      <c r="BD64" s="6">
        <v>20</v>
      </c>
      <c r="BE64" s="4">
        <v>20.16</v>
      </c>
      <c r="BF64" s="19">
        <f>(BE64-BD64)/BD64</f>
        <v>8.0000000000000071E-3</v>
      </c>
      <c r="BG64" s="6">
        <v>30</v>
      </c>
      <c r="BH64" s="4">
        <v>30.05</v>
      </c>
      <c r="BI64" s="19">
        <f>(BH64-BG64)/BG64</f>
        <v>1.6666666666666904E-3</v>
      </c>
      <c r="BJ64" s="6">
        <v>50</v>
      </c>
      <c r="BK64" s="4">
        <v>56.65</v>
      </c>
      <c r="BL64" s="19">
        <f>(BK64-BJ64)/BJ64</f>
        <v>0.13299999999999998</v>
      </c>
      <c r="BM64" s="6">
        <v>0</v>
      </c>
      <c r="BN64" s="4">
        <v>0</v>
      </c>
      <c r="BO64" s="19">
        <v>0</v>
      </c>
      <c r="BQ64" s="16">
        <f>A64</f>
        <v>46234</v>
      </c>
      <c r="BR64" s="10">
        <f t="shared" ref="BR64" si="252">B64+E64+H64+K64+N64+Q64</f>
        <v>5014.57</v>
      </c>
      <c r="BS64" s="4">
        <f t="shared" ref="BS64" si="253">BR64-BR63</f>
        <v>349.51000000000022</v>
      </c>
      <c r="BT64" s="10">
        <f t="shared" ref="BT64" si="254">C64+F64+I64+L64+O64+R64</f>
        <v>5274.0199999999995</v>
      </c>
      <c r="BU64" s="4">
        <f t="shared" ref="BU64" si="255">BT64-BR64</f>
        <v>259.44999999999982</v>
      </c>
      <c r="BV64" s="20">
        <f t="shared" ref="BV64" si="256">BU64/BR64</f>
        <v>5.1739231878306584E-2</v>
      </c>
      <c r="BW64" s="4">
        <f t="shared" ref="BW64" si="257">BU64-BU63</f>
        <v>-222.92000000000098</v>
      </c>
      <c r="BX64" s="17"/>
      <c r="BY64" s="16">
        <f>A64</f>
        <v>46234</v>
      </c>
      <c r="BZ64" s="10">
        <f>Z64+T64+AC64+W64+AR64+AF64+AI64+AL64+AO64+AU64+AX64+BA64+BD64+BG64+BJ64+BM64</f>
        <v>6564.21</v>
      </c>
      <c r="CA64" s="4">
        <f t="shared" ref="CA64" si="258">BZ64-BZ63</f>
        <v>229.14000000000033</v>
      </c>
      <c r="CB64" s="10">
        <f>AA64+U64+AD64+X64+AS64+AG64+AJ64+AM64+AP64+AV64+AY64+BB64+BE64+BG64+BK64+BM64</f>
        <v>7312.95</v>
      </c>
      <c r="CC64" s="4">
        <f t="shared" ref="CC64" si="259">CB64-BZ64</f>
        <v>748.73999999999978</v>
      </c>
      <c r="CD64" s="20">
        <f t="shared" ref="CD64" si="260">CC64/BZ64</f>
        <v>0.11406399246824823</v>
      </c>
      <c r="CE64" s="4">
        <f t="shared" ref="CE64" si="261">CC64-CC63</f>
        <v>64.37999999999829</v>
      </c>
      <c r="CF64" s="17"/>
      <c r="CG64" s="16">
        <f>A64</f>
        <v>46234</v>
      </c>
      <c r="CH64" s="10">
        <f t="shared" ref="CH64" si="262">BR64+BZ64</f>
        <v>11578.779999999999</v>
      </c>
      <c r="CI64" s="10">
        <f t="shared" ref="CI64" si="263">BS64+CA64</f>
        <v>578.65000000000055</v>
      </c>
      <c r="CJ64" s="10">
        <f t="shared" ref="CJ64" si="264">BT64+CB64</f>
        <v>12586.97</v>
      </c>
      <c r="CK64" s="4">
        <f t="shared" ref="CK64" si="265">CJ64-CH64</f>
        <v>1008.1900000000005</v>
      </c>
      <c r="CL64" s="20">
        <f t="shared" ref="CL64" si="266">CK64/CH64</f>
        <v>8.7072213134717177E-2</v>
      </c>
      <c r="CM64" s="4">
        <f t="shared" ref="CM64" si="267">CK64-CK63</f>
        <v>-158.54000000000087</v>
      </c>
      <c r="CO64" s="16">
        <f t="shared" ref="CO64" si="268">A64</f>
        <v>46234</v>
      </c>
      <c r="CP64" s="4">
        <v>0</v>
      </c>
      <c r="CQ64" s="4">
        <f t="shared" ref="CQ64" si="269">(F64-E64)-(F63-E63)</f>
        <v>-89.889999999999873</v>
      </c>
      <c r="CR64" s="4">
        <v>0</v>
      </c>
      <c r="CS64" s="4">
        <f t="shared" ref="CS64" si="270">(L64-K64)-(L63-K63)</f>
        <v>-31.960000000000036</v>
      </c>
      <c r="CT64" s="4">
        <v>0</v>
      </c>
      <c r="CU64" s="4">
        <f t="shared" ref="CU64" si="271">(R64-Q64)-(R63-Q63)</f>
        <v>-4.0199999999999818</v>
      </c>
      <c r="CV64" s="4">
        <f t="shared" ref="CV64" si="272">(U64-T64)-(U63-T63)</f>
        <v>5.3099999999999454</v>
      </c>
      <c r="CW64" s="4">
        <f t="shared" ref="CW64" si="273">(X64-W64)-(X63-W63)</f>
        <v>9.2899999999999636</v>
      </c>
      <c r="CX64" s="4">
        <f t="shared" ref="CX64" si="274">(AA64-Z64)-(AA63-Z63)</f>
        <v>0.86999999999989086</v>
      </c>
      <c r="CY64" s="4">
        <f t="shared" ref="CY64" si="275">(AD64-AC64)-(AD63-AC63)</f>
        <v>7.7400000000000091</v>
      </c>
      <c r="CZ64" s="4">
        <f t="shared" ref="CZ64" si="276">(AG64-AF64)-(AG63-AF63)</f>
        <v>12.290000000000191</v>
      </c>
      <c r="DA64" s="4">
        <f t="shared" ref="DA64" si="277">(AJ64-AI64)-(AJ63-AI63)</f>
        <v>3.0999999999999659</v>
      </c>
      <c r="DB64" s="4">
        <f t="shared" ref="DB64" si="278">(AM64-AL64)-(AM63-AL63)</f>
        <v>2.3499999999999943</v>
      </c>
      <c r="DC64" s="4">
        <f t="shared" ref="DC64" si="279">(AP64-AO64)-(AP63-AO63)</f>
        <v>2.8700000000000045</v>
      </c>
      <c r="DD64" s="4">
        <f t="shared" ref="DD64" si="280">(AS64-AR64)-(AS63-AR63)</f>
        <v>10.659999999999968</v>
      </c>
      <c r="DE64" s="4">
        <f t="shared" ref="DE64" si="281">(AV64-AU64)-(AV63-AU63)</f>
        <v>2.1200000000000045</v>
      </c>
      <c r="DF64" s="10">
        <f t="shared" ref="DF64" si="282">(AY64-AX64)-(AY63-AX63)</f>
        <v>0.68999999999999773</v>
      </c>
      <c r="DG64" s="10">
        <f t="shared" ref="DG64" si="283">(BB64-BA64)-(BB63-BA63)</f>
        <v>0.27999999999999758</v>
      </c>
      <c r="DH64" s="4">
        <f t="shared" ref="DH64" si="284">(BE64-BD64)-(BE63-BD63)</f>
        <v>0.16000000000000014</v>
      </c>
      <c r="DI64" s="4">
        <f t="shared" ref="DI64" si="285">(BH64-BG64)-(BH63-BG63)</f>
        <v>5.0000000000000711E-2</v>
      </c>
      <c r="DJ64" s="4">
        <f t="shared" si="38"/>
        <v>6.6499999999999986</v>
      </c>
      <c r="DK64" s="4">
        <f t="shared" ref="DK64" si="286">(BN64-BM64)-(BN63-BM63)</f>
        <v>0</v>
      </c>
    </row>
    <row r="65" spans="1:115" x14ac:dyDescent="0.25">
      <c r="A65" s="12">
        <v>46265</v>
      </c>
      <c r="B65" s="6">
        <v>0</v>
      </c>
      <c r="C65" s="4">
        <v>0</v>
      </c>
      <c r="D65" s="18">
        <v>0</v>
      </c>
      <c r="E65" s="6">
        <v>3094.42</v>
      </c>
      <c r="F65" s="4">
        <v>3219.86</v>
      </c>
      <c r="G65" s="18">
        <f t="shared" ref="G65" si="287">(F65-E65)/E65</f>
        <v>4.0537483599511398E-2</v>
      </c>
      <c r="H65" s="6">
        <v>0</v>
      </c>
      <c r="I65" s="4">
        <v>0</v>
      </c>
      <c r="J65" s="18">
        <v>0</v>
      </c>
      <c r="K65" s="6">
        <v>1820</v>
      </c>
      <c r="L65" s="4">
        <v>1967.01</v>
      </c>
      <c r="M65" s="18">
        <f t="shared" ref="M65" si="288">(L65-K65)/K65</f>
        <v>8.0774725274725276E-2</v>
      </c>
      <c r="N65" s="6">
        <v>0</v>
      </c>
      <c r="O65" s="4">
        <v>0</v>
      </c>
      <c r="P65" s="18">
        <v>0</v>
      </c>
      <c r="Q65" s="6">
        <v>350</v>
      </c>
      <c r="R65" s="6">
        <v>487.3</v>
      </c>
      <c r="S65" s="18">
        <f t="shared" ref="S65" si="289">(R65-Q65)/Q65</f>
        <v>0.39228571428571429</v>
      </c>
      <c r="T65" s="6">
        <v>1114.17</v>
      </c>
      <c r="U65" s="4">
        <v>1234.3800000000001</v>
      </c>
      <c r="V65" s="19">
        <f t="shared" ref="V65" si="290">(U65-T65)/T65</f>
        <v>0.10789197339723743</v>
      </c>
      <c r="W65" s="6">
        <v>854.83</v>
      </c>
      <c r="X65" s="4">
        <v>1024.58</v>
      </c>
      <c r="Y65" s="19">
        <f t="shared" ref="Y65" si="291">(X65-W65)/W65</f>
        <v>0.19857749494051435</v>
      </c>
      <c r="Z65" s="6">
        <v>550</v>
      </c>
      <c r="AA65" s="4">
        <v>637.05999999999995</v>
      </c>
      <c r="AB65" s="19">
        <f t="shared" ref="AB65" si="292">(AA65-Z65)/Z65</f>
        <v>0.15829090909090898</v>
      </c>
      <c r="AC65" s="6">
        <v>1030</v>
      </c>
      <c r="AD65" s="4">
        <v>1186.7</v>
      </c>
      <c r="AE65" s="19">
        <f t="shared" ref="AE65" si="293">(AD65-AC65)/AC65</f>
        <v>0.15213592233009712</v>
      </c>
      <c r="AF65" s="6">
        <v>950</v>
      </c>
      <c r="AG65" s="4">
        <v>1071.44</v>
      </c>
      <c r="AH65" s="19">
        <f t="shared" ref="AH65" si="294">(AG65-AF65)/AF65</f>
        <v>0.12783157894736849</v>
      </c>
      <c r="AI65" s="6">
        <v>300</v>
      </c>
      <c r="AJ65" s="4">
        <v>330.26</v>
      </c>
      <c r="AK65" s="19">
        <f t="shared" ref="AK65" si="295">(AJ65-AI65)/AI65</f>
        <v>0.10086666666666663</v>
      </c>
      <c r="AL65" s="6">
        <v>260</v>
      </c>
      <c r="AM65" s="4">
        <v>278.37</v>
      </c>
      <c r="AN65" s="19">
        <f t="shared" ref="AN65" si="296">(AM65-AL65)/AL65</f>
        <v>7.0653846153846178E-2</v>
      </c>
      <c r="AO65" s="6">
        <v>360</v>
      </c>
      <c r="AP65" s="4">
        <v>381.25</v>
      </c>
      <c r="AQ65" s="19">
        <f t="shared" ref="AQ65" si="297">(AP65-AO65)/AO65</f>
        <v>5.9027777777777776E-2</v>
      </c>
      <c r="AR65" s="6">
        <v>674.21</v>
      </c>
      <c r="AS65" s="4">
        <v>704.7</v>
      </c>
      <c r="AT65" s="19">
        <f t="shared" ref="AT65" si="298">(AS65-AR65)/AR65</f>
        <v>4.5223298378843396E-2</v>
      </c>
      <c r="AU65" s="6">
        <v>300</v>
      </c>
      <c r="AV65" s="4">
        <v>317.41000000000003</v>
      </c>
      <c r="AW65" s="19">
        <f t="shared" ref="AW65" si="299">(AV65-AU65)/AU65</f>
        <v>5.8033333333333416E-2</v>
      </c>
      <c r="AX65" s="6">
        <v>100</v>
      </c>
      <c r="AY65" s="4">
        <v>112.85</v>
      </c>
      <c r="AZ65" s="19">
        <f t="shared" si="168"/>
        <v>0.12849999999999995</v>
      </c>
      <c r="BA65" s="6">
        <v>20</v>
      </c>
      <c r="BB65" s="4">
        <v>20.7</v>
      </c>
      <c r="BC65" s="19">
        <f t="shared" si="169"/>
        <v>3.4999999999999962E-2</v>
      </c>
      <c r="BD65" s="6">
        <v>60</v>
      </c>
      <c r="BE65" s="4">
        <v>60.32</v>
      </c>
      <c r="BF65" s="19">
        <f>(BE65-BD65)/BD65</f>
        <v>5.3333333333333384E-3</v>
      </c>
      <c r="BG65" s="6">
        <v>30</v>
      </c>
      <c r="BH65" s="4">
        <v>30.52</v>
      </c>
      <c r="BI65" s="19">
        <f>(BH65-BG65)/BG65</f>
        <v>1.7333333333333319E-2</v>
      </c>
      <c r="BJ65" s="6">
        <v>50</v>
      </c>
      <c r="BK65" s="4">
        <v>56.65</v>
      </c>
      <c r="BL65" s="19">
        <f>(BK65-BJ65)/BJ65</f>
        <v>0.13299999999999998</v>
      </c>
      <c r="BM65" s="6">
        <v>30</v>
      </c>
      <c r="BN65" s="4">
        <v>30</v>
      </c>
      <c r="BO65" s="19">
        <v>0</v>
      </c>
      <c r="BQ65" s="16">
        <f>A65</f>
        <v>46265</v>
      </c>
      <c r="BR65" s="10">
        <f t="shared" ref="BR65" si="300">B65+E65+H65+K65+N65+Q65</f>
        <v>5264.42</v>
      </c>
      <c r="BS65" s="4">
        <f t="shared" ref="BS65" si="301">BR65-BR64</f>
        <v>249.85000000000036</v>
      </c>
      <c r="BT65" s="10">
        <f t="shared" ref="BT65" si="302">C65+F65+I65+L65+O65+R65</f>
        <v>5674.17</v>
      </c>
      <c r="BU65" s="4">
        <f t="shared" ref="BU65" si="303">BT65-BR65</f>
        <v>409.75</v>
      </c>
      <c r="BV65" s="20">
        <f t="shared" ref="BV65" si="304">BU65/BR65</f>
        <v>7.7833835446259991E-2</v>
      </c>
      <c r="BW65" s="4">
        <f t="shared" ref="BW65" si="305">BU65-BU64</f>
        <v>150.30000000000018</v>
      </c>
      <c r="BX65" s="17"/>
      <c r="BY65" s="16">
        <f>A65</f>
        <v>46265</v>
      </c>
      <c r="BZ65" s="10">
        <f>Z65+T65+AC65+W65+AR65+AF65+AI65+AL65+AO65+AU65+AX65+BA65+BD65+BG65+BJ65+BM65</f>
        <v>6683.21</v>
      </c>
      <c r="CA65" s="4">
        <f t="shared" ref="CA65" si="306">BZ65-BZ64</f>
        <v>119</v>
      </c>
      <c r="CB65" s="10">
        <f>AA65+U65+AD65+X65+AS65+AG65+AJ65+AM65+AP65+AV65+AY65+BB65+BE65+BG65+BK65+BM65</f>
        <v>7476.67</v>
      </c>
      <c r="CC65" s="4">
        <f t="shared" ref="CC65" si="307">CB65-BZ65</f>
        <v>793.46</v>
      </c>
      <c r="CD65" s="20">
        <f t="shared" ref="CD65" si="308">CC65/BZ65</f>
        <v>0.11872438543753676</v>
      </c>
      <c r="CE65" s="4">
        <f t="shared" ref="CE65" si="309">CC65-CC64</f>
        <v>44.720000000000255</v>
      </c>
      <c r="CF65" s="17"/>
      <c r="CG65" s="16">
        <f>A65</f>
        <v>46265</v>
      </c>
      <c r="CH65" s="10">
        <f t="shared" ref="CH65" si="310">BR65+BZ65</f>
        <v>11947.630000000001</v>
      </c>
      <c r="CI65" s="10">
        <f t="shared" ref="CI65" si="311">BS65+CA65</f>
        <v>368.85000000000036</v>
      </c>
      <c r="CJ65" s="10">
        <f t="shared" ref="CJ65" si="312">BT65+CB65</f>
        <v>13150.84</v>
      </c>
      <c r="CK65" s="4">
        <f t="shared" ref="CK65" si="313">CJ65-CH65</f>
        <v>1203.2099999999991</v>
      </c>
      <c r="CL65" s="20">
        <f t="shared" ref="CL65" si="314">CK65/CH65</f>
        <v>0.1007070021418473</v>
      </c>
      <c r="CM65" s="4">
        <f t="shared" ref="CM65" si="315">CK65-CK64</f>
        <v>195.01999999999862</v>
      </c>
      <c r="CO65" s="16">
        <f t="shared" ref="CO65" si="316">A65</f>
        <v>46265</v>
      </c>
      <c r="CP65" s="4">
        <v>0</v>
      </c>
      <c r="CQ65" s="4">
        <f t="shared" ref="CQ65" si="317">(F65-E65)-(F64-E64)</f>
        <v>91.440000000000055</v>
      </c>
      <c r="CR65" s="4">
        <v>0</v>
      </c>
      <c r="CS65" s="4">
        <f t="shared" ref="CS65" si="318">(L65-K65)-(L64-K64)</f>
        <v>43.180000000000064</v>
      </c>
      <c r="CT65" s="4">
        <v>0</v>
      </c>
      <c r="CU65" s="4">
        <f t="shared" ref="CU65" si="319">(R65-Q65)-(R64-Q64)</f>
        <v>15.680000000000007</v>
      </c>
      <c r="CV65" s="4">
        <f t="shared" ref="CV65" si="320">(U65-T65)-(U64-T64)</f>
        <v>14.870000000000118</v>
      </c>
      <c r="CW65" s="4">
        <f t="shared" ref="CW65" si="321">(X65-W65)-(X64-W64)</f>
        <v>7.8999999999999773</v>
      </c>
      <c r="CX65" s="4">
        <f t="shared" ref="CX65" si="322">(AA65-Z65)-(AA64-Z64)</f>
        <v>0</v>
      </c>
      <c r="CY65" s="4">
        <f t="shared" ref="CY65" si="323">(AD65-AC65)-(AD64-AC64)</f>
        <v>0.22000000000002728</v>
      </c>
      <c r="CZ65" s="4">
        <f t="shared" ref="CZ65" si="324">(AG65-AF65)-(AG64-AF64)</f>
        <v>8.5299999999999727</v>
      </c>
      <c r="DA65" s="4">
        <f t="shared" ref="DA65" si="325">(AJ65-AI65)-(AJ64-AI64)</f>
        <v>3.8700000000000045</v>
      </c>
      <c r="DB65" s="4">
        <f t="shared" ref="DB65" si="326">(AM65-AL65)-(AM64-AL64)</f>
        <v>2.7700000000000102</v>
      </c>
      <c r="DC65" s="4">
        <f t="shared" ref="DC65" si="327">(AP65-AO65)-(AP64-AO64)</f>
        <v>2.8999999999999773</v>
      </c>
      <c r="DD65" s="4">
        <f t="shared" ref="DD65" si="328">(AS65-AR65)-(AS64-AR64)</f>
        <v>3.0000000000086402E-2</v>
      </c>
      <c r="DE65" s="4">
        <f t="shared" ref="DE65" si="329">(AV65-AU65)-(AV64-AU64)</f>
        <v>2.410000000000025</v>
      </c>
      <c r="DF65" s="10">
        <f t="shared" ref="DF65" si="330">(AY65-AX65)-(AY64-AX64)</f>
        <v>0.93999999999999773</v>
      </c>
      <c r="DG65" s="10">
        <f t="shared" ref="DG65" si="331">(BB65-BA65)-(BB64-BA64)</f>
        <v>0.12000000000000099</v>
      </c>
      <c r="DH65" s="4">
        <f t="shared" ref="DH65" si="332">(BE65-BD65)-(BE64-BD64)</f>
        <v>0.16000000000000014</v>
      </c>
      <c r="DI65" s="4">
        <f t="shared" ref="DI65" si="333">(BH65-BG65)-(BH64-BG64)</f>
        <v>0.46999999999999886</v>
      </c>
      <c r="DJ65" s="4">
        <f t="shared" ref="DJ65" si="334">(BK65-BJ65)-(BK64-BJ64)</f>
        <v>0</v>
      </c>
      <c r="DK65" s="4">
        <f t="shared" ref="DK65" si="335">(BN65-BM65)-(BN64-BM64)</f>
        <v>0</v>
      </c>
    </row>
    <row r="66" spans="1:115" x14ac:dyDescent="0.25">
      <c r="A66" s="12">
        <v>46295</v>
      </c>
      <c r="B66" s="6">
        <v>0</v>
      </c>
      <c r="C66" s="4">
        <v>0</v>
      </c>
      <c r="D66" s="18">
        <v>0</v>
      </c>
      <c r="E66" s="6">
        <v>3194.34</v>
      </c>
      <c r="F66" s="4">
        <v>3395.08</v>
      </c>
      <c r="G66" s="18">
        <f t="shared" ref="G66" si="336">(F66-E66)/E66</f>
        <v>6.2842402499420774E-2</v>
      </c>
      <c r="H66" s="6">
        <v>0</v>
      </c>
      <c r="I66" s="4">
        <v>0</v>
      </c>
      <c r="J66" s="18">
        <v>0</v>
      </c>
      <c r="K66" s="6">
        <v>1975</v>
      </c>
      <c r="L66" s="4">
        <v>2148.0300000000002</v>
      </c>
      <c r="M66" s="18">
        <f t="shared" ref="M66" si="337">(L66-K66)/K66</f>
        <v>8.7610126582278583E-2</v>
      </c>
      <c r="N66" s="6">
        <v>0</v>
      </c>
      <c r="O66" s="4">
        <v>0</v>
      </c>
      <c r="P66" s="18">
        <v>0</v>
      </c>
      <c r="Q66" s="6">
        <v>350</v>
      </c>
      <c r="R66" s="6">
        <v>506.44</v>
      </c>
      <c r="S66" s="18">
        <f t="shared" ref="S66" si="338">(R66-Q66)/Q66</f>
        <v>0.44697142857142858</v>
      </c>
      <c r="T66" s="6">
        <v>1114.17</v>
      </c>
      <c r="U66" s="4">
        <v>1250.06</v>
      </c>
      <c r="V66" s="19">
        <f t="shared" ref="V66" si="339">(U66-T66)/T66</f>
        <v>0.12196522972257363</v>
      </c>
      <c r="W66" s="6">
        <v>854.83</v>
      </c>
      <c r="X66" s="4">
        <v>1033.7</v>
      </c>
      <c r="Y66" s="19">
        <f t="shared" ref="Y66" si="340">(X66-W66)/W66</f>
        <v>0.20924628288665581</v>
      </c>
      <c r="Z66" s="6">
        <v>550</v>
      </c>
      <c r="AA66" s="4">
        <v>637.05999999999995</v>
      </c>
      <c r="AB66" s="19">
        <f t="shared" ref="AB66" si="341">(AA66-Z66)/Z66</f>
        <v>0.15829090909090898</v>
      </c>
      <c r="AC66" s="6">
        <v>1030</v>
      </c>
      <c r="AD66" s="4">
        <v>1197.8399999999999</v>
      </c>
      <c r="AE66" s="19">
        <f t="shared" ref="AE66" si="342">(AD66-AC66)/AC66</f>
        <v>0.16295145631067953</v>
      </c>
      <c r="AF66" s="6">
        <v>950</v>
      </c>
      <c r="AG66" s="4">
        <v>1079</v>
      </c>
      <c r="AH66" s="19">
        <f t="shared" ref="AH66" si="343">(AG66-AF66)/AF66</f>
        <v>0.13578947368421052</v>
      </c>
      <c r="AI66" s="6">
        <v>320</v>
      </c>
      <c r="AJ66" s="4">
        <v>353.94</v>
      </c>
      <c r="AK66" s="19">
        <f t="shared" ref="AK66" si="344">(AJ66-AI66)/AI66</f>
        <v>0.10606249999999999</v>
      </c>
      <c r="AL66" s="6">
        <v>300</v>
      </c>
      <c r="AM66" s="4">
        <v>321.39999999999998</v>
      </c>
      <c r="AN66" s="19">
        <f t="shared" ref="AN66" si="345">(AM66-AL66)/AL66</f>
        <v>7.1333333333333263E-2</v>
      </c>
      <c r="AO66" s="6">
        <v>430</v>
      </c>
      <c r="AP66" s="4">
        <v>454.74</v>
      </c>
      <c r="AQ66" s="19">
        <f t="shared" ref="AQ66" si="346">(AP66-AO66)/AO66</f>
        <v>5.7534883720930255E-2</v>
      </c>
      <c r="AR66" s="6">
        <v>674.21</v>
      </c>
      <c r="AS66" s="4">
        <v>706.59</v>
      </c>
      <c r="AT66" s="19">
        <f t="shared" ref="AT66" si="347">(AS66-AR66)/AR66</f>
        <v>4.8026579255721499E-2</v>
      </c>
      <c r="AU66" s="6">
        <v>300</v>
      </c>
      <c r="AV66" s="4">
        <v>319.79000000000002</v>
      </c>
      <c r="AW66" s="19">
        <f t="shared" ref="AW66" si="348">(AV66-AU66)/AU66</f>
        <v>6.5966666666666729E-2</v>
      </c>
      <c r="AX66" s="6">
        <v>100</v>
      </c>
      <c r="AY66" s="4">
        <v>113.83</v>
      </c>
      <c r="AZ66" s="19">
        <f t="shared" si="168"/>
        <v>0.13829999999999998</v>
      </c>
      <c r="BA66" s="6">
        <v>20</v>
      </c>
      <c r="BB66" s="4">
        <v>21.04</v>
      </c>
      <c r="BC66" s="19">
        <f t="shared" si="169"/>
        <v>5.1999999999999956E-2</v>
      </c>
      <c r="BD66" s="6">
        <v>60</v>
      </c>
      <c r="BE66" s="4">
        <v>60.73</v>
      </c>
      <c r="BF66" s="19">
        <f>(BE66-BD66)/BD66</f>
        <v>1.2166666666666614E-2</v>
      </c>
      <c r="BG66" s="6">
        <v>40</v>
      </c>
      <c r="BH66" s="4">
        <v>41.01</v>
      </c>
      <c r="BI66" s="19">
        <f>(BH66-BG66)/BG66</f>
        <v>2.524999999999995E-2</v>
      </c>
      <c r="BJ66" s="6">
        <v>100</v>
      </c>
      <c r="BK66" s="4">
        <v>107.24</v>
      </c>
      <c r="BL66" s="19">
        <f>(BK66-BJ66)/BJ66</f>
        <v>7.2399999999999951E-2</v>
      </c>
      <c r="BM66" s="6">
        <v>30</v>
      </c>
      <c r="BN66" s="4">
        <v>30.16</v>
      </c>
      <c r="BO66" s="19">
        <f>(BN66-BM66)/BM66</f>
        <v>5.3333333333333384E-3</v>
      </c>
      <c r="BQ66" s="16">
        <f>A66</f>
        <v>46295</v>
      </c>
      <c r="BR66" s="10">
        <f t="shared" ref="BR66" si="349">B66+E66+H66+K66+N66+Q66</f>
        <v>5519.34</v>
      </c>
      <c r="BS66" s="4">
        <f t="shared" ref="BS66" si="350">BR66-BR65</f>
        <v>254.92000000000007</v>
      </c>
      <c r="BT66" s="10">
        <f t="shared" ref="BT66" si="351">C66+F66+I66+L66+O66+R66</f>
        <v>6049.55</v>
      </c>
      <c r="BU66" s="4">
        <f t="shared" ref="BU66" si="352">BT66-BR66</f>
        <v>530.21</v>
      </c>
      <c r="BV66" s="20">
        <f t="shared" ref="BV66" si="353">BU66/BR66</f>
        <v>9.6064022147575617E-2</v>
      </c>
      <c r="BW66" s="4">
        <f t="shared" ref="BW66" si="354">BU66-BU65</f>
        <v>120.46000000000004</v>
      </c>
      <c r="BX66" s="17"/>
      <c r="BY66" s="16">
        <f>A66</f>
        <v>46295</v>
      </c>
      <c r="BZ66" s="10">
        <f>Z66+T66+AC66+W66+AR66+AF66+AI66+AL66+AO66+AU66+AX66+BA66+BD66+BG66+BJ66+BM66</f>
        <v>6873.21</v>
      </c>
      <c r="CA66" s="4">
        <f t="shared" ref="CA66" si="355">BZ66-BZ65</f>
        <v>190</v>
      </c>
      <c r="CB66" s="10">
        <f>AA66+U66+AD66+X66+AS66+AG66+AJ66+AM66+AP66+AV66+AY66+BB66+BE66+BG66+BK66+BM66</f>
        <v>7726.9599999999982</v>
      </c>
      <c r="CC66" s="4">
        <f t="shared" ref="CC66" si="356">CB66-BZ66</f>
        <v>853.74999999999818</v>
      </c>
      <c r="CD66" s="20">
        <f t="shared" ref="CD66" si="357">CC66/BZ66</f>
        <v>0.12421415903195132</v>
      </c>
      <c r="CE66" s="4">
        <f t="shared" ref="CE66" si="358">CC66-CC65</f>
        <v>60.289999999998145</v>
      </c>
      <c r="CF66" s="17"/>
      <c r="CG66" s="16">
        <f>A66</f>
        <v>46295</v>
      </c>
      <c r="CH66" s="10">
        <f t="shared" ref="CH66" si="359">BR66+BZ66</f>
        <v>12392.55</v>
      </c>
      <c r="CI66" s="10">
        <f t="shared" ref="CI66" si="360">BS66+CA66</f>
        <v>444.92000000000007</v>
      </c>
      <c r="CJ66" s="10">
        <f t="shared" ref="CJ66" si="361">BT66+CB66</f>
        <v>13776.509999999998</v>
      </c>
      <c r="CK66" s="4">
        <f t="shared" ref="CK66" si="362">CJ66-CH66</f>
        <v>1383.9599999999991</v>
      </c>
      <c r="CL66" s="20">
        <f t="shared" ref="CL66" si="363">CK66/CH66</f>
        <v>0.11167677354539617</v>
      </c>
      <c r="CM66" s="4">
        <f t="shared" ref="CM66" si="364">CK66-CK65</f>
        <v>180.75</v>
      </c>
      <c r="CO66" s="16">
        <f t="shared" ref="CO66" si="365">A66</f>
        <v>46295</v>
      </c>
      <c r="CP66" s="4">
        <v>0</v>
      </c>
      <c r="CQ66" s="4">
        <f t="shared" ref="CQ66" si="366">(F66-E66)-(F65-E65)</f>
        <v>75.299999999999727</v>
      </c>
      <c r="CR66" s="4">
        <v>0</v>
      </c>
      <c r="CS66" s="4">
        <f t="shared" ref="CS66" si="367">(L66-K66)-(L65-K65)</f>
        <v>26.020000000000209</v>
      </c>
      <c r="CT66" s="4">
        <v>0</v>
      </c>
      <c r="CU66" s="4">
        <f t="shared" ref="CU66" si="368">(R66-Q66)-(R65-Q65)</f>
        <v>19.139999999999986</v>
      </c>
      <c r="CV66" s="4">
        <f t="shared" ref="CV66" si="369">(U66-T66)-(U65-T65)</f>
        <v>15.679999999999836</v>
      </c>
      <c r="CW66" s="4">
        <f t="shared" ref="CW66" si="370">(X66-W66)-(X65-W65)</f>
        <v>9.1200000000001182</v>
      </c>
      <c r="CX66" s="4">
        <f t="shared" ref="CX66" si="371">(AA66-Z66)-(AA65-Z65)</f>
        <v>0</v>
      </c>
      <c r="CY66" s="4">
        <f t="shared" ref="CY66" si="372">(AD66-AC66)-(AD65-AC65)</f>
        <v>11.139999999999873</v>
      </c>
      <c r="CZ66" s="4">
        <f t="shared" ref="CZ66" si="373">(AG66-AF66)-(AG65-AF65)</f>
        <v>7.5599999999999454</v>
      </c>
      <c r="DA66" s="4">
        <f t="shared" ref="DA66" si="374">(AJ66-AI66)-(AJ65-AI65)</f>
        <v>3.6800000000000068</v>
      </c>
      <c r="DB66" s="4">
        <f t="shared" ref="DB66" si="375">(AM66-AL66)-(AM65-AL65)</f>
        <v>3.0299999999999727</v>
      </c>
      <c r="DC66" s="4">
        <f t="shared" ref="DC66" si="376">(AP66-AO66)-(AP65-AO65)</f>
        <v>3.4900000000000091</v>
      </c>
      <c r="DD66" s="4">
        <f t="shared" ref="DD66" si="377">(AS66-AR66)-(AS65-AR65)</f>
        <v>1.8899999999999864</v>
      </c>
      <c r="DE66" s="4">
        <f t="shared" ref="DE66" si="378">(AV66-AU66)-(AV65-AU65)</f>
        <v>2.3799999999999955</v>
      </c>
      <c r="DF66" s="10">
        <f t="shared" ref="DF66" si="379">(AY66-AX66)-(AY65-AX65)</f>
        <v>0.98000000000000398</v>
      </c>
      <c r="DG66" s="10">
        <f t="shared" ref="DG66" si="380">(BB66-BA66)-(BB65-BA65)</f>
        <v>0.33999999999999986</v>
      </c>
      <c r="DH66" s="4">
        <f t="shared" ref="DH66" si="381">(BE66-BD66)-(BE65-BD65)</f>
        <v>0.40999999999999659</v>
      </c>
      <c r="DI66" s="4">
        <f t="shared" ref="DI66" si="382">(BH66-BG66)-(BH65-BG65)</f>
        <v>0.48999999999999844</v>
      </c>
      <c r="DJ66" s="4">
        <f t="shared" ref="DJ66" si="383">(BK66-BJ66)-(BK65-BJ65)</f>
        <v>0.58999999999999631</v>
      </c>
      <c r="DK66" s="4">
        <f t="shared" ref="DK66" si="384">(BN66-BM66)-(BN65-BM65)</f>
        <v>0.16000000000000014</v>
      </c>
    </row>
  </sheetData>
  <mergeCells count="26">
    <mergeCell ref="CG1:CM1"/>
    <mergeCell ref="BQ1:BW1"/>
    <mergeCell ref="BD1:BF1"/>
    <mergeCell ref="AX1:AZ1"/>
    <mergeCell ref="BA1:BC1"/>
    <mergeCell ref="BY1:CE1"/>
    <mergeCell ref="BG1:BI1"/>
    <mergeCell ref="BM1:BO1"/>
    <mergeCell ref="BJ1:BL1"/>
    <mergeCell ref="A1:A2"/>
    <mergeCell ref="Q1:S1"/>
    <mergeCell ref="B1:D1"/>
    <mergeCell ref="E1:G1"/>
    <mergeCell ref="H1:J1"/>
    <mergeCell ref="K1:M1"/>
    <mergeCell ref="N1:P1"/>
    <mergeCell ref="W1:Y1"/>
    <mergeCell ref="AC1:AE1"/>
    <mergeCell ref="T1:V1"/>
    <mergeCell ref="Z1:AB1"/>
    <mergeCell ref="AU1:AW1"/>
    <mergeCell ref="AI1:AK1"/>
    <mergeCell ref="AL1:AN1"/>
    <mergeCell ref="AO1:AQ1"/>
    <mergeCell ref="AR1:AT1"/>
    <mergeCell ref="AF1:AH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7371-7979-4D68-BF7F-63BA8756BB1F}">
  <dimension ref="A1:H31"/>
  <sheetViews>
    <sheetView topLeftCell="A6" workbookViewId="0">
      <selection activeCell="G31" sqref="G31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33">
        <v>2026.06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>
        <v>46173</v>
      </c>
      <c r="D4" s="32">
        <v>46203</v>
      </c>
      <c r="E4" s="29">
        <f>A1</f>
        <v>2026.06</v>
      </c>
      <c r="F4" s="29" t="s">
        <v>28</v>
      </c>
      <c r="G4" s="29">
        <f>A1</f>
        <v>2026.06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Investavimas!U$62</f>
        <v>1107.48</v>
      </c>
      <c r="D5" s="10">
        <f>Investavimas!U$63</f>
        <v>1120.03</v>
      </c>
      <c r="E5" s="10">
        <f>Investavimas!T$63-Investavimas!T$62</f>
        <v>0</v>
      </c>
      <c r="F5" s="10">
        <f>Investavimas!T$63</f>
        <v>1020</v>
      </c>
      <c r="G5" s="10">
        <f t="shared" ref="G5:G17" si="0">$D5-$E5-$C5</f>
        <v>12.549999999999955</v>
      </c>
      <c r="H5" s="4">
        <f>D5-F5</f>
        <v>100.02999999999997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Investavimas!X$62</f>
        <v>1092.82</v>
      </c>
      <c r="D6" s="4">
        <f>Investavimas!X$63</f>
        <v>1102.56</v>
      </c>
      <c r="E6" s="4">
        <f>Investavimas!W$63-Investavimas!W$62</f>
        <v>0</v>
      </c>
      <c r="F6" s="4">
        <f>Investavimas!W63</f>
        <v>950</v>
      </c>
      <c r="G6" s="4">
        <f t="shared" si="0"/>
        <v>9.7400000000000091</v>
      </c>
      <c r="H6" s="4">
        <f>D6-F6</f>
        <v>152.55999999999995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Investavimas!AA$62</f>
        <v>615.37</v>
      </c>
      <c r="D7" s="4">
        <f>Investavimas!AA$63</f>
        <v>616.19000000000005</v>
      </c>
      <c r="E7" s="4">
        <f>Investavimas!Z$63-Investavimas!Z$62</f>
        <v>0</v>
      </c>
      <c r="F7" s="4">
        <f>Investavimas!Z63</f>
        <v>530</v>
      </c>
      <c r="G7" s="4">
        <f t="shared" si="0"/>
        <v>0.82000000000005002</v>
      </c>
      <c r="H7" s="4">
        <f t="shared" ref="H7:H17" si="1">D7-F7</f>
        <v>86.190000000000055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Investavimas!AD$62</f>
        <v>1156.17</v>
      </c>
      <c r="D8" s="4">
        <f>Investavimas!AD$63</f>
        <v>1178.74</v>
      </c>
      <c r="E8" s="4">
        <f>Investavimas!AC$63-Investavimas!AC$62</f>
        <v>0</v>
      </c>
      <c r="F8" s="4">
        <f>Investavimas!AC$63</f>
        <v>1030</v>
      </c>
      <c r="G8" s="4">
        <f t="shared" si="0"/>
        <v>22.569999999999936</v>
      </c>
      <c r="H8" s="4">
        <f t="shared" si="1"/>
        <v>148.74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Investavimas!AG$62</f>
        <v>1033.8699999999999</v>
      </c>
      <c r="D9" s="4">
        <f>Investavimas!AG$63</f>
        <v>1050.6199999999999</v>
      </c>
      <c r="E9" s="4">
        <f>Investavimas!AF$63-Investavimas!AF$62</f>
        <v>0</v>
      </c>
      <c r="F9" s="4">
        <f>Investavimas!AF$63</f>
        <v>950</v>
      </c>
      <c r="G9" s="4">
        <f t="shared" si="0"/>
        <v>16.75</v>
      </c>
      <c r="H9" s="4">
        <f t="shared" si="1"/>
        <v>100.61999999999989</v>
      </c>
    </row>
    <row r="10" spans="1:8" x14ac:dyDescent="0.25">
      <c r="A10" s="1" t="str">
        <f>Investavimas!AI$1</f>
        <v>Nectaro</v>
      </c>
      <c r="B10" s="2" t="s">
        <v>32</v>
      </c>
      <c r="C10" s="4">
        <f>Investavimas!AJ$62</f>
        <v>320.27999999999997</v>
      </c>
      <c r="D10" s="4">
        <f>Investavimas!AJ$63</f>
        <v>323.29000000000002</v>
      </c>
      <c r="E10" s="4">
        <f>Investavimas!AI$63-Investavimas!AI$62</f>
        <v>0</v>
      </c>
      <c r="F10" s="4">
        <f>Investavimas!AI$63</f>
        <v>300</v>
      </c>
      <c r="G10" s="4">
        <f t="shared" si="0"/>
        <v>3.0100000000000477</v>
      </c>
      <c r="H10" s="4">
        <f t="shared" si="1"/>
        <v>23.29000000000002</v>
      </c>
    </row>
    <row r="11" spans="1:8" x14ac:dyDescent="0.25">
      <c r="A11" s="1" t="str">
        <f>Investavimas!AL$1</f>
        <v>Debitum</v>
      </c>
      <c r="B11" s="2" t="s">
        <v>32</v>
      </c>
      <c r="C11" s="4">
        <f>Investavimas!AM$62</f>
        <v>211.15</v>
      </c>
      <c r="D11" s="4">
        <f>Investavimas!AM$63</f>
        <v>213.25</v>
      </c>
      <c r="E11" s="4">
        <f>Investavimas!AL$63-Investavimas!AL$62</f>
        <v>0</v>
      </c>
      <c r="F11" s="4">
        <f>Investavimas!AL$63</f>
        <v>200</v>
      </c>
      <c r="G11" s="4">
        <f t="shared" si="0"/>
        <v>2.0999999999999943</v>
      </c>
      <c r="H11" s="4">
        <f t="shared" si="1"/>
        <v>13.25</v>
      </c>
    </row>
    <row r="12" spans="1:8" x14ac:dyDescent="0.25">
      <c r="A12" s="1" t="str">
        <f>Investavimas!AO$1</f>
        <v>Viainvest</v>
      </c>
      <c r="B12" s="2" t="s">
        <v>32</v>
      </c>
      <c r="C12" s="4">
        <f>Investavimas!AP$62</f>
        <v>342.77</v>
      </c>
      <c r="D12" s="4">
        <f>Investavimas!AP$63</f>
        <v>355.48</v>
      </c>
      <c r="E12" s="4">
        <f>Investavimas!AO$63-Investavimas!AO$62</f>
        <v>10</v>
      </c>
      <c r="F12" s="4">
        <f>Investavimas!AO$63</f>
        <v>340</v>
      </c>
      <c r="G12" s="4">
        <f t="shared" si="0"/>
        <v>2.7100000000000364</v>
      </c>
      <c r="H12" s="4">
        <f t="shared" si="1"/>
        <v>15.480000000000018</v>
      </c>
    </row>
    <row r="13" spans="1:8" x14ac:dyDescent="0.25">
      <c r="A13" s="1" t="str">
        <f>Investavimas!AR$1</f>
        <v>Rontgen</v>
      </c>
      <c r="B13" s="2" t="s">
        <v>32</v>
      </c>
      <c r="C13" s="4">
        <f>Investavimas!AS$62</f>
        <v>618.13</v>
      </c>
      <c r="D13" s="4">
        <f>Investavimas!AS$63</f>
        <v>654.87</v>
      </c>
      <c r="E13" s="4">
        <f>Investavimas!AR$63-Investavimas!AR$62</f>
        <v>35.07000000000005</v>
      </c>
      <c r="F13" s="4">
        <f>Investavimas!AR$63</f>
        <v>635.07000000000005</v>
      </c>
      <c r="G13" s="4">
        <f t="shared" si="0"/>
        <v>1.6699999999999591</v>
      </c>
      <c r="H13" s="4">
        <f t="shared" si="1"/>
        <v>19.799999999999955</v>
      </c>
    </row>
    <row r="14" spans="1:8" x14ac:dyDescent="0.25">
      <c r="A14" s="1" t="str">
        <f>Investavimas!AU$1</f>
        <v>Afranga</v>
      </c>
      <c r="B14" s="2" t="s">
        <v>32</v>
      </c>
      <c r="C14" s="4">
        <f>Investavimas!AV$62</f>
        <v>280.67</v>
      </c>
      <c r="D14" s="4">
        <f>Investavimas!AV$63</f>
        <v>282.88</v>
      </c>
      <c r="E14" s="4">
        <f>Investavimas!AU$63-Investavimas!AU$62</f>
        <v>0</v>
      </c>
      <c r="F14" s="4">
        <f>Investavimas!AU$63</f>
        <v>270</v>
      </c>
      <c r="G14" s="4">
        <f t="shared" si="0"/>
        <v>2.2099999999999795</v>
      </c>
      <c r="H14" s="4">
        <f t="shared" si="1"/>
        <v>12.879999999999995</v>
      </c>
    </row>
    <row r="15" spans="1:8" x14ac:dyDescent="0.25">
      <c r="A15" s="1" t="str">
        <f>Investavimas!AX$1</f>
        <v>Lendermarket</v>
      </c>
      <c r="B15" s="2" t="s">
        <v>32</v>
      </c>
      <c r="C15" s="4">
        <f>Investavimas!AY$62</f>
        <v>50.38</v>
      </c>
      <c r="D15" s="4">
        <f>Investavimas!AY$63</f>
        <v>81.22</v>
      </c>
      <c r="E15" s="4">
        <f>Investavimas!AX$63-Investavimas!AX$62</f>
        <v>30</v>
      </c>
      <c r="F15" s="4">
        <f>Investavimas!AX$63</f>
        <v>70</v>
      </c>
      <c r="G15" s="4">
        <f t="shared" si="0"/>
        <v>0.83999999999999631</v>
      </c>
      <c r="H15" s="4">
        <f t="shared" si="1"/>
        <v>11.219999999999999</v>
      </c>
    </row>
    <row r="16" spans="1:8" x14ac:dyDescent="0.25">
      <c r="A16" s="1" t="str">
        <f>Investavimas!BA$1</f>
        <v>Loanch</v>
      </c>
      <c r="B16" s="2" t="s">
        <v>32</v>
      </c>
      <c r="C16" s="4">
        <f>Investavimas!BB$62</f>
        <v>20.079999999999998</v>
      </c>
      <c r="D16" s="4">
        <f>Investavimas!BB$63</f>
        <v>20.3</v>
      </c>
      <c r="E16" s="4">
        <f>Investavimas!BA$63-Investavimas!BA$62</f>
        <v>0</v>
      </c>
      <c r="F16" s="4">
        <f>Investavimas!BA$63</f>
        <v>20</v>
      </c>
      <c r="G16" s="4">
        <f t="shared" si="0"/>
        <v>0.22000000000000242</v>
      </c>
      <c r="H16" s="4">
        <f t="shared" si="1"/>
        <v>0.30000000000000071</v>
      </c>
    </row>
    <row r="17" spans="1:8" x14ac:dyDescent="0.25">
      <c r="A17" s="1" t="str">
        <f>Investavimas!BD$1</f>
        <v>Peerberry</v>
      </c>
      <c r="B17" s="2" t="s">
        <v>32</v>
      </c>
      <c r="C17" s="4">
        <f>Investavimas!BD$62</f>
        <v>0</v>
      </c>
      <c r="D17" s="4">
        <f>Investavimas!BD$63</f>
        <v>20</v>
      </c>
      <c r="E17" s="4">
        <f>Investavimas!BD$63-Investavimas!BD$62</f>
        <v>20</v>
      </c>
      <c r="F17" s="4">
        <f>Investavimas!BD$63</f>
        <v>20</v>
      </c>
      <c r="G17" s="4">
        <f t="shared" si="0"/>
        <v>0</v>
      </c>
      <c r="H17" s="4">
        <f t="shared" si="1"/>
        <v>0</v>
      </c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2">SUM(C5:C30)</f>
        <v>6849.17</v>
      </c>
      <c r="D31" s="4">
        <f t="shared" si="2"/>
        <v>7019.43</v>
      </c>
      <c r="E31" s="4">
        <f t="shared" si="2"/>
        <v>95.07000000000005</v>
      </c>
      <c r="F31" s="4">
        <f t="shared" si="2"/>
        <v>6335.07</v>
      </c>
      <c r="G31" s="4">
        <f t="shared" si="2"/>
        <v>75.189999999999969</v>
      </c>
      <c r="H31" s="4">
        <f t="shared" si="2"/>
        <v>684.35999999999979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ignoredErrors>
    <ignoredError sqref="E17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3949-80EA-4EB6-930F-E046402AB00E}">
  <dimension ref="A1:H31"/>
  <sheetViews>
    <sheetView topLeftCell="A24" workbookViewId="0">
      <selection activeCell="K43" sqref="K43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33">
        <v>2026.05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>
        <v>46142</v>
      </c>
      <c r="D4" s="32">
        <v>46173</v>
      </c>
      <c r="E4" s="29">
        <f>A1</f>
        <v>2026.05</v>
      </c>
      <c r="F4" s="29" t="s">
        <v>28</v>
      </c>
      <c r="G4" s="29">
        <f>A1</f>
        <v>2026.05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Investavimas!U$61</f>
        <v>1102.97</v>
      </c>
      <c r="D5" s="10">
        <f>Investavimas!U$62</f>
        <v>1107.48</v>
      </c>
      <c r="E5" s="10">
        <f>Investavimas!T$62-Investavimas!T$61</f>
        <v>0</v>
      </c>
      <c r="F5" s="10">
        <f>Investavimas!T$62</f>
        <v>1020</v>
      </c>
      <c r="G5" s="10">
        <f t="shared" ref="G5:G16" si="0">$D5-$E5-$C5</f>
        <v>4.5099999999999909</v>
      </c>
      <c r="H5" s="4">
        <f>D5-F5</f>
        <v>87.480000000000018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Investavimas!X$61</f>
        <v>1083.23</v>
      </c>
      <c r="D6" s="4">
        <f>Investavimas!X$62</f>
        <v>1092.82</v>
      </c>
      <c r="E6" s="4">
        <f>Investavimas!W$62-Investavimas!W$61</f>
        <v>0</v>
      </c>
      <c r="F6" s="4">
        <f>Investavimas!W62</f>
        <v>950</v>
      </c>
      <c r="G6" s="4">
        <f t="shared" si="0"/>
        <v>9.5899999999999181</v>
      </c>
      <c r="H6" s="4">
        <f>D6-F6</f>
        <v>142.81999999999994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Investavimas!AA$61</f>
        <v>604.86</v>
      </c>
      <c r="D7" s="4">
        <f>Investavimas!AA$62</f>
        <v>615.37</v>
      </c>
      <c r="E7" s="4">
        <f>Investavimas!Z$62-Investavimas!Z$61</f>
        <v>10</v>
      </c>
      <c r="F7" s="4">
        <f>Investavimas!Z62</f>
        <v>530</v>
      </c>
      <c r="G7" s="4">
        <f t="shared" si="0"/>
        <v>0.50999999999999091</v>
      </c>
      <c r="H7" s="4">
        <f t="shared" ref="H7:H16" si="1">D7-F7</f>
        <v>85.37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Investavimas!AD$61</f>
        <v>1156.17</v>
      </c>
      <c r="D8" s="4">
        <f>Investavimas!AD$62</f>
        <v>1156.17</v>
      </c>
      <c r="E8" s="4">
        <f>Investavimas!AC$62-Investavimas!AC$61</f>
        <v>0</v>
      </c>
      <c r="F8" s="4">
        <f>Investavimas!AC$62</f>
        <v>1030</v>
      </c>
      <c r="G8" s="4">
        <f t="shared" si="0"/>
        <v>0</v>
      </c>
      <c r="H8" s="4">
        <f t="shared" si="1"/>
        <v>126.17000000000007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Investavimas!AG$61</f>
        <v>1024.73</v>
      </c>
      <c r="D9" s="4">
        <f>Investavimas!AG$62</f>
        <v>1033.8699999999999</v>
      </c>
      <c r="E9" s="4">
        <f>Investavimas!AF$62-Investavimas!AF$61</f>
        <v>0</v>
      </c>
      <c r="F9" s="4">
        <f>Investavimas!AF$62</f>
        <v>950</v>
      </c>
      <c r="G9" s="4">
        <f t="shared" si="0"/>
        <v>9.1399999999998727</v>
      </c>
      <c r="H9" s="4">
        <f t="shared" si="1"/>
        <v>83.869999999999891</v>
      </c>
    </row>
    <row r="10" spans="1:8" x14ac:dyDescent="0.25">
      <c r="A10" s="1" t="str">
        <f>Investavimas!AI$1</f>
        <v>Nectaro</v>
      </c>
      <c r="B10" s="2" t="s">
        <v>32</v>
      </c>
      <c r="C10" s="4">
        <f>Investavimas!AJ$61</f>
        <v>307.93</v>
      </c>
      <c r="D10" s="4">
        <f>Investavimas!AJ$62</f>
        <v>320.27999999999997</v>
      </c>
      <c r="E10" s="4">
        <f>Investavimas!AI$62-Investavimas!AI$61</f>
        <v>10</v>
      </c>
      <c r="F10" s="4">
        <f>Investavimas!AI$62</f>
        <v>300</v>
      </c>
      <c r="G10" s="4">
        <f t="shared" si="0"/>
        <v>2.3499999999999659</v>
      </c>
      <c r="H10" s="4">
        <f t="shared" si="1"/>
        <v>20.279999999999973</v>
      </c>
    </row>
    <row r="11" spans="1:8" x14ac:dyDescent="0.25">
      <c r="A11" s="1" t="str">
        <f>Investavimas!AL$1</f>
        <v>Debitum</v>
      </c>
      <c r="B11" s="2" t="s">
        <v>32</v>
      </c>
      <c r="C11" s="4">
        <f>Investavimas!AM$61</f>
        <v>188.69</v>
      </c>
      <c r="D11" s="4">
        <f>Investavimas!AM$62</f>
        <v>211.15</v>
      </c>
      <c r="E11" s="4">
        <f>Investavimas!AL$62-Investavimas!AL$61</f>
        <v>20</v>
      </c>
      <c r="F11" s="4">
        <f>Investavimas!AL$62</f>
        <v>200</v>
      </c>
      <c r="G11" s="4">
        <f t="shared" si="0"/>
        <v>2.460000000000008</v>
      </c>
      <c r="H11" s="4">
        <f t="shared" si="1"/>
        <v>11.150000000000006</v>
      </c>
    </row>
    <row r="12" spans="1:8" x14ac:dyDescent="0.25">
      <c r="A12" s="1" t="str">
        <f>Investavimas!AO$1</f>
        <v>Viainvest</v>
      </c>
      <c r="B12" s="2" t="s">
        <v>32</v>
      </c>
      <c r="C12" s="4">
        <f>Investavimas!AP$61</f>
        <v>290.24</v>
      </c>
      <c r="D12" s="4">
        <f>Investavimas!AP$62</f>
        <v>342.77</v>
      </c>
      <c r="E12" s="4">
        <f>Investavimas!AO$62-Investavimas!AO$61</f>
        <v>50</v>
      </c>
      <c r="F12" s="4">
        <f>Investavimas!AO$62</f>
        <v>330</v>
      </c>
      <c r="G12" s="4">
        <f t="shared" si="0"/>
        <v>2.5299999999999727</v>
      </c>
      <c r="H12" s="4">
        <f t="shared" si="1"/>
        <v>12.769999999999982</v>
      </c>
    </row>
    <row r="13" spans="1:8" x14ac:dyDescent="0.25">
      <c r="A13" s="1" t="str">
        <f>Investavimas!AR$1</f>
        <v>Rontgen</v>
      </c>
      <c r="B13" s="2" t="s">
        <v>32</v>
      </c>
      <c r="C13" s="4">
        <f>Investavimas!AS$61</f>
        <v>618.13</v>
      </c>
      <c r="D13" s="4">
        <f>Investavimas!AS$62</f>
        <v>618.13</v>
      </c>
      <c r="E13" s="4">
        <f>Investavimas!AR$62-Investavimas!AR$61</f>
        <v>0</v>
      </c>
      <c r="F13" s="4">
        <f>Investavimas!AR$62</f>
        <v>600</v>
      </c>
      <c r="G13" s="4">
        <f t="shared" si="0"/>
        <v>0</v>
      </c>
      <c r="H13" s="4">
        <f t="shared" si="1"/>
        <v>18.129999999999995</v>
      </c>
    </row>
    <row r="14" spans="1:8" x14ac:dyDescent="0.25">
      <c r="A14" s="1" t="str">
        <f>Investavimas!AU$1</f>
        <v>Afranga</v>
      </c>
      <c r="B14" s="2" t="s">
        <v>32</v>
      </c>
      <c r="C14" s="4">
        <f>Investavimas!AV$61</f>
        <v>258.69</v>
      </c>
      <c r="D14" s="4">
        <f>Investavimas!AV$62</f>
        <v>280.67</v>
      </c>
      <c r="E14" s="4">
        <f>Investavimas!AU$62-Investavimas!AU$61</f>
        <v>20</v>
      </c>
      <c r="F14" s="4">
        <f>Investavimas!AU$62</f>
        <v>270</v>
      </c>
      <c r="G14" s="4">
        <f t="shared" si="0"/>
        <v>1.9800000000000182</v>
      </c>
      <c r="H14" s="4">
        <f t="shared" si="1"/>
        <v>10.670000000000016</v>
      </c>
    </row>
    <row r="15" spans="1:8" x14ac:dyDescent="0.25">
      <c r="A15" s="1" t="str">
        <f>Investavimas!AX$1</f>
        <v>Lendermarket</v>
      </c>
      <c r="B15" s="2" t="s">
        <v>32</v>
      </c>
      <c r="C15" s="4">
        <f>Investavimas!AY$61</f>
        <v>30.08</v>
      </c>
      <c r="D15" s="4">
        <f>Investavimas!AY$62</f>
        <v>50.38</v>
      </c>
      <c r="E15" s="4">
        <f>Investavimas!AX$62-Investavimas!AX$61</f>
        <v>20</v>
      </c>
      <c r="F15" s="4">
        <f>Investavimas!AX$62</f>
        <v>40</v>
      </c>
      <c r="G15" s="4">
        <f t="shared" si="0"/>
        <v>0.30000000000000426</v>
      </c>
      <c r="H15" s="4">
        <f t="shared" si="1"/>
        <v>10.380000000000003</v>
      </c>
    </row>
    <row r="16" spans="1:8" x14ac:dyDescent="0.25">
      <c r="A16" s="1" t="str">
        <f>Investavimas!BA$1</f>
        <v>Loanch</v>
      </c>
      <c r="B16" s="2" t="s">
        <v>32</v>
      </c>
      <c r="C16" s="4">
        <f>Investavimas!BA$61</f>
        <v>20</v>
      </c>
      <c r="D16" s="4">
        <f>Investavimas!BA$62</f>
        <v>20</v>
      </c>
      <c r="E16" s="4">
        <f>Investavimas!BA$62-Investavimas!BA$61</f>
        <v>0</v>
      </c>
      <c r="F16" s="4">
        <f>Investavimas!BA$62</f>
        <v>20</v>
      </c>
      <c r="G16" s="4">
        <f t="shared" si="0"/>
        <v>0</v>
      </c>
      <c r="H16" s="4">
        <f t="shared" si="1"/>
        <v>0</v>
      </c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2">SUM(C5:C30)</f>
        <v>6685.7199999999993</v>
      </c>
      <c r="D31" s="4">
        <f t="shared" si="2"/>
        <v>6849.09</v>
      </c>
      <c r="E31" s="4">
        <f t="shared" si="2"/>
        <v>130</v>
      </c>
      <c r="F31" s="4">
        <f t="shared" si="2"/>
        <v>6240</v>
      </c>
      <c r="G31" s="4">
        <f t="shared" si="2"/>
        <v>33.369999999999742</v>
      </c>
      <c r="H31" s="4">
        <f t="shared" si="2"/>
        <v>609.0899999999998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ignoredErrors>
    <ignoredError sqref="E16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D37E-1E4C-4D06-BEBB-D96DF9407F00}">
  <dimension ref="A1:H31"/>
  <sheetViews>
    <sheetView topLeftCell="A24" workbookViewId="0">
      <selection activeCell="N40" sqref="N40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33">
        <v>2026.04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>
        <v>46112</v>
      </c>
      <c r="D4" s="32">
        <v>46142</v>
      </c>
      <c r="E4" s="29">
        <f>A1</f>
        <v>2026.04</v>
      </c>
      <c r="F4" s="29" t="s">
        <v>28</v>
      </c>
      <c r="G4" s="29">
        <f>A1</f>
        <v>2026.04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Investavimas!U$60</f>
        <v>1092.69</v>
      </c>
      <c r="D5" s="10">
        <f>Investavimas!U$61</f>
        <v>1102.97</v>
      </c>
      <c r="E5" s="10">
        <f>Investavimas!T$61-Investavimas!T$60</f>
        <v>0</v>
      </c>
      <c r="F5" s="10">
        <f>Investavimas!T$61</f>
        <v>1020</v>
      </c>
      <c r="G5" s="10">
        <f t="shared" ref="G5:G16" si="0">$D5-$E5-$C5</f>
        <v>10.279999999999973</v>
      </c>
      <c r="H5" s="4">
        <f>D5-F5</f>
        <v>82.970000000000027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Investavimas!X$60</f>
        <v>1070.74</v>
      </c>
      <c r="D6" s="4">
        <f>Investavimas!X$61</f>
        <v>1083.23</v>
      </c>
      <c r="E6" s="4">
        <f>Investavimas!W$61-Investavimas!W$60</f>
        <v>0</v>
      </c>
      <c r="F6" s="4">
        <f>Investavimas!W61</f>
        <v>950</v>
      </c>
      <c r="G6" s="4">
        <f t="shared" si="0"/>
        <v>12.490000000000009</v>
      </c>
      <c r="H6" s="4">
        <f>D6-F6</f>
        <v>133.23000000000002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Investavimas!AA$60</f>
        <v>604.86</v>
      </c>
      <c r="D7" s="4">
        <f>Investavimas!AA$61</f>
        <v>604.86</v>
      </c>
      <c r="E7" s="4">
        <f>Investavimas!Z$61-Investavimas!Z$60</f>
        <v>0</v>
      </c>
      <c r="F7" s="4">
        <f>Investavimas!Z61</f>
        <v>520</v>
      </c>
      <c r="G7" s="4">
        <f t="shared" si="0"/>
        <v>0</v>
      </c>
      <c r="H7" s="4">
        <f t="shared" ref="H7:H15" si="1">D7-F7</f>
        <v>84.860000000000014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Investavimas!AD$60</f>
        <v>1156.17</v>
      </c>
      <c r="D8" s="4">
        <f>Investavimas!AD$61</f>
        <v>1156.17</v>
      </c>
      <c r="E8" s="4">
        <f>Investavimas!AC$61-Investavimas!AC$60</f>
        <v>0</v>
      </c>
      <c r="F8" s="4">
        <f>Investavimas!AC$61</f>
        <v>1030</v>
      </c>
      <c r="G8" s="4">
        <f t="shared" si="0"/>
        <v>0</v>
      </c>
      <c r="H8" s="4">
        <f t="shared" si="1"/>
        <v>126.17000000000007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Investavimas!AG$60</f>
        <v>967.83</v>
      </c>
      <c r="D9" s="4">
        <f>Investavimas!AG$61</f>
        <v>1024.73</v>
      </c>
      <c r="E9" s="4">
        <f>Investavimas!AF$61-Investavimas!AF$60</f>
        <v>50</v>
      </c>
      <c r="F9" s="4">
        <f>Investavimas!AF$61</f>
        <v>950</v>
      </c>
      <c r="G9" s="4">
        <f t="shared" si="0"/>
        <v>6.8999999999999773</v>
      </c>
      <c r="H9" s="4">
        <f t="shared" si="1"/>
        <v>74.730000000000018</v>
      </c>
    </row>
    <row r="10" spans="1:8" x14ac:dyDescent="0.25">
      <c r="A10" s="1" t="str">
        <f>Investavimas!AI$1</f>
        <v>Nectaro</v>
      </c>
      <c r="B10" s="2" t="s">
        <v>32</v>
      </c>
      <c r="C10" s="4">
        <f>Investavimas!AJ$60</f>
        <v>303.83999999999997</v>
      </c>
      <c r="D10" s="4">
        <f>Investavimas!AJ$61</f>
        <v>307.93</v>
      </c>
      <c r="E10" s="4">
        <f>Investavimas!AI$61-Investavimas!AI$60</f>
        <v>0</v>
      </c>
      <c r="F10" s="4">
        <f>Investavimas!AI$61</f>
        <v>290</v>
      </c>
      <c r="G10" s="4">
        <f t="shared" si="0"/>
        <v>4.0900000000000318</v>
      </c>
      <c r="H10" s="4">
        <f t="shared" si="1"/>
        <v>17.930000000000007</v>
      </c>
    </row>
    <row r="11" spans="1:8" x14ac:dyDescent="0.25">
      <c r="A11" s="1" t="str">
        <f>Investavimas!AL$1</f>
        <v>Debitum</v>
      </c>
      <c r="B11" s="2" t="s">
        <v>32</v>
      </c>
      <c r="C11" s="4">
        <f>Investavimas!AM$60</f>
        <v>166.83</v>
      </c>
      <c r="D11" s="4">
        <f>Investavimas!AM$61</f>
        <v>188.69</v>
      </c>
      <c r="E11" s="4">
        <f>Investavimas!AL$61-Investavimas!AL$60</f>
        <v>20</v>
      </c>
      <c r="F11" s="4">
        <f>Investavimas!AL$61</f>
        <v>180</v>
      </c>
      <c r="G11" s="4">
        <f t="shared" si="0"/>
        <v>1.8599999999999852</v>
      </c>
      <c r="H11" s="4">
        <f t="shared" si="1"/>
        <v>8.6899999999999977</v>
      </c>
    </row>
    <row r="12" spans="1:8" x14ac:dyDescent="0.25">
      <c r="A12" s="1" t="str">
        <f>Investavimas!AO$1</f>
        <v>Viainvest</v>
      </c>
      <c r="B12" s="2" t="s">
        <v>32</v>
      </c>
      <c r="C12" s="4">
        <f>Investavimas!AP$60</f>
        <v>277.76</v>
      </c>
      <c r="D12" s="4">
        <f>Investavimas!AP$61</f>
        <v>290.24</v>
      </c>
      <c r="E12" s="4">
        <f>Investavimas!AO$61-Investavimas!AO$60</f>
        <v>10</v>
      </c>
      <c r="F12" s="4">
        <f>Investavimas!AO$61</f>
        <v>280</v>
      </c>
      <c r="G12" s="4">
        <f t="shared" si="0"/>
        <v>2.4800000000000182</v>
      </c>
      <c r="H12" s="4">
        <f t="shared" si="1"/>
        <v>10.240000000000009</v>
      </c>
    </row>
    <row r="13" spans="1:8" x14ac:dyDescent="0.25">
      <c r="A13" s="1" t="str">
        <f>Investavimas!AR$1</f>
        <v>Rontgen</v>
      </c>
      <c r="B13" s="2" t="s">
        <v>32</v>
      </c>
      <c r="C13" s="4">
        <f>Investavimas!AS$60</f>
        <v>607.58000000000004</v>
      </c>
      <c r="D13" s="4">
        <f>Investavimas!AS$61</f>
        <v>618.13</v>
      </c>
      <c r="E13" s="4">
        <f>Investavimas!AR$61-Investavimas!AR$60</f>
        <v>0</v>
      </c>
      <c r="F13" s="4">
        <f>Investavimas!AR$61</f>
        <v>600</v>
      </c>
      <c r="G13" s="4">
        <f t="shared" si="0"/>
        <v>10.549999999999955</v>
      </c>
      <c r="H13" s="4">
        <f t="shared" si="1"/>
        <v>18.129999999999995</v>
      </c>
    </row>
    <row r="14" spans="1:8" x14ac:dyDescent="0.25">
      <c r="A14" s="1" t="str">
        <f>Investavimas!AU$1</f>
        <v>Afranga</v>
      </c>
      <c r="B14" s="2" t="s">
        <v>32</v>
      </c>
      <c r="C14" s="4">
        <f>Investavimas!AV$60</f>
        <v>236.82</v>
      </c>
      <c r="D14" s="4">
        <f>Investavimas!AV$61</f>
        <v>258.69</v>
      </c>
      <c r="E14" s="4">
        <f>Investavimas!AU$61-Investavimas!AU$60</f>
        <v>20</v>
      </c>
      <c r="F14" s="4">
        <f>Investavimas!AU$61</f>
        <v>250</v>
      </c>
      <c r="G14" s="4">
        <f t="shared" si="0"/>
        <v>1.8700000000000045</v>
      </c>
      <c r="H14" s="4">
        <f t="shared" si="1"/>
        <v>8.6899999999999977</v>
      </c>
    </row>
    <row r="15" spans="1:8" x14ac:dyDescent="0.25">
      <c r="A15" s="1" t="str">
        <f>Investavimas!AX$1</f>
        <v>Lendermarket</v>
      </c>
      <c r="B15" s="2" t="s">
        <v>32</v>
      </c>
      <c r="C15" s="4">
        <f>Investavimas!AY$60</f>
        <v>10</v>
      </c>
      <c r="D15" s="4">
        <f>Investavimas!AY$61</f>
        <v>30.08</v>
      </c>
      <c r="E15" s="4">
        <f>Investavimas!AX$61-Investavimas!AX$60</f>
        <v>20</v>
      </c>
      <c r="F15" s="4">
        <f>Investavimas!AX$61</f>
        <v>20</v>
      </c>
      <c r="G15" s="4">
        <f t="shared" si="0"/>
        <v>7.9999999999998295E-2</v>
      </c>
      <c r="H15" s="4">
        <f t="shared" si="1"/>
        <v>10.079999999999998</v>
      </c>
    </row>
    <row r="16" spans="1:8" x14ac:dyDescent="0.25">
      <c r="A16" s="1" t="str">
        <f>Investavimas!BA$1</f>
        <v>Loanch</v>
      </c>
      <c r="B16" s="2" t="s">
        <v>32</v>
      </c>
      <c r="C16" s="4">
        <f>Investavimas!BA$60</f>
        <v>0</v>
      </c>
      <c r="D16" s="4">
        <f>Investavimas!BA$61</f>
        <v>20</v>
      </c>
      <c r="E16" s="4">
        <f>Investavimas!BA$61-Investavimas!BA$60</f>
        <v>20</v>
      </c>
      <c r="F16" s="4">
        <f>Investavimas!BA$61</f>
        <v>20</v>
      </c>
      <c r="G16" s="4">
        <f t="shared" si="0"/>
        <v>0</v>
      </c>
      <c r="H16" s="4">
        <f t="shared" ref="H16" si="2">D16-F16</f>
        <v>0</v>
      </c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3">SUM(C5:C30)</f>
        <v>6495.1200000000008</v>
      </c>
      <c r="D31" s="4">
        <f t="shared" si="3"/>
        <v>6685.7199999999993</v>
      </c>
      <c r="E31" s="4">
        <f t="shared" si="3"/>
        <v>140</v>
      </c>
      <c r="F31" s="4">
        <f t="shared" si="3"/>
        <v>6110</v>
      </c>
      <c r="G31" s="4">
        <f t="shared" si="3"/>
        <v>50.599999999999952</v>
      </c>
      <c r="H31" s="4">
        <f t="shared" si="3"/>
        <v>575.72000000000014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ignoredErrors>
    <ignoredError sqref="E16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6578-1E5E-4D46-BD55-4CDC5357A824}">
  <dimension ref="A1:H31"/>
  <sheetViews>
    <sheetView workbookViewId="0">
      <selection activeCell="F11" sqref="F11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33">
        <v>2026.03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>
        <v>46081</v>
      </c>
      <c r="D4" s="32">
        <v>46112</v>
      </c>
      <c r="E4" s="29">
        <f>A1</f>
        <v>2026.03</v>
      </c>
      <c r="F4" s="29" t="s">
        <v>28</v>
      </c>
      <c r="G4" s="29">
        <f>A1</f>
        <v>2026.03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Investavimas!U$59</f>
        <v>1082.54</v>
      </c>
      <c r="D5" s="10">
        <f>Investavimas!U$60</f>
        <v>1092.69</v>
      </c>
      <c r="E5" s="10">
        <f>Investavimas!T$60-Investavimas!T$59</f>
        <v>0</v>
      </c>
      <c r="F5" s="10">
        <f>Investavimas!T$60</f>
        <v>1020</v>
      </c>
      <c r="G5" s="10">
        <f t="shared" ref="G5:G15" si="0">$D5-$E5-$C5</f>
        <v>10.150000000000091</v>
      </c>
      <c r="H5" s="4">
        <f>D5-F5</f>
        <v>72.690000000000055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Investavimas!X$59</f>
        <v>1061.76</v>
      </c>
      <c r="D6" s="4">
        <f>Investavimas!X$60</f>
        <v>1070.74</v>
      </c>
      <c r="E6" s="4">
        <f>Investavimas!W$60-Investavimas!W$59</f>
        <v>0</v>
      </c>
      <c r="F6" s="4">
        <f>Investavimas!W60</f>
        <v>950</v>
      </c>
      <c r="G6" s="4">
        <f t="shared" si="0"/>
        <v>8.9800000000000182</v>
      </c>
      <c r="H6" s="4">
        <f>D6-F6</f>
        <v>120.74000000000001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Investavimas!AA$59</f>
        <v>604.83000000000004</v>
      </c>
      <c r="D7" s="4">
        <f>Investavimas!AA$60</f>
        <v>604.86</v>
      </c>
      <c r="E7" s="4">
        <f>Investavimas!Z$60-Investavimas!Z$59</f>
        <v>0</v>
      </c>
      <c r="F7" s="4">
        <f>Investavimas!Z60</f>
        <v>520</v>
      </c>
      <c r="G7" s="4">
        <f t="shared" si="0"/>
        <v>2.9999999999972715E-2</v>
      </c>
      <c r="H7" s="4">
        <f t="shared" ref="H7:H14" si="1">D7-F7</f>
        <v>84.860000000000014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Investavimas!AD$59</f>
        <v>1110.46</v>
      </c>
      <c r="D8" s="4">
        <f>Investavimas!AD$60</f>
        <v>1156.17</v>
      </c>
      <c r="E8" s="4">
        <f>Investavimas!AC$60-Investavimas!AC$59</f>
        <v>30</v>
      </c>
      <c r="F8" s="4">
        <f>Investavimas!AC$60</f>
        <v>1030</v>
      </c>
      <c r="G8" s="4">
        <f t="shared" si="0"/>
        <v>15.710000000000036</v>
      </c>
      <c r="H8" s="4">
        <f t="shared" si="1"/>
        <v>126.17000000000007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Investavimas!AG$59</f>
        <v>961.24</v>
      </c>
      <c r="D9" s="4">
        <f>Investavimas!AG$60</f>
        <v>967.83</v>
      </c>
      <c r="E9" s="4">
        <f>Investavimas!AF$60-Investavimas!AF$59</f>
        <v>0</v>
      </c>
      <c r="F9" s="4">
        <f>Investavimas!AF$60</f>
        <v>900</v>
      </c>
      <c r="G9" s="4">
        <f t="shared" si="0"/>
        <v>6.5900000000000318</v>
      </c>
      <c r="H9" s="4">
        <f t="shared" si="1"/>
        <v>67.830000000000041</v>
      </c>
    </row>
    <row r="10" spans="1:8" x14ac:dyDescent="0.25">
      <c r="A10" s="1" t="str">
        <f>Investavimas!AI$1</f>
        <v>Nectaro</v>
      </c>
      <c r="B10" s="2" t="s">
        <v>32</v>
      </c>
      <c r="C10" s="4">
        <f>Investavimas!AJ$59</f>
        <v>301.33</v>
      </c>
      <c r="D10" s="4">
        <f>Investavimas!AJ$60</f>
        <v>303.83999999999997</v>
      </c>
      <c r="E10" s="4">
        <f>Investavimas!AI$60-Investavimas!AI$59</f>
        <v>0</v>
      </c>
      <c r="F10" s="4">
        <f>Investavimas!AI$60</f>
        <v>290</v>
      </c>
      <c r="G10" s="4">
        <f t="shared" si="0"/>
        <v>2.5099999999999909</v>
      </c>
      <c r="H10" s="4">
        <f t="shared" si="1"/>
        <v>13.839999999999975</v>
      </c>
    </row>
    <row r="11" spans="1:8" x14ac:dyDescent="0.25">
      <c r="A11" s="1" t="str">
        <f>Investavimas!AL$1</f>
        <v>Debitum</v>
      </c>
      <c r="B11" s="2" t="s">
        <v>32</v>
      </c>
      <c r="C11" s="4">
        <f>Investavimas!AM$59</f>
        <v>165.2</v>
      </c>
      <c r="D11" s="4">
        <f>Investavimas!AM$60</f>
        <v>166.83</v>
      </c>
      <c r="E11" s="4">
        <f>Investavimas!AL$60-Investavimas!AL$59</f>
        <v>0</v>
      </c>
      <c r="F11" s="4">
        <f>Investavimas!AL$60</f>
        <v>160</v>
      </c>
      <c r="G11" s="4">
        <f t="shared" si="0"/>
        <v>1.6300000000000239</v>
      </c>
      <c r="H11" s="4">
        <f t="shared" si="1"/>
        <v>6.8300000000000125</v>
      </c>
    </row>
    <row r="12" spans="1:8" x14ac:dyDescent="0.25">
      <c r="A12" s="1" t="str">
        <f>Investavimas!AO$1</f>
        <v>Viainvest</v>
      </c>
      <c r="B12" s="2" t="s">
        <v>32</v>
      </c>
      <c r="C12" s="4">
        <f>Investavimas!AP$59</f>
        <v>245.74</v>
      </c>
      <c r="D12" s="4">
        <f>Investavimas!AP$60</f>
        <v>277.76</v>
      </c>
      <c r="E12" s="4">
        <f>Investavimas!AO$60-Investavimas!AO$59</f>
        <v>30</v>
      </c>
      <c r="F12" s="4">
        <f>Investavimas!AO$60</f>
        <v>270</v>
      </c>
      <c r="G12" s="4">
        <f t="shared" si="0"/>
        <v>2.0199999999999818</v>
      </c>
      <c r="H12" s="4">
        <f t="shared" si="1"/>
        <v>7.7599999999999909</v>
      </c>
    </row>
    <row r="13" spans="1:8" x14ac:dyDescent="0.25">
      <c r="A13" s="1" t="str">
        <f>Investavimas!AR$1</f>
        <v>Rontgen</v>
      </c>
      <c r="B13" s="2" t="s">
        <v>32</v>
      </c>
      <c r="C13" s="4">
        <f>Investavimas!AS$59</f>
        <v>607.58000000000004</v>
      </c>
      <c r="D13" s="4">
        <f>Investavimas!AS$60</f>
        <v>607.58000000000004</v>
      </c>
      <c r="E13" s="4">
        <f>Investavimas!AR$60-Investavimas!AR$59</f>
        <v>0</v>
      </c>
      <c r="F13" s="4">
        <f>Investavimas!AR$60</f>
        <v>600</v>
      </c>
      <c r="G13" s="4">
        <f t="shared" si="0"/>
        <v>0</v>
      </c>
      <c r="H13" s="4">
        <f t="shared" si="1"/>
        <v>7.5800000000000409</v>
      </c>
    </row>
    <row r="14" spans="1:8" x14ac:dyDescent="0.25">
      <c r="A14" s="1" t="str">
        <f>Investavimas!AU$1</f>
        <v>Afranga</v>
      </c>
      <c r="B14" s="2" t="s">
        <v>32</v>
      </c>
      <c r="C14" s="4">
        <f>Investavimas!AV$59</f>
        <v>215.26</v>
      </c>
      <c r="D14" s="4">
        <f>Investavimas!AV$60</f>
        <v>236.82</v>
      </c>
      <c r="E14" s="4">
        <f>Investavimas!AU$60-Investavimas!AU$59</f>
        <v>20</v>
      </c>
      <c r="F14" s="4">
        <f>Investavimas!AU$60</f>
        <v>230</v>
      </c>
      <c r="G14" s="4">
        <f t="shared" si="0"/>
        <v>1.5600000000000023</v>
      </c>
      <c r="H14" s="4">
        <f t="shared" si="1"/>
        <v>6.8199999999999932</v>
      </c>
    </row>
    <row r="15" spans="1:8" x14ac:dyDescent="0.25">
      <c r="A15" s="1" t="str">
        <f>Investavimas!AX$1</f>
        <v>Lendermarket</v>
      </c>
      <c r="B15" s="2" t="s">
        <v>32</v>
      </c>
      <c r="C15" s="4">
        <f>Investavimas!AY$59</f>
        <v>0</v>
      </c>
      <c r="D15" s="4">
        <f>Investavimas!AY$60</f>
        <v>10</v>
      </c>
      <c r="E15" s="4">
        <f>Investavimas!AX$60-Investavimas!AX$59</f>
        <v>0</v>
      </c>
      <c r="F15" s="4">
        <f>Investavimas!AX$60</f>
        <v>0</v>
      </c>
      <c r="G15" s="4">
        <f t="shared" si="0"/>
        <v>10</v>
      </c>
      <c r="H15" s="4">
        <f t="shared" ref="H15" si="2">D15-F15</f>
        <v>10</v>
      </c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3">SUM(C5:C30)</f>
        <v>6355.94</v>
      </c>
      <c r="D31" s="4">
        <f t="shared" si="3"/>
        <v>6495.1200000000008</v>
      </c>
      <c r="E31" s="4">
        <f t="shared" si="3"/>
        <v>80</v>
      </c>
      <c r="F31" s="4">
        <f t="shared" si="3"/>
        <v>5970</v>
      </c>
      <c r="G31" s="4">
        <f t="shared" si="3"/>
        <v>59.180000000000149</v>
      </c>
      <c r="H31" s="4">
        <f t="shared" si="3"/>
        <v>525.12000000000012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selection activeCell="T20" sqref="T20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11" t="s">
        <v>29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 t="s">
        <v>35</v>
      </c>
      <c r="D4" s="32">
        <v>45716</v>
      </c>
      <c r="E4" s="29">
        <v>2025.03</v>
      </c>
      <c r="F4" s="29" t="s">
        <v>28</v>
      </c>
      <c r="G4" s="29">
        <v>2025.03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Investavimas!U$46</f>
        <v>0</v>
      </c>
      <c r="D5" s="10">
        <f>Investavimas!U$47</f>
        <v>100</v>
      </c>
      <c r="E5" s="10">
        <f>Investavimas!T$47-Investavimas!T$46</f>
        <v>100</v>
      </c>
      <c r="F5" s="10">
        <f>Investavimas!T$47</f>
        <v>100</v>
      </c>
      <c r="G5" s="10">
        <f>$D5-$E5-$C5</f>
        <v>0</v>
      </c>
      <c r="H5" s="4">
        <f>D5-F5</f>
        <v>0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Investavimas!X$46</f>
        <v>0</v>
      </c>
      <c r="D6" s="4">
        <f>Investavimas!X$47</f>
        <v>50.64</v>
      </c>
      <c r="E6" s="4">
        <f>Investavimas!W$47-Investavimas!W$46</f>
        <v>50</v>
      </c>
      <c r="F6" s="4">
        <f>Investavimas!W$47</f>
        <v>50</v>
      </c>
      <c r="G6" s="4">
        <f>$D6-$E6-$C6</f>
        <v>0.64000000000000057</v>
      </c>
      <c r="H6" s="4">
        <f>D6-F6</f>
        <v>0.64000000000000057</v>
      </c>
    </row>
    <row r="7" spans="1:8" x14ac:dyDescent="0.25">
      <c r="A7" s="1"/>
      <c r="B7" s="2"/>
      <c r="C7" s="4"/>
      <c r="D7" s="4"/>
      <c r="E7" s="4"/>
      <c r="F7" s="4"/>
      <c r="G7" s="4"/>
      <c r="H7" s="4"/>
    </row>
    <row r="8" spans="1:8" x14ac:dyDescent="0.25">
      <c r="A8" s="1"/>
      <c r="B8" s="2"/>
      <c r="C8" s="4"/>
      <c r="D8" s="4"/>
      <c r="E8" s="4"/>
      <c r="F8" s="4"/>
      <c r="G8" s="4"/>
      <c r="H8" s="4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>SUM(C5:C30)</f>
        <v>0</v>
      </c>
      <c r="D31" s="4">
        <f>SUM(D5:D30)</f>
        <v>150.63999999999999</v>
      </c>
      <c r="E31" s="4">
        <f>SUM(E5:E30)</f>
        <v>150</v>
      </c>
      <c r="F31" s="4">
        <f t="shared" ref="F31:H31" si="0">SUM(F5:F30)</f>
        <v>150</v>
      </c>
      <c r="G31" s="4">
        <f t="shared" si="0"/>
        <v>0.64000000000000057</v>
      </c>
      <c r="H31" s="4">
        <f t="shared" si="0"/>
        <v>0.64000000000000057</v>
      </c>
    </row>
  </sheetData>
  <mergeCells count="5">
    <mergeCell ref="G3:H3"/>
    <mergeCell ref="A3:A4"/>
    <mergeCell ref="B3:B4"/>
    <mergeCell ref="C3:D3"/>
    <mergeCell ref="E3:F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selection activeCell="S20" sqref="S20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11" t="s">
        <v>33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 t="s">
        <v>34</v>
      </c>
      <c r="D4" s="32">
        <v>45747</v>
      </c>
      <c r="E4" s="29">
        <v>2025.03</v>
      </c>
      <c r="F4" s="29" t="s">
        <v>28</v>
      </c>
      <c r="G4" s="29">
        <v>2025.03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Investavimas!U$47</f>
        <v>100</v>
      </c>
      <c r="D5" s="10">
        <f>Investavimas!U$48</f>
        <v>400</v>
      </c>
      <c r="E5" s="10">
        <f>Investavimas!T$48-Investavimas!T$47</f>
        <v>300</v>
      </c>
      <c r="F5" s="10">
        <f>Investavimas!T$48</f>
        <v>400</v>
      </c>
      <c r="G5" s="10">
        <f>$D5-$E5-$C5</f>
        <v>0</v>
      </c>
      <c r="H5" s="4">
        <f>D5-F5</f>
        <v>0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Investavimas!X$47</f>
        <v>50.64</v>
      </c>
      <c r="D6" s="4">
        <f>Investavimas!X$48</f>
        <v>202.62</v>
      </c>
      <c r="E6" s="4">
        <f>Investavimas!W$48-Investavimas!W$47</f>
        <v>150</v>
      </c>
      <c r="F6" s="4">
        <f>Investavimas!W48</f>
        <v>200</v>
      </c>
      <c r="G6" s="4">
        <f>$D6-$E6-$C6</f>
        <v>1.980000000000004</v>
      </c>
      <c r="H6" s="4">
        <f>D6-F6</f>
        <v>2.6200000000000045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Investavimas!AA$47</f>
        <v>0</v>
      </c>
      <c r="D7" s="4">
        <f>Investavimas!AA$48</f>
        <v>115</v>
      </c>
      <c r="E7" s="4">
        <f>Investavimas!Z$48-Investavimas!Z$47</f>
        <v>60</v>
      </c>
      <c r="F7" s="4">
        <f>Investavimas!Z48</f>
        <v>60</v>
      </c>
      <c r="G7" s="4">
        <f>$D7-$E7-$C7</f>
        <v>55</v>
      </c>
      <c r="H7" s="4">
        <f t="shared" ref="H7:H8" si="0">D7-F7</f>
        <v>55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Investavimas!AD$47</f>
        <v>0</v>
      </c>
      <c r="D8" s="4">
        <f>Investavimas!AD$48</f>
        <v>410</v>
      </c>
      <c r="E8" s="4">
        <f>Investavimas!AC$48-Investavimas!AC$47</f>
        <v>400</v>
      </c>
      <c r="F8" s="4">
        <f>Investavimas!AC48</f>
        <v>400</v>
      </c>
      <c r="G8" s="4">
        <f>$D8-$E8-$C8</f>
        <v>10</v>
      </c>
      <c r="H8" s="4">
        <f t="shared" si="0"/>
        <v>10</v>
      </c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>SUM(C5:C30)</f>
        <v>150.63999999999999</v>
      </c>
      <c r="D31" s="4">
        <f>SUM(D5:D30)</f>
        <v>1127.6199999999999</v>
      </c>
      <c r="E31" s="4">
        <f>SUM(E5:E30)</f>
        <v>910</v>
      </c>
      <c r="F31" s="4">
        <f t="shared" ref="F31:H31" si="1">SUM(F5:F30)</f>
        <v>1060</v>
      </c>
      <c r="G31" s="4">
        <f t="shared" si="1"/>
        <v>66.98</v>
      </c>
      <c r="H31" s="4">
        <f t="shared" si="1"/>
        <v>67.62</v>
      </c>
    </row>
  </sheetData>
  <mergeCells count="5">
    <mergeCell ref="G3:H3"/>
    <mergeCell ref="A3:A4"/>
    <mergeCell ref="B3:B4"/>
    <mergeCell ref="C3:D3"/>
    <mergeCell ref="E3:F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27C2-321D-49BF-9FF4-CD9B16866B28}">
  <dimension ref="A1:H31"/>
  <sheetViews>
    <sheetView workbookViewId="0">
      <selection activeCell="G36" sqref="G36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11">
        <v>2025.04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 t="s">
        <v>37</v>
      </c>
      <c r="D4" s="32">
        <v>45808</v>
      </c>
      <c r="E4" s="29">
        <f>A1</f>
        <v>2025.04</v>
      </c>
      <c r="F4" s="29" t="s">
        <v>28</v>
      </c>
      <c r="G4" s="29">
        <f>A1</f>
        <v>2025.04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Investavimas!U$48</f>
        <v>400</v>
      </c>
      <c r="D5" s="10">
        <f>Investavimas!U$49</f>
        <v>500</v>
      </c>
      <c r="E5" s="10">
        <f>Investavimas!T$49-Investavimas!T$48</f>
        <v>100</v>
      </c>
      <c r="F5" s="10">
        <f>Investavimas!T$49</f>
        <v>500</v>
      </c>
      <c r="G5" s="10">
        <f>$D5-$E5-$C5</f>
        <v>0</v>
      </c>
      <c r="H5" s="4">
        <f>D5-F5</f>
        <v>0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Investavimas!X$48</f>
        <v>202.62</v>
      </c>
      <c r="D6" s="4">
        <f>Investavimas!X$49</f>
        <v>305.61</v>
      </c>
      <c r="E6" s="4">
        <f>Investavimas!W$49-Investavimas!W$48</f>
        <v>100</v>
      </c>
      <c r="F6" s="4">
        <f>Investavimas!W49</f>
        <v>300</v>
      </c>
      <c r="G6" s="4">
        <f>$D6-$E6-$C6</f>
        <v>2.9900000000000091</v>
      </c>
      <c r="H6" s="4">
        <f>D6-F6</f>
        <v>5.6100000000000136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Investavimas!AA$48</f>
        <v>115</v>
      </c>
      <c r="D7" s="4">
        <f>Investavimas!AA$49</f>
        <v>273.64999999999998</v>
      </c>
      <c r="E7" s="4">
        <f>Investavimas!Z$49-Investavimas!Z$48</f>
        <v>130</v>
      </c>
      <c r="F7" s="4">
        <f>Investavimas!Z49</f>
        <v>190</v>
      </c>
      <c r="G7" s="4">
        <f>$D7-$E7-$C7</f>
        <v>28.649999999999977</v>
      </c>
      <c r="H7" s="4">
        <f t="shared" ref="H7:H8" si="0">D7-F7</f>
        <v>83.649999999999977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Investavimas!AD$48</f>
        <v>410</v>
      </c>
      <c r="D8" s="4">
        <f>Investavimas!AD$49</f>
        <v>620</v>
      </c>
      <c r="E8" s="4">
        <f>Investavimas!AC$49-Investavimas!AC$48</f>
        <v>200</v>
      </c>
      <c r="F8" s="4">
        <f>Investavimas!AC49</f>
        <v>600</v>
      </c>
      <c r="G8" s="4">
        <f>$D8-$E8-$C8</f>
        <v>10</v>
      </c>
      <c r="H8" s="4">
        <f t="shared" si="0"/>
        <v>20</v>
      </c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1">SUM(C5:C30)</f>
        <v>1127.6199999999999</v>
      </c>
      <c r="D31" s="4">
        <f t="shared" si="1"/>
        <v>1699.26</v>
      </c>
      <c r="E31" s="4">
        <f t="shared" si="1"/>
        <v>530</v>
      </c>
      <c r="F31" s="4">
        <f t="shared" si="1"/>
        <v>1590</v>
      </c>
      <c r="G31" s="4">
        <f t="shared" si="1"/>
        <v>41.639999999999986</v>
      </c>
      <c r="H31" s="4">
        <f t="shared" si="1"/>
        <v>109.25999999999999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5EFB-3667-434E-B8AF-287A3A44DE65}">
  <dimension ref="A1:H31"/>
  <sheetViews>
    <sheetView workbookViewId="0">
      <selection activeCell="D13" sqref="D13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11">
        <v>2025.05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 t="s">
        <v>37</v>
      </c>
      <c r="D4" s="32">
        <v>45808</v>
      </c>
      <c r="E4" s="29">
        <f>A1</f>
        <v>2025.05</v>
      </c>
      <c r="F4" s="29" t="s">
        <v>28</v>
      </c>
      <c r="G4" s="29">
        <f>A1</f>
        <v>2025.05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Investavimas!U$49</f>
        <v>500</v>
      </c>
      <c r="D5" s="10">
        <f>Investavimas!U$50</f>
        <v>702.12</v>
      </c>
      <c r="E5" s="10">
        <f>Investavimas!T$50-Investavimas!T$49</f>
        <v>200</v>
      </c>
      <c r="F5" s="10">
        <f>Investavimas!T$50</f>
        <v>700</v>
      </c>
      <c r="G5" s="10">
        <f>$D5-$E5-$C5</f>
        <v>2.1200000000000045</v>
      </c>
      <c r="H5" s="4">
        <f>D5-F5</f>
        <v>2.1200000000000045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Investavimas!X$49</f>
        <v>305.61</v>
      </c>
      <c r="D6" s="4">
        <f>Investavimas!X$50</f>
        <v>409.1</v>
      </c>
      <c r="E6" s="4">
        <f>Investavimas!W$50-Investavimas!W$49</f>
        <v>100</v>
      </c>
      <c r="F6" s="4">
        <f>Investavimas!W50</f>
        <v>400</v>
      </c>
      <c r="G6" s="4">
        <f>$D6-$E6-$C6</f>
        <v>3.4900000000000091</v>
      </c>
      <c r="H6" s="4">
        <f>D6-F6</f>
        <v>9.1000000000000227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Investavimas!AA$49</f>
        <v>273.64999999999998</v>
      </c>
      <c r="D7" s="4">
        <f>Investavimas!AA$50</f>
        <v>363.65</v>
      </c>
      <c r="E7" s="4">
        <f>Investavimas!Z$50-Investavimas!Z$49</f>
        <v>90</v>
      </c>
      <c r="F7" s="4">
        <f>Investavimas!Z50</f>
        <v>280</v>
      </c>
      <c r="G7" s="4">
        <f>$D7-$E7-$C7</f>
        <v>0</v>
      </c>
      <c r="H7" s="4">
        <f t="shared" ref="H7:H8" si="0">D7-F7</f>
        <v>83.649999999999977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Investavimas!AD$49</f>
        <v>620</v>
      </c>
      <c r="D8" s="4">
        <f>Investavimas!AD$50</f>
        <v>720</v>
      </c>
      <c r="E8" s="4">
        <f>Investavimas!AC$50-Investavimas!AC$49</f>
        <v>100</v>
      </c>
      <c r="F8" s="4">
        <f>Investavimas!AC50</f>
        <v>700</v>
      </c>
      <c r="G8" s="4">
        <f>$D8-$E8-$C8</f>
        <v>0</v>
      </c>
      <c r="H8" s="4">
        <f t="shared" si="0"/>
        <v>20</v>
      </c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1">SUM(C5:C30)</f>
        <v>1699.26</v>
      </c>
      <c r="D31" s="4">
        <f t="shared" si="1"/>
        <v>2194.87</v>
      </c>
      <c r="E31" s="4">
        <f t="shared" si="1"/>
        <v>490</v>
      </c>
      <c r="F31" s="4">
        <f t="shared" si="1"/>
        <v>2080</v>
      </c>
      <c r="G31" s="4">
        <f t="shared" si="1"/>
        <v>5.6100000000000136</v>
      </c>
      <c r="H31" s="4">
        <f t="shared" si="1"/>
        <v>114.87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>
      <selection sqref="A1:XFD1048576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11">
        <v>2025.06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 t="s">
        <v>38</v>
      </c>
      <c r="D4" s="32">
        <v>45838</v>
      </c>
      <c r="E4" s="29">
        <f>A1</f>
        <v>2025.06</v>
      </c>
      <c r="F4" s="29" t="s">
        <v>28</v>
      </c>
      <c r="G4" s="29">
        <f>A1</f>
        <v>2025.06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Investavimas!U$50</f>
        <v>702.12</v>
      </c>
      <c r="D5" s="10">
        <f>Investavimas!U$51</f>
        <v>710.56</v>
      </c>
      <c r="E5" s="10">
        <f>Investavimas!T$51-Investavimas!T$50</f>
        <v>0</v>
      </c>
      <c r="F5" s="10">
        <f>Investavimas!T$51</f>
        <v>700</v>
      </c>
      <c r="G5" s="10">
        <f>$D5-$E5-$C5</f>
        <v>8.4399999999999409</v>
      </c>
      <c r="H5" s="4">
        <f>D5-F5</f>
        <v>10.559999999999945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Investavimas!X$50</f>
        <v>409.1</v>
      </c>
      <c r="D6" s="4">
        <f>Investavimas!X$51</f>
        <v>516.88</v>
      </c>
      <c r="E6" s="4">
        <f>Investavimas!W$51-Investavimas!W$50</f>
        <v>100</v>
      </c>
      <c r="F6" s="4">
        <f>Investavimas!W51</f>
        <v>500</v>
      </c>
      <c r="G6" s="4">
        <f>$D6-$E6-$C6</f>
        <v>7.7799999999999727</v>
      </c>
      <c r="H6" s="4">
        <f>D6-F6</f>
        <v>16.879999999999995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Investavimas!AA$50</f>
        <v>363.65</v>
      </c>
      <c r="D7" s="4">
        <f>Investavimas!AA$51</f>
        <v>403.76</v>
      </c>
      <c r="E7" s="4">
        <f>Investavimas!Z$51-Investavimas!Z$50</f>
        <v>40</v>
      </c>
      <c r="F7" s="4">
        <f>Investavimas!Z51</f>
        <v>320</v>
      </c>
      <c r="G7" s="4">
        <f>$D7-$E7-$C7</f>
        <v>0.11000000000001364</v>
      </c>
      <c r="H7" s="4">
        <f t="shared" ref="H7:H8" si="0">D7-F7</f>
        <v>83.759999999999991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Investavimas!AD$50</f>
        <v>720</v>
      </c>
      <c r="D8" s="4">
        <f>Investavimas!AD$51</f>
        <v>733.64</v>
      </c>
      <c r="E8" s="4">
        <f>Investavimas!AC$51-Investavimas!AC$50</f>
        <v>0</v>
      </c>
      <c r="F8" s="4">
        <f>Investavimas!AC$51</f>
        <v>700</v>
      </c>
      <c r="G8" s="4">
        <f>$D8-$E8-$C8</f>
        <v>13.639999999999986</v>
      </c>
      <c r="H8" s="4">
        <f t="shared" si="0"/>
        <v>33.639999999999986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Investavimas!AG$50</f>
        <v>0</v>
      </c>
      <c r="D9" s="4">
        <f>Investavimas!AG$51</f>
        <v>110</v>
      </c>
      <c r="E9" s="4">
        <f>Investavimas!AF$51-Investavimas!AF$50</f>
        <v>100</v>
      </c>
      <c r="F9" s="4">
        <f>Investavimas!AF$51</f>
        <v>100</v>
      </c>
      <c r="G9" s="4">
        <f>$D9-$E9-$C9</f>
        <v>10</v>
      </c>
      <c r="H9" s="4">
        <f t="shared" ref="H9" si="1">D9-F9</f>
        <v>10</v>
      </c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2">SUM(C5:C30)</f>
        <v>2194.87</v>
      </c>
      <c r="D31" s="4">
        <f t="shared" si="2"/>
        <v>2474.84</v>
      </c>
      <c r="E31" s="4">
        <f t="shared" si="2"/>
        <v>240</v>
      </c>
      <c r="F31" s="4">
        <f t="shared" si="2"/>
        <v>2320</v>
      </c>
      <c r="G31" s="4">
        <f t="shared" si="2"/>
        <v>39.969999999999914</v>
      </c>
      <c r="H31" s="4">
        <f t="shared" si="2"/>
        <v>154.83999999999992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>
      <selection sqref="A1:XFD1048576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11">
        <v>2025.07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 t="s">
        <v>39</v>
      </c>
      <c r="D4" s="32">
        <v>45869</v>
      </c>
      <c r="E4" s="29">
        <f>A1</f>
        <v>2025.07</v>
      </c>
      <c r="F4" s="29" t="s">
        <v>28</v>
      </c>
      <c r="G4" s="29">
        <f>A1</f>
        <v>2025.07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Investavimas!U$51</f>
        <v>710.56</v>
      </c>
      <c r="D5" s="10">
        <f>Investavimas!U$52</f>
        <v>812.82</v>
      </c>
      <c r="E5" s="10">
        <f>Investavimas!T$52-Investavimas!T$51</f>
        <v>100</v>
      </c>
      <c r="F5" s="10">
        <f>Investavimas!T$52</f>
        <v>800</v>
      </c>
      <c r="G5" s="10">
        <f>$D5-$E5-$C5</f>
        <v>2.2600000000001046</v>
      </c>
      <c r="H5" s="4">
        <f>D5-F5</f>
        <v>12.82000000000005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Investavimas!X$51</f>
        <v>516.88</v>
      </c>
      <c r="D6" s="4">
        <f>Investavimas!X$52</f>
        <v>621.67999999999995</v>
      </c>
      <c r="E6" s="4">
        <f>Investavimas!W$52-Investavimas!W$51</f>
        <v>100</v>
      </c>
      <c r="F6" s="4">
        <f>Investavimas!W52</f>
        <v>600</v>
      </c>
      <c r="G6" s="4">
        <f>$D6-$E6-$C6</f>
        <v>4.7999999999999545</v>
      </c>
      <c r="H6" s="4">
        <f>D6-F6</f>
        <v>21.67999999999995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Investavimas!AA$51</f>
        <v>403.76</v>
      </c>
      <c r="D7" s="4">
        <f>Investavimas!AA$52</f>
        <v>463.76</v>
      </c>
      <c r="E7" s="4">
        <f>Investavimas!Z$52-Investavimas!Z$51</f>
        <v>60</v>
      </c>
      <c r="F7" s="4">
        <f>Investavimas!Z52</f>
        <v>380</v>
      </c>
      <c r="G7" s="4">
        <f>$D7-$E7-$C7</f>
        <v>0</v>
      </c>
      <c r="H7" s="4">
        <f t="shared" ref="H7:H9" si="0">D7-F7</f>
        <v>83.759999999999991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Investavimas!AD$51</f>
        <v>733.64</v>
      </c>
      <c r="D8" s="4">
        <f>Investavimas!AD$52</f>
        <v>740.12</v>
      </c>
      <c r="E8" s="4">
        <f>Investavimas!AC$52-Investavimas!AC$51</f>
        <v>0</v>
      </c>
      <c r="F8" s="4">
        <f>Investavimas!AC$52</f>
        <v>700</v>
      </c>
      <c r="G8" s="4">
        <f>$D8-$E8-$C8</f>
        <v>6.4800000000000182</v>
      </c>
      <c r="H8" s="4">
        <f t="shared" si="0"/>
        <v>40.120000000000005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Investavimas!AG$51</f>
        <v>110</v>
      </c>
      <c r="D9" s="4">
        <f>Investavimas!AG$52</f>
        <v>215</v>
      </c>
      <c r="E9" s="4">
        <f>Investavimas!AF$52-Investavimas!AF$51</f>
        <v>100</v>
      </c>
      <c r="F9" s="4">
        <f>Investavimas!AF$52</f>
        <v>200</v>
      </c>
      <c r="G9" s="4">
        <f>$D9-$E9-$C9</f>
        <v>5</v>
      </c>
      <c r="H9" s="4">
        <f t="shared" si="0"/>
        <v>15</v>
      </c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1">SUM(C5:C30)</f>
        <v>2474.84</v>
      </c>
      <c r="D31" s="4">
        <f t="shared" si="1"/>
        <v>2853.38</v>
      </c>
      <c r="E31" s="4">
        <f t="shared" si="1"/>
        <v>360</v>
      </c>
      <c r="F31" s="4">
        <f t="shared" si="1"/>
        <v>2680</v>
      </c>
      <c r="G31" s="4">
        <f t="shared" si="1"/>
        <v>18.540000000000077</v>
      </c>
      <c r="H31" s="4">
        <f t="shared" si="1"/>
        <v>173.38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workbookViewId="0">
      <selection activeCell="G37" sqref="G37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11">
        <v>2025.08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 t="s">
        <v>40</v>
      </c>
      <c r="D4" s="32">
        <v>45900</v>
      </c>
      <c r="E4" s="29">
        <f>A1</f>
        <v>2025.08</v>
      </c>
      <c r="F4" s="29" t="s">
        <v>28</v>
      </c>
      <c r="G4" s="29">
        <f>A1</f>
        <v>2025.08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Investavimas!U$52</f>
        <v>812.82</v>
      </c>
      <c r="D5" s="10">
        <f>Investavimas!U$53</f>
        <v>814.26</v>
      </c>
      <c r="E5" s="10">
        <f>Investavimas!T$53-Investavimas!T$52</f>
        <v>0</v>
      </c>
      <c r="F5" s="10">
        <f>Investavimas!T$53</f>
        <v>800</v>
      </c>
      <c r="G5" s="10">
        <f>$D5-$E5-$C5</f>
        <v>1.4399999999999409</v>
      </c>
      <c r="H5" s="4">
        <f>D5-F5</f>
        <v>14.259999999999991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Investavimas!X$52</f>
        <v>621.67999999999995</v>
      </c>
      <c r="D6" s="4">
        <f>Investavimas!X$53</f>
        <v>678.25</v>
      </c>
      <c r="E6" s="4">
        <f>Investavimas!W$53-Investavimas!W$52</f>
        <v>50</v>
      </c>
      <c r="F6" s="4">
        <f>Investavimas!W53</f>
        <v>650</v>
      </c>
      <c r="G6" s="4">
        <f>$D6-$E6-$C6</f>
        <v>6.57000000000005</v>
      </c>
      <c r="H6" s="4">
        <f>D6-F6</f>
        <v>28.25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Investavimas!AA$52</f>
        <v>463.76</v>
      </c>
      <c r="D7" s="4">
        <f>Investavimas!AA$53</f>
        <v>523.76</v>
      </c>
      <c r="E7" s="4">
        <f>Investavimas!Z$53-Investavimas!Z$52</f>
        <v>60</v>
      </c>
      <c r="F7" s="4">
        <f>Investavimas!Z53</f>
        <v>440</v>
      </c>
      <c r="G7" s="4">
        <f>$D7-$E7-$C7</f>
        <v>0</v>
      </c>
      <c r="H7" s="4">
        <f t="shared" ref="H7:H9" si="0">D7-F7</f>
        <v>83.759999999999991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Investavimas!AD$52</f>
        <v>740.12</v>
      </c>
      <c r="D8" s="4">
        <f>Investavimas!AD$53</f>
        <v>740.12</v>
      </c>
      <c r="E8" s="4">
        <f>Investavimas!AC$53-Investavimas!AC$52</f>
        <v>0</v>
      </c>
      <c r="F8" s="4">
        <f>Investavimas!AC$53</f>
        <v>700</v>
      </c>
      <c r="G8" s="4">
        <f>$D8-$E8-$C8</f>
        <v>0</v>
      </c>
      <c r="H8" s="4">
        <f t="shared" si="0"/>
        <v>40.120000000000005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Investavimas!AG$52</f>
        <v>215</v>
      </c>
      <c r="D9" s="4">
        <f>Investavimas!AG$53</f>
        <v>315</v>
      </c>
      <c r="E9" s="4">
        <f>Investavimas!AF$53-Investavimas!AF$52</f>
        <v>100</v>
      </c>
      <c r="F9" s="4">
        <f>Investavimas!AF$53</f>
        <v>300</v>
      </c>
      <c r="G9" s="4">
        <f>$D9-$E9-$C9</f>
        <v>0</v>
      </c>
      <c r="H9" s="4">
        <f t="shared" si="0"/>
        <v>15</v>
      </c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1">SUM(C5:C30)</f>
        <v>2853.38</v>
      </c>
      <c r="D31" s="4">
        <f t="shared" si="1"/>
        <v>3071.39</v>
      </c>
      <c r="E31" s="4">
        <f t="shared" si="1"/>
        <v>210</v>
      </c>
      <c r="F31" s="4">
        <f t="shared" si="1"/>
        <v>2890</v>
      </c>
      <c r="G31" s="4">
        <f t="shared" si="1"/>
        <v>8.0099999999999909</v>
      </c>
      <c r="H31" s="4">
        <f t="shared" si="1"/>
        <v>181.39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4968-FC08-4A74-A0FD-2EE11741D9E5}">
  <dimension ref="A1:H31"/>
  <sheetViews>
    <sheetView workbookViewId="0">
      <selection sqref="A1:XFD1048576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11">
        <v>2025.09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 t="s">
        <v>41</v>
      </c>
      <c r="D4" s="32">
        <v>45930</v>
      </c>
      <c r="E4" s="29">
        <f>A1</f>
        <v>2025.09</v>
      </c>
      <c r="F4" s="29" t="s">
        <v>28</v>
      </c>
      <c r="G4" s="29">
        <f>A1</f>
        <v>2025.09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Investavimas!U$53</f>
        <v>814.26</v>
      </c>
      <c r="D5" s="10">
        <f>Investavimas!U$54</f>
        <v>932.78</v>
      </c>
      <c r="E5" s="10">
        <f>Investavimas!T$54-Investavimas!T$53</f>
        <v>100</v>
      </c>
      <c r="F5" s="10">
        <f>Investavimas!T$54</f>
        <v>900</v>
      </c>
      <c r="G5" s="10">
        <f t="shared" ref="G5:G11" si="0">$D5-$E5-$C5</f>
        <v>18.519999999999982</v>
      </c>
      <c r="H5" s="4">
        <f>D5-F5</f>
        <v>32.779999999999973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Investavimas!X$53</f>
        <v>678.25</v>
      </c>
      <c r="D6" s="4">
        <f>Investavimas!X$54</f>
        <v>836.08</v>
      </c>
      <c r="E6" s="4">
        <f>Investavimas!W$54-Investavimas!W$53</f>
        <v>150</v>
      </c>
      <c r="F6" s="4">
        <f>Investavimas!W54</f>
        <v>800</v>
      </c>
      <c r="G6" s="4">
        <f t="shared" si="0"/>
        <v>7.8300000000000409</v>
      </c>
      <c r="H6" s="4">
        <f>D6-F6</f>
        <v>36.080000000000041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Investavimas!AA$53</f>
        <v>523.76</v>
      </c>
      <c r="D7" s="4">
        <f>Investavimas!AA$54</f>
        <v>553.76</v>
      </c>
      <c r="E7" s="4">
        <f>Investavimas!Z$54-Investavimas!Z$53</f>
        <v>30</v>
      </c>
      <c r="F7" s="4">
        <f>Investavimas!Z54</f>
        <v>470</v>
      </c>
      <c r="G7" s="4">
        <f t="shared" si="0"/>
        <v>0</v>
      </c>
      <c r="H7" s="4">
        <f t="shared" ref="H7:H9" si="1">D7-F7</f>
        <v>83.759999999999991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Investavimas!AD$53</f>
        <v>740.12</v>
      </c>
      <c r="D8" s="4">
        <f>Investavimas!AD$54</f>
        <v>852.99</v>
      </c>
      <c r="E8" s="4">
        <f>Investavimas!AC$54-Investavimas!AC$53</f>
        <v>100</v>
      </c>
      <c r="F8" s="4">
        <f>Investavimas!AC$54</f>
        <v>800</v>
      </c>
      <c r="G8" s="4">
        <f t="shared" si="0"/>
        <v>12.870000000000005</v>
      </c>
      <c r="H8" s="4">
        <f t="shared" si="1"/>
        <v>52.990000000000009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Investavimas!AG$53</f>
        <v>315</v>
      </c>
      <c r="D9" s="4">
        <f>Investavimas!AG$54</f>
        <v>416</v>
      </c>
      <c r="E9" s="4">
        <f>Investavimas!AF$54-Investavimas!AF$53</f>
        <v>100</v>
      </c>
      <c r="F9" s="4">
        <f>Investavimas!AF$54</f>
        <v>400</v>
      </c>
      <c r="G9" s="4">
        <f t="shared" si="0"/>
        <v>1</v>
      </c>
      <c r="H9" s="4">
        <f t="shared" si="1"/>
        <v>16</v>
      </c>
    </row>
    <row r="10" spans="1:8" x14ac:dyDescent="0.25">
      <c r="A10" s="1" t="str">
        <f>Investavimas!AI$1</f>
        <v>Nectaro</v>
      </c>
      <c r="B10" s="2" t="s">
        <v>32</v>
      </c>
      <c r="C10" s="4">
        <f>Investavimas!AJ$53</f>
        <v>0</v>
      </c>
      <c r="D10" s="4">
        <f>Investavimas!AJ$54</f>
        <v>100.52</v>
      </c>
      <c r="E10" s="4">
        <f>Investavimas!AI$54-Investavimas!AI$53</f>
        <v>100</v>
      </c>
      <c r="F10" s="4">
        <f>Investavimas!AI$54</f>
        <v>100</v>
      </c>
      <c r="G10" s="4">
        <f t="shared" si="0"/>
        <v>0.51999999999999602</v>
      </c>
      <c r="H10" s="4">
        <f t="shared" ref="H10" si="2">D10-F10</f>
        <v>0.51999999999999602</v>
      </c>
    </row>
    <row r="11" spans="1:8" x14ac:dyDescent="0.25">
      <c r="A11" s="1" t="str">
        <f>Investavimas!AL$1</f>
        <v>Debitum</v>
      </c>
      <c r="B11" s="2" t="s">
        <v>32</v>
      </c>
      <c r="C11" s="4">
        <f>Investavimas!AM$53</f>
        <v>0</v>
      </c>
      <c r="D11" s="4">
        <f>Investavimas!AM$54</f>
        <v>50.12</v>
      </c>
      <c r="E11" s="4">
        <f>Investavimas!AL$54-Investavimas!AL$53</f>
        <v>50</v>
      </c>
      <c r="F11" s="4">
        <f>Investavimas!AL$54</f>
        <v>50</v>
      </c>
      <c r="G11" s="4">
        <f t="shared" si="0"/>
        <v>0.11999999999999744</v>
      </c>
      <c r="H11" s="4">
        <f t="shared" ref="H11" si="3">D11-F11</f>
        <v>0.11999999999999744</v>
      </c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4">SUM(C5:C30)</f>
        <v>3071.39</v>
      </c>
      <c r="D31" s="4">
        <f t="shared" si="4"/>
        <v>3742.2499999999995</v>
      </c>
      <c r="E31" s="4">
        <f t="shared" si="4"/>
        <v>630</v>
      </c>
      <c r="F31" s="4">
        <f t="shared" si="4"/>
        <v>3520</v>
      </c>
      <c r="G31" s="4">
        <f t="shared" si="4"/>
        <v>40.860000000000021</v>
      </c>
      <c r="H31" s="4">
        <f t="shared" si="4"/>
        <v>222.25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392A-D097-49AF-8646-D193C1119B86}">
  <dimension ref="A1:H31"/>
  <sheetViews>
    <sheetView workbookViewId="0">
      <selection activeCell="F6" sqref="F6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33" t="s">
        <v>42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 t="s">
        <v>43</v>
      </c>
      <c r="D4" s="32">
        <v>45961</v>
      </c>
      <c r="E4" s="29" t="str">
        <f>A1</f>
        <v>2025.10</v>
      </c>
      <c r="F4" s="29" t="s">
        <v>28</v>
      </c>
      <c r="G4" s="29" t="str">
        <f>A1</f>
        <v>2025.10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Investavimas!U$54</f>
        <v>932.78</v>
      </c>
      <c r="D5" s="10">
        <f>Investavimas!U$55</f>
        <v>935.55</v>
      </c>
      <c r="E5" s="10">
        <f>Investavimas!T$55-Investavimas!T$54</f>
        <v>0</v>
      </c>
      <c r="F5" s="10">
        <f>Investavimas!T$55</f>
        <v>900</v>
      </c>
      <c r="G5" s="10">
        <f t="shared" ref="G5:G12" si="0">$D5-$E5-$C5</f>
        <v>2.7699999999999818</v>
      </c>
      <c r="H5" s="4">
        <f>D5-F5</f>
        <v>35.549999999999955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Investavimas!X$54</f>
        <v>836.08</v>
      </c>
      <c r="D6" s="4">
        <f>Investavimas!X$55</f>
        <v>969.59</v>
      </c>
      <c r="E6" s="4">
        <f>Investavimas!W$55-Investavimas!W$54</f>
        <v>100</v>
      </c>
      <c r="F6" s="4">
        <f>Investavimas!W55</f>
        <v>900</v>
      </c>
      <c r="G6" s="4">
        <f t="shared" si="0"/>
        <v>33.509999999999991</v>
      </c>
      <c r="H6" s="4">
        <f>D6-F6</f>
        <v>69.590000000000032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Investavimas!AA$54</f>
        <v>553.76</v>
      </c>
      <c r="D7" s="4">
        <f>Investavimas!AA$55</f>
        <v>584.04999999999995</v>
      </c>
      <c r="E7" s="4">
        <f>Investavimas!Z$55-Investavimas!Z$54</f>
        <v>30</v>
      </c>
      <c r="F7" s="4">
        <f>Investavimas!Z55</f>
        <v>500</v>
      </c>
      <c r="G7" s="4">
        <f t="shared" si="0"/>
        <v>0.28999999999996362</v>
      </c>
      <c r="H7" s="4">
        <f t="shared" ref="H7:H11" si="1">D7-F7</f>
        <v>84.049999999999955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Investavimas!AD$54</f>
        <v>852.99</v>
      </c>
      <c r="D8" s="4">
        <f>Investavimas!AD$55</f>
        <v>963.27</v>
      </c>
      <c r="E8" s="4">
        <f>Investavimas!AC$55-Investavimas!AC$54</f>
        <v>100</v>
      </c>
      <c r="F8" s="4">
        <f>Investavimas!AC$55</f>
        <v>900</v>
      </c>
      <c r="G8" s="4">
        <f t="shared" si="0"/>
        <v>10.279999999999973</v>
      </c>
      <c r="H8" s="4">
        <f t="shared" si="1"/>
        <v>63.269999999999982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Investavimas!AG$54</f>
        <v>416</v>
      </c>
      <c r="D9" s="4">
        <f>Investavimas!AG$55</f>
        <v>538.11</v>
      </c>
      <c r="E9" s="4">
        <f>Investavimas!AF$55-Investavimas!AF$54</f>
        <v>100</v>
      </c>
      <c r="F9" s="4">
        <f>Investavimas!AF$55</f>
        <v>500</v>
      </c>
      <c r="G9" s="4">
        <f t="shared" si="0"/>
        <v>22.110000000000014</v>
      </c>
      <c r="H9" s="4">
        <f t="shared" si="1"/>
        <v>38.110000000000014</v>
      </c>
    </row>
    <row r="10" spans="1:8" x14ac:dyDescent="0.25">
      <c r="A10" s="1" t="str">
        <f>Investavimas!AI$1</f>
        <v>Nectaro</v>
      </c>
      <c r="B10" s="2" t="s">
        <v>32</v>
      </c>
      <c r="C10" s="4">
        <f>Investavimas!AJ$54</f>
        <v>100.52</v>
      </c>
      <c r="D10" s="4">
        <f>Investavimas!AJ$55</f>
        <v>191.79</v>
      </c>
      <c r="E10" s="4">
        <f>Investavimas!AI$55-Investavimas!AI$54</f>
        <v>90</v>
      </c>
      <c r="F10" s="4">
        <f>Investavimas!AI$55</f>
        <v>190</v>
      </c>
      <c r="G10" s="4">
        <f t="shared" si="0"/>
        <v>1.269999999999996</v>
      </c>
      <c r="H10" s="4">
        <f t="shared" si="1"/>
        <v>1.789999999999992</v>
      </c>
    </row>
    <row r="11" spans="1:8" x14ac:dyDescent="0.25">
      <c r="A11" s="1" t="str">
        <f>Investavimas!AL$1</f>
        <v>Debitum</v>
      </c>
      <c r="B11" s="2" t="s">
        <v>32</v>
      </c>
      <c r="C11" s="4">
        <f>Investavimas!AM$54</f>
        <v>50.12</v>
      </c>
      <c r="D11" s="4">
        <f>Investavimas!AM$55</f>
        <v>50.63</v>
      </c>
      <c r="E11" s="4">
        <f>Investavimas!AL$55-Investavimas!AL$54</f>
        <v>0</v>
      </c>
      <c r="F11" s="4">
        <f>Investavimas!AL$55</f>
        <v>50</v>
      </c>
      <c r="G11" s="4">
        <f t="shared" si="0"/>
        <v>0.51000000000000512</v>
      </c>
      <c r="H11" s="4">
        <f t="shared" si="1"/>
        <v>0.63000000000000256</v>
      </c>
    </row>
    <row r="12" spans="1:8" x14ac:dyDescent="0.25">
      <c r="A12" s="1" t="str">
        <f>Investavimas!AO$1</f>
        <v>Viainvest</v>
      </c>
      <c r="B12" s="2" t="s">
        <v>32</v>
      </c>
      <c r="C12" s="4">
        <f>Investavimas!AP$54</f>
        <v>0</v>
      </c>
      <c r="D12" s="4">
        <f>Investavimas!AP$55</f>
        <v>100</v>
      </c>
      <c r="E12" s="4">
        <f>Investavimas!AO$55-Investavimas!AO$54</f>
        <v>100</v>
      </c>
      <c r="F12" s="4">
        <f>Investavimas!AO$55</f>
        <v>100</v>
      </c>
      <c r="G12" s="4">
        <f t="shared" si="0"/>
        <v>0</v>
      </c>
      <c r="H12" s="4">
        <f t="shared" ref="H12" si="2">D12-F12</f>
        <v>0</v>
      </c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3">SUM(C5:C30)</f>
        <v>3742.2499999999995</v>
      </c>
      <c r="D31" s="4">
        <f t="shared" si="3"/>
        <v>4332.99</v>
      </c>
      <c r="E31" s="4">
        <f t="shared" si="3"/>
        <v>520</v>
      </c>
      <c r="F31" s="4">
        <f t="shared" si="3"/>
        <v>4040</v>
      </c>
      <c r="G31" s="4">
        <f t="shared" si="3"/>
        <v>70.739999999999924</v>
      </c>
      <c r="H31" s="4">
        <f t="shared" si="3"/>
        <v>292.9899999999999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ignoredErrors>
    <ignoredError sqref="A1" numberStoredAsText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2C23-342D-40F7-B160-D74C223ABC7E}">
  <dimension ref="A1:H31"/>
  <sheetViews>
    <sheetView workbookViewId="0">
      <selection activeCell="A2" sqref="A2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33">
        <v>2025.11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 t="s">
        <v>44</v>
      </c>
      <c r="D4" s="32">
        <v>45991</v>
      </c>
      <c r="E4" s="29">
        <f>A1</f>
        <v>2025.11</v>
      </c>
      <c r="F4" s="29" t="s">
        <v>28</v>
      </c>
      <c r="G4" s="29">
        <f>A1</f>
        <v>2025.11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Investavimas!U$55</f>
        <v>935.55</v>
      </c>
      <c r="D5" s="10">
        <f>Investavimas!U$56</f>
        <v>940.78</v>
      </c>
      <c r="E5" s="10">
        <f>Investavimas!T$56-Investavimas!T$55</f>
        <v>0</v>
      </c>
      <c r="F5" s="10">
        <f>Investavimas!T$56</f>
        <v>900</v>
      </c>
      <c r="G5" s="10">
        <f t="shared" ref="G5:G14" si="0">$D5-$E5-$C5</f>
        <v>5.2300000000000182</v>
      </c>
      <c r="H5" s="4">
        <f>D5-F5</f>
        <v>40.779999999999973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Investavimas!X$55</f>
        <v>969.59</v>
      </c>
      <c r="D6" s="4">
        <f>Investavimas!X$56</f>
        <v>977.96</v>
      </c>
      <c r="E6" s="4">
        <f>Investavimas!W$56-Investavimas!W$55</f>
        <v>0</v>
      </c>
      <c r="F6" s="4">
        <f>Investavimas!W56</f>
        <v>900</v>
      </c>
      <c r="G6" s="4">
        <f t="shared" si="0"/>
        <v>8.3700000000000045</v>
      </c>
      <c r="H6" s="4">
        <f>D6-F6</f>
        <v>77.960000000000036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Investavimas!AA$55</f>
        <v>584.04999999999995</v>
      </c>
      <c r="D7" s="4">
        <f>Investavimas!AA$56</f>
        <v>584.04999999999995</v>
      </c>
      <c r="E7" s="4">
        <f>Investavimas!Z$56-Investavimas!Z$55</f>
        <v>0</v>
      </c>
      <c r="F7" s="4">
        <f>Investavimas!Z56</f>
        <v>500</v>
      </c>
      <c r="G7" s="4">
        <f t="shared" si="0"/>
        <v>0</v>
      </c>
      <c r="H7" s="4">
        <f t="shared" ref="H7:H12" si="1">D7-F7</f>
        <v>84.049999999999955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Investavimas!AD$55</f>
        <v>963.27</v>
      </c>
      <c r="D8" s="4">
        <f>Investavimas!AD$56</f>
        <v>969.05</v>
      </c>
      <c r="E8" s="4">
        <f>Investavimas!AC$56-Investavimas!AC$55</f>
        <v>0</v>
      </c>
      <c r="F8" s="4">
        <f>Investavimas!AC$56</f>
        <v>900</v>
      </c>
      <c r="G8" s="4">
        <f t="shared" si="0"/>
        <v>5.7799999999999727</v>
      </c>
      <c r="H8" s="4">
        <f t="shared" si="1"/>
        <v>69.049999999999955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Investavimas!AG$55</f>
        <v>538.11</v>
      </c>
      <c r="D9" s="4">
        <f>Investavimas!AG$56</f>
        <v>639.11</v>
      </c>
      <c r="E9" s="4">
        <f>Investavimas!AF$56-Investavimas!AF$55</f>
        <v>100</v>
      </c>
      <c r="F9" s="4">
        <f>Investavimas!AF$56</f>
        <v>600</v>
      </c>
      <c r="G9" s="4">
        <f t="shared" si="0"/>
        <v>1</v>
      </c>
      <c r="H9" s="4">
        <f t="shared" si="1"/>
        <v>39.110000000000014</v>
      </c>
    </row>
    <row r="10" spans="1:8" x14ac:dyDescent="0.25">
      <c r="A10" s="1" t="str">
        <f>Investavimas!AI$1</f>
        <v>Nectaro</v>
      </c>
      <c r="B10" s="2" t="s">
        <v>32</v>
      </c>
      <c r="C10" s="4">
        <f>Investavimas!AJ$55</f>
        <v>191.79</v>
      </c>
      <c r="D10" s="4">
        <f>Investavimas!AJ$56</f>
        <v>214.47</v>
      </c>
      <c r="E10" s="4">
        <f>Investavimas!AI$56-Investavimas!AI$55</f>
        <v>20</v>
      </c>
      <c r="F10" s="4">
        <f>Investavimas!AI$56</f>
        <v>210</v>
      </c>
      <c r="G10" s="4">
        <f t="shared" si="0"/>
        <v>2.6800000000000068</v>
      </c>
      <c r="H10" s="4">
        <f t="shared" si="1"/>
        <v>4.4699999999999989</v>
      </c>
    </row>
    <row r="11" spans="1:8" x14ac:dyDescent="0.25">
      <c r="A11" s="1" t="str">
        <f>Investavimas!AL$1</f>
        <v>Debitum</v>
      </c>
      <c r="B11" s="2" t="s">
        <v>32</v>
      </c>
      <c r="C11" s="4">
        <f>Investavimas!AM$55</f>
        <v>50.63</v>
      </c>
      <c r="D11" s="4">
        <f>Investavimas!AM$56</f>
        <v>101.4</v>
      </c>
      <c r="E11" s="4">
        <f>Investavimas!AL$56-Investavimas!AL$55</f>
        <v>50</v>
      </c>
      <c r="F11" s="4">
        <f>Investavimas!AL$56</f>
        <v>100</v>
      </c>
      <c r="G11" s="4">
        <f t="shared" si="0"/>
        <v>0.77000000000000313</v>
      </c>
      <c r="H11" s="4">
        <f t="shared" si="1"/>
        <v>1.4000000000000057</v>
      </c>
    </row>
    <row r="12" spans="1:8" x14ac:dyDescent="0.25">
      <c r="A12" s="1" t="str">
        <f>Investavimas!AO$1</f>
        <v>Viainvest</v>
      </c>
      <c r="B12" s="2" t="s">
        <v>32</v>
      </c>
      <c r="C12" s="4">
        <f>Investavimas!AP$55</f>
        <v>100</v>
      </c>
      <c r="D12" s="4">
        <f>Investavimas!AP$56</f>
        <v>150.86000000000001</v>
      </c>
      <c r="E12" s="4">
        <f>Investavimas!AO$56-Investavimas!AO$55</f>
        <v>50</v>
      </c>
      <c r="F12" s="4">
        <f>Investavimas!AO$56</f>
        <v>150</v>
      </c>
      <c r="G12" s="4">
        <f t="shared" si="0"/>
        <v>0.86000000000001364</v>
      </c>
      <c r="H12" s="4">
        <f t="shared" si="1"/>
        <v>0.86000000000001364</v>
      </c>
    </row>
    <row r="13" spans="1:8" x14ac:dyDescent="0.25">
      <c r="A13" s="1" t="str">
        <f>Investavimas!AR$1</f>
        <v>Rontgen</v>
      </c>
      <c r="B13" s="2" t="s">
        <v>32</v>
      </c>
      <c r="C13" s="4">
        <f>Investavimas!AS$55</f>
        <v>0</v>
      </c>
      <c r="D13" s="4">
        <f>Investavimas!AS$56</f>
        <v>500</v>
      </c>
      <c r="E13" s="4">
        <f>Investavimas!AR$56-Investavimas!AR$55</f>
        <v>500</v>
      </c>
      <c r="F13" s="4">
        <f>Investavimas!AR$56</f>
        <v>500</v>
      </c>
      <c r="G13" s="4">
        <f t="shared" si="0"/>
        <v>0</v>
      </c>
      <c r="H13" s="4">
        <f t="shared" ref="H13" si="2">D13-F13</f>
        <v>0</v>
      </c>
    </row>
    <row r="14" spans="1:8" x14ac:dyDescent="0.25">
      <c r="A14" s="1" t="str">
        <f>Investavimas!AU$1</f>
        <v>Afranga</v>
      </c>
      <c r="B14" s="2" t="s">
        <v>32</v>
      </c>
      <c r="C14" s="4">
        <f>Investavimas!AV$55</f>
        <v>0</v>
      </c>
      <c r="D14" s="4">
        <f>Investavimas!AV$56</f>
        <v>150.5</v>
      </c>
      <c r="E14" s="4">
        <f>Investavimas!AU$56-Investavimas!AU$55</f>
        <v>150</v>
      </c>
      <c r="F14" s="4">
        <f>Investavimas!AU$56</f>
        <v>150</v>
      </c>
      <c r="G14" s="4">
        <f t="shared" si="0"/>
        <v>0.5</v>
      </c>
      <c r="H14" s="4">
        <f t="shared" ref="H14" si="3">D14-F14</f>
        <v>0.5</v>
      </c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4">SUM(C5:C30)</f>
        <v>4332.99</v>
      </c>
      <c r="D31" s="4">
        <f t="shared" si="4"/>
        <v>5228.1799999999994</v>
      </c>
      <c r="E31" s="4">
        <f t="shared" si="4"/>
        <v>870</v>
      </c>
      <c r="F31" s="4">
        <f t="shared" si="4"/>
        <v>4910</v>
      </c>
      <c r="G31" s="4">
        <f t="shared" si="4"/>
        <v>25.190000000000019</v>
      </c>
      <c r="H31" s="4">
        <f t="shared" si="4"/>
        <v>318.17999999999995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F1EE-1CC5-4739-9472-B47927C04B9C}">
  <dimension ref="A1:H31"/>
  <sheetViews>
    <sheetView workbookViewId="0">
      <selection activeCell="F5" sqref="F5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33">
        <v>2025.12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 t="s">
        <v>45</v>
      </c>
      <c r="D4" s="32">
        <v>46022</v>
      </c>
      <c r="E4" s="29">
        <f>A1</f>
        <v>2025.12</v>
      </c>
      <c r="F4" s="29" t="s">
        <v>28</v>
      </c>
      <c r="G4" s="29">
        <f>A1</f>
        <v>2025.12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Investavimas!U$56</f>
        <v>940.78</v>
      </c>
      <c r="D5" s="10">
        <f>Investavimas!U$57</f>
        <v>1049.25</v>
      </c>
      <c r="E5" s="10">
        <f>Investavimas!T$57-Investavimas!T$56</f>
        <v>100</v>
      </c>
      <c r="F5" s="10">
        <f>Investavimas!T$57</f>
        <v>1000</v>
      </c>
      <c r="G5" s="10">
        <f t="shared" ref="G5:G14" si="0">$D5-$E5-$C5</f>
        <v>8.4700000000000273</v>
      </c>
      <c r="H5" s="4">
        <f>D5-F5</f>
        <v>49.25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Investavimas!X$56</f>
        <v>977.96</v>
      </c>
      <c r="D6" s="4">
        <f>Investavimas!X$57</f>
        <v>990.78</v>
      </c>
      <c r="E6" s="4">
        <f>Investavimas!W$57-Investavimas!W$56</f>
        <v>0</v>
      </c>
      <c r="F6" s="4">
        <f>Investavimas!W57</f>
        <v>900</v>
      </c>
      <c r="G6" s="4">
        <f t="shared" si="0"/>
        <v>12.819999999999936</v>
      </c>
      <c r="H6" s="4">
        <f>D6-F6</f>
        <v>90.779999999999973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Investavimas!AA$56</f>
        <v>584.04999999999995</v>
      </c>
      <c r="D7" s="4">
        <f>Investavimas!AA$57</f>
        <v>604.83000000000004</v>
      </c>
      <c r="E7" s="4">
        <f>Investavimas!Z$57-Investavimas!Z$56</f>
        <v>20</v>
      </c>
      <c r="F7" s="4">
        <f>Investavimas!Z57</f>
        <v>520</v>
      </c>
      <c r="G7" s="4">
        <f t="shared" si="0"/>
        <v>0.7800000000000864</v>
      </c>
      <c r="H7" s="4">
        <f t="shared" ref="H7:H14" si="1">D7-F7</f>
        <v>84.830000000000041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Investavimas!AD$56</f>
        <v>969.05</v>
      </c>
      <c r="D8" s="4">
        <f>Investavimas!AD$57</f>
        <v>1094</v>
      </c>
      <c r="E8" s="4">
        <f>Investavimas!AC$57-Investavimas!AC$56</f>
        <v>100</v>
      </c>
      <c r="F8" s="4">
        <f>Investavimas!AC$57</f>
        <v>1000</v>
      </c>
      <c r="G8" s="4">
        <f t="shared" si="0"/>
        <v>24.950000000000045</v>
      </c>
      <c r="H8" s="4">
        <f t="shared" si="1"/>
        <v>94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Investavimas!AG$56</f>
        <v>639.11</v>
      </c>
      <c r="D9" s="4">
        <f>Investavimas!AG$57</f>
        <v>849.62</v>
      </c>
      <c r="E9" s="4">
        <f>Investavimas!AF$57-Investavimas!AF$56</f>
        <v>200</v>
      </c>
      <c r="F9" s="4">
        <f>Investavimas!AF$57</f>
        <v>800</v>
      </c>
      <c r="G9" s="4">
        <f t="shared" si="0"/>
        <v>10.509999999999991</v>
      </c>
      <c r="H9" s="4">
        <f t="shared" si="1"/>
        <v>49.620000000000005</v>
      </c>
    </row>
    <row r="10" spans="1:8" x14ac:dyDescent="0.25">
      <c r="A10" s="1" t="str">
        <f>Investavimas!AI$1</f>
        <v>Nectaro</v>
      </c>
      <c r="B10" s="2" t="s">
        <v>32</v>
      </c>
      <c r="C10" s="4">
        <f>Investavimas!AJ$56</f>
        <v>214.47</v>
      </c>
      <c r="D10" s="4">
        <f>Investavimas!AJ$57</f>
        <v>246.8</v>
      </c>
      <c r="E10" s="4">
        <f>Investavimas!AI$57-Investavimas!AI$56</f>
        <v>30</v>
      </c>
      <c r="F10" s="4">
        <f>Investavimas!AI$57</f>
        <v>240</v>
      </c>
      <c r="G10" s="4">
        <f t="shared" si="0"/>
        <v>2.3300000000000125</v>
      </c>
      <c r="H10" s="4">
        <f t="shared" si="1"/>
        <v>6.8000000000000114</v>
      </c>
    </row>
    <row r="11" spans="1:8" x14ac:dyDescent="0.25">
      <c r="A11" s="1" t="str">
        <f>Investavimas!AL$1</f>
        <v>Debitum</v>
      </c>
      <c r="B11" s="2" t="s">
        <v>32</v>
      </c>
      <c r="C11" s="4">
        <f>Investavimas!AM$56</f>
        <v>101.4</v>
      </c>
      <c r="D11" s="4">
        <f>Investavimas!AM$57</f>
        <v>122.52</v>
      </c>
      <c r="E11" s="4">
        <f>Investavimas!AL$57-Investavimas!AL$56</f>
        <v>20</v>
      </c>
      <c r="F11" s="4">
        <f>Investavimas!AL$57</f>
        <v>120</v>
      </c>
      <c r="G11" s="4">
        <f t="shared" si="0"/>
        <v>1.1199999999999903</v>
      </c>
      <c r="H11" s="4">
        <f t="shared" si="1"/>
        <v>2.519999999999996</v>
      </c>
    </row>
    <row r="12" spans="1:8" x14ac:dyDescent="0.25">
      <c r="A12" s="1" t="str">
        <f>Investavimas!AO$1</f>
        <v>Viainvest</v>
      </c>
      <c r="B12" s="2" t="s">
        <v>32</v>
      </c>
      <c r="C12" s="4">
        <f>Investavimas!AP$56</f>
        <v>150.86000000000001</v>
      </c>
      <c r="D12" s="4">
        <f>Investavimas!AP$57</f>
        <v>202.13</v>
      </c>
      <c r="E12" s="4">
        <f>Investavimas!AO$57-Investavimas!AO$56</f>
        <v>50</v>
      </c>
      <c r="F12" s="4">
        <f>Investavimas!AO$57</f>
        <v>200</v>
      </c>
      <c r="G12" s="4">
        <f t="shared" si="0"/>
        <v>1.2699999999999818</v>
      </c>
      <c r="H12" s="4">
        <f t="shared" si="1"/>
        <v>2.1299999999999955</v>
      </c>
    </row>
    <row r="13" spans="1:8" x14ac:dyDescent="0.25">
      <c r="A13" s="1" t="str">
        <f>Investavimas!AR$1</f>
        <v>Rontgen</v>
      </c>
      <c r="B13" s="2" t="s">
        <v>32</v>
      </c>
      <c r="C13" s="4">
        <f>Investavimas!AS$56</f>
        <v>500</v>
      </c>
      <c r="D13" s="4">
        <f>Investavimas!AS$57</f>
        <v>500</v>
      </c>
      <c r="E13" s="4">
        <f>Investavimas!AR$57-Investavimas!AR$56</f>
        <v>0</v>
      </c>
      <c r="F13" s="4">
        <f>Investavimas!AR$57</f>
        <v>500</v>
      </c>
      <c r="G13" s="4">
        <f t="shared" si="0"/>
        <v>0</v>
      </c>
      <c r="H13" s="4">
        <f t="shared" si="1"/>
        <v>0</v>
      </c>
    </row>
    <row r="14" spans="1:8" x14ac:dyDescent="0.25">
      <c r="A14" s="1" t="str">
        <f>Investavimas!AU$1</f>
        <v>Afranga</v>
      </c>
      <c r="B14" s="2" t="s">
        <v>32</v>
      </c>
      <c r="C14" s="4">
        <f>Investavimas!AV$56</f>
        <v>150.5</v>
      </c>
      <c r="D14" s="4">
        <f>Investavimas!AV$57</f>
        <v>171.49</v>
      </c>
      <c r="E14" s="4">
        <f>Investavimas!AU$57-Investavimas!AU$56</f>
        <v>20</v>
      </c>
      <c r="F14" s="4">
        <f>Investavimas!AU$57</f>
        <v>170</v>
      </c>
      <c r="G14" s="4">
        <f t="shared" si="0"/>
        <v>0.99000000000000909</v>
      </c>
      <c r="H14" s="4">
        <f t="shared" si="1"/>
        <v>1.4900000000000091</v>
      </c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2">SUM(C5:C30)</f>
        <v>5228.1799999999994</v>
      </c>
      <c r="D31" s="4">
        <f t="shared" si="2"/>
        <v>5831.420000000001</v>
      </c>
      <c r="E31" s="4">
        <f t="shared" si="2"/>
        <v>540</v>
      </c>
      <c r="F31" s="4">
        <f t="shared" si="2"/>
        <v>5450</v>
      </c>
      <c r="G31" s="4">
        <f t="shared" si="2"/>
        <v>63.24000000000008</v>
      </c>
      <c r="H31" s="4">
        <f t="shared" si="2"/>
        <v>381.42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194-D895-4112-ACE3-DD50ABD02EF3}">
  <dimension ref="A1:H31"/>
  <sheetViews>
    <sheetView workbookViewId="0">
      <selection sqref="A1:XFD1048576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33">
        <v>2026.01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>
        <v>46022</v>
      </c>
      <c r="D4" s="32">
        <v>46053</v>
      </c>
      <c r="E4" s="29">
        <f>A1</f>
        <v>2026.01</v>
      </c>
      <c r="F4" s="29" t="s">
        <v>28</v>
      </c>
      <c r="G4" s="29">
        <f>A1</f>
        <v>2026.01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Investavimas!U$57</f>
        <v>1049.25</v>
      </c>
      <c r="D5" s="10">
        <f>Investavimas!U$58</f>
        <v>1058.32</v>
      </c>
      <c r="E5" s="10">
        <f>Investavimas!T$58-Investavimas!T$57</f>
        <v>0</v>
      </c>
      <c r="F5" s="10">
        <f>Investavimas!T$58</f>
        <v>1000</v>
      </c>
      <c r="G5" s="10">
        <f t="shared" ref="G5:G14" si="0">$D5-$E5-$C5</f>
        <v>9.0699999999999363</v>
      </c>
      <c r="H5" s="4">
        <f>D5-F5</f>
        <v>58.319999999999936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Investavimas!X$57</f>
        <v>990.78</v>
      </c>
      <c r="D6" s="4">
        <f>Investavimas!X$58</f>
        <v>1001.92</v>
      </c>
      <c r="E6" s="4">
        <f>Investavimas!W$58-Investavimas!W$57</f>
        <v>0</v>
      </c>
      <c r="F6" s="4">
        <f>Investavimas!W58</f>
        <v>900</v>
      </c>
      <c r="G6" s="4">
        <f t="shared" si="0"/>
        <v>11.139999999999986</v>
      </c>
      <c r="H6" s="4">
        <f>D6-F6</f>
        <v>101.91999999999996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Investavimas!AA$57</f>
        <v>604.83000000000004</v>
      </c>
      <c r="D7" s="4">
        <f>Investavimas!AA$58</f>
        <v>604.83000000000004</v>
      </c>
      <c r="E7" s="4">
        <f>Investavimas!Z$58-Investavimas!Z$57</f>
        <v>0</v>
      </c>
      <c r="F7" s="4">
        <f>Investavimas!Z58</f>
        <v>520</v>
      </c>
      <c r="G7" s="4">
        <f t="shared" si="0"/>
        <v>0</v>
      </c>
      <c r="H7" s="4">
        <f t="shared" ref="H7:H14" si="1">D7-F7</f>
        <v>84.830000000000041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Investavimas!AD$57</f>
        <v>1094</v>
      </c>
      <c r="D8" s="4">
        <f>Investavimas!AD$58</f>
        <v>1102.32</v>
      </c>
      <c r="E8" s="4">
        <f>Investavimas!AC$58-Investavimas!AC$57</f>
        <v>0</v>
      </c>
      <c r="F8" s="4">
        <f>Investavimas!AC$58</f>
        <v>1000</v>
      </c>
      <c r="G8" s="4">
        <f t="shared" si="0"/>
        <v>8.3199999999999363</v>
      </c>
      <c r="H8" s="4">
        <f t="shared" si="1"/>
        <v>102.31999999999994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Investavimas!AG$57</f>
        <v>849.62</v>
      </c>
      <c r="D9" s="4">
        <f>Investavimas!AG$58</f>
        <v>956.77</v>
      </c>
      <c r="E9" s="4">
        <f>Investavimas!AF$58-Investavimas!AF$57</f>
        <v>100</v>
      </c>
      <c r="F9" s="4">
        <f>Investavimas!AF$58</f>
        <v>900</v>
      </c>
      <c r="G9" s="4">
        <f t="shared" si="0"/>
        <v>7.1499999999999773</v>
      </c>
      <c r="H9" s="4">
        <f t="shared" si="1"/>
        <v>56.769999999999982</v>
      </c>
    </row>
    <row r="10" spans="1:8" x14ac:dyDescent="0.25">
      <c r="A10" s="1" t="str">
        <f>Investavimas!AI$1</f>
        <v>Nectaro</v>
      </c>
      <c r="B10" s="2" t="s">
        <v>32</v>
      </c>
      <c r="C10" s="4">
        <f>Investavimas!AJ$57</f>
        <v>246.8</v>
      </c>
      <c r="D10" s="4">
        <f>Investavimas!AJ$58</f>
        <v>299</v>
      </c>
      <c r="E10" s="4">
        <f>Investavimas!AI$58-Investavimas!AI$57</f>
        <v>50</v>
      </c>
      <c r="F10" s="4">
        <f>Investavimas!AI$58</f>
        <v>290</v>
      </c>
      <c r="G10" s="4">
        <f t="shared" si="0"/>
        <v>2.1999999999999886</v>
      </c>
      <c r="H10" s="4">
        <f t="shared" si="1"/>
        <v>9</v>
      </c>
    </row>
    <row r="11" spans="1:8" x14ac:dyDescent="0.25">
      <c r="A11" s="1" t="str">
        <f>Investavimas!AL$1</f>
        <v>Debitum</v>
      </c>
      <c r="B11" s="2" t="s">
        <v>32</v>
      </c>
      <c r="C11" s="4">
        <f>Investavimas!AM$57</f>
        <v>122.52</v>
      </c>
      <c r="D11" s="4">
        <f>Investavimas!AM$58</f>
        <v>143.83000000000001</v>
      </c>
      <c r="E11" s="4">
        <f>Investavimas!AL$58-Investavimas!AL$57</f>
        <v>20</v>
      </c>
      <c r="F11" s="4">
        <f>Investavimas!AL$58</f>
        <v>140</v>
      </c>
      <c r="G11" s="4">
        <f t="shared" si="0"/>
        <v>1.3100000000000165</v>
      </c>
      <c r="H11" s="4">
        <f t="shared" si="1"/>
        <v>3.8300000000000125</v>
      </c>
    </row>
    <row r="12" spans="1:8" x14ac:dyDescent="0.25">
      <c r="A12" s="1" t="str">
        <f>Investavimas!AO$1</f>
        <v>Viainvest</v>
      </c>
      <c r="B12" s="2" t="s">
        <v>32</v>
      </c>
      <c r="C12" s="4">
        <f>Investavimas!AP$57</f>
        <v>202.13</v>
      </c>
      <c r="D12" s="4">
        <f>Investavimas!AP$58</f>
        <v>213.88</v>
      </c>
      <c r="E12" s="4">
        <f>Investavimas!AO$58-Investavimas!AO$57</f>
        <v>10</v>
      </c>
      <c r="F12" s="4">
        <f>Investavimas!AO$58</f>
        <v>210</v>
      </c>
      <c r="G12" s="4">
        <f t="shared" si="0"/>
        <v>1.75</v>
      </c>
      <c r="H12" s="4">
        <f t="shared" si="1"/>
        <v>3.8799999999999955</v>
      </c>
    </row>
    <row r="13" spans="1:8" x14ac:dyDescent="0.25">
      <c r="A13" s="1" t="str">
        <f>Investavimas!AR$1</f>
        <v>Rontgen</v>
      </c>
      <c r="B13" s="2" t="s">
        <v>32</v>
      </c>
      <c r="C13" s="4">
        <f>Investavimas!AS$57</f>
        <v>500</v>
      </c>
      <c r="D13" s="4">
        <f>Investavimas!AS$58</f>
        <v>607.58000000000004</v>
      </c>
      <c r="E13" s="4">
        <f>Investavimas!AR$58-Investavimas!AR$57</f>
        <v>100</v>
      </c>
      <c r="F13" s="4">
        <f>Investavimas!AR$58</f>
        <v>600</v>
      </c>
      <c r="G13" s="4">
        <f t="shared" si="0"/>
        <v>7.5800000000000409</v>
      </c>
      <c r="H13" s="4">
        <f t="shared" si="1"/>
        <v>7.5800000000000409</v>
      </c>
    </row>
    <row r="14" spans="1:8" x14ac:dyDescent="0.25">
      <c r="A14" s="1" t="str">
        <f>Investavimas!AU$1</f>
        <v>Afranga</v>
      </c>
      <c r="B14" s="2" t="s">
        <v>32</v>
      </c>
      <c r="C14" s="4">
        <f>Investavimas!AV$57</f>
        <v>171.49</v>
      </c>
      <c r="D14" s="4">
        <f>Investavimas!AV$58</f>
        <v>193.64</v>
      </c>
      <c r="E14" s="4">
        <f>Investavimas!AU$58-Investavimas!AU$57</f>
        <v>20</v>
      </c>
      <c r="F14" s="4">
        <f>Investavimas!AU$58</f>
        <v>190</v>
      </c>
      <c r="G14" s="4">
        <f t="shared" si="0"/>
        <v>2.1499999999999773</v>
      </c>
      <c r="H14" s="4">
        <f t="shared" si="1"/>
        <v>3.6399999999999864</v>
      </c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2">SUM(C5:C30)</f>
        <v>5831.420000000001</v>
      </c>
      <c r="D31" s="4">
        <f t="shared" si="2"/>
        <v>6182.09</v>
      </c>
      <c r="E31" s="4">
        <f t="shared" si="2"/>
        <v>300</v>
      </c>
      <c r="F31" s="4">
        <f t="shared" si="2"/>
        <v>5750</v>
      </c>
      <c r="G31" s="4">
        <f t="shared" si="2"/>
        <v>50.66999999999986</v>
      </c>
      <c r="H31" s="4">
        <f t="shared" si="2"/>
        <v>432.08999999999992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E764-506E-4079-B1A7-8EBC1B67C555}">
  <dimension ref="A1:H31"/>
  <sheetViews>
    <sheetView workbookViewId="0">
      <selection activeCell="C5" sqref="C5"/>
    </sheetView>
  </sheetViews>
  <sheetFormatPr defaultRowHeight="15" x14ac:dyDescent="0.25"/>
  <cols>
    <col min="1" max="1" width="15.7109375" customWidth="1"/>
    <col min="2" max="2" width="10.7109375" customWidth="1"/>
    <col min="3" max="8" width="15.7109375" customWidth="1"/>
  </cols>
  <sheetData>
    <row r="1" spans="1:8" ht="15.75" thickBot="1" x14ac:dyDescent="0.3">
      <c r="A1" s="33">
        <v>2026.02</v>
      </c>
    </row>
    <row r="2" spans="1:8" ht="15.75" thickBot="1" x14ac:dyDescent="0.3"/>
    <row r="3" spans="1:8" ht="15.75" thickBot="1" x14ac:dyDescent="0.3">
      <c r="A3" s="41" t="s">
        <v>30</v>
      </c>
      <c r="B3" s="41" t="s">
        <v>31</v>
      </c>
      <c r="C3" s="34" t="s">
        <v>13</v>
      </c>
      <c r="D3" s="37"/>
      <c r="E3" s="42" t="s">
        <v>23</v>
      </c>
      <c r="F3" s="42"/>
      <c r="G3" s="43" t="s">
        <v>36</v>
      </c>
      <c r="H3" s="44"/>
    </row>
    <row r="4" spans="1:8" ht="15.75" thickBot="1" x14ac:dyDescent="0.3">
      <c r="A4" s="41"/>
      <c r="B4" s="41"/>
      <c r="C4" s="30">
        <v>46053</v>
      </c>
      <c r="D4" s="32">
        <v>46081</v>
      </c>
      <c r="E4" s="29">
        <f>A1</f>
        <v>2026.02</v>
      </c>
      <c r="F4" s="29" t="s">
        <v>28</v>
      </c>
      <c r="G4" s="29">
        <f>A1</f>
        <v>2026.02</v>
      </c>
      <c r="H4" s="29" t="s">
        <v>28</v>
      </c>
    </row>
    <row r="5" spans="1:8" x14ac:dyDescent="0.25">
      <c r="A5" s="28" t="str">
        <f>Investavimas!T$1</f>
        <v>Profitus</v>
      </c>
      <c r="B5" s="8" t="s">
        <v>32</v>
      </c>
      <c r="C5" s="10">
        <f>Investavimas!U$58</f>
        <v>1058.32</v>
      </c>
      <c r="D5" s="10">
        <f>Investavimas!U$59</f>
        <v>1082.54</v>
      </c>
      <c r="E5" s="10">
        <f>Investavimas!T$59-Investavimas!T$58</f>
        <v>20</v>
      </c>
      <c r="F5" s="10">
        <f>Investavimas!T$59</f>
        <v>1020</v>
      </c>
      <c r="G5" s="10">
        <f t="shared" ref="G5:G14" si="0">$D5-$E5-$C5</f>
        <v>4.2200000000000273</v>
      </c>
      <c r="H5" s="4">
        <f>D5-F5</f>
        <v>62.539999999999964</v>
      </c>
    </row>
    <row r="6" spans="1:8" x14ac:dyDescent="0.25">
      <c r="A6" s="1" t="str">
        <f>Investavimas!W$1</f>
        <v>Nordstreet</v>
      </c>
      <c r="B6" s="2" t="s">
        <v>32</v>
      </c>
      <c r="C6" s="4">
        <f>Investavimas!X$58</f>
        <v>1001.92</v>
      </c>
      <c r="D6" s="4">
        <f>Investavimas!X$59</f>
        <v>1061.76</v>
      </c>
      <c r="E6" s="4">
        <f>Investavimas!W$59-Investavimas!W$58</f>
        <v>50</v>
      </c>
      <c r="F6" s="4">
        <f>Investavimas!W59</f>
        <v>950</v>
      </c>
      <c r="G6" s="4">
        <f t="shared" si="0"/>
        <v>9.8400000000000318</v>
      </c>
      <c r="H6" s="4">
        <f>D6-F6</f>
        <v>111.75999999999999</v>
      </c>
    </row>
    <row r="7" spans="1:8" x14ac:dyDescent="0.25">
      <c r="A7" s="1" t="str">
        <f>Investavimas!Z$1</f>
        <v>Indemo</v>
      </c>
      <c r="B7" s="2" t="s">
        <v>32</v>
      </c>
      <c r="C7" s="4">
        <f>Investavimas!AA$58</f>
        <v>604.83000000000004</v>
      </c>
      <c r="D7" s="4">
        <f>Investavimas!AA$59</f>
        <v>604.83000000000004</v>
      </c>
      <c r="E7" s="4">
        <f>Investavimas!Z$59-Investavimas!Z$58</f>
        <v>0</v>
      </c>
      <c r="F7" s="4">
        <f>Investavimas!Z59</f>
        <v>520</v>
      </c>
      <c r="G7" s="4">
        <f t="shared" si="0"/>
        <v>0</v>
      </c>
      <c r="H7" s="4">
        <f t="shared" ref="H7:H14" si="1">D7-F7</f>
        <v>84.830000000000041</v>
      </c>
    </row>
    <row r="8" spans="1:8" x14ac:dyDescent="0.25">
      <c r="A8" s="1" t="str">
        <f>Investavimas!AC$1</f>
        <v>Crowdpear</v>
      </c>
      <c r="B8" s="2" t="s">
        <v>32</v>
      </c>
      <c r="C8" s="4">
        <f>Investavimas!AD$58</f>
        <v>1102.32</v>
      </c>
      <c r="D8" s="4">
        <f>Investavimas!AD$59</f>
        <v>1110.46</v>
      </c>
      <c r="E8" s="4">
        <f>Investavimas!AC$59-Investavimas!AC$58</f>
        <v>0</v>
      </c>
      <c r="F8" s="4">
        <f>Investavimas!AC$59</f>
        <v>1000</v>
      </c>
      <c r="G8" s="4">
        <f t="shared" si="0"/>
        <v>8.1400000000001</v>
      </c>
      <c r="H8" s="4">
        <f t="shared" si="1"/>
        <v>110.46000000000004</v>
      </c>
    </row>
    <row r="9" spans="1:8" x14ac:dyDescent="0.25">
      <c r="A9" s="1" t="str">
        <f>Investavimas!AF$1</f>
        <v>Scramble</v>
      </c>
      <c r="B9" s="2" t="s">
        <v>32</v>
      </c>
      <c r="C9" s="4">
        <f>Investavimas!AG$58</f>
        <v>956.77</v>
      </c>
      <c r="D9" s="4">
        <f>Investavimas!AG$59</f>
        <v>961.24</v>
      </c>
      <c r="E9" s="4">
        <f>Investavimas!AF$59-Investavimas!AF$58</f>
        <v>0</v>
      </c>
      <c r="F9" s="4">
        <f>Investavimas!AF$59</f>
        <v>900</v>
      </c>
      <c r="G9" s="4">
        <f t="shared" si="0"/>
        <v>4.4700000000000273</v>
      </c>
      <c r="H9" s="4">
        <f t="shared" si="1"/>
        <v>61.240000000000009</v>
      </c>
    </row>
    <row r="10" spans="1:8" x14ac:dyDescent="0.25">
      <c r="A10" s="1" t="str">
        <f>Investavimas!AI$1</f>
        <v>Nectaro</v>
      </c>
      <c r="B10" s="2" t="s">
        <v>32</v>
      </c>
      <c r="C10" s="4">
        <f>Investavimas!AJ$58</f>
        <v>299</v>
      </c>
      <c r="D10" s="4">
        <f>Investavimas!AJ$59</f>
        <v>301.33</v>
      </c>
      <c r="E10" s="4">
        <f>Investavimas!AI$59-Investavimas!AI$58</f>
        <v>0</v>
      </c>
      <c r="F10" s="4">
        <f>Investavimas!AI$59</f>
        <v>290</v>
      </c>
      <c r="G10" s="4">
        <f t="shared" si="0"/>
        <v>2.3299999999999841</v>
      </c>
      <c r="H10" s="4">
        <f t="shared" si="1"/>
        <v>11.329999999999984</v>
      </c>
    </row>
    <row r="11" spans="1:8" x14ac:dyDescent="0.25">
      <c r="A11" s="1" t="str">
        <f>Investavimas!AL$1</f>
        <v>Debitum</v>
      </c>
      <c r="B11" s="2" t="s">
        <v>32</v>
      </c>
      <c r="C11" s="4">
        <f>Investavimas!AM$58</f>
        <v>143.83000000000001</v>
      </c>
      <c r="D11" s="4">
        <f>Investavimas!AM$59</f>
        <v>165.2</v>
      </c>
      <c r="E11" s="4">
        <f>Investavimas!AL$59-Investavimas!AL$58</f>
        <v>20</v>
      </c>
      <c r="F11" s="4">
        <f>Investavimas!AL$59</f>
        <v>160</v>
      </c>
      <c r="G11" s="4">
        <f t="shared" si="0"/>
        <v>1.3699999999999761</v>
      </c>
      <c r="H11" s="4">
        <f t="shared" si="1"/>
        <v>5.1999999999999886</v>
      </c>
    </row>
    <row r="12" spans="1:8" x14ac:dyDescent="0.25">
      <c r="A12" s="1" t="str">
        <f>Investavimas!AO$1</f>
        <v>Viainvest</v>
      </c>
      <c r="B12" s="2" t="s">
        <v>32</v>
      </c>
      <c r="C12" s="4">
        <f>Investavimas!AP$58</f>
        <v>213.88</v>
      </c>
      <c r="D12" s="4">
        <f>Investavimas!AP$59</f>
        <v>245.74</v>
      </c>
      <c r="E12" s="4">
        <f>Investavimas!AO$59-Investavimas!AO$58</f>
        <v>30</v>
      </c>
      <c r="F12" s="4">
        <f>Investavimas!AO$59</f>
        <v>240</v>
      </c>
      <c r="G12" s="4">
        <f t="shared" si="0"/>
        <v>1.8600000000000136</v>
      </c>
      <c r="H12" s="4">
        <f t="shared" si="1"/>
        <v>5.7400000000000091</v>
      </c>
    </row>
    <row r="13" spans="1:8" x14ac:dyDescent="0.25">
      <c r="A13" s="1" t="str">
        <f>Investavimas!AR$1</f>
        <v>Rontgen</v>
      </c>
      <c r="B13" s="2" t="s">
        <v>32</v>
      </c>
      <c r="C13" s="4">
        <f>Investavimas!AS$58</f>
        <v>607.58000000000004</v>
      </c>
      <c r="D13" s="4">
        <f>Investavimas!AS$59</f>
        <v>607.58000000000004</v>
      </c>
      <c r="E13" s="4">
        <f>Investavimas!AR$59-Investavimas!AR$58</f>
        <v>0</v>
      </c>
      <c r="F13" s="4">
        <f>Investavimas!AR$59</f>
        <v>600</v>
      </c>
      <c r="G13" s="4">
        <f t="shared" si="0"/>
        <v>0</v>
      </c>
      <c r="H13" s="4">
        <f t="shared" si="1"/>
        <v>7.5800000000000409</v>
      </c>
    </row>
    <row r="14" spans="1:8" x14ac:dyDescent="0.25">
      <c r="A14" s="1" t="str">
        <f>Investavimas!AU$1</f>
        <v>Afranga</v>
      </c>
      <c r="B14" s="2" t="s">
        <v>32</v>
      </c>
      <c r="C14" s="4">
        <f>Investavimas!AV$58</f>
        <v>193.64</v>
      </c>
      <c r="D14" s="4">
        <f>Investavimas!AV$59</f>
        <v>215.26</v>
      </c>
      <c r="E14" s="4">
        <f>Investavimas!AU$59-Investavimas!AU$58</f>
        <v>20</v>
      </c>
      <c r="F14" s="4">
        <f>Investavimas!AU$59</f>
        <v>210</v>
      </c>
      <c r="G14" s="4">
        <f t="shared" si="0"/>
        <v>1.6200000000000045</v>
      </c>
      <c r="H14" s="4">
        <f t="shared" si="1"/>
        <v>5.2599999999999909</v>
      </c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31" t="s">
        <v>1</v>
      </c>
      <c r="B31" s="1"/>
      <c r="C31" s="4">
        <f t="shared" ref="C31:H31" si="2">SUM(C5:C30)</f>
        <v>6182.09</v>
      </c>
      <c r="D31" s="4">
        <f t="shared" si="2"/>
        <v>6355.94</v>
      </c>
      <c r="E31" s="4">
        <f t="shared" si="2"/>
        <v>140</v>
      </c>
      <c r="F31" s="4">
        <f t="shared" si="2"/>
        <v>5890</v>
      </c>
      <c r="G31" s="4">
        <f t="shared" si="2"/>
        <v>33.850000000000165</v>
      </c>
      <c r="H31" s="4">
        <f t="shared" si="2"/>
        <v>465.94000000000005</v>
      </c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Investavimas</vt:lpstr>
      <vt:lpstr>P2P 2026.06</vt:lpstr>
      <vt:lpstr>P2P 2026.05</vt:lpstr>
      <vt:lpstr>P2P 2026.04</vt:lpstr>
      <vt:lpstr>P2P 2026.03</vt:lpstr>
      <vt:lpstr>P2P 2025.02</vt:lpstr>
      <vt:lpstr>P2P 2025.03</vt:lpstr>
      <vt:lpstr>P2P 2025.04</vt:lpstr>
      <vt:lpstr>P2P 2025.05</vt:lpstr>
      <vt:lpstr>P2P 2025.06</vt:lpstr>
      <vt:lpstr>P2P 2025.07</vt:lpstr>
      <vt:lpstr>P2P 2025.08</vt:lpstr>
      <vt:lpstr>P2P 2025.09</vt:lpstr>
      <vt:lpstr>P2P 2025.10</vt:lpstr>
      <vt:lpstr>P2P 2025.11</vt:lpstr>
      <vt:lpstr>P2P 2025.12</vt:lpstr>
      <vt:lpstr>P2P 2026.01</vt:lpstr>
      <vt:lpstr>P2P 2026.02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cp:lastPrinted>2026-09-16T05:16:25Z</cp:lastPrinted>
  <dcterms:created xsi:type="dcterms:W3CDTF">2025-03-13T14:17:49Z</dcterms:created>
  <dcterms:modified xsi:type="dcterms:W3CDTF">2026-10-01T06:36:41Z</dcterms:modified>
</cp:coreProperties>
</file>