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Loanch\"/>
    </mc:Choice>
  </mc:AlternateContent>
  <xr:revisionPtr revIDLastSave="0" documentId="13_ncr:1_{2D57DEA6-A7C9-4BC2-A6D6-C4CE53F612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verview" sheetId="1" r:id="rId1"/>
    <sheet name="Pinigai" sheetId="15" r:id="rId2"/>
    <sheet name="45b52ba0...0700af8e066e" sheetId="31" r:id="rId3"/>
    <sheet name="4db6f5a8...8acf4fb9b90a" sheetId="30" r:id="rId4"/>
    <sheet name="6836f159...155f27704bef" sheetId="29" r:id="rId5"/>
    <sheet name="bab06fd6...b5601686ad35" sheetId="28" r:id="rId6"/>
    <sheet name="6503e9b8...38a61e9781c1" sheetId="27" r:id="rId7"/>
    <sheet name="edcaf7c8...13263f96f7ec" sheetId="26" r:id="rId8"/>
    <sheet name="34060e5d...9d09fabf263e" sheetId="25" r:id="rId9"/>
    <sheet name="8572f54e...85fb68b6201e" sheetId="24" r:id="rId10"/>
    <sheet name="6a67a901...550919b8d68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J11" i="1"/>
  <c r="I11" i="1"/>
  <c r="H11" i="1"/>
  <c r="G11" i="1"/>
  <c r="F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S3" i="1"/>
  <c r="Q3" i="1"/>
  <c r="L3" i="14" l="1"/>
  <c r="L3" i="24"/>
  <c r="L3" i="25"/>
  <c r="L3" i="26"/>
  <c r="L3" i="27"/>
  <c r="L3" i="28"/>
  <c r="L3" i="29"/>
  <c r="O3" i="1"/>
  <c r="O4" i="1"/>
  <c r="O5" i="1"/>
  <c r="O6" i="1"/>
  <c r="O7" i="1"/>
  <c r="O8" i="1"/>
  <c r="O9" i="1"/>
  <c r="I10" i="1" l="1"/>
  <c r="H10" i="1"/>
  <c r="G10" i="1"/>
  <c r="F10" i="1"/>
  <c r="E10" i="1"/>
  <c r="D10" i="1"/>
  <c r="C10" i="1"/>
  <c r="B10" i="1"/>
  <c r="I53" i="30"/>
  <c r="M3" i="30" s="1"/>
  <c r="O10" i="1" s="1"/>
  <c r="AA3" i="1" s="1"/>
  <c r="H53" i="30"/>
  <c r="L3" i="30" s="1"/>
  <c r="N10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AC10" i="1" s="1"/>
  <c r="Y3" i="30"/>
  <c r="X3" i="30"/>
  <c r="Q3" i="30"/>
  <c r="K3" i="30"/>
  <c r="O3" i="30" s="1"/>
  <c r="J10" i="1" s="1"/>
  <c r="F3" i="30"/>
  <c r="N9" i="1"/>
  <c r="M9" i="1"/>
  <c r="J9" i="1"/>
  <c r="I9" i="1"/>
  <c r="H9" i="1"/>
  <c r="G9" i="1"/>
  <c r="F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F8" i="1"/>
  <c r="E8" i="1"/>
  <c r="D8" i="1"/>
  <c r="C8" i="1"/>
  <c r="B8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8" i="1"/>
  <c r="F3" i="28"/>
  <c r="I7" i="1"/>
  <c r="H7" i="1"/>
  <c r="G7" i="1"/>
  <c r="F7" i="1"/>
  <c r="E7" i="1"/>
  <c r="D7" i="1"/>
  <c r="C7" i="1"/>
  <c r="B7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I6" i="1"/>
  <c r="H6" i="1"/>
  <c r="G6" i="1"/>
  <c r="F6" i="1"/>
  <c r="E6" i="1"/>
  <c r="D6" i="1"/>
  <c r="C6" i="1"/>
  <c r="B6" i="1"/>
  <c r="I53" i="26"/>
  <c r="M3" i="26" s="1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F5" i="1"/>
  <c r="E5" i="1"/>
  <c r="D5" i="1"/>
  <c r="C5" i="1"/>
  <c r="B5" i="1"/>
  <c r="I53" i="25"/>
  <c r="M3" i="25" s="1"/>
  <c r="H53" i="25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V3" i="1" l="1"/>
  <c r="W3" i="1" s="1"/>
  <c r="X3" i="1" s="1"/>
  <c r="K200" i="15"/>
  <c r="Z3" i="1"/>
  <c r="M10" i="1"/>
  <c r="U3" i="1" s="1"/>
  <c r="R3" i="1" s="1"/>
  <c r="T3" i="1" s="1"/>
  <c r="P3" i="29"/>
  <c r="L9" i="1" s="1"/>
  <c r="AC9" i="1"/>
  <c r="P3" i="30"/>
  <c r="L10" i="1" s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Y3" i="1" l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F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<sst xmlns="http://schemas.openxmlformats.org/spreadsheetml/2006/main" count="358" uniqueCount="54">
  <si>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</si>
  <si>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</si>
  <si>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</si>
  <si>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</si>
  <si>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</si>
  <si>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</si>
  <si>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</si>
  <si>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</si>
  <si>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</si>
  <si>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</si>
  <si>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</si>
  <si>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</si>
  <si>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</si>
  <si>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</si>
  <si>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</si>
  <si>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</si>
  <si>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</si>
  <si>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</si>
  <si>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</si>
  <si>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</si>
  <si>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</si>
  <si>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</si>
  <si>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</si>
  <si>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</si>
  <si>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</si>
  <si>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</si>
  <si>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</si>
  <si>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</si>
  <si>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</si>
  <si>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</si>
  <si>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</si>
  <si>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</si>
  <si>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</si>
  <si>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</si>
  <si>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6a67a901...550919b8d681</t>
  </si>
  <si>
    <t>Malaysia</t>
  </si>
  <si>
    <t>Tambadana</t>
  </si>
  <si>
    <t>Short Term Loan</t>
  </si>
  <si>
    <t>8572f54e...85fb68b6201e</t>
  </si>
  <si>
    <t>Liko, dienos</t>
  </si>
  <si>
    <t>Investuota, Eur</t>
  </si>
  <si>
    <t>Vėluoja</t>
  </si>
  <si>
    <t>Vėl./Anks.</t>
  </si>
  <si>
    <t>Inv. data</t>
  </si>
  <si>
    <t>Liko</t>
  </si>
  <si>
    <t>34060e5d...9d09fabf263e</t>
  </si>
  <si>
    <t>edcaf7c8...13263f96f7ec</t>
  </si>
  <si>
    <t>6503e9b8...38a61e9781c1</t>
  </si>
  <si>
    <t>bab06fd6...b5601686ad35</t>
  </si>
  <si>
    <t>Eur.</t>
  </si>
  <si>
    <t>6836f159...155f27704bef</t>
  </si>
  <si>
    <t>4db6f5a8...8acf4fb9b90a</t>
  </si>
  <si>
    <t xml:space="preserve">Premijos </t>
  </si>
  <si>
    <t>45b52ba0...0700af8e066e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</si>
</sst>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43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44</v>
      </c>
      <c r="L2" s="4" t="s">
        <v>41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52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49</v>
      </c>
      <c r="Y2" s="4" t="s">
        <v>5</v>
      </c>
      <c r="Z2" s="4" t="s">
        <v>26</v>
      </c>
      <c r="AA2" s="4" t="s">
        <v>49</v>
      </c>
      <c r="AC2" s="12" t="s">
        <v>41</v>
      </c>
    </row>
    <row r="3" spans="1:29" x14ac:dyDescent="0.25">
      <c r="A3" s="2">
        <v>1</v>
      </c>
      <c r="B3" s="6">
        <f>'8572f54e...85fb68b6201e'!B9</f>
        <v>46140</v>
      </c>
      <c r="C3" s="26" t="str">
        <f>'6a67a901...550919b8d681'!B1</f>
        <v>6a67a901...550919b8d681</v>
      </c>
      <c r="D3" s="2" t="str">
        <f>'6a67a901...550919b8d681'!B2</f>
        <v>Malaysia</v>
      </c>
      <c r="E3" s="2" t="str">
        <f>'6a67a901...550919b8d681'!B3</f>
        <v>Tambadana</v>
      </c>
      <c r="F3" s="2" t="str">
        <f>'6a67a901...550919b8d681'!B8</f>
        <v>0 m. 1 mėn. 0 d.</v>
      </c>
      <c r="G3" s="7">
        <f>'6a67a901...550919b8d681'!B15</f>
        <v>0.13600000000000001</v>
      </c>
      <c r="H3" s="3">
        <f>'6a67a901...550919b8d681'!B16</f>
        <v>10</v>
      </c>
      <c r="I3" s="6">
        <f>'6a67a901...550919b8d681'!B11</f>
        <v>46170</v>
      </c>
      <c r="J3" s="6">
        <f>'6a67a901...550919b8d681'!O3</f>
        <v>46154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10</v>
      </c>
      <c r="N3" s="3">
        <f>'6a67a901...550919b8d681'!L3</f>
        <v>0.05</v>
      </c>
      <c r="O3" s="3">
        <f>'6a67a901...550919b8d681'!M3</f>
        <v>0</v>
      </c>
      <c r="P3" s="10"/>
      <c r="Q3" s="29">
        <f>Pinigai!I2</f>
        <v>20</v>
      </c>
      <c r="R3" s="29">
        <f>SUM(H3:H100)-U3</f>
        <v>20.580000000000013</v>
      </c>
      <c r="S3" s="30">
        <f>Pinigai!H2</f>
        <v>0</v>
      </c>
      <c r="T3" s="29">
        <f>W3-R3</f>
        <v>0</v>
      </c>
      <c r="U3" s="29">
        <f>SUM(M3:M100)</f>
        <v>70.64</v>
      </c>
      <c r="V3" s="29">
        <f>SUM(N3:N100)-AA3</f>
        <v>0.57999999999999996</v>
      </c>
      <c r="W3" s="29">
        <f>Q3+V3+S3</f>
        <v>20.58</v>
      </c>
      <c r="X3" s="29">
        <f>W3-Q3</f>
        <v>0.57999999999999829</v>
      </c>
      <c r="Y3" s="31">
        <f>(W3-Q3)/Q3</f>
        <v>2.8999999999999915E-2</v>
      </c>
      <c r="Z3" s="31">
        <f ca="1">XIRR(Pinigai!K2:K200,Pinigai!A2:A200)</f>
        <v>0.11481881737709046</v>
      </c>
      <c r="AA3" s="29">
        <f>SUM(O3:O100)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46140</v>
      </c>
      <c r="C4" s="26" t="str">
        <f>'8572f54e...85fb68b6201e'!B1</f>
        <v>8572f54e...85fb68b6201e</v>
      </c>
      <c r="D4" s="2" t="str">
        <f>'8572f54e...85fb68b6201e'!B2</f>
        <v>Malaysia</v>
      </c>
      <c r="E4" s="2" t="str">
        <f>'8572f54e...85fb68b6201e'!B3</f>
        <v>Tambadana</v>
      </c>
      <c r="F4" s="2" t="str">
        <f>'8572f54e...85fb68b6201e'!B8</f>
        <v>0 m. 1 mėn. 0 d.</v>
      </c>
      <c r="G4" s="7">
        <f>'8572f54e...85fb68b6201e'!B15</f>
        <v>0.13600000000000001</v>
      </c>
      <c r="H4" s="3">
        <f>'8572f54e...85fb68b6201e'!B16</f>
        <v>10</v>
      </c>
      <c r="I4" s="6">
        <f>'8572f54e...85fb68b6201e'!B11</f>
        <v>46170</v>
      </c>
      <c r="J4" s="6">
        <f>'8572f54e...85fb68b6201e'!O3</f>
        <v>46149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10</v>
      </c>
      <c r="N4" s="3">
        <f>'8572f54e...85fb68b6201e'!L3</f>
        <v>0.03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2">
        <v>3</v>
      </c>
      <c r="B5" s="6">
        <f>'34060e5d...9d09fabf263e'!B9</f>
        <v>46150</v>
      </c>
      <c r="C5" s="26" t="str">
        <f>'34060e5d...9d09fabf263e'!B1</f>
        <v>34060e5d...9d09fabf263e</v>
      </c>
      <c r="D5" s="2" t="str">
        <f>'34060e5d...9d09fabf263e'!B2</f>
        <v>Malaysia</v>
      </c>
      <c r="E5" s="2" t="str">
        <f>'34060e5d...9d09fabf263e'!B3</f>
        <v>Tambadana</v>
      </c>
      <c r="F5" s="2" t="str">
        <f>'34060e5d...9d09fabf263e'!B8</f>
        <v>0 m. 1 mėn. 0 d.</v>
      </c>
      <c r="G5" s="7">
        <f>'34060e5d...9d09fabf263e'!B15</f>
        <v>0.13600000000000001</v>
      </c>
      <c r="H5" s="3">
        <f>'34060e5d...9d09fabf263e'!B16</f>
        <v>10.029999999999999</v>
      </c>
      <c r="I5" s="6">
        <f>'34060e5d...9d09fabf263e'!B11</f>
        <v>46181</v>
      </c>
      <c r="J5" s="6">
        <f>'34060e5d...9d09fabf263e'!O3</f>
        <v>46177</v>
      </c>
      <c r="K5" s="19" t="str">
        <f ca="1">'34060e5d...9d09fabf263e'!B12</f>
        <v/>
      </c>
      <c r="L5" s="19" t="str">
        <f ca="1">'34060e5d...9d09fabf263e'!P3</f>
        <v/>
      </c>
      <c r="M5" s="3">
        <f>'34060e5d...9d09fabf263e'!K3</f>
        <v>10.029999999999999</v>
      </c>
      <c r="N5" s="3">
        <f>'34060e5d...9d09fabf263e'!L3</f>
        <v>0.1</v>
      </c>
      <c r="O5" s="3">
        <f>'34060e5d...9d09fabf263e'!M3</f>
        <v>0</v>
      </c>
      <c r="P5" s="10"/>
      <c r="AC5" s="3" t="str">
        <f ca="1">'34060e5d...9d09fabf263e'!Z3</f>
        <v/>
      </c>
    </row>
    <row r="6" spans="1:29" x14ac:dyDescent="0.25">
      <c r="A6" s="2">
        <v>4</v>
      </c>
      <c r="B6" s="6">
        <f>'edcaf7c8...13263f96f7ec'!B9</f>
        <v>46154</v>
      </c>
      <c r="C6" s="26" t="str">
        <f>'edcaf7c8...13263f96f7ec'!B1</f>
        <v>edcaf7c8...13263f96f7ec</v>
      </c>
      <c r="D6" s="2" t="str">
        <f>'edcaf7c8...13263f96f7ec'!B2</f>
        <v>Malaysia</v>
      </c>
      <c r="E6" s="2" t="str">
        <f>'edcaf7c8...13263f96f7ec'!B3</f>
        <v>Tambadana</v>
      </c>
      <c r="F6" s="2" t="str">
        <f>'edcaf7c8...13263f96f7ec'!B8</f>
        <v>0 m. 0 mėn. 1 d.</v>
      </c>
      <c r="G6" s="7">
        <f>'edcaf7c8...13263f96f7ec'!B15</f>
        <v>0.13600000000000001</v>
      </c>
      <c r="H6" s="3">
        <f>'edcaf7c8...13263f96f7ec'!B16</f>
        <v>10.050000000000001</v>
      </c>
      <c r="I6" s="6">
        <f>'edcaf7c8...13263f96f7ec'!B11</f>
        <v>46155</v>
      </c>
      <c r="J6" s="6">
        <f>'edcaf7c8...13263f96f7ec'!O3</f>
        <v>46185</v>
      </c>
      <c r="K6" s="19" t="str">
        <f ca="1">'edcaf7c8...13263f96f7ec'!B12</f>
        <v/>
      </c>
      <c r="L6" s="19" t="str">
        <f ca="1">'edcaf7c8...13263f96f7ec'!P3</f>
        <v/>
      </c>
      <c r="M6" s="3">
        <f>'edcaf7c8...13263f96f7ec'!K3</f>
        <v>10.050000000000001</v>
      </c>
      <c r="N6" s="3">
        <f>'edcaf7c8...13263f96f7ec'!L3</f>
        <v>0.12</v>
      </c>
      <c r="O6" s="3">
        <f>'edcaf7c8...13263f96f7ec'!M3</f>
        <v>0</v>
      </c>
      <c r="P6" s="10"/>
      <c r="AC6" s="3" t="str">
        <f ca="1">'edcaf7c8...13263f96f7ec'!Z3</f>
        <v/>
      </c>
    </row>
    <row r="7" spans="1:29" x14ac:dyDescent="0.25">
      <c r="A7" s="2">
        <v>5</v>
      </c>
      <c r="B7" s="6">
        <f>'6503e9b8...38a61e9781c1'!B9</f>
        <v>46178</v>
      </c>
      <c r="C7" s="26" t="str">
        <f>'6503e9b8...38a61e9781c1'!B1</f>
        <v>6503e9b8...38a61e9781c1</v>
      </c>
      <c r="D7" s="2" t="str">
        <f>'6503e9b8...38a61e9781c1'!B2</f>
        <v>Malaysia</v>
      </c>
      <c r="E7" s="2" t="str">
        <f>'6503e9b8...38a61e9781c1'!B3</f>
        <v>Tambadana</v>
      </c>
      <c r="F7" s="2" t="str">
        <f>'6503e9b8...38a61e9781c1'!B8</f>
        <v>0 m. 1 mėn. 0 d.</v>
      </c>
      <c r="G7" s="7">
        <f>'6503e9b8...38a61e9781c1'!B15</f>
        <v>0.13600000000000001</v>
      </c>
      <c r="H7" s="3">
        <f>'6503e9b8...38a61e9781c1'!B16</f>
        <v>10.130000000000001</v>
      </c>
      <c r="I7" s="6">
        <f>'6503e9b8...38a61e9781c1'!B11</f>
        <v>46208</v>
      </c>
      <c r="J7" s="6">
        <f>'6503e9b8...38a61e9781c1'!O3</f>
        <v>46208</v>
      </c>
      <c r="K7" s="19" t="str">
        <f ca="1">'6503e9b8...38a61e9781c1'!B12</f>
        <v/>
      </c>
      <c r="L7" s="19" t="str">
        <f ca="1">'6503e9b8...38a61e9781c1'!P3</f>
        <v/>
      </c>
      <c r="M7" s="3">
        <f>'6503e9b8...38a61e9781c1'!K3</f>
        <v>10.130000000000001</v>
      </c>
      <c r="N7" s="3">
        <f>'6503e9b8...38a61e9781c1'!L3</f>
        <v>0.11</v>
      </c>
      <c r="O7" s="3">
        <f>'6503e9b8...38a61e9781c1'!M3</f>
        <v>0</v>
      </c>
      <c r="P7" s="10"/>
      <c r="AC7" s="3" t="str">
        <f ca="1">'6503e9b8...38a61e9781c1'!Z3</f>
        <v/>
      </c>
    </row>
    <row r="8" spans="1:29" x14ac:dyDescent="0.25">
      <c r="A8" s="2">
        <v>6</v>
      </c>
      <c r="B8" s="6">
        <f>'bab06fd6...b5601686ad35'!B9</f>
        <v>46185</v>
      </c>
      <c r="C8" s="26" t="str">
        <f>'bab06fd6...b5601686ad35'!B1</f>
        <v>bab06fd6...b5601686ad35</v>
      </c>
      <c r="D8" s="2" t="str">
        <f>'bab06fd6...b5601686ad35'!B2</f>
        <v>Malaysia</v>
      </c>
      <c r="E8" s="2" t="str">
        <f>'bab06fd6...b5601686ad35'!B3</f>
        <v>Tambadana</v>
      </c>
      <c r="F8" s="2" t="str">
        <f>'bab06fd6...b5601686ad35'!B8</f>
        <v>0 m. 1 mėn. 0 d.</v>
      </c>
      <c r="G8" s="7">
        <f>'bab06fd6...b5601686ad35'!B15</f>
        <v>0.13600000000000001</v>
      </c>
      <c r="H8" s="3">
        <f>'bab06fd6...b5601686ad35'!B16</f>
        <v>10.17</v>
      </c>
      <c r="I8" s="6">
        <f>'bab06fd6...b5601686ad35'!B11</f>
        <v>46215</v>
      </c>
      <c r="J8" s="6">
        <f>'bab06fd6...b5601686ad35'!O3</f>
        <v>46209</v>
      </c>
      <c r="K8" s="19" t="str">
        <f ca="1">'bab06fd6...b5601686ad35'!B12</f>
        <v/>
      </c>
      <c r="L8" s="19" t="str">
        <f ca="1">'bab06fd6...b5601686ad35'!P3</f>
        <v/>
      </c>
      <c r="M8" s="3">
        <f>'bab06fd6...b5601686ad35'!K3</f>
        <v>10.17</v>
      </c>
      <c r="N8" s="3">
        <f>'bab06fd6...b5601686ad35'!L3</f>
        <v>0.09</v>
      </c>
      <c r="O8" s="3">
        <f>'bab06fd6...b5601686ad35'!M3</f>
        <v>0</v>
      </c>
      <c r="P8" s="10"/>
      <c r="AC8" s="3" t="str">
        <f ca="1">'bab06fd6...b5601686ad35'!Z3</f>
        <v/>
      </c>
    </row>
    <row r="9" spans="1:29" x14ac:dyDescent="0.25">
      <c r="A9" s="2">
        <v>7</v>
      </c>
      <c r="B9" s="6">
        <f>'6836f159...155f27704bef'!B9</f>
        <v>46208</v>
      </c>
      <c r="C9" s="26" t="str">
        <f>'6836f159...155f27704bef'!B1</f>
        <v>6836f159...155f27704bef</v>
      </c>
      <c r="D9" s="2" t="str">
        <f>'6836f159...155f27704bef'!B2</f>
        <v>Malaysia</v>
      </c>
      <c r="E9" s="2" t="str">
        <f>'6836f159...155f27704bef'!B3</f>
        <v>Tambadana</v>
      </c>
      <c r="F9" s="2" t="str">
        <f>'6836f159...155f27704bef'!B8</f>
        <v>0 m. 0 mėn. 30 d.</v>
      </c>
      <c r="G9" s="7">
        <f>'6836f159...155f27704bef'!B15</f>
        <v>0.13600000000000001</v>
      </c>
      <c r="H9" s="3">
        <f>'6836f159...155f27704bef'!B16</f>
        <v>10.24</v>
      </c>
      <c r="I9" s="6">
        <f>'6836f159...155f27704bef'!B11</f>
        <v>46238</v>
      </c>
      <c r="J9" s="6" t="str">
        <f>'6836f159...155f27704bef'!O3</f>
        <v/>
      </c>
      <c r="K9" s="19">
        <f ca="1">'6836f159...155f27704bef'!B12</f>
        <v>3</v>
      </c>
      <c r="L9" s="19" t="str">
        <f ca="1">'6836f159...155f27704bef'!P3</f>
        <v/>
      </c>
      <c r="M9" s="3">
        <f>'6836f159...155f27704bef'!K3</f>
        <v>0</v>
      </c>
      <c r="N9" s="3">
        <f>'6836f159...155f27704bef'!L3</f>
        <v>0</v>
      </c>
      <c r="O9" s="3">
        <f>'6836f159...155f27704bef'!M3</f>
        <v>0</v>
      </c>
      <c r="P9" s="10"/>
      <c r="AC9" s="3" t="str">
        <f ca="1">'6836f159...155f27704bef'!Z3</f>
        <v/>
      </c>
    </row>
    <row r="10" spans="1:29" x14ac:dyDescent="0.25">
      <c r="A10" s="2">
        <v>8</v>
      </c>
      <c r="B10" s="6">
        <f>'4db6f5a8...8acf4fb9b90a'!B9</f>
        <v>46209</v>
      </c>
      <c r="C10" s="26" t="str">
        <f>'4db6f5a8...8acf4fb9b90a'!B1</f>
        <v>4db6f5a8...8acf4fb9b90a</v>
      </c>
      <c r="D10" s="2" t="str">
        <f>'4db6f5a8...8acf4fb9b90a'!B2</f>
        <v>Malaysia</v>
      </c>
      <c r="E10" s="2" t="str">
        <f>'4db6f5a8...8acf4fb9b90a'!B3</f>
        <v>Tambadana</v>
      </c>
      <c r="F10" s="2" t="str">
        <f>'4db6f5a8...8acf4fb9b90a'!B8</f>
        <v>0 m. 0 mėn. 30 d.</v>
      </c>
      <c r="G10" s="7">
        <f>'4db6f5a8...8acf4fb9b90a'!B15</f>
        <v>0.13600000000000001</v>
      </c>
      <c r="H10" s="3">
        <f>'4db6f5a8...8acf4fb9b90a'!B16</f>
        <v>10.26</v>
      </c>
      <c r="I10" s="6">
        <f>'4db6f5a8...8acf4fb9b90a'!B11</f>
        <v>46239</v>
      </c>
      <c r="J10" s="6">
        <f>'4db6f5a8...8acf4fb9b90a'!O3</f>
        <v>46231</v>
      </c>
      <c r="K10" s="19" t="str">
        <f ca="1">'4db6f5a8...8acf4fb9b90a'!B12</f>
        <v/>
      </c>
      <c r="L10" s="19" t="str">
        <f ca="1">'4db6f5a8...8acf4fb9b90a'!P3</f>
        <v/>
      </c>
      <c r="M10" s="3">
        <f>'4db6f5a8...8acf4fb9b90a'!K3</f>
        <v>10.26</v>
      </c>
      <c r="N10" s="3">
        <f>'4db6f5a8...8acf4fb9b90a'!L3</f>
        <v>0.08</v>
      </c>
      <c r="O10" s="3">
        <f>'4db6f5a8...8acf4fb9b90a'!M3</f>
        <v>0</v>
      </c>
      <c r="P10" s="10"/>
      <c r="AC10" s="3" t="str">
        <f ca="1">'4db6f5a8...8acf4fb9b90a'!Z3</f>
        <v/>
      </c>
    </row>
    <row r="11" spans="1:29" x14ac:dyDescent="0.25">
      <c r="A11" s="2">
        <v>9</v>
      </c>
      <c r="B11" s="6">
        <f>'45b52ba0...0700af8e066e'!B9</f>
        <v>46231</v>
      </c>
      <c r="C11" s="26" t="str">
        <f>'45b52ba0...0700af8e066e'!B1</f>
        <v>45b52ba0...0700af8e066e</v>
      </c>
      <c r="D11" s="2" t="str">
        <f>'45b52ba0...0700af8e066e'!B2</f>
        <v>Malaysia</v>
      </c>
      <c r="E11" s="2" t="str">
        <f>'45b52ba0...0700af8e066e'!B3</f>
        <v>Tambadana</v>
      </c>
      <c r="F11" s="2" t="str">
        <f>'45b52ba0...0700af8e066e'!B8</f>
        <v>0 m. 0 mėn. 30 d.</v>
      </c>
      <c r="G11" s="7">
        <f>'45b52ba0...0700af8e066e'!B15</f>
        <v>0.13600000000000001</v>
      </c>
      <c r="H11" s="3">
        <f>'45b52ba0...0700af8e066e'!B16</f>
        <v>10.34</v>
      </c>
      <c r="I11" s="6">
        <f>'45b52ba0...0700af8e066e'!B11</f>
        <v>46261</v>
      </c>
      <c r="J11" s="6" t="str">
        <f>'45b52ba0...0700af8e066e'!O3</f>
        <v/>
      </c>
      <c r="K11" s="19">
        <f ca="1">'45b52ba0...0700af8e066e'!B12</f>
        <v>26</v>
      </c>
      <c r="L11" s="19" t="str">
        <f ca="1">'45b52ba0...0700af8e066e'!P3</f>
        <v/>
      </c>
      <c r="M11" s="3">
        <f>'45b52ba0...0700af8e066e'!K3</f>
        <v>0</v>
      </c>
      <c r="N11" s="3">
        <f>'45b52ba0...0700af8e066e'!L3</f>
        <v>0</v>
      </c>
      <c r="O11" s="3">
        <f>'45b52ba0...0700af8e066e'!M3</f>
        <v>0</v>
      </c>
      <c r="P11" s="10"/>
      <c r="AC11" s="3" t="str">
        <f ca="1">'45b52ba0...0700af8e066e'!Z3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  <hyperlink ref="C5" location="'34060e5d...9d09fabf263e'!A1" display="'34060e5d...9d09fabf263e'!A1" xr:uid="{DD06AB51-16D7-406E-BEFF-B6F40935BA74}"/>
    <hyperlink ref="C6" location="edcaf7c8...13263f96f7ec!A1" display="edcaf7c8...13263f96f7ec!A1" xr:uid="{E78838E4-E5C7-443E-82BB-4777748DBDD8}"/>
    <hyperlink ref="C7" location="'edcaf7c8...13263f96f7ec (2)'!A1" display="'edcaf7c8...13263f96f7ec (2)'!A1" xr:uid="{A45ECDA9-CD3D-488B-8BD0-974ED148F5E4}"/>
    <hyperlink ref="C8" location="bab06fd6...b5601686ad35!A1" display="bab06fd6...b5601686ad35!A1" xr:uid="{CF3F48D9-3FC3-49AA-8DA2-BFA6E5A240F1}"/>
    <hyperlink ref="C9" location="'6836f159...155f27704bef'!A1" display="'6836f159...155f27704bef'!A1" xr:uid="{6FBE713B-C5C1-4487-AEB0-76FB8384D359}"/>
    <hyperlink ref="C10" location="'4db6f5a8...8acf4fb9b90a'!A1" display="'4db6f5a8...8acf4fb9b90a'!A1" xr:uid="{51C54BD2-6758-450A-BD35-5AEE8C98C71A}"/>
    <hyperlink ref="C11" location="'45b52ba0...0700af8e066e'!A1" display="'45b52ba0...0700af8e066e'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223" sqref="B22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46235</v>
      </c>
      <c r="B200" s="1"/>
      <c r="C200" s="1"/>
      <c r="D200" s="1"/>
      <c r="K200" s="3">
        <f>Overview!W3</f>
        <v>20.58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46231</v>
      </c>
      <c r="Y3" s="3">
        <f>B16*-1</f>
        <v>-10.34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46261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26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10.34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46239</v>
      </c>
      <c r="E3" s="6">
        <v>46231</v>
      </c>
      <c r="F3" s="19">
        <f>IF(E3&gt;0,E3-D3,"")</f>
        <v>-8</v>
      </c>
      <c r="G3" s="3">
        <v>10.26</v>
      </c>
      <c r="H3" s="3">
        <v>0.08</v>
      </c>
      <c r="I3" s="3">
        <v>0</v>
      </c>
      <c r="J3" s="14"/>
      <c r="K3" s="3">
        <f>G53</f>
        <v>10.26</v>
      </c>
      <c r="L3" s="3">
        <f>H53</f>
        <v>0.08</v>
      </c>
      <c r="M3" s="3">
        <f>I53</f>
        <v>0</v>
      </c>
      <c r="N3" s="7">
        <f>IF(B16=K3,XIRR(Y3:Y52,X3:X52),"")</f>
        <v>0.13753321766853335</v>
      </c>
      <c r="O3" s="6">
        <f>IF(B16=K3,MAX(E:E),"")</f>
        <v>46231</v>
      </c>
      <c r="P3" s="2" t="str">
        <f ca="1">IF(Z3="+",TODAY()-B11,"")</f>
        <v/>
      </c>
      <c r="Q3" s="2">
        <f>IF(B16=K3,MAX(E:E)-B11,"")</f>
        <v>-8</v>
      </c>
      <c r="T3" s="13"/>
      <c r="X3" s="6">
        <f>B9</f>
        <v>46209</v>
      </c>
      <c r="Y3" s="3">
        <f>B16*-1</f>
        <v>-10.26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46231</v>
      </c>
      <c r="Y4" s="3">
        <f>G3+H3-I3</f>
        <v>10.34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46209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10.26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46208</v>
      </c>
      <c r="Y3" s="3">
        <f>B16*-1</f>
        <v>-10.24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3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46215</v>
      </c>
      <c r="E3" s="6">
        <v>46209</v>
      </c>
      <c r="F3" s="19">
        <f>IF(E3&gt;0,E3-D3,"")</f>
        <v>-6</v>
      </c>
      <c r="G3" s="3">
        <v>10.17</v>
      </c>
      <c r="H3" s="3">
        <v>0.09</v>
      </c>
      <c r="I3" s="3">
        <v>0</v>
      </c>
      <c r="J3" s="14"/>
      <c r="K3" s="3">
        <f>G53</f>
        <v>10.17</v>
      </c>
      <c r="L3" s="3">
        <f>H53</f>
        <v>0.09</v>
      </c>
      <c r="M3" s="3">
        <f>I53</f>
        <v>0</v>
      </c>
      <c r="N3" s="7">
        <f>IF(B16=K3,XIRR(Y3:Y52,X3:X52),"")</f>
        <v>0.14338709712028502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-6</v>
      </c>
      <c r="T3" s="13"/>
      <c r="X3" s="6">
        <f>B9</f>
        <v>46185</v>
      </c>
      <c r="Y3" s="3">
        <f>B16*-1</f>
        <v>-10.17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46209</v>
      </c>
      <c r="Y4" s="3">
        <f>G3+H3-I3</f>
        <v>10.26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46185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46185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46215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10.17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10.17</v>
      </c>
      <c r="H53" s="3">
        <f t="shared" ref="H53:I53" si="3">SUM(H3:H52)</f>
        <v>0.09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46208</v>
      </c>
      <c r="E3" s="6">
        <v>46208</v>
      </c>
      <c r="F3" s="19">
        <f>IF(E3&gt;0,E3-D3,"")</f>
        <v>0</v>
      </c>
      <c r="G3" s="3">
        <v>10.130000000000001</v>
      </c>
      <c r="H3" s="3">
        <v>0.11</v>
      </c>
      <c r="I3" s="3">
        <v>0</v>
      </c>
      <c r="J3" s="14"/>
      <c r="K3" s="3">
        <f>G53</f>
        <v>10.130000000000001</v>
      </c>
      <c r="L3" s="3">
        <f>H53</f>
        <v>0.11</v>
      </c>
      <c r="M3" s="3">
        <f>I53</f>
        <v>0</v>
      </c>
      <c r="N3" s="7">
        <f>IF(B16=K3,XIRR(Y3:Y52,X3:X52),"")</f>
        <v>0.14042803645133972</v>
      </c>
      <c r="O3" s="6">
        <f>IF(B16=K3,MAX(E:E),"")</f>
        <v>46208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46178</v>
      </c>
      <c r="Y3" s="3">
        <f>B16*-1</f>
        <v>-10.130000000000001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46208</v>
      </c>
      <c r="Y4" s="3">
        <f>G3+H3-I3</f>
        <v>10.24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46178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46178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46208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10.130000000000001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10.130000000000001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46155</v>
      </c>
      <c r="E3" s="6">
        <v>46185</v>
      </c>
      <c r="F3" s="19">
        <f>IF(E3&gt;0,E3-D3,"")</f>
        <v>30</v>
      </c>
      <c r="G3" s="3">
        <v>10.050000000000001</v>
      </c>
      <c r="H3" s="3">
        <v>0.12</v>
      </c>
      <c r="I3" s="3">
        <v>0</v>
      </c>
      <c r="J3" s="14"/>
      <c r="K3" s="3">
        <f>G53</f>
        <v>10.050000000000001</v>
      </c>
      <c r="L3" s="3">
        <f>H53</f>
        <v>0.12</v>
      </c>
      <c r="M3" s="3">
        <f>I53</f>
        <v>0</v>
      </c>
      <c r="N3" s="7">
        <f>IF(B16=K3,XIRR(Y3:Y52,X3:X52),"")</f>
        <v>0.14999164938926698</v>
      </c>
      <c r="O3" s="6">
        <f>IF(B16=K3,MAX(E:E),"")</f>
        <v>46185</v>
      </c>
      <c r="P3" s="2" t="str">
        <f ca="1">IF(Z3="+",TODAY()-B11,"")</f>
        <v/>
      </c>
      <c r="Q3" s="2">
        <f>IF(B16=K3,MAX(E:E)-B11,"")</f>
        <v>30</v>
      </c>
      <c r="T3" s="13"/>
      <c r="X3" s="6">
        <f>B9</f>
        <v>46154</v>
      </c>
      <c r="Y3" s="3">
        <f>B16*-1</f>
        <v>-10.050000000000001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46185</v>
      </c>
      <c r="Y4" s="3">
        <f>G3+H3-I3</f>
        <v>10.17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46124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46155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10.050000000000001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10.050000000000001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46181</v>
      </c>
      <c r="E3" s="6">
        <v>46177</v>
      </c>
      <c r="F3" s="19">
        <f>IF(E3&gt;0,E3-D3,"")</f>
        <v>-4</v>
      </c>
      <c r="G3" s="3">
        <v>10.029999999999999</v>
      </c>
      <c r="H3" s="3">
        <v>0.1</v>
      </c>
      <c r="I3" s="3">
        <v>0</v>
      </c>
      <c r="J3" s="14"/>
      <c r="K3" s="3">
        <f>G53</f>
        <v>10.029999999999999</v>
      </c>
      <c r="L3" s="3">
        <f>H53</f>
        <v>0.1</v>
      </c>
      <c r="M3" s="3">
        <f>I53</f>
        <v>0</v>
      </c>
      <c r="N3" s="7">
        <f>IF(B16=K3,XIRR(Y3:Y52,X3:X52),"")</f>
        <v>0.1435224711894989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3"/>
      <c r="X3" s="6">
        <f>B9</f>
        <v>46150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46177</v>
      </c>
      <c r="Y4" s="3">
        <f>G3+H3-I3</f>
        <v>10.129999999999999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46150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46181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10.029999999999999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46149</v>
      </c>
      <c r="F3" s="19">
        <f>IF(E3&gt;0,E3-D3,"")</f>
        <v>-21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0.12917190194129949</v>
      </c>
      <c r="O3" s="6">
        <f>IF(B16=K3,MAX(E:E),"")</f>
        <v>46149</v>
      </c>
      <c r="P3" s="2" t="str">
        <f ca="1">IF(Z3="+",TODAY()-B11,"")</f>
        <v/>
      </c>
      <c r="Q3" s="2">
        <f>IF(B16=K3,MAX(E:E)-B11,"")</f>
        <v>-21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46149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46154</v>
      </c>
      <c r="F3" s="19">
        <f>IF(E3&gt;0,E3-D3,"")</f>
        <v>-16</v>
      </c>
      <c r="G3" s="3">
        <v>10</v>
      </c>
      <c r="H3" s="3">
        <v>0.05</v>
      </c>
      <c r="I3" s="3">
        <v>0</v>
      </c>
      <c r="J3" s="14"/>
      <c r="K3" s="3">
        <f>G53</f>
        <v>10</v>
      </c>
      <c r="L3" s="3">
        <f>H53</f>
        <v>0.05</v>
      </c>
      <c r="M3" s="3">
        <f>I53</f>
        <v>0</v>
      </c>
      <c r="N3" s="7">
        <f>IF(B16=K3,XIRR(Y3:Y52,X3:X52),"")</f>
        <v>0.13886520266532895</v>
      </c>
      <c r="O3" s="6">
        <f>IF(B16=K3,MAX(E:E),"")</f>
        <v>46154</v>
      </c>
      <c r="P3" s="2" t="str">
        <f ca="1">IF(Z3="+",TODAY()-B11,"")</f>
        <v/>
      </c>
      <c r="Q3" s="2">
        <f>IF(B16=K3,MAX(E:E)-B11,"")</f>
        <v>-16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46154</v>
      </c>
      <c r="Y4" s="3">
        <f>G3+H3-I3</f>
        <v>10.050000000000001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45b52ba0...0700af8e066e</vt:lpstr>
      <vt:lpstr>4db6f5a8...8acf4fb9b90a</vt:lpstr>
      <vt:lpstr>6836f159...155f27704bef</vt:lpstr>
      <vt:lpstr>bab06fd6...b5601686ad35</vt:lpstr>
      <vt:lpstr>6503e9b8...38a61e9781c1</vt:lpstr>
      <vt:lpstr>edcaf7c8...13263f96f7ec</vt:lpstr>
      <vt:lpstr>34060e5d...9d09fabf263e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2026-08-01T07:34:55Z</dcterms:modified>
</cp:coreProperties>
</file>