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Loanch\"/>
    </mc:Choice>
  </mc:AlternateContent>
  <xr:revisionPtr revIDLastSave="0" documentId="13_ncr:1_{254E7456-A503-41A9-BF2B-14D21A877C6C}" xr6:coauthVersionLast="47" xr6:coauthVersionMax="47" xr10:uidLastSave="{00000000-0000-0000-0000-000000000000}"/>
  <bookViews>
    <workbookView xWindow="-120" yWindow="-120" windowWidth="29040" windowHeight="15720" firstSheet="6" activeTab="10" xr2:uid="{00000000-000D-0000-FFFF-FFFF00000000}"/>
  </bookViews>
  <sheets>
    <sheet name="Overview" sheetId="1" r:id="rId1"/>
    <sheet name="Pinigai" sheetId="15" r:id="rId2"/>
    <sheet name="eebd7526...eaf278164c4f" sheetId="31" r:id="rId3"/>
    <sheet name="98b1dfe9...d5d30b41a3c0" sheetId="30" r:id="rId4"/>
    <sheet name="63f224f9...dc9a9519a2fb" sheetId="29" r:id="rId5"/>
    <sheet name="62dc7b87...555b6b58a73a" sheetId="28" r:id="rId6"/>
    <sheet name="6a2ebaab...04ce88676cf8" sheetId="27" r:id="rId7"/>
    <sheet name="6e656686...a6797d30436d-2" sheetId="26" r:id="rId8"/>
    <sheet name="c78fc544...c7b919f73c9d" sheetId="25" r:id="rId9"/>
    <sheet name="55bc6c86...98a4199721c7" sheetId="24" r:id="rId10"/>
    <sheet name="6e656686...a6797d30436d-1" sheetId="14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1" l="1"/>
  <c r="N11" i="1"/>
  <c r="M11" i="1"/>
  <c r="I11" i="1"/>
  <c r="H11" i="1"/>
  <c r="G11" i="1"/>
  <c r="E11" i="1"/>
  <c r="D11" i="1"/>
  <c r="C11" i="1"/>
  <c r="B11" i="1"/>
  <c r="I53" i="31"/>
  <c r="H53" i="31"/>
  <c r="G53" i="3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B12" i="31"/>
  <c r="K11" i="1" s="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F11" i="1" s="1"/>
  <c r="Y7" i="31"/>
  <c r="X7" i="31"/>
  <c r="F7" i="31"/>
  <c r="Y6" i="31"/>
  <c r="X6" i="31"/>
  <c r="F6" i="31"/>
  <c r="Y5" i="31"/>
  <c r="X5" i="31"/>
  <c r="F5" i="31"/>
  <c r="Y4" i="31"/>
  <c r="X4" i="31"/>
  <c r="F4" i="31"/>
  <c r="Z3" i="31"/>
  <c r="P3" i="31" s="1"/>
  <c r="L11" i="1" s="1"/>
  <c r="Y3" i="31"/>
  <c r="X3" i="31"/>
  <c r="Q3" i="31"/>
  <c r="M3" i="31"/>
  <c r="L3" i="31"/>
  <c r="K3" i="31"/>
  <c r="N3" i="31" s="1"/>
  <c r="F3" i="31"/>
  <c r="AC11" i="1" l="1"/>
  <c r="O3" i="31"/>
  <c r="J11" i="1" s="1"/>
  <c r="S3" i="1"/>
  <c r="L3" i="29" l="1"/>
  <c r="O9" i="1"/>
  <c r="I10" i="1" l="1"/>
  <c r="H10" i="1"/>
  <c r="G10" i="1"/>
  <c r="E10" i="1"/>
  <c r="D10" i="1"/>
  <c r="C10" i="1"/>
  <c r="B10" i="1"/>
  <c r="I53" i="30"/>
  <c r="M3" i="30" s="1"/>
  <c r="O10" i="1" s="1"/>
  <c r="H53" i="30"/>
  <c r="L3" i="30" s="1"/>
  <c r="N10" i="1" s="1"/>
  <c r="G53" i="30"/>
  <c r="K3" i="30" s="1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F10" i="1" s="1"/>
  <c r="Y7" i="30"/>
  <c r="X7" i="30"/>
  <c r="F7" i="30"/>
  <c r="Y6" i="30"/>
  <c r="X6" i="30"/>
  <c r="F6" i="30"/>
  <c r="Y5" i="30"/>
  <c r="X5" i="30"/>
  <c r="F5" i="30"/>
  <c r="Y4" i="30"/>
  <c r="X4" i="30"/>
  <c r="F4" i="30"/>
  <c r="Y3" i="30"/>
  <c r="X3" i="30"/>
  <c r="F3" i="30"/>
  <c r="N9" i="1"/>
  <c r="M9" i="1"/>
  <c r="J9" i="1"/>
  <c r="I9" i="1"/>
  <c r="H9" i="1"/>
  <c r="G9" i="1"/>
  <c r="E9" i="1"/>
  <c r="D9" i="1"/>
  <c r="C9" i="1"/>
  <c r="B9" i="1"/>
  <c r="I53" i="29"/>
  <c r="H53" i="29"/>
  <c r="G53" i="29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F9" i="1" s="1"/>
  <c r="Y7" i="29"/>
  <c r="X7" i="29"/>
  <c r="F7" i="29"/>
  <c r="Y6" i="29"/>
  <c r="X6" i="29"/>
  <c r="F6" i="29"/>
  <c r="Y5" i="29"/>
  <c r="X5" i="29"/>
  <c r="F5" i="29"/>
  <c r="Y4" i="29"/>
  <c r="X4" i="29"/>
  <c r="F4" i="29"/>
  <c r="Z3" i="29"/>
  <c r="Y3" i="29"/>
  <c r="X3" i="29"/>
  <c r="Q3" i="29"/>
  <c r="M3" i="29"/>
  <c r="K3" i="29"/>
  <c r="O3" i="29" s="1"/>
  <c r="F3" i="29"/>
  <c r="A200" i="15"/>
  <c r="K2" i="15"/>
  <c r="I8" i="1"/>
  <c r="H8" i="1"/>
  <c r="G8" i="1"/>
  <c r="E8" i="1"/>
  <c r="D8" i="1"/>
  <c r="C8" i="1"/>
  <c r="B8" i="1"/>
  <c r="I53" i="28"/>
  <c r="M3" i="28" s="1"/>
  <c r="O8" i="1" s="1"/>
  <c r="H53" i="28"/>
  <c r="L3" i="28" s="1"/>
  <c r="N8" i="1" s="1"/>
  <c r="G53" i="28"/>
  <c r="K3" i="28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F8" i="1" s="1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I7" i="1"/>
  <c r="H7" i="1"/>
  <c r="G7" i="1"/>
  <c r="E7" i="1"/>
  <c r="D7" i="1"/>
  <c r="C7" i="1"/>
  <c r="B7" i="1"/>
  <c r="I53" i="27"/>
  <c r="M3" i="27" s="1"/>
  <c r="O7" i="1" s="1"/>
  <c r="H53" i="27"/>
  <c r="L3" i="27" s="1"/>
  <c r="G53" i="27"/>
  <c r="K3" i="27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F7" i="1" s="1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I6" i="1"/>
  <c r="H6" i="1"/>
  <c r="G6" i="1"/>
  <c r="E6" i="1"/>
  <c r="D6" i="1"/>
  <c r="C6" i="1"/>
  <c r="B6" i="1"/>
  <c r="I53" i="26"/>
  <c r="M3" i="26" s="1"/>
  <c r="O6" i="1" s="1"/>
  <c r="H53" i="26"/>
  <c r="L3" i="26" s="1"/>
  <c r="G53" i="26"/>
  <c r="K3" i="26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F6" i="1" s="1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I5" i="1"/>
  <c r="H5" i="1"/>
  <c r="G5" i="1"/>
  <c r="E5" i="1"/>
  <c r="D5" i="1"/>
  <c r="C5" i="1"/>
  <c r="B5" i="1"/>
  <c r="I53" i="25"/>
  <c r="M3" i="25" s="1"/>
  <c r="O5" i="1" s="1"/>
  <c r="H53" i="25"/>
  <c r="L3" i="25" s="1"/>
  <c r="G53" i="25"/>
  <c r="K3" i="25" s="1"/>
  <c r="M5" i="1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F13" i="25"/>
  <c r="Y12" i="25"/>
  <c r="X12" i="25"/>
  <c r="F12" i="25"/>
  <c r="Y11" i="25"/>
  <c r="X11" i="25"/>
  <c r="F11" i="25"/>
  <c r="Y10" i="25"/>
  <c r="X10" i="25"/>
  <c r="F10" i="25"/>
  <c r="Y9" i="25"/>
  <c r="X9" i="25"/>
  <c r="F9" i="25"/>
  <c r="Y8" i="25"/>
  <c r="X8" i="25"/>
  <c r="F8" i="25"/>
  <c r="B8" i="25"/>
  <c r="F5" i="1" s="1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F3" i="25"/>
  <c r="F4" i="14"/>
  <c r="O3" i="30" l="1"/>
  <c r="J10" i="1" s="1"/>
  <c r="Z3" i="30"/>
  <c r="AC10" i="1" s="1"/>
  <c r="Q3" i="30"/>
  <c r="M10" i="1"/>
  <c r="P3" i="29"/>
  <c r="L9" i="1" s="1"/>
  <c r="AC9" i="1"/>
  <c r="B12" i="30"/>
  <c r="N3" i="30"/>
  <c r="O3" i="28"/>
  <c r="J8" i="1" s="1"/>
  <c r="Q3" i="28"/>
  <c r="M8" i="1"/>
  <c r="Z3" i="28"/>
  <c r="P3" i="28" s="1"/>
  <c r="L8" i="1" s="1"/>
  <c r="B12" i="29"/>
  <c r="N3" i="29"/>
  <c r="N7" i="1"/>
  <c r="O3" i="27"/>
  <c r="J7" i="1" s="1"/>
  <c r="Z3" i="27"/>
  <c r="B12" i="27"/>
  <c r="K7" i="1" s="1"/>
  <c r="Q3" i="27"/>
  <c r="M7" i="1"/>
  <c r="B12" i="28"/>
  <c r="N3" i="28"/>
  <c r="N6" i="1"/>
  <c r="O3" i="26"/>
  <c r="J6" i="1" s="1"/>
  <c r="Q3" i="26"/>
  <c r="M6" i="1"/>
  <c r="B12" i="26"/>
  <c r="K6" i="1" s="1"/>
  <c r="Z3" i="26"/>
  <c r="N3" i="27"/>
  <c r="N5" i="1"/>
  <c r="N3" i="26"/>
  <c r="O3" i="25"/>
  <c r="J5" i="1" s="1"/>
  <c r="Q3" i="25"/>
  <c r="Z3" i="25"/>
  <c r="B12" i="25"/>
  <c r="K5" i="1" s="1"/>
  <c r="N3" i="25"/>
  <c r="I4" i="1"/>
  <c r="H4" i="1"/>
  <c r="G4" i="1"/>
  <c r="C4" i="1"/>
  <c r="B4" i="1"/>
  <c r="P3" i="30" l="1"/>
  <c r="L10" i="1" s="1"/>
  <c r="K10" i="1"/>
  <c r="K9" i="1"/>
  <c r="AC8" i="1"/>
  <c r="P3" i="27"/>
  <c r="L7" i="1" s="1"/>
  <c r="AC7" i="1"/>
  <c r="P3" i="26"/>
  <c r="L6" i="1" s="1"/>
  <c r="AC6" i="1"/>
  <c r="P3" i="25"/>
  <c r="L5" i="1" s="1"/>
  <c r="AC5" i="1"/>
  <c r="K8" i="1"/>
  <c r="I3" i="1"/>
  <c r="H3" i="1"/>
  <c r="G3" i="1"/>
  <c r="B3" i="1"/>
  <c r="I53" i="24"/>
  <c r="M3" i="24" s="1"/>
  <c r="O4" i="1" s="1"/>
  <c r="H53" i="24"/>
  <c r="L3" i="24" s="1"/>
  <c r="G53" i="24"/>
  <c r="K3" i="24" s="1"/>
  <c r="M4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Y7" i="24"/>
  <c r="X7" i="24"/>
  <c r="F7" i="24"/>
  <c r="Y6" i="24"/>
  <c r="X6" i="24"/>
  <c r="F6" i="24"/>
  <c r="Y5" i="24"/>
  <c r="X5" i="24"/>
  <c r="F5" i="24"/>
  <c r="Y4" i="24"/>
  <c r="X4" i="24"/>
  <c r="F4" i="24"/>
  <c r="Y3" i="24"/>
  <c r="X3" i="24"/>
  <c r="F3" i="24"/>
  <c r="B8" i="24"/>
  <c r="F4" i="1" s="1"/>
  <c r="F3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X19" i="14"/>
  <c r="X20" i="14"/>
  <c r="X21" i="14"/>
  <c r="X22" i="14"/>
  <c r="X23" i="14"/>
  <c r="X24" i="14"/>
  <c r="X25" i="14"/>
  <c r="X26" i="14"/>
  <c r="X27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44" i="14"/>
  <c r="X45" i="14"/>
  <c r="X46" i="14"/>
  <c r="X47" i="14"/>
  <c r="X48" i="14"/>
  <c r="X49" i="14"/>
  <c r="X50" i="14"/>
  <c r="X51" i="14"/>
  <c r="X52" i="14"/>
  <c r="X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Y19" i="14"/>
  <c r="Y20" i="14"/>
  <c r="Y21" i="14"/>
  <c r="Y22" i="14"/>
  <c r="Y23" i="14"/>
  <c r="Y24" i="14"/>
  <c r="Y25" i="14"/>
  <c r="Y26" i="14"/>
  <c r="Y27" i="14"/>
  <c r="Y28" i="14"/>
  <c r="Y29" i="14"/>
  <c r="Y30" i="14"/>
  <c r="Y31" i="14"/>
  <c r="Y32" i="14"/>
  <c r="Y33" i="14"/>
  <c r="Y34" i="14"/>
  <c r="Y35" i="14"/>
  <c r="Y36" i="14"/>
  <c r="Y37" i="14"/>
  <c r="Y38" i="14"/>
  <c r="Y39" i="14"/>
  <c r="Y40" i="14"/>
  <c r="Y41" i="14"/>
  <c r="Y42" i="14"/>
  <c r="Y43" i="14"/>
  <c r="Y44" i="14"/>
  <c r="Y45" i="14"/>
  <c r="Y46" i="14"/>
  <c r="Y47" i="14"/>
  <c r="Y48" i="14"/>
  <c r="Y49" i="14"/>
  <c r="Y50" i="14"/>
  <c r="Y51" i="14"/>
  <c r="Y52" i="14"/>
  <c r="Y4" i="14"/>
  <c r="Y3" i="14"/>
  <c r="X3" i="14"/>
  <c r="H53" i="14"/>
  <c r="L3" i="14" s="1"/>
  <c r="I53" i="14"/>
  <c r="M3" i="14" s="1"/>
  <c r="O3" i="1" s="1"/>
  <c r="G53" i="14"/>
  <c r="K3" i="14" s="1"/>
  <c r="Q3" i="14" s="1"/>
  <c r="B8" i="14"/>
  <c r="F3" i="1" s="1"/>
  <c r="AA3" i="1" l="1"/>
  <c r="M3" i="1"/>
  <c r="U3" i="1" s="1"/>
  <c r="R3" i="1" s="1"/>
  <c r="Q3" i="24"/>
  <c r="N3" i="24"/>
  <c r="O3" i="24"/>
  <c r="J4" i="1" s="1"/>
  <c r="N4" i="1"/>
  <c r="Z3" i="24"/>
  <c r="B12" i="24"/>
  <c r="K4" i="1" s="1"/>
  <c r="N3" i="14"/>
  <c r="O3" i="14"/>
  <c r="J3" i="1" s="1"/>
  <c r="N3" i="1"/>
  <c r="V3" i="1" s="1"/>
  <c r="Z3" i="14"/>
  <c r="P3" i="24" l="1"/>
  <c r="L4" i="1" s="1"/>
  <c r="AC4" i="1"/>
  <c r="P3" i="14"/>
  <c r="L3" i="1" s="1"/>
  <c r="AC3" i="1"/>
  <c r="E4" i="1"/>
  <c r="D4" i="1"/>
  <c r="B12" i="14" l="1"/>
  <c r="K3" i="1" s="1"/>
  <c r="H2" i="15"/>
  <c r="E3" i="1" l="1"/>
  <c r="D3" i="1" l="1"/>
  <c r="C3" i="1"/>
  <c r="G2" i="15" l="1"/>
  <c r="F2" i="15"/>
  <c r="I2" i="15" l="1"/>
  <c r="Q3" i="1" s="1"/>
  <c r="W3" i="1" s="1"/>
  <c r="X3" i="1" l="1"/>
  <c r="K200" i="15"/>
  <c r="Z3" i="1" s="1"/>
  <c r="T3" i="1"/>
  <c r="Y3" i="1"/>
</calcChain>
</file>

<file path=xl/sharedStrings.xml><?xml version="1.0" encoding="utf-8"?>
<sst xmlns="http://schemas.openxmlformats.org/spreadsheetml/2006/main" count="358" uniqueCount="55">
  <si>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</si>
  <si>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</si>
  <si>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</si>
  <si>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</si>
  <si>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</si>
  <si>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</si>
  <si>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</si>
  <si>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</si>
  <si>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</si>
  <si>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</si>
  <si>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</si>
  <si>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</si>
  <si>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</si>
  <si>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</si>
  <si>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</si>
  <si>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</si>
  <si>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</si>
  <si>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</si>
  <si>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Skolintojas</t>
  </si>
  <si>
    <t>Tipas</t>
  </si>
  <si>
    <t>Pradžia</t>
  </si>
  <si>
    <t>Kompanija</t>
  </si>
  <si>
    <t>Pinigai</t>
  </si>
  <si>
    <t>Grąžinta</t>
  </si>
  <si>
    <t>Viso</t>
  </si>
  <si>
    <t>Mokesčiai</t>
  </si>
  <si>
    <t>XIRR</t>
  </si>
  <si>
    <t>Grąžinimas</t>
  </si>
  <si>
    <t>Suma</t>
  </si>
  <si>
    <t>Mokestis</t>
  </si>
  <si>
    <t>Pabaiga</t>
  </si>
  <si>
    <t>Planuojama</t>
  </si>
  <si>
    <t>Reali</t>
  </si>
  <si>
    <t>Nr.</t>
  </si>
  <si>
    <t>Malaysia</t>
  </si>
  <si>
    <t>Tambadana</t>
  </si>
  <si>
    <t>Short Term Loan</t>
  </si>
  <si>
    <t>Liko, dienos</t>
  </si>
  <si>
    <t>Investuota, Eur</t>
  </si>
  <si>
    <t>Vėluoja</t>
  </si>
  <si>
    <t>Vėl./Anks.</t>
  </si>
  <si>
    <t>Inv. data</t>
  </si>
  <si>
    <t>Liko</t>
  </si>
  <si>
    <t>Eur.</t>
  </si>
  <si>
    <t xml:space="preserve">Premijos </t>
  </si>
  <si>
    <t>55bc6c86...98a4199721c7</t>
  </si>
  <si>
    <t>c78fc544...c7b919f73c9d</t>
  </si>
  <si>
    <t>6a2ebaab...04ce88676cf8</t>
  </si>
  <si>
    <t>62dc7b87...555b6b58a73a</t>
  </si>
  <si>
    <t>Installment Loan</t>
  </si>
  <si>
    <t>63f224f9...dc9a9519a2fb</t>
  </si>
  <si>
    <t>98b1dfe9...d5d30b41a3c0</t>
  </si>
  <si>
    <t>eebd7526...eaf278164c4f</t>
  </si>
  <si>
    <t>6e656686...a6797d30436d-2</t>
  </si>
  <si>
    <t>6e656686...a6797d30436d-1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</si>
</sst>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14" fontId="0" fillId="0" borderId="1" xfId="0" applyNumberFormat="1" applyBorder="1"/>
    <xf numFmtId="1" fontId="0" fillId="0" borderId="1" xfId="0" applyNumberFormat="1" applyBorder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14" fontId="0" fillId="0" borderId="0" xfId="0" applyNumberFormat="1"/>
    <xf numFmtId="0" fontId="1" fillId="0" borderId="7" xfId="0" applyFont="1" applyBorder="1" applyAlignment="1">
      <alignment horizontal="center" vertical="center"/>
    </xf>
    <xf numFmtId="1" fontId="0" fillId="0" borderId="1" xfId="0" applyNumberFormat="1" applyBorder="1"/>
    <xf numFmtId="0" fontId="2" fillId="0" borderId="1" xfId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4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270EAFC-C8EA-4366-981D-24AE62039E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2A7DB54-D366-4D84-B86A-9127CFF165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699D495-B184-490D-A9BE-00D1D918D2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093F4BF-7670-408C-9E02-CC8C7C81DD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4C725A-4ADE-42D1-9C31-B094339464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5E720-E4DB-43B4-8450-81B1D8305F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A58F80-4A4F-4820-9AC1-8CCD15842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3E6BE7-2620-4CB3-8F4E-0C17BF712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114388-3521-4DB4-98A1-45633E6AB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" sqref="C3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5" width="10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5" t="s">
        <v>0</v>
      </c>
      <c r="B1" s="35"/>
      <c r="C1" s="35"/>
      <c r="D1" s="35"/>
      <c r="E1" s="35"/>
      <c r="F1" s="35"/>
      <c r="G1" s="35"/>
      <c r="H1" s="36"/>
      <c r="I1" s="32" t="s">
        <v>30</v>
      </c>
      <c r="J1" s="33"/>
      <c r="K1" s="33"/>
      <c r="L1" s="34"/>
      <c r="M1" s="37" t="s">
        <v>23</v>
      </c>
      <c r="N1" s="37"/>
      <c r="O1" s="37"/>
      <c r="Q1" s="38" t="s">
        <v>22</v>
      </c>
      <c r="R1" s="39"/>
      <c r="S1" s="39"/>
      <c r="T1" s="40"/>
      <c r="U1" s="38" t="s">
        <v>23</v>
      </c>
      <c r="V1" s="40"/>
      <c r="W1" s="32" t="s">
        <v>4</v>
      </c>
      <c r="X1" s="33"/>
      <c r="Y1" s="33"/>
      <c r="Z1" s="34"/>
      <c r="AA1" s="4" t="s">
        <v>25</v>
      </c>
    </row>
    <row r="2" spans="1:29" x14ac:dyDescent="0.25">
      <c r="A2" s="16" t="s">
        <v>33</v>
      </c>
      <c r="B2" s="24" t="s">
        <v>41</v>
      </c>
      <c r="C2" s="4" t="s">
        <v>3</v>
      </c>
      <c r="D2" s="4" t="s">
        <v>15</v>
      </c>
      <c r="E2" s="4" t="s">
        <v>21</v>
      </c>
      <c r="F2" s="4" t="s">
        <v>16</v>
      </c>
      <c r="G2" s="4" t="s">
        <v>5</v>
      </c>
      <c r="H2" s="4" t="s">
        <v>8</v>
      </c>
      <c r="I2" s="4" t="s">
        <v>31</v>
      </c>
      <c r="J2" s="4" t="s">
        <v>32</v>
      </c>
      <c r="K2" s="4" t="s">
        <v>42</v>
      </c>
      <c r="L2" s="4" t="s">
        <v>39</v>
      </c>
      <c r="M2" s="4" t="s">
        <v>0</v>
      </c>
      <c r="N2" s="4" t="s">
        <v>1</v>
      </c>
      <c r="O2" s="4" t="s">
        <v>25</v>
      </c>
      <c r="P2" s="9"/>
      <c r="Q2" s="28" t="s">
        <v>9</v>
      </c>
      <c r="R2" s="28" t="s">
        <v>8</v>
      </c>
      <c r="S2" s="4" t="s">
        <v>44</v>
      </c>
      <c r="T2" s="4" t="s">
        <v>6</v>
      </c>
      <c r="U2" s="24" t="s">
        <v>0</v>
      </c>
      <c r="V2" s="24" t="s">
        <v>1</v>
      </c>
      <c r="W2" s="4" t="s">
        <v>24</v>
      </c>
      <c r="X2" s="4" t="s">
        <v>43</v>
      </c>
      <c r="Y2" s="4" t="s">
        <v>5</v>
      </c>
      <c r="Z2" s="4" t="s">
        <v>26</v>
      </c>
      <c r="AA2" s="4" t="s">
        <v>43</v>
      </c>
      <c r="AC2" s="12" t="s">
        <v>39</v>
      </c>
    </row>
    <row r="3" spans="1:29" x14ac:dyDescent="0.25">
      <c r="A3" s="2">
        <v>1</v>
      </c>
      <c r="B3" s="6">
        <f>'55bc6c86...98a4199721c7'!B9</f>
        <v>46244</v>
      </c>
      <c r="C3" s="26" t="str">
        <f>'6e656686...a6797d30436d-1'!B1</f>
        <v>6e656686...a6797d30436d-1</v>
      </c>
      <c r="D3" s="2" t="str">
        <f>'6e656686...a6797d30436d-1'!B2</f>
        <v>Malaysia</v>
      </c>
      <c r="E3" s="2" t="str">
        <f>'6e656686...a6797d30436d-1'!B3</f>
        <v>Tambadana</v>
      </c>
      <c r="F3" s="2" t="str">
        <f>'6e656686...a6797d30436d-1'!B8</f>
        <v>0 m. 0 mėn. 30 d.</v>
      </c>
      <c r="G3" s="7">
        <f>'6e656686...a6797d30436d-1'!B15</f>
        <v>0.13600000000000001</v>
      </c>
      <c r="H3" s="3">
        <f>'6e656686...a6797d30436d-1'!B16</f>
        <v>10</v>
      </c>
      <c r="I3" s="6">
        <f>'6e656686...a6797d30436d-1'!B11</f>
        <v>46274</v>
      </c>
      <c r="J3" s="6" t="str">
        <f>'6e656686...a6797d30436d-1'!O3</f>
        <v/>
      </c>
      <c r="K3" s="19">
        <f ca="1">'6e656686...a6797d30436d-1'!B12</f>
        <v>29</v>
      </c>
      <c r="L3" s="19" t="str">
        <f ca="1">'6e656686...a6797d30436d-1'!P3</f>
        <v/>
      </c>
      <c r="M3" s="3">
        <f>'6e656686...a6797d30436d-1'!K3</f>
        <v>0</v>
      </c>
      <c r="N3" s="3">
        <f>'6e656686...a6797d30436d-1'!L3</f>
        <v>0</v>
      </c>
      <c r="O3" s="3">
        <f>'6e656686...a6797d30436d-1'!M3</f>
        <v>0</v>
      </c>
      <c r="P3" s="10"/>
      <c r="Q3" s="29">
        <f>Pinigai!I2</f>
        <v>100</v>
      </c>
      <c r="R3" s="29">
        <f>SUM(H3:H100)-U3</f>
        <v>100</v>
      </c>
      <c r="S3" s="30">
        <f>Pinigai!H2</f>
        <v>0</v>
      </c>
      <c r="T3" s="29">
        <f>W3-R3</f>
        <v>0</v>
      </c>
      <c r="U3" s="29">
        <f>SUM(M3:M100)</f>
        <v>0</v>
      </c>
      <c r="V3" s="29">
        <f>SUM(N3:N100)-AA3</f>
        <v>0</v>
      </c>
      <c r="W3" s="29">
        <f>Q3+V3+S3</f>
        <v>100</v>
      </c>
      <c r="X3" s="29">
        <f>W3-Q3</f>
        <v>0</v>
      </c>
      <c r="Y3" s="31">
        <f>(W3-Q3)/Q3</f>
        <v>0</v>
      </c>
      <c r="Z3" s="31">
        <f ca="1">XIRR(Pinigai!K2:K200,Pinigai!A2:A200)</f>
        <v>2.9802322387695314E-9</v>
      </c>
      <c r="AA3" s="29">
        <f>SUM(O3:O100)</f>
        <v>0</v>
      </c>
      <c r="AC3" s="3" t="str">
        <f ca="1">'6e656686...a6797d30436d-1'!Z3</f>
        <v/>
      </c>
    </row>
    <row r="4" spans="1:29" x14ac:dyDescent="0.25">
      <c r="A4" s="2">
        <v>2</v>
      </c>
      <c r="B4" s="6">
        <f>'55bc6c86...98a4199721c7'!B9</f>
        <v>46244</v>
      </c>
      <c r="C4" s="26" t="str">
        <f>'55bc6c86...98a4199721c7'!B1</f>
        <v>55bc6c86...98a4199721c7</v>
      </c>
      <c r="D4" s="2" t="str">
        <f>'55bc6c86...98a4199721c7'!B2</f>
        <v>Malaysia</v>
      </c>
      <c r="E4" s="2" t="str">
        <f>'55bc6c86...98a4199721c7'!B3</f>
        <v>Tambadana</v>
      </c>
      <c r="F4" s="2" t="str">
        <f>'55bc6c86...98a4199721c7'!B8</f>
        <v>0 m. 0 mėn. 30 d.</v>
      </c>
      <c r="G4" s="7">
        <f>'55bc6c86...98a4199721c7'!B15</f>
        <v>0.13600000000000001</v>
      </c>
      <c r="H4" s="3">
        <f>'55bc6c86...98a4199721c7'!B16</f>
        <v>10</v>
      </c>
      <c r="I4" s="6">
        <f>'55bc6c86...98a4199721c7'!B11</f>
        <v>46274</v>
      </c>
      <c r="J4" s="6" t="str">
        <f>'55bc6c86...98a4199721c7'!O3</f>
        <v/>
      </c>
      <c r="K4" s="19">
        <f ca="1">'55bc6c86...98a4199721c7'!B12</f>
        <v>29</v>
      </c>
      <c r="L4" s="19" t="str">
        <f ca="1">'55bc6c86...98a4199721c7'!P3</f>
        <v/>
      </c>
      <c r="M4" s="3">
        <f>'55bc6c86...98a4199721c7'!K3</f>
        <v>0</v>
      </c>
      <c r="N4" s="3">
        <f>'55bc6c86...98a4199721c7'!L3</f>
        <v>0</v>
      </c>
      <c r="O4" s="3">
        <f>'55bc6c86...98a4199721c7'!M3</f>
        <v>0</v>
      </c>
      <c r="P4" s="10"/>
      <c r="Q4" s="10"/>
      <c r="R4" s="10"/>
      <c r="S4" s="10"/>
      <c r="T4" s="10"/>
      <c r="U4" s="10"/>
      <c r="V4" s="10"/>
      <c r="W4" s="10"/>
      <c r="X4" s="10"/>
      <c r="Y4" s="20"/>
      <c r="Z4" s="20"/>
      <c r="AA4" s="20"/>
      <c r="AC4" s="3" t="str">
        <f ca="1">'55bc6c86...98a4199721c7'!Z3</f>
        <v/>
      </c>
    </row>
    <row r="5" spans="1:29" x14ac:dyDescent="0.25">
      <c r="A5" s="2">
        <v>3</v>
      </c>
      <c r="B5" s="6">
        <f>'c78fc544...c7b919f73c9d'!B9</f>
        <v>46244</v>
      </c>
      <c r="C5" s="26" t="str">
        <f>'c78fc544...c7b919f73c9d'!B1</f>
        <v>c78fc544...c7b919f73c9d</v>
      </c>
      <c r="D5" s="2" t="str">
        <f>'c78fc544...c7b919f73c9d'!B2</f>
        <v>Malaysia</v>
      </c>
      <c r="E5" s="2" t="str">
        <f>'c78fc544...c7b919f73c9d'!B3</f>
        <v>Tambadana</v>
      </c>
      <c r="F5" s="2" t="str">
        <f>'c78fc544...c7b919f73c9d'!B8</f>
        <v>0 m. 3 mėn. 0 d.</v>
      </c>
      <c r="G5" s="7">
        <f>'c78fc544...c7b919f73c9d'!B15</f>
        <v>0.159</v>
      </c>
      <c r="H5" s="3">
        <f>'c78fc544...c7b919f73c9d'!B16</f>
        <v>10</v>
      </c>
      <c r="I5" s="6">
        <f>'c78fc544...c7b919f73c9d'!B11</f>
        <v>46336</v>
      </c>
      <c r="J5" s="6" t="str">
        <f>'c78fc544...c7b919f73c9d'!O3</f>
        <v/>
      </c>
      <c r="K5" s="19">
        <f ca="1">'c78fc544...c7b919f73c9d'!B12</f>
        <v>91</v>
      </c>
      <c r="L5" s="19" t="str">
        <f ca="1">'c78fc544...c7b919f73c9d'!P3</f>
        <v/>
      </c>
      <c r="M5" s="3">
        <f>'c78fc544...c7b919f73c9d'!K3</f>
        <v>0</v>
      </c>
      <c r="N5" s="3">
        <f>'c78fc544...c7b919f73c9d'!L3</f>
        <v>0</v>
      </c>
      <c r="O5" s="3">
        <f>'c78fc544...c7b919f73c9d'!M3</f>
        <v>0</v>
      </c>
      <c r="P5" s="10"/>
      <c r="AC5" s="3" t="str">
        <f ca="1">'c78fc544...c7b919f73c9d'!Z3</f>
        <v/>
      </c>
    </row>
    <row r="6" spans="1:29" x14ac:dyDescent="0.25">
      <c r="A6" s="2">
        <v>4</v>
      </c>
      <c r="B6" s="6">
        <f>'6e656686...a6797d30436d-2'!B9</f>
        <v>46244</v>
      </c>
      <c r="C6" s="26" t="str">
        <f>'6e656686...a6797d30436d-2'!B1</f>
        <v>6e656686...a6797d30436d-2</v>
      </c>
      <c r="D6" s="2" t="str">
        <f>'6e656686...a6797d30436d-2'!B2</f>
        <v>Malaysia</v>
      </c>
      <c r="E6" s="2" t="str">
        <f>'6e656686...a6797d30436d-2'!B3</f>
        <v>Tambadana</v>
      </c>
      <c r="F6" s="2" t="str">
        <f>'6e656686...a6797d30436d-2'!B8</f>
        <v>0 m. 0 mėn. 30 d.</v>
      </c>
      <c r="G6" s="7">
        <f>'6e656686...a6797d30436d-2'!B15</f>
        <v>0.13600000000000001</v>
      </c>
      <c r="H6" s="3">
        <f>'6e656686...a6797d30436d-2'!B16</f>
        <v>10</v>
      </c>
      <c r="I6" s="6">
        <f>'6e656686...a6797d30436d-2'!B11</f>
        <v>46274</v>
      </c>
      <c r="J6" s="6" t="str">
        <f>'6e656686...a6797d30436d-2'!O3</f>
        <v/>
      </c>
      <c r="K6" s="19">
        <f ca="1">'6e656686...a6797d30436d-2'!B12</f>
        <v>29</v>
      </c>
      <c r="L6" s="19" t="str">
        <f ca="1">'6e656686...a6797d30436d-2'!P3</f>
        <v/>
      </c>
      <c r="M6" s="3">
        <f>'6e656686...a6797d30436d-2'!K3</f>
        <v>0</v>
      </c>
      <c r="N6" s="3">
        <f>'6e656686...a6797d30436d-2'!L3</f>
        <v>0</v>
      </c>
      <c r="O6" s="3">
        <f>'6e656686...a6797d30436d-2'!M3</f>
        <v>0</v>
      </c>
      <c r="P6" s="10"/>
      <c r="AC6" s="3" t="str">
        <f ca="1">'6e656686...a6797d30436d-2'!Z3</f>
        <v/>
      </c>
    </row>
    <row r="7" spans="1:29" x14ac:dyDescent="0.25">
      <c r="A7" s="2">
        <v>5</v>
      </c>
      <c r="B7" s="6">
        <f>'6a2ebaab...04ce88676cf8'!B9</f>
        <v>46244</v>
      </c>
      <c r="C7" s="26" t="str">
        <f>'6a2ebaab...04ce88676cf8'!B1</f>
        <v>6a2ebaab...04ce88676cf8</v>
      </c>
      <c r="D7" s="2" t="str">
        <f>'6a2ebaab...04ce88676cf8'!B2</f>
        <v>Malaysia</v>
      </c>
      <c r="E7" s="2" t="str">
        <f>'6a2ebaab...04ce88676cf8'!B3</f>
        <v>Tambadana</v>
      </c>
      <c r="F7" s="2" t="str">
        <f>'6a2ebaab...04ce88676cf8'!B8</f>
        <v>0 m. 0 mėn. 30 d.</v>
      </c>
      <c r="G7" s="7">
        <f>'6a2ebaab...04ce88676cf8'!B15</f>
        <v>0.13600000000000001</v>
      </c>
      <c r="H7" s="3">
        <f>'6a2ebaab...04ce88676cf8'!B16</f>
        <v>10</v>
      </c>
      <c r="I7" s="6">
        <f>'6a2ebaab...04ce88676cf8'!B11</f>
        <v>46274</v>
      </c>
      <c r="J7" s="6" t="str">
        <f>'6a2ebaab...04ce88676cf8'!O3</f>
        <v/>
      </c>
      <c r="K7" s="19">
        <f ca="1">'6a2ebaab...04ce88676cf8'!B12</f>
        <v>29</v>
      </c>
      <c r="L7" s="19" t="str">
        <f ca="1">'6a2ebaab...04ce88676cf8'!P3</f>
        <v/>
      </c>
      <c r="M7" s="3">
        <f>'6a2ebaab...04ce88676cf8'!K3</f>
        <v>0</v>
      </c>
      <c r="N7" s="3">
        <f>'6a2ebaab...04ce88676cf8'!L3</f>
        <v>0</v>
      </c>
      <c r="O7" s="3">
        <f>'6a2ebaab...04ce88676cf8'!M3</f>
        <v>0</v>
      </c>
      <c r="P7" s="10"/>
      <c r="AC7" s="3" t="str">
        <f ca="1">'6a2ebaab...04ce88676cf8'!Z3</f>
        <v/>
      </c>
    </row>
    <row r="8" spans="1:29" x14ac:dyDescent="0.25">
      <c r="A8" s="2">
        <v>6</v>
      </c>
      <c r="B8" s="6">
        <f>'62dc7b87...555b6b58a73a'!B9</f>
        <v>46244</v>
      </c>
      <c r="C8" s="26" t="str">
        <f>'62dc7b87...555b6b58a73a'!B1</f>
        <v>62dc7b87...555b6b58a73a</v>
      </c>
      <c r="D8" s="2" t="str">
        <f>'62dc7b87...555b6b58a73a'!B2</f>
        <v>Malaysia</v>
      </c>
      <c r="E8" s="2" t="str">
        <f>'62dc7b87...555b6b58a73a'!B3</f>
        <v>Tambadana</v>
      </c>
      <c r="F8" s="2" t="str">
        <f>'62dc7b87...555b6b58a73a'!B8</f>
        <v>0 m. 3 mėn. 0 d.</v>
      </c>
      <c r="G8" s="7">
        <f>'62dc7b87...555b6b58a73a'!B15</f>
        <v>0.159</v>
      </c>
      <c r="H8" s="3">
        <f>'62dc7b87...555b6b58a73a'!B16</f>
        <v>10</v>
      </c>
      <c r="I8" s="6">
        <f>'62dc7b87...555b6b58a73a'!B11</f>
        <v>46336</v>
      </c>
      <c r="J8" s="6" t="str">
        <f>'62dc7b87...555b6b58a73a'!O3</f>
        <v/>
      </c>
      <c r="K8" s="19">
        <f ca="1">'62dc7b87...555b6b58a73a'!B12</f>
        <v>91</v>
      </c>
      <c r="L8" s="19" t="str">
        <f ca="1">'62dc7b87...555b6b58a73a'!P3</f>
        <v/>
      </c>
      <c r="M8" s="3">
        <f>'62dc7b87...555b6b58a73a'!K3</f>
        <v>0</v>
      </c>
      <c r="N8" s="3">
        <f>'62dc7b87...555b6b58a73a'!L3</f>
        <v>0</v>
      </c>
      <c r="O8" s="3">
        <f>'62dc7b87...555b6b58a73a'!M3</f>
        <v>0</v>
      </c>
      <c r="P8" s="10"/>
      <c r="AC8" s="3" t="str">
        <f ca="1">'62dc7b87...555b6b58a73a'!Z3</f>
        <v/>
      </c>
    </row>
    <row r="9" spans="1:29" x14ac:dyDescent="0.25">
      <c r="A9" s="2">
        <v>7</v>
      </c>
      <c r="B9" s="6">
        <f>'63f224f9...dc9a9519a2fb'!B9</f>
        <v>46244</v>
      </c>
      <c r="C9" s="26" t="str">
        <f>'63f224f9...dc9a9519a2fb'!B1</f>
        <v>63f224f9...dc9a9519a2fb</v>
      </c>
      <c r="D9" s="2" t="str">
        <f>'63f224f9...dc9a9519a2fb'!B2</f>
        <v>Malaysia</v>
      </c>
      <c r="E9" s="2" t="str">
        <f>'63f224f9...dc9a9519a2fb'!B3</f>
        <v>Tambadana</v>
      </c>
      <c r="F9" s="2" t="str">
        <f>'63f224f9...dc9a9519a2fb'!B8</f>
        <v>0 m. 3 mėn. 0 d.</v>
      </c>
      <c r="G9" s="7">
        <f>'63f224f9...dc9a9519a2fb'!B15</f>
        <v>0.159</v>
      </c>
      <c r="H9" s="3">
        <f>'63f224f9...dc9a9519a2fb'!B16</f>
        <v>10</v>
      </c>
      <c r="I9" s="6">
        <f>'63f224f9...dc9a9519a2fb'!B11</f>
        <v>46336</v>
      </c>
      <c r="J9" s="6" t="str">
        <f>'63f224f9...dc9a9519a2fb'!O3</f>
        <v/>
      </c>
      <c r="K9" s="19">
        <f ca="1">'63f224f9...dc9a9519a2fb'!B12</f>
        <v>91</v>
      </c>
      <c r="L9" s="19" t="str">
        <f ca="1">'63f224f9...dc9a9519a2fb'!P3</f>
        <v/>
      </c>
      <c r="M9" s="3">
        <f>'63f224f9...dc9a9519a2fb'!K3</f>
        <v>0</v>
      </c>
      <c r="N9" s="3">
        <f>'63f224f9...dc9a9519a2fb'!L3</f>
        <v>0</v>
      </c>
      <c r="O9" s="3">
        <f>'63f224f9...dc9a9519a2fb'!M3</f>
        <v>0</v>
      </c>
      <c r="P9" s="10"/>
      <c r="AC9" s="3" t="str">
        <f ca="1">'63f224f9...dc9a9519a2fb'!Z3</f>
        <v/>
      </c>
    </row>
    <row r="10" spans="1:29" x14ac:dyDescent="0.25">
      <c r="A10" s="2">
        <v>8</v>
      </c>
      <c r="B10" s="6">
        <f>'98b1dfe9...d5d30b41a3c0'!B9</f>
        <v>46244</v>
      </c>
      <c r="C10" s="26" t="str">
        <f>'98b1dfe9...d5d30b41a3c0'!B1</f>
        <v>98b1dfe9...d5d30b41a3c0</v>
      </c>
      <c r="D10" s="2" t="str">
        <f>'98b1dfe9...d5d30b41a3c0'!B2</f>
        <v>Malaysia</v>
      </c>
      <c r="E10" s="2" t="str">
        <f>'98b1dfe9...d5d30b41a3c0'!B3</f>
        <v>Tambadana</v>
      </c>
      <c r="F10" s="2" t="str">
        <f>'98b1dfe9...d5d30b41a3c0'!B8</f>
        <v>0 m. 3 mėn. 0 d.</v>
      </c>
      <c r="G10" s="7">
        <f>'98b1dfe9...d5d30b41a3c0'!B15</f>
        <v>0.159</v>
      </c>
      <c r="H10" s="3">
        <f>'98b1dfe9...d5d30b41a3c0'!B16</f>
        <v>15</v>
      </c>
      <c r="I10" s="6">
        <f>'98b1dfe9...d5d30b41a3c0'!B11</f>
        <v>46336</v>
      </c>
      <c r="J10" s="6" t="str">
        <f>'98b1dfe9...d5d30b41a3c0'!O3</f>
        <v/>
      </c>
      <c r="K10" s="19">
        <f ca="1">'98b1dfe9...d5d30b41a3c0'!B12</f>
        <v>91</v>
      </c>
      <c r="L10" s="19" t="str">
        <f ca="1">'98b1dfe9...d5d30b41a3c0'!P3</f>
        <v/>
      </c>
      <c r="M10" s="3">
        <f>'98b1dfe9...d5d30b41a3c0'!K3</f>
        <v>0</v>
      </c>
      <c r="N10" s="3">
        <f>'98b1dfe9...d5d30b41a3c0'!L3</f>
        <v>0</v>
      </c>
      <c r="O10" s="3">
        <f>'98b1dfe9...d5d30b41a3c0'!M3</f>
        <v>0</v>
      </c>
      <c r="P10" s="10"/>
      <c r="AC10" s="3" t="str">
        <f ca="1">'98b1dfe9...d5d30b41a3c0'!Z3</f>
        <v/>
      </c>
    </row>
    <row r="11" spans="1:29" x14ac:dyDescent="0.25">
      <c r="A11" s="2">
        <v>9</v>
      </c>
      <c r="B11" s="6">
        <f>'eebd7526...eaf278164c4f'!B9</f>
        <v>46244</v>
      </c>
      <c r="C11" s="26" t="str">
        <f>'eebd7526...eaf278164c4f'!B1</f>
        <v>eebd7526...eaf278164c4f</v>
      </c>
      <c r="D11" s="2" t="str">
        <f>'eebd7526...eaf278164c4f'!B2</f>
        <v>Malaysia</v>
      </c>
      <c r="E11" s="2" t="str">
        <f>'eebd7526...eaf278164c4f'!B3</f>
        <v>Tambadana</v>
      </c>
      <c r="F11" s="2" t="str">
        <f>'eebd7526...eaf278164c4f'!B8</f>
        <v>0 m. 3 mėn. 0 d.</v>
      </c>
      <c r="G11" s="7">
        <f>'eebd7526...eaf278164c4f'!B15</f>
        <v>0.159</v>
      </c>
      <c r="H11" s="3">
        <f>'eebd7526...eaf278164c4f'!B16</f>
        <v>15</v>
      </c>
      <c r="I11" s="6">
        <f>'eebd7526...eaf278164c4f'!B11</f>
        <v>46336</v>
      </c>
      <c r="J11" s="6" t="str">
        <f>'eebd7526...eaf278164c4f'!O3</f>
        <v/>
      </c>
      <c r="K11" s="19">
        <f ca="1">'eebd7526...eaf278164c4f'!B12</f>
        <v>91</v>
      </c>
      <c r="L11" s="19" t="str">
        <f ca="1">'eebd7526...eaf278164c4f'!P3</f>
        <v/>
      </c>
      <c r="M11" s="3">
        <f>'eebd7526...eaf278164c4f'!K3</f>
        <v>0</v>
      </c>
      <c r="N11" s="3">
        <f>'eebd7526...eaf278164c4f'!L3</f>
        <v>0</v>
      </c>
      <c r="O11" s="3">
        <f>'eebd7526...eaf278164c4f'!M3</f>
        <v>0</v>
      </c>
      <c r="P11" s="10"/>
      <c r="AC11" s="3" t="str">
        <f ca="1">'eebd7526...eaf278164c4f'!Z3</f>
        <v/>
      </c>
    </row>
    <row r="12" spans="1:29" x14ac:dyDescent="0.25">
      <c r="A12" s="1"/>
      <c r="B12" s="1"/>
      <c r="C12" s="1"/>
      <c r="D12" s="1"/>
      <c r="E12" s="1"/>
      <c r="F12" s="1"/>
      <c r="G12" s="1"/>
      <c r="H12" s="1"/>
      <c r="I12" s="15"/>
      <c r="J12" s="15"/>
      <c r="K12" s="25"/>
      <c r="L12" s="25"/>
      <c r="M12" s="1"/>
      <c r="N12" s="1"/>
      <c r="O12" s="3"/>
      <c r="AC12" s="1"/>
    </row>
    <row r="13" spans="1:29" x14ac:dyDescent="0.25">
      <c r="A13" s="1"/>
      <c r="B13" s="1"/>
      <c r="C13" s="1"/>
      <c r="D13" s="1"/>
      <c r="E13" s="1"/>
      <c r="F13" s="1"/>
      <c r="G13" s="1"/>
      <c r="H13" s="1"/>
      <c r="I13" s="15"/>
      <c r="J13" s="15"/>
      <c r="K13" s="25"/>
      <c r="L13" s="25"/>
      <c r="M13" s="1"/>
      <c r="N13" s="1"/>
      <c r="O13" s="3"/>
      <c r="AC13" s="1"/>
    </row>
    <row r="14" spans="1:29" x14ac:dyDescent="0.25">
      <c r="A14" s="1"/>
      <c r="B14" s="1"/>
      <c r="C14" s="1"/>
      <c r="D14" s="1"/>
      <c r="E14" s="1"/>
      <c r="F14" s="1"/>
      <c r="G14" s="1"/>
      <c r="H14" s="1"/>
      <c r="I14" s="15"/>
      <c r="J14" s="15"/>
      <c r="K14" s="25"/>
      <c r="L14" s="25"/>
      <c r="M14" s="1"/>
      <c r="N14" s="1"/>
      <c r="O14" s="3"/>
      <c r="AC14" s="1"/>
    </row>
    <row r="15" spans="1:29" x14ac:dyDescent="0.25">
      <c r="A15" s="1"/>
      <c r="B15" s="1"/>
      <c r="C15" s="1"/>
      <c r="D15" s="1"/>
      <c r="E15" s="1"/>
      <c r="F15" s="1"/>
      <c r="G15" s="1"/>
      <c r="H15" s="1"/>
      <c r="I15" s="15"/>
      <c r="J15" s="15"/>
      <c r="K15" s="25"/>
      <c r="L15" s="25"/>
      <c r="M15" s="1"/>
      <c r="N15" s="1"/>
      <c r="O15" s="3"/>
      <c r="AC15" s="1"/>
    </row>
    <row r="16" spans="1:29" x14ac:dyDescent="0.25">
      <c r="A16" s="1"/>
      <c r="B16" s="1"/>
      <c r="C16" s="1"/>
      <c r="D16" s="1"/>
      <c r="E16" s="1"/>
      <c r="F16" s="1"/>
      <c r="G16" s="1"/>
      <c r="H16" s="1"/>
      <c r="I16" s="15"/>
      <c r="J16" s="15"/>
      <c r="K16" s="25"/>
      <c r="L16" s="25"/>
      <c r="M16" s="1"/>
      <c r="N16" s="1"/>
      <c r="O16" s="3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5"/>
      <c r="J17" s="15"/>
      <c r="K17" s="25"/>
      <c r="L17" s="25"/>
      <c r="M17" s="1"/>
      <c r="N17" s="1"/>
      <c r="O17" s="3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5"/>
      <c r="J18" s="15"/>
      <c r="K18" s="25"/>
      <c r="L18" s="25"/>
      <c r="M18" s="1"/>
      <c r="N18" s="1"/>
      <c r="O18" s="3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5"/>
      <c r="J19" s="15"/>
      <c r="K19" s="25"/>
      <c r="L19" s="25"/>
      <c r="M19" s="1"/>
      <c r="N19" s="1"/>
      <c r="O19" s="3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5"/>
      <c r="J20" s="15"/>
      <c r="K20" s="25"/>
      <c r="L20" s="25"/>
      <c r="M20" s="1"/>
      <c r="N20" s="1"/>
      <c r="O20" s="3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5"/>
      <c r="J21" s="15"/>
      <c r="K21" s="25"/>
      <c r="L21" s="25"/>
      <c r="M21" s="1"/>
      <c r="N21" s="1"/>
      <c r="O21" s="3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5"/>
      <c r="J22" s="15"/>
      <c r="K22" s="25"/>
      <c r="L22" s="25"/>
      <c r="M22" s="1"/>
      <c r="N22" s="1"/>
      <c r="O22" s="3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5"/>
      <c r="J23" s="15"/>
      <c r="K23" s="25"/>
      <c r="L23" s="25"/>
      <c r="M23" s="1"/>
      <c r="N23" s="1"/>
      <c r="O23" s="3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5"/>
      <c r="J24" s="15"/>
      <c r="K24" s="25"/>
      <c r="L24" s="25"/>
      <c r="M24" s="1"/>
      <c r="N24" s="1"/>
      <c r="O24" s="3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5"/>
      <c r="J25" s="15"/>
      <c r="K25" s="25"/>
      <c r="L25" s="25"/>
      <c r="M25" s="1"/>
      <c r="N25" s="1"/>
      <c r="O25" s="3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5"/>
      <c r="J26" s="15"/>
      <c r="K26" s="25"/>
      <c r="L26" s="25"/>
      <c r="M26" s="1"/>
      <c r="N26" s="1"/>
      <c r="O26" s="3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5"/>
      <c r="J27" s="15"/>
      <c r="K27" s="25"/>
      <c r="L27" s="25"/>
      <c r="M27" s="1"/>
      <c r="N27" s="1"/>
      <c r="O27" s="3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39" priority="15">
      <formula>$AC3="+"</formula>
    </cfRule>
    <cfRule type="expression" dxfId="38" priority="16">
      <formula>AND($M3&gt;0,$H3=$M3)</formula>
    </cfRule>
  </conditionalFormatting>
  <conditionalFormatting sqref="AC3:AC27">
    <cfRule type="expression" dxfId="37" priority="2">
      <formula>AND($M3&gt;0,$H3=$M3)</formula>
    </cfRule>
  </conditionalFormatting>
  <conditionalFormatting sqref="AC5:AC11">
    <cfRule type="expression" dxfId="36" priority="1">
      <formula>$AC5="+"</formula>
    </cfRule>
  </conditionalFormatting>
  <hyperlinks>
    <hyperlink ref="C3" location="'6e656686...a6797d30436d-1'!A1" display="'6e656686...a6797d30436d-1'!A1" xr:uid="{87C3E6BC-C2D4-4CD6-83E2-4126641D3546}"/>
    <hyperlink ref="C4" location="'55bc6c86...98a4199721c7'!A1" display="'55bc6c86...98a4199721c7'!A1" xr:uid="{E1A2E8FA-E90A-432F-B098-8C25480A0509}"/>
    <hyperlink ref="C5" location="'c78fc544...c7b919f73c9d'!A1" display="'c78fc544...c7b919f73c9d'!A1" xr:uid="{DD06AB51-16D7-406E-BEFF-B6F40935BA74}"/>
    <hyperlink ref="C6" location="'6e656686...a6797d30436d-2'!A1" display="'6e656686...a6797d30436d-2'!A1" xr:uid="{E78838E4-E5C7-443E-82BB-4777748DBDD8}"/>
    <hyperlink ref="C7" location="'6a2ebaab...04ce88676cf8'!A1" display="'6a2ebaab...04ce88676cf8'!A1" xr:uid="{A45ECDA9-CD3D-488B-8BD0-974ED148F5E4}"/>
    <hyperlink ref="C8" location="'62dc7b87...555b6b58a73a'!A1" display="'62dc7b87...555b6b58a73a'!A1" xr:uid="{CF3F48D9-3FC3-49AA-8DA2-BFA6E5A240F1}"/>
    <hyperlink ref="C9" location="'63f224f9...dc9a9519a2fb'!A1" display="'63f224f9...dc9a9519a2fb'!A1" xr:uid="{6FBE713B-C5C1-4487-AEB0-76FB8384D359}"/>
    <hyperlink ref="C10" location="'98b1dfe9...d5d30b41a3c0'!A1" display="'98b1dfe9...d5d30b41a3c0'!A1" xr:uid="{51C54BD2-6758-450A-BD35-5AEE8C98C71A}"/>
    <hyperlink ref="C11" location="eebd7526...eaf278164c4f!A1" display="eebd7526...eaf278164c4f!A1" xr:uid="{99FD08BF-C515-4DD4-9F3D-763A30898E51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B3" sqref="B3"/>
    </sheetView>
  </sheetViews>
  <sheetFormatPr defaultRowHeight="15" x14ac:dyDescent="0.25"/>
  <cols>
    <col min="1" max="1" width="15.7109375" style="8" customWidth="1"/>
    <col min="2" max="4" width="10.7109375" customWidth="1"/>
    <col min="5" max="5" width="8.7109375" customWidth="1"/>
    <col min="6" max="9" width="10.7109375" customWidth="1"/>
    <col min="11" max="11" width="9.140625" style="14"/>
  </cols>
  <sheetData>
    <row r="1" spans="1:11" x14ac:dyDescent="0.25">
      <c r="A1" s="27" t="s">
        <v>2</v>
      </c>
      <c r="B1" s="12" t="s">
        <v>9</v>
      </c>
      <c r="C1" s="12" t="s">
        <v>10</v>
      </c>
      <c r="D1" s="12" t="s">
        <v>7</v>
      </c>
      <c r="F1" s="12" t="s">
        <v>9</v>
      </c>
      <c r="G1" s="12" t="s">
        <v>10</v>
      </c>
      <c r="H1" s="12" t="s">
        <v>7</v>
      </c>
      <c r="I1" s="12" t="s">
        <v>11</v>
      </c>
      <c r="K1" s="12" t="s">
        <v>26</v>
      </c>
    </row>
    <row r="2" spans="1:11" x14ac:dyDescent="0.25">
      <c r="A2" s="6">
        <v>46242</v>
      </c>
      <c r="B2" s="3">
        <v>100</v>
      </c>
      <c r="C2" s="3">
        <v>0</v>
      </c>
      <c r="D2" s="3">
        <v>0</v>
      </c>
      <c r="F2" s="3">
        <f>SUM(B2:B35)</f>
        <v>100</v>
      </c>
      <c r="G2" s="3">
        <f>SUM(C2:C35)</f>
        <v>0</v>
      </c>
      <c r="H2" s="3">
        <f>SUM(D2:D14)</f>
        <v>0</v>
      </c>
      <c r="I2" s="3">
        <f>F2-G2</f>
        <v>100</v>
      </c>
      <c r="K2" s="3">
        <f>B2*-1</f>
        <v>-100</v>
      </c>
    </row>
    <row r="3" spans="1:11" x14ac:dyDescent="0.25">
      <c r="A3" s="6"/>
      <c r="B3" s="3"/>
      <c r="C3" s="3"/>
      <c r="D3" s="3"/>
      <c r="K3" s="2"/>
    </row>
    <row r="4" spans="1:11" x14ac:dyDescent="0.25">
      <c r="A4" s="6"/>
      <c r="B4" s="3"/>
      <c r="C4" s="3"/>
      <c r="D4" s="3"/>
      <c r="K4" s="2"/>
    </row>
    <row r="5" spans="1:11" x14ac:dyDescent="0.25">
      <c r="A5" s="6"/>
      <c r="B5" s="3"/>
      <c r="C5" s="3"/>
      <c r="D5" s="3"/>
      <c r="K5" s="2"/>
    </row>
    <row r="6" spans="1:11" x14ac:dyDescent="0.25">
      <c r="A6" s="6"/>
      <c r="B6" s="3"/>
      <c r="C6" s="3"/>
      <c r="D6" s="3"/>
      <c r="K6" s="2"/>
    </row>
    <row r="7" spans="1:11" x14ac:dyDescent="0.25">
      <c r="A7" s="6"/>
      <c r="B7" s="3"/>
      <c r="C7" s="3"/>
      <c r="D7" s="3"/>
      <c r="K7" s="2"/>
    </row>
    <row r="8" spans="1:11" x14ac:dyDescent="0.25">
      <c r="A8" s="6"/>
      <c r="B8" s="3"/>
      <c r="C8" s="3"/>
      <c r="D8" s="3"/>
      <c r="K8" s="2"/>
    </row>
    <row r="9" spans="1:11" x14ac:dyDescent="0.25">
      <c r="A9" s="6"/>
      <c r="B9" s="3"/>
      <c r="C9" s="3"/>
      <c r="D9" s="3"/>
      <c r="K9" s="2"/>
    </row>
    <row r="10" spans="1:11" x14ac:dyDescent="0.25">
      <c r="A10" s="6"/>
      <c r="B10" s="3"/>
      <c r="C10" s="3"/>
      <c r="D10" s="3"/>
      <c r="K10" s="2"/>
    </row>
    <row r="11" spans="1:11" x14ac:dyDescent="0.25">
      <c r="A11" s="6"/>
      <c r="B11" s="3"/>
      <c r="C11" s="3"/>
      <c r="D11" s="3"/>
      <c r="K11" s="2"/>
    </row>
    <row r="12" spans="1:11" x14ac:dyDescent="0.25">
      <c r="A12" s="6"/>
      <c r="B12" s="3"/>
      <c r="C12" s="3"/>
      <c r="D12" s="3"/>
      <c r="K12" s="2"/>
    </row>
    <row r="13" spans="1:11" x14ac:dyDescent="0.25">
      <c r="A13" s="6"/>
      <c r="B13" s="3"/>
      <c r="C13" s="3"/>
      <c r="D13" s="3"/>
      <c r="K13" s="2"/>
    </row>
    <row r="14" spans="1:11" x14ac:dyDescent="0.25">
      <c r="A14" s="6"/>
      <c r="B14" s="3"/>
      <c r="C14" s="3"/>
      <c r="D14" s="3"/>
      <c r="K14" s="2"/>
    </row>
    <row r="15" spans="1:11" x14ac:dyDescent="0.25">
      <c r="A15" s="15"/>
      <c r="B15" s="1"/>
      <c r="C15" s="1"/>
      <c r="D15" s="1"/>
      <c r="K15" s="2"/>
    </row>
    <row r="16" spans="1:11" x14ac:dyDescent="0.25">
      <c r="A16" s="15"/>
      <c r="B16" s="1"/>
      <c r="C16" s="1"/>
      <c r="D16" s="1"/>
      <c r="K16" s="2"/>
    </row>
    <row r="17" spans="1:11" x14ac:dyDescent="0.25">
      <c r="A17" s="15"/>
      <c r="B17" s="1"/>
      <c r="C17" s="1"/>
      <c r="D17" s="1"/>
      <c r="K17" s="2"/>
    </row>
    <row r="18" spans="1:11" x14ac:dyDescent="0.25">
      <c r="A18" s="15"/>
      <c r="B18" s="1"/>
      <c r="C18" s="1"/>
      <c r="D18" s="1"/>
      <c r="K18" s="2"/>
    </row>
    <row r="19" spans="1:11" x14ac:dyDescent="0.25">
      <c r="A19" s="15"/>
      <c r="B19" s="1"/>
      <c r="C19" s="1"/>
      <c r="D19" s="1"/>
      <c r="K19" s="2"/>
    </row>
    <row r="20" spans="1:11" x14ac:dyDescent="0.25">
      <c r="A20" s="15"/>
      <c r="B20" s="1"/>
      <c r="C20" s="1"/>
      <c r="D20" s="1"/>
      <c r="K20" s="2"/>
    </row>
    <row r="21" spans="1:11" x14ac:dyDescent="0.25">
      <c r="A21" s="15"/>
      <c r="B21" s="1"/>
      <c r="C21" s="1"/>
      <c r="D21" s="1"/>
      <c r="K21" s="2"/>
    </row>
    <row r="22" spans="1:11" x14ac:dyDescent="0.25">
      <c r="A22" s="15"/>
      <c r="B22" s="1"/>
      <c r="C22" s="1"/>
      <c r="D22" s="1"/>
      <c r="K22" s="2"/>
    </row>
    <row r="23" spans="1:11" x14ac:dyDescent="0.25">
      <c r="A23" s="15"/>
      <c r="B23" s="1"/>
      <c r="C23" s="1"/>
      <c r="D23" s="1"/>
      <c r="K23" s="2"/>
    </row>
    <row r="24" spans="1:11" x14ac:dyDescent="0.25">
      <c r="A24" s="15"/>
      <c r="B24" s="1"/>
      <c r="C24" s="1"/>
      <c r="D24" s="1"/>
      <c r="K24" s="2"/>
    </row>
    <row r="25" spans="1:11" x14ac:dyDescent="0.25">
      <c r="A25" s="15"/>
      <c r="B25" s="1"/>
      <c r="C25" s="1"/>
      <c r="D25" s="1"/>
      <c r="K25" s="2"/>
    </row>
    <row r="26" spans="1:11" x14ac:dyDescent="0.25">
      <c r="A26" s="15"/>
      <c r="B26" s="1"/>
      <c r="C26" s="1"/>
      <c r="D26" s="1"/>
      <c r="K26" s="2"/>
    </row>
    <row r="27" spans="1:11" x14ac:dyDescent="0.25">
      <c r="A27" s="15"/>
      <c r="B27" s="1"/>
      <c r="C27" s="1"/>
      <c r="D27" s="1"/>
      <c r="K27" s="2"/>
    </row>
    <row r="28" spans="1:11" x14ac:dyDescent="0.25">
      <c r="A28" s="15"/>
      <c r="B28" s="1"/>
      <c r="C28" s="1"/>
      <c r="D28" s="1"/>
      <c r="K28" s="2"/>
    </row>
    <row r="29" spans="1:11" x14ac:dyDescent="0.25">
      <c r="A29" s="15"/>
      <c r="B29" s="1"/>
      <c r="C29" s="1"/>
      <c r="D29" s="1"/>
      <c r="K29" s="2"/>
    </row>
    <row r="30" spans="1:11" x14ac:dyDescent="0.25">
      <c r="A30" s="15"/>
      <c r="B30" s="1"/>
      <c r="C30" s="1"/>
      <c r="D30" s="1"/>
      <c r="K30" s="2"/>
    </row>
    <row r="31" spans="1:11" x14ac:dyDescent="0.25">
      <c r="A31" s="15"/>
      <c r="B31" s="1"/>
      <c r="C31" s="1"/>
      <c r="D31" s="1"/>
      <c r="K31" s="2"/>
    </row>
    <row r="32" spans="1:11" x14ac:dyDescent="0.25">
      <c r="A32" s="15"/>
      <c r="B32" s="1"/>
      <c r="C32" s="1"/>
      <c r="D32" s="1"/>
      <c r="K32" s="2"/>
    </row>
    <row r="33" spans="1:11" x14ac:dyDescent="0.25">
      <c r="A33" s="15"/>
      <c r="B33" s="1"/>
      <c r="C33" s="1"/>
      <c r="D33" s="1"/>
      <c r="K33" s="2"/>
    </row>
    <row r="34" spans="1:11" x14ac:dyDescent="0.25">
      <c r="A34" s="15"/>
      <c r="B34" s="1"/>
      <c r="C34" s="1"/>
      <c r="D34" s="1"/>
      <c r="K34" s="2"/>
    </row>
    <row r="35" spans="1:11" x14ac:dyDescent="0.25">
      <c r="A35" s="15"/>
      <c r="B35" s="1"/>
      <c r="C35" s="1"/>
      <c r="D35" s="1"/>
      <c r="K35" s="2"/>
    </row>
    <row r="36" spans="1:11" x14ac:dyDescent="0.25">
      <c r="A36" s="15"/>
      <c r="B36" s="1"/>
      <c r="C36" s="1"/>
      <c r="D36" s="1"/>
      <c r="K36" s="2"/>
    </row>
    <row r="37" spans="1:11" x14ac:dyDescent="0.25">
      <c r="A37" s="15"/>
      <c r="B37" s="1"/>
      <c r="C37" s="1"/>
      <c r="D37" s="1"/>
      <c r="K37" s="2"/>
    </row>
    <row r="38" spans="1:11" x14ac:dyDescent="0.25">
      <c r="A38" s="15"/>
      <c r="B38" s="1"/>
      <c r="C38" s="1"/>
      <c r="D38" s="1"/>
      <c r="K38" s="2"/>
    </row>
    <row r="39" spans="1:11" x14ac:dyDescent="0.25">
      <c r="A39" s="15"/>
      <c r="B39" s="1"/>
      <c r="C39" s="1"/>
      <c r="D39" s="1"/>
      <c r="K39" s="2"/>
    </row>
    <row r="40" spans="1:11" x14ac:dyDescent="0.25">
      <c r="A40" s="15"/>
      <c r="B40" s="1"/>
      <c r="C40" s="1"/>
      <c r="D40" s="1"/>
      <c r="K40" s="2"/>
    </row>
    <row r="41" spans="1:11" x14ac:dyDescent="0.25">
      <c r="A41" s="15"/>
      <c r="B41" s="1"/>
      <c r="C41" s="1"/>
      <c r="D41" s="1"/>
      <c r="K41" s="2"/>
    </row>
    <row r="42" spans="1:11" x14ac:dyDescent="0.25">
      <c r="A42" s="15"/>
      <c r="B42" s="1"/>
      <c r="C42" s="1"/>
      <c r="D42" s="1"/>
      <c r="K42" s="2"/>
    </row>
    <row r="43" spans="1:11" x14ac:dyDescent="0.25">
      <c r="A43" s="15"/>
      <c r="B43" s="1"/>
      <c r="C43" s="1"/>
      <c r="D43" s="1"/>
      <c r="K43" s="2"/>
    </row>
    <row r="44" spans="1:11" x14ac:dyDescent="0.25">
      <c r="A44" s="15"/>
      <c r="B44" s="1"/>
      <c r="C44" s="1"/>
      <c r="D44" s="1"/>
      <c r="K44" s="2"/>
    </row>
    <row r="45" spans="1:11" x14ac:dyDescent="0.25">
      <c r="A45" s="15"/>
      <c r="B45" s="1"/>
      <c r="C45" s="1"/>
      <c r="D45" s="1"/>
      <c r="K45" s="2"/>
    </row>
    <row r="46" spans="1:11" x14ac:dyDescent="0.25">
      <c r="A46" s="15"/>
      <c r="B46" s="1"/>
      <c r="C46" s="1"/>
      <c r="D46" s="1"/>
      <c r="K46" s="2"/>
    </row>
    <row r="47" spans="1:11" x14ac:dyDescent="0.25">
      <c r="A47" s="15"/>
      <c r="B47" s="1"/>
      <c r="C47" s="1"/>
      <c r="D47" s="1"/>
      <c r="K47" s="2"/>
    </row>
    <row r="48" spans="1:11" x14ac:dyDescent="0.25">
      <c r="A48" s="15"/>
      <c r="B48" s="1"/>
      <c r="C48" s="1"/>
      <c r="D48" s="1"/>
      <c r="K48" s="2"/>
    </row>
    <row r="49" spans="1:11" x14ac:dyDescent="0.25">
      <c r="A49" s="15"/>
      <c r="B49" s="1"/>
      <c r="C49" s="1"/>
      <c r="D49" s="1"/>
      <c r="K49" s="2"/>
    </row>
    <row r="50" spans="1:11" x14ac:dyDescent="0.25">
      <c r="A50" s="15"/>
      <c r="B50" s="1"/>
      <c r="C50" s="1"/>
      <c r="D50" s="1"/>
      <c r="K50" s="2"/>
    </row>
    <row r="51" spans="1:11" x14ac:dyDescent="0.25">
      <c r="A51" s="15"/>
      <c r="B51" s="1"/>
      <c r="C51" s="1"/>
      <c r="D51" s="1"/>
      <c r="K51" s="2"/>
    </row>
    <row r="52" spans="1:11" x14ac:dyDescent="0.25">
      <c r="A52" s="15"/>
      <c r="B52" s="1"/>
      <c r="C52" s="1"/>
      <c r="D52" s="1"/>
      <c r="K52" s="2"/>
    </row>
    <row r="53" spans="1:11" x14ac:dyDescent="0.25">
      <c r="A53" s="15"/>
      <c r="B53" s="1"/>
      <c r="C53" s="1"/>
      <c r="D53" s="1"/>
      <c r="K53" s="2"/>
    </row>
    <row r="54" spans="1:11" x14ac:dyDescent="0.25">
      <c r="A54" s="15"/>
      <c r="B54" s="1"/>
      <c r="C54" s="1"/>
      <c r="D54" s="1"/>
      <c r="K54" s="2"/>
    </row>
    <row r="55" spans="1:11" x14ac:dyDescent="0.25">
      <c r="A55" s="15"/>
      <c r="B55" s="1"/>
      <c r="C55" s="1"/>
      <c r="D55" s="1"/>
      <c r="K55" s="2"/>
    </row>
    <row r="56" spans="1:11" x14ac:dyDescent="0.25">
      <c r="A56" s="15"/>
      <c r="B56" s="1"/>
      <c r="C56" s="1"/>
      <c r="D56" s="1"/>
      <c r="K56" s="2"/>
    </row>
    <row r="57" spans="1:11" x14ac:dyDescent="0.25">
      <c r="A57" s="15"/>
      <c r="B57" s="1"/>
      <c r="C57" s="1"/>
      <c r="D57" s="1"/>
      <c r="K57" s="2"/>
    </row>
    <row r="58" spans="1:11" x14ac:dyDescent="0.25">
      <c r="A58" s="15"/>
      <c r="B58" s="1"/>
      <c r="C58" s="1"/>
      <c r="D58" s="1"/>
      <c r="K58" s="2"/>
    </row>
    <row r="59" spans="1:11" x14ac:dyDescent="0.25">
      <c r="A59" s="15"/>
      <c r="B59" s="1"/>
      <c r="C59" s="1"/>
      <c r="D59" s="1"/>
      <c r="K59" s="2"/>
    </row>
    <row r="60" spans="1:11" x14ac:dyDescent="0.25">
      <c r="A60" s="15"/>
      <c r="B60" s="1"/>
      <c r="C60" s="1"/>
      <c r="D60" s="1"/>
      <c r="K60" s="2"/>
    </row>
    <row r="61" spans="1:11" x14ac:dyDescent="0.25">
      <c r="A61" s="15"/>
      <c r="B61" s="1"/>
      <c r="C61" s="1"/>
      <c r="D61" s="1"/>
      <c r="K61" s="2"/>
    </row>
    <row r="62" spans="1:11" x14ac:dyDescent="0.25">
      <c r="A62" s="15"/>
      <c r="B62" s="1"/>
      <c r="C62" s="1"/>
      <c r="D62" s="1"/>
      <c r="K62" s="2"/>
    </row>
    <row r="63" spans="1:11" x14ac:dyDescent="0.25">
      <c r="A63" s="15"/>
      <c r="B63" s="1"/>
      <c r="C63" s="1"/>
      <c r="D63" s="1"/>
      <c r="K63" s="2"/>
    </row>
    <row r="64" spans="1:11" x14ac:dyDescent="0.25">
      <c r="A64" s="15"/>
      <c r="B64" s="1"/>
      <c r="C64" s="1"/>
      <c r="D64" s="1"/>
      <c r="K64" s="2"/>
    </row>
    <row r="65" spans="1:11" x14ac:dyDescent="0.25">
      <c r="A65" s="15"/>
      <c r="B65" s="1"/>
      <c r="C65" s="1"/>
      <c r="D65" s="1"/>
      <c r="K65" s="2"/>
    </row>
    <row r="66" spans="1:11" x14ac:dyDescent="0.25">
      <c r="A66" s="15"/>
      <c r="B66" s="1"/>
      <c r="C66" s="1"/>
      <c r="D66" s="1"/>
      <c r="K66" s="2"/>
    </row>
    <row r="67" spans="1:11" x14ac:dyDescent="0.25">
      <c r="A67" s="15"/>
      <c r="B67" s="1"/>
      <c r="C67" s="1"/>
      <c r="D67" s="1"/>
      <c r="K67" s="2"/>
    </row>
    <row r="68" spans="1:11" x14ac:dyDescent="0.25">
      <c r="A68" s="15"/>
      <c r="B68" s="1"/>
      <c r="C68" s="1"/>
      <c r="D68" s="1"/>
      <c r="K68" s="2"/>
    </row>
    <row r="69" spans="1:11" x14ac:dyDescent="0.25">
      <c r="A69" s="15"/>
      <c r="B69" s="1"/>
      <c r="C69" s="1"/>
      <c r="D69" s="1"/>
      <c r="K69" s="2"/>
    </row>
    <row r="70" spans="1:11" x14ac:dyDescent="0.25">
      <c r="A70" s="15"/>
      <c r="B70" s="1"/>
      <c r="C70" s="1"/>
      <c r="D70" s="1"/>
      <c r="K70" s="2"/>
    </row>
    <row r="71" spans="1:11" x14ac:dyDescent="0.25">
      <c r="A71" s="15"/>
      <c r="B71" s="1"/>
      <c r="C71" s="1"/>
      <c r="D71" s="1"/>
      <c r="K71" s="2"/>
    </row>
    <row r="72" spans="1:11" x14ac:dyDescent="0.25">
      <c r="A72" s="15"/>
      <c r="B72" s="1"/>
      <c r="C72" s="1"/>
      <c r="D72" s="1"/>
      <c r="K72" s="2"/>
    </row>
    <row r="73" spans="1:11" x14ac:dyDescent="0.25">
      <c r="A73" s="15"/>
      <c r="B73" s="1"/>
      <c r="C73" s="1"/>
      <c r="D73" s="1"/>
      <c r="K73" s="2"/>
    </row>
    <row r="74" spans="1:11" x14ac:dyDescent="0.25">
      <c r="A74" s="15"/>
      <c r="B74" s="1"/>
      <c r="C74" s="1"/>
      <c r="D74" s="1"/>
      <c r="K74" s="2"/>
    </row>
    <row r="75" spans="1:11" x14ac:dyDescent="0.25">
      <c r="A75" s="15"/>
      <c r="B75" s="1"/>
      <c r="C75" s="1"/>
      <c r="D75" s="1"/>
      <c r="K75" s="2"/>
    </row>
    <row r="76" spans="1:11" x14ac:dyDescent="0.25">
      <c r="A76" s="15"/>
      <c r="B76" s="1"/>
      <c r="C76" s="1"/>
      <c r="D76" s="1"/>
      <c r="K76" s="2"/>
    </row>
    <row r="77" spans="1:11" x14ac:dyDescent="0.25">
      <c r="A77" s="15"/>
      <c r="B77" s="1"/>
      <c r="C77" s="1"/>
      <c r="D77" s="1"/>
      <c r="K77" s="2"/>
    </row>
    <row r="78" spans="1:11" x14ac:dyDescent="0.25">
      <c r="A78" s="15"/>
      <c r="B78" s="1"/>
      <c r="C78" s="1"/>
      <c r="D78" s="1"/>
      <c r="K78" s="2"/>
    </row>
    <row r="79" spans="1:11" x14ac:dyDescent="0.25">
      <c r="A79" s="15"/>
      <c r="B79" s="1"/>
      <c r="C79" s="1"/>
      <c r="D79" s="1"/>
      <c r="K79" s="2"/>
    </row>
    <row r="80" spans="1:11" x14ac:dyDescent="0.25">
      <c r="A80" s="15"/>
      <c r="B80" s="1"/>
      <c r="C80" s="1"/>
      <c r="D80" s="1"/>
      <c r="K80" s="2"/>
    </row>
    <row r="81" spans="1:11" x14ac:dyDescent="0.25">
      <c r="A81" s="15"/>
      <c r="B81" s="1"/>
      <c r="C81" s="1"/>
      <c r="D81" s="1"/>
      <c r="K81" s="2"/>
    </row>
    <row r="82" spans="1:11" x14ac:dyDescent="0.25">
      <c r="A82" s="15"/>
      <c r="B82" s="1"/>
      <c r="C82" s="1"/>
      <c r="D82" s="1"/>
      <c r="K82" s="2"/>
    </row>
    <row r="83" spans="1:11" x14ac:dyDescent="0.25">
      <c r="A83" s="15"/>
      <c r="B83" s="1"/>
      <c r="C83" s="1"/>
      <c r="D83" s="1"/>
      <c r="K83" s="2"/>
    </row>
    <row r="84" spans="1:11" x14ac:dyDescent="0.25">
      <c r="A84" s="15"/>
      <c r="B84" s="1"/>
      <c r="C84" s="1"/>
      <c r="D84" s="1"/>
      <c r="K84" s="2"/>
    </row>
    <row r="85" spans="1:11" x14ac:dyDescent="0.25">
      <c r="A85" s="15"/>
      <c r="B85" s="1"/>
      <c r="C85" s="1"/>
      <c r="D85" s="1"/>
      <c r="K85" s="2"/>
    </row>
    <row r="86" spans="1:11" x14ac:dyDescent="0.25">
      <c r="A86" s="15"/>
      <c r="B86" s="1"/>
      <c r="C86" s="1"/>
      <c r="D86" s="1"/>
      <c r="K86" s="2"/>
    </row>
    <row r="87" spans="1:11" x14ac:dyDescent="0.25">
      <c r="A87" s="15"/>
      <c r="B87" s="1"/>
      <c r="C87" s="1"/>
      <c r="D87" s="1"/>
      <c r="K87" s="2"/>
    </row>
    <row r="88" spans="1:11" x14ac:dyDescent="0.25">
      <c r="A88" s="15"/>
      <c r="B88" s="1"/>
      <c r="C88" s="1"/>
      <c r="D88" s="1"/>
      <c r="K88" s="2"/>
    </row>
    <row r="89" spans="1:11" x14ac:dyDescent="0.25">
      <c r="A89" s="15"/>
      <c r="B89" s="1"/>
      <c r="C89" s="1"/>
      <c r="D89" s="1"/>
      <c r="K89" s="2"/>
    </row>
    <row r="90" spans="1:11" x14ac:dyDescent="0.25">
      <c r="A90" s="15"/>
      <c r="B90" s="1"/>
      <c r="C90" s="1"/>
      <c r="D90" s="1"/>
      <c r="K90" s="2"/>
    </row>
    <row r="91" spans="1:11" x14ac:dyDescent="0.25">
      <c r="A91" s="15"/>
      <c r="B91" s="1"/>
      <c r="C91" s="1"/>
      <c r="D91" s="1"/>
      <c r="K91" s="2"/>
    </row>
    <row r="92" spans="1:11" x14ac:dyDescent="0.25">
      <c r="A92" s="15"/>
      <c r="B92" s="1"/>
      <c r="C92" s="1"/>
      <c r="D92" s="1"/>
      <c r="K92" s="2"/>
    </row>
    <row r="93" spans="1:11" x14ac:dyDescent="0.25">
      <c r="A93" s="15"/>
      <c r="B93" s="1"/>
      <c r="C93" s="1"/>
      <c r="D93" s="1"/>
      <c r="K93" s="2"/>
    </row>
    <row r="94" spans="1:11" x14ac:dyDescent="0.25">
      <c r="A94" s="15"/>
      <c r="B94" s="1"/>
      <c r="C94" s="1"/>
      <c r="D94" s="1"/>
      <c r="K94" s="2"/>
    </row>
    <row r="95" spans="1:11" x14ac:dyDescent="0.25">
      <c r="A95" s="15"/>
      <c r="B95" s="1"/>
      <c r="C95" s="1"/>
      <c r="D95" s="1"/>
      <c r="K95" s="2"/>
    </row>
    <row r="96" spans="1:11" x14ac:dyDescent="0.25">
      <c r="A96" s="15"/>
      <c r="B96" s="1"/>
      <c r="C96" s="1"/>
      <c r="D96" s="1"/>
      <c r="K96" s="2"/>
    </row>
    <row r="97" spans="1:11" x14ac:dyDescent="0.25">
      <c r="A97" s="15"/>
      <c r="B97" s="1"/>
      <c r="C97" s="1"/>
      <c r="D97" s="1"/>
      <c r="K97" s="2"/>
    </row>
    <row r="98" spans="1:11" x14ac:dyDescent="0.25">
      <c r="A98" s="15"/>
      <c r="B98" s="1"/>
      <c r="C98" s="1"/>
      <c r="D98" s="1"/>
      <c r="K98" s="2"/>
    </row>
    <row r="99" spans="1:11" x14ac:dyDescent="0.25">
      <c r="A99" s="15"/>
      <c r="B99" s="1"/>
      <c r="C99" s="1"/>
      <c r="D99" s="1"/>
      <c r="K99" s="2"/>
    </row>
    <row r="100" spans="1:11" x14ac:dyDescent="0.25">
      <c r="A100" s="15"/>
      <c r="B100" s="1"/>
      <c r="C100" s="1"/>
      <c r="D100" s="1"/>
      <c r="K100" s="2"/>
    </row>
    <row r="101" spans="1:11" x14ac:dyDescent="0.25">
      <c r="A101" s="15"/>
      <c r="B101" s="1"/>
      <c r="C101" s="1"/>
      <c r="D101" s="1"/>
      <c r="K101" s="2"/>
    </row>
    <row r="102" spans="1:11" x14ac:dyDescent="0.25">
      <c r="A102" s="15"/>
      <c r="B102" s="1"/>
      <c r="C102" s="1"/>
      <c r="D102" s="1"/>
      <c r="K102" s="2"/>
    </row>
    <row r="103" spans="1:11" x14ac:dyDescent="0.25">
      <c r="A103" s="15"/>
      <c r="B103" s="1"/>
      <c r="C103" s="1"/>
      <c r="D103" s="1"/>
      <c r="K103" s="2"/>
    </row>
    <row r="104" spans="1:11" x14ac:dyDescent="0.25">
      <c r="A104" s="15"/>
      <c r="B104" s="1"/>
      <c r="C104" s="1"/>
      <c r="D104" s="1"/>
      <c r="K104" s="2"/>
    </row>
    <row r="105" spans="1:11" x14ac:dyDescent="0.25">
      <c r="A105" s="15"/>
      <c r="B105" s="1"/>
      <c r="C105" s="1"/>
      <c r="D105" s="1"/>
      <c r="K105" s="2"/>
    </row>
    <row r="106" spans="1:11" x14ac:dyDescent="0.25">
      <c r="A106" s="15"/>
      <c r="B106" s="1"/>
      <c r="C106" s="1"/>
      <c r="D106" s="1"/>
      <c r="K106" s="2"/>
    </row>
    <row r="107" spans="1:11" x14ac:dyDescent="0.25">
      <c r="A107" s="15"/>
      <c r="B107" s="1"/>
      <c r="C107" s="1"/>
      <c r="D107" s="1"/>
      <c r="K107" s="2"/>
    </row>
    <row r="108" spans="1:11" x14ac:dyDescent="0.25">
      <c r="A108" s="15"/>
      <c r="B108" s="1"/>
      <c r="C108" s="1"/>
      <c r="D108" s="1"/>
      <c r="K108" s="2"/>
    </row>
    <row r="109" spans="1:11" x14ac:dyDescent="0.25">
      <c r="A109" s="15"/>
      <c r="B109" s="1"/>
      <c r="C109" s="1"/>
      <c r="D109" s="1"/>
      <c r="K109" s="2"/>
    </row>
    <row r="110" spans="1:11" x14ac:dyDescent="0.25">
      <c r="A110" s="15"/>
      <c r="B110" s="1"/>
      <c r="C110" s="1"/>
      <c r="D110" s="1"/>
      <c r="K110" s="2"/>
    </row>
    <row r="111" spans="1:11" x14ac:dyDescent="0.25">
      <c r="A111" s="15"/>
      <c r="B111" s="1"/>
      <c r="C111" s="1"/>
      <c r="D111" s="1"/>
      <c r="K111" s="2"/>
    </row>
    <row r="112" spans="1:11" x14ac:dyDescent="0.25">
      <c r="A112" s="15"/>
      <c r="B112" s="1"/>
      <c r="C112" s="1"/>
      <c r="D112" s="1"/>
      <c r="K112" s="2"/>
    </row>
    <row r="113" spans="1:11" x14ac:dyDescent="0.25">
      <c r="A113" s="15"/>
      <c r="B113" s="1"/>
      <c r="C113" s="1"/>
      <c r="D113" s="1"/>
      <c r="K113" s="2"/>
    </row>
    <row r="114" spans="1:11" x14ac:dyDescent="0.25">
      <c r="A114" s="15"/>
      <c r="B114" s="1"/>
      <c r="C114" s="1"/>
      <c r="D114" s="1"/>
      <c r="K114" s="2"/>
    </row>
    <row r="115" spans="1:11" x14ac:dyDescent="0.25">
      <c r="A115" s="15"/>
      <c r="B115" s="1"/>
      <c r="C115" s="1"/>
      <c r="D115" s="1"/>
      <c r="K115" s="2"/>
    </row>
    <row r="116" spans="1:11" x14ac:dyDescent="0.25">
      <c r="A116" s="15"/>
      <c r="B116" s="1"/>
      <c r="C116" s="1"/>
      <c r="D116" s="1"/>
      <c r="K116" s="2"/>
    </row>
    <row r="117" spans="1:11" x14ac:dyDescent="0.25">
      <c r="A117" s="15"/>
      <c r="B117" s="1"/>
      <c r="C117" s="1"/>
      <c r="D117" s="1"/>
      <c r="K117" s="2"/>
    </row>
    <row r="118" spans="1:11" x14ac:dyDescent="0.25">
      <c r="A118" s="15"/>
      <c r="B118" s="1"/>
      <c r="C118" s="1"/>
      <c r="D118" s="1"/>
      <c r="K118" s="2"/>
    </row>
    <row r="119" spans="1:11" x14ac:dyDescent="0.25">
      <c r="A119" s="15"/>
      <c r="B119" s="1"/>
      <c r="C119" s="1"/>
      <c r="D119" s="1"/>
      <c r="K119" s="2"/>
    </row>
    <row r="120" spans="1:11" x14ac:dyDescent="0.25">
      <c r="A120" s="15"/>
      <c r="B120" s="1"/>
      <c r="C120" s="1"/>
      <c r="D120" s="1"/>
      <c r="K120" s="2"/>
    </row>
    <row r="121" spans="1:11" x14ac:dyDescent="0.25">
      <c r="A121" s="15"/>
      <c r="B121" s="1"/>
      <c r="C121" s="1"/>
      <c r="D121" s="1"/>
      <c r="K121" s="2"/>
    </row>
    <row r="122" spans="1:11" x14ac:dyDescent="0.25">
      <c r="A122" s="15"/>
      <c r="B122" s="1"/>
      <c r="C122" s="1"/>
      <c r="D122" s="1"/>
      <c r="K122" s="2"/>
    </row>
    <row r="123" spans="1:11" x14ac:dyDescent="0.25">
      <c r="A123" s="15"/>
      <c r="B123" s="1"/>
      <c r="C123" s="1"/>
      <c r="D123" s="1"/>
      <c r="K123" s="2"/>
    </row>
    <row r="124" spans="1:11" x14ac:dyDescent="0.25">
      <c r="A124" s="15"/>
      <c r="B124" s="1"/>
      <c r="C124" s="1"/>
      <c r="D124" s="1"/>
      <c r="K124" s="2"/>
    </row>
    <row r="125" spans="1:11" x14ac:dyDescent="0.25">
      <c r="A125" s="15"/>
      <c r="B125" s="1"/>
      <c r="C125" s="1"/>
      <c r="D125" s="1"/>
      <c r="K125" s="2"/>
    </row>
    <row r="126" spans="1:11" x14ac:dyDescent="0.25">
      <c r="A126" s="15"/>
      <c r="B126" s="1"/>
      <c r="C126" s="1"/>
      <c r="D126" s="1"/>
      <c r="K126" s="2"/>
    </row>
    <row r="127" spans="1:11" x14ac:dyDescent="0.25">
      <c r="A127" s="15"/>
      <c r="B127" s="1"/>
      <c r="C127" s="1"/>
      <c r="D127" s="1"/>
      <c r="K127" s="2"/>
    </row>
    <row r="128" spans="1:11" x14ac:dyDescent="0.25">
      <c r="A128" s="15"/>
      <c r="B128" s="1"/>
      <c r="C128" s="1"/>
      <c r="D128" s="1"/>
      <c r="K128" s="2"/>
    </row>
    <row r="129" spans="1:11" x14ac:dyDescent="0.25">
      <c r="A129" s="15"/>
      <c r="B129" s="1"/>
      <c r="C129" s="1"/>
      <c r="D129" s="1"/>
      <c r="K129" s="2"/>
    </row>
    <row r="130" spans="1:11" x14ac:dyDescent="0.25">
      <c r="A130" s="15"/>
      <c r="B130" s="1"/>
      <c r="C130" s="1"/>
      <c r="D130" s="1"/>
      <c r="K130" s="2"/>
    </row>
    <row r="131" spans="1:11" x14ac:dyDescent="0.25">
      <c r="A131" s="15"/>
      <c r="B131" s="1"/>
      <c r="C131" s="1"/>
      <c r="D131" s="1"/>
      <c r="K131" s="2"/>
    </row>
    <row r="132" spans="1:11" x14ac:dyDescent="0.25">
      <c r="A132" s="15"/>
      <c r="B132" s="1"/>
      <c r="C132" s="1"/>
      <c r="D132" s="1"/>
      <c r="K132" s="2"/>
    </row>
    <row r="133" spans="1:11" x14ac:dyDescent="0.25">
      <c r="A133" s="15"/>
      <c r="B133" s="1"/>
      <c r="C133" s="1"/>
      <c r="D133" s="1"/>
      <c r="K133" s="2"/>
    </row>
    <row r="134" spans="1:11" x14ac:dyDescent="0.25">
      <c r="A134" s="15"/>
      <c r="B134" s="1"/>
      <c r="C134" s="1"/>
      <c r="D134" s="1"/>
      <c r="K134" s="2"/>
    </row>
    <row r="135" spans="1:11" x14ac:dyDescent="0.25">
      <c r="A135" s="15"/>
      <c r="B135" s="1"/>
      <c r="C135" s="1"/>
      <c r="D135" s="1"/>
      <c r="K135" s="2"/>
    </row>
    <row r="136" spans="1:11" x14ac:dyDescent="0.25">
      <c r="A136" s="15"/>
      <c r="B136" s="1"/>
      <c r="C136" s="1"/>
      <c r="D136" s="1"/>
      <c r="K136" s="2"/>
    </row>
    <row r="137" spans="1:11" x14ac:dyDescent="0.25">
      <c r="A137" s="15"/>
      <c r="B137" s="1"/>
      <c r="C137" s="1"/>
      <c r="D137" s="1"/>
      <c r="K137" s="2"/>
    </row>
    <row r="138" spans="1:11" x14ac:dyDescent="0.25">
      <c r="A138" s="15"/>
      <c r="B138" s="1"/>
      <c r="C138" s="1"/>
      <c r="D138" s="1"/>
      <c r="K138" s="2"/>
    </row>
    <row r="139" spans="1:11" x14ac:dyDescent="0.25">
      <c r="A139" s="15"/>
      <c r="B139" s="1"/>
      <c r="C139" s="1"/>
      <c r="D139" s="1"/>
      <c r="K139" s="2"/>
    </row>
    <row r="140" spans="1:11" x14ac:dyDescent="0.25">
      <c r="A140" s="15"/>
      <c r="B140" s="1"/>
      <c r="C140" s="1"/>
      <c r="D140" s="1"/>
      <c r="K140" s="2"/>
    </row>
    <row r="141" spans="1:11" x14ac:dyDescent="0.25">
      <c r="A141" s="15"/>
      <c r="B141" s="1"/>
      <c r="C141" s="1"/>
      <c r="D141" s="1"/>
      <c r="K141" s="2"/>
    </row>
    <row r="142" spans="1:11" x14ac:dyDescent="0.25">
      <c r="A142" s="15"/>
      <c r="B142" s="1"/>
      <c r="C142" s="1"/>
      <c r="D142" s="1"/>
      <c r="K142" s="2"/>
    </row>
    <row r="143" spans="1:11" x14ac:dyDescent="0.25">
      <c r="A143" s="15"/>
      <c r="B143" s="1"/>
      <c r="C143" s="1"/>
      <c r="D143" s="1"/>
      <c r="K143" s="2"/>
    </row>
    <row r="144" spans="1:11" x14ac:dyDescent="0.25">
      <c r="A144" s="15"/>
      <c r="B144" s="1"/>
      <c r="C144" s="1"/>
      <c r="D144" s="1"/>
      <c r="K144" s="2"/>
    </row>
    <row r="145" spans="1:11" x14ac:dyDescent="0.25">
      <c r="A145" s="15"/>
      <c r="B145" s="1"/>
      <c r="C145" s="1"/>
      <c r="D145" s="1"/>
      <c r="K145" s="2"/>
    </row>
    <row r="146" spans="1:11" x14ac:dyDescent="0.25">
      <c r="A146" s="15"/>
      <c r="B146" s="1"/>
      <c r="C146" s="1"/>
      <c r="D146" s="1"/>
      <c r="K146" s="2"/>
    </row>
    <row r="147" spans="1:11" x14ac:dyDescent="0.25">
      <c r="A147" s="15"/>
      <c r="B147" s="1"/>
      <c r="C147" s="1"/>
      <c r="D147" s="1"/>
      <c r="K147" s="2"/>
    </row>
    <row r="148" spans="1:11" x14ac:dyDescent="0.25">
      <c r="A148" s="15"/>
      <c r="B148" s="1"/>
      <c r="C148" s="1"/>
      <c r="D148" s="1"/>
      <c r="K148" s="2"/>
    </row>
    <row r="149" spans="1:11" x14ac:dyDescent="0.25">
      <c r="A149" s="15"/>
      <c r="B149" s="1"/>
      <c r="C149" s="1"/>
      <c r="D149" s="1"/>
      <c r="K149" s="2"/>
    </row>
    <row r="150" spans="1:11" x14ac:dyDescent="0.25">
      <c r="A150" s="15"/>
      <c r="B150" s="1"/>
      <c r="C150" s="1"/>
      <c r="D150" s="1"/>
      <c r="K150" s="2"/>
    </row>
    <row r="151" spans="1:11" x14ac:dyDescent="0.25">
      <c r="A151" s="15"/>
      <c r="B151" s="1"/>
      <c r="C151" s="1"/>
      <c r="D151" s="1"/>
      <c r="K151" s="2"/>
    </row>
    <row r="152" spans="1:11" x14ac:dyDescent="0.25">
      <c r="A152" s="15"/>
      <c r="B152" s="1"/>
      <c r="C152" s="1"/>
      <c r="D152" s="1"/>
      <c r="K152" s="2"/>
    </row>
    <row r="153" spans="1:11" x14ac:dyDescent="0.25">
      <c r="A153" s="15"/>
      <c r="B153" s="1"/>
      <c r="C153" s="1"/>
      <c r="D153" s="1"/>
      <c r="K153" s="2"/>
    </row>
    <row r="154" spans="1:11" x14ac:dyDescent="0.25">
      <c r="A154" s="15"/>
      <c r="B154" s="1"/>
      <c r="C154" s="1"/>
      <c r="D154" s="1"/>
      <c r="K154" s="2"/>
    </row>
    <row r="155" spans="1:11" x14ac:dyDescent="0.25">
      <c r="A155" s="15"/>
      <c r="B155" s="1"/>
      <c r="C155" s="1"/>
      <c r="D155" s="1"/>
      <c r="K155" s="2"/>
    </row>
    <row r="156" spans="1:11" x14ac:dyDescent="0.25">
      <c r="A156" s="15"/>
      <c r="B156" s="1"/>
      <c r="C156" s="1"/>
      <c r="D156" s="1"/>
      <c r="K156" s="2"/>
    </row>
    <row r="157" spans="1:11" x14ac:dyDescent="0.25">
      <c r="A157" s="15"/>
      <c r="B157" s="1"/>
      <c r="C157" s="1"/>
      <c r="D157" s="1"/>
      <c r="K157" s="2"/>
    </row>
    <row r="158" spans="1:11" x14ac:dyDescent="0.25">
      <c r="A158" s="15"/>
      <c r="B158" s="1"/>
      <c r="C158" s="1"/>
      <c r="D158" s="1"/>
      <c r="K158" s="2"/>
    </row>
    <row r="159" spans="1:11" x14ac:dyDescent="0.25">
      <c r="A159" s="15"/>
      <c r="B159" s="1"/>
      <c r="C159" s="1"/>
      <c r="D159" s="1"/>
      <c r="K159" s="2"/>
    </row>
    <row r="160" spans="1:11" x14ac:dyDescent="0.25">
      <c r="A160" s="15"/>
      <c r="B160" s="1"/>
      <c r="C160" s="1"/>
      <c r="D160" s="1"/>
      <c r="K160" s="2"/>
    </row>
    <row r="161" spans="1:11" x14ac:dyDescent="0.25">
      <c r="A161" s="15"/>
      <c r="B161" s="1"/>
      <c r="C161" s="1"/>
      <c r="D161" s="1"/>
      <c r="K161" s="2"/>
    </row>
    <row r="162" spans="1:11" x14ac:dyDescent="0.25">
      <c r="A162" s="15"/>
      <c r="B162" s="1"/>
      <c r="C162" s="1"/>
      <c r="D162" s="1"/>
      <c r="K162" s="2"/>
    </row>
    <row r="163" spans="1:11" x14ac:dyDescent="0.25">
      <c r="A163" s="15"/>
      <c r="B163" s="1"/>
      <c r="C163" s="1"/>
      <c r="D163" s="1"/>
      <c r="K163" s="2"/>
    </row>
    <row r="164" spans="1:11" x14ac:dyDescent="0.25">
      <c r="A164" s="15"/>
      <c r="B164" s="1"/>
      <c r="C164" s="1"/>
      <c r="D164" s="1"/>
      <c r="K164" s="2"/>
    </row>
    <row r="165" spans="1:11" x14ac:dyDescent="0.25">
      <c r="A165" s="15"/>
      <c r="B165" s="1"/>
      <c r="C165" s="1"/>
      <c r="D165" s="1"/>
      <c r="K165" s="2"/>
    </row>
    <row r="166" spans="1:11" x14ac:dyDescent="0.25">
      <c r="A166" s="15"/>
      <c r="B166" s="1"/>
      <c r="C166" s="1"/>
      <c r="D166" s="1"/>
      <c r="K166" s="2"/>
    </row>
    <row r="167" spans="1:11" x14ac:dyDescent="0.25">
      <c r="A167" s="15"/>
      <c r="B167" s="1"/>
      <c r="C167" s="1"/>
      <c r="D167" s="1"/>
      <c r="K167" s="2"/>
    </row>
    <row r="168" spans="1:11" x14ac:dyDescent="0.25">
      <c r="A168" s="15"/>
      <c r="B168" s="1"/>
      <c r="C168" s="1"/>
      <c r="D168" s="1"/>
      <c r="K168" s="2"/>
    </row>
    <row r="169" spans="1:11" x14ac:dyDescent="0.25">
      <c r="A169" s="15"/>
      <c r="B169" s="1"/>
      <c r="C169" s="1"/>
      <c r="D169" s="1"/>
      <c r="K169" s="2"/>
    </row>
    <row r="170" spans="1:11" x14ac:dyDescent="0.25">
      <c r="A170" s="15"/>
      <c r="B170" s="1"/>
      <c r="C170" s="1"/>
      <c r="D170" s="1"/>
      <c r="K170" s="2"/>
    </row>
    <row r="171" spans="1:11" x14ac:dyDescent="0.25">
      <c r="A171" s="15"/>
      <c r="B171" s="1"/>
      <c r="C171" s="1"/>
      <c r="D171" s="1"/>
      <c r="K171" s="2"/>
    </row>
    <row r="172" spans="1:11" x14ac:dyDescent="0.25">
      <c r="A172" s="15"/>
      <c r="B172" s="1"/>
      <c r="C172" s="1"/>
      <c r="D172" s="1"/>
      <c r="K172" s="2"/>
    </row>
    <row r="173" spans="1:11" x14ac:dyDescent="0.25">
      <c r="A173" s="15"/>
      <c r="B173" s="1"/>
      <c r="C173" s="1"/>
      <c r="D173" s="1"/>
      <c r="K173" s="2"/>
    </row>
    <row r="174" spans="1:11" x14ac:dyDescent="0.25">
      <c r="A174" s="15"/>
      <c r="B174" s="1"/>
      <c r="C174" s="1"/>
      <c r="D174" s="1"/>
      <c r="K174" s="2"/>
    </row>
    <row r="175" spans="1:11" x14ac:dyDescent="0.25">
      <c r="A175" s="15"/>
      <c r="B175" s="1"/>
      <c r="C175" s="1"/>
      <c r="D175" s="1"/>
      <c r="K175" s="2"/>
    </row>
    <row r="176" spans="1:11" x14ac:dyDescent="0.25">
      <c r="A176" s="15"/>
      <c r="B176" s="1"/>
      <c r="C176" s="1"/>
      <c r="D176" s="1"/>
      <c r="K176" s="2"/>
    </row>
    <row r="177" spans="1:11" x14ac:dyDescent="0.25">
      <c r="A177" s="15"/>
      <c r="B177" s="1"/>
      <c r="C177" s="1"/>
      <c r="D177" s="1"/>
      <c r="K177" s="2"/>
    </row>
    <row r="178" spans="1:11" x14ac:dyDescent="0.25">
      <c r="A178" s="15"/>
      <c r="B178" s="1"/>
      <c r="C178" s="1"/>
      <c r="D178" s="1"/>
      <c r="K178" s="2"/>
    </row>
    <row r="179" spans="1:11" x14ac:dyDescent="0.25">
      <c r="A179" s="15"/>
      <c r="B179" s="1"/>
      <c r="C179" s="1"/>
      <c r="D179" s="1"/>
      <c r="K179" s="2"/>
    </row>
    <row r="180" spans="1:11" x14ac:dyDescent="0.25">
      <c r="A180" s="15"/>
      <c r="B180" s="1"/>
      <c r="C180" s="1"/>
      <c r="D180" s="1"/>
      <c r="K180" s="2"/>
    </row>
    <row r="181" spans="1:11" x14ac:dyDescent="0.25">
      <c r="A181" s="15"/>
      <c r="B181" s="1"/>
      <c r="C181" s="1"/>
      <c r="D181" s="1"/>
      <c r="K181" s="2"/>
    </row>
    <row r="182" spans="1:11" x14ac:dyDescent="0.25">
      <c r="A182" s="15"/>
      <c r="B182" s="1"/>
      <c r="C182" s="1"/>
      <c r="D182" s="1"/>
      <c r="K182" s="2"/>
    </row>
    <row r="183" spans="1:11" x14ac:dyDescent="0.25">
      <c r="A183" s="15"/>
      <c r="B183" s="1"/>
      <c r="C183" s="1"/>
      <c r="D183" s="1"/>
      <c r="K183" s="2"/>
    </row>
    <row r="184" spans="1:11" x14ac:dyDescent="0.25">
      <c r="A184" s="15"/>
      <c r="B184" s="1"/>
      <c r="C184" s="1"/>
      <c r="D184" s="1"/>
      <c r="K184" s="2"/>
    </row>
    <row r="185" spans="1:11" x14ac:dyDescent="0.25">
      <c r="A185" s="15"/>
      <c r="B185" s="1"/>
      <c r="C185" s="1"/>
      <c r="D185" s="1"/>
      <c r="K185" s="2"/>
    </row>
    <row r="186" spans="1:11" x14ac:dyDescent="0.25">
      <c r="A186" s="15"/>
      <c r="B186" s="1"/>
      <c r="C186" s="1"/>
      <c r="D186" s="1"/>
      <c r="K186" s="2"/>
    </row>
    <row r="187" spans="1:11" x14ac:dyDescent="0.25">
      <c r="A187" s="15"/>
      <c r="B187" s="1"/>
      <c r="C187" s="1"/>
      <c r="D187" s="1"/>
      <c r="K187" s="2"/>
    </row>
    <row r="188" spans="1:11" x14ac:dyDescent="0.25">
      <c r="A188" s="15"/>
      <c r="B188" s="1"/>
      <c r="C188" s="1"/>
      <c r="D188" s="1"/>
      <c r="K188" s="2"/>
    </row>
    <row r="189" spans="1:11" x14ac:dyDescent="0.25">
      <c r="A189" s="15"/>
      <c r="B189" s="1"/>
      <c r="C189" s="1"/>
      <c r="D189" s="1"/>
      <c r="K189" s="2"/>
    </row>
    <row r="190" spans="1:11" x14ac:dyDescent="0.25">
      <c r="A190" s="15"/>
      <c r="B190" s="1"/>
      <c r="C190" s="1"/>
      <c r="D190" s="1"/>
      <c r="K190" s="2"/>
    </row>
    <row r="191" spans="1:11" x14ac:dyDescent="0.25">
      <c r="A191" s="15"/>
      <c r="B191" s="1"/>
      <c r="C191" s="1"/>
      <c r="D191" s="1"/>
      <c r="K191" s="2"/>
    </row>
    <row r="192" spans="1:11" x14ac:dyDescent="0.25">
      <c r="A192" s="15"/>
      <c r="B192" s="1"/>
      <c r="C192" s="1"/>
      <c r="D192" s="1"/>
      <c r="K192" s="2"/>
    </row>
    <row r="193" spans="1:11" x14ac:dyDescent="0.25">
      <c r="A193" s="15"/>
      <c r="B193" s="1"/>
      <c r="C193" s="1"/>
      <c r="D193" s="1"/>
      <c r="K193" s="2"/>
    </row>
    <row r="194" spans="1:11" x14ac:dyDescent="0.25">
      <c r="A194" s="15"/>
      <c r="B194" s="1"/>
      <c r="C194" s="1"/>
      <c r="D194" s="1"/>
      <c r="K194" s="2"/>
    </row>
    <row r="195" spans="1:11" x14ac:dyDescent="0.25">
      <c r="A195" s="15"/>
      <c r="B195" s="1"/>
      <c r="C195" s="1"/>
      <c r="D195" s="1"/>
      <c r="K195" s="2"/>
    </row>
    <row r="196" spans="1:11" x14ac:dyDescent="0.25">
      <c r="A196" s="15"/>
      <c r="B196" s="1"/>
      <c r="C196" s="1"/>
      <c r="D196" s="1"/>
      <c r="K196" s="2"/>
    </row>
    <row r="197" spans="1:11" x14ac:dyDescent="0.25">
      <c r="A197" s="15"/>
      <c r="B197" s="1"/>
      <c r="C197" s="1"/>
      <c r="D197" s="1"/>
      <c r="K197" s="2"/>
    </row>
    <row r="198" spans="1:11" x14ac:dyDescent="0.25">
      <c r="A198" s="15"/>
      <c r="B198" s="1"/>
      <c r="C198" s="1"/>
      <c r="D198" s="1"/>
      <c r="K198" s="2"/>
    </row>
    <row r="199" spans="1:11" x14ac:dyDescent="0.25">
      <c r="A199" s="15"/>
      <c r="B199" s="1"/>
      <c r="C199" s="1"/>
      <c r="D199" s="1"/>
      <c r="K199" s="2"/>
    </row>
    <row r="200" spans="1:11" x14ac:dyDescent="0.25">
      <c r="A200" s="15">
        <f ca="1">TODAY()</f>
        <v>46245</v>
      </c>
      <c r="B200" s="1"/>
      <c r="C200" s="1"/>
      <c r="D200" s="1"/>
      <c r="K200" s="3">
        <f>Overview!W3</f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13F8-1679-4095-AA32-963FC106BE84}">
  <dimension ref="A1:Z53"/>
  <sheetViews>
    <sheetView workbookViewId="0">
      <selection activeCell="D3" sqref="D3:D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52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34</v>
      </c>
      <c r="D2" s="12" t="s">
        <v>31</v>
      </c>
      <c r="E2" s="12" t="s">
        <v>32</v>
      </c>
      <c r="F2" s="17" t="s">
        <v>40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39</v>
      </c>
      <c r="Q2" s="12" t="s">
        <v>40</v>
      </c>
      <c r="X2" s="12" t="s">
        <v>2</v>
      </c>
      <c r="Y2" s="12" t="s">
        <v>28</v>
      </c>
      <c r="Z2" s="12" t="s">
        <v>39</v>
      </c>
    </row>
    <row r="3" spans="1:26" x14ac:dyDescent="0.25">
      <c r="A3" s="5" t="s">
        <v>18</v>
      </c>
      <c r="B3" s="6" t="s">
        <v>35</v>
      </c>
      <c r="D3" s="11">
        <v>46275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46244</v>
      </c>
      <c r="Y3" s="3">
        <f>B16*-1</f>
        <v>-15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49</v>
      </c>
      <c r="D4" s="11">
        <v>46305</v>
      </c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>
        <v>46336</v>
      </c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3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46244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46244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46336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37</v>
      </c>
      <c r="B12" s="19">
        <f ca="1">IF(B16&lt;&gt;K3,(TODAY()-B11)*-1,"")</f>
        <v>91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0.159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38</v>
      </c>
      <c r="B16" s="3">
        <v>15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3">
      <formula>$Z$3="+"</formula>
    </cfRule>
  </conditionalFormatting>
  <conditionalFormatting sqref="Z3">
    <cfRule type="expression" dxfId="3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B2BCE-B3A8-4634-BB20-53D0C8F481D1}">
  <dimension ref="A1:Z53"/>
  <sheetViews>
    <sheetView workbookViewId="0">
      <selection activeCell="D3" sqref="D3:D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51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34</v>
      </c>
      <c r="D2" s="12" t="s">
        <v>31</v>
      </c>
      <c r="E2" s="12" t="s">
        <v>32</v>
      </c>
      <c r="F2" s="17" t="s">
        <v>40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39</v>
      </c>
      <c r="Q2" s="12" t="s">
        <v>40</v>
      </c>
      <c r="X2" s="12" t="s">
        <v>2</v>
      </c>
      <c r="Y2" s="12" t="s">
        <v>28</v>
      </c>
      <c r="Z2" s="12" t="s">
        <v>39</v>
      </c>
    </row>
    <row r="3" spans="1:26" x14ac:dyDescent="0.25">
      <c r="A3" s="5" t="s">
        <v>18</v>
      </c>
      <c r="B3" s="6" t="s">
        <v>35</v>
      </c>
      <c r="D3" s="11">
        <v>46275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46244</v>
      </c>
      <c r="Y3" s="3">
        <f>B16*-1</f>
        <v>-15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49</v>
      </c>
      <c r="D4" s="11">
        <v>46305</v>
      </c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>
        <v>46336</v>
      </c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3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46244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46244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46336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37</v>
      </c>
      <c r="B12" s="19">
        <f ca="1">IF(B16&lt;&gt;K3,(TODAY()-B11)*-1,"")</f>
        <v>91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0.159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38</v>
      </c>
      <c r="B16" s="3">
        <v>15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3">
      <formula>$Z$3="+"</formula>
    </cfRule>
  </conditionalFormatting>
  <conditionalFormatting sqref="Z3">
    <cfRule type="expression" dxfId="2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FB9D0-FFDA-4CA0-9F51-BFCBF06C03C2}">
  <dimension ref="A1:Z53"/>
  <sheetViews>
    <sheetView workbookViewId="0">
      <selection activeCell="D3" sqref="D3:D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50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34</v>
      </c>
      <c r="D2" s="12" t="s">
        <v>31</v>
      </c>
      <c r="E2" s="12" t="s">
        <v>32</v>
      </c>
      <c r="F2" s="17" t="s">
        <v>40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39</v>
      </c>
      <c r="Q2" s="12" t="s">
        <v>40</v>
      </c>
      <c r="X2" s="12" t="s">
        <v>2</v>
      </c>
      <c r="Y2" s="12" t="s">
        <v>28</v>
      </c>
      <c r="Z2" s="12" t="s">
        <v>39</v>
      </c>
    </row>
    <row r="3" spans="1:26" x14ac:dyDescent="0.25">
      <c r="A3" s="5" t="s">
        <v>18</v>
      </c>
      <c r="B3" s="6" t="s">
        <v>35</v>
      </c>
      <c r="D3" s="11">
        <v>46275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46244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49</v>
      </c>
      <c r="D4" s="11">
        <v>46305</v>
      </c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>
        <v>46336</v>
      </c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3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46244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46244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46336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37</v>
      </c>
      <c r="B12" s="19">
        <f ca="1">IF(B16&lt;&gt;K3,(TODAY()-B11)*-1,"")</f>
        <v>91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0.159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38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3">
      <formula>$Z$3="+"</formula>
    </cfRule>
  </conditionalFormatting>
  <conditionalFormatting sqref="Z3">
    <cfRule type="expression" dxfId="24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38648-85FB-451A-8C48-F23050BE99C9}">
  <dimension ref="A1:Z53"/>
  <sheetViews>
    <sheetView workbookViewId="0">
      <selection activeCell="D3" sqref="D3:D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48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34</v>
      </c>
      <c r="D2" s="12" t="s">
        <v>31</v>
      </c>
      <c r="E2" s="12" t="s">
        <v>32</v>
      </c>
      <c r="F2" s="17" t="s">
        <v>40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39</v>
      </c>
      <c r="Q2" s="12" t="s">
        <v>40</v>
      </c>
      <c r="X2" s="12" t="s">
        <v>2</v>
      </c>
      <c r="Y2" s="12" t="s">
        <v>28</v>
      </c>
      <c r="Z2" s="12" t="s">
        <v>39</v>
      </c>
    </row>
    <row r="3" spans="1:26" x14ac:dyDescent="0.25">
      <c r="A3" s="5" t="s">
        <v>18</v>
      </c>
      <c r="B3" s="6" t="s">
        <v>35</v>
      </c>
      <c r="D3" s="11">
        <v>46275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46244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49</v>
      </c>
      <c r="D4" s="11">
        <v>46305</v>
      </c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>
        <v>46336</v>
      </c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3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46244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46244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46336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37</v>
      </c>
      <c r="B12" s="19">
        <f ca="1">IF(B16&lt;&gt;K3,(TODAY()-B11)*-1,"")</f>
        <v>91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0.159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38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3">
      <formula>$Z$3="+"</formula>
    </cfRule>
  </conditionalFormatting>
  <conditionalFormatting sqref="Z3">
    <cfRule type="expression" dxfId="2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D3710-89A2-4F7D-A324-B3CED3BB72D8}">
  <dimension ref="A1:Z53"/>
  <sheetViews>
    <sheetView workbookViewId="0">
      <selection activeCell="B20" sqref="B2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47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34</v>
      </c>
      <c r="D2" s="12" t="s">
        <v>31</v>
      </c>
      <c r="E2" s="12" t="s">
        <v>32</v>
      </c>
      <c r="F2" s="17" t="s">
        <v>40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39</v>
      </c>
      <c r="Q2" s="12" t="s">
        <v>40</v>
      </c>
      <c r="X2" s="12" t="s">
        <v>2</v>
      </c>
      <c r="Y2" s="12" t="s">
        <v>28</v>
      </c>
      <c r="Z2" s="12" t="s">
        <v>39</v>
      </c>
    </row>
    <row r="3" spans="1:26" x14ac:dyDescent="0.25">
      <c r="A3" s="5" t="s">
        <v>18</v>
      </c>
      <c r="B3" s="6" t="s">
        <v>35</v>
      </c>
      <c r="D3" s="11">
        <v>46274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46244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36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46244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46244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46274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37</v>
      </c>
      <c r="B12" s="19">
        <f ca="1">IF(B16&lt;&gt;K3,(TODAY()-B11)*-1,"")</f>
        <v>29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38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3">
      <formula>$Z$3="+"</formula>
    </cfRule>
  </conditionalFormatting>
  <conditionalFormatting sqref="Z3">
    <cfRule type="expression" dxfId="1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C5DD5-26F0-4BD8-A02A-9EA73D3EF2C5}">
  <dimension ref="A1:Z53"/>
  <sheetViews>
    <sheetView workbookViewId="0">
      <selection activeCell="B8" sqref="B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53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34</v>
      </c>
      <c r="D2" s="12" t="s">
        <v>31</v>
      </c>
      <c r="E2" s="12" t="s">
        <v>32</v>
      </c>
      <c r="F2" s="17" t="s">
        <v>40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39</v>
      </c>
      <c r="Q2" s="12" t="s">
        <v>40</v>
      </c>
      <c r="X2" s="12" t="s">
        <v>2</v>
      </c>
      <c r="Y2" s="12" t="s">
        <v>28</v>
      </c>
      <c r="Z2" s="12" t="s">
        <v>39</v>
      </c>
    </row>
    <row r="3" spans="1:26" x14ac:dyDescent="0.25">
      <c r="A3" s="5" t="s">
        <v>18</v>
      </c>
      <c r="B3" s="6" t="s">
        <v>35</v>
      </c>
      <c r="D3" s="11">
        <v>46274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46244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36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46244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46244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46274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37</v>
      </c>
      <c r="B12" s="19">
        <f ca="1">IF(B16&lt;&gt;K3,(TODAY()-B11)*-1,"")</f>
        <v>29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38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3">
      <formula>$Z$3="+"</formula>
    </cfRule>
  </conditionalFormatting>
  <conditionalFormatting sqref="Z3">
    <cfRule type="expression" dxfId="1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3BEB5-FF23-4AB2-910E-BFC1E1552858}">
  <dimension ref="A1:Z53"/>
  <sheetViews>
    <sheetView workbookViewId="0">
      <selection activeCell="D3" sqref="D3:D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46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34</v>
      </c>
      <c r="D2" s="12" t="s">
        <v>31</v>
      </c>
      <c r="E2" s="12" t="s">
        <v>32</v>
      </c>
      <c r="F2" s="17" t="s">
        <v>40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39</v>
      </c>
      <c r="Q2" s="12" t="s">
        <v>40</v>
      </c>
      <c r="X2" s="12" t="s">
        <v>2</v>
      </c>
      <c r="Y2" s="12" t="s">
        <v>28</v>
      </c>
      <c r="Z2" s="12" t="s">
        <v>39</v>
      </c>
    </row>
    <row r="3" spans="1:26" x14ac:dyDescent="0.25">
      <c r="A3" s="5" t="s">
        <v>18</v>
      </c>
      <c r="B3" s="6" t="s">
        <v>35</v>
      </c>
      <c r="D3" s="11">
        <v>46275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46244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49</v>
      </c>
      <c r="D4" s="11">
        <v>46305</v>
      </c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>
        <v>46336</v>
      </c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3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46244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46244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46336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37</v>
      </c>
      <c r="B12" s="19">
        <f ca="1">IF(B16&lt;&gt;K3,(TODAY()-B11)*-1,"")</f>
        <v>91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0.159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38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3">
      <formula>$Z$3="+"</formula>
    </cfRule>
  </conditionalFormatting>
  <conditionalFormatting sqref="Z3">
    <cfRule type="expression" dxfId="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E60DD-D268-4B5D-B986-F933A571227C}">
  <dimension ref="A1:Z53"/>
  <sheetViews>
    <sheetView workbookViewId="0">
      <selection activeCell="F12" sqref="F1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45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34</v>
      </c>
      <c r="D2" s="12" t="s">
        <v>31</v>
      </c>
      <c r="E2" s="12" t="s">
        <v>32</v>
      </c>
      <c r="F2" s="17" t="s">
        <v>40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39</v>
      </c>
      <c r="Q2" s="12" t="s">
        <v>40</v>
      </c>
      <c r="X2" s="12" t="s">
        <v>2</v>
      </c>
      <c r="Y2" s="12" t="s">
        <v>28</v>
      </c>
      <c r="Z2" s="12" t="s">
        <v>39</v>
      </c>
    </row>
    <row r="3" spans="1:26" x14ac:dyDescent="0.25">
      <c r="A3" s="5" t="s">
        <v>18</v>
      </c>
      <c r="B3" s="6" t="s">
        <v>35</v>
      </c>
      <c r="D3" s="11">
        <v>46274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46244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36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46244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46244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46274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37</v>
      </c>
      <c r="B12" s="19">
        <f ca="1">IF(B16&lt;&gt;K3,(TODAY()-B11)*-1,"")</f>
        <v>29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38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5">
      <formula>$Z$3="+"</formula>
    </cfRule>
  </conditionalFormatting>
  <conditionalFormatting sqref="Z3">
    <cfRule type="expression" dxfId="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3"/>
  <sheetViews>
    <sheetView tabSelected="1" workbookViewId="0">
      <selection activeCell="E29" sqref="E2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54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34</v>
      </c>
      <c r="D2" s="12" t="s">
        <v>31</v>
      </c>
      <c r="E2" s="12" t="s">
        <v>32</v>
      </c>
      <c r="F2" s="17" t="s">
        <v>40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39</v>
      </c>
      <c r="Q2" s="12" t="s">
        <v>40</v>
      </c>
      <c r="X2" s="12" t="s">
        <v>2</v>
      </c>
      <c r="Y2" s="12" t="s">
        <v>28</v>
      </c>
      <c r="Z2" s="12" t="s">
        <v>39</v>
      </c>
    </row>
    <row r="3" spans="1:26" x14ac:dyDescent="0.25">
      <c r="A3" s="5" t="s">
        <v>18</v>
      </c>
      <c r="B3" s="6" t="s">
        <v>35</v>
      </c>
      <c r="D3" s="11">
        <v>46274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46244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36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46244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46244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46274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37</v>
      </c>
      <c r="B12" s="19">
        <f ca="1">IF(B16&lt;&gt;K3,(TODAY()-B11)*-1,"")</f>
        <v>29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38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K1:Q1"/>
    <mergeCell ref="D1:F1"/>
    <mergeCell ref="G1:I1"/>
    <mergeCell ref="X1:Z1"/>
  </mergeCells>
  <conditionalFormatting sqref="A1:B1">
    <cfRule type="expression" dxfId="3" priority="4">
      <formula>$Z$3="+"</formula>
    </cfRule>
    <cfRule type="expression" dxfId="2" priority="5">
      <formula>$B$16=$K$3</formula>
    </cfRule>
  </conditionalFormatting>
  <conditionalFormatting sqref="P3">
    <cfRule type="expression" dxfId="1" priority="3">
      <formula>$Z$3="+"</formula>
    </cfRule>
  </conditionalFormatting>
  <conditionalFormatting sqref="Z3">
    <cfRule type="expression" dxfId="0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Overview</vt:lpstr>
      <vt:lpstr>Pinigai</vt:lpstr>
      <vt:lpstr>eebd7526...eaf278164c4f</vt:lpstr>
      <vt:lpstr>98b1dfe9...d5d30b41a3c0</vt:lpstr>
      <vt:lpstr>63f224f9...dc9a9519a2fb</vt:lpstr>
      <vt:lpstr>62dc7b87...555b6b58a73a</vt:lpstr>
      <vt:lpstr>6a2ebaab...04ce88676cf8</vt:lpstr>
      <vt:lpstr>6e656686...a6797d30436d-2</vt:lpstr>
      <vt:lpstr>c78fc544...c7b919f73c9d</vt:lpstr>
      <vt:lpstr>55bc6c86...98a4199721c7</vt:lpstr>
      <vt:lpstr>6e656686...a6797d30436d-1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2026-08-11T18:23:26Z</dcterms:modified>
</cp:coreProperties>
</file>