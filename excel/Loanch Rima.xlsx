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9be8bcaca992739/Dokumentai/portfolio-analytics/portfolio-dashboard-clean/excel/"/>
    </mc:Choice>
  </mc:AlternateContent>
  <xr:revisionPtr revIDLastSave="2" documentId="13_ncr:1_{4184CC5A-5D93-4FD8-A96D-732FB5F36FFE}" xr6:coauthVersionLast="47" xr6:coauthVersionMax="47" xr10:uidLastSave="{26591EF8-215E-47D1-93CB-094B11703178}"/>
  <bookViews>
    <workbookView xWindow="-120" yWindow="-120" windowWidth="29040" windowHeight="15720" firstSheet="6" activeTab="7" xr2:uid="{00000000-000D-0000-FFFF-FFFF00000000}"/>
  </bookViews>
  <sheets>
    <sheet name="Overview" sheetId="1" r:id="rId1"/>
    <sheet name="Pinigai" sheetId="15" r:id="rId2"/>
    <sheet name="eebd7526...eaf278164c4f" sheetId="31" r:id="rId3"/>
    <sheet name="98b1dfe9...d5d30b41a3c0" sheetId="30" r:id="rId4"/>
    <sheet name="63f224f9...dc9a9519a2fb" sheetId="29" r:id="rId5"/>
    <sheet name="62dc7b87...555b6b58a73a" sheetId="28" r:id="rId6"/>
    <sheet name="6a2ebaab...04ce88676cf8" sheetId="27" r:id="rId7"/>
    <sheet name="6e656686...a6797d30436d-2" sheetId="26" r:id="rId8"/>
    <sheet name="c78fc544...c7b919f73c9d" sheetId="25" r:id="rId9"/>
    <sheet name="55bc6c86...98a4199721c7" sheetId="24" r:id="rId10"/>
    <sheet name="6e656686...a6797d30436d-1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I11" i="1"/>
  <c r="H11" i="1"/>
  <c r="G11" i="1"/>
  <c r="E11" i="1"/>
  <c r="D11" i="1"/>
  <c r="C11" i="1"/>
  <c r="B11" i="1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B12" i="31"/>
  <c r="K11" i="1" s="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1" i="1" s="1"/>
  <c r="Y7" i="31"/>
  <c r="X7" i="31"/>
  <c r="F7" i="31"/>
  <c r="Y6" i="31"/>
  <c r="X6" i="31"/>
  <c r="F6" i="31"/>
  <c r="Y5" i="31"/>
  <c r="X5" i="31"/>
  <c r="F5" i="31"/>
  <c r="Y4" i="31"/>
  <c r="X4" i="31"/>
  <c r="F4" i="31"/>
  <c r="Z3" i="31"/>
  <c r="P3" i="31" s="1"/>
  <c r="L11" i="1" s="1"/>
  <c r="Y3" i="31"/>
  <c r="X3" i="31"/>
  <c r="Q3" i="31"/>
  <c r="M3" i="31"/>
  <c r="L3" i="31"/>
  <c r="K3" i="31"/>
  <c r="N3" i="31" s="1"/>
  <c r="F3" i="31"/>
  <c r="AC11" i="1" l="1"/>
  <c r="O3" i="31"/>
  <c r="J11" i="1" s="1"/>
  <c r="S3" i="1"/>
  <c r="L3" i="29" l="1"/>
  <c r="O9" i="1"/>
  <c r="I10" i="1" l="1"/>
  <c r="H10" i="1"/>
  <c r="G10" i="1"/>
  <c r="E10" i="1"/>
  <c r="D10" i="1"/>
  <c r="C10" i="1"/>
  <c r="B10" i="1"/>
  <c r="I53" i="30"/>
  <c r="M3" i="30" s="1"/>
  <c r="O10" i="1" s="1"/>
  <c r="H53" i="30"/>
  <c r="L3" i="30" s="1"/>
  <c r="N10" i="1" s="1"/>
  <c r="G53" i="30"/>
  <c r="K3" i="30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10" i="1" s="1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N9" i="1"/>
  <c r="M9" i="1"/>
  <c r="J9" i="1"/>
  <c r="I9" i="1"/>
  <c r="H9" i="1"/>
  <c r="G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9" i="1" s="1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E8" i="1"/>
  <c r="D8" i="1"/>
  <c r="C8" i="1"/>
  <c r="B8" i="1"/>
  <c r="I53" i="28"/>
  <c r="M3" i="28" s="1"/>
  <c r="O8" i="1" s="1"/>
  <c r="H53" i="28"/>
  <c r="L3" i="28" s="1"/>
  <c r="N8" i="1" s="1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F8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7" i="1"/>
  <c r="H7" i="1"/>
  <c r="G7" i="1"/>
  <c r="E7" i="1"/>
  <c r="D7" i="1"/>
  <c r="C7" i="1"/>
  <c r="B7" i="1"/>
  <c r="I53" i="27"/>
  <c r="M3" i="27" s="1"/>
  <c r="O7" i="1" s="1"/>
  <c r="H53" i="27"/>
  <c r="L3" i="27" s="1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F7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6" i="1"/>
  <c r="H6" i="1"/>
  <c r="G6" i="1"/>
  <c r="E6" i="1"/>
  <c r="D6" i="1"/>
  <c r="C6" i="1"/>
  <c r="B6" i="1"/>
  <c r="I53" i="26"/>
  <c r="M3" i="26" s="1"/>
  <c r="O6" i="1" s="1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F6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E5" i="1"/>
  <c r="D5" i="1"/>
  <c r="C5" i="1"/>
  <c r="B5" i="1"/>
  <c r="I53" i="25"/>
  <c r="M3" i="25" s="1"/>
  <c r="O5" i="1" s="1"/>
  <c r="H53" i="25"/>
  <c r="L3" i="25" s="1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F5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O3" i="30" l="1"/>
  <c r="J10" i="1" s="1"/>
  <c r="Z3" i="30"/>
  <c r="AC10" i="1" s="1"/>
  <c r="Q3" i="30"/>
  <c r="M10" i="1"/>
  <c r="P3" i="29"/>
  <c r="L9" i="1" s="1"/>
  <c r="AC9" i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P3" i="30" l="1"/>
  <c r="L10" i="1" s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B3" i="1"/>
  <c r="I53" i="24"/>
  <c r="M3" i="24" s="1"/>
  <c r="O4" i="1" s="1"/>
  <c r="H53" i="24"/>
  <c r="L3" i="24" s="1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L3" i="14" s="1"/>
  <c r="I53" i="14"/>
  <c r="M3" i="14" s="1"/>
  <c r="O3" i="1" s="1"/>
  <c r="G53" i="14"/>
  <c r="K3" i="14" s="1"/>
  <c r="Q3" i="14" s="1"/>
  <c r="B8" i="14"/>
  <c r="F3" i="1" s="1"/>
  <c r="AA3" i="1" l="1"/>
  <c r="M3" i="1"/>
  <c r="U3" i="1" s="1"/>
  <c r="R3" i="1" s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V3" i="1" s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  <c r="Q3" i="1" s="1"/>
  <c r="W3" i="1" s="1"/>
  <c r="X3" i="1" l="1"/>
  <c r="K200" i="15"/>
  <c r="Z3" i="1" s="1"/>
  <c r="T3" i="1"/>
  <c r="Y3" i="1"/>
</calcChain>
</file>

<file path=xl/sharedStrings.xml><?xml version="1.0" encoding="utf-8"?>
<sst xmlns="http://schemas.openxmlformats.org/spreadsheetml/2006/main" count="358" uniqueCount="55">
  <si>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</si>
  <si>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</si>
  <si>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</si>
  <si>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</si>
  <si>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</si>
  <si>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</si>
  <si>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</si>
  <si>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</si>
  <si>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</si>
  <si>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</si>
  <si>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</si>
  <si>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</si>
  <si>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</si>
  <si>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</si>
  <si>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</si>
  <si>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</si>
  <si>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</si>
  <si>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</si>
  <si>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</si>
  <si>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</si>
  <si>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</si>
  <si>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</si>
  <si>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</si>
  <si>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</si>
  <si>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</si>
  <si>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</si>
  <si>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</si>
  <si>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</si>
  <si>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</si>
  <si>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</si>
  <si>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</si>
  <si>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</si>
  <si>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</si>
  <si>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</si>
  <si>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Malaysia</t>
  </si>
  <si>
    <t>Tambadana</t>
  </si>
  <si>
    <t>Short Term Loan</t>
  </si>
  <si>
    <t>Liko, dienos</t>
  </si>
  <si>
    <t>Investuota, Eur</t>
  </si>
  <si>
    <t>Vėluoja</t>
  </si>
  <si>
    <t>Vėl./Anks.</t>
  </si>
  <si>
    <t>Inv. data</t>
  </si>
  <si>
    <t>Liko</t>
  </si>
  <si>
    <t>Eur.</t>
  </si>
  <si>
    <t xml:space="preserve">Premijos </t>
  </si>
  <si>
    <t>55bc6c86...98a4199721c7</t>
  </si>
  <si>
    <t>c78fc544...c7b919f73c9d</t>
  </si>
  <si>
    <t>6a2ebaab...04ce88676cf8</t>
  </si>
  <si>
    <t>62dc7b87...555b6b58a73a</t>
  </si>
  <si>
    <t>Installment Loan</t>
  </si>
  <si>
    <t>63f224f9...dc9a9519a2fb</t>
  </si>
  <si>
    <t>98b1dfe9...d5d30b41a3c0</t>
  </si>
  <si>
    <t>eebd7526...eaf278164c4f</t>
  </si>
  <si>
    <t>6e656686...a6797d30436d-1</t>
  </si>
  <si>
    <t>6e656686...a6797d30436d-2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</si>
</sst>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25" sqref="G25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41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42</v>
      </c>
      <c r="L2" s="4" t="s">
        <v>39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44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43</v>
      </c>
      <c r="Y2" s="4" t="s">
        <v>5</v>
      </c>
      <c r="Z2" s="4" t="s">
        <v>26</v>
      </c>
      <c r="AA2" s="4" t="s">
        <v>43</v>
      </c>
      <c r="AC2" s="12" t="s">
        <v>39</v>
      </c>
    </row>
    <row r="3" spans="1:29" x14ac:dyDescent="0.25">
      <c r="A3" s="2">
        <v>1</v>
      </c>
      <c r="B3" s="6">
        <f>'55bc6c86...98a4199721c7'!B9</f>
        <v>46244</v>
      </c>
      <c r="C3" s="26" t="str">
        <f>'6e656686...a6797d30436d-1'!B1</f>
        <v>6e656686...a6797d30436d-1</v>
      </c>
      <c r="D3" s="2" t="str">
        <f>'6e656686...a6797d30436d-1'!B2</f>
        <v>Malaysia</v>
      </c>
      <c r="E3" s="2" t="str">
        <f>'6e656686...a6797d30436d-1'!B3</f>
        <v>Tambadana</v>
      </c>
      <c r="F3" s="2" t="str">
        <f>'6e656686...a6797d30436d-1'!B8</f>
        <v>0 m. 0 mėn. 30 d.</v>
      </c>
      <c r="G3" s="7">
        <f>'6e656686...a6797d30436d-1'!B15</f>
        <v>0.13600000000000001</v>
      </c>
      <c r="H3" s="3">
        <f>'6e656686...a6797d30436d-1'!B16</f>
        <v>10</v>
      </c>
      <c r="I3" s="6">
        <f>'6e656686...a6797d30436d-1'!B11</f>
        <v>46274</v>
      </c>
      <c r="J3" s="6" t="str">
        <f>'6e656686...a6797d30436d-1'!O3</f>
        <v/>
      </c>
      <c r="K3" s="19">
        <f ca="1">'6e656686...a6797d30436d-1'!B12</f>
        <v>29</v>
      </c>
      <c r="L3" s="19" t="str">
        <f ca="1">'6e656686...a6797d30436d-1'!P3</f>
        <v/>
      </c>
      <c r="M3" s="3">
        <f>'6e656686...a6797d30436d-1'!K3</f>
        <v>0</v>
      </c>
      <c r="N3" s="3">
        <f>'6e656686...a6797d30436d-1'!L3</f>
        <v>0</v>
      </c>
      <c r="O3" s="3">
        <f>'6e656686...a6797d30436d-1'!M3</f>
        <v>0</v>
      </c>
      <c r="P3" s="10"/>
      <c r="Q3" s="29">
        <f>Pinigai!I2</f>
        <v>100</v>
      </c>
      <c r="R3" s="29">
        <f>SUM(H3:H100)-U3</f>
        <v>100</v>
      </c>
      <c r="S3" s="30">
        <f>Pinigai!H2</f>
        <v>0</v>
      </c>
      <c r="T3" s="29">
        <f>W3-R3</f>
        <v>0</v>
      </c>
      <c r="U3" s="29">
        <f>SUM(M3:M100)</f>
        <v>0</v>
      </c>
      <c r="V3" s="29">
        <f>SUM(N3:N100)-AA3</f>
        <v>0</v>
      </c>
      <c r="W3" s="29">
        <f>Q3+V3+S3</f>
        <v>100</v>
      </c>
      <c r="X3" s="29">
        <f>W3-Q3</f>
        <v>0</v>
      </c>
      <c r="Y3" s="31">
        <f>(W3-Q3)/Q3</f>
        <v>0</v>
      </c>
      <c r="Z3" s="31">
        <f ca="1">XIRR(Pinigai!K2:K200,Pinigai!A2:A200)</f>
        <v>2.9802322387695314E-9</v>
      </c>
      <c r="AA3" s="29">
        <f>SUM(O3:O100)</f>
        <v>0</v>
      </c>
      <c r="AC3" s="3" t="str">
        <f ca="1">'6e656686...a6797d30436d-1'!Z3</f>
        <v/>
      </c>
    </row>
    <row r="4" spans="1:29" x14ac:dyDescent="0.25">
      <c r="A4" s="2">
        <v>2</v>
      </c>
      <c r="B4" s="6">
        <f>'55bc6c86...98a4199721c7'!B9</f>
        <v>46244</v>
      </c>
      <c r="C4" s="26" t="str">
        <f>'55bc6c86...98a4199721c7'!B1</f>
        <v>55bc6c86...98a4199721c7</v>
      </c>
      <c r="D4" s="2" t="str">
        <f>'55bc6c86...98a4199721c7'!B2</f>
        <v>Malaysia</v>
      </c>
      <c r="E4" s="2" t="str">
        <f>'55bc6c86...98a4199721c7'!B3</f>
        <v>Tambadana</v>
      </c>
      <c r="F4" s="2" t="str">
        <f>'55bc6c86...98a4199721c7'!B8</f>
        <v>0 m. 0 mėn. 30 d.</v>
      </c>
      <c r="G4" s="7">
        <f>'55bc6c86...98a4199721c7'!B15</f>
        <v>0.13600000000000001</v>
      </c>
      <c r="H4" s="3">
        <f>'55bc6c86...98a4199721c7'!B16</f>
        <v>10</v>
      </c>
      <c r="I4" s="6">
        <f>'55bc6c86...98a4199721c7'!B11</f>
        <v>46274</v>
      </c>
      <c r="J4" s="6" t="str">
        <f>'55bc6c86...98a4199721c7'!O3</f>
        <v/>
      </c>
      <c r="K4" s="19">
        <f ca="1">'55bc6c86...98a4199721c7'!B12</f>
        <v>29</v>
      </c>
      <c r="L4" s="19" t="str">
        <f ca="1">'55bc6c86...98a4199721c7'!P3</f>
        <v/>
      </c>
      <c r="M4" s="3">
        <f>'55bc6c86...98a4199721c7'!K3</f>
        <v>0</v>
      </c>
      <c r="N4" s="3">
        <f>'55bc6c86...98a4199721c7'!L3</f>
        <v>0</v>
      </c>
      <c r="O4" s="3">
        <f>'55bc6c86...98a4199721c7'!M3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'55bc6c86...98a4199721c7'!Z3</f>
        <v/>
      </c>
    </row>
    <row r="5" spans="1:29" x14ac:dyDescent="0.25">
      <c r="A5" s="2">
        <v>3</v>
      </c>
      <c r="B5" s="6">
        <f>'c78fc544...c7b919f73c9d'!B9</f>
        <v>46244</v>
      </c>
      <c r="C5" s="26" t="str">
        <f>'c78fc544...c7b919f73c9d'!B1</f>
        <v>c78fc544...c7b919f73c9d</v>
      </c>
      <c r="D5" s="2" t="str">
        <f>'c78fc544...c7b919f73c9d'!B2</f>
        <v>Malaysia</v>
      </c>
      <c r="E5" s="2" t="str">
        <f>'c78fc544...c7b919f73c9d'!B3</f>
        <v>Tambadana</v>
      </c>
      <c r="F5" s="2" t="str">
        <f>'c78fc544...c7b919f73c9d'!B8</f>
        <v>0 m. 3 mėn. 0 d.</v>
      </c>
      <c r="G5" s="7">
        <f>'c78fc544...c7b919f73c9d'!B15</f>
        <v>0.159</v>
      </c>
      <c r="H5" s="3">
        <f>'c78fc544...c7b919f73c9d'!B16</f>
        <v>10</v>
      </c>
      <c r="I5" s="6">
        <f>'c78fc544...c7b919f73c9d'!B11</f>
        <v>46336</v>
      </c>
      <c r="J5" s="6" t="str">
        <f>'c78fc544...c7b919f73c9d'!O3</f>
        <v/>
      </c>
      <c r="K5" s="19">
        <f ca="1">'c78fc544...c7b919f73c9d'!B12</f>
        <v>91</v>
      </c>
      <c r="L5" s="19" t="str">
        <f ca="1">'c78fc544...c7b919f73c9d'!P3</f>
        <v/>
      </c>
      <c r="M5" s="3">
        <f>'c78fc544...c7b919f73c9d'!K3</f>
        <v>0</v>
      </c>
      <c r="N5" s="3">
        <f>'c78fc544...c7b919f73c9d'!L3</f>
        <v>0</v>
      </c>
      <c r="O5" s="3">
        <f>'c78fc544...c7b919f73c9d'!M3</f>
        <v>0</v>
      </c>
      <c r="P5" s="10"/>
      <c r="AC5" s="3" t="str">
        <f ca="1">'c78fc544...c7b919f73c9d'!Z3</f>
        <v/>
      </c>
    </row>
    <row r="6" spans="1:29" x14ac:dyDescent="0.25">
      <c r="A6" s="2">
        <v>4</v>
      </c>
      <c r="B6" s="6">
        <f>'6e656686...a6797d30436d-2'!B9</f>
        <v>46244</v>
      </c>
      <c r="C6" s="26" t="str">
        <f>'6e656686...a6797d30436d-2'!B1</f>
        <v>6e656686...a6797d30436d-2</v>
      </c>
      <c r="D6" s="2" t="str">
        <f>'6e656686...a6797d30436d-2'!B2</f>
        <v>Malaysia</v>
      </c>
      <c r="E6" s="2" t="str">
        <f>'6e656686...a6797d30436d-2'!B3</f>
        <v>Tambadana</v>
      </c>
      <c r="F6" s="2" t="str">
        <f>'6e656686...a6797d30436d-2'!B8</f>
        <v>0 m. 0 mėn. 30 d.</v>
      </c>
      <c r="G6" s="7">
        <f>'6e656686...a6797d30436d-2'!B15</f>
        <v>0.13600000000000001</v>
      </c>
      <c r="H6" s="3">
        <f>'6e656686...a6797d30436d-2'!B16</f>
        <v>10</v>
      </c>
      <c r="I6" s="6">
        <f>'6e656686...a6797d30436d-2'!B11</f>
        <v>46274</v>
      </c>
      <c r="J6" s="6" t="str">
        <f>'6e656686...a6797d30436d-2'!O3</f>
        <v/>
      </c>
      <c r="K6" s="19">
        <f ca="1">'6e656686...a6797d30436d-2'!B12</f>
        <v>29</v>
      </c>
      <c r="L6" s="19" t="str">
        <f ca="1">'6e656686...a6797d30436d-2'!P3</f>
        <v/>
      </c>
      <c r="M6" s="3">
        <f>'6e656686...a6797d30436d-2'!K3</f>
        <v>0</v>
      </c>
      <c r="N6" s="3">
        <f>'6e656686...a6797d30436d-2'!L3</f>
        <v>0</v>
      </c>
      <c r="O6" s="3">
        <f>'6e656686...a6797d30436d-2'!M3</f>
        <v>0</v>
      </c>
      <c r="P6" s="10"/>
      <c r="AC6" s="3" t="str">
        <f ca="1">'6e656686...a6797d30436d-2'!Z3</f>
        <v/>
      </c>
    </row>
    <row r="7" spans="1:29" x14ac:dyDescent="0.25">
      <c r="A7" s="2">
        <v>5</v>
      </c>
      <c r="B7" s="6">
        <f>'6a2ebaab...04ce88676cf8'!B9</f>
        <v>46244</v>
      </c>
      <c r="C7" s="26" t="str">
        <f>'6a2ebaab...04ce88676cf8'!B1</f>
        <v>6a2ebaab...04ce88676cf8</v>
      </c>
      <c r="D7" s="2" t="str">
        <f>'6a2ebaab...04ce88676cf8'!B2</f>
        <v>Malaysia</v>
      </c>
      <c r="E7" s="2" t="str">
        <f>'6a2ebaab...04ce88676cf8'!B3</f>
        <v>Tambadana</v>
      </c>
      <c r="F7" s="2" t="str">
        <f>'6a2ebaab...04ce88676cf8'!B8</f>
        <v>0 m. 0 mėn. 30 d.</v>
      </c>
      <c r="G7" s="7">
        <f>'6a2ebaab...04ce88676cf8'!B15</f>
        <v>0.13600000000000001</v>
      </c>
      <c r="H7" s="3">
        <f>'6a2ebaab...04ce88676cf8'!B16</f>
        <v>10</v>
      </c>
      <c r="I7" s="6">
        <f>'6a2ebaab...04ce88676cf8'!B11</f>
        <v>46274</v>
      </c>
      <c r="J7" s="6" t="str">
        <f>'6a2ebaab...04ce88676cf8'!O3</f>
        <v/>
      </c>
      <c r="K7" s="19">
        <f ca="1">'6a2ebaab...04ce88676cf8'!B12</f>
        <v>29</v>
      </c>
      <c r="L7" s="19" t="str">
        <f ca="1">'6a2ebaab...04ce88676cf8'!P3</f>
        <v/>
      </c>
      <c r="M7" s="3">
        <f>'6a2ebaab...04ce88676cf8'!K3</f>
        <v>0</v>
      </c>
      <c r="N7" s="3">
        <f>'6a2ebaab...04ce88676cf8'!L3</f>
        <v>0</v>
      </c>
      <c r="O7" s="3">
        <f>'6a2ebaab...04ce88676cf8'!M3</f>
        <v>0</v>
      </c>
      <c r="P7" s="10"/>
      <c r="AC7" s="3" t="str">
        <f ca="1">'6a2ebaab...04ce88676cf8'!Z3</f>
        <v/>
      </c>
    </row>
    <row r="8" spans="1:29" x14ac:dyDescent="0.25">
      <c r="A8" s="2">
        <v>6</v>
      </c>
      <c r="B8" s="6">
        <f>'62dc7b87...555b6b58a73a'!B9</f>
        <v>46244</v>
      </c>
      <c r="C8" s="26" t="str">
        <f>'62dc7b87...555b6b58a73a'!B1</f>
        <v>62dc7b87...555b6b58a73a</v>
      </c>
      <c r="D8" s="2" t="str">
        <f>'62dc7b87...555b6b58a73a'!B2</f>
        <v>Malaysia</v>
      </c>
      <c r="E8" s="2" t="str">
        <f>'62dc7b87...555b6b58a73a'!B3</f>
        <v>Tambadana</v>
      </c>
      <c r="F8" s="2" t="str">
        <f>'62dc7b87...555b6b58a73a'!B8</f>
        <v>0 m. 3 mėn. 0 d.</v>
      </c>
      <c r="G8" s="7">
        <f>'62dc7b87...555b6b58a73a'!B15</f>
        <v>0.159</v>
      </c>
      <c r="H8" s="3">
        <f>'62dc7b87...555b6b58a73a'!B16</f>
        <v>10</v>
      </c>
      <c r="I8" s="6">
        <f>'62dc7b87...555b6b58a73a'!B11</f>
        <v>46336</v>
      </c>
      <c r="J8" s="6" t="str">
        <f>'62dc7b87...555b6b58a73a'!O3</f>
        <v/>
      </c>
      <c r="K8" s="19">
        <f ca="1">'62dc7b87...555b6b58a73a'!B12</f>
        <v>91</v>
      </c>
      <c r="L8" s="19" t="str">
        <f ca="1">'62dc7b87...555b6b58a73a'!P3</f>
        <v/>
      </c>
      <c r="M8" s="3">
        <f>'62dc7b87...555b6b58a73a'!K3</f>
        <v>0</v>
      </c>
      <c r="N8" s="3">
        <f>'62dc7b87...555b6b58a73a'!L3</f>
        <v>0</v>
      </c>
      <c r="O8" s="3">
        <f>'62dc7b87...555b6b58a73a'!M3</f>
        <v>0</v>
      </c>
      <c r="P8" s="10"/>
      <c r="AC8" s="3" t="str">
        <f ca="1">'62dc7b87...555b6b58a73a'!Z3</f>
        <v/>
      </c>
    </row>
    <row r="9" spans="1:29" x14ac:dyDescent="0.25">
      <c r="A9" s="2">
        <v>7</v>
      </c>
      <c r="B9" s="6">
        <f>'63f224f9...dc9a9519a2fb'!B9</f>
        <v>46244</v>
      </c>
      <c r="C9" s="26" t="str">
        <f>'63f224f9...dc9a9519a2fb'!B1</f>
        <v>63f224f9...dc9a9519a2fb</v>
      </c>
      <c r="D9" s="2" t="str">
        <f>'63f224f9...dc9a9519a2fb'!B2</f>
        <v>Malaysia</v>
      </c>
      <c r="E9" s="2" t="str">
        <f>'63f224f9...dc9a9519a2fb'!B3</f>
        <v>Tambadana</v>
      </c>
      <c r="F9" s="2" t="str">
        <f>'63f224f9...dc9a9519a2fb'!B8</f>
        <v>0 m. 3 mėn. 0 d.</v>
      </c>
      <c r="G9" s="7">
        <f>'63f224f9...dc9a9519a2fb'!B15</f>
        <v>0.159</v>
      </c>
      <c r="H9" s="3">
        <f>'63f224f9...dc9a9519a2fb'!B16</f>
        <v>10</v>
      </c>
      <c r="I9" s="6">
        <f>'63f224f9...dc9a9519a2fb'!B11</f>
        <v>46336</v>
      </c>
      <c r="J9" s="6" t="str">
        <f>'63f224f9...dc9a9519a2fb'!O3</f>
        <v/>
      </c>
      <c r="K9" s="19">
        <f ca="1">'63f224f9...dc9a9519a2fb'!B12</f>
        <v>91</v>
      </c>
      <c r="L9" s="19" t="str">
        <f ca="1">'63f224f9...dc9a9519a2fb'!P3</f>
        <v/>
      </c>
      <c r="M9" s="3">
        <f>'63f224f9...dc9a9519a2fb'!K3</f>
        <v>0</v>
      </c>
      <c r="N9" s="3">
        <f>'63f224f9...dc9a9519a2fb'!L3</f>
        <v>0</v>
      </c>
      <c r="O9" s="3">
        <f>'63f224f9...dc9a9519a2fb'!M3</f>
        <v>0</v>
      </c>
      <c r="P9" s="10"/>
      <c r="AC9" s="3" t="str">
        <f ca="1">'63f224f9...dc9a9519a2fb'!Z3</f>
        <v/>
      </c>
    </row>
    <row r="10" spans="1:29" x14ac:dyDescent="0.25">
      <c r="A10" s="2">
        <v>8</v>
      </c>
      <c r="B10" s="6">
        <f>'98b1dfe9...d5d30b41a3c0'!B9</f>
        <v>46244</v>
      </c>
      <c r="C10" s="26" t="str">
        <f>'98b1dfe9...d5d30b41a3c0'!B1</f>
        <v>98b1dfe9...d5d30b41a3c0</v>
      </c>
      <c r="D10" s="2" t="str">
        <f>'98b1dfe9...d5d30b41a3c0'!B2</f>
        <v>Malaysia</v>
      </c>
      <c r="E10" s="2" t="str">
        <f>'98b1dfe9...d5d30b41a3c0'!B3</f>
        <v>Tambadana</v>
      </c>
      <c r="F10" s="2" t="str">
        <f>'98b1dfe9...d5d30b41a3c0'!B8</f>
        <v>0 m. 3 mėn. 0 d.</v>
      </c>
      <c r="G10" s="7">
        <f>'98b1dfe9...d5d30b41a3c0'!B15</f>
        <v>0.159</v>
      </c>
      <c r="H10" s="3">
        <f>'98b1dfe9...d5d30b41a3c0'!B16</f>
        <v>15</v>
      </c>
      <c r="I10" s="6">
        <f>'98b1dfe9...d5d30b41a3c0'!B11</f>
        <v>46336</v>
      </c>
      <c r="J10" s="6" t="str">
        <f>'98b1dfe9...d5d30b41a3c0'!O3</f>
        <v/>
      </c>
      <c r="K10" s="19">
        <f ca="1">'98b1dfe9...d5d30b41a3c0'!B12</f>
        <v>91</v>
      </c>
      <c r="L10" s="19" t="str">
        <f ca="1">'98b1dfe9...d5d30b41a3c0'!P3</f>
        <v/>
      </c>
      <c r="M10" s="3">
        <f>'98b1dfe9...d5d30b41a3c0'!K3</f>
        <v>0</v>
      </c>
      <c r="N10" s="3">
        <f>'98b1dfe9...d5d30b41a3c0'!L3</f>
        <v>0</v>
      </c>
      <c r="O10" s="3">
        <f>'98b1dfe9...d5d30b41a3c0'!M3</f>
        <v>0</v>
      </c>
      <c r="P10" s="10"/>
      <c r="AC10" s="3" t="str">
        <f ca="1">'98b1dfe9...d5d30b41a3c0'!Z3</f>
        <v/>
      </c>
    </row>
    <row r="11" spans="1:29" x14ac:dyDescent="0.25">
      <c r="A11" s="2">
        <v>9</v>
      </c>
      <c r="B11" s="6">
        <f>'eebd7526...eaf278164c4f'!B9</f>
        <v>46244</v>
      </c>
      <c r="C11" s="26" t="str">
        <f>'eebd7526...eaf278164c4f'!B1</f>
        <v>eebd7526...eaf278164c4f</v>
      </c>
      <c r="D11" s="2" t="str">
        <f>'eebd7526...eaf278164c4f'!B2</f>
        <v>Malaysia</v>
      </c>
      <c r="E11" s="2" t="str">
        <f>'eebd7526...eaf278164c4f'!B3</f>
        <v>Tambadana</v>
      </c>
      <c r="F11" s="2" t="str">
        <f>'eebd7526...eaf278164c4f'!B8</f>
        <v>0 m. 3 mėn. 0 d.</v>
      </c>
      <c r="G11" s="7">
        <f>'eebd7526...eaf278164c4f'!B15</f>
        <v>0.159</v>
      </c>
      <c r="H11" s="3">
        <f>'eebd7526...eaf278164c4f'!B16</f>
        <v>15</v>
      </c>
      <c r="I11" s="6">
        <f>'eebd7526...eaf278164c4f'!B11</f>
        <v>46336</v>
      </c>
      <c r="J11" s="6" t="str">
        <f>'eebd7526...eaf278164c4f'!O3</f>
        <v/>
      </c>
      <c r="K11" s="19">
        <f ca="1">'eebd7526...eaf278164c4f'!B12</f>
        <v>91</v>
      </c>
      <c r="L11" s="19" t="str">
        <f ca="1">'eebd7526...eaf278164c4f'!P3</f>
        <v/>
      </c>
      <c r="M11" s="3">
        <f>'eebd7526...eaf278164c4f'!K3</f>
        <v>0</v>
      </c>
      <c r="N11" s="3">
        <f>'eebd7526...eaf278164c4f'!L3</f>
        <v>0</v>
      </c>
      <c r="O11" s="3">
        <f>'eebd7526...eaf278164c4f'!M3</f>
        <v>0</v>
      </c>
      <c r="P11" s="10"/>
      <c r="AC11" s="3" t="str">
        <f ca="1">'eebd7526...eaf278164c4f'!Z3</f>
        <v/>
      </c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39" priority="15">
      <formula>$AC3="+"</formula>
    </cfRule>
    <cfRule type="expression" dxfId="38" priority="16">
      <formula>AND($M3&gt;0,$H3=$M3)</formula>
    </cfRule>
  </conditionalFormatting>
  <conditionalFormatting sqref="AC3:AC27">
    <cfRule type="expression" dxfId="37" priority="2">
      <formula>AND($M3&gt;0,$H3=$M3)</formula>
    </cfRule>
  </conditionalFormatting>
  <conditionalFormatting sqref="AC5:AC11">
    <cfRule type="expression" dxfId="36" priority="1">
      <formula>$AC5="+"</formula>
    </cfRule>
  </conditionalFormatting>
  <hyperlinks>
    <hyperlink ref="C3" location="'6e656686...a6797d30436d-1'!A1" display="'6e656686...a6797d30436d-1'!A1" xr:uid="{87C3E6BC-C2D4-4CD6-83E2-4126641D3546}"/>
    <hyperlink ref="C4" location="'55bc6c86...98a4199721c7'!A1" display="'55bc6c86...98a4199721c7'!A1" xr:uid="{E1A2E8FA-E90A-432F-B098-8C25480A0509}"/>
    <hyperlink ref="C5" location="'c78fc544...c7b919f73c9d'!A1" display="'c78fc544...c7b919f73c9d'!A1" xr:uid="{DD06AB51-16D7-406E-BEFF-B6F40935BA74}"/>
    <hyperlink ref="C6" location="'6e656686...a6797d30436d-2'!A1" display="'6e656686...a6797d30436d-2'!A1" xr:uid="{E78838E4-E5C7-443E-82BB-4777748DBDD8}"/>
    <hyperlink ref="C7" location="'6a2ebaab...04ce88676cf8'!A1" display="'6a2ebaab...04ce88676cf8'!A1" xr:uid="{A45ECDA9-CD3D-488B-8BD0-974ED148F5E4}"/>
    <hyperlink ref="C8" location="'62dc7b87...555b6b58a73a'!A1" display="'62dc7b87...555b6b58a73a'!A1" xr:uid="{CF3F48D9-3FC3-49AA-8DA2-BFA6E5A240F1}"/>
    <hyperlink ref="C9" location="'63f224f9...dc9a9519a2fb'!A1" display="'63f224f9...dc9a9519a2fb'!A1" xr:uid="{6FBE713B-C5C1-4487-AEB0-76FB8384D359}"/>
    <hyperlink ref="C10" location="'98b1dfe9...d5d30b41a3c0'!A1" display="'98b1dfe9...d5d30b41a3c0'!A1" xr:uid="{51C54BD2-6758-450A-BD35-5AEE8C98C71A}"/>
    <hyperlink ref="C11" location="eebd7526...eaf278164c4f!A1" display="eebd7526...eaf278164c4f!A1" xr:uid="{99FD08BF-C515-4DD4-9F3D-763A30898E5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3" sqref="B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46242</v>
      </c>
      <c r="B2" s="3">
        <v>100</v>
      </c>
      <c r="C2" s="3">
        <v>0</v>
      </c>
      <c r="D2" s="3">
        <v>0</v>
      </c>
      <c r="F2" s="3">
        <f>SUM(B2:B35)</f>
        <v>100</v>
      </c>
      <c r="G2" s="3">
        <f>SUM(C2:C35)</f>
        <v>0</v>
      </c>
      <c r="H2" s="3">
        <f>SUM(D2:D14)</f>
        <v>0</v>
      </c>
      <c r="I2" s="3">
        <f>F2-G2</f>
        <v>100</v>
      </c>
      <c r="K2" s="3">
        <f>B2*-1</f>
        <v>-100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46245</v>
      </c>
      <c r="B200" s="1"/>
      <c r="C200" s="1"/>
      <c r="D200" s="1"/>
      <c r="K200" s="3">
        <f>Overview!W3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52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15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15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dimension ref="A1:Z53"/>
  <sheetViews>
    <sheetView workbookViewId="0">
      <selection activeCell="B20" sqref="B2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dimension ref="A1:Z53"/>
  <sheetViews>
    <sheetView tabSelected="1" workbookViewId="0">
      <selection activeCell="B6" sqref="B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54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F12" sqref="F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C5" sqref="C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eebd7526...eaf278164c4f</vt:lpstr>
      <vt:lpstr>98b1dfe9...d5d30b41a3c0</vt:lpstr>
      <vt:lpstr>63f224f9...dc9a9519a2fb</vt:lpstr>
      <vt:lpstr>62dc7b87...555b6b58a73a</vt:lpstr>
      <vt:lpstr>6a2ebaab...04ce88676cf8</vt:lpstr>
      <vt:lpstr>6e656686...a6797d30436d-2</vt:lpstr>
      <vt:lpstr>c78fc544...c7b919f73c9d</vt:lpstr>
      <vt:lpstr>55bc6c86...98a4199721c7</vt:lpstr>
      <vt:lpstr>6e656686...a6797d30436d-1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2026-08-11T18:28:32Z</dcterms:modified>
</cp:coreProperties>
</file>