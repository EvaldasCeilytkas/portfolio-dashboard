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Profitus\"/>
    </mc:Choice>
  </mc:AlternateContent>
  <xr:revisionPtr revIDLastSave="0" documentId="13_ncr:1_{95C90E41-4DBC-4514-9FB8-B93235513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2" r:id="rId2"/>
    <sheet name="Namas Laipu 2, Jūrmala" sheetId="25" r:id="rId3"/>
    <sheet name="Daugiabutis Brivibas 140, Ryga" sheetId="24" r:id="rId4"/>
    <sheet name="Daugiabučiai Lietaviškių g." sheetId="23" r:id="rId5"/>
    <sheet name="Senvagės loftai, Panevėžys VIII" sheetId="22" r:id="rId6"/>
    <sheet name="Dvibučių kvartalas Kauno r. II" sheetId="21" r:id="rId7"/>
    <sheet name="Molėtų Oazė XII" sheetId="20" r:id="rId8"/>
    <sheet name="Europos 70, Kaunas XX" sheetId="19" r:id="rId9"/>
    <sheet name="Brivibas 28, Jūrmala" sheetId="18" r:id="rId10"/>
    <sheet name="Svajonių Daugiabutis, Kaunas" sheetId="17" r:id="rId11"/>
    <sheet name="Golf Hills Vilos, Alikantė" sheetId="16" r:id="rId12"/>
    <sheet name="Sklypas Kalnėnuose, Vilnius II" sheetId="15" r:id="rId13"/>
    <sheet name="Dvibutis Didžiojoje Riešėje" sheetId="14" r:id="rId14"/>
    <sheet name="Piekrasta Rezidence, Ryga XII" sheetId="13" r:id="rId15"/>
    <sheet name="Dvibutis Upelio g., Vilniaus r." sheetId="11" r:id="rId16"/>
    <sheet name="Dvibutis Klevų g." sheetId="10" r:id="rId17"/>
    <sheet name="Dvibutis Upės g." sheetId="9" r:id="rId18"/>
    <sheet name="Vyčio slėnis VIII" sheetId="8" r:id="rId19"/>
    <sheet name="Twinhouse XIII" sheetId="7" r:id="rId20"/>
    <sheet name="Kęstučio salos" sheetId="6" r:id="rId21"/>
    <sheet name="Elfa loftai II" sheetId="5" r:id="rId22"/>
    <sheet name="Piekrasta rezidence" sheetId="4" r:id="rId23"/>
    <sheet name="Bičių slėnis XVII" sheetId="3" r:id="rId24"/>
    <sheet name="Ocean 11 South, II" sheetId="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5" i="1"/>
  <c r="I25" i="1"/>
  <c r="H25" i="1"/>
  <c r="G25" i="1"/>
  <c r="F25" i="1"/>
  <c r="E25" i="1"/>
  <c r="D25" i="1"/>
  <c r="C25" i="1"/>
  <c r="B25" i="1"/>
  <c r="I42" i="25"/>
  <c r="H42" i="25"/>
  <c r="G42" i="25"/>
  <c r="F42" i="25"/>
  <c r="E42" i="25"/>
  <c r="Z41" i="25"/>
  <c r="Y41" i="25"/>
  <c r="K41" i="25"/>
  <c r="Z40" i="25"/>
  <c r="Y40" i="25"/>
  <c r="K40" i="25"/>
  <c r="Z39" i="25"/>
  <c r="Y39" i="25"/>
  <c r="K39" i="25"/>
  <c r="Z38" i="25"/>
  <c r="Y38" i="25"/>
  <c r="K38" i="25"/>
  <c r="Z37" i="25"/>
  <c r="Y37" i="25"/>
  <c r="K37" i="25"/>
  <c r="Z36" i="25"/>
  <c r="Y36" i="25"/>
  <c r="K36" i="25"/>
  <c r="Z35" i="25"/>
  <c r="Y35" i="25"/>
  <c r="K35" i="25"/>
  <c r="Z34" i="25"/>
  <c r="Y34" i="25"/>
  <c r="K34" i="25"/>
  <c r="Z33" i="25"/>
  <c r="Y33" i="25"/>
  <c r="K33" i="25"/>
  <c r="Z32" i="25"/>
  <c r="Y32" i="25"/>
  <c r="K32" i="25"/>
  <c r="Z31" i="25"/>
  <c r="Y31" i="25"/>
  <c r="K31" i="25"/>
  <c r="Z30" i="25"/>
  <c r="Y30" i="25"/>
  <c r="K30" i="25"/>
  <c r="Z29" i="25"/>
  <c r="Y29" i="25"/>
  <c r="K29" i="25"/>
  <c r="Z28" i="25"/>
  <c r="Y28" i="25"/>
  <c r="K28" i="25"/>
  <c r="Z27" i="25"/>
  <c r="Y27" i="25"/>
  <c r="K27" i="25"/>
  <c r="Z26" i="25"/>
  <c r="Y26" i="25"/>
  <c r="K26" i="25"/>
  <c r="Z25" i="25"/>
  <c r="Y25" i="25"/>
  <c r="K25" i="25"/>
  <c r="Z24" i="25"/>
  <c r="Y24" i="25"/>
  <c r="K24" i="25"/>
  <c r="Z23" i="25"/>
  <c r="Y23" i="25"/>
  <c r="K23" i="25"/>
  <c r="Z22" i="25"/>
  <c r="Y22" i="25"/>
  <c r="K22" i="25"/>
  <c r="Z21" i="25"/>
  <c r="Y21" i="25"/>
  <c r="K21" i="25"/>
  <c r="Z20" i="25"/>
  <c r="Y20" i="25"/>
  <c r="K20" i="25"/>
  <c r="Z19" i="25"/>
  <c r="Y19" i="25"/>
  <c r="K19" i="25"/>
  <c r="Z18" i="25"/>
  <c r="Y18" i="25"/>
  <c r="K18" i="25"/>
  <c r="Z17" i="25"/>
  <c r="Y17" i="25"/>
  <c r="K17" i="25"/>
  <c r="Z16" i="25"/>
  <c r="Y16" i="25"/>
  <c r="K16" i="25"/>
  <c r="Z15" i="25"/>
  <c r="Y15" i="25"/>
  <c r="K15" i="25"/>
  <c r="Z14" i="25"/>
  <c r="Y14" i="25"/>
  <c r="K14" i="25"/>
  <c r="Z13" i="25"/>
  <c r="Y13" i="25"/>
  <c r="K13" i="25"/>
  <c r="Z12" i="25"/>
  <c r="Y12" i="25"/>
  <c r="K12" i="25"/>
  <c r="Z11" i="25"/>
  <c r="Y11" i="25"/>
  <c r="K11" i="25"/>
  <c r="Z10" i="25"/>
  <c r="Y10" i="25"/>
  <c r="K10" i="25"/>
  <c r="Z9" i="25"/>
  <c r="Y9" i="25"/>
  <c r="K9" i="25"/>
  <c r="Z8" i="25"/>
  <c r="Y8" i="25"/>
  <c r="K8" i="25"/>
  <c r="Z7" i="25"/>
  <c r="Y7" i="25"/>
  <c r="K7" i="25"/>
  <c r="Z6" i="25"/>
  <c r="Y6" i="25"/>
  <c r="K6" i="25"/>
  <c r="Z5" i="25"/>
  <c r="Y5" i="25"/>
  <c r="K5" i="25"/>
  <c r="Z4" i="25"/>
  <c r="Y4" i="25"/>
  <c r="K4" i="25"/>
  <c r="Z3" i="25"/>
  <c r="Y3" i="25"/>
  <c r="S3" i="25"/>
  <c r="K25" i="1" s="1"/>
  <c r="P3" i="25"/>
  <c r="O3" i="25"/>
  <c r="N3" i="25"/>
  <c r="B13" i="25" s="1"/>
  <c r="J25" i="1" s="1"/>
  <c r="M3" i="25"/>
  <c r="R3" i="25" s="1"/>
  <c r="K3" i="25"/>
  <c r="AA2" i="25"/>
  <c r="Z2" i="25"/>
  <c r="Y2" i="25"/>
  <c r="K2" i="25"/>
  <c r="M24" i="1"/>
  <c r="L24" i="1"/>
  <c r="I24" i="1"/>
  <c r="H24" i="1"/>
  <c r="G24" i="1"/>
  <c r="F24" i="1"/>
  <c r="E24" i="1"/>
  <c r="D24" i="1"/>
  <c r="C24" i="1"/>
  <c r="B24" i="1"/>
  <c r="I42" i="24"/>
  <c r="H42" i="24"/>
  <c r="G42" i="24"/>
  <c r="F42" i="24"/>
  <c r="E42" i="24"/>
  <c r="Z41" i="24"/>
  <c r="Y41" i="24"/>
  <c r="K41" i="24"/>
  <c r="Z40" i="24"/>
  <c r="Y40" i="24"/>
  <c r="K40" i="24"/>
  <c r="Z39" i="24"/>
  <c r="Y39" i="24"/>
  <c r="K39" i="24"/>
  <c r="Z38" i="24"/>
  <c r="Y38" i="24"/>
  <c r="K38" i="24"/>
  <c r="Z37" i="24"/>
  <c r="Y37" i="24"/>
  <c r="K37" i="24"/>
  <c r="Z36" i="24"/>
  <c r="Y36" i="24"/>
  <c r="K36" i="24"/>
  <c r="Z35" i="24"/>
  <c r="Y35" i="24"/>
  <c r="K35" i="24"/>
  <c r="Z34" i="24"/>
  <c r="Y34" i="24"/>
  <c r="K34" i="24"/>
  <c r="Z33" i="24"/>
  <c r="Y33" i="24"/>
  <c r="K33" i="24"/>
  <c r="Z32" i="24"/>
  <c r="Y32" i="24"/>
  <c r="K32" i="24"/>
  <c r="Z31" i="24"/>
  <c r="Y31" i="24"/>
  <c r="K31" i="24"/>
  <c r="Z30" i="24"/>
  <c r="Y30" i="24"/>
  <c r="K30" i="24"/>
  <c r="Z29" i="24"/>
  <c r="Y29" i="24"/>
  <c r="K29" i="24"/>
  <c r="Z28" i="24"/>
  <c r="Y28" i="24"/>
  <c r="K28" i="24"/>
  <c r="Z27" i="24"/>
  <c r="Y27" i="24"/>
  <c r="K27" i="24"/>
  <c r="Z26" i="24"/>
  <c r="Y26" i="24"/>
  <c r="K26" i="24"/>
  <c r="Z25" i="24"/>
  <c r="Y25" i="24"/>
  <c r="K25" i="24"/>
  <c r="Z24" i="24"/>
  <c r="Y24" i="24"/>
  <c r="K24" i="24"/>
  <c r="Z23" i="24"/>
  <c r="Y23" i="24"/>
  <c r="K23" i="24"/>
  <c r="Z22" i="24"/>
  <c r="Y22" i="24"/>
  <c r="K22" i="24"/>
  <c r="Z21" i="24"/>
  <c r="Y21" i="24"/>
  <c r="K21" i="24"/>
  <c r="Z20" i="24"/>
  <c r="Y20" i="24"/>
  <c r="K20" i="24"/>
  <c r="Z19" i="24"/>
  <c r="Y19" i="24"/>
  <c r="K19" i="24"/>
  <c r="Z18" i="24"/>
  <c r="Y18" i="24"/>
  <c r="K18" i="24"/>
  <c r="Z17" i="24"/>
  <c r="Y17" i="24"/>
  <c r="K17" i="24"/>
  <c r="Z16" i="24"/>
  <c r="Y16" i="24"/>
  <c r="K16" i="24"/>
  <c r="Z15" i="24"/>
  <c r="Y15" i="24"/>
  <c r="K15" i="24"/>
  <c r="Z14" i="24"/>
  <c r="Y14" i="24"/>
  <c r="K14" i="24"/>
  <c r="Z13" i="24"/>
  <c r="Y13" i="24"/>
  <c r="K13" i="24"/>
  <c r="B13" i="24"/>
  <c r="J24" i="1" s="1"/>
  <c r="Z12" i="24"/>
  <c r="Y12" i="24"/>
  <c r="K12" i="24"/>
  <c r="Z11" i="24"/>
  <c r="Y11" i="24"/>
  <c r="K11" i="24"/>
  <c r="Z10" i="24"/>
  <c r="Y10" i="24"/>
  <c r="K10" i="24"/>
  <c r="Z9" i="24"/>
  <c r="Y9" i="24"/>
  <c r="K9" i="24"/>
  <c r="Z8" i="24"/>
  <c r="Y8" i="24"/>
  <c r="K8" i="24"/>
  <c r="Z7" i="24"/>
  <c r="Y7" i="24"/>
  <c r="K7" i="24"/>
  <c r="Z6" i="24"/>
  <c r="Y6" i="24"/>
  <c r="K6" i="24"/>
  <c r="Z5" i="24"/>
  <c r="Y5" i="24"/>
  <c r="K5" i="24"/>
  <c r="Z4" i="24"/>
  <c r="Y4" i="24"/>
  <c r="K4" i="24"/>
  <c r="Z3" i="24"/>
  <c r="Y3" i="24"/>
  <c r="S3" i="24"/>
  <c r="K24" i="1" s="1"/>
  <c r="P3" i="24"/>
  <c r="O3" i="24"/>
  <c r="N3" i="24"/>
  <c r="M3" i="24"/>
  <c r="B15" i="24" s="1"/>
  <c r="K3" i="24"/>
  <c r="AA2" i="24"/>
  <c r="Z2" i="24"/>
  <c r="Y2" i="24"/>
  <c r="K2" i="24"/>
  <c r="M23" i="1"/>
  <c r="L23" i="1"/>
  <c r="I23" i="1"/>
  <c r="H23" i="1"/>
  <c r="G23" i="1"/>
  <c r="F23" i="1"/>
  <c r="E23" i="1"/>
  <c r="D23" i="1"/>
  <c r="C23" i="1"/>
  <c r="B23" i="1"/>
  <c r="I42" i="23"/>
  <c r="H42" i="23"/>
  <c r="G42" i="23"/>
  <c r="F42" i="23"/>
  <c r="E42" i="23"/>
  <c r="Z41" i="23"/>
  <c r="Y41" i="23"/>
  <c r="K41" i="23"/>
  <c r="Z40" i="23"/>
  <c r="Y40" i="23"/>
  <c r="K40" i="23"/>
  <c r="Z39" i="23"/>
  <c r="Y39" i="23"/>
  <c r="K39" i="23"/>
  <c r="Z38" i="23"/>
  <c r="Y38" i="23"/>
  <c r="K38" i="23"/>
  <c r="Z37" i="23"/>
  <c r="Y37" i="23"/>
  <c r="K37" i="23"/>
  <c r="Z36" i="23"/>
  <c r="Y36" i="23"/>
  <c r="K36" i="23"/>
  <c r="Z35" i="23"/>
  <c r="Y35" i="23"/>
  <c r="K35" i="23"/>
  <c r="Z34" i="23"/>
  <c r="Y34" i="23"/>
  <c r="K34" i="23"/>
  <c r="Z33" i="23"/>
  <c r="Y33" i="23"/>
  <c r="K33" i="23"/>
  <c r="Z32" i="23"/>
  <c r="Y32" i="23"/>
  <c r="K32" i="23"/>
  <c r="Z31" i="23"/>
  <c r="Y31" i="23"/>
  <c r="K31" i="23"/>
  <c r="Z30" i="23"/>
  <c r="Y30" i="23"/>
  <c r="K30" i="23"/>
  <c r="Z29" i="23"/>
  <c r="Y29" i="23"/>
  <c r="K29" i="23"/>
  <c r="Z28" i="23"/>
  <c r="Y28" i="23"/>
  <c r="K28" i="23"/>
  <c r="Z27" i="23"/>
  <c r="Y27" i="23"/>
  <c r="K27" i="23"/>
  <c r="Z26" i="23"/>
  <c r="Y26" i="23"/>
  <c r="K26" i="23"/>
  <c r="Z25" i="23"/>
  <c r="Y25" i="23"/>
  <c r="K25" i="23"/>
  <c r="Z24" i="23"/>
  <c r="Y24" i="23"/>
  <c r="K24" i="23"/>
  <c r="Z23" i="23"/>
  <c r="Y23" i="23"/>
  <c r="K23" i="23"/>
  <c r="Z22" i="23"/>
  <c r="Y22" i="23"/>
  <c r="K22" i="23"/>
  <c r="Z21" i="23"/>
  <c r="Y21" i="23"/>
  <c r="K21" i="23"/>
  <c r="Z20" i="23"/>
  <c r="Y20" i="23"/>
  <c r="K20" i="23"/>
  <c r="Z19" i="23"/>
  <c r="Y19" i="23"/>
  <c r="K19" i="23"/>
  <c r="Z18" i="23"/>
  <c r="Y18" i="23"/>
  <c r="K18" i="23"/>
  <c r="Z17" i="23"/>
  <c r="Y17" i="23"/>
  <c r="K17" i="23"/>
  <c r="Z16" i="23"/>
  <c r="Y16" i="23"/>
  <c r="K16" i="23"/>
  <c r="Z15" i="23"/>
  <c r="Y15" i="23"/>
  <c r="K15" i="23"/>
  <c r="Z14" i="23"/>
  <c r="Y14" i="23"/>
  <c r="K14" i="23"/>
  <c r="Z13" i="23"/>
  <c r="Y13" i="23"/>
  <c r="K13" i="23"/>
  <c r="Z12" i="23"/>
  <c r="Y12" i="23"/>
  <c r="K12" i="23"/>
  <c r="Z11" i="23"/>
  <c r="Y11" i="23"/>
  <c r="K11" i="23"/>
  <c r="Z10" i="23"/>
  <c r="Y10" i="23"/>
  <c r="K10" i="23"/>
  <c r="Z9" i="23"/>
  <c r="Y9" i="23"/>
  <c r="K9" i="23"/>
  <c r="Z8" i="23"/>
  <c r="Y8" i="23"/>
  <c r="K8" i="23"/>
  <c r="Z7" i="23"/>
  <c r="Y7" i="23"/>
  <c r="K7" i="23"/>
  <c r="Z6" i="23"/>
  <c r="Y6" i="23"/>
  <c r="K6" i="23"/>
  <c r="Z5" i="23"/>
  <c r="Y5" i="23"/>
  <c r="K5" i="23"/>
  <c r="Z4" i="23"/>
  <c r="Y4" i="23"/>
  <c r="K4" i="23"/>
  <c r="Z3" i="23"/>
  <c r="Y3" i="23"/>
  <c r="S3" i="23"/>
  <c r="K23" i="1" s="1"/>
  <c r="P3" i="23"/>
  <c r="O3" i="23"/>
  <c r="N3" i="23"/>
  <c r="M3" i="23"/>
  <c r="Q3" i="23" s="1"/>
  <c r="K3" i="23"/>
  <c r="AA2" i="23"/>
  <c r="Z2" i="23"/>
  <c r="Y2" i="23"/>
  <c r="K2" i="23"/>
  <c r="M20" i="1"/>
  <c r="M22" i="1"/>
  <c r="L22" i="1"/>
  <c r="I22" i="1"/>
  <c r="H22" i="1"/>
  <c r="G22" i="1"/>
  <c r="F22" i="1"/>
  <c r="E22" i="1"/>
  <c r="D22" i="1"/>
  <c r="C22" i="1"/>
  <c r="B22" i="1"/>
  <c r="I42" i="22"/>
  <c r="H42" i="22"/>
  <c r="P3" i="22" s="1"/>
  <c r="G42" i="22"/>
  <c r="N3" i="22" s="1"/>
  <c r="F42" i="22"/>
  <c r="O3" i="22" s="1"/>
  <c r="E42" i="22"/>
  <c r="Z41" i="22"/>
  <c r="Y41" i="22"/>
  <c r="K41" i="22"/>
  <c r="Z40" i="22"/>
  <c r="Y40" i="22"/>
  <c r="K40" i="22"/>
  <c r="Z39" i="22"/>
  <c r="Y39" i="22"/>
  <c r="K39" i="22"/>
  <c r="Z38" i="22"/>
  <c r="Y38" i="22"/>
  <c r="K38" i="22"/>
  <c r="Z37" i="22"/>
  <c r="Y37" i="22"/>
  <c r="K37" i="22"/>
  <c r="Z36" i="22"/>
  <c r="Y36" i="22"/>
  <c r="K36" i="22"/>
  <c r="Z35" i="22"/>
  <c r="Y35" i="22"/>
  <c r="K35" i="22"/>
  <c r="Z34" i="22"/>
  <c r="Y34" i="22"/>
  <c r="K34" i="22"/>
  <c r="Z33" i="22"/>
  <c r="Y33" i="22"/>
  <c r="K33" i="22"/>
  <c r="Z32" i="22"/>
  <c r="Y32" i="22"/>
  <c r="K32" i="22"/>
  <c r="Z31" i="22"/>
  <c r="Y31" i="22"/>
  <c r="K31" i="22"/>
  <c r="Z30" i="22"/>
  <c r="Y30" i="22"/>
  <c r="K30" i="22"/>
  <c r="Z29" i="22"/>
  <c r="Y29" i="22"/>
  <c r="K29" i="22"/>
  <c r="Z28" i="22"/>
  <c r="Y28" i="22"/>
  <c r="K28" i="22"/>
  <c r="Z27" i="22"/>
  <c r="Y27" i="22"/>
  <c r="K27" i="22"/>
  <c r="Z26" i="22"/>
  <c r="Y26" i="22"/>
  <c r="K26" i="22"/>
  <c r="Z25" i="22"/>
  <c r="Y25" i="22"/>
  <c r="K25" i="22"/>
  <c r="Z24" i="22"/>
  <c r="Y24" i="22"/>
  <c r="K24" i="22"/>
  <c r="Z23" i="22"/>
  <c r="Y23" i="22"/>
  <c r="K23" i="22"/>
  <c r="Z22" i="22"/>
  <c r="Y22" i="22"/>
  <c r="K22" i="22"/>
  <c r="Z21" i="22"/>
  <c r="Y21" i="22"/>
  <c r="K21" i="22"/>
  <c r="Z20" i="22"/>
  <c r="Y20" i="22"/>
  <c r="K20" i="22"/>
  <c r="Z19" i="22"/>
  <c r="Y19" i="22"/>
  <c r="K19" i="22"/>
  <c r="Z18" i="22"/>
  <c r="Y18" i="22"/>
  <c r="K18" i="22"/>
  <c r="Z17" i="22"/>
  <c r="Y17" i="22"/>
  <c r="K17" i="22"/>
  <c r="Z16" i="22"/>
  <c r="Y16" i="22"/>
  <c r="K16" i="22"/>
  <c r="Z15" i="22"/>
  <c r="Y15" i="22"/>
  <c r="K15" i="22"/>
  <c r="Z14" i="22"/>
  <c r="Y14" i="22"/>
  <c r="K14" i="22"/>
  <c r="Z13" i="22"/>
  <c r="Y13" i="22"/>
  <c r="K13" i="22"/>
  <c r="Z12" i="22"/>
  <c r="Y12" i="22"/>
  <c r="K12" i="22"/>
  <c r="Z11" i="22"/>
  <c r="Y11" i="22"/>
  <c r="K11" i="22"/>
  <c r="Z10" i="22"/>
  <c r="Y10" i="22"/>
  <c r="K10" i="22"/>
  <c r="Z9" i="22"/>
  <c r="Y9" i="22"/>
  <c r="K9" i="22"/>
  <c r="Z8" i="22"/>
  <c r="Y8" i="22"/>
  <c r="K8" i="22"/>
  <c r="Z7" i="22"/>
  <c r="Y7" i="22"/>
  <c r="K7" i="22"/>
  <c r="Z6" i="22"/>
  <c r="Y6" i="22"/>
  <c r="K6" i="22"/>
  <c r="Z5" i="22"/>
  <c r="Y5" i="22"/>
  <c r="K5" i="22"/>
  <c r="Z4" i="22"/>
  <c r="Y4" i="22"/>
  <c r="K4" i="22"/>
  <c r="Z3" i="22"/>
  <c r="Y3" i="22"/>
  <c r="S3" i="22"/>
  <c r="K22" i="1" s="1"/>
  <c r="M3" i="22"/>
  <c r="K3" i="22"/>
  <c r="AA2" i="22"/>
  <c r="Z2" i="22"/>
  <c r="Y2" i="22"/>
  <c r="K2" i="22"/>
  <c r="Q3" i="9"/>
  <c r="Q3" i="8"/>
  <c r="Q3" i="7"/>
  <c r="Q3" i="6"/>
  <c r="Q3" i="5"/>
  <c r="Q3" i="4"/>
  <c r="Q3" i="3"/>
  <c r="Q3" i="2"/>
  <c r="B15" i="25" l="1"/>
  <c r="Q3" i="25"/>
  <c r="Q3" i="24"/>
  <c r="R3" i="24"/>
  <c r="R3" i="23"/>
  <c r="B15" i="23"/>
  <c r="B13" i="23"/>
  <c r="Q3" i="22"/>
  <c r="B13" i="22"/>
  <c r="B15" i="22"/>
  <c r="R3" i="22"/>
  <c r="Y15" i="2"/>
  <c r="Z15" i="2"/>
  <c r="Y16" i="2"/>
  <c r="Z16" i="2"/>
  <c r="Y17" i="2"/>
  <c r="Z17" i="2"/>
  <c r="Y18" i="2"/>
  <c r="Z18" i="2"/>
  <c r="Y19" i="2"/>
  <c r="Z19" i="2"/>
  <c r="Y20" i="2"/>
  <c r="Z20" i="2"/>
  <c r="Y21" i="2"/>
  <c r="Z21" i="2"/>
  <c r="Y22" i="2"/>
  <c r="Z22" i="2"/>
  <c r="Y23" i="2"/>
  <c r="Z23" i="2"/>
  <c r="Y24" i="2"/>
  <c r="Z24" i="2"/>
  <c r="Y25" i="2"/>
  <c r="Z25" i="2"/>
  <c r="Y26" i="2"/>
  <c r="Z26" i="2"/>
  <c r="Y27" i="2"/>
  <c r="Z27" i="2"/>
  <c r="Y28" i="2"/>
  <c r="Z28" i="2"/>
  <c r="Y29" i="2"/>
  <c r="Z29" i="2"/>
  <c r="Y30" i="2"/>
  <c r="Z30" i="2"/>
  <c r="Y31" i="2"/>
  <c r="Z31" i="2"/>
  <c r="Y32" i="2"/>
  <c r="Z32" i="2"/>
  <c r="Y33" i="2"/>
  <c r="Z33" i="2"/>
  <c r="Y34" i="2"/>
  <c r="Z34" i="2"/>
  <c r="Y35" i="2"/>
  <c r="Z35" i="2"/>
  <c r="Y36" i="2"/>
  <c r="Z36" i="2"/>
  <c r="Y37" i="2"/>
  <c r="Z37" i="2"/>
  <c r="Y38" i="2"/>
  <c r="Z38" i="2"/>
  <c r="Y39" i="2"/>
  <c r="Z39" i="2"/>
  <c r="Y40" i="2"/>
  <c r="Z40" i="2"/>
  <c r="Y41" i="2"/>
  <c r="Z41" i="2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Y33" i="3"/>
  <c r="Z33" i="3"/>
  <c r="Y34" i="3"/>
  <c r="Z34" i="3"/>
  <c r="Y35" i="3"/>
  <c r="Z35" i="3"/>
  <c r="Y36" i="3"/>
  <c r="Z36" i="3"/>
  <c r="Y37" i="3"/>
  <c r="Z37" i="3"/>
  <c r="Y38" i="3"/>
  <c r="Z38" i="3"/>
  <c r="Y39" i="3"/>
  <c r="Z39" i="3"/>
  <c r="Y40" i="3"/>
  <c r="Z40" i="3"/>
  <c r="Y41" i="3"/>
  <c r="Z41" i="3"/>
  <c r="Y15" i="4"/>
  <c r="Z15" i="4"/>
  <c r="Y16" i="4"/>
  <c r="Z16" i="4"/>
  <c r="Y17" i="4"/>
  <c r="Z17" i="4"/>
  <c r="Y18" i="4"/>
  <c r="Z18" i="4"/>
  <c r="Y19" i="4"/>
  <c r="Z19" i="4"/>
  <c r="Y20" i="4"/>
  <c r="Z20" i="4"/>
  <c r="Y21" i="4"/>
  <c r="Z21" i="4"/>
  <c r="Y22" i="4"/>
  <c r="Z22" i="4"/>
  <c r="Y23" i="4"/>
  <c r="Z23" i="4"/>
  <c r="Y24" i="4"/>
  <c r="Z24" i="4"/>
  <c r="Y25" i="4"/>
  <c r="Z25" i="4"/>
  <c r="Y26" i="4"/>
  <c r="Z26" i="4"/>
  <c r="Y27" i="4"/>
  <c r="Z27" i="4"/>
  <c r="Y28" i="4"/>
  <c r="Z28" i="4"/>
  <c r="Y29" i="4"/>
  <c r="Z29" i="4"/>
  <c r="Y30" i="4"/>
  <c r="Z30" i="4"/>
  <c r="Y31" i="4"/>
  <c r="Z31" i="4"/>
  <c r="Y32" i="4"/>
  <c r="Z32" i="4"/>
  <c r="Y33" i="4"/>
  <c r="Z33" i="4"/>
  <c r="Y34" i="4"/>
  <c r="Z34" i="4"/>
  <c r="Y35" i="4"/>
  <c r="Z35" i="4"/>
  <c r="Y36" i="4"/>
  <c r="Z36" i="4"/>
  <c r="Y37" i="4"/>
  <c r="Z37" i="4"/>
  <c r="Y38" i="4"/>
  <c r="Z38" i="4"/>
  <c r="Y39" i="4"/>
  <c r="Z39" i="4"/>
  <c r="Y40" i="4"/>
  <c r="Z40" i="4"/>
  <c r="Y41" i="4"/>
  <c r="Z41" i="4"/>
  <c r="Y15" i="5"/>
  <c r="Z15" i="5"/>
  <c r="Y16" i="5"/>
  <c r="Z16" i="5"/>
  <c r="Y17" i="5"/>
  <c r="Z17" i="5"/>
  <c r="Y18" i="5"/>
  <c r="Z18" i="5"/>
  <c r="Y19" i="5"/>
  <c r="Z19" i="5"/>
  <c r="Y20" i="5"/>
  <c r="Z20" i="5"/>
  <c r="Y21" i="5"/>
  <c r="Z21" i="5"/>
  <c r="Y22" i="5"/>
  <c r="Z22" i="5"/>
  <c r="Y23" i="5"/>
  <c r="Z23" i="5"/>
  <c r="Y24" i="5"/>
  <c r="Z24" i="5"/>
  <c r="Y25" i="5"/>
  <c r="Z25" i="5"/>
  <c r="Y26" i="5"/>
  <c r="Z26" i="5"/>
  <c r="Y27" i="5"/>
  <c r="Z27" i="5"/>
  <c r="Y28" i="5"/>
  <c r="Z28" i="5"/>
  <c r="Y29" i="5"/>
  <c r="Z29" i="5"/>
  <c r="Y30" i="5"/>
  <c r="Z30" i="5"/>
  <c r="Y31" i="5"/>
  <c r="Z31" i="5"/>
  <c r="Y32" i="5"/>
  <c r="Z32" i="5"/>
  <c r="Y33" i="5"/>
  <c r="Z33" i="5"/>
  <c r="Y34" i="5"/>
  <c r="Z34" i="5"/>
  <c r="Y35" i="5"/>
  <c r="Z35" i="5"/>
  <c r="Y36" i="5"/>
  <c r="Z36" i="5"/>
  <c r="Y37" i="5"/>
  <c r="Z37" i="5"/>
  <c r="Y38" i="5"/>
  <c r="Z38" i="5"/>
  <c r="Y39" i="5"/>
  <c r="Z39" i="5"/>
  <c r="Y40" i="5"/>
  <c r="Z40" i="5"/>
  <c r="Y41" i="5"/>
  <c r="Z41" i="5"/>
  <c r="Y15" i="6"/>
  <c r="Z15" i="6"/>
  <c r="Y16" i="6"/>
  <c r="Z16" i="6"/>
  <c r="Y17" i="6"/>
  <c r="Z17" i="6"/>
  <c r="Y18" i="6"/>
  <c r="Z18" i="6"/>
  <c r="Y19" i="6"/>
  <c r="Z19" i="6"/>
  <c r="Y20" i="6"/>
  <c r="Z20" i="6"/>
  <c r="Y21" i="6"/>
  <c r="Z21" i="6"/>
  <c r="Y22" i="6"/>
  <c r="Z22" i="6"/>
  <c r="Y23" i="6"/>
  <c r="Z23" i="6"/>
  <c r="Y24" i="6"/>
  <c r="Z24" i="6"/>
  <c r="Y25" i="6"/>
  <c r="Z25" i="6"/>
  <c r="Y26" i="6"/>
  <c r="Z26" i="6"/>
  <c r="Y27" i="6"/>
  <c r="Z27" i="6"/>
  <c r="Y28" i="6"/>
  <c r="Z28" i="6"/>
  <c r="Y29" i="6"/>
  <c r="Z29" i="6"/>
  <c r="Y30" i="6"/>
  <c r="Z30" i="6"/>
  <c r="Y31" i="6"/>
  <c r="Z31" i="6"/>
  <c r="Y32" i="6"/>
  <c r="Z32" i="6"/>
  <c r="Y33" i="6"/>
  <c r="Z33" i="6"/>
  <c r="Y34" i="6"/>
  <c r="Z34" i="6"/>
  <c r="Y35" i="6"/>
  <c r="Z35" i="6"/>
  <c r="Y36" i="6"/>
  <c r="Z36" i="6"/>
  <c r="Y37" i="6"/>
  <c r="Z37" i="6"/>
  <c r="Y38" i="6"/>
  <c r="Z38" i="6"/>
  <c r="Y39" i="6"/>
  <c r="Z39" i="6"/>
  <c r="Y40" i="6"/>
  <c r="Z40" i="6"/>
  <c r="Y41" i="6"/>
  <c r="Z41" i="6"/>
  <c r="Y15" i="7"/>
  <c r="Z15" i="7"/>
  <c r="Y16" i="7"/>
  <c r="Z16" i="7"/>
  <c r="Y17" i="7"/>
  <c r="Z17" i="7"/>
  <c r="Y18" i="7"/>
  <c r="Z18" i="7"/>
  <c r="Y19" i="7"/>
  <c r="Z19" i="7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Y29" i="7"/>
  <c r="Z29" i="7"/>
  <c r="Y30" i="7"/>
  <c r="Z30" i="7"/>
  <c r="Y31" i="7"/>
  <c r="Z31" i="7"/>
  <c r="Y32" i="7"/>
  <c r="Z32" i="7"/>
  <c r="Y33" i="7"/>
  <c r="Z33" i="7"/>
  <c r="Y34" i="7"/>
  <c r="Z34" i="7"/>
  <c r="Y35" i="7"/>
  <c r="Z35" i="7"/>
  <c r="Y36" i="7"/>
  <c r="Z36" i="7"/>
  <c r="Y37" i="7"/>
  <c r="Z37" i="7"/>
  <c r="Y38" i="7"/>
  <c r="Z38" i="7"/>
  <c r="Y39" i="7"/>
  <c r="Z39" i="7"/>
  <c r="Y40" i="7"/>
  <c r="Z40" i="7"/>
  <c r="Y41" i="7"/>
  <c r="Z41" i="7"/>
  <c r="Y16" i="8"/>
  <c r="Z16" i="8"/>
  <c r="Y17" i="8"/>
  <c r="Z17" i="8"/>
  <c r="Y18" i="8"/>
  <c r="Z18" i="8"/>
  <c r="Y19" i="8"/>
  <c r="Z19" i="8"/>
  <c r="Y20" i="8"/>
  <c r="Z20" i="8"/>
  <c r="Y21" i="8"/>
  <c r="Z21" i="8"/>
  <c r="Y22" i="8"/>
  <c r="Z22" i="8"/>
  <c r="Y23" i="8"/>
  <c r="Z23" i="8"/>
  <c r="Y24" i="8"/>
  <c r="Z24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33" i="8"/>
  <c r="Z33" i="8"/>
  <c r="Y34" i="8"/>
  <c r="Z34" i="8"/>
  <c r="Y35" i="8"/>
  <c r="Z35" i="8"/>
  <c r="Y36" i="8"/>
  <c r="Z36" i="8"/>
  <c r="Y37" i="8"/>
  <c r="Z37" i="8"/>
  <c r="Y38" i="8"/>
  <c r="Z38" i="8"/>
  <c r="Y39" i="8"/>
  <c r="Z39" i="8"/>
  <c r="Y40" i="8"/>
  <c r="Z40" i="8"/>
  <c r="Y41" i="8"/>
  <c r="Z41" i="8"/>
  <c r="Y15" i="9"/>
  <c r="Z15" i="9"/>
  <c r="Y16" i="9"/>
  <c r="Z16" i="9"/>
  <c r="Y17" i="9"/>
  <c r="Z17" i="9"/>
  <c r="Y18" i="9"/>
  <c r="Z18" i="9"/>
  <c r="Y19" i="9"/>
  <c r="Z19" i="9"/>
  <c r="Y20" i="9"/>
  <c r="Z20" i="9"/>
  <c r="Y21" i="9"/>
  <c r="Z21" i="9"/>
  <c r="Y22" i="9"/>
  <c r="Z22" i="9"/>
  <c r="Y23" i="9"/>
  <c r="Z23" i="9"/>
  <c r="Y24" i="9"/>
  <c r="Z24" i="9"/>
  <c r="Y25" i="9"/>
  <c r="Z25" i="9"/>
  <c r="Y26" i="9"/>
  <c r="Z26" i="9"/>
  <c r="Y27" i="9"/>
  <c r="Z27" i="9"/>
  <c r="Y28" i="9"/>
  <c r="Z28" i="9"/>
  <c r="Y29" i="9"/>
  <c r="Z29" i="9"/>
  <c r="Y30" i="9"/>
  <c r="Z30" i="9"/>
  <c r="Y31" i="9"/>
  <c r="Z31" i="9"/>
  <c r="Y32" i="9"/>
  <c r="Z32" i="9"/>
  <c r="Y33" i="9"/>
  <c r="Z33" i="9"/>
  <c r="Y34" i="9"/>
  <c r="Z34" i="9"/>
  <c r="Y35" i="9"/>
  <c r="Z35" i="9"/>
  <c r="Y36" i="9"/>
  <c r="Z36" i="9"/>
  <c r="Y37" i="9"/>
  <c r="Z37" i="9"/>
  <c r="Y38" i="9"/>
  <c r="Z38" i="9"/>
  <c r="Y39" i="9"/>
  <c r="Z39" i="9"/>
  <c r="Y40" i="9"/>
  <c r="Z40" i="9"/>
  <c r="Y41" i="9"/>
  <c r="Z41" i="9"/>
  <c r="Y15" i="10"/>
  <c r="Z15" i="10"/>
  <c r="Y16" i="10"/>
  <c r="Z16" i="10"/>
  <c r="Y17" i="10"/>
  <c r="Z17" i="10"/>
  <c r="Y18" i="10"/>
  <c r="Z18" i="10"/>
  <c r="Y19" i="10"/>
  <c r="Z19" i="10"/>
  <c r="Y20" i="10"/>
  <c r="Z20" i="10"/>
  <c r="Y21" i="10"/>
  <c r="Z21" i="10"/>
  <c r="Y22" i="10"/>
  <c r="Z22" i="10"/>
  <c r="Y23" i="10"/>
  <c r="Z23" i="10"/>
  <c r="Y24" i="10"/>
  <c r="Z24" i="10"/>
  <c r="Y25" i="10"/>
  <c r="Z25" i="10"/>
  <c r="Y26" i="10"/>
  <c r="Z26" i="10"/>
  <c r="Y27" i="10"/>
  <c r="Z27" i="10"/>
  <c r="Y28" i="10"/>
  <c r="Z28" i="10"/>
  <c r="Y29" i="10"/>
  <c r="Z29" i="10"/>
  <c r="Y30" i="10"/>
  <c r="Z30" i="10"/>
  <c r="Y31" i="10"/>
  <c r="Z31" i="10"/>
  <c r="Y32" i="10"/>
  <c r="Z32" i="10"/>
  <c r="Y33" i="10"/>
  <c r="Z33" i="10"/>
  <c r="Y34" i="10"/>
  <c r="Z34" i="10"/>
  <c r="Y35" i="10"/>
  <c r="Z35" i="10"/>
  <c r="Y36" i="10"/>
  <c r="Z36" i="10"/>
  <c r="Y37" i="10"/>
  <c r="Z37" i="10"/>
  <c r="Y38" i="10"/>
  <c r="Z38" i="10"/>
  <c r="Y39" i="10"/>
  <c r="Z39" i="10"/>
  <c r="Y40" i="10"/>
  <c r="Z40" i="10"/>
  <c r="Y41" i="10"/>
  <c r="Z41" i="10"/>
  <c r="Y15" i="11"/>
  <c r="Z15" i="11"/>
  <c r="Y16" i="11"/>
  <c r="Z16" i="11"/>
  <c r="Y17" i="11"/>
  <c r="Z17" i="11"/>
  <c r="Y18" i="11"/>
  <c r="Z18" i="11"/>
  <c r="Y19" i="11"/>
  <c r="Z19" i="11"/>
  <c r="Y20" i="11"/>
  <c r="Z20" i="11"/>
  <c r="Y21" i="11"/>
  <c r="Z21" i="11"/>
  <c r="Y22" i="11"/>
  <c r="Z22" i="11"/>
  <c r="Y23" i="11"/>
  <c r="Z23" i="11"/>
  <c r="Y24" i="11"/>
  <c r="Z24" i="11"/>
  <c r="Y25" i="11"/>
  <c r="Z25" i="11"/>
  <c r="Y26" i="11"/>
  <c r="Z26" i="11"/>
  <c r="Y27" i="11"/>
  <c r="Z27" i="11"/>
  <c r="Y28" i="11"/>
  <c r="Z28" i="11"/>
  <c r="Y29" i="11"/>
  <c r="Z29" i="11"/>
  <c r="Y30" i="11"/>
  <c r="Z30" i="11"/>
  <c r="Y31" i="11"/>
  <c r="Z31" i="11"/>
  <c r="Y32" i="11"/>
  <c r="Z32" i="11"/>
  <c r="Y33" i="11"/>
  <c r="Z33" i="11"/>
  <c r="Y34" i="11"/>
  <c r="Z34" i="11"/>
  <c r="Y35" i="11"/>
  <c r="Z35" i="11"/>
  <c r="Y36" i="11"/>
  <c r="Z36" i="11"/>
  <c r="Y37" i="11"/>
  <c r="Z37" i="11"/>
  <c r="Y38" i="11"/>
  <c r="Z38" i="11"/>
  <c r="Y39" i="11"/>
  <c r="Z39" i="11"/>
  <c r="Y40" i="11"/>
  <c r="Z40" i="11"/>
  <c r="Y41" i="11"/>
  <c r="Z41" i="11"/>
  <c r="Y15" i="13"/>
  <c r="Z15" i="13"/>
  <c r="Y16" i="13"/>
  <c r="Z16" i="13"/>
  <c r="Y17" i="13"/>
  <c r="Z17" i="13"/>
  <c r="Y18" i="13"/>
  <c r="Z18" i="13"/>
  <c r="Y19" i="13"/>
  <c r="Z19" i="13"/>
  <c r="Y20" i="13"/>
  <c r="Z20" i="13"/>
  <c r="Y21" i="13"/>
  <c r="Z21" i="13"/>
  <c r="Y22" i="13"/>
  <c r="Z22" i="13"/>
  <c r="Y23" i="13"/>
  <c r="Z23" i="13"/>
  <c r="Y24" i="13"/>
  <c r="Z24" i="13"/>
  <c r="Y25" i="13"/>
  <c r="Z25" i="13"/>
  <c r="Y26" i="13"/>
  <c r="Z26" i="13"/>
  <c r="Y27" i="13"/>
  <c r="Z27" i="13"/>
  <c r="Y28" i="13"/>
  <c r="Z28" i="13"/>
  <c r="Y29" i="13"/>
  <c r="Z29" i="13"/>
  <c r="Y30" i="13"/>
  <c r="Z30" i="13"/>
  <c r="Y31" i="13"/>
  <c r="Z31" i="13"/>
  <c r="Y32" i="13"/>
  <c r="Z32" i="13"/>
  <c r="Y33" i="13"/>
  <c r="Z33" i="13"/>
  <c r="Y34" i="13"/>
  <c r="Z34" i="13"/>
  <c r="Y35" i="13"/>
  <c r="Z35" i="13"/>
  <c r="Y36" i="13"/>
  <c r="Z36" i="13"/>
  <c r="Y37" i="13"/>
  <c r="Z37" i="13"/>
  <c r="Y38" i="13"/>
  <c r="Z38" i="13"/>
  <c r="Y39" i="13"/>
  <c r="Z39" i="13"/>
  <c r="Y40" i="13"/>
  <c r="Z40" i="13"/>
  <c r="Y41" i="13"/>
  <c r="Z41" i="13"/>
  <c r="Y15" i="14"/>
  <c r="Z15" i="14"/>
  <c r="Y16" i="14"/>
  <c r="Z16" i="14"/>
  <c r="Y17" i="14"/>
  <c r="Z17" i="14"/>
  <c r="Y18" i="14"/>
  <c r="Z18" i="14"/>
  <c r="Y19" i="14"/>
  <c r="Z19" i="14"/>
  <c r="Y20" i="14"/>
  <c r="Z20" i="14"/>
  <c r="Y21" i="14"/>
  <c r="Z21" i="14"/>
  <c r="Y22" i="14"/>
  <c r="Z22" i="14"/>
  <c r="Y23" i="14"/>
  <c r="Z23" i="14"/>
  <c r="Y24" i="14"/>
  <c r="Z24" i="14"/>
  <c r="Y25" i="14"/>
  <c r="Z25" i="14"/>
  <c r="Y26" i="14"/>
  <c r="Z26" i="14"/>
  <c r="Y27" i="14"/>
  <c r="Z27" i="14"/>
  <c r="Y28" i="14"/>
  <c r="Z28" i="14"/>
  <c r="Y29" i="14"/>
  <c r="Z29" i="14"/>
  <c r="Y30" i="14"/>
  <c r="Z30" i="14"/>
  <c r="Y31" i="14"/>
  <c r="Z31" i="14"/>
  <c r="Y32" i="14"/>
  <c r="Z32" i="14"/>
  <c r="Y33" i="14"/>
  <c r="Z33" i="14"/>
  <c r="Y34" i="14"/>
  <c r="Z34" i="14"/>
  <c r="Y35" i="14"/>
  <c r="Z35" i="14"/>
  <c r="Y36" i="14"/>
  <c r="Z36" i="14"/>
  <c r="Y37" i="14"/>
  <c r="Z37" i="14"/>
  <c r="Y38" i="14"/>
  <c r="Z38" i="14"/>
  <c r="Y39" i="14"/>
  <c r="Z39" i="14"/>
  <c r="Y40" i="14"/>
  <c r="Z40" i="14"/>
  <c r="Y41" i="14"/>
  <c r="Z41" i="14"/>
  <c r="Y15" i="15"/>
  <c r="Z15" i="15"/>
  <c r="Y16" i="15"/>
  <c r="Z16" i="15"/>
  <c r="Y17" i="15"/>
  <c r="Z17" i="15"/>
  <c r="Y18" i="15"/>
  <c r="Z18" i="15"/>
  <c r="Y19" i="15"/>
  <c r="Z19" i="15"/>
  <c r="Y20" i="15"/>
  <c r="Z20" i="15"/>
  <c r="Y21" i="15"/>
  <c r="Z21" i="15"/>
  <c r="Y22" i="15"/>
  <c r="Z22" i="15"/>
  <c r="Y23" i="15"/>
  <c r="Z23" i="15"/>
  <c r="Y24" i="15"/>
  <c r="Z24" i="15"/>
  <c r="Y25" i="15"/>
  <c r="Z25" i="15"/>
  <c r="Y26" i="15"/>
  <c r="Z26" i="15"/>
  <c r="Y27" i="15"/>
  <c r="Z27" i="15"/>
  <c r="Y28" i="15"/>
  <c r="Z28" i="15"/>
  <c r="Y29" i="15"/>
  <c r="Z29" i="15"/>
  <c r="Y30" i="15"/>
  <c r="Z30" i="15"/>
  <c r="Y31" i="15"/>
  <c r="Z31" i="15"/>
  <c r="Y32" i="15"/>
  <c r="Z32" i="15"/>
  <c r="Y33" i="15"/>
  <c r="Z33" i="15"/>
  <c r="Y34" i="15"/>
  <c r="Z34" i="15"/>
  <c r="Y35" i="15"/>
  <c r="Z35" i="15"/>
  <c r="Y36" i="15"/>
  <c r="Z36" i="15"/>
  <c r="Y37" i="15"/>
  <c r="Z37" i="15"/>
  <c r="Y38" i="15"/>
  <c r="Z38" i="15"/>
  <c r="Y39" i="15"/>
  <c r="Z39" i="15"/>
  <c r="Y40" i="15"/>
  <c r="Z40" i="15"/>
  <c r="Y41" i="15"/>
  <c r="Z41" i="15"/>
  <c r="Y15" i="16"/>
  <c r="Z15" i="16"/>
  <c r="Y16" i="16"/>
  <c r="Z16" i="16"/>
  <c r="Y17" i="16"/>
  <c r="Z17" i="16"/>
  <c r="Y18" i="16"/>
  <c r="Z18" i="16"/>
  <c r="Y19" i="16"/>
  <c r="Z19" i="16"/>
  <c r="Y20" i="16"/>
  <c r="Z20" i="16"/>
  <c r="Y21" i="16"/>
  <c r="Z21" i="16"/>
  <c r="Y22" i="16"/>
  <c r="Z22" i="16"/>
  <c r="Y23" i="16"/>
  <c r="Z23" i="16"/>
  <c r="Y24" i="16"/>
  <c r="Z24" i="16"/>
  <c r="Y25" i="16"/>
  <c r="Z25" i="16"/>
  <c r="Y26" i="16"/>
  <c r="Z26" i="16"/>
  <c r="Y27" i="16"/>
  <c r="Z27" i="16"/>
  <c r="Y28" i="16"/>
  <c r="Z28" i="16"/>
  <c r="Y29" i="16"/>
  <c r="Z29" i="16"/>
  <c r="Y30" i="16"/>
  <c r="Z30" i="16"/>
  <c r="Y31" i="16"/>
  <c r="Z31" i="16"/>
  <c r="Y32" i="16"/>
  <c r="Z32" i="16"/>
  <c r="Y33" i="16"/>
  <c r="Z33" i="16"/>
  <c r="Y34" i="16"/>
  <c r="Z34" i="16"/>
  <c r="Y35" i="16"/>
  <c r="Z35" i="16"/>
  <c r="Y36" i="16"/>
  <c r="Z36" i="16"/>
  <c r="Y37" i="16"/>
  <c r="Z37" i="16"/>
  <c r="Y38" i="16"/>
  <c r="Z38" i="16"/>
  <c r="Y39" i="16"/>
  <c r="Z39" i="16"/>
  <c r="Y40" i="16"/>
  <c r="Z40" i="16"/>
  <c r="Y41" i="16"/>
  <c r="Z41" i="16"/>
  <c r="Y15" i="17"/>
  <c r="Z15" i="17"/>
  <c r="Y16" i="17"/>
  <c r="Z16" i="17"/>
  <c r="Y17" i="17"/>
  <c r="Z17" i="17"/>
  <c r="Y18" i="17"/>
  <c r="Z18" i="17"/>
  <c r="Y19" i="17"/>
  <c r="Z19" i="17"/>
  <c r="Y20" i="17"/>
  <c r="Z20" i="17"/>
  <c r="Y21" i="17"/>
  <c r="Z21" i="17"/>
  <c r="Y22" i="17"/>
  <c r="Z22" i="17"/>
  <c r="Y23" i="17"/>
  <c r="Z23" i="17"/>
  <c r="Y24" i="17"/>
  <c r="Z24" i="17"/>
  <c r="Y25" i="17"/>
  <c r="Z25" i="17"/>
  <c r="Y26" i="17"/>
  <c r="Z26" i="17"/>
  <c r="Y27" i="17"/>
  <c r="Z27" i="17"/>
  <c r="Y28" i="17"/>
  <c r="Z28" i="17"/>
  <c r="Y29" i="17"/>
  <c r="Z29" i="17"/>
  <c r="Y30" i="17"/>
  <c r="Z30" i="17"/>
  <c r="Y31" i="17"/>
  <c r="Z31" i="17"/>
  <c r="Y32" i="17"/>
  <c r="Z32" i="17"/>
  <c r="Y33" i="17"/>
  <c r="Z33" i="17"/>
  <c r="Y34" i="17"/>
  <c r="Z34" i="17"/>
  <c r="Y35" i="17"/>
  <c r="Z35" i="17"/>
  <c r="Y36" i="17"/>
  <c r="Z36" i="17"/>
  <c r="Y37" i="17"/>
  <c r="Z37" i="17"/>
  <c r="Y38" i="17"/>
  <c r="Z38" i="17"/>
  <c r="Y39" i="17"/>
  <c r="Z39" i="17"/>
  <c r="Y40" i="17"/>
  <c r="Z40" i="17"/>
  <c r="Y41" i="17"/>
  <c r="Z41" i="17"/>
  <c r="Y41" i="18"/>
  <c r="Z41" i="18"/>
  <c r="Y15" i="18"/>
  <c r="Z15" i="18"/>
  <c r="Y16" i="18"/>
  <c r="Z16" i="18"/>
  <c r="Y17" i="18"/>
  <c r="Z17" i="18"/>
  <c r="Y18" i="18"/>
  <c r="Z18" i="18"/>
  <c r="Y19" i="18"/>
  <c r="Z19" i="18"/>
  <c r="Y20" i="18"/>
  <c r="Z20" i="18"/>
  <c r="Y21" i="18"/>
  <c r="Z21" i="18"/>
  <c r="Y22" i="18"/>
  <c r="Z22" i="18"/>
  <c r="Y23" i="18"/>
  <c r="Z23" i="18"/>
  <c r="Y24" i="18"/>
  <c r="Z24" i="18"/>
  <c r="Y25" i="18"/>
  <c r="Z25" i="18"/>
  <c r="Y26" i="18"/>
  <c r="Z26" i="18"/>
  <c r="Y27" i="18"/>
  <c r="Z27" i="18"/>
  <c r="Y28" i="18"/>
  <c r="Z28" i="18"/>
  <c r="Y29" i="18"/>
  <c r="Z29" i="18"/>
  <c r="Y30" i="18"/>
  <c r="Z30" i="18"/>
  <c r="Y31" i="18"/>
  <c r="Z31" i="18"/>
  <c r="Y32" i="18"/>
  <c r="Z32" i="18"/>
  <c r="Y33" i="18"/>
  <c r="Z33" i="18"/>
  <c r="Y34" i="18"/>
  <c r="Z34" i="18"/>
  <c r="Y35" i="18"/>
  <c r="Z35" i="18"/>
  <c r="Y36" i="18"/>
  <c r="Z36" i="18"/>
  <c r="Y37" i="18"/>
  <c r="Z37" i="18"/>
  <c r="Y38" i="18"/>
  <c r="Z38" i="18"/>
  <c r="Y39" i="18"/>
  <c r="Z39" i="18"/>
  <c r="Y40" i="18"/>
  <c r="Z40" i="18"/>
  <c r="Y41" i="19"/>
  <c r="Z41" i="19"/>
  <c r="Y15" i="19"/>
  <c r="Z15" i="19"/>
  <c r="Y16" i="19"/>
  <c r="Z16" i="19"/>
  <c r="Y17" i="19"/>
  <c r="Z17" i="19"/>
  <c r="Y18" i="19"/>
  <c r="Z18" i="19"/>
  <c r="Y19" i="19"/>
  <c r="Z19" i="19"/>
  <c r="Y20" i="19"/>
  <c r="Z20" i="19"/>
  <c r="Y21" i="19"/>
  <c r="Z21" i="19"/>
  <c r="Y22" i="19"/>
  <c r="Z22" i="19"/>
  <c r="Y23" i="19"/>
  <c r="Z23" i="19"/>
  <c r="Y24" i="19"/>
  <c r="Z24" i="19"/>
  <c r="Y25" i="19"/>
  <c r="Z25" i="19"/>
  <c r="Y26" i="19"/>
  <c r="Z26" i="19"/>
  <c r="Y27" i="19"/>
  <c r="Z27" i="19"/>
  <c r="Y28" i="19"/>
  <c r="Z28" i="19"/>
  <c r="Y29" i="19"/>
  <c r="Z29" i="19"/>
  <c r="Y30" i="19"/>
  <c r="Z30" i="19"/>
  <c r="Y31" i="19"/>
  <c r="Z31" i="19"/>
  <c r="Y32" i="19"/>
  <c r="Z32" i="19"/>
  <c r="Y33" i="19"/>
  <c r="Z33" i="19"/>
  <c r="Y34" i="19"/>
  <c r="Z34" i="19"/>
  <c r="Y35" i="19"/>
  <c r="Z35" i="19"/>
  <c r="Y36" i="19"/>
  <c r="Z36" i="19"/>
  <c r="Y37" i="19"/>
  <c r="Z37" i="19"/>
  <c r="Y38" i="19"/>
  <c r="Z38" i="19"/>
  <c r="Y39" i="19"/>
  <c r="Z39" i="19"/>
  <c r="Y40" i="19"/>
  <c r="Z40" i="19"/>
  <c r="Y15" i="20"/>
  <c r="Z15" i="20"/>
  <c r="Y16" i="20"/>
  <c r="Z16" i="20"/>
  <c r="Y17" i="20"/>
  <c r="Z17" i="20"/>
  <c r="Y18" i="20"/>
  <c r="Z18" i="20"/>
  <c r="Y19" i="20"/>
  <c r="Z19" i="20"/>
  <c r="Y20" i="20"/>
  <c r="Z20" i="20"/>
  <c r="Y21" i="20"/>
  <c r="Z21" i="20"/>
  <c r="Y22" i="20"/>
  <c r="Z22" i="20"/>
  <c r="Y23" i="20"/>
  <c r="Z23" i="20"/>
  <c r="Y24" i="20"/>
  <c r="Z24" i="20"/>
  <c r="Y25" i="20"/>
  <c r="Z25" i="20"/>
  <c r="Y26" i="20"/>
  <c r="Z26" i="20"/>
  <c r="Y27" i="20"/>
  <c r="Z27" i="20"/>
  <c r="Y28" i="20"/>
  <c r="Z28" i="20"/>
  <c r="Y29" i="20"/>
  <c r="Z29" i="20"/>
  <c r="Y30" i="20"/>
  <c r="Z30" i="20"/>
  <c r="Y31" i="20"/>
  <c r="Z31" i="20"/>
  <c r="Y32" i="20"/>
  <c r="Z32" i="20"/>
  <c r="Y33" i="20"/>
  <c r="Z33" i="20"/>
  <c r="Y34" i="20"/>
  <c r="Z34" i="20"/>
  <c r="Y35" i="20"/>
  <c r="Z35" i="20"/>
  <c r="Y36" i="20"/>
  <c r="Z36" i="20"/>
  <c r="Y37" i="20"/>
  <c r="Z37" i="20"/>
  <c r="Y38" i="20"/>
  <c r="Z38" i="20"/>
  <c r="Y39" i="20"/>
  <c r="Z39" i="20"/>
  <c r="Y40" i="20"/>
  <c r="Z40" i="20"/>
  <c r="Y41" i="20"/>
  <c r="Z41" i="20"/>
  <c r="Y15" i="21"/>
  <c r="Z15" i="21"/>
  <c r="Y16" i="21"/>
  <c r="Z16" i="21"/>
  <c r="Y17" i="21"/>
  <c r="Z17" i="21"/>
  <c r="Y18" i="21"/>
  <c r="Z18" i="21"/>
  <c r="Y19" i="21"/>
  <c r="Z19" i="21"/>
  <c r="Y20" i="21"/>
  <c r="Z20" i="21"/>
  <c r="Y21" i="21"/>
  <c r="Z21" i="21"/>
  <c r="Y22" i="21"/>
  <c r="Z22" i="21"/>
  <c r="Y23" i="21"/>
  <c r="Z23" i="21"/>
  <c r="Y24" i="21"/>
  <c r="Z24" i="21"/>
  <c r="Y25" i="21"/>
  <c r="Z25" i="21"/>
  <c r="Y26" i="21"/>
  <c r="Z26" i="21"/>
  <c r="Y27" i="21"/>
  <c r="Z27" i="21"/>
  <c r="Y28" i="21"/>
  <c r="Z28" i="21"/>
  <c r="Y29" i="21"/>
  <c r="Z29" i="21"/>
  <c r="Y30" i="21"/>
  <c r="Z30" i="21"/>
  <c r="Y31" i="21"/>
  <c r="Z31" i="21"/>
  <c r="Y32" i="21"/>
  <c r="Z32" i="21"/>
  <c r="Y33" i="21"/>
  <c r="Z33" i="21"/>
  <c r="Y34" i="21"/>
  <c r="Z34" i="21"/>
  <c r="Y35" i="21"/>
  <c r="Z35" i="21"/>
  <c r="Y36" i="21"/>
  <c r="Z36" i="21"/>
  <c r="Y37" i="21"/>
  <c r="Z37" i="21"/>
  <c r="Y38" i="21"/>
  <c r="Z38" i="21"/>
  <c r="Y39" i="21"/>
  <c r="Z39" i="21"/>
  <c r="Y40" i="21"/>
  <c r="Z40" i="21"/>
  <c r="Y41" i="21"/>
  <c r="Z41" i="21"/>
  <c r="I11" i="1"/>
  <c r="I10" i="1"/>
  <c r="I9" i="1"/>
  <c r="I8" i="1"/>
  <c r="I7" i="1"/>
  <c r="I6" i="1"/>
  <c r="I5" i="1"/>
  <c r="I4" i="1"/>
  <c r="I3" i="1"/>
  <c r="O3" i="21"/>
  <c r="I42" i="21"/>
  <c r="H42" i="21"/>
  <c r="G42" i="21"/>
  <c r="N3" i="21" s="1"/>
  <c r="F42" i="21"/>
  <c r="E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O3" i="20"/>
  <c r="I42" i="20"/>
  <c r="H42" i="20"/>
  <c r="P3" i="20" s="1"/>
  <c r="G42" i="20"/>
  <c r="N3" i="20" s="1"/>
  <c r="F42" i="20"/>
  <c r="E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O3" i="19"/>
  <c r="I42" i="19"/>
  <c r="H42" i="19"/>
  <c r="G42" i="19"/>
  <c r="N3" i="19" s="1"/>
  <c r="F42" i="19"/>
  <c r="E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I42" i="18"/>
  <c r="H42" i="18"/>
  <c r="G42" i="18"/>
  <c r="N3" i="18" s="1"/>
  <c r="F42" i="18"/>
  <c r="O3" i="18" s="1"/>
  <c r="E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I42" i="17"/>
  <c r="H42" i="17"/>
  <c r="G42" i="17"/>
  <c r="N3" i="17" s="1"/>
  <c r="F42" i="17"/>
  <c r="O3" i="17" s="1"/>
  <c r="E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O3" i="16"/>
  <c r="I42" i="16"/>
  <c r="H42" i="16"/>
  <c r="G42" i="16"/>
  <c r="N3" i="16" s="1"/>
  <c r="F42" i="16"/>
  <c r="E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I42" i="15"/>
  <c r="H42" i="15"/>
  <c r="G42" i="15"/>
  <c r="N3" i="15" s="1"/>
  <c r="F42" i="15"/>
  <c r="O3" i="15" s="1"/>
  <c r="E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O3" i="14"/>
  <c r="S3" i="14"/>
  <c r="I42" i="14"/>
  <c r="H42" i="14"/>
  <c r="G42" i="14"/>
  <c r="N3" i="14" s="1"/>
  <c r="F42" i="14"/>
  <c r="E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J23" i="1" l="1"/>
  <c r="J22" i="1"/>
  <c r="P3" i="14"/>
  <c r="R3" i="14"/>
  <c r="I14" i="1" s="1"/>
  <c r="P3" i="16"/>
  <c r="R3" i="16"/>
  <c r="Q3" i="16"/>
  <c r="P3" i="17"/>
  <c r="Q3" i="17"/>
  <c r="R3" i="17"/>
  <c r="I17" i="1" s="1"/>
  <c r="P3" i="19"/>
  <c r="R3" i="19"/>
  <c r="Q3" i="19"/>
  <c r="P3" i="21"/>
  <c r="Q3" i="21"/>
  <c r="R3" i="21"/>
  <c r="P3" i="15"/>
  <c r="R3" i="15"/>
  <c r="I15" i="1" s="1"/>
  <c r="Q3" i="15"/>
  <c r="P3" i="18"/>
  <c r="Q3" i="18"/>
  <c r="R3" i="18"/>
  <c r="R3" i="20"/>
  <c r="O3" i="13"/>
  <c r="I42" i="13"/>
  <c r="H42" i="13"/>
  <c r="P3" i="13" s="1"/>
  <c r="G42" i="13"/>
  <c r="N3" i="13" s="1"/>
  <c r="F42" i="13"/>
  <c r="E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I42" i="11"/>
  <c r="P3" i="11" s="1"/>
  <c r="H42" i="11"/>
  <c r="G42" i="11"/>
  <c r="N3" i="11" s="1"/>
  <c r="F42" i="11"/>
  <c r="O3" i="11" s="1"/>
  <c r="E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I42" i="10"/>
  <c r="H42" i="10"/>
  <c r="P3" i="10" s="1"/>
  <c r="G42" i="10"/>
  <c r="N3" i="10" s="1"/>
  <c r="Q3" i="10" s="1"/>
  <c r="F42" i="10"/>
  <c r="O3" i="10" s="1"/>
  <c r="E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P3" i="9"/>
  <c r="O3" i="9"/>
  <c r="N3" i="9"/>
  <c r="I42" i="9"/>
  <c r="H42" i="9"/>
  <c r="G42" i="9"/>
  <c r="F42" i="9"/>
  <c r="E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P3" i="8"/>
  <c r="O3" i="8"/>
  <c r="N3" i="8"/>
  <c r="I42" i="8"/>
  <c r="H42" i="8"/>
  <c r="G42" i="8"/>
  <c r="F42" i="8"/>
  <c r="E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P3" i="7"/>
  <c r="O3" i="7"/>
  <c r="I42" i="7"/>
  <c r="H42" i="7"/>
  <c r="G42" i="7"/>
  <c r="N3" i="7" s="1"/>
  <c r="F42" i="7"/>
  <c r="E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P3" i="6"/>
  <c r="O3" i="6"/>
  <c r="N3" i="6"/>
  <c r="I42" i="6"/>
  <c r="H42" i="6"/>
  <c r="G42" i="6"/>
  <c r="F42" i="6"/>
  <c r="E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P3" i="5"/>
  <c r="O3" i="5"/>
  <c r="N3" i="5"/>
  <c r="I42" i="5"/>
  <c r="H42" i="5"/>
  <c r="G42" i="5"/>
  <c r="F42" i="5"/>
  <c r="E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I42" i="4"/>
  <c r="H42" i="4"/>
  <c r="G42" i="4"/>
  <c r="F42" i="4"/>
  <c r="E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N3" i="4"/>
  <c r="O3" i="4"/>
  <c r="P3" i="4"/>
  <c r="P3" i="3"/>
  <c r="P3" i="2"/>
  <c r="O3" i="3"/>
  <c r="N3" i="3"/>
  <c r="I42" i="3"/>
  <c r="H42" i="3"/>
  <c r="G42" i="3"/>
  <c r="F42" i="3"/>
  <c r="E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O3" i="2"/>
  <c r="N3" i="2"/>
  <c r="I42" i="2"/>
  <c r="H42" i="2"/>
  <c r="G42" i="2"/>
  <c r="F42" i="2"/>
  <c r="E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A200" i="12"/>
  <c r="K3" i="12"/>
  <c r="K4" i="12"/>
  <c r="K5" i="12"/>
  <c r="K6" i="12"/>
  <c r="K7" i="12"/>
  <c r="K8" i="12"/>
  <c r="K9" i="12"/>
  <c r="K10" i="12"/>
  <c r="K11" i="12"/>
  <c r="K12" i="12"/>
  <c r="K13" i="12"/>
  <c r="K2" i="12"/>
  <c r="H21" i="1"/>
  <c r="G21" i="1"/>
  <c r="F21" i="1"/>
  <c r="E21" i="1"/>
  <c r="D21" i="1"/>
  <c r="C21" i="1"/>
  <c r="B21" i="1"/>
  <c r="Z14" i="21"/>
  <c r="Y14" i="21"/>
  <c r="M21" i="1"/>
  <c r="Z13" i="21"/>
  <c r="Y13" i="21"/>
  <c r="K13" i="21"/>
  <c r="Z12" i="21"/>
  <c r="Y12" i="21"/>
  <c r="K12" i="21"/>
  <c r="Z11" i="21"/>
  <c r="Y11" i="21"/>
  <c r="K11" i="21"/>
  <c r="Z10" i="21"/>
  <c r="Y10" i="21"/>
  <c r="K10" i="21"/>
  <c r="Z9" i="21"/>
  <c r="Y9" i="21"/>
  <c r="K9" i="21"/>
  <c r="Z8" i="21"/>
  <c r="Y8" i="21"/>
  <c r="K8" i="21"/>
  <c r="Z7" i="21"/>
  <c r="Y7" i="21"/>
  <c r="K7" i="21"/>
  <c r="Z6" i="21"/>
  <c r="Y6" i="21"/>
  <c r="K6" i="21"/>
  <c r="Z5" i="21"/>
  <c r="Y5" i="21"/>
  <c r="K5" i="21"/>
  <c r="Z4" i="21"/>
  <c r="Y4" i="21"/>
  <c r="K4" i="21"/>
  <c r="Z3" i="21"/>
  <c r="Y3" i="21"/>
  <c r="S3" i="21"/>
  <c r="M3" i="21"/>
  <c r="K3" i="21"/>
  <c r="AA2" i="21"/>
  <c r="AC21" i="1" s="1"/>
  <c r="Z2" i="21"/>
  <c r="Y2" i="21"/>
  <c r="K2" i="21"/>
  <c r="L20" i="1"/>
  <c r="H20" i="1"/>
  <c r="G20" i="1"/>
  <c r="F20" i="1"/>
  <c r="E20" i="1"/>
  <c r="D20" i="1"/>
  <c r="C20" i="1"/>
  <c r="B20" i="1"/>
  <c r="Z14" i="20"/>
  <c r="Y14" i="20"/>
  <c r="Z13" i="20"/>
  <c r="Y13" i="20"/>
  <c r="K13" i="20"/>
  <c r="Z12" i="20"/>
  <c r="Y12" i="20"/>
  <c r="K12" i="20"/>
  <c r="Z11" i="20"/>
  <c r="Y11" i="20"/>
  <c r="K11" i="20"/>
  <c r="Z10" i="20"/>
  <c r="Y10" i="20"/>
  <c r="K10" i="20"/>
  <c r="Z9" i="20"/>
  <c r="Y9" i="20"/>
  <c r="K9" i="20"/>
  <c r="Z8" i="20"/>
  <c r="Y8" i="20"/>
  <c r="K8" i="20"/>
  <c r="Z7" i="20"/>
  <c r="Y7" i="20"/>
  <c r="K7" i="20"/>
  <c r="Z6" i="20"/>
  <c r="Q3" i="20" s="1"/>
  <c r="Y6" i="20"/>
  <c r="K6" i="20"/>
  <c r="Z5" i="20"/>
  <c r="Y5" i="20"/>
  <c r="K5" i="20"/>
  <c r="Z4" i="20"/>
  <c r="Y4" i="20"/>
  <c r="K4" i="20"/>
  <c r="Z3" i="20"/>
  <c r="Y3" i="20"/>
  <c r="S3" i="20"/>
  <c r="M3" i="20"/>
  <c r="K3" i="20"/>
  <c r="AA2" i="20"/>
  <c r="Z2" i="20"/>
  <c r="Y2" i="20"/>
  <c r="K2" i="20"/>
  <c r="Z14" i="2"/>
  <c r="Y14" i="2"/>
  <c r="Z13" i="2"/>
  <c r="Y13" i="2"/>
  <c r="Z12" i="2"/>
  <c r="Y12" i="2"/>
  <c r="K12" i="2"/>
  <c r="Z11" i="2"/>
  <c r="Y11" i="2"/>
  <c r="K11" i="2"/>
  <c r="Z10" i="2"/>
  <c r="Y10" i="2"/>
  <c r="K10" i="2"/>
  <c r="Z9" i="2"/>
  <c r="Y9" i="2"/>
  <c r="K9" i="2"/>
  <c r="Z8" i="2"/>
  <c r="Y8" i="2"/>
  <c r="K8" i="2"/>
  <c r="Z7" i="2"/>
  <c r="Y7" i="2"/>
  <c r="K7" i="2"/>
  <c r="Z6" i="2"/>
  <c r="Y6" i="2"/>
  <c r="K6" i="2"/>
  <c r="Z5" i="2"/>
  <c r="Y5" i="2"/>
  <c r="K5" i="2"/>
  <c r="Z4" i="2"/>
  <c r="Y4" i="2"/>
  <c r="K4" i="2"/>
  <c r="Z3" i="2"/>
  <c r="Y3" i="2"/>
  <c r="S3" i="2"/>
  <c r="M3" i="2"/>
  <c r="K3" i="2"/>
  <c r="AA2" i="2"/>
  <c r="Z2" i="2"/>
  <c r="Y2" i="2"/>
  <c r="K2" i="2"/>
  <c r="Z14" i="3"/>
  <c r="Y14" i="3"/>
  <c r="Z13" i="3"/>
  <c r="Y13" i="3"/>
  <c r="Z12" i="3"/>
  <c r="Y12" i="3"/>
  <c r="K12" i="3"/>
  <c r="Z11" i="3"/>
  <c r="Y11" i="3"/>
  <c r="K11" i="3"/>
  <c r="Z10" i="3"/>
  <c r="Y10" i="3"/>
  <c r="K10" i="3"/>
  <c r="Z9" i="3"/>
  <c r="Y9" i="3"/>
  <c r="K9" i="3"/>
  <c r="Z8" i="3"/>
  <c r="Y8" i="3"/>
  <c r="K8" i="3"/>
  <c r="Z7" i="3"/>
  <c r="Y7" i="3"/>
  <c r="K7" i="3"/>
  <c r="Z6" i="3"/>
  <c r="Y6" i="3"/>
  <c r="K6" i="3"/>
  <c r="Z5" i="3"/>
  <c r="Y5" i="3"/>
  <c r="K5" i="3"/>
  <c r="Z4" i="3"/>
  <c r="Y4" i="3"/>
  <c r="K4" i="3"/>
  <c r="Z3" i="3"/>
  <c r="Y3" i="3"/>
  <c r="S3" i="3"/>
  <c r="M3" i="3"/>
  <c r="K3" i="3"/>
  <c r="AA2" i="3"/>
  <c r="Z2" i="3"/>
  <c r="Y2" i="3"/>
  <c r="K2" i="3"/>
  <c r="Z14" i="4"/>
  <c r="Y14" i="4"/>
  <c r="Z13" i="4"/>
  <c r="Y13" i="4"/>
  <c r="Z12" i="4"/>
  <c r="Y12" i="4"/>
  <c r="K12" i="4"/>
  <c r="Z11" i="4"/>
  <c r="Y11" i="4"/>
  <c r="K11" i="4"/>
  <c r="Z10" i="4"/>
  <c r="Y10" i="4"/>
  <c r="K10" i="4"/>
  <c r="Z9" i="4"/>
  <c r="Y9" i="4"/>
  <c r="K9" i="4"/>
  <c r="Z8" i="4"/>
  <c r="Y8" i="4"/>
  <c r="K8" i="4"/>
  <c r="Z7" i="4"/>
  <c r="Y7" i="4"/>
  <c r="K7" i="4"/>
  <c r="Z6" i="4"/>
  <c r="Y6" i="4"/>
  <c r="K6" i="4"/>
  <c r="Z5" i="4"/>
  <c r="Y5" i="4"/>
  <c r="K5" i="4"/>
  <c r="Z4" i="4"/>
  <c r="Y4" i="4"/>
  <c r="K4" i="4"/>
  <c r="Z3" i="4"/>
  <c r="Y3" i="4"/>
  <c r="S3" i="4"/>
  <c r="M3" i="4"/>
  <c r="K3" i="4"/>
  <c r="AA2" i="4"/>
  <c r="Z2" i="4"/>
  <c r="Y2" i="4"/>
  <c r="K2" i="4"/>
  <c r="Z14" i="5"/>
  <c r="Y14" i="5"/>
  <c r="Z13" i="5"/>
  <c r="Y13" i="5"/>
  <c r="K13" i="5"/>
  <c r="Z12" i="5"/>
  <c r="Y12" i="5"/>
  <c r="K12" i="5"/>
  <c r="Z11" i="5"/>
  <c r="Y11" i="5"/>
  <c r="K11" i="5"/>
  <c r="Z10" i="5"/>
  <c r="Y10" i="5"/>
  <c r="K10" i="5"/>
  <c r="Z9" i="5"/>
  <c r="Y9" i="5"/>
  <c r="K9" i="5"/>
  <c r="Z8" i="5"/>
  <c r="Y8" i="5"/>
  <c r="K8" i="5"/>
  <c r="Z7" i="5"/>
  <c r="Y7" i="5"/>
  <c r="K7" i="5"/>
  <c r="Z6" i="5"/>
  <c r="Y6" i="5"/>
  <c r="K6" i="5"/>
  <c r="Z5" i="5"/>
  <c r="Y5" i="5"/>
  <c r="K5" i="5"/>
  <c r="Z4" i="5"/>
  <c r="Y4" i="5"/>
  <c r="K4" i="5"/>
  <c r="Z3" i="5"/>
  <c r="Y3" i="5"/>
  <c r="S3" i="5"/>
  <c r="M3" i="5"/>
  <c r="K3" i="5"/>
  <c r="AA2" i="5"/>
  <c r="Z2" i="5"/>
  <c r="Y2" i="5"/>
  <c r="K2" i="5"/>
  <c r="Z14" i="6"/>
  <c r="Y14" i="6"/>
  <c r="Z13" i="6"/>
  <c r="Y13" i="6"/>
  <c r="K13" i="6"/>
  <c r="Z12" i="6"/>
  <c r="Y12" i="6"/>
  <c r="K12" i="6"/>
  <c r="Z11" i="6"/>
  <c r="Y11" i="6"/>
  <c r="K11" i="6"/>
  <c r="Z10" i="6"/>
  <c r="Y10" i="6"/>
  <c r="K10" i="6"/>
  <c r="Z9" i="6"/>
  <c r="Y9" i="6"/>
  <c r="K9" i="6"/>
  <c r="Z8" i="6"/>
  <c r="Y8" i="6"/>
  <c r="K8" i="6"/>
  <c r="Z7" i="6"/>
  <c r="Y7" i="6"/>
  <c r="K7" i="6"/>
  <c r="Z6" i="6"/>
  <c r="Y6" i="6"/>
  <c r="K6" i="6"/>
  <c r="Z5" i="6"/>
  <c r="Y5" i="6"/>
  <c r="K5" i="6"/>
  <c r="Z4" i="6"/>
  <c r="Y4" i="6"/>
  <c r="K4" i="6"/>
  <c r="Z3" i="6"/>
  <c r="Y3" i="6"/>
  <c r="S3" i="6"/>
  <c r="M3" i="6"/>
  <c r="K3" i="6"/>
  <c r="AA2" i="6"/>
  <c r="Z2" i="6"/>
  <c r="Y2" i="6"/>
  <c r="K2" i="6"/>
  <c r="Z14" i="7"/>
  <c r="Y14" i="7"/>
  <c r="Z13" i="7"/>
  <c r="Y13" i="7"/>
  <c r="K13" i="7"/>
  <c r="Z12" i="7"/>
  <c r="Y12" i="7"/>
  <c r="K12" i="7"/>
  <c r="Z11" i="7"/>
  <c r="Y11" i="7"/>
  <c r="K11" i="7"/>
  <c r="Z10" i="7"/>
  <c r="Y10" i="7"/>
  <c r="K10" i="7"/>
  <c r="Z9" i="7"/>
  <c r="Y9" i="7"/>
  <c r="K9" i="7"/>
  <c r="Z8" i="7"/>
  <c r="Y8" i="7"/>
  <c r="K8" i="7"/>
  <c r="Z7" i="7"/>
  <c r="Y7" i="7"/>
  <c r="K7" i="7"/>
  <c r="Z6" i="7"/>
  <c r="Y6" i="7"/>
  <c r="K6" i="7"/>
  <c r="Z5" i="7"/>
  <c r="Y5" i="7"/>
  <c r="K5" i="7"/>
  <c r="Z4" i="7"/>
  <c r="Y4" i="7"/>
  <c r="K4" i="7"/>
  <c r="Z3" i="7"/>
  <c r="Y3" i="7"/>
  <c r="S3" i="7"/>
  <c r="M3" i="7"/>
  <c r="R3" i="7" s="1"/>
  <c r="K3" i="7"/>
  <c r="AA2" i="7"/>
  <c r="Z2" i="7"/>
  <c r="Y2" i="7"/>
  <c r="K2" i="7"/>
  <c r="Z15" i="8"/>
  <c r="Y15" i="8"/>
  <c r="Z13" i="8"/>
  <c r="Y13" i="8"/>
  <c r="K13" i="8"/>
  <c r="Z12" i="8"/>
  <c r="Y12" i="8"/>
  <c r="K12" i="8"/>
  <c r="Z11" i="8"/>
  <c r="Y11" i="8"/>
  <c r="K11" i="8"/>
  <c r="Z10" i="8"/>
  <c r="Y10" i="8"/>
  <c r="K10" i="8"/>
  <c r="Z9" i="8"/>
  <c r="Y9" i="8"/>
  <c r="K9" i="8"/>
  <c r="Z8" i="8"/>
  <c r="Y8" i="8"/>
  <c r="K8" i="8"/>
  <c r="Z7" i="8"/>
  <c r="Y7" i="8"/>
  <c r="K7" i="8"/>
  <c r="Z6" i="8"/>
  <c r="Y6" i="8"/>
  <c r="K6" i="8"/>
  <c r="Z5" i="8"/>
  <c r="Y5" i="8"/>
  <c r="K5" i="8"/>
  <c r="Z4" i="8"/>
  <c r="Y4" i="8"/>
  <c r="K4" i="8"/>
  <c r="Z3" i="8"/>
  <c r="Y3" i="8"/>
  <c r="S3" i="8"/>
  <c r="B13" i="8"/>
  <c r="M3" i="8"/>
  <c r="R3" i="8" s="1"/>
  <c r="K3" i="8"/>
  <c r="AA2" i="8"/>
  <c r="Z2" i="8"/>
  <c r="Y2" i="8"/>
  <c r="K2" i="8"/>
  <c r="Z14" i="9"/>
  <c r="Y14" i="9"/>
  <c r="Z13" i="9"/>
  <c r="Y13" i="9"/>
  <c r="K13" i="9"/>
  <c r="Z12" i="9"/>
  <c r="Y12" i="9"/>
  <c r="K12" i="9"/>
  <c r="Z11" i="9"/>
  <c r="Y11" i="9"/>
  <c r="K11" i="9"/>
  <c r="Z10" i="9"/>
  <c r="Y10" i="9"/>
  <c r="K10" i="9"/>
  <c r="Z9" i="9"/>
  <c r="Y9" i="9"/>
  <c r="K9" i="9"/>
  <c r="Z8" i="9"/>
  <c r="Y8" i="9"/>
  <c r="K8" i="9"/>
  <c r="Z7" i="9"/>
  <c r="Y7" i="9"/>
  <c r="K7" i="9"/>
  <c r="Z6" i="9"/>
  <c r="Y6" i="9"/>
  <c r="K6" i="9"/>
  <c r="Z5" i="9"/>
  <c r="Y5" i="9"/>
  <c r="K5" i="9"/>
  <c r="Z4" i="9"/>
  <c r="Y4" i="9"/>
  <c r="K4" i="9"/>
  <c r="Z3" i="9"/>
  <c r="Y3" i="9"/>
  <c r="S3" i="9"/>
  <c r="M3" i="9"/>
  <c r="R3" i="9" s="1"/>
  <c r="K3" i="9"/>
  <c r="AA2" i="9"/>
  <c r="Z2" i="9"/>
  <c r="Y2" i="9"/>
  <c r="K2" i="9"/>
  <c r="Z14" i="10"/>
  <c r="Y14" i="10"/>
  <c r="Z13" i="10"/>
  <c r="Y13" i="10"/>
  <c r="K13" i="10"/>
  <c r="Z12" i="10"/>
  <c r="Y12" i="10"/>
  <c r="K12" i="10"/>
  <c r="Z11" i="10"/>
  <c r="Y11" i="10"/>
  <c r="K11" i="10"/>
  <c r="Z10" i="10"/>
  <c r="Y10" i="10"/>
  <c r="K10" i="10"/>
  <c r="Z9" i="10"/>
  <c r="Y9" i="10"/>
  <c r="K9" i="10"/>
  <c r="Z8" i="10"/>
  <c r="Y8" i="10"/>
  <c r="K8" i="10"/>
  <c r="Z7" i="10"/>
  <c r="Y7" i="10"/>
  <c r="K7" i="10"/>
  <c r="Z6" i="10"/>
  <c r="Y6" i="10"/>
  <c r="K6" i="10"/>
  <c r="Z5" i="10"/>
  <c r="Y5" i="10"/>
  <c r="K5" i="10"/>
  <c r="Z4" i="10"/>
  <c r="Y4" i="10"/>
  <c r="K4" i="10"/>
  <c r="Z3" i="10"/>
  <c r="Y3" i="10"/>
  <c r="S3" i="10"/>
  <c r="M3" i="10"/>
  <c r="R3" i="10" s="1"/>
  <c r="K3" i="10"/>
  <c r="AA2" i="10"/>
  <c r="Z2" i="10"/>
  <c r="Y2" i="10"/>
  <c r="K2" i="10"/>
  <c r="K3" i="11"/>
  <c r="K4" i="11"/>
  <c r="K5" i="11"/>
  <c r="K6" i="11"/>
  <c r="K7" i="11"/>
  <c r="K8" i="11"/>
  <c r="K9" i="11"/>
  <c r="K10" i="11"/>
  <c r="K11" i="11"/>
  <c r="K12" i="11"/>
  <c r="K13" i="11"/>
  <c r="K2" i="11"/>
  <c r="Z14" i="11"/>
  <c r="Y14" i="11"/>
  <c r="Z13" i="11"/>
  <c r="Y13" i="11"/>
  <c r="Z12" i="11"/>
  <c r="Y12" i="11"/>
  <c r="Z11" i="11"/>
  <c r="Y11" i="11"/>
  <c r="Z10" i="11"/>
  <c r="Y10" i="11"/>
  <c r="Z9" i="11"/>
  <c r="Y9" i="11"/>
  <c r="Z8" i="11"/>
  <c r="Y8" i="11"/>
  <c r="Z7" i="11"/>
  <c r="Y7" i="11"/>
  <c r="Z6" i="11"/>
  <c r="Y6" i="11"/>
  <c r="Z5" i="11"/>
  <c r="Y5" i="11"/>
  <c r="Z4" i="11"/>
  <c r="Y4" i="11"/>
  <c r="Z3" i="11"/>
  <c r="Y3" i="11"/>
  <c r="S3" i="11"/>
  <c r="AA2" i="11"/>
  <c r="Z2" i="11"/>
  <c r="Y2" i="11"/>
  <c r="Y14" i="13"/>
  <c r="Z14" i="13"/>
  <c r="Y14" i="14"/>
  <c r="Z14" i="14"/>
  <c r="Y14" i="15"/>
  <c r="Z14" i="15"/>
  <c r="Y14" i="16"/>
  <c r="Z14" i="16"/>
  <c r="AA2" i="13"/>
  <c r="S3" i="13"/>
  <c r="K3" i="13"/>
  <c r="K4" i="13"/>
  <c r="K5" i="13"/>
  <c r="K6" i="13"/>
  <c r="K7" i="13"/>
  <c r="K8" i="13"/>
  <c r="K9" i="13"/>
  <c r="K10" i="13"/>
  <c r="K11" i="13"/>
  <c r="K12" i="13"/>
  <c r="K13" i="13"/>
  <c r="K2" i="13"/>
  <c r="AA2" i="14"/>
  <c r="K14" i="1"/>
  <c r="K3" i="14"/>
  <c r="K4" i="14"/>
  <c r="K5" i="14"/>
  <c r="K6" i="14"/>
  <c r="K7" i="14"/>
  <c r="K8" i="14"/>
  <c r="K9" i="14"/>
  <c r="K10" i="14"/>
  <c r="K11" i="14"/>
  <c r="K12" i="14"/>
  <c r="K13" i="14"/>
  <c r="K2" i="14"/>
  <c r="AA2" i="15"/>
  <c r="S3" i="15"/>
  <c r="K3" i="15"/>
  <c r="K4" i="15"/>
  <c r="K5" i="15"/>
  <c r="K6" i="15"/>
  <c r="K7" i="15"/>
  <c r="K8" i="15"/>
  <c r="K9" i="15"/>
  <c r="K10" i="15"/>
  <c r="K11" i="15"/>
  <c r="K12" i="15"/>
  <c r="K13" i="15"/>
  <c r="K2" i="15"/>
  <c r="AA2" i="16"/>
  <c r="K3" i="16"/>
  <c r="K4" i="16"/>
  <c r="K5" i="16"/>
  <c r="K6" i="16"/>
  <c r="K7" i="16"/>
  <c r="K8" i="16"/>
  <c r="K9" i="16"/>
  <c r="K10" i="16"/>
  <c r="K11" i="16"/>
  <c r="K12" i="16"/>
  <c r="K13" i="16"/>
  <c r="K2" i="16"/>
  <c r="S3" i="16"/>
  <c r="K3" i="17"/>
  <c r="K4" i="17"/>
  <c r="K5" i="17"/>
  <c r="K6" i="17"/>
  <c r="K7" i="17"/>
  <c r="K8" i="17"/>
  <c r="K9" i="17"/>
  <c r="K10" i="17"/>
  <c r="K11" i="17"/>
  <c r="K12" i="17"/>
  <c r="K13" i="17"/>
  <c r="K2" i="17"/>
  <c r="Y14" i="17"/>
  <c r="Z14" i="17"/>
  <c r="AA2" i="17"/>
  <c r="S3" i="17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Q3" i="11" l="1"/>
  <c r="B15" i="11"/>
  <c r="AC9" i="1"/>
  <c r="K9" i="1"/>
  <c r="AC6" i="1"/>
  <c r="K5" i="1"/>
  <c r="K4" i="1"/>
  <c r="K3" i="1"/>
  <c r="K20" i="1"/>
  <c r="AC16" i="1"/>
  <c r="K13" i="1"/>
  <c r="AC12" i="1"/>
  <c r="K11" i="1"/>
  <c r="K8" i="1"/>
  <c r="AC5" i="1"/>
  <c r="AC4" i="1"/>
  <c r="AC3" i="1"/>
  <c r="AC20" i="1"/>
  <c r="K21" i="1"/>
  <c r="AC17" i="1"/>
  <c r="K15" i="1"/>
  <c r="AC13" i="1"/>
  <c r="K12" i="1"/>
  <c r="AC11" i="1"/>
  <c r="K10" i="1"/>
  <c r="AC8" i="1"/>
  <c r="K7" i="1"/>
  <c r="AC14" i="1"/>
  <c r="AC15" i="1"/>
  <c r="K17" i="1"/>
  <c r="K16" i="1"/>
  <c r="AC10" i="1"/>
  <c r="J9" i="1"/>
  <c r="AC7" i="1"/>
  <c r="K6" i="1"/>
  <c r="B15" i="21"/>
  <c r="L21" i="1"/>
  <c r="B13" i="21"/>
  <c r="B15" i="20"/>
  <c r="B13" i="20"/>
  <c r="B15" i="10"/>
  <c r="B13" i="10"/>
  <c r="B15" i="9"/>
  <c r="B13" i="9"/>
  <c r="B15" i="8"/>
  <c r="G19" i="1"/>
  <c r="F19" i="1"/>
  <c r="E19" i="1"/>
  <c r="D19" i="1"/>
  <c r="C19" i="1"/>
  <c r="B19" i="1"/>
  <c r="Z14" i="19"/>
  <c r="Y14" i="19"/>
  <c r="Z13" i="19"/>
  <c r="Y13" i="19"/>
  <c r="K13" i="19"/>
  <c r="Z12" i="19"/>
  <c r="Y12" i="19"/>
  <c r="K12" i="19"/>
  <c r="Z11" i="19"/>
  <c r="Y11" i="19"/>
  <c r="K11" i="19"/>
  <c r="Z10" i="19"/>
  <c r="Y10" i="19"/>
  <c r="K10" i="19"/>
  <c r="Z9" i="19"/>
  <c r="Y9" i="19"/>
  <c r="K9" i="19"/>
  <c r="Z8" i="19"/>
  <c r="Y8" i="19"/>
  <c r="K8" i="19"/>
  <c r="Z7" i="19"/>
  <c r="Y7" i="19"/>
  <c r="K7" i="19"/>
  <c r="Z6" i="19"/>
  <c r="Y6" i="19"/>
  <c r="K6" i="19"/>
  <c r="Z5" i="19"/>
  <c r="Y5" i="19"/>
  <c r="K5" i="19"/>
  <c r="Z4" i="19"/>
  <c r="Y4" i="19"/>
  <c r="K4" i="19"/>
  <c r="Z3" i="19"/>
  <c r="Y3" i="19"/>
  <c r="S3" i="19"/>
  <c r="M3" i="19"/>
  <c r="K3" i="19"/>
  <c r="AA2" i="19"/>
  <c r="Z2" i="19"/>
  <c r="Y2" i="19"/>
  <c r="K2" i="19"/>
  <c r="Y14" i="18"/>
  <c r="Z14" i="18"/>
  <c r="K3" i="18"/>
  <c r="K4" i="18"/>
  <c r="K5" i="18"/>
  <c r="K6" i="18"/>
  <c r="K7" i="18"/>
  <c r="K8" i="18"/>
  <c r="K9" i="18"/>
  <c r="K10" i="18"/>
  <c r="K11" i="18"/>
  <c r="K12" i="18"/>
  <c r="K13" i="18"/>
  <c r="K2" i="18"/>
  <c r="S3" i="18"/>
  <c r="AA2" i="18"/>
  <c r="AC19" i="1" l="1"/>
  <c r="AC18" i="1"/>
  <c r="J10" i="1"/>
  <c r="J20" i="1"/>
  <c r="J11" i="1"/>
  <c r="J21" i="1"/>
  <c r="B15" i="19"/>
  <c r="B13" i="19"/>
  <c r="M19" i="1"/>
  <c r="K18" i="1"/>
  <c r="K19" i="1"/>
  <c r="L19" i="1"/>
  <c r="Z13" i="18"/>
  <c r="Y13" i="18"/>
  <c r="Z12" i="18"/>
  <c r="Y12" i="18"/>
  <c r="Z11" i="18"/>
  <c r="Y11" i="18"/>
  <c r="Z10" i="18"/>
  <c r="Y10" i="18"/>
  <c r="Z9" i="18"/>
  <c r="Y9" i="18"/>
  <c r="Z8" i="18"/>
  <c r="Y8" i="18"/>
  <c r="Z7" i="18"/>
  <c r="Y7" i="18"/>
  <c r="Z6" i="18"/>
  <c r="Y6" i="18"/>
  <c r="Z5" i="18"/>
  <c r="Y5" i="18"/>
  <c r="Z4" i="18"/>
  <c r="Y4" i="18"/>
  <c r="Z3" i="18"/>
  <c r="Y3" i="18"/>
  <c r="M3" i="18"/>
  <c r="Z2" i="18"/>
  <c r="Y2" i="18"/>
  <c r="Z13" i="17"/>
  <c r="Y13" i="17"/>
  <c r="Z12" i="17"/>
  <c r="Y12" i="17"/>
  <c r="Z11" i="17"/>
  <c r="Y11" i="17"/>
  <c r="Z10" i="17"/>
  <c r="Y10" i="17"/>
  <c r="Z9" i="17"/>
  <c r="Y9" i="17"/>
  <c r="Z8" i="17"/>
  <c r="Y8" i="17"/>
  <c r="Z7" i="17"/>
  <c r="Y7" i="17"/>
  <c r="Z6" i="17"/>
  <c r="Y6" i="17"/>
  <c r="Z5" i="17"/>
  <c r="Y5" i="17"/>
  <c r="Z4" i="17"/>
  <c r="Y4" i="17"/>
  <c r="Z3" i="17"/>
  <c r="Y3" i="17"/>
  <c r="M3" i="17"/>
  <c r="B15" i="17" s="1"/>
  <c r="Z2" i="17"/>
  <c r="Y2" i="17"/>
  <c r="Z13" i="16"/>
  <c r="Y13" i="16"/>
  <c r="Z12" i="16"/>
  <c r="Y12" i="16"/>
  <c r="Z11" i="16"/>
  <c r="Y11" i="16"/>
  <c r="Z10" i="16"/>
  <c r="Y10" i="16"/>
  <c r="Z9" i="16"/>
  <c r="Y9" i="16"/>
  <c r="Z8" i="16"/>
  <c r="Y8" i="16"/>
  <c r="Z7" i="16"/>
  <c r="Y7" i="16"/>
  <c r="Z6" i="16"/>
  <c r="Y6" i="16"/>
  <c r="Z5" i="16"/>
  <c r="Y5" i="16"/>
  <c r="Z4" i="16"/>
  <c r="Y4" i="16"/>
  <c r="Z3" i="16"/>
  <c r="Y3" i="16"/>
  <c r="M3" i="16"/>
  <c r="Z2" i="16"/>
  <c r="Y2" i="16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Z6" i="15"/>
  <c r="Y6" i="15"/>
  <c r="Z5" i="15"/>
  <c r="Y5" i="15"/>
  <c r="Z4" i="15"/>
  <c r="Y4" i="15"/>
  <c r="Z3" i="15"/>
  <c r="Y3" i="15"/>
  <c r="M3" i="15"/>
  <c r="Z2" i="15"/>
  <c r="Y2" i="15"/>
  <c r="B15" i="18"/>
  <c r="B13" i="15"/>
  <c r="Z13" i="14"/>
  <c r="Y13" i="14"/>
  <c r="Z12" i="14"/>
  <c r="Y12" i="14"/>
  <c r="Z11" i="14"/>
  <c r="Y11" i="14"/>
  <c r="Z10" i="14"/>
  <c r="Y10" i="14"/>
  <c r="Z9" i="14"/>
  <c r="Y9" i="14"/>
  <c r="Z8" i="14"/>
  <c r="Y8" i="14"/>
  <c r="Z7" i="14"/>
  <c r="Y7" i="14"/>
  <c r="Z6" i="14"/>
  <c r="Y6" i="14"/>
  <c r="Z5" i="14"/>
  <c r="Y5" i="14"/>
  <c r="Z4" i="14"/>
  <c r="Y4" i="14"/>
  <c r="Z3" i="14"/>
  <c r="Y3" i="14"/>
  <c r="M3" i="14"/>
  <c r="Z2" i="14"/>
  <c r="Y2" i="14"/>
  <c r="Z13" i="13"/>
  <c r="Y13" i="13"/>
  <c r="Z12" i="13"/>
  <c r="Y12" i="13"/>
  <c r="Z11" i="13"/>
  <c r="Y11" i="13"/>
  <c r="Z10" i="13"/>
  <c r="Y10" i="13"/>
  <c r="Z9" i="13"/>
  <c r="Y9" i="13"/>
  <c r="Z8" i="13"/>
  <c r="Y8" i="13"/>
  <c r="Z7" i="13"/>
  <c r="Y7" i="13"/>
  <c r="Z6" i="13"/>
  <c r="Q3" i="13" s="1"/>
  <c r="Y6" i="13"/>
  <c r="Z5" i="13"/>
  <c r="Y5" i="13"/>
  <c r="Z4" i="13"/>
  <c r="Y4" i="13"/>
  <c r="Z3" i="13"/>
  <c r="Y3" i="13"/>
  <c r="M3" i="13"/>
  <c r="R3" i="13" s="1"/>
  <c r="I13" i="1" s="1"/>
  <c r="Z2" i="13"/>
  <c r="Y2" i="13"/>
  <c r="M3" i="11"/>
  <c r="R3" i="11" s="1"/>
  <c r="I12" i="1" s="1"/>
  <c r="B15" i="7"/>
  <c r="G18" i="1"/>
  <c r="E18" i="1"/>
  <c r="D18" i="1"/>
  <c r="C18" i="1"/>
  <c r="B18" i="1"/>
  <c r="Q3" i="14" l="1"/>
  <c r="J19" i="1"/>
  <c r="J15" i="1"/>
  <c r="I16" i="1"/>
  <c r="I20" i="1"/>
  <c r="I21" i="1"/>
  <c r="I19" i="1"/>
  <c r="I18" i="1"/>
  <c r="B15" i="16"/>
  <c r="B15" i="15"/>
  <c r="B13" i="14"/>
  <c r="B15" i="14"/>
  <c r="B15" i="13"/>
  <c r="B15" i="6"/>
  <c r="R3" i="6"/>
  <c r="B13" i="5"/>
  <c r="R3" i="5"/>
  <c r="B15" i="5"/>
  <c r="B13" i="4"/>
  <c r="R3" i="4"/>
  <c r="B15" i="4"/>
  <c r="B13" i="3"/>
  <c r="R3" i="3"/>
  <c r="B15" i="3"/>
  <c r="B13" i="2"/>
  <c r="R3" i="2"/>
  <c r="B15" i="2"/>
  <c r="B13" i="13"/>
  <c r="B13" i="11"/>
  <c r="B13" i="16"/>
  <c r="B13" i="17"/>
  <c r="B13" i="6"/>
  <c r="B13" i="7"/>
  <c r="M18" i="1"/>
  <c r="B13" i="18"/>
  <c r="M14" i="1"/>
  <c r="L18" i="1"/>
  <c r="M10" i="1"/>
  <c r="M12" i="1"/>
  <c r="L17" i="1"/>
  <c r="L16" i="1"/>
  <c r="L15" i="1"/>
  <c r="L14" i="1"/>
  <c r="L13" i="1"/>
  <c r="L12" i="1"/>
  <c r="L11" i="1"/>
  <c r="L10" i="1"/>
  <c r="M9" i="1"/>
  <c r="L9" i="1"/>
  <c r="M8" i="1"/>
  <c r="L8" i="1"/>
  <c r="M7" i="1"/>
  <c r="L7" i="1"/>
  <c r="L6" i="1"/>
  <c r="M5" i="1"/>
  <c r="L5" i="1"/>
  <c r="L4" i="1"/>
  <c r="M3" i="1"/>
  <c r="L3" i="1"/>
  <c r="G17" i="1"/>
  <c r="F17" i="1"/>
  <c r="E17" i="1"/>
  <c r="D17" i="1"/>
  <c r="C17" i="1"/>
  <c r="B17" i="1"/>
  <c r="G16" i="1"/>
  <c r="F16" i="1"/>
  <c r="E16" i="1"/>
  <c r="D16" i="1"/>
  <c r="C16" i="1"/>
  <c r="B16" i="1"/>
  <c r="S3" i="1" l="1"/>
  <c r="J18" i="1"/>
  <c r="J5" i="1"/>
  <c r="J14" i="1"/>
  <c r="J4" i="1"/>
  <c r="J17" i="1"/>
  <c r="J16" i="1"/>
  <c r="J8" i="1"/>
  <c r="J12" i="1"/>
  <c r="J3" i="1"/>
  <c r="J7" i="1"/>
  <c r="J13" i="1"/>
  <c r="J6" i="1"/>
  <c r="M4" i="1"/>
  <c r="M6" i="1"/>
  <c r="M13" i="1"/>
  <c r="M11" i="1"/>
  <c r="M17" i="1"/>
  <c r="M16" i="1"/>
  <c r="M15" i="1"/>
  <c r="T3" i="1" s="1"/>
  <c r="G15" i="1"/>
  <c r="F15" i="1"/>
  <c r="E15" i="1"/>
  <c r="D15" i="1"/>
  <c r="C15" i="1"/>
  <c r="B15" i="1"/>
  <c r="H2" i="12" l="1"/>
  <c r="Q3" i="1" s="1"/>
  <c r="G14" i="1"/>
  <c r="F14" i="1"/>
  <c r="E14" i="1"/>
  <c r="D14" i="1"/>
  <c r="C14" i="1"/>
  <c r="B14" i="1"/>
  <c r="G13" i="1" l="1"/>
  <c r="F13" i="1"/>
  <c r="E13" i="1"/>
  <c r="D13" i="1"/>
  <c r="C13" i="1"/>
  <c r="B13" i="1"/>
  <c r="G2" i="12" l="1"/>
  <c r="F2" i="12"/>
  <c r="E12" i="1"/>
  <c r="E11" i="1"/>
  <c r="E10" i="1"/>
  <c r="E9" i="1"/>
  <c r="E8" i="1"/>
  <c r="E7" i="1"/>
  <c r="E6" i="1"/>
  <c r="E5" i="1"/>
  <c r="E4" i="1"/>
  <c r="E3" i="1"/>
  <c r="G12" i="1"/>
  <c r="F12" i="1"/>
  <c r="D12" i="1"/>
  <c r="C12" i="1"/>
  <c r="B12" i="1"/>
  <c r="G11" i="1"/>
  <c r="F11" i="1"/>
  <c r="D11" i="1"/>
  <c r="C11" i="1"/>
  <c r="B11" i="1"/>
  <c r="I2" i="12" l="1"/>
  <c r="O3" i="1" s="1"/>
  <c r="G10" i="1" l="1"/>
  <c r="F10" i="1"/>
  <c r="D10" i="1"/>
  <c r="C10" i="1"/>
  <c r="B10" i="1"/>
  <c r="D9" i="1" l="1"/>
  <c r="G9" i="1" l="1"/>
  <c r="P3" i="1" s="1"/>
  <c r="F9" i="1"/>
  <c r="C9" i="1"/>
  <c r="B9" i="1"/>
  <c r="G8" i="1"/>
  <c r="F8" i="1"/>
  <c r="D8" i="1"/>
  <c r="C8" i="1"/>
  <c r="B8" i="1"/>
  <c r="G7" i="1"/>
  <c r="F7" i="1"/>
  <c r="D7" i="1"/>
  <c r="C7" i="1"/>
  <c r="B7" i="1"/>
  <c r="G6" i="1"/>
  <c r="F6" i="1"/>
  <c r="D6" i="1"/>
  <c r="C6" i="1"/>
  <c r="B6" i="1"/>
  <c r="G5" i="1"/>
  <c r="F5" i="1"/>
  <c r="D5" i="1"/>
  <c r="C5" i="1"/>
  <c r="B5" i="1"/>
  <c r="G4" i="1"/>
  <c r="F4" i="1"/>
  <c r="D4" i="1"/>
  <c r="C4" i="1"/>
  <c r="B4" i="1"/>
  <c r="G3" i="1"/>
  <c r="F3" i="1"/>
  <c r="D3" i="1"/>
  <c r="C3" i="1"/>
  <c r="B3" i="1"/>
  <c r="U3" i="1" l="1"/>
  <c r="V3" i="1" s="1"/>
  <c r="W3" i="1" l="1"/>
  <c r="K200" i="12"/>
  <c r="R3" i="1"/>
  <c r="X3" i="1" l="1"/>
  <c r="L1" i="12"/>
</calcChain>
</file>

<file path=xl/sharedStrings.xml><?xml version="1.0" encoding="utf-8"?>
<sst xmlns="http://schemas.openxmlformats.org/spreadsheetml/2006/main" count="959" uniqueCount="106">
  <si>
    <t>Paskola</t>
  </si>
  <si>
    <t>P00001320-2</t>
  </si>
  <si>
    <t>Ocean 11 South, II</t>
  </si>
  <si>
    <t>Objektas</t>
  </si>
  <si>
    <t>Projekto reitingas</t>
  </si>
  <si>
    <t>A</t>
  </si>
  <si>
    <t>Investicijos laikotarpis, mėn.</t>
  </si>
  <si>
    <t>Palūkanų mokėjimas</t>
  </si>
  <si>
    <t>Palūkanos</t>
  </si>
  <si>
    <t>Palūkanos, %</t>
  </si>
  <si>
    <t>LTC, %</t>
  </si>
  <si>
    <t>Investicijos data</t>
  </si>
  <si>
    <t>Q</t>
  </si>
  <si>
    <t>Data</t>
  </si>
  <si>
    <t>Viso:</t>
  </si>
  <si>
    <t>Palūkanų pradžia</t>
  </si>
  <si>
    <t>P00001236-17</t>
  </si>
  <si>
    <t>Namų kvartalas Bičių Slėnis XVII</t>
  </si>
  <si>
    <t>LTV, %</t>
  </si>
  <si>
    <t>LTV max, %</t>
  </si>
  <si>
    <t>Piekrasta Rezidence, Ryga</t>
  </si>
  <si>
    <t>A+</t>
  </si>
  <si>
    <t>P00001341</t>
  </si>
  <si>
    <t>P00001241-2</t>
  </si>
  <si>
    <t>Elfa Loftai II</t>
  </si>
  <si>
    <t>Kęstučio salos</t>
  </si>
  <si>
    <t>P00001372</t>
  </si>
  <si>
    <t>Twinhouse XIII</t>
  </si>
  <si>
    <t>P00001134-13</t>
  </si>
  <si>
    <t>Vyčio slėnis VIII</t>
  </si>
  <si>
    <t>P00001274-8</t>
  </si>
  <si>
    <t>LTC max, %</t>
  </si>
  <si>
    <t>-</t>
  </si>
  <si>
    <t>Pavadinimas</t>
  </si>
  <si>
    <t>Laikotarpis</t>
  </si>
  <si>
    <t>Investuota viso</t>
  </si>
  <si>
    <t xml:space="preserve">Premijos </t>
  </si>
  <si>
    <t>Vertė</t>
  </si>
  <si>
    <t>%</t>
  </si>
  <si>
    <t>Gryni</t>
  </si>
  <si>
    <t>Premija</t>
  </si>
  <si>
    <t>Vėlavimas</t>
  </si>
  <si>
    <t>Dvibutis Upės g., Vilniaus r.</t>
  </si>
  <si>
    <t>P00001403</t>
  </si>
  <si>
    <t>Dvibutis Klevų g., Kauno r.</t>
  </si>
  <si>
    <t>Paskola P00001433</t>
  </si>
  <si>
    <t>Dvibutis Upelio g., Vilniaus r.</t>
  </si>
  <si>
    <t> P00001434</t>
  </si>
  <si>
    <t>Reitingas</t>
  </si>
  <si>
    <t>Įnešta</t>
  </si>
  <si>
    <t>Išimta</t>
  </si>
  <si>
    <t>Skirtumas</t>
  </si>
  <si>
    <t>Paskola P00001341-12</t>
  </si>
  <si>
    <t>Piekrasta Rezidence, Ryga XII</t>
  </si>
  <si>
    <t>AA-</t>
  </si>
  <si>
    <t>Dvibutis Didžiojoje Riešėje</t>
  </si>
  <si>
    <t>Paskola P00001508</t>
  </si>
  <si>
    <t>Sklypas Kalnėnuose, Vilnius II</t>
  </si>
  <si>
    <t>AA+</t>
  </si>
  <si>
    <t>Paskola P00001514-2</t>
  </si>
  <si>
    <t>Golf Hills Vilos, Alikantė</t>
  </si>
  <si>
    <t>AA</t>
  </si>
  <si>
    <t>Paskola P00001553</t>
  </si>
  <si>
    <t>Svajonių Daugiabutis, Kaunas</t>
  </si>
  <si>
    <t>A-</t>
  </si>
  <si>
    <t>Papildomos</t>
  </si>
  <si>
    <t>XIRR</t>
  </si>
  <si>
    <t>Suma</t>
  </si>
  <si>
    <t>Suteikta</t>
  </si>
  <si>
    <t>Grąžinta</t>
  </si>
  <si>
    <t>Planuotos</t>
  </si>
  <si>
    <t>Realios</t>
  </si>
  <si>
    <t>Brivibas 28, Jūrmala</t>
  </si>
  <si>
    <t>Paskola P00001560</t>
  </si>
  <si>
    <t>M</t>
  </si>
  <si>
    <t>Vėluoja</t>
  </si>
  <si>
    <t>Paskolos pabaiga</t>
  </si>
  <si>
    <t>Paskola P00001398-20</t>
  </si>
  <si>
    <t>Europos 70, Kaunas XX</t>
  </si>
  <si>
    <t>Planuojamas</t>
  </si>
  <si>
    <t>Grąžinimas</t>
  </si>
  <si>
    <t>Nr.</t>
  </si>
  <si>
    <t>Investuota</t>
  </si>
  <si>
    <t>Liko dienų</t>
  </si>
  <si>
    <t>Liko</t>
  </si>
  <si>
    <t>Molėtų Oazė XII</t>
  </si>
  <si>
    <t>Paskola P00001400-14</t>
  </si>
  <si>
    <t>Dvibučių kvartalas Kauno r. II</t>
  </si>
  <si>
    <t>Paskola P00001402-2</t>
  </si>
  <si>
    <t>Pinigai</t>
  </si>
  <si>
    <t>Eur.</t>
  </si>
  <si>
    <t>Viso</t>
  </si>
  <si>
    <t>Vėlavo/Anksčiau</t>
  </si>
  <si>
    <t>Realus</t>
  </si>
  <si>
    <t>Paskola P00001480</t>
  </si>
  <si>
    <t>Investuota, Eur</t>
  </si>
  <si>
    <t>Senvagės loftai, Panevėžys VIII</t>
  </si>
  <si>
    <t>Paskola  P00001423-8</t>
  </si>
  <si>
    <t>Paskola  P00001680</t>
  </si>
  <si>
    <t>Daugiabučiai Lietaviškių g., Vilnius</t>
  </si>
  <si>
    <t>Paskola  P00001671</t>
  </si>
  <si>
    <t>Daugiabutis Brivibas 140, Ryga</t>
  </si>
  <si>
    <t>Termino pabaigoje</t>
  </si>
  <si>
    <t>Namas Laipu 2, Jūrmala</t>
  </si>
  <si>
    <t>Paskola P00001679</t>
  </si>
  <si>
    <t>Kas ketvirtį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</si>
</sst>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.mm\.dd;@"/>
    <numFmt numFmtId="166" formatCode="yyyy\-mm\-dd;@"/>
    <numFmt numFmtId="167" formatCode="yyyy/mm/dd;@"/>
  </numFmts>
  <fonts count="6" x14ac:knownFonts="1"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86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6B878-2DA2-4467-BCF9-8B2E9FFF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E42AD-E195-455A-AF1F-D96AD81DA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892E4-38F6-4015-AC1E-4D0631692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7923C-56B9-46D9-BBF8-D20C51F4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DE709-28C7-494B-AF0D-63C699DA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D283A6-16CA-44DA-B846-EC4DF55E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7D48A-20A4-4013-9093-CD035E32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6DA59-CC38-433E-8CDF-F95722AD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72606-6706-42A0-9D5D-B785CDF5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348B8-C3C1-410C-A520-4EDE0408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633D8-0BFE-4CD7-ABF2-2F91519B4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8D716-4BFE-491D-807D-1B088876F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D4B838-9BF9-4ECA-B07A-2BFFC2C1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79FCB-138C-434B-B390-3FF89405D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37030-8B84-4809-9B4D-C8218EAE1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C1DD46-664C-4F71-8A67-675DC84F5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5BE88-446E-440D-8ED2-ED9EB303E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6" name="Graphic 5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45721-C595-4535-A6CC-1547978D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8F2DF-1A2D-470D-BB98-2706D50F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12D91-162F-4511-820D-4110B6F7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3E8E8-4656-4C7C-AF4E-5401EF118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DCECD-FD0E-4AC6-B040-FB442B89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93776-CD59-4ECA-BEF9-6A460BC2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workbookViewId="0">
      <pane xSplit="3" ySplit="3" topLeftCell="G4" activePane="bottomRight" state="frozen"/>
      <selection pane="topRight" activeCell="D1" sqref="D1"/>
      <selection pane="bottomLeft" activeCell="A4" sqref="A4"/>
      <selection pane="bottomRight" sqref="A1:G1"/>
    </sheetView>
  </sheetViews>
  <sheetFormatPr defaultRowHeight="15" x14ac:dyDescent="0.25"/>
  <cols>
    <col min="1" max="1" width="5.7109375" customWidth="1"/>
    <col min="2" max="2" width="12.7109375" customWidth="1"/>
    <col min="3" max="3" width="4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  <col min="25" max="28" width="8.7109375" customWidth="1"/>
  </cols>
  <sheetData>
    <row r="1" spans="1:29" x14ac:dyDescent="0.25">
      <c r="A1" s="32" t="s">
        <v>0</v>
      </c>
      <c r="B1" s="33"/>
      <c r="C1" s="33"/>
      <c r="D1" s="33"/>
      <c r="E1" s="33"/>
      <c r="F1" s="33"/>
      <c r="G1" s="34"/>
      <c r="H1" s="35" t="s">
        <v>80</v>
      </c>
      <c r="I1" s="35"/>
      <c r="J1" s="35"/>
      <c r="K1" s="35"/>
      <c r="L1" s="35"/>
      <c r="M1" s="35"/>
      <c r="O1" s="35" t="s">
        <v>89</v>
      </c>
      <c r="P1" s="35"/>
      <c r="Q1" s="35"/>
      <c r="R1" s="35"/>
      <c r="S1" s="35" t="s">
        <v>69</v>
      </c>
      <c r="T1" s="35"/>
      <c r="U1" s="36" t="s">
        <v>37</v>
      </c>
      <c r="V1" s="36"/>
      <c r="W1" s="36"/>
      <c r="X1" s="36"/>
    </row>
    <row r="2" spans="1:29" ht="15" customHeight="1" x14ac:dyDescent="0.25">
      <c r="A2" s="9" t="s">
        <v>81</v>
      </c>
      <c r="B2" s="9" t="s">
        <v>13</v>
      </c>
      <c r="C2" s="9" t="s">
        <v>33</v>
      </c>
      <c r="D2" s="9" t="s">
        <v>34</v>
      </c>
      <c r="E2" s="9" t="s">
        <v>48</v>
      </c>
      <c r="F2" s="9" t="s">
        <v>8</v>
      </c>
      <c r="G2" s="9" t="s">
        <v>82</v>
      </c>
      <c r="H2" s="20" t="s">
        <v>79</v>
      </c>
      <c r="I2" s="20" t="s">
        <v>93</v>
      </c>
      <c r="J2" s="20" t="s">
        <v>84</v>
      </c>
      <c r="K2" s="20" t="s">
        <v>75</v>
      </c>
      <c r="L2" s="9" t="s">
        <v>0</v>
      </c>
      <c r="M2" s="9" t="s">
        <v>8</v>
      </c>
      <c r="O2" s="9" t="s">
        <v>49</v>
      </c>
      <c r="P2" s="9" t="s">
        <v>82</v>
      </c>
      <c r="Q2" s="9" t="s">
        <v>36</v>
      </c>
      <c r="R2" s="9" t="s">
        <v>39</v>
      </c>
      <c r="S2" s="9" t="s">
        <v>0</v>
      </c>
      <c r="T2" s="9" t="s">
        <v>8</v>
      </c>
      <c r="U2" s="9" t="s">
        <v>91</v>
      </c>
      <c r="V2" s="9" t="s">
        <v>90</v>
      </c>
      <c r="W2" s="9" t="s">
        <v>38</v>
      </c>
      <c r="X2" s="9" t="s">
        <v>66</v>
      </c>
      <c r="AC2" s="7" t="s">
        <v>75</v>
      </c>
    </row>
    <row r="3" spans="1:29" x14ac:dyDescent="0.25">
      <c r="A3" s="3">
        <v>1</v>
      </c>
      <c r="B3" s="11">
        <f>'Ocean 11 South, II'!B4</f>
        <v>45705</v>
      </c>
      <c r="C3" s="27" t="str">
        <f>'Ocean 11 South, II'!B2</f>
        <v>Ocean 11 South, II</v>
      </c>
      <c r="D3" s="3">
        <f>'Ocean 11 South, II'!B8</f>
        <v>12</v>
      </c>
      <c r="E3" s="3" t="str">
        <f>'Ocean 11 South, II'!B5</f>
        <v>A</v>
      </c>
      <c r="F3" s="6">
        <f>'Ocean 11 South, II'!B10</f>
        <v>7.4999999999999997E-2</v>
      </c>
      <c r="G3" s="5">
        <f>'Ocean 11 South, II'!B11</f>
        <v>100</v>
      </c>
      <c r="H3" s="11">
        <f>'Ocean 11 South, II'!B12</f>
        <v>46068</v>
      </c>
      <c r="I3" s="11">
        <f>'Ocean 11 South, II'!R3</f>
        <v>46073</v>
      </c>
      <c r="J3" s="10" t="str">
        <f ca="1">'Ocean 11 South, II'!B13</f>
        <v/>
      </c>
      <c r="K3" s="10" t="str">
        <f ca="1">'Ocean 11 South, II'!S3</f>
        <v/>
      </c>
      <c r="L3" s="5">
        <f>'Ocean 11 South, II'!N3</f>
        <v>100</v>
      </c>
      <c r="M3" s="5">
        <f>'Ocean 11 South, II'!P3</f>
        <v>7.46</v>
      </c>
      <c r="O3" s="5">
        <f>Pinigai!I2</f>
        <v>1114.17</v>
      </c>
      <c r="P3" s="5">
        <f>SUM(G3:G200)-S3</f>
        <v>1199.3400000000006</v>
      </c>
      <c r="Q3" s="5">
        <f>Pinigai!H2</f>
        <v>20</v>
      </c>
      <c r="R3" s="5">
        <f>U3-P3</f>
        <v>50.719999999999573</v>
      </c>
      <c r="S3" s="5">
        <f>SUM(L3:L200)</f>
        <v>1297.96</v>
      </c>
      <c r="T3" s="5">
        <f>SUM(M3:M200)</f>
        <v>115.89000000000001</v>
      </c>
      <c r="U3" s="5">
        <f>O3+T3+Q3</f>
        <v>1250.0600000000002</v>
      </c>
      <c r="V3" s="5">
        <f>U3-O3</f>
        <v>135.8900000000001</v>
      </c>
      <c r="W3" s="13">
        <f>(U3-O3)/O3</f>
        <v>0.12196522972257384</v>
      </c>
      <c r="X3" s="13">
        <f ca="1">XIRR(Pinigai!K2:K200,Pinigai!A2:A200)</f>
        <v>9.6675783395767212E-2</v>
      </c>
      <c r="AC3" s="10" t="str">
        <f ca="1">'Ocean 11 South, II'!AA2</f>
        <v/>
      </c>
    </row>
    <row r="4" spans="1:29" x14ac:dyDescent="0.25">
      <c r="A4" s="3">
        <v>2</v>
      </c>
      <c r="B4" s="11">
        <f>'Bičių slėnis XVII'!B4</f>
        <v>45717</v>
      </c>
      <c r="C4" s="27" t="str">
        <f>'Bičių slėnis XVII'!B2</f>
        <v>Namų kvartalas Bičių Slėnis XVII</v>
      </c>
      <c r="D4" s="3">
        <f>'Bičių slėnis XVII'!B8</f>
        <v>12</v>
      </c>
      <c r="E4" s="3" t="str">
        <f>'Bičių slėnis XVII'!B5</f>
        <v>A</v>
      </c>
      <c r="F4" s="6">
        <f>'Bičių slėnis XVII'!B10</f>
        <v>8.5000000000000006E-2</v>
      </c>
      <c r="G4" s="5">
        <f>'Bičių slėnis XVII'!B11</f>
        <v>100</v>
      </c>
      <c r="H4" s="11">
        <f>'Bičių slėnis XVII'!B12</f>
        <v>46080</v>
      </c>
      <c r="I4" s="11">
        <f>'Bičių slėnis XVII'!R3</f>
        <v>45925</v>
      </c>
      <c r="J4" s="10" t="str">
        <f ca="1">'Bičių slėnis XVII'!B13</f>
        <v/>
      </c>
      <c r="K4" s="10" t="str">
        <f ca="1">'Bičių slėnis XVII'!S3</f>
        <v/>
      </c>
      <c r="L4" s="5">
        <f>'Bičių slėnis XVII'!N3</f>
        <v>100</v>
      </c>
      <c r="M4" s="5">
        <f>'Bičių slėnis XVII'!P3</f>
        <v>4.71</v>
      </c>
      <c r="AC4" s="10" t="str">
        <f ca="1">'Bičių slėnis XVII'!AA2</f>
        <v/>
      </c>
    </row>
    <row r="5" spans="1:29" x14ac:dyDescent="0.25">
      <c r="A5" s="3">
        <v>3</v>
      </c>
      <c r="B5" s="11">
        <f>'Piekrasta rezidence'!B4</f>
        <v>45733</v>
      </c>
      <c r="C5" s="27" t="str">
        <f>'Piekrasta rezidence'!B2</f>
        <v>Piekrasta Rezidence, Ryga</v>
      </c>
      <c r="D5" s="3">
        <f>'Piekrasta rezidence'!B8</f>
        <v>12</v>
      </c>
      <c r="E5" s="3" t="str">
        <f>'Piekrasta rezidence'!B5</f>
        <v>A+</v>
      </c>
      <c r="F5" s="6">
        <f>'Piekrasta rezidence'!B10</f>
        <v>0.11</v>
      </c>
      <c r="G5" s="5">
        <f>'Piekrasta rezidence'!B11</f>
        <v>100</v>
      </c>
      <c r="H5" s="11">
        <f>'Piekrasta rezidence'!B12</f>
        <v>46098</v>
      </c>
      <c r="I5" s="11">
        <f>'Piekrasta rezidence'!R3</f>
        <v>46101</v>
      </c>
      <c r="J5" s="10" t="str">
        <f ca="1">'Piekrasta rezidence'!B13</f>
        <v/>
      </c>
      <c r="K5" s="10" t="str">
        <f ca="1">'Piekrasta rezidence'!S3</f>
        <v/>
      </c>
      <c r="L5" s="5">
        <f>'Piekrasta rezidence'!N3</f>
        <v>100</v>
      </c>
      <c r="M5" s="5">
        <f>'Piekrasta rezidence'!P3</f>
        <v>10.93</v>
      </c>
      <c r="AC5" s="10" t="str">
        <f ca="1">'Piekrasta rezidence'!AA2</f>
        <v/>
      </c>
    </row>
    <row r="6" spans="1:29" x14ac:dyDescent="0.25">
      <c r="A6" s="3">
        <v>4</v>
      </c>
      <c r="B6" s="11">
        <f>'Elfa loftai II'!B4</f>
        <v>45736</v>
      </c>
      <c r="C6" s="27" t="str">
        <f>'Elfa loftai II'!B2</f>
        <v>Elfa Loftai II</v>
      </c>
      <c r="D6" s="3">
        <f>'Elfa loftai II'!B8</f>
        <v>6</v>
      </c>
      <c r="E6" s="3" t="str">
        <f>'Elfa loftai II'!B5</f>
        <v>A+</v>
      </c>
      <c r="F6" s="6">
        <f>'Elfa loftai II'!B10</f>
        <v>0.09</v>
      </c>
      <c r="G6" s="5">
        <f>'Elfa loftai II'!B11</f>
        <v>100</v>
      </c>
      <c r="H6" s="11">
        <f>'Elfa loftai II'!B12</f>
        <v>45918</v>
      </c>
      <c r="I6" s="11">
        <f>'Elfa loftai II'!R3</f>
        <v>45898</v>
      </c>
      <c r="J6" s="10" t="str">
        <f ca="1">'Elfa loftai II'!B13</f>
        <v/>
      </c>
      <c r="K6" s="10" t="str">
        <f ca="1">'Elfa loftai II'!S3</f>
        <v/>
      </c>
      <c r="L6" s="5">
        <f>'Elfa loftai II'!N3</f>
        <v>100</v>
      </c>
      <c r="M6" s="5">
        <f>'Elfa loftai II'!P3</f>
        <v>3.96</v>
      </c>
      <c r="AC6" s="10" t="str">
        <f ca="1">'Elfa loftai II'!AA2</f>
        <v/>
      </c>
    </row>
    <row r="7" spans="1:29" x14ac:dyDescent="0.25">
      <c r="A7" s="3">
        <v>5</v>
      </c>
      <c r="B7" s="11">
        <f>'Kęstučio salos'!B4</f>
        <v>45773</v>
      </c>
      <c r="C7" s="27" t="str">
        <f>'Kęstučio salos'!B2</f>
        <v>Kęstučio salos</v>
      </c>
      <c r="D7" s="3">
        <f>'Kęstučio salos'!B8</f>
        <v>12</v>
      </c>
      <c r="E7" s="3" t="str">
        <f>'Kęstučio salos'!B5</f>
        <v>A+</v>
      </c>
      <c r="F7" s="6">
        <f>'Kęstučio salos'!B10</f>
        <v>8.5999999999999993E-2</v>
      </c>
      <c r="G7" s="5">
        <f>'Kęstučio salos'!B11</f>
        <v>100</v>
      </c>
      <c r="H7" s="11">
        <f>'Kęstučio salos'!B12</f>
        <v>46136</v>
      </c>
      <c r="I7" s="11">
        <f>'Kęstučio salos'!R3</f>
        <v>46162</v>
      </c>
      <c r="J7" s="10" t="str">
        <f ca="1">'Kęstučio salos'!B13</f>
        <v/>
      </c>
      <c r="K7" s="10" t="str">
        <f ca="1">'Kęstučio salos'!S3</f>
        <v/>
      </c>
      <c r="L7" s="5">
        <f>'Kęstučio salos'!N3</f>
        <v>100</v>
      </c>
      <c r="M7" s="5">
        <f>'Kęstučio salos'!P3</f>
        <v>10.479999999999999</v>
      </c>
      <c r="AC7" s="10" t="str">
        <f ca="1">'Kęstučio salos'!AA2</f>
        <v/>
      </c>
    </row>
    <row r="8" spans="1:29" x14ac:dyDescent="0.25">
      <c r="A8" s="3">
        <v>6</v>
      </c>
      <c r="B8" s="11">
        <f>'Twinhouse XIII'!B4</f>
        <v>45792</v>
      </c>
      <c r="C8" s="27" t="str">
        <f>'Twinhouse XIII'!B2</f>
        <v>Twinhouse XIII</v>
      </c>
      <c r="D8" s="3">
        <f>'Twinhouse XIII'!B8</f>
        <v>12</v>
      </c>
      <c r="E8" s="3" t="str">
        <f>'Twinhouse XIII'!B5</f>
        <v>A+</v>
      </c>
      <c r="F8" s="6">
        <f>'Twinhouse XIII'!B10</f>
        <v>0.08</v>
      </c>
      <c r="G8" s="5">
        <f>'Twinhouse XIII'!B11</f>
        <v>100</v>
      </c>
      <c r="H8" s="11">
        <f>'Twinhouse XIII'!B12</f>
        <v>46155</v>
      </c>
      <c r="I8" s="11">
        <f>'Twinhouse XIII'!R3</f>
        <v>46156</v>
      </c>
      <c r="J8" s="10" t="str">
        <f ca="1">'Twinhouse XIII'!B13</f>
        <v/>
      </c>
      <c r="K8" s="10" t="str">
        <f ca="1">'Twinhouse XIII'!S3</f>
        <v/>
      </c>
      <c r="L8" s="5">
        <f>'Twinhouse XIII'!N3</f>
        <v>100</v>
      </c>
      <c r="M8" s="5">
        <f>'Twinhouse XIII'!P3</f>
        <v>7.95</v>
      </c>
      <c r="AC8" s="10" t="str">
        <f ca="1">'Twinhouse XIII'!AA2</f>
        <v/>
      </c>
    </row>
    <row r="9" spans="1:29" x14ac:dyDescent="0.25">
      <c r="A9" s="3">
        <v>7</v>
      </c>
      <c r="B9" s="11">
        <f>'Vyčio slėnis VIII'!B4</f>
        <v>45804</v>
      </c>
      <c r="C9" s="27" t="str">
        <f>'Vyčio slėnis VIII'!B2</f>
        <v>Vyčio slėnis VIII</v>
      </c>
      <c r="D9" s="3">
        <f>'Vyčio slėnis VIII'!B8</f>
        <v>12</v>
      </c>
      <c r="E9" s="3" t="str">
        <f>'Vyčio slėnis VIII'!B5</f>
        <v>A</v>
      </c>
      <c r="F9" s="6">
        <f>'Vyčio slėnis VIII'!B10</f>
        <v>0.09</v>
      </c>
      <c r="G9" s="5">
        <f>'Vyčio slėnis VIII'!B11</f>
        <v>100</v>
      </c>
      <c r="H9" s="11">
        <f>'Vyčio slėnis VIII'!B12</f>
        <v>46167</v>
      </c>
      <c r="I9" s="11">
        <f>'Vyčio slėnis VIII'!R3</f>
        <v>46077</v>
      </c>
      <c r="J9" s="10" t="str">
        <f ca="1">'Vyčio slėnis VIII'!B13</f>
        <v/>
      </c>
      <c r="K9" s="10" t="str">
        <f ca="1">'Vyčio slėnis VIII'!S3</f>
        <v/>
      </c>
      <c r="L9" s="5">
        <f>'Vyčio slėnis VIII'!N3</f>
        <v>100</v>
      </c>
      <c r="M9" s="5">
        <f>'Vyčio slėnis VIII'!P3</f>
        <v>6.07</v>
      </c>
      <c r="AC9" s="10" t="str">
        <f ca="1">'Vyčio slėnis VIII'!AA2</f>
        <v/>
      </c>
    </row>
    <row r="10" spans="1:29" x14ac:dyDescent="0.25">
      <c r="A10" s="3">
        <v>8</v>
      </c>
      <c r="B10" s="11">
        <f>'Dvibutis Upės g.'!B4</f>
        <v>45857</v>
      </c>
      <c r="C10" s="27" t="str">
        <f>'Dvibutis Upės g.'!B2</f>
        <v>Dvibutis Upės g., Vilniaus r.</v>
      </c>
      <c r="D10" s="3">
        <f>'Vyčio slėnis VIII'!B8</f>
        <v>12</v>
      </c>
      <c r="E10" s="3" t="str">
        <f>'Vyčio slėnis VIII'!B5</f>
        <v>A</v>
      </c>
      <c r="F10" s="6">
        <f>'Dvibutis Upės g.'!B10</f>
        <v>0.08</v>
      </c>
      <c r="G10" s="5">
        <f>'Dvibutis Upės g.'!B11</f>
        <v>110.5</v>
      </c>
      <c r="H10" s="11">
        <f>'Dvibutis Upės g.'!B12</f>
        <v>46220</v>
      </c>
      <c r="I10" s="11">
        <f>'Dvibutis Upės g.'!R3</f>
        <v>46139</v>
      </c>
      <c r="J10" s="10" t="str">
        <f ca="1">'Dvibutis Upės g.'!B13</f>
        <v/>
      </c>
      <c r="K10" s="10" t="str">
        <f ca="1">'Dvibutis Upės g.'!S3</f>
        <v/>
      </c>
      <c r="L10" s="5">
        <f>'Dvibutis Upės g.'!N3</f>
        <v>110.5</v>
      </c>
      <c r="M10" s="5">
        <f>'Dvibutis Upės g.'!P3</f>
        <v>6.71</v>
      </c>
      <c r="AC10" s="10" t="str">
        <f ca="1">'Dvibutis Upės g.'!AA2</f>
        <v/>
      </c>
    </row>
    <row r="11" spans="1:29" x14ac:dyDescent="0.25">
      <c r="A11" s="3">
        <v>9</v>
      </c>
      <c r="B11" s="11">
        <f>'Dvibutis Klevų g.'!B4</f>
        <v>45898</v>
      </c>
      <c r="C11" s="27" t="str">
        <f>'Dvibutis Klevų g.'!B2</f>
        <v>Dvibutis Klevų g., Kauno r.</v>
      </c>
      <c r="D11" s="3">
        <f>'Dvibutis Klevų g.'!B8</f>
        <v>12</v>
      </c>
      <c r="E11" s="3" t="str">
        <f>'Dvibutis Klevų g.'!B5</f>
        <v>A+</v>
      </c>
      <c r="F11" s="6">
        <f>'Dvibutis Klevų g.'!B10</f>
        <v>0.08</v>
      </c>
      <c r="G11" s="5">
        <f>'Dvibutis Klevų g.'!B11</f>
        <v>103.7</v>
      </c>
      <c r="H11" s="11">
        <f>'Dvibutis Klevų g.'!B12</f>
        <v>46262</v>
      </c>
      <c r="I11" s="11">
        <f>'Dvibutis Klevų g.'!R3</f>
        <v>46093</v>
      </c>
      <c r="J11" s="10" t="str">
        <f ca="1">'Dvibutis Klevų g.'!B13</f>
        <v/>
      </c>
      <c r="K11" s="10" t="str">
        <f ca="1">'Dvibutis Klevų g.'!S3</f>
        <v/>
      </c>
      <c r="L11" s="5">
        <f>'Dvibutis Klevų g.'!N3</f>
        <v>103.7</v>
      </c>
      <c r="M11" s="5">
        <f>'Dvibutis Klevų g.'!P3</f>
        <v>2.4699999999999998</v>
      </c>
      <c r="AC11" s="10" t="str">
        <f ca="1">'Dvibutis Klevų g.'!AA2</f>
        <v/>
      </c>
    </row>
    <row r="12" spans="1:29" x14ac:dyDescent="0.25">
      <c r="A12" s="3">
        <v>10</v>
      </c>
      <c r="B12" s="11">
        <f>'Dvibutis Upelio g., Vilniaus r.'!B4</f>
        <v>45909</v>
      </c>
      <c r="C12" s="27" t="str">
        <f>'Dvibutis Upelio g., Vilniaus r.'!B2</f>
        <v>Dvibutis Upelio g., Vilniaus r.</v>
      </c>
      <c r="D12" s="3">
        <f>'Dvibutis Upelio g., Vilniaus r.'!B8</f>
        <v>12</v>
      </c>
      <c r="E12" s="3" t="str">
        <f>'Dvibutis Upelio g., Vilniaus r.'!B5</f>
        <v>A+</v>
      </c>
      <c r="F12" s="6">
        <f>'Dvibutis Upelio g., Vilniaus r.'!B10</f>
        <v>8.5000000000000006E-2</v>
      </c>
      <c r="G12" s="5">
        <f>'Dvibutis Upelio g., Vilniaus r.'!B11</f>
        <v>116.6</v>
      </c>
      <c r="H12" s="11">
        <f>'Dvibutis Upelio g., Vilniaus r.'!B12</f>
        <v>46272</v>
      </c>
      <c r="I12" s="11">
        <f>'Dvibutis Upelio g., Vilniaus r.'!R3</f>
        <v>46280</v>
      </c>
      <c r="J12" s="10" t="str">
        <f ca="1">'Dvibutis Upelio g., Vilniaus r.'!B13</f>
        <v/>
      </c>
      <c r="K12" s="10" t="str">
        <f ca="1">'Dvibutis Upelio g., Vilniaus r.'!S3</f>
        <v/>
      </c>
      <c r="L12" s="5">
        <f>'Dvibutis Upelio g., Vilniaus r.'!N3</f>
        <v>116.6</v>
      </c>
      <c r="M12" s="5">
        <f>'Dvibutis Upelio g., Vilniaus r.'!P3</f>
        <v>10.280000000000001</v>
      </c>
      <c r="AC12" s="10" t="str">
        <f ca="1">'Dvibutis Upelio g., Vilniaus r.'!AA2</f>
        <v/>
      </c>
    </row>
    <row r="13" spans="1:29" x14ac:dyDescent="0.25">
      <c r="A13" s="3">
        <v>11</v>
      </c>
      <c r="B13" s="11">
        <f>'Piekrasta Rezidence, Ryga XII'!B4</f>
        <v>45926</v>
      </c>
      <c r="C13" s="27" t="str">
        <f>'Piekrasta Rezidence, Ryga XII'!B2</f>
        <v>Piekrasta Rezidence, Ryga XII</v>
      </c>
      <c r="D13" s="3">
        <f>'Piekrasta Rezidence, Ryga XII'!B8</f>
        <v>12</v>
      </c>
      <c r="E13" s="3" t="str">
        <f>'Piekrasta Rezidence, Ryga XII'!B5</f>
        <v>AA-</v>
      </c>
      <c r="F13" s="6">
        <f>'Piekrasta Rezidence, Ryga XII'!B10</f>
        <v>8.5000000000000006E-2</v>
      </c>
      <c r="G13" s="5">
        <f>'Piekrasta Rezidence, Ryga XII'!B11</f>
        <v>101.9</v>
      </c>
      <c r="H13" s="11">
        <f>'Piekrasta Rezidence, Ryga XII'!B12</f>
        <v>46290</v>
      </c>
      <c r="I13" s="11">
        <f>'Piekrasta Rezidence, Ryga XII'!R3</f>
        <v>46293</v>
      </c>
      <c r="J13" s="10" t="str">
        <f ca="1">'Piekrasta Rezidence, Ryga XII'!B13</f>
        <v/>
      </c>
      <c r="K13" s="10" t="str">
        <f ca="1">'Piekrasta Rezidence, Ryga XII'!S3</f>
        <v/>
      </c>
      <c r="L13" s="5">
        <f>'Piekrasta Rezidence, Ryga XII'!N3</f>
        <v>101.9</v>
      </c>
      <c r="M13" s="5">
        <f>'Piekrasta Rezidence, Ryga XII'!P3</f>
        <v>8.6100000000000012</v>
      </c>
      <c r="AC13" s="10" t="str">
        <f ca="1">'Piekrasta Rezidence, Ryga XII'!AA2</f>
        <v/>
      </c>
    </row>
    <row r="14" spans="1:29" x14ac:dyDescent="0.25">
      <c r="A14" s="3">
        <v>12</v>
      </c>
      <c r="B14" s="11">
        <f>'Dvibutis Didžiojoje Riešėje'!B4</f>
        <v>46003</v>
      </c>
      <c r="C14" s="27" t="str">
        <f>'Dvibutis Didžiojoje Riešėje'!B2</f>
        <v>Dvibutis Didžiojoje Riešėje</v>
      </c>
      <c r="D14" s="3">
        <f>'Dvibutis Didžiojoje Riešėje'!B8</f>
        <v>12</v>
      </c>
      <c r="E14" s="3" t="str">
        <f>'Dvibutis Didžiojoje Riešėje'!B5</f>
        <v>A</v>
      </c>
      <c r="F14" s="6">
        <f>'Dvibutis Didžiojoje Riešėje'!B10</f>
        <v>0.09</v>
      </c>
      <c r="G14" s="5">
        <f>'Dvibutis Didžiojoje Riešėje'!B11</f>
        <v>116.3</v>
      </c>
      <c r="H14" s="11">
        <f>'Dvibutis Didžiojoje Riešėje'!B12</f>
        <v>46367</v>
      </c>
      <c r="I14" s="11">
        <f>'Dvibutis Didžiojoje Riešėje'!R3</f>
        <v>46272</v>
      </c>
      <c r="J14" s="10" t="str">
        <f ca="1">'Dvibutis Didžiojoje Riešėje'!B13</f>
        <v/>
      </c>
      <c r="K14" s="10" t="str">
        <f ca="1">'Dvibutis Didžiojoje Riešėje'!S3</f>
        <v/>
      </c>
      <c r="L14" s="5">
        <f>'Dvibutis Didžiojoje Riešėje'!N3</f>
        <v>116.3</v>
      </c>
      <c r="M14" s="5">
        <f>'Dvibutis Didžiojoje Riešėje'!P3</f>
        <v>7.55</v>
      </c>
      <c r="AC14" s="10" t="str">
        <f ca="1">'Dvibutis Didžiojoje Riešėje'!AA2</f>
        <v/>
      </c>
    </row>
    <row r="15" spans="1:29" x14ac:dyDescent="0.25">
      <c r="A15" s="3">
        <v>13</v>
      </c>
      <c r="B15" s="11">
        <f>'Sklypas Kalnėnuose, Vilnius II'!B4</f>
        <v>46034</v>
      </c>
      <c r="C15" s="27" t="str">
        <f>'Sklypas Kalnėnuose, Vilnius II'!B2</f>
        <v>Sklypas Kalnėnuose, Vilnius II</v>
      </c>
      <c r="D15" s="3">
        <f>'Sklypas Kalnėnuose, Vilnius II'!B8</f>
        <v>12</v>
      </c>
      <c r="E15" s="3" t="str">
        <f>'Sklypas Kalnėnuose, Vilnius II'!B5</f>
        <v>AA+</v>
      </c>
      <c r="F15" s="6">
        <f>'Sklypas Kalnėnuose, Vilnius II'!B10</f>
        <v>0.08</v>
      </c>
      <c r="G15" s="5">
        <f>'Sklypas Kalnėnuose, Vilnius II'!B11</f>
        <v>104.1</v>
      </c>
      <c r="H15" s="11">
        <f>'Sklypas Kalnėnuose, Vilnius II'!B12</f>
        <v>46398</v>
      </c>
      <c r="I15" s="11" t="str">
        <f>'Sklypas Kalnėnuose, Vilnius II'!R3</f>
        <v/>
      </c>
      <c r="J15" s="10">
        <f ca="1">'Sklypas Kalnėnuose, Vilnius II'!B13</f>
        <v>103</v>
      </c>
      <c r="K15" s="10" t="str">
        <f ca="1">'Sklypas Kalnėnuose, Vilnius II'!S3</f>
        <v/>
      </c>
      <c r="L15" s="5">
        <f>'Sklypas Kalnėnuose, Vilnius II'!N3</f>
        <v>0</v>
      </c>
      <c r="M15" s="5">
        <f>'Sklypas Kalnėnuose, Vilnius II'!P3</f>
        <v>4.54</v>
      </c>
      <c r="AC15" s="10" t="str">
        <f ca="1">'Sklypas Kalnėnuose, Vilnius II'!AA2</f>
        <v/>
      </c>
    </row>
    <row r="16" spans="1:29" x14ac:dyDescent="0.25">
      <c r="A16" s="3">
        <v>14</v>
      </c>
      <c r="B16" s="11">
        <f>'Golf Hills Vilos, Alikantė'!B4</f>
        <v>46062</v>
      </c>
      <c r="C16" s="27" t="str">
        <f>'Golf Hills Vilos, Alikantė'!B2</f>
        <v>Golf Hills Vilos, Alikantė</v>
      </c>
      <c r="D16" s="3">
        <f>'Golf Hills Vilos, Alikantė'!B8</f>
        <v>12</v>
      </c>
      <c r="E16" s="3" t="str">
        <f>'Golf Hills Vilos, Alikantė'!B5</f>
        <v>AA</v>
      </c>
      <c r="F16" s="6">
        <f>'Golf Hills Vilos, Alikantė'!B10</f>
        <v>9.6000000000000002E-2</v>
      </c>
      <c r="G16" s="5">
        <f>'Golf Hills Vilos, Alikantė'!B11</f>
        <v>102.9</v>
      </c>
      <c r="H16" s="11">
        <f>'Golf Hills Vilos, Alikantė'!B12</f>
        <v>46426</v>
      </c>
      <c r="I16" s="11" t="str">
        <f>'Golf Hills Vilos, Alikantė'!R3</f>
        <v/>
      </c>
      <c r="J16" s="10">
        <f ca="1">'Golf Hills Vilos, Alikantė'!B13</f>
        <v>131</v>
      </c>
      <c r="K16" s="10" t="str">
        <f ca="1">'Golf Hills Vilos, Alikantė'!S3</f>
        <v/>
      </c>
      <c r="L16" s="5">
        <f>'Golf Hills Vilos, Alikantė'!N3</f>
        <v>0</v>
      </c>
      <c r="M16" s="5">
        <f>'Golf Hills Vilos, Alikantė'!P3</f>
        <v>5.5000000000000009</v>
      </c>
      <c r="AC16" s="10" t="str">
        <f ca="1">'Golf Hills Vilos, Alikantė'!AA2</f>
        <v/>
      </c>
    </row>
    <row r="17" spans="1:29" x14ac:dyDescent="0.25">
      <c r="A17" s="3">
        <v>15</v>
      </c>
      <c r="B17" s="11">
        <f>'Svajonių Daugiabutis, Kaunas'!B4</f>
        <v>46076</v>
      </c>
      <c r="C17" s="27" t="str">
        <f>'Svajonių Daugiabutis, Kaunas'!B2</f>
        <v>Svajonių Daugiabutis, Kaunas</v>
      </c>
      <c r="D17" s="3">
        <f>'Svajonių Daugiabutis, Kaunas'!B8</f>
        <v>12</v>
      </c>
      <c r="E17" s="3" t="str">
        <f>'Svajonių Daugiabutis, Kaunas'!B5</f>
        <v>A-</v>
      </c>
      <c r="F17" s="6">
        <f>'Svajonių Daugiabutis, Kaunas'!B10</f>
        <v>0.09</v>
      </c>
      <c r="G17" s="5">
        <f>'Svajonių Daugiabutis, Kaunas'!B11</f>
        <v>101.5</v>
      </c>
      <c r="H17" s="11">
        <f>'Svajonių Daugiabutis, Kaunas'!B12</f>
        <v>46440</v>
      </c>
      <c r="I17" s="11" t="str">
        <f>'Svajonių Daugiabutis, Kaunas'!R3</f>
        <v/>
      </c>
      <c r="J17" s="10">
        <f ca="1">'Svajonių Daugiabutis, Kaunas'!B13</f>
        <v>145</v>
      </c>
      <c r="K17" s="10" t="str">
        <f ca="1">'Svajonių Daugiabutis, Kaunas'!S3</f>
        <v/>
      </c>
      <c r="L17" s="5">
        <f>'Svajonių Daugiabutis, Kaunas'!N3</f>
        <v>0</v>
      </c>
      <c r="M17" s="5">
        <f>'Svajonių Daugiabutis, Kaunas'!P3</f>
        <v>4.6999999999999993</v>
      </c>
      <c r="AC17" s="10" t="str">
        <f ca="1">'Svajonių Daugiabutis, Kaunas'!AA2</f>
        <v/>
      </c>
    </row>
    <row r="18" spans="1:29" x14ac:dyDescent="0.25">
      <c r="A18" s="3">
        <v>16</v>
      </c>
      <c r="B18" s="11">
        <f>'Brivibas 28, Jūrmala'!B4</f>
        <v>46107</v>
      </c>
      <c r="C18" s="27" t="str">
        <f>'Brivibas 28, Jūrmala'!B2</f>
        <v>Brivibas 28, Jūrmala</v>
      </c>
      <c r="D18" s="3">
        <f>'Brivibas 28, Jūrmala'!B8</f>
        <v>12</v>
      </c>
      <c r="E18" s="3" t="str">
        <f>'Brivibas 28, Jūrmala'!B5</f>
        <v>A+</v>
      </c>
      <c r="F18" s="6">
        <v>9.0999999999999998E-2</v>
      </c>
      <c r="G18" s="5">
        <f>'Brivibas 28, Jūrmala'!B11</f>
        <v>135.69999999999999</v>
      </c>
      <c r="H18" s="11">
        <f>'Brivibas 28, Jūrmala'!B12</f>
        <v>46470</v>
      </c>
      <c r="I18" s="11" t="str">
        <f>'Brivibas 28, Jūrmala'!R3</f>
        <v/>
      </c>
      <c r="J18" s="10">
        <f ca="1">'Brivibas 28, Jūrmala'!B13</f>
        <v>175</v>
      </c>
      <c r="K18" s="10" t="str">
        <f ca="1">'Brivibas 28, Jūrmala'!S3</f>
        <v/>
      </c>
      <c r="L18" s="5">
        <f>'Brivibas 28, Jūrmala'!N3</f>
        <v>48.959999999999994</v>
      </c>
      <c r="M18" s="5">
        <f>'Brivibas 28, Jūrmala'!P3</f>
        <v>6.11</v>
      </c>
      <c r="AC18" s="10" t="str">
        <f ca="1">'Brivibas 28, Jūrmala'!AA2</f>
        <v/>
      </c>
    </row>
    <row r="19" spans="1:29" x14ac:dyDescent="0.25">
      <c r="A19" s="3">
        <v>17</v>
      </c>
      <c r="B19" s="11">
        <f>'Europos 70, Kaunas XX'!B4</f>
        <v>46139</v>
      </c>
      <c r="C19" s="27" t="str">
        <f>'Europos 70, Kaunas XX'!B2</f>
        <v>Europos 70, Kaunas XX</v>
      </c>
      <c r="D19" s="3">
        <f>'Europos 70, Kaunas XX'!B8</f>
        <v>12</v>
      </c>
      <c r="E19" s="3" t="str">
        <f>'Europos 70, Kaunas XX'!B5</f>
        <v>A+</v>
      </c>
      <c r="F19" s="6">
        <f>'Europos 70, Kaunas XX'!B10</f>
        <v>8.2000000000000003E-2</v>
      </c>
      <c r="G19" s="5">
        <f>'Europos 70, Kaunas XX'!B11</f>
        <v>120.3</v>
      </c>
      <c r="H19" s="11">
        <f>'Europos 70, Kaunas XX'!B12</f>
        <v>46503</v>
      </c>
      <c r="I19" s="11" t="str">
        <f>'Europos 70, Kaunas XX'!R3</f>
        <v/>
      </c>
      <c r="J19" s="10">
        <f ca="1">'Europos 70, Kaunas XX'!B13</f>
        <v>208</v>
      </c>
      <c r="K19" s="10" t="str">
        <f ca="1">'Europos 70, Kaunas XX'!S3</f>
        <v/>
      </c>
      <c r="L19" s="5">
        <f>'Europos 70, Kaunas XX'!N3</f>
        <v>0</v>
      </c>
      <c r="M19" s="5">
        <f>'Europos 70, Kaunas XX'!P3</f>
        <v>2.99</v>
      </c>
      <c r="AC19" s="10" t="str">
        <f ca="1">'Europos 70, Kaunas XX'!AA2</f>
        <v/>
      </c>
    </row>
    <row r="20" spans="1:29" x14ac:dyDescent="0.25">
      <c r="A20" s="3">
        <v>18</v>
      </c>
      <c r="B20" s="11">
        <f>'Molėtų Oazė XII'!B3</f>
        <v>46156</v>
      </c>
      <c r="C20" s="27" t="str">
        <f>'Molėtų Oazė XII'!B2</f>
        <v>Molėtų Oazė XII</v>
      </c>
      <c r="D20" s="3">
        <f>'Molėtų Oazė XII'!B8</f>
        <v>12</v>
      </c>
      <c r="E20" s="3" t="str">
        <f>'Molėtų Oazė XII'!B5</f>
        <v>A-</v>
      </c>
      <c r="F20" s="6">
        <f>'Molėtų Oazė XII'!B10</f>
        <v>8.5999999999999993E-2</v>
      </c>
      <c r="G20" s="5">
        <f>'Molėtų Oazė XII'!B11</f>
        <v>105.2</v>
      </c>
      <c r="H20" s="11">
        <f>'Molėtų Oazė XII'!B12</f>
        <v>46520</v>
      </c>
      <c r="I20" s="11" t="str">
        <f>'Molėtų Oazė XII'!R3</f>
        <v/>
      </c>
      <c r="J20" s="10">
        <f ca="1">'Molėtų Oazė XII'!B13</f>
        <v>225</v>
      </c>
      <c r="K20" s="10" t="str">
        <f ca="1">'Molėtų Oazė XII'!S3</f>
        <v/>
      </c>
      <c r="L20" s="5">
        <f>'Molėtų Oazė XII'!N3</f>
        <v>0</v>
      </c>
      <c r="M20" s="5">
        <f>'Molėtų Oazė XII'!P3</f>
        <v>2.68</v>
      </c>
      <c r="AC20" s="5" t="str">
        <f ca="1">'Molėtų Oazė XII'!AA2</f>
        <v/>
      </c>
    </row>
    <row r="21" spans="1:29" x14ac:dyDescent="0.25">
      <c r="A21" s="3">
        <v>19</v>
      </c>
      <c r="B21" s="11">
        <f>'Dvibučių kvartalas Kauno r. II'!B3</f>
        <v>46164</v>
      </c>
      <c r="C21" s="27" t="str">
        <f>'Dvibučių kvartalas Kauno r. II'!B2</f>
        <v>Dvibučių kvartalas Kauno r. II</v>
      </c>
      <c r="D21" s="3">
        <f>'Dvibučių kvartalas Kauno r. II'!B8</f>
        <v>12</v>
      </c>
      <c r="E21" s="3" t="str">
        <f>'Dvibučių kvartalas Kauno r. II'!B5</f>
        <v>A</v>
      </c>
      <c r="F21" s="6">
        <f>'Dvibučių kvartalas Kauno r. II'!B10</f>
        <v>0.08</v>
      </c>
      <c r="G21" s="5">
        <f>'Dvibučių kvartalas Kauno r. II'!B11</f>
        <v>102.9</v>
      </c>
      <c r="H21" s="11">
        <f>'Dvibučių kvartalas Kauno r. II'!B12</f>
        <v>46531</v>
      </c>
      <c r="I21" s="11" t="str">
        <f>'Dvibučių kvartalas Kauno r. II'!R3</f>
        <v/>
      </c>
      <c r="J21" s="10">
        <f ca="1">'Dvibučių kvartalas Kauno r. II'!B13</f>
        <v>236</v>
      </c>
      <c r="K21" s="10" t="str">
        <f ca="1">'Dvibučių kvartalas Kauno r. II'!S3</f>
        <v/>
      </c>
      <c r="L21" s="5">
        <f>'Dvibučių kvartalas Kauno r. II'!N3</f>
        <v>0</v>
      </c>
      <c r="M21" s="5">
        <f>'Dvibučių kvartalas Kauno r. II'!P3</f>
        <v>2.19</v>
      </c>
      <c r="AC21" s="22" t="str">
        <f ca="1">'Dvibučių kvartalas Kauno r. II'!AA2</f>
        <v/>
      </c>
    </row>
    <row r="22" spans="1:29" x14ac:dyDescent="0.25">
      <c r="A22" s="3">
        <v>20</v>
      </c>
      <c r="B22" s="11">
        <f>'Senvagės loftai, Panevėžys VIII'!B3</f>
        <v>46254</v>
      </c>
      <c r="C22" s="27" t="str">
        <f>'Senvagės loftai, Panevėžys VIII'!B2</f>
        <v>Senvagės loftai, Panevėžys VIII</v>
      </c>
      <c r="D22" s="3">
        <f>'Senvagės loftai, Panevėžys VIII'!B8</f>
        <v>12</v>
      </c>
      <c r="E22" s="3" t="str">
        <f>'Senvagės loftai, Panevėžys VIII'!B5</f>
        <v>A-</v>
      </c>
      <c r="F22" s="6">
        <f>'Senvagės loftai, Panevėžys VIII'!B10</f>
        <v>9.2999999999999999E-2</v>
      </c>
      <c r="G22" s="5">
        <f>'Senvagės loftai, Panevėžys VIII'!B11</f>
        <v>122.1</v>
      </c>
      <c r="H22" s="11">
        <f>'Senvagės loftai, Panevėžys VIII'!B12</f>
        <v>46617</v>
      </c>
      <c r="I22" s="11" t="str">
        <f>'Senvagės loftai, Panevėžys VIII'!R3</f>
        <v/>
      </c>
      <c r="J22" s="10">
        <f ca="1">'Senvagės loftai, Panevėžys VIII'!B13</f>
        <v>322</v>
      </c>
      <c r="K22" s="10" t="str">
        <f ca="1">'Senvagės loftai, Panevėžys VIII'!S3</f>
        <v/>
      </c>
      <c r="L22" s="5">
        <f>'Senvagės loftai, Panevėžys VIII'!N3</f>
        <v>0</v>
      </c>
      <c r="M22" s="5">
        <f>'Senvagės loftai, Panevėžys VIII'!P3</f>
        <v>0</v>
      </c>
      <c r="AC22" s="22"/>
    </row>
    <row r="23" spans="1:29" x14ac:dyDescent="0.25">
      <c r="A23" s="3">
        <v>21</v>
      </c>
      <c r="B23" s="11">
        <f>'Daugiabučiai Lietaviškių g.'!B3</f>
        <v>46272</v>
      </c>
      <c r="C23" s="27" t="str">
        <f>'Daugiabučiai Lietaviškių g.'!B2</f>
        <v>Daugiabučiai Lietaviškių g., Vilnius</v>
      </c>
      <c r="D23" s="3">
        <f>'Daugiabučiai Lietaviškių g.'!B8</f>
        <v>18</v>
      </c>
      <c r="E23" s="3" t="str">
        <f>'Daugiabučiai Lietaviškių g.'!B5</f>
        <v>A-</v>
      </c>
      <c r="F23" s="6">
        <f>'Daugiabučiai Lietaviškių g.'!B10</f>
        <v>9.5000000000000001E-2</v>
      </c>
      <c r="G23" s="5">
        <f>'Daugiabučiai Lietaviškių g.'!B11</f>
        <v>131.80000000000001</v>
      </c>
      <c r="H23" s="11">
        <f>'Daugiabučiai Lietaviškių g.'!B12</f>
        <v>46828</v>
      </c>
      <c r="I23" s="11" t="str">
        <f>'Daugiabučiai Lietaviškių g.'!R3</f>
        <v/>
      </c>
      <c r="J23" s="10">
        <f ca="1">'Daugiabučiai Lietaviškių g.'!B13</f>
        <v>533</v>
      </c>
      <c r="K23" s="10" t="str">
        <f ca="1">'Daugiabučiai Lietaviškių g.'!S3</f>
        <v/>
      </c>
      <c r="L23" s="5">
        <f>'Daugiabučiai Lietaviškių g.'!N3</f>
        <v>0</v>
      </c>
      <c r="M23" s="5">
        <f>'Daugiabučiai Lietaviškių g.'!P3</f>
        <v>0</v>
      </c>
      <c r="AC23" s="22"/>
    </row>
    <row r="24" spans="1:29" x14ac:dyDescent="0.25">
      <c r="A24" s="3">
        <v>22</v>
      </c>
      <c r="B24" s="11">
        <f>'Daugiabutis Brivibas 140, Ryga'!B3</f>
        <v>46280</v>
      </c>
      <c r="C24" s="27" t="str">
        <f>'Daugiabutis Brivibas 140, Ryga'!B2</f>
        <v>Daugiabutis Brivibas 140, Ryga</v>
      </c>
      <c r="D24" s="3">
        <f>'Daugiabutis Brivibas 140, Ryga'!B8</f>
        <v>12</v>
      </c>
      <c r="E24" s="3" t="str">
        <f>'Daugiabutis Brivibas 140, Ryga'!B5</f>
        <v>AA</v>
      </c>
      <c r="F24" s="6">
        <f>'Daugiabutis Brivibas 140, Ryga'!B10</f>
        <v>0.09</v>
      </c>
      <c r="G24" s="5">
        <f>'Daugiabutis Brivibas 140, Ryga'!B11</f>
        <v>118.8</v>
      </c>
      <c r="H24" s="11">
        <f>'Daugiabutis Brivibas 140, Ryga'!B12</f>
        <v>46645</v>
      </c>
      <c r="I24" s="11" t="str">
        <f>'Daugiabutis Brivibas 140, Ryga'!R3</f>
        <v/>
      </c>
      <c r="J24" s="10">
        <f ca="1">'Daugiabutis Brivibas 140, Ryga'!B13</f>
        <v>350</v>
      </c>
      <c r="K24" s="10" t="str">
        <f ca="1">'Daugiabutis Brivibas 140, Ryga'!S3</f>
        <v/>
      </c>
      <c r="L24" s="5">
        <f>'Daugiabutis Brivibas 140, Ryga'!N3</f>
        <v>0</v>
      </c>
      <c r="M24" s="5">
        <f>'Daugiabutis Brivibas 140, Ryga'!P3</f>
        <v>0</v>
      </c>
      <c r="AC24" s="22"/>
    </row>
    <row r="25" spans="1:29" x14ac:dyDescent="0.25">
      <c r="A25" s="3">
        <v>23</v>
      </c>
      <c r="B25" s="11">
        <f>'Namas Laipu 2, Jūrmala'!B3</f>
        <v>46293</v>
      </c>
      <c r="C25" s="27" t="str">
        <f>'Namas Laipu 2, Jūrmala'!B2</f>
        <v>Namas Laipu 2, Jūrmala</v>
      </c>
      <c r="D25" s="3">
        <f>'Namas Laipu 2, Jūrmala'!B8</f>
        <v>18</v>
      </c>
      <c r="E25" s="3" t="str">
        <f>'Namas Laipu 2, Jūrmala'!B5</f>
        <v>A+</v>
      </c>
      <c r="F25" s="6">
        <f>'Namas Laipu 2, Jūrmala'!B10</f>
        <v>8.5000000000000006E-2</v>
      </c>
      <c r="G25" s="5">
        <f>'Namas Laipu 2, Jūrmala'!B11</f>
        <v>103</v>
      </c>
      <c r="H25" s="11">
        <f>'Namas Laipu 2, Jūrmala'!B12</f>
        <v>0</v>
      </c>
      <c r="I25" s="11" t="str">
        <f>'Namas Laipu 2, Jūrmala'!R3</f>
        <v/>
      </c>
      <c r="J25" s="10">
        <f ca="1">'Namas Laipu 2, Jūrmala'!B13</f>
        <v>-46295</v>
      </c>
      <c r="K25" s="10" t="str">
        <f ca="1">'Namas Laipu 2, Jūrmala'!S3</f>
        <v/>
      </c>
      <c r="L25" s="5">
        <f>'Namas Laipu 2, Jūrmala'!N3</f>
        <v>0</v>
      </c>
      <c r="M25" s="5">
        <f>'Namas Laipu 2, Jūrmala'!P3</f>
        <v>0</v>
      </c>
      <c r="AC25" s="22"/>
    </row>
    <row r="26" spans="1:29" x14ac:dyDescent="0.25">
      <c r="A26" s="3"/>
      <c r="B26" s="11"/>
      <c r="C26" s="27"/>
      <c r="D26" s="3"/>
      <c r="E26" s="3"/>
      <c r="F26" s="6"/>
      <c r="G26" s="5"/>
      <c r="H26" s="11"/>
      <c r="I26" s="11"/>
      <c r="J26" s="10"/>
      <c r="K26" s="10"/>
      <c r="L26" s="5"/>
      <c r="M26" s="5"/>
      <c r="AC26" s="22"/>
    </row>
    <row r="27" spans="1:29" x14ac:dyDescent="0.25">
      <c r="A27" s="3"/>
      <c r="B27" s="11"/>
      <c r="C27" s="27"/>
      <c r="D27" s="3"/>
      <c r="E27" s="3"/>
      <c r="F27" s="6"/>
      <c r="G27" s="5"/>
      <c r="H27" s="11"/>
      <c r="I27" s="11"/>
      <c r="J27" s="10"/>
      <c r="K27" s="10"/>
      <c r="L27" s="5"/>
      <c r="M27" s="5"/>
      <c r="AC27" s="22"/>
    </row>
    <row r="28" spans="1:29" x14ac:dyDescent="0.25">
      <c r="AC28" s="22"/>
    </row>
  </sheetData>
  <mergeCells count="5">
    <mergeCell ref="A1:G1"/>
    <mergeCell ref="H1:M1"/>
    <mergeCell ref="O1:R1"/>
    <mergeCell ref="S1:T1"/>
    <mergeCell ref="U1:X1"/>
  </mergeCells>
  <conditionalFormatting sqref="A3:M27">
    <cfRule type="expression" dxfId="95" priority="1">
      <formula>$AC3="+"</formula>
    </cfRule>
    <cfRule type="expression" dxfId="94" priority="2">
      <formula>AND($G3&gt;0,$G3=$L3)</formula>
    </cfRule>
  </conditionalFormatting>
  <conditionalFormatting sqref="AC20">
    <cfRule type="expression" dxfId="93" priority="3">
      <formula>AND($G20&gt;0,$G20=$L20)</formula>
    </cfRule>
    <cfRule type="expression" dxfId="92" priority="4">
      <formula>$AC20="+"</formula>
    </cfRule>
  </conditionalFormatting>
  <hyperlinks>
    <hyperlink ref="C19" location="'Europos 70, Kaunas XX'!A1" display="'Europos 70, Kaunas XX'!A1" xr:uid="{BB1B6603-D38B-4396-A4A9-9613F5979486}"/>
    <hyperlink ref="C18" location="'Brivibas 28, Jūrmala'!A1" display="'Brivibas 28, Jūrmala'!A1" xr:uid="{F56275E5-E862-4FFB-AA0F-3BC7327EF4A9}"/>
    <hyperlink ref="C3" location="'Ocean 11 South, II'!A1" display="'Ocean 11 South, II'!A1" xr:uid="{6B88870E-12F0-4B30-98BB-53A2204A2361}"/>
    <hyperlink ref="C4" location="'Bičių slėnis XVII'!A1" display="'Bičių slėnis XVII'!A1" xr:uid="{B3288997-A36E-4529-B1BB-FD150C6B5339}"/>
    <hyperlink ref="C5" location="'Piekrasta rezidence'!A1" display="'Piekrasta rezidence'!A1" xr:uid="{A74A1750-6D1F-4C66-897F-EA66AF45273B}"/>
    <hyperlink ref="C6" location="'Elfa loftai II'!A1" display="'Elfa loftai II'!A1" xr:uid="{29732EC9-A436-4A37-9763-7E1384B65B60}"/>
    <hyperlink ref="C7" location="'Kęstučio salos'!A1" display="'Kęstučio salos'!A1" xr:uid="{96C8847E-73A6-4103-A34B-1A9B116EB8D1}"/>
    <hyperlink ref="C8" location="'Twinhouse XIII'!A1" display="'Twinhouse XIII'!A1" xr:uid="{434BBC9D-F5E0-4329-87E0-E060FD85B87D}"/>
    <hyperlink ref="C9" location="'Vyčio slėnis VIII'!A1" display="'Vyčio slėnis VIII'!A1" xr:uid="{5B8B3287-5732-4E2A-8449-F8B5B76900A7}"/>
    <hyperlink ref="C10" location="'Dvibutis Upės g.'!A1" display="'Dvibutis Upės g.'!A1" xr:uid="{543B3376-1CC2-46AE-910C-500BDA057B4E}"/>
    <hyperlink ref="C11" location="'Dvibutis Klevų g.'!A1" display="'Dvibutis Klevų g.'!A1" xr:uid="{AC21F367-3E90-455D-9045-B0ADE583A1D5}"/>
    <hyperlink ref="C12" location="'Dvibutis Upelio g., Vilniaus r.'!A1" display="'Dvibutis Upelio g., Vilniaus r.'!A1" xr:uid="{4847A93C-84AD-4147-8FFE-130978852F05}"/>
    <hyperlink ref="C13" location="'Piekrasta Rezidence, Ryga XII'!A1" display="'Piekrasta Rezidence, Ryga XII'!A1" xr:uid="{1EC3D203-1992-4606-8B35-C501F1CF62C7}"/>
    <hyperlink ref="C14" location="'Dvibutis Didžiojoje Riešėje'!A1" display="'Dvibutis Didžiojoje Riešėje'!A1" xr:uid="{354C8B50-D37C-42CB-BD35-A13D415D03DB}"/>
    <hyperlink ref="C15" location="'Sklypas Kalnėnuose, Vilnius II'!A1" display="'Sklypas Kalnėnuose, Vilnius II'!A1" xr:uid="{62066CCA-C44B-4C96-AEB3-53E929A0E175}"/>
    <hyperlink ref="C16" location="'Golf Hills Vilos, Alikantė'!A1" display="'Golf Hills Vilos, Alikantė'!A1" xr:uid="{EEE01FAF-484A-42FB-AEAA-540A99C5BA75}"/>
    <hyperlink ref="C17" location="'Svajonių Daugiabutis, Kaunas'!A1" display="'Svajonių Daugiabutis, Kaunas'!A1" xr:uid="{470DF5F1-2181-414B-BFF6-9313F2EF4D35}"/>
    <hyperlink ref="C20" location="'Molėtų Oazė XII'!A1" display="'Molėtų Oazė XII'!A1" xr:uid="{C77C31F0-859F-41C7-BB0D-077213C6BFDD}"/>
    <hyperlink ref="C21" location="'Dvibučių kvartalas Kauno r. II'!A1" display="'Dvibučių kvartalas Kauno r. II'!A1" xr:uid="{FBC5EDA2-57DE-4AA7-8E84-8F8D5A43AAB4}"/>
    <hyperlink ref="C22" location="'Senvagės loftai, Panevėžys VIII'!A1" display="'Senvagės loftai, Panevėžys VIII'!A1" xr:uid="{6DA15196-B1F0-483C-BD6A-4B724659FA37}"/>
    <hyperlink ref="C23" location="'Daugiabučiai Lietaviškių g.'!A1" display="'Daugiabučiai Lietaviškių g.'!A1" xr:uid="{252B8592-F501-4E57-88D5-F1271393A20D}"/>
    <hyperlink ref="C24" location="'Daugiabutis Brivibas 140, Ryga'!A1" display="'Daugiabutis Brivibas 140, Ryga'!A1" xr:uid="{93C09FBB-638A-487D-9701-21E7BB5FF90C}"/>
    <hyperlink ref="C25" location="'Namas Laipu 2, Jūrmala'!A1" display="'Namas Laipu 2, Jūrmala'!A1" xr:uid="{411EEE70-32CE-4F66-A762-6C7207346C0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>
      <selection activeCell="G24" sqref="G24"/>
    </sheetView>
  </sheetViews>
  <sheetFormatPr defaultRowHeight="15" x14ac:dyDescent="0.25"/>
  <cols>
    <col min="1" max="1" width="15.7109375" style="12" customWidth="1"/>
    <col min="2" max="4" width="10.7109375" customWidth="1"/>
    <col min="5" max="5" width="5.7109375" customWidth="1"/>
    <col min="6" max="9" width="10.7109375" customWidth="1"/>
    <col min="10" max="10" width="5.7109375" customWidth="1"/>
    <col min="11" max="12" width="10.7109375" customWidth="1"/>
  </cols>
  <sheetData>
    <row r="1" spans="1:12" x14ac:dyDescent="0.25">
      <c r="A1" s="11" t="s">
        <v>13</v>
      </c>
      <c r="B1" s="3" t="s">
        <v>49</v>
      </c>
      <c r="C1" s="3" t="s">
        <v>50</v>
      </c>
      <c r="D1" s="3" t="s">
        <v>40</v>
      </c>
      <c r="F1" s="3" t="s">
        <v>49</v>
      </c>
      <c r="G1" s="3" t="s">
        <v>50</v>
      </c>
      <c r="H1" s="3" t="s">
        <v>40</v>
      </c>
      <c r="I1" s="3" t="s">
        <v>51</v>
      </c>
      <c r="K1" s="3" t="s">
        <v>66</v>
      </c>
      <c r="L1" s="13">
        <f ca="1">XIRR(K2:K200,A2:A200)</f>
        <v>9.6675783395767212E-2</v>
      </c>
    </row>
    <row r="2" spans="1:12" x14ac:dyDescent="0.25">
      <c r="A2" s="11">
        <v>45702</v>
      </c>
      <c r="B2" s="5">
        <v>100</v>
      </c>
      <c r="C2" s="5">
        <v>0</v>
      </c>
      <c r="D2" s="5">
        <v>0</v>
      </c>
      <c r="F2" s="5">
        <f>SUM(B2:B36)</f>
        <v>1114.17</v>
      </c>
      <c r="G2" s="5">
        <f>SUM(C2:C36)</f>
        <v>0</v>
      </c>
      <c r="H2" s="5">
        <f>SUM(D2:D36)</f>
        <v>20</v>
      </c>
      <c r="I2" s="5">
        <f>F2-G2</f>
        <v>1114.17</v>
      </c>
      <c r="K2" s="5">
        <f>B2*-1</f>
        <v>-100</v>
      </c>
    </row>
    <row r="3" spans="1:12" x14ac:dyDescent="0.25">
      <c r="A3" s="11">
        <v>45714</v>
      </c>
      <c r="B3" s="5">
        <v>100</v>
      </c>
      <c r="C3" s="5">
        <v>0</v>
      </c>
      <c r="D3" s="5">
        <v>0</v>
      </c>
      <c r="K3" s="5">
        <f t="shared" ref="K3:K13" si="0">B3*-1</f>
        <v>-100</v>
      </c>
    </row>
    <row r="4" spans="1:12" x14ac:dyDescent="0.25">
      <c r="A4" s="11">
        <v>45728</v>
      </c>
      <c r="B4" s="5">
        <v>100</v>
      </c>
      <c r="C4" s="5">
        <v>0</v>
      </c>
      <c r="D4" s="5">
        <v>0</v>
      </c>
      <c r="K4" s="5">
        <f t="shared" si="0"/>
        <v>-100</v>
      </c>
    </row>
    <row r="5" spans="1:12" x14ac:dyDescent="0.25">
      <c r="A5" s="11">
        <v>45730</v>
      </c>
      <c r="B5" s="5">
        <v>100</v>
      </c>
      <c r="C5" s="5">
        <v>0</v>
      </c>
      <c r="D5" s="5">
        <v>0</v>
      </c>
      <c r="K5" s="5">
        <f t="shared" si="0"/>
        <v>-100</v>
      </c>
    </row>
    <row r="6" spans="1:12" x14ac:dyDescent="0.25">
      <c r="A6" s="11">
        <v>45771</v>
      </c>
      <c r="B6" s="5">
        <v>100</v>
      </c>
      <c r="C6" s="5">
        <v>0</v>
      </c>
      <c r="D6" s="5">
        <v>0</v>
      </c>
      <c r="K6" s="5">
        <f t="shared" si="0"/>
        <v>-100</v>
      </c>
    </row>
    <row r="7" spans="1:12" x14ac:dyDescent="0.25">
      <c r="A7" s="11">
        <v>45790</v>
      </c>
      <c r="B7" s="5">
        <v>100</v>
      </c>
      <c r="C7" s="5">
        <v>0</v>
      </c>
      <c r="D7" s="5">
        <v>0</v>
      </c>
      <c r="K7" s="5">
        <f t="shared" si="0"/>
        <v>-100</v>
      </c>
    </row>
    <row r="8" spans="1:12" x14ac:dyDescent="0.25">
      <c r="A8" s="11">
        <v>45798</v>
      </c>
      <c r="B8" s="5">
        <v>100</v>
      </c>
      <c r="C8" s="5">
        <v>0</v>
      </c>
      <c r="D8" s="5">
        <v>0</v>
      </c>
      <c r="K8" s="5">
        <f t="shared" si="0"/>
        <v>-100</v>
      </c>
    </row>
    <row r="9" spans="1:12" x14ac:dyDescent="0.25">
      <c r="A9" s="11">
        <v>45854</v>
      </c>
      <c r="B9" s="5">
        <v>100</v>
      </c>
      <c r="C9" s="5">
        <v>0</v>
      </c>
      <c r="D9" s="5">
        <v>0</v>
      </c>
      <c r="K9" s="5">
        <f t="shared" si="0"/>
        <v>-100</v>
      </c>
    </row>
    <row r="10" spans="1:12" x14ac:dyDescent="0.25">
      <c r="A10" s="11">
        <v>45908</v>
      </c>
      <c r="B10" s="5">
        <v>100</v>
      </c>
      <c r="C10" s="5">
        <v>0</v>
      </c>
      <c r="D10" s="5">
        <v>10</v>
      </c>
      <c r="K10" s="5">
        <f t="shared" si="0"/>
        <v>-100</v>
      </c>
    </row>
    <row r="11" spans="1:12" x14ac:dyDescent="0.25">
      <c r="A11" s="11">
        <v>46003</v>
      </c>
      <c r="B11" s="5">
        <v>100</v>
      </c>
      <c r="C11" s="5">
        <v>0</v>
      </c>
      <c r="D11" s="5">
        <v>0</v>
      </c>
      <c r="K11" s="5">
        <f t="shared" si="0"/>
        <v>-100</v>
      </c>
    </row>
    <row r="12" spans="1:12" x14ac:dyDescent="0.25">
      <c r="A12" s="11">
        <v>46059</v>
      </c>
      <c r="B12" s="5">
        <v>20</v>
      </c>
      <c r="C12" s="5">
        <v>0</v>
      </c>
      <c r="D12" s="5">
        <v>0</v>
      </c>
      <c r="K12" s="5">
        <f t="shared" si="0"/>
        <v>-20</v>
      </c>
    </row>
    <row r="13" spans="1:12" x14ac:dyDescent="0.25">
      <c r="A13" s="11">
        <v>46254</v>
      </c>
      <c r="B13" s="5">
        <v>94.17</v>
      </c>
      <c r="C13" s="5">
        <v>0</v>
      </c>
      <c r="D13" s="5">
        <v>10</v>
      </c>
      <c r="K13" s="5">
        <f t="shared" si="0"/>
        <v>-94.17</v>
      </c>
    </row>
    <row r="14" spans="1:12" x14ac:dyDescent="0.25">
      <c r="A14" s="23"/>
      <c r="B14" s="2"/>
      <c r="C14" s="2"/>
      <c r="D14" s="2"/>
      <c r="K14" s="2"/>
    </row>
    <row r="15" spans="1:12" x14ac:dyDescent="0.25">
      <c r="A15" s="23"/>
      <c r="B15" s="2"/>
      <c r="C15" s="2"/>
      <c r="D15" s="2"/>
      <c r="K15" s="2"/>
    </row>
    <row r="16" spans="1:12" x14ac:dyDescent="0.25">
      <c r="A16" s="23"/>
      <c r="B16" s="2"/>
      <c r="C16" s="2"/>
      <c r="D16" s="2"/>
      <c r="K16" s="2"/>
    </row>
    <row r="17" spans="1:11" x14ac:dyDescent="0.25">
      <c r="A17" s="23"/>
      <c r="B17" s="2"/>
      <c r="C17" s="2"/>
      <c r="D17" s="2"/>
      <c r="K17" s="2"/>
    </row>
    <row r="18" spans="1:11" x14ac:dyDescent="0.25">
      <c r="A18" s="23"/>
      <c r="B18" s="2"/>
      <c r="C18" s="2"/>
      <c r="D18" s="2"/>
      <c r="K18" s="2"/>
    </row>
    <row r="19" spans="1:11" x14ac:dyDescent="0.25">
      <c r="A19" s="23"/>
      <c r="B19" s="2"/>
      <c r="C19" s="2"/>
      <c r="D19" s="2"/>
      <c r="K19" s="2"/>
    </row>
    <row r="20" spans="1:11" x14ac:dyDescent="0.25">
      <c r="A20" s="23"/>
      <c r="B20" s="2"/>
      <c r="C20" s="2"/>
      <c r="D20" s="2"/>
      <c r="K20" s="2"/>
    </row>
    <row r="21" spans="1:11" x14ac:dyDescent="0.25">
      <c r="A21" s="23"/>
      <c r="B21" s="2"/>
      <c r="C21" s="2"/>
      <c r="D21" s="2"/>
      <c r="K21" s="2"/>
    </row>
    <row r="22" spans="1:11" x14ac:dyDescent="0.25">
      <c r="A22" s="23"/>
      <c r="B22" s="2"/>
      <c r="C22" s="2"/>
      <c r="D22" s="2"/>
      <c r="K22" s="2"/>
    </row>
    <row r="23" spans="1:11" x14ac:dyDescent="0.25">
      <c r="A23" s="23"/>
      <c r="B23" s="2"/>
      <c r="C23" s="2"/>
      <c r="D23" s="2"/>
      <c r="K23" s="2"/>
    </row>
    <row r="24" spans="1:11" x14ac:dyDescent="0.25">
      <c r="A24" s="23"/>
      <c r="B24" s="2"/>
      <c r="C24" s="2"/>
      <c r="D24" s="2"/>
      <c r="K24" s="2"/>
    </row>
    <row r="25" spans="1:11" x14ac:dyDescent="0.25">
      <c r="A25" s="23"/>
      <c r="B25" s="2"/>
      <c r="C25" s="2"/>
      <c r="D25" s="2"/>
      <c r="K25" s="2"/>
    </row>
    <row r="26" spans="1:11" x14ac:dyDescent="0.25">
      <c r="A26" s="23"/>
      <c r="B26" s="2"/>
      <c r="C26" s="2"/>
      <c r="D26" s="2"/>
      <c r="K26" s="2"/>
    </row>
    <row r="27" spans="1:11" x14ac:dyDescent="0.25">
      <c r="A27" s="23"/>
      <c r="B27" s="2"/>
      <c r="C27" s="2"/>
      <c r="D27" s="2"/>
      <c r="K27" s="2"/>
    </row>
    <row r="28" spans="1:11" x14ac:dyDescent="0.25">
      <c r="A28" s="23"/>
      <c r="B28" s="2"/>
      <c r="C28" s="2"/>
      <c r="D28" s="2"/>
      <c r="K28" s="2"/>
    </row>
    <row r="29" spans="1:11" x14ac:dyDescent="0.25">
      <c r="A29" s="23"/>
      <c r="B29" s="2"/>
      <c r="C29" s="2"/>
      <c r="D29" s="2"/>
      <c r="K29" s="2"/>
    </row>
    <row r="30" spans="1:11" x14ac:dyDescent="0.25">
      <c r="A30" s="23"/>
      <c r="B30" s="2"/>
      <c r="C30" s="2"/>
      <c r="D30" s="2"/>
      <c r="K30" s="2"/>
    </row>
    <row r="31" spans="1:11" x14ac:dyDescent="0.25">
      <c r="A31" s="23"/>
      <c r="B31" s="2"/>
      <c r="C31" s="2"/>
      <c r="D31" s="2"/>
      <c r="K31" s="2"/>
    </row>
    <row r="32" spans="1:11" x14ac:dyDescent="0.25">
      <c r="A32" s="23"/>
      <c r="B32" s="2"/>
      <c r="C32" s="2"/>
      <c r="D32" s="2"/>
      <c r="K32" s="2"/>
    </row>
    <row r="33" spans="1:11" x14ac:dyDescent="0.25">
      <c r="A33" s="23"/>
      <c r="B33" s="2"/>
      <c r="C33" s="2"/>
      <c r="D33" s="2"/>
      <c r="K33" s="2"/>
    </row>
    <row r="34" spans="1:11" x14ac:dyDescent="0.25">
      <c r="A34" s="23"/>
      <c r="B34" s="2"/>
      <c r="C34" s="2"/>
      <c r="D34" s="2"/>
      <c r="K34" s="2"/>
    </row>
    <row r="35" spans="1:11" x14ac:dyDescent="0.25">
      <c r="A35" s="23"/>
      <c r="B35" s="2"/>
      <c r="C35" s="2"/>
      <c r="D35" s="2"/>
      <c r="K35" s="2"/>
    </row>
    <row r="36" spans="1:11" x14ac:dyDescent="0.25">
      <c r="A36" s="23"/>
      <c r="B36" s="2"/>
      <c r="C36" s="2"/>
      <c r="D36" s="2"/>
      <c r="K36" s="2"/>
    </row>
    <row r="37" spans="1:11" x14ac:dyDescent="0.25">
      <c r="A37" s="23"/>
      <c r="B37" s="2"/>
      <c r="C37" s="2"/>
      <c r="D37" s="2"/>
      <c r="K37" s="2"/>
    </row>
    <row r="38" spans="1:11" x14ac:dyDescent="0.25">
      <c r="A38" s="23"/>
      <c r="B38" s="2"/>
      <c r="C38" s="2"/>
      <c r="D38" s="2"/>
      <c r="K38" s="2"/>
    </row>
    <row r="39" spans="1:11" x14ac:dyDescent="0.25">
      <c r="A39" s="23"/>
      <c r="B39" s="2"/>
      <c r="C39" s="2"/>
      <c r="D39" s="2"/>
      <c r="K39" s="2"/>
    </row>
    <row r="40" spans="1:11" x14ac:dyDescent="0.25">
      <c r="A40" s="23"/>
      <c r="B40" s="2"/>
      <c r="C40" s="2"/>
      <c r="D40" s="2"/>
      <c r="K40" s="2"/>
    </row>
    <row r="41" spans="1:11" x14ac:dyDescent="0.25">
      <c r="A41" s="23"/>
      <c r="B41" s="2"/>
      <c r="C41" s="2"/>
      <c r="D41" s="2"/>
      <c r="K41" s="2"/>
    </row>
    <row r="42" spans="1:11" x14ac:dyDescent="0.25">
      <c r="A42" s="23"/>
      <c r="B42" s="2"/>
      <c r="C42" s="2"/>
      <c r="D42" s="2"/>
      <c r="K42" s="2"/>
    </row>
    <row r="43" spans="1:11" x14ac:dyDescent="0.25">
      <c r="A43" s="23"/>
      <c r="B43" s="2"/>
      <c r="C43" s="2"/>
      <c r="D43" s="2"/>
      <c r="K43" s="2"/>
    </row>
    <row r="44" spans="1:11" x14ac:dyDescent="0.25">
      <c r="A44" s="23"/>
      <c r="B44" s="2"/>
      <c r="C44" s="2"/>
      <c r="D44" s="2"/>
      <c r="K44" s="2"/>
    </row>
    <row r="45" spans="1:11" x14ac:dyDescent="0.25">
      <c r="A45" s="23"/>
      <c r="B45" s="2"/>
      <c r="C45" s="2"/>
      <c r="D45" s="2"/>
      <c r="K45" s="2"/>
    </row>
    <row r="46" spans="1:11" x14ac:dyDescent="0.25">
      <c r="A46" s="23"/>
      <c r="B46" s="2"/>
      <c r="C46" s="2"/>
      <c r="D46" s="2"/>
      <c r="K46" s="2"/>
    </row>
    <row r="47" spans="1:11" x14ac:dyDescent="0.25">
      <c r="A47" s="23"/>
      <c r="B47" s="2"/>
      <c r="C47" s="2"/>
      <c r="D47" s="2"/>
      <c r="K47" s="2"/>
    </row>
    <row r="48" spans="1:11" x14ac:dyDescent="0.25">
      <c r="A48" s="23"/>
      <c r="B48" s="2"/>
      <c r="C48" s="2"/>
      <c r="D48" s="2"/>
      <c r="K48" s="2"/>
    </row>
    <row r="49" spans="1:11" x14ac:dyDescent="0.25">
      <c r="A49" s="23"/>
      <c r="B49" s="2"/>
      <c r="C49" s="2"/>
      <c r="D49" s="2"/>
      <c r="K49" s="2"/>
    </row>
    <row r="50" spans="1:11" x14ac:dyDescent="0.25">
      <c r="A50" s="23"/>
      <c r="B50" s="2"/>
      <c r="C50" s="2"/>
      <c r="D50" s="2"/>
      <c r="K50" s="2"/>
    </row>
    <row r="51" spans="1:11" x14ac:dyDescent="0.25">
      <c r="A51" s="23"/>
      <c r="B51" s="2"/>
      <c r="C51" s="2"/>
      <c r="D51" s="2"/>
      <c r="K51" s="2"/>
    </row>
    <row r="52" spans="1:11" x14ac:dyDescent="0.25">
      <c r="A52" s="23"/>
      <c r="B52" s="2"/>
      <c r="C52" s="2"/>
      <c r="D52" s="2"/>
      <c r="K52" s="2"/>
    </row>
    <row r="53" spans="1:11" x14ac:dyDescent="0.25">
      <c r="A53" s="23"/>
      <c r="B53" s="2"/>
      <c r="C53" s="2"/>
      <c r="D53" s="2"/>
      <c r="K53" s="2"/>
    </row>
    <row r="54" spans="1:11" x14ac:dyDescent="0.25">
      <c r="A54" s="23"/>
      <c r="B54" s="2"/>
      <c r="C54" s="2"/>
      <c r="D54" s="2"/>
      <c r="K54" s="2"/>
    </row>
    <row r="55" spans="1:11" x14ac:dyDescent="0.25">
      <c r="A55" s="23"/>
      <c r="B55" s="2"/>
      <c r="C55" s="2"/>
      <c r="D55" s="2"/>
      <c r="K55" s="2"/>
    </row>
    <row r="56" spans="1:11" x14ac:dyDescent="0.25">
      <c r="A56" s="23"/>
      <c r="B56" s="2"/>
      <c r="C56" s="2"/>
      <c r="D56" s="2"/>
      <c r="K56" s="2"/>
    </row>
    <row r="57" spans="1:11" x14ac:dyDescent="0.25">
      <c r="A57" s="23"/>
      <c r="B57" s="2"/>
      <c r="C57" s="2"/>
      <c r="D57" s="2"/>
      <c r="K57" s="2"/>
    </row>
    <row r="58" spans="1:11" x14ac:dyDescent="0.25">
      <c r="A58" s="23"/>
      <c r="B58" s="2"/>
      <c r="C58" s="2"/>
      <c r="D58" s="2"/>
      <c r="K58" s="2"/>
    </row>
    <row r="59" spans="1:11" x14ac:dyDescent="0.25">
      <c r="A59" s="23"/>
      <c r="B59" s="2"/>
      <c r="C59" s="2"/>
      <c r="D59" s="2"/>
      <c r="K59" s="2"/>
    </row>
    <row r="60" spans="1:11" x14ac:dyDescent="0.25">
      <c r="A60" s="23"/>
      <c r="B60" s="2"/>
      <c r="C60" s="2"/>
      <c r="D60" s="2"/>
      <c r="K60" s="2"/>
    </row>
    <row r="61" spans="1:11" x14ac:dyDescent="0.25">
      <c r="A61" s="23"/>
      <c r="B61" s="2"/>
      <c r="C61" s="2"/>
      <c r="D61" s="2"/>
      <c r="K61" s="2"/>
    </row>
    <row r="62" spans="1:11" x14ac:dyDescent="0.25">
      <c r="A62" s="23"/>
      <c r="B62" s="2"/>
      <c r="C62" s="2"/>
      <c r="D62" s="2"/>
      <c r="K62" s="2"/>
    </row>
    <row r="63" spans="1:11" x14ac:dyDescent="0.25">
      <c r="A63" s="23"/>
      <c r="B63" s="2"/>
      <c r="C63" s="2"/>
      <c r="D63" s="2"/>
      <c r="K63" s="2"/>
    </row>
    <row r="64" spans="1:11" x14ac:dyDescent="0.25">
      <c r="A64" s="23"/>
      <c r="B64" s="2"/>
      <c r="C64" s="2"/>
      <c r="D64" s="2"/>
      <c r="K64" s="2"/>
    </row>
    <row r="65" spans="1:11" x14ac:dyDescent="0.25">
      <c r="A65" s="23"/>
      <c r="B65" s="2"/>
      <c r="C65" s="2"/>
      <c r="D65" s="2"/>
      <c r="K65" s="2"/>
    </row>
    <row r="66" spans="1:11" x14ac:dyDescent="0.25">
      <c r="A66" s="23"/>
      <c r="B66" s="2"/>
      <c r="C66" s="2"/>
      <c r="D66" s="2"/>
      <c r="K66" s="2"/>
    </row>
    <row r="67" spans="1:11" x14ac:dyDescent="0.25">
      <c r="A67" s="23"/>
      <c r="B67" s="2"/>
      <c r="C67" s="2"/>
      <c r="D67" s="2"/>
      <c r="K67" s="2"/>
    </row>
    <row r="68" spans="1:11" x14ac:dyDescent="0.25">
      <c r="A68" s="23"/>
      <c r="B68" s="2"/>
      <c r="C68" s="2"/>
      <c r="D68" s="2"/>
      <c r="K68" s="2"/>
    </row>
    <row r="69" spans="1:11" x14ac:dyDescent="0.25">
      <c r="A69" s="23"/>
      <c r="B69" s="2"/>
      <c r="C69" s="2"/>
      <c r="D69" s="2"/>
      <c r="K69" s="2"/>
    </row>
    <row r="70" spans="1:11" x14ac:dyDescent="0.25">
      <c r="A70" s="23"/>
      <c r="B70" s="2"/>
      <c r="C70" s="2"/>
      <c r="D70" s="2"/>
      <c r="K70" s="2"/>
    </row>
    <row r="71" spans="1:11" x14ac:dyDescent="0.25">
      <c r="A71" s="23"/>
      <c r="B71" s="2"/>
      <c r="C71" s="2"/>
      <c r="D71" s="2"/>
      <c r="K71" s="2"/>
    </row>
    <row r="72" spans="1:11" x14ac:dyDescent="0.25">
      <c r="A72" s="23"/>
      <c r="B72" s="2"/>
      <c r="C72" s="2"/>
      <c r="D72" s="2"/>
      <c r="K72" s="2"/>
    </row>
    <row r="73" spans="1:11" x14ac:dyDescent="0.25">
      <c r="A73" s="23"/>
      <c r="B73" s="2"/>
      <c r="C73" s="2"/>
      <c r="D73" s="2"/>
      <c r="K73" s="2"/>
    </row>
    <row r="74" spans="1:11" x14ac:dyDescent="0.25">
      <c r="A74" s="23"/>
      <c r="B74" s="2"/>
      <c r="C74" s="2"/>
      <c r="D74" s="2"/>
      <c r="K74" s="2"/>
    </row>
    <row r="75" spans="1:11" x14ac:dyDescent="0.25">
      <c r="A75" s="23"/>
      <c r="B75" s="2"/>
      <c r="C75" s="2"/>
      <c r="D75" s="2"/>
      <c r="K75" s="2"/>
    </row>
    <row r="76" spans="1:11" x14ac:dyDescent="0.25">
      <c r="A76" s="23"/>
      <c r="B76" s="2"/>
      <c r="C76" s="2"/>
      <c r="D76" s="2"/>
      <c r="K76" s="2"/>
    </row>
    <row r="77" spans="1:11" x14ac:dyDescent="0.25">
      <c r="A77" s="23"/>
      <c r="B77" s="2"/>
      <c r="C77" s="2"/>
      <c r="D77" s="2"/>
      <c r="K77" s="2"/>
    </row>
    <row r="78" spans="1:11" x14ac:dyDescent="0.25">
      <c r="A78" s="23"/>
      <c r="B78" s="2"/>
      <c r="C78" s="2"/>
      <c r="D78" s="2"/>
      <c r="K78" s="2"/>
    </row>
    <row r="79" spans="1:11" x14ac:dyDescent="0.25">
      <c r="A79" s="23"/>
      <c r="B79" s="2"/>
      <c r="C79" s="2"/>
      <c r="D79" s="2"/>
      <c r="K79" s="2"/>
    </row>
    <row r="80" spans="1:11" x14ac:dyDescent="0.25">
      <c r="A80" s="23"/>
      <c r="B80" s="2"/>
      <c r="C80" s="2"/>
      <c r="D80" s="2"/>
      <c r="K80" s="2"/>
    </row>
    <row r="81" spans="1:11" x14ac:dyDescent="0.25">
      <c r="A81" s="23"/>
      <c r="B81" s="2"/>
      <c r="C81" s="2"/>
      <c r="D81" s="2"/>
      <c r="K81" s="2"/>
    </row>
    <row r="82" spans="1:11" x14ac:dyDescent="0.25">
      <c r="A82" s="23"/>
      <c r="B82" s="2"/>
      <c r="C82" s="2"/>
      <c r="D82" s="2"/>
      <c r="K82" s="2"/>
    </row>
    <row r="83" spans="1:11" x14ac:dyDescent="0.25">
      <c r="A83" s="23"/>
      <c r="B83" s="2"/>
      <c r="C83" s="2"/>
      <c r="D83" s="2"/>
      <c r="K83" s="2"/>
    </row>
    <row r="84" spans="1:11" x14ac:dyDescent="0.25">
      <c r="A84" s="23"/>
      <c r="B84" s="2"/>
      <c r="C84" s="2"/>
      <c r="D84" s="2"/>
      <c r="K84" s="2"/>
    </row>
    <row r="85" spans="1:11" x14ac:dyDescent="0.25">
      <c r="A85" s="23"/>
      <c r="B85" s="2"/>
      <c r="C85" s="2"/>
      <c r="D85" s="2"/>
      <c r="K85" s="2"/>
    </row>
    <row r="86" spans="1:11" x14ac:dyDescent="0.25">
      <c r="A86" s="23"/>
      <c r="B86" s="2"/>
      <c r="C86" s="2"/>
      <c r="D86" s="2"/>
      <c r="K86" s="2"/>
    </row>
    <row r="87" spans="1:11" x14ac:dyDescent="0.25">
      <c r="A87" s="23"/>
      <c r="B87" s="2"/>
      <c r="C87" s="2"/>
      <c r="D87" s="2"/>
      <c r="K87" s="2"/>
    </row>
    <row r="88" spans="1:11" x14ac:dyDescent="0.25">
      <c r="A88" s="23"/>
      <c r="B88" s="2"/>
      <c r="C88" s="2"/>
      <c r="D88" s="2"/>
      <c r="K88" s="2"/>
    </row>
    <row r="89" spans="1:11" x14ac:dyDescent="0.25">
      <c r="A89" s="23"/>
      <c r="B89" s="2"/>
      <c r="C89" s="2"/>
      <c r="D89" s="2"/>
      <c r="K89" s="2"/>
    </row>
    <row r="90" spans="1:11" x14ac:dyDescent="0.25">
      <c r="A90" s="23"/>
      <c r="B90" s="2"/>
      <c r="C90" s="2"/>
      <c r="D90" s="2"/>
      <c r="K90" s="2"/>
    </row>
    <row r="91" spans="1:11" x14ac:dyDescent="0.25">
      <c r="A91" s="23"/>
      <c r="B91" s="2"/>
      <c r="C91" s="2"/>
      <c r="D91" s="2"/>
      <c r="K91" s="2"/>
    </row>
    <row r="92" spans="1:11" x14ac:dyDescent="0.25">
      <c r="A92" s="23"/>
      <c r="B92" s="2"/>
      <c r="C92" s="2"/>
      <c r="D92" s="2"/>
      <c r="K92" s="2"/>
    </row>
    <row r="93" spans="1:11" x14ac:dyDescent="0.25">
      <c r="A93" s="23"/>
      <c r="B93" s="2"/>
      <c r="C93" s="2"/>
      <c r="D93" s="2"/>
      <c r="K93" s="2"/>
    </row>
    <row r="94" spans="1:11" x14ac:dyDescent="0.25">
      <c r="A94" s="23"/>
      <c r="B94" s="2"/>
      <c r="C94" s="2"/>
      <c r="D94" s="2"/>
      <c r="K94" s="2"/>
    </row>
    <row r="95" spans="1:11" x14ac:dyDescent="0.25">
      <c r="A95" s="23"/>
      <c r="B95" s="2"/>
      <c r="C95" s="2"/>
      <c r="D95" s="2"/>
      <c r="K95" s="2"/>
    </row>
    <row r="96" spans="1:11" x14ac:dyDescent="0.25">
      <c r="A96" s="23"/>
      <c r="B96" s="2"/>
      <c r="C96" s="2"/>
      <c r="D96" s="2"/>
      <c r="K96" s="2"/>
    </row>
    <row r="97" spans="1:11" x14ac:dyDescent="0.25">
      <c r="A97" s="23"/>
      <c r="B97" s="2"/>
      <c r="C97" s="2"/>
      <c r="D97" s="2"/>
      <c r="K97" s="2"/>
    </row>
    <row r="98" spans="1:11" x14ac:dyDescent="0.25">
      <c r="A98" s="23"/>
      <c r="B98" s="2"/>
      <c r="C98" s="2"/>
      <c r="D98" s="2"/>
      <c r="K98" s="2"/>
    </row>
    <row r="99" spans="1:11" x14ac:dyDescent="0.25">
      <c r="A99" s="23"/>
      <c r="B99" s="2"/>
      <c r="C99" s="2"/>
      <c r="D99" s="2"/>
      <c r="K99" s="2"/>
    </row>
    <row r="100" spans="1:11" x14ac:dyDescent="0.25">
      <c r="A100" s="23"/>
      <c r="B100" s="2"/>
      <c r="C100" s="2"/>
      <c r="D100" s="2"/>
      <c r="K100" s="2"/>
    </row>
    <row r="101" spans="1:11" x14ac:dyDescent="0.25">
      <c r="A101" s="23"/>
      <c r="B101" s="2"/>
      <c r="C101" s="2"/>
      <c r="D101" s="2"/>
      <c r="K101" s="2"/>
    </row>
    <row r="102" spans="1:11" x14ac:dyDescent="0.25">
      <c r="A102" s="23"/>
      <c r="B102" s="2"/>
      <c r="C102" s="2"/>
      <c r="D102" s="2"/>
      <c r="K102" s="2"/>
    </row>
    <row r="103" spans="1:11" x14ac:dyDescent="0.25">
      <c r="A103" s="23"/>
      <c r="B103" s="2"/>
      <c r="C103" s="2"/>
      <c r="D103" s="2"/>
      <c r="K103" s="2"/>
    </row>
    <row r="104" spans="1:11" x14ac:dyDescent="0.25">
      <c r="A104" s="23"/>
      <c r="B104" s="2"/>
      <c r="C104" s="2"/>
      <c r="D104" s="2"/>
      <c r="K104" s="2"/>
    </row>
    <row r="105" spans="1:11" x14ac:dyDescent="0.25">
      <c r="A105" s="23"/>
      <c r="B105" s="2"/>
      <c r="C105" s="2"/>
      <c r="D105" s="2"/>
      <c r="K105" s="2"/>
    </row>
    <row r="106" spans="1:11" x14ac:dyDescent="0.25">
      <c r="A106" s="23"/>
      <c r="B106" s="2"/>
      <c r="C106" s="2"/>
      <c r="D106" s="2"/>
      <c r="K106" s="2"/>
    </row>
    <row r="107" spans="1:11" x14ac:dyDescent="0.25">
      <c r="A107" s="23"/>
      <c r="B107" s="2"/>
      <c r="C107" s="2"/>
      <c r="D107" s="2"/>
      <c r="K107" s="2"/>
    </row>
    <row r="108" spans="1:11" x14ac:dyDescent="0.25">
      <c r="A108" s="23"/>
      <c r="B108" s="2"/>
      <c r="C108" s="2"/>
      <c r="D108" s="2"/>
      <c r="K108" s="2"/>
    </row>
    <row r="109" spans="1:11" x14ac:dyDescent="0.25">
      <c r="A109" s="23"/>
      <c r="B109" s="2"/>
      <c r="C109" s="2"/>
      <c r="D109" s="2"/>
      <c r="K109" s="2"/>
    </row>
    <row r="110" spans="1:11" x14ac:dyDescent="0.25">
      <c r="A110" s="23"/>
      <c r="B110" s="2"/>
      <c r="C110" s="2"/>
      <c r="D110" s="2"/>
      <c r="K110" s="2"/>
    </row>
    <row r="111" spans="1:11" x14ac:dyDescent="0.25">
      <c r="A111" s="23"/>
      <c r="B111" s="2"/>
      <c r="C111" s="2"/>
      <c r="D111" s="2"/>
      <c r="K111" s="2"/>
    </row>
    <row r="112" spans="1:11" x14ac:dyDescent="0.25">
      <c r="A112" s="23"/>
      <c r="B112" s="2"/>
      <c r="C112" s="2"/>
      <c r="D112" s="2"/>
      <c r="K112" s="2"/>
    </row>
    <row r="113" spans="1:11" x14ac:dyDescent="0.25">
      <c r="A113" s="23"/>
      <c r="B113" s="2"/>
      <c r="C113" s="2"/>
      <c r="D113" s="2"/>
      <c r="K113" s="2"/>
    </row>
    <row r="114" spans="1:11" x14ac:dyDescent="0.25">
      <c r="A114" s="23"/>
      <c r="B114" s="2"/>
      <c r="C114" s="2"/>
      <c r="D114" s="2"/>
      <c r="K114" s="2"/>
    </row>
    <row r="115" spans="1:11" x14ac:dyDescent="0.25">
      <c r="A115" s="23"/>
      <c r="B115" s="2"/>
      <c r="C115" s="2"/>
      <c r="D115" s="2"/>
      <c r="K115" s="2"/>
    </row>
    <row r="116" spans="1:11" x14ac:dyDescent="0.25">
      <c r="A116" s="23"/>
      <c r="B116" s="2"/>
      <c r="C116" s="2"/>
      <c r="D116" s="2"/>
      <c r="K116" s="2"/>
    </row>
    <row r="117" spans="1:11" x14ac:dyDescent="0.25">
      <c r="A117" s="23"/>
      <c r="B117" s="2"/>
      <c r="C117" s="2"/>
      <c r="D117" s="2"/>
      <c r="K117" s="2"/>
    </row>
    <row r="118" spans="1:11" x14ac:dyDescent="0.25">
      <c r="A118" s="23"/>
      <c r="B118" s="2"/>
      <c r="C118" s="2"/>
      <c r="D118" s="2"/>
      <c r="K118" s="2"/>
    </row>
    <row r="119" spans="1:11" x14ac:dyDescent="0.25">
      <c r="A119" s="23"/>
      <c r="B119" s="2"/>
      <c r="C119" s="2"/>
      <c r="D119" s="2"/>
      <c r="K119" s="2"/>
    </row>
    <row r="120" spans="1:11" x14ac:dyDescent="0.25">
      <c r="A120" s="23"/>
      <c r="B120" s="2"/>
      <c r="C120" s="2"/>
      <c r="D120" s="2"/>
      <c r="K120" s="2"/>
    </row>
    <row r="121" spans="1:11" x14ac:dyDescent="0.25">
      <c r="A121" s="23"/>
      <c r="B121" s="2"/>
      <c r="C121" s="2"/>
      <c r="D121" s="2"/>
      <c r="K121" s="2"/>
    </row>
    <row r="122" spans="1:11" x14ac:dyDescent="0.25">
      <c r="A122" s="23"/>
      <c r="B122" s="2"/>
      <c r="C122" s="2"/>
      <c r="D122" s="2"/>
      <c r="K122" s="2"/>
    </row>
    <row r="123" spans="1:11" x14ac:dyDescent="0.25">
      <c r="A123" s="23"/>
      <c r="B123" s="2"/>
      <c r="C123" s="2"/>
      <c r="D123" s="2"/>
      <c r="K123" s="2"/>
    </row>
    <row r="124" spans="1:11" x14ac:dyDescent="0.25">
      <c r="A124" s="23"/>
      <c r="B124" s="2"/>
      <c r="C124" s="2"/>
      <c r="D124" s="2"/>
      <c r="K124" s="2"/>
    </row>
    <row r="125" spans="1:11" x14ac:dyDescent="0.25">
      <c r="A125" s="23"/>
      <c r="B125" s="2"/>
      <c r="C125" s="2"/>
      <c r="D125" s="2"/>
      <c r="K125" s="2"/>
    </row>
    <row r="126" spans="1:11" x14ac:dyDescent="0.25">
      <c r="A126" s="23"/>
      <c r="B126" s="2"/>
      <c r="C126" s="2"/>
      <c r="D126" s="2"/>
      <c r="K126" s="2"/>
    </row>
    <row r="127" spans="1:11" x14ac:dyDescent="0.25">
      <c r="A127" s="23"/>
      <c r="B127" s="2"/>
      <c r="C127" s="2"/>
      <c r="D127" s="2"/>
      <c r="K127" s="2"/>
    </row>
    <row r="128" spans="1:11" x14ac:dyDescent="0.25">
      <c r="A128" s="23"/>
      <c r="B128" s="2"/>
      <c r="C128" s="2"/>
      <c r="D128" s="2"/>
      <c r="K128" s="2"/>
    </row>
    <row r="129" spans="1:11" x14ac:dyDescent="0.25">
      <c r="A129" s="23"/>
      <c r="B129" s="2"/>
      <c r="C129" s="2"/>
      <c r="D129" s="2"/>
      <c r="K129" s="2"/>
    </row>
    <row r="130" spans="1:11" x14ac:dyDescent="0.25">
      <c r="A130" s="23"/>
      <c r="B130" s="2"/>
      <c r="C130" s="2"/>
      <c r="D130" s="2"/>
      <c r="K130" s="2"/>
    </row>
    <row r="131" spans="1:11" x14ac:dyDescent="0.25">
      <c r="A131" s="23"/>
      <c r="B131" s="2"/>
      <c r="C131" s="2"/>
      <c r="D131" s="2"/>
      <c r="K131" s="2"/>
    </row>
    <row r="132" spans="1:11" x14ac:dyDescent="0.25">
      <c r="A132" s="23"/>
      <c r="B132" s="2"/>
      <c r="C132" s="2"/>
      <c r="D132" s="2"/>
      <c r="K132" s="2"/>
    </row>
    <row r="133" spans="1:11" x14ac:dyDescent="0.25">
      <c r="A133" s="23"/>
      <c r="B133" s="2"/>
      <c r="C133" s="2"/>
      <c r="D133" s="2"/>
      <c r="K133" s="2"/>
    </row>
    <row r="134" spans="1:11" x14ac:dyDescent="0.25">
      <c r="A134" s="23"/>
      <c r="B134" s="2"/>
      <c r="C134" s="2"/>
      <c r="D134" s="2"/>
      <c r="K134" s="2"/>
    </row>
    <row r="135" spans="1:11" x14ac:dyDescent="0.25">
      <c r="A135" s="23"/>
      <c r="B135" s="2"/>
      <c r="C135" s="2"/>
      <c r="D135" s="2"/>
      <c r="K135" s="2"/>
    </row>
    <row r="136" spans="1:11" x14ac:dyDescent="0.25">
      <c r="A136" s="23"/>
      <c r="B136" s="2"/>
      <c r="C136" s="2"/>
      <c r="D136" s="2"/>
      <c r="K136" s="2"/>
    </row>
    <row r="137" spans="1:11" x14ac:dyDescent="0.25">
      <c r="A137" s="23"/>
      <c r="B137" s="2"/>
      <c r="C137" s="2"/>
      <c r="D137" s="2"/>
      <c r="K137" s="2"/>
    </row>
    <row r="138" spans="1:11" x14ac:dyDescent="0.25">
      <c r="A138" s="23"/>
      <c r="B138" s="2"/>
      <c r="C138" s="2"/>
      <c r="D138" s="2"/>
      <c r="K138" s="2"/>
    </row>
    <row r="139" spans="1:11" x14ac:dyDescent="0.25">
      <c r="A139" s="23"/>
      <c r="B139" s="2"/>
      <c r="C139" s="2"/>
      <c r="D139" s="2"/>
      <c r="K139" s="2"/>
    </row>
    <row r="140" spans="1:11" x14ac:dyDescent="0.25">
      <c r="A140" s="23"/>
      <c r="B140" s="2"/>
      <c r="C140" s="2"/>
      <c r="D140" s="2"/>
      <c r="K140" s="2"/>
    </row>
    <row r="141" spans="1:11" x14ac:dyDescent="0.25">
      <c r="A141" s="23"/>
      <c r="B141" s="2"/>
      <c r="C141" s="2"/>
      <c r="D141" s="2"/>
      <c r="K141" s="2"/>
    </row>
    <row r="142" spans="1:11" x14ac:dyDescent="0.25">
      <c r="A142" s="23"/>
      <c r="B142" s="2"/>
      <c r="C142" s="2"/>
      <c r="D142" s="2"/>
      <c r="K142" s="2"/>
    </row>
    <row r="143" spans="1:11" x14ac:dyDescent="0.25">
      <c r="A143" s="23"/>
      <c r="B143" s="2"/>
      <c r="C143" s="2"/>
      <c r="D143" s="2"/>
      <c r="K143" s="2"/>
    </row>
    <row r="144" spans="1:11" x14ac:dyDescent="0.25">
      <c r="A144" s="23"/>
      <c r="B144" s="2"/>
      <c r="C144" s="2"/>
      <c r="D144" s="2"/>
      <c r="K144" s="2"/>
    </row>
    <row r="145" spans="1:11" x14ac:dyDescent="0.25">
      <c r="A145" s="23"/>
      <c r="B145" s="2"/>
      <c r="C145" s="2"/>
      <c r="D145" s="2"/>
      <c r="K145" s="2"/>
    </row>
    <row r="146" spans="1:11" x14ac:dyDescent="0.25">
      <c r="A146" s="23"/>
      <c r="B146" s="2"/>
      <c r="C146" s="2"/>
      <c r="D146" s="2"/>
      <c r="K146" s="2"/>
    </row>
    <row r="147" spans="1:11" x14ac:dyDescent="0.25">
      <c r="A147" s="23"/>
      <c r="B147" s="2"/>
      <c r="C147" s="2"/>
      <c r="D147" s="2"/>
      <c r="K147" s="2"/>
    </row>
    <row r="148" spans="1:11" x14ac:dyDescent="0.25">
      <c r="A148" s="23"/>
      <c r="B148" s="2"/>
      <c r="C148" s="2"/>
      <c r="D148" s="2"/>
      <c r="K148" s="2"/>
    </row>
    <row r="149" spans="1:11" x14ac:dyDescent="0.25">
      <c r="A149" s="23"/>
      <c r="B149" s="2"/>
      <c r="C149" s="2"/>
      <c r="D149" s="2"/>
      <c r="K149" s="2"/>
    </row>
    <row r="150" spans="1:11" x14ac:dyDescent="0.25">
      <c r="A150" s="23"/>
      <c r="B150" s="2"/>
      <c r="C150" s="2"/>
      <c r="D150" s="2"/>
      <c r="K150" s="2"/>
    </row>
    <row r="151" spans="1:11" x14ac:dyDescent="0.25">
      <c r="A151" s="23"/>
      <c r="B151" s="2"/>
      <c r="C151" s="2"/>
      <c r="D151" s="2"/>
      <c r="K151" s="2"/>
    </row>
    <row r="152" spans="1:11" x14ac:dyDescent="0.25">
      <c r="A152" s="23"/>
      <c r="B152" s="2"/>
      <c r="C152" s="2"/>
      <c r="D152" s="2"/>
      <c r="K152" s="2"/>
    </row>
    <row r="153" spans="1:11" x14ac:dyDescent="0.25">
      <c r="A153" s="23"/>
      <c r="B153" s="2"/>
      <c r="C153" s="2"/>
      <c r="D153" s="2"/>
      <c r="K153" s="2"/>
    </row>
    <row r="154" spans="1:11" x14ac:dyDescent="0.25">
      <c r="A154" s="23"/>
      <c r="B154" s="2"/>
      <c r="C154" s="2"/>
      <c r="D154" s="2"/>
      <c r="K154" s="2"/>
    </row>
    <row r="155" spans="1:11" x14ac:dyDescent="0.25">
      <c r="A155" s="23"/>
      <c r="B155" s="2"/>
      <c r="C155" s="2"/>
      <c r="D155" s="2"/>
      <c r="K155" s="2"/>
    </row>
    <row r="156" spans="1:11" x14ac:dyDescent="0.25">
      <c r="A156" s="23"/>
      <c r="B156" s="2"/>
      <c r="C156" s="2"/>
      <c r="D156" s="2"/>
      <c r="K156" s="2"/>
    </row>
    <row r="157" spans="1:11" x14ac:dyDescent="0.25">
      <c r="A157" s="23"/>
      <c r="B157" s="2"/>
      <c r="C157" s="2"/>
      <c r="D157" s="2"/>
      <c r="K157" s="2"/>
    </row>
    <row r="158" spans="1:11" x14ac:dyDescent="0.25">
      <c r="A158" s="23"/>
      <c r="B158" s="2"/>
      <c r="C158" s="2"/>
      <c r="D158" s="2"/>
      <c r="K158" s="2"/>
    </row>
    <row r="159" spans="1:11" x14ac:dyDescent="0.25">
      <c r="A159" s="23"/>
      <c r="B159" s="2"/>
      <c r="C159" s="2"/>
      <c r="D159" s="2"/>
      <c r="K159" s="2"/>
    </row>
    <row r="160" spans="1:11" x14ac:dyDescent="0.25">
      <c r="A160" s="23"/>
      <c r="B160" s="2"/>
      <c r="C160" s="2"/>
      <c r="D160" s="2"/>
      <c r="K160" s="2"/>
    </row>
    <row r="161" spans="1:11" x14ac:dyDescent="0.25">
      <c r="A161" s="23"/>
      <c r="B161" s="2"/>
      <c r="C161" s="2"/>
      <c r="D161" s="2"/>
      <c r="K161" s="2"/>
    </row>
    <row r="162" spans="1:11" x14ac:dyDescent="0.25">
      <c r="A162" s="23"/>
      <c r="B162" s="2"/>
      <c r="C162" s="2"/>
      <c r="D162" s="2"/>
      <c r="K162" s="2"/>
    </row>
    <row r="163" spans="1:11" x14ac:dyDescent="0.25">
      <c r="A163" s="23"/>
      <c r="B163" s="2"/>
      <c r="C163" s="2"/>
      <c r="D163" s="2"/>
      <c r="K163" s="2"/>
    </row>
    <row r="164" spans="1:11" x14ac:dyDescent="0.25">
      <c r="A164" s="23"/>
      <c r="B164" s="2"/>
      <c r="C164" s="2"/>
      <c r="D164" s="2"/>
      <c r="K164" s="2"/>
    </row>
    <row r="165" spans="1:11" x14ac:dyDescent="0.25">
      <c r="A165" s="23"/>
      <c r="B165" s="2"/>
      <c r="C165" s="2"/>
      <c r="D165" s="2"/>
      <c r="K165" s="2"/>
    </row>
    <row r="166" spans="1:11" x14ac:dyDescent="0.25">
      <c r="A166" s="23"/>
      <c r="B166" s="2"/>
      <c r="C166" s="2"/>
      <c r="D166" s="2"/>
      <c r="K166" s="2"/>
    </row>
    <row r="167" spans="1:11" x14ac:dyDescent="0.25">
      <c r="A167" s="23"/>
      <c r="B167" s="2"/>
      <c r="C167" s="2"/>
      <c r="D167" s="2"/>
      <c r="K167" s="2"/>
    </row>
    <row r="168" spans="1:11" x14ac:dyDescent="0.25">
      <c r="A168" s="23"/>
      <c r="B168" s="2"/>
      <c r="C168" s="2"/>
      <c r="D168" s="2"/>
      <c r="K168" s="2"/>
    </row>
    <row r="169" spans="1:11" x14ac:dyDescent="0.25">
      <c r="A169" s="23"/>
      <c r="B169" s="2"/>
      <c r="C169" s="2"/>
      <c r="D169" s="2"/>
      <c r="K169" s="2"/>
    </row>
    <row r="170" spans="1:11" x14ac:dyDescent="0.25">
      <c r="A170" s="23"/>
      <c r="B170" s="2"/>
      <c r="C170" s="2"/>
      <c r="D170" s="2"/>
      <c r="K170" s="2"/>
    </row>
    <row r="171" spans="1:11" x14ac:dyDescent="0.25">
      <c r="A171" s="23"/>
      <c r="B171" s="2"/>
      <c r="C171" s="2"/>
      <c r="D171" s="2"/>
      <c r="K171" s="2"/>
    </row>
    <row r="172" spans="1:11" x14ac:dyDescent="0.25">
      <c r="A172" s="23"/>
      <c r="B172" s="2"/>
      <c r="C172" s="2"/>
      <c r="D172" s="2"/>
      <c r="K172" s="2"/>
    </row>
    <row r="173" spans="1:11" x14ac:dyDescent="0.25">
      <c r="A173" s="23"/>
      <c r="B173" s="2"/>
      <c r="C173" s="2"/>
      <c r="D173" s="2"/>
      <c r="K173" s="2"/>
    </row>
    <row r="174" spans="1:11" x14ac:dyDescent="0.25">
      <c r="A174" s="23"/>
      <c r="B174" s="2"/>
      <c r="C174" s="2"/>
      <c r="D174" s="2"/>
      <c r="K174" s="2"/>
    </row>
    <row r="175" spans="1:11" x14ac:dyDescent="0.25">
      <c r="A175" s="23"/>
      <c r="B175" s="2"/>
      <c r="C175" s="2"/>
      <c r="D175" s="2"/>
      <c r="K175" s="2"/>
    </row>
    <row r="176" spans="1:11" x14ac:dyDescent="0.25">
      <c r="A176" s="23"/>
      <c r="B176" s="2"/>
      <c r="C176" s="2"/>
      <c r="D176" s="2"/>
      <c r="K176" s="2"/>
    </row>
    <row r="177" spans="1:11" x14ac:dyDescent="0.25">
      <c r="A177" s="23"/>
      <c r="B177" s="2"/>
      <c r="C177" s="2"/>
      <c r="D177" s="2"/>
      <c r="K177" s="2"/>
    </row>
    <row r="178" spans="1:11" x14ac:dyDescent="0.25">
      <c r="A178" s="23"/>
      <c r="B178" s="2"/>
      <c r="C178" s="2"/>
      <c r="D178" s="2"/>
      <c r="K178" s="2"/>
    </row>
    <row r="179" spans="1:11" x14ac:dyDescent="0.25">
      <c r="A179" s="23"/>
      <c r="B179" s="2"/>
      <c r="C179" s="2"/>
      <c r="D179" s="2"/>
      <c r="K179" s="2"/>
    </row>
    <row r="180" spans="1:11" x14ac:dyDescent="0.25">
      <c r="A180" s="23"/>
      <c r="B180" s="2"/>
      <c r="C180" s="2"/>
      <c r="D180" s="2"/>
      <c r="K180" s="2"/>
    </row>
    <row r="181" spans="1:11" x14ac:dyDescent="0.25">
      <c r="A181" s="23"/>
      <c r="B181" s="2"/>
      <c r="C181" s="2"/>
      <c r="D181" s="2"/>
      <c r="K181" s="2"/>
    </row>
    <row r="182" spans="1:11" x14ac:dyDescent="0.25">
      <c r="A182" s="23"/>
      <c r="B182" s="2"/>
      <c r="C182" s="2"/>
      <c r="D182" s="2"/>
      <c r="K182" s="2"/>
    </row>
    <row r="183" spans="1:11" x14ac:dyDescent="0.25">
      <c r="A183" s="23"/>
      <c r="B183" s="2"/>
      <c r="C183" s="2"/>
      <c r="D183" s="2"/>
      <c r="K183" s="2"/>
    </row>
    <row r="184" spans="1:11" x14ac:dyDescent="0.25">
      <c r="A184" s="23"/>
      <c r="B184" s="2"/>
      <c r="C184" s="2"/>
      <c r="D184" s="2"/>
      <c r="K184" s="2"/>
    </row>
    <row r="185" spans="1:11" x14ac:dyDescent="0.25">
      <c r="A185" s="23"/>
      <c r="B185" s="2"/>
      <c r="C185" s="2"/>
      <c r="D185" s="2"/>
      <c r="K185" s="2"/>
    </row>
    <row r="186" spans="1:11" x14ac:dyDescent="0.25">
      <c r="A186" s="23"/>
      <c r="B186" s="2"/>
      <c r="C186" s="2"/>
      <c r="D186" s="2"/>
      <c r="K186" s="2"/>
    </row>
    <row r="187" spans="1:11" x14ac:dyDescent="0.25">
      <c r="A187" s="23"/>
      <c r="B187" s="2"/>
      <c r="C187" s="2"/>
      <c r="D187" s="2"/>
      <c r="K187" s="2"/>
    </row>
    <row r="188" spans="1:11" x14ac:dyDescent="0.25">
      <c r="A188" s="23"/>
      <c r="B188" s="2"/>
      <c r="C188" s="2"/>
      <c r="D188" s="2"/>
      <c r="K188" s="2"/>
    </row>
    <row r="189" spans="1:11" x14ac:dyDescent="0.25">
      <c r="A189" s="23"/>
      <c r="B189" s="2"/>
      <c r="C189" s="2"/>
      <c r="D189" s="2"/>
      <c r="K189" s="2"/>
    </row>
    <row r="190" spans="1:11" x14ac:dyDescent="0.25">
      <c r="A190" s="23"/>
      <c r="B190" s="2"/>
      <c r="C190" s="2"/>
      <c r="D190" s="2"/>
      <c r="K190" s="2"/>
    </row>
    <row r="191" spans="1:11" x14ac:dyDescent="0.25">
      <c r="A191" s="23"/>
      <c r="B191" s="2"/>
      <c r="C191" s="2"/>
      <c r="D191" s="2"/>
      <c r="K191" s="2"/>
    </row>
    <row r="192" spans="1:11" x14ac:dyDescent="0.25">
      <c r="A192" s="23"/>
      <c r="B192" s="2"/>
      <c r="C192" s="2"/>
      <c r="D192" s="2"/>
      <c r="K192" s="2"/>
    </row>
    <row r="193" spans="1:11" x14ac:dyDescent="0.25">
      <c r="A193" s="23"/>
      <c r="B193" s="2"/>
      <c r="C193" s="2"/>
      <c r="D193" s="2"/>
      <c r="K193" s="2"/>
    </row>
    <row r="194" spans="1:11" x14ac:dyDescent="0.25">
      <c r="A194" s="23"/>
      <c r="B194" s="2"/>
      <c r="C194" s="2"/>
      <c r="D194" s="2"/>
      <c r="K194" s="2"/>
    </row>
    <row r="195" spans="1:11" x14ac:dyDescent="0.25">
      <c r="A195" s="23"/>
      <c r="B195" s="2"/>
      <c r="C195" s="2"/>
      <c r="D195" s="2"/>
      <c r="K195" s="2"/>
    </row>
    <row r="196" spans="1:11" x14ac:dyDescent="0.25">
      <c r="A196" s="23"/>
      <c r="B196" s="2"/>
      <c r="C196" s="2"/>
      <c r="D196" s="2"/>
      <c r="K196" s="2"/>
    </row>
    <row r="197" spans="1:11" x14ac:dyDescent="0.25">
      <c r="A197" s="23"/>
      <c r="B197" s="2"/>
      <c r="C197" s="2"/>
      <c r="D197" s="2"/>
      <c r="K197" s="2"/>
    </row>
    <row r="198" spans="1:11" x14ac:dyDescent="0.25">
      <c r="A198" s="23"/>
      <c r="B198" s="2"/>
      <c r="C198" s="2"/>
      <c r="D198" s="2"/>
      <c r="K198" s="2"/>
    </row>
    <row r="199" spans="1:11" x14ac:dyDescent="0.25">
      <c r="A199" s="23"/>
      <c r="B199" s="2"/>
      <c r="C199" s="2"/>
      <c r="D199" s="2"/>
      <c r="K199" s="2"/>
    </row>
    <row r="200" spans="1:11" x14ac:dyDescent="0.25">
      <c r="A200" s="23">
        <f ca="1">TODAY()</f>
        <v>46295</v>
      </c>
      <c r="B200" s="2"/>
      <c r="C200" s="2"/>
      <c r="D200" s="2"/>
      <c r="K200" s="24">
        <f>Overview!U3</f>
        <v>1250.0600000000002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8577-471B-42D2-A3E2-F7E5042B9DEE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104</v>
      </c>
      <c r="D1" s="29" t="s">
        <v>13</v>
      </c>
      <c r="E1" s="29" t="s">
        <v>0</v>
      </c>
      <c r="F1" s="29" t="s">
        <v>8</v>
      </c>
      <c r="G1" s="29" t="s">
        <v>0</v>
      </c>
      <c r="H1" s="29" t="s">
        <v>8</v>
      </c>
      <c r="I1" s="29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29" t="s">
        <v>67</v>
      </c>
      <c r="AA1" s="29" t="s">
        <v>75</v>
      </c>
    </row>
    <row r="2" spans="1:27" x14ac:dyDescent="0.25">
      <c r="A2" s="8" t="s">
        <v>3</v>
      </c>
      <c r="B2" s="3" t="s">
        <v>103</v>
      </c>
      <c r="D2" s="11"/>
      <c r="E2" s="5"/>
      <c r="F2" s="5"/>
      <c r="G2" s="5"/>
      <c r="H2" s="5"/>
      <c r="I2" s="5"/>
      <c r="J2" s="11"/>
      <c r="K2" s="10" t="str">
        <f>IF(J2&gt;0,J2-D2,"")</f>
        <v/>
      </c>
      <c r="M2" s="15" t="s">
        <v>68</v>
      </c>
      <c r="N2" s="15" t="s">
        <v>69</v>
      </c>
      <c r="O2" s="29" t="s">
        <v>70</v>
      </c>
      <c r="P2" s="29" t="s">
        <v>71</v>
      </c>
      <c r="Q2" s="38"/>
      <c r="R2" s="38"/>
      <c r="S2" s="38"/>
      <c r="Y2" s="11">
        <f>B3</f>
        <v>46293</v>
      </c>
      <c r="Z2" s="3">
        <f>B11*-1</f>
        <v>-103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46293</v>
      </c>
      <c r="D3" s="11"/>
      <c r="E3" s="5"/>
      <c r="F3" s="5"/>
      <c r="G3" s="5"/>
      <c r="H3" s="5"/>
      <c r="I3" s="5"/>
      <c r="J3" s="11"/>
      <c r="K3" s="10" t="str">
        <f t="shared" ref="K3:K41" si="0">IF(J3&gt;0,J3-D3,"")</f>
        <v/>
      </c>
      <c r="M3" s="5">
        <f>B11</f>
        <v>103</v>
      </c>
      <c r="N3" s="5">
        <f>G42</f>
        <v>0</v>
      </c>
      <c r="O3" s="5">
        <f>F42</f>
        <v>0</v>
      </c>
      <c r="P3" s="5">
        <f>H42+I42</f>
        <v>0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0</v>
      </c>
      <c r="Z3" s="5">
        <f>G2+H2+I2</f>
        <v>0</v>
      </c>
    </row>
    <row r="4" spans="1:27" x14ac:dyDescent="0.25">
      <c r="A4" s="8" t="s">
        <v>15</v>
      </c>
      <c r="B4" s="11"/>
      <c r="D4" s="11"/>
      <c r="E4" s="5"/>
      <c r="F4" s="5"/>
      <c r="G4" s="5"/>
      <c r="H4" s="5"/>
      <c r="I4" s="5"/>
      <c r="J4" s="11"/>
      <c r="K4" s="10" t="str">
        <f t="shared" si="0"/>
        <v/>
      </c>
      <c r="Y4" s="11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4</v>
      </c>
      <c r="B5" s="3" t="s">
        <v>21</v>
      </c>
      <c r="D5" s="11"/>
      <c r="E5" s="5"/>
      <c r="F5" s="5"/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0.15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0.56999999999999995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18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105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8.5000000000000006E-2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103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/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-46295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29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29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si="1"/>
        <v>0</v>
      </c>
      <c r="Z15" s="5">
        <f t="shared" si="2"/>
        <v>0</v>
      </c>
    </row>
    <row r="16" spans="1:27" x14ac:dyDescent="0.25">
      <c r="D16" s="29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1"/>
        <v>0</v>
      </c>
      <c r="Z16" s="5">
        <f t="shared" si="2"/>
        <v>0</v>
      </c>
    </row>
    <row r="17" spans="4:26" x14ac:dyDescent="0.25">
      <c r="D17" s="29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1"/>
        <v>0</v>
      </c>
      <c r="Z17" s="5">
        <f t="shared" si="2"/>
        <v>0</v>
      </c>
    </row>
    <row r="18" spans="4:26" x14ac:dyDescent="0.25">
      <c r="D18" s="29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1"/>
        <v>0</v>
      </c>
      <c r="Z18" s="5">
        <f t="shared" si="2"/>
        <v>0</v>
      </c>
    </row>
    <row r="19" spans="4:26" x14ac:dyDescent="0.25">
      <c r="D19" s="29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1"/>
        <v>0</v>
      </c>
      <c r="Z19" s="5">
        <f t="shared" si="2"/>
        <v>0</v>
      </c>
    </row>
    <row r="20" spans="4:26" x14ac:dyDescent="0.25">
      <c r="D20" s="29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1"/>
        <v>0</v>
      </c>
      <c r="Z20" s="5">
        <f t="shared" si="2"/>
        <v>0</v>
      </c>
    </row>
    <row r="21" spans="4:26" x14ac:dyDescent="0.25">
      <c r="D21" s="29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1"/>
        <v>0</v>
      </c>
      <c r="Z21" s="5">
        <f t="shared" si="2"/>
        <v>0</v>
      </c>
    </row>
    <row r="22" spans="4:26" x14ac:dyDescent="0.25">
      <c r="D22" s="29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1"/>
        <v>0</v>
      </c>
      <c r="Z22" s="5">
        <f t="shared" si="2"/>
        <v>0</v>
      </c>
    </row>
    <row r="23" spans="4:26" x14ac:dyDescent="0.25">
      <c r="D23" s="29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1"/>
        <v>0</v>
      </c>
      <c r="Z23" s="5">
        <f t="shared" si="2"/>
        <v>0</v>
      </c>
    </row>
    <row r="24" spans="4:26" x14ac:dyDescent="0.25">
      <c r="D24" s="29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1"/>
        <v>0</v>
      </c>
      <c r="Z24" s="5">
        <f t="shared" si="2"/>
        <v>0</v>
      </c>
    </row>
    <row r="25" spans="4:26" x14ac:dyDescent="0.25">
      <c r="D25" s="29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1"/>
        <v>0</v>
      </c>
      <c r="Z25" s="5">
        <f t="shared" si="2"/>
        <v>0</v>
      </c>
    </row>
    <row r="26" spans="4:26" x14ac:dyDescent="0.25">
      <c r="D26" s="29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1"/>
        <v>0</v>
      </c>
      <c r="Z26" s="5">
        <f t="shared" si="2"/>
        <v>0</v>
      </c>
    </row>
    <row r="27" spans="4:26" x14ac:dyDescent="0.25">
      <c r="D27" s="29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1"/>
        <v>0</v>
      </c>
      <c r="Z27" s="5">
        <f t="shared" si="2"/>
        <v>0</v>
      </c>
    </row>
    <row r="28" spans="4:26" x14ac:dyDescent="0.25">
      <c r="D28" s="29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1"/>
        <v>0</v>
      </c>
      <c r="Z28" s="5">
        <f t="shared" si="2"/>
        <v>0</v>
      </c>
    </row>
    <row r="29" spans="4:26" x14ac:dyDescent="0.25">
      <c r="D29" s="29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1"/>
        <v>0</v>
      </c>
      <c r="Z29" s="5">
        <f t="shared" si="2"/>
        <v>0</v>
      </c>
    </row>
    <row r="30" spans="4:26" x14ac:dyDescent="0.25">
      <c r="D30" s="29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1"/>
        <v>0</v>
      </c>
      <c r="Z30" s="5">
        <f t="shared" si="2"/>
        <v>0</v>
      </c>
    </row>
    <row r="31" spans="4:26" x14ac:dyDescent="0.25">
      <c r="D31" s="29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1"/>
        <v>0</v>
      </c>
      <c r="Z31" s="5">
        <f t="shared" si="2"/>
        <v>0</v>
      </c>
    </row>
    <row r="32" spans="4:26" x14ac:dyDescent="0.25">
      <c r="D32" s="29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1"/>
        <v>0</v>
      </c>
      <c r="Z32" s="5">
        <f t="shared" si="2"/>
        <v>0</v>
      </c>
    </row>
    <row r="33" spans="4:26" x14ac:dyDescent="0.25">
      <c r="D33" s="29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1"/>
        <v>0</v>
      </c>
      <c r="Z33" s="5">
        <f t="shared" si="2"/>
        <v>0</v>
      </c>
    </row>
    <row r="34" spans="4:26" x14ac:dyDescent="0.25">
      <c r="D34" s="29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1"/>
        <v>0</v>
      </c>
      <c r="Z34" s="5">
        <f t="shared" si="2"/>
        <v>0</v>
      </c>
    </row>
    <row r="35" spans="4:26" x14ac:dyDescent="0.25">
      <c r="D35" s="29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1"/>
        <v>0</v>
      </c>
      <c r="Z35" s="5">
        <f t="shared" si="2"/>
        <v>0</v>
      </c>
    </row>
    <row r="36" spans="4:26" x14ac:dyDescent="0.25">
      <c r="D36" s="29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1"/>
        <v>0</v>
      </c>
      <c r="Z36" s="5">
        <f t="shared" si="2"/>
        <v>0</v>
      </c>
    </row>
    <row r="37" spans="4:26" x14ac:dyDescent="0.25">
      <c r="D37" s="29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1"/>
        <v>0</v>
      </c>
      <c r="Z37" s="5">
        <f t="shared" si="2"/>
        <v>0</v>
      </c>
    </row>
    <row r="38" spans="4:26" x14ac:dyDescent="0.25">
      <c r="D38" s="29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1"/>
        <v>0</v>
      </c>
      <c r="Z38" s="5">
        <f t="shared" si="2"/>
        <v>0</v>
      </c>
    </row>
    <row r="39" spans="4:26" x14ac:dyDescent="0.25">
      <c r="D39" s="29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1"/>
        <v>0</v>
      </c>
      <c r="Z39" s="5">
        <f t="shared" si="2"/>
        <v>0</v>
      </c>
    </row>
    <row r="40" spans="4:26" x14ac:dyDescent="0.25">
      <c r="D40" s="29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1"/>
        <v>0</v>
      </c>
      <c r="Z40" s="5">
        <f t="shared" si="2"/>
        <v>0</v>
      </c>
    </row>
    <row r="41" spans="4:26" x14ac:dyDescent="0.25">
      <c r="D41" s="29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1"/>
        <v>0</v>
      </c>
      <c r="Z41" s="5">
        <f t="shared" si="2"/>
        <v>0</v>
      </c>
    </row>
    <row r="42" spans="4:26" x14ac:dyDescent="0.25">
      <c r="D42" s="29" t="s">
        <v>14</v>
      </c>
      <c r="E42" s="5">
        <f>SUM(E2:E41)</f>
        <v>0</v>
      </c>
      <c r="F42" s="5">
        <f t="shared" ref="F42:I42" si="3">SUM(F2:F41)</f>
        <v>0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91" priority="1">
      <formula>$AA$2="+"</formula>
    </cfRule>
    <cfRule type="expression" dxfId="90" priority="2">
      <formula>$M$3=$N$3</formula>
    </cfRule>
  </conditionalFormatting>
  <conditionalFormatting sqref="S3">
    <cfRule type="expression" dxfId="89" priority="3">
      <formula>$AA$2="+"</formula>
    </cfRule>
  </conditionalFormatting>
  <conditionalFormatting sqref="AA2">
    <cfRule type="expression" dxfId="88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D9A5-D481-4BB5-ABC5-B04AD32F6E1F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100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101</v>
      </c>
      <c r="D2" s="11">
        <v>46645</v>
      </c>
      <c r="E2" s="5">
        <v>118.8</v>
      </c>
      <c r="F2" s="5">
        <v>10.63</v>
      </c>
      <c r="G2" s="5"/>
      <c r="H2" s="5"/>
      <c r="I2" s="5"/>
      <c r="J2" s="11"/>
      <c r="K2" s="10" t="str">
        <f>IF(J2&gt;0,J2-D2,"")</f>
        <v/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46280</v>
      </c>
      <c r="Z2" s="3">
        <f>B11*-1</f>
        <v>-118.8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46280</v>
      </c>
      <c r="D3" s="11"/>
      <c r="E3" s="5"/>
      <c r="F3" s="5"/>
      <c r="G3" s="5"/>
      <c r="H3" s="5"/>
      <c r="I3" s="5"/>
      <c r="J3" s="11"/>
      <c r="K3" s="10" t="str">
        <f t="shared" ref="K3:K41" si="0">IF(J3&gt;0,J3-D3,"")</f>
        <v/>
      </c>
      <c r="M3" s="5">
        <f>B11</f>
        <v>118.8</v>
      </c>
      <c r="N3" s="5">
        <f>G42</f>
        <v>0</v>
      </c>
      <c r="O3" s="5">
        <f>F42</f>
        <v>10.63</v>
      </c>
      <c r="P3" s="5">
        <f>H42+I42</f>
        <v>0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0</v>
      </c>
      <c r="Z3" s="5">
        <f>G2+H2+I2</f>
        <v>0</v>
      </c>
    </row>
    <row r="4" spans="1:27" x14ac:dyDescent="0.25">
      <c r="A4" s="8" t="s">
        <v>15</v>
      </c>
      <c r="B4" s="11">
        <v>46282</v>
      </c>
      <c r="D4" s="11"/>
      <c r="E4" s="5"/>
      <c r="F4" s="5"/>
      <c r="G4" s="5"/>
      <c r="H4" s="5"/>
      <c r="I4" s="5"/>
      <c r="J4" s="11"/>
      <c r="K4" s="10" t="str">
        <f t="shared" si="0"/>
        <v/>
      </c>
      <c r="Y4" s="11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4</v>
      </c>
      <c r="B5" s="3" t="s">
        <v>61</v>
      </c>
      <c r="D5" s="11"/>
      <c r="E5" s="5"/>
      <c r="F5" s="5"/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0.65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0.65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102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0.09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118.8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46645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350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1"/>
        <v>0</v>
      </c>
      <c r="Z41" s="5">
        <f t="shared" si="2"/>
        <v>0</v>
      </c>
    </row>
    <row r="42" spans="4:26" x14ac:dyDescent="0.25">
      <c r="D42" s="7" t="s">
        <v>14</v>
      </c>
      <c r="E42" s="5">
        <f>SUM(E2:E41)</f>
        <v>118.8</v>
      </c>
      <c r="F42" s="5">
        <f t="shared" ref="F42:I42" si="3">SUM(F2:F41)</f>
        <v>10.63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87" priority="1">
      <formula>$AA$2="+"</formula>
    </cfRule>
    <cfRule type="expression" dxfId="86" priority="2">
      <formula>$M$3=$N$3</formula>
    </cfRule>
  </conditionalFormatting>
  <conditionalFormatting sqref="S3">
    <cfRule type="expression" dxfId="85" priority="3">
      <formula>$AA$2="+"</formula>
    </cfRule>
  </conditionalFormatting>
  <conditionalFormatting sqref="AA2">
    <cfRule type="expression" dxfId="84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B2F4-520F-4D43-8EF9-F29623382238}">
  <dimension ref="A1:AA42"/>
  <sheetViews>
    <sheetView workbookViewId="0">
      <selection activeCell="B9" sqref="B9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98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99</v>
      </c>
      <c r="D2" s="11">
        <v>46394</v>
      </c>
      <c r="E2" s="5">
        <v>0</v>
      </c>
      <c r="F2" s="5">
        <v>3.38</v>
      </c>
      <c r="G2" s="5"/>
      <c r="H2" s="5"/>
      <c r="I2" s="5"/>
      <c r="J2" s="11"/>
      <c r="K2" s="10" t="str">
        <f>IF(J2&gt;0,J2-D2,"")</f>
        <v/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46272</v>
      </c>
      <c r="Z2" s="3">
        <f>B11*-1</f>
        <v>-131.80000000000001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46272</v>
      </c>
      <c r="D3" s="11">
        <v>46484</v>
      </c>
      <c r="E3" s="5">
        <v>0</v>
      </c>
      <c r="F3" s="5">
        <v>2.92</v>
      </c>
      <c r="G3" s="5"/>
      <c r="H3" s="5"/>
      <c r="I3" s="5"/>
      <c r="J3" s="11"/>
      <c r="K3" s="10" t="str">
        <f t="shared" ref="K3:K41" si="0">IF(J3&gt;0,J3-D3,"")</f>
        <v/>
      </c>
      <c r="M3" s="5">
        <f>B11</f>
        <v>131.80000000000001</v>
      </c>
      <c r="N3" s="5">
        <f>G42</f>
        <v>0</v>
      </c>
      <c r="O3" s="5">
        <f>F42</f>
        <v>17.71</v>
      </c>
      <c r="P3" s="5">
        <f>H42+I42</f>
        <v>0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0</v>
      </c>
      <c r="Z3" s="5">
        <f>G2+H2+I2</f>
        <v>0</v>
      </c>
    </row>
    <row r="4" spans="1:27" x14ac:dyDescent="0.25">
      <c r="A4" s="8" t="s">
        <v>15</v>
      </c>
      <c r="B4" s="11">
        <v>46283</v>
      </c>
      <c r="D4" s="11">
        <v>46575</v>
      </c>
      <c r="E4" s="5">
        <v>0</v>
      </c>
      <c r="F4" s="5">
        <v>2.96</v>
      </c>
      <c r="G4" s="5"/>
      <c r="H4" s="5"/>
      <c r="I4" s="5"/>
      <c r="J4" s="11"/>
      <c r="K4" s="10" t="str">
        <f t="shared" si="0"/>
        <v/>
      </c>
      <c r="Y4" s="11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4</v>
      </c>
      <c r="B5" s="3" t="s">
        <v>64</v>
      </c>
      <c r="D5" s="11">
        <v>46667</v>
      </c>
      <c r="E5" s="5">
        <v>0</v>
      </c>
      <c r="F5" s="5">
        <v>2.99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0.44</v>
      </c>
      <c r="D6" s="11">
        <v>46759</v>
      </c>
      <c r="E6" s="5">
        <v>0</v>
      </c>
      <c r="F6" s="5">
        <v>2.99</v>
      </c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0.85</v>
      </c>
      <c r="D7" s="11">
        <v>46828</v>
      </c>
      <c r="E7" s="5">
        <v>131.80000000000001</v>
      </c>
      <c r="F7" s="3">
        <v>2.4700000000000002</v>
      </c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18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9.5000000000000001E-2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131.80000000000001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46828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533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1"/>
        <v>0</v>
      </c>
      <c r="Z41" s="5">
        <f t="shared" si="2"/>
        <v>0</v>
      </c>
    </row>
    <row r="42" spans="4:26" x14ac:dyDescent="0.25">
      <c r="D42" s="7" t="s">
        <v>14</v>
      </c>
      <c r="E42" s="5">
        <f>SUM(E2:E41)</f>
        <v>131.80000000000001</v>
      </c>
      <c r="F42" s="5">
        <f t="shared" ref="F42:I42" si="3">SUM(F2:F41)</f>
        <v>17.71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83" priority="1">
      <formula>$AA$2="+"</formula>
    </cfRule>
    <cfRule type="expression" dxfId="82" priority="2">
      <formula>$M$3=$N$3</formula>
    </cfRule>
  </conditionalFormatting>
  <conditionalFormatting sqref="S3">
    <cfRule type="expression" dxfId="81" priority="3">
      <formula>$AA$2="+"</formula>
    </cfRule>
  </conditionalFormatting>
  <conditionalFormatting sqref="AA2">
    <cfRule type="expression" dxfId="80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1A49-178D-43C2-AF06-42DA04A897EC}">
  <dimension ref="A1:AA42"/>
  <sheetViews>
    <sheetView topLeftCell="B1" workbookViewId="0">
      <selection activeCell="F6" sqref="F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97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96</v>
      </c>
      <c r="D2" s="11">
        <v>46363</v>
      </c>
      <c r="E2" s="5">
        <v>0</v>
      </c>
      <c r="F2" s="5">
        <v>2.99</v>
      </c>
      <c r="G2" s="5"/>
      <c r="H2" s="5"/>
      <c r="I2" s="5"/>
      <c r="J2" s="11"/>
      <c r="K2" s="10" t="str">
        <f>IF(J2&gt;0,J2-D2,"")</f>
        <v/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46254</v>
      </c>
      <c r="Z2" s="3">
        <f>B11*-1</f>
        <v>-122.1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46254</v>
      </c>
      <c r="D3" s="11">
        <v>46453</v>
      </c>
      <c r="E3" s="5">
        <v>0</v>
      </c>
      <c r="F3" s="5">
        <v>2.8</v>
      </c>
      <c r="G3" s="5"/>
      <c r="H3" s="5"/>
      <c r="I3" s="5"/>
      <c r="J3" s="11"/>
      <c r="K3" s="10" t="str">
        <f t="shared" ref="K3:K41" si="0">IF(J3&gt;0,J3-D3,"")</f>
        <v/>
      </c>
      <c r="M3" s="5">
        <f>B11</f>
        <v>122.1</v>
      </c>
      <c r="N3" s="5">
        <f>G42</f>
        <v>0</v>
      </c>
      <c r="O3" s="5">
        <f>F42</f>
        <v>11.11</v>
      </c>
      <c r="P3" s="5">
        <f>H42+I42</f>
        <v>0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0</v>
      </c>
      <c r="Z3" s="5">
        <f>G2+H2+I2</f>
        <v>0</v>
      </c>
    </row>
    <row r="4" spans="1:27" x14ac:dyDescent="0.25">
      <c r="A4" s="8" t="s">
        <v>15</v>
      </c>
      <c r="B4" s="11">
        <v>46260</v>
      </c>
      <c r="D4" s="11">
        <v>46545</v>
      </c>
      <c r="E4" s="5">
        <v>0</v>
      </c>
      <c r="F4" s="5">
        <v>2.86</v>
      </c>
      <c r="G4" s="5"/>
      <c r="H4" s="5"/>
      <c r="I4" s="5"/>
      <c r="J4" s="11"/>
      <c r="K4" s="10" t="str">
        <f t="shared" si="0"/>
        <v/>
      </c>
      <c r="Y4" s="11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4</v>
      </c>
      <c r="B5" s="3" t="s">
        <v>64</v>
      </c>
      <c r="D5" s="11">
        <v>46617</v>
      </c>
      <c r="E5" s="5">
        <v>122.1</v>
      </c>
      <c r="F5" s="5">
        <v>2.46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0.54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0.8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9.2999999999999999E-2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122.1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46617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322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1"/>
        <v>0</v>
      </c>
      <c r="Z41" s="5">
        <f t="shared" si="2"/>
        <v>0</v>
      </c>
    </row>
    <row r="42" spans="4:26" x14ac:dyDescent="0.25">
      <c r="D42" s="7" t="s">
        <v>14</v>
      </c>
      <c r="E42" s="5">
        <f>SUM(E2:E41)</f>
        <v>122.1</v>
      </c>
      <c r="F42" s="5">
        <f t="shared" ref="F42:I42" si="3">SUM(F2:F41)</f>
        <v>11.11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79" priority="1">
      <formula>$AA$2="+"</formula>
    </cfRule>
    <cfRule type="expression" dxfId="78" priority="2">
      <formula>$M$3=$N$3</formula>
    </cfRule>
  </conditionalFormatting>
  <conditionalFormatting sqref="S3">
    <cfRule type="expression" dxfId="77" priority="3">
      <formula>$AA$2="+"</formula>
    </cfRule>
  </conditionalFormatting>
  <conditionalFormatting sqref="AA2">
    <cfRule type="expression" dxfId="76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A271-9215-4369-9468-273925BE7FC4}">
  <dimension ref="A1:AA42"/>
  <sheetViews>
    <sheetView topLeftCell="B1"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88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87</v>
      </c>
      <c r="D2" s="11">
        <v>46265</v>
      </c>
      <c r="E2" s="5">
        <v>0</v>
      </c>
      <c r="F2" s="5">
        <v>2.19</v>
      </c>
      <c r="G2" s="5">
        <v>0</v>
      </c>
      <c r="H2" s="5">
        <v>2.19</v>
      </c>
      <c r="I2" s="5">
        <v>0</v>
      </c>
      <c r="J2" s="11">
        <v>46265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46164</v>
      </c>
      <c r="Z2" s="3">
        <f>B11*-1</f>
        <v>-102.9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46164</v>
      </c>
      <c r="D3" s="11">
        <v>46356</v>
      </c>
      <c r="E3" s="5">
        <v>0</v>
      </c>
      <c r="F3" s="5">
        <v>2.0499999999999998</v>
      </c>
      <c r="G3" s="5"/>
      <c r="H3" s="5"/>
      <c r="I3" s="5"/>
      <c r="J3" s="11"/>
      <c r="K3" s="10" t="str">
        <f t="shared" ref="K3:K41" si="0">IF(J3&gt;0,J3-D3,"")</f>
        <v/>
      </c>
      <c r="M3" s="5">
        <f>B11</f>
        <v>102.9</v>
      </c>
      <c r="N3" s="5">
        <f>G42</f>
        <v>0</v>
      </c>
      <c r="O3" s="5">
        <f>F42</f>
        <v>8.19</v>
      </c>
      <c r="P3" s="5">
        <f>H42+I42</f>
        <v>2.19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46265</v>
      </c>
      <c r="Z3" s="5">
        <f>G2+H2+I2</f>
        <v>2.19</v>
      </c>
    </row>
    <row r="4" spans="1:27" x14ac:dyDescent="0.25">
      <c r="A4" s="8" t="s">
        <v>15</v>
      </c>
      <c r="B4" s="11">
        <v>46168</v>
      </c>
      <c r="D4" s="11">
        <v>46446</v>
      </c>
      <c r="E4" s="5">
        <v>0</v>
      </c>
      <c r="F4" s="5">
        <v>2.0299999999999998</v>
      </c>
      <c r="G4" s="5"/>
      <c r="H4" s="5"/>
      <c r="I4" s="5"/>
      <c r="J4" s="11"/>
      <c r="K4" s="10" t="str">
        <f t="shared" si="0"/>
        <v/>
      </c>
      <c r="Y4" s="11">
        <f t="shared" ref="Y4:Y14" si="1">J3</f>
        <v>0</v>
      </c>
      <c r="Z4" s="5">
        <f t="shared" ref="Z4:Z14" si="2">G3+H3+I3</f>
        <v>0</v>
      </c>
    </row>
    <row r="5" spans="1:27" x14ac:dyDescent="0.25">
      <c r="A5" s="8" t="s">
        <v>4</v>
      </c>
      <c r="B5" s="3" t="s">
        <v>5</v>
      </c>
      <c r="D5" s="11">
        <v>46531</v>
      </c>
      <c r="E5" s="5">
        <v>102.9</v>
      </c>
      <c r="F5" s="5">
        <v>1.92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0.7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0.08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102.9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46531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236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102.9</v>
      </c>
      <c r="F42" s="5">
        <f t="shared" ref="F42:I42" si="5">SUM(F2:F41)</f>
        <v>8.19</v>
      </c>
      <c r="G42" s="5">
        <f t="shared" si="5"/>
        <v>0</v>
      </c>
      <c r="H42" s="5">
        <f t="shared" si="5"/>
        <v>2.19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5" priority="1">
      <formula>$AA$2="+"</formula>
    </cfRule>
    <cfRule type="expression" dxfId="74" priority="2">
      <formula>$M$3=$N$3</formula>
    </cfRule>
  </conditionalFormatting>
  <conditionalFormatting sqref="S3">
    <cfRule type="expression" dxfId="73" priority="3">
      <formula>$AA$2="+"</formula>
    </cfRule>
  </conditionalFormatting>
  <conditionalFormatting sqref="AA2">
    <cfRule type="expression" dxfId="72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09DC-D140-4386-90FC-0C778E67F5B1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86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85</v>
      </c>
      <c r="D2" s="11">
        <v>46265</v>
      </c>
      <c r="E2" s="5">
        <v>0</v>
      </c>
      <c r="F2" s="5">
        <v>2.68</v>
      </c>
      <c r="G2" s="5">
        <v>0</v>
      </c>
      <c r="H2" s="5">
        <v>2.68</v>
      </c>
      <c r="I2" s="5">
        <v>0</v>
      </c>
      <c r="J2" s="11">
        <v>46265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46156</v>
      </c>
      <c r="Z2" s="3">
        <f>B11*-1</f>
        <v>-105.2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46156</v>
      </c>
      <c r="D3" s="11">
        <v>46356</v>
      </c>
      <c r="E3" s="5">
        <v>0</v>
      </c>
      <c r="F3" s="5">
        <v>2.2599999999999998</v>
      </c>
      <c r="G3" s="5"/>
      <c r="H3" s="5"/>
      <c r="I3" s="5"/>
      <c r="J3" s="11"/>
      <c r="K3" s="10" t="str">
        <f t="shared" ref="K3:K41" si="0">IF(J3&gt;0,J3-D3,"")</f>
        <v/>
      </c>
      <c r="M3" s="5">
        <f>B11</f>
        <v>105.2</v>
      </c>
      <c r="N3" s="5">
        <f>G42</f>
        <v>0</v>
      </c>
      <c r="O3" s="5">
        <f>F42</f>
        <v>9</v>
      </c>
      <c r="P3" s="5">
        <f>H42+I42</f>
        <v>2.68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46265</v>
      </c>
      <c r="Z3" s="5">
        <f>G2+H2+I2</f>
        <v>2.68</v>
      </c>
    </row>
    <row r="4" spans="1:27" x14ac:dyDescent="0.25">
      <c r="A4" s="8" t="s">
        <v>15</v>
      </c>
      <c r="B4" s="11">
        <v>46156</v>
      </c>
      <c r="D4" s="11">
        <v>46446</v>
      </c>
      <c r="E4" s="5">
        <v>0</v>
      </c>
      <c r="F4" s="5">
        <v>2.23</v>
      </c>
      <c r="G4" s="5"/>
      <c r="H4" s="5"/>
      <c r="I4" s="5"/>
      <c r="J4" s="11"/>
      <c r="K4" s="10" t="str">
        <f t="shared" si="0"/>
        <v/>
      </c>
      <c r="Y4" s="11">
        <f t="shared" ref="Y4:Y14" si="1">J3</f>
        <v>0</v>
      </c>
      <c r="Z4" s="5">
        <f t="shared" ref="Z4:Z14" si="2">G3+H3+I3</f>
        <v>0</v>
      </c>
    </row>
    <row r="5" spans="1:27" x14ac:dyDescent="0.25">
      <c r="A5" s="8" t="s">
        <v>4</v>
      </c>
      <c r="B5" s="3" t="s">
        <v>64</v>
      </c>
      <c r="D5" s="11">
        <v>46520</v>
      </c>
      <c r="E5" s="5">
        <v>105.2</v>
      </c>
      <c r="F5" s="5">
        <v>1.83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0.59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8.5999999999999993E-2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105.2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46520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225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105.2</v>
      </c>
      <c r="F42" s="5">
        <f t="shared" ref="F42:I42" si="5">SUM(F2:F41)</f>
        <v>9</v>
      </c>
      <c r="G42" s="5">
        <f t="shared" si="5"/>
        <v>0</v>
      </c>
      <c r="H42" s="5">
        <f t="shared" si="5"/>
        <v>2.68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1" priority="1">
      <formula>$AA$2="+"</formula>
    </cfRule>
    <cfRule type="expression" dxfId="70" priority="2">
      <formula>$M$3=$N$3</formula>
    </cfRule>
  </conditionalFormatting>
  <conditionalFormatting sqref="S3">
    <cfRule type="expression" dxfId="69" priority="3">
      <formula>$AA$2="+"</formula>
    </cfRule>
  </conditionalFormatting>
  <conditionalFormatting sqref="AA2">
    <cfRule type="expression" dxfId="68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AB69-C22B-4D12-9872-F3C578B33FFE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77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78</v>
      </c>
      <c r="D2" s="11">
        <v>46234</v>
      </c>
      <c r="E2" s="5">
        <v>0</v>
      </c>
      <c r="F2" s="5">
        <v>2.54</v>
      </c>
      <c r="G2" s="5">
        <v>0</v>
      </c>
      <c r="H2" s="5">
        <v>2.54</v>
      </c>
      <c r="I2" s="5">
        <v>0.45</v>
      </c>
      <c r="J2" s="11">
        <v>46266</v>
      </c>
      <c r="K2" s="10">
        <f>IF(J2&gt;0,J2-D2,"")</f>
        <v>32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46139</v>
      </c>
      <c r="Z2" s="3">
        <f>B11*-1</f>
        <v>-120.3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46139</v>
      </c>
      <c r="D3" s="11">
        <v>46326</v>
      </c>
      <c r="E3" s="5">
        <v>0</v>
      </c>
      <c r="F3" s="5">
        <v>2.4900000000000002</v>
      </c>
      <c r="G3" s="5"/>
      <c r="H3" s="5"/>
      <c r="I3" s="5"/>
      <c r="J3" s="11"/>
      <c r="K3" s="10" t="str">
        <f t="shared" ref="K3:K41" si="0">IF(J3&gt;0,J3-D3,"")</f>
        <v/>
      </c>
      <c r="M3" s="5">
        <f>B11</f>
        <v>120.3</v>
      </c>
      <c r="N3" s="5">
        <f>G42</f>
        <v>0</v>
      </c>
      <c r="O3" s="5">
        <f>F42</f>
        <v>9.82</v>
      </c>
      <c r="P3" s="5">
        <f>H42+I42</f>
        <v>2.99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46266</v>
      </c>
      <c r="Z3" s="5">
        <f>G2+H2+I2</f>
        <v>2.99</v>
      </c>
    </row>
    <row r="4" spans="1:27" x14ac:dyDescent="0.25">
      <c r="A4" s="8" t="s">
        <v>15</v>
      </c>
      <c r="B4" s="11">
        <v>46139</v>
      </c>
      <c r="D4" s="11">
        <v>46418</v>
      </c>
      <c r="E4" s="5">
        <v>0</v>
      </c>
      <c r="F4" s="5">
        <v>2.4900000000000002</v>
      </c>
      <c r="G4" s="5"/>
      <c r="H4" s="5"/>
      <c r="I4" s="5"/>
      <c r="J4" s="11"/>
      <c r="K4" s="10" t="str">
        <f t="shared" si="0"/>
        <v/>
      </c>
      <c r="Y4" s="11">
        <f t="shared" ref="Y4:Y14" si="1">J3</f>
        <v>0</v>
      </c>
      <c r="Z4" s="5">
        <f t="shared" ref="Z4:Z14" si="2">G3+H3+I3</f>
        <v>0</v>
      </c>
    </row>
    <row r="5" spans="1:27" x14ac:dyDescent="0.25">
      <c r="A5" s="8" t="s">
        <v>4</v>
      </c>
      <c r="B5" s="3" t="s">
        <v>21</v>
      </c>
      <c r="D5" s="11">
        <v>46503</v>
      </c>
      <c r="E5" s="5">
        <v>120.3</v>
      </c>
      <c r="F5" s="5">
        <v>2.2999999999999998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0.56000000000000005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0.75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5"/>
      <c r="F8" s="3"/>
      <c r="G8" s="2"/>
      <c r="H8" s="2"/>
      <c r="I8" s="2"/>
      <c r="J8" s="11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5"/>
      <c r="F9" s="3"/>
      <c r="G9" s="2"/>
      <c r="H9" s="2"/>
      <c r="I9" s="2"/>
      <c r="J9" s="11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8.2000000000000003E-2</v>
      </c>
      <c r="D10" s="11"/>
      <c r="E10" s="5"/>
      <c r="F10" s="3"/>
      <c r="G10" s="2"/>
      <c r="H10" s="2"/>
      <c r="I10" s="2"/>
      <c r="J10" s="11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120.3</v>
      </c>
      <c r="D11" s="11"/>
      <c r="E11" s="5"/>
      <c r="F11" s="3"/>
      <c r="G11" s="2"/>
      <c r="H11" s="2"/>
      <c r="I11" s="2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46503</v>
      </c>
      <c r="D12" s="11"/>
      <c r="E12" s="5"/>
      <c r="F12" s="5"/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208</v>
      </c>
      <c r="D13" s="11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0" si="3">J14</f>
        <v>0</v>
      </c>
      <c r="Z15" s="5">
        <f t="shared" ref="Z15:Z40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ref="Y41" si="5">J40</f>
        <v>0</v>
      </c>
      <c r="Z41" s="5">
        <f t="shared" ref="Z41" si="6">G40+H40+I40</f>
        <v>0</v>
      </c>
    </row>
    <row r="42" spans="4:26" x14ac:dyDescent="0.25">
      <c r="D42" s="7" t="s">
        <v>14</v>
      </c>
      <c r="E42" s="5">
        <f>SUM(E2:E41)</f>
        <v>120.3</v>
      </c>
      <c r="F42" s="5">
        <f t="shared" ref="F42:I42" si="7">SUM(F2:F41)</f>
        <v>9.82</v>
      </c>
      <c r="G42" s="5">
        <f t="shared" si="7"/>
        <v>0</v>
      </c>
      <c r="H42" s="5">
        <f t="shared" si="7"/>
        <v>2.54</v>
      </c>
      <c r="I42" s="5">
        <f t="shared" si="7"/>
        <v>0.45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67" priority="1">
      <formula>$AA$2="+"</formula>
    </cfRule>
    <cfRule type="expression" dxfId="66" priority="2">
      <formula>$M$3=$N$3</formula>
    </cfRule>
  </conditionalFormatting>
  <conditionalFormatting sqref="S3">
    <cfRule type="expression" dxfId="65" priority="3">
      <formula>$AA$2="+"</formula>
    </cfRule>
  </conditionalFormatting>
  <conditionalFormatting sqref="AA2">
    <cfRule type="expression" dxfId="64" priority="6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ED6D-15FE-46C0-B0C3-FBB1CB961A40}">
  <dimension ref="A1:AA42"/>
  <sheetViews>
    <sheetView workbookViewId="0">
      <selection activeCell="B12" sqref="B1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73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72</v>
      </c>
      <c r="D2" s="11">
        <v>46142</v>
      </c>
      <c r="E2" s="5">
        <v>0</v>
      </c>
      <c r="F2" s="5">
        <v>1.18</v>
      </c>
      <c r="G2" s="5">
        <v>0</v>
      </c>
      <c r="H2" s="5">
        <v>1.18</v>
      </c>
      <c r="I2" s="5">
        <v>0</v>
      </c>
      <c r="J2" s="11">
        <v>46142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46101</v>
      </c>
      <c r="Z2" s="3">
        <f>B11*-1</f>
        <v>-135.69999999999999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46101</v>
      </c>
      <c r="D3" s="11">
        <v>46173</v>
      </c>
      <c r="E3" s="5">
        <v>0</v>
      </c>
      <c r="F3" s="5">
        <v>1.05</v>
      </c>
      <c r="G3" s="5">
        <v>0</v>
      </c>
      <c r="H3" s="5">
        <v>1.05</v>
      </c>
      <c r="I3" s="5">
        <v>0</v>
      </c>
      <c r="J3" s="11">
        <v>46174</v>
      </c>
      <c r="K3" s="10">
        <f t="shared" ref="K3:K41" si="0">IF(J3&gt;0,J3-D3,"")</f>
        <v>1</v>
      </c>
      <c r="M3" s="5">
        <f>B11</f>
        <v>135.69999999999999</v>
      </c>
      <c r="N3" s="5">
        <f>G42</f>
        <v>48.959999999999994</v>
      </c>
      <c r="O3" s="5">
        <f>F42</f>
        <v>13.280000000000001</v>
      </c>
      <c r="P3" s="5">
        <f>H42+I42</f>
        <v>6.11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46142</v>
      </c>
      <c r="Z3" s="5">
        <f>G2+H2+I2</f>
        <v>1.18</v>
      </c>
    </row>
    <row r="4" spans="1:27" x14ac:dyDescent="0.25">
      <c r="A4" s="8" t="s">
        <v>15</v>
      </c>
      <c r="B4" s="11">
        <v>46107</v>
      </c>
      <c r="D4" s="11">
        <v>46203</v>
      </c>
      <c r="E4" s="5">
        <v>0</v>
      </c>
      <c r="F4" s="5">
        <v>1.01</v>
      </c>
      <c r="G4" s="5">
        <v>0</v>
      </c>
      <c r="H4" s="5">
        <v>1.01</v>
      </c>
      <c r="I4" s="5">
        <v>0</v>
      </c>
      <c r="J4" s="11">
        <v>46203</v>
      </c>
      <c r="K4" s="10">
        <f t="shared" si="0"/>
        <v>0</v>
      </c>
      <c r="Y4" s="11">
        <f t="shared" ref="Y4:Y13" si="1">J3</f>
        <v>46174</v>
      </c>
      <c r="Z4" s="5">
        <f t="shared" ref="Z4:Z13" si="2">G3+H3+I3</f>
        <v>1.05</v>
      </c>
    </row>
    <row r="5" spans="1:27" x14ac:dyDescent="0.25">
      <c r="A5" s="8" t="s">
        <v>4</v>
      </c>
      <c r="B5" s="3" t="s">
        <v>21</v>
      </c>
      <c r="D5" s="11">
        <v>46234</v>
      </c>
      <c r="E5" s="5">
        <v>0</v>
      </c>
      <c r="F5" s="5">
        <v>1.05</v>
      </c>
      <c r="G5" s="5">
        <v>0</v>
      </c>
      <c r="H5" s="5">
        <v>1.05</v>
      </c>
      <c r="I5" s="5">
        <v>0</v>
      </c>
      <c r="J5" s="11">
        <v>46234</v>
      </c>
      <c r="K5" s="10">
        <f t="shared" si="0"/>
        <v>0</v>
      </c>
      <c r="Y5" s="11">
        <f t="shared" si="1"/>
        <v>46203</v>
      </c>
      <c r="Z5" s="5">
        <f t="shared" si="2"/>
        <v>1.01</v>
      </c>
    </row>
    <row r="6" spans="1:27" x14ac:dyDescent="0.25">
      <c r="A6" s="8" t="s">
        <v>18</v>
      </c>
      <c r="B6" s="4">
        <v>0.71</v>
      </c>
      <c r="D6" s="11">
        <v>46265</v>
      </c>
      <c r="E6" s="5">
        <v>0</v>
      </c>
      <c r="F6" s="5">
        <v>1.05</v>
      </c>
      <c r="G6" s="5">
        <v>0</v>
      </c>
      <c r="H6" s="5">
        <v>1.05</v>
      </c>
      <c r="I6" s="5">
        <v>0</v>
      </c>
      <c r="J6" s="11">
        <v>46266</v>
      </c>
      <c r="K6" s="10">
        <f t="shared" si="0"/>
        <v>1</v>
      </c>
      <c r="Y6" s="11">
        <f t="shared" si="1"/>
        <v>46234</v>
      </c>
      <c r="Z6" s="5">
        <f t="shared" si="2"/>
        <v>1.05</v>
      </c>
    </row>
    <row r="7" spans="1:27" x14ac:dyDescent="0.25">
      <c r="A7" s="8" t="s">
        <v>19</v>
      </c>
      <c r="B7" s="4">
        <v>0.71</v>
      </c>
      <c r="D7" s="11">
        <v>46280</v>
      </c>
      <c r="E7" s="5">
        <v>0</v>
      </c>
      <c r="F7" s="5">
        <v>0</v>
      </c>
      <c r="G7" s="5">
        <v>48.48</v>
      </c>
      <c r="H7" s="5">
        <v>0.12</v>
      </c>
      <c r="I7" s="5">
        <v>0</v>
      </c>
      <c r="J7" s="11">
        <v>46280</v>
      </c>
      <c r="K7" s="10">
        <f t="shared" si="0"/>
        <v>0</v>
      </c>
      <c r="Y7" s="11">
        <f t="shared" si="1"/>
        <v>46266</v>
      </c>
      <c r="Z7" s="5">
        <f t="shared" si="2"/>
        <v>1.05</v>
      </c>
    </row>
    <row r="8" spans="1:27" x14ac:dyDescent="0.25">
      <c r="A8" s="8" t="s">
        <v>6</v>
      </c>
      <c r="B8" s="3">
        <v>12</v>
      </c>
      <c r="D8" s="11">
        <v>46283</v>
      </c>
      <c r="E8" s="5">
        <v>0</v>
      </c>
      <c r="F8" s="3">
        <v>1.01</v>
      </c>
      <c r="G8" s="3">
        <v>0.48</v>
      </c>
      <c r="H8" s="5">
        <v>0</v>
      </c>
      <c r="I8" s="5">
        <v>0</v>
      </c>
      <c r="J8" s="11">
        <v>46283</v>
      </c>
      <c r="K8" s="10">
        <f t="shared" si="0"/>
        <v>0</v>
      </c>
      <c r="Y8" s="11">
        <f t="shared" si="1"/>
        <v>46280</v>
      </c>
      <c r="Z8" s="5">
        <f t="shared" si="2"/>
        <v>48.599999999999994</v>
      </c>
    </row>
    <row r="9" spans="1:27" x14ac:dyDescent="0.25">
      <c r="A9" s="8" t="s">
        <v>7</v>
      </c>
      <c r="B9" s="3" t="s">
        <v>74</v>
      </c>
      <c r="D9" s="11">
        <v>46295</v>
      </c>
      <c r="E9" s="5">
        <v>0</v>
      </c>
      <c r="F9" s="30">
        <v>1.01</v>
      </c>
      <c r="G9" s="5">
        <v>0</v>
      </c>
      <c r="H9" s="5">
        <v>0.65</v>
      </c>
      <c r="I9" s="5">
        <v>0</v>
      </c>
      <c r="J9" s="11">
        <v>46294</v>
      </c>
      <c r="K9" s="10">
        <f t="shared" si="0"/>
        <v>-1</v>
      </c>
      <c r="Y9" s="11">
        <f t="shared" si="1"/>
        <v>46283</v>
      </c>
      <c r="Z9" s="5">
        <f t="shared" si="2"/>
        <v>0.48</v>
      </c>
    </row>
    <row r="10" spans="1:27" x14ac:dyDescent="0.25">
      <c r="A10" s="8" t="s">
        <v>9</v>
      </c>
      <c r="B10" s="6">
        <v>9.5000000000000001E-2</v>
      </c>
      <c r="D10" s="11">
        <v>46326</v>
      </c>
      <c r="E10" s="5">
        <v>0</v>
      </c>
      <c r="F10" s="30">
        <v>1.05</v>
      </c>
      <c r="G10" s="5"/>
      <c r="H10" s="5"/>
      <c r="I10" s="5"/>
      <c r="J10" s="11"/>
      <c r="K10" s="10" t="str">
        <f t="shared" si="0"/>
        <v/>
      </c>
      <c r="Y10" s="11">
        <f t="shared" si="1"/>
        <v>46294</v>
      </c>
      <c r="Z10" s="5">
        <f t="shared" si="2"/>
        <v>0.65</v>
      </c>
    </row>
    <row r="11" spans="1:27" x14ac:dyDescent="0.25">
      <c r="A11" s="8" t="s">
        <v>95</v>
      </c>
      <c r="B11" s="5">
        <v>135.69999999999999</v>
      </c>
      <c r="D11" s="11">
        <v>46356</v>
      </c>
      <c r="E11" s="5">
        <v>0</v>
      </c>
      <c r="F11" s="30">
        <v>1.01</v>
      </c>
      <c r="G11" s="5"/>
      <c r="H11" s="5"/>
      <c r="I11" s="5"/>
      <c r="J11" s="11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46470</v>
      </c>
      <c r="D12" s="11">
        <v>46387</v>
      </c>
      <c r="E12" s="5">
        <v>0</v>
      </c>
      <c r="F12" s="30">
        <v>1.05</v>
      </c>
      <c r="G12" s="5"/>
      <c r="H12" s="5"/>
      <c r="I12" s="5"/>
      <c r="J12" s="11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175</v>
      </c>
      <c r="D13" s="11">
        <v>46418</v>
      </c>
      <c r="E13" s="5">
        <v>0</v>
      </c>
      <c r="F13" s="30">
        <v>1.05</v>
      </c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11">
        <v>46446</v>
      </c>
      <c r="E14" s="5">
        <v>0</v>
      </c>
      <c r="F14" s="31">
        <v>0.95</v>
      </c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 t="str">
        <f>IF(M3=N3,B14-B12,"")</f>
        <v/>
      </c>
      <c r="D15" s="11">
        <v>46470</v>
      </c>
      <c r="E15" s="5">
        <v>135.69999999999999</v>
      </c>
      <c r="F15" s="31">
        <v>0.81</v>
      </c>
      <c r="G15" s="5"/>
      <c r="H15" s="5"/>
      <c r="I15" s="5"/>
      <c r="J15" s="3"/>
      <c r="K15" s="10" t="str">
        <f t="shared" si="0"/>
        <v/>
      </c>
      <c r="Y15" s="11">
        <f t="shared" ref="Y15:Y40" si="5">J14</f>
        <v>0</v>
      </c>
      <c r="Z15" s="5">
        <f t="shared" ref="Z15:Z40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ref="Y41" si="7">J40</f>
        <v>0</v>
      </c>
      <c r="Z41" s="5">
        <f t="shared" ref="Z41" si="8">G40+H40+I40</f>
        <v>0</v>
      </c>
    </row>
    <row r="42" spans="4:26" x14ac:dyDescent="0.25">
      <c r="D42" s="7" t="s">
        <v>14</v>
      </c>
      <c r="E42" s="5">
        <f>SUM(E2:E41)</f>
        <v>135.69999999999999</v>
      </c>
      <c r="F42" s="5">
        <f t="shared" ref="F42:I42" si="9">SUM(F2:F41)</f>
        <v>13.280000000000001</v>
      </c>
      <c r="G42" s="5">
        <f t="shared" si="9"/>
        <v>48.959999999999994</v>
      </c>
      <c r="H42" s="5">
        <f t="shared" si="9"/>
        <v>6.11</v>
      </c>
      <c r="I42" s="5">
        <f t="shared" si="9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63" priority="1">
      <formula>$AA$2="+"</formula>
    </cfRule>
    <cfRule type="expression" dxfId="62" priority="2">
      <formula>$M$3=$N$3</formula>
    </cfRule>
  </conditionalFormatting>
  <conditionalFormatting sqref="S3">
    <cfRule type="expression" dxfId="61" priority="3">
      <formula>$AA$2="+"</formula>
    </cfRule>
  </conditionalFormatting>
  <conditionalFormatting sqref="AA2">
    <cfRule type="expression" dxfId="60" priority="6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2"/>
  <sheetViews>
    <sheetView workbookViewId="0">
      <selection activeCell="K3" sqref="K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5" max="27" width="10.7109375" customWidth="1"/>
  </cols>
  <sheetData>
    <row r="1" spans="1:27" x14ac:dyDescent="0.25">
      <c r="A1" s="8" t="s">
        <v>0</v>
      </c>
      <c r="B1" s="3" t="s">
        <v>62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63</v>
      </c>
      <c r="D2" s="11">
        <v>46173</v>
      </c>
      <c r="E2" s="5">
        <v>0</v>
      </c>
      <c r="F2" s="5">
        <v>2.4</v>
      </c>
      <c r="G2" s="5">
        <v>0</v>
      </c>
      <c r="H2" s="5">
        <v>2.4</v>
      </c>
      <c r="I2" s="5">
        <v>0</v>
      </c>
      <c r="J2" s="11">
        <v>46174</v>
      </c>
      <c r="K2" s="10">
        <f>IF(J2&gt;0,J2-D2,"")</f>
        <v>1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46073</v>
      </c>
      <c r="Z2" s="3">
        <f>B11*-1</f>
        <v>-101.5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46073</v>
      </c>
      <c r="D3" s="11">
        <v>46265</v>
      </c>
      <c r="E3" s="5">
        <v>0</v>
      </c>
      <c r="F3" s="5">
        <v>2.2999999999999998</v>
      </c>
      <c r="G3" s="5">
        <v>0</v>
      </c>
      <c r="H3" s="5">
        <v>2.2999999999999998</v>
      </c>
      <c r="I3" s="5">
        <v>0</v>
      </c>
      <c r="J3" s="11">
        <v>46266</v>
      </c>
      <c r="K3" s="10">
        <f t="shared" ref="K3:K41" si="0">IF(J3&gt;0,J3-D3,"")</f>
        <v>1</v>
      </c>
      <c r="M3" s="5">
        <f>B11</f>
        <v>101.5</v>
      </c>
      <c r="N3" s="5">
        <f>G42</f>
        <v>0</v>
      </c>
      <c r="O3" s="5">
        <f>F42</f>
        <v>9.0799999999999983</v>
      </c>
      <c r="P3" s="5">
        <f>H42+I42</f>
        <v>4.6999999999999993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46174</v>
      </c>
      <c r="Z3" s="5">
        <f>G2+H2+I2</f>
        <v>2.4</v>
      </c>
    </row>
    <row r="4" spans="1:27" x14ac:dyDescent="0.25">
      <c r="A4" s="8" t="s">
        <v>15</v>
      </c>
      <c r="B4" s="11">
        <v>46076</v>
      </c>
      <c r="D4" s="11">
        <v>46356</v>
      </c>
      <c r="E4" s="5">
        <v>0</v>
      </c>
      <c r="F4" s="5">
        <v>2.2799999999999998</v>
      </c>
      <c r="G4" s="5"/>
      <c r="H4" s="5"/>
      <c r="I4" s="5"/>
      <c r="J4" s="11"/>
      <c r="K4" s="10" t="str">
        <f t="shared" si="0"/>
        <v/>
      </c>
      <c r="Y4" s="11">
        <f t="shared" ref="Y4:Y13" si="1">J3</f>
        <v>46266</v>
      </c>
      <c r="Z4" s="5">
        <f t="shared" ref="Z4:Z13" si="2">G3+H3+I3</f>
        <v>2.2999999999999998</v>
      </c>
    </row>
    <row r="5" spans="1:27" x14ac:dyDescent="0.25">
      <c r="A5" s="8" t="s">
        <v>4</v>
      </c>
      <c r="B5" s="3" t="s">
        <v>64</v>
      </c>
      <c r="D5" s="11">
        <v>46440</v>
      </c>
      <c r="E5" s="5">
        <v>101.5</v>
      </c>
      <c r="F5" s="5">
        <v>2.1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0.6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0.75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0.09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101.5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46440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145</v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5">J14</f>
        <v>0</v>
      </c>
      <c r="Z15" s="5">
        <f t="shared" ref="Z15:Z41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5"/>
        <v>0</v>
      </c>
      <c r="Z41" s="5">
        <f t="shared" si="6"/>
        <v>0</v>
      </c>
    </row>
    <row r="42" spans="4:26" x14ac:dyDescent="0.25">
      <c r="D42" s="7" t="s">
        <v>14</v>
      </c>
      <c r="E42" s="5">
        <f>SUM(E2:E41)</f>
        <v>101.5</v>
      </c>
      <c r="F42" s="5">
        <f t="shared" ref="F42:I42" si="7">SUM(F2:F41)</f>
        <v>9.0799999999999983</v>
      </c>
      <c r="G42" s="5">
        <f t="shared" si="7"/>
        <v>0</v>
      </c>
      <c r="H42" s="5">
        <f t="shared" si="7"/>
        <v>4.6999999999999993</v>
      </c>
      <c r="I42" s="5">
        <f t="shared" si="7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9" priority="1">
      <formula>$AA$2="+"</formula>
    </cfRule>
    <cfRule type="expression" dxfId="58" priority="2">
      <formula>$M$3=$N$3</formula>
    </cfRule>
  </conditionalFormatting>
  <conditionalFormatting sqref="S3">
    <cfRule type="expression" dxfId="57" priority="7">
      <formula>$AA$2="+"</formula>
    </cfRule>
  </conditionalFormatting>
  <conditionalFormatting sqref="AA2">
    <cfRule type="expression" dxfId="56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2"/>
  <sheetViews>
    <sheetView workbookViewId="0">
      <selection activeCell="J4" sqref="J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94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60</v>
      </c>
      <c r="D2" s="11">
        <v>46173</v>
      </c>
      <c r="E2" s="5">
        <v>0</v>
      </c>
      <c r="F2" s="5">
        <v>2.98</v>
      </c>
      <c r="G2" s="5">
        <v>0</v>
      </c>
      <c r="H2" s="5">
        <v>2.98</v>
      </c>
      <c r="I2" s="5">
        <v>0.03</v>
      </c>
      <c r="J2" s="11">
        <v>46178</v>
      </c>
      <c r="K2" s="10">
        <f>IF(J2&gt;0,J2-D2,"")</f>
        <v>5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46059</v>
      </c>
      <c r="Z2" s="3">
        <f>B11*-1</f>
        <v>-102.9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46059</v>
      </c>
      <c r="D3" s="11">
        <v>46265</v>
      </c>
      <c r="E3" s="5">
        <v>0</v>
      </c>
      <c r="F3" s="5">
        <v>2.4900000000000002</v>
      </c>
      <c r="G3" s="5">
        <v>0</v>
      </c>
      <c r="H3" s="5">
        <v>2.4900000000000002</v>
      </c>
      <c r="I3" s="5">
        <v>0</v>
      </c>
      <c r="J3" s="11">
        <v>46268</v>
      </c>
      <c r="K3" s="10">
        <f t="shared" ref="K3:K41" si="0">IF(J3&gt;0,J3-D3,"")</f>
        <v>3</v>
      </c>
      <c r="M3" s="5">
        <f>B11</f>
        <v>102.9</v>
      </c>
      <c r="N3" s="5">
        <f>G42</f>
        <v>0</v>
      </c>
      <c r="O3" s="5">
        <f>F42</f>
        <v>9.82</v>
      </c>
      <c r="P3" s="5">
        <f>H42+I42</f>
        <v>5.5000000000000009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46178</v>
      </c>
      <c r="Z3" s="5">
        <f>G2+H2+I2</f>
        <v>3.01</v>
      </c>
    </row>
    <row r="4" spans="1:27" x14ac:dyDescent="0.25">
      <c r="A4" s="8" t="s">
        <v>15</v>
      </c>
      <c r="B4" s="11">
        <v>46062</v>
      </c>
      <c r="D4" s="11">
        <v>46356</v>
      </c>
      <c r="E4" s="5">
        <v>0</v>
      </c>
      <c r="F4" s="5">
        <v>2.46</v>
      </c>
      <c r="G4" s="5"/>
      <c r="H4" s="5"/>
      <c r="I4" s="5"/>
      <c r="J4" s="11"/>
      <c r="K4" s="10" t="str">
        <f t="shared" si="0"/>
        <v/>
      </c>
      <c r="Y4" s="11">
        <f t="shared" ref="Y4:Y13" si="1">J3</f>
        <v>46268</v>
      </c>
      <c r="Z4" s="5">
        <f t="shared" ref="Z4:Z13" si="2">G3+H3+I3</f>
        <v>2.4900000000000002</v>
      </c>
    </row>
    <row r="5" spans="1:27" x14ac:dyDescent="0.25">
      <c r="A5" s="8" t="s">
        <v>4</v>
      </c>
      <c r="B5" s="3" t="s">
        <v>61</v>
      </c>
      <c r="D5" s="11">
        <v>46426</v>
      </c>
      <c r="E5" s="5">
        <v>102.9</v>
      </c>
      <c r="F5" s="5">
        <v>1.89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0.43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0.75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9.6000000000000002E-2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102.9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46426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131</v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5">J14</f>
        <v>0</v>
      </c>
      <c r="Z15" s="5">
        <f t="shared" ref="Z15:Z41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5"/>
        <v>0</v>
      </c>
      <c r="Z41" s="5">
        <f t="shared" si="6"/>
        <v>0</v>
      </c>
    </row>
    <row r="42" spans="4:26" x14ac:dyDescent="0.25">
      <c r="D42" s="7" t="s">
        <v>14</v>
      </c>
      <c r="E42" s="5">
        <f>SUM(E2:E41)</f>
        <v>102.9</v>
      </c>
      <c r="F42" s="5">
        <f t="shared" ref="F42:I42" si="7">SUM(F2:F41)</f>
        <v>9.82</v>
      </c>
      <c r="G42" s="5">
        <f t="shared" si="7"/>
        <v>0</v>
      </c>
      <c r="H42" s="5">
        <f t="shared" si="7"/>
        <v>5.4700000000000006</v>
      </c>
      <c r="I42" s="5">
        <f t="shared" si="7"/>
        <v>0.03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5" priority="1">
      <formula>$M$3=$N$3</formula>
    </cfRule>
    <cfRule type="expression" dxfId="54" priority="2">
      <formula>$AA$2="+"</formula>
    </cfRule>
  </conditionalFormatting>
  <conditionalFormatting sqref="S3">
    <cfRule type="expression" dxfId="53" priority="4">
      <formula>$AA$2="+"</formula>
    </cfRule>
  </conditionalFormatting>
  <conditionalFormatting sqref="AA2">
    <cfRule type="expression" dxfId="52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59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57</v>
      </c>
      <c r="D2" s="11">
        <v>46142</v>
      </c>
      <c r="E2" s="5">
        <v>0</v>
      </c>
      <c r="F2" s="5">
        <v>2.44</v>
      </c>
      <c r="G2" s="5">
        <v>0</v>
      </c>
      <c r="H2" s="5">
        <v>2.44</v>
      </c>
      <c r="I2" s="5">
        <v>0</v>
      </c>
      <c r="J2" s="11">
        <v>46142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46028</v>
      </c>
      <c r="Z2" s="3">
        <f>B11*-1</f>
        <v>-104.1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46028</v>
      </c>
      <c r="D3" s="11">
        <v>46234</v>
      </c>
      <c r="E3" s="5">
        <v>0</v>
      </c>
      <c r="F3" s="5">
        <v>2.1</v>
      </c>
      <c r="G3" s="5">
        <v>0</v>
      </c>
      <c r="H3" s="5">
        <v>2.1</v>
      </c>
      <c r="I3" s="5">
        <v>0</v>
      </c>
      <c r="J3" s="11">
        <v>46234</v>
      </c>
      <c r="K3" s="10">
        <f t="shared" ref="K3:K41" si="0">IF(J3&gt;0,J3-D3,"")</f>
        <v>0</v>
      </c>
      <c r="M3" s="5">
        <f>B11</f>
        <v>104.1</v>
      </c>
      <c r="N3" s="5">
        <f>G42</f>
        <v>0</v>
      </c>
      <c r="O3" s="5">
        <f>F42</f>
        <v>8.2800000000000011</v>
      </c>
      <c r="P3" s="5">
        <f>H42+I42</f>
        <v>4.54</v>
      </c>
      <c r="Q3" s="13" t="str">
        <f>IF(M3=N3,XIRR(Z2:Z41,Y2:Y41),"")</f>
        <v/>
      </c>
      <c r="R3" s="11" t="str">
        <f>IF(M3=N3,B14,"")</f>
        <v/>
      </c>
      <c r="S3" s="3" t="str">
        <f ca="1">IF(COUNTIFS(D:D,"&lt;"&amp;TODAY(),J:J,"")=0,"",TODAY()-_xlfn.MINIFS(D:D,D:D,"&lt;"&amp;TODAY(),J:J,""))</f>
        <v/>
      </c>
      <c r="Y3" s="11">
        <f>J2</f>
        <v>46142</v>
      </c>
      <c r="Z3" s="5">
        <f>G2+H2+I2</f>
        <v>2.44</v>
      </c>
    </row>
    <row r="4" spans="1:27" x14ac:dyDescent="0.25">
      <c r="A4" s="8" t="s">
        <v>15</v>
      </c>
      <c r="B4" s="11">
        <v>46034</v>
      </c>
      <c r="D4" s="11">
        <v>46326</v>
      </c>
      <c r="E4" s="5">
        <v>0</v>
      </c>
      <c r="F4" s="5">
        <v>2.1</v>
      </c>
      <c r="G4" s="5"/>
      <c r="H4" s="5"/>
      <c r="I4" s="5"/>
      <c r="J4" s="11"/>
      <c r="K4" s="10" t="str">
        <f t="shared" si="0"/>
        <v/>
      </c>
      <c r="Y4" s="11">
        <f t="shared" ref="Y4:Y13" si="1">J3</f>
        <v>46234</v>
      </c>
      <c r="Z4" s="5">
        <f t="shared" ref="Z4:Z13" si="2">G3+H3+I3</f>
        <v>2.1</v>
      </c>
    </row>
    <row r="5" spans="1:27" x14ac:dyDescent="0.25">
      <c r="A5" s="8" t="s">
        <v>4</v>
      </c>
      <c r="B5" s="3" t="s">
        <v>58</v>
      </c>
      <c r="D5" s="11">
        <v>46398</v>
      </c>
      <c r="E5" s="5">
        <v>104.1</v>
      </c>
      <c r="F5" s="5">
        <v>1.64</v>
      </c>
      <c r="G5" s="5"/>
      <c r="H5" s="5"/>
      <c r="I5" s="3"/>
      <c r="J5" s="11"/>
      <c r="K5" s="10" t="str">
        <f t="shared" si="0"/>
        <v/>
      </c>
      <c r="Y5" s="11">
        <f t="shared" si="1"/>
        <v>0</v>
      </c>
      <c r="Z5" s="5">
        <f t="shared" si="2"/>
        <v>0</v>
      </c>
    </row>
    <row r="6" spans="1:27" x14ac:dyDescent="0.25">
      <c r="A6" s="8" t="s">
        <v>18</v>
      </c>
      <c r="B6" s="4">
        <v>0.55000000000000004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0</v>
      </c>
      <c r="Z6" s="5">
        <f t="shared" si="2"/>
        <v>0</v>
      </c>
    </row>
    <row r="7" spans="1:27" x14ac:dyDescent="0.25">
      <c r="A7" s="8" t="s">
        <v>19</v>
      </c>
      <c r="B7" s="4">
        <v>0.6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0.08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35</v>
      </c>
      <c r="B11" s="5">
        <v>104.1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46398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>
        <f ca="1">IF(B11&lt;&gt;N3,(TODAY()-B12)*-1,"")</f>
        <v>103</v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/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5">J14</f>
        <v>0</v>
      </c>
      <c r="Z15" s="5">
        <f t="shared" ref="Z15:Z41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5"/>
        <v>0</v>
      </c>
      <c r="Z41" s="5">
        <f t="shared" si="6"/>
        <v>0</v>
      </c>
    </row>
    <row r="42" spans="4:26" x14ac:dyDescent="0.25">
      <c r="D42" s="7" t="s">
        <v>14</v>
      </c>
      <c r="E42" s="5">
        <f>SUM(E2:E41)</f>
        <v>104.1</v>
      </c>
      <c r="F42" s="5">
        <f t="shared" ref="F42:I42" si="7">SUM(F2:F41)</f>
        <v>8.2800000000000011</v>
      </c>
      <c r="G42" s="5">
        <f t="shared" si="7"/>
        <v>0</v>
      </c>
      <c r="H42" s="5">
        <f t="shared" si="7"/>
        <v>4.54</v>
      </c>
      <c r="I42" s="5">
        <f t="shared" si="7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1" priority="14">
      <formula>$M$3=$N$3</formula>
    </cfRule>
    <cfRule type="expression" dxfId="50" priority="15">
      <formula>$AA$2="+"</formula>
    </cfRule>
  </conditionalFormatting>
  <conditionalFormatting sqref="S3">
    <cfRule type="expression" dxfId="49" priority="4">
      <formula>$AA$2="+"</formula>
    </cfRule>
  </conditionalFormatting>
  <conditionalFormatting sqref="AA2">
    <cfRule type="expression" dxfId="48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27" width="10.7109375" customWidth="1"/>
  </cols>
  <sheetData>
    <row r="1" spans="1:27" x14ac:dyDescent="0.25">
      <c r="A1" s="8" t="s">
        <v>0</v>
      </c>
      <c r="B1" s="3" t="s">
        <v>56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55</v>
      </c>
      <c r="D2" s="11">
        <v>46112</v>
      </c>
      <c r="E2" s="5">
        <v>0</v>
      </c>
      <c r="F2" s="5">
        <v>3.1</v>
      </c>
      <c r="G2" s="5">
        <v>0</v>
      </c>
      <c r="H2" s="5">
        <v>3.1</v>
      </c>
      <c r="I2" s="5">
        <v>0</v>
      </c>
      <c r="J2" s="11">
        <v>46112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46003</v>
      </c>
      <c r="Z2" s="3">
        <f>B11*-1</f>
        <v>-116.3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46003</v>
      </c>
      <c r="D3" s="11">
        <v>46203</v>
      </c>
      <c r="E3" s="5">
        <v>0</v>
      </c>
      <c r="F3" s="5">
        <v>2.61</v>
      </c>
      <c r="G3" s="5">
        <v>0</v>
      </c>
      <c r="H3" s="5">
        <v>2.61</v>
      </c>
      <c r="I3" s="5">
        <v>0</v>
      </c>
      <c r="J3" s="11">
        <v>46203</v>
      </c>
      <c r="K3" s="10">
        <f t="shared" ref="K3:K41" si="0">IF(J3&gt;0,J3-D3,"")</f>
        <v>0</v>
      </c>
      <c r="M3" s="5">
        <f>B11</f>
        <v>116.3</v>
      </c>
      <c r="N3" s="5">
        <f>G42</f>
        <v>116.3</v>
      </c>
      <c r="O3" s="5">
        <f>F42</f>
        <v>10.41</v>
      </c>
      <c r="P3" s="5">
        <f>H42+I42</f>
        <v>7.55</v>
      </c>
      <c r="Q3" s="13">
        <f>IF(M3=N3,XIRR(Z2:Z41,Y2:Y41),"")</f>
        <v>9.1050735116004949E-2</v>
      </c>
      <c r="R3" s="28">
        <f>IF(M3=N3,B14,"")</f>
        <v>46272</v>
      </c>
      <c r="S3" s="3" t="str">
        <f ca="1">IF(COUNTIFS(D:D,"&lt;"&amp;TODAY(),J:J,"")=0,"",TODAY()-_xlfn.MINIFS(D:D,D:D,"&lt;"&amp;TODAY(),J:J,""))</f>
        <v/>
      </c>
      <c r="Y3" s="11">
        <f>J2</f>
        <v>46112</v>
      </c>
      <c r="Z3" s="5">
        <f>G2+H2+I2</f>
        <v>3.1</v>
      </c>
    </row>
    <row r="4" spans="1:27" x14ac:dyDescent="0.25">
      <c r="A4" s="8" t="s">
        <v>15</v>
      </c>
      <c r="B4" s="11">
        <v>46003</v>
      </c>
      <c r="D4" s="11">
        <v>46295</v>
      </c>
      <c r="E4" s="5">
        <v>0</v>
      </c>
      <c r="F4" s="5">
        <v>2.64</v>
      </c>
      <c r="G4" s="5">
        <v>0</v>
      </c>
      <c r="H4" s="5">
        <v>0</v>
      </c>
      <c r="I4" s="5">
        <v>0</v>
      </c>
      <c r="J4" s="11">
        <v>46272</v>
      </c>
      <c r="K4" s="10">
        <f t="shared" si="0"/>
        <v>-23</v>
      </c>
      <c r="Y4" s="11">
        <f t="shared" ref="Y4:Y13" si="1">J3</f>
        <v>46203</v>
      </c>
      <c r="Z4" s="5">
        <f t="shared" ref="Z4:Z13" si="2">G3+H3+I3</f>
        <v>2.61</v>
      </c>
    </row>
    <row r="5" spans="1:27" x14ac:dyDescent="0.25">
      <c r="A5" s="8" t="s">
        <v>4</v>
      </c>
      <c r="B5" s="3" t="s">
        <v>5</v>
      </c>
      <c r="D5" s="11">
        <v>46367</v>
      </c>
      <c r="E5" s="5">
        <v>116.3</v>
      </c>
      <c r="F5" s="5">
        <v>2.06</v>
      </c>
      <c r="G5" s="5">
        <v>116.3</v>
      </c>
      <c r="H5" s="5">
        <v>1.84</v>
      </c>
      <c r="I5" s="5">
        <v>0</v>
      </c>
      <c r="J5" s="11">
        <v>46272</v>
      </c>
      <c r="K5" s="10">
        <f t="shared" si="0"/>
        <v>-95</v>
      </c>
      <c r="Y5" s="11">
        <f t="shared" si="1"/>
        <v>46272</v>
      </c>
      <c r="Z5" s="5">
        <f t="shared" si="2"/>
        <v>0</v>
      </c>
    </row>
    <row r="6" spans="1:27" x14ac:dyDescent="0.25">
      <c r="A6" s="8" t="s">
        <v>18</v>
      </c>
      <c r="B6" s="4">
        <v>0.72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46272</v>
      </c>
      <c r="Z6" s="5">
        <f t="shared" si="2"/>
        <v>118.14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0.09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116.3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46367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46272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>
        <f>IF(M3=N3,B14-B12,"")</f>
        <v>-95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5">J14</f>
        <v>0</v>
      </c>
      <c r="Z15" s="5">
        <f t="shared" ref="Z15:Z41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5"/>
        <v>0</v>
      </c>
      <c r="Z41" s="5">
        <f t="shared" si="6"/>
        <v>0</v>
      </c>
    </row>
    <row r="42" spans="4:26" x14ac:dyDescent="0.25">
      <c r="D42" s="7" t="s">
        <v>14</v>
      </c>
      <c r="E42" s="5">
        <f>SUM(E2:E41)</f>
        <v>116.3</v>
      </c>
      <c r="F42" s="5">
        <f t="shared" ref="F42:I42" si="7">SUM(F2:F41)</f>
        <v>10.41</v>
      </c>
      <c r="G42" s="5">
        <f t="shared" si="7"/>
        <v>116.3</v>
      </c>
      <c r="H42" s="5">
        <f t="shared" si="7"/>
        <v>7.55</v>
      </c>
      <c r="I42" s="5">
        <f t="shared" si="7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47" priority="1">
      <formula>$M$3=$N$3</formula>
    </cfRule>
    <cfRule type="expression" dxfId="46" priority="2">
      <formula>$AA$2="+"</formula>
    </cfRule>
  </conditionalFormatting>
  <conditionalFormatting sqref="S3">
    <cfRule type="expression" dxfId="45" priority="4">
      <formula>$AA$2="+"</formula>
    </cfRule>
  </conditionalFormatting>
  <conditionalFormatting sqref="AA2">
    <cfRule type="expression" dxfId="44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2"/>
  <sheetViews>
    <sheetView workbookViewId="0">
      <selection activeCell="P24" sqref="P2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52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53</v>
      </c>
      <c r="D2" s="11">
        <v>46022</v>
      </c>
      <c r="E2" s="5">
        <v>0</v>
      </c>
      <c r="F2" s="5">
        <v>2.25</v>
      </c>
      <c r="G2" s="5">
        <v>0</v>
      </c>
      <c r="H2" s="5">
        <v>2.25</v>
      </c>
      <c r="I2" s="5">
        <v>0</v>
      </c>
      <c r="J2" s="11">
        <v>46028</v>
      </c>
      <c r="K2" s="10">
        <f>IF(J2&gt;0,J2-D2,"")</f>
        <v>6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45926</v>
      </c>
      <c r="Z2" s="3">
        <f>B11*-1</f>
        <v>-101.9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45926</v>
      </c>
      <c r="D3" s="11">
        <v>46112</v>
      </c>
      <c r="E3" s="5">
        <v>0</v>
      </c>
      <c r="F3" s="5">
        <v>2.14</v>
      </c>
      <c r="G3" s="5">
        <v>0</v>
      </c>
      <c r="H3" s="5">
        <v>2.14</v>
      </c>
      <c r="I3" s="5">
        <v>0</v>
      </c>
      <c r="J3" s="11">
        <v>46115</v>
      </c>
      <c r="K3" s="10">
        <f t="shared" ref="K3:K41" si="0">IF(J3&gt;0,J3-D3,"")</f>
        <v>3</v>
      </c>
      <c r="M3" s="5">
        <f>B11</f>
        <v>101.9</v>
      </c>
      <c r="N3" s="5">
        <f>G42</f>
        <v>101.9</v>
      </c>
      <c r="O3" s="5">
        <f>F42</f>
        <v>8.6100000000000012</v>
      </c>
      <c r="P3" s="5">
        <f>H42+I42</f>
        <v>8.6100000000000012</v>
      </c>
      <c r="Q3" s="13">
        <f>IF(M3=N3,XIRR(Z2:Z41,Y2:Y41),"")</f>
        <v>8.6675950884819039E-2</v>
      </c>
      <c r="R3" s="11">
        <f>IF(M3=N3,B14,"")</f>
        <v>46293</v>
      </c>
      <c r="S3" s="3" t="str">
        <f ca="1">IF(COUNTIFS(D:D,"&lt;"&amp;TODAY(),J:J,"")=0,"",TODAY()-_xlfn.MINIFS(D:D,D:D,"&lt;"&amp;TODAY(),J:J,""))</f>
        <v/>
      </c>
      <c r="Y3" s="11">
        <f>J2</f>
        <v>46028</v>
      </c>
      <c r="Z3" s="5">
        <f>G2+H2+I2</f>
        <v>2.25</v>
      </c>
    </row>
    <row r="4" spans="1:27" x14ac:dyDescent="0.25">
      <c r="A4" s="8" t="s">
        <v>15</v>
      </c>
      <c r="B4" s="11">
        <v>45926</v>
      </c>
      <c r="D4" s="11">
        <v>46203</v>
      </c>
      <c r="E4" s="5">
        <v>0</v>
      </c>
      <c r="F4" s="5">
        <v>2.16</v>
      </c>
      <c r="G4" s="5">
        <v>0</v>
      </c>
      <c r="H4" s="5">
        <v>2.16</v>
      </c>
      <c r="I4" s="5">
        <v>0</v>
      </c>
      <c r="J4" s="11">
        <v>46204</v>
      </c>
      <c r="K4" s="10">
        <f t="shared" si="0"/>
        <v>1</v>
      </c>
      <c r="Y4" s="11">
        <f t="shared" ref="Y4:Y13" si="1">J3</f>
        <v>46115</v>
      </c>
      <c r="Z4" s="5">
        <f t="shared" ref="Z4:Z13" si="2">G3+H3+I3</f>
        <v>2.14</v>
      </c>
    </row>
    <row r="5" spans="1:27" x14ac:dyDescent="0.25">
      <c r="A5" s="8" t="s">
        <v>4</v>
      </c>
      <c r="B5" s="3" t="s">
        <v>54</v>
      </c>
      <c r="D5" s="11">
        <v>46290</v>
      </c>
      <c r="E5" s="5">
        <v>101.9</v>
      </c>
      <c r="F5" s="5">
        <v>2.06</v>
      </c>
      <c r="G5" s="5">
        <v>101.9</v>
      </c>
      <c r="H5" s="5">
        <v>2.06</v>
      </c>
      <c r="I5" s="5">
        <v>0</v>
      </c>
      <c r="J5" s="11">
        <v>46293</v>
      </c>
      <c r="K5" s="10">
        <f t="shared" si="0"/>
        <v>3</v>
      </c>
      <c r="Y5" s="11">
        <f t="shared" si="1"/>
        <v>46204</v>
      </c>
      <c r="Z5" s="5">
        <f t="shared" si="2"/>
        <v>2.16</v>
      </c>
    </row>
    <row r="6" spans="1:27" x14ac:dyDescent="0.25">
      <c r="A6" s="8" t="s">
        <v>18</v>
      </c>
      <c r="B6" s="4">
        <v>0.6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46293</v>
      </c>
      <c r="Z6" s="5">
        <f t="shared" si="2"/>
        <v>103.96000000000001</v>
      </c>
    </row>
    <row r="7" spans="1:27" x14ac:dyDescent="0.25">
      <c r="A7" s="8" t="s">
        <v>19</v>
      </c>
      <c r="B7" s="4">
        <v>0.6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8.5000000000000006E-2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101.9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11">
        <v>46290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46293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ref="Y14" si="3">J13</f>
        <v>0</v>
      </c>
      <c r="Z14" s="5">
        <f t="shared" ref="Z14" si="4">G13+H13+I13</f>
        <v>0</v>
      </c>
    </row>
    <row r="15" spans="1:27" x14ac:dyDescent="0.25">
      <c r="A15" s="8" t="s">
        <v>92</v>
      </c>
      <c r="B15" s="3">
        <f>IF(M3=N3,B14-B12,"")</f>
        <v>3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5">J14</f>
        <v>0</v>
      </c>
      <c r="Z15" s="5">
        <f t="shared" ref="Z15:Z41" si="6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5"/>
        <v>0</v>
      </c>
      <c r="Z16" s="5">
        <f t="shared" si="6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5"/>
        <v>0</v>
      </c>
      <c r="Z17" s="5">
        <f t="shared" si="6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5"/>
        <v>0</v>
      </c>
      <c r="Z18" s="5">
        <f t="shared" si="6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5"/>
        <v>0</v>
      </c>
      <c r="Z19" s="5">
        <f t="shared" si="6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5"/>
        <v>0</v>
      </c>
      <c r="Z20" s="5">
        <f t="shared" si="6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5"/>
        <v>0</v>
      </c>
      <c r="Z21" s="5">
        <f t="shared" si="6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5"/>
        <v>0</v>
      </c>
      <c r="Z22" s="5">
        <f t="shared" si="6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5"/>
        <v>0</v>
      </c>
      <c r="Z23" s="5">
        <f t="shared" si="6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5"/>
        <v>0</v>
      </c>
      <c r="Z24" s="5">
        <f t="shared" si="6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5"/>
        <v>0</v>
      </c>
      <c r="Z25" s="5">
        <f t="shared" si="6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5"/>
        <v>0</v>
      </c>
      <c r="Z26" s="5">
        <f t="shared" si="6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5"/>
        <v>0</v>
      </c>
      <c r="Z27" s="5">
        <f t="shared" si="6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5"/>
        <v>0</v>
      </c>
      <c r="Z28" s="5">
        <f t="shared" si="6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5"/>
        <v>0</v>
      </c>
      <c r="Z29" s="5">
        <f t="shared" si="6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5"/>
        <v>0</v>
      </c>
      <c r="Z30" s="5">
        <f t="shared" si="6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5"/>
        <v>0</v>
      </c>
      <c r="Z31" s="5">
        <f t="shared" si="6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5"/>
        <v>0</v>
      </c>
      <c r="Z32" s="5">
        <f t="shared" si="6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5"/>
        <v>0</v>
      </c>
      <c r="Z33" s="5">
        <f t="shared" si="6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5"/>
        <v>0</v>
      </c>
      <c r="Z34" s="5">
        <f t="shared" si="6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5"/>
        <v>0</v>
      </c>
      <c r="Z35" s="5">
        <f t="shared" si="6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5"/>
        <v>0</v>
      </c>
      <c r="Z36" s="5">
        <f t="shared" si="6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5"/>
        <v>0</v>
      </c>
      <c r="Z37" s="5">
        <f t="shared" si="6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5"/>
        <v>0</v>
      </c>
      <c r="Z38" s="5">
        <f t="shared" si="6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5"/>
        <v>0</v>
      </c>
      <c r="Z39" s="5">
        <f t="shared" si="6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5"/>
        <v>0</v>
      </c>
      <c r="Z40" s="5">
        <f t="shared" si="6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5"/>
        <v>0</v>
      </c>
      <c r="Z41" s="5">
        <f t="shared" si="6"/>
        <v>0</v>
      </c>
    </row>
    <row r="42" spans="4:26" x14ac:dyDescent="0.25">
      <c r="D42" s="7" t="s">
        <v>14</v>
      </c>
      <c r="E42" s="5">
        <f>SUM(E2:E41)</f>
        <v>101.9</v>
      </c>
      <c r="F42" s="5">
        <f t="shared" ref="F42:I42" si="7">SUM(F2:F41)</f>
        <v>8.6100000000000012</v>
      </c>
      <c r="G42" s="5">
        <f t="shared" si="7"/>
        <v>101.9</v>
      </c>
      <c r="H42" s="5">
        <f t="shared" si="7"/>
        <v>8.6100000000000012</v>
      </c>
      <c r="I42" s="5">
        <f t="shared" si="7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43" priority="1">
      <formula>$M$3=$N$3</formula>
    </cfRule>
    <cfRule type="expression" dxfId="42" priority="2">
      <formula>$AA$2="+"</formula>
    </cfRule>
  </conditionalFormatting>
  <conditionalFormatting sqref="S3">
    <cfRule type="expression" dxfId="41" priority="4">
      <formula>$AA$2="+"</formula>
    </cfRule>
  </conditionalFormatting>
  <conditionalFormatting sqref="AA2">
    <cfRule type="expression" dxfId="40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A42"/>
  <sheetViews>
    <sheetView workbookViewId="0">
      <selection activeCell="I6" sqref="I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47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46</v>
      </c>
      <c r="D2" s="11">
        <v>46022</v>
      </c>
      <c r="E2" s="5">
        <v>0</v>
      </c>
      <c r="F2" s="5">
        <v>3.07</v>
      </c>
      <c r="G2" s="5">
        <v>0</v>
      </c>
      <c r="H2" s="5">
        <v>3.07</v>
      </c>
      <c r="I2" s="5">
        <v>0</v>
      </c>
      <c r="J2" s="11">
        <v>46024</v>
      </c>
      <c r="K2" s="10">
        <f>IF(J2&gt;0,J2-D2,"")</f>
        <v>2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45908</v>
      </c>
      <c r="Z2" s="3">
        <f>B11*-1</f>
        <v>-116.6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45908</v>
      </c>
      <c r="D3" s="11">
        <v>46112</v>
      </c>
      <c r="E3" s="5">
        <v>0</v>
      </c>
      <c r="F3" s="5">
        <v>2.44</v>
      </c>
      <c r="G3" s="5">
        <v>0</v>
      </c>
      <c r="H3" s="5">
        <v>2.44</v>
      </c>
      <c r="I3" s="5">
        <v>0.12</v>
      </c>
      <c r="J3" s="11">
        <v>46120</v>
      </c>
      <c r="K3" s="10">
        <f t="shared" ref="K3:K41" si="0">IF(J3&gt;0,J3-D3,"")</f>
        <v>8</v>
      </c>
      <c r="M3" s="5">
        <f>B11</f>
        <v>116.6</v>
      </c>
      <c r="N3" s="5">
        <f>G42</f>
        <v>116.6</v>
      </c>
      <c r="O3" s="5">
        <f>F42</f>
        <v>9.8500000000000014</v>
      </c>
      <c r="P3" s="5">
        <f>H42+I42</f>
        <v>10.280000000000001</v>
      </c>
      <c r="Q3" s="13">
        <f>IF(M3=N3,XIRR(Z2:Z41,Y2:Y41),"")</f>
        <v>8.9228001236915627E-2</v>
      </c>
      <c r="R3" s="11">
        <f>IF(M3=N3,B14,"")</f>
        <v>46280</v>
      </c>
      <c r="S3" s="3" t="str">
        <f ca="1">IF(COUNTIFS(D:D,"&lt;"&amp;TODAY(),J:J,"")=0,"",TODAY()-_xlfn.MINIFS(D:D,D:D,"&lt;"&amp;TODAY(),J:J,""))</f>
        <v/>
      </c>
      <c r="Y3" s="11">
        <f>J2</f>
        <v>46024</v>
      </c>
      <c r="Z3" s="5">
        <f>G2+H2+I2</f>
        <v>3.07</v>
      </c>
    </row>
    <row r="4" spans="1:27" x14ac:dyDescent="0.25">
      <c r="A4" s="8" t="s">
        <v>15</v>
      </c>
      <c r="B4" s="11">
        <v>45909</v>
      </c>
      <c r="D4" s="11">
        <v>46203</v>
      </c>
      <c r="E4" s="5">
        <v>0</v>
      </c>
      <c r="F4" s="5">
        <v>2.4700000000000002</v>
      </c>
      <c r="G4" s="5">
        <v>0</v>
      </c>
      <c r="H4" s="5">
        <v>2.4700000000000002</v>
      </c>
      <c r="I4" s="5">
        <v>0</v>
      </c>
      <c r="J4" s="11">
        <v>46203</v>
      </c>
      <c r="K4" s="10">
        <f t="shared" si="0"/>
        <v>0</v>
      </c>
      <c r="Y4" s="11">
        <f t="shared" ref="Y4:Y14" si="1">J3</f>
        <v>46120</v>
      </c>
      <c r="Z4" s="5">
        <f t="shared" ref="Z4:Z14" si="2">G3+H3+I3</f>
        <v>2.56</v>
      </c>
    </row>
    <row r="5" spans="1:27" x14ac:dyDescent="0.25">
      <c r="A5" s="8" t="s">
        <v>4</v>
      </c>
      <c r="B5" s="3" t="s">
        <v>21</v>
      </c>
      <c r="D5" s="11">
        <v>46272</v>
      </c>
      <c r="E5" s="5">
        <v>116.6</v>
      </c>
      <c r="F5" s="5">
        <v>1.87</v>
      </c>
      <c r="G5" s="5">
        <v>116.6</v>
      </c>
      <c r="H5" s="5">
        <v>1.87</v>
      </c>
      <c r="I5" s="3">
        <v>0.31</v>
      </c>
      <c r="J5" s="11">
        <v>46280</v>
      </c>
      <c r="K5" s="10">
        <f t="shared" si="0"/>
        <v>8</v>
      </c>
      <c r="Y5" s="11">
        <f t="shared" si="1"/>
        <v>46203</v>
      </c>
      <c r="Z5" s="5">
        <f t="shared" si="2"/>
        <v>2.4700000000000002</v>
      </c>
    </row>
    <row r="6" spans="1:27" x14ac:dyDescent="0.25">
      <c r="A6" s="8" t="s">
        <v>18</v>
      </c>
      <c r="B6" s="4">
        <v>0.66</v>
      </c>
      <c r="D6" s="11"/>
      <c r="E6" s="5"/>
      <c r="F6" s="5"/>
      <c r="G6" s="5"/>
      <c r="H6" s="5"/>
      <c r="I6" s="3"/>
      <c r="J6" s="11"/>
      <c r="K6" s="10" t="str">
        <f t="shared" si="0"/>
        <v/>
      </c>
      <c r="Y6" s="11">
        <f t="shared" si="1"/>
        <v>46280</v>
      </c>
      <c r="Z6" s="5">
        <f t="shared" si="2"/>
        <v>118.78</v>
      </c>
    </row>
    <row r="7" spans="1:27" x14ac:dyDescent="0.25">
      <c r="A7" s="8" t="s">
        <v>19</v>
      </c>
      <c r="B7" s="4">
        <v>0.8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8.5000000000000006E-2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116.6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46272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46280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8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116.6</v>
      </c>
      <c r="F42" s="5">
        <f t="shared" ref="F42:I42" si="5">SUM(F2:F41)</f>
        <v>9.8500000000000014</v>
      </c>
      <c r="G42" s="5">
        <f t="shared" si="5"/>
        <v>116.6</v>
      </c>
      <c r="H42" s="5">
        <f t="shared" si="5"/>
        <v>9.8500000000000014</v>
      </c>
      <c r="I42" s="5">
        <f t="shared" si="5"/>
        <v>0.43</v>
      </c>
      <c r="J42" s="3"/>
      <c r="K42" s="3"/>
      <c r="Y42" s="25"/>
      <c r="Z42" s="26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9" priority="1">
      <formula>$M$3=$N$3</formula>
    </cfRule>
    <cfRule type="expression" dxfId="38" priority="2">
      <formula>$AA$2="+"</formula>
    </cfRule>
  </conditionalFormatting>
  <conditionalFormatting sqref="S3">
    <cfRule type="expression" dxfId="37" priority="4">
      <formula>$AA$2="+"</formula>
    </cfRule>
  </conditionalFormatting>
  <conditionalFormatting sqref="AA2">
    <cfRule type="expression" dxfId="36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45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44</v>
      </c>
      <c r="D2" s="11">
        <v>45991</v>
      </c>
      <c r="E2" s="5">
        <v>0</v>
      </c>
      <c r="F2" s="5">
        <v>2.09</v>
      </c>
      <c r="G2" s="5">
        <v>0</v>
      </c>
      <c r="H2" s="5">
        <v>2.09</v>
      </c>
      <c r="I2" s="5">
        <v>0</v>
      </c>
      <c r="J2" s="11">
        <v>45992</v>
      </c>
      <c r="K2" s="10">
        <f>IF(J2&gt;0,J2-D2,"")</f>
        <v>1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45898</v>
      </c>
      <c r="Z2" s="3">
        <f>B11*-1</f>
        <v>-103.7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45898</v>
      </c>
      <c r="D3" s="11">
        <v>46001</v>
      </c>
      <c r="E3" s="5">
        <v>95.83</v>
      </c>
      <c r="F3" s="5">
        <v>0.21</v>
      </c>
      <c r="G3" s="5">
        <v>95.83</v>
      </c>
      <c r="H3" s="5">
        <v>0.21</v>
      </c>
      <c r="I3" s="5">
        <v>0</v>
      </c>
      <c r="J3" s="11">
        <v>46006</v>
      </c>
      <c r="K3" s="10">
        <f t="shared" ref="K3:K41" si="0">IF(J3&gt;0,J3-D3,"")</f>
        <v>5</v>
      </c>
      <c r="M3" s="5">
        <f>B11</f>
        <v>103.7</v>
      </c>
      <c r="N3" s="5">
        <f>G42</f>
        <v>103.7</v>
      </c>
      <c r="O3" s="5">
        <f>F42</f>
        <v>2.77</v>
      </c>
      <c r="P3" s="5">
        <f>H42+I42</f>
        <v>2.4699999999999998</v>
      </c>
      <c r="Q3" s="13">
        <f>IF(M3=N3,XIRR(Z2:Z14,Y2:Y14),"")</f>
        <v>7.8106686472892775E-2</v>
      </c>
      <c r="R3" s="11">
        <f>IF(M3=N3,B14,"")</f>
        <v>46093</v>
      </c>
      <c r="S3" s="3" t="str">
        <f ca="1">IF(COUNTIFS(D:D,"&lt;"&amp;TODAY(),J:J,"")=0,"",TODAY()-_xlfn.MINIFS(D:D,D:D,"&lt;"&amp;TODAY(),J:J,""))</f>
        <v/>
      </c>
      <c r="Y3" s="11">
        <f>J2</f>
        <v>45992</v>
      </c>
      <c r="Z3" s="5">
        <f>G2+H2+I2</f>
        <v>2.09</v>
      </c>
    </row>
    <row r="4" spans="1:27" x14ac:dyDescent="0.25">
      <c r="A4" s="8" t="s">
        <v>15</v>
      </c>
      <c r="B4" s="11">
        <v>45898</v>
      </c>
      <c r="D4" s="11">
        <v>46081</v>
      </c>
      <c r="E4" s="5">
        <v>0</v>
      </c>
      <c r="F4" s="5">
        <v>0.16</v>
      </c>
      <c r="G4" s="5">
        <v>0</v>
      </c>
      <c r="H4" s="5">
        <v>0.16</v>
      </c>
      <c r="I4" s="5">
        <v>0</v>
      </c>
      <c r="J4" s="11">
        <v>46084</v>
      </c>
      <c r="K4" s="10">
        <f t="shared" si="0"/>
        <v>3</v>
      </c>
      <c r="Y4" s="11">
        <f t="shared" ref="Y4:Y14" si="1">J3</f>
        <v>46006</v>
      </c>
      <c r="Z4" s="5">
        <f t="shared" ref="Z4:Z14" si="2">G3+H3+I3</f>
        <v>96.039999999999992</v>
      </c>
    </row>
    <row r="5" spans="1:27" x14ac:dyDescent="0.25">
      <c r="A5" s="8" t="s">
        <v>4</v>
      </c>
      <c r="B5" s="3" t="s">
        <v>21</v>
      </c>
      <c r="D5" s="11">
        <v>46173</v>
      </c>
      <c r="E5" s="5">
        <v>0</v>
      </c>
      <c r="F5" s="5">
        <v>0.16</v>
      </c>
      <c r="G5" s="5">
        <v>0</v>
      </c>
      <c r="H5" s="5">
        <v>0</v>
      </c>
      <c r="I5" s="5">
        <v>0</v>
      </c>
      <c r="J5" s="11">
        <v>46093</v>
      </c>
      <c r="K5" s="10">
        <f t="shared" si="0"/>
        <v>-80</v>
      </c>
      <c r="Y5" s="11">
        <f t="shared" si="1"/>
        <v>46084</v>
      </c>
      <c r="Z5" s="5">
        <f t="shared" si="2"/>
        <v>0.16</v>
      </c>
    </row>
    <row r="6" spans="1:27" x14ac:dyDescent="0.25">
      <c r="A6" s="8" t="s">
        <v>18</v>
      </c>
      <c r="B6" s="4">
        <v>0.61</v>
      </c>
      <c r="D6" s="11">
        <v>46262</v>
      </c>
      <c r="E6" s="5">
        <v>7.87</v>
      </c>
      <c r="F6" s="5">
        <v>0.15</v>
      </c>
      <c r="G6" s="5">
        <v>7.87</v>
      </c>
      <c r="H6" s="5">
        <v>0.01</v>
      </c>
      <c r="I6" s="5">
        <v>0</v>
      </c>
      <c r="J6" s="11">
        <v>46093</v>
      </c>
      <c r="K6" s="10">
        <f t="shared" si="0"/>
        <v>-169</v>
      </c>
      <c r="Y6" s="11">
        <f t="shared" si="1"/>
        <v>46093</v>
      </c>
      <c r="Z6" s="5">
        <f t="shared" si="2"/>
        <v>0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46093</v>
      </c>
      <c r="Z7" s="5">
        <f t="shared" si="2"/>
        <v>7.88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0.08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103.7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46262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46093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-169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103.7</v>
      </c>
      <c r="F42" s="5">
        <f t="shared" ref="F42:I42" si="5">SUM(F2:F41)</f>
        <v>2.77</v>
      </c>
      <c r="G42" s="5">
        <f t="shared" si="5"/>
        <v>103.7</v>
      </c>
      <c r="H42" s="5">
        <f t="shared" si="5"/>
        <v>2.4699999999999998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5" priority="1">
      <formula>$M$3=$N$3</formula>
    </cfRule>
    <cfRule type="expression" dxfId="34" priority="2">
      <formula>$AA$2="+"</formula>
    </cfRule>
  </conditionalFormatting>
  <conditionalFormatting sqref="S3">
    <cfRule type="expression" dxfId="33" priority="4">
      <formula>$AA$2="+"</formula>
    </cfRule>
  </conditionalFormatting>
  <conditionalFormatting sqref="AA2">
    <cfRule type="expression" dxfId="32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43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42</v>
      </c>
      <c r="D2" s="11">
        <v>45961</v>
      </c>
      <c r="E2" s="5">
        <v>0</v>
      </c>
      <c r="F2" s="5">
        <v>2.52</v>
      </c>
      <c r="G2" s="5">
        <v>0</v>
      </c>
      <c r="H2" s="5">
        <v>2.52</v>
      </c>
      <c r="I2" s="5">
        <v>0</v>
      </c>
      <c r="J2" s="11">
        <v>45965</v>
      </c>
      <c r="K2" s="10">
        <f>IF(J2&gt;0,J2-D2,"")</f>
        <v>4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45854</v>
      </c>
      <c r="Z2" s="3">
        <f>B11*-1</f>
        <v>-110.5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45854</v>
      </c>
      <c r="D3" s="11">
        <v>46053</v>
      </c>
      <c r="E3" s="5">
        <v>0</v>
      </c>
      <c r="F3" s="5">
        <v>2.23</v>
      </c>
      <c r="G3" s="5">
        <v>0</v>
      </c>
      <c r="H3" s="5">
        <v>2.23</v>
      </c>
      <c r="I3" s="5">
        <v>0</v>
      </c>
      <c r="J3" s="11">
        <v>46056</v>
      </c>
      <c r="K3" s="10">
        <f t="shared" ref="K3:K41" si="0">IF(J3&gt;0,J3-D3,"")</f>
        <v>3</v>
      </c>
      <c r="M3" s="5">
        <f>B11</f>
        <v>110.5</v>
      </c>
      <c r="N3" s="5">
        <f>G42</f>
        <v>110.5</v>
      </c>
      <c r="O3" s="5">
        <f>F42</f>
        <v>8.8000000000000007</v>
      </c>
      <c r="P3" s="5">
        <f>H42+I42</f>
        <v>6.71</v>
      </c>
      <c r="Q3" s="13">
        <f>IF(M3=N3,XIRR(Z2:Z41,Y2:Y41),"")</f>
        <v>7.9996469616889984E-2</v>
      </c>
      <c r="R3" s="11">
        <f>IF(M3=N3,B14,"")</f>
        <v>46139</v>
      </c>
      <c r="S3" s="3" t="str">
        <f ca="1">IF(COUNTIFS(D:D,"&lt;"&amp;TODAY(),J:J,"")=0,"",TODAY()-_xlfn.MINIFS(D:D,D:D,"&lt;"&amp;TODAY(),J:J,""))</f>
        <v/>
      </c>
      <c r="Y3" s="11">
        <f>J2</f>
        <v>45965</v>
      </c>
      <c r="Z3" s="5">
        <f>G2+H2+I2</f>
        <v>2.52</v>
      </c>
    </row>
    <row r="4" spans="1:27" x14ac:dyDescent="0.25">
      <c r="A4" s="8" t="s">
        <v>15</v>
      </c>
      <c r="B4" s="11">
        <v>45857</v>
      </c>
      <c r="D4" s="11">
        <v>46142</v>
      </c>
      <c r="E4" s="5">
        <v>0</v>
      </c>
      <c r="F4" s="5">
        <v>2.16</v>
      </c>
      <c r="G4" s="5">
        <v>0</v>
      </c>
      <c r="H4" s="5">
        <v>0</v>
      </c>
      <c r="I4" s="5">
        <v>0</v>
      </c>
      <c r="J4" s="11">
        <v>46139</v>
      </c>
      <c r="K4" s="10">
        <f t="shared" si="0"/>
        <v>-3</v>
      </c>
      <c r="Y4" s="11">
        <f t="shared" ref="Y4:Y14" si="1">J3</f>
        <v>46056</v>
      </c>
      <c r="Z4" s="5">
        <f t="shared" ref="Z4:Z14" si="2">G3+H3+I3</f>
        <v>2.23</v>
      </c>
    </row>
    <row r="5" spans="1:27" x14ac:dyDescent="0.25">
      <c r="A5" s="8" t="s">
        <v>4</v>
      </c>
      <c r="B5" s="3" t="s">
        <v>21</v>
      </c>
      <c r="D5" s="11">
        <v>46220</v>
      </c>
      <c r="E5" s="5">
        <v>110.5</v>
      </c>
      <c r="F5" s="5">
        <v>1.89</v>
      </c>
      <c r="G5" s="5">
        <v>110.5</v>
      </c>
      <c r="H5" s="5">
        <v>1.96</v>
      </c>
      <c r="I5" s="5">
        <v>0</v>
      </c>
      <c r="J5" s="11">
        <v>46139</v>
      </c>
      <c r="K5" s="10">
        <f t="shared" si="0"/>
        <v>-81</v>
      </c>
      <c r="Y5" s="11">
        <f t="shared" si="1"/>
        <v>46139</v>
      </c>
      <c r="Z5" s="5">
        <f t="shared" si="2"/>
        <v>0</v>
      </c>
    </row>
    <row r="6" spans="1:27" x14ac:dyDescent="0.25">
      <c r="A6" s="8" t="s">
        <v>18</v>
      </c>
      <c r="B6" s="4">
        <v>0.59</v>
      </c>
      <c r="D6" s="11"/>
      <c r="E6" s="5"/>
      <c r="F6" s="5"/>
      <c r="G6" s="5"/>
      <c r="H6" s="5"/>
      <c r="I6" s="5"/>
      <c r="J6" s="11"/>
      <c r="K6" s="10" t="str">
        <f t="shared" si="0"/>
        <v/>
      </c>
      <c r="Y6" s="11">
        <f t="shared" si="1"/>
        <v>46139</v>
      </c>
      <c r="Z6" s="5">
        <f t="shared" si="2"/>
        <v>112.46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0.08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110.5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46220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46139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-81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110.5</v>
      </c>
      <c r="F42" s="5">
        <f t="shared" ref="F42:I42" si="5">SUM(F2:F41)</f>
        <v>8.8000000000000007</v>
      </c>
      <c r="G42" s="5">
        <f t="shared" si="5"/>
        <v>110.5</v>
      </c>
      <c r="H42" s="5">
        <f t="shared" si="5"/>
        <v>6.71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1" priority="1">
      <formula>$M$3=$N$3</formula>
    </cfRule>
    <cfRule type="expression" dxfId="30" priority="2">
      <formula>$AA$2="+"</formula>
    </cfRule>
  </conditionalFormatting>
  <conditionalFormatting sqref="S3">
    <cfRule type="expression" dxfId="29" priority="4">
      <formula>$AA$2="+"</formula>
    </cfRule>
  </conditionalFormatting>
  <conditionalFormatting sqref="AA2">
    <cfRule type="expression" dxfId="28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30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29</v>
      </c>
      <c r="D2" s="11">
        <v>45900</v>
      </c>
      <c r="E2" s="5">
        <v>0</v>
      </c>
      <c r="F2" s="5">
        <v>2.37</v>
      </c>
      <c r="G2" s="5">
        <v>0</v>
      </c>
      <c r="H2" s="5">
        <v>2.37</v>
      </c>
      <c r="I2" s="5">
        <v>0</v>
      </c>
      <c r="J2" s="11">
        <v>45902</v>
      </c>
      <c r="K2" s="10">
        <f>IF(J2&gt;0,J2-D2,"")</f>
        <v>2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45798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45798</v>
      </c>
      <c r="D3" s="11">
        <v>45991</v>
      </c>
      <c r="E3" s="5">
        <v>0</v>
      </c>
      <c r="F3" s="5">
        <v>2.2400000000000002</v>
      </c>
      <c r="G3" s="5">
        <v>0</v>
      </c>
      <c r="H3" s="5">
        <v>2.2400000000000002</v>
      </c>
      <c r="I3" s="5">
        <v>7.0000000000000007E-2</v>
      </c>
      <c r="J3" s="11">
        <v>46000</v>
      </c>
      <c r="K3" s="10">
        <f t="shared" ref="K3:K41" si="0">IF(J3&gt;0,J3-D3,"")</f>
        <v>9</v>
      </c>
      <c r="M3" s="5">
        <f>B11</f>
        <v>100</v>
      </c>
      <c r="N3" s="5">
        <f>G42</f>
        <v>100</v>
      </c>
      <c r="O3" s="5">
        <f>F42</f>
        <v>6.47</v>
      </c>
      <c r="P3" s="5">
        <f>H42+I42</f>
        <v>6.07</v>
      </c>
      <c r="Q3" s="13">
        <f>IF(M3=N3,XIRR(Z2:Z41,Y2:Y41),"")</f>
        <v>9.050598442554475E-2</v>
      </c>
      <c r="R3" s="11">
        <f>IF(M3=N3,B14,"")</f>
        <v>46077</v>
      </c>
      <c r="S3" s="3" t="str">
        <f ca="1">IF(COUNTIFS(D:D,"&lt;"&amp;TODAY(),J:J,"")=0,"",TODAY()-_xlfn.MINIFS(D:D,D:D,"&lt;"&amp;TODAY(),J:J,""))</f>
        <v/>
      </c>
      <c r="Y3" s="11">
        <f>J2</f>
        <v>45902</v>
      </c>
      <c r="Z3" s="5">
        <f>G2+H2+I2</f>
        <v>2.37</v>
      </c>
    </row>
    <row r="4" spans="1:27" x14ac:dyDescent="0.25">
      <c r="A4" s="8" t="s">
        <v>15</v>
      </c>
      <c r="B4" s="11">
        <v>45804</v>
      </c>
      <c r="D4" s="11">
        <v>46041</v>
      </c>
      <c r="E4" s="5">
        <v>79.62</v>
      </c>
      <c r="F4" s="5">
        <v>0.98</v>
      </c>
      <c r="G4" s="5">
        <v>79.62</v>
      </c>
      <c r="H4" s="5">
        <v>0.98</v>
      </c>
      <c r="I4" s="5">
        <v>0</v>
      </c>
      <c r="J4" s="11">
        <v>46044</v>
      </c>
      <c r="K4" s="10">
        <f t="shared" si="0"/>
        <v>3</v>
      </c>
      <c r="Y4" s="11">
        <f t="shared" ref="Y4:Y13" si="1">J3</f>
        <v>46000</v>
      </c>
      <c r="Z4" s="5">
        <f t="shared" ref="Z4:Z13" si="2">G3+H3+I3</f>
        <v>2.31</v>
      </c>
    </row>
    <row r="5" spans="1:27" x14ac:dyDescent="0.25">
      <c r="A5" s="8" t="s">
        <v>4</v>
      </c>
      <c r="B5" s="3" t="s">
        <v>5</v>
      </c>
      <c r="D5" s="11">
        <v>46081</v>
      </c>
      <c r="E5" s="5">
        <v>0</v>
      </c>
      <c r="F5" s="5">
        <v>0.45</v>
      </c>
      <c r="G5" s="5">
        <v>0</v>
      </c>
      <c r="H5" s="5">
        <v>0.41</v>
      </c>
      <c r="I5" s="5">
        <v>0</v>
      </c>
      <c r="J5" s="11">
        <v>46077</v>
      </c>
      <c r="K5" s="10">
        <f t="shared" si="0"/>
        <v>-4</v>
      </c>
      <c r="Y5" s="11">
        <f t="shared" si="1"/>
        <v>46044</v>
      </c>
      <c r="Z5" s="5">
        <f t="shared" si="2"/>
        <v>80.600000000000009</v>
      </c>
    </row>
    <row r="6" spans="1:27" x14ac:dyDescent="0.25">
      <c r="A6" s="8" t="s">
        <v>18</v>
      </c>
      <c r="B6" s="4">
        <v>0.77</v>
      </c>
      <c r="D6" s="11">
        <v>46167</v>
      </c>
      <c r="E6" s="5">
        <v>20.38</v>
      </c>
      <c r="F6" s="5">
        <v>0.43</v>
      </c>
      <c r="G6" s="5">
        <v>20.38</v>
      </c>
      <c r="H6" s="5">
        <v>0</v>
      </c>
      <c r="I6" s="5">
        <v>0</v>
      </c>
      <c r="J6" s="11">
        <v>46077</v>
      </c>
      <c r="K6" s="10">
        <f t="shared" si="0"/>
        <v>-90</v>
      </c>
      <c r="Y6" s="11">
        <f t="shared" si="1"/>
        <v>46077</v>
      </c>
      <c r="Z6" s="5">
        <f t="shared" si="2"/>
        <v>0.41</v>
      </c>
    </row>
    <row r="7" spans="1:27" x14ac:dyDescent="0.25">
      <c r="A7" s="8" t="s">
        <v>19</v>
      </c>
      <c r="B7" s="4">
        <v>0.85</v>
      </c>
      <c r="D7" s="11"/>
      <c r="E7" s="5"/>
      <c r="F7" s="3"/>
      <c r="G7" s="5"/>
      <c r="H7" s="5"/>
      <c r="I7" s="3"/>
      <c r="J7" s="11"/>
      <c r="K7" s="10" t="str">
        <f t="shared" si="0"/>
        <v/>
      </c>
      <c r="Y7" s="11">
        <f t="shared" si="1"/>
        <v>46077</v>
      </c>
      <c r="Z7" s="5">
        <f t="shared" si="2"/>
        <v>20.38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0.09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3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46167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46077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</row>
    <row r="15" spans="1:27" x14ac:dyDescent="0.25">
      <c r="A15" s="8" t="s">
        <v>92</v>
      </c>
      <c r="B15" s="3">
        <f>IF(M3=N3,B14-B12,"")</f>
        <v>-90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J13</f>
        <v>0</v>
      </c>
      <c r="Z15" s="5">
        <f t="shared" ref="Z15:Z41" si="4">G13+H13+I13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5">SUM(F2:F41)</f>
        <v>6.47</v>
      </c>
      <c r="G42" s="5">
        <f t="shared" si="5"/>
        <v>100</v>
      </c>
      <c r="H42" s="5">
        <f t="shared" si="5"/>
        <v>6</v>
      </c>
      <c r="I42" s="5">
        <f t="shared" si="5"/>
        <v>7.0000000000000007E-2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27" priority="1">
      <formula>$M$3=$N$3</formula>
    </cfRule>
    <cfRule type="expression" dxfId="26" priority="2">
      <formula>$AA$2="+"</formula>
    </cfRule>
  </conditionalFormatting>
  <conditionalFormatting sqref="S3">
    <cfRule type="expression" dxfId="25" priority="4">
      <formula>$AA$2="+"</formula>
    </cfRule>
  </conditionalFormatting>
  <conditionalFormatting sqref="AA2">
    <cfRule type="expression" dxfId="24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28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27</v>
      </c>
      <c r="D2" s="11">
        <v>45900</v>
      </c>
      <c r="E2" s="5">
        <v>0</v>
      </c>
      <c r="F2" s="5">
        <v>2.37</v>
      </c>
      <c r="G2" s="5">
        <v>0</v>
      </c>
      <c r="H2" s="5">
        <v>2.37</v>
      </c>
      <c r="I2" s="5">
        <v>0</v>
      </c>
      <c r="J2" s="11">
        <v>45904</v>
      </c>
      <c r="K2" s="10">
        <f>IF(J2&gt;0,J2-D2,"")</f>
        <v>4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45790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45790</v>
      </c>
      <c r="D3" s="11">
        <v>45991</v>
      </c>
      <c r="E3" s="5">
        <v>0</v>
      </c>
      <c r="F3" s="3">
        <v>1.99</v>
      </c>
      <c r="G3" s="5">
        <v>0</v>
      </c>
      <c r="H3" s="5">
        <v>1.99</v>
      </c>
      <c r="I3" s="5">
        <v>0</v>
      </c>
      <c r="J3" s="11">
        <v>45993</v>
      </c>
      <c r="K3" s="10">
        <f t="shared" ref="K3:K41" si="0">IF(J3&gt;0,J3-D3,"")</f>
        <v>2</v>
      </c>
      <c r="M3" s="5">
        <f>B11</f>
        <v>100</v>
      </c>
      <c r="N3" s="5">
        <f>G42</f>
        <v>100</v>
      </c>
      <c r="O3" s="5">
        <f>F42</f>
        <v>7.95</v>
      </c>
      <c r="P3" s="5">
        <f>H42+I42</f>
        <v>7.95</v>
      </c>
      <c r="Q3" s="13">
        <f>IF(M3=N3,XIRR(Z2:Z41,Y2:Y41),"")</f>
        <v>8.160757720470431E-2</v>
      </c>
      <c r="R3" s="11">
        <f>IF(M3=N3,B14,"")</f>
        <v>46156</v>
      </c>
      <c r="S3" s="3" t="str">
        <f ca="1">IF(COUNTIFS(D:D,"&lt;"&amp;TODAY(),J:J,"")=0,"",TODAY()-_xlfn.MINIFS(D:D,D:D,"&lt;"&amp;TODAY(),J:J,""))</f>
        <v/>
      </c>
      <c r="Y3" s="11">
        <f>J2</f>
        <v>45904</v>
      </c>
      <c r="Z3" s="5">
        <f>G2+H2+I2</f>
        <v>2.37</v>
      </c>
    </row>
    <row r="4" spans="1:27" x14ac:dyDescent="0.25">
      <c r="A4" s="8" t="s">
        <v>15</v>
      </c>
      <c r="B4" s="11">
        <v>45792</v>
      </c>
      <c r="D4" s="11">
        <v>46081</v>
      </c>
      <c r="E4" s="5">
        <v>0</v>
      </c>
      <c r="F4" s="3">
        <v>1.97</v>
      </c>
      <c r="G4" s="5">
        <v>0</v>
      </c>
      <c r="H4" s="5">
        <v>1.97</v>
      </c>
      <c r="I4" s="5">
        <v>0</v>
      </c>
      <c r="J4" s="11">
        <v>46083</v>
      </c>
      <c r="K4" s="10">
        <f t="shared" si="0"/>
        <v>2</v>
      </c>
      <c r="Y4" s="11">
        <f t="shared" ref="Y4:Y14" si="1">J3</f>
        <v>45993</v>
      </c>
      <c r="Z4" s="5">
        <f t="shared" ref="Z4:Z14" si="2">G3+H3+I3</f>
        <v>1.99</v>
      </c>
    </row>
    <row r="5" spans="1:27" x14ac:dyDescent="0.25">
      <c r="A5" s="8" t="s">
        <v>4</v>
      </c>
      <c r="B5" s="3" t="s">
        <v>21</v>
      </c>
      <c r="D5" s="11">
        <v>46155</v>
      </c>
      <c r="E5" s="5">
        <v>100</v>
      </c>
      <c r="F5" s="3">
        <v>1.62</v>
      </c>
      <c r="G5" s="5">
        <v>100</v>
      </c>
      <c r="H5" s="5">
        <v>1.62</v>
      </c>
      <c r="I5" s="5">
        <v>0</v>
      </c>
      <c r="J5" s="18">
        <v>46156</v>
      </c>
      <c r="K5" s="10">
        <f t="shared" si="0"/>
        <v>1</v>
      </c>
      <c r="Y5" s="11">
        <f t="shared" si="1"/>
        <v>46083</v>
      </c>
      <c r="Z5" s="5">
        <f t="shared" si="2"/>
        <v>1.97</v>
      </c>
    </row>
    <row r="6" spans="1:27" x14ac:dyDescent="0.25">
      <c r="A6" s="8" t="s">
        <v>18</v>
      </c>
      <c r="B6" s="4">
        <v>0.66</v>
      </c>
      <c r="D6" s="18"/>
      <c r="E6" s="5"/>
      <c r="F6" s="3"/>
      <c r="G6" s="5"/>
      <c r="H6" s="5"/>
      <c r="I6" s="3"/>
      <c r="J6" s="18"/>
      <c r="K6" s="10" t="str">
        <f t="shared" si="0"/>
        <v/>
      </c>
      <c r="Y6" s="11">
        <f t="shared" si="1"/>
        <v>46156</v>
      </c>
      <c r="Z6" s="5">
        <f t="shared" si="2"/>
        <v>101.62</v>
      </c>
    </row>
    <row r="7" spans="1:27" x14ac:dyDescent="0.25">
      <c r="A7" s="8" t="s">
        <v>19</v>
      </c>
      <c r="B7" s="4">
        <v>0.85</v>
      </c>
      <c r="D7" s="18"/>
      <c r="E7" s="5"/>
      <c r="F7" s="3"/>
      <c r="G7" s="5"/>
      <c r="H7" s="5"/>
      <c r="I7" s="3"/>
      <c r="J7" s="18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8"/>
      <c r="E8" s="2"/>
      <c r="F8" s="2"/>
      <c r="G8" s="2"/>
      <c r="H8" s="2"/>
      <c r="I8" s="2"/>
      <c r="J8" s="18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8"/>
      <c r="E9" s="2"/>
      <c r="F9" s="2"/>
      <c r="G9" s="2"/>
      <c r="H9" s="2"/>
      <c r="I9" s="2"/>
      <c r="J9" s="18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0.08</v>
      </c>
      <c r="D10" s="18"/>
      <c r="E10" s="2"/>
      <c r="F10" s="2"/>
      <c r="G10" s="2"/>
      <c r="H10" s="2"/>
      <c r="I10" s="2"/>
      <c r="J10" s="18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3">
        <v>100</v>
      </c>
      <c r="D11" s="18"/>
      <c r="E11" s="2"/>
      <c r="F11" s="2"/>
      <c r="G11" s="2"/>
      <c r="H11" s="2"/>
      <c r="I11" s="2"/>
      <c r="J11" s="18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46155</v>
      </c>
      <c r="D12" s="19"/>
      <c r="E12" s="5"/>
      <c r="F12" s="5"/>
      <c r="G12" s="5"/>
      <c r="H12" s="5"/>
      <c r="I12" s="5"/>
      <c r="J12" s="18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9"/>
      <c r="E13" s="5"/>
      <c r="F13" s="5"/>
      <c r="G13" s="5"/>
      <c r="H13" s="5"/>
      <c r="I13" s="5"/>
      <c r="J13" s="18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46156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1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5">SUM(F2:F41)</f>
        <v>7.95</v>
      </c>
      <c r="G42" s="5">
        <f t="shared" si="5"/>
        <v>100</v>
      </c>
      <c r="H42" s="5">
        <f t="shared" si="5"/>
        <v>7.95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23" priority="1">
      <formula>$M$3=$N$3</formula>
    </cfRule>
    <cfRule type="expression" dxfId="22" priority="2">
      <formula>$AA$2="+"</formula>
    </cfRule>
  </conditionalFormatting>
  <conditionalFormatting sqref="S3">
    <cfRule type="expression" dxfId="21" priority="4">
      <formula>$AA$2="+"</formula>
    </cfRule>
  </conditionalFormatting>
  <conditionalFormatting sqref="AA2">
    <cfRule type="expression" dxfId="20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26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25</v>
      </c>
      <c r="D2" s="11">
        <v>45869</v>
      </c>
      <c r="E2" s="5">
        <v>0</v>
      </c>
      <c r="F2" s="5">
        <v>2.2599999999999998</v>
      </c>
      <c r="G2" s="5">
        <v>0</v>
      </c>
      <c r="H2" s="5">
        <v>2.2599999999999998</v>
      </c>
      <c r="I2" s="5">
        <v>0</v>
      </c>
      <c r="J2" s="11">
        <v>45869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45771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45771</v>
      </c>
      <c r="D3" s="11">
        <v>45961</v>
      </c>
      <c r="E3" s="5">
        <v>0</v>
      </c>
      <c r="F3" s="3">
        <v>2.17</v>
      </c>
      <c r="G3" s="5">
        <v>0</v>
      </c>
      <c r="H3" s="5">
        <v>1.36</v>
      </c>
      <c r="I3" s="5">
        <v>0</v>
      </c>
      <c r="J3" s="11">
        <v>45979</v>
      </c>
      <c r="K3" s="10">
        <f t="shared" ref="K3:K41" si="0">IF(J3&gt;0,J3-D3,"")</f>
        <v>18</v>
      </c>
      <c r="M3" s="5">
        <f>B11</f>
        <v>100</v>
      </c>
      <c r="N3" s="5">
        <f>G42</f>
        <v>100</v>
      </c>
      <c r="O3" s="5">
        <f>F42</f>
        <v>8.5599999999999987</v>
      </c>
      <c r="P3" s="5">
        <f>H42+I42</f>
        <v>10.479999999999999</v>
      </c>
      <c r="Q3" s="13">
        <f>IF(M3=N3,XIRR(Z2:Z41,Y2:Y41),"")</f>
        <v>0.10087127089500428</v>
      </c>
      <c r="R3" s="11">
        <f>IF(M3=N3,B14,"")</f>
        <v>46162</v>
      </c>
      <c r="S3" s="3" t="str">
        <f ca="1">IF(COUNTIFS(D:D,"&lt;"&amp;TODAY(),J:J,"")=0,"",TODAY()-_xlfn.MINIFS(D:D,D:D,"&lt;"&amp;TODAY(),J:J,""))</f>
        <v/>
      </c>
      <c r="Y3" s="11">
        <f>J2</f>
        <v>45869</v>
      </c>
      <c r="Z3" s="5">
        <f>G2+H2+I2</f>
        <v>2.2599999999999998</v>
      </c>
    </row>
    <row r="4" spans="1:27" x14ac:dyDescent="0.25">
      <c r="A4" s="8" t="s">
        <v>15</v>
      </c>
      <c r="B4" s="11">
        <v>45773</v>
      </c>
      <c r="D4" s="11">
        <v>45961</v>
      </c>
      <c r="E4" s="5">
        <v>0</v>
      </c>
      <c r="F4" s="5">
        <v>0</v>
      </c>
      <c r="G4" s="5">
        <v>0</v>
      </c>
      <c r="H4" s="5">
        <v>0.8</v>
      </c>
      <c r="I4" s="5">
        <v>0</v>
      </c>
      <c r="J4" s="11">
        <v>45980</v>
      </c>
      <c r="K4" s="10">
        <f t="shared" si="0"/>
        <v>19</v>
      </c>
      <c r="Y4" s="11">
        <f t="shared" ref="Y4:Y14" si="1">J3</f>
        <v>45979</v>
      </c>
      <c r="Z4" s="5">
        <f t="shared" ref="Z4:Z14" si="2">G3+H3+I3</f>
        <v>1.36</v>
      </c>
    </row>
    <row r="5" spans="1:27" x14ac:dyDescent="0.25">
      <c r="A5" s="8" t="s">
        <v>4</v>
      </c>
      <c r="B5" s="3" t="s">
        <v>21</v>
      </c>
      <c r="D5" s="11">
        <v>45961</v>
      </c>
      <c r="E5" s="5">
        <v>0</v>
      </c>
      <c r="F5" s="5">
        <v>0</v>
      </c>
      <c r="G5" s="5">
        <v>0</v>
      </c>
      <c r="H5" s="5">
        <v>0.01</v>
      </c>
      <c r="I5" s="3">
        <v>0.54</v>
      </c>
      <c r="J5" s="11">
        <v>45985</v>
      </c>
      <c r="K5" s="10">
        <f t="shared" si="0"/>
        <v>24</v>
      </c>
      <c r="Y5" s="11">
        <f t="shared" si="1"/>
        <v>45980</v>
      </c>
      <c r="Z5" s="5">
        <f t="shared" si="2"/>
        <v>0.8</v>
      </c>
    </row>
    <row r="6" spans="1:27" x14ac:dyDescent="0.25">
      <c r="A6" s="8" t="s">
        <v>18</v>
      </c>
      <c r="B6" s="4">
        <v>0.65</v>
      </c>
      <c r="D6" s="11">
        <v>46053</v>
      </c>
      <c r="E6" s="5">
        <v>0</v>
      </c>
      <c r="F6" s="3">
        <v>2.17</v>
      </c>
      <c r="G6" s="5">
        <v>0</v>
      </c>
      <c r="H6" s="5">
        <v>2.17</v>
      </c>
      <c r="I6" s="3">
        <v>0.45</v>
      </c>
      <c r="J6" s="11">
        <v>46091</v>
      </c>
      <c r="K6" s="10">
        <f t="shared" si="0"/>
        <v>38</v>
      </c>
      <c r="Y6" s="11">
        <f t="shared" si="1"/>
        <v>45985</v>
      </c>
      <c r="Z6" s="5">
        <f t="shared" si="2"/>
        <v>0.55000000000000004</v>
      </c>
    </row>
    <row r="7" spans="1:27" x14ac:dyDescent="0.25">
      <c r="A7" s="8" t="s">
        <v>19</v>
      </c>
      <c r="B7" s="4">
        <v>0.65</v>
      </c>
      <c r="D7" s="11">
        <v>46136</v>
      </c>
      <c r="E7" s="5">
        <v>100</v>
      </c>
      <c r="F7" s="3">
        <v>1.96</v>
      </c>
      <c r="G7" s="5">
        <v>100</v>
      </c>
      <c r="H7" s="5">
        <v>1.96</v>
      </c>
      <c r="I7" s="3">
        <v>0.93</v>
      </c>
      <c r="J7" s="11">
        <v>46162</v>
      </c>
      <c r="K7" s="10">
        <f t="shared" si="0"/>
        <v>26</v>
      </c>
      <c r="Y7" s="11">
        <f t="shared" si="1"/>
        <v>46091</v>
      </c>
      <c r="Z7" s="5">
        <f t="shared" si="2"/>
        <v>2.62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46162</v>
      </c>
      <c r="Z8" s="5">
        <f t="shared" si="2"/>
        <v>102.89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8.5999999999999993E-2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3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46136</v>
      </c>
      <c r="D12" s="11"/>
      <c r="E12" s="5"/>
      <c r="F12" s="5"/>
      <c r="G12" s="5"/>
      <c r="H12" s="5"/>
      <c r="I12" s="5"/>
      <c r="J12" s="17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1"/>
      <c r="E13" s="5"/>
      <c r="F13" s="5"/>
      <c r="G13" s="5"/>
      <c r="H13" s="5"/>
      <c r="I13" s="5"/>
      <c r="J13" s="17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46162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26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5">SUM(F2:F41)</f>
        <v>8.5599999999999987</v>
      </c>
      <c r="G42" s="5">
        <f t="shared" si="5"/>
        <v>100</v>
      </c>
      <c r="H42" s="5">
        <f t="shared" si="5"/>
        <v>8.5599999999999987</v>
      </c>
      <c r="I42" s="5">
        <f t="shared" si="5"/>
        <v>1.92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19" priority="1">
      <formula>$M$3=$N$3</formula>
    </cfRule>
    <cfRule type="expression" dxfId="18" priority="2">
      <formula>$AA$2="+"</formula>
    </cfRule>
  </conditionalFormatting>
  <conditionalFormatting sqref="S3">
    <cfRule type="expression" dxfId="17" priority="4">
      <formula>$AA$2="+"</formula>
    </cfRule>
  </conditionalFormatting>
  <conditionalFormatting sqref="AA2">
    <cfRule type="expression" dxfId="16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23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24</v>
      </c>
      <c r="D2" s="11">
        <v>45838</v>
      </c>
      <c r="E2" s="5">
        <v>0</v>
      </c>
      <c r="F2" s="5">
        <v>2.52</v>
      </c>
      <c r="G2" s="5">
        <v>0</v>
      </c>
      <c r="H2" s="5">
        <v>2.52</v>
      </c>
      <c r="I2" s="5">
        <v>0</v>
      </c>
      <c r="J2" s="11">
        <v>45839</v>
      </c>
      <c r="K2" s="10">
        <f>IF(J2&gt;0,J2-D2,"")</f>
        <v>1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45730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45730</v>
      </c>
      <c r="D3" s="11">
        <v>45883</v>
      </c>
      <c r="E3" s="5">
        <v>3.08</v>
      </c>
      <c r="F3" s="5">
        <v>0.03</v>
      </c>
      <c r="G3" s="5">
        <v>3.08</v>
      </c>
      <c r="H3" s="5">
        <v>0.03</v>
      </c>
      <c r="I3" s="5">
        <v>0</v>
      </c>
      <c r="J3" s="11">
        <v>45888</v>
      </c>
      <c r="K3" s="10">
        <f t="shared" ref="K3:K41" si="0">IF(J3&gt;0,J3-D3,"")</f>
        <v>5</v>
      </c>
      <c r="M3" s="5">
        <f>B11</f>
        <v>100</v>
      </c>
      <c r="N3" s="5">
        <f>G42</f>
        <v>100</v>
      </c>
      <c r="O3" s="5">
        <f>F42</f>
        <v>4.41</v>
      </c>
      <c r="P3" s="5">
        <f>H42+I42</f>
        <v>3.96</v>
      </c>
      <c r="Q3" s="13">
        <f>IF(M3=N3,XIRR(Z2:Z41,Y2:Y41),"")</f>
        <v>8.9051917195320143E-2</v>
      </c>
      <c r="R3" s="11">
        <f>IF(M3=N3,B14,"")</f>
        <v>45898</v>
      </c>
      <c r="S3" s="3" t="str">
        <f ca="1">IF(COUNTIFS(D:D,"&lt;"&amp;TODAY(),J:J,"")=0,"",TODAY()-_xlfn.MINIFS(D:D,D:D,"&lt;"&amp;TODAY(),J:J,""))</f>
        <v/>
      </c>
      <c r="Y3" s="11">
        <f>J2</f>
        <v>45839</v>
      </c>
      <c r="Z3" s="5">
        <f>G2+H2+I2</f>
        <v>2.52</v>
      </c>
    </row>
    <row r="4" spans="1:27" x14ac:dyDescent="0.25">
      <c r="A4" s="8" t="s">
        <v>15</v>
      </c>
      <c r="B4" s="11">
        <v>45736</v>
      </c>
      <c r="D4" s="11">
        <v>45896</v>
      </c>
      <c r="E4" s="5">
        <v>9.7899999999999991</v>
      </c>
      <c r="F4" s="5">
        <v>0.14000000000000001</v>
      </c>
      <c r="G4" s="5">
        <v>9.7899999999999991</v>
      </c>
      <c r="H4" s="5">
        <v>0.14000000000000001</v>
      </c>
      <c r="I4" s="5">
        <v>0</v>
      </c>
      <c r="J4" s="11">
        <v>45897</v>
      </c>
      <c r="K4" s="10">
        <f t="shared" si="0"/>
        <v>1</v>
      </c>
      <c r="Y4" s="11">
        <f t="shared" ref="Y4:Y14" si="1">J3</f>
        <v>45888</v>
      </c>
      <c r="Z4" s="5">
        <f t="shared" ref="Z4:Z14" si="2">G3+H3+I3</f>
        <v>3.11</v>
      </c>
    </row>
    <row r="5" spans="1:27" x14ac:dyDescent="0.25">
      <c r="A5" s="8" t="s">
        <v>4</v>
      </c>
      <c r="B5" s="3" t="s">
        <v>21</v>
      </c>
      <c r="D5" s="11">
        <v>45918</v>
      </c>
      <c r="E5" s="5">
        <v>100</v>
      </c>
      <c r="F5" s="3">
        <v>1.72</v>
      </c>
      <c r="G5" s="5">
        <v>87.13</v>
      </c>
      <c r="H5" s="5">
        <v>1.27</v>
      </c>
      <c r="I5" s="5">
        <v>0</v>
      </c>
      <c r="J5" s="11">
        <v>45898</v>
      </c>
      <c r="K5" s="10">
        <f t="shared" si="0"/>
        <v>-20</v>
      </c>
      <c r="Y5" s="11">
        <f t="shared" si="1"/>
        <v>45897</v>
      </c>
      <c r="Z5" s="5">
        <f t="shared" si="2"/>
        <v>9.93</v>
      </c>
    </row>
    <row r="6" spans="1:27" x14ac:dyDescent="0.25">
      <c r="A6" s="8" t="s">
        <v>18</v>
      </c>
      <c r="B6" s="4">
        <v>0.54</v>
      </c>
      <c r="D6" s="16"/>
      <c r="E6" s="5"/>
      <c r="F6" s="5"/>
      <c r="G6" s="5"/>
      <c r="H6" s="5"/>
      <c r="I6" s="5"/>
      <c r="J6" s="17"/>
      <c r="K6" s="10" t="str">
        <f t="shared" si="0"/>
        <v/>
      </c>
      <c r="Y6" s="11">
        <f t="shared" si="1"/>
        <v>45898</v>
      </c>
      <c r="Z6" s="5">
        <f t="shared" si="2"/>
        <v>88.399999999999991</v>
      </c>
    </row>
    <row r="7" spans="1:27" x14ac:dyDescent="0.25">
      <c r="A7" s="8" t="s">
        <v>19</v>
      </c>
      <c r="B7" s="4">
        <v>0.75</v>
      </c>
      <c r="D7" s="11"/>
      <c r="E7" s="3"/>
      <c r="F7" s="5"/>
      <c r="G7" s="3"/>
      <c r="H7" s="5"/>
      <c r="I7" s="5"/>
      <c r="J7" s="17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6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0.09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3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45918</v>
      </c>
      <c r="D12" s="7"/>
      <c r="E12" s="5"/>
      <c r="F12" s="5"/>
      <c r="G12" s="5"/>
      <c r="H12" s="5"/>
      <c r="I12" s="5"/>
      <c r="J12" s="17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7"/>
      <c r="E13" s="5"/>
      <c r="F13" s="5"/>
      <c r="G13" s="5"/>
      <c r="H13" s="5"/>
      <c r="I13" s="5"/>
      <c r="J13" s="17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45898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-20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112.87</v>
      </c>
      <c r="F42" s="5">
        <f t="shared" ref="F42:I42" si="5">SUM(F2:F41)</f>
        <v>4.41</v>
      </c>
      <c r="G42" s="5">
        <f t="shared" si="5"/>
        <v>100</v>
      </c>
      <c r="H42" s="5">
        <f t="shared" si="5"/>
        <v>3.96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phoneticPr fontId="3" type="noConversion"/>
  <conditionalFormatting sqref="A1:B1">
    <cfRule type="expression" dxfId="15" priority="3">
      <formula>$M$3=$N$3</formula>
    </cfRule>
    <cfRule type="expression" dxfId="14" priority="4">
      <formula>$AA$2="+"</formula>
    </cfRule>
  </conditionalFormatting>
  <conditionalFormatting sqref="S3">
    <cfRule type="expression" dxfId="13" priority="2">
      <formula>$AA$2="+"</formula>
    </cfRule>
  </conditionalFormatting>
  <conditionalFormatting sqref="AA2">
    <cfRule type="expression" dxfId="12" priority="1">
      <formula>$AA$2="+"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22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20</v>
      </c>
      <c r="D2" s="11">
        <v>45838</v>
      </c>
      <c r="E2" s="5">
        <v>0</v>
      </c>
      <c r="F2" s="5">
        <v>3.1</v>
      </c>
      <c r="G2" s="5">
        <v>0</v>
      </c>
      <c r="H2" s="5">
        <v>3.1</v>
      </c>
      <c r="I2" s="5">
        <v>0</v>
      </c>
      <c r="J2" s="11">
        <v>45839</v>
      </c>
      <c r="K2" s="10">
        <f>IF(J2&gt;0,J2-D2,"")</f>
        <v>1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45728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45728</v>
      </c>
      <c r="D3" s="11">
        <v>45930</v>
      </c>
      <c r="E3" s="5">
        <v>0</v>
      </c>
      <c r="F3" s="3">
        <v>2.77</v>
      </c>
      <c r="G3" s="5">
        <v>0</v>
      </c>
      <c r="H3" s="5">
        <v>2.77</v>
      </c>
      <c r="I3" s="5">
        <v>0</v>
      </c>
      <c r="J3" s="11">
        <v>45931</v>
      </c>
      <c r="K3" s="10">
        <f t="shared" ref="K3:K41" si="0">IF(J3&gt;0,J3-D3,"")</f>
        <v>1</v>
      </c>
      <c r="M3" s="5">
        <f>B11</f>
        <v>100</v>
      </c>
      <c r="N3" s="5">
        <f>G42</f>
        <v>100</v>
      </c>
      <c r="O3" s="5">
        <f>F42</f>
        <v>10.93</v>
      </c>
      <c r="P3" s="5">
        <f>H42+I42</f>
        <v>10.93</v>
      </c>
      <c r="Q3" s="13">
        <f>IF(M3=N3,XIRR(Z2:Z41,Y2:Y41),"")</f>
        <v>0.11115025877952575</v>
      </c>
      <c r="R3" s="11">
        <f>IF(M3=N3,B14,"")</f>
        <v>46101</v>
      </c>
      <c r="S3" s="3" t="str">
        <f ca="1">IF(COUNTIFS(D:D,"&lt;"&amp;TODAY(),J:J,"")=0,"",TODAY()-_xlfn.MINIFS(D:D,D:D,"&lt;"&amp;TODAY(),J:J,""))</f>
        <v/>
      </c>
      <c r="Y3" s="11">
        <f>J2</f>
        <v>45839</v>
      </c>
      <c r="Z3" s="5">
        <f>G2+H2+I2</f>
        <v>3.1</v>
      </c>
    </row>
    <row r="4" spans="1:27" x14ac:dyDescent="0.25">
      <c r="A4" s="8" t="s">
        <v>15</v>
      </c>
      <c r="B4" s="11">
        <v>45733</v>
      </c>
      <c r="D4" s="11">
        <v>46022</v>
      </c>
      <c r="E4" s="5">
        <v>0</v>
      </c>
      <c r="F4" s="3">
        <v>2.77</v>
      </c>
      <c r="G4" s="5">
        <v>0</v>
      </c>
      <c r="H4" s="5">
        <v>2.77</v>
      </c>
      <c r="I4" s="5">
        <v>0</v>
      </c>
      <c r="J4" s="11">
        <v>46028</v>
      </c>
      <c r="K4" s="10">
        <f t="shared" si="0"/>
        <v>6</v>
      </c>
      <c r="Y4" s="11">
        <f t="shared" ref="Y4:Y14" si="1">J3</f>
        <v>45931</v>
      </c>
      <c r="Z4" s="5">
        <f t="shared" ref="Z4:Z14" si="2">G3+H3+I3</f>
        <v>2.77</v>
      </c>
    </row>
    <row r="5" spans="1:27" x14ac:dyDescent="0.25">
      <c r="A5" s="8" t="s">
        <v>4</v>
      </c>
      <c r="B5" s="3" t="s">
        <v>21</v>
      </c>
      <c r="D5" s="11">
        <v>46098</v>
      </c>
      <c r="E5" s="5">
        <v>100</v>
      </c>
      <c r="F5" s="3">
        <v>2.29</v>
      </c>
      <c r="G5" s="5">
        <v>100</v>
      </c>
      <c r="H5" s="5">
        <v>2.29</v>
      </c>
      <c r="I5" s="5">
        <v>0</v>
      </c>
      <c r="J5" s="11">
        <v>46101</v>
      </c>
      <c r="K5" s="10">
        <f t="shared" si="0"/>
        <v>3</v>
      </c>
      <c r="Y5" s="11">
        <f t="shared" si="1"/>
        <v>46028</v>
      </c>
      <c r="Z5" s="5">
        <f t="shared" si="2"/>
        <v>2.77</v>
      </c>
    </row>
    <row r="6" spans="1:27" x14ac:dyDescent="0.25">
      <c r="A6" s="8" t="s">
        <v>18</v>
      </c>
      <c r="B6" s="4">
        <v>0.34</v>
      </c>
      <c r="D6" s="16"/>
      <c r="E6" s="5"/>
      <c r="F6" s="5"/>
      <c r="G6" s="5"/>
      <c r="H6" s="5"/>
      <c r="I6" s="5"/>
      <c r="J6" s="17"/>
      <c r="K6" s="10" t="str">
        <f t="shared" si="0"/>
        <v/>
      </c>
      <c r="Y6" s="11">
        <f t="shared" si="1"/>
        <v>46101</v>
      </c>
      <c r="Z6" s="5">
        <f t="shared" si="2"/>
        <v>102.29</v>
      </c>
    </row>
    <row r="7" spans="1:27" x14ac:dyDescent="0.25">
      <c r="A7" s="8" t="s">
        <v>19</v>
      </c>
      <c r="B7" s="4">
        <v>0.6</v>
      </c>
      <c r="D7" s="11"/>
      <c r="E7" s="3"/>
      <c r="F7" s="5"/>
      <c r="G7" s="3"/>
      <c r="H7" s="5"/>
      <c r="I7" s="5"/>
      <c r="J7" s="17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0.11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46098</v>
      </c>
      <c r="D12" s="7"/>
      <c r="E12" s="5"/>
      <c r="F12" s="5"/>
      <c r="G12" s="5"/>
      <c r="H12" s="5"/>
      <c r="I12" s="5"/>
      <c r="J12" s="17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1"/>
      <c r="E13" s="2"/>
      <c r="F13" s="2"/>
      <c r="G13" s="2"/>
      <c r="H13" s="2"/>
      <c r="I13" s="2"/>
      <c r="J13" s="11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46101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3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5">SUM(F2:F41)</f>
        <v>10.93</v>
      </c>
      <c r="G42" s="5">
        <f t="shared" si="5"/>
        <v>100</v>
      </c>
      <c r="H42" s="5">
        <f t="shared" si="5"/>
        <v>10.93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11" priority="1">
      <formula>$M$3=$N$3</formula>
    </cfRule>
    <cfRule type="expression" dxfId="10" priority="2">
      <formula>$AA$2="+"</formula>
    </cfRule>
  </conditionalFormatting>
  <conditionalFormatting sqref="S3">
    <cfRule type="expression" dxfId="9" priority="4">
      <formula>$AA$2="+"</formula>
    </cfRule>
  </conditionalFormatting>
  <conditionalFormatting sqref="AA2">
    <cfRule type="expression" dxfId="8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16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17</v>
      </c>
      <c r="D2" s="11">
        <v>45838</v>
      </c>
      <c r="E2" s="5">
        <v>0</v>
      </c>
      <c r="F2" s="3">
        <v>2.82</v>
      </c>
      <c r="G2" s="5">
        <v>0</v>
      </c>
      <c r="H2" s="5">
        <v>2.82</v>
      </c>
      <c r="I2" s="5">
        <v>0</v>
      </c>
      <c r="J2" s="11">
        <v>45838</v>
      </c>
      <c r="K2" s="10">
        <f>IF(J2&gt;0,J2-D2,"")</f>
        <v>0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45714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45714</v>
      </c>
      <c r="D3" s="11">
        <v>45930</v>
      </c>
      <c r="E3" s="5">
        <v>0</v>
      </c>
      <c r="F3" s="3">
        <v>2.14</v>
      </c>
      <c r="G3" s="5">
        <v>0</v>
      </c>
      <c r="H3" s="5">
        <v>0</v>
      </c>
      <c r="I3" s="5">
        <v>0</v>
      </c>
      <c r="J3" s="11">
        <v>45925</v>
      </c>
      <c r="K3" s="10">
        <f t="shared" ref="K3:K41" si="0">IF(J3&gt;0,J3-D3,"")</f>
        <v>-5</v>
      </c>
      <c r="M3" s="5">
        <f>B11</f>
        <v>100</v>
      </c>
      <c r="N3" s="5">
        <f>G42</f>
        <v>100</v>
      </c>
      <c r="O3" s="5">
        <f>F42</f>
        <v>8.4499999999999993</v>
      </c>
      <c r="P3" s="5">
        <f>H42+I42</f>
        <v>4.71</v>
      </c>
      <c r="Q3" s="13">
        <f>IF(M3=N3,XIRR(Z2:Z41,Y2:Y41),"")</f>
        <v>8.384862244129182E-2</v>
      </c>
      <c r="R3" s="11">
        <f>IF(M3=N3,B14,"")</f>
        <v>45925</v>
      </c>
      <c r="S3" s="3" t="str">
        <f ca="1">IF(COUNTIFS(D:D,"&lt;"&amp;TODAY(),J:J,"")=0,"",TODAY()-_xlfn.MINIFS(D:D,D:D,"&lt;"&amp;TODAY(),J:J,""))</f>
        <v/>
      </c>
      <c r="Y3" s="11">
        <f>J2</f>
        <v>45838</v>
      </c>
      <c r="Z3" s="5">
        <f>G2+H2+I2</f>
        <v>2.82</v>
      </c>
    </row>
    <row r="4" spans="1:27" x14ac:dyDescent="0.25">
      <c r="A4" s="8" t="s">
        <v>15</v>
      </c>
      <c r="B4" s="11">
        <v>45717</v>
      </c>
      <c r="D4" s="11">
        <v>46022</v>
      </c>
      <c r="E4" s="5">
        <v>0</v>
      </c>
      <c r="F4" s="3">
        <v>2.14</v>
      </c>
      <c r="G4" s="5">
        <v>0</v>
      </c>
      <c r="H4" s="5">
        <v>0</v>
      </c>
      <c r="I4" s="5">
        <v>0</v>
      </c>
      <c r="J4" s="11">
        <v>45925</v>
      </c>
      <c r="K4" s="10">
        <f t="shared" si="0"/>
        <v>-97</v>
      </c>
      <c r="Y4" s="11">
        <f t="shared" ref="Y4:Y14" si="1">J3</f>
        <v>45925</v>
      </c>
      <c r="Z4" s="5">
        <f t="shared" ref="Z4:Z14" si="2">G3+H3+I3</f>
        <v>0</v>
      </c>
    </row>
    <row r="5" spans="1:27" x14ac:dyDescent="0.25">
      <c r="A5" s="8" t="s">
        <v>4</v>
      </c>
      <c r="B5" s="3" t="s">
        <v>5</v>
      </c>
      <c r="D5" s="11">
        <v>46080</v>
      </c>
      <c r="E5" s="5">
        <v>100</v>
      </c>
      <c r="F5" s="3">
        <v>1.35</v>
      </c>
      <c r="G5" s="5">
        <v>100</v>
      </c>
      <c r="H5" s="5">
        <v>1.89</v>
      </c>
      <c r="I5" s="5">
        <v>0</v>
      </c>
      <c r="J5" s="11">
        <v>45925</v>
      </c>
      <c r="K5" s="10">
        <f t="shared" si="0"/>
        <v>-155</v>
      </c>
      <c r="Y5" s="11">
        <f t="shared" si="1"/>
        <v>45925</v>
      </c>
      <c r="Z5" s="5">
        <f t="shared" si="2"/>
        <v>0</v>
      </c>
    </row>
    <row r="6" spans="1:27" x14ac:dyDescent="0.25">
      <c r="A6" s="8" t="s">
        <v>18</v>
      </c>
      <c r="B6" s="4">
        <v>0.62</v>
      </c>
      <c r="D6" s="16"/>
      <c r="E6" s="5"/>
      <c r="F6" s="5"/>
      <c r="G6" s="5"/>
      <c r="H6" s="5"/>
      <c r="I6" s="5"/>
      <c r="J6" s="17"/>
      <c r="K6" s="10" t="str">
        <f t="shared" si="0"/>
        <v/>
      </c>
      <c r="Y6" s="11">
        <f t="shared" si="1"/>
        <v>45925</v>
      </c>
      <c r="Z6" s="5">
        <f t="shared" si="2"/>
        <v>101.89</v>
      </c>
    </row>
    <row r="7" spans="1:27" x14ac:dyDescent="0.25">
      <c r="A7" s="8" t="s">
        <v>19</v>
      </c>
      <c r="B7" s="4">
        <v>0.8</v>
      </c>
      <c r="D7" s="11"/>
      <c r="E7" s="3"/>
      <c r="F7" s="5"/>
      <c r="G7" s="3"/>
      <c r="H7" s="5"/>
      <c r="I7" s="5"/>
      <c r="J7" s="17"/>
      <c r="K7" s="10" t="str">
        <f t="shared" si="0"/>
        <v/>
      </c>
      <c r="Y7" s="11">
        <f t="shared" si="1"/>
        <v>0</v>
      </c>
      <c r="Z7" s="5">
        <f t="shared" si="2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1"/>
        <v>0</v>
      </c>
      <c r="Z8" s="5">
        <f t="shared" si="2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1"/>
        <v>0</v>
      </c>
      <c r="Z9" s="5">
        <f t="shared" si="2"/>
        <v>0</v>
      </c>
    </row>
    <row r="10" spans="1:27" x14ac:dyDescent="0.25">
      <c r="A10" s="8" t="s">
        <v>9</v>
      </c>
      <c r="B10" s="6">
        <v>8.5000000000000006E-2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1"/>
        <v>0</v>
      </c>
      <c r="Z10" s="5">
        <f t="shared" si="2"/>
        <v>0</v>
      </c>
    </row>
    <row r="11" spans="1:27" x14ac:dyDescent="0.25">
      <c r="A11" s="8" t="s">
        <v>95</v>
      </c>
      <c r="B11" s="5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1"/>
        <v>0</v>
      </c>
      <c r="Z11" s="5">
        <f t="shared" si="2"/>
        <v>0</v>
      </c>
    </row>
    <row r="12" spans="1:27" x14ac:dyDescent="0.25">
      <c r="A12" s="8" t="s">
        <v>76</v>
      </c>
      <c r="B12" s="21">
        <v>46080</v>
      </c>
      <c r="D12" s="11"/>
      <c r="E12" s="2"/>
      <c r="F12" s="2"/>
      <c r="G12" s="2"/>
      <c r="H12" s="2"/>
      <c r="I12" s="2"/>
      <c r="J12" s="17"/>
      <c r="K12" s="10" t="str">
        <f t="shared" si="0"/>
        <v/>
      </c>
      <c r="Y12" s="11">
        <f t="shared" si="1"/>
        <v>0</v>
      </c>
      <c r="Z12" s="5">
        <f t="shared" si="2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1"/>
      <c r="E13" s="2"/>
      <c r="F13" s="2"/>
      <c r="G13" s="2"/>
      <c r="H13" s="2"/>
      <c r="I13" s="2"/>
      <c r="J13" s="11"/>
      <c r="K13" s="10" t="str">
        <f t="shared" si="0"/>
        <v/>
      </c>
      <c r="Y13" s="11">
        <f t="shared" si="1"/>
        <v>0</v>
      </c>
      <c r="Z13" s="5">
        <f t="shared" si="2"/>
        <v>0</v>
      </c>
    </row>
    <row r="14" spans="1:27" x14ac:dyDescent="0.25">
      <c r="A14" s="8" t="s">
        <v>69</v>
      </c>
      <c r="B14" s="11">
        <v>45925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1"/>
        <v>0</v>
      </c>
      <c r="Z14" s="5">
        <f t="shared" si="2"/>
        <v>0</v>
      </c>
    </row>
    <row r="15" spans="1:27" x14ac:dyDescent="0.25">
      <c r="A15" s="8" t="s">
        <v>92</v>
      </c>
      <c r="B15" s="3">
        <f>IF(M3=N3,B14-B12,"")</f>
        <v>-155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3">J14</f>
        <v>0</v>
      </c>
      <c r="Z15" s="5">
        <f t="shared" ref="Z15:Z41" si="4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3"/>
        <v>0</v>
      </c>
      <c r="Z16" s="5">
        <f t="shared" si="4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3"/>
        <v>0</v>
      </c>
      <c r="Z17" s="5">
        <f t="shared" si="4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3"/>
        <v>0</v>
      </c>
      <c r="Z18" s="5">
        <f t="shared" si="4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3"/>
        <v>0</v>
      </c>
      <c r="Z19" s="5">
        <f t="shared" si="4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3"/>
        <v>0</v>
      </c>
      <c r="Z20" s="5">
        <f t="shared" si="4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3"/>
        <v>0</v>
      </c>
      <c r="Z21" s="5">
        <f t="shared" si="4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3"/>
        <v>0</v>
      </c>
      <c r="Z22" s="5">
        <f t="shared" si="4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3"/>
        <v>0</v>
      </c>
      <c r="Z23" s="5">
        <f t="shared" si="4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3"/>
        <v>0</v>
      </c>
      <c r="Z24" s="5">
        <f t="shared" si="4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3"/>
        <v>0</v>
      </c>
      <c r="Z25" s="5">
        <f t="shared" si="4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3"/>
        <v>0</v>
      </c>
      <c r="Z26" s="5">
        <f t="shared" si="4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3"/>
        <v>0</v>
      </c>
      <c r="Z27" s="5">
        <f t="shared" si="4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3"/>
        <v>0</v>
      </c>
      <c r="Z28" s="5">
        <f t="shared" si="4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3"/>
        <v>0</v>
      </c>
      <c r="Z29" s="5">
        <f t="shared" si="4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3"/>
        <v>0</v>
      </c>
      <c r="Z30" s="5">
        <f t="shared" si="4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3"/>
        <v>0</v>
      </c>
      <c r="Z31" s="5">
        <f t="shared" si="4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3"/>
        <v>0</v>
      </c>
      <c r="Z32" s="5">
        <f t="shared" si="4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3"/>
        <v>0</v>
      </c>
      <c r="Z33" s="5">
        <f t="shared" si="4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3"/>
        <v>0</v>
      </c>
      <c r="Z34" s="5">
        <f t="shared" si="4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3"/>
        <v>0</v>
      </c>
      <c r="Z35" s="5">
        <f t="shared" si="4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3"/>
        <v>0</v>
      </c>
      <c r="Z36" s="5">
        <f t="shared" si="4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3"/>
        <v>0</v>
      </c>
      <c r="Z37" s="5">
        <f t="shared" si="4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3"/>
        <v>0</v>
      </c>
      <c r="Z38" s="5">
        <f t="shared" si="4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3"/>
        <v>0</v>
      </c>
      <c r="Z39" s="5">
        <f t="shared" si="4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3"/>
        <v>0</v>
      </c>
      <c r="Z40" s="5">
        <f t="shared" si="4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3"/>
        <v>0</v>
      </c>
      <c r="Z41" s="5">
        <f t="shared" si="4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5">SUM(F2:F41)</f>
        <v>8.4499999999999993</v>
      </c>
      <c r="G42" s="5">
        <f t="shared" si="5"/>
        <v>100</v>
      </c>
      <c r="H42" s="5">
        <f t="shared" si="5"/>
        <v>4.71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" priority="3">
      <formula>$M$3=$N$3</formula>
    </cfRule>
    <cfRule type="expression" dxfId="6" priority="4">
      <formula>$AA$2="+"</formula>
    </cfRule>
  </conditionalFormatting>
  <conditionalFormatting sqref="S3">
    <cfRule type="expression" dxfId="5" priority="2">
      <formula>$AA$2="+"</formula>
    </cfRule>
  </conditionalFormatting>
  <conditionalFormatting sqref="AA2">
    <cfRule type="expression" dxfId="4" priority="1">
      <formula>$AA$2="+"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1</v>
      </c>
      <c r="D1" s="7" t="s">
        <v>13</v>
      </c>
      <c r="E1" s="7" t="s">
        <v>0</v>
      </c>
      <c r="F1" s="7" t="s">
        <v>8</v>
      </c>
      <c r="G1" s="7" t="s">
        <v>0</v>
      </c>
      <c r="H1" s="7" t="s">
        <v>8</v>
      </c>
      <c r="I1" s="7" t="s">
        <v>65</v>
      </c>
      <c r="J1" s="14" t="s">
        <v>13</v>
      </c>
      <c r="K1" s="14" t="s">
        <v>41</v>
      </c>
      <c r="M1" s="32" t="s">
        <v>0</v>
      </c>
      <c r="N1" s="34"/>
      <c r="O1" s="32" t="s">
        <v>8</v>
      </c>
      <c r="P1" s="34"/>
      <c r="Q1" s="37" t="s">
        <v>66</v>
      </c>
      <c r="R1" s="37" t="s">
        <v>69</v>
      </c>
      <c r="S1" s="37" t="s">
        <v>75</v>
      </c>
      <c r="Y1" s="16" t="s">
        <v>13</v>
      </c>
      <c r="Z1" s="7" t="s">
        <v>67</v>
      </c>
      <c r="AA1" s="7" t="s">
        <v>75</v>
      </c>
    </row>
    <row r="2" spans="1:27" x14ac:dyDescent="0.25">
      <c r="A2" s="8" t="s">
        <v>3</v>
      </c>
      <c r="B2" s="3" t="s">
        <v>2</v>
      </c>
      <c r="D2" s="11">
        <v>45808</v>
      </c>
      <c r="E2" s="5">
        <v>0</v>
      </c>
      <c r="F2" s="5">
        <v>2.12</v>
      </c>
      <c r="G2" s="5">
        <v>0</v>
      </c>
      <c r="H2" s="5">
        <v>2.12</v>
      </c>
      <c r="I2" s="5">
        <v>0</v>
      </c>
      <c r="J2" s="11">
        <v>45810</v>
      </c>
      <c r="K2" s="10">
        <f>IF(J2&gt;0,J2-D2,"")</f>
        <v>2</v>
      </c>
      <c r="M2" s="15" t="s">
        <v>68</v>
      </c>
      <c r="N2" s="15" t="s">
        <v>69</v>
      </c>
      <c r="O2" s="7" t="s">
        <v>70</v>
      </c>
      <c r="P2" s="7" t="s">
        <v>71</v>
      </c>
      <c r="Q2" s="38"/>
      <c r="R2" s="38"/>
      <c r="S2" s="38"/>
      <c r="Y2" s="11">
        <f>B3</f>
        <v>45702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11</v>
      </c>
      <c r="B3" s="11">
        <v>45702</v>
      </c>
      <c r="D3" s="11">
        <v>45900</v>
      </c>
      <c r="E3" s="5">
        <v>0</v>
      </c>
      <c r="F3" s="5">
        <v>1.89</v>
      </c>
      <c r="G3" s="5">
        <v>0</v>
      </c>
      <c r="H3" s="5">
        <v>1.89</v>
      </c>
      <c r="I3" s="5">
        <v>0</v>
      </c>
      <c r="J3" s="11">
        <v>45903</v>
      </c>
      <c r="K3" s="10">
        <f t="shared" ref="K3:K41" si="0">IF(J3&gt;0,J3-D3,"")</f>
        <v>3</v>
      </c>
      <c r="M3" s="5">
        <f>B11</f>
        <v>100</v>
      </c>
      <c r="N3" s="5">
        <f>G42</f>
        <v>100</v>
      </c>
      <c r="O3" s="5">
        <f t="shared" ref="O3" si="1">H42</f>
        <v>7.46</v>
      </c>
      <c r="P3" s="5">
        <f>H42+I42</f>
        <v>7.46</v>
      </c>
      <c r="Q3" s="13">
        <f>IF(M3=N3,XIRR(Z2:Z41,Y2:Y41),"")</f>
        <v>7.5409254431724568E-2</v>
      </c>
      <c r="R3" s="11">
        <f>IF(M3=N3,B14,"")</f>
        <v>46073</v>
      </c>
      <c r="S3" s="3" t="str">
        <f ca="1">IF(COUNTIFS(D:D,"&lt;"&amp;TODAY(),J:J,"")=0,"",TODAY()-_xlfn.MINIFS(D:D,D:D,"&lt;"&amp;TODAY(),J:J,""))</f>
        <v/>
      </c>
      <c r="Y3" s="11">
        <f>J2</f>
        <v>45810</v>
      </c>
      <c r="Z3" s="5">
        <f>G2+H2+I2</f>
        <v>2.12</v>
      </c>
    </row>
    <row r="4" spans="1:27" x14ac:dyDescent="0.25">
      <c r="A4" s="8" t="s">
        <v>15</v>
      </c>
      <c r="B4" s="11">
        <v>45705</v>
      </c>
      <c r="D4" s="11">
        <v>45991</v>
      </c>
      <c r="E4" s="5">
        <v>0</v>
      </c>
      <c r="F4" s="5">
        <v>1.87</v>
      </c>
      <c r="G4" s="5">
        <v>0</v>
      </c>
      <c r="H4" s="5">
        <v>1.87</v>
      </c>
      <c r="I4" s="5">
        <v>0</v>
      </c>
      <c r="J4" s="11">
        <v>45992</v>
      </c>
      <c r="K4" s="10">
        <f t="shared" si="0"/>
        <v>1</v>
      </c>
      <c r="Y4" s="11">
        <f t="shared" ref="Y4:Y14" si="2">J3</f>
        <v>45903</v>
      </c>
      <c r="Z4" s="5">
        <f t="shared" ref="Z4:Z14" si="3">G3+H3+I3</f>
        <v>1.89</v>
      </c>
    </row>
    <row r="5" spans="1:27" x14ac:dyDescent="0.25">
      <c r="A5" s="8" t="s">
        <v>4</v>
      </c>
      <c r="B5" s="3" t="s">
        <v>5</v>
      </c>
      <c r="D5" s="11">
        <v>46068</v>
      </c>
      <c r="E5" s="5">
        <v>100</v>
      </c>
      <c r="F5" s="5">
        <v>1.58</v>
      </c>
      <c r="G5" s="5">
        <v>100</v>
      </c>
      <c r="H5" s="5">
        <v>1.58</v>
      </c>
      <c r="I5" s="5">
        <v>0</v>
      </c>
      <c r="J5" s="11">
        <v>46073</v>
      </c>
      <c r="K5" s="10">
        <f t="shared" si="0"/>
        <v>5</v>
      </c>
      <c r="Y5" s="11">
        <f t="shared" si="2"/>
        <v>45992</v>
      </c>
      <c r="Z5" s="5">
        <f t="shared" si="3"/>
        <v>1.87</v>
      </c>
    </row>
    <row r="6" spans="1:27" x14ac:dyDescent="0.25">
      <c r="A6" s="8" t="s">
        <v>10</v>
      </c>
      <c r="B6" s="4">
        <v>0.7</v>
      </c>
      <c r="D6" s="16"/>
      <c r="E6" s="5"/>
      <c r="F6" s="5"/>
      <c r="G6" s="5"/>
      <c r="H6" s="5"/>
      <c r="I6" s="5"/>
      <c r="J6" s="17"/>
      <c r="K6" s="10" t="str">
        <f t="shared" si="0"/>
        <v/>
      </c>
      <c r="Y6" s="11">
        <f t="shared" si="2"/>
        <v>46073</v>
      </c>
      <c r="Z6" s="5">
        <f t="shared" si="3"/>
        <v>101.58</v>
      </c>
    </row>
    <row r="7" spans="1:27" x14ac:dyDescent="0.25">
      <c r="A7" s="8" t="s">
        <v>31</v>
      </c>
      <c r="B7" s="4" t="s">
        <v>32</v>
      </c>
      <c r="D7" s="11"/>
      <c r="E7" s="3"/>
      <c r="F7" s="5"/>
      <c r="G7" s="3"/>
      <c r="H7" s="5"/>
      <c r="I7" s="5"/>
      <c r="J7" s="17"/>
      <c r="K7" s="10" t="str">
        <f t="shared" si="0"/>
        <v/>
      </c>
      <c r="Y7" s="11">
        <f t="shared" si="2"/>
        <v>0</v>
      </c>
      <c r="Z7" s="5">
        <f t="shared" si="3"/>
        <v>0</v>
      </c>
    </row>
    <row r="8" spans="1:27" x14ac:dyDescent="0.25">
      <c r="A8" s="8" t="s">
        <v>6</v>
      </c>
      <c r="B8" s="3">
        <v>12</v>
      </c>
      <c r="D8" s="11"/>
      <c r="E8" s="2"/>
      <c r="F8" s="2"/>
      <c r="G8" s="2"/>
      <c r="H8" s="2"/>
      <c r="I8" s="2"/>
      <c r="J8" s="17"/>
      <c r="K8" s="10" t="str">
        <f t="shared" si="0"/>
        <v/>
      </c>
      <c r="Y8" s="11">
        <f t="shared" si="2"/>
        <v>0</v>
      </c>
      <c r="Z8" s="5">
        <f t="shared" si="3"/>
        <v>0</v>
      </c>
    </row>
    <row r="9" spans="1:27" x14ac:dyDescent="0.25">
      <c r="A9" s="8" t="s">
        <v>7</v>
      </c>
      <c r="B9" s="3" t="s">
        <v>12</v>
      </c>
      <c r="D9" s="11"/>
      <c r="E9" s="2"/>
      <c r="F9" s="2"/>
      <c r="G9" s="2"/>
      <c r="H9" s="2"/>
      <c r="I9" s="2"/>
      <c r="J9" s="17"/>
      <c r="K9" s="10" t="str">
        <f t="shared" si="0"/>
        <v/>
      </c>
      <c r="Y9" s="11">
        <f t="shared" si="2"/>
        <v>0</v>
      </c>
      <c r="Z9" s="5">
        <f t="shared" si="3"/>
        <v>0</v>
      </c>
    </row>
    <row r="10" spans="1:27" x14ac:dyDescent="0.25">
      <c r="A10" s="8" t="s">
        <v>9</v>
      </c>
      <c r="B10" s="6">
        <v>7.4999999999999997E-2</v>
      </c>
      <c r="D10" s="11"/>
      <c r="E10" s="2"/>
      <c r="F10" s="2"/>
      <c r="G10" s="2"/>
      <c r="H10" s="2"/>
      <c r="I10" s="2"/>
      <c r="J10" s="17"/>
      <c r="K10" s="10" t="str">
        <f t="shared" si="0"/>
        <v/>
      </c>
      <c r="Y10" s="11">
        <f t="shared" si="2"/>
        <v>0</v>
      </c>
      <c r="Z10" s="5">
        <f t="shared" si="3"/>
        <v>0</v>
      </c>
    </row>
    <row r="11" spans="1:27" x14ac:dyDescent="0.25">
      <c r="A11" s="8" t="s">
        <v>95</v>
      </c>
      <c r="B11" s="5">
        <v>100</v>
      </c>
      <c r="D11" s="11"/>
      <c r="E11" s="2"/>
      <c r="F11" s="2"/>
      <c r="G11" s="2"/>
      <c r="H11" s="2"/>
      <c r="I11" s="2"/>
      <c r="J11" s="17"/>
      <c r="K11" s="10" t="str">
        <f t="shared" si="0"/>
        <v/>
      </c>
      <c r="Y11" s="11">
        <f t="shared" si="2"/>
        <v>0</v>
      </c>
      <c r="Z11" s="5">
        <f t="shared" si="3"/>
        <v>0</v>
      </c>
    </row>
    <row r="12" spans="1:27" x14ac:dyDescent="0.25">
      <c r="A12" s="8" t="s">
        <v>76</v>
      </c>
      <c r="B12" s="21">
        <v>46068</v>
      </c>
      <c r="D12" s="11"/>
      <c r="E12" s="2"/>
      <c r="F12" s="2"/>
      <c r="G12" s="2"/>
      <c r="H12" s="2"/>
      <c r="I12" s="2"/>
      <c r="J12" s="17"/>
      <c r="K12" s="10" t="str">
        <f t="shared" si="0"/>
        <v/>
      </c>
      <c r="Y12" s="11">
        <f t="shared" si="2"/>
        <v>0</v>
      </c>
      <c r="Z12" s="5">
        <f t="shared" si="3"/>
        <v>0</v>
      </c>
    </row>
    <row r="13" spans="1:27" x14ac:dyDescent="0.25">
      <c r="A13" s="8" t="s">
        <v>83</v>
      </c>
      <c r="B13" s="10" t="str">
        <f ca="1">IF(B11&lt;&gt;N3,(TODAY()-B12)*-1,"")</f>
        <v/>
      </c>
      <c r="D13" s="11"/>
      <c r="E13" s="2"/>
      <c r="F13" s="2"/>
      <c r="G13" s="2"/>
      <c r="H13" s="2"/>
      <c r="I13" s="2"/>
      <c r="J13" s="11"/>
      <c r="K13" s="10" t="str">
        <f t="shared" si="0"/>
        <v/>
      </c>
      <c r="Y13" s="11">
        <f t="shared" si="2"/>
        <v>0</v>
      </c>
      <c r="Z13" s="5">
        <f t="shared" si="3"/>
        <v>0</v>
      </c>
    </row>
    <row r="14" spans="1:27" x14ac:dyDescent="0.25">
      <c r="A14" s="8" t="s">
        <v>69</v>
      </c>
      <c r="B14" s="11">
        <v>46073</v>
      </c>
      <c r="D14" s="7"/>
      <c r="E14" s="5"/>
      <c r="F14" s="5"/>
      <c r="G14" s="5"/>
      <c r="H14" s="5"/>
      <c r="I14" s="5"/>
      <c r="J14" s="3"/>
      <c r="K14" s="10" t="str">
        <f t="shared" si="0"/>
        <v/>
      </c>
      <c r="Y14" s="11">
        <f t="shared" si="2"/>
        <v>0</v>
      </c>
      <c r="Z14" s="5">
        <f t="shared" si="3"/>
        <v>0</v>
      </c>
    </row>
    <row r="15" spans="1:27" x14ac:dyDescent="0.25">
      <c r="A15" s="8" t="s">
        <v>92</v>
      </c>
      <c r="B15" s="3">
        <f>IF(M3=N3,B14-B12,"")</f>
        <v>5</v>
      </c>
      <c r="D15" s="7"/>
      <c r="E15" s="5"/>
      <c r="F15" s="5"/>
      <c r="G15" s="5"/>
      <c r="H15" s="5"/>
      <c r="I15" s="5"/>
      <c r="J15" s="3"/>
      <c r="K15" s="10" t="str">
        <f t="shared" si="0"/>
        <v/>
      </c>
      <c r="Y15" s="11">
        <f t="shared" ref="Y15:Y41" si="4">J14</f>
        <v>0</v>
      </c>
      <c r="Z15" s="5">
        <f t="shared" ref="Z15:Z41" si="5">G14+H14+I14</f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10" t="str">
        <f t="shared" si="0"/>
        <v/>
      </c>
      <c r="Y16" s="11">
        <f t="shared" si="4"/>
        <v>0</v>
      </c>
      <c r="Z16" s="5">
        <f t="shared" si="5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10" t="str">
        <f t="shared" si="0"/>
        <v/>
      </c>
      <c r="Y17" s="11">
        <f t="shared" si="4"/>
        <v>0</v>
      </c>
      <c r="Z17" s="5">
        <f t="shared" si="5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10" t="str">
        <f t="shared" si="0"/>
        <v/>
      </c>
      <c r="Y18" s="11">
        <f t="shared" si="4"/>
        <v>0</v>
      </c>
      <c r="Z18" s="5">
        <f t="shared" si="5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10" t="str">
        <f t="shared" si="0"/>
        <v/>
      </c>
      <c r="Y19" s="11">
        <f t="shared" si="4"/>
        <v>0</v>
      </c>
      <c r="Z19" s="5">
        <f t="shared" si="5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10" t="str">
        <f t="shared" si="0"/>
        <v/>
      </c>
      <c r="Y20" s="11">
        <f t="shared" si="4"/>
        <v>0</v>
      </c>
      <c r="Z20" s="5">
        <f t="shared" si="5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10" t="str">
        <f t="shared" si="0"/>
        <v/>
      </c>
      <c r="Y21" s="11">
        <f t="shared" si="4"/>
        <v>0</v>
      </c>
      <c r="Z21" s="5">
        <f t="shared" si="5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10" t="str">
        <f t="shared" si="0"/>
        <v/>
      </c>
      <c r="Y22" s="11">
        <f t="shared" si="4"/>
        <v>0</v>
      </c>
      <c r="Z22" s="5">
        <f t="shared" si="5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10" t="str">
        <f t="shared" si="0"/>
        <v/>
      </c>
      <c r="Y23" s="11">
        <f t="shared" si="4"/>
        <v>0</v>
      </c>
      <c r="Z23" s="5">
        <f t="shared" si="5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10" t="str">
        <f t="shared" si="0"/>
        <v/>
      </c>
      <c r="Y24" s="11">
        <f t="shared" si="4"/>
        <v>0</v>
      </c>
      <c r="Z24" s="5">
        <f t="shared" si="5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10" t="str">
        <f t="shared" si="0"/>
        <v/>
      </c>
      <c r="Y25" s="11">
        <f t="shared" si="4"/>
        <v>0</v>
      </c>
      <c r="Z25" s="5">
        <f t="shared" si="5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10" t="str">
        <f t="shared" si="0"/>
        <v/>
      </c>
      <c r="Y26" s="11">
        <f t="shared" si="4"/>
        <v>0</v>
      </c>
      <c r="Z26" s="5">
        <f t="shared" si="5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10" t="str">
        <f t="shared" si="0"/>
        <v/>
      </c>
      <c r="Y27" s="11">
        <f t="shared" si="4"/>
        <v>0</v>
      </c>
      <c r="Z27" s="5">
        <f t="shared" si="5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10" t="str">
        <f t="shared" si="0"/>
        <v/>
      </c>
      <c r="Y28" s="11">
        <f t="shared" si="4"/>
        <v>0</v>
      </c>
      <c r="Z28" s="5">
        <f t="shared" si="5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10" t="str">
        <f t="shared" si="0"/>
        <v/>
      </c>
      <c r="Y29" s="11">
        <f t="shared" si="4"/>
        <v>0</v>
      </c>
      <c r="Z29" s="5">
        <f t="shared" si="5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10" t="str">
        <f t="shared" si="0"/>
        <v/>
      </c>
      <c r="Y30" s="11">
        <f t="shared" si="4"/>
        <v>0</v>
      </c>
      <c r="Z30" s="5">
        <f t="shared" si="5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10" t="str">
        <f t="shared" si="0"/>
        <v/>
      </c>
      <c r="Y31" s="11">
        <f t="shared" si="4"/>
        <v>0</v>
      </c>
      <c r="Z31" s="5">
        <f t="shared" si="5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10" t="str">
        <f t="shared" si="0"/>
        <v/>
      </c>
      <c r="Y32" s="11">
        <f t="shared" si="4"/>
        <v>0</v>
      </c>
      <c r="Z32" s="5">
        <f t="shared" si="5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10" t="str">
        <f t="shared" si="0"/>
        <v/>
      </c>
      <c r="Y33" s="11">
        <f t="shared" si="4"/>
        <v>0</v>
      </c>
      <c r="Z33" s="5">
        <f t="shared" si="5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10" t="str">
        <f t="shared" si="0"/>
        <v/>
      </c>
      <c r="Y34" s="11">
        <f t="shared" si="4"/>
        <v>0</v>
      </c>
      <c r="Z34" s="5">
        <f t="shared" si="5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10" t="str">
        <f t="shared" si="0"/>
        <v/>
      </c>
      <c r="Y35" s="11">
        <f t="shared" si="4"/>
        <v>0</v>
      </c>
      <c r="Z35" s="5">
        <f t="shared" si="5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10" t="str">
        <f t="shared" si="0"/>
        <v/>
      </c>
      <c r="Y36" s="11">
        <f t="shared" si="4"/>
        <v>0</v>
      </c>
      <c r="Z36" s="5">
        <f t="shared" si="5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10" t="str">
        <f t="shared" si="0"/>
        <v/>
      </c>
      <c r="Y37" s="11">
        <f t="shared" si="4"/>
        <v>0</v>
      </c>
      <c r="Z37" s="5">
        <f t="shared" si="5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10" t="str">
        <f t="shared" si="0"/>
        <v/>
      </c>
      <c r="Y38" s="11">
        <f t="shared" si="4"/>
        <v>0</v>
      </c>
      <c r="Z38" s="5">
        <f t="shared" si="5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10" t="str">
        <f t="shared" si="0"/>
        <v/>
      </c>
      <c r="Y39" s="11">
        <f t="shared" si="4"/>
        <v>0</v>
      </c>
      <c r="Z39" s="5">
        <f t="shared" si="5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10" t="str">
        <f t="shared" si="0"/>
        <v/>
      </c>
      <c r="Y40" s="11">
        <f t="shared" si="4"/>
        <v>0</v>
      </c>
      <c r="Z40" s="5">
        <f t="shared" si="5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10" t="str">
        <f t="shared" si="0"/>
        <v/>
      </c>
      <c r="Y41" s="11">
        <f t="shared" si="4"/>
        <v>0</v>
      </c>
      <c r="Z41" s="5">
        <f t="shared" si="5"/>
        <v>0</v>
      </c>
    </row>
    <row r="42" spans="4:26" x14ac:dyDescent="0.25">
      <c r="D42" s="7" t="s">
        <v>14</v>
      </c>
      <c r="E42" s="5">
        <f>SUM(E2:E41)</f>
        <v>100</v>
      </c>
      <c r="F42" s="5">
        <f t="shared" ref="F42:I42" si="6">SUM(F2:F41)</f>
        <v>7.46</v>
      </c>
      <c r="G42" s="5">
        <f t="shared" si="6"/>
        <v>100</v>
      </c>
      <c r="H42" s="5">
        <f t="shared" si="6"/>
        <v>7.46</v>
      </c>
      <c r="I42" s="5">
        <f t="shared" si="6"/>
        <v>0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" priority="3">
      <formula>$M$3=$N$3</formula>
    </cfRule>
    <cfRule type="expression" dxfId="2" priority="4">
      <formula>$AA$2="+"</formula>
    </cfRule>
  </conditionalFormatting>
  <conditionalFormatting sqref="S3">
    <cfRule type="expression" dxfId="1" priority="2">
      <formula>$AA$2="+"</formula>
    </cfRule>
  </conditionalFormatting>
  <conditionalFormatting sqref="AA2">
    <cfRule type="expression" dxfId="0" priority="1">
      <formula>$AA$2="+"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Pinigai</vt:lpstr>
      <vt:lpstr>Namas Laipu 2, Jūrmala</vt:lpstr>
      <vt:lpstr>Daugiabutis Brivibas 140, Ryga</vt:lpstr>
      <vt:lpstr>Daugiabučiai Lietaviškių g.</vt:lpstr>
      <vt:lpstr>Senvagės loftai, Panevėžys VIII</vt:lpstr>
      <vt:lpstr>Dvibučių kvartalas Kauno r. II</vt:lpstr>
      <vt:lpstr>Molėtų Oazė XII</vt:lpstr>
      <vt:lpstr>Europos 70, Kaunas XX</vt:lpstr>
      <vt:lpstr>Brivibas 28, Jūrmala</vt:lpstr>
      <vt:lpstr>Svajonių Daugiabutis, Kaunas</vt:lpstr>
      <vt:lpstr>Golf Hills Vilos, Alikantė</vt:lpstr>
      <vt:lpstr>Sklypas Kalnėnuose, Vilnius II</vt:lpstr>
      <vt:lpstr>Dvibutis Didžiojoje Riešėje</vt:lpstr>
      <vt:lpstr>Piekrasta Rezidence, Ryga XII</vt:lpstr>
      <vt:lpstr>Dvibutis Upelio g., Vilniaus r.</vt:lpstr>
      <vt:lpstr>Dvibutis Klevų g.</vt:lpstr>
      <vt:lpstr>Dvibutis Upės g.</vt:lpstr>
      <vt:lpstr>Vyčio slėnis VIII</vt:lpstr>
      <vt:lpstr>Twinhouse XIII</vt:lpstr>
      <vt:lpstr>Kęstučio salos</vt:lpstr>
      <vt:lpstr>Elfa loftai II</vt:lpstr>
      <vt:lpstr>Piekrasta rezidence</vt:lpstr>
      <vt:lpstr>Bičių slėnis XVII</vt:lpstr>
      <vt:lpstr>Ocean 11 South,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2026-09-30T17:07:51Z</dcterms:modified>
</cp:coreProperties>
</file>