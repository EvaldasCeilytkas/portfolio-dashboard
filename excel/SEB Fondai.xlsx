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nvestavimas 2026.06.03\SEB\Fondai\"/>
    </mc:Choice>
  </mc:AlternateContent>
  <xr:revisionPtr revIDLastSave="0" documentId="13_ncr:1_{A4828E9B-F182-4588-A529-897AAA4EB19A}" xr6:coauthVersionLast="47" xr6:coauthVersionMax="47" xr10:uidLastSave="{00000000-0000-0000-0000-000000000000}"/>
  <bookViews>
    <workbookView xWindow="-120" yWindow="-120" windowWidth="29040" windowHeight="17520" firstSheet="7" activeTab="9" xr2:uid="{00000000-000D-0000-FFFF-FFFF00000000}"/>
  </bookViews>
  <sheets>
    <sheet name="Apžvalga" sheetId="58" r:id="rId1"/>
    <sheet name="SEB Active 55" sheetId="8" r:id="rId2"/>
    <sheet name="SEB Active 80" sheetId="2" r:id="rId3"/>
    <sheet name="SEB Artificial Intelligence Fun" sheetId="35" r:id="rId4"/>
    <sheet name="SEB Global High Yield Fund" sheetId="46" r:id="rId5"/>
    <sheet name="SEB Global Exposure fund UD" sheetId="48" r:id="rId6"/>
    <sheet name="SEB Europe Exposure Fund UC" sheetId="52" r:id="rId7"/>
    <sheet name="SEB US Exposure Fund UD" sheetId="54" r:id="rId8"/>
    <sheet name="SEB Europe Exposure Fund UD" sheetId="55" r:id="rId9"/>
    <sheet name="2026.06" sheetId="70" r:id="rId10"/>
    <sheet name="2026.05" sheetId="69" r:id="rId11"/>
    <sheet name="2026.04" sheetId="68" r:id="rId12"/>
    <sheet name="2026.03" sheetId="67" r:id="rId13"/>
    <sheet name="2026.02" sheetId="66" r:id="rId14"/>
    <sheet name="2026.01" sheetId="65" r:id="rId15"/>
    <sheet name="2025.12" sheetId="64" r:id="rId16"/>
    <sheet name="2025.11" sheetId="63" r:id="rId17"/>
    <sheet name="2025.10" sheetId="62" r:id="rId18"/>
    <sheet name="2025.09" sheetId="61" r:id="rId19"/>
    <sheet name="2025.08" sheetId="60" r:id="rId20"/>
    <sheet name="2025.07" sheetId="59" r:id="rId21"/>
    <sheet name="2025.06" sheetId="57" r:id="rId22"/>
    <sheet name="2025.05" sheetId="56" r:id="rId23"/>
    <sheet name="2025.04" sheetId="53" r:id="rId24"/>
    <sheet name="2025.03" sheetId="51" r:id="rId25"/>
    <sheet name="2025.02" sheetId="50" r:id="rId26"/>
    <sheet name="2025.01" sheetId="49" r:id="rId27"/>
    <sheet name="2024.12" sheetId="47" r:id="rId28"/>
    <sheet name="2024.11" sheetId="45" r:id="rId29"/>
    <sheet name="2024.10" sheetId="44" r:id="rId30"/>
    <sheet name="2024.09" sheetId="43" r:id="rId31"/>
    <sheet name="2024.08" sheetId="42" r:id="rId32"/>
    <sheet name="2024.07" sheetId="41" r:id="rId33"/>
    <sheet name="2024.06" sheetId="40" r:id="rId34"/>
    <sheet name="2024.05" sheetId="39" r:id="rId35"/>
    <sheet name="2024.04" sheetId="38" r:id="rId36"/>
    <sheet name="2024.03" sheetId="37" r:id="rId37"/>
    <sheet name="2024.02" sheetId="36" r:id="rId38"/>
    <sheet name="2024.01" sheetId="34" r:id="rId39"/>
    <sheet name="2023.12" sheetId="33" r:id="rId40"/>
    <sheet name="2023.11" sheetId="32" r:id="rId41"/>
    <sheet name="2023.10" sheetId="31" r:id="rId42"/>
    <sheet name="2023.09" sheetId="30" r:id="rId43"/>
    <sheet name="2023.08" sheetId="29" r:id="rId44"/>
    <sheet name="2023.07" sheetId="28" r:id="rId45"/>
    <sheet name="2023.06" sheetId="27" r:id="rId46"/>
    <sheet name="2023.05" sheetId="26" r:id="rId47"/>
    <sheet name="2023.04" sheetId="25" r:id="rId48"/>
    <sheet name="2023.03" sheetId="24" r:id="rId49"/>
    <sheet name="2023.02" sheetId="23" r:id="rId50"/>
    <sheet name="2023.01" sheetId="22" r:id="rId51"/>
    <sheet name="2022.12" sheetId="21" r:id="rId52"/>
    <sheet name="2022.11" sheetId="20" r:id="rId53"/>
    <sheet name="2022.10" sheetId="19" r:id="rId54"/>
    <sheet name="2022.09" sheetId="18" r:id="rId55"/>
    <sheet name="2022.08" sheetId="17" r:id="rId56"/>
    <sheet name="2022.07" sheetId="16" r:id="rId57"/>
    <sheet name="2022.06" sheetId="15" r:id="rId58"/>
    <sheet name="2022.05" sheetId="14" r:id="rId59"/>
    <sheet name="2022.04" sheetId="13" r:id="rId60"/>
    <sheet name="2022.03" sheetId="12" r:id="rId61"/>
    <sheet name="2022.02" sheetId="11" r:id="rId62"/>
    <sheet name="2022.01" sheetId="10" r:id="rId63"/>
    <sheet name="2021.12" sheetId="9" r:id="rId64"/>
    <sheet name="2021.11" sheetId="7" r:id="rId65"/>
    <sheet name="2021.10" sheetId="6" r:id="rId66"/>
    <sheet name="2021.09" sheetId="5" r:id="rId67"/>
    <sheet name="2021.08" sheetId="4" r:id="rId68"/>
    <sheet name="2021.07" sheetId="3" r:id="rId69"/>
    <sheet name="2021.06" sheetId="1" r:id="rId70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3" i="58" l="1"/>
  <c r="R63" i="58"/>
  <c r="Q63" i="58"/>
  <c r="P63" i="58"/>
  <c r="D63" i="58"/>
  <c r="C63" i="58"/>
  <c r="B63" i="58"/>
  <c r="A63" i="58"/>
  <c r="E63" i="58"/>
  <c r="L15" i="70"/>
  <c r="AF69" i="8"/>
  <c r="AG68" i="8"/>
  <c r="AG67" i="8"/>
  <c r="AG66" i="8"/>
  <c r="AG65" i="8"/>
  <c r="AG64" i="8"/>
  <c r="AF68" i="8"/>
  <c r="AF67" i="8"/>
  <c r="AF66" i="8"/>
  <c r="AF65" i="8"/>
  <c r="AF64" i="8"/>
  <c r="AG63" i="8"/>
  <c r="AF63" i="8"/>
  <c r="AG62" i="8"/>
  <c r="AG61" i="8"/>
  <c r="AG60" i="8"/>
  <c r="AG59" i="8"/>
  <c r="AG58" i="8"/>
  <c r="AG57" i="8"/>
  <c r="AG56" i="8"/>
  <c r="AG55" i="8"/>
  <c r="AG54" i="8"/>
  <c r="AG53" i="8"/>
  <c r="AG52" i="8"/>
  <c r="AF62" i="8"/>
  <c r="AF61" i="8"/>
  <c r="AF60" i="8"/>
  <c r="AF59" i="8"/>
  <c r="AF58" i="8"/>
  <c r="AF57" i="8"/>
  <c r="AF56" i="8"/>
  <c r="AF55" i="8"/>
  <c r="AF54" i="8"/>
  <c r="AF53" i="8"/>
  <c r="AF52" i="8"/>
  <c r="AG51" i="8"/>
  <c r="AF51" i="8"/>
  <c r="AG50" i="8"/>
  <c r="AG49" i="8"/>
  <c r="AG48" i="8"/>
  <c r="AG47" i="8"/>
  <c r="AG46" i="8"/>
  <c r="AG45" i="8"/>
  <c r="AG44" i="8"/>
  <c r="AG43" i="8"/>
  <c r="AG42" i="8"/>
  <c r="AG41" i="8"/>
  <c r="AG40" i="8"/>
  <c r="AF50" i="8"/>
  <c r="AF49" i="8"/>
  <c r="AF48" i="8"/>
  <c r="AF47" i="8"/>
  <c r="AF46" i="8"/>
  <c r="AF45" i="8"/>
  <c r="AF44" i="8"/>
  <c r="AF43" i="8"/>
  <c r="AF42" i="8"/>
  <c r="AF41" i="8"/>
  <c r="AF40" i="8"/>
  <c r="AG39" i="8"/>
  <c r="AF39" i="8"/>
  <c r="AG38" i="8"/>
  <c r="AG37" i="8"/>
  <c r="AG36" i="8"/>
  <c r="AG35" i="8"/>
  <c r="AG34" i="8"/>
  <c r="AG33" i="8"/>
  <c r="AG32" i="8"/>
  <c r="AG31" i="8"/>
  <c r="AG30" i="8"/>
  <c r="AG29" i="8"/>
  <c r="AG28" i="8"/>
  <c r="AF38" i="8"/>
  <c r="AF37" i="8"/>
  <c r="AF36" i="8"/>
  <c r="AF35" i="8"/>
  <c r="AF34" i="8"/>
  <c r="AF33" i="8"/>
  <c r="AF32" i="8"/>
  <c r="AF31" i="8"/>
  <c r="AF30" i="8"/>
  <c r="AF29" i="8"/>
  <c r="AF28" i="8"/>
  <c r="AG27" i="8"/>
  <c r="AF27" i="8"/>
  <c r="AG26" i="8"/>
  <c r="AG25" i="8"/>
  <c r="AG24" i="8"/>
  <c r="AG23" i="8"/>
  <c r="AG22" i="8"/>
  <c r="AG21" i="8"/>
  <c r="AG20" i="8"/>
  <c r="AG19" i="8"/>
  <c r="AG18" i="8"/>
  <c r="AG17" i="8"/>
  <c r="AF26" i="8"/>
  <c r="AF25" i="8"/>
  <c r="AF24" i="8"/>
  <c r="AF23" i="8"/>
  <c r="AF22" i="8"/>
  <c r="AF21" i="8"/>
  <c r="AF20" i="8"/>
  <c r="AF19" i="8"/>
  <c r="AF18" i="8"/>
  <c r="AF17" i="8"/>
  <c r="AG16" i="8"/>
  <c r="AF16" i="8"/>
  <c r="AG15" i="8"/>
  <c r="AF15" i="8"/>
  <c r="AG14" i="8"/>
  <c r="AF14" i="8"/>
  <c r="AG13" i="8"/>
  <c r="AF13" i="8"/>
  <c r="AG12" i="8"/>
  <c r="AF12" i="8"/>
  <c r="AG11" i="8"/>
  <c r="AF11" i="8"/>
  <c r="AG10" i="8"/>
  <c r="AF10" i="8"/>
  <c r="AG9" i="8"/>
  <c r="AF9" i="8"/>
  <c r="AG8" i="8"/>
  <c r="AF8" i="8"/>
  <c r="AG7" i="8"/>
  <c r="AF7" i="8"/>
  <c r="AG6" i="8"/>
  <c r="AF6" i="8"/>
  <c r="AG5" i="8"/>
  <c r="AF5" i="8"/>
  <c r="U5" i="55" l="1"/>
  <c r="AG5" i="55"/>
  <c r="AF5" i="55"/>
  <c r="AG11" i="55"/>
  <c r="U5" i="54"/>
  <c r="AG12" i="54"/>
  <c r="AG5" i="54"/>
  <c r="AF5" i="54"/>
  <c r="U5" i="52"/>
  <c r="AG13" i="52"/>
  <c r="AG5" i="52"/>
  <c r="AF5" i="52"/>
  <c r="U5" i="48"/>
  <c r="AG15" i="48"/>
  <c r="AG6" i="48"/>
  <c r="AF6" i="48"/>
  <c r="AG5" i="48"/>
  <c r="AF5" i="48"/>
  <c r="U5" i="46"/>
  <c r="AG17" i="46"/>
  <c r="AG5" i="46"/>
  <c r="AF5" i="46"/>
  <c r="U5" i="35"/>
  <c r="AG27" i="35"/>
  <c r="AG6" i="35"/>
  <c r="AF6" i="35"/>
  <c r="AG5" i="35"/>
  <c r="AF5" i="35"/>
  <c r="AG47" i="2"/>
  <c r="AF47" i="2"/>
  <c r="AG46" i="2"/>
  <c r="AF46" i="2"/>
  <c r="AG45" i="2"/>
  <c r="AG44" i="2"/>
  <c r="AF45" i="2"/>
  <c r="AF44" i="2"/>
  <c r="AG43" i="2"/>
  <c r="AG42" i="2"/>
  <c r="AF43" i="2"/>
  <c r="AF42" i="2"/>
  <c r="AG41" i="2"/>
  <c r="AF41" i="2"/>
  <c r="AG40" i="2"/>
  <c r="AG39" i="2"/>
  <c r="AF40" i="2"/>
  <c r="AF39" i="2"/>
  <c r="AG38" i="2"/>
  <c r="AF38" i="2"/>
  <c r="AG37" i="2"/>
  <c r="AG36" i="2"/>
  <c r="AF37" i="2"/>
  <c r="AF36" i="2"/>
  <c r="AG35" i="2"/>
  <c r="AG34" i="2"/>
  <c r="AF35" i="2"/>
  <c r="AF34" i="2"/>
  <c r="AG33" i="2"/>
  <c r="AG32" i="2"/>
  <c r="AF33" i="2"/>
  <c r="AF32" i="2"/>
  <c r="AG31" i="2"/>
  <c r="AF31" i="2"/>
  <c r="AG30" i="2"/>
  <c r="AF30" i="2"/>
  <c r="AG29" i="2"/>
  <c r="AF29" i="2"/>
  <c r="AG28" i="2"/>
  <c r="AG27" i="2"/>
  <c r="AF28" i="2"/>
  <c r="AF27" i="2"/>
  <c r="AG26" i="2"/>
  <c r="AF26" i="2"/>
  <c r="AG25" i="2"/>
  <c r="AG24" i="2"/>
  <c r="AF25" i="2"/>
  <c r="AF24" i="2"/>
  <c r="AF23" i="2"/>
  <c r="AG23" i="2"/>
  <c r="AG22" i="2"/>
  <c r="AF22" i="2"/>
  <c r="AG21" i="2"/>
  <c r="AF21" i="2"/>
  <c r="AG20" i="2"/>
  <c r="AF20" i="2"/>
  <c r="AG19" i="2"/>
  <c r="AF19" i="2"/>
  <c r="AG18" i="2"/>
  <c r="AF18" i="2"/>
  <c r="AG17" i="2"/>
  <c r="AG16" i="2"/>
  <c r="AF17" i="2"/>
  <c r="AF16" i="2"/>
  <c r="AG15" i="2"/>
  <c r="AG14" i="2"/>
  <c r="AF15" i="2"/>
  <c r="AF14" i="2"/>
  <c r="AG13" i="2"/>
  <c r="AG12" i="2"/>
  <c r="AF13" i="2"/>
  <c r="AF12" i="2"/>
  <c r="AG11" i="2"/>
  <c r="AG10" i="2"/>
  <c r="AF11" i="2"/>
  <c r="AF10" i="2"/>
  <c r="AG9" i="2"/>
  <c r="AG8" i="2"/>
  <c r="AF9" i="2"/>
  <c r="AF8" i="2"/>
  <c r="AG7" i="2"/>
  <c r="AF7" i="2"/>
  <c r="AG6" i="2"/>
  <c r="AF6" i="2"/>
  <c r="AG65" i="2"/>
  <c r="AG5" i="2"/>
  <c r="AF5" i="2"/>
  <c r="U5" i="2" l="1"/>
  <c r="C65" i="2" l="1"/>
  <c r="B65" i="2"/>
  <c r="A65" i="2"/>
  <c r="K65" i="2"/>
  <c r="L65" i="2"/>
  <c r="M65" i="2"/>
  <c r="L25" i="70"/>
  <c r="L29" i="70" s="1"/>
  <c r="M65" i="8"/>
  <c r="L65" i="8"/>
  <c r="K65" i="8"/>
  <c r="E65" i="8"/>
  <c r="C65" i="8"/>
  <c r="B65" i="8"/>
  <c r="A65" i="8"/>
  <c r="L89" i="70"/>
  <c r="J89" i="70"/>
  <c r="I89" i="70"/>
  <c r="F89" i="70"/>
  <c r="E89" i="70"/>
  <c r="D89" i="70"/>
  <c r="C89" i="70"/>
  <c r="B89" i="70"/>
  <c r="L79" i="70"/>
  <c r="J79" i="70"/>
  <c r="I79" i="70"/>
  <c r="F79" i="70"/>
  <c r="E79" i="70"/>
  <c r="D79" i="70"/>
  <c r="C79" i="70"/>
  <c r="B79" i="70"/>
  <c r="O69" i="70"/>
  <c r="L69" i="70"/>
  <c r="J69" i="70"/>
  <c r="I69" i="70"/>
  <c r="F69" i="70"/>
  <c r="E69" i="70"/>
  <c r="D69" i="70"/>
  <c r="C69" i="70"/>
  <c r="B69" i="70"/>
  <c r="L59" i="70"/>
  <c r="J59" i="70"/>
  <c r="I59" i="70"/>
  <c r="F59" i="70"/>
  <c r="E59" i="70"/>
  <c r="D59" i="70"/>
  <c r="C59" i="70"/>
  <c r="B59" i="70"/>
  <c r="O49" i="70"/>
  <c r="L49" i="70"/>
  <c r="J49" i="70"/>
  <c r="I49" i="70"/>
  <c r="F49" i="70"/>
  <c r="E49" i="70"/>
  <c r="D49" i="70"/>
  <c r="C49" i="70"/>
  <c r="B49" i="70"/>
  <c r="L39" i="70"/>
  <c r="J39" i="70"/>
  <c r="I39" i="70"/>
  <c r="F39" i="70"/>
  <c r="E39" i="70"/>
  <c r="D39" i="70"/>
  <c r="C39" i="70"/>
  <c r="B39" i="70"/>
  <c r="O29" i="70"/>
  <c r="J29" i="70"/>
  <c r="I29" i="70"/>
  <c r="C29" i="70"/>
  <c r="S5" i="70" s="1"/>
  <c r="B29" i="70"/>
  <c r="F29" i="70"/>
  <c r="E65" i="2" s="1"/>
  <c r="D29" i="70"/>
  <c r="O19" i="70"/>
  <c r="X5" i="70" s="1"/>
  <c r="L19" i="70"/>
  <c r="J19" i="70"/>
  <c r="I19" i="70"/>
  <c r="E19" i="70"/>
  <c r="C19" i="70"/>
  <c r="B19" i="70"/>
  <c r="F15" i="70"/>
  <c r="F19" i="70" s="1"/>
  <c r="D15" i="70"/>
  <c r="D19" i="70" s="1"/>
  <c r="Q5" i="70"/>
  <c r="AE64" i="2"/>
  <c r="AE63" i="2"/>
  <c r="AD64" i="2"/>
  <c r="AD63" i="2"/>
  <c r="AE64" i="8"/>
  <c r="AD64" i="8"/>
  <c r="AC64" i="8"/>
  <c r="AC64" i="2"/>
  <c r="AC63" i="2"/>
  <c r="AE63" i="8"/>
  <c r="AD63" i="8"/>
  <c r="AC63" i="8"/>
  <c r="L89" i="69"/>
  <c r="J89" i="69"/>
  <c r="I89" i="69"/>
  <c r="F89" i="69"/>
  <c r="D89" i="69"/>
  <c r="C89" i="69"/>
  <c r="B89" i="69"/>
  <c r="E89" i="69" s="1"/>
  <c r="L79" i="69"/>
  <c r="J79" i="69"/>
  <c r="I79" i="69"/>
  <c r="F79" i="69"/>
  <c r="D79" i="69"/>
  <c r="C79" i="69"/>
  <c r="B79" i="69"/>
  <c r="E79" i="69" s="1"/>
  <c r="O69" i="69"/>
  <c r="L69" i="69"/>
  <c r="J69" i="69"/>
  <c r="I69" i="69"/>
  <c r="F69" i="69"/>
  <c r="D69" i="69"/>
  <c r="C69" i="69"/>
  <c r="B69" i="69"/>
  <c r="E69" i="69" s="1"/>
  <c r="L59" i="69"/>
  <c r="J59" i="69"/>
  <c r="I59" i="69"/>
  <c r="F59" i="69"/>
  <c r="D59" i="69"/>
  <c r="C59" i="69"/>
  <c r="B59" i="69"/>
  <c r="E59" i="69" s="1"/>
  <c r="O49" i="69"/>
  <c r="L49" i="69"/>
  <c r="J49" i="69"/>
  <c r="I49" i="69"/>
  <c r="F49" i="69"/>
  <c r="E49" i="69"/>
  <c r="D49" i="69"/>
  <c r="C49" i="69"/>
  <c r="B49" i="69"/>
  <c r="L39" i="69"/>
  <c r="J39" i="69"/>
  <c r="I39" i="69"/>
  <c r="F39" i="69"/>
  <c r="D39" i="69"/>
  <c r="C39" i="69"/>
  <c r="B39" i="69"/>
  <c r="E39" i="69" s="1"/>
  <c r="L89" i="68"/>
  <c r="J89" i="68"/>
  <c r="I89" i="68"/>
  <c r="F89" i="68"/>
  <c r="D89" i="68"/>
  <c r="C89" i="68"/>
  <c r="B89" i="68"/>
  <c r="E89" i="68" s="1"/>
  <c r="L79" i="68"/>
  <c r="J79" i="68"/>
  <c r="I79" i="68"/>
  <c r="F79" i="68"/>
  <c r="E79" i="68"/>
  <c r="D79" i="68"/>
  <c r="C79" i="68"/>
  <c r="B79" i="68"/>
  <c r="O69" i="68"/>
  <c r="L69" i="68"/>
  <c r="J69" i="68"/>
  <c r="I69" i="68"/>
  <c r="F69" i="68"/>
  <c r="D69" i="68"/>
  <c r="C69" i="68"/>
  <c r="B69" i="68"/>
  <c r="E69" i="68" s="1"/>
  <c r="L59" i="68"/>
  <c r="J59" i="68"/>
  <c r="I59" i="68"/>
  <c r="F59" i="68"/>
  <c r="D59" i="68"/>
  <c r="C59" i="68"/>
  <c r="B59" i="68"/>
  <c r="E59" i="68" s="1"/>
  <c r="O49" i="68"/>
  <c r="L49" i="68"/>
  <c r="J49" i="68"/>
  <c r="I49" i="68"/>
  <c r="F49" i="68"/>
  <c r="D49" i="68"/>
  <c r="C49" i="68"/>
  <c r="B49" i="68"/>
  <c r="E49" i="68" s="1"/>
  <c r="L39" i="68"/>
  <c r="J39" i="68"/>
  <c r="I39" i="68"/>
  <c r="F39" i="68"/>
  <c r="D39" i="68"/>
  <c r="C39" i="68"/>
  <c r="B39" i="68"/>
  <c r="E39" i="68" s="1"/>
  <c r="AE62" i="2"/>
  <c r="AE61" i="2"/>
  <c r="AD62" i="2"/>
  <c r="AD61" i="2"/>
  <c r="AC62" i="2"/>
  <c r="AC61" i="2"/>
  <c r="AE60" i="2"/>
  <c r="AD60" i="2"/>
  <c r="AC60" i="2"/>
  <c r="AE62" i="8"/>
  <c r="AE61" i="8"/>
  <c r="AD62" i="8"/>
  <c r="AD61" i="8"/>
  <c r="AC62" i="8"/>
  <c r="AC61" i="8"/>
  <c r="AE60" i="8"/>
  <c r="AD60" i="8"/>
  <c r="AC60" i="8"/>
  <c r="A64" i="2"/>
  <c r="A63" i="2"/>
  <c r="A62" i="2"/>
  <c r="A61" i="2"/>
  <c r="A60" i="2"/>
  <c r="E29" i="67"/>
  <c r="E19" i="67"/>
  <c r="L89" i="67"/>
  <c r="J89" i="67"/>
  <c r="I89" i="67"/>
  <c r="F89" i="67"/>
  <c r="D89" i="67"/>
  <c r="C89" i="67"/>
  <c r="B89" i="67"/>
  <c r="E89" i="67" s="1"/>
  <c r="L79" i="67"/>
  <c r="J79" i="67"/>
  <c r="I79" i="67"/>
  <c r="F79" i="67"/>
  <c r="D79" i="67"/>
  <c r="C79" i="67"/>
  <c r="B79" i="67"/>
  <c r="E79" i="67" s="1"/>
  <c r="O69" i="67"/>
  <c r="L69" i="67"/>
  <c r="J69" i="67"/>
  <c r="I69" i="67"/>
  <c r="F69" i="67"/>
  <c r="D69" i="67"/>
  <c r="C69" i="67"/>
  <c r="B69" i="67"/>
  <c r="E69" i="67" s="1"/>
  <c r="L59" i="67"/>
  <c r="J59" i="67"/>
  <c r="I59" i="67"/>
  <c r="F59" i="67"/>
  <c r="D59" i="67"/>
  <c r="C59" i="67"/>
  <c r="B59" i="67"/>
  <c r="E59" i="67" s="1"/>
  <c r="O49" i="67"/>
  <c r="L49" i="67"/>
  <c r="J49" i="67"/>
  <c r="I49" i="67"/>
  <c r="F49" i="67"/>
  <c r="D49" i="67"/>
  <c r="C49" i="67"/>
  <c r="B49" i="67"/>
  <c r="E49" i="67" s="1"/>
  <c r="L39" i="67"/>
  <c r="J39" i="67"/>
  <c r="I39" i="67"/>
  <c r="F39" i="67"/>
  <c r="D39" i="67"/>
  <c r="C39" i="67"/>
  <c r="B39" i="67"/>
  <c r="E39" i="67" s="1"/>
  <c r="L89" i="66"/>
  <c r="J89" i="66"/>
  <c r="I89" i="66"/>
  <c r="F89" i="66"/>
  <c r="D89" i="66"/>
  <c r="C89" i="66"/>
  <c r="B89" i="66"/>
  <c r="E89" i="66" s="1"/>
  <c r="L79" i="66"/>
  <c r="J79" i="66"/>
  <c r="I79" i="66"/>
  <c r="F79" i="66"/>
  <c r="D79" i="66"/>
  <c r="C79" i="66"/>
  <c r="B79" i="66"/>
  <c r="E79" i="66" s="1"/>
  <c r="O69" i="66"/>
  <c r="L69" i="66"/>
  <c r="J69" i="66"/>
  <c r="I69" i="66"/>
  <c r="F69" i="66"/>
  <c r="E69" i="66"/>
  <c r="D69" i="66"/>
  <c r="C69" i="66"/>
  <c r="B69" i="66"/>
  <c r="L59" i="66"/>
  <c r="J59" i="66"/>
  <c r="I59" i="66"/>
  <c r="F59" i="66"/>
  <c r="D59" i="66"/>
  <c r="C59" i="66"/>
  <c r="B59" i="66"/>
  <c r="E59" i="66" s="1"/>
  <c r="O49" i="66"/>
  <c r="L49" i="66"/>
  <c r="J49" i="66"/>
  <c r="I49" i="66"/>
  <c r="F49" i="66"/>
  <c r="D49" i="66"/>
  <c r="C49" i="66"/>
  <c r="B49" i="66"/>
  <c r="E49" i="66" s="1"/>
  <c r="L39" i="66"/>
  <c r="J39" i="66"/>
  <c r="I39" i="66"/>
  <c r="F39" i="66"/>
  <c r="D39" i="66"/>
  <c r="C39" i="66"/>
  <c r="B39" i="66"/>
  <c r="E39" i="66" s="1"/>
  <c r="L89" i="65"/>
  <c r="J89" i="65"/>
  <c r="I89" i="65"/>
  <c r="F89" i="65"/>
  <c r="D89" i="65"/>
  <c r="C89" i="65"/>
  <c r="B89" i="65"/>
  <c r="E89" i="65" s="1"/>
  <c r="L79" i="65"/>
  <c r="J79" i="65"/>
  <c r="I79" i="65"/>
  <c r="F79" i="65"/>
  <c r="D79" i="65"/>
  <c r="C79" i="65"/>
  <c r="B79" i="65"/>
  <c r="E79" i="65" s="1"/>
  <c r="O69" i="65"/>
  <c r="L69" i="65"/>
  <c r="J69" i="65"/>
  <c r="I69" i="65"/>
  <c r="F69" i="65"/>
  <c r="D69" i="65"/>
  <c r="C69" i="65"/>
  <c r="B69" i="65"/>
  <c r="E69" i="65" s="1"/>
  <c r="L59" i="65"/>
  <c r="J59" i="65"/>
  <c r="I59" i="65"/>
  <c r="F59" i="65"/>
  <c r="D59" i="65"/>
  <c r="C59" i="65"/>
  <c r="B59" i="65"/>
  <c r="E59" i="65" s="1"/>
  <c r="O49" i="65"/>
  <c r="L49" i="65"/>
  <c r="J49" i="65"/>
  <c r="I49" i="65"/>
  <c r="F49" i="65"/>
  <c r="D49" i="65"/>
  <c r="C49" i="65"/>
  <c r="B49" i="65"/>
  <c r="E49" i="65" s="1"/>
  <c r="L39" i="65"/>
  <c r="J39" i="65"/>
  <c r="I39" i="65"/>
  <c r="F39" i="65"/>
  <c r="D39" i="65"/>
  <c r="C39" i="65"/>
  <c r="B39" i="65"/>
  <c r="E39" i="65" s="1"/>
  <c r="W5" i="70" l="1"/>
  <c r="U5" i="70"/>
  <c r="T5" i="70"/>
  <c r="R5" i="70" s="1"/>
  <c r="E29" i="70"/>
  <c r="AE11" i="55"/>
  <c r="AE10" i="55"/>
  <c r="AE9" i="55"/>
  <c r="AD11" i="55"/>
  <c r="AD10" i="55"/>
  <c r="AD9" i="55"/>
  <c r="AC11" i="55"/>
  <c r="AC10" i="55"/>
  <c r="AC9" i="55"/>
  <c r="AE12" i="54"/>
  <c r="AE11" i="54"/>
  <c r="AE10" i="54"/>
  <c r="AD12" i="54"/>
  <c r="AD11" i="54"/>
  <c r="AD10" i="54"/>
  <c r="AC12" i="54"/>
  <c r="AC11" i="54"/>
  <c r="AC10" i="54"/>
  <c r="AE13" i="52"/>
  <c r="AE12" i="52"/>
  <c r="AE11" i="52"/>
  <c r="AD13" i="52"/>
  <c r="AD12" i="52"/>
  <c r="AD11" i="52"/>
  <c r="AC13" i="52"/>
  <c r="AC12" i="52"/>
  <c r="AC11" i="52"/>
  <c r="AE15" i="48"/>
  <c r="AE14" i="48"/>
  <c r="AE13" i="48"/>
  <c r="AD15" i="48"/>
  <c r="AD14" i="48"/>
  <c r="AD13" i="48"/>
  <c r="AC15" i="48"/>
  <c r="AC14" i="48"/>
  <c r="AC13" i="48"/>
  <c r="AE17" i="46"/>
  <c r="AE16" i="46"/>
  <c r="AE15" i="46"/>
  <c r="AD17" i="46"/>
  <c r="AD16" i="46"/>
  <c r="AD15" i="46"/>
  <c r="AC17" i="46"/>
  <c r="AC16" i="46"/>
  <c r="AC15" i="46"/>
  <c r="AE27" i="35"/>
  <c r="AE26" i="35"/>
  <c r="AE25" i="35"/>
  <c r="AD27" i="35"/>
  <c r="AD26" i="35"/>
  <c r="AD25" i="35"/>
  <c r="AC26" i="35"/>
  <c r="AC27" i="35"/>
  <c r="AC25" i="35"/>
  <c r="AE59" i="2"/>
  <c r="AE58" i="2"/>
  <c r="AE57" i="2"/>
  <c r="AE56" i="2"/>
  <c r="AD59" i="2"/>
  <c r="AD58" i="2"/>
  <c r="AD57" i="2"/>
  <c r="AD56" i="2"/>
  <c r="AC59" i="2"/>
  <c r="AC58" i="2"/>
  <c r="AC57" i="2"/>
  <c r="AC56" i="2"/>
  <c r="AE59" i="8"/>
  <c r="AE58" i="8"/>
  <c r="AD59" i="8"/>
  <c r="AD58" i="8"/>
  <c r="AC59" i="8"/>
  <c r="AC58" i="8"/>
  <c r="AE57" i="8"/>
  <c r="AE56" i="8"/>
  <c r="AD57" i="8"/>
  <c r="AD56" i="8"/>
  <c r="AC57" i="8"/>
  <c r="AC56" i="8"/>
  <c r="L89" i="64"/>
  <c r="J89" i="64"/>
  <c r="I89" i="64"/>
  <c r="F89" i="64"/>
  <c r="D89" i="64"/>
  <c r="C89" i="64"/>
  <c r="B89" i="64"/>
  <c r="E89" i="64" s="1"/>
  <c r="L79" i="64"/>
  <c r="J79" i="64"/>
  <c r="I79" i="64"/>
  <c r="F79" i="64"/>
  <c r="D79" i="64"/>
  <c r="C79" i="64"/>
  <c r="B79" i="64"/>
  <c r="E79" i="64" s="1"/>
  <c r="O69" i="64"/>
  <c r="L69" i="64"/>
  <c r="J69" i="64"/>
  <c r="I69" i="64"/>
  <c r="F69" i="64"/>
  <c r="E69" i="64"/>
  <c r="D69" i="64"/>
  <c r="C69" i="64"/>
  <c r="B69" i="64"/>
  <c r="L59" i="64"/>
  <c r="J59" i="64"/>
  <c r="I59" i="64"/>
  <c r="F59" i="64"/>
  <c r="D59" i="64"/>
  <c r="C59" i="64"/>
  <c r="B59" i="64"/>
  <c r="E59" i="64" s="1"/>
  <c r="O49" i="64"/>
  <c r="L49" i="64"/>
  <c r="J49" i="64"/>
  <c r="I49" i="64"/>
  <c r="F49" i="64"/>
  <c r="D49" i="64"/>
  <c r="C49" i="64"/>
  <c r="B49" i="64"/>
  <c r="E49" i="64" s="1"/>
  <c r="L39" i="64"/>
  <c r="J39" i="64"/>
  <c r="I39" i="64"/>
  <c r="F39" i="64"/>
  <c r="E39" i="64"/>
  <c r="D39" i="64"/>
  <c r="C39" i="64"/>
  <c r="B39" i="64"/>
  <c r="E29" i="64"/>
  <c r="E19" i="64"/>
  <c r="E89" i="63"/>
  <c r="E79" i="63"/>
  <c r="E69" i="63"/>
  <c r="E59" i="63"/>
  <c r="E49" i="63"/>
  <c r="D39" i="63"/>
  <c r="C39" i="63"/>
  <c r="B39" i="63"/>
  <c r="E39" i="63" s="1"/>
  <c r="E29" i="63"/>
  <c r="E19" i="63"/>
  <c r="E29" i="62"/>
  <c r="E19" i="62"/>
  <c r="L89" i="62"/>
  <c r="J89" i="62"/>
  <c r="I89" i="62"/>
  <c r="F89" i="62"/>
  <c r="D89" i="62"/>
  <c r="C89" i="62"/>
  <c r="B89" i="62"/>
  <c r="E89" i="62" s="1"/>
  <c r="L79" i="62"/>
  <c r="J79" i="62"/>
  <c r="I79" i="62"/>
  <c r="F79" i="62"/>
  <c r="D79" i="62"/>
  <c r="C79" i="62"/>
  <c r="B79" i="62"/>
  <c r="E79" i="62" s="1"/>
  <c r="O69" i="62"/>
  <c r="L69" i="62"/>
  <c r="J69" i="62"/>
  <c r="I69" i="62"/>
  <c r="F69" i="62"/>
  <c r="E69" i="62"/>
  <c r="D69" i="62"/>
  <c r="C69" i="62"/>
  <c r="B69" i="62"/>
  <c r="L59" i="62"/>
  <c r="J59" i="62"/>
  <c r="I59" i="62"/>
  <c r="F59" i="62"/>
  <c r="D59" i="62"/>
  <c r="C59" i="62"/>
  <c r="B59" i="62"/>
  <c r="E59" i="62" s="1"/>
  <c r="O49" i="62"/>
  <c r="L49" i="62"/>
  <c r="J49" i="62"/>
  <c r="I49" i="62"/>
  <c r="F49" i="62"/>
  <c r="D49" i="62"/>
  <c r="C49" i="62"/>
  <c r="B49" i="62"/>
  <c r="E49" i="62" s="1"/>
  <c r="L39" i="62"/>
  <c r="J39" i="62"/>
  <c r="I39" i="62"/>
  <c r="F39" i="62"/>
  <c r="E39" i="62"/>
  <c r="D39" i="62"/>
  <c r="C39" i="62"/>
  <c r="B39" i="62"/>
  <c r="L89" i="61"/>
  <c r="J89" i="61"/>
  <c r="I89" i="61"/>
  <c r="F89" i="61"/>
  <c r="D89" i="61"/>
  <c r="C89" i="61"/>
  <c r="B89" i="61"/>
  <c r="E89" i="61" s="1"/>
  <c r="L79" i="61"/>
  <c r="J79" i="61"/>
  <c r="I79" i="61"/>
  <c r="F79" i="61"/>
  <c r="D79" i="61"/>
  <c r="C79" i="61"/>
  <c r="B79" i="61"/>
  <c r="E79" i="61" s="1"/>
  <c r="O69" i="61"/>
  <c r="L69" i="61"/>
  <c r="J69" i="61"/>
  <c r="I69" i="61"/>
  <c r="F69" i="61"/>
  <c r="E69" i="61"/>
  <c r="D69" i="61"/>
  <c r="C69" i="61"/>
  <c r="B69" i="61"/>
  <c r="L59" i="61"/>
  <c r="J59" i="61"/>
  <c r="I59" i="61"/>
  <c r="F59" i="61"/>
  <c r="D59" i="61"/>
  <c r="C59" i="61"/>
  <c r="B59" i="61"/>
  <c r="E59" i="61" s="1"/>
  <c r="O49" i="61"/>
  <c r="L49" i="61"/>
  <c r="J49" i="61"/>
  <c r="I49" i="61"/>
  <c r="F49" i="61"/>
  <c r="D49" i="61"/>
  <c r="C49" i="61"/>
  <c r="B49" i="61"/>
  <c r="E49" i="61" s="1"/>
  <c r="L39" i="61"/>
  <c r="J39" i="61"/>
  <c r="I39" i="61"/>
  <c r="F39" i="61"/>
  <c r="E39" i="61"/>
  <c r="D39" i="61"/>
  <c r="C39" i="61"/>
  <c r="B39" i="61"/>
  <c r="E29" i="61"/>
  <c r="E19" i="61"/>
  <c r="AE8" i="55"/>
  <c r="AE7" i="55"/>
  <c r="AE6" i="55"/>
  <c r="AD8" i="55"/>
  <c r="AD7" i="55"/>
  <c r="AD6" i="55"/>
  <c r="AC8" i="55"/>
  <c r="AC7" i="55"/>
  <c r="AC6" i="55"/>
  <c r="AE5" i="55"/>
  <c r="AD5" i="55"/>
  <c r="AC5" i="55"/>
  <c r="AE9" i="54"/>
  <c r="AE8" i="54"/>
  <c r="AE7" i="54"/>
  <c r="AE6" i="54"/>
  <c r="AD9" i="54"/>
  <c r="AD8" i="54"/>
  <c r="AD7" i="54"/>
  <c r="AD6" i="54"/>
  <c r="AC9" i="54"/>
  <c r="AC8" i="54"/>
  <c r="AC7" i="54"/>
  <c r="AC6" i="54"/>
  <c r="AE10" i="52"/>
  <c r="AE9" i="52"/>
  <c r="AE8" i="52"/>
  <c r="AE7" i="52"/>
  <c r="AD10" i="52"/>
  <c r="AD9" i="52"/>
  <c r="AD8" i="52"/>
  <c r="AD7" i="52"/>
  <c r="AC10" i="52"/>
  <c r="AC9" i="52"/>
  <c r="AC8" i="52"/>
  <c r="AC7" i="52"/>
  <c r="AE12" i="48"/>
  <c r="AE11" i="48"/>
  <c r="AE10" i="48"/>
  <c r="AE9" i="48"/>
  <c r="AD12" i="48"/>
  <c r="AD11" i="48"/>
  <c r="AD10" i="48"/>
  <c r="AD9" i="48"/>
  <c r="AC12" i="48"/>
  <c r="AC11" i="48"/>
  <c r="AC10" i="48"/>
  <c r="AC9" i="48"/>
  <c r="AE14" i="46"/>
  <c r="AE13" i="46"/>
  <c r="AE12" i="46"/>
  <c r="AE11" i="46"/>
  <c r="AD14" i="46"/>
  <c r="AD13" i="46"/>
  <c r="AD12" i="46"/>
  <c r="AD11" i="46"/>
  <c r="AC14" i="46"/>
  <c r="AC13" i="46"/>
  <c r="AC12" i="46"/>
  <c r="AC11" i="46"/>
  <c r="AE24" i="35"/>
  <c r="AE23" i="35"/>
  <c r="AE22" i="35"/>
  <c r="AE21" i="35"/>
  <c r="AD24" i="35"/>
  <c r="AD23" i="35"/>
  <c r="AD22" i="35"/>
  <c r="AD21" i="35"/>
  <c r="AC24" i="35"/>
  <c r="AC23" i="35"/>
  <c r="AC22" i="35"/>
  <c r="AC21" i="35"/>
  <c r="AE55" i="2"/>
  <c r="AE54" i="2"/>
  <c r="AE53" i="2"/>
  <c r="AE52" i="2"/>
  <c r="AD55" i="2"/>
  <c r="AD54" i="2"/>
  <c r="AD53" i="2"/>
  <c r="AD52" i="2"/>
  <c r="AC55" i="2"/>
  <c r="AC54" i="2"/>
  <c r="AC53" i="2"/>
  <c r="AC52" i="2"/>
  <c r="AE55" i="8"/>
  <c r="AE54" i="8"/>
  <c r="AE53" i="8"/>
  <c r="AE52" i="8"/>
  <c r="AD55" i="8"/>
  <c r="AD54" i="8"/>
  <c r="AD53" i="8"/>
  <c r="AD52" i="8"/>
  <c r="AC55" i="8"/>
  <c r="AC54" i="8"/>
  <c r="AC53" i="8"/>
  <c r="AC52" i="8"/>
  <c r="A56" i="2"/>
  <c r="A55" i="2"/>
  <c r="A54" i="2"/>
  <c r="A53" i="2"/>
  <c r="A52" i="2"/>
  <c r="L89" i="60"/>
  <c r="J89" i="60"/>
  <c r="I89" i="60"/>
  <c r="F89" i="60"/>
  <c r="D89" i="60"/>
  <c r="C89" i="60"/>
  <c r="B89" i="60"/>
  <c r="E89" i="60" s="1"/>
  <c r="L79" i="60"/>
  <c r="J79" i="60"/>
  <c r="I79" i="60"/>
  <c r="F79" i="60"/>
  <c r="D79" i="60"/>
  <c r="C79" i="60"/>
  <c r="B79" i="60"/>
  <c r="E79" i="60" s="1"/>
  <c r="O69" i="60"/>
  <c r="L69" i="60"/>
  <c r="J69" i="60"/>
  <c r="I69" i="60"/>
  <c r="F69" i="60"/>
  <c r="E69" i="60"/>
  <c r="D69" i="60"/>
  <c r="C69" i="60"/>
  <c r="B69" i="60"/>
  <c r="L59" i="60"/>
  <c r="J59" i="60"/>
  <c r="I59" i="60"/>
  <c r="F59" i="60"/>
  <c r="D59" i="60"/>
  <c r="C59" i="60"/>
  <c r="B59" i="60"/>
  <c r="E59" i="60" s="1"/>
  <c r="O49" i="60"/>
  <c r="L49" i="60"/>
  <c r="J49" i="60"/>
  <c r="I49" i="60"/>
  <c r="F49" i="60"/>
  <c r="D49" i="60"/>
  <c r="C49" i="60"/>
  <c r="B49" i="60"/>
  <c r="E49" i="60" s="1"/>
  <c r="L39" i="60"/>
  <c r="J39" i="60"/>
  <c r="I39" i="60"/>
  <c r="F39" i="60"/>
  <c r="E39" i="60"/>
  <c r="D39" i="60"/>
  <c r="C39" i="60"/>
  <c r="B39" i="60"/>
  <c r="E29" i="60"/>
  <c r="E19" i="60"/>
  <c r="L89" i="59"/>
  <c r="J89" i="59"/>
  <c r="I89" i="59"/>
  <c r="F89" i="59"/>
  <c r="D89" i="59"/>
  <c r="C89" i="59"/>
  <c r="B89" i="59"/>
  <c r="E89" i="59" s="1"/>
  <c r="L79" i="59"/>
  <c r="J79" i="59"/>
  <c r="I79" i="59"/>
  <c r="F79" i="59"/>
  <c r="D79" i="59"/>
  <c r="C79" i="59"/>
  <c r="B79" i="59"/>
  <c r="E79" i="59" s="1"/>
  <c r="O69" i="59"/>
  <c r="L69" i="59"/>
  <c r="J69" i="59"/>
  <c r="I69" i="59"/>
  <c r="F69" i="59"/>
  <c r="E69" i="59"/>
  <c r="D69" i="59"/>
  <c r="C69" i="59"/>
  <c r="B69" i="59"/>
  <c r="L59" i="59"/>
  <c r="J59" i="59"/>
  <c r="I59" i="59"/>
  <c r="F59" i="59"/>
  <c r="D59" i="59"/>
  <c r="C59" i="59"/>
  <c r="B59" i="59"/>
  <c r="E59" i="59" s="1"/>
  <c r="O49" i="59"/>
  <c r="L49" i="59"/>
  <c r="J49" i="59"/>
  <c r="I49" i="59"/>
  <c r="F49" i="59"/>
  <c r="D49" i="59"/>
  <c r="C49" i="59"/>
  <c r="B49" i="59"/>
  <c r="E49" i="59" s="1"/>
  <c r="L39" i="59"/>
  <c r="J39" i="59"/>
  <c r="I39" i="59"/>
  <c r="F39" i="59"/>
  <c r="E39" i="59"/>
  <c r="D39" i="59"/>
  <c r="C39" i="59"/>
  <c r="B39" i="59"/>
  <c r="E29" i="59"/>
  <c r="E19" i="59"/>
  <c r="E89" i="57"/>
  <c r="E79" i="57"/>
  <c r="O69" i="57"/>
  <c r="L69" i="57"/>
  <c r="J69" i="57"/>
  <c r="I69" i="57"/>
  <c r="F69" i="57"/>
  <c r="D69" i="57"/>
  <c r="C69" i="57"/>
  <c r="B69" i="57"/>
  <c r="E69" i="57" s="1"/>
  <c r="E59" i="57"/>
  <c r="E29" i="57"/>
  <c r="E19" i="57"/>
  <c r="D39" i="57"/>
  <c r="C39" i="57"/>
  <c r="B39" i="57"/>
  <c r="E39" i="57" s="1"/>
  <c r="O49" i="57"/>
  <c r="L49" i="57"/>
  <c r="J49" i="57"/>
  <c r="I49" i="57"/>
  <c r="F49" i="57"/>
  <c r="D49" i="57"/>
  <c r="C49" i="57"/>
  <c r="B49" i="57"/>
  <c r="E49" i="57" s="1"/>
  <c r="E29" i="56"/>
  <c r="E19" i="56"/>
  <c r="E89" i="56"/>
  <c r="O79" i="56"/>
  <c r="L79" i="56"/>
  <c r="J79" i="56"/>
  <c r="I79" i="56"/>
  <c r="D79" i="56"/>
  <c r="C79" i="56"/>
  <c r="B79" i="56"/>
  <c r="E79" i="56" s="1"/>
  <c r="F79" i="56"/>
  <c r="O69" i="56"/>
  <c r="L69" i="56"/>
  <c r="J69" i="56"/>
  <c r="I69" i="56"/>
  <c r="F69" i="56"/>
  <c r="D69" i="56"/>
  <c r="C69" i="56"/>
  <c r="B69" i="56"/>
  <c r="E69" i="56" s="1"/>
  <c r="O59" i="56"/>
  <c r="L59" i="56"/>
  <c r="J59" i="56"/>
  <c r="I59" i="56"/>
  <c r="F59" i="56"/>
  <c r="D59" i="56"/>
  <c r="C59" i="56"/>
  <c r="B59" i="56"/>
  <c r="E59" i="56" s="1"/>
  <c r="O49" i="56"/>
  <c r="L49" i="56"/>
  <c r="J49" i="56"/>
  <c r="I49" i="56"/>
  <c r="F49" i="56"/>
  <c r="E49" i="56"/>
  <c r="D49" i="56"/>
  <c r="C49" i="56"/>
  <c r="B49" i="56"/>
  <c r="O39" i="56"/>
  <c r="L39" i="56"/>
  <c r="J39" i="56"/>
  <c r="I39" i="56"/>
  <c r="F39" i="56"/>
  <c r="C39" i="56"/>
  <c r="B39" i="56"/>
  <c r="E39" i="56" s="1"/>
  <c r="AE5" i="54"/>
  <c r="AD5" i="54"/>
  <c r="AC5" i="54"/>
  <c r="AE6" i="52"/>
  <c r="AD6" i="52"/>
  <c r="AC6" i="52"/>
  <c r="AE5" i="52"/>
  <c r="AD5" i="52"/>
  <c r="AC5" i="52"/>
  <c r="AE8" i="48"/>
  <c r="AE7" i="48"/>
  <c r="AE6" i="48"/>
  <c r="AD8" i="48"/>
  <c r="AD7" i="48"/>
  <c r="AD6" i="48"/>
  <c r="AC8" i="48"/>
  <c r="AC7" i="48"/>
  <c r="AC6" i="48"/>
  <c r="Y5" i="48" a="1"/>
  <c r="Y5" i="48" s="1"/>
  <c r="AE5" i="48"/>
  <c r="AD5" i="48"/>
  <c r="AC5" i="48"/>
  <c r="AE10" i="46"/>
  <c r="AE9" i="46"/>
  <c r="AE8" i="46"/>
  <c r="AD10" i="46"/>
  <c r="AD9" i="46"/>
  <c r="AD8" i="46"/>
  <c r="AC10" i="46"/>
  <c r="AC9" i="46"/>
  <c r="AC8" i="46"/>
  <c r="AE7" i="46"/>
  <c r="AD7" i="46"/>
  <c r="AC7" i="46"/>
  <c r="AE20" i="35"/>
  <c r="AE19" i="35"/>
  <c r="AE18" i="35"/>
  <c r="AD20" i="35"/>
  <c r="AD19" i="35"/>
  <c r="AD18" i="35"/>
  <c r="AC20" i="35"/>
  <c r="AC19" i="35"/>
  <c r="AC18" i="35"/>
  <c r="AE17" i="35"/>
  <c r="AD17" i="35"/>
  <c r="AC17" i="35"/>
  <c r="AE51" i="2"/>
  <c r="AE50" i="2"/>
  <c r="AE49" i="2"/>
  <c r="AD51" i="2"/>
  <c r="AD50" i="2"/>
  <c r="AD49" i="2"/>
  <c r="AC51" i="2"/>
  <c r="AC50" i="2"/>
  <c r="AC49" i="2"/>
  <c r="AE48" i="2"/>
  <c r="AD48" i="2"/>
  <c r="AC48" i="2"/>
  <c r="AE51" i="8"/>
  <c r="AE50" i="8"/>
  <c r="AE49" i="8"/>
  <c r="AD51" i="8"/>
  <c r="AD50" i="8"/>
  <c r="AD49" i="8"/>
  <c r="AC51" i="8"/>
  <c r="AC50" i="8"/>
  <c r="AC49" i="8"/>
  <c r="AE48" i="8"/>
  <c r="AD48" i="8"/>
  <c r="AC48" i="8"/>
  <c r="A51" i="2"/>
  <c r="A50" i="2"/>
  <c r="A49" i="2"/>
  <c r="A48" i="2"/>
  <c r="E29" i="53"/>
  <c r="E19" i="53"/>
  <c r="E79" i="53"/>
  <c r="O69" i="53"/>
  <c r="L69" i="53"/>
  <c r="J69" i="53"/>
  <c r="I69" i="53"/>
  <c r="D69" i="53"/>
  <c r="C69" i="53"/>
  <c r="B69" i="53"/>
  <c r="E69" i="53" s="1"/>
  <c r="F69" i="53"/>
  <c r="O59" i="53"/>
  <c r="L59" i="53"/>
  <c r="J59" i="53"/>
  <c r="I59" i="53"/>
  <c r="F59" i="53"/>
  <c r="D59" i="53"/>
  <c r="C59" i="53"/>
  <c r="B59" i="53"/>
  <c r="E59" i="53" s="1"/>
  <c r="O49" i="53"/>
  <c r="L49" i="53"/>
  <c r="J49" i="53"/>
  <c r="I49" i="53"/>
  <c r="F49" i="53"/>
  <c r="D49" i="53"/>
  <c r="C49" i="53"/>
  <c r="B49" i="53"/>
  <c r="E49" i="53" s="1"/>
  <c r="O39" i="53"/>
  <c r="L39" i="53"/>
  <c r="J39" i="53"/>
  <c r="I39" i="53"/>
  <c r="F39" i="53"/>
  <c r="C39" i="53"/>
  <c r="B39" i="53"/>
  <c r="E39" i="53" s="1"/>
  <c r="E69" i="51"/>
  <c r="E29" i="51"/>
  <c r="E19" i="51"/>
  <c r="O59" i="51"/>
  <c r="L59" i="51"/>
  <c r="J59" i="51"/>
  <c r="I59" i="51"/>
  <c r="D59" i="51"/>
  <c r="C59" i="51"/>
  <c r="B59" i="51"/>
  <c r="E59" i="51" s="1"/>
  <c r="F59" i="51"/>
  <c r="O49" i="51"/>
  <c r="L49" i="51"/>
  <c r="J49" i="51"/>
  <c r="I49" i="51"/>
  <c r="F49" i="51"/>
  <c r="D49" i="51"/>
  <c r="C49" i="51"/>
  <c r="B49" i="51"/>
  <c r="E49" i="51" s="1"/>
  <c r="O39" i="51"/>
  <c r="L39" i="51"/>
  <c r="J39" i="51"/>
  <c r="I39" i="51"/>
  <c r="F39" i="51"/>
  <c r="C39" i="51"/>
  <c r="B39" i="51"/>
  <c r="E39" i="51" s="1"/>
  <c r="E29" i="50"/>
  <c r="E19" i="50"/>
  <c r="E59" i="50"/>
  <c r="O49" i="50"/>
  <c r="L49" i="50"/>
  <c r="J49" i="50"/>
  <c r="I49" i="50"/>
  <c r="F49" i="50"/>
  <c r="D49" i="50"/>
  <c r="C49" i="50"/>
  <c r="B49" i="50"/>
  <c r="E49" i="50" s="1"/>
  <c r="O39" i="50"/>
  <c r="L39" i="50"/>
  <c r="J39" i="50"/>
  <c r="I39" i="50"/>
  <c r="F39" i="50"/>
  <c r="E39" i="50"/>
  <c r="C39" i="50"/>
  <c r="B39" i="50"/>
  <c r="E59" i="49"/>
  <c r="E29" i="49"/>
  <c r="E19" i="49"/>
  <c r="O49" i="49"/>
  <c r="L49" i="49"/>
  <c r="J49" i="49"/>
  <c r="I49" i="49"/>
  <c r="F49" i="49"/>
  <c r="D49" i="49"/>
  <c r="C49" i="49"/>
  <c r="B49" i="49"/>
  <c r="E49" i="49" s="1"/>
  <c r="O39" i="49"/>
  <c r="L39" i="49"/>
  <c r="J39" i="49"/>
  <c r="I39" i="49"/>
  <c r="F39" i="49"/>
  <c r="E39" i="49"/>
  <c r="C39" i="49"/>
  <c r="B39" i="49"/>
  <c r="Y5" i="55" l="1" a="1"/>
  <c r="Y5" i="55" s="1"/>
  <c r="Y5" i="54" a="1"/>
  <c r="Y5" i="54" s="1"/>
  <c r="Y5" i="52" a="1"/>
  <c r="Y5" i="52" s="1"/>
  <c r="AE6" i="46"/>
  <c r="AD6" i="46"/>
  <c r="Y5" i="46" s="1" a="1"/>
  <c r="Y5" i="46" s="1"/>
  <c r="AC6" i="46"/>
  <c r="AE5" i="46"/>
  <c r="AD5" i="46"/>
  <c r="AC5" i="46"/>
  <c r="AE16" i="35"/>
  <c r="AE15" i="35"/>
  <c r="AE14" i="35"/>
  <c r="AE13" i="35"/>
  <c r="AE12" i="35"/>
  <c r="AD16" i="35"/>
  <c r="AD15" i="35"/>
  <c r="AD14" i="35"/>
  <c r="AD13" i="35"/>
  <c r="AD12" i="35"/>
  <c r="AC16" i="35"/>
  <c r="AC15" i="35"/>
  <c r="AC14" i="35"/>
  <c r="AC13" i="35"/>
  <c r="AC12" i="35"/>
  <c r="AE47" i="2"/>
  <c r="AE46" i="2"/>
  <c r="AE45" i="2"/>
  <c r="AE44" i="2"/>
  <c r="AE43" i="2"/>
  <c r="AD47" i="2"/>
  <c r="AD46" i="2"/>
  <c r="AD45" i="2"/>
  <c r="AD44" i="2"/>
  <c r="AD43" i="2"/>
  <c r="AC47" i="2"/>
  <c r="AC46" i="2"/>
  <c r="AC45" i="2"/>
  <c r="AC44" i="2"/>
  <c r="AC43" i="2"/>
  <c r="A47" i="2"/>
  <c r="A46" i="2"/>
  <c r="A45" i="2"/>
  <c r="A44" i="2"/>
  <c r="A43" i="2"/>
  <c r="AE47" i="8"/>
  <c r="AE46" i="8"/>
  <c r="AD47" i="8"/>
  <c r="AD46" i="8"/>
  <c r="AC47" i="8"/>
  <c r="AC46" i="8"/>
  <c r="AE45" i="8"/>
  <c r="AE44" i="8"/>
  <c r="AE43" i="8"/>
  <c r="AD45" i="8"/>
  <c r="AD44" i="8"/>
  <c r="AD43" i="8"/>
  <c r="AC45" i="8"/>
  <c r="AC44" i="8"/>
  <c r="AC43" i="8"/>
  <c r="E49" i="47"/>
  <c r="O39" i="47"/>
  <c r="L39" i="47"/>
  <c r="J39" i="47"/>
  <c r="I39" i="47"/>
  <c r="F39" i="47"/>
  <c r="C39" i="47"/>
  <c r="B39" i="47"/>
  <c r="E39" i="47" s="1"/>
  <c r="E29" i="47"/>
  <c r="E19" i="47"/>
  <c r="E49" i="45"/>
  <c r="C39" i="45"/>
  <c r="B39" i="45"/>
  <c r="E39" i="45"/>
  <c r="E29" i="45"/>
  <c r="E19" i="45"/>
  <c r="E29" i="44"/>
  <c r="E19" i="44"/>
  <c r="L39" i="44"/>
  <c r="J39" i="44"/>
  <c r="I39" i="44"/>
  <c r="F39" i="44"/>
  <c r="C39" i="44"/>
  <c r="B39" i="44"/>
  <c r="E39" i="44" s="1"/>
  <c r="E29" i="43"/>
  <c r="E19" i="43"/>
  <c r="L39" i="43"/>
  <c r="J39" i="43"/>
  <c r="I39" i="43"/>
  <c r="F39" i="43"/>
  <c r="C39" i="43"/>
  <c r="B39" i="43"/>
  <c r="E39" i="43" s="1"/>
  <c r="E29" i="42"/>
  <c r="E19" i="42"/>
  <c r="L39" i="42"/>
  <c r="J39" i="42"/>
  <c r="I39" i="42"/>
  <c r="F39" i="42"/>
  <c r="C39" i="42"/>
  <c r="B39" i="42"/>
  <c r="E39" i="42" s="1"/>
  <c r="AE11" i="35"/>
  <c r="AE10" i="35"/>
  <c r="AE9" i="35"/>
  <c r="AE8" i="35"/>
  <c r="AE7" i="35"/>
  <c r="AE6" i="35"/>
  <c r="AD11" i="35"/>
  <c r="AD10" i="35"/>
  <c r="AD9" i="35"/>
  <c r="AD8" i="35"/>
  <c r="AD7" i="35"/>
  <c r="AD6" i="35"/>
  <c r="AC11" i="35"/>
  <c r="AC10" i="35"/>
  <c r="AC9" i="35"/>
  <c r="AC8" i="35"/>
  <c r="AC7" i="35"/>
  <c r="AC6" i="35"/>
  <c r="AE5" i="35"/>
  <c r="AD5" i="35"/>
  <c r="AC5" i="35"/>
  <c r="A6" i="35"/>
  <c r="A7" i="35"/>
  <c r="A8" i="35"/>
  <c r="A9" i="35"/>
  <c r="A10" i="35"/>
  <c r="A11" i="35"/>
  <c r="A12" i="35"/>
  <c r="AE42" i="2"/>
  <c r="AE41" i="2"/>
  <c r="AE40" i="2"/>
  <c r="AE39" i="2"/>
  <c r="AE38" i="2"/>
  <c r="AE37" i="2"/>
  <c r="AD42" i="2"/>
  <c r="AD41" i="2"/>
  <c r="AD40" i="2"/>
  <c r="AD39" i="2"/>
  <c r="AD38" i="2"/>
  <c r="AD37" i="2"/>
  <c r="AC42" i="2"/>
  <c r="AC41" i="2"/>
  <c r="AC40" i="2"/>
  <c r="AC39" i="2"/>
  <c r="AC38" i="2"/>
  <c r="AC37" i="2"/>
  <c r="AE36" i="2"/>
  <c r="AD36" i="2"/>
  <c r="AC36" i="2"/>
  <c r="A42" i="2"/>
  <c r="A41" i="2"/>
  <c r="A40" i="2"/>
  <c r="A39" i="2"/>
  <c r="A38" i="2"/>
  <c r="A37" i="2"/>
  <c r="A36" i="2"/>
  <c r="AE42" i="8"/>
  <c r="AE41" i="8"/>
  <c r="AE40" i="8"/>
  <c r="AE39" i="8"/>
  <c r="AE38" i="8"/>
  <c r="AE37" i="8"/>
  <c r="AC42" i="8"/>
  <c r="AC41" i="8"/>
  <c r="AC40" i="8"/>
  <c r="AC39" i="8"/>
  <c r="AC38" i="8"/>
  <c r="E29" i="41"/>
  <c r="E19" i="41"/>
  <c r="AD42" i="8"/>
  <c r="AD41" i="8"/>
  <c r="AD40" i="8"/>
  <c r="AD39" i="8"/>
  <c r="AD38" i="8"/>
  <c r="AD37" i="8"/>
  <c r="AC37" i="8"/>
  <c r="AE36" i="8"/>
  <c r="AD36" i="8"/>
  <c r="AC36" i="8"/>
  <c r="L39" i="41"/>
  <c r="J39" i="41"/>
  <c r="I39" i="41"/>
  <c r="F39" i="41"/>
  <c r="C39" i="41"/>
  <c r="B39" i="41"/>
  <c r="E39" i="41" s="1"/>
  <c r="F39" i="40"/>
  <c r="C39" i="40"/>
  <c r="B39" i="40"/>
  <c r="E39" i="40" s="1"/>
  <c r="E29" i="40"/>
  <c r="E19" i="40"/>
  <c r="E39" i="39"/>
  <c r="E29" i="39"/>
  <c r="E19" i="39"/>
  <c r="E29" i="38"/>
  <c r="E29" i="37"/>
  <c r="E19" i="38"/>
  <c r="E19" i="37"/>
  <c r="O39" i="38"/>
  <c r="L39" i="38"/>
  <c r="J39" i="38"/>
  <c r="I39" i="38"/>
  <c r="F39" i="38"/>
  <c r="E39" i="38"/>
  <c r="C39" i="38"/>
  <c r="B39" i="38"/>
  <c r="O39" i="37"/>
  <c r="L39" i="37"/>
  <c r="J39" i="37"/>
  <c r="I39" i="37"/>
  <c r="F39" i="37"/>
  <c r="C39" i="37"/>
  <c r="B39" i="37"/>
  <c r="E39" i="37" s="1"/>
  <c r="B39" i="36"/>
  <c r="E39" i="36" s="1"/>
  <c r="C39" i="36"/>
  <c r="E29" i="36"/>
  <c r="E19" i="36"/>
  <c r="E39" i="34"/>
  <c r="E29" i="34"/>
  <c r="E19" i="34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35" i="8"/>
  <c r="AD35" i="8"/>
  <c r="AC35" i="8"/>
  <c r="AE34" i="8"/>
  <c r="AD34" i="8"/>
  <c r="AC34" i="8"/>
  <c r="AE33" i="8"/>
  <c r="AD33" i="8"/>
  <c r="AC33" i="8"/>
  <c r="AE32" i="8"/>
  <c r="AD32" i="8"/>
  <c r="AC32" i="8"/>
  <c r="AE31" i="8"/>
  <c r="AD31" i="8"/>
  <c r="AC31" i="8"/>
  <c r="AE30" i="8"/>
  <c r="AD30" i="8"/>
  <c r="AC30" i="8"/>
  <c r="AE29" i="8"/>
  <c r="AD29" i="8"/>
  <c r="AC29" i="8"/>
  <c r="AE28" i="8"/>
  <c r="AD28" i="8"/>
  <c r="AC28" i="8"/>
  <c r="AE27" i="8"/>
  <c r="AD27" i="8"/>
  <c r="AC27" i="8"/>
  <c r="AE26" i="8"/>
  <c r="AD26" i="8"/>
  <c r="AC26" i="8"/>
  <c r="E19" i="33"/>
  <c r="E19" i="32"/>
  <c r="E19" i="31"/>
  <c r="E19" i="30"/>
  <c r="E19" i="29"/>
  <c r="E19" i="28"/>
  <c r="E19" i="27"/>
  <c r="E19" i="26"/>
  <c r="E19" i="25"/>
  <c r="E19" i="24"/>
  <c r="E29" i="33"/>
  <c r="E29" i="32"/>
  <c r="E29" i="31"/>
  <c r="E29" i="30"/>
  <c r="E29" i="29"/>
  <c r="E29" i="28"/>
  <c r="E29" i="27"/>
  <c r="E29" i="26"/>
  <c r="E29" i="25"/>
  <c r="E29" i="24"/>
  <c r="E29" i="23"/>
  <c r="E19" i="23"/>
  <c r="E19" i="22"/>
  <c r="AD24" i="8" s="1"/>
  <c r="AE25" i="8"/>
  <c r="AD25" i="8"/>
  <c r="AC25" i="8"/>
  <c r="AE24" i="8"/>
  <c r="AC24" i="8"/>
  <c r="A35" i="2"/>
  <c r="A34" i="2"/>
  <c r="A33" i="2"/>
  <c r="A32" i="2"/>
  <c r="A31" i="2"/>
  <c r="A30" i="2"/>
  <c r="A29" i="2"/>
  <c r="A28" i="2"/>
  <c r="A27" i="2"/>
  <c r="A26" i="2"/>
  <c r="A25" i="2"/>
  <c r="A24" i="2"/>
  <c r="O29" i="22"/>
  <c r="L29" i="22"/>
  <c r="J29" i="22"/>
  <c r="I29" i="22"/>
  <c r="F29" i="22"/>
  <c r="D29" i="22"/>
  <c r="C29" i="22"/>
  <c r="B29" i="22"/>
  <c r="E29" i="22" s="1"/>
  <c r="A10" i="58"/>
  <c r="A11" i="58"/>
  <c r="A12" i="58"/>
  <c r="A13" i="58"/>
  <c r="A14" i="58"/>
  <c r="A15" i="58"/>
  <c r="A16" i="58"/>
  <c r="A17" i="58"/>
  <c r="A18" i="58"/>
  <c r="A19" i="58"/>
  <c r="A20" i="58"/>
  <c r="A21" i="58"/>
  <c r="A22" i="58"/>
  <c r="A23" i="2"/>
  <c r="A22" i="2"/>
  <c r="A21" i="2"/>
  <c r="A20" i="2"/>
  <c r="A19" i="2"/>
  <c r="A18" i="2"/>
  <c r="A17" i="2"/>
  <c r="A16" i="2"/>
  <c r="A15" i="2"/>
  <c r="A14" i="2"/>
  <c r="A13" i="2"/>
  <c r="A12" i="2"/>
  <c r="AE23" i="8"/>
  <c r="AE22" i="8"/>
  <c r="AE21" i="8"/>
  <c r="AE20" i="8"/>
  <c r="AE19" i="8"/>
  <c r="AE18" i="8"/>
  <c r="AE17" i="8"/>
  <c r="AE16" i="8"/>
  <c r="AE15" i="8"/>
  <c r="AE14" i="8"/>
  <c r="AE13" i="8"/>
  <c r="AD23" i="8"/>
  <c r="AD22" i="8"/>
  <c r="AD21" i="8"/>
  <c r="AD20" i="8"/>
  <c r="AD19" i="8"/>
  <c r="AD18" i="8"/>
  <c r="AD17" i="8"/>
  <c r="AD16" i="8"/>
  <c r="AD15" i="8"/>
  <c r="AD14" i="8"/>
  <c r="AD13" i="8"/>
  <c r="AC23" i="8"/>
  <c r="AC22" i="8"/>
  <c r="AC21" i="8"/>
  <c r="AC20" i="8"/>
  <c r="AC19" i="8"/>
  <c r="AC18" i="8"/>
  <c r="AC17" i="8"/>
  <c r="AC16" i="8"/>
  <c r="AC15" i="8"/>
  <c r="AC14" i="8"/>
  <c r="AC13" i="8"/>
  <c r="AE12" i="8"/>
  <c r="AD12" i="8"/>
  <c r="AC12" i="8"/>
  <c r="O29" i="21"/>
  <c r="L29" i="21"/>
  <c r="J29" i="21"/>
  <c r="I29" i="21"/>
  <c r="F29" i="21"/>
  <c r="D29" i="21"/>
  <c r="C29" i="21"/>
  <c r="B29" i="21"/>
  <c r="E29" i="21" s="1"/>
  <c r="E19" i="21"/>
  <c r="O29" i="20"/>
  <c r="L29" i="20"/>
  <c r="J29" i="20"/>
  <c r="I29" i="20"/>
  <c r="F29" i="20"/>
  <c r="D29" i="20"/>
  <c r="C29" i="20"/>
  <c r="B29" i="20"/>
  <c r="E29" i="20" s="1"/>
  <c r="E19" i="20"/>
  <c r="O29" i="19"/>
  <c r="L29" i="19"/>
  <c r="J29" i="19"/>
  <c r="I29" i="19"/>
  <c r="F29" i="19"/>
  <c r="E29" i="19"/>
  <c r="D29" i="19"/>
  <c r="C29" i="19"/>
  <c r="B29" i="19"/>
  <c r="E19" i="19"/>
  <c r="O29" i="18"/>
  <c r="L29" i="18"/>
  <c r="J29" i="18"/>
  <c r="I29" i="18"/>
  <c r="F29" i="18"/>
  <c r="D29" i="18"/>
  <c r="C29" i="18"/>
  <c r="B29" i="18"/>
  <c r="E29" i="18" s="1"/>
  <c r="E19" i="18"/>
  <c r="O29" i="17"/>
  <c r="L29" i="17"/>
  <c r="J29" i="17"/>
  <c r="I29" i="17"/>
  <c r="F29" i="17"/>
  <c r="D29" i="17"/>
  <c r="C29" i="17"/>
  <c r="B29" i="17"/>
  <c r="E29" i="17" s="1"/>
  <c r="E19" i="17"/>
  <c r="O29" i="16"/>
  <c r="L29" i="16"/>
  <c r="J29" i="16"/>
  <c r="I29" i="16"/>
  <c r="F29" i="16"/>
  <c r="E29" i="16"/>
  <c r="D29" i="16"/>
  <c r="C29" i="16"/>
  <c r="B29" i="16"/>
  <c r="E19" i="16"/>
  <c r="O29" i="15"/>
  <c r="L29" i="15"/>
  <c r="J29" i="15"/>
  <c r="I29" i="15"/>
  <c r="F29" i="15"/>
  <c r="D29" i="15"/>
  <c r="C29" i="15"/>
  <c r="B29" i="15"/>
  <c r="E29" i="15" s="1"/>
  <c r="E19" i="15"/>
  <c r="O29" i="14"/>
  <c r="L29" i="14"/>
  <c r="J29" i="14"/>
  <c r="I29" i="14"/>
  <c r="F29" i="14"/>
  <c r="D29" i="14"/>
  <c r="C29" i="14"/>
  <c r="B29" i="14"/>
  <c r="E29" i="14" s="1"/>
  <c r="E19" i="14"/>
  <c r="E29" i="13"/>
  <c r="E19" i="13"/>
  <c r="E29" i="12"/>
  <c r="E19" i="12"/>
  <c r="E29" i="11"/>
  <c r="E19" i="11"/>
  <c r="A11" i="2"/>
  <c r="A10" i="2"/>
  <c r="A9" i="2"/>
  <c r="A8" i="2"/>
  <c r="A7" i="2"/>
  <c r="A6" i="2"/>
  <c r="A5" i="2"/>
  <c r="AE11" i="2"/>
  <c r="AE10" i="2"/>
  <c r="AE9" i="2"/>
  <c r="AE8" i="2"/>
  <c r="AE7" i="2"/>
  <c r="AE6" i="2"/>
  <c r="AD11" i="2"/>
  <c r="AD10" i="2"/>
  <c r="AD9" i="2"/>
  <c r="AD8" i="2"/>
  <c r="AD7" i="2"/>
  <c r="AD6" i="2"/>
  <c r="AC11" i="2"/>
  <c r="AC10" i="2"/>
  <c r="AC9" i="2"/>
  <c r="AC8" i="2"/>
  <c r="AC7" i="2"/>
  <c r="AC6" i="2"/>
  <c r="AE5" i="2"/>
  <c r="AD5" i="2"/>
  <c r="AC5" i="2"/>
  <c r="AE11" i="8"/>
  <c r="AE10" i="8"/>
  <c r="AE9" i="8"/>
  <c r="AE8" i="8"/>
  <c r="AE7" i="8"/>
  <c r="AE6" i="8"/>
  <c r="AD11" i="8"/>
  <c r="AD10" i="8"/>
  <c r="AD9" i="8"/>
  <c r="AD8" i="8"/>
  <c r="AD7" i="8"/>
  <c r="AD6" i="8"/>
  <c r="AC11" i="8"/>
  <c r="AC10" i="8"/>
  <c r="AC9" i="8"/>
  <c r="AC8" i="8"/>
  <c r="AC7" i="8"/>
  <c r="AC6" i="8"/>
  <c r="AC5" i="8"/>
  <c r="Y5" i="35" l="1" a="1"/>
  <c r="Y5" i="35" s="1"/>
  <c r="Y5" i="2" a="1"/>
  <c r="Y5" i="2" s="1"/>
  <c r="E29" i="10" l="1"/>
  <c r="E19" i="10"/>
  <c r="E29" i="9"/>
  <c r="E19" i="9"/>
  <c r="A7" i="8"/>
  <c r="A5" i="58"/>
  <c r="E29" i="7"/>
  <c r="E19" i="7"/>
  <c r="E29" i="6"/>
  <c r="E19" i="6"/>
  <c r="E29" i="5"/>
  <c r="E19" i="5"/>
  <c r="E29" i="4"/>
  <c r="E19" i="4"/>
  <c r="X5" i="4" l="1"/>
  <c r="W5" i="4"/>
  <c r="U5" i="4"/>
  <c r="T5" i="4"/>
  <c r="S5" i="4" s="1"/>
  <c r="Q5" i="4"/>
  <c r="E29" i="3"/>
  <c r="E19" i="3"/>
  <c r="E29" i="1"/>
  <c r="S62" i="58"/>
  <c r="S61" i="58"/>
  <c r="A62" i="58"/>
  <c r="A61" i="58"/>
  <c r="A64" i="8"/>
  <c r="O29" i="69"/>
  <c r="L29" i="69"/>
  <c r="J29" i="69"/>
  <c r="L64" i="2" s="1"/>
  <c r="I29" i="69"/>
  <c r="C29" i="69"/>
  <c r="C64" i="2" s="1"/>
  <c r="B29" i="69"/>
  <c r="F25" i="69"/>
  <c r="F29" i="69" s="1"/>
  <c r="E64" i="2" s="1"/>
  <c r="D25" i="69"/>
  <c r="D29" i="69" s="1"/>
  <c r="K64" i="2" s="1"/>
  <c r="O19" i="69"/>
  <c r="M64" i="8" s="1"/>
  <c r="L19" i="69"/>
  <c r="J19" i="69"/>
  <c r="L64" i="8" s="1"/>
  <c r="I19" i="69"/>
  <c r="C19" i="69"/>
  <c r="B19" i="69"/>
  <c r="F15" i="69"/>
  <c r="F19" i="69" s="1"/>
  <c r="E64" i="8" s="1"/>
  <c r="D15" i="69"/>
  <c r="D19" i="69" s="1"/>
  <c r="K64" i="8" s="1"/>
  <c r="A63" i="8"/>
  <c r="O29" i="68"/>
  <c r="M63" i="2" s="1"/>
  <c r="L29" i="68"/>
  <c r="J29" i="68"/>
  <c r="L63" i="2" s="1"/>
  <c r="I29" i="68"/>
  <c r="C29" i="68"/>
  <c r="C63" i="2" s="1"/>
  <c r="B29" i="68"/>
  <c r="F25" i="68"/>
  <c r="F29" i="68" s="1"/>
  <c r="E63" i="2" s="1"/>
  <c r="D25" i="68"/>
  <c r="D29" i="68" s="1"/>
  <c r="K63" i="2" s="1"/>
  <c r="O19" i="68"/>
  <c r="M63" i="8" s="1"/>
  <c r="L19" i="68"/>
  <c r="J19" i="68"/>
  <c r="L63" i="8" s="1"/>
  <c r="I19" i="68"/>
  <c r="C19" i="68"/>
  <c r="C63" i="8" s="1"/>
  <c r="B19" i="68"/>
  <c r="F15" i="68"/>
  <c r="F19" i="68" s="1"/>
  <c r="E63" i="8" s="1"/>
  <c r="D15" i="68"/>
  <c r="D19" i="68" s="1"/>
  <c r="K63" i="8" s="1"/>
  <c r="F26" i="67"/>
  <c r="D26" i="67"/>
  <c r="B64" i="2" l="1"/>
  <c r="E29" i="69"/>
  <c r="B64" i="8"/>
  <c r="E19" i="69"/>
  <c r="X5" i="69"/>
  <c r="P62" i="58" s="1"/>
  <c r="S5" i="69"/>
  <c r="M64" i="2"/>
  <c r="C64" i="8"/>
  <c r="W5" i="69"/>
  <c r="R62" i="58" s="1"/>
  <c r="B63" i="2"/>
  <c r="E29" i="68"/>
  <c r="B63" i="8"/>
  <c r="E19" i="68"/>
  <c r="W5" i="68"/>
  <c r="R61" i="58" s="1"/>
  <c r="X5" i="68"/>
  <c r="P61" i="58" s="1"/>
  <c r="U5" i="69"/>
  <c r="Q62" i="58" s="1"/>
  <c r="Q5" i="69"/>
  <c r="Q5" i="68"/>
  <c r="U5" i="68"/>
  <c r="Q61" i="58" s="1"/>
  <c r="S5" i="68"/>
  <c r="T5" i="68"/>
  <c r="R5" i="68" s="1"/>
  <c r="C61" i="58" s="1"/>
  <c r="S60" i="58"/>
  <c r="A60" i="58"/>
  <c r="A62" i="8"/>
  <c r="F25" i="67"/>
  <c r="F29" i="67" s="1"/>
  <c r="E62" i="2" s="1"/>
  <c r="D25" i="67"/>
  <c r="D29" i="67" s="1"/>
  <c r="K62" i="2" s="1"/>
  <c r="O29" i="67"/>
  <c r="M62" i="2" s="1"/>
  <c r="L29" i="67"/>
  <c r="J29" i="67"/>
  <c r="L62" i="2" s="1"/>
  <c r="I29" i="67"/>
  <c r="C29" i="67"/>
  <c r="C62" i="2" s="1"/>
  <c r="B29" i="67"/>
  <c r="B62" i="2" s="1"/>
  <c r="O19" i="67"/>
  <c r="M62" i="8" s="1"/>
  <c r="L19" i="67"/>
  <c r="J19" i="67"/>
  <c r="L62" i="8" s="1"/>
  <c r="I19" i="67"/>
  <c r="C19" i="67"/>
  <c r="C62" i="8" s="1"/>
  <c r="B19" i="67"/>
  <c r="B62" i="8" s="1"/>
  <c r="F15" i="67"/>
  <c r="F19" i="67" s="1"/>
  <c r="E62" i="8" s="1"/>
  <c r="D15" i="67"/>
  <c r="D19" i="67" s="1"/>
  <c r="K62" i="8" s="1"/>
  <c r="T5" i="69" l="1"/>
  <c r="R5" i="69" s="1"/>
  <c r="C62" i="58" s="1"/>
  <c r="W5" i="67"/>
  <c r="X5" i="67"/>
  <c r="P60" i="58" s="1"/>
  <c r="S5" i="67"/>
  <c r="Q5" i="67"/>
  <c r="U5" i="67"/>
  <c r="Q60" i="58" s="1"/>
  <c r="S59" i="58"/>
  <c r="A59" i="58"/>
  <c r="A61" i="8"/>
  <c r="T5" i="67" l="1"/>
  <c r="R5" i="67" s="1"/>
  <c r="C60" i="58" s="1"/>
  <c r="R60" i="58"/>
  <c r="O29" i="66"/>
  <c r="M61" i="2" s="1"/>
  <c r="L29" i="66"/>
  <c r="J29" i="66"/>
  <c r="L61" i="2" s="1"/>
  <c r="I29" i="66"/>
  <c r="D29" i="66"/>
  <c r="K61" i="2" s="1"/>
  <c r="C29" i="66"/>
  <c r="C61" i="2" s="1"/>
  <c r="B29" i="66"/>
  <c r="E29" i="66" s="1"/>
  <c r="F29" i="66"/>
  <c r="E61" i="2" s="1"/>
  <c r="O19" i="66"/>
  <c r="M61" i="8" s="1"/>
  <c r="L19" i="66"/>
  <c r="J19" i="66"/>
  <c r="L61" i="8" s="1"/>
  <c r="I19" i="66"/>
  <c r="C19" i="66"/>
  <c r="B19" i="66"/>
  <c r="F15" i="66"/>
  <c r="F19" i="66" s="1"/>
  <c r="E61" i="8" s="1"/>
  <c r="D15" i="66"/>
  <c r="D19" i="66" s="1"/>
  <c r="B61" i="8" l="1"/>
  <c r="E19" i="66"/>
  <c r="W5" i="66"/>
  <c r="R59" i="58" s="1"/>
  <c r="X5" i="66"/>
  <c r="P59" i="58" s="1"/>
  <c r="Q5" i="66"/>
  <c r="B61" i="2"/>
  <c r="U5" i="66"/>
  <c r="Q59" i="58" s="1"/>
  <c r="K61" i="8"/>
  <c r="S5" i="66"/>
  <c r="C61" i="8"/>
  <c r="T5" i="66" l="1"/>
  <c r="R5" i="66" s="1"/>
  <c r="C59" i="58" s="1"/>
  <c r="F26" i="65"/>
  <c r="S58" i="58"/>
  <c r="A58" i="58"/>
  <c r="A60" i="8" l="1"/>
  <c r="O29" i="65" l="1"/>
  <c r="M60" i="2" s="1"/>
  <c r="L29" i="65"/>
  <c r="J29" i="65"/>
  <c r="L60" i="2" s="1"/>
  <c r="I29" i="65"/>
  <c r="D29" i="65"/>
  <c r="K60" i="2" s="1"/>
  <c r="C29" i="65"/>
  <c r="C60" i="2" s="1"/>
  <c r="B29" i="65"/>
  <c r="F25" i="65"/>
  <c r="F29" i="65" s="1"/>
  <c r="E60" i="2" s="1"/>
  <c r="O19" i="65"/>
  <c r="M60" i="8" s="1"/>
  <c r="L19" i="65"/>
  <c r="J19" i="65"/>
  <c r="L60" i="8" s="1"/>
  <c r="I19" i="65"/>
  <c r="C19" i="65"/>
  <c r="C60" i="8" s="1"/>
  <c r="B19" i="65"/>
  <c r="E19" i="65" s="1"/>
  <c r="F15" i="65"/>
  <c r="F19" i="65" s="1"/>
  <c r="E60" i="8" s="1"/>
  <c r="D15" i="65"/>
  <c r="D19" i="65" s="1"/>
  <c r="B60" i="2" l="1"/>
  <c r="E29" i="65"/>
  <c r="Q5" i="65"/>
  <c r="B60" i="8"/>
  <c r="X5" i="65"/>
  <c r="P58" i="58" s="1"/>
  <c r="W5" i="65"/>
  <c r="U5" i="65"/>
  <c r="Q58" i="58" s="1"/>
  <c r="K60" i="8"/>
  <c r="S5" i="65"/>
  <c r="S57" i="58"/>
  <c r="A57" i="58"/>
  <c r="A59" i="2"/>
  <c r="A59" i="8"/>
  <c r="T5" i="65" l="1"/>
  <c r="R5" i="65" s="1"/>
  <c r="C58" i="58" s="1"/>
  <c r="R58" i="58"/>
  <c r="F25" i="64"/>
  <c r="F29" i="64" s="1"/>
  <c r="E59" i="2" s="1"/>
  <c r="O29" i="64"/>
  <c r="M59" i="2" s="1"/>
  <c r="L29" i="64"/>
  <c r="J29" i="64"/>
  <c r="L59" i="2" s="1"/>
  <c r="I29" i="64"/>
  <c r="D29" i="64"/>
  <c r="K59" i="2" s="1"/>
  <c r="C29" i="64"/>
  <c r="C59" i="2" s="1"/>
  <c r="B29" i="64"/>
  <c r="B59" i="2" s="1"/>
  <c r="O19" i="64"/>
  <c r="M59" i="8" s="1"/>
  <c r="L19" i="64"/>
  <c r="J19" i="64"/>
  <c r="L59" i="8" s="1"/>
  <c r="I19" i="64"/>
  <c r="C19" i="64"/>
  <c r="C59" i="8" s="1"/>
  <c r="B19" i="64"/>
  <c r="B59" i="8" s="1"/>
  <c r="F15" i="64"/>
  <c r="F19" i="64" s="1"/>
  <c r="E59" i="8" s="1"/>
  <c r="D15" i="64"/>
  <c r="D19" i="64" s="1"/>
  <c r="K59" i="8" s="1"/>
  <c r="W5" i="64" l="1"/>
  <c r="X5" i="64"/>
  <c r="P57" i="58" s="1"/>
  <c r="U5" i="64"/>
  <c r="Q57" i="58" s="1"/>
  <c r="S5" i="64"/>
  <c r="Q5" i="64"/>
  <c r="T5" i="64" l="1"/>
  <c r="R5" i="64" s="1"/>
  <c r="C57" i="58" s="1"/>
  <c r="R57" i="58"/>
  <c r="L35" i="63"/>
  <c r="I39" i="63"/>
  <c r="S56" i="58" l="1"/>
  <c r="A56" i="58"/>
  <c r="M11" i="55"/>
  <c r="A11" i="55"/>
  <c r="A12" i="54"/>
  <c r="K12" i="54"/>
  <c r="L12" i="54"/>
  <c r="M12" i="54"/>
  <c r="A13" i="52"/>
  <c r="M15" i="48"/>
  <c r="A15" i="48"/>
  <c r="A17" i="46"/>
  <c r="K17" i="46" l="1"/>
  <c r="L17" i="46"/>
  <c r="M17" i="46"/>
  <c r="M27" i="35"/>
  <c r="L27" i="35"/>
  <c r="K27" i="35"/>
  <c r="C27" i="35"/>
  <c r="B27" i="35"/>
  <c r="A27" i="35"/>
  <c r="A58" i="2"/>
  <c r="A58" i="8"/>
  <c r="L65" i="63"/>
  <c r="L69" i="63" s="1"/>
  <c r="L85" i="63"/>
  <c r="L55" i="63"/>
  <c r="L75" i="63"/>
  <c r="L79" i="63" s="1"/>
  <c r="L45" i="63"/>
  <c r="L89" i="63"/>
  <c r="J89" i="63"/>
  <c r="L11" i="55" s="1"/>
  <c r="I89" i="63"/>
  <c r="F89" i="63"/>
  <c r="E11" i="55" s="1"/>
  <c r="D89" i="63"/>
  <c r="K11" i="55" s="1"/>
  <c r="C89" i="63"/>
  <c r="C11" i="55" s="1"/>
  <c r="B89" i="63"/>
  <c r="B11" i="55" s="1"/>
  <c r="J79" i="63"/>
  <c r="I79" i="63"/>
  <c r="F79" i="63"/>
  <c r="E12" i="54" s="1"/>
  <c r="D79" i="63"/>
  <c r="C79" i="63"/>
  <c r="C12" i="54" s="1"/>
  <c r="B79" i="63"/>
  <c r="B12" i="54" s="1"/>
  <c r="O69" i="63"/>
  <c r="M13" i="52" s="1"/>
  <c r="J69" i="63"/>
  <c r="L13" i="52" s="1"/>
  <c r="I69" i="63"/>
  <c r="F69" i="63"/>
  <c r="E13" i="52" s="1"/>
  <c r="D69" i="63"/>
  <c r="K13" i="52" s="1"/>
  <c r="C69" i="63"/>
  <c r="C13" i="52" s="1"/>
  <c r="B69" i="63"/>
  <c r="B13" i="52" s="1"/>
  <c r="L59" i="63"/>
  <c r="J59" i="63"/>
  <c r="L15" i="48" s="1"/>
  <c r="I59" i="63"/>
  <c r="F59" i="63"/>
  <c r="E15" i="48" s="1"/>
  <c r="D59" i="63"/>
  <c r="K15" i="48" s="1"/>
  <c r="C59" i="63"/>
  <c r="C15" i="48" s="1"/>
  <c r="B59" i="63"/>
  <c r="B15" i="48" s="1"/>
  <c r="O49" i="63"/>
  <c r="L49" i="63"/>
  <c r="J49" i="63"/>
  <c r="I49" i="63"/>
  <c r="F49" i="63"/>
  <c r="E17" i="46" s="1"/>
  <c r="D49" i="63"/>
  <c r="C49" i="63"/>
  <c r="C17" i="46" s="1"/>
  <c r="B49" i="63"/>
  <c r="B17" i="46" s="1"/>
  <c r="L39" i="63"/>
  <c r="F39" i="63"/>
  <c r="E27" i="35" s="1"/>
  <c r="O29" i="63"/>
  <c r="M58" i="2" s="1"/>
  <c r="L29" i="63"/>
  <c r="J29" i="63"/>
  <c r="L58" i="2" s="1"/>
  <c r="I29" i="63"/>
  <c r="C29" i="63"/>
  <c r="C58" i="2" s="1"/>
  <c r="B29" i="63"/>
  <c r="B58" i="2" s="1"/>
  <c r="F29" i="63"/>
  <c r="E58" i="2" s="1"/>
  <c r="D29" i="63"/>
  <c r="K58" i="2" s="1"/>
  <c r="O19" i="63"/>
  <c r="M58" i="8" s="1"/>
  <c r="L19" i="63"/>
  <c r="J19" i="63"/>
  <c r="L58" i="8" s="1"/>
  <c r="I19" i="63"/>
  <c r="C19" i="63"/>
  <c r="C58" i="8" s="1"/>
  <c r="B19" i="63"/>
  <c r="B58" i="8" s="1"/>
  <c r="F15" i="63"/>
  <c r="F19" i="63" s="1"/>
  <c r="E58" i="8" s="1"/>
  <c r="D15" i="63"/>
  <c r="D19" i="63" s="1"/>
  <c r="K58" i="8" s="1"/>
  <c r="S55" i="58"/>
  <c r="C55" i="58"/>
  <c r="A55" i="58"/>
  <c r="M10" i="55"/>
  <c r="A10" i="55"/>
  <c r="M11" i="54"/>
  <c r="A11" i="54"/>
  <c r="A12" i="52"/>
  <c r="M14" i="48"/>
  <c r="A14" i="48"/>
  <c r="A16" i="46"/>
  <c r="M26" i="35"/>
  <c r="K26" i="35"/>
  <c r="C26" i="35"/>
  <c r="B26" i="35"/>
  <c r="A26" i="35"/>
  <c r="A57" i="2"/>
  <c r="A57" i="8"/>
  <c r="D26" i="62"/>
  <c r="F26" i="62"/>
  <c r="F25" i="62"/>
  <c r="D25" i="62"/>
  <c r="L10" i="55"/>
  <c r="E10" i="55"/>
  <c r="K10" i="55"/>
  <c r="C10" i="55"/>
  <c r="B10" i="55"/>
  <c r="L11" i="54"/>
  <c r="E11" i="54"/>
  <c r="K11" i="54"/>
  <c r="C11" i="54"/>
  <c r="B11" i="54"/>
  <c r="L12" i="52"/>
  <c r="E12" i="52"/>
  <c r="K12" i="52"/>
  <c r="C12" i="52"/>
  <c r="B12" i="52"/>
  <c r="L14" i="48"/>
  <c r="E14" i="48"/>
  <c r="K14" i="48"/>
  <c r="C14" i="48"/>
  <c r="B14" i="48"/>
  <c r="M16" i="46"/>
  <c r="L16" i="46"/>
  <c r="E16" i="46"/>
  <c r="K16" i="46"/>
  <c r="C16" i="46"/>
  <c r="B16" i="46"/>
  <c r="L26" i="35"/>
  <c r="E26" i="35"/>
  <c r="O29" i="62"/>
  <c r="M57" i="2" s="1"/>
  <c r="L29" i="62"/>
  <c r="J29" i="62"/>
  <c r="L57" i="2" s="1"/>
  <c r="I29" i="62"/>
  <c r="C29" i="62"/>
  <c r="C57" i="2" s="1"/>
  <c r="B29" i="62"/>
  <c r="B57" i="2" s="1"/>
  <c r="O19" i="62"/>
  <c r="M57" i="8" s="1"/>
  <c r="L19" i="62"/>
  <c r="J19" i="62"/>
  <c r="I19" i="62"/>
  <c r="C19" i="62"/>
  <c r="B19" i="62"/>
  <c r="F15" i="62"/>
  <c r="F19" i="62" s="1"/>
  <c r="E57" i="8" s="1"/>
  <c r="D15" i="62"/>
  <c r="D19" i="62" s="1"/>
  <c r="K57" i="8" s="1"/>
  <c r="S54" i="58"/>
  <c r="C54" i="58"/>
  <c r="A54" i="58"/>
  <c r="M9" i="55"/>
  <c r="A9" i="55"/>
  <c r="M10" i="54"/>
  <c r="A10" i="54"/>
  <c r="A11" i="52"/>
  <c r="M13" i="48"/>
  <c r="A13" i="48"/>
  <c r="A15" i="46"/>
  <c r="M25" i="35"/>
  <c r="K25" i="35"/>
  <c r="C25" i="35"/>
  <c r="B25" i="35"/>
  <c r="A25" i="35"/>
  <c r="A56" i="8"/>
  <c r="L9" i="55"/>
  <c r="E9" i="55"/>
  <c r="K9" i="55"/>
  <c r="C9" i="55"/>
  <c r="B9" i="55"/>
  <c r="L10" i="54"/>
  <c r="E10" i="54"/>
  <c r="K10" i="54"/>
  <c r="C10" i="54"/>
  <c r="B10" i="54"/>
  <c r="M11" i="52"/>
  <c r="L11" i="52"/>
  <c r="E11" i="52"/>
  <c r="K11" i="52"/>
  <c r="C11" i="52"/>
  <c r="B11" i="52"/>
  <c r="L13" i="48"/>
  <c r="E13" i="48"/>
  <c r="K13" i="48"/>
  <c r="C13" i="48"/>
  <c r="B13" i="48"/>
  <c r="M15" i="46"/>
  <c r="L15" i="46"/>
  <c r="E15" i="46"/>
  <c r="K15" i="46"/>
  <c r="C15" i="46"/>
  <c r="B15" i="46"/>
  <c r="L25" i="35"/>
  <c r="E25" i="35"/>
  <c r="O29" i="61"/>
  <c r="M56" i="2" s="1"/>
  <c r="L29" i="61"/>
  <c r="J29" i="61"/>
  <c r="I29" i="61"/>
  <c r="C29" i="61"/>
  <c r="C56" i="2" s="1"/>
  <c r="B29" i="61"/>
  <c r="B56" i="2" s="1"/>
  <c r="F29" i="61"/>
  <c r="E56" i="2" s="1"/>
  <c r="D29" i="61"/>
  <c r="K56" i="2" s="1"/>
  <c r="O19" i="61"/>
  <c r="M56" i="8" s="1"/>
  <c r="L19" i="61"/>
  <c r="J19" i="61"/>
  <c r="L56" i="8" s="1"/>
  <c r="I19" i="61"/>
  <c r="C19" i="61"/>
  <c r="B19" i="61"/>
  <c r="F15" i="61"/>
  <c r="F19" i="61" s="1"/>
  <c r="E56" i="8" s="1"/>
  <c r="D15" i="61"/>
  <c r="D19" i="61" s="1"/>
  <c r="K56" i="8" s="1"/>
  <c r="S53" i="58"/>
  <c r="C53" i="58"/>
  <c r="A53" i="58"/>
  <c r="M8" i="55"/>
  <c r="A8" i="55"/>
  <c r="M9" i="54"/>
  <c r="A9" i="54"/>
  <c r="A10" i="52"/>
  <c r="M12" i="48"/>
  <c r="A12" i="48"/>
  <c r="A14" i="46"/>
  <c r="M24" i="35"/>
  <c r="K24" i="35"/>
  <c r="C24" i="35"/>
  <c r="B24" i="35"/>
  <c r="A24" i="35"/>
  <c r="A55" i="8"/>
  <c r="L8" i="55"/>
  <c r="E8" i="55"/>
  <c r="K8" i="55"/>
  <c r="C8" i="55"/>
  <c r="B8" i="55"/>
  <c r="L9" i="54"/>
  <c r="E9" i="54"/>
  <c r="K9" i="54"/>
  <c r="C9" i="54"/>
  <c r="B9" i="54"/>
  <c r="M10" i="52"/>
  <c r="L10" i="52"/>
  <c r="E10" i="52"/>
  <c r="K10" i="52"/>
  <c r="C10" i="52"/>
  <c r="B10" i="52"/>
  <c r="L12" i="48"/>
  <c r="E12" i="48"/>
  <c r="K12" i="48"/>
  <c r="C12" i="48"/>
  <c r="B12" i="48"/>
  <c r="M14" i="46"/>
  <c r="L14" i="46"/>
  <c r="E14" i="46"/>
  <c r="K14" i="46"/>
  <c r="C14" i="46"/>
  <c r="B14" i="46"/>
  <c r="L24" i="35"/>
  <c r="E24" i="35"/>
  <c r="O29" i="60"/>
  <c r="M55" i="2" s="1"/>
  <c r="L29" i="60"/>
  <c r="J29" i="60"/>
  <c r="L55" i="2" s="1"/>
  <c r="I29" i="60"/>
  <c r="C29" i="60"/>
  <c r="C55" i="2" s="1"/>
  <c r="B29" i="60"/>
  <c r="B55" i="2" s="1"/>
  <c r="F25" i="60"/>
  <c r="F29" i="60" s="1"/>
  <c r="E55" i="2" s="1"/>
  <c r="D25" i="60"/>
  <c r="D29" i="60" s="1"/>
  <c r="K55" i="2" s="1"/>
  <c r="O19" i="60"/>
  <c r="L19" i="60"/>
  <c r="J19" i="60"/>
  <c r="L55" i="8" s="1"/>
  <c r="I19" i="60"/>
  <c r="C19" i="60"/>
  <c r="B19" i="60"/>
  <c r="F15" i="60"/>
  <c r="F19" i="60" s="1"/>
  <c r="E55" i="8" s="1"/>
  <c r="D15" i="60"/>
  <c r="D19" i="60" s="1"/>
  <c r="K55" i="8" s="1"/>
  <c r="S52" i="58"/>
  <c r="C52" i="58"/>
  <c r="A52" i="58"/>
  <c r="M7" i="55"/>
  <c r="A7" i="55"/>
  <c r="M8" i="54"/>
  <c r="A8" i="54"/>
  <c r="A9" i="52"/>
  <c r="M11" i="48"/>
  <c r="A11" i="48"/>
  <c r="A13" i="46"/>
  <c r="M23" i="35"/>
  <c r="K23" i="35"/>
  <c r="C23" i="35"/>
  <c r="B23" i="35"/>
  <c r="A23" i="35"/>
  <c r="A54" i="8"/>
  <c r="D26" i="59"/>
  <c r="F26" i="59"/>
  <c r="F25" i="59"/>
  <c r="D25" i="59"/>
  <c r="L7" i="55"/>
  <c r="E7" i="55"/>
  <c r="K7" i="55"/>
  <c r="C7" i="55"/>
  <c r="B7" i="55"/>
  <c r="L8" i="54"/>
  <c r="E8" i="54"/>
  <c r="K8" i="54"/>
  <c r="C8" i="54"/>
  <c r="B8" i="54"/>
  <c r="M9" i="52"/>
  <c r="E9" i="52"/>
  <c r="K9" i="52"/>
  <c r="C9" i="52"/>
  <c r="B9" i="52"/>
  <c r="L11" i="48"/>
  <c r="E11" i="48"/>
  <c r="K11" i="48"/>
  <c r="C11" i="48"/>
  <c r="B11" i="48"/>
  <c r="M13" i="46"/>
  <c r="L13" i="46"/>
  <c r="E13" i="46"/>
  <c r="K13" i="46"/>
  <c r="C13" i="46"/>
  <c r="B13" i="46"/>
  <c r="L23" i="35"/>
  <c r="E23" i="35"/>
  <c r="O29" i="59"/>
  <c r="M54" i="2" s="1"/>
  <c r="L29" i="59"/>
  <c r="J29" i="59"/>
  <c r="L54" i="2" s="1"/>
  <c r="I29" i="59"/>
  <c r="C29" i="59"/>
  <c r="C54" i="2" s="1"/>
  <c r="B29" i="59"/>
  <c r="B54" i="2" s="1"/>
  <c r="O19" i="59"/>
  <c r="M54" i="8" s="1"/>
  <c r="L19" i="59"/>
  <c r="J19" i="59"/>
  <c r="L54" i="8" s="1"/>
  <c r="I19" i="59"/>
  <c r="C19" i="59"/>
  <c r="B19" i="59"/>
  <c r="B54" i="8" s="1"/>
  <c r="F15" i="59"/>
  <c r="F19" i="59" s="1"/>
  <c r="E54" i="8" s="1"/>
  <c r="D15" i="59"/>
  <c r="D19" i="59" s="1"/>
  <c r="K54" i="8" s="1"/>
  <c r="S51" i="58"/>
  <c r="C51" i="58"/>
  <c r="A51" i="58"/>
  <c r="S50" i="58"/>
  <c r="C50" i="58"/>
  <c r="A50" i="58"/>
  <c r="M6" i="55"/>
  <c r="A6" i="55"/>
  <c r="M7" i="54"/>
  <c r="A7" i="54"/>
  <c r="A8" i="52"/>
  <c r="M10" i="48"/>
  <c r="A10" i="48"/>
  <c r="A12" i="46"/>
  <c r="M22" i="35"/>
  <c r="K22" i="35"/>
  <c r="C22" i="35"/>
  <c r="B22" i="35"/>
  <c r="A22" i="35"/>
  <c r="A53" i="8"/>
  <c r="L89" i="57"/>
  <c r="J89" i="57"/>
  <c r="L6" i="55" s="1"/>
  <c r="I89" i="57"/>
  <c r="D89" i="57"/>
  <c r="K6" i="55" s="1"/>
  <c r="C89" i="57"/>
  <c r="C6" i="55" s="1"/>
  <c r="B89" i="57"/>
  <c r="B6" i="55" s="1"/>
  <c r="F89" i="57"/>
  <c r="E6" i="55" s="1"/>
  <c r="L79" i="57"/>
  <c r="J79" i="57"/>
  <c r="L7" i="54" s="1"/>
  <c r="I79" i="57"/>
  <c r="F79" i="57"/>
  <c r="E7" i="54" s="1"/>
  <c r="D79" i="57"/>
  <c r="K7" i="54" s="1"/>
  <c r="C79" i="57"/>
  <c r="C7" i="54" s="1"/>
  <c r="B79" i="57"/>
  <c r="B7" i="54" s="1"/>
  <c r="M8" i="52"/>
  <c r="L8" i="52"/>
  <c r="E8" i="52"/>
  <c r="K8" i="52"/>
  <c r="C8" i="52"/>
  <c r="B8" i="52"/>
  <c r="L59" i="57"/>
  <c r="J59" i="57"/>
  <c r="L10" i="48" s="1"/>
  <c r="I59" i="57"/>
  <c r="F59" i="57"/>
  <c r="E10" i="48" s="1"/>
  <c r="D59" i="57"/>
  <c r="K10" i="48" s="1"/>
  <c r="C59" i="57"/>
  <c r="C10" i="48" s="1"/>
  <c r="B59" i="57"/>
  <c r="B10" i="48" s="1"/>
  <c r="M12" i="46"/>
  <c r="L12" i="46"/>
  <c r="E12" i="46"/>
  <c r="K12" i="46"/>
  <c r="C12" i="46"/>
  <c r="B12" i="46"/>
  <c r="L39" i="57"/>
  <c r="J39" i="57"/>
  <c r="L22" i="35" s="1"/>
  <c r="I39" i="57"/>
  <c r="F39" i="57"/>
  <c r="E22" i="35" s="1"/>
  <c r="O29" i="57"/>
  <c r="M53" i="2" s="1"/>
  <c r="L29" i="57"/>
  <c r="J29" i="57"/>
  <c r="L53" i="2" s="1"/>
  <c r="I29" i="57"/>
  <c r="C29" i="57"/>
  <c r="C53" i="2" s="1"/>
  <c r="B29" i="57"/>
  <c r="B53" i="2" s="1"/>
  <c r="F29" i="57"/>
  <c r="E53" i="2" s="1"/>
  <c r="D29" i="57"/>
  <c r="K53" i="2" s="1"/>
  <c r="O19" i="57"/>
  <c r="M53" i="8" s="1"/>
  <c r="L19" i="57"/>
  <c r="J19" i="57"/>
  <c r="I19" i="57"/>
  <c r="C19" i="57"/>
  <c r="C53" i="8" s="1"/>
  <c r="B19" i="57"/>
  <c r="B53" i="8" s="1"/>
  <c r="F15" i="57"/>
  <c r="F19" i="57" s="1"/>
  <c r="E53" i="8" s="1"/>
  <c r="D15" i="57"/>
  <c r="D19" i="57" s="1"/>
  <c r="K53" i="8" s="1"/>
  <c r="A5" i="55"/>
  <c r="A6" i="54"/>
  <c r="A7" i="52"/>
  <c r="A9" i="48"/>
  <c r="A11" i="46"/>
  <c r="K21" i="35"/>
  <c r="C21" i="35"/>
  <c r="B21" i="35"/>
  <c r="A21" i="35"/>
  <c r="A52" i="8"/>
  <c r="F85" i="56"/>
  <c r="F89" i="56" s="1"/>
  <c r="E5" i="55" s="1"/>
  <c r="O89" i="56"/>
  <c r="M5" i="55" s="1"/>
  <c r="L89" i="56"/>
  <c r="J89" i="56"/>
  <c r="L5" i="55" s="1"/>
  <c r="I89" i="56"/>
  <c r="D89" i="56"/>
  <c r="K5" i="55" s="1"/>
  <c r="C89" i="56"/>
  <c r="C5" i="55" s="1"/>
  <c r="B89" i="56"/>
  <c r="B5" i="55" s="1"/>
  <c r="D26" i="56"/>
  <c r="F26" i="56"/>
  <c r="F25" i="56"/>
  <c r="D25" i="56"/>
  <c r="M6" i="54"/>
  <c r="L6" i="54"/>
  <c r="K6" i="54"/>
  <c r="C6" i="54"/>
  <c r="B6" i="54"/>
  <c r="E6" i="54"/>
  <c r="M7" i="52"/>
  <c r="L7" i="52"/>
  <c r="E7" i="52"/>
  <c r="K7" i="52"/>
  <c r="C7" i="52"/>
  <c r="B7" i="52"/>
  <c r="M9" i="48"/>
  <c r="L9" i="48"/>
  <c r="E9" i="48"/>
  <c r="K9" i="48"/>
  <c r="C9" i="48"/>
  <c r="B9" i="48"/>
  <c r="M11" i="46"/>
  <c r="L11" i="46"/>
  <c r="E11" i="46"/>
  <c r="K11" i="46"/>
  <c r="C11" i="46"/>
  <c r="B11" i="46"/>
  <c r="M21" i="35"/>
  <c r="L21" i="35"/>
  <c r="E21" i="35"/>
  <c r="O29" i="56"/>
  <c r="M52" i="2" s="1"/>
  <c r="L29" i="56"/>
  <c r="J29" i="56"/>
  <c r="I29" i="56"/>
  <c r="C29" i="56"/>
  <c r="C52" i="2" s="1"/>
  <c r="B29" i="56"/>
  <c r="B52" i="2" s="1"/>
  <c r="O19" i="56"/>
  <c r="M52" i="8" s="1"/>
  <c r="L19" i="56"/>
  <c r="J19" i="56"/>
  <c r="L52" i="8" s="1"/>
  <c r="I19" i="56"/>
  <c r="C19" i="56"/>
  <c r="C52" i="8" s="1"/>
  <c r="B19" i="56"/>
  <c r="B52" i="8" s="1"/>
  <c r="F15" i="56"/>
  <c r="F19" i="56" s="1"/>
  <c r="E52" i="8" s="1"/>
  <c r="D15" i="56"/>
  <c r="D19" i="56" s="1"/>
  <c r="K52" i="8" s="1"/>
  <c r="S49" i="58"/>
  <c r="C49" i="58"/>
  <c r="A49" i="58"/>
  <c r="A5" i="54"/>
  <c r="A6" i="52"/>
  <c r="A8" i="48"/>
  <c r="A10" i="46"/>
  <c r="K20" i="35"/>
  <c r="C20" i="35"/>
  <c r="B20" i="35"/>
  <c r="A20" i="35"/>
  <c r="A51" i="8"/>
  <c r="F75" i="53"/>
  <c r="F79" i="53" s="1"/>
  <c r="E5" i="54" s="1"/>
  <c r="O79" i="53"/>
  <c r="M5" i="54" s="1"/>
  <c r="L79" i="53"/>
  <c r="J79" i="53"/>
  <c r="L5" i="54" s="1"/>
  <c r="I79" i="53"/>
  <c r="D79" i="53"/>
  <c r="K5" i="54" s="1"/>
  <c r="C79" i="53"/>
  <c r="C5" i="54" s="1"/>
  <c r="B79" i="53"/>
  <c r="B5" i="54" s="1"/>
  <c r="M6" i="52"/>
  <c r="L6" i="52"/>
  <c r="K6" i="52"/>
  <c r="C6" i="52"/>
  <c r="B6" i="52"/>
  <c r="E6" i="52"/>
  <c r="M8" i="48"/>
  <c r="L8" i="48"/>
  <c r="E8" i="48"/>
  <c r="K8" i="48"/>
  <c r="C8" i="48"/>
  <c r="B8" i="48"/>
  <c r="M10" i="46"/>
  <c r="L10" i="46"/>
  <c r="E10" i="46"/>
  <c r="K10" i="46"/>
  <c r="C10" i="46"/>
  <c r="B10" i="46"/>
  <c r="M20" i="35"/>
  <c r="L20" i="35"/>
  <c r="E20" i="35"/>
  <c r="O29" i="53"/>
  <c r="M51" i="2" s="1"/>
  <c r="L29" i="53"/>
  <c r="J29" i="53"/>
  <c r="L51" i="2" s="1"/>
  <c r="I29" i="53"/>
  <c r="D29" i="53"/>
  <c r="K51" i="2" s="1"/>
  <c r="C29" i="53"/>
  <c r="C51" i="2" s="1"/>
  <c r="B29" i="53"/>
  <c r="B51" i="2" s="1"/>
  <c r="F29" i="53"/>
  <c r="E51" i="2" s="1"/>
  <c r="O19" i="53"/>
  <c r="M51" i="8" s="1"/>
  <c r="L19" i="53"/>
  <c r="J19" i="53"/>
  <c r="I19" i="53"/>
  <c r="C19" i="53"/>
  <c r="B19" i="53"/>
  <c r="B51" i="8" s="1"/>
  <c r="F15" i="53"/>
  <c r="F19" i="53" s="1"/>
  <c r="E51" i="8" s="1"/>
  <c r="D15" i="53"/>
  <c r="D19" i="53" s="1"/>
  <c r="K51" i="8" s="1"/>
  <c r="S48" i="58"/>
  <c r="C48" i="58"/>
  <c r="A48" i="58"/>
  <c r="A5" i="52"/>
  <c r="A7" i="48"/>
  <c r="A9" i="46"/>
  <c r="K19" i="35"/>
  <c r="C19" i="35"/>
  <c r="B19" i="35"/>
  <c r="A19" i="35"/>
  <c r="A50" i="8"/>
  <c r="F65" i="51"/>
  <c r="F69" i="51" s="1"/>
  <c r="E5" i="52" s="1"/>
  <c r="O69" i="51"/>
  <c r="M5" i="52" s="1"/>
  <c r="L69" i="51"/>
  <c r="J69" i="51"/>
  <c r="L5" i="52" s="1"/>
  <c r="I69" i="51"/>
  <c r="D69" i="51"/>
  <c r="K5" i="52" s="1"/>
  <c r="C69" i="51"/>
  <c r="C5" i="52" s="1"/>
  <c r="B69" i="51"/>
  <c r="B5" i="52" s="1"/>
  <c r="M7" i="48"/>
  <c r="L7" i="48"/>
  <c r="K7" i="48"/>
  <c r="C7" i="48"/>
  <c r="B7" i="48"/>
  <c r="E7" i="48"/>
  <c r="M9" i="46"/>
  <c r="L9" i="46"/>
  <c r="E9" i="46"/>
  <c r="K9" i="46"/>
  <c r="C9" i="46"/>
  <c r="B9" i="46"/>
  <c r="M19" i="35"/>
  <c r="L19" i="35"/>
  <c r="E19" i="35"/>
  <c r="O29" i="51"/>
  <c r="M50" i="2" s="1"/>
  <c r="L29" i="51"/>
  <c r="J29" i="51"/>
  <c r="L50" i="2" s="1"/>
  <c r="I29" i="51"/>
  <c r="D29" i="51"/>
  <c r="K50" i="2" s="1"/>
  <c r="C29" i="51"/>
  <c r="C50" i="2" s="1"/>
  <c r="B29" i="51"/>
  <c r="B50" i="2" s="1"/>
  <c r="F26" i="51"/>
  <c r="F25" i="51"/>
  <c r="O19" i="51"/>
  <c r="M50" i="8" s="1"/>
  <c r="L19" i="51"/>
  <c r="J19" i="51"/>
  <c r="L50" i="8" s="1"/>
  <c r="I19" i="51"/>
  <c r="C19" i="51"/>
  <c r="C50" i="8" s="1"/>
  <c r="B19" i="51"/>
  <c r="B50" i="8" s="1"/>
  <c r="F15" i="51"/>
  <c r="F19" i="51" s="1"/>
  <c r="E50" i="8" s="1"/>
  <c r="D15" i="51"/>
  <c r="D19" i="51" s="1"/>
  <c r="S47" i="58"/>
  <c r="C47" i="58"/>
  <c r="A47" i="58"/>
  <c r="A6" i="48"/>
  <c r="A8" i="46"/>
  <c r="K18" i="35"/>
  <c r="C18" i="35"/>
  <c r="B18" i="35"/>
  <c r="A18" i="35"/>
  <c r="A49" i="8"/>
  <c r="O59" i="50"/>
  <c r="M6" i="48" s="1"/>
  <c r="L59" i="50"/>
  <c r="J59" i="50"/>
  <c r="L6" i="48" s="1"/>
  <c r="I59" i="50"/>
  <c r="D59" i="50"/>
  <c r="K6" i="48" s="1"/>
  <c r="C59" i="50"/>
  <c r="C6" i="48" s="1"/>
  <c r="B59" i="50"/>
  <c r="B6" i="48" s="1"/>
  <c r="F55" i="50"/>
  <c r="F59" i="50" s="1"/>
  <c r="E6" i="48" s="1"/>
  <c r="M8" i="46"/>
  <c r="E8" i="46"/>
  <c r="K8" i="46"/>
  <c r="C8" i="46"/>
  <c r="B8" i="46"/>
  <c r="M18" i="35"/>
  <c r="L18" i="35"/>
  <c r="O29" i="50"/>
  <c r="L29" i="50"/>
  <c r="J29" i="50"/>
  <c r="L49" i="2" s="1"/>
  <c r="I29" i="50"/>
  <c r="D29" i="50"/>
  <c r="K49" i="2" s="1"/>
  <c r="C29" i="50"/>
  <c r="C49" i="2" s="1"/>
  <c r="B29" i="50"/>
  <c r="B49" i="2" s="1"/>
  <c r="F29" i="50"/>
  <c r="E49" i="2" s="1"/>
  <c r="O19" i="50"/>
  <c r="M49" i="8" s="1"/>
  <c r="L19" i="50"/>
  <c r="J19" i="50"/>
  <c r="I19" i="50"/>
  <c r="C19" i="50"/>
  <c r="C49" i="8" s="1"/>
  <c r="B19" i="50"/>
  <c r="B49" i="8" s="1"/>
  <c r="F15" i="50"/>
  <c r="F19" i="50" s="1"/>
  <c r="E49" i="8" s="1"/>
  <c r="D15" i="50"/>
  <c r="D19" i="50" s="1"/>
  <c r="K49" i="8" s="1"/>
  <c r="S46" i="58"/>
  <c r="C46" i="58"/>
  <c r="A46" i="58"/>
  <c r="A5" i="48"/>
  <c r="A7" i="46"/>
  <c r="K17" i="35"/>
  <c r="C17" i="35"/>
  <c r="B17" i="35"/>
  <c r="A17" i="35"/>
  <c r="A48" i="8"/>
  <c r="F55" i="49"/>
  <c r="F59" i="49" s="1"/>
  <c r="E5" i="48" s="1"/>
  <c r="O59" i="49"/>
  <c r="M5" i="48" s="1"/>
  <c r="L59" i="49"/>
  <c r="J59" i="49"/>
  <c r="L5" i="48" s="1"/>
  <c r="I59" i="49"/>
  <c r="D59" i="49"/>
  <c r="K5" i="48" s="1"/>
  <c r="C59" i="49"/>
  <c r="C5" i="48" s="1"/>
  <c r="B59" i="49"/>
  <c r="B5" i="48" s="1"/>
  <c r="F26" i="49"/>
  <c r="F25" i="49"/>
  <c r="M7" i="46"/>
  <c r="L7" i="46"/>
  <c r="E7" i="46"/>
  <c r="K7" i="46"/>
  <c r="C7" i="46"/>
  <c r="B7" i="46"/>
  <c r="M17" i="35"/>
  <c r="L17" i="35"/>
  <c r="E17" i="35"/>
  <c r="O29" i="49"/>
  <c r="M48" i="2" s="1"/>
  <c r="L29" i="49"/>
  <c r="J29" i="49"/>
  <c r="L48" i="2" s="1"/>
  <c r="I29" i="49"/>
  <c r="D29" i="49"/>
  <c r="K48" i="2" s="1"/>
  <c r="C29" i="49"/>
  <c r="C48" i="2" s="1"/>
  <c r="B29" i="49"/>
  <c r="B48" i="2" s="1"/>
  <c r="O19" i="49"/>
  <c r="M48" i="8" s="1"/>
  <c r="L19" i="49"/>
  <c r="J19" i="49"/>
  <c r="L48" i="8" s="1"/>
  <c r="I19" i="49"/>
  <c r="C19" i="49"/>
  <c r="C48" i="8" s="1"/>
  <c r="B19" i="49"/>
  <c r="B48" i="8" s="1"/>
  <c r="F15" i="49"/>
  <c r="F19" i="49" s="1"/>
  <c r="E48" i="8" s="1"/>
  <c r="D15" i="49"/>
  <c r="D19" i="49" s="1"/>
  <c r="K48" i="8" s="1"/>
  <c r="S45" i="58"/>
  <c r="C45" i="58"/>
  <c r="A45" i="58"/>
  <c r="A6" i="46"/>
  <c r="K16" i="35"/>
  <c r="C16" i="35"/>
  <c r="B16" i="35"/>
  <c r="A16" i="35"/>
  <c r="A47" i="8"/>
  <c r="S44" i="58"/>
  <c r="C44" i="58"/>
  <c r="A44" i="58"/>
  <c r="O49" i="47"/>
  <c r="M6" i="46" s="1"/>
  <c r="L49" i="47"/>
  <c r="J49" i="47"/>
  <c r="L6" i="46" s="1"/>
  <c r="I49" i="47"/>
  <c r="D49" i="47"/>
  <c r="K6" i="46" s="1"/>
  <c r="C49" i="47"/>
  <c r="C6" i="46" s="1"/>
  <c r="B49" i="47"/>
  <c r="B6" i="46" s="1"/>
  <c r="F49" i="47"/>
  <c r="E6" i="46" s="1"/>
  <c r="M16" i="35"/>
  <c r="L16" i="35"/>
  <c r="E16" i="35"/>
  <c r="O29" i="47"/>
  <c r="L29" i="47"/>
  <c r="J29" i="47"/>
  <c r="L47" i="2" s="1"/>
  <c r="I29" i="47"/>
  <c r="D29" i="47"/>
  <c r="K47" i="2" s="1"/>
  <c r="C29" i="47"/>
  <c r="C47" i="2" s="1"/>
  <c r="B29" i="47"/>
  <c r="B47" i="2" s="1"/>
  <c r="F29" i="47"/>
  <c r="E47" i="2" s="1"/>
  <c r="O19" i="47"/>
  <c r="M47" i="8" s="1"/>
  <c r="L19" i="47"/>
  <c r="J19" i="47"/>
  <c r="I19" i="47"/>
  <c r="C19" i="47"/>
  <c r="C47" i="8" s="1"/>
  <c r="B19" i="47"/>
  <c r="B47" i="8" s="1"/>
  <c r="F15" i="47"/>
  <c r="F19" i="47" s="1"/>
  <c r="E47" i="8" s="1"/>
  <c r="D15" i="47"/>
  <c r="D19" i="47" s="1"/>
  <c r="K47" i="8" s="1"/>
  <c r="F29" i="59" l="1"/>
  <c r="E54" i="2" s="1"/>
  <c r="D29" i="62"/>
  <c r="K57" i="2" s="1"/>
  <c r="W5" i="47"/>
  <c r="R45" i="58" s="1"/>
  <c r="L8" i="46"/>
  <c r="W5" i="53"/>
  <c r="R49" i="58" s="1"/>
  <c r="W5" i="59"/>
  <c r="R52" i="58" s="1"/>
  <c r="X5" i="63"/>
  <c r="P56" i="58" s="1"/>
  <c r="X5" i="60"/>
  <c r="P53" i="58" s="1"/>
  <c r="M55" i="8"/>
  <c r="X5" i="61"/>
  <c r="P54" i="58" s="1"/>
  <c r="X5" i="47"/>
  <c r="P45" i="58" s="1"/>
  <c r="L47" i="8"/>
  <c r="W5" i="50"/>
  <c r="R47" i="58" s="1"/>
  <c r="U5" i="51"/>
  <c r="Q48" i="58" s="1"/>
  <c r="X5" i="56"/>
  <c r="P50" i="58" s="1"/>
  <c r="W5" i="56"/>
  <c r="R50" i="58" s="1"/>
  <c r="X5" i="62"/>
  <c r="P55" i="58" s="1"/>
  <c r="M12" i="52"/>
  <c r="X5" i="52" s="1"/>
  <c r="M47" i="2"/>
  <c r="W5" i="51"/>
  <c r="R48" i="58" s="1"/>
  <c r="L52" i="2"/>
  <c r="W5" i="57"/>
  <c r="L53" i="8"/>
  <c r="W5" i="49"/>
  <c r="X5" i="51"/>
  <c r="P48" i="58" s="1"/>
  <c r="K50" i="8"/>
  <c r="L51" i="8"/>
  <c r="L9" i="52"/>
  <c r="W5" i="52" s="1"/>
  <c r="X5" i="50"/>
  <c r="P47" i="58" s="1"/>
  <c r="T5" i="59"/>
  <c r="Q5" i="59" s="1"/>
  <c r="X5" i="49"/>
  <c r="P46" i="58" s="1"/>
  <c r="L49" i="8"/>
  <c r="M49" i="2"/>
  <c r="X5" i="53"/>
  <c r="P49" i="58" s="1"/>
  <c r="X5" i="55"/>
  <c r="D29" i="59"/>
  <c r="K54" i="2" s="1"/>
  <c r="W5" i="61"/>
  <c r="W5" i="62"/>
  <c r="R55" i="58" s="1"/>
  <c r="F29" i="62"/>
  <c r="E57" i="2" s="1"/>
  <c r="X5" i="59"/>
  <c r="P52" i="58" s="1"/>
  <c r="U5" i="62"/>
  <c r="Q55" i="58" s="1"/>
  <c r="U5" i="63"/>
  <c r="Q56" i="58" s="1"/>
  <c r="Q5" i="63"/>
  <c r="W5" i="60"/>
  <c r="R53" i="58" s="1"/>
  <c r="L56" i="2"/>
  <c r="L57" i="8"/>
  <c r="S5" i="63"/>
  <c r="W5" i="63"/>
  <c r="U5" i="61"/>
  <c r="Q54" i="58" s="1"/>
  <c r="U5" i="60"/>
  <c r="Q53" i="58" s="1"/>
  <c r="V5" i="54"/>
  <c r="W5" i="54"/>
  <c r="V5" i="55"/>
  <c r="W5" i="55"/>
  <c r="X5" i="54"/>
  <c r="V5" i="52"/>
  <c r="X5" i="57"/>
  <c r="P51" i="58" s="1"/>
  <c r="U5" i="57"/>
  <c r="Q51" i="58" s="1"/>
  <c r="D29" i="56"/>
  <c r="K52" i="2" s="1"/>
  <c r="F29" i="56"/>
  <c r="E52" i="2" s="1"/>
  <c r="U5" i="53"/>
  <c r="Q49" i="58" s="1"/>
  <c r="T5" i="53"/>
  <c r="Q5" i="53" s="1"/>
  <c r="C51" i="8"/>
  <c r="V5" i="48"/>
  <c r="F29" i="51"/>
  <c r="E50" i="2" s="1"/>
  <c r="W5" i="48"/>
  <c r="U5" i="50"/>
  <c r="Q47" i="58" s="1"/>
  <c r="X5" i="48"/>
  <c r="F29" i="49"/>
  <c r="E48" i="2" s="1"/>
  <c r="U5" i="49"/>
  <c r="Q46" i="58" s="1"/>
  <c r="U5" i="47"/>
  <c r="Q45" i="58" s="1"/>
  <c r="A5" i="46"/>
  <c r="K15" i="35"/>
  <c r="C15" i="35"/>
  <c r="B15" i="35"/>
  <c r="A15" i="35"/>
  <c r="A46" i="8"/>
  <c r="O49" i="45"/>
  <c r="M5" i="46" s="1"/>
  <c r="X5" i="46" s="1"/>
  <c r="L49" i="45"/>
  <c r="J49" i="45"/>
  <c r="I49" i="45"/>
  <c r="D49" i="45"/>
  <c r="K5" i="46" s="1"/>
  <c r="C49" i="45"/>
  <c r="C5" i="46" s="1"/>
  <c r="B49" i="45"/>
  <c r="B5" i="46" s="1"/>
  <c r="F45" i="45"/>
  <c r="F49" i="45" s="1"/>
  <c r="E5" i="46" s="1"/>
  <c r="O39" i="45"/>
  <c r="M15" i="35" s="1"/>
  <c r="L39" i="45"/>
  <c r="J39" i="45"/>
  <c r="L15" i="35" s="1"/>
  <c r="I39" i="45"/>
  <c r="F39" i="45"/>
  <c r="E15" i="35" s="1"/>
  <c r="O29" i="45"/>
  <c r="M46" i="2" s="1"/>
  <c r="L29" i="45"/>
  <c r="J29" i="45"/>
  <c r="L46" i="2" s="1"/>
  <c r="I29" i="45"/>
  <c r="D29" i="45"/>
  <c r="K46" i="2" s="1"/>
  <c r="C29" i="45"/>
  <c r="C46" i="2" s="1"/>
  <c r="B29" i="45"/>
  <c r="B46" i="2" s="1"/>
  <c r="F25" i="45"/>
  <c r="F29" i="45" s="1"/>
  <c r="E46" i="2" s="1"/>
  <c r="O19" i="45"/>
  <c r="M46" i="8" s="1"/>
  <c r="L19" i="45"/>
  <c r="J19" i="45"/>
  <c r="L46" i="8" s="1"/>
  <c r="I19" i="45"/>
  <c r="C19" i="45"/>
  <c r="C46" i="8" s="1"/>
  <c r="B19" i="45"/>
  <c r="B46" i="8" s="1"/>
  <c r="F15" i="45"/>
  <c r="F19" i="45" s="1"/>
  <c r="E46" i="8" s="1"/>
  <c r="D15" i="45"/>
  <c r="D19" i="45" s="1"/>
  <c r="S43" i="58"/>
  <c r="C43" i="58"/>
  <c r="A43" i="58"/>
  <c r="K14" i="35"/>
  <c r="E14" i="35"/>
  <c r="C14" i="35"/>
  <c r="B14" i="35"/>
  <c r="A14" i="35"/>
  <c r="A45" i="8"/>
  <c r="M14" i="35"/>
  <c r="L14" i="35"/>
  <c r="O29" i="44"/>
  <c r="M45" i="2" s="1"/>
  <c r="L29" i="44"/>
  <c r="J29" i="44"/>
  <c r="I29" i="44"/>
  <c r="D29" i="44"/>
  <c r="K45" i="2" s="1"/>
  <c r="C29" i="44"/>
  <c r="C45" i="2" s="1"/>
  <c r="B29" i="44"/>
  <c r="B45" i="2" s="1"/>
  <c r="F26" i="44"/>
  <c r="F25" i="44"/>
  <c r="O19" i="44"/>
  <c r="M45" i="8" s="1"/>
  <c r="L19" i="44"/>
  <c r="J19" i="44"/>
  <c r="L45" i="8" s="1"/>
  <c r="I19" i="44"/>
  <c r="C19" i="44"/>
  <c r="B19" i="44"/>
  <c r="B45" i="8" s="1"/>
  <c r="F15" i="44"/>
  <c r="F19" i="44" s="1"/>
  <c r="E45" i="8" s="1"/>
  <c r="D15" i="44"/>
  <c r="D19" i="44" s="1"/>
  <c r="S42" i="58"/>
  <c r="C42" i="58"/>
  <c r="A42" i="58"/>
  <c r="K13" i="35"/>
  <c r="C13" i="35"/>
  <c r="B13" i="35"/>
  <c r="A13" i="35"/>
  <c r="A44" i="8"/>
  <c r="M13" i="35"/>
  <c r="L13" i="35"/>
  <c r="E13" i="35"/>
  <c r="O29" i="43"/>
  <c r="M44" i="2" s="1"/>
  <c r="L29" i="43"/>
  <c r="J29" i="43"/>
  <c r="L44" i="2" s="1"/>
  <c r="I29" i="43"/>
  <c r="D29" i="43"/>
  <c r="K44" i="2" s="1"/>
  <c r="C29" i="43"/>
  <c r="C44" i="2" s="1"/>
  <c r="B29" i="43"/>
  <c r="B44" i="2" s="1"/>
  <c r="F29" i="43"/>
  <c r="E44" i="2" s="1"/>
  <c r="O19" i="43"/>
  <c r="M44" i="8" s="1"/>
  <c r="L19" i="43"/>
  <c r="J19" i="43"/>
  <c r="I19" i="43"/>
  <c r="C19" i="43"/>
  <c r="C44" i="8" s="1"/>
  <c r="B19" i="43"/>
  <c r="B44" i="8" s="1"/>
  <c r="F15" i="43"/>
  <c r="F19" i="43" s="1"/>
  <c r="E44" i="8" s="1"/>
  <c r="D15" i="43"/>
  <c r="D19" i="43" s="1"/>
  <c r="K44" i="8" s="1"/>
  <c r="S41" i="58"/>
  <c r="C41" i="58"/>
  <c r="A41" i="58"/>
  <c r="K12" i="35"/>
  <c r="C12" i="35"/>
  <c r="B12" i="35"/>
  <c r="A43" i="8"/>
  <c r="M12" i="35"/>
  <c r="L12" i="35"/>
  <c r="E12" i="35"/>
  <c r="O29" i="42"/>
  <c r="L29" i="42"/>
  <c r="J29" i="42"/>
  <c r="L43" i="2" s="1"/>
  <c r="I29" i="42"/>
  <c r="D29" i="42"/>
  <c r="K43" i="2" s="1"/>
  <c r="C29" i="42"/>
  <c r="C43" i="2" s="1"/>
  <c r="B29" i="42"/>
  <c r="B43" i="2" s="1"/>
  <c r="F25" i="42"/>
  <c r="F29" i="42" s="1"/>
  <c r="E43" i="2" s="1"/>
  <c r="O19" i="42"/>
  <c r="M43" i="8" s="1"/>
  <c r="L19" i="42"/>
  <c r="J19" i="42"/>
  <c r="I19" i="42"/>
  <c r="C19" i="42"/>
  <c r="C43" i="8" s="1"/>
  <c r="B19" i="42"/>
  <c r="B43" i="8" s="1"/>
  <c r="F15" i="42"/>
  <c r="F19" i="42" s="1"/>
  <c r="E43" i="8" s="1"/>
  <c r="D15" i="42"/>
  <c r="D19" i="42" s="1"/>
  <c r="K43" i="8" s="1"/>
  <c r="S40" i="58"/>
  <c r="C40" i="58"/>
  <c r="A40" i="58"/>
  <c r="K11" i="35"/>
  <c r="C11" i="35"/>
  <c r="B11" i="35"/>
  <c r="A42" i="8"/>
  <c r="M11" i="35"/>
  <c r="L11" i="35"/>
  <c r="E11" i="35"/>
  <c r="O29" i="41"/>
  <c r="M42" i="2" s="1"/>
  <c r="L29" i="41"/>
  <c r="J29" i="41"/>
  <c r="L42" i="2" s="1"/>
  <c r="I29" i="41"/>
  <c r="D29" i="41"/>
  <c r="K42" i="2" s="1"/>
  <c r="C29" i="41"/>
  <c r="C42" i="2" s="1"/>
  <c r="B29" i="41"/>
  <c r="B42" i="2" s="1"/>
  <c r="F26" i="41"/>
  <c r="F25" i="41"/>
  <c r="O19" i="41"/>
  <c r="M42" i="8" s="1"/>
  <c r="L19" i="41"/>
  <c r="J19" i="41"/>
  <c r="I19" i="41"/>
  <c r="C19" i="41"/>
  <c r="C42" i="8" s="1"/>
  <c r="B19" i="41"/>
  <c r="B42" i="8" s="1"/>
  <c r="F15" i="41"/>
  <c r="F19" i="41" s="1"/>
  <c r="E42" i="8" s="1"/>
  <c r="D15" i="41"/>
  <c r="D19" i="41" s="1"/>
  <c r="U5" i="41" s="1"/>
  <c r="Q40" i="58" s="1"/>
  <c r="S39" i="58"/>
  <c r="C39" i="58"/>
  <c r="A39" i="58"/>
  <c r="M10" i="35"/>
  <c r="K10" i="35"/>
  <c r="E10" i="35"/>
  <c r="C10" i="35"/>
  <c r="B10" i="35"/>
  <c r="A41" i="8"/>
  <c r="L39" i="40"/>
  <c r="J39" i="40"/>
  <c r="L10" i="35" s="1"/>
  <c r="I39" i="40"/>
  <c r="O29" i="40"/>
  <c r="M41" i="2" s="1"/>
  <c r="L29" i="40"/>
  <c r="J29" i="40"/>
  <c r="L41" i="2" s="1"/>
  <c r="I29" i="40"/>
  <c r="D29" i="40"/>
  <c r="K41" i="2" s="1"/>
  <c r="C29" i="40"/>
  <c r="C41" i="2" s="1"/>
  <c r="B29" i="40"/>
  <c r="B41" i="2" s="1"/>
  <c r="F29" i="40"/>
  <c r="E41" i="2" s="1"/>
  <c r="O19" i="40"/>
  <c r="L19" i="40"/>
  <c r="J19" i="40"/>
  <c r="I19" i="40"/>
  <c r="C19" i="40"/>
  <c r="C41" i="8" s="1"/>
  <c r="B19" i="40"/>
  <c r="B41" i="8" s="1"/>
  <c r="F15" i="40"/>
  <c r="F19" i="40" s="1"/>
  <c r="E41" i="8" s="1"/>
  <c r="D15" i="40"/>
  <c r="D19" i="40" s="1"/>
  <c r="K41" i="8" s="1"/>
  <c r="S38" i="58"/>
  <c r="C38" i="58"/>
  <c r="A38" i="58"/>
  <c r="K9" i="35"/>
  <c r="A40" i="8"/>
  <c r="F26" i="39"/>
  <c r="O39" i="39"/>
  <c r="M9" i="35" s="1"/>
  <c r="L39" i="39"/>
  <c r="J39" i="39"/>
  <c r="L9" i="35" s="1"/>
  <c r="I39" i="39"/>
  <c r="C39" i="39"/>
  <c r="C9" i="35" s="1"/>
  <c r="B39" i="39"/>
  <c r="B9" i="35" s="1"/>
  <c r="F35" i="39"/>
  <c r="F39" i="39" s="1"/>
  <c r="E9" i="35" s="1"/>
  <c r="O29" i="39"/>
  <c r="M40" i="2" s="1"/>
  <c r="L29" i="39"/>
  <c r="J29" i="39"/>
  <c r="L40" i="2" s="1"/>
  <c r="I29" i="39"/>
  <c r="D29" i="39"/>
  <c r="K40" i="2" s="1"/>
  <c r="C29" i="39"/>
  <c r="C40" i="2" s="1"/>
  <c r="B29" i="39"/>
  <c r="B40" i="2" s="1"/>
  <c r="F25" i="39"/>
  <c r="O19" i="39"/>
  <c r="L19" i="39"/>
  <c r="J19" i="39"/>
  <c r="L40" i="8" s="1"/>
  <c r="I19" i="39"/>
  <c r="C19" i="39"/>
  <c r="C40" i="8" s="1"/>
  <c r="B19" i="39"/>
  <c r="B40" i="8" s="1"/>
  <c r="F15" i="39"/>
  <c r="F19" i="39" s="1"/>
  <c r="E40" i="8" s="1"/>
  <c r="D15" i="39"/>
  <c r="D19" i="39" s="1"/>
  <c r="K40" i="8" s="1"/>
  <c r="S37" i="58"/>
  <c r="C37" i="58"/>
  <c r="A37" i="58"/>
  <c r="K8" i="35"/>
  <c r="C8" i="35"/>
  <c r="B8" i="35"/>
  <c r="A39" i="8"/>
  <c r="L8" i="35"/>
  <c r="E8" i="35"/>
  <c r="O29" i="38"/>
  <c r="M39" i="2" s="1"/>
  <c r="L29" i="38"/>
  <c r="J29" i="38"/>
  <c r="L39" i="2" s="1"/>
  <c r="I29" i="38"/>
  <c r="D29" i="38"/>
  <c r="K39" i="2" s="1"/>
  <c r="C29" i="38"/>
  <c r="C39" i="2" s="1"/>
  <c r="B29" i="38"/>
  <c r="B39" i="2" s="1"/>
  <c r="F25" i="38"/>
  <c r="F29" i="38" s="1"/>
  <c r="E39" i="2" s="1"/>
  <c r="O19" i="38"/>
  <c r="M39" i="8" s="1"/>
  <c r="L19" i="38"/>
  <c r="J19" i="38"/>
  <c r="I19" i="38"/>
  <c r="C19" i="38"/>
  <c r="C39" i="8" s="1"/>
  <c r="B19" i="38"/>
  <c r="B39" i="8" s="1"/>
  <c r="F15" i="38"/>
  <c r="F19" i="38" s="1"/>
  <c r="E39" i="8" s="1"/>
  <c r="D15" i="38"/>
  <c r="D19" i="38" s="1"/>
  <c r="K39" i="8" s="1"/>
  <c r="S36" i="58"/>
  <c r="C36" i="58"/>
  <c r="A36" i="58"/>
  <c r="K7" i="35"/>
  <c r="C7" i="35"/>
  <c r="B7" i="35"/>
  <c r="A38" i="8"/>
  <c r="M7" i="35"/>
  <c r="L7" i="35"/>
  <c r="E7" i="35"/>
  <c r="O29" i="37"/>
  <c r="M38" i="2" s="1"/>
  <c r="L29" i="37"/>
  <c r="J29" i="37"/>
  <c r="L38" i="2" s="1"/>
  <c r="I29" i="37"/>
  <c r="D29" i="37"/>
  <c r="K38" i="2" s="1"/>
  <c r="C29" i="37"/>
  <c r="B29" i="37"/>
  <c r="B38" i="2" s="1"/>
  <c r="F29" i="37"/>
  <c r="E38" i="2" s="1"/>
  <c r="O19" i="37"/>
  <c r="M38" i="8" s="1"/>
  <c r="L19" i="37"/>
  <c r="J19" i="37"/>
  <c r="L38" i="8" s="1"/>
  <c r="I19" i="37"/>
  <c r="C19" i="37"/>
  <c r="C38" i="8" s="1"/>
  <c r="B19" i="37"/>
  <c r="B38" i="8" s="1"/>
  <c r="F15" i="37"/>
  <c r="F19" i="37" s="1"/>
  <c r="E38" i="8" s="1"/>
  <c r="D15" i="37"/>
  <c r="D19" i="37" s="1"/>
  <c r="K38" i="8" s="1"/>
  <c r="S35" i="58"/>
  <c r="C35" i="58"/>
  <c r="A35" i="58"/>
  <c r="K6" i="35"/>
  <c r="C6" i="35"/>
  <c r="B6" i="35"/>
  <c r="A37" i="8"/>
  <c r="O39" i="36"/>
  <c r="M6" i="35" s="1"/>
  <c r="L39" i="36"/>
  <c r="J39" i="36"/>
  <c r="L6" i="35" s="1"/>
  <c r="I39" i="36"/>
  <c r="F39" i="36"/>
  <c r="E6" i="35" s="1"/>
  <c r="O29" i="36"/>
  <c r="L29" i="36"/>
  <c r="J29" i="36"/>
  <c r="L37" i="2" s="1"/>
  <c r="I29" i="36"/>
  <c r="D29" i="36"/>
  <c r="K37" i="2" s="1"/>
  <c r="C29" i="36"/>
  <c r="C37" i="2" s="1"/>
  <c r="B29" i="36"/>
  <c r="B37" i="2" s="1"/>
  <c r="F25" i="36"/>
  <c r="F29" i="36" s="1"/>
  <c r="E37" i="2" s="1"/>
  <c r="O19" i="36"/>
  <c r="M37" i="8" s="1"/>
  <c r="L19" i="36"/>
  <c r="J19" i="36"/>
  <c r="L37" i="8" s="1"/>
  <c r="I19" i="36"/>
  <c r="C19" i="36"/>
  <c r="C37" i="8" s="1"/>
  <c r="B19" i="36"/>
  <c r="B37" i="8" s="1"/>
  <c r="F15" i="36"/>
  <c r="F19" i="36" s="1"/>
  <c r="E37" i="8" s="1"/>
  <c r="D15" i="36"/>
  <c r="D19" i="36" s="1"/>
  <c r="S34" i="58"/>
  <c r="C34" i="58"/>
  <c r="A34" i="58"/>
  <c r="K5" i="35"/>
  <c r="A5" i="35"/>
  <c r="A36" i="8"/>
  <c r="C39" i="34"/>
  <c r="C5" i="35" s="1"/>
  <c r="B39" i="34"/>
  <c r="B5" i="35" s="1"/>
  <c r="O39" i="34"/>
  <c r="M5" i="35" s="1"/>
  <c r="L39" i="34"/>
  <c r="J39" i="34"/>
  <c r="L5" i="35" s="1"/>
  <c r="I39" i="34"/>
  <c r="F35" i="34"/>
  <c r="F39" i="34" s="1"/>
  <c r="E5" i="35" s="1"/>
  <c r="F25" i="34"/>
  <c r="F29" i="34" s="1"/>
  <c r="E36" i="2" s="1"/>
  <c r="O29" i="34"/>
  <c r="M36" i="2" s="1"/>
  <c r="L29" i="34"/>
  <c r="J29" i="34"/>
  <c r="L36" i="2" s="1"/>
  <c r="I29" i="34"/>
  <c r="D29" i="34"/>
  <c r="K36" i="2" s="1"/>
  <c r="C29" i="34"/>
  <c r="C36" i="2" s="1"/>
  <c r="B29" i="34"/>
  <c r="B36" i="2" s="1"/>
  <c r="O19" i="34"/>
  <c r="L19" i="34"/>
  <c r="J19" i="34"/>
  <c r="I19" i="34"/>
  <c r="C19" i="34"/>
  <c r="C36" i="8" s="1"/>
  <c r="B19" i="34"/>
  <c r="B36" i="8" s="1"/>
  <c r="F15" i="34"/>
  <c r="F19" i="34" s="1"/>
  <c r="E36" i="8" s="1"/>
  <c r="D15" i="34"/>
  <c r="D19" i="34" s="1"/>
  <c r="K36" i="8" s="1"/>
  <c r="S33" i="58"/>
  <c r="C33" i="58"/>
  <c r="A33" i="58"/>
  <c r="S32" i="58"/>
  <c r="C32" i="58"/>
  <c r="A32" i="58"/>
  <c r="A35" i="8"/>
  <c r="A34" i="8"/>
  <c r="O29" i="33"/>
  <c r="M35" i="2" s="1"/>
  <c r="L29" i="33"/>
  <c r="J29" i="33"/>
  <c r="L35" i="2" s="1"/>
  <c r="I29" i="33"/>
  <c r="F29" i="33"/>
  <c r="E35" i="2" s="1"/>
  <c r="D29" i="33"/>
  <c r="K35" i="2" s="1"/>
  <c r="C29" i="33"/>
  <c r="C35" i="2" s="1"/>
  <c r="B29" i="33"/>
  <c r="B35" i="2" s="1"/>
  <c r="O19" i="33"/>
  <c r="M35" i="8" s="1"/>
  <c r="L19" i="33"/>
  <c r="J19" i="33"/>
  <c r="I19" i="33"/>
  <c r="C19" i="33"/>
  <c r="C35" i="8" s="1"/>
  <c r="B19" i="33"/>
  <c r="B35" i="8" s="1"/>
  <c r="F15" i="33"/>
  <c r="F19" i="33" s="1"/>
  <c r="E35" i="8" s="1"/>
  <c r="D15" i="33"/>
  <c r="D19" i="33" s="1"/>
  <c r="O29" i="32"/>
  <c r="M34" i="2" s="1"/>
  <c r="L29" i="32"/>
  <c r="J29" i="32"/>
  <c r="L34" i="2" s="1"/>
  <c r="I29" i="32"/>
  <c r="F29" i="32"/>
  <c r="E34" i="2" s="1"/>
  <c r="D29" i="32"/>
  <c r="K34" i="2" s="1"/>
  <c r="C29" i="32"/>
  <c r="C34" i="2" s="1"/>
  <c r="B29" i="32"/>
  <c r="B34" i="2" s="1"/>
  <c r="O19" i="32"/>
  <c r="L19" i="32"/>
  <c r="J19" i="32"/>
  <c r="I19" i="32"/>
  <c r="C19" i="32"/>
  <c r="C34" i="8" s="1"/>
  <c r="B19" i="32"/>
  <c r="B34" i="8" s="1"/>
  <c r="F15" i="32"/>
  <c r="F19" i="32" s="1"/>
  <c r="E34" i="8" s="1"/>
  <c r="D15" i="32"/>
  <c r="D19" i="32" s="1"/>
  <c r="K34" i="8" s="1"/>
  <c r="S31" i="58"/>
  <c r="C31" i="58"/>
  <c r="A31" i="58"/>
  <c r="A33" i="8"/>
  <c r="O29" i="31"/>
  <c r="M33" i="2" s="1"/>
  <c r="L29" i="31"/>
  <c r="J29" i="31"/>
  <c r="L33" i="2" s="1"/>
  <c r="I29" i="31"/>
  <c r="F29" i="31"/>
  <c r="E33" i="2" s="1"/>
  <c r="D29" i="31"/>
  <c r="K33" i="2" s="1"/>
  <c r="C29" i="31"/>
  <c r="C33" i="2" s="1"/>
  <c r="B29" i="31"/>
  <c r="B33" i="2" s="1"/>
  <c r="O19" i="31"/>
  <c r="M33" i="8" s="1"/>
  <c r="L19" i="31"/>
  <c r="J19" i="31"/>
  <c r="I19" i="31"/>
  <c r="C19" i="31"/>
  <c r="C33" i="8" s="1"/>
  <c r="B19" i="31"/>
  <c r="B33" i="8" s="1"/>
  <c r="F15" i="31"/>
  <c r="F19" i="31" s="1"/>
  <c r="E33" i="8" s="1"/>
  <c r="D15" i="31"/>
  <c r="D19" i="31" s="1"/>
  <c r="K33" i="8" s="1"/>
  <c r="S30" i="58"/>
  <c r="C30" i="58"/>
  <c r="A30" i="58"/>
  <c r="A32" i="8"/>
  <c r="O29" i="30"/>
  <c r="M32" i="2" s="1"/>
  <c r="L29" i="30"/>
  <c r="J29" i="30"/>
  <c r="L32" i="2" s="1"/>
  <c r="I29" i="30"/>
  <c r="F29" i="30"/>
  <c r="E32" i="2" s="1"/>
  <c r="D29" i="30"/>
  <c r="K32" i="2" s="1"/>
  <c r="C29" i="30"/>
  <c r="C32" i="2" s="1"/>
  <c r="B29" i="30"/>
  <c r="B32" i="2" s="1"/>
  <c r="O19" i="30"/>
  <c r="L19" i="30"/>
  <c r="J19" i="30"/>
  <c r="I19" i="30"/>
  <c r="C19" i="30"/>
  <c r="C32" i="8" s="1"/>
  <c r="B19" i="30"/>
  <c r="B32" i="8" s="1"/>
  <c r="F15" i="30"/>
  <c r="F19" i="30" s="1"/>
  <c r="E32" i="8" s="1"/>
  <c r="D15" i="30"/>
  <c r="D19" i="30" s="1"/>
  <c r="S29" i="58"/>
  <c r="C29" i="58"/>
  <c r="A29" i="58"/>
  <c r="A31" i="8"/>
  <c r="O29" i="29"/>
  <c r="M31" i="2" s="1"/>
  <c r="L29" i="29"/>
  <c r="J29" i="29"/>
  <c r="L31" i="2" s="1"/>
  <c r="I29" i="29"/>
  <c r="F29" i="29"/>
  <c r="E31" i="2" s="1"/>
  <c r="D29" i="29"/>
  <c r="K31" i="2" s="1"/>
  <c r="C29" i="29"/>
  <c r="C31" i="2" s="1"/>
  <c r="B29" i="29"/>
  <c r="B31" i="2" s="1"/>
  <c r="O19" i="29"/>
  <c r="M31" i="8" s="1"/>
  <c r="L19" i="29"/>
  <c r="J19" i="29"/>
  <c r="L31" i="8" s="1"/>
  <c r="I19" i="29"/>
  <c r="C19" i="29"/>
  <c r="C31" i="8" s="1"/>
  <c r="B19" i="29"/>
  <c r="B31" i="8" s="1"/>
  <c r="F15" i="29"/>
  <c r="F19" i="29" s="1"/>
  <c r="E31" i="8" s="1"/>
  <c r="D15" i="29"/>
  <c r="D19" i="29" s="1"/>
  <c r="K31" i="8" s="1"/>
  <c r="S28" i="58"/>
  <c r="C28" i="58"/>
  <c r="A28" i="58"/>
  <c r="A30" i="8"/>
  <c r="O29" i="28"/>
  <c r="M30" i="2" s="1"/>
  <c r="L29" i="28"/>
  <c r="J29" i="28"/>
  <c r="L30" i="2" s="1"/>
  <c r="I29" i="28"/>
  <c r="F29" i="28"/>
  <c r="E30" i="2" s="1"/>
  <c r="D29" i="28"/>
  <c r="K30" i="2" s="1"/>
  <c r="C29" i="28"/>
  <c r="C30" i="2" s="1"/>
  <c r="B29" i="28"/>
  <c r="B30" i="2" s="1"/>
  <c r="O19" i="28"/>
  <c r="L19" i="28"/>
  <c r="J19" i="28"/>
  <c r="L30" i="8" s="1"/>
  <c r="I19" i="28"/>
  <c r="C19" i="28"/>
  <c r="C30" i="8" s="1"/>
  <c r="B19" i="28"/>
  <c r="B30" i="8" s="1"/>
  <c r="F15" i="28"/>
  <c r="F19" i="28" s="1"/>
  <c r="E30" i="8" s="1"/>
  <c r="D15" i="28"/>
  <c r="D19" i="28" s="1"/>
  <c r="S27" i="58"/>
  <c r="C27" i="58"/>
  <c r="A27" i="58"/>
  <c r="A29" i="8"/>
  <c r="O29" i="27"/>
  <c r="M29" i="2" s="1"/>
  <c r="L29" i="27"/>
  <c r="J29" i="27"/>
  <c r="L29" i="2" s="1"/>
  <c r="I29" i="27"/>
  <c r="F29" i="27"/>
  <c r="E29" i="2" s="1"/>
  <c r="D29" i="27"/>
  <c r="K29" i="2" s="1"/>
  <c r="C29" i="27"/>
  <c r="C29" i="2" s="1"/>
  <c r="B29" i="27"/>
  <c r="B29" i="2" s="1"/>
  <c r="O19" i="27"/>
  <c r="L19" i="27"/>
  <c r="J19" i="27"/>
  <c r="L29" i="8" s="1"/>
  <c r="I19" i="27"/>
  <c r="C19" i="27"/>
  <c r="C29" i="8" s="1"/>
  <c r="B19" i="27"/>
  <c r="B29" i="8" s="1"/>
  <c r="F15" i="27"/>
  <c r="F19" i="27" s="1"/>
  <c r="E29" i="8" s="1"/>
  <c r="D15" i="27"/>
  <c r="D19" i="27" s="1"/>
  <c r="S26" i="58"/>
  <c r="C26" i="58"/>
  <c r="A26" i="58"/>
  <c r="A28" i="8"/>
  <c r="O29" i="26"/>
  <c r="M28" i="2" s="1"/>
  <c r="L29" i="26"/>
  <c r="J29" i="26"/>
  <c r="L28" i="2" s="1"/>
  <c r="I29" i="26"/>
  <c r="F29" i="26"/>
  <c r="E28" i="2" s="1"/>
  <c r="D29" i="26"/>
  <c r="K28" i="2" s="1"/>
  <c r="C29" i="26"/>
  <c r="C28" i="2" s="1"/>
  <c r="B29" i="26"/>
  <c r="B28" i="2" s="1"/>
  <c r="O19" i="26"/>
  <c r="M28" i="8" s="1"/>
  <c r="L19" i="26"/>
  <c r="J19" i="26"/>
  <c r="L28" i="8" s="1"/>
  <c r="I19" i="26"/>
  <c r="C19" i="26"/>
  <c r="C28" i="8" s="1"/>
  <c r="B19" i="26"/>
  <c r="B28" i="8" s="1"/>
  <c r="F15" i="26"/>
  <c r="F19" i="26" s="1"/>
  <c r="E28" i="8" s="1"/>
  <c r="D15" i="26"/>
  <c r="D19" i="26" s="1"/>
  <c r="S25" i="58"/>
  <c r="C25" i="58"/>
  <c r="A25" i="58"/>
  <c r="A27" i="8"/>
  <c r="O29" i="25"/>
  <c r="M27" i="2" s="1"/>
  <c r="L29" i="25"/>
  <c r="J29" i="25"/>
  <c r="L27" i="2" s="1"/>
  <c r="I29" i="25"/>
  <c r="F29" i="25"/>
  <c r="E27" i="2" s="1"/>
  <c r="D29" i="25"/>
  <c r="K27" i="2" s="1"/>
  <c r="C29" i="25"/>
  <c r="C27" i="2" s="1"/>
  <c r="B29" i="25"/>
  <c r="B27" i="2" s="1"/>
  <c r="O19" i="25"/>
  <c r="L19" i="25"/>
  <c r="J19" i="25"/>
  <c r="I19" i="25"/>
  <c r="C19" i="25"/>
  <c r="C27" i="8" s="1"/>
  <c r="B19" i="25"/>
  <c r="B27" i="8" s="1"/>
  <c r="F15" i="25"/>
  <c r="F19" i="25" s="1"/>
  <c r="E27" i="8" s="1"/>
  <c r="D15" i="25"/>
  <c r="D19" i="25" s="1"/>
  <c r="K27" i="8" s="1"/>
  <c r="S24" i="58"/>
  <c r="C24" i="58"/>
  <c r="A24" i="58"/>
  <c r="A26" i="8"/>
  <c r="O29" i="24"/>
  <c r="M26" i="2" s="1"/>
  <c r="L29" i="24"/>
  <c r="J29" i="24"/>
  <c r="L26" i="2" s="1"/>
  <c r="I29" i="24"/>
  <c r="F29" i="24"/>
  <c r="E26" i="2" s="1"/>
  <c r="D29" i="24"/>
  <c r="K26" i="2" s="1"/>
  <c r="C29" i="24"/>
  <c r="C26" i="2" s="1"/>
  <c r="B29" i="24"/>
  <c r="B26" i="2" s="1"/>
  <c r="O19" i="24"/>
  <c r="M26" i="8" s="1"/>
  <c r="L19" i="24"/>
  <c r="J19" i="24"/>
  <c r="I19" i="24"/>
  <c r="C19" i="24"/>
  <c r="C26" i="8" s="1"/>
  <c r="B19" i="24"/>
  <c r="B26" i="8" s="1"/>
  <c r="F15" i="24"/>
  <c r="F19" i="24" s="1"/>
  <c r="E26" i="8" s="1"/>
  <c r="D15" i="24"/>
  <c r="D19" i="24" s="1"/>
  <c r="S23" i="58"/>
  <c r="C23" i="58"/>
  <c r="A23" i="58"/>
  <c r="A25" i="8"/>
  <c r="O29" i="23"/>
  <c r="M25" i="2" s="1"/>
  <c r="L29" i="23"/>
  <c r="J29" i="23"/>
  <c r="L25" i="2" s="1"/>
  <c r="I29" i="23"/>
  <c r="F29" i="23"/>
  <c r="E25" i="2" s="1"/>
  <c r="D29" i="23"/>
  <c r="K25" i="2" s="1"/>
  <c r="C29" i="23"/>
  <c r="C25" i="2" s="1"/>
  <c r="B29" i="23"/>
  <c r="B25" i="2" s="1"/>
  <c r="O19" i="23"/>
  <c r="M25" i="8" s="1"/>
  <c r="L19" i="23"/>
  <c r="J19" i="23"/>
  <c r="I19" i="23"/>
  <c r="C19" i="23"/>
  <c r="C25" i="8" s="1"/>
  <c r="B19" i="23"/>
  <c r="B25" i="8" s="1"/>
  <c r="F15" i="23"/>
  <c r="F19" i="23" s="1"/>
  <c r="E25" i="8" s="1"/>
  <c r="D15" i="23"/>
  <c r="D19" i="23" s="1"/>
  <c r="U5" i="23" s="1"/>
  <c r="Q23" i="58" s="1"/>
  <c r="S22" i="58"/>
  <c r="C22" i="58"/>
  <c r="S21" i="58"/>
  <c r="C21" i="58"/>
  <c r="A24" i="8"/>
  <c r="M24" i="2"/>
  <c r="L24" i="2"/>
  <c r="E24" i="2"/>
  <c r="K24" i="2"/>
  <c r="C24" i="2"/>
  <c r="B24" i="2"/>
  <c r="O19" i="22"/>
  <c r="M24" i="8" s="1"/>
  <c r="L19" i="22"/>
  <c r="J19" i="22"/>
  <c r="I19" i="22"/>
  <c r="C19" i="22"/>
  <c r="C24" i="8" s="1"/>
  <c r="B19" i="22"/>
  <c r="B24" i="8" s="1"/>
  <c r="F15" i="22"/>
  <c r="F19" i="22" s="1"/>
  <c r="E24" i="8" s="1"/>
  <c r="D15" i="22"/>
  <c r="D19" i="22" s="1"/>
  <c r="K24" i="8" s="1"/>
  <c r="A23" i="8"/>
  <c r="M23" i="2"/>
  <c r="L23" i="2"/>
  <c r="E23" i="2"/>
  <c r="K23" i="2"/>
  <c r="C23" i="2"/>
  <c r="B23" i="2"/>
  <c r="O19" i="21"/>
  <c r="L19" i="21"/>
  <c r="J19" i="21"/>
  <c r="L23" i="8" s="1"/>
  <c r="I19" i="21"/>
  <c r="C19" i="21"/>
  <c r="C23" i="8" s="1"/>
  <c r="B19" i="21"/>
  <c r="B23" i="8" s="1"/>
  <c r="F15" i="21"/>
  <c r="F19" i="21" s="1"/>
  <c r="E23" i="8" s="1"/>
  <c r="D15" i="21"/>
  <c r="D19" i="21" s="1"/>
  <c r="K23" i="8" s="1"/>
  <c r="S20" i="58"/>
  <c r="C20" i="58"/>
  <c r="A22" i="8"/>
  <c r="M22" i="2"/>
  <c r="L22" i="2"/>
  <c r="E22" i="2"/>
  <c r="K22" i="2"/>
  <c r="C22" i="2"/>
  <c r="B22" i="2"/>
  <c r="O19" i="20"/>
  <c r="M22" i="8" s="1"/>
  <c r="L19" i="20"/>
  <c r="J19" i="20"/>
  <c r="I19" i="20"/>
  <c r="C19" i="20"/>
  <c r="C22" i="8" s="1"/>
  <c r="B19" i="20"/>
  <c r="B22" i="8" s="1"/>
  <c r="F15" i="20"/>
  <c r="F19" i="20" s="1"/>
  <c r="E22" i="8" s="1"/>
  <c r="D15" i="20"/>
  <c r="D19" i="20" s="1"/>
  <c r="S19" i="58"/>
  <c r="C19" i="58"/>
  <c r="A21" i="8"/>
  <c r="M21" i="2"/>
  <c r="L21" i="2"/>
  <c r="E21" i="2"/>
  <c r="K21" i="2"/>
  <c r="C21" i="2"/>
  <c r="B21" i="2"/>
  <c r="O19" i="19"/>
  <c r="M21" i="8" s="1"/>
  <c r="L19" i="19"/>
  <c r="J19" i="19"/>
  <c r="I19" i="19"/>
  <c r="C19" i="19"/>
  <c r="C21" i="8" s="1"/>
  <c r="B19" i="19"/>
  <c r="B21" i="8" s="1"/>
  <c r="F15" i="19"/>
  <c r="F19" i="19" s="1"/>
  <c r="E21" i="8" s="1"/>
  <c r="D15" i="19"/>
  <c r="D19" i="19" s="1"/>
  <c r="S18" i="58"/>
  <c r="C18" i="58"/>
  <c r="A20" i="8"/>
  <c r="M20" i="2"/>
  <c r="L20" i="2"/>
  <c r="E20" i="2"/>
  <c r="K20" i="2"/>
  <c r="C20" i="2"/>
  <c r="B20" i="2"/>
  <c r="O19" i="18"/>
  <c r="M20" i="8" s="1"/>
  <c r="L19" i="18"/>
  <c r="J19" i="18"/>
  <c r="I19" i="18"/>
  <c r="C19" i="18"/>
  <c r="C20" i="8" s="1"/>
  <c r="B19" i="18"/>
  <c r="B20" i="8" s="1"/>
  <c r="F15" i="18"/>
  <c r="F19" i="18" s="1"/>
  <c r="E20" i="8" s="1"/>
  <c r="D15" i="18"/>
  <c r="D19" i="18" s="1"/>
  <c r="S17" i="58"/>
  <c r="C17" i="58"/>
  <c r="A19" i="8"/>
  <c r="M19" i="2"/>
  <c r="L19" i="2"/>
  <c r="E19" i="2"/>
  <c r="K19" i="2"/>
  <c r="C19" i="2"/>
  <c r="B19" i="2"/>
  <c r="O19" i="17"/>
  <c r="M19" i="8" s="1"/>
  <c r="L19" i="17"/>
  <c r="J19" i="17"/>
  <c r="L19" i="8" s="1"/>
  <c r="I19" i="17"/>
  <c r="C19" i="17"/>
  <c r="C19" i="8" s="1"/>
  <c r="B19" i="17"/>
  <c r="B19" i="8" s="1"/>
  <c r="F15" i="17"/>
  <c r="F19" i="17" s="1"/>
  <c r="E19" i="8" s="1"/>
  <c r="D15" i="17"/>
  <c r="D19" i="17" s="1"/>
  <c r="S16" i="58"/>
  <c r="C16" i="58"/>
  <c r="A18" i="8"/>
  <c r="M18" i="2"/>
  <c r="L18" i="2"/>
  <c r="E18" i="2"/>
  <c r="K18" i="2"/>
  <c r="C18" i="2"/>
  <c r="B18" i="2"/>
  <c r="O19" i="16"/>
  <c r="L19" i="16"/>
  <c r="J19" i="16"/>
  <c r="L18" i="8" s="1"/>
  <c r="I19" i="16"/>
  <c r="C19" i="16"/>
  <c r="C18" i="8" s="1"/>
  <c r="B19" i="16"/>
  <c r="F15" i="16"/>
  <c r="F19" i="16" s="1"/>
  <c r="E18" i="8" s="1"/>
  <c r="D15" i="16"/>
  <c r="D19" i="16" s="1"/>
  <c r="K18" i="8" s="1"/>
  <c r="U5" i="59" l="1"/>
  <c r="Q52" i="58" s="1"/>
  <c r="T5" i="50"/>
  <c r="S5" i="50" s="1"/>
  <c r="U5" i="45"/>
  <c r="Q44" i="58" s="1"/>
  <c r="F29" i="44"/>
  <c r="E45" i="2" s="1"/>
  <c r="W5" i="40"/>
  <c r="R39" i="58" s="1"/>
  <c r="W5" i="33"/>
  <c r="R33" i="58" s="1"/>
  <c r="W5" i="32"/>
  <c r="R32" i="58" s="1"/>
  <c r="W5" i="31"/>
  <c r="R31" i="58" s="1"/>
  <c r="W5" i="30"/>
  <c r="R30" i="58" s="1"/>
  <c r="W5" i="27"/>
  <c r="X5" i="25"/>
  <c r="P25" i="58" s="1"/>
  <c r="W5" i="25"/>
  <c r="R25" i="58" s="1"/>
  <c r="W5" i="24"/>
  <c r="R24" i="58" s="1"/>
  <c r="W5" i="23"/>
  <c r="R23" i="58" s="1"/>
  <c r="W5" i="21"/>
  <c r="R21" i="58" s="1"/>
  <c r="W5" i="18"/>
  <c r="X5" i="16"/>
  <c r="P16" i="58" s="1"/>
  <c r="W5" i="16"/>
  <c r="R16" i="58" s="1"/>
  <c r="X5" i="32"/>
  <c r="P32" i="58" s="1"/>
  <c r="W5" i="29"/>
  <c r="R29" i="58" s="1"/>
  <c r="X5" i="40"/>
  <c r="P39" i="58" s="1"/>
  <c r="W5" i="42"/>
  <c r="R41" i="58" s="1"/>
  <c r="W5" i="20"/>
  <c r="R20" i="58" s="1"/>
  <c r="X5" i="21"/>
  <c r="P21" i="58" s="1"/>
  <c r="X5" i="39"/>
  <c r="P38" i="58" s="1"/>
  <c r="W5" i="22"/>
  <c r="T5" i="22" s="1"/>
  <c r="Q5" i="22" s="1"/>
  <c r="T5" i="20"/>
  <c r="S5" i="20" s="1"/>
  <c r="X5" i="26"/>
  <c r="P26" i="58" s="1"/>
  <c r="X5" i="37"/>
  <c r="P36" i="58" s="1"/>
  <c r="W5" i="19"/>
  <c r="T5" i="19" s="1"/>
  <c r="S5" i="19" s="1"/>
  <c r="T5" i="47"/>
  <c r="S5" i="47" s="1"/>
  <c r="U5" i="26"/>
  <c r="Q26" i="58" s="1"/>
  <c r="W5" i="34"/>
  <c r="R34" i="58" s="1"/>
  <c r="W5" i="17"/>
  <c r="R17" i="58" s="1"/>
  <c r="X5" i="18"/>
  <c r="P18" i="58" s="1"/>
  <c r="X5" i="31"/>
  <c r="P31" i="58" s="1"/>
  <c r="U5" i="17"/>
  <c r="Q17" i="58" s="1"/>
  <c r="T5" i="18"/>
  <c r="S5" i="18" s="1"/>
  <c r="L21" i="8"/>
  <c r="X5" i="22"/>
  <c r="P22" i="58" s="1"/>
  <c r="U5" i="24"/>
  <c r="Q24" i="58" s="1"/>
  <c r="X5" i="34"/>
  <c r="P34" i="58" s="1"/>
  <c r="M36" i="8"/>
  <c r="F29" i="39"/>
  <c r="E40" i="2" s="1"/>
  <c r="M41" i="8"/>
  <c r="W5" i="44"/>
  <c r="R43" i="58" s="1"/>
  <c r="Q5" i="47"/>
  <c r="T5" i="62"/>
  <c r="Q5" i="62" s="1"/>
  <c r="L36" i="8"/>
  <c r="M40" i="8"/>
  <c r="L26" i="8"/>
  <c r="W5" i="26"/>
  <c r="R26" i="58" s="1"/>
  <c r="L34" i="8"/>
  <c r="U5" i="38"/>
  <c r="Q37" i="58" s="1"/>
  <c r="K46" i="8"/>
  <c r="T5" i="56"/>
  <c r="U5" i="44"/>
  <c r="Q43" i="58" s="1"/>
  <c r="K45" i="8"/>
  <c r="M34" i="8"/>
  <c r="U5" i="33"/>
  <c r="Q33" i="58" s="1"/>
  <c r="L41" i="8"/>
  <c r="U5" i="42"/>
  <c r="Q41" i="58" s="1"/>
  <c r="W5" i="43"/>
  <c r="L44" i="8"/>
  <c r="R54" i="58"/>
  <c r="T5" i="61"/>
  <c r="Q5" i="61" s="1"/>
  <c r="M18" i="8"/>
  <c r="X5" i="17"/>
  <c r="P17" i="58" s="1"/>
  <c r="X5" i="20"/>
  <c r="P20" i="58" s="1"/>
  <c r="K25" i="8"/>
  <c r="U5" i="28"/>
  <c r="Q28" i="58" s="1"/>
  <c r="U5" i="31"/>
  <c r="Q31" i="58" s="1"/>
  <c r="L33" i="8"/>
  <c r="L35" i="8"/>
  <c r="W5" i="41"/>
  <c r="R40" i="58" s="1"/>
  <c r="L42" i="8"/>
  <c r="Q5" i="50"/>
  <c r="U5" i="56"/>
  <c r="Q50" i="58" s="1"/>
  <c r="S5" i="59"/>
  <c r="R51" i="58"/>
  <c r="T5" i="57"/>
  <c r="M23" i="8"/>
  <c r="U5" i="34"/>
  <c r="Q34" i="58" s="1"/>
  <c r="L39" i="8"/>
  <c r="W5" i="38"/>
  <c r="R37" i="58" s="1"/>
  <c r="X5" i="42"/>
  <c r="P41" i="58" s="1"/>
  <c r="M43" i="2"/>
  <c r="C45" i="8"/>
  <c r="M27" i="8"/>
  <c r="K35" i="8"/>
  <c r="K42" i="8"/>
  <c r="T5" i="16"/>
  <c r="S5" i="16" s="1"/>
  <c r="L25" i="8"/>
  <c r="X5" i="33"/>
  <c r="P33" i="58" s="1"/>
  <c r="X5" i="36"/>
  <c r="P35" i="58" s="1"/>
  <c r="M37" i="2"/>
  <c r="M8" i="35"/>
  <c r="X5" i="35" s="1"/>
  <c r="X5" i="38"/>
  <c r="P37" i="58" s="1"/>
  <c r="W5" i="39"/>
  <c r="R38" i="58" s="1"/>
  <c r="L45" i="2"/>
  <c r="R46" i="58"/>
  <c r="T5" i="49"/>
  <c r="U5" i="36"/>
  <c r="Q35" i="58" s="1"/>
  <c r="W5" i="45"/>
  <c r="R44" i="58" s="1"/>
  <c r="L5" i="46"/>
  <c r="W5" i="46" s="1"/>
  <c r="W5" i="36"/>
  <c r="R35" i="58" s="1"/>
  <c r="K37" i="8"/>
  <c r="W5" i="37"/>
  <c r="R36" i="58" s="1"/>
  <c r="C38" i="2"/>
  <c r="U5" i="39"/>
  <c r="Q38" i="58" s="1"/>
  <c r="T5" i="40"/>
  <c r="Q5" i="40" s="1"/>
  <c r="X5" i="41"/>
  <c r="P40" i="58" s="1"/>
  <c r="L43" i="8"/>
  <c r="X5" i="43"/>
  <c r="P42" i="58" s="1"/>
  <c r="X5" i="44"/>
  <c r="P43" i="58" s="1"/>
  <c r="T5" i="60"/>
  <c r="T5" i="51"/>
  <c r="T5" i="63"/>
  <c r="R5" i="63" s="1"/>
  <c r="C56" i="58" s="1"/>
  <c r="R56" i="58"/>
  <c r="S5" i="53"/>
  <c r="V5" i="46"/>
  <c r="X5" i="45"/>
  <c r="P44" i="58" s="1"/>
  <c r="U5" i="43"/>
  <c r="Q42" i="58" s="1"/>
  <c r="F29" i="41"/>
  <c r="E42" i="2" s="1"/>
  <c r="U5" i="40"/>
  <c r="Q39" i="58" s="1"/>
  <c r="U5" i="37"/>
  <c r="Q36" i="58" s="1"/>
  <c r="V5" i="35"/>
  <c r="W5" i="35"/>
  <c r="U5" i="19"/>
  <c r="Q19" i="58" s="1"/>
  <c r="K21" i="8"/>
  <c r="K28" i="8"/>
  <c r="U5" i="30"/>
  <c r="Q30" i="58" s="1"/>
  <c r="K32" i="8"/>
  <c r="K19" i="8"/>
  <c r="L20" i="8"/>
  <c r="R18" i="58"/>
  <c r="X5" i="19"/>
  <c r="P19" i="58" s="1"/>
  <c r="U5" i="20"/>
  <c r="Q20" i="58" s="1"/>
  <c r="K22" i="8"/>
  <c r="X5" i="23"/>
  <c r="P23" i="58" s="1"/>
  <c r="X5" i="24"/>
  <c r="P24" i="58" s="1"/>
  <c r="U5" i="27"/>
  <c r="Q27" i="58" s="1"/>
  <c r="K29" i="8"/>
  <c r="X5" i="27"/>
  <c r="P27" i="58" s="1"/>
  <c r="M29" i="8"/>
  <c r="U5" i="32"/>
  <c r="Q32" i="58" s="1"/>
  <c r="T5" i="27"/>
  <c r="Q5" i="27" s="1"/>
  <c r="R27" i="58"/>
  <c r="U5" i="18"/>
  <c r="Q18" i="58" s="1"/>
  <c r="K20" i="8"/>
  <c r="U5" i="21"/>
  <c r="Q21" i="58" s="1"/>
  <c r="U5" i="16"/>
  <c r="Q16" i="58" s="1"/>
  <c r="B18" i="8"/>
  <c r="L22" i="8"/>
  <c r="X5" i="28"/>
  <c r="P28" i="58" s="1"/>
  <c r="M30" i="8"/>
  <c r="X5" i="30"/>
  <c r="P30" i="58" s="1"/>
  <c r="M32" i="8"/>
  <c r="L24" i="8"/>
  <c r="T5" i="23"/>
  <c r="S5" i="23" s="1"/>
  <c r="T5" i="25"/>
  <c r="Q5" i="25" s="1"/>
  <c r="L27" i="8"/>
  <c r="T5" i="33"/>
  <c r="S5" i="33" s="1"/>
  <c r="U5" i="22"/>
  <c r="Q22" i="58" s="1"/>
  <c r="T5" i="24"/>
  <c r="S5" i="24" s="1"/>
  <c r="K26" i="8"/>
  <c r="U5" i="25"/>
  <c r="Q25" i="58" s="1"/>
  <c r="W5" i="28"/>
  <c r="R28" i="58" s="1"/>
  <c r="K30" i="8"/>
  <c r="U5" i="29"/>
  <c r="Q29" i="58" s="1"/>
  <c r="X5" i="29"/>
  <c r="P29" i="58" s="1"/>
  <c r="L32" i="8"/>
  <c r="T5" i="32"/>
  <c r="S5" i="32" s="1"/>
  <c r="S15" i="58"/>
  <c r="C15" i="58"/>
  <c r="A17" i="8"/>
  <c r="M17" i="2"/>
  <c r="L17" i="2"/>
  <c r="E17" i="2"/>
  <c r="K17" i="2"/>
  <c r="C17" i="2"/>
  <c r="B17" i="2"/>
  <c r="O19" i="15"/>
  <c r="L19" i="15"/>
  <c r="J19" i="15"/>
  <c r="L17" i="8" s="1"/>
  <c r="I19" i="15"/>
  <c r="C19" i="15"/>
  <c r="C17" i="8" s="1"/>
  <c r="B19" i="15"/>
  <c r="B17" i="8" s="1"/>
  <c r="W5" i="15"/>
  <c r="R15" i="58" s="1"/>
  <c r="F15" i="15"/>
  <c r="F19" i="15" s="1"/>
  <c r="E17" i="8" s="1"/>
  <c r="D15" i="15"/>
  <c r="D19" i="15" s="1"/>
  <c r="S14" i="58"/>
  <c r="C14" i="58"/>
  <c r="A16" i="8"/>
  <c r="M16" i="2"/>
  <c r="L16" i="2"/>
  <c r="E16" i="2"/>
  <c r="K16" i="2"/>
  <c r="C16" i="2"/>
  <c r="B16" i="2"/>
  <c r="O19" i="14"/>
  <c r="L19" i="14"/>
  <c r="J19" i="14"/>
  <c r="L16" i="8" s="1"/>
  <c r="I19" i="14"/>
  <c r="C19" i="14"/>
  <c r="C16" i="8" s="1"/>
  <c r="B19" i="14"/>
  <c r="B16" i="8" s="1"/>
  <c r="F15" i="14"/>
  <c r="F19" i="14" s="1"/>
  <c r="E16" i="8" s="1"/>
  <c r="D15" i="14"/>
  <c r="D19" i="14" s="1"/>
  <c r="S13" i="58"/>
  <c r="C13" i="58"/>
  <c r="A15" i="8"/>
  <c r="O29" i="13"/>
  <c r="M15" i="2" s="1"/>
  <c r="L29" i="13"/>
  <c r="J29" i="13"/>
  <c r="L15" i="2" s="1"/>
  <c r="I29" i="13"/>
  <c r="F29" i="13"/>
  <c r="E15" i="2" s="1"/>
  <c r="D29" i="13"/>
  <c r="K15" i="2" s="1"/>
  <c r="C29" i="13"/>
  <c r="C15" i="2" s="1"/>
  <c r="B29" i="13"/>
  <c r="B15" i="2" s="1"/>
  <c r="O19" i="13"/>
  <c r="L19" i="13"/>
  <c r="J19" i="13"/>
  <c r="L15" i="8" s="1"/>
  <c r="I19" i="13"/>
  <c r="C19" i="13"/>
  <c r="C15" i="8" s="1"/>
  <c r="B19" i="13"/>
  <c r="B15" i="8" s="1"/>
  <c r="F15" i="13"/>
  <c r="F19" i="13" s="1"/>
  <c r="E15" i="8" s="1"/>
  <c r="D15" i="13"/>
  <c r="D19" i="13" s="1"/>
  <c r="T5" i="44" l="1"/>
  <c r="Q5" i="44" s="1"/>
  <c r="T5" i="42"/>
  <c r="Q5" i="42" s="1"/>
  <c r="T5" i="34"/>
  <c r="T5" i="31"/>
  <c r="S5" i="31" s="1"/>
  <c r="T5" i="30"/>
  <c r="T5" i="29"/>
  <c r="T5" i="26"/>
  <c r="S5" i="26" s="1"/>
  <c r="T5" i="21"/>
  <c r="Q5" i="20"/>
  <c r="Q5" i="19"/>
  <c r="R19" i="58"/>
  <c r="Q5" i="18"/>
  <c r="T5" i="17"/>
  <c r="S5" i="17" s="1"/>
  <c r="X5" i="13"/>
  <c r="P13" i="58" s="1"/>
  <c r="W5" i="13"/>
  <c r="R13" i="58" s="1"/>
  <c r="U5" i="15"/>
  <c r="Q15" i="58" s="1"/>
  <c r="S5" i="62"/>
  <c r="R22" i="58"/>
  <c r="X5" i="15"/>
  <c r="P15" i="58" s="1"/>
  <c r="W5" i="14"/>
  <c r="R14" i="58" s="1"/>
  <c r="M17" i="8"/>
  <c r="Q5" i="24"/>
  <c r="T5" i="36"/>
  <c r="Q5" i="36" s="1"/>
  <c r="Q5" i="56"/>
  <c r="S5" i="56"/>
  <c r="X5" i="14"/>
  <c r="P14" i="58" s="1"/>
  <c r="M16" i="8"/>
  <c r="S5" i="27"/>
  <c r="T5" i="41"/>
  <c r="Q5" i="41" s="1"/>
  <c r="M15" i="8"/>
  <c r="Q5" i="33"/>
  <c r="T5" i="38"/>
  <c r="Q5" i="38" s="1"/>
  <c r="T5" i="37"/>
  <c r="U5" i="13"/>
  <c r="Q13" i="58" s="1"/>
  <c r="S5" i="25"/>
  <c r="S5" i="40"/>
  <c r="S5" i="61"/>
  <c r="S5" i="22"/>
  <c r="T5" i="45"/>
  <c r="Q5" i="45" s="1"/>
  <c r="Q5" i="60"/>
  <c r="S5" i="60"/>
  <c r="Q5" i="16"/>
  <c r="S5" i="44"/>
  <c r="U5" i="14"/>
  <c r="Q14" i="58" s="1"/>
  <c r="S5" i="51"/>
  <c r="Q5" i="51"/>
  <c r="Q5" i="23"/>
  <c r="S5" i="49"/>
  <c r="Q5" i="49"/>
  <c r="Q5" i="57"/>
  <c r="S5" i="57"/>
  <c r="T5" i="39"/>
  <c r="T5" i="43"/>
  <c r="R42" i="58"/>
  <c r="S5" i="42"/>
  <c r="T5" i="15"/>
  <c r="S5" i="15" s="1"/>
  <c r="K15" i="8"/>
  <c r="K16" i="8"/>
  <c r="Q5" i="26"/>
  <c r="Q5" i="32"/>
  <c r="K17" i="8"/>
  <c r="T5" i="28"/>
  <c r="S12" i="58"/>
  <c r="C12" i="58"/>
  <c r="A14" i="8"/>
  <c r="O29" i="12"/>
  <c r="M14" i="2" s="1"/>
  <c r="L29" i="12"/>
  <c r="J29" i="12"/>
  <c r="L14" i="2" s="1"/>
  <c r="I29" i="12"/>
  <c r="F29" i="12"/>
  <c r="E14" i="2" s="1"/>
  <c r="D29" i="12"/>
  <c r="K14" i="2" s="1"/>
  <c r="C29" i="12"/>
  <c r="C14" i="2" s="1"/>
  <c r="B29" i="12"/>
  <c r="B14" i="2" s="1"/>
  <c r="O19" i="12"/>
  <c r="M14" i="8" s="1"/>
  <c r="L19" i="12"/>
  <c r="J19" i="12"/>
  <c r="I19" i="12"/>
  <c r="C19" i="12"/>
  <c r="C14" i="8" s="1"/>
  <c r="B19" i="12"/>
  <c r="B14" i="8" s="1"/>
  <c r="F15" i="12"/>
  <c r="F19" i="12" s="1"/>
  <c r="E14" i="8" s="1"/>
  <c r="D15" i="12"/>
  <c r="D19" i="12" s="1"/>
  <c r="S11" i="58"/>
  <c r="C11" i="58"/>
  <c r="A13" i="8"/>
  <c r="O29" i="11"/>
  <c r="M13" i="2" s="1"/>
  <c r="L29" i="11"/>
  <c r="J29" i="11"/>
  <c r="L13" i="2" s="1"/>
  <c r="I29" i="11"/>
  <c r="F29" i="11"/>
  <c r="E13" i="2" s="1"/>
  <c r="D29" i="11"/>
  <c r="K13" i="2" s="1"/>
  <c r="C29" i="11"/>
  <c r="C13" i="2" s="1"/>
  <c r="B29" i="11"/>
  <c r="B13" i="2" s="1"/>
  <c r="O19" i="11"/>
  <c r="M13" i="8" s="1"/>
  <c r="L19" i="11"/>
  <c r="J19" i="11"/>
  <c r="L13" i="8" s="1"/>
  <c r="I19" i="11"/>
  <c r="C19" i="11"/>
  <c r="C13" i="8" s="1"/>
  <c r="B19" i="11"/>
  <c r="B13" i="8" s="1"/>
  <c r="F15" i="11"/>
  <c r="F19" i="11" s="1"/>
  <c r="E13" i="8" s="1"/>
  <c r="D15" i="11"/>
  <c r="D19" i="11" s="1"/>
  <c r="K13" i="8" s="1"/>
  <c r="S10" i="58"/>
  <c r="C10" i="58"/>
  <c r="A12" i="8"/>
  <c r="O29" i="10"/>
  <c r="M12" i="2" s="1"/>
  <c r="L29" i="10"/>
  <c r="J29" i="10"/>
  <c r="L12" i="2" s="1"/>
  <c r="I29" i="10"/>
  <c r="C29" i="10"/>
  <c r="C12" i="2" s="1"/>
  <c r="B29" i="10"/>
  <c r="B12" i="2" s="1"/>
  <c r="F29" i="10"/>
  <c r="E12" i="2" s="1"/>
  <c r="D29" i="10"/>
  <c r="K12" i="2" s="1"/>
  <c r="O19" i="10"/>
  <c r="M12" i="8" s="1"/>
  <c r="L19" i="10"/>
  <c r="J19" i="10"/>
  <c r="L12" i="8" s="1"/>
  <c r="I19" i="10"/>
  <c r="C19" i="10"/>
  <c r="C12" i="8" s="1"/>
  <c r="B19" i="10"/>
  <c r="B12" i="8" s="1"/>
  <c r="F16" i="10"/>
  <c r="D16" i="10"/>
  <c r="F15" i="10"/>
  <c r="D15" i="10"/>
  <c r="S9" i="58"/>
  <c r="C9" i="58"/>
  <c r="A9" i="58"/>
  <c r="A11" i="8"/>
  <c r="D17" i="9"/>
  <c r="F17" i="9"/>
  <c r="F16" i="9"/>
  <c r="D16" i="9"/>
  <c r="F15" i="9"/>
  <c r="D15" i="9"/>
  <c r="O29" i="9"/>
  <c r="M11" i="2" s="1"/>
  <c r="L29" i="9"/>
  <c r="J29" i="9"/>
  <c r="L11" i="2" s="1"/>
  <c r="I29" i="9"/>
  <c r="C29" i="9"/>
  <c r="C11" i="2" s="1"/>
  <c r="B29" i="9"/>
  <c r="B11" i="2" s="1"/>
  <c r="F25" i="9"/>
  <c r="F29" i="9" s="1"/>
  <c r="E11" i="2" s="1"/>
  <c r="D25" i="9"/>
  <c r="D29" i="9" s="1"/>
  <c r="K11" i="2" s="1"/>
  <c r="O19" i="9"/>
  <c r="M11" i="8" s="1"/>
  <c r="L19" i="9"/>
  <c r="J19" i="9"/>
  <c r="L11" i="8" s="1"/>
  <c r="I19" i="9"/>
  <c r="C19" i="9"/>
  <c r="C11" i="8" s="1"/>
  <c r="B19" i="9"/>
  <c r="B11" i="8" s="1"/>
  <c r="S8" i="58"/>
  <c r="C8" i="58"/>
  <c r="A8" i="58"/>
  <c r="A10" i="8"/>
  <c r="O29" i="7"/>
  <c r="M10" i="2" s="1"/>
  <c r="L29" i="7"/>
  <c r="J29" i="7"/>
  <c r="L10" i="2" s="1"/>
  <c r="I29" i="7"/>
  <c r="C29" i="7"/>
  <c r="C10" i="2" s="1"/>
  <c r="B29" i="7"/>
  <c r="B10" i="2" s="1"/>
  <c r="F26" i="7"/>
  <c r="D26" i="7"/>
  <c r="F25" i="7"/>
  <c r="D25" i="7"/>
  <c r="O19" i="7"/>
  <c r="M10" i="8" s="1"/>
  <c r="L19" i="7"/>
  <c r="J19" i="7"/>
  <c r="L10" i="8" s="1"/>
  <c r="I19" i="7"/>
  <c r="C19" i="7"/>
  <c r="C10" i="8" s="1"/>
  <c r="B19" i="7"/>
  <c r="B10" i="8" s="1"/>
  <c r="F19" i="7"/>
  <c r="E10" i="8" s="1"/>
  <c r="D19" i="7"/>
  <c r="S7" i="58"/>
  <c r="C7" i="58"/>
  <c r="A7" i="58"/>
  <c r="A9" i="8"/>
  <c r="O29" i="6"/>
  <c r="M9" i="2" s="1"/>
  <c r="L29" i="6"/>
  <c r="J29" i="6"/>
  <c r="L9" i="2" s="1"/>
  <c r="I29" i="6"/>
  <c r="C29" i="6"/>
  <c r="C9" i="2" s="1"/>
  <c r="B29" i="6"/>
  <c r="B9" i="2" s="1"/>
  <c r="F26" i="6"/>
  <c r="D26" i="6"/>
  <c r="F25" i="6"/>
  <c r="D25" i="6"/>
  <c r="O19" i="6"/>
  <c r="L19" i="6"/>
  <c r="J19" i="6"/>
  <c r="L9" i="8" s="1"/>
  <c r="I19" i="6"/>
  <c r="C19" i="6"/>
  <c r="C9" i="8" s="1"/>
  <c r="B19" i="6"/>
  <c r="B9" i="8" s="1"/>
  <c r="F15" i="6"/>
  <c r="F19" i="6" s="1"/>
  <c r="E9" i="8" s="1"/>
  <c r="D15" i="6"/>
  <c r="D19" i="6" s="1"/>
  <c r="S6" i="58"/>
  <c r="C6" i="58"/>
  <c r="A6" i="58"/>
  <c r="A8" i="8"/>
  <c r="F27" i="5"/>
  <c r="F28" i="5"/>
  <c r="D27" i="5"/>
  <c r="D28" i="5"/>
  <c r="O29" i="5"/>
  <c r="M8" i="2" s="1"/>
  <c r="L29" i="5"/>
  <c r="J29" i="5"/>
  <c r="L8" i="2" s="1"/>
  <c r="I29" i="5"/>
  <c r="C29" i="5"/>
  <c r="C8" i="2" s="1"/>
  <c r="B29" i="5"/>
  <c r="B8" i="2" s="1"/>
  <c r="F26" i="5"/>
  <c r="D26" i="5"/>
  <c r="F25" i="5"/>
  <c r="D25" i="5"/>
  <c r="O19" i="5"/>
  <c r="M8" i="8" s="1"/>
  <c r="L19" i="5"/>
  <c r="J19" i="5"/>
  <c r="I19" i="5"/>
  <c r="C19" i="5"/>
  <c r="C8" i="8" s="1"/>
  <c r="B19" i="5"/>
  <c r="B8" i="8" s="1"/>
  <c r="F15" i="5"/>
  <c r="F19" i="5" s="1"/>
  <c r="E8" i="8" s="1"/>
  <c r="D15" i="5"/>
  <c r="D19" i="5" s="1"/>
  <c r="S5" i="58"/>
  <c r="C5" i="58"/>
  <c r="S4" i="58"/>
  <c r="S5" i="34" l="1"/>
  <c r="Q5" i="34"/>
  <c r="Q5" i="31"/>
  <c r="Q5" i="30"/>
  <c r="S5" i="30"/>
  <c r="S5" i="29"/>
  <c r="Q5" i="29"/>
  <c r="S5" i="21"/>
  <c r="Q5" i="21"/>
  <c r="Q5" i="17"/>
  <c r="T5" i="14"/>
  <c r="S5" i="14" s="1"/>
  <c r="T5" i="13"/>
  <c r="S5" i="13" s="1"/>
  <c r="W5" i="12"/>
  <c r="S5" i="38"/>
  <c r="S5" i="36"/>
  <c r="W5" i="10"/>
  <c r="T5" i="10" s="1"/>
  <c r="S5" i="10" s="1"/>
  <c r="S5" i="45"/>
  <c r="S5" i="41"/>
  <c r="W5" i="7"/>
  <c r="R8" i="58" s="1"/>
  <c r="D19" i="10"/>
  <c r="K12" i="8" s="1"/>
  <c r="Q5" i="15"/>
  <c r="Q5" i="43"/>
  <c r="S5" i="43"/>
  <c r="S5" i="39"/>
  <c r="Q5" i="39"/>
  <c r="W5" i="5"/>
  <c r="R6" i="58" s="1"/>
  <c r="X5" i="6"/>
  <c r="P7" i="58" s="1"/>
  <c r="W5" i="9"/>
  <c r="R9" i="58" s="1"/>
  <c r="U5" i="11"/>
  <c r="Q11" i="58" s="1"/>
  <c r="X5" i="12"/>
  <c r="P12" i="58" s="1"/>
  <c r="S5" i="37"/>
  <c r="Q5" i="37"/>
  <c r="U5" i="12"/>
  <c r="Q12" i="58" s="1"/>
  <c r="K14" i="8"/>
  <c r="T5" i="12"/>
  <c r="S5" i="12" s="1"/>
  <c r="R12" i="58"/>
  <c r="K8" i="8"/>
  <c r="X5" i="5"/>
  <c r="P6" i="58" s="1"/>
  <c r="W5" i="6"/>
  <c r="X5" i="7"/>
  <c r="P8" i="58" s="1"/>
  <c r="W5" i="11"/>
  <c r="R11" i="58" s="1"/>
  <c r="Q5" i="13"/>
  <c r="L8" i="8"/>
  <c r="K9" i="8"/>
  <c r="K10" i="8"/>
  <c r="X5" i="9"/>
  <c r="P9" i="58" s="1"/>
  <c r="X5" i="10"/>
  <c r="P10" i="58" s="1"/>
  <c r="X5" i="11"/>
  <c r="P11" i="58" s="1"/>
  <c r="L14" i="8"/>
  <c r="S5" i="28"/>
  <c r="Q5" i="28"/>
  <c r="M9" i="8"/>
  <c r="R10" i="58"/>
  <c r="F29" i="7"/>
  <c r="E10" i="2" s="1"/>
  <c r="F19" i="10"/>
  <c r="E12" i="8" s="1"/>
  <c r="D19" i="9"/>
  <c r="F19" i="9"/>
  <c r="E11" i="8" s="1"/>
  <c r="D29" i="7"/>
  <c r="K10" i="2" s="1"/>
  <c r="D29" i="6"/>
  <c r="K9" i="2" s="1"/>
  <c r="F29" i="6"/>
  <c r="E9" i="2" s="1"/>
  <c r="D29" i="5"/>
  <c r="K8" i="2" s="1"/>
  <c r="F29" i="5"/>
  <c r="E8" i="2" s="1"/>
  <c r="C4" i="58"/>
  <c r="A4" i="58"/>
  <c r="O29" i="4"/>
  <c r="M7" i="2" s="1"/>
  <c r="L29" i="4"/>
  <c r="J29" i="4"/>
  <c r="L7" i="2" s="1"/>
  <c r="I29" i="4"/>
  <c r="C29" i="4"/>
  <c r="C7" i="2" s="1"/>
  <c r="B29" i="4"/>
  <c r="B7" i="2" s="1"/>
  <c r="F26" i="4"/>
  <c r="D26" i="4"/>
  <c r="F25" i="4"/>
  <c r="D25" i="4"/>
  <c r="O19" i="4"/>
  <c r="M7" i="8" s="1"/>
  <c r="L19" i="4"/>
  <c r="J19" i="4"/>
  <c r="I19" i="4"/>
  <c r="C19" i="4"/>
  <c r="C7" i="8" s="1"/>
  <c r="B19" i="4"/>
  <c r="B7" i="8" s="1"/>
  <c r="F15" i="4"/>
  <c r="F19" i="4" s="1"/>
  <c r="E7" i="8" s="1"/>
  <c r="D15" i="4"/>
  <c r="D19" i="4" s="1"/>
  <c r="K7" i="8" s="1"/>
  <c r="A6" i="8"/>
  <c r="D26" i="3"/>
  <c r="F26" i="3"/>
  <c r="O29" i="3"/>
  <c r="M6" i="2" s="1"/>
  <c r="L29" i="3"/>
  <c r="J29" i="3"/>
  <c r="L6" i="2" s="1"/>
  <c r="I29" i="3"/>
  <c r="C29" i="3"/>
  <c r="C6" i="2" s="1"/>
  <c r="B29" i="3"/>
  <c r="B6" i="2" s="1"/>
  <c r="F25" i="3"/>
  <c r="D25" i="3"/>
  <c r="O19" i="3"/>
  <c r="M6" i="8" s="1"/>
  <c r="L19" i="3"/>
  <c r="J19" i="3"/>
  <c r="I19" i="3"/>
  <c r="C19" i="3"/>
  <c r="C6" i="8" s="1"/>
  <c r="B19" i="3"/>
  <c r="B6" i="8" s="1"/>
  <c r="F15" i="3"/>
  <c r="F19" i="3" s="1"/>
  <c r="E6" i="8" s="1"/>
  <c r="D15" i="3"/>
  <c r="D19" i="3" s="1"/>
  <c r="K6" i="8" s="1"/>
  <c r="S3" i="58"/>
  <c r="C3" i="58"/>
  <c r="A3" i="58"/>
  <c r="C57" i="8"/>
  <c r="C56" i="8"/>
  <c r="C55" i="8"/>
  <c r="C54" i="8"/>
  <c r="A5" i="8"/>
  <c r="D16" i="1"/>
  <c r="F16" i="1"/>
  <c r="F15" i="1"/>
  <c r="O29" i="1"/>
  <c r="M5" i="2" s="1"/>
  <c r="L29" i="1"/>
  <c r="J29" i="1"/>
  <c r="L5" i="2" s="1"/>
  <c r="I29" i="1"/>
  <c r="C29" i="1"/>
  <c r="C5" i="2" s="1"/>
  <c r="D5" i="2" s="1"/>
  <c r="B29" i="1"/>
  <c r="B5" i="2" s="1"/>
  <c r="F25" i="1"/>
  <c r="F29" i="1" s="1"/>
  <c r="E5" i="2" s="1"/>
  <c r="F5" i="2" s="1"/>
  <c r="D25" i="1"/>
  <c r="D29" i="1" s="1"/>
  <c r="K5" i="2" s="1"/>
  <c r="O19" i="1"/>
  <c r="L19" i="1"/>
  <c r="J19" i="1"/>
  <c r="I19" i="1"/>
  <c r="C19" i="1"/>
  <c r="C5" i="8" s="1"/>
  <c r="D5" i="8" s="1"/>
  <c r="B19" i="1"/>
  <c r="D15" i="1"/>
  <c r="B5" i="8" l="1"/>
  <c r="E19" i="1"/>
  <c r="AD5" i="8" s="1"/>
  <c r="Q5" i="14"/>
  <c r="R5" i="58"/>
  <c r="W5" i="1"/>
  <c r="R3" i="58" s="1"/>
  <c r="X5" i="1"/>
  <c r="P3" i="58" s="1"/>
  <c r="W5" i="3"/>
  <c r="R4" i="58" s="1"/>
  <c r="U5" i="10"/>
  <c r="Q10" i="58" s="1"/>
  <c r="D19" i="1"/>
  <c r="K5" i="8" s="1"/>
  <c r="Q5" i="12"/>
  <c r="U5" i="6"/>
  <c r="Q7" i="58" s="1"/>
  <c r="L6" i="8"/>
  <c r="L5" i="8"/>
  <c r="T5" i="5"/>
  <c r="T5" i="9"/>
  <c r="Q5" i="10"/>
  <c r="T5" i="1"/>
  <c r="Q5" i="1" s="1"/>
  <c r="B3" i="58" s="1"/>
  <c r="T5" i="7"/>
  <c r="H5" i="2"/>
  <c r="I5" i="2" s="1"/>
  <c r="D6" i="2"/>
  <c r="D7" i="2" s="1"/>
  <c r="M5" i="8"/>
  <c r="X5" i="8" s="1"/>
  <c r="X5" i="3"/>
  <c r="P4" i="58" s="1"/>
  <c r="L7" i="8"/>
  <c r="K11" i="8"/>
  <c r="U5" i="9"/>
  <c r="Q9" i="58" s="1"/>
  <c r="U5" i="7"/>
  <c r="Q8" i="58" s="1"/>
  <c r="P5" i="58"/>
  <c r="T5" i="6"/>
  <c r="R7" i="58"/>
  <c r="D29" i="4"/>
  <c r="K7" i="2" s="1"/>
  <c r="U5" i="5"/>
  <c r="Q6" i="58" s="1"/>
  <c r="T5" i="11"/>
  <c r="W5" i="2"/>
  <c r="X5" i="2"/>
  <c r="F29" i="4"/>
  <c r="E7" i="2" s="1"/>
  <c r="F29" i="3"/>
  <c r="E6" i="2" s="1"/>
  <c r="F6" i="2" s="1"/>
  <c r="D29" i="3"/>
  <c r="F19" i="1"/>
  <c r="Y5" i="8" l="1" a="1"/>
  <c r="Y5" i="8" s="1"/>
  <c r="E5" i="8"/>
  <c r="AE5" i="8"/>
  <c r="V5" i="8"/>
  <c r="W5" i="8"/>
  <c r="T5" i="3"/>
  <c r="S5" i="3" s="1"/>
  <c r="S5" i="1"/>
  <c r="D3" i="58" s="1"/>
  <c r="U5" i="1"/>
  <c r="Q3" i="58" s="1"/>
  <c r="Q5" i="3"/>
  <c r="B4" i="58" s="1"/>
  <c r="B5" i="58" s="1"/>
  <c r="S5" i="7"/>
  <c r="Q5" i="7"/>
  <c r="S5" i="9"/>
  <c r="Q5" i="9"/>
  <c r="Q5" i="58"/>
  <c r="S5" i="5"/>
  <c r="Q5" i="5"/>
  <c r="F7" i="2"/>
  <c r="H6" i="2"/>
  <c r="S5" i="11"/>
  <c r="Q5" i="11"/>
  <c r="K6" i="2"/>
  <c r="U5" i="3"/>
  <c r="Q4" i="58" s="1"/>
  <c r="S5" i="6"/>
  <c r="Q5" i="6"/>
  <c r="J5" i="2"/>
  <c r="V5" i="2" l="1"/>
  <c r="D4" i="58"/>
  <c r="D5" i="58" s="1"/>
  <c r="D6" i="58" s="1"/>
  <c r="D7" i="58" s="1"/>
  <c r="D8" i="58" s="1"/>
  <c r="D9" i="58" s="1"/>
  <c r="D10" i="58" s="1"/>
  <c r="D11" i="58" s="1"/>
  <c r="D12" i="58" s="1"/>
  <c r="D13" i="58" s="1"/>
  <c r="D14" i="58" s="1"/>
  <c r="D15" i="58" s="1"/>
  <c r="D16" i="58" s="1"/>
  <c r="D17" i="58" s="1"/>
  <c r="D18" i="58" s="1"/>
  <c r="D19" i="58" s="1"/>
  <c r="D20" i="58" s="1"/>
  <c r="D21" i="58" s="1"/>
  <c r="D22" i="58" s="1"/>
  <c r="D23" i="58" s="1"/>
  <c r="D24" i="58" s="1"/>
  <c r="D25" i="58" s="1"/>
  <c r="D26" i="58" s="1"/>
  <c r="D27" i="58" s="1"/>
  <c r="D28" i="58" s="1"/>
  <c r="D29" i="58" s="1"/>
  <c r="D30" i="58" s="1"/>
  <c r="D31" i="58" s="1"/>
  <c r="D32" i="58" s="1"/>
  <c r="D33" i="58" s="1"/>
  <c r="D34" i="58" s="1"/>
  <c r="D35" i="58" s="1"/>
  <c r="D36" i="58" s="1"/>
  <c r="D37" i="58" s="1"/>
  <c r="D38" i="58" s="1"/>
  <c r="D39" i="58" s="1"/>
  <c r="D40" i="58" s="1"/>
  <c r="D41" i="58" s="1"/>
  <c r="D42" i="58" s="1"/>
  <c r="D43" i="58" s="1"/>
  <c r="D44" i="58" s="1"/>
  <c r="D45" i="58" s="1"/>
  <c r="D46" i="58" s="1"/>
  <c r="D47" i="58" s="1"/>
  <c r="D48" i="58" s="1"/>
  <c r="D49" i="58" s="1"/>
  <c r="D50" i="58" s="1"/>
  <c r="D51" i="58" s="1"/>
  <c r="D52" i="58" s="1"/>
  <c r="D53" i="58" s="1"/>
  <c r="D54" i="58" s="1"/>
  <c r="D55" i="58" s="1"/>
  <c r="D56" i="58" s="1"/>
  <c r="B6" i="58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F4" i="58"/>
  <c r="J6" i="2"/>
  <c r="I6" i="2"/>
  <c r="F8" i="2"/>
  <c r="H7" i="2"/>
  <c r="F5" i="58" l="1"/>
  <c r="I7" i="2"/>
  <c r="J7" i="2"/>
  <c r="F9" i="2"/>
  <c r="H8" i="2"/>
  <c r="H9" i="2" l="1"/>
  <c r="F10" i="2"/>
  <c r="H10" i="2" l="1"/>
  <c r="F11" i="2"/>
  <c r="H11" i="2" l="1"/>
  <c r="F12" i="2"/>
  <c r="B57" i="8"/>
  <c r="H12" i="2" l="1"/>
  <c r="F13" i="2"/>
  <c r="F14" i="2" l="1"/>
  <c r="H13" i="2"/>
  <c r="F15" i="2" l="1"/>
  <c r="H15" i="2" s="1"/>
  <c r="H14" i="2"/>
  <c r="B56" i="8"/>
  <c r="F16" i="2" l="1"/>
  <c r="H16" i="2" s="1"/>
  <c r="F17" i="2" l="1"/>
  <c r="H17" i="2" s="1"/>
  <c r="B55" i="8"/>
  <c r="F18" i="2" l="1"/>
  <c r="H18" i="2" s="1"/>
  <c r="F19" i="2" l="1"/>
  <c r="H19" i="2" s="1"/>
  <c r="F20" i="2" l="1"/>
  <c r="H20" i="2" s="1"/>
  <c r="F21" i="2" l="1"/>
  <c r="H21" i="2" s="1"/>
  <c r="F22" i="2" l="1"/>
  <c r="H22" i="2" s="1"/>
  <c r="F23" i="2" l="1"/>
  <c r="H23" i="2" s="1"/>
  <c r="F24" i="2" l="1"/>
  <c r="H24" i="2" s="1"/>
  <c r="P5" i="55"/>
  <c r="Q5" i="55"/>
  <c r="T5" i="55" l="1"/>
  <c r="S5" i="55"/>
  <c r="AK5" i="35"/>
  <c r="AL5" i="35" l="1"/>
  <c r="D5" i="35"/>
  <c r="AL6" i="35" l="1"/>
  <c r="AL7" i="35" l="1"/>
  <c r="F5" i="55"/>
  <c r="P5" i="54"/>
  <c r="Q5" i="54"/>
  <c r="Q5" i="48"/>
  <c r="D5" i="54"/>
  <c r="F5" i="54"/>
  <c r="P5" i="52"/>
  <c r="Q5" i="52"/>
  <c r="D5" i="52"/>
  <c r="F5" i="52"/>
  <c r="H5" i="52" s="1"/>
  <c r="P5" i="48"/>
  <c r="E18" i="35"/>
  <c r="F5" i="48"/>
  <c r="D5" i="48"/>
  <c r="T5" i="54" l="1"/>
  <c r="S5" i="54"/>
  <c r="T5" i="52"/>
  <c r="S5" i="52"/>
  <c r="T5" i="48"/>
  <c r="S5" i="48"/>
  <c r="J5" i="52"/>
  <c r="I5" i="52"/>
  <c r="D6" i="54"/>
  <c r="D7" i="54" s="1"/>
  <c r="D8" i="54" s="1"/>
  <c r="D9" i="54" s="1"/>
  <c r="D10" i="54" s="1"/>
  <c r="D11" i="54" s="1"/>
  <c r="D12" i="54" s="1"/>
  <c r="F5" i="46"/>
  <c r="F6" i="46" s="1"/>
  <c r="Q5" i="46"/>
  <c r="P5" i="46"/>
  <c r="D5" i="55"/>
  <c r="D6" i="55" s="1"/>
  <c r="D7" i="55" s="1"/>
  <c r="D8" i="55" s="1"/>
  <c r="D9" i="55" s="1"/>
  <c r="D10" i="55" s="1"/>
  <c r="D11" i="55" s="1"/>
  <c r="D6" i="48"/>
  <c r="D7" i="48" s="1"/>
  <c r="D8" i="48" s="1"/>
  <c r="D5" i="46"/>
  <c r="D6" i="46" s="1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F6" i="52"/>
  <c r="H6" i="52" s="1"/>
  <c r="D6" i="35"/>
  <c r="D7" i="35" s="1"/>
  <c r="D8" i="35" s="1"/>
  <c r="AK9" i="35"/>
  <c r="H5" i="48"/>
  <c r="F6" i="48"/>
  <c r="D6" i="52"/>
  <c r="D7" i="52" s="1"/>
  <c r="D8" i="52" s="1"/>
  <c r="D9" i="52" s="1"/>
  <c r="D10" i="52" s="1"/>
  <c r="D11" i="52" s="1"/>
  <c r="D12" i="52" s="1"/>
  <c r="D13" i="52" s="1"/>
  <c r="H5" i="54"/>
  <c r="F6" i="54"/>
  <c r="F6" i="55"/>
  <c r="H5" i="55"/>
  <c r="J48" i="58"/>
  <c r="AL8" i="35"/>
  <c r="P5" i="2"/>
  <c r="D8" i="2"/>
  <c r="F3" i="58"/>
  <c r="S5" i="46" l="1"/>
  <c r="T5" i="46"/>
  <c r="T5" i="2"/>
  <c r="S5" i="2"/>
  <c r="I6" i="52"/>
  <c r="J6" i="52"/>
  <c r="I5" i="48"/>
  <c r="J5" i="48"/>
  <c r="I5" i="54"/>
  <c r="J5" i="54"/>
  <c r="J5" i="55"/>
  <c r="I5" i="55"/>
  <c r="D9" i="48"/>
  <c r="H5" i="46"/>
  <c r="H44" i="58" s="1"/>
  <c r="F5" i="35"/>
  <c r="H5" i="35" s="1"/>
  <c r="Q5" i="35"/>
  <c r="P5" i="35"/>
  <c r="I8" i="2"/>
  <c r="J8" i="2"/>
  <c r="D9" i="35"/>
  <c r="D10" i="35" s="1"/>
  <c r="D11" i="35" s="1"/>
  <c r="D9" i="2"/>
  <c r="F7" i="52"/>
  <c r="H7" i="52" s="1"/>
  <c r="K49" i="58"/>
  <c r="P5" i="8"/>
  <c r="J49" i="58"/>
  <c r="L50" i="58"/>
  <c r="F7" i="55"/>
  <c r="H6" i="55"/>
  <c r="I6" i="55" s="1"/>
  <c r="F7" i="48"/>
  <c r="H6" i="48"/>
  <c r="H6" i="54"/>
  <c r="F7" i="54"/>
  <c r="I46" i="58"/>
  <c r="AL9" i="35"/>
  <c r="Q5" i="8"/>
  <c r="T5" i="8" l="1"/>
  <c r="S5" i="8"/>
  <c r="F6" i="35"/>
  <c r="T5" i="35"/>
  <c r="S5" i="35"/>
  <c r="J5" i="35"/>
  <c r="I5" i="35"/>
  <c r="D57" i="58"/>
  <c r="D58" i="58" s="1"/>
  <c r="D59" i="58" s="1"/>
  <c r="D60" i="58" s="1"/>
  <c r="D61" i="58" s="1"/>
  <c r="D62" i="58" s="1"/>
  <c r="B56" i="58"/>
  <c r="B57" i="58" s="1"/>
  <c r="B58" i="58" s="1"/>
  <c r="B59" i="58" s="1"/>
  <c r="B60" i="58" s="1"/>
  <c r="B61" i="58" s="1"/>
  <c r="B62" i="58" s="1"/>
  <c r="I5" i="46"/>
  <c r="J5" i="46"/>
  <c r="J6" i="48"/>
  <c r="I6" i="48"/>
  <c r="L51" i="58"/>
  <c r="J6" i="55"/>
  <c r="J6" i="54"/>
  <c r="I6" i="54"/>
  <c r="J7" i="52"/>
  <c r="I7" i="52"/>
  <c r="D10" i="48"/>
  <c r="F8" i="52"/>
  <c r="H8" i="52" s="1"/>
  <c r="D10" i="2"/>
  <c r="I9" i="2"/>
  <c r="J9" i="2"/>
  <c r="D6" i="8"/>
  <c r="F5" i="8"/>
  <c r="H5" i="8" s="1"/>
  <c r="E3" i="58" s="1"/>
  <c r="M3" i="58" s="1"/>
  <c r="N3" i="58" s="1"/>
  <c r="O3" i="58" s="1"/>
  <c r="H7" i="55"/>
  <c r="I7" i="55" s="1"/>
  <c r="F8" i="55"/>
  <c r="I47" i="58"/>
  <c r="F7" i="35"/>
  <c r="H6" i="35"/>
  <c r="J50" i="58"/>
  <c r="F8" i="48"/>
  <c r="H7" i="48"/>
  <c r="AN5" i="35"/>
  <c r="H7" i="54"/>
  <c r="F8" i="54"/>
  <c r="K50" i="58"/>
  <c r="AL10" i="35"/>
  <c r="D12" i="35"/>
  <c r="J6" i="35" l="1"/>
  <c r="I6" i="35"/>
  <c r="I7" i="48"/>
  <c r="J7" i="48"/>
  <c r="L52" i="58"/>
  <c r="J7" i="55"/>
  <c r="J7" i="54"/>
  <c r="I7" i="54"/>
  <c r="J8" i="52"/>
  <c r="I8" i="52"/>
  <c r="D11" i="48"/>
  <c r="F9" i="52"/>
  <c r="F10" i="52" s="1"/>
  <c r="D11" i="2"/>
  <c r="I10" i="2"/>
  <c r="J10" i="2"/>
  <c r="F25" i="2"/>
  <c r="H25" i="2" s="1"/>
  <c r="J5" i="8"/>
  <c r="I5" i="8"/>
  <c r="D7" i="8"/>
  <c r="D8" i="8" s="1"/>
  <c r="F6" i="8"/>
  <c r="H6" i="8" s="1"/>
  <c r="E4" i="58" s="1"/>
  <c r="M4" i="58" s="1"/>
  <c r="N4" i="58" s="1"/>
  <c r="O4" i="58" s="1"/>
  <c r="H8" i="55"/>
  <c r="F9" i="55"/>
  <c r="H8" i="54"/>
  <c r="F9" i="54"/>
  <c r="K51" i="58"/>
  <c r="F9" i="48"/>
  <c r="H8" i="48"/>
  <c r="AN6" i="35"/>
  <c r="H7" i="35"/>
  <c r="F8" i="35"/>
  <c r="G34" i="58"/>
  <c r="AO5" i="35"/>
  <c r="J51" i="58"/>
  <c r="I48" i="58"/>
  <c r="AL11" i="35"/>
  <c r="AL12" i="35" s="1"/>
  <c r="AL13" i="35" s="1"/>
  <c r="AL14" i="35" s="1"/>
  <c r="AL15" i="35" s="1"/>
  <c r="AL16" i="35" s="1"/>
  <c r="AL17" i="35" s="1"/>
  <c r="D13" i="35"/>
  <c r="J7" i="35" l="1"/>
  <c r="I7" i="35"/>
  <c r="J8" i="55"/>
  <c r="I8" i="55"/>
  <c r="H9" i="52"/>
  <c r="J52" i="58" s="1"/>
  <c r="J8" i="54"/>
  <c r="I8" i="54"/>
  <c r="K52" i="58"/>
  <c r="I8" i="48"/>
  <c r="J8" i="48"/>
  <c r="D12" i="48"/>
  <c r="D12" i="2"/>
  <c r="J11" i="2"/>
  <c r="I11" i="2"/>
  <c r="I6" i="8"/>
  <c r="F26" i="2"/>
  <c r="H26" i="2" s="1"/>
  <c r="J6" i="8"/>
  <c r="F7" i="8"/>
  <c r="H7" i="8" s="1"/>
  <c r="H10" i="52"/>
  <c r="F11" i="52"/>
  <c r="H9" i="54"/>
  <c r="F10" i="54"/>
  <c r="H9" i="55"/>
  <c r="F10" i="55"/>
  <c r="L53" i="58"/>
  <c r="H8" i="35"/>
  <c r="F9" i="35"/>
  <c r="I49" i="58"/>
  <c r="AN7" i="35"/>
  <c r="H9" i="48"/>
  <c r="F10" i="48"/>
  <c r="G35" i="58"/>
  <c r="AO6" i="35"/>
  <c r="AL18" i="35"/>
  <c r="D14" i="35"/>
  <c r="D9" i="8"/>
  <c r="J8" i="35" l="1"/>
  <c r="I8" i="35"/>
  <c r="I9" i="52"/>
  <c r="J9" i="55"/>
  <c r="I9" i="55"/>
  <c r="J9" i="52"/>
  <c r="J10" i="52"/>
  <c r="I10" i="52"/>
  <c r="J9" i="54"/>
  <c r="I9" i="54"/>
  <c r="I9" i="48"/>
  <c r="J9" i="48"/>
  <c r="D13" i="48"/>
  <c r="F27" i="2"/>
  <c r="H27" i="2" s="1"/>
  <c r="J12" i="2"/>
  <c r="I12" i="2"/>
  <c r="D13" i="2"/>
  <c r="I7" i="8"/>
  <c r="E5" i="58"/>
  <c r="M5" i="58" s="1"/>
  <c r="N5" i="58" s="1"/>
  <c r="O5" i="58" s="1"/>
  <c r="F8" i="8"/>
  <c r="H8" i="8" s="1"/>
  <c r="J7" i="8"/>
  <c r="H10" i="55"/>
  <c r="I10" i="55" s="1"/>
  <c r="F11" i="55"/>
  <c r="H11" i="52"/>
  <c r="F12" i="52"/>
  <c r="H10" i="54"/>
  <c r="F11" i="54"/>
  <c r="K53" i="58"/>
  <c r="L54" i="58"/>
  <c r="J53" i="58"/>
  <c r="G36" i="58"/>
  <c r="AO7" i="35"/>
  <c r="F6" i="58"/>
  <c r="H10" i="48"/>
  <c r="F11" i="48"/>
  <c r="H9" i="35"/>
  <c r="F10" i="35"/>
  <c r="I50" i="58"/>
  <c r="AN8" i="35"/>
  <c r="AL19" i="35"/>
  <c r="D15" i="35"/>
  <c r="D10" i="8"/>
  <c r="H11" i="54" l="1"/>
  <c r="K55" i="58" s="1"/>
  <c r="F12" i="54"/>
  <c r="H12" i="54" s="1"/>
  <c r="J9" i="35"/>
  <c r="I9" i="35"/>
  <c r="H12" i="52"/>
  <c r="J55" i="58" s="1"/>
  <c r="F13" i="52"/>
  <c r="H13" i="52" s="1"/>
  <c r="L55" i="58"/>
  <c r="J10" i="55"/>
  <c r="J10" i="54"/>
  <c r="I10" i="54"/>
  <c r="J11" i="52"/>
  <c r="I11" i="52"/>
  <c r="I10" i="48"/>
  <c r="J10" i="48"/>
  <c r="D14" i="48"/>
  <c r="D15" i="48" s="1"/>
  <c r="E6" i="58"/>
  <c r="M6" i="58" s="1"/>
  <c r="N6" i="58" s="1"/>
  <c r="O6" i="58" s="1"/>
  <c r="I8" i="8"/>
  <c r="D14" i="2"/>
  <c r="I13" i="2"/>
  <c r="J13" i="2"/>
  <c r="F28" i="2"/>
  <c r="H28" i="2" s="1"/>
  <c r="F9" i="8"/>
  <c r="H9" i="8" s="1"/>
  <c r="I9" i="8" s="1"/>
  <c r="J8" i="8"/>
  <c r="H11" i="55"/>
  <c r="K54" i="58"/>
  <c r="H11" i="48"/>
  <c r="J11" i="48" s="1"/>
  <c r="F12" i="48"/>
  <c r="J54" i="58"/>
  <c r="I51" i="58"/>
  <c r="F7" i="58"/>
  <c r="G37" i="58"/>
  <c r="AO8" i="35"/>
  <c r="F11" i="35"/>
  <c r="H10" i="35"/>
  <c r="AN9" i="35"/>
  <c r="AL20" i="35"/>
  <c r="D16" i="35"/>
  <c r="D11" i="8"/>
  <c r="I11" i="54" l="1"/>
  <c r="J11" i="54"/>
  <c r="J12" i="52"/>
  <c r="J10" i="35"/>
  <c r="I10" i="35"/>
  <c r="I12" i="52"/>
  <c r="I13" i="52"/>
  <c r="J13" i="52"/>
  <c r="J12" i="54"/>
  <c r="I12" i="54"/>
  <c r="J11" i="55"/>
  <c r="I11" i="55"/>
  <c r="I11" i="48"/>
  <c r="F29" i="2"/>
  <c r="H29" i="2" s="1"/>
  <c r="I52" i="58"/>
  <c r="D15" i="2"/>
  <c r="J14" i="2"/>
  <c r="I14" i="2"/>
  <c r="E7" i="58"/>
  <c r="M7" i="58" s="1"/>
  <c r="N7" i="58" s="1"/>
  <c r="O7" i="58" s="1"/>
  <c r="F10" i="8"/>
  <c r="H10" i="8" s="1"/>
  <c r="I10" i="8" s="1"/>
  <c r="J9" i="8"/>
  <c r="H12" i="48"/>
  <c r="F13" i="48"/>
  <c r="AN10" i="35"/>
  <c r="F8" i="58"/>
  <c r="F12" i="35"/>
  <c r="H11" i="35"/>
  <c r="G38" i="58"/>
  <c r="AO9" i="35"/>
  <c r="AL21" i="35"/>
  <c r="H6" i="46"/>
  <c r="F7" i="46"/>
  <c r="D17" i="35"/>
  <c r="D12" i="8"/>
  <c r="J6" i="46" l="1"/>
  <c r="I6" i="46"/>
  <c r="J11" i="35"/>
  <c r="I11" i="35"/>
  <c r="I15" i="2"/>
  <c r="J15" i="2"/>
  <c r="I12" i="48"/>
  <c r="J12" i="48"/>
  <c r="D16" i="2"/>
  <c r="F30" i="2"/>
  <c r="H30" i="2" s="1"/>
  <c r="E8" i="58"/>
  <c r="M8" i="58" s="1"/>
  <c r="N8" i="58" s="1"/>
  <c r="O8" i="58" s="1"/>
  <c r="F11" i="8"/>
  <c r="H11" i="8" s="1"/>
  <c r="J10" i="8"/>
  <c r="H13" i="48"/>
  <c r="F14" i="48"/>
  <c r="I53" i="58"/>
  <c r="AN11" i="35"/>
  <c r="G39" i="58"/>
  <c r="AO10" i="35"/>
  <c r="F9" i="58"/>
  <c r="H45" i="58"/>
  <c r="H12" i="35"/>
  <c r="F13" i="35"/>
  <c r="AL22" i="35"/>
  <c r="AL23" i="35" s="1"/>
  <c r="AL24" i="35" s="1"/>
  <c r="AL25" i="35" s="1"/>
  <c r="AL26" i="35" s="1"/>
  <c r="AL27" i="35" s="1"/>
  <c r="F8" i="46"/>
  <c r="H7" i="46"/>
  <c r="D18" i="35"/>
  <c r="D13" i="8"/>
  <c r="I16" i="2" l="1"/>
  <c r="J16" i="2"/>
  <c r="I7" i="46"/>
  <c r="J7" i="46"/>
  <c r="H14" i="48"/>
  <c r="I55" i="58" s="1"/>
  <c r="F15" i="48"/>
  <c r="H15" i="48" s="1"/>
  <c r="J12" i="35"/>
  <c r="I12" i="35"/>
  <c r="J14" i="48"/>
  <c r="I13" i="48"/>
  <c r="J13" i="48"/>
  <c r="F31" i="2"/>
  <c r="H31" i="2" s="1"/>
  <c r="D17" i="2"/>
  <c r="J11" i="8"/>
  <c r="I11" i="8"/>
  <c r="F12" i="8"/>
  <c r="H12" i="8" s="1"/>
  <c r="E9" i="58"/>
  <c r="M9" i="58" s="1"/>
  <c r="N9" i="58" s="1"/>
  <c r="O9" i="58" s="1"/>
  <c r="I54" i="58"/>
  <c r="F10" i="58"/>
  <c r="G40" i="58"/>
  <c r="AO11" i="35"/>
  <c r="AN12" i="35"/>
  <c r="H46" i="58"/>
  <c r="H13" i="35"/>
  <c r="F14" i="35"/>
  <c r="F9" i="46"/>
  <c r="H8" i="46"/>
  <c r="D19" i="35"/>
  <c r="D14" i="8"/>
  <c r="I14" i="48" l="1"/>
  <c r="I8" i="46"/>
  <c r="J8" i="46"/>
  <c r="I15" i="48"/>
  <c r="J15" i="48"/>
  <c r="J13" i="35"/>
  <c r="I13" i="35"/>
  <c r="I17" i="2"/>
  <c r="J17" i="2"/>
  <c r="F32" i="2"/>
  <c r="H32" i="2" s="1"/>
  <c r="E10" i="58"/>
  <c r="M10" i="58" s="1"/>
  <c r="N10" i="58" s="1"/>
  <c r="O10" i="58" s="1"/>
  <c r="I12" i="8"/>
  <c r="D18" i="2"/>
  <c r="F13" i="8"/>
  <c r="H13" i="8" s="1"/>
  <c r="J12" i="8"/>
  <c r="G41" i="58"/>
  <c r="AO12" i="35"/>
  <c r="AN13" i="35"/>
  <c r="H47" i="58"/>
  <c r="F11" i="58"/>
  <c r="H14" i="35"/>
  <c r="F15" i="35"/>
  <c r="F10" i="46"/>
  <c r="H9" i="46"/>
  <c r="D20" i="35"/>
  <c r="D15" i="8"/>
  <c r="J18" i="2" l="1"/>
  <c r="I18" i="2"/>
  <c r="J14" i="35"/>
  <c r="I14" i="35"/>
  <c r="I9" i="46"/>
  <c r="J9" i="46"/>
  <c r="J13" i="8"/>
  <c r="I13" i="8"/>
  <c r="D19" i="2"/>
  <c r="F33" i="2"/>
  <c r="H33" i="2" s="1"/>
  <c r="E11" i="58"/>
  <c r="M11" i="58" s="1"/>
  <c r="N11" i="58" s="1"/>
  <c r="O11" i="58" s="1"/>
  <c r="F14" i="8"/>
  <c r="H14" i="8" s="1"/>
  <c r="AN14" i="35"/>
  <c r="F12" i="58"/>
  <c r="G42" i="58"/>
  <c r="AO13" i="35"/>
  <c r="H48" i="58"/>
  <c r="H15" i="35"/>
  <c r="F16" i="35"/>
  <c r="H10" i="46"/>
  <c r="F11" i="46"/>
  <c r="D21" i="35"/>
  <c r="D22" i="35" s="1"/>
  <c r="D23" i="35" s="1"/>
  <c r="D24" i="35" s="1"/>
  <c r="D25" i="35" s="1"/>
  <c r="D26" i="35" s="1"/>
  <c r="D27" i="35" s="1"/>
  <c r="D16" i="8"/>
  <c r="I19" i="2" l="1"/>
  <c r="J19" i="2"/>
  <c r="I10" i="46"/>
  <c r="J10" i="46"/>
  <c r="J15" i="35"/>
  <c r="I15" i="35"/>
  <c r="E12" i="58"/>
  <c r="M12" i="58" s="1"/>
  <c r="N12" i="58" s="1"/>
  <c r="O12" i="58" s="1"/>
  <c r="I14" i="8"/>
  <c r="D20" i="2"/>
  <c r="J14" i="8"/>
  <c r="F15" i="8"/>
  <c r="H15" i="8" s="1"/>
  <c r="I15" i="8" s="1"/>
  <c r="AO14" i="35"/>
  <c r="G43" i="58"/>
  <c r="F13" i="58"/>
  <c r="H49" i="58"/>
  <c r="H16" i="35"/>
  <c r="F17" i="35"/>
  <c r="AN15" i="35"/>
  <c r="H11" i="46"/>
  <c r="F12" i="46"/>
  <c r="D17" i="8"/>
  <c r="I20" i="2" l="1"/>
  <c r="J20" i="2"/>
  <c r="I16" i="35"/>
  <c r="J16" i="35"/>
  <c r="I11" i="46"/>
  <c r="J11" i="46"/>
  <c r="D21" i="2"/>
  <c r="E13" i="58"/>
  <c r="M13" i="58" s="1"/>
  <c r="N13" i="58" s="1"/>
  <c r="O13" i="58" s="1"/>
  <c r="F16" i="8"/>
  <c r="H16" i="8" s="1"/>
  <c r="I16" i="8" s="1"/>
  <c r="J15" i="8"/>
  <c r="H12" i="46"/>
  <c r="J12" i="46" s="1"/>
  <c r="F13" i="46"/>
  <c r="H50" i="58"/>
  <c r="F14" i="58"/>
  <c r="F18" i="35"/>
  <c r="H17" i="35"/>
  <c r="AO15" i="35"/>
  <c r="G44" i="58"/>
  <c r="AN16" i="35"/>
  <c r="D18" i="8"/>
  <c r="I17" i="35" l="1"/>
  <c r="J17" i="35"/>
  <c r="I21" i="2"/>
  <c r="J21" i="2"/>
  <c r="I12" i="46"/>
  <c r="H51" i="58"/>
  <c r="D22" i="2"/>
  <c r="F17" i="8"/>
  <c r="H17" i="8" s="1"/>
  <c r="I17" i="8" s="1"/>
  <c r="E14" i="58"/>
  <c r="M14" i="58" s="1"/>
  <c r="N14" i="58" s="1"/>
  <c r="O14" i="58" s="1"/>
  <c r="J16" i="8"/>
  <c r="H13" i="46"/>
  <c r="J13" i="46" s="1"/>
  <c r="F14" i="46"/>
  <c r="F19" i="35"/>
  <c r="H18" i="35"/>
  <c r="AO16" i="35"/>
  <c r="G45" i="58"/>
  <c r="F15" i="58"/>
  <c r="AN17" i="35"/>
  <c r="J22" i="2" l="1"/>
  <c r="I22" i="2"/>
  <c r="I18" i="35"/>
  <c r="J18" i="35"/>
  <c r="H52" i="58"/>
  <c r="I13" i="46"/>
  <c r="D23" i="2"/>
  <c r="F18" i="8"/>
  <c r="H18" i="8" s="1"/>
  <c r="I18" i="8" s="1"/>
  <c r="E15" i="58"/>
  <c r="M15" i="58" s="1"/>
  <c r="N15" i="58" s="1"/>
  <c r="O15" i="58" s="1"/>
  <c r="J17" i="8"/>
  <c r="H14" i="46"/>
  <c r="F15" i="46"/>
  <c r="AN18" i="35"/>
  <c r="F16" i="58"/>
  <c r="AO17" i="35"/>
  <c r="G46" i="58"/>
  <c r="H19" i="35"/>
  <c r="F20" i="35"/>
  <c r="I23" i="2" l="1"/>
  <c r="J23" i="2"/>
  <c r="I19" i="35"/>
  <c r="J19" i="35"/>
  <c r="I14" i="46"/>
  <c r="J14" i="46"/>
  <c r="D24" i="2"/>
  <c r="E16" i="58"/>
  <c r="M16" i="58" s="1"/>
  <c r="N16" i="58" s="1"/>
  <c r="O16" i="58" s="1"/>
  <c r="F19" i="8"/>
  <c r="H19" i="8" s="1"/>
  <c r="J18" i="8"/>
  <c r="H15" i="46"/>
  <c r="F16" i="46"/>
  <c r="H53" i="58"/>
  <c r="AO18" i="35"/>
  <c r="G47" i="58"/>
  <c r="H20" i="35"/>
  <c r="F21" i="35"/>
  <c r="AN19" i="35"/>
  <c r="F17" i="58"/>
  <c r="H16" i="46" l="1"/>
  <c r="J16" i="46" s="1"/>
  <c r="F17" i="46"/>
  <c r="H17" i="46" s="1"/>
  <c r="J24" i="2"/>
  <c r="I24" i="2"/>
  <c r="I20" i="35"/>
  <c r="J20" i="35"/>
  <c r="I15" i="46"/>
  <c r="J15" i="46"/>
  <c r="D25" i="2"/>
  <c r="F20" i="8"/>
  <c r="H20" i="8" s="1"/>
  <c r="E17" i="58"/>
  <c r="M17" i="58" s="1"/>
  <c r="N17" i="58" s="1"/>
  <c r="O17" i="58" s="1"/>
  <c r="H54" i="58"/>
  <c r="AN20" i="35"/>
  <c r="F18" i="58"/>
  <c r="G48" i="58"/>
  <c r="AO19" i="35"/>
  <c r="H21" i="35"/>
  <c r="F22" i="35"/>
  <c r="H55" i="58" l="1"/>
  <c r="I16" i="46"/>
  <c r="I25" i="2"/>
  <c r="J25" i="2"/>
  <c r="I17" i="46"/>
  <c r="J17" i="46"/>
  <c r="I21" i="35"/>
  <c r="J21" i="35"/>
  <c r="D26" i="2"/>
  <c r="F21" i="8"/>
  <c r="H21" i="8" s="1"/>
  <c r="E18" i="58"/>
  <c r="M18" i="58" s="1"/>
  <c r="N18" i="58" s="1"/>
  <c r="O18" i="58" s="1"/>
  <c r="H22" i="35"/>
  <c r="F23" i="35"/>
  <c r="F19" i="58"/>
  <c r="AN21" i="35"/>
  <c r="AO20" i="35"/>
  <c r="G49" i="58"/>
  <c r="I26" i="2" l="1"/>
  <c r="J26" i="2"/>
  <c r="I22" i="35"/>
  <c r="J22" i="35"/>
  <c r="D27" i="2"/>
  <c r="F22" i="8"/>
  <c r="H22" i="8" s="1"/>
  <c r="E20" i="58" s="1"/>
  <c r="E19" i="58"/>
  <c r="M19" i="58" s="1"/>
  <c r="N19" i="58" s="1"/>
  <c r="O19" i="58" s="1"/>
  <c r="H23" i="35"/>
  <c r="F24" i="35"/>
  <c r="AN22" i="35"/>
  <c r="G50" i="58"/>
  <c r="AO21" i="35"/>
  <c r="F20" i="58"/>
  <c r="I27" i="2" l="1"/>
  <c r="J27" i="2"/>
  <c r="I23" i="35"/>
  <c r="J23" i="35"/>
  <c r="AN23" i="35"/>
  <c r="AO23" i="35" s="1"/>
  <c r="M20" i="58"/>
  <c r="N20" i="58" s="1"/>
  <c r="O20" i="58" s="1"/>
  <c r="D28" i="2"/>
  <c r="F23" i="8"/>
  <c r="H23" i="8" s="1"/>
  <c r="E21" i="58" s="1"/>
  <c r="H24" i="35"/>
  <c r="F25" i="35"/>
  <c r="G51" i="58"/>
  <c r="AO22" i="35"/>
  <c r="F21" i="58"/>
  <c r="I28" i="2" l="1"/>
  <c r="J28" i="2"/>
  <c r="I24" i="35"/>
  <c r="J24" i="35"/>
  <c r="G52" i="58"/>
  <c r="M21" i="58"/>
  <c r="N21" i="58" s="1"/>
  <c r="O21" i="58" s="1"/>
  <c r="D29" i="2"/>
  <c r="F24" i="8"/>
  <c r="H24" i="8" s="1"/>
  <c r="E22" i="58" s="1"/>
  <c r="H25" i="35"/>
  <c r="F26" i="35"/>
  <c r="AN24" i="35"/>
  <c r="F22" i="58"/>
  <c r="I29" i="2" l="1"/>
  <c r="J29" i="2"/>
  <c r="H26" i="35"/>
  <c r="I26" i="35" s="1"/>
  <c r="F27" i="35"/>
  <c r="H27" i="35" s="1"/>
  <c r="I25" i="35"/>
  <c r="J25" i="35"/>
  <c r="M22" i="58"/>
  <c r="N22" i="58" s="1"/>
  <c r="O22" i="58" s="1"/>
  <c r="D30" i="2"/>
  <c r="F25" i="8"/>
  <c r="H25" i="8" s="1"/>
  <c r="E23" i="58" s="1"/>
  <c r="AO24" i="35"/>
  <c r="G53" i="58"/>
  <c r="AN25" i="35"/>
  <c r="F23" i="58"/>
  <c r="AN26" i="35" l="1"/>
  <c r="AO26" i="35" s="1"/>
  <c r="AN27" i="35"/>
  <c r="AO27" i="35" s="1"/>
  <c r="J27" i="35"/>
  <c r="I27" i="35"/>
  <c r="J30" i="2"/>
  <c r="I30" i="2"/>
  <c r="J26" i="35"/>
  <c r="M23" i="58"/>
  <c r="N23" i="58" s="1"/>
  <c r="O23" i="58" s="1"/>
  <c r="D31" i="2"/>
  <c r="F26" i="8"/>
  <c r="H26" i="8" s="1"/>
  <c r="E24" i="58" s="1"/>
  <c r="AO25" i="35"/>
  <c r="G54" i="58"/>
  <c r="F24" i="58"/>
  <c r="G55" i="58" l="1"/>
  <c r="I31" i="2"/>
  <c r="J31" i="2"/>
  <c r="M24" i="58"/>
  <c r="N24" i="58" s="1"/>
  <c r="O24" i="58" s="1"/>
  <c r="D32" i="2"/>
  <c r="F27" i="8"/>
  <c r="H27" i="8" s="1"/>
  <c r="E25" i="58" s="1"/>
  <c r="F25" i="58"/>
  <c r="J32" i="2" l="1"/>
  <c r="I32" i="2"/>
  <c r="M25" i="58"/>
  <c r="N25" i="58" s="1"/>
  <c r="O25" i="58" s="1"/>
  <c r="D33" i="2"/>
  <c r="F28" i="8"/>
  <c r="H28" i="8" s="1"/>
  <c r="E26" i="58" s="1"/>
  <c r="F26" i="58"/>
  <c r="I33" i="2" l="1"/>
  <c r="J33" i="2"/>
  <c r="M26" i="58"/>
  <c r="N26" i="58" s="1"/>
  <c r="O26" i="58" s="1"/>
  <c r="D34" i="2"/>
  <c r="F29" i="8"/>
  <c r="H29" i="8" s="1"/>
  <c r="E27" i="58" s="1"/>
  <c r="F27" i="58"/>
  <c r="M27" i="58" l="1"/>
  <c r="N27" i="58" s="1"/>
  <c r="O27" i="58" s="1"/>
  <c r="D35" i="2"/>
  <c r="D36" i="2" s="1"/>
  <c r="D37" i="2" s="1"/>
  <c r="D38" i="2" s="1"/>
  <c r="D39" i="2" s="1"/>
  <c r="D40" i="2" s="1"/>
  <c r="D41" i="2" s="1"/>
  <c r="D42" i="2" s="1"/>
  <c r="F30" i="8"/>
  <c r="H30" i="8" s="1"/>
  <c r="E28" i="58" s="1"/>
  <c r="F28" i="58"/>
  <c r="D43" i="2" l="1"/>
  <c r="M28" i="58"/>
  <c r="N28" i="58" s="1"/>
  <c r="O28" i="58" s="1"/>
  <c r="F34" i="2"/>
  <c r="H34" i="2" s="1"/>
  <c r="F31" i="8"/>
  <c r="H31" i="8" s="1"/>
  <c r="E29" i="58" s="1"/>
  <c r="F29" i="58"/>
  <c r="D44" i="2" l="1"/>
  <c r="J34" i="2"/>
  <c r="I34" i="2"/>
  <c r="M29" i="58"/>
  <c r="N29" i="58" s="1"/>
  <c r="O29" i="58" s="1"/>
  <c r="F35" i="2"/>
  <c r="H35" i="2" s="1"/>
  <c r="F32" i="8"/>
  <c r="H32" i="8" s="1"/>
  <c r="E30" i="58" s="1"/>
  <c r="F30" i="58"/>
  <c r="D45" i="2" l="1"/>
  <c r="I35" i="2"/>
  <c r="J35" i="2"/>
  <c r="F36" i="2"/>
  <c r="H36" i="2" s="1"/>
  <c r="M30" i="58"/>
  <c r="N30" i="58" s="1"/>
  <c r="O30" i="58" s="1"/>
  <c r="F33" i="8"/>
  <c r="H33" i="8" s="1"/>
  <c r="E31" i="58" s="1"/>
  <c r="F31" i="58"/>
  <c r="J36" i="2" l="1"/>
  <c r="I36" i="2"/>
  <c r="D46" i="2"/>
  <c r="F37" i="2"/>
  <c r="M31" i="58"/>
  <c r="N31" i="58" s="1"/>
  <c r="O31" i="58" s="1"/>
  <c r="F34" i="8"/>
  <c r="H34" i="8" s="1"/>
  <c r="E32" i="58" s="1"/>
  <c r="F32" i="58"/>
  <c r="M32" i="58" l="1"/>
  <c r="N32" i="58" s="1"/>
  <c r="O32" i="58" s="1"/>
  <c r="F38" i="2"/>
  <c r="H37" i="2"/>
  <c r="D47" i="2"/>
  <c r="F35" i="8"/>
  <c r="H35" i="8" s="1"/>
  <c r="E33" i="58" s="1"/>
  <c r="F33" i="58"/>
  <c r="J37" i="2" l="1"/>
  <c r="I37" i="2"/>
  <c r="M33" i="58"/>
  <c r="N33" i="58" s="1"/>
  <c r="O33" i="58" s="1"/>
  <c r="F39" i="2"/>
  <c r="H38" i="2"/>
  <c r="D48" i="2"/>
  <c r="F36" i="8"/>
  <c r="H36" i="8" s="1"/>
  <c r="E34" i="58" s="1"/>
  <c r="F34" i="58"/>
  <c r="M34" i="58" l="1"/>
  <c r="N34" i="58" s="1"/>
  <c r="O34" i="58" s="1"/>
  <c r="F40" i="2"/>
  <c r="H39" i="2"/>
  <c r="J38" i="2"/>
  <c r="I38" i="2"/>
  <c r="D49" i="2"/>
  <c r="F37" i="8"/>
  <c r="H37" i="8" s="1"/>
  <c r="E35" i="58" s="1"/>
  <c r="F35" i="58"/>
  <c r="I39" i="2" l="1"/>
  <c r="J39" i="2"/>
  <c r="M35" i="58"/>
  <c r="N35" i="58" s="1"/>
  <c r="O35" i="58" s="1"/>
  <c r="F41" i="2"/>
  <c r="H40" i="2"/>
  <c r="D50" i="2"/>
  <c r="F38" i="8"/>
  <c r="H38" i="8" s="1"/>
  <c r="E36" i="58" s="1"/>
  <c r="F36" i="58"/>
  <c r="F42" i="2" l="1"/>
  <c r="H41" i="2"/>
  <c r="M36" i="58"/>
  <c r="N36" i="58" s="1"/>
  <c r="O36" i="58" s="1"/>
  <c r="J40" i="2"/>
  <c r="I40" i="2"/>
  <c r="D51" i="2"/>
  <c r="F39" i="8"/>
  <c r="H39" i="8" s="1"/>
  <c r="E37" i="58" s="1"/>
  <c r="F37" i="58"/>
  <c r="I41" i="2" l="1"/>
  <c r="J41" i="2"/>
  <c r="M37" i="58"/>
  <c r="N37" i="58" s="1"/>
  <c r="O37" i="58" s="1"/>
  <c r="F43" i="2"/>
  <c r="H42" i="2"/>
  <c r="D52" i="2"/>
  <c r="F40" i="8"/>
  <c r="H40" i="8" s="1"/>
  <c r="E38" i="58" s="1"/>
  <c r="F38" i="58"/>
  <c r="M38" i="58" l="1"/>
  <c r="N38" i="58" s="1"/>
  <c r="O38" i="58" s="1"/>
  <c r="H43" i="2"/>
  <c r="F44" i="2"/>
  <c r="I42" i="2"/>
  <c r="J42" i="2"/>
  <c r="D53" i="2"/>
  <c r="F41" i="8"/>
  <c r="H41" i="8" s="1"/>
  <c r="E39" i="58" s="1"/>
  <c r="F39" i="58"/>
  <c r="M39" i="58" l="1"/>
  <c r="N39" i="58" s="1"/>
  <c r="O39" i="58" s="1"/>
  <c r="F45" i="2"/>
  <c r="H44" i="2"/>
  <c r="J43" i="2"/>
  <c r="I43" i="2"/>
  <c r="D54" i="2"/>
  <c r="F42" i="8"/>
  <c r="H42" i="8" s="1"/>
  <c r="E40" i="58" s="1"/>
  <c r="F40" i="58"/>
  <c r="J44" i="2" l="1"/>
  <c r="I44" i="2"/>
  <c r="H45" i="2"/>
  <c r="F46" i="2"/>
  <c r="M40" i="58"/>
  <c r="N40" i="58" s="1"/>
  <c r="O40" i="58" s="1"/>
  <c r="D55" i="2"/>
  <c r="F43" i="8"/>
  <c r="H43" i="8" s="1"/>
  <c r="E41" i="58" s="1"/>
  <c r="F41" i="58"/>
  <c r="M41" i="58" l="1"/>
  <c r="N41" i="58" s="1"/>
  <c r="O41" i="58" s="1"/>
  <c r="H46" i="2"/>
  <c r="F47" i="2"/>
  <c r="J45" i="2"/>
  <c r="I45" i="2"/>
  <c r="D56" i="2"/>
  <c r="F44" i="8"/>
  <c r="H44" i="8" s="1"/>
  <c r="E42" i="58" s="1"/>
  <c r="F42" i="58"/>
  <c r="H47" i="2" l="1"/>
  <c r="F48" i="2"/>
  <c r="M42" i="58"/>
  <c r="N42" i="58" s="1"/>
  <c r="O42" i="58" s="1"/>
  <c r="J46" i="2"/>
  <c r="I46" i="2"/>
  <c r="D57" i="2"/>
  <c r="D58" i="2" s="1"/>
  <c r="D59" i="2" s="1"/>
  <c r="D60" i="2" s="1"/>
  <c r="D61" i="2" s="1"/>
  <c r="D62" i="2" s="1"/>
  <c r="D63" i="2" s="1"/>
  <c r="D64" i="2" s="1"/>
  <c r="D65" i="2" s="1"/>
  <c r="F45" i="8"/>
  <c r="H45" i="8" s="1"/>
  <c r="E43" i="58" s="1"/>
  <c r="F43" i="58"/>
  <c r="M43" i="58" l="1"/>
  <c r="N43" i="58" s="1"/>
  <c r="O43" i="58" s="1"/>
  <c r="F49" i="2"/>
  <c r="H48" i="2"/>
  <c r="J47" i="2"/>
  <c r="I47" i="2"/>
  <c r="F46" i="8"/>
  <c r="H46" i="8" s="1"/>
  <c r="E44" i="58" s="1"/>
  <c r="F44" i="58"/>
  <c r="M44" i="58" l="1"/>
  <c r="N44" i="58" s="1"/>
  <c r="O44" i="58" s="1"/>
  <c r="J48" i="2"/>
  <c r="I48" i="2"/>
  <c r="H49" i="2"/>
  <c r="F50" i="2"/>
  <c r="F47" i="8"/>
  <c r="H47" i="8" s="1"/>
  <c r="E45" i="58" s="1"/>
  <c r="F45" i="58"/>
  <c r="M45" i="58" l="1"/>
  <c r="N45" i="58" s="1"/>
  <c r="O45" i="58" s="1"/>
  <c r="F51" i="2"/>
  <c r="H50" i="2"/>
  <c r="I49" i="2"/>
  <c r="J49" i="2"/>
  <c r="F48" i="8"/>
  <c r="H48" i="8" s="1"/>
  <c r="E46" i="58" s="1"/>
  <c r="F46" i="58"/>
  <c r="I50" i="2" l="1"/>
  <c r="J50" i="2"/>
  <c r="M46" i="58"/>
  <c r="N46" i="58" s="1"/>
  <c r="O46" i="58" s="1"/>
  <c r="H51" i="2"/>
  <c r="F52" i="2"/>
  <c r="F49" i="8"/>
  <c r="H49" i="8" s="1"/>
  <c r="E47" i="58" s="1"/>
  <c r="F47" i="58"/>
  <c r="J51" i="2" l="1"/>
  <c r="I51" i="2"/>
  <c r="M47" i="58"/>
  <c r="N47" i="58" s="1"/>
  <c r="O47" i="58" s="1"/>
  <c r="H52" i="2"/>
  <c r="F53" i="2"/>
  <c r="F50" i="8"/>
  <c r="H50" i="8" s="1"/>
  <c r="E48" i="58" s="1"/>
  <c r="F48" i="58"/>
  <c r="M48" i="58" l="1"/>
  <c r="N48" i="58" s="1"/>
  <c r="O48" i="58" s="1"/>
  <c r="I52" i="2"/>
  <c r="J52" i="2"/>
  <c r="F54" i="2"/>
  <c r="H53" i="2"/>
  <c r="F51" i="8"/>
  <c r="H51" i="8" s="1"/>
  <c r="E49" i="58" s="1"/>
  <c r="F49" i="58"/>
  <c r="D19" i="8"/>
  <c r="F55" i="2" l="1"/>
  <c r="H54" i="2"/>
  <c r="J53" i="2"/>
  <c r="I53" i="2"/>
  <c r="M49" i="58"/>
  <c r="N49" i="58" s="1"/>
  <c r="O49" i="58" s="1"/>
  <c r="F52" i="8"/>
  <c r="H52" i="8" s="1"/>
  <c r="E50" i="58" s="1"/>
  <c r="J19" i="8"/>
  <c r="I19" i="8"/>
  <c r="F50" i="58"/>
  <c r="D20" i="8"/>
  <c r="M50" i="58" l="1"/>
  <c r="N50" i="58" s="1"/>
  <c r="O50" i="58" s="1"/>
  <c r="I54" i="2"/>
  <c r="J54" i="2"/>
  <c r="F56" i="2"/>
  <c r="H55" i="2"/>
  <c r="F53" i="8"/>
  <c r="H53" i="8" s="1"/>
  <c r="E51" i="58" s="1"/>
  <c r="J20" i="8"/>
  <c r="I20" i="8"/>
  <c r="F51" i="58"/>
  <c r="D21" i="8"/>
  <c r="I55" i="2" l="1"/>
  <c r="J55" i="2"/>
  <c r="F57" i="2"/>
  <c r="H56" i="2"/>
  <c r="M51" i="58"/>
  <c r="N51" i="58" s="1"/>
  <c r="O51" i="58" s="1"/>
  <c r="F54" i="8"/>
  <c r="H54" i="8" s="1"/>
  <c r="E52" i="58" s="1"/>
  <c r="J21" i="8"/>
  <c r="I21" i="8"/>
  <c r="F52" i="58"/>
  <c r="D22" i="8"/>
  <c r="M52" i="58" l="1"/>
  <c r="N52" i="58" s="1"/>
  <c r="O52" i="58" s="1"/>
  <c r="J56" i="2"/>
  <c r="I56" i="2"/>
  <c r="H57" i="2"/>
  <c r="F58" i="2"/>
  <c r="F55" i="8"/>
  <c r="H55" i="8" s="1"/>
  <c r="E53" i="58" s="1"/>
  <c r="J22" i="8"/>
  <c r="I22" i="8"/>
  <c r="Q5" i="2"/>
  <c r="F53" i="58"/>
  <c r="D23" i="8"/>
  <c r="H58" i="2" l="1"/>
  <c r="F59" i="2"/>
  <c r="I57" i="2"/>
  <c r="J57" i="2"/>
  <c r="M53" i="58"/>
  <c r="N53" i="58" s="1"/>
  <c r="O53" i="58" s="1"/>
  <c r="F56" i="8"/>
  <c r="H56" i="8" s="1"/>
  <c r="E54" i="58" s="1"/>
  <c r="J23" i="8"/>
  <c r="I23" i="8"/>
  <c r="F54" i="58"/>
  <c r="D24" i="8"/>
  <c r="M54" i="58" l="1"/>
  <c r="N54" i="58" s="1"/>
  <c r="O54" i="58" s="1"/>
  <c r="H59" i="2"/>
  <c r="F57" i="58" s="1"/>
  <c r="F60" i="2"/>
  <c r="J58" i="2"/>
  <c r="I58" i="2"/>
  <c r="F56" i="58"/>
  <c r="F57" i="8"/>
  <c r="J24" i="8"/>
  <c r="I24" i="8"/>
  <c r="F55" i="58"/>
  <c r="D25" i="8"/>
  <c r="J59" i="2" l="1"/>
  <c r="I59" i="2"/>
  <c r="H60" i="2"/>
  <c r="F61" i="2"/>
  <c r="H57" i="8"/>
  <c r="E55" i="58" s="1"/>
  <c r="M55" i="58" s="1"/>
  <c r="N55" i="58" s="1"/>
  <c r="O55" i="58" s="1"/>
  <c r="F58" i="8"/>
  <c r="J25" i="8"/>
  <c r="I25" i="8"/>
  <c r="D26" i="8"/>
  <c r="H61" i="2" l="1"/>
  <c r="F59" i="58" s="1"/>
  <c r="F62" i="2"/>
  <c r="F58" i="58"/>
  <c r="J60" i="2"/>
  <c r="I60" i="2"/>
  <c r="F59" i="8"/>
  <c r="H58" i="8"/>
  <c r="J26" i="8"/>
  <c r="I26" i="8"/>
  <c r="D27" i="8"/>
  <c r="J61" i="2" l="1"/>
  <c r="I61" i="2"/>
  <c r="H62" i="2"/>
  <c r="F60" i="58" s="1"/>
  <c r="F63" i="2"/>
  <c r="H59" i="8"/>
  <c r="E57" i="58" s="1"/>
  <c r="M57" i="58" s="1"/>
  <c r="N57" i="58" s="1"/>
  <c r="O57" i="58" s="1"/>
  <c r="F60" i="8"/>
  <c r="E56" i="58"/>
  <c r="M56" i="58" s="1"/>
  <c r="N56" i="58" s="1"/>
  <c r="O56" i="58" s="1"/>
  <c r="J27" i="8"/>
  <c r="I27" i="8"/>
  <c r="D28" i="8"/>
  <c r="J62" i="2" l="1"/>
  <c r="I62" i="2"/>
  <c r="H63" i="2"/>
  <c r="I63" i="2" s="1"/>
  <c r="F64" i="2"/>
  <c r="H60" i="8"/>
  <c r="E58" i="58" s="1"/>
  <c r="M58" i="58" s="1"/>
  <c r="N58" i="58" s="1"/>
  <c r="O58" i="58" s="1"/>
  <c r="F61" i="8"/>
  <c r="J28" i="8"/>
  <c r="I28" i="8"/>
  <c r="D29" i="8"/>
  <c r="H64" i="2" l="1"/>
  <c r="F65" i="2"/>
  <c r="H65" i="2" s="1"/>
  <c r="F63" i="58" s="1"/>
  <c r="M63" i="58" s="1"/>
  <c r="N63" i="58" s="1"/>
  <c r="O63" i="58" s="1"/>
  <c r="J63" i="2"/>
  <c r="F61" i="58"/>
  <c r="I64" i="2"/>
  <c r="F62" i="58"/>
  <c r="J64" i="2"/>
  <c r="H61" i="8"/>
  <c r="E59" i="58" s="1"/>
  <c r="M59" i="58" s="1"/>
  <c r="N59" i="58" s="1"/>
  <c r="O59" i="58" s="1"/>
  <c r="F62" i="8"/>
  <c r="J29" i="8"/>
  <c r="I29" i="8"/>
  <c r="D30" i="8"/>
  <c r="I65" i="2" l="1"/>
  <c r="J65" i="2"/>
  <c r="H62" i="8"/>
  <c r="E60" i="58" s="1"/>
  <c r="M60" i="58" s="1"/>
  <c r="N60" i="58" s="1"/>
  <c r="O60" i="58" s="1"/>
  <c r="F63" i="8"/>
  <c r="J30" i="8"/>
  <c r="I30" i="8"/>
  <c r="D31" i="8"/>
  <c r="H63" i="8" l="1"/>
  <c r="F64" i="8"/>
  <c r="J31" i="8"/>
  <c r="I31" i="8"/>
  <c r="D32" i="8"/>
  <c r="H64" i="8" l="1"/>
  <c r="E62" i="58" s="1"/>
  <c r="M62" i="58" s="1"/>
  <c r="N62" i="58" s="1"/>
  <c r="O62" i="58" s="1"/>
  <c r="F65" i="8"/>
  <c r="H65" i="8" s="1"/>
  <c r="AG69" i="8" s="1" a="1"/>
  <c r="AG69" i="8" s="1"/>
  <c r="U5" i="8" s="1"/>
  <c r="E61" i="58"/>
  <c r="M61" i="58" s="1"/>
  <c r="N61" i="58" s="1"/>
  <c r="O61" i="58" s="1"/>
  <c r="J32" i="8"/>
  <c r="I32" i="8"/>
  <c r="D33" i="8"/>
  <c r="J33" i="8" l="1"/>
  <c r="I33" i="8"/>
  <c r="D34" i="8"/>
  <c r="J34" i="8" l="1"/>
  <c r="I34" i="8"/>
  <c r="D35" i="8"/>
  <c r="J35" i="8" l="1"/>
  <c r="I35" i="8"/>
  <c r="D36" i="8"/>
  <c r="J36" i="8" l="1"/>
  <c r="I36" i="8"/>
  <c r="D37" i="8"/>
  <c r="J37" i="8" l="1"/>
  <c r="I37" i="8"/>
  <c r="D38" i="8"/>
  <c r="J38" i="8" l="1"/>
  <c r="I38" i="8"/>
  <c r="D39" i="8"/>
  <c r="J39" i="8" l="1"/>
  <c r="I39" i="8"/>
  <c r="D40" i="8"/>
  <c r="J40" i="8" l="1"/>
  <c r="I40" i="8"/>
  <c r="D41" i="8"/>
  <c r="J41" i="8" l="1"/>
  <c r="I41" i="8"/>
  <c r="D42" i="8"/>
  <c r="J42" i="8" l="1"/>
  <c r="I42" i="8"/>
  <c r="D43" i="8"/>
  <c r="J43" i="8" l="1"/>
  <c r="I43" i="8"/>
  <c r="D44" i="8"/>
  <c r="J44" i="8" l="1"/>
  <c r="I44" i="8"/>
  <c r="D45" i="8"/>
  <c r="J45" i="8" l="1"/>
  <c r="I45" i="8"/>
  <c r="D46" i="8"/>
  <c r="J46" i="8" l="1"/>
  <c r="I46" i="8"/>
  <c r="D47" i="8"/>
  <c r="J47" i="8" l="1"/>
  <c r="I47" i="8"/>
  <c r="D48" i="8"/>
  <c r="J48" i="8" l="1"/>
  <c r="I48" i="8"/>
  <c r="D49" i="8"/>
  <c r="J49" i="8" l="1"/>
  <c r="I49" i="8"/>
  <c r="D50" i="8"/>
  <c r="J50" i="8" l="1"/>
  <c r="I50" i="8"/>
  <c r="D51" i="8"/>
  <c r="J51" i="8" l="1"/>
  <c r="I51" i="8"/>
  <c r="D52" i="8"/>
  <c r="J52" i="8" l="1"/>
  <c r="I52" i="8"/>
  <c r="D53" i="8"/>
  <c r="J53" i="8" l="1"/>
  <c r="I53" i="8"/>
  <c r="D54" i="8"/>
  <c r="J54" i="8" l="1"/>
  <c r="I54" i="8"/>
  <c r="D55" i="8"/>
  <c r="J55" i="8" l="1"/>
  <c r="I55" i="8"/>
  <c r="D56" i="8"/>
  <c r="J56" i="8" l="1"/>
  <c r="I56" i="8"/>
  <c r="D57" i="8"/>
  <c r="D58" i="8" s="1"/>
  <c r="D59" i="8" l="1"/>
  <c r="D60" i="8" s="1"/>
  <c r="D61" i="8" s="1"/>
  <c r="D62" i="8" s="1"/>
  <c r="D63" i="8" s="1"/>
  <c r="J58" i="8"/>
  <c r="I58" i="8"/>
  <c r="J57" i="8"/>
  <c r="I57" i="8"/>
  <c r="D64" i="8" l="1"/>
  <c r="D65" i="8" s="1"/>
  <c r="I63" i="8"/>
  <c r="J63" i="8"/>
  <c r="I62" i="8"/>
  <c r="J62" i="8"/>
  <c r="J61" i="8"/>
  <c r="I61" i="8"/>
  <c r="I60" i="8"/>
  <c r="J60" i="8"/>
  <c r="J59" i="8"/>
  <c r="I59" i="8"/>
  <c r="I65" i="8" l="1"/>
  <c r="J65" i="8"/>
  <c r="I64" i="8"/>
  <c r="J6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<sst xmlns="http://schemas.openxmlformats.org/spreadsheetml/2006/main" count="5584" uniqueCount="62">
  <si>
    <t>Kaina</t>
  </si>
  <si>
    <t>Kiekis</t>
  </si>
  <si>
    <t>Viso:</t>
  </si>
  <si>
    <t>Suma, EUR</t>
  </si>
  <si>
    <t>Suma, USD</t>
  </si>
  <si>
    <t>„SEB Artificial Intelligence Fund"</t>
  </si>
  <si>
    <t>Dividendai</t>
  </si>
  <si>
    <t>Vertė gale</t>
  </si>
  <si>
    <t>Viso suma</t>
  </si>
  <si>
    <t>%</t>
  </si>
  <si>
    <t>Inešta</t>
  </si>
  <si>
    <t>Pelnas</t>
  </si>
  <si>
    <t>Mokestis</t>
  </si>
  <si>
    <t>Įnešta</t>
  </si>
  <si>
    <t>Active 55</t>
  </si>
  <si>
    <t>Active 80</t>
  </si>
  <si>
    <t>Artificial</t>
  </si>
  <si>
    <t>Glob. Yield</t>
  </si>
  <si>
    <t>Glob.Ex.UD</t>
  </si>
  <si>
    <t>Eur.Ex.UC</t>
  </si>
  <si>
    <t>US.Ex.UD</t>
  </si>
  <si>
    <t>Eur.Ex.UD</t>
  </si>
  <si>
    <t>Kursas</t>
  </si>
  <si>
    <t>Pirkimas</t>
  </si>
  <si>
    <t>Pardavimas</t>
  </si>
  <si>
    <t>Suma,EUR</t>
  </si>
  <si>
    <t>Investuota</t>
  </si>
  <si>
    <t>Parduota</t>
  </si>
  <si>
    <t>Mokesčiai</t>
  </si>
  <si>
    <t>Saugojimas</t>
  </si>
  <si>
    <t>Išvesta</t>
  </si>
  <si>
    <t>Data</t>
  </si>
  <si>
    <t>Viso</t>
  </si>
  <si>
    <t>Invest.</t>
  </si>
  <si>
    <t>SESUCHE LX „SEB Strategy Opportunity“ LU1764038532</t>
  </si>
  <si>
    <t>Mėnesio gale</t>
  </si>
  <si>
    <t>Mėn. Inv.</t>
  </si>
  <si>
    <t>Viso Inv.</t>
  </si>
  <si>
    <t>Mėnesio</t>
  </si>
  <si>
    <t>Vertė</t>
  </si>
  <si>
    <t>Laikymas</t>
  </si>
  <si>
    <t>SESA8FE SS „SEB Active 80“ SE0016076111</t>
  </si>
  <si>
    <t>SESA5FE SS „SEB Active 55“ SE0016076046</t>
  </si>
  <si>
    <t>2021.11.17 keitėsi fondų pavadinimas.</t>
  </si>
  <si>
    <t>2024.01.30</t>
  </si>
  <si>
    <t>Eur.</t>
  </si>
  <si>
    <t>Valiutos keitimas</t>
  </si>
  <si>
    <t>Suma, vnt.</t>
  </si>
  <si>
    <t>SESTUDI LX „SEB Artificial Intelligence Fund" LU2249630257</t>
  </si>
  <si>
    <t>SEHYUCE LX „SEB Global High Yield Fund" LY1791749010</t>
  </si>
  <si>
    <t>SEBGEUD "SEB Global Exposure fund" UD-mok. LU2625197160</t>
  </si>
  <si>
    <t>Global</t>
  </si>
  <si>
    <t>SEBEEUD "SEB Europe Exposure fund" LU2625195974</t>
  </si>
  <si>
    <t>Europe</t>
  </si>
  <si>
    <t>SE3UUDE "SEB US Exposure fund" UD-mok. LU2625197327</t>
  </si>
  <si>
    <t>SEBEUDI "SEB Europe Exposure Fund" UD-mok. LU2625196196</t>
  </si>
  <si>
    <t>Suma,USD</t>
  </si>
  <si>
    <t>SEGUCHE LX „SEB Strategy Growth“ LU1764038615</t>
  </si>
  <si>
    <t>Vid. Kaina</t>
  </si>
  <si>
    <t>Suma</t>
  </si>
  <si>
    <t>Pirkimas/pardavimas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</si>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</sst>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"/>
    <numFmt numFmtId="166" formatCode="0.000"/>
    <numFmt numFmtId="167" formatCode="0.0000000"/>
    <numFmt numFmtId="168" formatCode="yyyy\.mm\.dd;@"/>
    <numFmt numFmtId="169" formatCode="0.00000000"/>
    <numFmt numFmtId="170" formatCode="0.000000"/>
  </numFmts>
  <fonts count="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0" fillId="2" borderId="5" xfId="0" applyFill="1" applyBorder="1"/>
    <xf numFmtId="2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2" fontId="7" fillId="0" borderId="1" xfId="1" applyNumberFormat="1" applyBorder="1" applyAlignment="1">
      <alignment horizontal="center"/>
    </xf>
    <xf numFmtId="0" fontId="7" fillId="0" borderId="1" xfId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/>
    </xf>
    <xf numFmtId="2" fontId="7" fillId="3" borderId="1" xfId="1" applyNumberFormat="1" applyFill="1" applyBorder="1" applyAlignment="1">
      <alignment horizontal="center"/>
    </xf>
    <xf numFmtId="0" fontId="7" fillId="3" borderId="1" xfId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0" xfId="0" applyNumberFormat="1"/>
    <xf numFmtId="165" fontId="0" fillId="3" borderId="1" xfId="0" applyNumberFormat="1" applyFill="1" applyBorder="1" applyAlignment="1">
      <alignment horizontal="center"/>
    </xf>
    <xf numFmtId="0" fontId="0" fillId="0" borderId="9" xfId="0" applyBorder="1"/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3" xfId="1" applyBorder="1" applyAlignment="1">
      <alignment horizontal="center" vertical="center"/>
    </xf>
    <xf numFmtId="0" fontId="7" fillId="0" borderId="6" xfId="1" applyBorder="1" applyAlignment="1">
      <alignment horizontal="center" vertical="center"/>
    </xf>
    <xf numFmtId="0" fontId="7" fillId="0" borderId="7" xfId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2" fontId="6" fillId="0" borderId="3" xfId="0" quotePrefix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17465A-D138-456A-823D-C4021F36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E3FD7-0EA2-41AA-A5FB-673AF4165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C868F3-A060-444B-B1CE-A86C7FDEF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DCAF5-88FF-4879-ABA7-9D79A1814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C3A70-DF04-496D-B53B-92D774442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BA0E3-99CF-4AD5-857F-9D525FCC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8C9EC8-9337-4AD7-BC71-6AA4D48B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C07E32-8B3E-47B6-8E2A-D3CF076F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C7955-ECAE-4468-B9B5-62047A7D7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F89BA9-F886-4DD3-BB9F-2D90907E2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6835E-C469-4A60-94F3-A4712090E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0B2DC0-4BA3-478F-BE7D-D452A8E5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4B32F-CAA4-4B0F-AB18-A96171DB4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D71B0-9504-412A-8865-BCB2F8260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FAD04-FF79-4600-AFD8-4482658D5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3E526F-B8E0-40DC-98C8-C6D9EFF8F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1C773-02F4-48AB-8BC3-2DFF0B28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9C773-1C5D-4A01-81B0-91D813CA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7A6E8-5A78-484D-AC45-5D5A7B033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52DCF-0F60-4B33-B135-95F0C749D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03230-865F-4EBE-AD31-1E1CAAB1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566B2-8484-4E2C-A6DE-034040399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CAD19-2A7F-4410-BB5A-0CCCAF94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91307D-3CFA-4319-B8FC-B2C1760E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CCBA7-ADF7-4F43-9A07-1F21E8A3E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4BA82-C679-4E99-9113-D7A1E006A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7D3E2F-A6E8-42E0-BB66-FC017BA1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9BEA76-C142-4E06-ADAD-E940AB931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C6CDF-C918-4B66-8F0A-218682A1C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266963-871C-4412-8B1E-4895BDDCA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FF637-9630-4F32-B47A-1D8061E05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0069EE-1301-4A8A-998C-97EA10D72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9C9D1-B349-4693-9482-BD6CB95EA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EA3B7C-558A-4086-A2F8-EB44F5ED2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D706AB-AECD-40E1-91AE-94CAF0E17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AA53EF-90B6-4DDE-BE39-6CDDFC208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96E151-8A0D-418A-AA5F-63EEA296F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67F4D-2158-41B8-A62E-A3AAAD70D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E8CAF-A32B-4AC0-93A9-D51BBFAF1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763AB-E960-4C3C-8988-97E183952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E38A4-9E71-40EF-8399-E0D6F69A7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D1AEB5-79A9-484D-8440-F5883E3D2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A5B0EA-3F75-4F44-A625-D6118A5AF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A97D69-3D90-4864-846F-DBEEE6264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C5DE59-FD9C-481D-A06B-D6D39450A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852916-26D4-4078-81FF-397E1EBE2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85D37-D7F9-47F8-AFF9-B8809E9C3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A6884-764A-4CD8-9358-3B693F542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58A3A-8322-4560-A080-15052E7C1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A08173-CDF9-48DA-90D4-94B2FA0F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3CBBE0-1BA8-4BC2-85EB-685F016A3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71F94-634C-43AA-813E-C5BC14E1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EB1B66-0631-4B98-9EF8-3D345F96D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E57D3-E55B-46FA-A71E-EE9EC2DFB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87789-3376-4BCC-B5EF-33DE36581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AD0EB-14AF-4CAE-8AB6-160A027D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D4DC39-FB49-4A5C-89A4-B0DE63906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59C0F0-6569-42EF-B371-7E8D912AB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A56A3-1BC0-41DF-83EB-A7882AEA8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434826-9DC4-4C43-8770-E942F4C4D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52EBD7-73E3-40EF-946F-A07101E3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3048000"/>
          <a:ext cx="101917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2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workbookViewId="0">
      <pane ySplit="2" topLeftCell="A45" activePane="bottomLeft" state="frozen"/>
      <selection activeCell="D58" sqref="D58"/>
      <selection pane="bottomLeft" activeCell="A67" sqref="A67"/>
    </sheetView>
  </sheetViews>
  <sheetFormatPr defaultRowHeight="15" x14ac:dyDescent="0.25"/>
  <cols>
    <col min="1" max="1" width="15.7109375" customWidth="1"/>
    <col min="2" max="6" width="10.7109375" customWidth="1"/>
    <col min="7" max="12" width="10.7109375" hidden="1" customWidth="1"/>
    <col min="13" max="19" width="10.7109375" customWidth="1"/>
  </cols>
  <sheetData>
    <row r="1" spans="1:19" x14ac:dyDescent="0.25">
      <c r="A1" s="60" t="s">
        <v>31</v>
      </c>
      <c r="B1" s="62" t="s">
        <v>2</v>
      </c>
      <c r="C1" s="62"/>
      <c r="D1" s="62"/>
      <c r="E1" s="63" t="s">
        <v>35</v>
      </c>
      <c r="F1" s="64"/>
      <c r="G1" s="64"/>
      <c r="H1" s="64"/>
      <c r="I1" s="64"/>
      <c r="J1" s="64"/>
      <c r="K1" s="64"/>
      <c r="L1" s="64"/>
      <c r="M1" s="64"/>
      <c r="N1" s="64"/>
      <c r="O1" s="65"/>
      <c r="P1" s="62" t="s">
        <v>6</v>
      </c>
      <c r="Q1" s="59" t="s">
        <v>28</v>
      </c>
      <c r="R1" s="59"/>
      <c r="S1" s="59"/>
    </row>
    <row r="2" spans="1:19" x14ac:dyDescent="0.25">
      <c r="A2" s="61"/>
      <c r="B2" s="3" t="s">
        <v>10</v>
      </c>
      <c r="C2" s="3" t="s">
        <v>30</v>
      </c>
      <c r="D2" s="3" t="s">
        <v>26</v>
      </c>
      <c r="E2" s="39" t="s">
        <v>14</v>
      </c>
      <c r="F2" s="39" t="s">
        <v>15</v>
      </c>
      <c r="G2" s="45" t="s">
        <v>16</v>
      </c>
      <c r="H2" s="44" t="s">
        <v>17</v>
      </c>
      <c r="I2" s="45" t="s">
        <v>18</v>
      </c>
      <c r="J2" s="45" t="s">
        <v>19</v>
      </c>
      <c r="K2" s="45" t="s">
        <v>20</v>
      </c>
      <c r="L2" s="45" t="s">
        <v>21</v>
      </c>
      <c r="M2" s="3" t="s">
        <v>39</v>
      </c>
      <c r="N2" s="3" t="s">
        <v>11</v>
      </c>
      <c r="O2" s="3" t="s">
        <v>9</v>
      </c>
      <c r="P2" s="62"/>
      <c r="Q2" s="3" t="s">
        <v>23</v>
      </c>
      <c r="R2" s="3" t="s">
        <v>24</v>
      </c>
      <c r="S2" s="3" t="s">
        <v>40</v>
      </c>
    </row>
    <row r="3" spans="1:19" x14ac:dyDescent="0.25">
      <c r="A3" s="38">
        <f>'2021.06'!Q2</f>
        <v>2021.06</v>
      </c>
      <c r="B3" s="4">
        <f>'2021.06'!Q5</f>
        <v>63</v>
      </c>
      <c r="C3" s="4">
        <f>'2021.06'!R5</f>
        <v>0</v>
      </c>
      <c r="D3" s="4">
        <f>'2021.06'!S5</f>
        <v>63</v>
      </c>
      <c r="E3" s="4">
        <f>'SEB Active 55'!H5</f>
        <v>59.88</v>
      </c>
      <c r="F3" s="4">
        <f>'SEB Active 80'!H5</f>
        <v>3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4">
        <f t="shared" ref="M3:M9" si="0">SUM(E3:L3)</f>
        <v>62.88</v>
      </c>
      <c r="N3" s="4">
        <f t="shared" ref="N3:N9" si="1">M3-B3</f>
        <v>-0.12</v>
      </c>
      <c r="O3" s="18">
        <f t="shared" ref="O3:O9" si="2">N3/B3</f>
        <v>-1.9E-3</v>
      </c>
      <c r="P3" s="4">
        <f>'2021.06'!X5</f>
        <v>0</v>
      </c>
      <c r="Q3" s="4">
        <f>'2021.06'!U5</f>
        <v>0</v>
      </c>
      <c r="R3" s="4">
        <f>'2021.06'!W5</f>
        <v>0</v>
      </c>
      <c r="S3" s="4">
        <f>'2021.06'!V5</f>
        <v>0</v>
      </c>
    </row>
    <row r="4" spans="1:19" x14ac:dyDescent="0.25">
      <c r="A4" s="38">
        <f>'2021.07'!Q2</f>
        <v>2021.07</v>
      </c>
      <c r="B4" s="4">
        <f>B3+'2021.07'!Q5</f>
        <v>81</v>
      </c>
      <c r="C4" s="4">
        <f>'2021.07'!R5</f>
        <v>0</v>
      </c>
      <c r="D4" s="4">
        <f>D3+'2021.07'!S5</f>
        <v>81</v>
      </c>
      <c r="E4" s="4">
        <f>'SEB Active 55'!H6</f>
        <v>71.34</v>
      </c>
      <c r="F4" s="4">
        <f>'SEB Active 80'!H6</f>
        <v>10.96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4">
        <f t="shared" si="0"/>
        <v>82.3</v>
      </c>
      <c r="N4" s="4">
        <f t="shared" si="1"/>
        <v>1.3</v>
      </c>
      <c r="O4" s="18">
        <f t="shared" si="2"/>
        <v>1.6E-2</v>
      </c>
      <c r="P4" s="4">
        <f>'2021.07'!X5</f>
        <v>0</v>
      </c>
      <c r="Q4" s="4">
        <f>'2021.07'!U5</f>
        <v>0</v>
      </c>
      <c r="R4" s="4">
        <f>'2021.07'!W5</f>
        <v>0</v>
      </c>
      <c r="S4" s="4">
        <f>'2021.07'!V5</f>
        <v>0.01</v>
      </c>
    </row>
    <row r="5" spans="1:19" x14ac:dyDescent="0.25">
      <c r="A5" s="38">
        <f>'2021.08'!Q2</f>
        <v>2021.08</v>
      </c>
      <c r="B5" s="4">
        <f>B4+'2021.08'!Q15</f>
        <v>81</v>
      </c>
      <c r="C5" s="4">
        <f>'2021.08'!R15</f>
        <v>0</v>
      </c>
      <c r="D5" s="4">
        <f>D4+'2021.08'!S15</f>
        <v>81</v>
      </c>
      <c r="E5" s="4">
        <f>'SEB Active 55'!H7</f>
        <v>81.34</v>
      </c>
      <c r="F5" s="4">
        <f>'SEB Active 80'!H7</f>
        <v>17.45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4">
        <f t="shared" si="0"/>
        <v>98.79</v>
      </c>
      <c r="N5" s="4">
        <f t="shared" si="1"/>
        <v>17.79</v>
      </c>
      <c r="O5" s="18">
        <f t="shared" si="2"/>
        <v>0.21959999999999999</v>
      </c>
      <c r="P5" s="4">
        <f>'2021.08'!X15</f>
        <v>0</v>
      </c>
      <c r="Q5" s="4">
        <f>'2021.08'!U15</f>
        <v>0</v>
      </c>
      <c r="R5" s="4">
        <f>'2021.08'!W15</f>
        <v>0</v>
      </c>
      <c r="S5" s="4">
        <f>'2021.08'!V15</f>
        <v>0</v>
      </c>
    </row>
    <row r="6" spans="1:19" x14ac:dyDescent="0.25">
      <c r="A6" s="38">
        <f>'2021.09'!Q2</f>
        <v>2021.09</v>
      </c>
      <c r="B6" s="4">
        <f>B5+'2021.09'!Q5</f>
        <v>137</v>
      </c>
      <c r="C6" s="4">
        <f>'2021.09'!R5</f>
        <v>0</v>
      </c>
      <c r="D6" s="4">
        <f>D5+'2021.09'!S5</f>
        <v>137</v>
      </c>
      <c r="E6" s="4">
        <f>'SEB Active 55'!H8</f>
        <v>91.34</v>
      </c>
      <c r="F6" s="4">
        <f>'SEB Active 80'!H8</f>
        <v>62.93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4">
        <f t="shared" si="0"/>
        <v>154.27000000000001</v>
      </c>
      <c r="N6" s="4">
        <f t="shared" si="1"/>
        <v>17.27</v>
      </c>
      <c r="O6" s="18">
        <f t="shared" si="2"/>
        <v>0.12609999999999999</v>
      </c>
      <c r="P6" s="4">
        <f>'2021.09'!X5</f>
        <v>0</v>
      </c>
      <c r="Q6" s="4">
        <f>'2021.09'!U5</f>
        <v>0</v>
      </c>
      <c r="R6" s="4">
        <f>'2021.09'!W5</f>
        <v>0</v>
      </c>
      <c r="S6" s="4">
        <f>'2021.09'!V5</f>
        <v>0.03</v>
      </c>
    </row>
    <row r="7" spans="1:19" x14ac:dyDescent="0.25">
      <c r="A7" s="38">
        <f>'2021.10'!Q2</f>
        <v>2021.1</v>
      </c>
      <c r="B7" s="4">
        <f>B6+'2021.10'!Q5</f>
        <v>174</v>
      </c>
      <c r="C7" s="4">
        <f>'2021.10'!R5</f>
        <v>0</v>
      </c>
      <c r="D7" s="4">
        <f>D6+'2021.10'!S5</f>
        <v>174</v>
      </c>
      <c r="E7" s="4">
        <f>'SEB Active 55'!H9</f>
        <v>100.24</v>
      </c>
      <c r="F7" s="4">
        <f>'SEB Active 80'!H9</f>
        <v>89.47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4">
        <f t="shared" si="0"/>
        <v>189.71</v>
      </c>
      <c r="N7" s="4">
        <f t="shared" si="1"/>
        <v>15.71</v>
      </c>
      <c r="O7" s="18">
        <f t="shared" si="2"/>
        <v>9.0300000000000005E-2</v>
      </c>
      <c r="P7" s="4">
        <f>'2021.10'!X5</f>
        <v>0</v>
      </c>
      <c r="Q7" s="4">
        <f>'2021.10'!U5</f>
        <v>0</v>
      </c>
      <c r="R7" s="4">
        <f>'2021.10'!W5</f>
        <v>0</v>
      </c>
      <c r="S7" s="4">
        <f>'2021.10'!V5</f>
        <v>0.04</v>
      </c>
    </row>
    <row r="8" spans="1:19" x14ac:dyDescent="0.25">
      <c r="A8" s="38">
        <f>'2021.11'!Q2</f>
        <v>2021.11</v>
      </c>
      <c r="B8" s="4">
        <f>B7+'2021.11'!Q5</f>
        <v>183</v>
      </c>
      <c r="C8" s="4">
        <f>'2021.11'!R5</f>
        <v>0</v>
      </c>
      <c r="D8" s="4">
        <f>D7+'2021.11'!S5</f>
        <v>183</v>
      </c>
      <c r="E8" s="4">
        <f>'SEB Active 55'!H10</f>
        <v>100.88</v>
      </c>
      <c r="F8" s="4">
        <f>'SEB Active 80'!H10</f>
        <v>99.14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4">
        <f t="shared" si="0"/>
        <v>200.02</v>
      </c>
      <c r="N8" s="4">
        <f t="shared" si="1"/>
        <v>17.02</v>
      </c>
      <c r="O8" s="18">
        <f t="shared" si="2"/>
        <v>9.2999999999999999E-2</v>
      </c>
      <c r="P8" s="4">
        <f>'2021.11'!X5</f>
        <v>0</v>
      </c>
      <c r="Q8" s="4">
        <f>'2021.11'!U5</f>
        <v>0</v>
      </c>
      <c r="R8" s="4">
        <f>'2021.11'!W5</f>
        <v>0</v>
      </c>
      <c r="S8" s="4">
        <f>'2021.11'!V5</f>
        <v>0.06</v>
      </c>
    </row>
    <row r="9" spans="1:19" x14ac:dyDescent="0.25">
      <c r="A9" s="38">
        <f>'2021.12'!Q2</f>
        <v>2021.12</v>
      </c>
      <c r="B9" s="4">
        <f>B8+'2021.12'!Q5</f>
        <v>228</v>
      </c>
      <c r="C9" s="4">
        <f>'2021.12'!R5</f>
        <v>0</v>
      </c>
      <c r="D9" s="4">
        <f>D8+'2021.12'!S5</f>
        <v>228</v>
      </c>
      <c r="E9" s="4">
        <f>'SEB Active 55'!H11</f>
        <v>137.59</v>
      </c>
      <c r="F9" s="4">
        <f>'SEB Active 80'!H11</f>
        <v>111.04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4">
        <f t="shared" si="0"/>
        <v>248.63</v>
      </c>
      <c r="N9" s="4">
        <f t="shared" si="1"/>
        <v>20.63</v>
      </c>
      <c r="O9" s="18">
        <f t="shared" si="2"/>
        <v>9.0499999999999997E-2</v>
      </c>
      <c r="P9" s="4">
        <f>'2021.12'!X5</f>
        <v>0</v>
      </c>
      <c r="Q9" s="4">
        <f>'2021.12'!U5</f>
        <v>0</v>
      </c>
      <c r="R9" s="4">
        <f>'2021.12'!W5</f>
        <v>0</v>
      </c>
      <c r="S9" s="4">
        <f>'2021.12'!V5</f>
        <v>0.08</v>
      </c>
    </row>
    <row r="10" spans="1:19" x14ac:dyDescent="0.25">
      <c r="A10" s="38">
        <f>'2022.01'!Q2</f>
        <v>2022.01</v>
      </c>
      <c r="B10" s="4">
        <f>B9+'2022.01'!Q5</f>
        <v>256</v>
      </c>
      <c r="C10" s="4">
        <f>'2022.01'!R5</f>
        <v>0</v>
      </c>
      <c r="D10" s="4">
        <f>D9+'2022.01'!S5</f>
        <v>256</v>
      </c>
      <c r="E10" s="4">
        <f>'SEB Active 55'!H12</f>
        <v>156.22999999999999</v>
      </c>
      <c r="F10" s="4">
        <f>'SEB Active 80'!H12</f>
        <v>101.62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4">
        <f t="shared" ref="M10" si="3">SUM(E10:L10)</f>
        <v>257.85000000000002</v>
      </c>
      <c r="N10" s="4">
        <f t="shared" ref="N10" si="4">M10-B10</f>
        <v>1.85</v>
      </c>
      <c r="O10" s="18">
        <f t="shared" ref="O10" si="5">N10/B10</f>
        <v>7.1999999999999998E-3</v>
      </c>
      <c r="P10" s="4">
        <f>'2022.01'!X5</f>
        <v>0</v>
      </c>
      <c r="Q10" s="4">
        <f>'2022.01'!U5</f>
        <v>0</v>
      </c>
      <c r="R10" s="4">
        <f>'2022.01'!W5</f>
        <v>0</v>
      </c>
      <c r="S10" s="4">
        <f>'2022.01'!V5</f>
        <v>0.08</v>
      </c>
    </row>
    <row r="11" spans="1:19" x14ac:dyDescent="0.25">
      <c r="A11" s="38">
        <f>'2022.02'!Q2</f>
        <v>2022.02</v>
      </c>
      <c r="B11" s="4">
        <f>B10+'2022.02'!Q5</f>
        <v>266</v>
      </c>
      <c r="C11" s="4">
        <f>'2022.02'!R5</f>
        <v>0</v>
      </c>
      <c r="D11" s="4">
        <f>D10+'2022.02'!S5</f>
        <v>266</v>
      </c>
      <c r="E11" s="4">
        <f>'SEB Active 55'!H13</f>
        <v>163.12</v>
      </c>
      <c r="F11" s="4">
        <f>'SEB Active 80'!H13</f>
        <v>99.5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4">
        <f t="shared" ref="M11" si="6">SUM(E11:L11)</f>
        <v>262.62</v>
      </c>
      <c r="N11" s="4">
        <f t="shared" ref="N11" si="7">M11-B11</f>
        <v>-3.38</v>
      </c>
      <c r="O11" s="18">
        <f t="shared" ref="O11" si="8">N11/B11</f>
        <v>-1.2699999999999999E-2</v>
      </c>
      <c r="P11" s="4">
        <f>'2022.02'!X5</f>
        <v>0</v>
      </c>
      <c r="Q11" s="4">
        <f>'2022.02'!U5</f>
        <v>0</v>
      </c>
      <c r="R11" s="4">
        <f>'2022.02'!W5</f>
        <v>0</v>
      </c>
      <c r="S11" s="4">
        <f>'2022.02'!V5</f>
        <v>0.09</v>
      </c>
    </row>
    <row r="12" spans="1:19" x14ac:dyDescent="0.25">
      <c r="A12" s="38">
        <f>'2022.03'!Q2</f>
        <v>2022.03</v>
      </c>
      <c r="B12" s="4">
        <f>B11+'2022.03'!Q5</f>
        <v>276</v>
      </c>
      <c r="C12" s="4">
        <f>'2022.03'!R5</f>
        <v>0</v>
      </c>
      <c r="D12" s="4">
        <f>D11+'2022.03'!S5</f>
        <v>276</v>
      </c>
      <c r="E12" s="4">
        <f>'SEB Active 55'!H14</f>
        <v>177.1</v>
      </c>
      <c r="F12" s="4">
        <f>'SEB Active 80'!H14</f>
        <v>103.48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4">
        <f t="shared" ref="M12" si="9">SUM(E12:L12)</f>
        <v>280.58</v>
      </c>
      <c r="N12" s="4">
        <f t="shared" ref="N12" si="10">M12-B12</f>
        <v>4.58</v>
      </c>
      <c r="O12" s="18">
        <f t="shared" ref="O12" si="11">N12/B12</f>
        <v>1.66E-2</v>
      </c>
      <c r="P12" s="4">
        <f>'2022.03'!X5</f>
        <v>0</v>
      </c>
      <c r="Q12" s="4">
        <f>'2022.03'!U5</f>
        <v>0</v>
      </c>
      <c r="R12" s="4">
        <f>'2022.03'!W5</f>
        <v>0</v>
      </c>
      <c r="S12" s="4">
        <f>'2022.03'!V5</f>
        <v>0.1</v>
      </c>
    </row>
    <row r="13" spans="1:19" x14ac:dyDescent="0.25">
      <c r="A13" s="38">
        <f>'2022.04'!Q2</f>
        <v>2022.04</v>
      </c>
      <c r="B13" s="4">
        <f>B12+'2022.04'!Q5</f>
        <v>286</v>
      </c>
      <c r="C13" s="4">
        <f>'2022.04'!R5</f>
        <v>0</v>
      </c>
      <c r="D13" s="4">
        <f>D12+'2022.04'!S5</f>
        <v>286</v>
      </c>
      <c r="E13" s="4">
        <f>'SEB Active 55'!H15</f>
        <v>180.79</v>
      </c>
      <c r="F13" s="4">
        <f>'SEB Active 80'!H15</f>
        <v>98.73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4">
        <f t="shared" ref="M13" si="12">SUM(E13:L13)</f>
        <v>279.52</v>
      </c>
      <c r="N13" s="4">
        <f t="shared" ref="N13" si="13">M13-B13</f>
        <v>-6.48</v>
      </c>
      <c r="O13" s="18">
        <f t="shared" ref="O13" si="14">N13/B13</f>
        <v>-2.2700000000000001E-2</v>
      </c>
      <c r="P13" s="4">
        <f>'2022.04'!X5</f>
        <v>0</v>
      </c>
      <c r="Q13" s="4">
        <f>'2022.04'!U5</f>
        <v>0</v>
      </c>
      <c r="R13" s="4">
        <f>'2022.04'!W5</f>
        <v>0</v>
      </c>
      <c r="S13" s="4">
        <f>'2022.04'!V5</f>
        <v>0.09</v>
      </c>
    </row>
    <row r="14" spans="1:19" x14ac:dyDescent="0.25">
      <c r="A14" s="38">
        <f>'2022.05'!Q2</f>
        <v>2022.05</v>
      </c>
      <c r="B14" s="4">
        <f>B13+'2022.05'!Q5</f>
        <v>296</v>
      </c>
      <c r="C14" s="4">
        <f>'2022.05'!R5</f>
        <v>0</v>
      </c>
      <c r="D14" s="4">
        <f>D13+'2022.05'!S5</f>
        <v>296</v>
      </c>
      <c r="E14" s="4">
        <f>'SEB Active 55'!H16</f>
        <v>188.67</v>
      </c>
      <c r="F14" s="4">
        <f>'SEB Active 80'!H16</f>
        <v>97.22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4">
        <f t="shared" ref="M14" si="15">SUM(E14:L14)</f>
        <v>285.89</v>
      </c>
      <c r="N14" s="4">
        <f t="shared" ref="N14" si="16">M14-B14</f>
        <v>-10.11</v>
      </c>
      <c r="O14" s="18">
        <f t="shared" ref="O14" si="17">N14/B14</f>
        <v>-3.4200000000000001E-2</v>
      </c>
      <c r="P14" s="4">
        <f>'2022.05'!X5</f>
        <v>0</v>
      </c>
      <c r="Q14" s="4">
        <f>'2022.05'!U5</f>
        <v>0</v>
      </c>
      <c r="R14" s="4">
        <f>'2022.05'!W5</f>
        <v>0</v>
      </c>
      <c r="S14" s="4">
        <f>'2022.05'!V5</f>
        <v>0.1</v>
      </c>
    </row>
    <row r="15" spans="1:19" x14ac:dyDescent="0.25">
      <c r="A15" s="38">
        <f>'2022.06'!Q2</f>
        <v>2022.06</v>
      </c>
      <c r="B15" s="4">
        <f>B14+'2022.06'!Q5</f>
        <v>306</v>
      </c>
      <c r="C15" s="4">
        <f>'2022.06'!R5</f>
        <v>0</v>
      </c>
      <c r="D15" s="4">
        <f>D14+'2022.06'!S5</f>
        <v>306</v>
      </c>
      <c r="E15" s="4">
        <f>'SEB Active 55'!H17</f>
        <v>189.19</v>
      </c>
      <c r="F15" s="4">
        <f>'SEB Active 80'!H17</f>
        <v>90.91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4">
        <f t="shared" ref="M15" si="18">SUM(E15:L15)</f>
        <v>280.10000000000002</v>
      </c>
      <c r="N15" s="4">
        <f t="shared" ref="N15" si="19">M15-B15</f>
        <v>-25.9</v>
      </c>
      <c r="O15" s="18">
        <f t="shared" ref="O15" si="20">N15/B15</f>
        <v>-8.4599999999999995E-2</v>
      </c>
      <c r="P15" s="4">
        <f>'2022.06'!X5</f>
        <v>0</v>
      </c>
      <c r="Q15" s="4">
        <f>'2022.06'!U5</f>
        <v>0</v>
      </c>
      <c r="R15" s="4">
        <f>'2022.06'!W5</f>
        <v>0</v>
      </c>
      <c r="S15" s="4">
        <f>'2022.06'!V5</f>
        <v>0.09</v>
      </c>
    </row>
    <row r="16" spans="1:19" x14ac:dyDescent="0.25">
      <c r="A16" s="38">
        <f>'2022.07'!Q2</f>
        <v>2022.07</v>
      </c>
      <c r="B16" s="4">
        <f>B15+'2022.07'!Q5</f>
        <v>316</v>
      </c>
      <c r="C16" s="4">
        <f>'2022.07'!R5</f>
        <v>0</v>
      </c>
      <c r="D16" s="4">
        <f>D15+'2022.07'!S5</f>
        <v>316</v>
      </c>
      <c r="E16" s="4">
        <f>'SEB Active 55'!H18</f>
        <v>208.78</v>
      </c>
      <c r="F16" s="4">
        <f>'SEB Active 80'!H18</f>
        <v>96.53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4">
        <f t="shared" ref="M16" si="21">SUM(E16:L16)</f>
        <v>305.31</v>
      </c>
      <c r="N16" s="4">
        <f t="shared" ref="N16" si="22">M16-B16</f>
        <v>-10.69</v>
      </c>
      <c r="O16" s="18">
        <f t="shared" ref="O16" si="23">N16/B16</f>
        <v>-3.3799999999999997E-2</v>
      </c>
      <c r="P16" s="4">
        <f>'2022.07'!X5</f>
        <v>0</v>
      </c>
      <c r="Q16" s="4">
        <f>'2022.07'!U5</f>
        <v>0</v>
      </c>
      <c r="R16" s="4">
        <f>'2022.07'!W5</f>
        <v>0</v>
      </c>
      <c r="S16" s="4">
        <f>'2022.07'!V5</f>
        <v>0.1</v>
      </c>
    </row>
    <row r="17" spans="1:19" x14ac:dyDescent="0.25">
      <c r="A17" s="38">
        <f>'2022.08'!Q2</f>
        <v>2022.08</v>
      </c>
      <c r="B17" s="4">
        <f>B16+'2022.08'!Q5</f>
        <v>326</v>
      </c>
      <c r="C17" s="4">
        <f>'2022.08'!R5</f>
        <v>0</v>
      </c>
      <c r="D17" s="4">
        <f>D16+'2022.08'!S5</f>
        <v>326</v>
      </c>
      <c r="E17" s="4">
        <f>'SEB Active 55'!H19</f>
        <v>214.27</v>
      </c>
      <c r="F17" s="4">
        <f>'SEB Active 80'!H19</f>
        <v>94.52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4">
        <f t="shared" ref="M17" si="24">SUM(E17:L17)</f>
        <v>308.79000000000002</v>
      </c>
      <c r="N17" s="4">
        <f t="shared" ref="N17" si="25">M17-B17</f>
        <v>-17.21</v>
      </c>
      <c r="O17" s="18">
        <f t="shared" ref="O17" si="26">N17/B17</f>
        <v>-5.28E-2</v>
      </c>
      <c r="P17" s="4">
        <f>'2022.08'!X5</f>
        <v>0</v>
      </c>
      <c r="Q17" s="4">
        <f>'2022.08'!U5</f>
        <v>0</v>
      </c>
      <c r="R17" s="4">
        <f>'2022.08'!W5</f>
        <v>0</v>
      </c>
      <c r="S17" s="4">
        <f>'2022.08'!V5</f>
        <v>0.1</v>
      </c>
    </row>
    <row r="18" spans="1:19" x14ac:dyDescent="0.25">
      <c r="A18" s="38">
        <f>'2022.09'!Q2</f>
        <v>2022.09</v>
      </c>
      <c r="B18" s="4">
        <f>B17+'2022.09'!Q5</f>
        <v>336</v>
      </c>
      <c r="C18" s="4">
        <f>'2022.09'!R5</f>
        <v>0</v>
      </c>
      <c r="D18" s="4">
        <f>D17+'2022.09'!S5</f>
        <v>336</v>
      </c>
      <c r="E18" s="4">
        <f>'SEB Active 55'!H20</f>
        <v>208.51</v>
      </c>
      <c r="F18" s="4">
        <f>'SEB Active 80'!H20</f>
        <v>86.13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4">
        <f t="shared" ref="M18" si="27">SUM(E18:L18)</f>
        <v>294.64</v>
      </c>
      <c r="N18" s="4">
        <f t="shared" ref="N18" si="28">M18-B18</f>
        <v>-41.36</v>
      </c>
      <c r="O18" s="18">
        <f t="shared" ref="O18" si="29">N18/B18</f>
        <v>-0.1231</v>
      </c>
      <c r="P18" s="4">
        <f>'2022.09'!X5</f>
        <v>0</v>
      </c>
      <c r="Q18" s="4">
        <f>'2022.09'!U5</f>
        <v>0</v>
      </c>
      <c r="R18" s="4">
        <f>'2022.09'!W5</f>
        <v>0</v>
      </c>
      <c r="S18" s="4">
        <f>'2022.09'!V5</f>
        <v>0.11</v>
      </c>
    </row>
    <row r="19" spans="1:19" x14ac:dyDescent="0.25">
      <c r="A19" s="38">
        <f>'2022.10'!Q2</f>
        <v>2022.1</v>
      </c>
      <c r="B19" s="4">
        <f>B18+'2022.10'!Q5</f>
        <v>346</v>
      </c>
      <c r="C19" s="4">
        <f>'2022.10'!R5</f>
        <v>0</v>
      </c>
      <c r="D19" s="4">
        <f>D18+'2022.10'!S5</f>
        <v>346</v>
      </c>
      <c r="E19" s="4">
        <f>'SEB Active 55'!H21</f>
        <v>224.92</v>
      </c>
      <c r="F19" s="4">
        <f>'SEB Active 80'!H21</f>
        <v>89.63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4">
        <f t="shared" ref="M19" si="30">SUM(E19:L19)</f>
        <v>314.55</v>
      </c>
      <c r="N19" s="4">
        <f t="shared" ref="N19" si="31">M19-B19</f>
        <v>-31.45</v>
      </c>
      <c r="O19" s="18">
        <f t="shared" ref="O19" si="32">N19/B19</f>
        <v>-9.0899999999999995E-2</v>
      </c>
      <c r="P19" s="4">
        <f>'2022.10'!X5</f>
        <v>0</v>
      </c>
      <c r="Q19" s="4">
        <f>'2022.10'!U5</f>
        <v>0</v>
      </c>
      <c r="R19" s="4">
        <f>'2022.10'!W5</f>
        <v>0</v>
      </c>
      <c r="S19" s="4">
        <f>'2022.10'!V5</f>
        <v>0.1</v>
      </c>
    </row>
    <row r="20" spans="1:19" x14ac:dyDescent="0.25">
      <c r="A20" s="38">
        <f>'2022.11'!Q2</f>
        <v>2022.11</v>
      </c>
      <c r="B20" s="4">
        <f>B19+'2022.11'!Q5</f>
        <v>356</v>
      </c>
      <c r="C20" s="4">
        <f>'2022.11'!R5</f>
        <v>0</v>
      </c>
      <c r="D20" s="4">
        <f>D19+'2022.11'!S5</f>
        <v>356</v>
      </c>
      <c r="E20" s="4">
        <f>'SEB Active 55'!H22</f>
        <v>239.94</v>
      </c>
      <c r="F20" s="4">
        <f>'SEB Active 80'!H22</f>
        <v>92.16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4">
        <f t="shared" ref="M20" si="33">SUM(E20:L20)</f>
        <v>332.1</v>
      </c>
      <c r="N20" s="4">
        <f t="shared" ref="N20" si="34">M20-B20</f>
        <v>-23.9</v>
      </c>
      <c r="O20" s="18">
        <f t="shared" ref="O20" si="35">N20/B20</f>
        <v>-6.7100000000000007E-2</v>
      </c>
      <c r="P20" s="4">
        <f>'2022.11'!X5</f>
        <v>0</v>
      </c>
      <c r="Q20" s="4">
        <f>'2022.11'!U5</f>
        <v>0</v>
      </c>
      <c r="R20" s="4">
        <f>'2022.11'!W5</f>
        <v>0</v>
      </c>
      <c r="S20" s="4">
        <f>'2022.11'!V5</f>
        <v>0.11</v>
      </c>
    </row>
    <row r="21" spans="1:19" x14ac:dyDescent="0.25">
      <c r="A21" s="38">
        <f>'2022.12'!Q2</f>
        <v>2022.12</v>
      </c>
      <c r="B21" s="4">
        <f>B20+'2022.12'!Q5</f>
        <v>366</v>
      </c>
      <c r="C21" s="4">
        <f>'2022.12'!R5</f>
        <v>0</v>
      </c>
      <c r="D21" s="4">
        <f>D20+'2022.12'!S5</f>
        <v>366</v>
      </c>
      <c r="E21" s="4">
        <f>'SEB Active 55'!H23</f>
        <v>245.93</v>
      </c>
      <c r="F21" s="4">
        <f>'SEB Active 80'!H23</f>
        <v>90.27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4">
        <f t="shared" ref="M21" si="36">SUM(E21:L21)</f>
        <v>336.2</v>
      </c>
      <c r="N21" s="4">
        <f t="shared" ref="N21" si="37">M21-B21</f>
        <v>-29.8</v>
      </c>
      <c r="O21" s="18">
        <f t="shared" ref="O21" si="38">N21/B21</f>
        <v>-8.14E-2</v>
      </c>
      <c r="P21" s="4">
        <f>'2022.12'!X5</f>
        <v>0</v>
      </c>
      <c r="Q21" s="4">
        <f>'2022.12'!U5</f>
        <v>0</v>
      </c>
      <c r="R21" s="4">
        <f>'2022.12'!W5</f>
        <v>0</v>
      </c>
      <c r="S21" s="4">
        <f>'2022.12'!V5</f>
        <v>0.11</v>
      </c>
    </row>
    <row r="22" spans="1:19" x14ac:dyDescent="0.25">
      <c r="A22" s="38">
        <f>'2023.01'!Q2</f>
        <v>2023.01</v>
      </c>
      <c r="B22" s="4">
        <f>B21+'2023.01'!Q5</f>
        <v>376</v>
      </c>
      <c r="C22" s="4">
        <f>'2023.01'!R5</f>
        <v>0</v>
      </c>
      <c r="D22" s="4">
        <f>D21+'2023.01'!S5</f>
        <v>376</v>
      </c>
      <c r="E22" s="4">
        <f>'SEB Active 55'!H24</f>
        <v>265.52999999999997</v>
      </c>
      <c r="F22" s="4">
        <f>'SEB Active 80'!H24</f>
        <v>94.55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4">
        <f t="shared" ref="M22" si="39">SUM(E22:L22)</f>
        <v>360.08</v>
      </c>
      <c r="N22" s="4">
        <f t="shared" ref="N22" si="40">M22-B22</f>
        <v>-15.92</v>
      </c>
      <c r="O22" s="18">
        <f t="shared" ref="O22" si="41">N22/B22</f>
        <v>-4.2299999999999997E-2</v>
      </c>
      <c r="P22" s="4">
        <f>'2023.01'!X5</f>
        <v>0</v>
      </c>
      <c r="Q22" s="4">
        <f>'2023.01'!U5</f>
        <v>0</v>
      </c>
      <c r="R22" s="4">
        <f>'2023.01'!W5</f>
        <v>0</v>
      </c>
      <c r="S22" s="4">
        <f>'2023.01'!V5</f>
        <v>0.12</v>
      </c>
    </row>
    <row r="23" spans="1:19" x14ac:dyDescent="0.25">
      <c r="A23" s="38">
        <f>'2023.02'!Q2</f>
        <v>2023.02</v>
      </c>
      <c r="B23" s="4">
        <f>B22+'2023.02'!Q5</f>
        <v>386</v>
      </c>
      <c r="C23" s="4">
        <f>'2023.02'!R5</f>
        <v>0</v>
      </c>
      <c r="D23" s="4">
        <f>D22+'2023.02'!S5</f>
        <v>386</v>
      </c>
      <c r="E23" s="4">
        <f>'SEB Active 55'!H25</f>
        <v>274.08</v>
      </c>
      <c r="F23" s="4">
        <f>'SEB Active 80'!H25</f>
        <v>94.68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4">
        <f t="shared" ref="M23" si="42">SUM(E23:L23)</f>
        <v>368.76</v>
      </c>
      <c r="N23" s="4">
        <f t="shared" ref="N23" si="43">M23-B23</f>
        <v>-17.239999999999998</v>
      </c>
      <c r="O23" s="18">
        <f t="shared" ref="O23" si="44">N23/B23</f>
        <v>-4.4699999999999997E-2</v>
      </c>
      <c r="P23" s="4">
        <f>'2023.02'!X5</f>
        <v>0</v>
      </c>
      <c r="Q23" s="4">
        <f>'2023.02'!U5</f>
        <v>0</v>
      </c>
      <c r="R23" s="4">
        <f>'2023.02'!W5</f>
        <v>0</v>
      </c>
      <c r="S23" s="4">
        <f>'2023.02'!V5</f>
        <v>0.12</v>
      </c>
    </row>
    <row r="24" spans="1:19" x14ac:dyDescent="0.25">
      <c r="A24" s="38">
        <f>'2023.03'!Q2</f>
        <v>2023.03</v>
      </c>
      <c r="B24" s="4">
        <f>B23+'2023.03'!Q5</f>
        <v>396</v>
      </c>
      <c r="C24" s="4">
        <f>'2023.03'!R5</f>
        <v>0</v>
      </c>
      <c r="D24" s="4">
        <f>D23+'2023.03'!S5</f>
        <v>396</v>
      </c>
      <c r="E24" s="4">
        <f>'SEB Active 55'!H26</f>
        <v>281.24</v>
      </c>
      <c r="F24" s="4">
        <f>'SEB Active 80'!H26</f>
        <v>92.95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4">
        <f t="shared" ref="M24" si="45">SUM(E24:L24)</f>
        <v>374.19</v>
      </c>
      <c r="N24" s="4">
        <f t="shared" ref="N24" si="46">M24-B24</f>
        <v>-21.81</v>
      </c>
      <c r="O24" s="18">
        <f t="shared" ref="O24" si="47">N24/B24</f>
        <v>-5.5100000000000003E-2</v>
      </c>
      <c r="P24" s="4">
        <f>'2023.03'!X5</f>
        <v>0</v>
      </c>
      <c r="Q24" s="4">
        <f>'2023.03'!U5</f>
        <v>0</v>
      </c>
      <c r="R24" s="4">
        <f>'2023.03'!W5</f>
        <v>0</v>
      </c>
      <c r="S24" s="4">
        <f>'2023.03'!V5</f>
        <v>0.12</v>
      </c>
    </row>
    <row r="25" spans="1:19" x14ac:dyDescent="0.25">
      <c r="A25" s="38">
        <f>'2023.04'!Q2</f>
        <v>2023.04</v>
      </c>
      <c r="B25" s="4">
        <f>B24+'2023.04'!Q5</f>
        <v>406</v>
      </c>
      <c r="C25" s="4">
        <f>'2023.04'!R5</f>
        <v>0</v>
      </c>
      <c r="D25" s="4">
        <f>D24+'2023.04'!S5</f>
        <v>406</v>
      </c>
      <c r="E25" s="4">
        <f>'SEB Active 55'!H27</f>
        <v>293.06</v>
      </c>
      <c r="F25" s="4">
        <f>'SEB Active 80'!H27</f>
        <v>93.7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4">
        <f t="shared" ref="M25" si="48">SUM(E25:L25)</f>
        <v>386.76</v>
      </c>
      <c r="N25" s="4">
        <f t="shared" ref="N25" si="49">M25-B25</f>
        <v>-19.239999999999998</v>
      </c>
      <c r="O25" s="18">
        <f t="shared" ref="O25" si="50">N25/B25</f>
        <v>-4.7399999999999998E-2</v>
      </c>
      <c r="P25" s="4">
        <f>'2023.04'!X5</f>
        <v>0</v>
      </c>
      <c r="Q25" s="4">
        <f>'2023.04'!U5</f>
        <v>0</v>
      </c>
      <c r="R25" s="4">
        <f>'2023.04'!W5</f>
        <v>0</v>
      </c>
      <c r="S25" s="4">
        <f>'2023.04'!V5</f>
        <v>0.13</v>
      </c>
    </row>
    <row r="26" spans="1:19" x14ac:dyDescent="0.25">
      <c r="A26" s="38">
        <f>'2023.05'!Q2</f>
        <v>2023.05</v>
      </c>
      <c r="B26" s="4">
        <f>B25+'2023.05'!Q5</f>
        <v>416</v>
      </c>
      <c r="C26" s="4">
        <f>'2023.05'!R5</f>
        <v>0</v>
      </c>
      <c r="D26" s="4">
        <f>D25+'2023.05'!S5</f>
        <v>416</v>
      </c>
      <c r="E26" s="4">
        <f>'SEB Active 55'!H28</f>
        <v>306</v>
      </c>
      <c r="F26" s="4">
        <f>'SEB Active 80'!H28</f>
        <v>95.04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4">
        <f t="shared" ref="M26" si="51">SUM(E26:L26)</f>
        <v>401.04</v>
      </c>
      <c r="N26" s="4">
        <f t="shared" ref="N26" si="52">M26-B26</f>
        <v>-14.96</v>
      </c>
      <c r="O26" s="18">
        <f t="shared" ref="O26" si="53">N26/B26</f>
        <v>-3.5999999999999997E-2</v>
      </c>
      <c r="P26" s="4">
        <f>'2023.05'!X5</f>
        <v>0</v>
      </c>
      <c r="Q26" s="4">
        <f>'2023.05'!U5</f>
        <v>0</v>
      </c>
      <c r="R26" s="4">
        <f>'2023.05'!W5</f>
        <v>0</v>
      </c>
      <c r="S26" s="4">
        <f>'2023.05'!V5</f>
        <v>0.13</v>
      </c>
    </row>
    <row r="27" spans="1:19" x14ac:dyDescent="0.25">
      <c r="A27" s="38">
        <f>'2023.06'!Q2</f>
        <v>2023.06</v>
      </c>
      <c r="B27" s="4">
        <f>B26+'2023.06'!Q5</f>
        <v>426</v>
      </c>
      <c r="C27" s="4">
        <f>'2023.06'!R5</f>
        <v>0</v>
      </c>
      <c r="D27" s="4">
        <f>D26+'2023.06'!S5</f>
        <v>426</v>
      </c>
      <c r="E27" s="4">
        <f>'SEB Active 55'!H29</f>
        <v>317.57</v>
      </c>
      <c r="F27" s="4">
        <f>'SEB Active 80'!H29</f>
        <v>95.88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4">
        <f t="shared" ref="M27" si="54">SUM(E27:L27)</f>
        <v>413.45</v>
      </c>
      <c r="N27" s="4">
        <f t="shared" ref="N27" si="55">M27-B27</f>
        <v>-12.55</v>
      </c>
      <c r="O27" s="18">
        <f t="shared" ref="O27" si="56">N27/B27</f>
        <v>-2.9499999999999998E-2</v>
      </c>
      <c r="P27" s="4">
        <f>'2023.06'!X5</f>
        <v>0</v>
      </c>
      <c r="Q27" s="4">
        <f>'2023.06'!U5</f>
        <v>0</v>
      </c>
      <c r="R27" s="4">
        <f>'2023.06'!W5</f>
        <v>0</v>
      </c>
      <c r="S27" s="4">
        <f>'2023.06'!V5</f>
        <v>0.13</v>
      </c>
    </row>
    <row r="28" spans="1:19" x14ac:dyDescent="0.25">
      <c r="A28" s="38">
        <f>'2023.07'!Q2</f>
        <v>2023.07</v>
      </c>
      <c r="B28" s="4">
        <f>B27+'2023.07'!Q5</f>
        <v>436</v>
      </c>
      <c r="C28" s="4">
        <f>'2023.07'!R5</f>
        <v>0</v>
      </c>
      <c r="D28" s="4">
        <f>D27+'2023.07'!S5</f>
        <v>436</v>
      </c>
      <c r="E28" s="4">
        <f>'SEB Active 55'!H30</f>
        <v>332.8</v>
      </c>
      <c r="F28" s="4">
        <f>'SEB Active 80'!H30</f>
        <v>97.72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4">
        <f t="shared" ref="M28" si="57">SUM(E28:L28)</f>
        <v>430.52</v>
      </c>
      <c r="N28" s="4">
        <f t="shared" ref="N28" si="58">M28-B28</f>
        <v>-5.48</v>
      </c>
      <c r="O28" s="18">
        <f t="shared" ref="O28" si="59">N28/B28</f>
        <v>-1.26E-2</v>
      </c>
      <c r="P28" s="4">
        <f>'2023.07'!X5</f>
        <v>0</v>
      </c>
      <c r="Q28" s="4">
        <f>'2023.07'!U5</f>
        <v>0</v>
      </c>
      <c r="R28" s="4">
        <f>'2023.07'!W5</f>
        <v>0</v>
      </c>
      <c r="S28" s="4">
        <f>'2023.07'!V5</f>
        <v>0.14000000000000001</v>
      </c>
    </row>
    <row r="29" spans="1:19" x14ac:dyDescent="0.25">
      <c r="A29" s="38">
        <f>'2023.08'!Q2</f>
        <v>2023.08</v>
      </c>
      <c r="B29" s="4">
        <f>B28+'2023.08'!Q5</f>
        <v>446</v>
      </c>
      <c r="C29" s="4">
        <f>'2023.08'!R5</f>
        <v>0</v>
      </c>
      <c r="D29" s="4">
        <f>D28+'2023.08'!S5</f>
        <v>446</v>
      </c>
      <c r="E29" s="4">
        <f>'SEB Active 55'!H31</f>
        <v>339.38</v>
      </c>
      <c r="F29" s="4">
        <f>'SEB Active 80'!H31</f>
        <v>96.3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4">
        <f t="shared" ref="M29" si="60">SUM(E29:L29)</f>
        <v>435.68</v>
      </c>
      <c r="N29" s="4">
        <f t="shared" ref="N29" si="61">M29-B29</f>
        <v>-10.32</v>
      </c>
      <c r="O29" s="18">
        <f t="shared" ref="O29" si="62">N29/B29</f>
        <v>-2.3099999999999999E-2</v>
      </c>
      <c r="P29" s="4">
        <f>'2023.08'!X5</f>
        <v>0</v>
      </c>
      <c r="Q29" s="4">
        <f>'2023.08'!U5</f>
        <v>0</v>
      </c>
      <c r="R29" s="4">
        <f>'2023.08'!W5</f>
        <v>0</v>
      </c>
      <c r="S29" s="4">
        <f>'2023.08'!V5</f>
        <v>0.14000000000000001</v>
      </c>
    </row>
    <row r="30" spans="1:19" x14ac:dyDescent="0.25">
      <c r="A30" s="38">
        <f>'2023.09'!Q2</f>
        <v>2023.09</v>
      </c>
      <c r="B30" s="4">
        <f>B29+'2023.09'!Q5</f>
        <v>456</v>
      </c>
      <c r="C30" s="4">
        <f>'2023.09'!R5</f>
        <v>0</v>
      </c>
      <c r="D30" s="4">
        <f>D29+'2023.09'!S5</f>
        <v>456</v>
      </c>
      <c r="E30" s="4">
        <f>'SEB Active 55'!H32</f>
        <v>344.22</v>
      </c>
      <c r="F30" s="4">
        <f>'SEB Active 80'!H32</f>
        <v>94.78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4">
        <f t="shared" ref="M30" si="63">SUM(E30:L30)</f>
        <v>439</v>
      </c>
      <c r="N30" s="4">
        <f t="shared" ref="N30" si="64">M30-B30</f>
        <v>-17</v>
      </c>
      <c r="O30" s="18">
        <f t="shared" ref="O30" si="65">N30/B30</f>
        <v>-3.73E-2</v>
      </c>
      <c r="P30" s="4">
        <f>'2023.09'!X5</f>
        <v>0</v>
      </c>
      <c r="Q30" s="4">
        <f>'2023.09'!U5</f>
        <v>0</v>
      </c>
      <c r="R30" s="4">
        <f>'2023.09'!W5</f>
        <v>0</v>
      </c>
      <c r="S30" s="4">
        <f>'2023.09'!V5</f>
        <v>0.15</v>
      </c>
    </row>
    <row r="31" spans="1:19" x14ac:dyDescent="0.25">
      <c r="A31" s="38">
        <f>'2023.10'!Q2</f>
        <v>2023.1</v>
      </c>
      <c r="B31" s="4">
        <f>B30+'2023.10'!Q5</f>
        <v>466</v>
      </c>
      <c r="C31" s="4">
        <f>'2023.10'!R5</f>
        <v>0</v>
      </c>
      <c r="D31" s="4">
        <f>D30+'2023.10'!S5</f>
        <v>466</v>
      </c>
      <c r="E31" s="4">
        <f>'SEB Active 55'!H33</f>
        <v>344.15</v>
      </c>
      <c r="F31" s="4">
        <f>'SEB Active 80'!H33</f>
        <v>90.9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4">
        <f t="shared" ref="M31" si="66">SUM(E31:L31)</f>
        <v>435.05</v>
      </c>
      <c r="N31" s="4">
        <f t="shared" ref="N31" si="67">M31-B31</f>
        <v>-30.95</v>
      </c>
      <c r="O31" s="18">
        <f t="shared" ref="O31" si="68">N31/B31</f>
        <v>-6.6400000000000001E-2</v>
      </c>
      <c r="P31" s="4">
        <f>'2023.10'!X5</f>
        <v>0</v>
      </c>
      <c r="Q31" s="4">
        <f>'2023.10'!U5</f>
        <v>0</v>
      </c>
      <c r="R31" s="4">
        <f>'2023.10'!W5</f>
        <v>0</v>
      </c>
      <c r="S31" s="4">
        <f>'2023.10'!V5</f>
        <v>0.15</v>
      </c>
    </row>
    <row r="32" spans="1:19" x14ac:dyDescent="0.25">
      <c r="A32" s="38">
        <f>'2023.11'!Q2</f>
        <v>2023.11</v>
      </c>
      <c r="B32" s="4">
        <f>B31+'2023.11'!Q5</f>
        <v>476</v>
      </c>
      <c r="C32" s="4">
        <f>'2023.11'!R5</f>
        <v>0</v>
      </c>
      <c r="D32" s="4">
        <f>D31+'2023.11'!S5</f>
        <v>476</v>
      </c>
      <c r="E32" s="4">
        <f>'SEB Active 55'!H34</f>
        <v>375.17</v>
      </c>
      <c r="F32" s="4">
        <f>'SEB Active 80'!H34</f>
        <v>97.88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4">
        <f t="shared" ref="M32" si="69">SUM(E32:L32)</f>
        <v>473.05</v>
      </c>
      <c r="N32" s="4">
        <f t="shared" ref="N32" si="70">M32-B32</f>
        <v>-2.95</v>
      </c>
      <c r="O32" s="18">
        <f t="shared" ref="O32" si="71">N32/B32</f>
        <v>-6.1999999999999998E-3</v>
      </c>
      <c r="P32" s="4">
        <f>'2023.11'!X5</f>
        <v>0</v>
      </c>
      <c r="Q32" s="4">
        <f>'2023.11'!U5</f>
        <v>0</v>
      </c>
      <c r="R32" s="4">
        <f>'2023.11'!W5</f>
        <v>0</v>
      </c>
      <c r="S32" s="4">
        <f>'2023.11'!V5</f>
        <v>0.15</v>
      </c>
    </row>
    <row r="33" spans="1:19" x14ac:dyDescent="0.25">
      <c r="A33" s="38">
        <f>'2023.12'!Q2</f>
        <v>2023.12</v>
      </c>
      <c r="B33" s="4">
        <f>B32+'2023.12'!Q5</f>
        <v>486</v>
      </c>
      <c r="C33" s="4">
        <f>'2023.12'!R5</f>
        <v>0</v>
      </c>
      <c r="D33" s="4">
        <f>D32+'2023.12'!S5</f>
        <v>486</v>
      </c>
      <c r="E33" s="4">
        <f>'SEB Active 55'!H35</f>
        <v>401.01</v>
      </c>
      <c r="F33" s="4">
        <f>'SEB Active 80'!H35</f>
        <v>102.86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4">
        <f t="shared" ref="M33" si="72">SUM(E33:L33)</f>
        <v>503.87</v>
      </c>
      <c r="N33" s="4">
        <f t="shared" ref="N33" si="73">M33-B33</f>
        <v>17.87</v>
      </c>
      <c r="O33" s="18">
        <f t="shared" ref="O33" si="74">N33/B33</f>
        <v>3.6799999999999999E-2</v>
      </c>
      <c r="P33" s="4">
        <f>'2023.12'!X5</f>
        <v>0</v>
      </c>
      <c r="Q33" s="4">
        <f>'2023.12'!U5</f>
        <v>0</v>
      </c>
      <c r="R33" s="4">
        <f>'2023.12'!W5</f>
        <v>0</v>
      </c>
      <c r="S33" s="4">
        <f>'2023.12'!V5</f>
        <v>0.16</v>
      </c>
    </row>
    <row r="34" spans="1:19" x14ac:dyDescent="0.25">
      <c r="A34" s="38">
        <f>'2024.01'!Q2</f>
        <v>2024.01</v>
      </c>
      <c r="B34" s="4">
        <f>B33+'2024.01'!Q5</f>
        <v>524.94000000000005</v>
      </c>
      <c r="C34" s="4">
        <f>'2024.01'!R5</f>
        <v>0</v>
      </c>
      <c r="D34" s="4">
        <f>D33+'2024.01'!S5</f>
        <v>524.94000000000005</v>
      </c>
      <c r="E34" s="4">
        <f>'SEB Active 55'!H36</f>
        <v>416.97</v>
      </c>
      <c r="F34" s="4">
        <f>'SEB Active 80'!H36</f>
        <v>114.77</v>
      </c>
      <c r="G34" s="16">
        <f>'SEB Artificial Intelligence Fun'!AN5</f>
        <v>19.100000000000001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4">
        <f t="shared" ref="M34" si="75">SUM(E34:L34)</f>
        <v>550.84</v>
      </c>
      <c r="N34" s="4">
        <f t="shared" ref="N34" si="76">M34-B34</f>
        <v>25.9</v>
      </c>
      <c r="O34" s="18">
        <f t="shared" ref="O34" si="77">N34/B34</f>
        <v>4.9299999999999997E-2</v>
      </c>
      <c r="P34" s="4">
        <f>'2024.01'!X5</f>
        <v>0</v>
      </c>
      <c r="Q34" s="4">
        <f>'2024.01'!U5</f>
        <v>0</v>
      </c>
      <c r="R34" s="4">
        <f>'2024.01'!W5</f>
        <v>0</v>
      </c>
      <c r="S34" s="4">
        <f>'2024.01'!V5</f>
        <v>0.18</v>
      </c>
    </row>
    <row r="35" spans="1:19" x14ac:dyDescent="0.25">
      <c r="A35" s="38">
        <f>'2024.02'!Q2</f>
        <v>2024.02</v>
      </c>
      <c r="B35" s="4">
        <f>B34+'2024.02'!Q5</f>
        <v>549.94000000000005</v>
      </c>
      <c r="C35" s="4">
        <f>'2024.02'!R5</f>
        <v>0</v>
      </c>
      <c r="D35" s="4">
        <f>D34+'2024.02'!S5</f>
        <v>549.94000000000005</v>
      </c>
      <c r="E35" s="4">
        <f>'SEB Active 55'!H37</f>
        <v>440.74</v>
      </c>
      <c r="F35" s="4">
        <f>'SEB Active 80'!H37</f>
        <v>128.22999999999999</v>
      </c>
      <c r="G35" s="16">
        <f>'SEB Artificial Intelligence Fun'!AN6</f>
        <v>19.989999999999998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4">
        <f t="shared" ref="M35" si="78">SUM(E35:L35)</f>
        <v>588.96</v>
      </c>
      <c r="N35" s="4">
        <f t="shared" ref="N35" si="79">M35-B35</f>
        <v>39.020000000000003</v>
      </c>
      <c r="O35" s="18">
        <f t="shared" ref="O35" si="80">N35/B35</f>
        <v>7.0999999999999994E-2</v>
      </c>
      <c r="P35" s="4">
        <f>'2024.02'!X5</f>
        <v>0</v>
      </c>
      <c r="Q35" s="4">
        <f>'2024.02'!U5</f>
        <v>0</v>
      </c>
      <c r="R35" s="4">
        <f>'2024.02'!W5</f>
        <v>0</v>
      </c>
      <c r="S35" s="4">
        <f>'2024.02'!V5</f>
        <v>0.18</v>
      </c>
    </row>
    <row r="36" spans="1:19" x14ac:dyDescent="0.25">
      <c r="A36" s="38">
        <f>'2024.03'!Q2</f>
        <v>2024.03</v>
      </c>
      <c r="B36" s="4">
        <f>B35+'2024.03'!Q5</f>
        <v>564.94000000000005</v>
      </c>
      <c r="C36" s="4">
        <f>'2024.03'!R5</f>
        <v>0</v>
      </c>
      <c r="D36" s="4">
        <f>D35+'2024.03'!S5</f>
        <v>564.94000000000005</v>
      </c>
      <c r="E36" s="4">
        <f>'SEB Active 55'!H38</f>
        <v>466.86</v>
      </c>
      <c r="F36" s="4">
        <f>'SEB Active 80'!H38</f>
        <v>132.08000000000001</v>
      </c>
      <c r="G36" s="16">
        <f>'SEB Artificial Intelligence Fun'!AN7</f>
        <v>20.8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4">
        <f t="shared" ref="M36" si="81">SUM(E36:L36)</f>
        <v>619.74</v>
      </c>
      <c r="N36" s="4">
        <f t="shared" ref="N36" si="82">M36-B36</f>
        <v>54.8</v>
      </c>
      <c r="O36" s="18">
        <f t="shared" ref="O36" si="83">N36/B36</f>
        <v>9.7000000000000003E-2</v>
      </c>
      <c r="P36" s="4">
        <f>'2024.03'!X5</f>
        <v>0</v>
      </c>
      <c r="Q36" s="4">
        <f>'2024.03'!U5</f>
        <v>0</v>
      </c>
      <c r="R36" s="4">
        <f>'2024.03'!W5</f>
        <v>0</v>
      </c>
      <c r="S36" s="4">
        <f>'2024.03'!V5</f>
        <v>0.2</v>
      </c>
    </row>
    <row r="37" spans="1:19" x14ac:dyDescent="0.25">
      <c r="A37" s="38">
        <f>'2024.04'!Q2</f>
        <v>2024.04</v>
      </c>
      <c r="B37" s="4">
        <f>B36+'2024.04'!Q5</f>
        <v>589.94000000000005</v>
      </c>
      <c r="C37" s="4">
        <f>'2024.04'!R5</f>
        <v>0</v>
      </c>
      <c r="D37" s="4">
        <f>D36+'2024.04'!S5</f>
        <v>589.94000000000005</v>
      </c>
      <c r="E37" s="4">
        <f>'SEB Active 55'!H39</f>
        <v>475.3</v>
      </c>
      <c r="F37" s="4">
        <f>'SEB Active 80'!H39</f>
        <v>139.88</v>
      </c>
      <c r="G37" s="16">
        <f>'SEB Artificial Intelligence Fun'!AN8</f>
        <v>20.16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4">
        <f t="shared" ref="M37" si="84">SUM(E37:L37)</f>
        <v>635.34</v>
      </c>
      <c r="N37" s="4">
        <f t="shared" ref="N37" si="85">M37-B37</f>
        <v>45.4</v>
      </c>
      <c r="O37" s="18">
        <f t="shared" ref="O37" si="86">N37/B37</f>
        <v>7.6999999999999999E-2</v>
      </c>
      <c r="P37" s="4">
        <f>'2024.04'!X5</f>
        <v>0</v>
      </c>
      <c r="Q37" s="4">
        <f>'2024.04'!U5</f>
        <v>0</v>
      </c>
      <c r="R37" s="4">
        <f>'2024.04'!W5</f>
        <v>0</v>
      </c>
      <c r="S37" s="4">
        <f>'2024.04'!V5</f>
        <v>0.22</v>
      </c>
    </row>
    <row r="38" spans="1:19" x14ac:dyDescent="0.25">
      <c r="A38" s="38">
        <f>'2024.05'!Q2</f>
        <v>2024.05</v>
      </c>
      <c r="B38" s="4">
        <f>B37+'2024.05'!Q5</f>
        <v>643.91999999999996</v>
      </c>
      <c r="C38" s="4">
        <f>'2024.05'!R5</f>
        <v>0</v>
      </c>
      <c r="D38" s="4">
        <f>D37+'2024.05'!S5</f>
        <v>643.91999999999996</v>
      </c>
      <c r="E38" s="4">
        <f>'SEB Active 55'!H40</f>
        <v>500.88</v>
      </c>
      <c r="F38" s="4">
        <f>'SEB Active 80'!H40</f>
        <v>163.98</v>
      </c>
      <c r="G38" s="16">
        <f>'SEB Artificial Intelligence Fun'!AN9</f>
        <v>39.51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4">
        <f t="shared" ref="M38" si="87">SUM(E38:L38)</f>
        <v>704.37</v>
      </c>
      <c r="N38" s="4">
        <f t="shared" ref="N38" si="88">M38-B38</f>
        <v>60.45</v>
      </c>
      <c r="O38" s="18">
        <f t="shared" ref="O38" si="89">N38/B38</f>
        <v>9.3899999999999997E-2</v>
      </c>
      <c r="P38" s="4">
        <f>'2024.05'!X5</f>
        <v>0</v>
      </c>
      <c r="Q38" s="4">
        <f>'2024.05'!U5</f>
        <v>0</v>
      </c>
      <c r="R38" s="4">
        <f>'2024.05'!W5</f>
        <v>0</v>
      </c>
      <c r="S38" s="4">
        <f>'2024.05'!V5</f>
        <v>0.22</v>
      </c>
    </row>
    <row r="39" spans="1:19" x14ac:dyDescent="0.25">
      <c r="A39" s="38">
        <f>'2024.06'!Q2</f>
        <v>2024.06</v>
      </c>
      <c r="B39" s="4">
        <f>B38+'2024.06'!Q5</f>
        <v>658.92</v>
      </c>
      <c r="C39" s="4">
        <f>'2024.06'!R5</f>
        <v>0</v>
      </c>
      <c r="D39" s="4">
        <f>D38+'2024.06'!S5</f>
        <v>658.92</v>
      </c>
      <c r="E39" s="4">
        <f>'SEB Active 55'!H41</f>
        <v>525.41999999999996</v>
      </c>
      <c r="F39" s="4">
        <f>'SEB Active 80'!H41</f>
        <v>167.45</v>
      </c>
      <c r="G39" s="16">
        <f>'SEB Artificial Intelligence Fun'!AN10</f>
        <v>44.41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4">
        <f t="shared" ref="M39" si="90">SUM(E39:L39)</f>
        <v>737.28</v>
      </c>
      <c r="N39" s="4">
        <f t="shared" ref="N39" si="91">M39-B39</f>
        <v>78.36</v>
      </c>
      <c r="O39" s="18">
        <f t="shared" ref="O39" si="92">N39/B39</f>
        <v>0.11890000000000001</v>
      </c>
      <c r="P39" s="4">
        <f>'2024.06'!X5</f>
        <v>0</v>
      </c>
      <c r="Q39" s="4">
        <f>'2024.06'!U5</f>
        <v>0</v>
      </c>
      <c r="R39" s="4">
        <f>'2024.06'!W5</f>
        <v>0</v>
      </c>
      <c r="S39" s="4">
        <f>'2024.06'!V5</f>
        <v>0.23</v>
      </c>
    </row>
    <row r="40" spans="1:19" x14ac:dyDescent="0.25">
      <c r="A40" s="38">
        <f>'2024.07'!Q2</f>
        <v>2024.07</v>
      </c>
      <c r="B40" s="4">
        <f>B39+'2024.07'!Q5</f>
        <v>693.92</v>
      </c>
      <c r="C40" s="4">
        <f>'2024.07'!R5</f>
        <v>0</v>
      </c>
      <c r="D40" s="4">
        <f>D39+'2024.07'!S5</f>
        <v>693.92</v>
      </c>
      <c r="E40" s="4">
        <f>'SEB Active 55'!H42</f>
        <v>538</v>
      </c>
      <c r="F40" s="4">
        <f>'SEB Active 80'!H42</f>
        <v>185.76</v>
      </c>
      <c r="G40" s="16">
        <f>'SEB Artificial Intelligence Fun'!AN11</f>
        <v>40.99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4">
        <f t="shared" ref="M40" si="93">SUM(E40:L40)</f>
        <v>764.75</v>
      </c>
      <c r="N40" s="4">
        <f t="shared" ref="N40" si="94">M40-B40</f>
        <v>70.83</v>
      </c>
      <c r="O40" s="18">
        <f t="shared" ref="O40" si="95">N40/B40</f>
        <v>0.1021</v>
      </c>
      <c r="P40" s="4">
        <f>'2024.07'!X5</f>
        <v>0</v>
      </c>
      <c r="Q40" s="4">
        <f>'2024.07'!U5</f>
        <v>0</v>
      </c>
      <c r="R40" s="4">
        <f>'2024.07'!W5</f>
        <v>0</v>
      </c>
      <c r="S40" s="4">
        <f>'2024.07'!V5</f>
        <v>0.25</v>
      </c>
    </row>
    <row r="41" spans="1:19" x14ac:dyDescent="0.25">
      <c r="A41" s="38">
        <f>'2024.08'!Q2</f>
        <v>2024.08</v>
      </c>
      <c r="B41" s="4">
        <f>B40+'2024.08'!Q5</f>
        <v>718.92</v>
      </c>
      <c r="C41" s="4">
        <f>'2024.08'!R5</f>
        <v>0</v>
      </c>
      <c r="D41" s="4">
        <f>D40+'2024.08'!S5</f>
        <v>718.92</v>
      </c>
      <c r="E41" s="4">
        <f>'SEB Active 55'!H43</f>
        <v>562.58000000000004</v>
      </c>
      <c r="F41" s="4">
        <f>'SEB Active 80'!H43</f>
        <v>199.35</v>
      </c>
      <c r="G41" s="16">
        <f>'SEB Artificial Intelligence Fun'!AN12</f>
        <v>41.45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4">
        <f t="shared" ref="M41" si="96">SUM(E41:L41)</f>
        <v>803.38</v>
      </c>
      <c r="N41" s="4">
        <f t="shared" ref="N41" si="97">M41-B41</f>
        <v>84.46</v>
      </c>
      <c r="O41" s="18">
        <f t="shared" ref="O41" si="98">N41/B41</f>
        <v>0.11749999999999999</v>
      </c>
      <c r="P41" s="4">
        <f>'2024.08'!X5</f>
        <v>0</v>
      </c>
      <c r="Q41" s="4">
        <f>'2024.08'!U5</f>
        <v>0</v>
      </c>
      <c r="R41" s="4">
        <f>'2024.08'!W5</f>
        <v>0</v>
      </c>
      <c r="S41" s="4">
        <f>'2024.08'!V5</f>
        <v>0.26</v>
      </c>
    </row>
    <row r="42" spans="1:19" x14ac:dyDescent="0.25">
      <c r="A42" s="38">
        <f>'2024.09'!Q2</f>
        <v>2024.09</v>
      </c>
      <c r="B42" s="4">
        <f>B41+'2024.09'!Q5</f>
        <v>733.92</v>
      </c>
      <c r="C42" s="4">
        <f>'2024.09'!R5</f>
        <v>0</v>
      </c>
      <c r="D42" s="4">
        <f>D41+'2024.09'!S5</f>
        <v>733.92</v>
      </c>
      <c r="E42" s="4">
        <f>'SEB Active 55'!H44</f>
        <v>585.61</v>
      </c>
      <c r="F42" s="4">
        <f>'SEB Active 80'!H44</f>
        <v>202.35</v>
      </c>
      <c r="G42" s="16">
        <f>'SEB Artificial Intelligence Fun'!AN13</f>
        <v>42.97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4">
        <f t="shared" ref="M42" si="99">SUM(E42:L42)</f>
        <v>830.93</v>
      </c>
      <c r="N42" s="4">
        <f t="shared" ref="N42" si="100">M42-B42</f>
        <v>97.01</v>
      </c>
      <c r="O42" s="18">
        <f t="shared" ref="O42" si="101">N42/B42</f>
        <v>0.13220000000000001</v>
      </c>
      <c r="P42" s="4">
        <f>'2024.09'!X5</f>
        <v>0</v>
      </c>
      <c r="Q42" s="4">
        <f>'2024.09'!U5</f>
        <v>0</v>
      </c>
      <c r="R42" s="4">
        <f>'2024.09'!W5</f>
        <v>0</v>
      </c>
      <c r="S42" s="4">
        <f>'2024.09'!V5</f>
        <v>0.26</v>
      </c>
    </row>
    <row r="43" spans="1:19" x14ac:dyDescent="0.25">
      <c r="A43" s="38">
        <f>'2024.10'!Q2</f>
        <v>2024.1</v>
      </c>
      <c r="B43" s="4">
        <f>B42+'2024.10'!Q5</f>
        <v>768.92</v>
      </c>
      <c r="C43" s="4">
        <f>'2024.10'!R5</f>
        <v>0</v>
      </c>
      <c r="D43" s="4">
        <f>D42+'2024.10'!S5</f>
        <v>768.92</v>
      </c>
      <c r="E43" s="4">
        <f>'SEB Active 55'!H45</f>
        <v>599.41999999999996</v>
      </c>
      <c r="F43" s="4">
        <f>'SEB Active 80'!H45</f>
        <v>222.03</v>
      </c>
      <c r="G43" s="16">
        <f>'SEB Artificial Intelligence Fun'!AN14</f>
        <v>45.3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4">
        <f t="shared" ref="M43" si="102">SUM(E43:L43)</f>
        <v>866.75</v>
      </c>
      <c r="N43" s="4">
        <f t="shared" ref="N43" si="103">M43-B43</f>
        <v>97.83</v>
      </c>
      <c r="O43" s="18">
        <f t="shared" ref="O43" si="104">N43/B43</f>
        <v>0.12720000000000001</v>
      </c>
      <c r="P43" s="4">
        <f>'2024.10'!X5</f>
        <v>0</v>
      </c>
      <c r="Q43" s="4">
        <f>'2024.10'!U5</f>
        <v>0</v>
      </c>
      <c r="R43" s="4">
        <f>'2024.10'!W5</f>
        <v>0</v>
      </c>
      <c r="S43" s="4">
        <f>'2024.10'!V5</f>
        <v>0.28000000000000003</v>
      </c>
    </row>
    <row r="44" spans="1:19" x14ac:dyDescent="0.25">
      <c r="A44" s="38">
        <f>'2024.11'!Q2</f>
        <v>2024.11</v>
      </c>
      <c r="B44" s="4">
        <f>B43+'2024.11'!Q5</f>
        <v>813.92</v>
      </c>
      <c r="C44" s="4">
        <f>'2024.11'!R5</f>
        <v>0</v>
      </c>
      <c r="D44" s="4">
        <f>D43+'2024.11'!S5</f>
        <v>813.92</v>
      </c>
      <c r="E44" s="4">
        <f>'SEB Active 55'!H46</f>
        <v>622.88</v>
      </c>
      <c r="F44" s="4">
        <f>'SEB Active 80'!H46</f>
        <v>236.03</v>
      </c>
      <c r="G44" s="16">
        <f>'SEB Artificial Intelligence Fun'!AN15</f>
        <v>46.69</v>
      </c>
      <c r="H44" s="16">
        <f>'SEB Global High Yield Fund'!H5</f>
        <v>19.989999999999998</v>
      </c>
      <c r="I44" s="16">
        <v>0</v>
      </c>
      <c r="J44" s="16">
        <v>0</v>
      </c>
      <c r="K44" s="16">
        <v>0</v>
      </c>
      <c r="L44" s="16">
        <v>0</v>
      </c>
      <c r="M44" s="4">
        <f t="shared" ref="M44" si="105">SUM(E44:L44)</f>
        <v>925.59</v>
      </c>
      <c r="N44" s="4">
        <f t="shared" ref="N44" si="106">M44-B44</f>
        <v>111.67</v>
      </c>
      <c r="O44" s="18">
        <f t="shared" ref="O44" si="107">N44/B44</f>
        <v>0.13719999999999999</v>
      </c>
      <c r="P44" s="4">
        <f>'2024.11'!X5</f>
        <v>0</v>
      </c>
      <c r="Q44" s="4">
        <f>'2024.11'!U5</f>
        <v>0</v>
      </c>
      <c r="R44" s="4">
        <f>'2024.11'!W5</f>
        <v>0</v>
      </c>
      <c r="S44" s="4">
        <f>'2024.11'!V5</f>
        <v>0.3</v>
      </c>
    </row>
    <row r="45" spans="1:19" x14ac:dyDescent="0.25">
      <c r="A45" s="38">
        <f>'2024.12'!Q2</f>
        <v>2024.12</v>
      </c>
      <c r="B45" s="4">
        <f>B44+'2024.12'!Q5</f>
        <v>828.92</v>
      </c>
      <c r="C45" s="4">
        <f>'2024.12'!R5</f>
        <v>0</v>
      </c>
      <c r="D45" s="4">
        <f>D44+'2024.12'!S5</f>
        <v>828.92</v>
      </c>
      <c r="E45" s="4">
        <f>'SEB Active 55'!H47</f>
        <v>634.95000000000005</v>
      </c>
      <c r="F45" s="4">
        <f>'SEB Active 80'!H47</f>
        <v>235.02</v>
      </c>
      <c r="G45" s="16">
        <f>'SEB Artificial Intelligence Fun'!AN16</f>
        <v>49.47</v>
      </c>
      <c r="H45" s="16">
        <f>'SEB Global High Yield Fund'!H6</f>
        <v>19.98</v>
      </c>
      <c r="I45" s="16">
        <v>0</v>
      </c>
      <c r="J45" s="16">
        <v>0</v>
      </c>
      <c r="K45" s="16">
        <v>0</v>
      </c>
      <c r="L45" s="16">
        <v>0</v>
      </c>
      <c r="M45" s="4">
        <f t="shared" ref="M45" si="108">SUM(E45:L45)</f>
        <v>939.42</v>
      </c>
      <c r="N45" s="4">
        <f t="shared" ref="N45" si="109">M45-B45</f>
        <v>110.5</v>
      </c>
      <c r="O45" s="18">
        <f t="shared" ref="O45" si="110">N45/B45</f>
        <v>0.1333</v>
      </c>
      <c r="P45" s="4">
        <f>'2024.12'!X5</f>
        <v>0</v>
      </c>
      <c r="Q45" s="4">
        <f>'2024.12'!U5</f>
        <v>0</v>
      </c>
      <c r="R45" s="4">
        <f>'2024.12'!W5</f>
        <v>0</v>
      </c>
      <c r="S45" s="4">
        <f>'2024.12'!V5</f>
        <v>0.31</v>
      </c>
    </row>
    <row r="46" spans="1:19" x14ac:dyDescent="0.25">
      <c r="A46" s="38">
        <f>'2025.01'!Q2</f>
        <v>2025.01</v>
      </c>
      <c r="B46" s="4">
        <f>B45+'2025.01'!Q5</f>
        <v>883.92</v>
      </c>
      <c r="C46" s="4">
        <f>'2025.01'!R5</f>
        <v>0</v>
      </c>
      <c r="D46" s="4">
        <f>D45+'2025.01'!S5</f>
        <v>883.92</v>
      </c>
      <c r="E46" s="4">
        <f>'SEB Active 55'!H48</f>
        <v>667.56</v>
      </c>
      <c r="F46" s="4">
        <f>'SEB Active 80'!H48</f>
        <v>264.04000000000002</v>
      </c>
      <c r="G46" s="16">
        <f>'SEB Artificial Intelligence Fun'!AN17</f>
        <v>49.81</v>
      </c>
      <c r="H46" s="16">
        <f>'SEB Global High Yield Fund'!H7</f>
        <v>20.190000000000001</v>
      </c>
      <c r="I46" s="16">
        <f>'SEB Global Exposure fund UD'!H5</f>
        <v>21.04</v>
      </c>
      <c r="J46" s="16">
        <v>0</v>
      </c>
      <c r="K46" s="16">
        <v>0</v>
      </c>
      <c r="L46" s="16">
        <v>0</v>
      </c>
      <c r="M46" s="4">
        <f t="shared" ref="M46" si="111">SUM(E46:L46)</f>
        <v>1022.64</v>
      </c>
      <c r="N46" s="4">
        <f t="shared" ref="N46" si="112">M46-B46</f>
        <v>138.72</v>
      </c>
      <c r="O46" s="18">
        <f t="shared" ref="O46" si="113">N46/B46</f>
        <v>0.15690000000000001</v>
      </c>
      <c r="P46" s="4">
        <f>'2025.01'!X5</f>
        <v>0</v>
      </c>
      <c r="Q46" s="4">
        <f>'2025.01'!U5</f>
        <v>0</v>
      </c>
      <c r="R46" s="4">
        <f>'2025.01'!W5</f>
        <v>0</v>
      </c>
      <c r="S46" s="4">
        <f>'2025.01'!V5</f>
        <v>0.33</v>
      </c>
    </row>
    <row r="47" spans="1:19" x14ac:dyDescent="0.25">
      <c r="A47" s="38">
        <f>'2025.02'!Q2</f>
        <v>2025.02</v>
      </c>
      <c r="B47" s="4">
        <f>B46+'2025.02'!Q5</f>
        <v>908.92</v>
      </c>
      <c r="C47" s="4">
        <f>'2025.02'!R5</f>
        <v>0</v>
      </c>
      <c r="D47" s="4">
        <f>D46+'2025.02'!S5</f>
        <v>908.92</v>
      </c>
      <c r="E47" s="4">
        <f>'SEB Active 55'!H49</f>
        <v>689.88</v>
      </c>
      <c r="F47" s="4">
        <f>'SEB Active 80'!H49</f>
        <v>267.58999999999997</v>
      </c>
      <c r="G47" s="16">
        <f>'SEB Artificial Intelligence Fun'!AN18</f>
        <v>46.26</v>
      </c>
      <c r="H47" s="16">
        <f>'SEB Global High Yield Fund'!H8</f>
        <v>20.309999999999999</v>
      </c>
      <c r="I47" s="16">
        <f>'SEB Global Exposure fund UD'!H6</f>
        <v>30.52</v>
      </c>
      <c r="J47" s="16">
        <v>0</v>
      </c>
      <c r="K47" s="16">
        <v>0</v>
      </c>
      <c r="L47" s="16">
        <v>0</v>
      </c>
      <c r="M47" s="4">
        <f t="shared" ref="M47" si="114">SUM(E47:L47)</f>
        <v>1054.56</v>
      </c>
      <c r="N47" s="4">
        <f t="shared" ref="N47" si="115">M47-B47</f>
        <v>145.63999999999999</v>
      </c>
      <c r="O47" s="18">
        <f t="shared" ref="O47" si="116">N47/B47</f>
        <v>0.16020000000000001</v>
      </c>
      <c r="P47" s="4">
        <f>'2025.02'!X5</f>
        <v>0</v>
      </c>
      <c r="Q47" s="4">
        <f>'2025.02'!U5</f>
        <v>0</v>
      </c>
      <c r="R47" s="4">
        <f>'2025.02'!W5</f>
        <v>0</v>
      </c>
      <c r="S47" s="4">
        <f>'2025.02'!V5</f>
        <v>0.36</v>
      </c>
    </row>
    <row r="48" spans="1:19" x14ac:dyDescent="0.25">
      <c r="A48" s="38">
        <f>'2025.03'!Q2</f>
        <v>2025.03</v>
      </c>
      <c r="B48" s="4">
        <f>B47+'2025.03'!Q5</f>
        <v>998.92</v>
      </c>
      <c r="C48" s="4">
        <f>'2025.03'!R5</f>
        <v>0</v>
      </c>
      <c r="D48" s="4">
        <f>D47+'2025.03'!S5</f>
        <v>998.92</v>
      </c>
      <c r="E48" s="4">
        <f>'SEB Active 55'!H50</f>
        <v>679.21</v>
      </c>
      <c r="F48" s="4">
        <f>'SEB Active 80'!H50</f>
        <v>278.04000000000002</v>
      </c>
      <c r="G48" s="16">
        <f>'SEB Artificial Intelligence Fun'!AN19</f>
        <v>41.08</v>
      </c>
      <c r="H48" s="16">
        <f>'SEB Global High Yield Fund'!H9</f>
        <v>20.14</v>
      </c>
      <c r="I48" s="16">
        <f>'SEB Global Exposure fund UD'!H7</f>
        <v>28.24</v>
      </c>
      <c r="J48" s="16">
        <f>'SEB Europe Exposure Fund UC'!H5</f>
        <v>49.19</v>
      </c>
      <c r="K48" s="16">
        <v>0</v>
      </c>
      <c r="L48" s="16">
        <v>0</v>
      </c>
      <c r="M48" s="4">
        <f t="shared" ref="M48" si="117">SUM(E48:L48)</f>
        <v>1095.9000000000001</v>
      </c>
      <c r="N48" s="4">
        <f t="shared" ref="N48" si="118">M48-B48</f>
        <v>96.98</v>
      </c>
      <c r="O48" s="18">
        <f t="shared" ref="O48" si="119">N48/B48</f>
        <v>9.7100000000000006E-2</v>
      </c>
      <c r="P48" s="4">
        <f>'2025.03'!X5</f>
        <v>0</v>
      </c>
      <c r="Q48" s="4">
        <f>'2025.03'!U5</f>
        <v>0</v>
      </c>
      <c r="R48" s="4">
        <f>'2025.03'!W5</f>
        <v>0</v>
      </c>
      <c r="S48" s="4">
        <f>'2025.03'!V5</f>
        <v>0.37</v>
      </c>
    </row>
    <row r="49" spans="1:19" x14ac:dyDescent="0.25">
      <c r="A49" s="38">
        <f>'2025.04'!Q2</f>
        <v>2025.04</v>
      </c>
      <c r="B49" s="4">
        <f>B48+'2025.04'!Q5</f>
        <v>1038.92</v>
      </c>
      <c r="C49" s="4">
        <f>'2025.04'!R5</f>
        <v>0</v>
      </c>
      <c r="D49" s="4">
        <f>D48+'2025.04'!S5</f>
        <v>1038.92</v>
      </c>
      <c r="E49" s="4">
        <f>'SEB Active 55'!H51</f>
        <v>681.78</v>
      </c>
      <c r="F49" s="4">
        <f>'SEB Active 80'!H51</f>
        <v>266.63</v>
      </c>
      <c r="G49" s="16">
        <f>'SEB Artificial Intelligence Fun'!AN20</f>
        <v>40.61</v>
      </c>
      <c r="H49" s="16">
        <f>'SEB Global High Yield Fund'!H10</f>
        <v>20.21</v>
      </c>
      <c r="I49" s="16">
        <f>'SEB Global Exposure fund UD'!H8</f>
        <v>26.95</v>
      </c>
      <c r="J49" s="16">
        <f>'SEB Europe Exposure Fund UC'!H6</f>
        <v>48.06</v>
      </c>
      <c r="K49" s="16">
        <f>'SEB US Exposure Fund UD'!H5</f>
        <v>20.68</v>
      </c>
      <c r="L49" s="16">
        <v>0</v>
      </c>
      <c r="M49" s="4">
        <f t="shared" ref="M49" si="120">SUM(E49:L49)</f>
        <v>1104.92</v>
      </c>
      <c r="N49" s="4">
        <f t="shared" ref="N49" si="121">M49-B49</f>
        <v>66</v>
      </c>
      <c r="O49" s="18">
        <f t="shared" ref="O49" si="122">N49/B49</f>
        <v>6.3500000000000001E-2</v>
      </c>
      <c r="P49" s="4">
        <f>'2025.04'!X5</f>
        <v>0</v>
      </c>
      <c r="Q49" s="4">
        <f>'2025.04'!U5</f>
        <v>0</v>
      </c>
      <c r="R49" s="4">
        <f>'2025.04'!W5</f>
        <v>0</v>
      </c>
      <c r="S49" s="4">
        <f>'2025.04'!V5</f>
        <v>0.36</v>
      </c>
    </row>
    <row r="50" spans="1:19" x14ac:dyDescent="0.25">
      <c r="A50" s="38">
        <f>'2025.05'!Q2</f>
        <v>2025.05</v>
      </c>
      <c r="B50" s="4">
        <f>B49+'2025.05'!Q5</f>
        <v>1098.92</v>
      </c>
      <c r="C50" s="4">
        <f>'2025.05'!R5</f>
        <v>0</v>
      </c>
      <c r="D50" s="4">
        <f>D49+'2025.05'!S5</f>
        <v>1098.92</v>
      </c>
      <c r="E50" s="4">
        <f>'SEB Active 55'!H52</f>
        <v>729.07</v>
      </c>
      <c r="F50" s="4">
        <f>'SEB Active 80'!H52</f>
        <v>313.14999999999998</v>
      </c>
      <c r="G50" s="16">
        <f>'SEB Artificial Intelligence Fun'!AN21</f>
        <v>44.41</v>
      </c>
      <c r="H50" s="16">
        <f>'SEB Global High Yield Fund'!H11</f>
        <v>20.399999999999999</v>
      </c>
      <c r="I50" s="16">
        <f>'SEB Global Exposure fund UD'!H9</f>
        <v>27.23</v>
      </c>
      <c r="J50" s="16">
        <f>'SEB Europe Exposure Fund UC'!H7</f>
        <v>50.58</v>
      </c>
      <c r="K50" s="16">
        <f>'SEB US Exposure Fund UD'!H6</f>
        <v>21.67</v>
      </c>
      <c r="L50" s="16">
        <f>'SEB Europe Exposure Fund UD'!H5</f>
        <v>9.84</v>
      </c>
      <c r="M50" s="4">
        <f t="shared" ref="M50" si="123">SUM(E50:L50)</f>
        <v>1216.3499999999999</v>
      </c>
      <c r="N50" s="4">
        <f t="shared" ref="N50" si="124">M50-B50</f>
        <v>117.43</v>
      </c>
      <c r="O50" s="18">
        <f t="shared" ref="O50" si="125">N50/B50</f>
        <v>0.1069</v>
      </c>
      <c r="P50" s="4">
        <f>'2025.05'!X5</f>
        <v>0</v>
      </c>
      <c r="Q50" s="4">
        <f>'2025.05'!U5</f>
        <v>0</v>
      </c>
      <c r="R50" s="4">
        <f>'2025.05'!W5</f>
        <v>0</v>
      </c>
      <c r="S50" s="4">
        <f>'2025.05'!V5</f>
        <v>0.36</v>
      </c>
    </row>
    <row r="51" spans="1:19" x14ac:dyDescent="0.25">
      <c r="A51" s="38">
        <f>'2025.06'!Q2</f>
        <v>2025.06</v>
      </c>
      <c r="B51" s="4">
        <f>B50+'2025.06'!Q5</f>
        <v>1118.92</v>
      </c>
      <c r="C51" s="4">
        <f>'2025.06'!R5</f>
        <v>0</v>
      </c>
      <c r="D51" s="4">
        <f>D50+'2025.06'!S5</f>
        <v>1118.92</v>
      </c>
      <c r="E51" s="4">
        <f>'SEB Active 55'!H53</f>
        <v>744.55</v>
      </c>
      <c r="F51" s="4">
        <f>'SEB Active 80'!H53</f>
        <v>308.7</v>
      </c>
      <c r="G51" s="16">
        <f>'SEB Artificial Intelligence Fun'!AN22</f>
        <v>44.01</v>
      </c>
      <c r="H51" s="16">
        <f>'SEB Global High Yield Fund'!H12</f>
        <v>20.65</v>
      </c>
      <c r="I51" s="16">
        <f>'SEB Global Exposure fund UD'!H10</f>
        <v>28.2</v>
      </c>
      <c r="J51" s="16">
        <f>'SEB Europe Exposure Fund UC'!H8</f>
        <v>49.3</v>
      </c>
      <c r="K51" s="16">
        <f>'SEB US Exposure Fund UD'!H7</f>
        <v>22.39</v>
      </c>
      <c r="L51" s="16">
        <f>'SEB Europe Exposure Fund UD'!H6</f>
        <v>9.9499999999999993</v>
      </c>
      <c r="M51" s="4">
        <f t="shared" ref="M51" si="126">SUM(E51:L51)</f>
        <v>1227.75</v>
      </c>
      <c r="N51" s="4">
        <f t="shared" ref="N51" si="127">M51-B51</f>
        <v>108.83</v>
      </c>
      <c r="O51" s="18">
        <f t="shared" ref="O51" si="128">N51/B51</f>
        <v>9.7299999999999998E-2</v>
      </c>
      <c r="P51" s="4">
        <f>'2025.06'!X5</f>
        <v>0</v>
      </c>
      <c r="Q51" s="4">
        <f>'2025.06'!U5</f>
        <v>0</v>
      </c>
      <c r="R51" s="4">
        <f>'2025.06'!W5</f>
        <v>0</v>
      </c>
      <c r="S51" s="4">
        <f>'2025.06'!V5</f>
        <v>0.41</v>
      </c>
    </row>
    <row r="52" spans="1:19" x14ac:dyDescent="0.25">
      <c r="A52" s="38">
        <f>'2025.07'!Q2</f>
        <v>2025.07</v>
      </c>
      <c r="B52" s="4">
        <f>B51+'2025.07'!Q5</f>
        <v>1178.92</v>
      </c>
      <c r="C52" s="4">
        <f>'2025.07'!R5</f>
        <v>0</v>
      </c>
      <c r="D52" s="4">
        <f>D51+'2025.07'!S5</f>
        <v>1178.92</v>
      </c>
      <c r="E52" s="4">
        <f>'SEB Active 55'!H54</f>
        <v>781.84</v>
      </c>
      <c r="F52" s="4">
        <f>'SEB Active 80'!H54</f>
        <v>359.15</v>
      </c>
      <c r="G52" s="16">
        <f>'SEB Artificial Intelligence Fun'!AN23</f>
        <v>47.24</v>
      </c>
      <c r="H52" s="16">
        <f>'SEB Global High Yield Fund'!H13</f>
        <v>20.8</v>
      </c>
      <c r="I52" s="16">
        <f>'SEB Global Exposure fund UD'!H11</f>
        <v>29.53</v>
      </c>
      <c r="J52" s="16">
        <f>'SEB Europe Exposure Fund UC'!H9</f>
        <v>50.37</v>
      </c>
      <c r="K52" s="16">
        <f>'SEB US Exposure Fund UD'!H8</f>
        <v>23.64</v>
      </c>
      <c r="L52" s="16">
        <f>'SEB Europe Exposure Fund UD'!H7</f>
        <v>10.16</v>
      </c>
      <c r="M52" s="4">
        <f t="shared" ref="M52" si="129">SUM(E52:L52)</f>
        <v>1322.73</v>
      </c>
      <c r="N52" s="4">
        <f t="shared" ref="N52" si="130">M52-B52</f>
        <v>143.81</v>
      </c>
      <c r="O52" s="18">
        <f t="shared" ref="O52" si="131">N52/B52</f>
        <v>0.122</v>
      </c>
      <c r="P52" s="4">
        <f>'2025.07'!X5</f>
        <v>0</v>
      </c>
      <c r="Q52" s="4">
        <f>'2025.07'!U5</f>
        <v>0</v>
      </c>
      <c r="R52" s="4">
        <f>'2025.07'!W5</f>
        <v>0</v>
      </c>
      <c r="S52" s="4">
        <f>'2025.07'!V5</f>
        <v>0.44</v>
      </c>
    </row>
    <row r="53" spans="1:19" x14ac:dyDescent="0.25">
      <c r="A53" s="38">
        <f>'2025.08'!Q2</f>
        <v>2025.08</v>
      </c>
      <c r="B53" s="4">
        <f>B52+'2025.08'!Q5</f>
        <v>1218.92</v>
      </c>
      <c r="C53" s="4">
        <f>'2025.08'!R5</f>
        <v>0</v>
      </c>
      <c r="D53" s="4">
        <f>D52+'2025.08'!S5</f>
        <v>1218.92</v>
      </c>
      <c r="E53" s="4">
        <f>'SEB Active 55'!H55</f>
        <v>804.4</v>
      </c>
      <c r="F53" s="4">
        <f>'SEB Active 80'!H55</f>
        <v>379.94</v>
      </c>
      <c r="G53" s="16">
        <f>'SEB Artificial Intelligence Fun'!AN24</f>
        <v>46.44</v>
      </c>
      <c r="H53" s="16">
        <f>'SEB Global High Yield Fund'!H14</f>
        <v>20.92</v>
      </c>
      <c r="I53" s="16">
        <f>'SEB Global Exposure fund UD'!H12</f>
        <v>29.95</v>
      </c>
      <c r="J53" s="16">
        <f>'SEB Europe Exposure Fund UC'!H10</f>
        <v>50.91</v>
      </c>
      <c r="K53" s="16">
        <f>'SEB US Exposure Fund UD'!H9</f>
        <v>23.93</v>
      </c>
      <c r="L53" s="16">
        <f>'SEB Europe Exposure Fund UD'!H8</f>
        <v>10.27</v>
      </c>
      <c r="M53" s="4">
        <f t="shared" ref="M53" si="132">SUM(E53:L53)</f>
        <v>1366.76</v>
      </c>
      <c r="N53" s="4">
        <f t="shared" ref="N53" si="133">M53-B53</f>
        <v>147.84</v>
      </c>
      <c r="O53" s="18">
        <f t="shared" ref="O53" si="134">N53/B53</f>
        <v>0.12130000000000001</v>
      </c>
      <c r="P53" s="4">
        <f>'2025.08'!X5</f>
        <v>0</v>
      </c>
      <c r="Q53" s="4">
        <f>'2025.08'!U5</f>
        <v>0</v>
      </c>
      <c r="R53" s="4">
        <f>'2025.08'!W5</f>
        <v>0</v>
      </c>
      <c r="S53" s="4">
        <f>'2025.08'!V5</f>
        <v>0.46</v>
      </c>
    </row>
    <row r="54" spans="1:19" x14ac:dyDescent="0.25">
      <c r="A54" s="38">
        <f>'2025.09'!Q2</f>
        <v>2025.09</v>
      </c>
      <c r="B54" s="4">
        <f>B53+'2025.09'!Q5</f>
        <v>1238.92</v>
      </c>
      <c r="C54" s="4">
        <f>'2025.09'!R5</f>
        <v>0</v>
      </c>
      <c r="D54" s="4">
        <f>D53+'2025.09'!S5</f>
        <v>1238.92</v>
      </c>
      <c r="E54" s="4">
        <f>'SEB Active 55'!H56</f>
        <v>826.34</v>
      </c>
      <c r="F54" s="4">
        <f>'SEB Active 80'!H56</f>
        <v>380.47</v>
      </c>
      <c r="G54" s="16">
        <f>'SEB Artificial Intelligence Fun'!AN25</f>
        <v>47.44</v>
      </c>
      <c r="H54" s="16">
        <f>'SEB Global High Yield Fund'!H15</f>
        <v>21.01</v>
      </c>
      <c r="I54" s="16">
        <f>'SEB Global Exposure fund UD'!H13</f>
        <v>30.44</v>
      </c>
      <c r="J54" s="16">
        <f>'SEB Europe Exposure Fund UC'!H11</f>
        <v>50.71</v>
      </c>
      <c r="K54" s="16">
        <f>'SEB US Exposure Fund UD'!H10</f>
        <v>24.38</v>
      </c>
      <c r="L54" s="16">
        <f>'SEB Europe Exposure Fund UD'!H9</f>
        <v>10.23</v>
      </c>
      <c r="M54" s="4">
        <f t="shared" ref="M54" si="135">SUM(E54:L54)</f>
        <v>1391.02</v>
      </c>
      <c r="N54" s="4">
        <f t="shared" ref="N54" si="136">M54-B54</f>
        <v>152.1</v>
      </c>
      <c r="O54" s="18">
        <f t="shared" ref="O54" si="137">N54/B54</f>
        <v>0.12280000000000001</v>
      </c>
      <c r="P54" s="4">
        <f>'2025.09'!X5</f>
        <v>0</v>
      </c>
      <c r="Q54" s="4">
        <f>'2025.09'!U5</f>
        <v>0</v>
      </c>
      <c r="R54" s="4">
        <f>'2025.09'!W5</f>
        <v>0</v>
      </c>
      <c r="S54" s="4">
        <f>'2025.09'!V5</f>
        <v>0.48</v>
      </c>
    </row>
    <row r="55" spans="1:19" x14ac:dyDescent="0.25">
      <c r="A55" s="38">
        <f>'2025.10'!Q2</f>
        <v>2025.1</v>
      </c>
      <c r="B55" s="4">
        <f>B54+'2025.10'!Q5</f>
        <v>1298.92</v>
      </c>
      <c r="C55" s="4">
        <f>'2025.10'!R5</f>
        <v>0</v>
      </c>
      <c r="D55" s="4">
        <f>D54+'2025.10'!S5</f>
        <v>1298.92</v>
      </c>
      <c r="E55" s="4">
        <f>'SEB Active 55'!H57</f>
        <v>874.18</v>
      </c>
      <c r="F55" s="4">
        <f>'SEB Active 80'!H57</f>
        <v>438.6</v>
      </c>
      <c r="G55" s="16">
        <f>'SEB Artificial Intelligence Fun'!AN26</f>
        <v>51.47</v>
      </c>
      <c r="H55" s="16">
        <f>'SEB Global High Yield Fund'!H16</f>
        <v>21.13</v>
      </c>
      <c r="I55" s="16">
        <f>'SEB Global Exposure fund UD'!H14</f>
        <v>31.79</v>
      </c>
      <c r="J55" s="16">
        <f>'SEB Europe Exposure Fund UC'!H12</f>
        <v>52.72</v>
      </c>
      <c r="K55" s="16">
        <f>'SEB US Exposure Fund UD'!H11</f>
        <v>25.45</v>
      </c>
      <c r="L55" s="16">
        <f>'SEB Europe Exposure Fund UD'!H10</f>
        <v>10.64</v>
      </c>
      <c r="M55" s="4">
        <f t="shared" ref="M55" si="138">SUM(E55:L55)</f>
        <v>1505.98</v>
      </c>
      <c r="N55" s="4">
        <f t="shared" ref="N55" si="139">M55-B55</f>
        <v>207.06</v>
      </c>
      <c r="O55" s="18">
        <f t="shared" ref="O55" si="140">N55/B55</f>
        <v>0.15939999999999999</v>
      </c>
      <c r="P55" s="4">
        <f>'2025.10'!X5</f>
        <v>0</v>
      </c>
      <c r="Q55" s="4">
        <f>'2025.10'!U5</f>
        <v>0</v>
      </c>
      <c r="R55" s="4">
        <f>'2025.10'!W5</f>
        <v>0</v>
      </c>
      <c r="S55" s="4">
        <f>'2025.10'!V5</f>
        <v>0.49</v>
      </c>
    </row>
    <row r="56" spans="1:19" x14ac:dyDescent="0.25">
      <c r="A56" s="38">
        <f>'2025.11'!Q2</f>
        <v>2025.11</v>
      </c>
      <c r="B56" s="4">
        <f>B55+'2025.11'!Q5-'SEB Artificial Intelligence Fun'!P5-'SEB Global High Yield Fund'!P5-'SEB Global Exposure fund UD'!P5-'SEB Europe Exposure Fund UC'!P5-'SEB US Exposure Fund UD'!P5-'SEB Europe Exposure Fund UD'!P5</f>
        <v>1151</v>
      </c>
      <c r="C56" s="4">
        <f>'2025.11'!R5</f>
        <v>186.82</v>
      </c>
      <c r="D56" s="4">
        <f>D55+'2025.11'!S5</f>
        <v>1318.92</v>
      </c>
      <c r="E56" s="4">
        <f>'SEB Active 55'!H58</f>
        <v>887.48</v>
      </c>
      <c r="F56" s="4">
        <f>'SEB Active 80'!H58</f>
        <v>434.36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4">
        <f t="shared" ref="M56" si="141">SUM(E56:L56)</f>
        <v>1321.84</v>
      </c>
      <c r="N56" s="4">
        <f t="shared" ref="N56" si="142">M56-B56</f>
        <v>170.84</v>
      </c>
      <c r="O56" s="18">
        <f t="shared" ref="O56" si="143">N56/B56</f>
        <v>0.1484</v>
      </c>
      <c r="P56" s="4">
        <f>'2025.11'!X5</f>
        <v>0</v>
      </c>
      <c r="Q56" s="4">
        <f>'2025.11'!U5</f>
        <v>0</v>
      </c>
      <c r="R56" s="4">
        <f>'2025.11'!W5</f>
        <v>0</v>
      </c>
      <c r="S56" s="4">
        <f>'2025.11'!V5</f>
        <v>0.51</v>
      </c>
    </row>
    <row r="57" spans="1:19" x14ac:dyDescent="0.25">
      <c r="A57" s="38">
        <f>'2025.12'!Q2</f>
        <v>2025.12</v>
      </c>
      <c r="B57" s="4">
        <f>B56+'2025.12'!Q5</f>
        <v>1191</v>
      </c>
      <c r="C57" s="4">
        <f>'2025.12'!R5</f>
        <v>0</v>
      </c>
      <c r="D57" s="4">
        <f>D56+'2025.12'!S5-'SEB Artificial Intelligence Fun'!P5-'SEB Global High Yield Fund'!P5-'SEB Global Exposure fund UD'!P5-'SEB Europe Exposure Fund UC'!P5-'SEB US Exposure Fund UD'!P5-'SEB Europe Exposure Fund UD'!P5</f>
        <v>1191</v>
      </c>
      <c r="E57" s="4">
        <f>'SEB Active 55'!H59</f>
        <v>918.94</v>
      </c>
      <c r="F57" s="4">
        <f>'SEB Active 80'!H59</f>
        <v>462.33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4">
        <f t="shared" ref="M57" si="144">SUM(E57:L57)</f>
        <v>1381.27</v>
      </c>
      <c r="N57" s="4">
        <f t="shared" ref="N57" si="145">M57-B57</f>
        <v>190.27</v>
      </c>
      <c r="O57" s="18">
        <f t="shared" ref="O57" si="146">N57/B57</f>
        <v>0.1598</v>
      </c>
      <c r="P57" s="4">
        <f>'2025.12'!X5</f>
        <v>0</v>
      </c>
      <c r="Q57" s="4">
        <f>'2025.12'!U5</f>
        <v>0</v>
      </c>
      <c r="R57" s="4">
        <f>'2025.12'!W5</f>
        <v>0</v>
      </c>
      <c r="S57" s="4">
        <f>'2025.12'!V5</f>
        <v>0.49</v>
      </c>
    </row>
    <row r="58" spans="1:19" x14ac:dyDescent="0.25">
      <c r="A58" s="38">
        <f>'2026.01'!Q2</f>
        <v>2026.01</v>
      </c>
      <c r="B58" s="4">
        <f>B57+'2026.01'!Q5</f>
        <v>1251</v>
      </c>
      <c r="C58" s="4">
        <f>'2026.01'!R5</f>
        <v>0</v>
      </c>
      <c r="D58" s="4">
        <f>D57+'2026.01'!S5-'SEB Artificial Intelligence Fun'!P6-'SEB Global High Yield Fund'!P6-'SEB Global Exposure fund UD'!P6-'SEB Europe Exposure Fund UC'!P6-'SEB US Exposure Fund UD'!P6-'SEB Europe Exposure Fund UD'!P6</f>
        <v>1251</v>
      </c>
      <c r="E58" s="4">
        <f>'SEB Active 55'!H60</f>
        <v>959.87</v>
      </c>
      <c r="F58" s="4">
        <f>'SEB Active 80'!H60</f>
        <v>515.05999999999995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4">
        <f t="shared" ref="M58" si="147">SUM(E58:L58)</f>
        <v>1474.93</v>
      </c>
      <c r="N58" s="4">
        <f t="shared" ref="N58" si="148">M58-B58</f>
        <v>223.93</v>
      </c>
      <c r="O58" s="18">
        <f t="shared" ref="O58" si="149">N58/B58</f>
        <v>0.17899999999999999</v>
      </c>
      <c r="P58" s="4">
        <f>'2026.01'!X5</f>
        <v>0</v>
      </c>
      <c r="Q58" s="4">
        <f>'2026.01'!U5</f>
        <v>0</v>
      </c>
      <c r="R58" s="4">
        <f>'2026.01'!W5</f>
        <v>0</v>
      </c>
      <c r="S58" s="4">
        <f>'2026.01'!V5</f>
        <v>0.48</v>
      </c>
    </row>
    <row r="59" spans="1:19" x14ac:dyDescent="0.25">
      <c r="A59" s="38">
        <f>'2026.02'!Q2</f>
        <v>2026.02</v>
      </c>
      <c r="B59" s="4">
        <f>B58+'2026.02'!Q5</f>
        <v>1271</v>
      </c>
      <c r="C59" s="4">
        <f>'2026.02'!R5</f>
        <v>0</v>
      </c>
      <c r="D59" s="4">
        <f>D58+'2026.02'!S5-'SEB Artificial Intelligence Fun'!P7-'SEB Global High Yield Fund'!P7-'SEB Global Exposure fund UD'!P7-'SEB Europe Exposure Fund UC'!P7-'SEB US Exposure Fund UD'!P7-'SEB Europe Exposure Fund UD'!P7</f>
        <v>1271</v>
      </c>
      <c r="E59" s="4">
        <f>'SEB Active 55'!H61</f>
        <v>991.59</v>
      </c>
      <c r="F59" s="4">
        <f>'SEB Active 80'!H61</f>
        <v>522.05999999999995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4">
        <f t="shared" ref="M59" si="150">SUM(E59:L59)</f>
        <v>1513.65</v>
      </c>
      <c r="N59" s="4">
        <f t="shared" ref="N59" si="151">M59-B59</f>
        <v>242.65</v>
      </c>
      <c r="O59" s="18">
        <f t="shared" ref="O59" si="152">N59/B59</f>
        <v>0.19089999999999999</v>
      </c>
      <c r="P59" s="4">
        <f>'2026.02'!X5</f>
        <v>0</v>
      </c>
      <c r="Q59" s="4">
        <f>'2026.02'!U5</f>
        <v>0</v>
      </c>
      <c r="R59" s="4">
        <f>'2026.02'!W5</f>
        <v>0</v>
      </c>
      <c r="S59" s="4">
        <f>'2026.02'!V5</f>
        <v>0.5</v>
      </c>
    </row>
    <row r="60" spans="1:19" x14ac:dyDescent="0.25">
      <c r="A60" s="38">
        <f>'2026.03'!Q2</f>
        <v>2026.03</v>
      </c>
      <c r="B60" s="4">
        <f>B59+'2026.03'!Q5</f>
        <v>1331</v>
      </c>
      <c r="C60" s="4">
        <f>'2026.03'!R5</f>
        <v>0</v>
      </c>
      <c r="D60" s="4">
        <f>D59+'2026.03'!S5-'SEB Artificial Intelligence Fun'!P8-'SEB Global High Yield Fund'!P8-'SEB Global Exposure fund UD'!P8-'SEB Europe Exposure Fund UC'!P8-'SEB US Exposure Fund UD'!P8-'SEB Europe Exposure Fund UD'!P8</f>
        <v>1331</v>
      </c>
      <c r="E60" s="4">
        <f>'SEB Active 55'!H62</f>
        <v>942.28</v>
      </c>
      <c r="F60" s="4">
        <f>'SEB Active 80'!H62</f>
        <v>516.61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4">
        <f t="shared" ref="M60" si="153">SUM(E60:L60)</f>
        <v>1458.89</v>
      </c>
      <c r="N60" s="4">
        <f t="shared" ref="N60" si="154">M60-B60</f>
        <v>127.89</v>
      </c>
      <c r="O60" s="18">
        <f t="shared" ref="O60" si="155">N60/B60</f>
        <v>9.6100000000000005E-2</v>
      </c>
      <c r="P60" s="4">
        <f>'2026.03'!X5</f>
        <v>0</v>
      </c>
      <c r="Q60" s="4">
        <f>'2026.03'!U5</f>
        <v>0</v>
      </c>
      <c r="R60" s="4">
        <f>'2026.03'!W5</f>
        <v>0</v>
      </c>
      <c r="S60" s="4">
        <f>'2026.03'!V5</f>
        <v>0.52</v>
      </c>
    </row>
    <row r="61" spans="1:19" x14ac:dyDescent="0.25">
      <c r="A61" s="38">
        <f>'2026.04'!$Q$2</f>
        <v>2026.04</v>
      </c>
      <c r="B61" s="4">
        <f>B60+'2026.04'!$Q$5</f>
        <v>1371</v>
      </c>
      <c r="C61" s="4">
        <f>'2026.04'!$R$5</f>
        <v>0</v>
      </c>
      <c r="D61" s="4">
        <f>D60+'2026.04'!S5-'SEB Artificial Intelligence Fun'!P9-'SEB Global High Yield Fund'!P9-'SEB Global Exposure fund UD'!P9-'SEB Europe Exposure Fund UC'!P9-'SEB US Exposure Fund UD'!P9-'SEB Europe Exposure Fund UD'!P9</f>
        <v>1371</v>
      </c>
      <c r="E61" s="4">
        <f>'SEB Active 55'!H63</f>
        <v>1017.3</v>
      </c>
      <c r="F61" s="4">
        <f>'SEB Active 80'!H63</f>
        <v>575.83000000000004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4">
        <f t="shared" ref="M61:M62" si="156">SUM(E61:L61)</f>
        <v>1593.13</v>
      </c>
      <c r="N61" s="4">
        <f t="shared" ref="N61:N62" si="157">M61-B61</f>
        <v>222.13</v>
      </c>
      <c r="O61" s="18">
        <f t="shared" ref="O61:O62" si="158">N61/B61</f>
        <v>0.16200000000000001</v>
      </c>
      <c r="P61" s="4">
        <f>'2026.04'!$X$5</f>
        <v>0</v>
      </c>
      <c r="Q61" s="4">
        <f>'2026.04'!$U$5</f>
        <v>0</v>
      </c>
      <c r="R61" s="4">
        <f>'2026.04'!$W$5</f>
        <v>0</v>
      </c>
      <c r="S61" s="4">
        <f>'2026.04'!$V$5</f>
        <v>0.52</v>
      </c>
    </row>
    <row r="62" spans="1:19" x14ac:dyDescent="0.25">
      <c r="A62" s="38">
        <f>'2026.05'!$Q$2</f>
        <v>2026.05</v>
      </c>
      <c r="B62" s="4">
        <f>B61+'2026.05'!$Q$5</f>
        <v>1411</v>
      </c>
      <c r="C62" s="4">
        <f>'2026.05'!$R$5</f>
        <v>0</v>
      </c>
      <c r="D62" s="4">
        <f>D61+'2026.05'!$S$5</f>
        <v>1411</v>
      </c>
      <c r="E62" s="4">
        <f>'SEB Active 55'!H64</f>
        <v>1077.31</v>
      </c>
      <c r="F62" s="4">
        <f>'SEB Active 80'!H64</f>
        <v>623.11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4">
        <f t="shared" si="156"/>
        <v>1700.42</v>
      </c>
      <c r="N62" s="4">
        <f t="shared" si="157"/>
        <v>289.42</v>
      </c>
      <c r="O62" s="18">
        <f t="shared" si="158"/>
        <v>0.2051</v>
      </c>
      <c r="P62" s="4">
        <f>'2026.05'!$X$5</f>
        <v>0</v>
      </c>
      <c r="Q62" s="4">
        <f>'2026.05'!$U$5</f>
        <v>0</v>
      </c>
      <c r="R62" s="4">
        <f>'2026.05'!$W$5</f>
        <v>0</v>
      </c>
      <c r="S62" s="4">
        <f>'2026.05'!$V$5</f>
        <v>0.54</v>
      </c>
    </row>
    <row r="63" spans="1:19" x14ac:dyDescent="0.25">
      <c r="A63" s="38">
        <f>'2026.06'!$Q$2</f>
        <v>2026.06</v>
      </c>
      <c r="B63" s="4">
        <f>B62+'2026.06'!$Q$5</f>
        <v>1431</v>
      </c>
      <c r="C63" s="4">
        <f>'2026.06'!$R$5</f>
        <v>1742.8</v>
      </c>
      <c r="D63" s="4">
        <f>D62+'2026.06'!$S$5</f>
        <v>1431</v>
      </c>
      <c r="E63" s="4">
        <f>'SEB Active 55'!H65</f>
        <v>1112.6199999999999</v>
      </c>
      <c r="F63" s="4">
        <f>'SEB Active 80'!H65</f>
        <v>630.17999999999995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4">
        <f t="shared" ref="M63" si="159">SUM(E63:L63)</f>
        <v>1742.8</v>
      </c>
      <c r="N63" s="4">
        <f t="shared" ref="N63" si="160">M63-B63</f>
        <v>311.8</v>
      </c>
      <c r="O63" s="18">
        <f t="shared" ref="O63" si="161">N63/B63</f>
        <v>0.21790000000000001</v>
      </c>
      <c r="P63" s="4">
        <f>'2026.06'!$X$5</f>
        <v>0</v>
      </c>
      <c r="Q63" s="4">
        <f>'2026.06'!$U$5</f>
        <v>0</v>
      </c>
      <c r="R63" s="4">
        <f>'2026.06'!$W$5</f>
        <v>0</v>
      </c>
      <c r="S63" s="4">
        <f>'2026.06'!$V$5</f>
        <v>1</v>
      </c>
    </row>
  </sheetData>
  <mergeCells count="5">
    <mergeCell ref="Q1:S1"/>
    <mergeCell ref="A1:A2"/>
    <mergeCell ref="B1:D1"/>
    <mergeCell ref="P1:P2"/>
    <mergeCell ref="E1:O1"/>
  </mergeCells>
  <hyperlinks>
    <hyperlink ref="A3" location="'2021.06'!A1" display="'2021.06'!A1" xr:uid="{74717BC7-9EB3-4A69-9509-44D646FE1EB9}"/>
    <hyperlink ref="A4" location="'2021.07'!A1" display="'2021.07'!A1" xr:uid="{ED4A1640-51CE-404D-9709-93EE52E108BF}"/>
    <hyperlink ref="A5" location="'2021.08'!A1" display="'2021.08'!A1" xr:uid="{5F68AFA4-2603-42C1-B6D0-099E6A7D418D}"/>
    <hyperlink ref="A6" location="'2021.09'!A1" display="'2021.09'!A1" xr:uid="{E4786BA8-AA4F-4B7A-9D77-0E1A1772F3CE}"/>
    <hyperlink ref="A7" location="'2021.10'!A1" display="'2021.10'!A1" xr:uid="{0ED00D57-D076-4CEF-9103-D7CAE6FAF2F2}"/>
    <hyperlink ref="A8" location="'2021.11'!A1" display="'2021.11'!A1" xr:uid="{9D669B88-8031-47A4-A44E-7B2CE421E802}"/>
    <hyperlink ref="A9" location="'2021.12'!A1" display="'2021.12'!A1" xr:uid="{34069F2C-7BB2-47B3-9073-7F78559E64AA}"/>
    <hyperlink ref="E2" location="'SEB Active 55'!A1" display="Active 55" xr:uid="{0148D0DB-F67D-4635-9931-580585AC9AE4}"/>
    <hyperlink ref="F2" location="'SEB Active 80'!A1" display="Active 80" xr:uid="{4CF8232E-A0B5-4AF1-8D06-F224EA60A2CE}"/>
    <hyperlink ref="G2" location="'SEB Artificial Intelligence Fun'!A1" display="Artificial" xr:uid="{E0D97672-7716-415C-AF7E-73D6812A4FF1}"/>
    <hyperlink ref="H2" location="'SEB Global High Yield Fund'!A1" display="Glob. Yield" xr:uid="{1033D623-00FA-4660-8A92-79010CFF18BA}"/>
    <hyperlink ref="I2" location="'SEB Global Exposure fund UD'!A1" display="Glob.Ex.UD" xr:uid="{6569EB42-10D3-4F47-9804-A93481CE3EFF}"/>
    <hyperlink ref="J2" location="'SEB Europe Exposure Fund UC'!A1" display="Eur.Ex.UC" xr:uid="{C854AECB-65DD-4F98-B373-C52C72740BA7}"/>
    <hyperlink ref="K2" location="'SEB US Exposure Fund UD'!A1" display="US.Ex.UD" xr:uid="{D579F15F-6A18-46BD-A5CB-2FF5BE62E29A}"/>
    <hyperlink ref="L2" location="'SEB Europe Exposure Fund UD'!A1" display="Eur.Ex.UD" xr:uid="{67597151-A3E4-42AA-AE98-6F54FFFAD6E1}"/>
    <hyperlink ref="A58" location="'2026.01'!A1" display="'2026.01'!A1" xr:uid="{89FADCB9-6651-44B6-8450-44B9BCDDB426}"/>
    <hyperlink ref="A10" location="'2022.01'!A1" display="'2022.01'!A1" xr:uid="{61244276-4E4A-4382-AC30-2D269C2B646D}"/>
    <hyperlink ref="A11" location="'2022.02'!A1" display="'2022.02'!A1" xr:uid="{3343AB96-6A5B-4810-BF87-C500B7B6CFED}"/>
    <hyperlink ref="A12" location="'2022.03'!A1" display="'2022.03'!A1" xr:uid="{2182E54C-AF42-460E-ACDE-1CDE2514EF7F}"/>
    <hyperlink ref="A13" location="'2022.04'!A1" display="'2022.04'!A1" xr:uid="{821253F1-353D-447C-92EA-8789D21DC8A7}"/>
    <hyperlink ref="A14" location="'2022.05'!A1" display="'2022.05'!A1" xr:uid="{828EACEF-062B-4A6B-8039-B3813AFE47D8}"/>
    <hyperlink ref="A15" location="'2022.06'!A1" display="'2022.06'!A1" xr:uid="{DF839BA6-2ABD-40B5-B6E0-9194089BA8EB}"/>
    <hyperlink ref="A16" location="'2022.07'!A1" display="'2022.07'!A1" xr:uid="{71E1FA0A-22F4-4641-BC35-D97914D385CD}"/>
    <hyperlink ref="A17" location="'2022.08'!A1" display="'2022.08'!A1" xr:uid="{F5B18848-B7AD-4355-85DB-4BEABDEA2D36}"/>
    <hyperlink ref="A18" location="'2022.09'!A1" display="'2022.09'!A1" xr:uid="{0DF2125E-36EC-46D3-8AF3-A0282EB27327}"/>
    <hyperlink ref="A19" location="'2022.10'!A1" display="'2022.10'!A1" xr:uid="{C288E920-511A-40C8-914E-44A373C99E13}"/>
    <hyperlink ref="A20" location="'2022.10'!A1" display="'2022.10'!A1" xr:uid="{7AC7CEA6-5B26-4D28-AC9B-4C6083366FAD}"/>
    <hyperlink ref="A21" location="'2022.12'!A1" display="'2022.12'!A1" xr:uid="{577CD15F-A2FD-48DB-B18D-E569E63215E7}"/>
    <hyperlink ref="A22" location="'2023.01'!A1" display="'2023.01'!A1" xr:uid="{984BBE98-1DAB-41A4-940A-866ADD1AAD5F}"/>
    <hyperlink ref="A23" location="'2023.02'!A1" display="'2023.02'!A1" xr:uid="{725DD85D-F00C-47C1-99B8-A90D9EEE3C38}"/>
    <hyperlink ref="A24" location="'2023.03'!A1" display="'2023.03'!A1" xr:uid="{6B132AC5-0395-48A0-89FE-D52D18E21C45}"/>
    <hyperlink ref="A25" location="'2023.04'!A1" display="'2023.04'!A1" xr:uid="{4A4F668E-9242-4491-BA6A-85694DE0CE21}"/>
    <hyperlink ref="A26" location="'2023.05'!A1" display="'2023.05'!A1" xr:uid="{6B10202C-5DA3-4950-A29A-5B8C16E12EE0}"/>
    <hyperlink ref="A27" location="'2023.06'!A1" display="'2023.06'!A1" xr:uid="{3CAB4F6D-CFA7-42AB-A981-E48369AEB831}"/>
    <hyperlink ref="A28" location="'2023.07'!A1" display="'2023.07'!A1" xr:uid="{EE5B5211-8628-4FD3-BCA7-055DAD02E60B}"/>
    <hyperlink ref="A29" location="'2023.08'!A1" display="'2023.08'!A1" xr:uid="{EC8D2CD6-FD80-41DC-BA24-8DE7DF169D84}"/>
    <hyperlink ref="A30" location="'2023.09'!A1" display="'2023.09'!A1" xr:uid="{986F4197-5F94-4AC2-A553-2A11D32BD4A4}"/>
    <hyperlink ref="A31" location="'2023.10'!A1" display="'2023.10'!A1" xr:uid="{D374F943-AB56-48E9-853A-06D975E4DB5B}"/>
    <hyperlink ref="A32" location="'2023.11'!A1" display="'2023.11'!A1" xr:uid="{3FAFE97C-8C5E-42A5-BFA2-4DD4B6DF7BC4}"/>
    <hyperlink ref="A33" location="'2023.12'!A1" display="'2023.12'!A1" xr:uid="{915F2159-F95C-41EA-801C-4431D82FDB47}"/>
    <hyperlink ref="A34" location="'2024.01'!A1" display="'2024.01'!A1" xr:uid="{99C1C772-8340-4F9A-93D8-53980F765ADA}"/>
    <hyperlink ref="A35" location="'2024.02'!A1" display="'2024.02'!A1" xr:uid="{7AB187BD-2B89-4F6D-89E2-C3789BA37AE8}"/>
    <hyperlink ref="A36" location="'2024.03'!A1" display="'2024.03'!A1" xr:uid="{692D2EC4-B18B-4A1D-AF18-A0E6C171F4A9}"/>
    <hyperlink ref="A37" location="'2024.04'!A1" display="'2024.04'!A1" xr:uid="{0E70F9EA-A253-419F-B888-EDB1572D8E1D}"/>
    <hyperlink ref="A38" location="'2024.05'!A1" display="'2024.05'!A1" xr:uid="{0853CB76-0A3B-4688-805F-608C2E01544D}"/>
    <hyperlink ref="A39" location="'2024.06'!A1" display="'2024.06'!A1" xr:uid="{2B299AED-FEB7-4ADB-BCCD-BFC0E613F10E}"/>
    <hyperlink ref="A40" location="'2024.07'!A1" display="'2024.07'!A1" xr:uid="{DDB85C25-44C0-4AC1-A95A-EE6FB88148D4}"/>
    <hyperlink ref="A41" location="'2024.08'!A1" display="'2024.08'!A1" xr:uid="{FCFB6E41-F15F-4D56-BEEA-B1CC5F7BF4AB}"/>
    <hyperlink ref="A42" location="'2024.09'!A1" display="'2024.09'!A1" xr:uid="{BCDCAAAF-B25D-48DD-BFE3-08B6EC50FC2E}"/>
    <hyperlink ref="A43" location="'2024.10'!A1" display="'2024.10'!A1" xr:uid="{B20EDFE2-3240-4334-B743-9FF3DB53F007}"/>
    <hyperlink ref="A44" location="'2024.11'!A1" display="'2024.11'!A1" xr:uid="{35A54B79-9BEE-4F4A-8720-2A92ACBD73AF}"/>
    <hyperlink ref="A45" location="'2024.12'!A1" display="'2024.12'!A1" xr:uid="{0E533806-A92E-4E22-818B-BBFFA5276AB4}"/>
    <hyperlink ref="A46" location="'2025.01'!A1" display="'2025.01'!A1" xr:uid="{E7941384-E3B5-44DD-BF01-5F194D4686F7}"/>
    <hyperlink ref="A47" location="'2025.02'!A1" display="'2025.02'!A1" xr:uid="{194F53FB-FFDC-4611-821A-3D1612FF96F4}"/>
    <hyperlink ref="A48" location="'2025.03'!A1" display="'2025.03'!A1" xr:uid="{29548592-07B1-4E00-9C89-B90269D1BC2E}"/>
    <hyperlink ref="A49" location="'2025.04'!A1" display="'2025.04'!A1" xr:uid="{551EF93D-CE6C-430D-AD05-A7425911C10F}"/>
    <hyperlink ref="A50" location="'2025.05'!A1" display="'2025.05'!A1" xr:uid="{CB793C47-64A3-4C89-97DE-793B98B84C3D}"/>
    <hyperlink ref="A51" location="'2025.06'!A1" display="'2025.06'!A1" xr:uid="{9C6175E2-87D9-4275-A8B1-01835ED10139}"/>
    <hyperlink ref="A52" location="'2025.07'!A1" display="'2025.07'!A1" xr:uid="{76EFB3BC-4260-437F-BD47-C1D5A195FF46}"/>
    <hyperlink ref="A53" location="'2025.08'!A1" display="'2025.08'!A1" xr:uid="{C79E9DEB-408D-4E6B-B4B3-941C01EFDA83}"/>
    <hyperlink ref="A54" location="'2025.09'!A1" display="'2025.09'!A1" xr:uid="{F1C29C60-2B1F-4DFB-8272-EBAE566DA79C}"/>
    <hyperlink ref="A55" location="'2025.10'!A1" display="'2025.10'!A1" xr:uid="{F7FE16C5-7445-4455-9E69-4DEF90A46FD1}"/>
    <hyperlink ref="A56" location="'2025.11'!A1" display="'2025.11'!A1" xr:uid="{8563237D-83B5-48C5-8157-21CAEDC25D12}"/>
    <hyperlink ref="A57" location="'2025.12'!A1" display="'2025.12'!A1" xr:uid="{44121669-B8FC-46F7-8CAC-84B34A760139}"/>
    <hyperlink ref="A59" location="'2026.02'!A1" display="'2026.02'!A1" xr:uid="{CBB3F571-63DF-4188-89AC-A1566CFB72B8}"/>
    <hyperlink ref="A60" location="'2026.03'!A1" display="'2026.03'!A1" xr:uid="{AD853F4D-E075-4C8D-839A-20B88BEF74A2}"/>
    <hyperlink ref="A61" location="'2026.04'!A1" display="'2026.04'!A1" xr:uid="{DEFE6516-C9AE-4427-8378-78404CB0244E}"/>
    <hyperlink ref="A62" location="'2026.05'!A1" display="'2026.05'!A1" xr:uid="{C2968480-13E0-4E30-A714-62FFC0ED0AC5}"/>
    <hyperlink ref="A63" location="'2026.05'!A1" display="'2026.05'!A1" xr:uid="{25E23630-0C5B-40E5-89D5-AFAEB77D3AE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G80"/>
  <sheetViews>
    <sheetView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R5" sqref="R5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4" t="s">
        <v>42</v>
      </c>
    </row>
    <row r="3" spans="1:33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14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</row>
    <row r="4" spans="1:33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</row>
    <row r="5" spans="1:33" x14ac:dyDescent="0.25">
      <c r="A5" s="39">
        <f>'2021.06'!Q2</f>
        <v>2021.06</v>
      </c>
      <c r="B5" s="4">
        <f>'2021.06'!B19</f>
        <v>60</v>
      </c>
      <c r="C5" s="4">
        <f>'2021.06'!C19</f>
        <v>60</v>
      </c>
      <c r="D5" s="4">
        <f>C5</f>
        <v>60</v>
      </c>
      <c r="E5" s="6">
        <f>'2021.06'!F19</f>
        <v>0.503</v>
      </c>
      <c r="F5" s="6">
        <f>E5</f>
        <v>0.503</v>
      </c>
      <c r="G5" s="6">
        <v>119.0476</v>
      </c>
      <c r="H5" s="4">
        <f>F5*G5</f>
        <v>59.88</v>
      </c>
      <c r="I5" s="4">
        <f>H5-D5</f>
        <v>-0.12</v>
      </c>
      <c r="J5" s="18">
        <f>(H5-D5)/D5</f>
        <v>-2E-3</v>
      </c>
      <c r="K5" s="4">
        <f>'2021.06'!D19</f>
        <v>0</v>
      </c>
      <c r="L5" s="4">
        <f>'2021.06'!J19</f>
        <v>0</v>
      </c>
      <c r="M5" s="4">
        <f>'2021.06'!O19</f>
        <v>0</v>
      </c>
      <c r="O5" s="3" t="s">
        <v>2</v>
      </c>
      <c r="P5" s="4">
        <f>SUM(B5:B100)</f>
        <v>913</v>
      </c>
      <c r="Q5" s="7">
        <f>SUM(E5:E100)</f>
        <v>7.415</v>
      </c>
      <c r="R5" s="4">
        <v>1112.6199999999999</v>
      </c>
      <c r="S5" s="4">
        <f>R5-P5+X5</f>
        <v>199.62</v>
      </c>
      <c r="T5" s="18">
        <f>(R5-P5+X5)/P5</f>
        <v>0.21859999999999999</v>
      </c>
      <c r="U5" s="18">
        <f ca="1">XIRR(AG5:AG85,AF5:AF85)</f>
        <v>8.09E-2</v>
      </c>
      <c r="V5" s="4">
        <f>SUM(K5:K100)</f>
        <v>0</v>
      </c>
      <c r="W5" s="4">
        <f>SUM(L5:L100)</f>
        <v>0</v>
      </c>
      <c r="X5" s="4">
        <f>SUM(M5:M100)</f>
        <v>0</v>
      </c>
      <c r="Y5" s="4" cm="1">
        <f t="array" ref="Y5">SUMPRODUCT(IFERROR(AD5:AD200,0),IFERROR(AE5:AE200,0))/SUM(IFERROR(AE5:AE200,0))</f>
        <v>122.65</v>
      </c>
      <c r="AC5" s="4">
        <f>'2021.06'!$C$19</f>
        <v>60</v>
      </c>
      <c r="AD5" s="4">
        <f>'2021.06'!$E$19</f>
        <v>119.28</v>
      </c>
      <c r="AE5" s="7">
        <f>'2021.06'!$F$19</f>
        <v>0.503</v>
      </c>
      <c r="AF5" s="49">
        <f>'2021.06'!$A$15</f>
        <v>44363</v>
      </c>
      <c r="AG5" s="4">
        <f>'2021.06'!$B$15*-1</f>
        <v>-50</v>
      </c>
    </row>
    <row r="6" spans="1:33" x14ac:dyDescent="0.25">
      <c r="A6" s="38">
        <f>'2021.07'!Q2</f>
        <v>2021.07</v>
      </c>
      <c r="B6" s="4">
        <f>'2021.07'!B19</f>
        <v>10</v>
      </c>
      <c r="C6" s="4">
        <f>'2021.07'!C19</f>
        <v>10</v>
      </c>
      <c r="D6" s="4">
        <f t="shared" ref="D6:D37" si="0">D5+B6</f>
        <v>70</v>
      </c>
      <c r="E6" s="6">
        <f>'2021.07'!F19</f>
        <v>8.2000000000000003E-2</v>
      </c>
      <c r="F6" s="6">
        <f t="shared" ref="F6:F52" si="1">F5+E6</f>
        <v>0.58499999999999996</v>
      </c>
      <c r="G6" s="6">
        <v>121.9512</v>
      </c>
      <c r="H6" s="4">
        <f t="shared" ref="H6:H57" si="2">F6*G6</f>
        <v>71.34</v>
      </c>
      <c r="I6" s="4">
        <f>H6-D6</f>
        <v>1.34</v>
      </c>
      <c r="J6" s="18">
        <f t="shared" ref="J6:J57" si="3">(H6-D6)/D6</f>
        <v>1.9099999999999999E-2</v>
      </c>
      <c r="K6" s="4">
        <f>'2021.07'!D19</f>
        <v>0</v>
      </c>
      <c r="L6" s="4">
        <f>'2021.07'!J19</f>
        <v>0</v>
      </c>
      <c r="M6" s="4">
        <f>'2021.07'!O19</f>
        <v>0</v>
      </c>
      <c r="AC6" s="4">
        <f>'2021.07'!$C$19</f>
        <v>10</v>
      </c>
      <c r="AD6" s="4">
        <f>'2021.07'!$E$19</f>
        <v>121.95</v>
      </c>
      <c r="AE6" s="7">
        <f>'2021.07'!$F$19</f>
        <v>8.2000000000000003E-2</v>
      </c>
      <c r="AF6" s="49">
        <f>'2021.06'!$A$16</f>
        <v>44365</v>
      </c>
      <c r="AG6" s="4">
        <f>'2021.06'!$B$16*-1</f>
        <v>-10</v>
      </c>
    </row>
    <row r="7" spans="1:33" x14ac:dyDescent="0.25">
      <c r="A7" s="39">
        <f>'2021.08'!Q2</f>
        <v>2021.08</v>
      </c>
      <c r="B7" s="4">
        <f>'2021.08'!B19</f>
        <v>10</v>
      </c>
      <c r="C7" s="4">
        <f>'2021.08'!C19</f>
        <v>10</v>
      </c>
      <c r="D7" s="4">
        <f t="shared" si="0"/>
        <v>80</v>
      </c>
      <c r="E7" s="6">
        <f>'2021.08'!F19</f>
        <v>8.2000000000000003E-2</v>
      </c>
      <c r="F7" s="6">
        <f t="shared" si="1"/>
        <v>0.66700000000000004</v>
      </c>
      <c r="G7" s="6">
        <v>121.9512</v>
      </c>
      <c r="H7" s="4">
        <f t="shared" si="2"/>
        <v>81.34</v>
      </c>
      <c r="I7" s="4">
        <f t="shared" ref="I7:I57" si="4">H7-D7</f>
        <v>1.34</v>
      </c>
      <c r="J7" s="18">
        <f t="shared" si="3"/>
        <v>1.6799999999999999E-2</v>
      </c>
      <c r="K7" s="4">
        <f>'2021.08'!D19</f>
        <v>0</v>
      </c>
      <c r="L7" s="4">
        <f>'2021.08'!J19</f>
        <v>0</v>
      </c>
      <c r="M7" s="4">
        <f>'2021.08'!O19</f>
        <v>0</v>
      </c>
      <c r="AC7" s="4">
        <f>'2021.08'!$C$19</f>
        <v>10</v>
      </c>
      <c r="AD7" s="4">
        <f>'2021.08'!$E$19</f>
        <v>121.95</v>
      </c>
      <c r="AE7" s="7">
        <f>'2021.08'!$F$19</f>
        <v>8.2000000000000003E-2</v>
      </c>
      <c r="AF7" s="49">
        <f>'2021.07'!$A$15</f>
        <v>44393</v>
      </c>
      <c r="AG7" s="4">
        <f>'2021.07'!$B$15*-1</f>
        <v>-10</v>
      </c>
    </row>
    <row r="8" spans="1:33" x14ac:dyDescent="0.25">
      <c r="A8" s="39">
        <f>'2021.09'!Q2</f>
        <v>2021.09</v>
      </c>
      <c r="B8" s="4">
        <f>'2021.09'!B19</f>
        <v>10</v>
      </c>
      <c r="C8" s="4">
        <f>'2021.09'!C19</f>
        <v>10</v>
      </c>
      <c r="D8" s="4">
        <f t="shared" si="0"/>
        <v>90</v>
      </c>
      <c r="E8" s="6">
        <f>'2021.09'!F19</f>
        <v>8.2000000000000003E-2</v>
      </c>
      <c r="F8" s="6">
        <f t="shared" si="1"/>
        <v>0.749</v>
      </c>
      <c r="G8" s="6">
        <v>121.9512</v>
      </c>
      <c r="H8" s="4">
        <f t="shared" si="2"/>
        <v>91.34</v>
      </c>
      <c r="I8" s="4">
        <f t="shared" si="4"/>
        <v>1.34</v>
      </c>
      <c r="J8" s="18">
        <f t="shared" si="3"/>
        <v>1.49E-2</v>
      </c>
      <c r="K8" s="4">
        <f>'2021.09'!D19</f>
        <v>0</v>
      </c>
      <c r="L8" s="4">
        <f>'2021.09'!J19</f>
        <v>0</v>
      </c>
      <c r="M8" s="4">
        <f>'2021.09'!O19</f>
        <v>0</v>
      </c>
      <c r="AC8" s="4">
        <f>'2021.09'!$C$19</f>
        <v>10</v>
      </c>
      <c r="AD8" s="4">
        <f>'2021.09'!$E$19</f>
        <v>121.95</v>
      </c>
      <c r="AE8" s="7">
        <f>'2021.09'!$F$19</f>
        <v>8.2000000000000003E-2</v>
      </c>
      <c r="AF8" s="49">
        <f>'2021.08'!$A$15</f>
        <v>44426</v>
      </c>
      <c r="AG8" s="4">
        <f>'2021.08'!$B$15*-1</f>
        <v>-10</v>
      </c>
    </row>
    <row r="9" spans="1:33" x14ac:dyDescent="0.25">
      <c r="A9" s="38">
        <f>'2021.10'!Q2</f>
        <v>2021.1</v>
      </c>
      <c r="B9" s="4">
        <f>'2021.10'!B19</f>
        <v>10</v>
      </c>
      <c r="C9" s="4">
        <f>'2021.10'!C19</f>
        <v>10</v>
      </c>
      <c r="D9" s="4">
        <f t="shared" si="0"/>
        <v>100</v>
      </c>
      <c r="E9" s="6">
        <f>'2021.10'!F19</f>
        <v>8.3000000000000004E-2</v>
      </c>
      <c r="F9" s="6">
        <f t="shared" si="1"/>
        <v>0.83199999999999996</v>
      </c>
      <c r="G9" s="6">
        <v>120.4819</v>
      </c>
      <c r="H9" s="4">
        <f t="shared" si="2"/>
        <v>100.24</v>
      </c>
      <c r="I9" s="4">
        <f t="shared" si="4"/>
        <v>0.24</v>
      </c>
      <c r="J9" s="18">
        <f t="shared" si="3"/>
        <v>2.3999999999999998E-3</v>
      </c>
      <c r="K9" s="4">
        <f>'2021.10'!D19</f>
        <v>0</v>
      </c>
      <c r="L9" s="4">
        <f>'2021.10'!J19</f>
        <v>0</v>
      </c>
      <c r="M9" s="4">
        <f>'2021.10'!O19</f>
        <v>0</v>
      </c>
      <c r="AC9" s="4">
        <f>'2021.10'!$C$19</f>
        <v>10</v>
      </c>
      <c r="AD9" s="4">
        <f>'2021.10'!$E$19</f>
        <v>120.48</v>
      </c>
      <c r="AE9" s="7">
        <f>'2021.10'!$F$19</f>
        <v>8.3000000000000004E-2</v>
      </c>
      <c r="AF9" s="49">
        <f>'2021.09'!$A$15</f>
        <v>44456</v>
      </c>
      <c r="AG9" s="4">
        <f>'2021.09'!$B$15*-1</f>
        <v>-10</v>
      </c>
    </row>
    <row r="10" spans="1:33" x14ac:dyDescent="0.25">
      <c r="A10" s="38">
        <f>'2021.11'!Q2</f>
        <v>2021.11</v>
      </c>
      <c r="B10" s="4">
        <f>'2021.11'!B19</f>
        <v>0</v>
      </c>
      <c r="C10" s="4">
        <f>'2021.11'!C19</f>
        <v>0</v>
      </c>
      <c r="D10" s="4">
        <f t="shared" si="0"/>
        <v>100</v>
      </c>
      <c r="E10" s="6">
        <f>'2021.11'!F19</f>
        <v>0</v>
      </c>
      <c r="F10" s="6">
        <f t="shared" si="1"/>
        <v>0.83199999999999996</v>
      </c>
      <c r="G10" s="6">
        <v>121.2505</v>
      </c>
      <c r="H10" s="4">
        <f t="shared" si="2"/>
        <v>100.88</v>
      </c>
      <c r="I10" s="4">
        <f t="shared" si="4"/>
        <v>0.88</v>
      </c>
      <c r="J10" s="18">
        <f t="shared" si="3"/>
        <v>8.8000000000000005E-3</v>
      </c>
      <c r="K10" s="4">
        <f>'2021.11'!D19</f>
        <v>0</v>
      </c>
      <c r="L10" s="4">
        <f>'2021.11'!J19</f>
        <v>0</v>
      </c>
      <c r="M10" s="4">
        <f>'2021.11'!O19</f>
        <v>0</v>
      </c>
      <c r="AC10" s="4">
        <f>'2021.11'!$C$19</f>
        <v>0</v>
      </c>
      <c r="AD10" s="4" t="str">
        <f>'2021.11'!$E$19</f>
        <v>0.00</v>
      </c>
      <c r="AE10" s="7">
        <f>'2021.11'!$F$19</f>
        <v>0</v>
      </c>
      <c r="AF10" s="49">
        <f>'2021.10'!$A$15</f>
        <v>44487</v>
      </c>
      <c r="AG10" s="4">
        <f>'2021.10'!$B$15*-1</f>
        <v>-10</v>
      </c>
    </row>
    <row r="11" spans="1:33" x14ac:dyDescent="0.25">
      <c r="A11" s="38">
        <f>'2021.12'!Q2</f>
        <v>2021.12</v>
      </c>
      <c r="B11" s="4">
        <f>'2021.12'!B19</f>
        <v>35</v>
      </c>
      <c r="C11" s="4">
        <f>'2021.12'!C19</f>
        <v>35</v>
      </c>
      <c r="D11" s="4">
        <f t="shared" si="0"/>
        <v>135</v>
      </c>
      <c r="E11" s="6">
        <f>'2021.12'!F19</f>
        <v>0.28739999999999999</v>
      </c>
      <c r="F11" s="6">
        <f t="shared" si="1"/>
        <v>1.1194</v>
      </c>
      <c r="G11" s="6">
        <v>122.9097</v>
      </c>
      <c r="H11" s="4">
        <f t="shared" si="2"/>
        <v>137.59</v>
      </c>
      <c r="I11" s="4">
        <f t="shared" si="4"/>
        <v>2.59</v>
      </c>
      <c r="J11" s="18">
        <f t="shared" si="3"/>
        <v>1.9199999999999998E-2</v>
      </c>
      <c r="K11" s="4">
        <f>'2021.12'!D19</f>
        <v>0</v>
      </c>
      <c r="L11" s="4">
        <f>'2021.12'!J19</f>
        <v>0</v>
      </c>
      <c r="M11" s="4">
        <f>'2021.12'!O19</f>
        <v>0</v>
      </c>
      <c r="AC11" s="4">
        <f>'2021.12'!$C$19</f>
        <v>35</v>
      </c>
      <c r="AD11" s="4">
        <f>'2021.12'!$E$19</f>
        <v>121.78</v>
      </c>
      <c r="AE11" s="7">
        <f>'2021.12'!$F$19</f>
        <v>0.28699999999999998</v>
      </c>
      <c r="AF11" s="49">
        <f>'2021.12'!$A$15</f>
        <v>44545</v>
      </c>
      <c r="AG11" s="4">
        <f>'2021.12'!$B$15*-1</f>
        <v>-10</v>
      </c>
    </row>
    <row r="12" spans="1:33" x14ac:dyDescent="0.25">
      <c r="A12" s="38">
        <f>'2022.01'!Q2</f>
        <v>2022.01</v>
      </c>
      <c r="B12" s="4">
        <f>'2022.01'!B19</f>
        <v>28</v>
      </c>
      <c r="C12" s="4">
        <f>'2022.01'!C19</f>
        <v>28</v>
      </c>
      <c r="D12" s="4">
        <f t="shared" si="0"/>
        <v>163</v>
      </c>
      <c r="E12" s="6">
        <f>'2022.01'!F19</f>
        <v>0.23480000000000001</v>
      </c>
      <c r="F12" s="6">
        <f t="shared" si="1"/>
        <v>1.3542000000000001</v>
      </c>
      <c r="G12" s="6">
        <v>115.3698</v>
      </c>
      <c r="H12" s="4">
        <f t="shared" si="2"/>
        <v>156.22999999999999</v>
      </c>
      <c r="I12" s="4">
        <f t="shared" si="4"/>
        <v>-6.77</v>
      </c>
      <c r="J12" s="18">
        <f t="shared" si="3"/>
        <v>-4.1500000000000002E-2</v>
      </c>
      <c r="K12" s="4">
        <f>'2022.01'!D19</f>
        <v>0</v>
      </c>
      <c r="L12" s="4">
        <f>'2022.01'!J19</f>
        <v>0</v>
      </c>
      <c r="M12" s="4">
        <f>'2022.01'!O19</f>
        <v>0</v>
      </c>
      <c r="AC12" s="4">
        <f>'2022.01'!$C$19</f>
        <v>28</v>
      </c>
      <c r="AD12" s="4">
        <f>'2022.01'!$E$19</f>
        <v>119.25</v>
      </c>
      <c r="AE12" s="7">
        <f>'2022.01'!$F$19</f>
        <v>0.23499999999999999</v>
      </c>
      <c r="AF12" s="49">
        <f>'2021.12'!$A$16</f>
        <v>44546</v>
      </c>
      <c r="AG12" s="4">
        <f>'2021.12'!$B$16*-1</f>
        <v>-10</v>
      </c>
    </row>
    <row r="13" spans="1:33" x14ac:dyDescent="0.25">
      <c r="A13" s="38">
        <f>'2022.02'!Q2</f>
        <v>2022.02</v>
      </c>
      <c r="B13" s="4">
        <f>'2022.02'!B19</f>
        <v>10</v>
      </c>
      <c r="C13" s="4">
        <f>'2022.02'!C19</f>
        <v>10</v>
      </c>
      <c r="D13" s="4">
        <f t="shared" si="0"/>
        <v>173</v>
      </c>
      <c r="E13" s="6">
        <f>'2022.02'!F19</f>
        <v>8.6499999999999994E-2</v>
      </c>
      <c r="F13" s="6">
        <f t="shared" si="1"/>
        <v>1.4407000000000001</v>
      </c>
      <c r="G13" s="6">
        <v>113.221</v>
      </c>
      <c r="H13" s="4">
        <f t="shared" si="2"/>
        <v>163.12</v>
      </c>
      <c r="I13" s="4">
        <f t="shared" si="4"/>
        <v>-9.8800000000000008</v>
      </c>
      <c r="J13" s="18">
        <f t="shared" si="3"/>
        <v>-5.7099999999999998E-2</v>
      </c>
      <c r="K13" s="4">
        <f>'2022.02'!D19</f>
        <v>0</v>
      </c>
      <c r="L13" s="4">
        <f>'2022.02'!J19</f>
        <v>0</v>
      </c>
      <c r="M13" s="4">
        <f>'2022.02'!O19</f>
        <v>0</v>
      </c>
      <c r="AC13" s="4">
        <f>'2022.02'!$C$19</f>
        <v>10</v>
      </c>
      <c r="AD13" s="4">
        <f>'2022.02'!$E$19</f>
        <v>115.61</v>
      </c>
      <c r="AE13" s="7">
        <f>'2022.02'!$F$19</f>
        <v>8.6999999999999994E-2</v>
      </c>
      <c r="AF13" s="49">
        <f>'2021.12'!$A$17</f>
        <v>44559</v>
      </c>
      <c r="AG13" s="4">
        <f>'2021.12'!$B$17*-1</f>
        <v>-15</v>
      </c>
    </row>
    <row r="14" spans="1:33" x14ac:dyDescent="0.25">
      <c r="A14" s="38">
        <f>'2022.03'!Q2</f>
        <v>2022.03</v>
      </c>
      <c r="B14" s="4">
        <f>'2022.03'!B19</f>
        <v>10</v>
      </c>
      <c r="C14" s="4">
        <f>'2022.03'!C19</f>
        <v>10</v>
      </c>
      <c r="D14" s="4">
        <f t="shared" si="0"/>
        <v>183</v>
      </c>
      <c r="E14" s="6">
        <f>'2022.03'!F19</f>
        <v>9.01E-2</v>
      </c>
      <c r="F14" s="6">
        <f t="shared" si="1"/>
        <v>1.5307999999999999</v>
      </c>
      <c r="G14" s="6">
        <v>115.694</v>
      </c>
      <c r="H14" s="4">
        <f t="shared" si="2"/>
        <v>177.1</v>
      </c>
      <c r="I14" s="4">
        <f t="shared" si="4"/>
        <v>-5.9</v>
      </c>
      <c r="J14" s="18">
        <f t="shared" si="3"/>
        <v>-3.2199999999999999E-2</v>
      </c>
      <c r="K14" s="4">
        <f>'2022.03'!D19</f>
        <v>0</v>
      </c>
      <c r="L14" s="4">
        <f>'2022.03'!J19</f>
        <v>0</v>
      </c>
      <c r="M14" s="4">
        <f>'2022.03'!O19</f>
        <v>0</v>
      </c>
      <c r="AC14" s="4">
        <f>'2022.03'!$C$19</f>
        <v>10</v>
      </c>
      <c r="AD14" s="4">
        <f>'2022.03'!$E$19</f>
        <v>110.99</v>
      </c>
      <c r="AE14" s="7">
        <f>'2022.03'!$F$19</f>
        <v>0.09</v>
      </c>
      <c r="AF14" s="49">
        <f>'2022.01'!$A$15</f>
        <v>44578</v>
      </c>
      <c r="AG14" s="4">
        <f>'2022.01'!$B$15*-1</f>
        <v>-10</v>
      </c>
    </row>
    <row r="15" spans="1:33" x14ac:dyDescent="0.25">
      <c r="A15" s="38">
        <f>'2022.04'!Q2</f>
        <v>2022.04</v>
      </c>
      <c r="B15" s="4">
        <f>'2022.04'!B19</f>
        <v>10</v>
      </c>
      <c r="C15" s="4">
        <f>'2022.04'!C19</f>
        <v>10</v>
      </c>
      <c r="D15" s="4">
        <f t="shared" si="0"/>
        <v>193</v>
      </c>
      <c r="E15" s="6">
        <f>'2022.04'!F19</f>
        <v>8.7400000000000005E-2</v>
      </c>
      <c r="F15" s="6">
        <f t="shared" si="1"/>
        <v>1.6182000000000001</v>
      </c>
      <c r="G15" s="6">
        <v>111.724</v>
      </c>
      <c r="H15" s="4">
        <f t="shared" si="2"/>
        <v>180.79</v>
      </c>
      <c r="I15" s="4">
        <f t="shared" si="4"/>
        <v>-12.21</v>
      </c>
      <c r="J15" s="18">
        <f t="shared" si="3"/>
        <v>-6.3299999999999995E-2</v>
      </c>
      <c r="K15" s="4">
        <f>'2022.04'!D19</f>
        <v>0</v>
      </c>
      <c r="L15" s="4">
        <f>'2022.04'!J19</f>
        <v>0</v>
      </c>
      <c r="M15" s="4">
        <f>'2022.04'!O19</f>
        <v>0</v>
      </c>
      <c r="AC15" s="4">
        <f>'2022.04'!$C$19</f>
        <v>10</v>
      </c>
      <c r="AD15" s="4">
        <f>'2022.04'!$E$19</f>
        <v>114.42</v>
      </c>
      <c r="AE15" s="7">
        <f>'2022.04'!$F$19</f>
        <v>8.6999999999999994E-2</v>
      </c>
      <c r="AF15" s="49">
        <f>'2022.01'!$A$16</f>
        <v>44581</v>
      </c>
      <c r="AG15" s="4">
        <f>'2022.01'!$B$16*-1</f>
        <v>-18</v>
      </c>
    </row>
    <row r="16" spans="1:33" x14ac:dyDescent="0.25">
      <c r="A16" s="38">
        <f>'2022.05'!Q2</f>
        <v>2022.05</v>
      </c>
      <c r="B16" s="4">
        <f>'2022.05'!B19</f>
        <v>10</v>
      </c>
      <c r="C16" s="4">
        <f>'2022.05'!C19</f>
        <v>10</v>
      </c>
      <c r="D16" s="4">
        <f t="shared" si="0"/>
        <v>203</v>
      </c>
      <c r="E16" s="6">
        <f>'2022.05'!F19</f>
        <v>9.2499999999999999E-2</v>
      </c>
      <c r="F16" s="6">
        <f t="shared" si="1"/>
        <v>1.7107000000000001</v>
      </c>
      <c r="G16" s="6">
        <v>110.28579999999999</v>
      </c>
      <c r="H16" s="4">
        <f t="shared" si="2"/>
        <v>188.67</v>
      </c>
      <c r="I16" s="4">
        <f t="shared" si="4"/>
        <v>-14.33</v>
      </c>
      <c r="J16" s="18">
        <f t="shared" si="3"/>
        <v>-7.0599999999999996E-2</v>
      </c>
      <c r="K16" s="4">
        <f>'2022.05'!D19</f>
        <v>0</v>
      </c>
      <c r="L16" s="4">
        <f>'2022.05'!J19</f>
        <v>0</v>
      </c>
      <c r="M16" s="4">
        <f>'2022.05'!O19</f>
        <v>0</v>
      </c>
      <c r="V16" s="55"/>
      <c r="AC16" s="4">
        <f>'2022.05'!$C$19</f>
        <v>10</v>
      </c>
      <c r="AD16" s="4">
        <f>'2022.05'!$E$19</f>
        <v>108.11</v>
      </c>
      <c r="AE16" s="7">
        <f>'2022.05'!$F$19</f>
        <v>9.2999999999999999E-2</v>
      </c>
      <c r="AF16" s="49">
        <f>'2022.02'!$A$15</f>
        <v>44609</v>
      </c>
      <c r="AG16" s="4">
        <f>'2022.02'!$B$15*-1</f>
        <v>-10</v>
      </c>
    </row>
    <row r="17" spans="1:33" x14ac:dyDescent="0.25">
      <c r="A17" s="38">
        <f>'2022.06'!Q2</f>
        <v>2022.06</v>
      </c>
      <c r="B17" s="4">
        <f>'2022.06'!B19</f>
        <v>10</v>
      </c>
      <c r="C17" s="4">
        <f>'2022.06'!C19</f>
        <v>10</v>
      </c>
      <c r="D17" s="4">
        <f t="shared" si="0"/>
        <v>213</v>
      </c>
      <c r="E17" s="6">
        <f>'2022.06'!F19</f>
        <v>9.6199999999999994E-2</v>
      </c>
      <c r="F17" s="6">
        <f t="shared" si="1"/>
        <v>1.8069</v>
      </c>
      <c r="G17" s="6">
        <v>104.70440000000001</v>
      </c>
      <c r="H17" s="4">
        <f t="shared" si="2"/>
        <v>189.19</v>
      </c>
      <c r="I17" s="4">
        <f t="shared" si="4"/>
        <v>-23.81</v>
      </c>
      <c r="J17" s="18">
        <f t="shared" si="3"/>
        <v>-0.1118</v>
      </c>
      <c r="K17" s="4">
        <f>'2022.06'!D19</f>
        <v>0</v>
      </c>
      <c r="L17" s="4">
        <f>'2022.06'!J19</f>
        <v>0</v>
      </c>
      <c r="M17" s="4">
        <f>'2022.06'!O19</f>
        <v>0</v>
      </c>
      <c r="V17" s="55"/>
      <c r="AC17" s="4">
        <f>'2022.06'!$C$19</f>
        <v>10</v>
      </c>
      <c r="AD17" s="4">
        <f>'2022.06'!$E$19</f>
        <v>103.95</v>
      </c>
      <c r="AE17" s="7">
        <f>'2022.06'!$F$19</f>
        <v>9.6000000000000002E-2</v>
      </c>
      <c r="AF17" s="49">
        <f>'2022.03'!$A$15</f>
        <v>44637</v>
      </c>
      <c r="AG17" s="4">
        <f>'2022.03'!$B$15*-1</f>
        <v>-10</v>
      </c>
    </row>
    <row r="18" spans="1:33" x14ac:dyDescent="0.25">
      <c r="A18" s="38">
        <f>'2022.07'!Q2</f>
        <v>2022.07</v>
      </c>
      <c r="B18" s="4">
        <f>'2022.07'!B19</f>
        <v>10</v>
      </c>
      <c r="C18" s="4">
        <f>'2022.07'!C19</f>
        <v>10</v>
      </c>
      <c r="D18" s="4">
        <f t="shared" si="0"/>
        <v>223</v>
      </c>
      <c r="E18" s="6">
        <f>'2022.07'!F19</f>
        <v>9.4200000000000006E-2</v>
      </c>
      <c r="F18" s="6">
        <f t="shared" si="1"/>
        <v>1.9011</v>
      </c>
      <c r="G18" s="6">
        <v>109.8231</v>
      </c>
      <c r="H18" s="4">
        <f t="shared" si="2"/>
        <v>208.78</v>
      </c>
      <c r="I18" s="4">
        <f t="shared" si="4"/>
        <v>-14.22</v>
      </c>
      <c r="J18" s="18">
        <f t="shared" si="3"/>
        <v>-6.3799999999999996E-2</v>
      </c>
      <c r="K18" s="4">
        <f>'2022.07'!D19</f>
        <v>0</v>
      </c>
      <c r="L18" s="4">
        <f>'2022.07'!J19</f>
        <v>0</v>
      </c>
      <c r="M18" s="4">
        <f>'2022.07'!O19</f>
        <v>0</v>
      </c>
      <c r="V18" s="55"/>
      <c r="AC18" s="4">
        <f>'2022.07'!$C$19</f>
        <v>10</v>
      </c>
      <c r="AD18" s="4">
        <f>'2022.07'!$E$19</f>
        <v>106.16</v>
      </c>
      <c r="AE18" s="7">
        <f>'2022.07'!$F$19</f>
        <v>9.4E-2</v>
      </c>
      <c r="AF18" s="49">
        <f>'2022.04'!$A$15</f>
        <v>44670</v>
      </c>
      <c r="AG18" s="4">
        <f>'2022.04'!$B$15*-1</f>
        <v>-10</v>
      </c>
    </row>
    <row r="19" spans="1:33" x14ac:dyDescent="0.25">
      <c r="A19" s="38">
        <f>'2022.08'!Q2</f>
        <v>2022.08</v>
      </c>
      <c r="B19" s="4">
        <f>'2022.08'!B19</f>
        <v>10</v>
      </c>
      <c r="C19" s="4">
        <f>'2022.08'!C19</f>
        <v>10</v>
      </c>
      <c r="D19" s="4">
        <f t="shared" si="0"/>
        <v>233</v>
      </c>
      <c r="E19" s="6">
        <f>'2022.08'!F19</f>
        <v>8.9300000000000004E-2</v>
      </c>
      <c r="F19" s="6">
        <f t="shared" si="1"/>
        <v>1.9903999999999999</v>
      </c>
      <c r="G19" s="6">
        <v>107.6514</v>
      </c>
      <c r="H19" s="4">
        <f t="shared" si="2"/>
        <v>214.27</v>
      </c>
      <c r="I19" s="4">
        <f t="shared" si="4"/>
        <v>-18.73</v>
      </c>
      <c r="J19" s="18">
        <f t="shared" si="3"/>
        <v>-8.0399999999999999E-2</v>
      </c>
      <c r="K19" s="4">
        <f>'2022.08'!D19</f>
        <v>0</v>
      </c>
      <c r="L19" s="4">
        <f>'2022.08'!J19</f>
        <v>0</v>
      </c>
      <c r="M19" s="4">
        <f>'2022.08'!O19</f>
        <v>0</v>
      </c>
      <c r="AC19" s="4">
        <f>'2022.08'!$C$19</f>
        <v>10</v>
      </c>
      <c r="AD19" s="4">
        <f>'2022.08'!$E$19</f>
        <v>111.98</v>
      </c>
      <c r="AE19" s="7">
        <f>'2022.08'!$F$19</f>
        <v>8.8999999999999996E-2</v>
      </c>
      <c r="AF19" s="49">
        <f>'2022.05'!$A$15</f>
        <v>44698</v>
      </c>
      <c r="AG19" s="4">
        <f>'2022.05'!$B$15*-1</f>
        <v>-10</v>
      </c>
    </row>
    <row r="20" spans="1:33" x14ac:dyDescent="0.25">
      <c r="A20" s="38">
        <f>'2022.09'!Q2</f>
        <v>2022.09</v>
      </c>
      <c r="B20" s="4">
        <f>'2022.09'!B19</f>
        <v>10</v>
      </c>
      <c r="C20" s="4">
        <f>'2022.09'!C19</f>
        <v>10</v>
      </c>
      <c r="D20" s="4">
        <f t="shared" si="0"/>
        <v>243</v>
      </c>
      <c r="E20" s="6">
        <f>'2022.09'!F19</f>
        <v>9.3299999999999994E-2</v>
      </c>
      <c r="F20" s="6">
        <f t="shared" si="1"/>
        <v>2.0836999999999999</v>
      </c>
      <c r="G20" s="6">
        <v>100.0686</v>
      </c>
      <c r="H20" s="4">
        <f t="shared" si="2"/>
        <v>208.51</v>
      </c>
      <c r="I20" s="4">
        <f t="shared" si="4"/>
        <v>-34.49</v>
      </c>
      <c r="J20" s="18">
        <f t="shared" si="3"/>
        <v>-0.1419</v>
      </c>
      <c r="K20" s="4">
        <f>'2022.09'!D19</f>
        <v>0</v>
      </c>
      <c r="L20" s="4">
        <f>'2022.09'!J19</f>
        <v>0</v>
      </c>
      <c r="M20" s="4">
        <f>'2022.09'!O19</f>
        <v>0</v>
      </c>
      <c r="AC20" s="4">
        <f>'2022.09'!$C$19</f>
        <v>10</v>
      </c>
      <c r="AD20" s="4">
        <f>'2022.09'!$E$19</f>
        <v>107.18</v>
      </c>
      <c r="AE20" s="7">
        <f>'2022.09'!$F$19</f>
        <v>9.2999999999999999E-2</v>
      </c>
      <c r="AF20" s="49">
        <f>'2022.06'!$A$15</f>
        <v>44728</v>
      </c>
      <c r="AG20" s="4">
        <f>'2022.06'!$B$15*-1</f>
        <v>-10</v>
      </c>
    </row>
    <row r="21" spans="1:33" x14ac:dyDescent="0.25">
      <c r="A21" s="38">
        <f>'2022.10'!Q2</f>
        <v>2022.1</v>
      </c>
      <c r="B21" s="4">
        <f>'2022.10'!B19</f>
        <v>10</v>
      </c>
      <c r="C21" s="4">
        <f>'2022.10'!C19</f>
        <v>10</v>
      </c>
      <c r="D21" s="4">
        <f t="shared" si="0"/>
        <v>253</v>
      </c>
      <c r="E21" s="6">
        <f>'2022.10'!F19</f>
        <v>0.10009999999999999</v>
      </c>
      <c r="F21" s="6">
        <f t="shared" si="1"/>
        <v>2.1838000000000002</v>
      </c>
      <c r="G21" s="6">
        <v>102.9935</v>
      </c>
      <c r="H21" s="4">
        <f t="shared" si="2"/>
        <v>224.92</v>
      </c>
      <c r="I21" s="4">
        <f t="shared" si="4"/>
        <v>-28.08</v>
      </c>
      <c r="J21" s="18">
        <f t="shared" si="3"/>
        <v>-0.111</v>
      </c>
      <c r="K21" s="4">
        <f>'2022.10'!D19</f>
        <v>0</v>
      </c>
      <c r="L21" s="4">
        <f>'2022.10'!J19</f>
        <v>0</v>
      </c>
      <c r="M21" s="4">
        <f>'2022.10'!O19</f>
        <v>0</v>
      </c>
      <c r="AC21" s="4">
        <f>'2022.10'!$C$19</f>
        <v>10</v>
      </c>
      <c r="AD21" s="4">
        <f>'2022.10'!$E$19</f>
        <v>99.9</v>
      </c>
      <c r="AE21" s="7">
        <f>'2022.10'!$F$19</f>
        <v>0.1</v>
      </c>
      <c r="AF21" s="49">
        <f>'2022.07'!$A$15</f>
        <v>44757</v>
      </c>
      <c r="AG21" s="4">
        <f>'2022.07'!$B$15*-1</f>
        <v>-10</v>
      </c>
    </row>
    <row r="22" spans="1:33" x14ac:dyDescent="0.25">
      <c r="A22" s="38">
        <f>'2022.11'!Q2</f>
        <v>2022.11</v>
      </c>
      <c r="B22" s="4">
        <f>'2022.11'!B19</f>
        <v>10</v>
      </c>
      <c r="C22" s="4">
        <f>'2022.11'!C19</f>
        <v>10</v>
      </c>
      <c r="D22" s="4">
        <f t="shared" si="0"/>
        <v>263</v>
      </c>
      <c r="E22" s="6">
        <f>'2022.11'!F19</f>
        <v>9.4600000000000004E-2</v>
      </c>
      <c r="F22" s="6">
        <f t="shared" si="1"/>
        <v>2.2784</v>
      </c>
      <c r="G22" s="6">
        <v>105.31059999999999</v>
      </c>
      <c r="H22" s="4">
        <f t="shared" si="2"/>
        <v>239.94</v>
      </c>
      <c r="I22" s="4">
        <f t="shared" si="4"/>
        <v>-23.06</v>
      </c>
      <c r="J22" s="18">
        <f t="shared" si="3"/>
        <v>-8.77E-2</v>
      </c>
      <c r="K22" s="4">
        <f>'2022.11'!D19</f>
        <v>0</v>
      </c>
      <c r="L22" s="4">
        <f>'2022.11'!J19</f>
        <v>0</v>
      </c>
      <c r="M22" s="4">
        <f>'2022.11'!O19</f>
        <v>0</v>
      </c>
      <c r="AC22" s="4">
        <f>'2022.11'!$C$19</f>
        <v>10</v>
      </c>
      <c r="AD22" s="4">
        <f>'2022.11'!$E$19</f>
        <v>105.71</v>
      </c>
      <c r="AE22" s="7">
        <f>'2022.11'!$F$19</f>
        <v>9.5000000000000001E-2</v>
      </c>
      <c r="AF22" s="49">
        <f>'2022.08'!$A$15</f>
        <v>44790</v>
      </c>
      <c r="AG22" s="4">
        <f>'2022.08'!$B$15*-1</f>
        <v>-10</v>
      </c>
    </row>
    <row r="23" spans="1:33" x14ac:dyDescent="0.25">
      <c r="A23" s="38">
        <f>'2022.12'!Q2</f>
        <v>2022.12</v>
      </c>
      <c r="B23" s="4">
        <f>'2022.12'!B19</f>
        <v>10</v>
      </c>
      <c r="C23" s="4">
        <f>'2022.12'!C19</f>
        <v>10</v>
      </c>
      <c r="D23" s="4">
        <f t="shared" si="0"/>
        <v>273</v>
      </c>
      <c r="E23" s="6">
        <f>'2022.12'!F19</f>
        <v>9.35E-2</v>
      </c>
      <c r="F23" s="6">
        <f t="shared" si="1"/>
        <v>2.3719000000000001</v>
      </c>
      <c r="G23" s="6">
        <v>103.68510000000001</v>
      </c>
      <c r="H23" s="4">
        <f t="shared" si="2"/>
        <v>245.93</v>
      </c>
      <c r="I23" s="4">
        <f t="shared" si="4"/>
        <v>-27.07</v>
      </c>
      <c r="J23" s="18">
        <f t="shared" si="3"/>
        <v>-9.9199999999999997E-2</v>
      </c>
      <c r="K23" s="4">
        <f>'2022.12'!D19</f>
        <v>0</v>
      </c>
      <c r="L23" s="4">
        <f>'2022.12'!J19</f>
        <v>0</v>
      </c>
      <c r="M23" s="4">
        <f>'2022.12'!O19</f>
        <v>0</v>
      </c>
      <c r="AC23" s="4">
        <f>'2022.12'!$C$19</f>
        <v>10</v>
      </c>
      <c r="AD23" s="4">
        <f>'2022.12'!$E$19</f>
        <v>106.95</v>
      </c>
      <c r="AE23" s="7">
        <f>'2022.12'!$F$19</f>
        <v>9.4E-2</v>
      </c>
      <c r="AF23" s="49">
        <f>'2022.09'!$A$15</f>
        <v>44819</v>
      </c>
      <c r="AG23" s="4">
        <f>'2022.09'!$B$15*-1</f>
        <v>-10</v>
      </c>
    </row>
    <row r="24" spans="1:33" x14ac:dyDescent="0.25">
      <c r="A24" s="38">
        <f>'2023.01'!Q2</f>
        <v>2023.01</v>
      </c>
      <c r="B24" s="4">
        <f>'2023.01'!B19</f>
        <v>10</v>
      </c>
      <c r="C24" s="4">
        <f>'2023.01'!C19</f>
        <v>10</v>
      </c>
      <c r="D24" s="4">
        <f t="shared" si="0"/>
        <v>283</v>
      </c>
      <c r="E24" s="6">
        <f>'2023.01'!F19</f>
        <v>9.3799999999999994E-2</v>
      </c>
      <c r="F24" s="6">
        <f t="shared" si="1"/>
        <v>2.4657</v>
      </c>
      <c r="G24" s="6">
        <v>107.6885</v>
      </c>
      <c r="H24" s="4">
        <f t="shared" si="2"/>
        <v>265.52999999999997</v>
      </c>
      <c r="I24" s="4">
        <f t="shared" si="4"/>
        <v>-17.47</v>
      </c>
      <c r="J24" s="18">
        <f t="shared" si="3"/>
        <v>-6.1699999999999998E-2</v>
      </c>
      <c r="K24" s="4">
        <f>'2023.01'!D19</f>
        <v>0</v>
      </c>
      <c r="L24" s="4">
        <f>'2023.01'!J19</f>
        <v>0</v>
      </c>
      <c r="M24" s="4">
        <f>'2023.01'!O19</f>
        <v>0</v>
      </c>
      <c r="AC24" s="4">
        <f>'2023.01'!$C$19</f>
        <v>10</v>
      </c>
      <c r="AD24" s="4">
        <f>'2023.01'!$E$19</f>
        <v>106.61</v>
      </c>
      <c r="AE24" s="7">
        <f>'2023.01'!$F$19</f>
        <v>9.4E-2</v>
      </c>
      <c r="AF24" s="49">
        <f>'2022.10'!$A$15</f>
        <v>44851</v>
      </c>
      <c r="AG24" s="4">
        <f>'2022.10'!$B$15*-1</f>
        <v>-10</v>
      </c>
    </row>
    <row r="25" spans="1:33" x14ac:dyDescent="0.25">
      <c r="A25" s="38">
        <f>'2023.02'!Q2</f>
        <v>2023.02</v>
      </c>
      <c r="B25" s="4">
        <f>'2023.02'!B19</f>
        <v>10</v>
      </c>
      <c r="C25" s="4">
        <f>'2023.02'!C19</f>
        <v>10</v>
      </c>
      <c r="D25" s="4">
        <f t="shared" si="0"/>
        <v>293</v>
      </c>
      <c r="E25" s="6">
        <f>'2023.02'!F19</f>
        <v>9.1899999999999996E-2</v>
      </c>
      <c r="F25" s="6">
        <f t="shared" si="1"/>
        <v>2.5575999999999999</v>
      </c>
      <c r="G25" s="6">
        <v>107.1614</v>
      </c>
      <c r="H25" s="4">
        <f t="shared" si="2"/>
        <v>274.08</v>
      </c>
      <c r="I25" s="4">
        <f t="shared" si="4"/>
        <v>-18.920000000000002</v>
      </c>
      <c r="J25" s="18">
        <f t="shared" si="3"/>
        <v>-6.4600000000000005E-2</v>
      </c>
      <c r="K25" s="4">
        <f>'2023.02'!D19</f>
        <v>0</v>
      </c>
      <c r="L25" s="4">
        <f>'2023.02'!J19</f>
        <v>0</v>
      </c>
      <c r="M25" s="4">
        <f>'2023.02'!O19</f>
        <v>0</v>
      </c>
      <c r="AC25" s="4">
        <f>'2023.02'!$C$19</f>
        <v>10</v>
      </c>
      <c r="AD25" s="4">
        <f>'2023.02'!$E$19</f>
        <v>108.81</v>
      </c>
      <c r="AE25" s="7">
        <f>'2023.02'!$F$19</f>
        <v>9.1999999999999998E-2</v>
      </c>
      <c r="AF25" s="49">
        <f>'2022.11'!$A$15</f>
        <v>44882</v>
      </c>
      <c r="AG25" s="4">
        <f>'2022.11'!$B$15*-1</f>
        <v>-10</v>
      </c>
    </row>
    <row r="26" spans="1:33" x14ac:dyDescent="0.25">
      <c r="A26" s="38">
        <f>'2023.03'!Q2</f>
        <v>2023.03</v>
      </c>
      <c r="B26" s="4">
        <f>'2023.03'!B19</f>
        <v>10</v>
      </c>
      <c r="C26" s="4">
        <f>'2023.03'!C19</f>
        <v>10</v>
      </c>
      <c r="D26" s="4">
        <f t="shared" si="0"/>
        <v>303</v>
      </c>
      <c r="E26" s="6">
        <f>'2023.03'!F19</f>
        <v>9.5299999999999996E-2</v>
      </c>
      <c r="F26" s="6">
        <f t="shared" si="1"/>
        <v>2.6528999999999998</v>
      </c>
      <c r="G26" s="6">
        <v>106.01260000000001</v>
      </c>
      <c r="H26" s="4">
        <f t="shared" si="2"/>
        <v>281.24</v>
      </c>
      <c r="I26" s="4">
        <f t="shared" si="4"/>
        <v>-21.76</v>
      </c>
      <c r="J26" s="18">
        <f t="shared" si="3"/>
        <v>-7.1800000000000003E-2</v>
      </c>
      <c r="K26" s="4">
        <f>'2023.03'!D19</f>
        <v>0</v>
      </c>
      <c r="L26" s="4">
        <f>'2023.03'!J19</f>
        <v>0</v>
      </c>
      <c r="M26" s="4">
        <f>'2023.03'!O19</f>
        <v>0</v>
      </c>
      <c r="AC26" s="4">
        <f>'2023.03'!$C$19</f>
        <v>10</v>
      </c>
      <c r="AD26" s="4">
        <f>'2023.03'!$E$19</f>
        <v>104.93</v>
      </c>
      <c r="AE26" s="7">
        <f>'2023.03'!$F$19</f>
        <v>9.5000000000000001E-2</v>
      </c>
      <c r="AF26" s="49">
        <f>'2022.12'!$A$15</f>
        <v>44910</v>
      </c>
      <c r="AG26" s="4">
        <f>'2022.12'!$B$15*-1</f>
        <v>-10</v>
      </c>
    </row>
    <row r="27" spans="1:33" x14ac:dyDescent="0.25">
      <c r="A27" s="38">
        <f>'2023.04'!Q2</f>
        <v>2023.04</v>
      </c>
      <c r="B27" s="4">
        <f>'2023.04'!B19</f>
        <v>10</v>
      </c>
      <c r="C27" s="4">
        <f>'2023.04'!C19</f>
        <v>10</v>
      </c>
      <c r="D27" s="4">
        <f t="shared" si="0"/>
        <v>313</v>
      </c>
      <c r="E27" s="6">
        <f>'2023.04'!F19</f>
        <v>9.3600000000000003E-2</v>
      </c>
      <c r="F27" s="6">
        <f t="shared" si="1"/>
        <v>2.7465000000000002</v>
      </c>
      <c r="G27" s="6">
        <v>106.7021</v>
      </c>
      <c r="H27" s="4">
        <f t="shared" si="2"/>
        <v>293.06</v>
      </c>
      <c r="I27" s="4">
        <f t="shared" si="4"/>
        <v>-19.940000000000001</v>
      </c>
      <c r="J27" s="18">
        <f t="shared" si="3"/>
        <v>-6.3700000000000007E-2</v>
      </c>
      <c r="K27" s="4">
        <f>'2023.04'!D19</f>
        <v>0</v>
      </c>
      <c r="L27" s="4">
        <f>'2023.04'!J19</f>
        <v>0</v>
      </c>
      <c r="M27" s="4">
        <f>'2023.04'!O19</f>
        <v>0</v>
      </c>
      <c r="AC27" s="4">
        <f>'2023.04'!$C$19</f>
        <v>10</v>
      </c>
      <c r="AD27" s="4">
        <f>'2023.04'!$E$19</f>
        <v>106.84</v>
      </c>
      <c r="AE27" s="7">
        <f>'2023.04'!$F$19</f>
        <v>9.4E-2</v>
      </c>
      <c r="AF27" s="49">
        <f>'2023.01'!$A$15</f>
        <v>44943</v>
      </c>
      <c r="AG27" s="4">
        <f>'2023.01'!$B$15*-1</f>
        <v>-10</v>
      </c>
    </row>
    <row r="28" spans="1:33" x14ac:dyDescent="0.25">
      <c r="A28" s="38">
        <f>'2023.05'!Q2</f>
        <v>2023.05</v>
      </c>
      <c r="B28" s="4">
        <f>'2023.05'!B19</f>
        <v>10</v>
      </c>
      <c r="C28" s="4">
        <f>'2023.05'!C19</f>
        <v>10</v>
      </c>
      <c r="D28" s="4">
        <f t="shared" si="0"/>
        <v>323</v>
      </c>
      <c r="E28" s="6">
        <f>'2023.05'!F19</f>
        <v>9.2700000000000005E-2</v>
      </c>
      <c r="F28" s="6">
        <f t="shared" si="1"/>
        <v>2.8391999999999999</v>
      </c>
      <c r="G28" s="6">
        <v>107.77670000000001</v>
      </c>
      <c r="H28" s="4">
        <f t="shared" si="2"/>
        <v>306</v>
      </c>
      <c r="I28" s="4">
        <f t="shared" si="4"/>
        <v>-17</v>
      </c>
      <c r="J28" s="18">
        <f t="shared" si="3"/>
        <v>-5.2600000000000001E-2</v>
      </c>
      <c r="K28" s="4">
        <f>'2023.05'!D19</f>
        <v>0</v>
      </c>
      <c r="L28" s="4">
        <f>'2023.05'!J19</f>
        <v>0</v>
      </c>
      <c r="M28" s="4">
        <f>'2023.05'!O19</f>
        <v>0</v>
      </c>
      <c r="AC28" s="4">
        <f>'2023.05'!$C$19</f>
        <v>10</v>
      </c>
      <c r="AD28" s="4">
        <f>'2023.05'!$E$19</f>
        <v>107.87</v>
      </c>
      <c r="AE28" s="7">
        <f>'2023.05'!$F$19</f>
        <v>9.2999999999999999E-2</v>
      </c>
      <c r="AF28" s="49">
        <f>'2023.02'!$A$15</f>
        <v>44974</v>
      </c>
      <c r="AG28" s="4">
        <f>'2023.02'!$B$15*-1</f>
        <v>-10</v>
      </c>
    </row>
    <row r="29" spans="1:33" x14ac:dyDescent="0.25">
      <c r="A29" s="38">
        <f>'2023.06'!Q2</f>
        <v>2023.06</v>
      </c>
      <c r="B29" s="4">
        <f>'2023.06'!B19</f>
        <v>10</v>
      </c>
      <c r="C29" s="4">
        <f>'2023.06'!C19</f>
        <v>10</v>
      </c>
      <c r="D29" s="4">
        <f t="shared" si="0"/>
        <v>333</v>
      </c>
      <c r="E29" s="6">
        <f>'2023.06'!F19</f>
        <v>9.1200000000000003E-2</v>
      </c>
      <c r="F29" s="6">
        <f t="shared" si="1"/>
        <v>2.9304000000000001</v>
      </c>
      <c r="G29" s="6">
        <v>108.3708</v>
      </c>
      <c r="H29" s="4">
        <f t="shared" si="2"/>
        <v>317.57</v>
      </c>
      <c r="I29" s="4">
        <f t="shared" si="4"/>
        <v>-15.43</v>
      </c>
      <c r="J29" s="18">
        <f t="shared" si="3"/>
        <v>-4.6300000000000001E-2</v>
      </c>
      <c r="K29" s="4">
        <f>'2023.06'!D19</f>
        <v>0</v>
      </c>
      <c r="L29" s="4">
        <f>'2023.06'!J19</f>
        <v>0</v>
      </c>
      <c r="M29" s="4">
        <f>'2023.06'!O19</f>
        <v>0</v>
      </c>
      <c r="AC29" s="4">
        <f>'2023.06'!$C$19</f>
        <v>10</v>
      </c>
      <c r="AD29" s="4">
        <f>'2023.06'!$E$19</f>
        <v>109.65</v>
      </c>
      <c r="AE29" s="7">
        <f>'2023.06'!$F$19</f>
        <v>9.0999999999999998E-2</v>
      </c>
      <c r="AF29" s="49">
        <f>'2023.03'!$A$15</f>
        <v>45001</v>
      </c>
      <c r="AG29" s="4">
        <f>'2023.03'!$B$15*-1</f>
        <v>-10</v>
      </c>
    </row>
    <row r="30" spans="1:33" x14ac:dyDescent="0.25">
      <c r="A30" s="38">
        <f>'2023.07'!Q2</f>
        <v>2023.07</v>
      </c>
      <c r="B30" s="4">
        <f>'2023.07'!B19</f>
        <v>10</v>
      </c>
      <c r="C30" s="4">
        <f>'2023.07'!C19</f>
        <v>10</v>
      </c>
      <c r="D30" s="4">
        <f t="shared" si="0"/>
        <v>343</v>
      </c>
      <c r="E30" s="6">
        <f>'2023.07'!F19</f>
        <v>9.1399999999999995E-2</v>
      </c>
      <c r="F30" s="6">
        <f t="shared" si="1"/>
        <v>3.0217999999999998</v>
      </c>
      <c r="G30" s="6">
        <v>110.1314</v>
      </c>
      <c r="H30" s="4">
        <f t="shared" si="2"/>
        <v>332.8</v>
      </c>
      <c r="I30" s="4">
        <f t="shared" si="4"/>
        <v>-10.199999999999999</v>
      </c>
      <c r="J30" s="18">
        <f t="shared" si="3"/>
        <v>-2.9700000000000001E-2</v>
      </c>
      <c r="K30" s="4">
        <f>'2023.07'!D19</f>
        <v>0</v>
      </c>
      <c r="L30" s="4">
        <f>'2023.07'!J19</f>
        <v>0</v>
      </c>
      <c r="M30" s="4">
        <f>'2023.07'!O19</f>
        <v>0</v>
      </c>
      <c r="AC30" s="4">
        <f>'2023.07'!$C$19</f>
        <v>10</v>
      </c>
      <c r="AD30" s="4">
        <f>'2023.07'!$E$19</f>
        <v>109.41</v>
      </c>
      <c r="AE30" s="7">
        <f>'2023.07'!$F$19</f>
        <v>9.0999999999999998E-2</v>
      </c>
      <c r="AF30" s="49">
        <f>'2023.04'!$A$15</f>
        <v>45033</v>
      </c>
      <c r="AG30" s="4">
        <f>'2023.04'!$B$15*-1</f>
        <v>-10</v>
      </c>
    </row>
    <row r="31" spans="1:33" x14ac:dyDescent="0.25">
      <c r="A31" s="38">
        <f>'2023.08'!Q2</f>
        <v>2023.08</v>
      </c>
      <c r="B31" s="4">
        <f>'2023.08'!B19</f>
        <v>10</v>
      </c>
      <c r="C31" s="4">
        <f>'2023.08'!C19</f>
        <v>10</v>
      </c>
      <c r="D31" s="4">
        <f t="shared" si="0"/>
        <v>353</v>
      </c>
      <c r="E31" s="6">
        <f>'2023.08'!F19</f>
        <v>9.2200000000000004E-2</v>
      </c>
      <c r="F31" s="6">
        <f t="shared" si="1"/>
        <v>3.1139999999999999</v>
      </c>
      <c r="G31" s="6">
        <v>108.9837</v>
      </c>
      <c r="H31" s="4">
        <f t="shared" si="2"/>
        <v>339.38</v>
      </c>
      <c r="I31" s="4">
        <f t="shared" si="4"/>
        <v>-13.62</v>
      </c>
      <c r="J31" s="18">
        <f t="shared" si="3"/>
        <v>-3.8600000000000002E-2</v>
      </c>
      <c r="K31" s="4">
        <f>'2023.08'!D19</f>
        <v>0</v>
      </c>
      <c r="L31" s="4">
        <f>'2023.08'!J19</f>
        <v>0</v>
      </c>
      <c r="M31" s="4">
        <f>'2023.08'!O19</f>
        <v>0</v>
      </c>
      <c r="AC31" s="4">
        <f>'2023.08'!$C$19</f>
        <v>10</v>
      </c>
      <c r="AD31" s="4">
        <f>'2023.08'!$E$19</f>
        <v>108.46</v>
      </c>
      <c r="AE31" s="7">
        <f>'2023.08'!$F$19</f>
        <v>9.1999999999999998E-2</v>
      </c>
      <c r="AF31" s="49">
        <f>'2023.05'!$A$15</f>
        <v>45063</v>
      </c>
      <c r="AG31" s="4">
        <f>'2023.05'!$B$15*-1</f>
        <v>-10</v>
      </c>
    </row>
    <row r="32" spans="1:33" x14ac:dyDescent="0.25">
      <c r="A32" s="38">
        <f>'2023.09'!Q2</f>
        <v>2023.09</v>
      </c>
      <c r="B32" s="4">
        <f>'2023.09'!B19</f>
        <v>10</v>
      </c>
      <c r="C32" s="4">
        <f>'2023.09'!C19</f>
        <v>10</v>
      </c>
      <c r="D32" s="4">
        <f t="shared" si="0"/>
        <v>363</v>
      </c>
      <c r="E32" s="6">
        <f>'2023.09'!F19</f>
        <v>9.1999999999999998E-2</v>
      </c>
      <c r="F32" s="6">
        <f t="shared" si="1"/>
        <v>3.206</v>
      </c>
      <c r="G32" s="6">
        <v>107.3659</v>
      </c>
      <c r="H32" s="4">
        <f t="shared" si="2"/>
        <v>344.22</v>
      </c>
      <c r="I32" s="4">
        <f t="shared" si="4"/>
        <v>-18.78</v>
      </c>
      <c r="J32" s="18">
        <f t="shared" si="3"/>
        <v>-5.1700000000000003E-2</v>
      </c>
      <c r="K32" s="4">
        <f>'2023.09'!D19</f>
        <v>0</v>
      </c>
      <c r="L32" s="4">
        <f>'2023.09'!J19</f>
        <v>0</v>
      </c>
      <c r="M32" s="4">
        <f>'2023.09'!O19</f>
        <v>0</v>
      </c>
      <c r="AC32" s="4">
        <f>'2023.09'!$C$19</f>
        <v>10</v>
      </c>
      <c r="AD32" s="4">
        <f>'2023.09'!$E$19</f>
        <v>108.7</v>
      </c>
      <c r="AE32" s="7">
        <f>'2023.09'!$F$19</f>
        <v>9.1999999999999998E-2</v>
      </c>
      <c r="AF32" s="49">
        <f>'2023.06'!$A$15</f>
        <v>45092</v>
      </c>
      <c r="AG32" s="4">
        <f>'2023.06'!$B$15*-1</f>
        <v>-10</v>
      </c>
    </row>
    <row r="33" spans="1:33" x14ac:dyDescent="0.25">
      <c r="A33" s="38">
        <f>'2023.10'!Q2</f>
        <v>2023.1</v>
      </c>
      <c r="B33" s="4">
        <f>'2023.10'!B19</f>
        <v>10</v>
      </c>
      <c r="C33" s="4">
        <f>'2023.10'!C19</f>
        <v>10</v>
      </c>
      <c r="D33" s="4">
        <f t="shared" si="0"/>
        <v>373</v>
      </c>
      <c r="E33" s="6">
        <f>'2023.10'!F19</f>
        <v>9.2200000000000004E-2</v>
      </c>
      <c r="F33" s="6">
        <f t="shared" si="1"/>
        <v>3.2982</v>
      </c>
      <c r="G33" s="6">
        <v>104.3443</v>
      </c>
      <c r="H33" s="4">
        <f t="shared" si="2"/>
        <v>344.15</v>
      </c>
      <c r="I33" s="4">
        <f t="shared" si="4"/>
        <v>-28.85</v>
      </c>
      <c r="J33" s="18">
        <f t="shared" si="3"/>
        <v>-7.7299999999999994E-2</v>
      </c>
      <c r="K33" s="4">
        <f>'2023.10'!D19</f>
        <v>0</v>
      </c>
      <c r="L33" s="4">
        <f>'2023.10'!J19</f>
        <v>0</v>
      </c>
      <c r="M33" s="4">
        <f>'2023.10'!O19</f>
        <v>0</v>
      </c>
      <c r="AC33" s="4">
        <f>'2023.10'!$C$19</f>
        <v>10</v>
      </c>
      <c r="AD33" s="4">
        <f>'2023.10'!$E$19</f>
        <v>108.49</v>
      </c>
      <c r="AE33" s="7">
        <f>'2023.10'!$F$19</f>
        <v>9.1999999999999998E-2</v>
      </c>
      <c r="AF33" s="49">
        <f>'2023.07'!$A$15</f>
        <v>45124</v>
      </c>
      <c r="AG33" s="4">
        <f>'2023.07'!$B$15*-1</f>
        <v>-10</v>
      </c>
    </row>
    <row r="34" spans="1:33" x14ac:dyDescent="0.25">
      <c r="A34" s="38">
        <f>'2023.11'!Q2</f>
        <v>2023.11</v>
      </c>
      <c r="B34" s="4">
        <f>'2023.11'!B19</f>
        <v>10</v>
      </c>
      <c r="C34" s="4">
        <f>'2023.11'!C19</f>
        <v>10</v>
      </c>
      <c r="D34" s="4">
        <f t="shared" si="0"/>
        <v>383</v>
      </c>
      <c r="E34" s="6">
        <f>'2023.11'!F19</f>
        <v>9.1899999999999996E-2</v>
      </c>
      <c r="F34" s="6">
        <f t="shared" si="1"/>
        <v>3.3900999999999999</v>
      </c>
      <c r="G34" s="6">
        <v>110.6673</v>
      </c>
      <c r="H34" s="4">
        <f t="shared" si="2"/>
        <v>375.17</v>
      </c>
      <c r="I34" s="4">
        <f t="shared" si="4"/>
        <v>-7.83</v>
      </c>
      <c r="J34" s="18">
        <f t="shared" si="3"/>
        <v>-2.0400000000000001E-2</v>
      </c>
      <c r="K34" s="4">
        <f>'2023.11'!D19</f>
        <v>0</v>
      </c>
      <c r="L34" s="4">
        <f>'2023.11'!J19</f>
        <v>0</v>
      </c>
      <c r="M34" s="4">
        <f>'2023.11'!O19</f>
        <v>0</v>
      </c>
      <c r="AC34" s="4">
        <f>'2023.11'!$C$19</f>
        <v>10</v>
      </c>
      <c r="AD34" s="4">
        <f>'2023.11'!$E$19</f>
        <v>108.81</v>
      </c>
      <c r="AE34" s="7">
        <f>'2023.11'!$F$19</f>
        <v>9.1999999999999998E-2</v>
      </c>
      <c r="AF34" s="49">
        <f>'2023.08'!$A$15</f>
        <v>45155</v>
      </c>
      <c r="AG34" s="4">
        <f>'2023.08'!$B$15*-1</f>
        <v>-10</v>
      </c>
    </row>
    <row r="35" spans="1:33" x14ac:dyDescent="0.25">
      <c r="A35" s="38">
        <f>'2023.12'!Q2</f>
        <v>2023.12</v>
      </c>
      <c r="B35" s="4">
        <f>'2023.12'!B19</f>
        <v>10</v>
      </c>
      <c r="C35" s="4">
        <f>'2023.12'!C19</f>
        <v>10</v>
      </c>
      <c r="D35" s="4">
        <f t="shared" si="0"/>
        <v>393</v>
      </c>
      <c r="E35" s="6">
        <f>'2023.12'!F19</f>
        <v>8.8099999999999998E-2</v>
      </c>
      <c r="F35" s="6">
        <f t="shared" si="1"/>
        <v>3.4782000000000002</v>
      </c>
      <c r="G35" s="6">
        <v>115.2916</v>
      </c>
      <c r="H35" s="4">
        <f t="shared" si="2"/>
        <v>401.01</v>
      </c>
      <c r="I35" s="4">
        <f t="shared" si="4"/>
        <v>8.01</v>
      </c>
      <c r="J35" s="18">
        <f t="shared" si="3"/>
        <v>2.0400000000000001E-2</v>
      </c>
      <c r="K35" s="4">
        <f>'2023.12'!D19</f>
        <v>0</v>
      </c>
      <c r="L35" s="4">
        <f>'2023.12'!J19</f>
        <v>0</v>
      </c>
      <c r="M35" s="4">
        <f>'2023.12'!O19</f>
        <v>0</v>
      </c>
      <c r="AC35" s="4">
        <f>'2023.12'!$C$19</f>
        <v>10</v>
      </c>
      <c r="AD35" s="4">
        <f>'2023.12'!$E$19</f>
        <v>113.51</v>
      </c>
      <c r="AE35" s="7">
        <f>'2023.12'!$F$19</f>
        <v>8.7999999999999995E-2</v>
      </c>
      <c r="AF35" s="49">
        <f>'2023.09'!$A$15</f>
        <v>45184</v>
      </c>
      <c r="AG35" s="4">
        <f>'2023.09'!$B$15*-1</f>
        <v>-10</v>
      </c>
    </row>
    <row r="36" spans="1:33" x14ac:dyDescent="0.25">
      <c r="A36" s="38">
        <f>'2024.01'!Q2</f>
        <v>2024.01</v>
      </c>
      <c r="B36" s="4">
        <f>'2024.01'!B19</f>
        <v>10</v>
      </c>
      <c r="C36" s="4">
        <f>'2024.01'!C19</f>
        <v>10</v>
      </c>
      <c r="D36" s="4">
        <f t="shared" si="0"/>
        <v>403</v>
      </c>
      <c r="E36" s="6">
        <f>'2024.01'!F19</f>
        <v>8.6800000000000002E-2</v>
      </c>
      <c r="F36" s="6">
        <f t="shared" si="1"/>
        <v>3.5649999999999999</v>
      </c>
      <c r="G36" s="6">
        <v>116.96169999999999</v>
      </c>
      <c r="H36" s="4">
        <f t="shared" si="2"/>
        <v>416.97</v>
      </c>
      <c r="I36" s="4">
        <f t="shared" si="4"/>
        <v>13.97</v>
      </c>
      <c r="J36" s="18">
        <f t="shared" si="3"/>
        <v>3.4700000000000002E-2</v>
      </c>
      <c r="K36" s="4">
        <f>'2024.01'!D19</f>
        <v>0</v>
      </c>
      <c r="L36" s="4">
        <f>'2024.01'!J19</f>
        <v>0</v>
      </c>
      <c r="M36" s="4">
        <f>'2024.01'!O19</f>
        <v>0</v>
      </c>
      <c r="AC36" s="4">
        <f>'2024.01'!$C$19</f>
        <v>10</v>
      </c>
      <c r="AD36" s="4">
        <f>'2024.01'!$E$19</f>
        <v>115.21</v>
      </c>
      <c r="AE36" s="7">
        <f>'2024.01'!$F$19</f>
        <v>8.6999999999999994E-2</v>
      </c>
      <c r="AF36" s="49">
        <f>'2023.10'!$A$15</f>
        <v>45216</v>
      </c>
      <c r="AG36" s="4">
        <f>'2023.10'!$B$15*-1</f>
        <v>-10</v>
      </c>
    </row>
    <row r="37" spans="1:33" x14ac:dyDescent="0.25">
      <c r="A37" s="38">
        <f>'2024.02'!Q2</f>
        <v>2024.02</v>
      </c>
      <c r="B37" s="4">
        <f>'2024.02'!B19</f>
        <v>15</v>
      </c>
      <c r="C37" s="4">
        <f>'2024.02'!C19</f>
        <v>15</v>
      </c>
      <c r="D37" s="4">
        <f t="shared" si="0"/>
        <v>418</v>
      </c>
      <c r="E37" s="6">
        <f>'2024.02'!F19</f>
        <v>0.12759999999999999</v>
      </c>
      <c r="F37" s="6">
        <f t="shared" si="1"/>
        <v>3.6926000000000001</v>
      </c>
      <c r="G37" s="6">
        <v>119.3578</v>
      </c>
      <c r="H37" s="4">
        <f t="shared" si="2"/>
        <v>440.74</v>
      </c>
      <c r="I37" s="4">
        <f t="shared" si="4"/>
        <v>22.74</v>
      </c>
      <c r="J37" s="18">
        <f t="shared" si="3"/>
        <v>5.4399999999999997E-2</v>
      </c>
      <c r="K37" s="4">
        <f>'2024.02'!D19</f>
        <v>0</v>
      </c>
      <c r="L37" s="4">
        <f>'2024.02'!J19</f>
        <v>0</v>
      </c>
      <c r="M37" s="4">
        <f>'2024.02'!O19</f>
        <v>0</v>
      </c>
      <c r="AC37" s="4">
        <f>'2024.02'!$C$19</f>
        <v>15</v>
      </c>
      <c r="AD37" s="4">
        <f>'2024.02'!$E$19</f>
        <v>117.55</v>
      </c>
      <c r="AE37" s="7">
        <f>'2024.02'!$F$19</f>
        <v>0.128</v>
      </c>
      <c r="AF37" s="49">
        <f>'2023.11'!$A$15</f>
        <v>45246</v>
      </c>
      <c r="AG37" s="4">
        <f>'2023.11'!$B$15*-1</f>
        <v>-10</v>
      </c>
    </row>
    <row r="38" spans="1:33" x14ac:dyDescent="0.25">
      <c r="A38" s="38">
        <f>'2024.03'!Q2</f>
        <v>2024.03</v>
      </c>
      <c r="B38" s="4">
        <f>'2024.03'!B19</f>
        <v>15</v>
      </c>
      <c r="C38" s="4">
        <f>'2024.03'!C19</f>
        <v>15</v>
      </c>
      <c r="D38" s="4">
        <f t="shared" ref="D38:D57" si="5">D37+B38</f>
        <v>433</v>
      </c>
      <c r="E38" s="6">
        <f>'2024.03'!F19</f>
        <v>0.1234</v>
      </c>
      <c r="F38" s="6">
        <f t="shared" si="1"/>
        <v>3.8159999999999998</v>
      </c>
      <c r="G38" s="6">
        <v>122.3433</v>
      </c>
      <c r="H38" s="4">
        <f t="shared" si="2"/>
        <v>466.86</v>
      </c>
      <c r="I38" s="4">
        <f t="shared" si="4"/>
        <v>33.86</v>
      </c>
      <c r="J38" s="18">
        <f t="shared" si="3"/>
        <v>7.8200000000000006E-2</v>
      </c>
      <c r="K38" s="4">
        <f>'2024.03'!D19</f>
        <v>0</v>
      </c>
      <c r="L38" s="4">
        <f>'2024.03'!J19</f>
        <v>0</v>
      </c>
      <c r="M38" s="4">
        <f>'2024.03'!O19</f>
        <v>0</v>
      </c>
      <c r="AC38" s="4">
        <f>'2024.03'!$C$19</f>
        <v>15</v>
      </c>
      <c r="AD38" s="4">
        <f>'2024.03'!$E$19</f>
        <v>121.56</v>
      </c>
      <c r="AE38" s="7">
        <f>'2024.03'!$F$19</f>
        <v>0.123</v>
      </c>
      <c r="AF38" s="49">
        <f>'2023.12'!$A$15</f>
        <v>45275</v>
      </c>
      <c r="AG38" s="4">
        <f>'2023.12'!$B$15*-1</f>
        <v>-10</v>
      </c>
    </row>
    <row r="39" spans="1:33" x14ac:dyDescent="0.25">
      <c r="A39" s="38">
        <f>'2024.04'!Q2</f>
        <v>2024.04</v>
      </c>
      <c r="B39" s="4">
        <f>'2024.04'!B19</f>
        <v>15</v>
      </c>
      <c r="C39" s="4">
        <f>'2024.04'!C19</f>
        <v>15</v>
      </c>
      <c r="D39" s="4">
        <f t="shared" si="5"/>
        <v>448</v>
      </c>
      <c r="E39" s="6">
        <f>'2024.04'!F19</f>
        <v>0.1236</v>
      </c>
      <c r="F39" s="6">
        <f t="shared" si="1"/>
        <v>3.9396</v>
      </c>
      <c r="G39" s="6">
        <v>120.6469</v>
      </c>
      <c r="H39" s="4">
        <f t="shared" si="2"/>
        <v>475.3</v>
      </c>
      <c r="I39" s="4">
        <f t="shared" si="4"/>
        <v>27.3</v>
      </c>
      <c r="J39" s="18">
        <f t="shared" si="3"/>
        <v>6.0900000000000003E-2</v>
      </c>
      <c r="K39" s="4">
        <f>'2024.04'!D19</f>
        <v>0</v>
      </c>
      <c r="L39" s="4">
        <f>'2024.04'!J19</f>
        <v>0</v>
      </c>
      <c r="M39" s="4">
        <f>'2024.04'!O19</f>
        <v>0</v>
      </c>
      <c r="AC39" s="4">
        <f>'2024.04'!$C$19</f>
        <v>15</v>
      </c>
      <c r="AD39" s="4">
        <f>'2024.04'!$E$19</f>
        <v>121.36</v>
      </c>
      <c r="AE39" s="7">
        <f>'2024.04'!$F$19</f>
        <v>0.124</v>
      </c>
      <c r="AF39" s="49">
        <f>'2024.01'!$A$15</f>
        <v>45308</v>
      </c>
      <c r="AG39" s="4">
        <f>'2024.01'!$B$15*-1</f>
        <v>-10</v>
      </c>
    </row>
    <row r="40" spans="1:33" x14ac:dyDescent="0.25">
      <c r="A40" s="38">
        <f>'2024.05'!Q2</f>
        <v>2024.05</v>
      </c>
      <c r="B40" s="4">
        <f>'2024.05'!B19</f>
        <v>15</v>
      </c>
      <c r="C40" s="4">
        <f>'2024.05'!C19</f>
        <v>15</v>
      </c>
      <c r="D40" s="4">
        <f t="shared" si="5"/>
        <v>463</v>
      </c>
      <c r="E40" s="6">
        <f>'2024.05'!F19</f>
        <v>0.12180000000000001</v>
      </c>
      <c r="F40" s="6">
        <f t="shared" si="1"/>
        <v>4.0613999999999999</v>
      </c>
      <c r="G40" s="6">
        <v>123.3263</v>
      </c>
      <c r="H40" s="4">
        <f t="shared" si="2"/>
        <v>500.88</v>
      </c>
      <c r="I40" s="4">
        <f t="shared" si="4"/>
        <v>37.880000000000003</v>
      </c>
      <c r="J40" s="18">
        <f t="shared" si="3"/>
        <v>8.1799999999999998E-2</v>
      </c>
      <c r="K40" s="4">
        <f>'2024.05'!D19</f>
        <v>0</v>
      </c>
      <c r="L40" s="4">
        <f>'2024.05'!J19</f>
        <v>0</v>
      </c>
      <c r="M40" s="4">
        <f>'2024.05'!O19</f>
        <v>0</v>
      </c>
      <c r="AC40" s="4">
        <f>'2024.05'!$C$19</f>
        <v>15</v>
      </c>
      <c r="AD40" s="4">
        <f>'2024.05'!$E$19</f>
        <v>123.15</v>
      </c>
      <c r="AE40" s="7">
        <f>'2024.05'!$F$19</f>
        <v>0.122</v>
      </c>
      <c r="AF40" s="49">
        <f>'2024.02'!$A$15</f>
        <v>45337</v>
      </c>
      <c r="AG40" s="4">
        <f>'2024.02'!$B$15*-1</f>
        <v>-15</v>
      </c>
    </row>
    <row r="41" spans="1:33" x14ac:dyDescent="0.25">
      <c r="A41" s="38">
        <f>'2024.06'!Q2</f>
        <v>2024.06</v>
      </c>
      <c r="B41" s="4">
        <f>'2024.06'!B19</f>
        <v>15</v>
      </c>
      <c r="C41" s="4">
        <f>'2024.06'!C19</f>
        <v>15</v>
      </c>
      <c r="D41" s="4">
        <f t="shared" si="5"/>
        <v>478</v>
      </c>
      <c r="E41" s="6">
        <f>'2024.06'!F19</f>
        <v>0.11940000000000001</v>
      </c>
      <c r="F41" s="6">
        <f t="shared" si="1"/>
        <v>4.1807999999999996</v>
      </c>
      <c r="G41" s="6">
        <v>125.67359999999999</v>
      </c>
      <c r="H41" s="4">
        <f t="shared" si="2"/>
        <v>525.41999999999996</v>
      </c>
      <c r="I41" s="4">
        <f t="shared" si="4"/>
        <v>47.42</v>
      </c>
      <c r="J41" s="18">
        <f t="shared" si="3"/>
        <v>9.9199999999999997E-2</v>
      </c>
      <c r="K41" s="4">
        <f>'2024.06'!D19</f>
        <v>0</v>
      </c>
      <c r="L41" s="4">
        <f>'2024.06'!J19</f>
        <v>0</v>
      </c>
      <c r="M41" s="4">
        <f>'2024.06'!O19</f>
        <v>0</v>
      </c>
      <c r="AC41" s="4">
        <f>'2024.06'!$C$19</f>
        <v>15</v>
      </c>
      <c r="AD41" s="4">
        <f>'2024.06'!$E$19</f>
        <v>125.63</v>
      </c>
      <c r="AE41" s="7">
        <f>'2024.06'!$F$19</f>
        <v>0.11899999999999999</v>
      </c>
      <c r="AF41" s="49">
        <f>'2024.03'!$A$15</f>
        <v>45366</v>
      </c>
      <c r="AG41" s="4">
        <f>'2024.03'!$B$15*-1</f>
        <v>-15</v>
      </c>
    </row>
    <row r="42" spans="1:33" x14ac:dyDescent="0.25">
      <c r="A42" s="38">
        <f>'2024.07'!Q2</f>
        <v>2024.07</v>
      </c>
      <c r="B42" s="4">
        <f>'2024.07'!B19</f>
        <v>15</v>
      </c>
      <c r="C42" s="4">
        <f>'2024.07'!C19</f>
        <v>15</v>
      </c>
      <c r="D42" s="4">
        <f t="shared" si="5"/>
        <v>493</v>
      </c>
      <c r="E42" s="6">
        <f>'2024.07'!F19</f>
        <v>0.11840000000000001</v>
      </c>
      <c r="F42" s="6">
        <f t="shared" si="1"/>
        <v>4.2991999999999999</v>
      </c>
      <c r="G42" s="6">
        <v>125.1386</v>
      </c>
      <c r="H42" s="4">
        <f t="shared" si="2"/>
        <v>538</v>
      </c>
      <c r="I42" s="4">
        <f t="shared" si="4"/>
        <v>45</v>
      </c>
      <c r="J42" s="18">
        <f t="shared" si="3"/>
        <v>9.1300000000000006E-2</v>
      </c>
      <c r="K42" s="4">
        <f>'2024.07'!D19</f>
        <v>0</v>
      </c>
      <c r="L42" s="4">
        <f>'2024.07'!J19</f>
        <v>0</v>
      </c>
      <c r="M42" s="4">
        <f>'2024.07'!O19</f>
        <v>0</v>
      </c>
      <c r="AC42" s="4">
        <f>'2024.07'!$C$19</f>
        <v>15</v>
      </c>
      <c r="AD42" s="4">
        <f>'2024.07'!$E$19</f>
        <v>126.69</v>
      </c>
      <c r="AE42" s="7">
        <f>'2024.07'!$F$19</f>
        <v>0.11799999999999999</v>
      </c>
      <c r="AF42" s="49">
        <f>'2024.04'!$A$15</f>
        <v>45399</v>
      </c>
      <c r="AG42" s="4">
        <f>'2024.04'!$B$15*-1</f>
        <v>-15</v>
      </c>
    </row>
    <row r="43" spans="1:33" x14ac:dyDescent="0.25">
      <c r="A43" s="38">
        <f>'2024.08'!Q2</f>
        <v>2024.08</v>
      </c>
      <c r="B43" s="4">
        <f>'2024.08'!B19</f>
        <v>15</v>
      </c>
      <c r="C43" s="4">
        <f>'2024.08'!C19</f>
        <v>15</v>
      </c>
      <c r="D43" s="4">
        <f t="shared" si="5"/>
        <v>508</v>
      </c>
      <c r="E43" s="6">
        <f>'2024.08'!F19</f>
        <v>0.121</v>
      </c>
      <c r="F43" s="6">
        <f t="shared" si="1"/>
        <v>4.4202000000000004</v>
      </c>
      <c r="G43" s="6">
        <v>127.27370000000001</v>
      </c>
      <c r="H43" s="4">
        <f t="shared" si="2"/>
        <v>562.58000000000004</v>
      </c>
      <c r="I43" s="4">
        <f t="shared" si="4"/>
        <v>54.58</v>
      </c>
      <c r="J43" s="18">
        <f t="shared" si="3"/>
        <v>0.1074</v>
      </c>
      <c r="K43" s="4">
        <f>'2024.08'!D19</f>
        <v>0</v>
      </c>
      <c r="L43" s="4">
        <f>'2024.08'!J19</f>
        <v>0</v>
      </c>
      <c r="M43" s="4">
        <f>'2024.08'!O19</f>
        <v>0</v>
      </c>
      <c r="AC43" s="4">
        <f>'2024.08'!$C$19</f>
        <v>15</v>
      </c>
      <c r="AD43" s="4">
        <f>'2024.08'!$E$19</f>
        <v>123.97</v>
      </c>
      <c r="AE43" s="7">
        <f>'2024.08'!$F$19</f>
        <v>0.121</v>
      </c>
      <c r="AF43" s="49">
        <f>'2024.05'!$A$15</f>
        <v>45428</v>
      </c>
      <c r="AG43" s="4">
        <f>'2024.05'!$B$15*-1</f>
        <v>-15</v>
      </c>
    </row>
    <row r="44" spans="1:33" x14ac:dyDescent="0.25">
      <c r="A44" s="38">
        <f>'2024.09'!Q2</f>
        <v>2024.09</v>
      </c>
      <c r="B44" s="4">
        <f>'2024.09'!B19</f>
        <v>15</v>
      </c>
      <c r="C44" s="4">
        <f>'2024.09'!C19</f>
        <v>15</v>
      </c>
      <c r="D44" s="4">
        <f t="shared" si="5"/>
        <v>523</v>
      </c>
      <c r="E44" s="6">
        <f>'2024.09'!F19</f>
        <v>0.1181</v>
      </c>
      <c r="F44" s="6">
        <f t="shared" si="1"/>
        <v>4.5382999999999996</v>
      </c>
      <c r="G44" s="6">
        <v>129.0378</v>
      </c>
      <c r="H44" s="4">
        <f t="shared" si="2"/>
        <v>585.61</v>
      </c>
      <c r="I44" s="4">
        <f t="shared" si="4"/>
        <v>62.61</v>
      </c>
      <c r="J44" s="18">
        <f t="shared" si="3"/>
        <v>0.1197</v>
      </c>
      <c r="K44" s="4">
        <f>'2024.09'!D19</f>
        <v>0</v>
      </c>
      <c r="L44" s="4">
        <f>'2024.09'!J19</f>
        <v>0</v>
      </c>
      <c r="M44" s="4">
        <f>'2024.09'!O19</f>
        <v>0</v>
      </c>
      <c r="AC44" s="4">
        <f>'2024.09'!$C$19</f>
        <v>15</v>
      </c>
      <c r="AD44" s="4">
        <f>'2024.09'!$E$19</f>
        <v>127.01</v>
      </c>
      <c r="AE44" s="7">
        <f>'2024.09'!$F$19</f>
        <v>0.11799999999999999</v>
      </c>
      <c r="AF44" s="49">
        <f>'2024.06'!$A$15</f>
        <v>45460</v>
      </c>
      <c r="AG44" s="4">
        <f>'2024.06'!$B$15*-1</f>
        <v>-15</v>
      </c>
    </row>
    <row r="45" spans="1:33" x14ac:dyDescent="0.25">
      <c r="A45" s="38">
        <f>'2024.10'!Q2</f>
        <v>2024.1</v>
      </c>
      <c r="B45" s="4">
        <f>'2024.10'!B19</f>
        <v>15</v>
      </c>
      <c r="C45" s="4">
        <f>'2024.10'!C19</f>
        <v>15</v>
      </c>
      <c r="D45" s="4">
        <f t="shared" si="5"/>
        <v>538</v>
      </c>
      <c r="E45" s="6">
        <f>'2024.10'!F19</f>
        <v>0.1154</v>
      </c>
      <c r="F45" s="6">
        <f t="shared" si="1"/>
        <v>4.6536999999999997</v>
      </c>
      <c r="G45" s="6">
        <v>128.80529999999999</v>
      </c>
      <c r="H45" s="4">
        <f t="shared" si="2"/>
        <v>599.41999999999996</v>
      </c>
      <c r="I45" s="4">
        <f t="shared" si="4"/>
        <v>61.42</v>
      </c>
      <c r="J45" s="18">
        <f t="shared" si="3"/>
        <v>0.1142</v>
      </c>
      <c r="K45" s="4">
        <f>'2024.10'!D19</f>
        <v>0</v>
      </c>
      <c r="L45" s="4">
        <f>'2024.10'!J19</f>
        <v>0</v>
      </c>
      <c r="M45" s="4">
        <f>'2024.10'!O19</f>
        <v>0</v>
      </c>
      <c r="AC45" s="4">
        <f>'2024.10'!$C$19</f>
        <v>15</v>
      </c>
      <c r="AD45" s="4">
        <f>'2024.10'!$E$19</f>
        <v>129.97999999999999</v>
      </c>
      <c r="AE45" s="7">
        <f>'2024.10'!$F$19</f>
        <v>0.115</v>
      </c>
      <c r="AF45" s="49">
        <f>'2024.07'!$A$15</f>
        <v>45490</v>
      </c>
      <c r="AG45" s="4">
        <f>'2024.07'!$B$15*-1</f>
        <v>-15</v>
      </c>
    </row>
    <row r="46" spans="1:33" x14ac:dyDescent="0.25">
      <c r="A46" s="38">
        <f>'2024.11'!Q2</f>
        <v>2024.11</v>
      </c>
      <c r="B46" s="4">
        <f>'2024.11'!B19</f>
        <v>15</v>
      </c>
      <c r="C46" s="4">
        <f>'2024.11'!C19</f>
        <v>15</v>
      </c>
      <c r="D46" s="4">
        <f t="shared" si="5"/>
        <v>553</v>
      </c>
      <c r="E46" s="6">
        <f>'2024.11'!F19</f>
        <v>0.11550000000000001</v>
      </c>
      <c r="F46" s="6">
        <f t="shared" si="1"/>
        <v>4.7691999999999997</v>
      </c>
      <c r="G46" s="6">
        <v>130.60409999999999</v>
      </c>
      <c r="H46" s="4">
        <f t="shared" si="2"/>
        <v>622.88</v>
      </c>
      <c r="I46" s="4">
        <f t="shared" si="4"/>
        <v>69.88</v>
      </c>
      <c r="J46" s="18">
        <f t="shared" si="3"/>
        <v>0.12640000000000001</v>
      </c>
      <c r="K46" s="4">
        <f>'2024.11'!D19</f>
        <v>0</v>
      </c>
      <c r="L46" s="4">
        <f>'2024.11'!J19</f>
        <v>0</v>
      </c>
      <c r="M46" s="4">
        <f>'2024.11'!O19</f>
        <v>0</v>
      </c>
      <c r="AC46" s="4">
        <f>'2024.11'!$C$19</f>
        <v>15</v>
      </c>
      <c r="AD46" s="4">
        <f>'2024.11'!$E$19</f>
        <v>129.87</v>
      </c>
      <c r="AE46" s="7">
        <f>'2024.11'!$F$19</f>
        <v>0.11600000000000001</v>
      </c>
      <c r="AF46" s="49">
        <f>'2024.08'!$A$15</f>
        <v>45520</v>
      </c>
      <c r="AG46" s="4">
        <f>'2024.08'!$B$15*-1</f>
        <v>-15</v>
      </c>
    </row>
    <row r="47" spans="1:33" x14ac:dyDescent="0.25">
      <c r="A47" s="38">
        <f>'2024.12'!Q2</f>
        <v>2024.12</v>
      </c>
      <c r="B47" s="4">
        <f>'2024.12'!B19</f>
        <v>15</v>
      </c>
      <c r="C47" s="4">
        <f>'2024.12'!C19</f>
        <v>15</v>
      </c>
      <c r="D47" s="4">
        <f t="shared" si="5"/>
        <v>568</v>
      </c>
      <c r="E47" s="6">
        <f>'2024.12'!F19</f>
        <v>0.1135</v>
      </c>
      <c r="F47" s="6">
        <f t="shared" si="1"/>
        <v>4.8826999999999998</v>
      </c>
      <c r="G47" s="6">
        <v>130.0412</v>
      </c>
      <c r="H47" s="4">
        <f t="shared" si="2"/>
        <v>634.95000000000005</v>
      </c>
      <c r="I47" s="4">
        <f t="shared" si="4"/>
        <v>66.95</v>
      </c>
      <c r="J47" s="18">
        <f t="shared" si="3"/>
        <v>0.1179</v>
      </c>
      <c r="K47" s="4">
        <f>'2024.12'!D19</f>
        <v>0</v>
      </c>
      <c r="L47" s="4">
        <f>'2024.12'!J19</f>
        <v>0</v>
      </c>
      <c r="M47" s="4">
        <f>'2024.12'!O19</f>
        <v>0</v>
      </c>
      <c r="AC47" s="4">
        <f>'2024.12'!$C$19</f>
        <v>15</v>
      </c>
      <c r="AD47" s="4">
        <f>'2024.12'!$E$19</f>
        <v>132.16</v>
      </c>
      <c r="AE47" s="7">
        <f>'2024.12'!$F$19</f>
        <v>0.114</v>
      </c>
      <c r="AF47" s="49">
        <f>'2024.09'!$A$15</f>
        <v>45552</v>
      </c>
      <c r="AG47" s="4">
        <f>'2024.09'!$B$15*-1</f>
        <v>-15</v>
      </c>
    </row>
    <row r="48" spans="1:33" x14ac:dyDescent="0.25">
      <c r="A48" s="38">
        <f>'2025.01'!Q2</f>
        <v>2025.01</v>
      </c>
      <c r="B48" s="4">
        <f>'2025.01'!B19</f>
        <v>15</v>
      </c>
      <c r="C48" s="4">
        <f>'2025.01'!C19</f>
        <v>15</v>
      </c>
      <c r="D48" s="4">
        <f t="shared" si="5"/>
        <v>583</v>
      </c>
      <c r="E48" s="6">
        <f>'2025.01'!F19</f>
        <v>0.11600000000000001</v>
      </c>
      <c r="F48" s="6">
        <f t="shared" si="1"/>
        <v>4.9987000000000004</v>
      </c>
      <c r="G48" s="6">
        <v>133.547</v>
      </c>
      <c r="H48" s="4">
        <f t="shared" si="2"/>
        <v>667.56</v>
      </c>
      <c r="I48" s="4">
        <f t="shared" si="4"/>
        <v>84.56</v>
      </c>
      <c r="J48" s="18">
        <f t="shared" si="3"/>
        <v>0.14499999999999999</v>
      </c>
      <c r="K48" s="4">
        <f>'2025.01'!D19</f>
        <v>0</v>
      </c>
      <c r="L48" s="4">
        <f>'2025.01'!J19</f>
        <v>0</v>
      </c>
      <c r="M48" s="4">
        <f>'2025.01'!O19</f>
        <v>0</v>
      </c>
      <c r="AC48" s="4">
        <f>'2025.01'!$C$19</f>
        <v>15</v>
      </c>
      <c r="AD48" s="4">
        <f>'2025.01'!$E$19</f>
        <v>129.31</v>
      </c>
      <c r="AE48" s="7">
        <f>'2025.01'!$F$19</f>
        <v>0.11600000000000001</v>
      </c>
      <c r="AF48" s="49">
        <f>'2024.10'!$A$15</f>
        <v>45582</v>
      </c>
      <c r="AG48" s="4">
        <f>'2024.10'!$B$15*-1</f>
        <v>-15</v>
      </c>
    </row>
    <row r="49" spans="1:33" x14ac:dyDescent="0.25">
      <c r="A49" s="38">
        <f>'2025.02'!Q2</f>
        <v>2025.02</v>
      </c>
      <c r="B49" s="4">
        <f>'2025.02'!B19</f>
        <v>15</v>
      </c>
      <c r="C49" s="4">
        <f>'2025.02'!C19</f>
        <v>15</v>
      </c>
      <c r="D49" s="4">
        <f t="shared" si="5"/>
        <v>598</v>
      </c>
      <c r="E49" s="6">
        <f>'2025.02'!F19</f>
        <v>0.11119999999999999</v>
      </c>
      <c r="F49" s="6">
        <f t="shared" si="1"/>
        <v>5.1098999999999997</v>
      </c>
      <c r="G49" s="6">
        <v>135.00919999999999</v>
      </c>
      <c r="H49" s="4">
        <f t="shared" si="2"/>
        <v>689.88</v>
      </c>
      <c r="I49" s="4">
        <f t="shared" si="4"/>
        <v>91.88</v>
      </c>
      <c r="J49" s="18">
        <f t="shared" si="3"/>
        <v>0.15359999999999999</v>
      </c>
      <c r="K49" s="4">
        <f>'2025.02'!D19</f>
        <v>0</v>
      </c>
      <c r="L49" s="4">
        <f>'2025.02'!J19</f>
        <v>0</v>
      </c>
      <c r="M49" s="4">
        <f>'2025.02'!O19</f>
        <v>0</v>
      </c>
      <c r="AC49" s="4">
        <f>'2025.02'!$C$19</f>
        <v>15</v>
      </c>
      <c r="AD49" s="4">
        <f>'2025.02'!$E$19</f>
        <v>134.88999999999999</v>
      </c>
      <c r="AE49" s="7">
        <f>'2025.02'!$F$19</f>
        <v>0.111</v>
      </c>
      <c r="AF49" s="49">
        <f>'2024.11'!$A$15</f>
        <v>45611</v>
      </c>
      <c r="AG49" s="4">
        <f>'2024.11'!$B$15*-1</f>
        <v>-15</v>
      </c>
    </row>
    <row r="50" spans="1:33" x14ac:dyDescent="0.25">
      <c r="A50" s="38">
        <f>'2025.03'!Q2</f>
        <v>2025.03</v>
      </c>
      <c r="B50" s="4">
        <f>'2025.03'!B19</f>
        <v>15</v>
      </c>
      <c r="C50" s="4">
        <f>'2025.03'!C19</f>
        <v>15</v>
      </c>
      <c r="D50" s="4">
        <f t="shared" si="5"/>
        <v>613</v>
      </c>
      <c r="E50" s="6">
        <f>'2025.03'!F19</f>
        <v>0.1158</v>
      </c>
      <c r="F50" s="6">
        <f t="shared" si="1"/>
        <v>5.2256999999999998</v>
      </c>
      <c r="G50" s="6">
        <v>129.9751</v>
      </c>
      <c r="H50" s="4">
        <f t="shared" si="2"/>
        <v>679.21</v>
      </c>
      <c r="I50" s="4">
        <f t="shared" si="4"/>
        <v>66.209999999999994</v>
      </c>
      <c r="J50" s="18">
        <f t="shared" si="3"/>
        <v>0.108</v>
      </c>
      <c r="K50" s="4">
        <f>'2025.03'!D19</f>
        <v>0</v>
      </c>
      <c r="L50" s="4">
        <f>'2025.03'!J19</f>
        <v>0</v>
      </c>
      <c r="M50" s="4">
        <f>'2025.03'!O19</f>
        <v>0</v>
      </c>
      <c r="AC50" s="4">
        <f>'2025.03'!$C$19</f>
        <v>15</v>
      </c>
      <c r="AD50" s="4">
        <f>'2025.03'!$E$19</f>
        <v>129.53</v>
      </c>
      <c r="AE50" s="7">
        <f>'2025.03'!$F$19</f>
        <v>0.11600000000000001</v>
      </c>
      <c r="AF50" s="49">
        <f>'2024.12'!$A$15</f>
        <v>45643</v>
      </c>
      <c r="AG50" s="4">
        <f>'2024.12'!$B$15*-1</f>
        <v>-15</v>
      </c>
    </row>
    <row r="51" spans="1:33" x14ac:dyDescent="0.25">
      <c r="A51" s="38">
        <f>'2025.04'!Q2</f>
        <v>2025.04</v>
      </c>
      <c r="B51" s="4">
        <f>'2025.04'!B19</f>
        <v>20</v>
      </c>
      <c r="C51" s="4">
        <f>'2025.04'!C19</f>
        <v>20</v>
      </c>
      <c r="D51" s="4">
        <f t="shared" si="5"/>
        <v>633</v>
      </c>
      <c r="E51" s="6">
        <f>'2025.04'!F19</f>
        <v>0.16109999999999999</v>
      </c>
      <c r="F51" s="6">
        <f t="shared" si="1"/>
        <v>5.3868</v>
      </c>
      <c r="G51" s="6">
        <v>126.5641</v>
      </c>
      <c r="H51" s="4">
        <f t="shared" si="2"/>
        <v>681.78</v>
      </c>
      <c r="I51" s="4">
        <f t="shared" si="4"/>
        <v>48.78</v>
      </c>
      <c r="J51" s="18">
        <f t="shared" si="3"/>
        <v>7.7100000000000002E-2</v>
      </c>
      <c r="K51" s="4">
        <f>'2025.04'!D19</f>
        <v>0</v>
      </c>
      <c r="L51" s="4">
        <f>'2025.04'!J19</f>
        <v>0</v>
      </c>
      <c r="M51" s="4">
        <f>'2025.04'!O19</f>
        <v>0</v>
      </c>
      <c r="AC51" s="4">
        <f>'2025.04'!$C$19</f>
        <v>20</v>
      </c>
      <c r="AD51" s="4">
        <f>'2025.04'!$E$19</f>
        <v>124.15</v>
      </c>
      <c r="AE51" s="7">
        <f>'2025.04'!$F$19</f>
        <v>0.161</v>
      </c>
      <c r="AF51" s="49">
        <f>'2025.01'!$A$15</f>
        <v>45673</v>
      </c>
      <c r="AG51" s="4">
        <f>'2025.01'!$B$15*-1</f>
        <v>-15</v>
      </c>
    </row>
    <row r="52" spans="1:33" x14ac:dyDescent="0.25">
      <c r="A52" s="38">
        <f>'2025.05'!Q2</f>
        <v>2025.05</v>
      </c>
      <c r="B52" s="4">
        <f>'2025.05'!B19</f>
        <v>20</v>
      </c>
      <c r="C52" s="4">
        <f>'2025.05'!C19</f>
        <v>20</v>
      </c>
      <c r="D52" s="4">
        <f t="shared" si="5"/>
        <v>653</v>
      </c>
      <c r="E52" s="6">
        <f>'2025.05'!F19</f>
        <v>0.1522</v>
      </c>
      <c r="F52" s="6">
        <f t="shared" si="1"/>
        <v>5.5389999999999997</v>
      </c>
      <c r="G52" s="6">
        <v>131.62469999999999</v>
      </c>
      <c r="H52" s="4">
        <f t="shared" si="2"/>
        <v>729.07</v>
      </c>
      <c r="I52" s="4">
        <f t="shared" si="4"/>
        <v>76.069999999999993</v>
      </c>
      <c r="J52" s="18">
        <f t="shared" si="3"/>
        <v>0.11650000000000001</v>
      </c>
      <c r="K52" s="4">
        <f>'2025.05'!D19</f>
        <v>0</v>
      </c>
      <c r="L52" s="4">
        <f>'2025.05'!J19</f>
        <v>0</v>
      </c>
      <c r="M52" s="4">
        <f>'2025.05'!O19</f>
        <v>0</v>
      </c>
      <c r="AC52" s="4">
        <f>'2025.05'!$C$19</f>
        <v>20</v>
      </c>
      <c r="AD52" s="4">
        <f>'2025.05'!$E$19</f>
        <v>131.41</v>
      </c>
      <c r="AE52" s="7">
        <f>'2025.05'!$F$19</f>
        <v>0.152</v>
      </c>
      <c r="AF52" s="49">
        <f>'2025.02'!$A$15</f>
        <v>45705</v>
      </c>
      <c r="AG52" s="4">
        <f>'2025.02'!$B$15*-1</f>
        <v>-15</v>
      </c>
    </row>
    <row r="53" spans="1:33" x14ac:dyDescent="0.25">
      <c r="A53" s="38">
        <f>'2025.06'!Q2</f>
        <v>2025.06</v>
      </c>
      <c r="B53" s="4">
        <f>'2025.06'!B19</f>
        <v>20</v>
      </c>
      <c r="C53" s="4">
        <f>'2025.06'!C19</f>
        <v>20</v>
      </c>
      <c r="D53" s="4">
        <f t="shared" si="5"/>
        <v>673</v>
      </c>
      <c r="E53" s="6">
        <f>'2025.06'!F19</f>
        <v>0.15240000000000001</v>
      </c>
      <c r="F53" s="6">
        <f t="shared" ref="F53" si="6">F52+E53</f>
        <v>5.6913999999999998</v>
      </c>
      <c r="G53" s="6">
        <v>130.821</v>
      </c>
      <c r="H53" s="4">
        <f t="shared" si="2"/>
        <v>744.55</v>
      </c>
      <c r="I53" s="4">
        <f t="shared" si="4"/>
        <v>71.55</v>
      </c>
      <c r="J53" s="18">
        <f t="shared" si="3"/>
        <v>0.10630000000000001</v>
      </c>
      <c r="K53" s="4">
        <f>'2025.06'!D19</f>
        <v>0</v>
      </c>
      <c r="L53" s="4">
        <f>'2025.06'!J19</f>
        <v>0</v>
      </c>
      <c r="M53" s="4">
        <f>'2025.06'!O19</f>
        <v>0</v>
      </c>
      <c r="AC53" s="4">
        <f>'2025.06'!$C$19</f>
        <v>20</v>
      </c>
      <c r="AD53" s="4">
        <f>'2025.06'!$E$19</f>
        <v>131.22999999999999</v>
      </c>
      <c r="AE53" s="7">
        <f>'2025.06'!$F$19</f>
        <v>0.152</v>
      </c>
      <c r="AF53" s="49">
        <f>'2025.03'!$A$15</f>
        <v>45733</v>
      </c>
      <c r="AG53" s="4">
        <f>'2025.03'!$B$15*-1</f>
        <v>-15</v>
      </c>
    </row>
    <row r="54" spans="1:33" x14ac:dyDescent="0.25">
      <c r="A54" s="38">
        <f>'2025.07'!Q2</f>
        <v>2025.07</v>
      </c>
      <c r="B54" s="4">
        <f>'2025.07'!B19</f>
        <v>20</v>
      </c>
      <c r="C54" s="4">
        <f>'2025.07'!C19</f>
        <v>20</v>
      </c>
      <c r="D54" s="4">
        <f t="shared" si="5"/>
        <v>693</v>
      </c>
      <c r="E54" s="6">
        <f>'2025.07'!F19</f>
        <v>0.1512</v>
      </c>
      <c r="F54" s="6">
        <f t="shared" ref="F54" si="7">F53+E54</f>
        <v>5.8426</v>
      </c>
      <c r="G54" s="6">
        <v>133.81790000000001</v>
      </c>
      <c r="H54" s="4">
        <f t="shared" si="2"/>
        <v>781.84</v>
      </c>
      <c r="I54" s="4">
        <f t="shared" si="4"/>
        <v>88.84</v>
      </c>
      <c r="J54" s="18">
        <f t="shared" si="3"/>
        <v>0.12820000000000001</v>
      </c>
      <c r="K54" s="4">
        <f>'2025.07'!D19</f>
        <v>0</v>
      </c>
      <c r="L54" s="4">
        <f>'2025.07'!J19</f>
        <v>0</v>
      </c>
      <c r="M54" s="4">
        <f>'2025.07'!O19</f>
        <v>0</v>
      </c>
      <c r="AC54" s="4">
        <f>'2025.07'!$C$19</f>
        <v>20</v>
      </c>
      <c r="AD54" s="4">
        <f>'2025.07'!$E$19</f>
        <v>132.28</v>
      </c>
      <c r="AE54" s="7">
        <f>'2025.07'!$F$19</f>
        <v>0.151</v>
      </c>
      <c r="AF54" s="49">
        <f>'2025.04'!$A$15</f>
        <v>45764</v>
      </c>
      <c r="AG54" s="4">
        <f>'2025.04'!$B$15*-1</f>
        <v>-20</v>
      </c>
    </row>
    <row r="55" spans="1:33" x14ac:dyDescent="0.25">
      <c r="A55" s="38">
        <f>'2025.08'!Q2</f>
        <v>2025.08</v>
      </c>
      <c r="B55" s="4">
        <f>'2025.08'!B19</f>
        <v>20</v>
      </c>
      <c r="C55" s="4">
        <f>'2025.08'!C19</f>
        <v>20</v>
      </c>
      <c r="D55" s="4">
        <f t="shared" si="5"/>
        <v>713</v>
      </c>
      <c r="E55" s="6">
        <f>'2025.08'!F19</f>
        <v>0.14990000000000001</v>
      </c>
      <c r="F55" s="6">
        <f t="shared" ref="F55" si="8">F54+E55</f>
        <v>5.9924999999999997</v>
      </c>
      <c r="G55" s="6">
        <v>134.23410000000001</v>
      </c>
      <c r="H55" s="4">
        <f t="shared" si="2"/>
        <v>804.4</v>
      </c>
      <c r="I55" s="4">
        <f t="shared" si="4"/>
        <v>91.4</v>
      </c>
      <c r="J55" s="18">
        <f t="shared" si="3"/>
        <v>0.12820000000000001</v>
      </c>
      <c r="K55" s="4">
        <f>'2025.08'!D19</f>
        <v>0</v>
      </c>
      <c r="L55" s="4">
        <f>'2025.08'!J19</f>
        <v>0</v>
      </c>
      <c r="M55" s="4">
        <f>'2025.08'!O19</f>
        <v>0</v>
      </c>
      <c r="AC55" s="4">
        <f>'2025.08'!$C$19</f>
        <v>20</v>
      </c>
      <c r="AD55" s="4">
        <f>'2025.08'!$E$19</f>
        <v>133.41999999999999</v>
      </c>
      <c r="AE55" s="7">
        <f>'2025.08'!$F$19</f>
        <v>0.15</v>
      </c>
      <c r="AF55" s="49">
        <f>'2025.05'!$A$15</f>
        <v>45792</v>
      </c>
      <c r="AG55" s="4">
        <f>'2025.05'!$B$15*-1</f>
        <v>-20</v>
      </c>
    </row>
    <row r="56" spans="1:33" x14ac:dyDescent="0.25">
      <c r="A56" s="38">
        <f>'2025.09'!Q2</f>
        <v>2025.09</v>
      </c>
      <c r="B56" s="4">
        <f>'2025.09'!B19</f>
        <v>20</v>
      </c>
      <c r="C56" s="4">
        <f>'2025.09'!C19</f>
        <v>20</v>
      </c>
      <c r="D56" s="4">
        <f t="shared" si="5"/>
        <v>733</v>
      </c>
      <c r="E56" s="6">
        <f>'2025.09'!F19</f>
        <v>0.14810000000000001</v>
      </c>
      <c r="F56" s="6">
        <f t="shared" ref="F56" si="9">F55+E56</f>
        <v>6.1406000000000001</v>
      </c>
      <c r="G56" s="6">
        <v>134.56950000000001</v>
      </c>
      <c r="H56" s="4">
        <f t="shared" si="2"/>
        <v>826.34</v>
      </c>
      <c r="I56" s="4">
        <f t="shared" si="4"/>
        <v>93.34</v>
      </c>
      <c r="J56" s="18">
        <f t="shared" si="3"/>
        <v>0.1273</v>
      </c>
      <c r="K56" s="4">
        <f>'2025.09'!D19</f>
        <v>0</v>
      </c>
      <c r="L56" s="4">
        <f>'2025.09'!J19</f>
        <v>0</v>
      </c>
      <c r="M56" s="4">
        <f>'2025.09'!O19</f>
        <v>0</v>
      </c>
      <c r="AC56" s="4">
        <f>'2025.09'!$C$19</f>
        <v>20</v>
      </c>
      <c r="AD56" s="4">
        <f>'2025.09'!$E$19</f>
        <v>135.04</v>
      </c>
      <c r="AE56" s="7">
        <f>'2025.09'!$F$19</f>
        <v>0.14799999999999999</v>
      </c>
      <c r="AF56" s="49">
        <f>'2025.06'!$A$15</f>
        <v>45825</v>
      </c>
      <c r="AG56" s="4">
        <f>'2025.06'!$B$15*-1</f>
        <v>-20</v>
      </c>
    </row>
    <row r="57" spans="1:33" x14ac:dyDescent="0.25">
      <c r="A57" s="38">
        <f>'2025.10'!Q2</f>
        <v>2025.1</v>
      </c>
      <c r="B57" s="4">
        <f>'2025.10'!B19</f>
        <v>20</v>
      </c>
      <c r="C57" s="4">
        <f>'2025.10'!C19</f>
        <v>20</v>
      </c>
      <c r="D57" s="4">
        <f t="shared" si="5"/>
        <v>753</v>
      </c>
      <c r="E57" s="6">
        <f>'2025.10'!F19</f>
        <v>0.14760000000000001</v>
      </c>
      <c r="F57" s="6">
        <f t="shared" ref="F57" si="10">F56+E57</f>
        <v>6.2881999999999998</v>
      </c>
      <c r="G57" s="6">
        <v>139.01990000000001</v>
      </c>
      <c r="H57" s="4">
        <f t="shared" si="2"/>
        <v>874.18</v>
      </c>
      <c r="I57" s="4">
        <f t="shared" si="4"/>
        <v>121.18</v>
      </c>
      <c r="J57" s="18">
        <f t="shared" si="3"/>
        <v>0.16089999999999999</v>
      </c>
      <c r="K57" s="4">
        <f>'2025.10'!D19</f>
        <v>0</v>
      </c>
      <c r="L57" s="4">
        <f>'2025.10'!J19</f>
        <v>0</v>
      </c>
      <c r="M57" s="4">
        <f>'2025.10'!O19</f>
        <v>0</v>
      </c>
      <c r="AC57" s="4">
        <f>'2025.10'!$C$19</f>
        <v>20</v>
      </c>
      <c r="AD57" s="4">
        <f>'2025.10'!$E$19</f>
        <v>135.5</v>
      </c>
      <c r="AE57" s="7">
        <f>'2025.10'!$F$19</f>
        <v>0.14799999999999999</v>
      </c>
      <c r="AF57" s="49">
        <f>'2025.07'!$A$15</f>
        <v>45855</v>
      </c>
      <c r="AG57" s="4">
        <f>'2025.07'!$B$15*-1</f>
        <v>-20</v>
      </c>
    </row>
    <row r="58" spans="1:33" x14ac:dyDescent="0.25">
      <c r="A58" s="38">
        <f>'2025.11'!Q2</f>
        <v>2025.11</v>
      </c>
      <c r="B58" s="4">
        <f>'2025.11'!B19</f>
        <v>20</v>
      </c>
      <c r="C58" s="4">
        <f>'2025.11'!C19</f>
        <v>20</v>
      </c>
      <c r="D58" s="4">
        <f t="shared" ref="D58" si="11">D57+B58</f>
        <v>773</v>
      </c>
      <c r="E58" s="6">
        <f>'2025.11'!F19</f>
        <v>0.14430000000000001</v>
      </c>
      <c r="F58" s="6">
        <f t="shared" ref="F58" si="12">F57+E58</f>
        <v>6.4325000000000001</v>
      </c>
      <c r="G58" s="6">
        <v>137.96870000000001</v>
      </c>
      <c r="H58" s="4">
        <f t="shared" ref="H58" si="13">F58*G58</f>
        <v>887.48</v>
      </c>
      <c r="I58" s="4">
        <f t="shared" ref="I58" si="14">H58-D58</f>
        <v>114.48</v>
      </c>
      <c r="J58" s="18">
        <f t="shared" ref="J58" si="15">(H58-D58)/D58</f>
        <v>0.14810000000000001</v>
      </c>
      <c r="K58" s="4">
        <f>'2025.11'!D19</f>
        <v>0</v>
      </c>
      <c r="L58" s="4">
        <f>'2025.11'!J19</f>
        <v>0</v>
      </c>
      <c r="M58" s="4">
        <f>'2025.11'!O19</f>
        <v>0</v>
      </c>
      <c r="AC58" s="4">
        <f>'2025.11'!$C$19</f>
        <v>20</v>
      </c>
      <c r="AD58" s="4">
        <f>'2025.11'!$E$19</f>
        <v>138.6</v>
      </c>
      <c r="AE58" s="7">
        <f>'2025.11'!$F$19</f>
        <v>0.14399999999999999</v>
      </c>
      <c r="AF58" s="49">
        <f>'2025.08'!$A$15</f>
        <v>45887</v>
      </c>
      <c r="AG58" s="4">
        <f>'2025.08'!$B$15*-1</f>
        <v>-20</v>
      </c>
    </row>
    <row r="59" spans="1:33" x14ac:dyDescent="0.25">
      <c r="A59" s="38">
        <f>'2025.12'!Q2</f>
        <v>2025.12</v>
      </c>
      <c r="B59" s="4">
        <f>'2025.12'!B19</f>
        <v>20</v>
      </c>
      <c r="C59" s="4">
        <f>'2025.12'!C19</f>
        <v>20</v>
      </c>
      <c r="D59" s="4">
        <f t="shared" ref="D59" si="16">D58+B59</f>
        <v>793</v>
      </c>
      <c r="E59" s="6">
        <f>'2025.12'!F19</f>
        <v>0.14460000000000001</v>
      </c>
      <c r="F59" s="6">
        <f t="shared" ref="F59" si="17">F58+E59</f>
        <v>6.5770999999999997</v>
      </c>
      <c r="G59" s="6">
        <v>139.71870000000001</v>
      </c>
      <c r="H59" s="4">
        <f t="shared" ref="H59" si="18">F59*G59</f>
        <v>918.94</v>
      </c>
      <c r="I59" s="4">
        <f t="shared" ref="I59" si="19">H59-D59</f>
        <v>125.94</v>
      </c>
      <c r="J59" s="18">
        <f t="shared" ref="J59" si="20">(H59-D59)/D59</f>
        <v>0.1588</v>
      </c>
      <c r="K59" s="4">
        <f>'2025.12'!D19</f>
        <v>0</v>
      </c>
      <c r="L59" s="4">
        <f>'2025.12'!J19</f>
        <v>0</v>
      </c>
      <c r="M59" s="4">
        <f>'2025.12'!O19</f>
        <v>0</v>
      </c>
      <c r="AC59" s="4">
        <f>'2025.12'!$C$19</f>
        <v>20</v>
      </c>
      <c r="AD59" s="4">
        <f>'2025.12'!$E$19</f>
        <v>138.31</v>
      </c>
      <c r="AE59" s="7">
        <f>'2025.12'!$F$19</f>
        <v>0.14499999999999999</v>
      </c>
      <c r="AF59" s="49">
        <f>'2025.09'!$A$15</f>
        <v>45917</v>
      </c>
      <c r="AG59" s="4">
        <f>'2025.09'!$B$15*-1</f>
        <v>-20</v>
      </c>
    </row>
    <row r="60" spans="1:33" x14ac:dyDescent="0.25">
      <c r="A60" s="38">
        <f>'2026.01'!Q2</f>
        <v>2026.01</v>
      </c>
      <c r="B60" s="4">
        <f>'2026.01'!B19</f>
        <v>20</v>
      </c>
      <c r="C60" s="4">
        <f>'2026.01'!C19</f>
        <v>20</v>
      </c>
      <c r="D60" s="4">
        <f t="shared" ref="D60" si="21">D59+B60</f>
        <v>813</v>
      </c>
      <c r="E60" s="6">
        <f>'2026.01'!F19</f>
        <v>0.1406</v>
      </c>
      <c r="F60" s="6">
        <f t="shared" ref="F60" si="22">F59+E60</f>
        <v>6.7176999999999998</v>
      </c>
      <c r="G60" s="6">
        <v>142.88669999999999</v>
      </c>
      <c r="H60" s="4">
        <f t="shared" ref="H60" si="23">F60*G60</f>
        <v>959.87</v>
      </c>
      <c r="I60" s="4">
        <f t="shared" ref="I60" si="24">H60-D60</f>
        <v>146.87</v>
      </c>
      <c r="J60" s="18">
        <f t="shared" ref="J60" si="25">(H60-D60)/D60</f>
        <v>0.1807</v>
      </c>
      <c r="K60" s="4">
        <f>'2026.01'!D19</f>
        <v>0</v>
      </c>
      <c r="L60" s="4">
        <f>'2026.01'!J19</f>
        <v>0</v>
      </c>
      <c r="M60" s="4">
        <f>'2026.01'!O19</f>
        <v>0</v>
      </c>
      <c r="AC60" s="4">
        <f>'2026.01'!$C$19</f>
        <v>20</v>
      </c>
      <c r="AD60" s="4">
        <f>'2026.01'!$E$19</f>
        <v>142.25</v>
      </c>
      <c r="AE60" s="7">
        <f>'2026.01'!$F$19</f>
        <v>0.14099999999999999</v>
      </c>
      <c r="AF60" s="49">
        <f>'2025.10'!$A$15</f>
        <v>45946</v>
      </c>
      <c r="AG60" s="4">
        <f>'2025.10'!$B$15*-1</f>
        <v>-20</v>
      </c>
    </row>
    <row r="61" spans="1:33" x14ac:dyDescent="0.25">
      <c r="A61" s="38">
        <f>'2026.02'!Q2</f>
        <v>2026.02</v>
      </c>
      <c r="B61" s="4">
        <f>'2026.02'!B19</f>
        <v>20</v>
      </c>
      <c r="C61" s="4">
        <f>'2026.02'!C19</f>
        <v>20</v>
      </c>
      <c r="D61" s="4">
        <f t="shared" ref="D61" si="26">D60+B61</f>
        <v>833</v>
      </c>
      <c r="E61" s="6">
        <f>'2026.02'!F19</f>
        <v>0.1401</v>
      </c>
      <c r="F61" s="6">
        <f t="shared" ref="F61" si="27">F60+E61</f>
        <v>6.8578000000000001</v>
      </c>
      <c r="G61" s="6">
        <v>144.59280000000001</v>
      </c>
      <c r="H61" s="4">
        <f t="shared" ref="H61" si="28">F61*G61</f>
        <v>991.59</v>
      </c>
      <c r="I61" s="4">
        <f t="shared" ref="I61" si="29">H61-D61</f>
        <v>158.59</v>
      </c>
      <c r="J61" s="18">
        <f t="shared" ref="J61" si="30">(H61-D61)/D61</f>
        <v>0.19040000000000001</v>
      </c>
      <c r="K61" s="4">
        <f>'2026.02'!D19</f>
        <v>0</v>
      </c>
      <c r="L61" s="4">
        <f>'2026.02'!J19</f>
        <v>0</v>
      </c>
      <c r="M61" s="4">
        <f>'2026.02'!O19</f>
        <v>0</v>
      </c>
      <c r="AC61" s="4">
        <f>'2026.02'!$C$19</f>
        <v>20</v>
      </c>
      <c r="AD61" s="4">
        <f>'2026.02'!$E$19</f>
        <v>142.76</v>
      </c>
      <c r="AE61" s="7">
        <f>'2026.02'!$F$19</f>
        <v>0.14000000000000001</v>
      </c>
      <c r="AF61" s="49">
        <f>'2025.11'!$A$15</f>
        <v>45977</v>
      </c>
      <c r="AG61" s="4">
        <f>'2025.11'!$B$15*-1</f>
        <v>-20</v>
      </c>
    </row>
    <row r="62" spans="1:33" x14ac:dyDescent="0.25">
      <c r="A62" s="38">
        <f>'2026.03'!Q2</f>
        <v>2026.03</v>
      </c>
      <c r="B62" s="4">
        <f>'2026.03'!B19</f>
        <v>20</v>
      </c>
      <c r="C62" s="4">
        <f>'2026.03'!C19</f>
        <v>20</v>
      </c>
      <c r="D62" s="4">
        <f t="shared" ref="D62" si="31">D61+B62</f>
        <v>853</v>
      </c>
      <c r="E62" s="6">
        <f>'2026.03'!F19</f>
        <v>0.1444</v>
      </c>
      <c r="F62" s="6">
        <f t="shared" ref="F62" si="32">F61+E62</f>
        <v>7.0022000000000002</v>
      </c>
      <c r="G62" s="6">
        <v>134.56979999999999</v>
      </c>
      <c r="H62" s="4">
        <f t="shared" ref="H62" si="33">F62*G62</f>
        <v>942.28</v>
      </c>
      <c r="I62" s="4">
        <f t="shared" ref="I62" si="34">H62-D62</f>
        <v>89.28</v>
      </c>
      <c r="J62" s="18">
        <f t="shared" ref="J62" si="35">(H62-D62)/D62</f>
        <v>0.1047</v>
      </c>
      <c r="K62" s="4">
        <f>'2026.03'!D19</f>
        <v>0</v>
      </c>
      <c r="L62" s="4">
        <f>'2026.03'!J19</f>
        <v>0</v>
      </c>
      <c r="M62" s="4">
        <f>'2026.03'!O19</f>
        <v>0</v>
      </c>
      <c r="AC62" s="4">
        <f>'2026.03'!$C$19</f>
        <v>20</v>
      </c>
      <c r="AD62" s="4">
        <f>'2026.03'!$E$19</f>
        <v>138.5</v>
      </c>
      <c r="AE62" s="7">
        <f>'2026.03'!$F$19</f>
        <v>0.14399999999999999</v>
      </c>
      <c r="AF62" s="49">
        <f>'2025.12'!$A$15</f>
        <v>46008</v>
      </c>
      <c r="AG62" s="4">
        <f>'2025.12'!$B$15*-1</f>
        <v>-20</v>
      </c>
    </row>
    <row r="63" spans="1:33" x14ac:dyDescent="0.25">
      <c r="A63" s="38">
        <f>'2026.04'!Q2</f>
        <v>2026.04</v>
      </c>
      <c r="B63" s="4">
        <f>'2026.04'!B19</f>
        <v>20</v>
      </c>
      <c r="C63" s="4">
        <f>'2026.04'!C19</f>
        <v>20</v>
      </c>
      <c r="D63" s="4">
        <f t="shared" ref="D63" si="36">D62+B63</f>
        <v>873</v>
      </c>
      <c r="E63" s="6">
        <f>'2026.04'!F19</f>
        <v>0.14099999999999999</v>
      </c>
      <c r="F63" s="6">
        <f t="shared" ref="F63" si="37">F62+E63</f>
        <v>7.1432000000000002</v>
      </c>
      <c r="G63" s="6">
        <v>142.41550000000001</v>
      </c>
      <c r="H63" s="4">
        <f t="shared" ref="H63" si="38">F63*G63</f>
        <v>1017.3</v>
      </c>
      <c r="I63" s="4">
        <f t="shared" ref="I63" si="39">H63-D63</f>
        <v>144.30000000000001</v>
      </c>
      <c r="J63" s="18">
        <f t="shared" ref="J63" si="40">(H63-D63)/D63</f>
        <v>0.1653</v>
      </c>
      <c r="K63" s="4">
        <f>'2026.04'!D19</f>
        <v>0</v>
      </c>
      <c r="L63" s="4">
        <f>'2026.04'!J19</f>
        <v>0</v>
      </c>
      <c r="M63" s="4">
        <f>'2026.04'!O19</f>
        <v>0</v>
      </c>
      <c r="AC63" s="4">
        <f>'2026.04'!$C$19</f>
        <v>20</v>
      </c>
      <c r="AD63" s="4">
        <f>'2026.04'!$E$19</f>
        <v>141.84</v>
      </c>
      <c r="AE63" s="7">
        <f>'2026.04'!$F$19</f>
        <v>0.14099999999999999</v>
      </c>
      <c r="AF63" s="49">
        <f>'2026.01'!$A$15</f>
        <v>46037</v>
      </c>
      <c r="AG63" s="4">
        <f>'2026.01'!$B$15*-1</f>
        <v>-20</v>
      </c>
    </row>
    <row r="64" spans="1:33" x14ac:dyDescent="0.25">
      <c r="A64" s="38">
        <f>'2026.05'!$Q$2</f>
        <v>2026.05</v>
      </c>
      <c r="B64" s="4">
        <f>'2026.05'!$B$19</f>
        <v>20</v>
      </c>
      <c r="C64" s="4">
        <f>'2026.05'!$C$19</f>
        <v>20</v>
      </c>
      <c r="D64" s="4">
        <f t="shared" ref="D64" si="41">D63+B64</f>
        <v>893</v>
      </c>
      <c r="E64" s="6">
        <f>'2026.05'!$F$19</f>
        <v>0.13750000000000001</v>
      </c>
      <c r="F64" s="6">
        <f t="shared" ref="F64" si="42">F63+E64</f>
        <v>7.2807000000000004</v>
      </c>
      <c r="G64" s="6">
        <v>147.96789999999999</v>
      </c>
      <c r="H64" s="4">
        <f t="shared" ref="H64" si="43">F64*G64</f>
        <v>1077.31</v>
      </c>
      <c r="I64" s="4">
        <f t="shared" ref="I64" si="44">H64-D64</f>
        <v>184.31</v>
      </c>
      <c r="J64" s="18">
        <f t="shared" ref="J64" si="45">(H64-D64)/D64</f>
        <v>0.2064</v>
      </c>
      <c r="K64" s="4">
        <f>'2026.05'!$D$19</f>
        <v>0</v>
      </c>
      <c r="L64" s="4">
        <f>'2026.05'!$J$19</f>
        <v>0</v>
      </c>
      <c r="M64" s="4">
        <f>'2026.05'!$O$19</f>
        <v>0</v>
      </c>
      <c r="AC64" s="4">
        <f>'2026.05'!$C$19</f>
        <v>20</v>
      </c>
      <c r="AD64" s="4">
        <f>'2026.05'!$E$19</f>
        <v>145.44999999999999</v>
      </c>
      <c r="AE64" s="7">
        <f>'2026.05'!$F$19</f>
        <v>0.13800000000000001</v>
      </c>
      <c r="AF64" s="49">
        <f>'2026.02'!$A$15</f>
        <v>46070</v>
      </c>
      <c r="AG64" s="4">
        <f>'2026.02'!$B$15*-1</f>
        <v>-20</v>
      </c>
    </row>
    <row r="65" spans="1:33" x14ac:dyDescent="0.25">
      <c r="A65" s="44">
        <f>'2026.06'!$Q$2</f>
        <v>2026.06</v>
      </c>
      <c r="B65" s="16">
        <f>'2026.06'!$B$19</f>
        <v>20</v>
      </c>
      <c r="C65" s="16">
        <f>'2026.06'!$C$19</f>
        <v>20</v>
      </c>
      <c r="D65" s="16">
        <f t="shared" ref="D65" si="46">D64+B65</f>
        <v>913</v>
      </c>
      <c r="E65" s="17">
        <f>'2026.06'!$F$19</f>
        <v>0.13389999999999999</v>
      </c>
      <c r="F65" s="17">
        <f t="shared" ref="F65" si="47">F64+E65</f>
        <v>7.4146000000000001</v>
      </c>
      <c r="G65" s="17">
        <v>150.05770000000001</v>
      </c>
      <c r="H65" s="16">
        <f t="shared" ref="H65" si="48">F65*G65</f>
        <v>1112.6199999999999</v>
      </c>
      <c r="I65" s="16">
        <f t="shared" ref="I65" si="49">H65-D65</f>
        <v>199.62</v>
      </c>
      <c r="J65" s="36">
        <f t="shared" ref="J65" si="50">(H65-D65)/D65</f>
        <v>0.21859999999999999</v>
      </c>
      <c r="K65" s="16">
        <f>'2026.06'!$D$19</f>
        <v>0</v>
      </c>
      <c r="L65" s="16">
        <f>'2026.06'!$J$19</f>
        <v>0</v>
      </c>
      <c r="M65" s="16">
        <f>'2026.06'!$O$19</f>
        <v>0</v>
      </c>
      <c r="AF65" s="49">
        <f>'2026.03'!$A$15</f>
        <v>46098</v>
      </c>
      <c r="AG65" s="4">
        <f>'2026.03'!$B$15*-1</f>
        <v>-20</v>
      </c>
    </row>
    <row r="66" spans="1:33" x14ac:dyDescent="0.25">
      <c r="AF66" s="49">
        <f>'2026.04'!$A$15</f>
        <v>46128</v>
      </c>
      <c r="AG66" s="4">
        <f>'2026.04'!$B$15*-1</f>
        <v>-20</v>
      </c>
    </row>
    <row r="67" spans="1:33" x14ac:dyDescent="0.25">
      <c r="AF67" s="49">
        <f>'2026.05'!$A$15</f>
        <v>46157</v>
      </c>
      <c r="AG67" s="4">
        <f>'2026.05'!$B$15*-1</f>
        <v>-20</v>
      </c>
    </row>
    <row r="68" spans="1:33" x14ac:dyDescent="0.25">
      <c r="AF68" s="49">
        <f>'2026.06'!$A$15</f>
        <v>46190</v>
      </c>
      <c r="AG68" s="4">
        <f>'2026.06'!$B$15*-1</f>
        <v>-20</v>
      </c>
    </row>
    <row r="69" spans="1:33" x14ac:dyDescent="0.25">
      <c r="AF69" s="51">
        <f ca="1">TODAY()</f>
        <v>46227</v>
      </c>
      <c r="AG69" s="58" cm="1">
        <f t="array" ref="AG69">LOOKUP(2,1/(H:H&gt;0),H:H)</f>
        <v>1112.6199999999999</v>
      </c>
    </row>
    <row r="70" spans="1:33" x14ac:dyDescent="0.25">
      <c r="AF70" s="57"/>
      <c r="AG70" s="57"/>
    </row>
    <row r="80" spans="1:33" x14ac:dyDescent="0.25">
      <c r="AF80" s="55"/>
    </row>
  </sheetData>
  <mergeCells count="18">
    <mergeCell ref="AD3:AD4"/>
    <mergeCell ref="AE3:AE4"/>
    <mergeCell ref="V3:W3"/>
    <mergeCell ref="X3:X4"/>
    <mergeCell ref="AF3:AG3"/>
    <mergeCell ref="Y3:Y4"/>
    <mergeCell ref="AC3:AC4"/>
    <mergeCell ref="M3:M4"/>
    <mergeCell ref="A3:A4"/>
    <mergeCell ref="B3:D3"/>
    <mergeCell ref="E3:F3"/>
    <mergeCell ref="G3:J3"/>
    <mergeCell ref="K3:L3"/>
    <mergeCell ref="O3:O4"/>
    <mergeCell ref="P3:P4"/>
    <mergeCell ref="Q3:Q4"/>
    <mergeCell ref="R3:R4"/>
    <mergeCell ref="S3:U3"/>
  </mergeCells>
  <hyperlinks>
    <hyperlink ref="A5" location="'2021.06'!A1" display="'2021.06'!A1" xr:uid="{4B912797-3087-48FE-AF6F-82C179D02ADA}"/>
    <hyperlink ref="A6" location="'2021.07'!A1" display="'2021.07'!A1" xr:uid="{B25F0ABC-E05B-40FC-8301-ED9A3280F32E}"/>
    <hyperlink ref="A7" location="'2021.08'!A1" display="'2021.08'!A1" xr:uid="{923791D9-14CF-4380-B231-4CCE1DD1F998}"/>
    <hyperlink ref="A8" location="'2021.09'!A1" display="'2021.09'!A1" xr:uid="{9E344CDC-F4BA-4ADD-8E0F-B21EA1E2FBA0}"/>
    <hyperlink ref="A9" location="'2021.10'!A1" display="'2021.10'!A1" xr:uid="{83EB0348-C6B3-4292-A7F0-B462B56CB3DF}"/>
    <hyperlink ref="A10" location="'2021.11'!A1" display="'2021.11'!A1" xr:uid="{9E06ACF3-6424-416C-9FC4-60421175A99C}"/>
    <hyperlink ref="A11" location="'2021.12'!A1" display="'2021.12'!A1" xr:uid="{9F7B7FD3-96EA-4BB4-9FD7-2784E076E395}"/>
    <hyperlink ref="A12" location="'2022.01'!A1" display="'2022.01'!A1" xr:uid="{B95CF174-60E2-4AEF-A644-2B8C9736B41E}"/>
    <hyperlink ref="A13" location="'2022.02'!A1" display="'2022.02'!A1" xr:uid="{A88DA6C1-B62B-4698-95A4-A07B721D21E5}"/>
    <hyperlink ref="A14" location="'2022.03'!A1" display="'2022.03'!A1" xr:uid="{A186DCEB-B8DA-45AA-AE8D-17791B41E086}"/>
    <hyperlink ref="A15" location="'2022.04'!A1" display="'2022.04'!A1" xr:uid="{7B419B49-3647-440F-819F-43F2E8C90684}"/>
    <hyperlink ref="A16" location="'2022.05'!A1" display="'2022.05'!A1" xr:uid="{A8289F25-D4B7-4063-B64C-24EAC7605BC0}"/>
    <hyperlink ref="A17" location="'2022.06'!A1" display="'2022.06'!A1" xr:uid="{85BA6543-B64F-4A67-AC6C-5A87231C050F}"/>
    <hyperlink ref="A18" location="'2022.07'!A1" display="'2022.07'!A1" xr:uid="{F759C33E-2778-448F-85C2-62C89F6603BA}"/>
    <hyperlink ref="A19" location="'2022.08'!A1" display="'2022.08'!A1" xr:uid="{62B2DB71-BD51-43B8-863A-017117A2A98F}"/>
    <hyperlink ref="A20" location="'2022.09'!A1" display="'2022.09'!A1" xr:uid="{C225B83A-97B4-4B81-BC75-B535638D800F}"/>
    <hyperlink ref="A21" location="'2022.10'!A1" display="'2022.10'!A1" xr:uid="{7A4CD33C-5906-4278-BE84-714A2078DC69}"/>
    <hyperlink ref="A22" location="'2022.11'!A1" display="'2022.11'!A1" xr:uid="{73AA2A11-FC5E-42FC-858B-2C33AE1A01EA}"/>
    <hyperlink ref="A23" location="'2022.12'!A1" display="'2022.12'!A1" xr:uid="{4EAB3A6F-DC0F-4427-BEA5-04B4AA778F9D}"/>
    <hyperlink ref="A24" location="'2023.01'!A1" display="'2023.01'!A1" xr:uid="{CBB1C814-EA38-4DF4-95DE-4DF5461E4439}"/>
    <hyperlink ref="A25" location="'2023.02'!A1" display="'2023.02'!A1" xr:uid="{2DE7C3D3-B58F-4C7F-BEAA-858AAECBEF25}"/>
    <hyperlink ref="A26" location="'2023.03'!A1" display="'2023.03'!A1" xr:uid="{45ECD2BB-AFA3-41D3-B577-1479BC37AD56}"/>
    <hyperlink ref="A27" location="'2023.04'!A1" display="'2023.04'!A1" xr:uid="{EC7FB040-2215-4A48-A9C0-A894FFF35E68}"/>
    <hyperlink ref="A28" location="'2023.05'!A1" display="'2023.05'!A1" xr:uid="{9923D1D8-8913-4A7E-BF0C-2E8ABE6CAEA1}"/>
    <hyperlink ref="A29" location="'2023.06'!A1" display="'2023.06'!A1" xr:uid="{D64D7159-D184-4723-A564-5339BA861047}"/>
    <hyperlink ref="A30" location="'2023.07'!A1" display="'2023.07'!A1" xr:uid="{9E29BD25-0101-4236-AAE4-B72F9CA2D734}"/>
    <hyperlink ref="A31" location="'2023.08'!A1" display="'2023.08'!A1" xr:uid="{2394C445-F686-4497-BEE9-D78ACE38C0B3}"/>
    <hyperlink ref="A32" location="'2023.09'!A1" display="'2023.09'!A1" xr:uid="{01174DC1-833E-43D8-B607-521FFECF4353}"/>
    <hyperlink ref="A33" location="'2023.10'!A1" display="'2023.10'!A1" xr:uid="{9FA41C75-8083-4CD1-841C-A76A42AE1F82}"/>
    <hyperlink ref="A34" location="'2023.11'!A1" display="'2023.11'!A1" xr:uid="{6A0ED0BC-0EAF-42F5-88A5-9AB533048DB7}"/>
    <hyperlink ref="A35" location="'2023.12'!A1" display="'2023.12'!A1" xr:uid="{8D64FF9E-5A19-4005-BE16-77B5809A52C5}"/>
    <hyperlink ref="A36" location="'2024.01'!A1" display="'2024.01'!A1" xr:uid="{3CE71AB2-A885-4119-B3C7-81FED9B301EB}"/>
    <hyperlink ref="A37" location="'2024.02'!A1" display="'2024.02'!A1" xr:uid="{AF0F196F-1CBF-4362-BA4C-CD512C12A0F3}"/>
    <hyperlink ref="A38" location="'2024.03'!A1" display="'2024.03'!A1" xr:uid="{B0EE0894-92ED-4185-9BC3-8B2F8712CF88}"/>
    <hyperlink ref="A39" location="'2024.04'!A1" display="'2024.04'!A1" xr:uid="{4E67E232-BF08-4D1D-A0EE-509BDED44907}"/>
    <hyperlink ref="A40" location="'2024.05'!A1" display="'2024.05'!A1" xr:uid="{A6271573-683D-488D-A017-97584C0E017E}"/>
    <hyperlink ref="A41" location="'2024.06'!A1" display="'2024.06'!A1" xr:uid="{99C078FB-FC5D-4FF7-8ABF-52E3810501D7}"/>
    <hyperlink ref="A42" location="'2024.07'!A1" display="'2024.07'!A1" xr:uid="{F14EC3A1-6A5F-4F21-B884-1191A0F0B1CA}"/>
    <hyperlink ref="A43" location="'2024.08'!A1" display="'2024.08'!A1" xr:uid="{86EF07B7-62C4-43F9-BE38-80F1297BEFC5}"/>
    <hyperlink ref="A44" location="'2024.09'!A1" display="'2024.09'!A1" xr:uid="{F2CA7368-9C14-4131-8B12-F35B11A2A9F9}"/>
    <hyperlink ref="A45" location="'2024.10'!A1" display="'2024.10'!A1" xr:uid="{24440BF7-7919-45BC-BE2E-78CC1AF442A6}"/>
    <hyperlink ref="A46" location="'2024.11'!A1" display="'2024.11'!A1" xr:uid="{6118345E-0FDC-4338-93B9-99F561CC3F24}"/>
    <hyperlink ref="A47" location="'2024.12'!A1" display="'2024.12'!A1" xr:uid="{08C1B16C-5715-4DF1-9BD5-117ED2950DE5}"/>
    <hyperlink ref="A48" location="'2025.01'!A1" display="'2025.01'!A1" xr:uid="{7ED8AF63-DCAF-4F8D-A7CD-62D56029B4E6}"/>
    <hyperlink ref="A49" location="'2025.02'!A1" display="'2025.02'!A1" xr:uid="{4210AEAC-CC18-4A6A-B585-A2F2C71C5777}"/>
    <hyperlink ref="A50" location="'2025.03'!A1" display="'2025.03'!A1" xr:uid="{E2F13E3D-2E0C-4240-95DF-07C6F1B3A8C4}"/>
    <hyperlink ref="A51" location="'2025.04'!A1" display="'2025.04'!A1" xr:uid="{20AAC94B-527B-49E8-A72D-71AA76F6BF04}"/>
    <hyperlink ref="A52" location="'2025.05'!A1" display="'2025.05'!A1" xr:uid="{1E4756E7-6BEB-4C10-9D22-7BF61979A700}"/>
    <hyperlink ref="A53" location="'2025.06'!A1" display="'2025.06'!A1" xr:uid="{F728AB90-156D-432F-B574-B184ACBDD33E}"/>
    <hyperlink ref="A54" location="'2025.07'!A1" display="'2025.07'!A1" xr:uid="{35AF2AE8-AF8D-41AD-8F7B-98D4CFBBD09B}"/>
    <hyperlink ref="A55" location="'2025.08'!A1" display="'2025.08'!A1" xr:uid="{8019F58F-26D2-4EF9-B93B-E0014C44D5D7}"/>
    <hyperlink ref="A56" location="'2025.09'!A1" display="'2025.09'!A1" xr:uid="{EBC2D73F-6596-4F59-A99B-923F6CCED740}"/>
    <hyperlink ref="A57" location="'2025.10'!A1" display="'2025.10'!A1" xr:uid="{F2222A6D-5F0D-475E-BFB3-C3289D03E3F8}"/>
    <hyperlink ref="A58" location="'2025.11'!A1" display="'2025.11'!A1" xr:uid="{6ACB36E4-25A7-4419-AC24-BDEF4719F8BC}"/>
    <hyperlink ref="A59" location="'2025.12'!A1" display="'2025.12'!A1" xr:uid="{8DA2B7E4-DE40-4BD8-9430-6CB0C65EE960}"/>
    <hyperlink ref="A60" location="'2026.01'!A1" display="'2026.01'!A1" xr:uid="{84FD6A94-5B6D-4A7F-8A3F-B7902ABCFD0E}"/>
    <hyperlink ref="A61" location="'2026.02'!A1" display="'2026.02'!A1" xr:uid="{193E9245-CC91-446C-9BF1-6CCA9339F33A}"/>
    <hyperlink ref="A62" location="'2026.03'!A1" display="'2026.03'!A1" xr:uid="{9D6696CB-03C9-40D8-9BCD-59A78B8CD414}"/>
    <hyperlink ref="A63" location="'2026.04'!A1" display="'2026.04'!A1" xr:uid="{83604994-68D4-40B3-8B5B-5F5EB555F87E}"/>
    <hyperlink ref="A64" location="'2026.05'!A1" display="'2026.05'!A1" xr:uid="{568C54B2-502C-4389-8FBF-EC2139916CDB}"/>
    <hyperlink ref="A65" location="'2026.05'!A1" display="'2026.05'!A1" xr:uid="{887E65C3-5ADE-455E-816A-53DBFB2622FE}"/>
  </hyperlinks>
  <pageMargins left="0.7" right="0.7" top="0.75" bottom="0.75" header="0.3" footer="0.3"/>
  <pageSetup orientation="portrait" r:id="rId1"/>
  <ignoredErrors>
    <ignoredError sqref="E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G65"/>
  <sheetViews>
    <sheetView workbookViewId="0">
      <pane xSplit="1" ySplit="5" topLeftCell="B54" activePane="bottomRight" state="frozen"/>
      <selection activeCell="H28" sqref="H28"/>
      <selection pane="topRight" activeCell="H28" sqref="H28"/>
      <selection pane="bottomLeft" activeCell="H28" sqref="H28"/>
      <selection pane="bottomRight" activeCell="G66" sqref="G66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31" t="s">
        <v>41</v>
      </c>
    </row>
    <row r="3" spans="1:33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15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</row>
    <row r="4" spans="1:33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</row>
    <row r="5" spans="1:33" x14ac:dyDescent="0.25">
      <c r="A5" s="39">
        <f>'2021.06'!Q2</f>
        <v>2021.06</v>
      </c>
      <c r="B5" s="4">
        <f>'2021.06'!B29</f>
        <v>3</v>
      </c>
      <c r="C5" s="4">
        <f>'2021.06'!C29</f>
        <v>3</v>
      </c>
      <c r="D5" s="4">
        <f>C5</f>
        <v>3</v>
      </c>
      <c r="E5" s="34">
        <f>'2021.06'!F29</f>
        <v>2.3E-2</v>
      </c>
      <c r="F5" s="6">
        <f>E5</f>
        <v>2.3E-2</v>
      </c>
      <c r="G5" s="6">
        <v>130.4348</v>
      </c>
      <c r="H5" s="4">
        <f t="shared" ref="H5:H11" si="0">F5*G5</f>
        <v>3</v>
      </c>
      <c r="I5" s="4">
        <f>H5-D5</f>
        <v>0</v>
      </c>
      <c r="J5" s="18">
        <f t="shared" ref="J5:J11" si="1">(H5-D5)/D5</f>
        <v>0</v>
      </c>
      <c r="K5" s="4">
        <f>'2021.06'!D29</f>
        <v>0</v>
      </c>
      <c r="L5" s="4">
        <f>'2021.06'!J29</f>
        <v>0</v>
      </c>
      <c r="M5" s="4">
        <f>'2021.06'!O29</f>
        <v>0</v>
      </c>
      <c r="O5" s="3" t="s">
        <v>2</v>
      </c>
      <c r="P5" s="4">
        <f>SUM(B5:B99)</f>
        <v>534</v>
      </c>
      <c r="Q5" s="6">
        <f>SUM(E5:E99)</f>
        <v>3.6583000000000001</v>
      </c>
      <c r="R5" s="4">
        <v>630.17999999999995</v>
      </c>
      <c r="S5" s="4">
        <f>R5-P5+X5</f>
        <v>96.18</v>
      </c>
      <c r="T5" s="18">
        <f>(R5-P5+X5)/P5</f>
        <v>0.18010000000000001</v>
      </c>
      <c r="U5" s="18">
        <f>XIRR(AG5:AG65,AF5:AF65)</f>
        <v>8.43E-2</v>
      </c>
      <c r="V5" s="4">
        <f>SUM(K5:K99)</f>
        <v>0</v>
      </c>
      <c r="W5" s="4">
        <f>SUM(L5:L99)</f>
        <v>0</v>
      </c>
      <c r="X5" s="4">
        <f>SUM(M5:M99)</f>
        <v>0</v>
      </c>
      <c r="Y5" s="4" cm="1">
        <f t="array" ref="Y5">SUMPRODUCT(IFERROR(AD5:AD200,0),IFERROR(AE5:AE200,0))/SUM(IFERROR(AE5:AE200,0))</f>
        <v>145.97</v>
      </c>
      <c r="AC5" s="4">
        <f>'2021.06'!$C$29</f>
        <v>3</v>
      </c>
      <c r="AD5" s="4">
        <f>'2021.06'!$E$29</f>
        <v>130.43</v>
      </c>
      <c r="AE5" s="7">
        <f>'2021.06'!$F$29</f>
        <v>2.3E-2</v>
      </c>
      <c r="AF5" s="49">
        <f>'2021.06'!$A$25</f>
        <v>44376</v>
      </c>
      <c r="AG5" s="4">
        <f>'2021.06'!$B$25*-1</f>
        <v>-3</v>
      </c>
    </row>
    <row r="6" spans="1:33" x14ac:dyDescent="0.25">
      <c r="A6" s="38">
        <f>'2021.07'!Q2</f>
        <v>2021.07</v>
      </c>
      <c r="B6" s="4">
        <f>'2021.07'!B29</f>
        <v>8</v>
      </c>
      <c r="C6" s="4">
        <f>'2021.07'!C29</f>
        <v>8</v>
      </c>
      <c r="D6" s="4">
        <f>D5+B6</f>
        <v>11</v>
      </c>
      <c r="E6" s="34">
        <f>'2021.07'!F29</f>
        <v>6.0999999999999999E-2</v>
      </c>
      <c r="F6" s="6">
        <f t="shared" ref="F6:F57" si="2">F5+E6</f>
        <v>8.4000000000000005E-2</v>
      </c>
      <c r="G6" s="6">
        <v>130.4348</v>
      </c>
      <c r="H6" s="4">
        <f t="shared" si="0"/>
        <v>10.96</v>
      </c>
      <c r="I6" s="4">
        <f t="shared" ref="I6:I11" si="3">H6-D6</f>
        <v>-0.04</v>
      </c>
      <c r="J6" s="18">
        <f t="shared" si="1"/>
        <v>-3.5999999999999999E-3</v>
      </c>
      <c r="K6" s="4">
        <f>'2021.07'!D29</f>
        <v>0</v>
      </c>
      <c r="L6" s="4">
        <f>'2021.07'!J29</f>
        <v>0</v>
      </c>
      <c r="M6" s="4">
        <f>'2021.07'!O29</f>
        <v>0</v>
      </c>
      <c r="AC6" s="4">
        <f>'2021.07'!$C$29</f>
        <v>8</v>
      </c>
      <c r="AD6" s="4">
        <f>'2021.07'!$E$29</f>
        <v>131.15</v>
      </c>
      <c r="AE6" s="7">
        <f>'2021.07'!$F$29</f>
        <v>6.0999999999999999E-2</v>
      </c>
      <c r="AF6" s="49">
        <f>'2021.07'!$A$25</f>
        <v>44379</v>
      </c>
      <c r="AG6" s="4">
        <f>'2021.07'!$B$25*-1</f>
        <v>-5</v>
      </c>
    </row>
    <row r="7" spans="1:33" x14ac:dyDescent="0.25">
      <c r="A7" s="39">
        <f>'2021.08'!Q2</f>
        <v>2021.08</v>
      </c>
      <c r="B7" s="4">
        <f>'2021.08'!B29</f>
        <v>6</v>
      </c>
      <c r="C7" s="4">
        <f>'2021.08'!C29</f>
        <v>6</v>
      </c>
      <c r="D7" s="4">
        <f>D6+B7</f>
        <v>17</v>
      </c>
      <c r="E7" s="34">
        <f>'2021.08'!F29</f>
        <v>4.3999999999999997E-2</v>
      </c>
      <c r="F7" s="6">
        <f t="shared" si="2"/>
        <v>0.128</v>
      </c>
      <c r="G7" s="6">
        <v>136.36359999999999</v>
      </c>
      <c r="H7" s="4">
        <f t="shared" si="0"/>
        <v>17.45</v>
      </c>
      <c r="I7" s="4">
        <f t="shared" si="3"/>
        <v>0.45</v>
      </c>
      <c r="J7" s="18">
        <f t="shared" si="1"/>
        <v>2.6499999999999999E-2</v>
      </c>
      <c r="K7" s="4">
        <f>'2021.08'!D29</f>
        <v>0</v>
      </c>
      <c r="L7" s="4">
        <f>'2021.08'!J29</f>
        <v>0</v>
      </c>
      <c r="M7" s="4">
        <f>'2021.08'!O29</f>
        <v>0</v>
      </c>
      <c r="AC7" s="4">
        <f>'2021.08'!$C$29</f>
        <v>6</v>
      </c>
      <c r="AD7" s="4">
        <f>'2021.08'!$E$29</f>
        <v>136.36000000000001</v>
      </c>
      <c r="AE7" s="7">
        <f>'2021.08'!$F$29</f>
        <v>4.3999999999999997E-2</v>
      </c>
      <c r="AF7" s="49">
        <f>'2021.07'!$A$26</f>
        <v>44397</v>
      </c>
      <c r="AG7" s="4">
        <f>'2021.07'!$B$26*-1</f>
        <v>-3</v>
      </c>
    </row>
    <row r="8" spans="1:33" x14ac:dyDescent="0.25">
      <c r="A8" s="39">
        <f>'2021.09'!Q2</f>
        <v>2021.09</v>
      </c>
      <c r="B8" s="4">
        <f>'2021.09'!B29</f>
        <v>46</v>
      </c>
      <c r="C8" s="4">
        <f>'2021.09'!C29</f>
        <v>46</v>
      </c>
      <c r="D8" s="4">
        <f t="shared" ref="D8:D57" si="4">D7+B8</f>
        <v>63</v>
      </c>
      <c r="E8" s="34">
        <f>'2021.09'!F29</f>
        <v>0.34399999999999997</v>
      </c>
      <c r="F8" s="6">
        <f t="shared" si="2"/>
        <v>0.47199999999999998</v>
      </c>
      <c r="G8" s="6">
        <v>133.33330000000001</v>
      </c>
      <c r="H8" s="4">
        <f t="shared" si="0"/>
        <v>62.93</v>
      </c>
      <c r="I8" s="4">
        <f t="shared" si="3"/>
        <v>-7.0000000000000007E-2</v>
      </c>
      <c r="J8" s="18">
        <f t="shared" si="1"/>
        <v>-1.1000000000000001E-3</v>
      </c>
      <c r="K8" s="4">
        <f>'2021.09'!D29</f>
        <v>0</v>
      </c>
      <c r="L8" s="4">
        <f>'2021.09'!J29</f>
        <v>0</v>
      </c>
      <c r="M8" s="4">
        <f>'2021.09'!O29</f>
        <v>0</v>
      </c>
      <c r="AC8" s="4">
        <f>'2021.09'!$C$29</f>
        <v>46</v>
      </c>
      <c r="AD8" s="4">
        <f>'2021.09'!$E$29</f>
        <v>133.72</v>
      </c>
      <c r="AE8" s="7">
        <f>'2021.09'!$F$29</f>
        <v>0.34399999999999997</v>
      </c>
      <c r="AF8" s="49">
        <f>'2021.08'!$A$25</f>
        <v>44424</v>
      </c>
      <c r="AG8" s="4">
        <f>'2021.08'!$B$25*-1</f>
        <v>-3</v>
      </c>
    </row>
    <row r="9" spans="1:33" x14ac:dyDescent="0.25">
      <c r="A9" s="38">
        <f>'2021.10'!Q2</f>
        <v>2021.1</v>
      </c>
      <c r="B9" s="4">
        <f>'2021.10'!B29</f>
        <v>27</v>
      </c>
      <c r="C9" s="4">
        <f>'2021.10'!C29</f>
        <v>27</v>
      </c>
      <c r="D9" s="4">
        <f t="shared" si="4"/>
        <v>90</v>
      </c>
      <c r="E9" s="34">
        <f>'2021.10'!F29</f>
        <v>0.20399999999999999</v>
      </c>
      <c r="F9" s="6">
        <f t="shared" si="2"/>
        <v>0.67600000000000005</v>
      </c>
      <c r="G9" s="6">
        <v>132.35290000000001</v>
      </c>
      <c r="H9" s="4">
        <f t="shared" si="0"/>
        <v>89.47</v>
      </c>
      <c r="I9" s="4">
        <f t="shared" si="3"/>
        <v>-0.53</v>
      </c>
      <c r="J9" s="18">
        <f t="shared" si="1"/>
        <v>-5.8999999999999999E-3</v>
      </c>
      <c r="K9" s="4">
        <f>'2021.10'!D29</f>
        <v>0</v>
      </c>
      <c r="L9" s="4">
        <f>'2021.10'!J29</f>
        <v>0</v>
      </c>
      <c r="M9" s="4">
        <f>'2021.10'!O29</f>
        <v>0</v>
      </c>
      <c r="AC9" s="4">
        <f>'2021.10'!$C$29</f>
        <v>27</v>
      </c>
      <c r="AD9" s="4">
        <f>'2021.10'!$E$29</f>
        <v>132.35</v>
      </c>
      <c r="AE9" s="7">
        <f>'2021.10'!$F$29</f>
        <v>0.20399999999999999</v>
      </c>
      <c r="AF9" s="49">
        <f>'2021.08'!$A$26</f>
        <v>44438</v>
      </c>
      <c r="AG9" s="4">
        <f>'2021.08'!$B$26*-1</f>
        <v>-3</v>
      </c>
    </row>
    <row r="10" spans="1:33" x14ac:dyDescent="0.25">
      <c r="A10" s="38">
        <f>'2021.11'!Q2</f>
        <v>2021.11</v>
      </c>
      <c r="B10" s="4">
        <f>'2021.11'!B29</f>
        <v>9</v>
      </c>
      <c r="C10" s="4">
        <f>'2021.11'!C29</f>
        <v>9</v>
      </c>
      <c r="D10" s="4">
        <f t="shared" si="4"/>
        <v>99</v>
      </c>
      <c r="E10" s="34">
        <f>'2021.11'!F29</f>
        <v>6.6400000000000001E-2</v>
      </c>
      <c r="F10" s="6">
        <f t="shared" si="2"/>
        <v>0.74239999999999995</v>
      </c>
      <c r="G10" s="6">
        <v>133.53530000000001</v>
      </c>
      <c r="H10" s="4">
        <f t="shared" si="0"/>
        <v>99.14</v>
      </c>
      <c r="I10" s="4">
        <f t="shared" si="3"/>
        <v>0.14000000000000001</v>
      </c>
      <c r="J10" s="18">
        <f t="shared" si="1"/>
        <v>1.4E-3</v>
      </c>
      <c r="K10" s="4">
        <f>'2021.11'!D29</f>
        <v>0</v>
      </c>
      <c r="L10" s="4">
        <f>'2021.11'!J29</f>
        <v>0</v>
      </c>
      <c r="M10" s="4">
        <f>'2021.11'!O29</f>
        <v>0</v>
      </c>
      <c r="AC10" s="4">
        <f>'2021.11'!$C$29</f>
        <v>9</v>
      </c>
      <c r="AD10" s="4">
        <f>'2021.11'!$E$29</f>
        <v>135.54</v>
      </c>
      <c r="AE10" s="7">
        <f>'2021.11'!$F$29</f>
        <v>6.6000000000000003E-2</v>
      </c>
      <c r="AF10" s="49">
        <f>'2021.09'!$A$25</f>
        <v>44448</v>
      </c>
      <c r="AG10" s="4">
        <f>'2021.09'!$B$25*-1</f>
        <v>-9</v>
      </c>
    </row>
    <row r="11" spans="1:33" x14ac:dyDescent="0.25">
      <c r="A11" s="38">
        <f>'2021.12'!Q2</f>
        <v>2021.12</v>
      </c>
      <c r="B11" s="4">
        <f>'2021.12'!B29</f>
        <v>10</v>
      </c>
      <c r="C11" s="4">
        <f>'2021.12'!C29</f>
        <v>10</v>
      </c>
      <c r="D11" s="4">
        <f t="shared" si="4"/>
        <v>109</v>
      </c>
      <c r="E11" s="34">
        <f>'2021.12'!F29</f>
        <v>7.4899999999999994E-2</v>
      </c>
      <c r="F11" s="6">
        <f t="shared" si="2"/>
        <v>0.81730000000000003</v>
      </c>
      <c r="G11" s="6">
        <v>135.86240000000001</v>
      </c>
      <c r="H11" s="4">
        <f t="shared" si="0"/>
        <v>111.04</v>
      </c>
      <c r="I11" s="4">
        <f t="shared" si="3"/>
        <v>2.04</v>
      </c>
      <c r="J11" s="18">
        <f t="shared" si="1"/>
        <v>1.8700000000000001E-2</v>
      </c>
      <c r="K11" s="4">
        <f>'2021.12'!D29</f>
        <v>0</v>
      </c>
      <c r="L11" s="4">
        <f>'2021.12'!J29</f>
        <v>0</v>
      </c>
      <c r="M11" s="4">
        <f>'2021.12'!O29</f>
        <v>0</v>
      </c>
      <c r="AC11" s="4">
        <f>'2021.12'!$C$29</f>
        <v>10</v>
      </c>
      <c r="AD11" s="4">
        <f>'2021.12'!$E$29</f>
        <v>133.51</v>
      </c>
      <c r="AE11" s="7">
        <f>'2021.12'!$F$29</f>
        <v>7.4999999999999997E-2</v>
      </c>
      <c r="AF11" s="49">
        <f>'2021.09'!$A$26</f>
        <v>44455</v>
      </c>
      <c r="AG11" s="4">
        <f>'2021.09'!$B$26*-1</f>
        <v>-19</v>
      </c>
    </row>
    <row r="12" spans="1:33" x14ac:dyDescent="0.25">
      <c r="A12" s="38">
        <f>'2022.01'!Q2</f>
        <v>2022.01</v>
      </c>
      <c r="B12" s="4">
        <f>'2022.01'!B29</f>
        <v>0</v>
      </c>
      <c r="C12" s="4">
        <f>'2022.01'!C29</f>
        <v>0</v>
      </c>
      <c r="D12" s="4">
        <f t="shared" si="4"/>
        <v>109</v>
      </c>
      <c r="E12" s="34">
        <f>'2022.01'!F29</f>
        <v>0</v>
      </c>
      <c r="F12" s="6">
        <f t="shared" si="2"/>
        <v>0.81730000000000003</v>
      </c>
      <c r="G12" s="6">
        <v>124.3419</v>
      </c>
      <c r="H12" s="4">
        <f t="shared" ref="H12:H13" si="5">F12*G12</f>
        <v>101.62</v>
      </c>
      <c r="I12" s="4">
        <f t="shared" ref="I12" si="6">H12-D12</f>
        <v>-7.38</v>
      </c>
      <c r="J12" s="18">
        <f t="shared" ref="J12" si="7">(H12-D12)/D12</f>
        <v>-6.7699999999999996E-2</v>
      </c>
      <c r="K12" s="4">
        <f>'2022.01'!D29</f>
        <v>0</v>
      </c>
      <c r="L12" s="4">
        <f>'2022.01'!J29</f>
        <v>0</v>
      </c>
      <c r="M12" s="4">
        <f>'2022.01'!O29</f>
        <v>0</v>
      </c>
      <c r="AC12" s="4">
        <f>'2022.01'!$C$29</f>
        <v>0</v>
      </c>
      <c r="AD12" s="4" t="str">
        <f>'2022.01'!$E$29</f>
        <v>0.00</v>
      </c>
      <c r="AE12" s="7">
        <f>'2022.01'!$F$29</f>
        <v>0</v>
      </c>
      <c r="AF12" s="49">
        <f>'2021.09'!$A$27</f>
        <v>44461</v>
      </c>
      <c r="AG12" s="4">
        <f>'2021.09'!$B$27*-1</f>
        <v>-12</v>
      </c>
    </row>
    <row r="13" spans="1:33" x14ac:dyDescent="0.25">
      <c r="A13" s="38">
        <f>'2022.02'!Q2</f>
        <v>2022.02</v>
      </c>
      <c r="B13" s="4">
        <f>'2022.02'!B29</f>
        <v>0</v>
      </c>
      <c r="C13" s="4">
        <f>'2022.02'!C29</f>
        <v>0</v>
      </c>
      <c r="D13" s="4">
        <f t="shared" si="4"/>
        <v>109</v>
      </c>
      <c r="E13" s="34">
        <f>'2022.02'!F29</f>
        <v>0</v>
      </c>
      <c r="F13" s="6">
        <f t="shared" si="2"/>
        <v>0.81730000000000003</v>
      </c>
      <c r="G13" s="6">
        <v>121.7458</v>
      </c>
      <c r="H13" s="4">
        <f t="shared" si="5"/>
        <v>99.5</v>
      </c>
      <c r="I13" s="4">
        <f t="shared" ref="I13" si="8">H13-D13</f>
        <v>-9.5</v>
      </c>
      <c r="J13" s="18">
        <f t="shared" ref="J13" si="9">(H13-D13)/D13</f>
        <v>-8.72E-2</v>
      </c>
      <c r="K13" s="4">
        <f>'2022.02'!D29</f>
        <v>0</v>
      </c>
      <c r="L13" s="4">
        <f>'2022.02'!J29</f>
        <v>0</v>
      </c>
      <c r="M13" s="4">
        <f>'2022.02'!O29</f>
        <v>0</v>
      </c>
      <c r="AC13" s="4">
        <f>'2022.02'!$C$29</f>
        <v>0</v>
      </c>
      <c r="AD13" s="4" t="str">
        <f>'2022.02'!$E$29</f>
        <v>0.00</v>
      </c>
      <c r="AE13" s="7">
        <f>'2022.02'!$F$29</f>
        <v>0</v>
      </c>
      <c r="AF13" s="49">
        <f>'2021.09'!$A$28</f>
        <v>44466</v>
      </c>
      <c r="AG13" s="4">
        <f>'2021.09'!$B$28*-1</f>
        <v>-6</v>
      </c>
    </row>
    <row r="14" spans="1:33" x14ac:dyDescent="0.25">
      <c r="A14" s="38">
        <f>'2022.03'!Q2</f>
        <v>2022.03</v>
      </c>
      <c r="B14" s="4">
        <f>'2022.03'!B29</f>
        <v>0</v>
      </c>
      <c r="C14" s="4">
        <f>'2022.03'!C29</f>
        <v>0</v>
      </c>
      <c r="D14" s="4">
        <f t="shared" si="4"/>
        <v>109</v>
      </c>
      <c r="E14" s="34">
        <f>'2022.03'!F29</f>
        <v>0</v>
      </c>
      <c r="F14" s="6">
        <f t="shared" si="2"/>
        <v>0.81730000000000003</v>
      </c>
      <c r="G14" s="6">
        <v>126.6065</v>
      </c>
      <c r="H14" s="4">
        <f t="shared" ref="H14" si="10">F14*G14</f>
        <v>103.48</v>
      </c>
      <c r="I14" s="4">
        <f t="shared" ref="I14" si="11">H14-D14</f>
        <v>-5.52</v>
      </c>
      <c r="J14" s="18">
        <f t="shared" ref="J14" si="12">(H14-D14)/D14</f>
        <v>-5.0599999999999999E-2</v>
      </c>
      <c r="K14" s="4">
        <f>'2022.03'!D29</f>
        <v>0</v>
      </c>
      <c r="L14" s="4">
        <f>'2022.03'!J29</f>
        <v>0</v>
      </c>
      <c r="M14" s="4">
        <f>'2022.03'!O29</f>
        <v>0</v>
      </c>
      <c r="AC14" s="4">
        <f>'2022.03'!$C$29</f>
        <v>0</v>
      </c>
      <c r="AD14" s="4" t="str">
        <f>'2022.03'!$E$29</f>
        <v>0.00</v>
      </c>
      <c r="AE14" s="7">
        <f>'2022.03'!$F$29</f>
        <v>0</v>
      </c>
      <c r="AF14" s="49">
        <f>'2021.10'!$A$25</f>
        <v>44470</v>
      </c>
      <c r="AG14" s="4">
        <f>'2021.10'!$B$25*-1</f>
        <v>-9</v>
      </c>
    </row>
    <row r="15" spans="1:33" x14ac:dyDescent="0.25">
      <c r="A15" s="38">
        <f>'2022.04'!Q2</f>
        <v>2022.04</v>
      </c>
      <c r="B15" s="4">
        <f>'2022.04'!B29</f>
        <v>0</v>
      </c>
      <c r="C15" s="4">
        <f>'2022.04'!C29</f>
        <v>0</v>
      </c>
      <c r="D15" s="4">
        <f t="shared" si="4"/>
        <v>109</v>
      </c>
      <c r="E15" s="34">
        <f>'2022.04'!F29</f>
        <v>0</v>
      </c>
      <c r="F15" s="6">
        <f t="shared" si="2"/>
        <v>0.81730000000000003</v>
      </c>
      <c r="G15" s="6">
        <v>120.7949</v>
      </c>
      <c r="H15" s="4">
        <f t="shared" ref="H15" si="13">F15*G15</f>
        <v>98.73</v>
      </c>
      <c r="I15" s="4">
        <f t="shared" ref="I15" si="14">H15-D15</f>
        <v>-10.27</v>
      </c>
      <c r="J15" s="18">
        <f t="shared" ref="J15" si="15">(H15-D15)/D15</f>
        <v>-9.4200000000000006E-2</v>
      </c>
      <c r="K15" s="4">
        <f>'2022.04'!D29</f>
        <v>0</v>
      </c>
      <c r="L15" s="4">
        <f>'2022.04'!J29</f>
        <v>0</v>
      </c>
      <c r="M15" s="4">
        <f>'2022.04'!O29</f>
        <v>0</v>
      </c>
      <c r="AC15" s="4">
        <f>'2022.04'!$C$29</f>
        <v>0</v>
      </c>
      <c r="AD15" s="4" t="str">
        <f>'2022.04'!$E$29</f>
        <v>0.00</v>
      </c>
      <c r="AE15" s="7">
        <f>'2022.04'!$F$29</f>
        <v>0</v>
      </c>
      <c r="AF15" s="49">
        <f>'2021.10'!$A$26</f>
        <v>44489</v>
      </c>
      <c r="AG15" s="4">
        <f>'2021.10'!$B$26*-1</f>
        <v>-18</v>
      </c>
    </row>
    <row r="16" spans="1:33" x14ac:dyDescent="0.25">
      <c r="A16" s="38">
        <f>'2022.05'!Q2</f>
        <v>2022.05</v>
      </c>
      <c r="B16" s="4">
        <f>'2022.05'!B29</f>
        <v>0</v>
      </c>
      <c r="C16" s="4">
        <f>'2022.05'!C29</f>
        <v>0</v>
      </c>
      <c r="D16" s="4">
        <f t="shared" si="4"/>
        <v>109</v>
      </c>
      <c r="E16" s="34">
        <f>'2022.05'!F29</f>
        <v>0</v>
      </c>
      <c r="F16" s="6">
        <f t="shared" si="2"/>
        <v>0.81730000000000003</v>
      </c>
      <c r="G16" s="6">
        <v>118.95310000000001</v>
      </c>
      <c r="H16" s="4">
        <f t="shared" ref="H16" si="16">F16*G16</f>
        <v>97.22</v>
      </c>
      <c r="I16" s="4">
        <f t="shared" ref="I16" si="17">H16-D16</f>
        <v>-11.78</v>
      </c>
      <c r="J16" s="18">
        <f t="shared" ref="J16" si="18">(H16-D16)/D16</f>
        <v>-0.1081</v>
      </c>
      <c r="K16" s="4">
        <f>'2022.05'!D29</f>
        <v>0</v>
      </c>
      <c r="L16" s="4">
        <f>'2022.05'!J29</f>
        <v>0</v>
      </c>
      <c r="M16" s="4">
        <f>'2022.05'!O29</f>
        <v>0</v>
      </c>
      <c r="AC16" s="4">
        <f>'2022.05'!$C$29</f>
        <v>0</v>
      </c>
      <c r="AD16" s="4" t="str">
        <f>'2022.05'!$E$29</f>
        <v>0.00</v>
      </c>
      <c r="AE16" s="7">
        <f>'2022.05'!$F$29</f>
        <v>0</v>
      </c>
      <c r="AF16" s="49">
        <f>'2021.11'!$A$25</f>
        <v>44503</v>
      </c>
      <c r="AG16" s="4">
        <f>'2021.11'!$B$25*-1</f>
        <v>-3</v>
      </c>
    </row>
    <row r="17" spans="1:33" x14ac:dyDescent="0.25">
      <c r="A17" s="38">
        <f>'2022.06'!Q2</f>
        <v>2022.06</v>
      </c>
      <c r="B17" s="4">
        <f>'2022.06'!B29</f>
        <v>0</v>
      </c>
      <c r="C17" s="4">
        <f>'2022.06'!C29</f>
        <v>0</v>
      </c>
      <c r="D17" s="4">
        <f t="shared" si="4"/>
        <v>109</v>
      </c>
      <c r="E17" s="34">
        <f>'2022.06'!F29</f>
        <v>0</v>
      </c>
      <c r="F17" s="6">
        <f t="shared" si="2"/>
        <v>0.81730000000000003</v>
      </c>
      <c r="G17" s="6">
        <v>111.2377</v>
      </c>
      <c r="H17" s="4">
        <f t="shared" ref="H17" si="19">F17*G17</f>
        <v>90.91</v>
      </c>
      <c r="I17" s="4">
        <f t="shared" ref="I17" si="20">H17-D17</f>
        <v>-18.09</v>
      </c>
      <c r="J17" s="18">
        <f t="shared" ref="J17" si="21">(H17-D17)/D17</f>
        <v>-0.16600000000000001</v>
      </c>
      <c r="K17" s="4">
        <f>'2022.06'!D29</f>
        <v>0</v>
      </c>
      <c r="L17" s="4">
        <f>'2022.06'!J29</f>
        <v>0</v>
      </c>
      <c r="M17" s="4">
        <f>'2022.06'!O29</f>
        <v>0</v>
      </c>
      <c r="AC17" s="4">
        <f>'2022.06'!$C$29</f>
        <v>0</v>
      </c>
      <c r="AD17" s="4" t="str">
        <f>'2022.06'!$E$29</f>
        <v>0.00</v>
      </c>
      <c r="AE17" s="7">
        <f>'2022.06'!$F$29</f>
        <v>0</v>
      </c>
      <c r="AF17" s="49">
        <f>'2021.11'!$A$26</f>
        <v>44529</v>
      </c>
      <c r="AG17" s="4">
        <f>'2021.11'!$B$26*-1</f>
        <v>-6</v>
      </c>
    </row>
    <row r="18" spans="1:33" x14ac:dyDescent="0.25">
      <c r="A18" s="38">
        <f>'2022.07'!Q2</f>
        <v>2022.07</v>
      </c>
      <c r="B18" s="4">
        <f>'2022.07'!B29</f>
        <v>0</v>
      </c>
      <c r="C18" s="4">
        <f>'2022.07'!C29</f>
        <v>0</v>
      </c>
      <c r="D18" s="4">
        <f t="shared" si="4"/>
        <v>109</v>
      </c>
      <c r="E18" s="34">
        <f>'2022.07'!F29</f>
        <v>0</v>
      </c>
      <c r="F18" s="6">
        <f t="shared" si="2"/>
        <v>0.81730000000000003</v>
      </c>
      <c r="G18" s="6">
        <v>118.10899999999999</v>
      </c>
      <c r="H18" s="4">
        <f t="shared" ref="H18" si="22">F18*G18</f>
        <v>96.53</v>
      </c>
      <c r="I18" s="4">
        <f t="shared" ref="I18" si="23">H18-D18</f>
        <v>-12.47</v>
      </c>
      <c r="J18" s="18">
        <f t="shared" ref="J18" si="24">(H18-D18)/D18</f>
        <v>-0.1144</v>
      </c>
      <c r="K18" s="4">
        <f>'2022.07'!D29</f>
        <v>0</v>
      </c>
      <c r="L18" s="4">
        <f>'2022.07'!J29</f>
        <v>0</v>
      </c>
      <c r="M18" s="4">
        <f>'2022.07'!O29</f>
        <v>0</v>
      </c>
      <c r="AC18" s="4">
        <f>'2022.07'!$C$29</f>
        <v>0</v>
      </c>
      <c r="AD18" s="4" t="str">
        <f>'2022.07'!$E$29</f>
        <v>0.00</v>
      </c>
      <c r="AE18" s="7">
        <f>'2022.07'!$F$29</f>
        <v>0</v>
      </c>
      <c r="AF18" s="49">
        <f>'2021.12'!$A$25</f>
        <v>44545</v>
      </c>
      <c r="AG18" s="4">
        <f>'2021.12'!$B$25*-1</f>
        <v>-10</v>
      </c>
    </row>
    <row r="19" spans="1:33" x14ac:dyDescent="0.25">
      <c r="A19" s="38">
        <f>'2022.08'!Q2</f>
        <v>2022.08</v>
      </c>
      <c r="B19" s="4">
        <f>'2022.08'!B29</f>
        <v>0</v>
      </c>
      <c r="C19" s="4">
        <f>'2022.08'!C29</f>
        <v>0</v>
      </c>
      <c r="D19" s="4">
        <f t="shared" si="4"/>
        <v>109</v>
      </c>
      <c r="E19" s="34">
        <f>'2022.08'!F29</f>
        <v>0</v>
      </c>
      <c r="F19" s="6">
        <f t="shared" si="2"/>
        <v>0.81730000000000003</v>
      </c>
      <c r="G19" s="6">
        <v>115.64619999999999</v>
      </c>
      <c r="H19" s="4">
        <f t="shared" ref="H19" si="25">F19*G19</f>
        <v>94.52</v>
      </c>
      <c r="I19" s="4">
        <f t="shared" ref="I19" si="26">H19-D19</f>
        <v>-14.48</v>
      </c>
      <c r="J19" s="18">
        <f t="shared" ref="J19" si="27">(H19-D19)/D19</f>
        <v>-0.1328</v>
      </c>
      <c r="K19" s="4">
        <f>'2022.08'!D29</f>
        <v>0</v>
      </c>
      <c r="L19" s="4">
        <f>'2022.08'!J29</f>
        <v>0</v>
      </c>
      <c r="M19" s="4">
        <f>'2022.08'!O29</f>
        <v>0</v>
      </c>
      <c r="AC19" s="4">
        <f>'2022.08'!$C$29</f>
        <v>0</v>
      </c>
      <c r="AD19" s="4" t="str">
        <f>'2022.08'!$E$29</f>
        <v>0.00</v>
      </c>
      <c r="AE19" s="7">
        <f>'2022.08'!$F$29</f>
        <v>0</v>
      </c>
      <c r="AF19" s="49">
        <f>'2024.01'!$A$25</f>
        <v>45322</v>
      </c>
      <c r="AG19" s="4">
        <f>'2024.01'!$B$25*-1</f>
        <v>-10</v>
      </c>
    </row>
    <row r="20" spans="1:33" x14ac:dyDescent="0.25">
      <c r="A20" s="38">
        <f>'2022.09'!Q2</f>
        <v>2022.09</v>
      </c>
      <c r="B20" s="4">
        <f>'2022.09'!B29</f>
        <v>0</v>
      </c>
      <c r="C20" s="4">
        <f>'2022.09'!C29</f>
        <v>0</v>
      </c>
      <c r="D20" s="4">
        <f t="shared" si="4"/>
        <v>109</v>
      </c>
      <c r="E20" s="34">
        <f>'2022.09'!F29</f>
        <v>0</v>
      </c>
      <c r="F20" s="6">
        <f t="shared" si="2"/>
        <v>0.81730000000000003</v>
      </c>
      <c r="G20" s="6">
        <v>105.3827</v>
      </c>
      <c r="H20" s="4">
        <f t="shared" ref="H20" si="28">F20*G20</f>
        <v>86.13</v>
      </c>
      <c r="I20" s="4">
        <f t="shared" ref="I20" si="29">H20-D20</f>
        <v>-22.87</v>
      </c>
      <c r="J20" s="18">
        <f t="shared" ref="J20" si="30">(H20-D20)/D20</f>
        <v>-0.20979999999999999</v>
      </c>
      <c r="K20" s="4">
        <f>'2022.09'!D29</f>
        <v>0</v>
      </c>
      <c r="L20" s="4">
        <f>'2022.09'!J29</f>
        <v>0</v>
      </c>
      <c r="M20" s="4">
        <f>'2022.09'!O29</f>
        <v>0</v>
      </c>
      <c r="AC20" s="4">
        <f>'2022.09'!$C$29</f>
        <v>0</v>
      </c>
      <c r="AD20" s="4" t="str">
        <f>'2022.09'!$E$29</f>
        <v>0.00</v>
      </c>
      <c r="AE20" s="7">
        <f>'2022.09'!$F$29</f>
        <v>0</v>
      </c>
      <c r="AF20" s="49">
        <f>'2024.02'!$A$25</f>
        <v>45351</v>
      </c>
      <c r="AG20" s="4">
        <f>'2024.02'!$B$25*-1</f>
        <v>-10</v>
      </c>
    </row>
    <row r="21" spans="1:33" x14ac:dyDescent="0.25">
      <c r="A21" s="38">
        <f>'2022.10'!Q2</f>
        <v>2022.1</v>
      </c>
      <c r="B21" s="4">
        <f>'2022.10'!B29</f>
        <v>0</v>
      </c>
      <c r="C21" s="4">
        <f>'2022.10'!C29</f>
        <v>0</v>
      </c>
      <c r="D21" s="4">
        <f t="shared" si="4"/>
        <v>109</v>
      </c>
      <c r="E21" s="34">
        <f>'2022.10'!F29</f>
        <v>0</v>
      </c>
      <c r="F21" s="6">
        <f t="shared" si="2"/>
        <v>0.81730000000000003</v>
      </c>
      <c r="G21" s="6">
        <v>109.6615</v>
      </c>
      <c r="H21" s="4">
        <f t="shared" ref="H21" si="31">F21*G21</f>
        <v>89.63</v>
      </c>
      <c r="I21" s="4">
        <f t="shared" ref="I21" si="32">H21-D21</f>
        <v>-19.37</v>
      </c>
      <c r="J21" s="18">
        <f t="shared" ref="J21" si="33">(H21-D21)/D21</f>
        <v>-0.1777</v>
      </c>
      <c r="K21" s="4">
        <f>'2022.10'!D29</f>
        <v>0</v>
      </c>
      <c r="L21" s="4">
        <f>'2022.10'!J29</f>
        <v>0</v>
      </c>
      <c r="M21" s="4">
        <f>'2022.10'!O29</f>
        <v>0</v>
      </c>
      <c r="AC21" s="4">
        <f>'2022.10'!$C$29</f>
        <v>0</v>
      </c>
      <c r="AD21" s="4" t="str">
        <f>'2022.10'!$E$29</f>
        <v>0.00</v>
      </c>
      <c r="AE21" s="7">
        <f>'2022.10'!$F$29</f>
        <v>0</v>
      </c>
      <c r="AF21" s="49">
        <f>'2024.04'!$A$25</f>
        <v>45384</v>
      </c>
      <c r="AG21" s="4">
        <f>'2024.04'!$B$25*-1</f>
        <v>-10</v>
      </c>
    </row>
    <row r="22" spans="1:33" x14ac:dyDescent="0.25">
      <c r="A22" s="38">
        <f>'2022.11'!Q2</f>
        <v>2022.11</v>
      </c>
      <c r="B22" s="4">
        <f>'2022.11'!B29</f>
        <v>0</v>
      </c>
      <c r="C22" s="4">
        <f>'2022.11'!C29</f>
        <v>0</v>
      </c>
      <c r="D22" s="4">
        <f t="shared" si="4"/>
        <v>109</v>
      </c>
      <c r="E22" s="34">
        <f>'2022.11'!F29</f>
        <v>0</v>
      </c>
      <c r="F22" s="6">
        <f t="shared" si="2"/>
        <v>0.81730000000000003</v>
      </c>
      <c r="G22" s="6">
        <v>112.7624</v>
      </c>
      <c r="H22" s="4">
        <f t="shared" ref="H22" si="34">F22*G22</f>
        <v>92.16</v>
      </c>
      <c r="I22" s="4">
        <f t="shared" ref="I22" si="35">H22-D22</f>
        <v>-16.84</v>
      </c>
      <c r="J22" s="18">
        <f t="shared" ref="J22" si="36">(H22-D22)/D22</f>
        <v>-0.1545</v>
      </c>
      <c r="K22" s="4">
        <f>'2022.11'!D29</f>
        <v>0</v>
      </c>
      <c r="L22" s="4">
        <f>'2022.11'!J29</f>
        <v>0</v>
      </c>
      <c r="M22" s="4">
        <f>'2022.11'!O29</f>
        <v>0</v>
      </c>
      <c r="AC22" s="4">
        <f>'2022.11'!$C$29</f>
        <v>0</v>
      </c>
      <c r="AD22" s="4" t="str">
        <f>'2022.11'!$E$29</f>
        <v>0.00</v>
      </c>
      <c r="AE22" s="7">
        <f>'2022.11'!$F$29</f>
        <v>0</v>
      </c>
      <c r="AF22" s="49">
        <f>'2024.05'!$A$25</f>
        <v>45414</v>
      </c>
      <c r="AG22" s="4">
        <f>'2024.05'!$B$25*-1</f>
        <v>-10</v>
      </c>
    </row>
    <row r="23" spans="1:33" x14ac:dyDescent="0.25">
      <c r="A23" s="38">
        <f>'2022.12'!Q2</f>
        <v>2022.12</v>
      </c>
      <c r="B23" s="4">
        <f>'2022.12'!B29</f>
        <v>0</v>
      </c>
      <c r="C23" s="4">
        <f>'2022.12'!C29</f>
        <v>0</v>
      </c>
      <c r="D23" s="4">
        <f t="shared" si="4"/>
        <v>109</v>
      </c>
      <c r="E23" s="34">
        <f>'2022.12'!F29</f>
        <v>0</v>
      </c>
      <c r="F23" s="6">
        <f t="shared" si="2"/>
        <v>0.81730000000000003</v>
      </c>
      <c r="G23" s="6">
        <v>110.4483</v>
      </c>
      <c r="H23" s="4">
        <f t="shared" ref="H23" si="37">F23*G23</f>
        <v>90.27</v>
      </c>
      <c r="I23" s="4">
        <f t="shared" ref="I23" si="38">H23-D23</f>
        <v>-18.73</v>
      </c>
      <c r="J23" s="18">
        <f t="shared" ref="J23" si="39">(H23-D23)/D23</f>
        <v>-0.17180000000000001</v>
      </c>
      <c r="K23" s="4">
        <f>'2022.12'!D29</f>
        <v>0</v>
      </c>
      <c r="L23" s="4">
        <f>'2022.12'!J29</f>
        <v>0</v>
      </c>
      <c r="M23" s="4">
        <f>'2022.12'!O29</f>
        <v>0</v>
      </c>
      <c r="AC23" s="4">
        <f>'2022.12'!$C$29</f>
        <v>0</v>
      </c>
      <c r="AD23" s="4" t="str">
        <f>'2022.12'!$E$29</f>
        <v>0.00</v>
      </c>
      <c r="AE23" s="7">
        <f>'2022.12'!$F$29</f>
        <v>0</v>
      </c>
      <c r="AF23" s="49">
        <f>'2024.05'!$A$26</f>
        <v>45442</v>
      </c>
      <c r="AG23" s="4">
        <f>'2024.05'!$B$26*-1</f>
        <v>-10</v>
      </c>
    </row>
    <row r="24" spans="1:33" x14ac:dyDescent="0.25">
      <c r="A24" s="38">
        <f>'2023.01'!Q2</f>
        <v>2023.01</v>
      </c>
      <c r="B24" s="4">
        <f>'2023.01'!B29</f>
        <v>0</v>
      </c>
      <c r="C24" s="4">
        <f>'2023.01'!C29</f>
        <v>0</v>
      </c>
      <c r="D24" s="4">
        <f t="shared" si="4"/>
        <v>109</v>
      </c>
      <c r="E24" s="34">
        <f>'2023.01'!F29</f>
        <v>0</v>
      </c>
      <c r="F24" s="6">
        <f t="shared" si="2"/>
        <v>0.81730000000000003</v>
      </c>
      <c r="G24" s="6">
        <v>115.6853</v>
      </c>
      <c r="H24" s="4">
        <f t="shared" ref="H24" si="40">F24*G24</f>
        <v>94.55</v>
      </c>
      <c r="I24" s="4">
        <f t="shared" ref="I24" si="41">H24-D24</f>
        <v>-14.45</v>
      </c>
      <c r="J24" s="18">
        <f t="shared" ref="J24" si="42">(H24-D24)/D24</f>
        <v>-0.1326</v>
      </c>
      <c r="K24" s="4">
        <f>'2023.01'!D29</f>
        <v>0</v>
      </c>
      <c r="L24" s="4">
        <f>'2023.01'!J29</f>
        <v>0</v>
      </c>
      <c r="M24" s="4">
        <f>'2023.01'!O29</f>
        <v>0</v>
      </c>
      <c r="AC24" s="4">
        <f>'2023.01'!$C$29</f>
        <v>0</v>
      </c>
      <c r="AD24" s="4" t="str">
        <f>'2023.01'!$E$29</f>
        <v>0.00</v>
      </c>
      <c r="AE24" s="7">
        <f>'2023.01'!$F$29</f>
        <v>0</v>
      </c>
      <c r="AF24" s="49">
        <f>'2024.07'!$A$25</f>
        <v>45474</v>
      </c>
      <c r="AG24" s="4">
        <f>'2024.07'!$B$25*-1</f>
        <v>-10</v>
      </c>
    </row>
    <row r="25" spans="1:33" x14ac:dyDescent="0.25">
      <c r="A25" s="38">
        <f>'2023.02'!Q2</f>
        <v>2023.02</v>
      </c>
      <c r="B25" s="4">
        <f>'2023.02'!B29</f>
        <v>0</v>
      </c>
      <c r="C25" s="4">
        <f>'2023.02'!C29</f>
        <v>0</v>
      </c>
      <c r="D25" s="4">
        <f t="shared" si="4"/>
        <v>109</v>
      </c>
      <c r="E25" s="34">
        <f>'2023.02'!F29</f>
        <v>0</v>
      </c>
      <c r="F25" s="6">
        <f t="shared" si="2"/>
        <v>0.81730000000000003</v>
      </c>
      <c r="G25" s="6">
        <v>115.8505</v>
      </c>
      <c r="H25" s="4">
        <f t="shared" ref="H25" si="43">F25*G25</f>
        <v>94.68</v>
      </c>
      <c r="I25" s="4">
        <f t="shared" ref="I25" si="44">H25-D25</f>
        <v>-14.32</v>
      </c>
      <c r="J25" s="18">
        <f t="shared" ref="J25" si="45">(H25-D25)/D25</f>
        <v>-0.13139999999999999</v>
      </c>
      <c r="K25" s="4">
        <f>'2023.02'!D29</f>
        <v>0</v>
      </c>
      <c r="L25" s="4">
        <f>'2023.02'!J29</f>
        <v>0</v>
      </c>
      <c r="M25" s="4">
        <f>'2023.02'!O29</f>
        <v>0</v>
      </c>
      <c r="AC25" s="4">
        <f>'2023.02'!$C$29</f>
        <v>0</v>
      </c>
      <c r="AD25" s="4" t="str">
        <f>'2023.02'!$E$29</f>
        <v>0.00</v>
      </c>
      <c r="AE25" s="7">
        <f>'2023.02'!$F$29</f>
        <v>0</v>
      </c>
      <c r="AF25" s="49">
        <f>'2024.07'!$A$26</f>
        <v>45504</v>
      </c>
      <c r="AG25" s="4">
        <f>'2024.07'!$B$26*-1</f>
        <v>-10</v>
      </c>
    </row>
    <row r="26" spans="1:33" x14ac:dyDescent="0.25">
      <c r="A26" s="38">
        <f>'2023.03'!Q2</f>
        <v>2023.03</v>
      </c>
      <c r="B26" s="4">
        <f>'2023.03'!B29</f>
        <v>0</v>
      </c>
      <c r="C26" s="4">
        <f>'2023.03'!C29</f>
        <v>0</v>
      </c>
      <c r="D26" s="4">
        <f t="shared" si="4"/>
        <v>109</v>
      </c>
      <c r="E26" s="34">
        <f>'2023.03'!F29</f>
        <v>0</v>
      </c>
      <c r="F26" s="6">
        <f t="shared" si="2"/>
        <v>0.81730000000000003</v>
      </c>
      <c r="G26" s="6">
        <v>113.7257</v>
      </c>
      <c r="H26" s="4">
        <f t="shared" ref="H26" si="46">F26*G26</f>
        <v>92.95</v>
      </c>
      <c r="I26" s="4">
        <f t="shared" ref="I26" si="47">H26-D26</f>
        <v>-16.05</v>
      </c>
      <c r="J26" s="18">
        <f t="shared" ref="J26" si="48">(H26-D26)/D26</f>
        <v>-0.1472</v>
      </c>
      <c r="K26" s="4">
        <f>'2023.03'!D29</f>
        <v>0</v>
      </c>
      <c r="L26" s="4">
        <f>'2023.03'!J29</f>
        <v>0</v>
      </c>
      <c r="M26" s="4">
        <f>'2023.03'!O29</f>
        <v>0</v>
      </c>
      <c r="AC26" s="4">
        <f>'2023.03'!$C$29</f>
        <v>0</v>
      </c>
      <c r="AD26" s="4" t="str">
        <f>'2023.03'!$E$29</f>
        <v>0.00</v>
      </c>
      <c r="AE26" s="7">
        <f>'2023.03'!$F$29</f>
        <v>0</v>
      </c>
      <c r="AF26" s="49">
        <f>'2024.08'!$A$25</f>
        <v>45533</v>
      </c>
      <c r="AG26" s="4">
        <f>'2024.08'!$B$25*-1</f>
        <v>-10</v>
      </c>
    </row>
    <row r="27" spans="1:33" x14ac:dyDescent="0.25">
      <c r="A27" s="38">
        <f>'2023.04'!Q2</f>
        <v>2023.04</v>
      </c>
      <c r="B27" s="4">
        <f>'2023.04'!B29</f>
        <v>0</v>
      </c>
      <c r="C27" s="4">
        <f>'2023.04'!C29</f>
        <v>0</v>
      </c>
      <c r="D27" s="4">
        <f t="shared" si="4"/>
        <v>109</v>
      </c>
      <c r="E27" s="34">
        <f>'2023.04'!F29</f>
        <v>0</v>
      </c>
      <c r="F27" s="6">
        <f t="shared" si="2"/>
        <v>0.81730000000000003</v>
      </c>
      <c r="G27" s="6">
        <v>114.6463</v>
      </c>
      <c r="H27" s="4">
        <f t="shared" ref="H27" si="49">F27*G27</f>
        <v>93.7</v>
      </c>
      <c r="I27" s="4">
        <f t="shared" ref="I27" si="50">H27-D27</f>
        <v>-15.3</v>
      </c>
      <c r="J27" s="18">
        <f t="shared" ref="J27" si="51">(H27-D27)/D27</f>
        <v>-0.1404</v>
      </c>
      <c r="K27" s="4">
        <f>'2023.04'!D29</f>
        <v>0</v>
      </c>
      <c r="L27" s="4">
        <f>'2023.04'!J29</f>
        <v>0</v>
      </c>
      <c r="M27" s="4">
        <f>'2023.04'!O29</f>
        <v>0</v>
      </c>
      <c r="AC27" s="4">
        <f>'2023.04'!$C$29</f>
        <v>0</v>
      </c>
      <c r="AD27" s="4" t="str">
        <f>'2023.04'!$E$29</f>
        <v>0.00</v>
      </c>
      <c r="AE27" s="7">
        <f>'2023.04'!$F$29</f>
        <v>0</v>
      </c>
      <c r="AF27" s="49">
        <f>'2024.10'!$A$25</f>
        <v>45566</v>
      </c>
      <c r="AG27" s="4">
        <f>'2024.10'!$B$25*-1</f>
        <v>-10</v>
      </c>
    </row>
    <row r="28" spans="1:33" x14ac:dyDescent="0.25">
      <c r="A28" s="38">
        <f>'2023.05'!Q2</f>
        <v>2023.05</v>
      </c>
      <c r="B28" s="4">
        <f>'2023.05'!B29</f>
        <v>0</v>
      </c>
      <c r="C28" s="4">
        <f>'2023.05'!C29</f>
        <v>0</v>
      </c>
      <c r="D28" s="4">
        <f t="shared" si="4"/>
        <v>109</v>
      </c>
      <c r="E28" s="34">
        <f>'2023.05'!F29</f>
        <v>0</v>
      </c>
      <c r="F28" s="6">
        <f t="shared" si="2"/>
        <v>0.81730000000000003</v>
      </c>
      <c r="G28" s="6">
        <v>116.28959999999999</v>
      </c>
      <c r="H28" s="4">
        <f t="shared" ref="H28" si="52">F28*G28</f>
        <v>95.04</v>
      </c>
      <c r="I28" s="4">
        <f t="shared" ref="I28" si="53">H28-D28</f>
        <v>-13.96</v>
      </c>
      <c r="J28" s="18">
        <f t="shared" ref="J28" si="54">(H28-D28)/D28</f>
        <v>-0.12809999999999999</v>
      </c>
      <c r="K28" s="4">
        <f>'2023.05'!D29</f>
        <v>0</v>
      </c>
      <c r="L28" s="4">
        <f>'2023.05'!J29</f>
        <v>0</v>
      </c>
      <c r="M28" s="4">
        <f>'2023.05'!O29</f>
        <v>0</v>
      </c>
      <c r="AC28" s="4">
        <f>'2023.05'!$C$29</f>
        <v>0</v>
      </c>
      <c r="AD28" s="4" t="str">
        <f>'2023.05'!$E$29</f>
        <v>0.00</v>
      </c>
      <c r="AE28" s="7">
        <f>'2023.05'!$F$29</f>
        <v>0</v>
      </c>
      <c r="AF28" s="49">
        <f>'2024.10'!$A$26</f>
        <v>45596</v>
      </c>
      <c r="AG28" s="4">
        <f>'2024.10'!$B$26*-1</f>
        <v>-10</v>
      </c>
    </row>
    <row r="29" spans="1:33" x14ac:dyDescent="0.25">
      <c r="A29" s="38">
        <f>'2023.06'!Q2</f>
        <v>2023.06</v>
      </c>
      <c r="B29" s="4">
        <f>'2023.06'!B29</f>
        <v>0</v>
      </c>
      <c r="C29" s="4">
        <f>'2023.06'!C29</f>
        <v>0</v>
      </c>
      <c r="D29" s="4">
        <f t="shared" si="4"/>
        <v>109</v>
      </c>
      <c r="E29" s="34">
        <f>'2023.06'!F29</f>
        <v>0</v>
      </c>
      <c r="F29" s="6">
        <f t="shared" si="2"/>
        <v>0.81730000000000003</v>
      </c>
      <c r="G29" s="6">
        <v>117.30880000000001</v>
      </c>
      <c r="H29" s="4">
        <f t="shared" ref="H29" si="55">F29*G29</f>
        <v>95.88</v>
      </c>
      <c r="I29" s="4">
        <f t="shared" ref="I29" si="56">H29-D29</f>
        <v>-13.12</v>
      </c>
      <c r="J29" s="18">
        <f t="shared" ref="J29" si="57">(H29-D29)/D29</f>
        <v>-0.12039999999999999</v>
      </c>
      <c r="K29" s="4">
        <f>'2023.06'!D29</f>
        <v>0</v>
      </c>
      <c r="L29" s="4">
        <f>'2023.06'!J29</f>
        <v>0</v>
      </c>
      <c r="M29" s="4">
        <f>'2023.06'!O29</f>
        <v>0</v>
      </c>
      <c r="AC29" s="4">
        <f>'2023.06'!$C$29</f>
        <v>0</v>
      </c>
      <c r="AD29" s="4" t="str">
        <f>'2023.06'!$E$29</f>
        <v>0.00</v>
      </c>
      <c r="AE29" s="7">
        <f>'2023.06'!$F$29</f>
        <v>0</v>
      </c>
      <c r="AF29" s="49">
        <f>'2024.11'!$A$25</f>
        <v>45625</v>
      </c>
      <c r="AG29" s="4">
        <f>'2024.11'!$B$25*-1</f>
        <v>-10</v>
      </c>
    </row>
    <row r="30" spans="1:33" x14ac:dyDescent="0.25">
      <c r="A30" s="38">
        <f>'2023.07'!Q2</f>
        <v>2023.07</v>
      </c>
      <c r="B30" s="4">
        <f>'2023.07'!B29</f>
        <v>0</v>
      </c>
      <c r="C30" s="4">
        <f>'2023.07'!C29</f>
        <v>0</v>
      </c>
      <c r="D30" s="4">
        <f t="shared" si="4"/>
        <v>109</v>
      </c>
      <c r="E30" s="34">
        <f>'2023.07'!F29</f>
        <v>0</v>
      </c>
      <c r="F30" s="6">
        <f t="shared" si="2"/>
        <v>0.81730000000000003</v>
      </c>
      <c r="G30" s="6">
        <v>119.5659</v>
      </c>
      <c r="H30" s="4">
        <f t="shared" ref="H30" si="58">F30*G30</f>
        <v>97.72</v>
      </c>
      <c r="I30" s="4">
        <f t="shared" ref="I30" si="59">H30-D30</f>
        <v>-11.28</v>
      </c>
      <c r="J30" s="18">
        <f t="shared" ref="J30" si="60">(H30-D30)/D30</f>
        <v>-0.10349999999999999</v>
      </c>
      <c r="K30" s="4">
        <f>'2023.07'!D29</f>
        <v>0</v>
      </c>
      <c r="L30" s="4">
        <f>'2023.07'!J29</f>
        <v>0</v>
      </c>
      <c r="M30" s="4">
        <f>'2023.07'!O29</f>
        <v>0</v>
      </c>
      <c r="AC30" s="4">
        <f>'2023.07'!$C$29</f>
        <v>0</v>
      </c>
      <c r="AD30" s="4" t="str">
        <f>'2023.07'!$E$29</f>
        <v>0.00</v>
      </c>
      <c r="AE30" s="7">
        <f>'2023.07'!$F$29</f>
        <v>0</v>
      </c>
      <c r="AF30" s="49">
        <f>'2025.01'!$A$25</f>
        <v>45660</v>
      </c>
      <c r="AG30" s="4">
        <f>'2025.01'!$B$25*-1</f>
        <v>-10</v>
      </c>
    </row>
    <row r="31" spans="1:33" x14ac:dyDescent="0.25">
      <c r="A31" s="38">
        <f>'2023.08'!Q2</f>
        <v>2023.08</v>
      </c>
      <c r="B31" s="4">
        <f>'2023.08'!B29</f>
        <v>0</v>
      </c>
      <c r="C31" s="4">
        <f>'2023.08'!C29</f>
        <v>0</v>
      </c>
      <c r="D31" s="4">
        <f t="shared" si="4"/>
        <v>109</v>
      </c>
      <c r="E31" s="34">
        <f>'2023.08'!F29</f>
        <v>0</v>
      </c>
      <c r="F31" s="6">
        <f t="shared" si="2"/>
        <v>0.81730000000000003</v>
      </c>
      <c r="G31" s="6">
        <v>117.8245</v>
      </c>
      <c r="H31" s="4">
        <f t="shared" ref="H31" si="61">F31*G31</f>
        <v>96.3</v>
      </c>
      <c r="I31" s="4">
        <f t="shared" ref="I31" si="62">H31-D31</f>
        <v>-12.7</v>
      </c>
      <c r="J31" s="18">
        <f t="shared" ref="J31" si="63">(H31-D31)/D31</f>
        <v>-0.11650000000000001</v>
      </c>
      <c r="K31" s="4">
        <f>'2023.08'!D29</f>
        <v>0</v>
      </c>
      <c r="L31" s="4">
        <f>'2023.08'!J29</f>
        <v>0</v>
      </c>
      <c r="M31" s="4">
        <f>'2023.08'!O29</f>
        <v>0</v>
      </c>
      <c r="AC31" s="4">
        <f>'2023.08'!$C$29</f>
        <v>0</v>
      </c>
      <c r="AD31" s="4" t="str">
        <f>'2023.08'!$E$29</f>
        <v>0.00</v>
      </c>
      <c r="AE31" s="7">
        <f>'2023.08'!$F$29</f>
        <v>0</v>
      </c>
      <c r="AF31" s="49">
        <f>'2025.01'!$A$26</f>
        <v>45687</v>
      </c>
      <c r="AG31" s="4">
        <f>'2025.01'!$B$26*-1</f>
        <v>-10</v>
      </c>
    </row>
    <row r="32" spans="1:33" x14ac:dyDescent="0.25">
      <c r="A32" s="38">
        <f>'2023.09'!Q2</f>
        <v>2023.09</v>
      </c>
      <c r="B32" s="4">
        <f>'2023.09'!B29</f>
        <v>0</v>
      </c>
      <c r="C32" s="4">
        <f>'2023.09'!C29</f>
        <v>0</v>
      </c>
      <c r="D32" s="4">
        <f t="shared" si="4"/>
        <v>109</v>
      </c>
      <c r="E32" s="34">
        <f>'2023.09'!F29</f>
        <v>0</v>
      </c>
      <c r="F32" s="6">
        <f t="shared" si="2"/>
        <v>0.81730000000000003</v>
      </c>
      <c r="G32" s="6">
        <v>115.9676</v>
      </c>
      <c r="H32" s="4">
        <f t="shared" ref="H32" si="64">F32*G32</f>
        <v>94.78</v>
      </c>
      <c r="I32" s="4">
        <f t="shared" ref="I32" si="65">H32-D32</f>
        <v>-14.22</v>
      </c>
      <c r="J32" s="18">
        <f t="shared" ref="J32" si="66">(H32-D32)/D32</f>
        <v>-0.1305</v>
      </c>
      <c r="K32" s="4">
        <f>'2023.09'!D29</f>
        <v>0</v>
      </c>
      <c r="L32" s="4">
        <f>'2023.09'!J29</f>
        <v>0</v>
      </c>
      <c r="M32" s="4">
        <f>'2023.09'!O29</f>
        <v>0</v>
      </c>
      <c r="AC32" s="4">
        <f>'2023.09'!$C$29</f>
        <v>0</v>
      </c>
      <c r="AD32" s="4" t="str">
        <f>'2023.09'!$E$29</f>
        <v>0.00</v>
      </c>
      <c r="AE32" s="7">
        <f>'2023.09'!$F$29</f>
        <v>0</v>
      </c>
      <c r="AF32" s="49">
        <f>'2025.03'!$A$25</f>
        <v>45719</v>
      </c>
      <c r="AG32" s="4">
        <f>'2025.03'!$B$25*-1</f>
        <v>-10</v>
      </c>
    </row>
    <row r="33" spans="1:33" x14ac:dyDescent="0.25">
      <c r="A33" s="38">
        <f>'2023.10'!Q2</f>
        <v>2023.1</v>
      </c>
      <c r="B33" s="4">
        <f>'2023.10'!B29</f>
        <v>0</v>
      </c>
      <c r="C33" s="4">
        <f>'2023.10'!C29</f>
        <v>0</v>
      </c>
      <c r="D33" s="4">
        <f t="shared" si="4"/>
        <v>109</v>
      </c>
      <c r="E33" s="34">
        <f>'2023.10'!F29</f>
        <v>0</v>
      </c>
      <c r="F33" s="6">
        <f t="shared" si="2"/>
        <v>0.81730000000000003</v>
      </c>
      <c r="G33" s="6">
        <v>111.2227</v>
      </c>
      <c r="H33" s="4">
        <f t="shared" ref="H33" si="67">F33*G33</f>
        <v>90.9</v>
      </c>
      <c r="I33" s="4">
        <f t="shared" ref="I33" si="68">H33-D33</f>
        <v>-18.100000000000001</v>
      </c>
      <c r="J33" s="18">
        <f t="shared" ref="J33" si="69">(H33-D33)/D33</f>
        <v>-0.1661</v>
      </c>
      <c r="K33" s="4">
        <f>'2023.10'!D29</f>
        <v>0</v>
      </c>
      <c r="L33" s="4">
        <f>'2023.10'!J29</f>
        <v>0</v>
      </c>
      <c r="M33" s="4">
        <f>'2023.10'!O29</f>
        <v>0</v>
      </c>
      <c r="AC33" s="4">
        <f>'2023.10'!$C$29</f>
        <v>0</v>
      </c>
      <c r="AD33" s="4" t="str">
        <f>'2023.10'!$E$29</f>
        <v>0.00</v>
      </c>
      <c r="AE33" s="7">
        <f>'2023.10'!$F$29</f>
        <v>0</v>
      </c>
      <c r="AF33" s="49">
        <f>'2025.03'!$A$26</f>
        <v>45747</v>
      </c>
      <c r="AG33" s="4">
        <f>'2025.03'!$B$26*-1</f>
        <v>-15</v>
      </c>
    </row>
    <row r="34" spans="1:33" x14ac:dyDescent="0.25">
      <c r="A34" s="38">
        <f>'2023.11'!Q2</f>
        <v>2023.11</v>
      </c>
      <c r="B34" s="4">
        <f>'2023.11'!B29</f>
        <v>0</v>
      </c>
      <c r="C34" s="4">
        <f>'2023.11'!C29</f>
        <v>0</v>
      </c>
      <c r="D34" s="4">
        <f t="shared" si="4"/>
        <v>109</v>
      </c>
      <c r="E34" s="34">
        <f>'2023.11'!F29</f>
        <v>0</v>
      </c>
      <c r="F34" s="6">
        <f t="shared" si="2"/>
        <v>0.81730000000000003</v>
      </c>
      <c r="G34" s="6">
        <v>119.7561</v>
      </c>
      <c r="H34" s="4">
        <f t="shared" ref="H34" si="70">F34*G34</f>
        <v>97.88</v>
      </c>
      <c r="I34" s="4">
        <f t="shared" ref="I34" si="71">H34-D34</f>
        <v>-11.12</v>
      </c>
      <c r="J34" s="18">
        <f t="shared" ref="J34" si="72">(H34-D34)/D34</f>
        <v>-0.10199999999999999</v>
      </c>
      <c r="K34" s="4">
        <f>'2023.11'!D29</f>
        <v>0</v>
      </c>
      <c r="L34" s="4">
        <f>'2023.11'!J29</f>
        <v>0</v>
      </c>
      <c r="M34" s="4">
        <f>'2023.11'!O29</f>
        <v>0</v>
      </c>
      <c r="AC34" s="4">
        <f>'2023.11'!$C$29</f>
        <v>0</v>
      </c>
      <c r="AD34" s="4" t="str">
        <f>'2023.11'!$E$29</f>
        <v>0.00</v>
      </c>
      <c r="AE34" s="7">
        <f>'2023.11'!$F$29</f>
        <v>0</v>
      </c>
      <c r="AF34" s="49">
        <f>'2025.05'!$A$25</f>
        <v>45779</v>
      </c>
      <c r="AG34" s="4">
        <f>'2025.05'!$B$25*-1</f>
        <v>-15</v>
      </c>
    </row>
    <row r="35" spans="1:33" x14ac:dyDescent="0.25">
      <c r="A35" s="38">
        <f>'2023.12'!Q2</f>
        <v>2023.12</v>
      </c>
      <c r="B35" s="4">
        <f>'2023.12'!B29</f>
        <v>0</v>
      </c>
      <c r="C35" s="4">
        <f>'2023.12'!C29</f>
        <v>0</v>
      </c>
      <c r="D35" s="4">
        <f t="shared" si="4"/>
        <v>109</v>
      </c>
      <c r="E35" s="34">
        <f>'2023.12'!F29</f>
        <v>0</v>
      </c>
      <c r="F35" s="6">
        <f t="shared" si="2"/>
        <v>0.81730000000000003</v>
      </c>
      <c r="G35" s="6">
        <v>125.855</v>
      </c>
      <c r="H35" s="4">
        <f t="shared" ref="H35" si="73">F35*G35</f>
        <v>102.86</v>
      </c>
      <c r="I35" s="4">
        <f t="shared" ref="I35" si="74">H35-D35</f>
        <v>-6.14</v>
      </c>
      <c r="J35" s="18">
        <f t="shared" ref="J35" si="75">(H35-D35)/D35</f>
        <v>-5.6300000000000003E-2</v>
      </c>
      <c r="K35" s="4">
        <f>'2023.12'!D29</f>
        <v>0</v>
      </c>
      <c r="L35" s="4">
        <f>'2023.12'!J29</f>
        <v>0</v>
      </c>
      <c r="M35" s="4">
        <f>'2023.12'!O29</f>
        <v>0</v>
      </c>
      <c r="AC35" s="4">
        <f>'2023.12'!$C$29</f>
        <v>0</v>
      </c>
      <c r="AD35" s="4" t="str">
        <f>'2023.12'!$E$29</f>
        <v>0.00</v>
      </c>
      <c r="AE35" s="7">
        <f>'2023.12'!$F$29</f>
        <v>0</v>
      </c>
      <c r="AF35" s="49">
        <f>'2025.05'!$A$26</f>
        <v>45807</v>
      </c>
      <c r="AG35" s="4">
        <f>'2025.05'!$B$26*-1</f>
        <v>-15</v>
      </c>
    </row>
    <row r="36" spans="1:33" x14ac:dyDescent="0.25">
      <c r="A36" s="38">
        <f>'2024.01'!Q2</f>
        <v>2024.01</v>
      </c>
      <c r="B36" s="4">
        <f>'2024.01'!B29</f>
        <v>10</v>
      </c>
      <c r="C36" s="4">
        <f>'2024.01'!C29</f>
        <v>10</v>
      </c>
      <c r="D36" s="4">
        <f t="shared" si="4"/>
        <v>119</v>
      </c>
      <c r="E36" s="34">
        <f>'2024.01'!F29</f>
        <v>7.8E-2</v>
      </c>
      <c r="F36" s="6">
        <f t="shared" si="2"/>
        <v>0.89529999999999998</v>
      </c>
      <c r="G36" s="6">
        <v>128.19569999999999</v>
      </c>
      <c r="H36" s="4">
        <f t="shared" ref="H36" si="76">F36*G36</f>
        <v>114.77</v>
      </c>
      <c r="I36" s="4">
        <f t="shared" ref="I36" si="77">H36-D36</f>
        <v>-4.2300000000000004</v>
      </c>
      <c r="J36" s="18">
        <f t="shared" ref="J36" si="78">(H36-D36)/D36</f>
        <v>-3.5499999999999997E-2</v>
      </c>
      <c r="K36" s="4">
        <f>'2024.01'!D29</f>
        <v>0</v>
      </c>
      <c r="L36" s="4">
        <f>'2024.01'!J29</f>
        <v>0</v>
      </c>
      <c r="M36" s="4">
        <f>'2024.01'!O29</f>
        <v>0</v>
      </c>
      <c r="AC36" s="4">
        <f>'2024.01'!$C$29</f>
        <v>10</v>
      </c>
      <c r="AD36" s="4">
        <f>'2024.01'!$E$29</f>
        <v>128.21</v>
      </c>
      <c r="AE36" s="7">
        <f>'2024.01'!$F$29</f>
        <v>7.8E-2</v>
      </c>
      <c r="AF36" s="49">
        <f>'2025.07'!$A$25</f>
        <v>45839</v>
      </c>
      <c r="AG36" s="4">
        <f>'2025.07'!$B$25*-1</f>
        <v>-20</v>
      </c>
    </row>
    <row r="37" spans="1:33" x14ac:dyDescent="0.25">
      <c r="A37" s="38">
        <f>'2024.02'!Q2</f>
        <v>2024.02</v>
      </c>
      <c r="B37" s="4">
        <f>'2024.02'!B29</f>
        <v>10</v>
      </c>
      <c r="C37" s="4">
        <f>'2024.02'!C29</f>
        <v>10</v>
      </c>
      <c r="D37" s="4">
        <f t="shared" si="4"/>
        <v>129</v>
      </c>
      <c r="E37" s="34">
        <f>'2024.02'!F29</f>
        <v>7.5700000000000003E-2</v>
      </c>
      <c r="F37" s="6">
        <f t="shared" si="2"/>
        <v>0.97099999999999997</v>
      </c>
      <c r="G37" s="6">
        <v>132.0575</v>
      </c>
      <c r="H37" s="4">
        <f t="shared" ref="H37" si="79">F37*G37</f>
        <v>128.22999999999999</v>
      </c>
      <c r="I37" s="4">
        <f t="shared" ref="I37" si="80">H37-D37</f>
        <v>-0.77</v>
      </c>
      <c r="J37" s="18">
        <f t="shared" ref="J37" si="81">(H37-D37)/D37</f>
        <v>-6.0000000000000001E-3</v>
      </c>
      <c r="K37" s="4">
        <f>'2024.02'!D29</f>
        <v>0</v>
      </c>
      <c r="L37" s="4">
        <f>'2024.02'!J29</f>
        <v>0</v>
      </c>
      <c r="M37" s="4">
        <f>'2024.02'!O29</f>
        <v>0</v>
      </c>
      <c r="AC37" s="4">
        <f>'2024.02'!$C$29</f>
        <v>10</v>
      </c>
      <c r="AD37" s="4">
        <f>'2024.02'!$E$29</f>
        <v>132.1</v>
      </c>
      <c r="AE37" s="7">
        <f>'2024.02'!$F$29</f>
        <v>7.5999999999999998E-2</v>
      </c>
      <c r="AF37" s="49">
        <f>'2025.07'!$A$26</f>
        <v>45869</v>
      </c>
      <c r="AG37" s="4">
        <f>'2025.07'!$B$26*-1</f>
        <v>-20</v>
      </c>
    </row>
    <row r="38" spans="1:33" x14ac:dyDescent="0.25">
      <c r="A38" s="38">
        <f>'2024.03'!Q2</f>
        <v>2024.03</v>
      </c>
      <c r="B38" s="4">
        <f>'2024.03'!B29</f>
        <v>0</v>
      </c>
      <c r="C38" s="4">
        <f>'2024.03'!C29</f>
        <v>0</v>
      </c>
      <c r="D38" s="4">
        <f t="shared" si="4"/>
        <v>129</v>
      </c>
      <c r="E38" s="34">
        <f>'2024.03'!F29</f>
        <v>0</v>
      </c>
      <c r="F38" s="6">
        <f t="shared" si="2"/>
        <v>0.97099999999999997</v>
      </c>
      <c r="G38" s="6">
        <v>136.02189999999999</v>
      </c>
      <c r="H38" s="4">
        <f t="shared" ref="H38" si="82">F38*G38</f>
        <v>132.08000000000001</v>
      </c>
      <c r="I38" s="4">
        <f t="shared" ref="I38" si="83">H38-D38</f>
        <v>3.08</v>
      </c>
      <c r="J38" s="18">
        <f t="shared" ref="J38" si="84">(H38-D38)/D38</f>
        <v>2.3900000000000001E-2</v>
      </c>
      <c r="K38" s="4">
        <f>'2024.03'!D29</f>
        <v>0</v>
      </c>
      <c r="L38" s="4">
        <f>'2024.03'!J29</f>
        <v>0</v>
      </c>
      <c r="M38" s="4">
        <f>'2024.03'!O29</f>
        <v>0</v>
      </c>
      <c r="AC38" s="4">
        <f>'2024.03'!$C$29</f>
        <v>0</v>
      </c>
      <c r="AD38" s="4" t="str">
        <f>'2024.03'!$E$29</f>
        <v>0.00</v>
      </c>
      <c r="AE38" s="7">
        <f>'2024.03'!$F$29</f>
        <v>0</v>
      </c>
      <c r="AF38" s="49">
        <f>'2025.08'!$A$25</f>
        <v>45898</v>
      </c>
      <c r="AG38" s="4">
        <f>'2025.08'!$B$25*-1</f>
        <v>-20</v>
      </c>
    </row>
    <row r="39" spans="1:33" x14ac:dyDescent="0.25">
      <c r="A39" s="38">
        <f>'2024.04'!Q2</f>
        <v>2024.04</v>
      </c>
      <c r="B39" s="4">
        <f>'2024.04'!B29</f>
        <v>10</v>
      </c>
      <c r="C39" s="4">
        <f>'2024.04'!C29</f>
        <v>10</v>
      </c>
      <c r="D39" s="4">
        <f t="shared" si="4"/>
        <v>139</v>
      </c>
      <c r="E39" s="34">
        <f>'2024.04'!F29</f>
        <v>7.3499999999999996E-2</v>
      </c>
      <c r="F39" s="6">
        <f t="shared" si="2"/>
        <v>1.0445</v>
      </c>
      <c r="G39" s="6">
        <v>133.92169999999999</v>
      </c>
      <c r="H39" s="4">
        <f t="shared" ref="H39" si="85">F39*G39</f>
        <v>139.88</v>
      </c>
      <c r="I39" s="4">
        <f t="shared" ref="I39" si="86">H39-D39</f>
        <v>0.88</v>
      </c>
      <c r="J39" s="18">
        <f t="shared" ref="J39" si="87">(H39-D39)/D39</f>
        <v>6.3E-3</v>
      </c>
      <c r="K39" s="4">
        <f>'2024.04'!D29</f>
        <v>0</v>
      </c>
      <c r="L39" s="4">
        <f>'2024.04'!J29</f>
        <v>0</v>
      </c>
      <c r="M39" s="4">
        <f>'2024.04'!O29</f>
        <v>0</v>
      </c>
      <c r="AC39" s="4">
        <f>'2024.04'!$C$29</f>
        <v>10</v>
      </c>
      <c r="AD39" s="4">
        <f>'2024.04'!$E$29</f>
        <v>136.05000000000001</v>
      </c>
      <c r="AE39" s="7">
        <f>'2024.04'!$F$29</f>
        <v>7.3999999999999996E-2</v>
      </c>
      <c r="AF39" s="49">
        <f>'2025.10'!$A$25</f>
        <v>45931</v>
      </c>
      <c r="AG39" s="4">
        <f>'2025.10'!$B$25*-1</f>
        <v>-20</v>
      </c>
    </row>
    <row r="40" spans="1:33" x14ac:dyDescent="0.25">
      <c r="A40" s="38">
        <f>'2024.05'!Q2</f>
        <v>2024.05</v>
      </c>
      <c r="B40" s="4">
        <f>'2024.05'!B29</f>
        <v>20</v>
      </c>
      <c r="C40" s="4">
        <f>'2024.05'!C29</f>
        <v>20</v>
      </c>
      <c r="D40" s="4">
        <f t="shared" si="4"/>
        <v>159</v>
      </c>
      <c r="E40" s="34">
        <f>'2024.05'!F29</f>
        <v>0.1469</v>
      </c>
      <c r="F40" s="6">
        <f t="shared" si="2"/>
        <v>1.1914</v>
      </c>
      <c r="G40" s="6">
        <v>137.63759999999999</v>
      </c>
      <c r="H40" s="4">
        <f t="shared" ref="H40:H57" si="88">F40*G40</f>
        <v>163.98</v>
      </c>
      <c r="I40" s="4">
        <f t="shared" ref="I40:I57" si="89">H40-D40</f>
        <v>4.9800000000000004</v>
      </c>
      <c r="J40" s="18">
        <f t="shared" ref="J40:J57" si="90">(H40-D40)/D40</f>
        <v>3.1300000000000001E-2</v>
      </c>
      <c r="K40" s="4">
        <f>'2024.05'!D29</f>
        <v>0</v>
      </c>
      <c r="L40" s="4">
        <f>'2024.05'!J29</f>
        <v>0</v>
      </c>
      <c r="M40" s="4">
        <f>'2024.05'!O29</f>
        <v>0</v>
      </c>
      <c r="AC40" s="4">
        <f>'2024.05'!$C$29</f>
        <v>20</v>
      </c>
      <c r="AD40" s="4">
        <f>'2024.05'!$E$29</f>
        <v>136.15</v>
      </c>
      <c r="AE40" s="7">
        <f>'2024.05'!$F$29</f>
        <v>0.14699999999999999</v>
      </c>
      <c r="AF40" s="49">
        <f>'2025.10'!$A$26</f>
        <v>45960</v>
      </c>
      <c r="AG40" s="4">
        <f>'2025.10'!$B$26*-1</f>
        <v>-20</v>
      </c>
    </row>
    <row r="41" spans="1:33" x14ac:dyDescent="0.25">
      <c r="A41" s="38">
        <f>'2024.06'!Q2</f>
        <v>2024.06</v>
      </c>
      <c r="B41" s="4">
        <f>'2024.06'!B29</f>
        <v>0</v>
      </c>
      <c r="C41" s="4">
        <f>'2024.06'!C29</f>
        <v>0</v>
      </c>
      <c r="D41" s="4">
        <f t="shared" si="4"/>
        <v>159</v>
      </c>
      <c r="E41" s="34">
        <f>'2024.06'!F29</f>
        <v>0</v>
      </c>
      <c r="F41" s="6">
        <f t="shared" si="2"/>
        <v>1.1914</v>
      </c>
      <c r="G41" s="6">
        <v>140.5487</v>
      </c>
      <c r="H41" s="4">
        <f t="shared" si="88"/>
        <v>167.45</v>
      </c>
      <c r="I41" s="4">
        <f t="shared" si="89"/>
        <v>8.4499999999999993</v>
      </c>
      <c r="J41" s="18">
        <f t="shared" si="90"/>
        <v>5.3100000000000001E-2</v>
      </c>
      <c r="K41" s="4">
        <f>'2024.06'!D29</f>
        <v>0</v>
      </c>
      <c r="L41" s="4">
        <f>'2024.06'!J29</f>
        <v>0</v>
      </c>
      <c r="M41" s="4">
        <f>'2024.06'!O29</f>
        <v>0</v>
      </c>
      <c r="AC41" s="4">
        <f>'2024.06'!$C$29</f>
        <v>0</v>
      </c>
      <c r="AD41" s="4" t="str">
        <f>'2024.06'!$E$29</f>
        <v>0.00</v>
      </c>
      <c r="AE41" s="7">
        <f>'2024.06'!$F$29</f>
        <v>0</v>
      </c>
      <c r="AF41" s="49">
        <f>'2025.12'!$A$25</f>
        <v>45992</v>
      </c>
      <c r="AG41" s="4">
        <f>'2025.12'!$B$25*-1</f>
        <v>-20</v>
      </c>
    </row>
    <row r="42" spans="1:33" x14ac:dyDescent="0.25">
      <c r="A42" s="38">
        <f>'2024.07'!Q2</f>
        <v>2024.07</v>
      </c>
      <c r="B42" s="4">
        <f>'2024.07'!B29</f>
        <v>20</v>
      </c>
      <c r="C42" s="4">
        <f>'2024.07'!C29</f>
        <v>20</v>
      </c>
      <c r="D42" s="4">
        <f t="shared" si="4"/>
        <v>179</v>
      </c>
      <c r="E42" s="34">
        <f>'2024.07'!F29</f>
        <v>0.14299999999999999</v>
      </c>
      <c r="F42" s="6">
        <f t="shared" si="2"/>
        <v>1.3344</v>
      </c>
      <c r="G42" s="6">
        <v>139.2123</v>
      </c>
      <c r="H42" s="4">
        <f t="shared" si="88"/>
        <v>185.76</v>
      </c>
      <c r="I42" s="4">
        <f t="shared" si="89"/>
        <v>6.76</v>
      </c>
      <c r="J42" s="18">
        <f t="shared" si="90"/>
        <v>3.78E-2</v>
      </c>
      <c r="K42" s="4">
        <f>'2024.07'!D29</f>
        <v>0</v>
      </c>
      <c r="L42" s="4">
        <f>'2024.07'!J29</f>
        <v>0</v>
      </c>
      <c r="M42" s="4">
        <f>'2024.07'!O29</f>
        <v>0</v>
      </c>
      <c r="AC42" s="4">
        <f>'2024.07'!$C$29</f>
        <v>20</v>
      </c>
      <c r="AD42" s="4">
        <f>'2024.07'!$E$29</f>
        <v>139.86000000000001</v>
      </c>
      <c r="AE42" s="7">
        <f>'2024.07'!$F$29</f>
        <v>0.14299999999999999</v>
      </c>
      <c r="AF42" s="49">
        <f>'2026.01'!$A$25</f>
        <v>46027</v>
      </c>
      <c r="AG42" s="4">
        <f>'2026.01'!$B$25*-1</f>
        <v>-20</v>
      </c>
    </row>
    <row r="43" spans="1:33" x14ac:dyDescent="0.25">
      <c r="A43" s="38">
        <f>'2024.08'!Q2</f>
        <v>2024.08</v>
      </c>
      <c r="B43" s="4">
        <f>'2024.08'!B29</f>
        <v>10</v>
      </c>
      <c r="C43" s="4">
        <f>'2024.08'!C29</f>
        <v>10</v>
      </c>
      <c r="D43" s="4">
        <f t="shared" si="4"/>
        <v>189</v>
      </c>
      <c r="E43" s="34">
        <f>'2024.08'!F29</f>
        <v>7.0999999999999994E-2</v>
      </c>
      <c r="F43" s="6">
        <f t="shared" si="2"/>
        <v>1.4054</v>
      </c>
      <c r="G43" s="6">
        <v>141.84469999999999</v>
      </c>
      <c r="H43" s="4">
        <f t="shared" si="88"/>
        <v>199.35</v>
      </c>
      <c r="I43" s="4">
        <f t="shared" si="89"/>
        <v>10.35</v>
      </c>
      <c r="J43" s="18">
        <f t="shared" si="90"/>
        <v>5.4800000000000001E-2</v>
      </c>
      <c r="K43" s="4">
        <f>'2024.08'!D29</f>
        <v>0</v>
      </c>
      <c r="L43" s="4">
        <f>'2024.08'!J29</f>
        <v>0</v>
      </c>
      <c r="M43" s="4">
        <f>'2024.08'!O29</f>
        <v>0</v>
      </c>
      <c r="AC43" s="4">
        <f>'2024.08'!$C$29</f>
        <v>10</v>
      </c>
      <c r="AD43" s="4">
        <f>'2024.08'!$E$29</f>
        <v>140.85</v>
      </c>
      <c r="AE43" s="7">
        <f>'2024.08'!$F$29</f>
        <v>7.0999999999999994E-2</v>
      </c>
      <c r="AF43" s="49">
        <f>'2026.01'!$A$26</f>
        <v>46051</v>
      </c>
      <c r="AG43" s="4">
        <f>'2026.01'!$B$26*-1</f>
        <v>-20</v>
      </c>
    </row>
    <row r="44" spans="1:33" x14ac:dyDescent="0.25">
      <c r="A44" s="38">
        <f>'2024.09'!Q2</f>
        <v>2024.09</v>
      </c>
      <c r="B44" s="4">
        <f>'2024.09'!B29</f>
        <v>0</v>
      </c>
      <c r="C44" s="4">
        <f>'2024.09'!C29</f>
        <v>0</v>
      </c>
      <c r="D44" s="4">
        <f t="shared" si="4"/>
        <v>189</v>
      </c>
      <c r="E44" s="34">
        <f>'2024.09'!F29</f>
        <v>0</v>
      </c>
      <c r="F44" s="6">
        <f t="shared" si="2"/>
        <v>1.4054</v>
      </c>
      <c r="G44" s="6">
        <v>143.9821</v>
      </c>
      <c r="H44" s="4">
        <f t="shared" si="88"/>
        <v>202.35</v>
      </c>
      <c r="I44" s="4">
        <f t="shared" si="89"/>
        <v>13.35</v>
      </c>
      <c r="J44" s="18">
        <f t="shared" si="90"/>
        <v>7.0599999999999996E-2</v>
      </c>
      <c r="K44" s="4">
        <f>'2024.09'!D29</f>
        <v>0</v>
      </c>
      <c r="L44" s="4">
        <f>'2024.09'!J29</f>
        <v>0</v>
      </c>
      <c r="M44" s="4">
        <f>'2024.09'!O29</f>
        <v>0</v>
      </c>
      <c r="AC44" s="4">
        <f>'2024.09'!$C$29</f>
        <v>0</v>
      </c>
      <c r="AD44" s="4" t="str">
        <f>'2024.09'!$E$29</f>
        <v>0.00</v>
      </c>
      <c r="AE44" s="7">
        <f>'2024.09'!$F$29</f>
        <v>0</v>
      </c>
      <c r="AF44" s="49">
        <f>'2026.03'!$A$25</f>
        <v>46084</v>
      </c>
      <c r="AG44" s="4">
        <f>'2026.03'!$B$25*-1</f>
        <v>-20</v>
      </c>
    </row>
    <row r="45" spans="1:33" x14ac:dyDescent="0.25">
      <c r="A45" s="38">
        <f>'2024.10'!Q2</f>
        <v>2024.1</v>
      </c>
      <c r="B45" s="4">
        <f>'2024.10'!B29</f>
        <v>20</v>
      </c>
      <c r="C45" s="4">
        <f>'2024.10'!C29</f>
        <v>20</v>
      </c>
      <c r="D45" s="4">
        <f t="shared" si="4"/>
        <v>209</v>
      </c>
      <c r="E45" s="34">
        <f>'2024.10'!F29</f>
        <v>0.13830000000000001</v>
      </c>
      <c r="F45" s="6">
        <f t="shared" si="2"/>
        <v>1.5437000000000001</v>
      </c>
      <c r="G45" s="6">
        <v>143.83170000000001</v>
      </c>
      <c r="H45" s="4">
        <f t="shared" si="88"/>
        <v>222.03</v>
      </c>
      <c r="I45" s="4">
        <f t="shared" si="89"/>
        <v>13.03</v>
      </c>
      <c r="J45" s="18">
        <f t="shared" si="90"/>
        <v>6.2300000000000001E-2</v>
      </c>
      <c r="K45" s="4">
        <f>'2024.10'!D29</f>
        <v>0</v>
      </c>
      <c r="L45" s="4">
        <f>'2024.10'!J29</f>
        <v>0</v>
      </c>
      <c r="M45" s="4">
        <f>'2024.10'!O29</f>
        <v>0</v>
      </c>
      <c r="AC45" s="4">
        <f>'2024.10'!$C$29</f>
        <v>20</v>
      </c>
      <c r="AD45" s="4">
        <f>'2024.10'!$E$29</f>
        <v>144.61000000000001</v>
      </c>
      <c r="AE45" s="7">
        <f>'2024.10'!$F$29</f>
        <v>0.13800000000000001</v>
      </c>
      <c r="AF45" s="49">
        <f>'2026.03'!$A$26</f>
        <v>46112</v>
      </c>
      <c r="AG45" s="4">
        <f>'2026.03'!$B$26*-1</f>
        <v>-20</v>
      </c>
    </row>
    <row r="46" spans="1:33" x14ac:dyDescent="0.25">
      <c r="A46" s="38">
        <f>'2024.11'!Q2</f>
        <v>2024.11</v>
      </c>
      <c r="B46" s="4">
        <f>'2024.11'!B29</f>
        <v>10</v>
      </c>
      <c r="C46" s="4">
        <f>'2024.11'!C29</f>
        <v>10</v>
      </c>
      <c r="D46" s="4">
        <f t="shared" si="4"/>
        <v>219</v>
      </c>
      <c r="E46" s="34">
        <f>'2024.11'!F29</f>
        <v>6.8400000000000002E-2</v>
      </c>
      <c r="F46" s="6">
        <f t="shared" si="2"/>
        <v>1.6121000000000001</v>
      </c>
      <c r="G46" s="6">
        <v>146.41059999999999</v>
      </c>
      <c r="H46" s="4">
        <f t="shared" si="88"/>
        <v>236.03</v>
      </c>
      <c r="I46" s="4">
        <f t="shared" si="89"/>
        <v>17.03</v>
      </c>
      <c r="J46" s="18">
        <f t="shared" si="90"/>
        <v>7.7799999999999994E-2</v>
      </c>
      <c r="K46" s="4">
        <f>'2024.11'!D29</f>
        <v>0</v>
      </c>
      <c r="L46" s="4">
        <f>'2024.11'!J29</f>
        <v>0</v>
      </c>
      <c r="M46" s="4">
        <f>'2024.11'!O29</f>
        <v>0</v>
      </c>
      <c r="AC46" s="4">
        <f>'2024.11'!$C$29</f>
        <v>10</v>
      </c>
      <c r="AD46" s="4">
        <f>'2024.11'!$E$29</f>
        <v>146.19999999999999</v>
      </c>
      <c r="AE46" s="7">
        <f>'2024.11'!$F$29</f>
        <v>6.8000000000000005E-2</v>
      </c>
      <c r="AF46" s="49">
        <f>'2026.04'!$A$25</f>
        <v>46142</v>
      </c>
      <c r="AG46" s="4">
        <f>'2026.04'!$B$25*-1</f>
        <v>-20</v>
      </c>
    </row>
    <row r="47" spans="1:33" x14ac:dyDescent="0.25">
      <c r="A47" s="38">
        <f>'2024.12'!Q2</f>
        <v>2024.12</v>
      </c>
      <c r="B47" s="4">
        <f>'2024.12'!B29</f>
        <v>0</v>
      </c>
      <c r="C47" s="4">
        <f>'2024.12'!C29</f>
        <v>0</v>
      </c>
      <c r="D47" s="4">
        <f t="shared" si="4"/>
        <v>219</v>
      </c>
      <c r="E47" s="34">
        <f>'2024.12'!F29</f>
        <v>0</v>
      </c>
      <c r="F47" s="6">
        <f t="shared" si="2"/>
        <v>1.6121000000000001</v>
      </c>
      <c r="G47" s="6">
        <v>145.78210000000001</v>
      </c>
      <c r="H47" s="4">
        <f t="shared" si="88"/>
        <v>235.02</v>
      </c>
      <c r="I47" s="4">
        <f t="shared" si="89"/>
        <v>16.02</v>
      </c>
      <c r="J47" s="18">
        <f t="shared" si="90"/>
        <v>7.3200000000000001E-2</v>
      </c>
      <c r="K47" s="4">
        <f>'2024.12'!D29</f>
        <v>0</v>
      </c>
      <c r="L47" s="4">
        <f>'2024.12'!J29</f>
        <v>0</v>
      </c>
      <c r="M47" s="4">
        <f>'2024.12'!O29</f>
        <v>0</v>
      </c>
      <c r="AC47" s="4">
        <f>'2024.12'!$C$29</f>
        <v>0</v>
      </c>
      <c r="AD47" s="4" t="str">
        <f>'2024.12'!$E$29</f>
        <v>0.00</v>
      </c>
      <c r="AE47" s="7">
        <f>'2024.12'!$F$29</f>
        <v>0</v>
      </c>
      <c r="AF47" s="49">
        <f>'2026.05'!$A$25</f>
        <v>46171</v>
      </c>
      <c r="AG47" s="4">
        <f>'2026.05'!$B$25*-1</f>
        <v>-20</v>
      </c>
    </row>
    <row r="48" spans="1:33" x14ac:dyDescent="0.25">
      <c r="A48" s="38">
        <f>'2025.01'!Q2</f>
        <v>2025.01</v>
      </c>
      <c r="B48" s="4">
        <f>'2025.01'!B29</f>
        <v>20</v>
      </c>
      <c r="C48" s="4">
        <f>'2025.01'!C29</f>
        <v>20</v>
      </c>
      <c r="D48" s="4">
        <f t="shared" si="4"/>
        <v>239</v>
      </c>
      <c r="E48" s="34">
        <f>'2025.01'!F29</f>
        <v>0.13550000000000001</v>
      </c>
      <c r="F48" s="6">
        <f t="shared" si="2"/>
        <v>1.7476</v>
      </c>
      <c r="G48" s="6">
        <v>151.0874</v>
      </c>
      <c r="H48" s="4">
        <f t="shared" si="88"/>
        <v>264.04000000000002</v>
      </c>
      <c r="I48" s="4">
        <f t="shared" si="89"/>
        <v>25.04</v>
      </c>
      <c r="J48" s="18">
        <f t="shared" si="90"/>
        <v>0.1048</v>
      </c>
      <c r="K48" s="4">
        <f>'2025.01'!D29</f>
        <v>0</v>
      </c>
      <c r="L48" s="4">
        <f>'2025.01'!J29</f>
        <v>0</v>
      </c>
      <c r="M48" s="4">
        <f>'2025.01'!O29</f>
        <v>0</v>
      </c>
      <c r="AC48" s="4">
        <f>'2025.01'!$C$29</f>
        <v>20</v>
      </c>
      <c r="AD48" s="4">
        <f>'2025.01'!$E$29</f>
        <v>147.6</v>
      </c>
      <c r="AE48" s="7">
        <f>'2025.01'!$F$29</f>
        <v>0.13600000000000001</v>
      </c>
      <c r="AF48" s="49"/>
      <c r="AG48" s="4"/>
    </row>
    <row r="49" spans="1:33" x14ac:dyDescent="0.25">
      <c r="A49" s="38">
        <f>'2025.02'!Q2</f>
        <v>2025.02</v>
      </c>
      <c r="B49" s="4">
        <f>'2025.02'!B29</f>
        <v>0</v>
      </c>
      <c r="C49" s="4">
        <f>'2025.02'!C29</f>
        <v>0</v>
      </c>
      <c r="D49" s="4">
        <f t="shared" si="4"/>
        <v>239</v>
      </c>
      <c r="E49" s="34">
        <f>'2025.02'!F29</f>
        <v>0</v>
      </c>
      <c r="F49" s="6">
        <f t="shared" si="2"/>
        <v>1.7476</v>
      </c>
      <c r="G49" s="6">
        <v>153.11670000000001</v>
      </c>
      <c r="H49" s="4">
        <f t="shared" si="88"/>
        <v>267.58999999999997</v>
      </c>
      <c r="I49" s="4">
        <f t="shared" si="89"/>
        <v>28.59</v>
      </c>
      <c r="J49" s="18">
        <f t="shared" si="90"/>
        <v>0.1196</v>
      </c>
      <c r="K49" s="4">
        <f>'2025.02'!D29</f>
        <v>0</v>
      </c>
      <c r="L49" s="4">
        <f>'2025.02'!J29</f>
        <v>0</v>
      </c>
      <c r="M49" s="4">
        <f>'2025.02'!O29</f>
        <v>0</v>
      </c>
      <c r="AC49" s="4">
        <f>'2025.02'!$C$29</f>
        <v>0</v>
      </c>
      <c r="AD49" s="4" t="str">
        <f>'2025.02'!$E$29</f>
        <v>0.00</v>
      </c>
      <c r="AE49" s="7">
        <f>'2025.02'!$F$29</f>
        <v>0</v>
      </c>
      <c r="AF49" s="49"/>
      <c r="AG49" s="4"/>
    </row>
    <row r="50" spans="1:33" x14ac:dyDescent="0.25">
      <c r="A50" s="38">
        <f>'2025.03'!Q2</f>
        <v>2025.03</v>
      </c>
      <c r="B50" s="4">
        <f>'2025.03'!B29</f>
        <v>25</v>
      </c>
      <c r="C50" s="4">
        <f>'2025.03'!C29</f>
        <v>25</v>
      </c>
      <c r="D50" s="4">
        <f t="shared" si="4"/>
        <v>264</v>
      </c>
      <c r="E50" s="34">
        <f>'2025.03'!F29</f>
        <v>0.16750000000000001</v>
      </c>
      <c r="F50" s="6">
        <f t="shared" si="2"/>
        <v>1.9151</v>
      </c>
      <c r="G50" s="6">
        <v>145.18530000000001</v>
      </c>
      <c r="H50" s="4">
        <f t="shared" si="88"/>
        <v>278.04000000000002</v>
      </c>
      <c r="I50" s="4">
        <f t="shared" si="89"/>
        <v>14.04</v>
      </c>
      <c r="J50" s="18">
        <f t="shared" si="90"/>
        <v>5.3199999999999997E-2</v>
      </c>
      <c r="K50" s="4">
        <f>'2025.03'!D29</f>
        <v>0</v>
      </c>
      <c r="L50" s="4">
        <f>'2025.03'!J29</f>
        <v>0</v>
      </c>
      <c r="M50" s="4">
        <f>'2025.03'!O29</f>
        <v>0</v>
      </c>
      <c r="AC50" s="4">
        <f>'2025.03'!$C$29</f>
        <v>25</v>
      </c>
      <c r="AD50" s="4">
        <f>'2025.03'!$E$29</f>
        <v>149.25</v>
      </c>
      <c r="AE50" s="7">
        <f>'2025.03'!$F$29</f>
        <v>0.16800000000000001</v>
      </c>
      <c r="AF50" s="49"/>
      <c r="AG50" s="4"/>
    </row>
    <row r="51" spans="1:33" x14ac:dyDescent="0.25">
      <c r="A51" s="38">
        <f>'2025.04'!Q2</f>
        <v>2025.04</v>
      </c>
      <c r="B51" s="4">
        <f>'2025.04'!B29</f>
        <v>0</v>
      </c>
      <c r="C51" s="4">
        <f>'2025.04'!C29</f>
        <v>0</v>
      </c>
      <c r="D51" s="4">
        <f t="shared" si="4"/>
        <v>264</v>
      </c>
      <c r="E51" s="34">
        <f>'2025.04'!F29</f>
        <v>0</v>
      </c>
      <c r="F51" s="6">
        <f t="shared" si="2"/>
        <v>1.9151</v>
      </c>
      <c r="G51" s="6">
        <v>139.227</v>
      </c>
      <c r="H51" s="4">
        <f t="shared" si="88"/>
        <v>266.63</v>
      </c>
      <c r="I51" s="4">
        <f t="shared" si="89"/>
        <v>2.63</v>
      </c>
      <c r="J51" s="18">
        <f t="shared" si="90"/>
        <v>0.01</v>
      </c>
      <c r="K51" s="4">
        <f>'2025.04'!D29</f>
        <v>0</v>
      </c>
      <c r="L51" s="4">
        <f>'2025.04'!J29</f>
        <v>0</v>
      </c>
      <c r="M51" s="4">
        <f>'2025.04'!O29</f>
        <v>0</v>
      </c>
      <c r="AC51" s="4">
        <f>'2025.04'!$C$29</f>
        <v>0</v>
      </c>
      <c r="AD51" s="4" t="str">
        <f>'2025.04'!$E$29</f>
        <v>0.00</v>
      </c>
      <c r="AE51" s="7">
        <f>'2025.04'!$F$29</f>
        <v>0</v>
      </c>
      <c r="AF51" s="49"/>
      <c r="AG51" s="4"/>
    </row>
    <row r="52" spans="1:33" x14ac:dyDescent="0.25">
      <c r="A52" s="38">
        <f>'2025.05'!Q2</f>
        <v>2025.05</v>
      </c>
      <c r="B52" s="4">
        <f>'2025.05'!B29</f>
        <v>30</v>
      </c>
      <c r="C52" s="4">
        <f>'2025.05'!C29</f>
        <v>30</v>
      </c>
      <c r="D52" s="4">
        <f t="shared" si="4"/>
        <v>294</v>
      </c>
      <c r="E52" s="34">
        <f>'2025.05'!F29</f>
        <v>0.2099</v>
      </c>
      <c r="F52" s="6">
        <f t="shared" si="2"/>
        <v>2.125</v>
      </c>
      <c r="G52" s="6">
        <v>147.3631</v>
      </c>
      <c r="H52" s="4">
        <f t="shared" si="88"/>
        <v>313.14999999999998</v>
      </c>
      <c r="I52" s="4">
        <f t="shared" si="89"/>
        <v>19.149999999999999</v>
      </c>
      <c r="J52" s="18">
        <f t="shared" si="90"/>
        <v>6.5100000000000005E-2</v>
      </c>
      <c r="K52" s="4">
        <f>'2025.05'!D29</f>
        <v>0</v>
      </c>
      <c r="L52" s="4">
        <f>'2025.05'!J29</f>
        <v>0</v>
      </c>
      <c r="M52" s="4">
        <f>'2025.05'!O29</f>
        <v>0</v>
      </c>
      <c r="AC52" s="4">
        <f>'2025.05'!$C$29</f>
        <v>30</v>
      </c>
      <c r="AD52" s="4">
        <f>'2025.05'!$E$29</f>
        <v>142.93</v>
      </c>
      <c r="AE52" s="7">
        <f>'2025.05'!$F$29</f>
        <v>0.21</v>
      </c>
      <c r="AF52" s="49"/>
      <c r="AG52" s="4"/>
    </row>
    <row r="53" spans="1:33" x14ac:dyDescent="0.25">
      <c r="A53" s="38">
        <f>'2025.06'!Q2</f>
        <v>2025.06</v>
      </c>
      <c r="B53" s="4">
        <f>'2025.06'!B29</f>
        <v>0</v>
      </c>
      <c r="C53" s="4">
        <f>'2025.06'!C29</f>
        <v>0</v>
      </c>
      <c r="D53" s="4">
        <f t="shared" si="4"/>
        <v>294</v>
      </c>
      <c r="E53" s="34">
        <f>'2025.06'!F29</f>
        <v>0</v>
      </c>
      <c r="F53" s="6">
        <f t="shared" si="2"/>
        <v>2.125</v>
      </c>
      <c r="G53" s="6">
        <v>145.2723</v>
      </c>
      <c r="H53" s="4">
        <f t="shared" si="88"/>
        <v>308.7</v>
      </c>
      <c r="I53" s="4">
        <f t="shared" si="89"/>
        <v>14.7</v>
      </c>
      <c r="J53" s="18">
        <f t="shared" si="90"/>
        <v>0.05</v>
      </c>
      <c r="K53" s="4">
        <f>'2025.06'!D29</f>
        <v>0</v>
      </c>
      <c r="L53" s="4">
        <f>'2025.06'!J29</f>
        <v>0</v>
      </c>
      <c r="M53" s="4">
        <f>'2025.06'!O29</f>
        <v>0</v>
      </c>
      <c r="AC53" s="4">
        <f>'2025.06'!$C$29</f>
        <v>0</v>
      </c>
      <c r="AD53" s="4" t="str">
        <f>'2025.06'!$E$29</f>
        <v>0.00</v>
      </c>
      <c r="AE53" s="7">
        <f>'2025.06'!$F$29</f>
        <v>0</v>
      </c>
      <c r="AF53" s="49"/>
      <c r="AG53" s="4"/>
    </row>
    <row r="54" spans="1:33" x14ac:dyDescent="0.25">
      <c r="A54" s="38">
        <f>'2025.07'!Q2</f>
        <v>2025.07</v>
      </c>
      <c r="B54" s="4">
        <f>'2025.07'!B29</f>
        <v>40</v>
      </c>
      <c r="C54" s="4">
        <f>'2025.07'!C29</f>
        <v>40</v>
      </c>
      <c r="D54" s="4">
        <f t="shared" si="4"/>
        <v>334</v>
      </c>
      <c r="E54" s="34">
        <f>'2025.07'!F29</f>
        <v>0.26960000000000001</v>
      </c>
      <c r="F54" s="6">
        <f t="shared" si="2"/>
        <v>2.3946000000000001</v>
      </c>
      <c r="G54" s="6">
        <v>149.98169999999999</v>
      </c>
      <c r="H54" s="4">
        <f t="shared" si="88"/>
        <v>359.15</v>
      </c>
      <c r="I54" s="4">
        <f t="shared" si="89"/>
        <v>25.15</v>
      </c>
      <c r="J54" s="18">
        <f t="shared" si="90"/>
        <v>7.5300000000000006E-2</v>
      </c>
      <c r="K54" s="4">
        <f>'2025.07'!D29</f>
        <v>0</v>
      </c>
      <c r="L54" s="4">
        <f>'2025.07'!J29</f>
        <v>0</v>
      </c>
      <c r="M54" s="4">
        <f>'2025.07'!O29</f>
        <v>0</v>
      </c>
      <c r="AC54" s="4">
        <f>'2025.07'!$C$29</f>
        <v>40</v>
      </c>
      <c r="AD54" s="4">
        <f>'2025.07'!$E$29</f>
        <v>148.37</v>
      </c>
      <c r="AE54" s="7">
        <f>'2025.07'!$F$29</f>
        <v>0.27</v>
      </c>
      <c r="AF54" s="49"/>
      <c r="AG54" s="4"/>
    </row>
    <row r="55" spans="1:33" x14ac:dyDescent="0.25">
      <c r="A55" s="38">
        <f>'2025.08'!Q2</f>
        <v>2025.08</v>
      </c>
      <c r="B55" s="4">
        <f>'2025.08'!B29</f>
        <v>20</v>
      </c>
      <c r="C55" s="4">
        <f>'2025.08'!C29</f>
        <v>20</v>
      </c>
      <c r="D55" s="4">
        <f t="shared" si="4"/>
        <v>354</v>
      </c>
      <c r="E55" s="34">
        <f>'2025.08'!F29</f>
        <v>0.1331</v>
      </c>
      <c r="F55" s="6">
        <f t="shared" si="2"/>
        <v>2.5276999999999998</v>
      </c>
      <c r="G55" s="6">
        <v>150.3124</v>
      </c>
      <c r="H55" s="4">
        <f t="shared" si="88"/>
        <v>379.94</v>
      </c>
      <c r="I55" s="4">
        <f t="shared" si="89"/>
        <v>25.94</v>
      </c>
      <c r="J55" s="18">
        <f t="shared" si="90"/>
        <v>7.3300000000000004E-2</v>
      </c>
      <c r="K55" s="4">
        <f>'2025.08'!D29</f>
        <v>0</v>
      </c>
      <c r="L55" s="4">
        <f>'2025.08'!J29</f>
        <v>0</v>
      </c>
      <c r="M55" s="4">
        <f>'2025.08'!O29</f>
        <v>0</v>
      </c>
      <c r="AC55" s="4">
        <f>'2025.08'!$C$29</f>
        <v>20</v>
      </c>
      <c r="AD55" s="4">
        <f>'2025.08'!$E$29</f>
        <v>150.26</v>
      </c>
      <c r="AE55" s="7">
        <f>'2025.08'!$F$29</f>
        <v>0.13300000000000001</v>
      </c>
      <c r="AF55" s="49"/>
      <c r="AG55" s="4"/>
    </row>
    <row r="56" spans="1:33" x14ac:dyDescent="0.25">
      <c r="A56" s="38">
        <f>'2025.09'!Q2</f>
        <v>2025.09</v>
      </c>
      <c r="B56" s="4">
        <f>'2025.09'!B29</f>
        <v>0</v>
      </c>
      <c r="C56" s="4">
        <f>'2025.09'!C29</f>
        <v>0</v>
      </c>
      <c r="D56" s="4">
        <f t="shared" si="4"/>
        <v>354</v>
      </c>
      <c r="E56" s="34">
        <f>'2025.09'!F29</f>
        <v>0</v>
      </c>
      <c r="F56" s="6">
        <f t="shared" si="2"/>
        <v>2.5276999999999998</v>
      </c>
      <c r="G56" s="6">
        <v>150.5197</v>
      </c>
      <c r="H56" s="4">
        <f t="shared" si="88"/>
        <v>380.47</v>
      </c>
      <c r="I56" s="4">
        <f t="shared" si="89"/>
        <v>26.47</v>
      </c>
      <c r="J56" s="18">
        <f t="shared" si="90"/>
        <v>7.4800000000000005E-2</v>
      </c>
      <c r="K56" s="4">
        <f>'2025.09'!D29</f>
        <v>0</v>
      </c>
      <c r="L56" s="4">
        <f>'2025.09'!J29</f>
        <v>0</v>
      </c>
      <c r="M56" s="4">
        <f>'2025.09'!O29</f>
        <v>0</v>
      </c>
      <c r="AC56" s="4">
        <f>'2025.09'!$C$29</f>
        <v>0</v>
      </c>
      <c r="AD56" s="4" t="str">
        <f>'2025.09'!$E$29</f>
        <v>0.00</v>
      </c>
      <c r="AE56" s="7">
        <f>'2025.09'!$F$29</f>
        <v>0</v>
      </c>
      <c r="AF56" s="49"/>
      <c r="AG56" s="4"/>
    </row>
    <row r="57" spans="1:33" x14ac:dyDescent="0.25">
      <c r="A57" s="38">
        <f>'2025.10'!Q2</f>
        <v>2025.1</v>
      </c>
      <c r="B57" s="4">
        <f>'2025.10'!B29</f>
        <v>40</v>
      </c>
      <c r="C57" s="4">
        <f>'2025.10'!C29</f>
        <v>40</v>
      </c>
      <c r="D57" s="4">
        <f t="shared" si="4"/>
        <v>394</v>
      </c>
      <c r="E57" s="34">
        <f>'2025.10'!F29</f>
        <v>0.26</v>
      </c>
      <c r="F57" s="6">
        <f t="shared" si="2"/>
        <v>2.7877000000000001</v>
      </c>
      <c r="G57" s="6">
        <v>157.33410000000001</v>
      </c>
      <c r="H57" s="4">
        <f t="shared" si="88"/>
        <v>438.6</v>
      </c>
      <c r="I57" s="4">
        <f t="shared" si="89"/>
        <v>44.6</v>
      </c>
      <c r="J57" s="18">
        <f t="shared" si="90"/>
        <v>0.1132</v>
      </c>
      <c r="K57" s="4">
        <f>'2025.10'!D29</f>
        <v>0</v>
      </c>
      <c r="L57" s="4">
        <f>'2025.10'!J29</f>
        <v>0</v>
      </c>
      <c r="M57" s="4">
        <f>'2025.10'!O29</f>
        <v>0</v>
      </c>
      <c r="AC57" s="4">
        <f>'2025.10'!$C$29</f>
        <v>40</v>
      </c>
      <c r="AD57" s="4">
        <f>'2025.10'!$E$29</f>
        <v>153.85</v>
      </c>
      <c r="AE57" s="7">
        <f>'2025.10'!$F$29</f>
        <v>0.26</v>
      </c>
      <c r="AF57" s="49"/>
      <c r="AG57" s="4"/>
    </row>
    <row r="58" spans="1:33" x14ac:dyDescent="0.25">
      <c r="A58" s="38">
        <f>'2025.11'!Q2</f>
        <v>2025.11</v>
      </c>
      <c r="B58" s="4">
        <f>'2025.11'!B29</f>
        <v>0</v>
      </c>
      <c r="C58" s="4">
        <f>'2025.11'!C29</f>
        <v>0</v>
      </c>
      <c r="D58" s="4">
        <f t="shared" ref="D58" si="91">D57+B58</f>
        <v>394</v>
      </c>
      <c r="E58" s="34">
        <f>'2025.11'!F29</f>
        <v>0</v>
      </c>
      <c r="F58" s="6">
        <f t="shared" ref="F58" si="92">F57+E58</f>
        <v>2.7877000000000001</v>
      </c>
      <c r="G58" s="6">
        <v>155.81139999999999</v>
      </c>
      <c r="H58" s="4">
        <f t="shared" ref="H58" si="93">F58*G58</f>
        <v>434.36</v>
      </c>
      <c r="I58" s="4">
        <f t="shared" ref="I58" si="94">H58-D58</f>
        <v>40.36</v>
      </c>
      <c r="J58" s="18">
        <f t="shared" ref="J58" si="95">(H58-D58)/D58</f>
        <v>0.1024</v>
      </c>
      <c r="K58" s="4">
        <f>'2025.11'!D29</f>
        <v>0</v>
      </c>
      <c r="L58" s="4">
        <f>'2025.11'!J29</f>
        <v>0</v>
      </c>
      <c r="M58" s="4">
        <f>'2025.11'!O29</f>
        <v>0</v>
      </c>
      <c r="AC58" s="4">
        <f>'2025.11'!$C$29</f>
        <v>0</v>
      </c>
      <c r="AD58" s="4" t="str">
        <f>'2025.11'!$E$29</f>
        <v>0.00</v>
      </c>
      <c r="AE58" s="7">
        <f>'2025.11'!$F$29</f>
        <v>0</v>
      </c>
      <c r="AF58" s="49"/>
      <c r="AG58" s="4"/>
    </row>
    <row r="59" spans="1:33" x14ac:dyDescent="0.25">
      <c r="A59" s="38">
        <f>'2025.12'!Q2</f>
        <v>2025.12</v>
      </c>
      <c r="B59" s="4">
        <f>'2025.12'!B29</f>
        <v>20</v>
      </c>
      <c r="C59" s="4">
        <f>'2025.12'!C29</f>
        <v>20</v>
      </c>
      <c r="D59" s="4">
        <f t="shared" ref="D59" si="96">D58+B59</f>
        <v>414</v>
      </c>
      <c r="E59" s="34">
        <f>'2025.12'!F29</f>
        <v>0.12839999999999999</v>
      </c>
      <c r="F59" s="6">
        <f t="shared" ref="F59" si="97">F58+E59</f>
        <v>2.9161000000000001</v>
      </c>
      <c r="G59" s="6">
        <v>158.54560000000001</v>
      </c>
      <c r="H59" s="4">
        <f t="shared" ref="H59" si="98">F59*G59</f>
        <v>462.33</v>
      </c>
      <c r="I59" s="4">
        <f t="shared" ref="I59" si="99">H59-D59</f>
        <v>48.33</v>
      </c>
      <c r="J59" s="18">
        <f t="shared" ref="J59" si="100">(H59-D59)/D59</f>
        <v>0.1167</v>
      </c>
      <c r="K59" s="4">
        <f>'2025.12'!D29</f>
        <v>0</v>
      </c>
      <c r="L59" s="4">
        <f>'2025.12'!J29</f>
        <v>0</v>
      </c>
      <c r="M59" s="4">
        <f>'2025.12'!O29</f>
        <v>0</v>
      </c>
      <c r="AC59" s="4">
        <f>'2025.12'!$C$29</f>
        <v>20</v>
      </c>
      <c r="AD59" s="4">
        <f>'2025.12'!$E$29</f>
        <v>155.76</v>
      </c>
      <c r="AE59" s="7">
        <f>'2025.12'!$F$29</f>
        <v>0.128</v>
      </c>
      <c r="AF59" s="49"/>
      <c r="AG59" s="4"/>
    </row>
    <row r="60" spans="1:33" x14ac:dyDescent="0.25">
      <c r="A60" s="38">
        <f>'2026.01'!Q2</f>
        <v>2026.01</v>
      </c>
      <c r="B60" s="4">
        <f>'2026.01'!B29</f>
        <v>40</v>
      </c>
      <c r="C60" s="4">
        <f>'2026.01'!C29</f>
        <v>40</v>
      </c>
      <c r="D60" s="4">
        <f t="shared" ref="D60" si="101">D59+B60</f>
        <v>454</v>
      </c>
      <c r="E60" s="34">
        <f>'2026.01'!F29</f>
        <v>0.2482</v>
      </c>
      <c r="F60" s="6">
        <f t="shared" ref="F60" si="102">F59+E60</f>
        <v>3.1642999999999999</v>
      </c>
      <c r="G60" s="6">
        <v>162.77199999999999</v>
      </c>
      <c r="H60" s="4">
        <f t="shared" ref="H60" si="103">F60*G60</f>
        <v>515.05999999999995</v>
      </c>
      <c r="I60" s="4">
        <f t="shared" ref="I60" si="104">H60-D60</f>
        <v>61.06</v>
      </c>
      <c r="J60" s="18">
        <f t="shared" ref="J60" si="105">(H60-D60)/D60</f>
        <v>0.13450000000000001</v>
      </c>
      <c r="K60" s="4">
        <f>'2026.01'!D29</f>
        <v>0</v>
      </c>
      <c r="L60" s="4">
        <f>'2026.01'!J29</f>
        <v>0</v>
      </c>
      <c r="M60" s="4">
        <f>'2026.01'!O29</f>
        <v>0</v>
      </c>
      <c r="AC60" s="4">
        <f>'2026.01'!$C$29</f>
        <v>40</v>
      </c>
      <c r="AD60" s="4">
        <f>'2026.01'!$E$29</f>
        <v>161.16</v>
      </c>
      <c r="AE60" s="7">
        <f>'2026.01'!$F$29</f>
        <v>0.248</v>
      </c>
      <c r="AF60" s="49"/>
      <c r="AG60" s="4"/>
    </row>
    <row r="61" spans="1:33" x14ac:dyDescent="0.25">
      <c r="A61" s="38">
        <f>'2026.02'!Q2</f>
        <v>2026.02</v>
      </c>
      <c r="B61" s="4">
        <f>'2026.02'!B29</f>
        <v>0</v>
      </c>
      <c r="C61" s="4">
        <f>'2026.02'!C29</f>
        <v>0</v>
      </c>
      <c r="D61" s="4">
        <f t="shared" ref="D61" si="106">D60+B61</f>
        <v>454</v>
      </c>
      <c r="E61" s="34">
        <f>'2026.02'!F29</f>
        <v>0</v>
      </c>
      <c r="F61" s="6">
        <f t="shared" ref="F61" si="107">F60+E61</f>
        <v>3.1642999999999999</v>
      </c>
      <c r="G61" s="6">
        <v>164.98429999999999</v>
      </c>
      <c r="H61" s="4">
        <f t="shared" ref="H61" si="108">F61*G61</f>
        <v>522.05999999999995</v>
      </c>
      <c r="I61" s="4">
        <f t="shared" ref="I61" si="109">H61-D61</f>
        <v>68.06</v>
      </c>
      <c r="J61" s="18">
        <f t="shared" ref="J61" si="110">(H61-D61)/D61</f>
        <v>0.14990000000000001</v>
      </c>
      <c r="K61" s="4">
        <f>'2026.02'!D29</f>
        <v>0</v>
      </c>
      <c r="L61" s="4">
        <f>'2026.02'!J29</f>
        <v>0</v>
      </c>
      <c r="M61" s="4">
        <f>'2026.02'!O29</f>
        <v>0</v>
      </c>
      <c r="AC61" s="4">
        <f>'2026.02'!$C$29</f>
        <v>0</v>
      </c>
      <c r="AD61" s="4" t="str">
        <f>'2026.02'!$E$29</f>
        <v>0.00</v>
      </c>
      <c r="AE61" s="7">
        <f>'2026.02'!$F$29</f>
        <v>0</v>
      </c>
      <c r="AF61" s="49"/>
      <c r="AG61" s="4"/>
    </row>
    <row r="62" spans="1:33" x14ac:dyDescent="0.25">
      <c r="A62" s="38">
        <f>'2026.03'!Q2</f>
        <v>2026.03</v>
      </c>
      <c r="B62" s="4">
        <f>'2026.03'!B29</f>
        <v>40</v>
      </c>
      <c r="C62" s="4">
        <f>'2026.03'!C29</f>
        <v>40</v>
      </c>
      <c r="D62" s="4">
        <f t="shared" ref="D62" si="111">D61+B62</f>
        <v>494</v>
      </c>
      <c r="E62" s="34">
        <f>'2026.03'!F29</f>
        <v>0.2545</v>
      </c>
      <c r="F62" s="6">
        <f t="shared" ref="F62" si="112">F61+E62</f>
        <v>3.4188000000000001</v>
      </c>
      <c r="G62" s="6">
        <v>151.1097</v>
      </c>
      <c r="H62" s="4">
        <f t="shared" ref="H62" si="113">F62*G62</f>
        <v>516.61</v>
      </c>
      <c r="I62" s="4">
        <f t="shared" ref="I62" si="114">H62-D62</f>
        <v>22.61</v>
      </c>
      <c r="J62" s="18">
        <f t="shared" ref="J62" si="115">(H62-D62)/D62</f>
        <v>4.58E-2</v>
      </c>
      <c r="K62" s="4">
        <f>'2026.03'!D29</f>
        <v>0</v>
      </c>
      <c r="L62" s="4">
        <f>'2026.03'!J29</f>
        <v>0</v>
      </c>
      <c r="M62" s="4">
        <f>'2026.03'!O29</f>
        <v>0</v>
      </c>
      <c r="AC62" s="4">
        <f>'2026.03'!$C$29</f>
        <v>40</v>
      </c>
      <c r="AD62" s="4">
        <f>'2026.03'!$E$29</f>
        <v>157.16999999999999</v>
      </c>
      <c r="AE62" s="7">
        <f>'2026.03'!$F$29</f>
        <v>0.255</v>
      </c>
      <c r="AF62" s="49"/>
      <c r="AG62" s="4"/>
    </row>
    <row r="63" spans="1:33" x14ac:dyDescent="0.25">
      <c r="A63" s="38">
        <f>'2026.04'!Q2</f>
        <v>2026.04</v>
      </c>
      <c r="B63" s="4">
        <f>'2026.04'!$B$29</f>
        <v>20</v>
      </c>
      <c r="C63" s="4">
        <f>'2026.04'!$C$29</f>
        <v>20</v>
      </c>
      <c r="D63" s="4">
        <f t="shared" ref="D63:D64" si="116">D62+B63</f>
        <v>514</v>
      </c>
      <c r="E63" s="34">
        <f>'2026.04'!$F$29</f>
        <v>0.12280000000000001</v>
      </c>
      <c r="F63" s="6">
        <f t="shared" ref="F63:F64" si="117">F62+E63</f>
        <v>3.5415999999999999</v>
      </c>
      <c r="G63" s="6">
        <v>162.5891</v>
      </c>
      <c r="H63" s="4">
        <f t="shared" ref="H63" si="118">F63*G63</f>
        <v>575.83000000000004</v>
      </c>
      <c r="I63" s="4">
        <f t="shared" ref="I63" si="119">H63-D63</f>
        <v>61.83</v>
      </c>
      <c r="J63" s="18">
        <f t="shared" ref="J63" si="120">(H63-D63)/D63</f>
        <v>0.1203</v>
      </c>
      <c r="K63" s="4">
        <f>'2026.04'!$D$29</f>
        <v>0</v>
      </c>
      <c r="L63" s="4">
        <f>'2026.04'!$J$29</f>
        <v>0</v>
      </c>
      <c r="M63" s="4">
        <f>'2026.04'!$O$29</f>
        <v>0</v>
      </c>
      <c r="AC63" s="4">
        <f>'2026.04'!$C$29</f>
        <v>20</v>
      </c>
      <c r="AD63" s="4">
        <f>'2026.04'!$E$29</f>
        <v>162.87</v>
      </c>
      <c r="AE63" s="7">
        <f>'2026.04'!$F$29</f>
        <v>0.123</v>
      </c>
      <c r="AF63" s="49"/>
      <c r="AG63" s="4"/>
    </row>
    <row r="64" spans="1:33" x14ac:dyDescent="0.25">
      <c r="A64" s="38">
        <f>'2026.05'!$Q$2</f>
        <v>2026.05</v>
      </c>
      <c r="B64" s="4">
        <f>'2026.05'!$B$29</f>
        <v>20</v>
      </c>
      <c r="C64" s="4">
        <f>'2026.05'!$C$29</f>
        <v>20</v>
      </c>
      <c r="D64" s="4">
        <f t="shared" si="116"/>
        <v>534</v>
      </c>
      <c r="E64" s="34">
        <f>'2026.05'!$F$29</f>
        <v>0.1167</v>
      </c>
      <c r="F64" s="6">
        <f t="shared" si="117"/>
        <v>3.6583000000000001</v>
      </c>
      <c r="G64" s="6">
        <v>170.3272</v>
      </c>
      <c r="H64" s="4">
        <f t="shared" ref="H64" si="121">F64*G64</f>
        <v>623.11</v>
      </c>
      <c r="I64" s="4">
        <f t="shared" ref="I64" si="122">H64-D64</f>
        <v>89.11</v>
      </c>
      <c r="J64" s="18">
        <f t="shared" ref="J64" si="123">(H64-D64)/D64</f>
        <v>0.16689999999999999</v>
      </c>
      <c r="K64" s="4">
        <f>'2026.05'!$D$29</f>
        <v>0</v>
      </c>
      <c r="L64" s="4">
        <f>'2026.05'!$J$29</f>
        <v>0</v>
      </c>
      <c r="M64" s="4">
        <f>'2026.05'!$O$29</f>
        <v>0</v>
      </c>
      <c r="AC64" s="4">
        <f>'2026.05'!$C$29</f>
        <v>20</v>
      </c>
      <c r="AD64" s="4">
        <f>'2026.05'!$E$29</f>
        <v>171.38</v>
      </c>
      <c r="AE64" s="7">
        <f>'2026.05'!$F$29</f>
        <v>0.11700000000000001</v>
      </c>
      <c r="AF64" s="49"/>
      <c r="AG64" s="4"/>
    </row>
    <row r="65" spans="1:33" x14ac:dyDescent="0.25">
      <c r="A65" s="44">
        <f>'2026.06'!$Q$2</f>
        <v>2026.06</v>
      </c>
      <c r="B65" s="16">
        <f>'2026.06'!$B$29</f>
        <v>0</v>
      </c>
      <c r="C65" s="16">
        <f>'2026.06'!$C$29</f>
        <v>0</v>
      </c>
      <c r="D65" s="16">
        <f t="shared" ref="D65" si="124">D64+B65</f>
        <v>534</v>
      </c>
      <c r="E65" s="56">
        <f>'2026.06'!$F$29</f>
        <v>0</v>
      </c>
      <c r="F65" s="17">
        <f t="shared" ref="F65" si="125">F64+E65</f>
        <v>3.6583000000000001</v>
      </c>
      <c r="G65" s="17">
        <v>172.26050000000001</v>
      </c>
      <c r="H65" s="16">
        <f t="shared" ref="H65" si="126">F65*G65</f>
        <v>630.17999999999995</v>
      </c>
      <c r="I65" s="16">
        <f t="shared" ref="I65" si="127">H65-D65</f>
        <v>96.18</v>
      </c>
      <c r="J65" s="36">
        <f t="shared" ref="J65" si="128">(H65-D65)/D65</f>
        <v>0.18010000000000001</v>
      </c>
      <c r="K65" s="16">
        <f>'2026.05'!$D$29</f>
        <v>0</v>
      </c>
      <c r="L65" s="16">
        <f>'2026.05'!$J$29</f>
        <v>0</v>
      </c>
      <c r="M65" s="16">
        <f>'2026.05'!$O$29</f>
        <v>0</v>
      </c>
      <c r="AC65" s="4"/>
      <c r="AD65" s="4"/>
      <c r="AE65" s="7"/>
      <c r="AF65" s="49">
        <v>46252</v>
      </c>
      <c r="AG65" s="4">
        <f>R5</f>
        <v>630.17999999999995</v>
      </c>
    </row>
  </sheetData>
  <mergeCells count="18">
    <mergeCell ref="R3:R4"/>
    <mergeCell ref="A3:A4"/>
    <mergeCell ref="B3:D3"/>
    <mergeCell ref="E3:F3"/>
    <mergeCell ref="G3:J3"/>
    <mergeCell ref="K3:L3"/>
    <mergeCell ref="M3:M4"/>
    <mergeCell ref="O3:O4"/>
    <mergeCell ref="P3:P4"/>
    <mergeCell ref="Q3:Q4"/>
    <mergeCell ref="AF3:AG3"/>
    <mergeCell ref="S3:U3"/>
    <mergeCell ref="Y3:Y4"/>
    <mergeCell ref="AC3:AC4"/>
    <mergeCell ref="AD3:AD4"/>
    <mergeCell ref="AE3:AE4"/>
    <mergeCell ref="X3:X4"/>
    <mergeCell ref="V3:W3"/>
  </mergeCells>
  <hyperlinks>
    <hyperlink ref="A5" location="'2021.06'!A1" display="'2021.06'!A1" xr:uid="{71E8FEDD-CE20-4D7C-8F66-C59E746E194F}"/>
    <hyperlink ref="A6" location="'2021.07'!A1" display="'2021.07'!A1" xr:uid="{AF52E39E-5259-43F6-9005-67AC14175B77}"/>
    <hyperlink ref="A7" location="'2021.08'!A1" display="'2021.08'!A1" xr:uid="{9AA68DB7-4F55-48C5-8D30-F4A426E4C79F}"/>
    <hyperlink ref="A8" location="'2021.09'!A1" display="'2021.09'!A1" xr:uid="{00F82168-CD8A-4756-9893-82D118017C24}"/>
    <hyperlink ref="A9" location="'2021.10'!A1" display="'2021.10'!A1" xr:uid="{9AFBEB4F-BE74-4876-8E4E-9A60F0A83B85}"/>
    <hyperlink ref="A10" location="'2021.11'!A1" display="'2021.11'!A1" xr:uid="{A1A78B33-D4DB-4685-B062-7649F2E325EE}"/>
    <hyperlink ref="A11" location="'2021.12'!A1" display="'2021.12'!A1" xr:uid="{14374711-D92C-4312-8D44-F33D1B74A3EE}"/>
    <hyperlink ref="A12" location="'2022.01'!A1" display="'2022.01'!A1" xr:uid="{FC0CF344-CC0E-40AB-91F5-F4D2A713151F}"/>
    <hyperlink ref="A13" location="'2022.02'!A1" display="'2022.02'!A1" xr:uid="{E5B04FBF-B478-41B3-BDB1-AC3CDBBC838A}"/>
    <hyperlink ref="A14" location="'2022.03'!A1" display="'2022.03'!A1" xr:uid="{6D100476-6E17-4866-8915-285785A75EEC}"/>
    <hyperlink ref="A15" location="'2022.04'!A1" display="'2022.04'!A1" xr:uid="{9412C6DF-6FB9-4D68-AA7A-BCA5512600E0}"/>
    <hyperlink ref="A16" location="'2022.05'!A1" display="'2022.05'!A1" xr:uid="{3A31561A-579B-44FA-A762-A89F37512E2D}"/>
    <hyperlink ref="A17" location="'2022.06'!A1" display="'2022.06'!A1" xr:uid="{FF92694C-FB6A-4FAC-974A-31B08ABCE65C}"/>
    <hyperlink ref="A18" location="'2022.07'!A1" display="'2022.07'!A1" xr:uid="{52791EFE-ECA7-4CE5-B111-9E24762953EE}"/>
    <hyperlink ref="A19" location="'2022.08'!A1" display="'2022.08'!A1" xr:uid="{3C9FC17D-FB8E-4549-962D-1539411C69F3}"/>
    <hyperlink ref="A20" location="'2022.09'!A1" display="'2022.09'!A1" xr:uid="{8775E859-5C0C-4A1B-9BAF-28DA7126FE72}"/>
    <hyperlink ref="A21" location="'2022.10'!A1" display="'2022.10'!A1" xr:uid="{0DD9B4FE-BFC0-4CA2-949B-9DC28EE662F7}"/>
    <hyperlink ref="A22" location="'2022.11'!A1" display="'2022.11'!A1" xr:uid="{B29BFCFC-F5C9-480E-B780-D37DF980E2DD}"/>
    <hyperlink ref="A23" location="'2022.12'!A1" display="'2022.12'!A1" xr:uid="{75532EC5-90F0-4F13-A00C-FA66D72E062D}"/>
    <hyperlink ref="A24" location="'2023.01'!A1" display="'2023.01'!A1" xr:uid="{F8620B85-DEAA-4206-B52E-A106628B6D6C}"/>
    <hyperlink ref="A25" location="'2023.02'!A1" display="'2023.02'!A1" xr:uid="{27136002-1E1A-4FFA-A90A-E99FE578EA6B}"/>
    <hyperlink ref="A26" location="'2023.03'!A1" display="'2023.03'!A1" xr:uid="{50261005-E40A-4492-8673-F9E74CE8C176}"/>
    <hyperlink ref="A27" location="'2023.04'!A1" display="'2023.04'!A1" xr:uid="{5C39D5B6-E128-4ADB-8F3D-EDA30E5B2396}"/>
    <hyperlink ref="A28" location="'2023.05'!A1" display="'2023.05'!A1" xr:uid="{A07B9FDF-C878-4791-8441-61D9FDB09504}"/>
    <hyperlink ref="A29" location="'2023.06'!A1" display="'2023.06'!A1" xr:uid="{9A15A5BB-1E1B-4B8D-A969-CB425DCF0FA4}"/>
    <hyperlink ref="A30" location="'2023.07'!A1" display="'2023.07'!A1" xr:uid="{A240F4E1-8D76-4884-A408-F259E80C1DDE}"/>
    <hyperlink ref="A31" location="'2023.08'!A1" display="'2023.08'!A1" xr:uid="{DDE8600B-0ABD-447B-92E5-5D10F6F1736B}"/>
    <hyperlink ref="A32" location="'2023.09'!A1" display="'2023.09'!A1" xr:uid="{06B5474B-F65B-44F1-8BBE-9C08F1E6338A}"/>
    <hyperlink ref="A33" location="'2023.10'!A1" display="'2023.10'!A1" xr:uid="{B05587FA-F9AD-42E2-A1A8-9FE9D7B7C78D}"/>
    <hyperlink ref="A34" location="'2023.11'!A1" display="'2023.11'!A1" xr:uid="{2F53F912-24A9-4242-B841-3ECA227C6561}"/>
    <hyperlink ref="A35" location="'2023.12'!A1" display="'2023.12'!A1" xr:uid="{27BC5D23-DF85-4AB0-B0DD-3CDD8E6A5DAB}"/>
    <hyperlink ref="A36" location="'2024.01'!A1" display="'2024.01'!A1" xr:uid="{EAF7BA07-84A6-4DD5-967D-37C6A724BFD3}"/>
    <hyperlink ref="A37" location="'2024.02'!A1" display="'2024.02'!A1" xr:uid="{6346FA7E-5396-4220-A04F-EB8FD32720AF}"/>
    <hyperlink ref="A38" location="'2024.03'!A1" display="'2024.03'!A1" xr:uid="{4B379881-1867-4D40-A3A0-BAB30367F578}"/>
    <hyperlink ref="A39" location="'2024.04'!A1" display="'2024.04'!A1" xr:uid="{5ADF73A5-526E-40A4-8849-0B386DE281EF}"/>
    <hyperlink ref="A40" location="'2024.05'!A1" display="'2024.05'!A1" xr:uid="{E0F3B440-0A04-432D-A3C8-758FBF0E270B}"/>
    <hyperlink ref="A41" location="'2024.06'!A1" display="'2024.06'!A1" xr:uid="{504264CF-E2E5-448D-BA4B-5B38E5FC0CE2}"/>
    <hyperlink ref="A42" location="'2024.07'!A1" display="'2024.07'!A1" xr:uid="{346205A8-D56C-4ADC-B118-B2FB1E71B9EE}"/>
    <hyperlink ref="A43" location="'2024.08'!A1" display="'2024.08'!A1" xr:uid="{E1A4A4A7-7514-4716-AADF-5BC61734538C}"/>
    <hyperlink ref="A44" location="'2024.09'!A1" display="'2024.09'!A1" xr:uid="{250F2CAC-C8FA-4777-96CA-E3CC20281C1F}"/>
    <hyperlink ref="A45" location="'2024.10'!A1" display="'2024.10'!A1" xr:uid="{5C8071F6-4F59-43C8-884B-3153A7BC3AE2}"/>
    <hyperlink ref="A46" location="'2024.11'!A1" display="'2024.11'!A1" xr:uid="{3D09519E-493F-4887-9A50-80DC99523824}"/>
    <hyperlink ref="A47" location="'2024.12'!A1" display="'2024.12'!A1" xr:uid="{88B7C281-313A-42C9-B578-4A0D059FD370}"/>
    <hyperlink ref="A48" location="'2025.01'!A1" display="'2025.01'!A1" xr:uid="{640BABDA-7CB7-4CA6-9C2E-5CB1E364FBD9}"/>
    <hyperlink ref="A49" location="'2025.02'!A1" display="'2025.02'!A1" xr:uid="{F5EE4220-DE55-497A-A6AC-377C2941A224}"/>
    <hyperlink ref="A50" location="'2025.03'!A1" display="'2025.03'!A1" xr:uid="{C9338C93-6D1E-47DB-904D-ACB5DA4DDBA9}"/>
    <hyperlink ref="A51" location="'2025.04'!A1" display="'2025.04'!A1" xr:uid="{C662A406-8D92-4190-9701-1B8EB0E3A151}"/>
    <hyperlink ref="A52" location="'2025.05'!A1" display="'2025.05'!A1" xr:uid="{15E67F4A-6436-484B-8987-1A888C52C779}"/>
    <hyperlink ref="A53" location="'2025.06'!A1" display="'2025.06'!A1" xr:uid="{A0FBADD8-CD1D-4F37-AE09-189CBD437811}"/>
    <hyperlink ref="A54" location="'2025.07'!A1" display="'2025.07'!A1" xr:uid="{A27906C2-7DF5-4B8A-B711-33E3D241F2B4}"/>
    <hyperlink ref="A55" location="'2025.08'!A1" display="'2025.08'!A1" xr:uid="{41B03470-280F-4FA6-A3C3-31454A684A48}"/>
    <hyperlink ref="A56" location="'2025.09'!A1" display="'2025.09'!A1" xr:uid="{DDEFA7FD-9382-436C-B5CE-F199BD8158AE}"/>
    <hyperlink ref="A57" location="'2025.10'!A1" display="'2025.10'!A1" xr:uid="{AB1B29B3-1547-459B-9358-CFF169BC38AB}"/>
    <hyperlink ref="A58" location="'2025.11'!A1" display="'2025.11'!A1" xr:uid="{6BC8D138-5E1F-41E4-B3FE-4ED835C9955F}"/>
    <hyperlink ref="A59" location="'2025.12'!A1" display="'2025.12'!A1" xr:uid="{4E648E0A-1F81-4ABB-961E-5F5CDED388BC}"/>
    <hyperlink ref="A60" location="'2026.01'!A1" display="'2026.01'!A1" xr:uid="{BB7402EC-69DA-4B52-911B-E0091E69DC41}"/>
    <hyperlink ref="A61" location="'2026.02'!A1" display="'2026.02'!A1" xr:uid="{30B27C39-4E03-497E-B883-11CB241BD74E}"/>
    <hyperlink ref="A62" location="'2026.03'!A1" display="'2026.03'!A1" xr:uid="{D0F5D3EA-6DF6-465E-997D-3F2AB35770F7}"/>
    <hyperlink ref="A63" location="'2026.04'!A1" display="'2026.04'!A1" xr:uid="{EFED8896-0876-48A2-A9BE-B16BBD735B67}"/>
    <hyperlink ref="A64" location="'2026.05'!A1" display="'2026.05'!A1" xr:uid="{43A07A62-A7BB-478A-9F19-CB32C87EE71F}"/>
    <hyperlink ref="A65" location="'2026.05'!A1" display="'2026.05'!A1" xr:uid="{989AA8CD-12D6-4999-879C-4E3995212D4A}"/>
  </hyperlinks>
  <pageMargins left="0.7" right="0.7" top="0.75" bottom="0.75" header="0.3" footer="0.3"/>
  <ignoredErrors>
    <ignoredError sqref="E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O65"/>
  <sheetViews>
    <sheetView workbookViewId="0">
      <pane xSplit="1" ySplit="5" topLeftCell="B6" activePane="bottomRight" state="frozen"/>
      <selection activeCell="AF1" sqref="AF1:AF1048576"/>
      <selection pane="topRight" activeCell="AF1" sqref="AF1:AF1048576"/>
      <selection pane="bottomLeft" activeCell="AF1" sqref="AF1:AF1048576"/>
      <selection pane="bottomRight" activeCell="AF1" sqref="AF1:AF1048576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5" width="10.7109375" customWidth="1"/>
    <col min="36" max="36" width="10.7109375" style="1" customWidth="1"/>
    <col min="37" max="38" width="10.7109375" customWidth="1"/>
    <col min="39" max="39" width="10.7109375" style="1" customWidth="1"/>
    <col min="40" max="41" width="10.7109375" customWidth="1"/>
  </cols>
  <sheetData>
    <row r="1" spans="1:41" x14ac:dyDescent="0.25">
      <c r="A1" s="31" t="s">
        <v>48</v>
      </c>
    </row>
    <row r="3" spans="1:41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16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  <c r="AH3" s="42"/>
      <c r="AI3" s="42"/>
      <c r="AJ3" s="70" t="s">
        <v>46</v>
      </c>
      <c r="AK3" s="71"/>
      <c r="AL3" s="71"/>
      <c r="AM3" s="71"/>
      <c r="AN3" s="71"/>
      <c r="AO3" s="72"/>
    </row>
    <row r="4" spans="1:41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  <c r="AH4" s="42"/>
      <c r="AI4" s="42"/>
      <c r="AJ4" s="3" t="s">
        <v>22</v>
      </c>
      <c r="AK4" s="3" t="s">
        <v>3</v>
      </c>
      <c r="AL4" s="3" t="s">
        <v>8</v>
      </c>
      <c r="AM4" s="3" t="s">
        <v>22</v>
      </c>
      <c r="AN4" s="3" t="s">
        <v>7</v>
      </c>
      <c r="AO4" s="3" t="s">
        <v>9</v>
      </c>
    </row>
    <row r="5" spans="1:41" x14ac:dyDescent="0.25">
      <c r="A5" s="38">
        <f>'2024.01'!Q2</f>
        <v>2024.01</v>
      </c>
      <c r="B5" s="4">
        <f>'2024.01'!B39</f>
        <v>18.940000000000001</v>
      </c>
      <c r="C5" s="4">
        <f>'2024.01'!C39</f>
        <v>18.940000000000001</v>
      </c>
      <c r="D5" s="4">
        <f>B5</f>
        <v>18.940000000000001</v>
      </c>
      <c r="E5" s="6">
        <f>'2024.01'!F39</f>
        <v>0.19</v>
      </c>
      <c r="F5" s="6">
        <f>E5</f>
        <v>0.19</v>
      </c>
      <c r="G5" s="6">
        <v>106.242</v>
      </c>
      <c r="H5" s="4">
        <f>F5*G5</f>
        <v>20.190000000000001</v>
      </c>
      <c r="I5" s="4">
        <f>H5-D5</f>
        <v>1.25</v>
      </c>
      <c r="J5" s="18">
        <f>(H5-D5)/D5</f>
        <v>6.6000000000000003E-2</v>
      </c>
      <c r="K5" s="4">
        <f>'2024.01'!D39</f>
        <v>0</v>
      </c>
      <c r="L5" s="4">
        <f>'2024.01'!J39</f>
        <v>0</v>
      </c>
      <c r="M5" s="4">
        <f>'2024.01'!O39</f>
        <v>0</v>
      </c>
      <c r="O5" s="3" t="s">
        <v>2</v>
      </c>
      <c r="P5" s="4">
        <f>SUM(B5:B69)</f>
        <v>37.92</v>
      </c>
      <c r="Q5" s="7">
        <f>SUM(E5:E69)</f>
        <v>0.371</v>
      </c>
      <c r="R5" s="4">
        <v>45.63</v>
      </c>
      <c r="S5" s="4">
        <f>R5-P5+X5</f>
        <v>7.71</v>
      </c>
      <c r="T5" s="18">
        <f>(R5-P5+X5)/P5</f>
        <v>0.20330000000000001</v>
      </c>
      <c r="U5" s="18">
        <f>XIRR(AG5:AG65,AF5:AF65)</f>
        <v>0.1163</v>
      </c>
      <c r="V5" s="4">
        <f>SUM(K5:K69)</f>
        <v>0</v>
      </c>
      <c r="W5" s="4">
        <f>SUM(L5:L69)</f>
        <v>0</v>
      </c>
      <c r="X5" s="4">
        <f>SUM(M5:M69)</f>
        <v>0</v>
      </c>
      <c r="Y5" s="4" cm="1">
        <f t="array" ref="Y5">SUMPRODUCT(IFERROR(AD5:AD200,0),IFERROR(AE5:AE200,0))/SUM(IFERROR(AE5:AE200,0))</f>
        <v>109.89</v>
      </c>
      <c r="AC5" s="4">
        <f>'2024.01'!$C$39</f>
        <v>18.940000000000001</v>
      </c>
      <c r="AD5" s="4">
        <f>'2024.01'!$E$39</f>
        <v>105.26</v>
      </c>
      <c r="AE5" s="7">
        <f>'2024.01'!$F$39</f>
        <v>0.19</v>
      </c>
      <c r="AF5" s="49">
        <f>'2024.01'!$A$25</f>
        <v>45322</v>
      </c>
      <c r="AG5" s="4">
        <f>'2024.01'!$B$39*-1</f>
        <v>-18.940000000000001</v>
      </c>
      <c r="AH5" s="43"/>
      <c r="AI5" s="27"/>
      <c r="AJ5" s="5">
        <v>1.0562</v>
      </c>
      <c r="AK5" s="4">
        <f>B5/AJ5</f>
        <v>17.93</v>
      </c>
      <c r="AL5" s="4">
        <f>AK5</f>
        <v>17.93</v>
      </c>
      <c r="AM5" s="5">
        <v>1.0572999999999999</v>
      </c>
      <c r="AN5" s="4">
        <f t="shared" ref="AN5:AN27" si="0">H5/AM5</f>
        <v>19.100000000000001</v>
      </c>
      <c r="AO5" s="4">
        <f>(AN5-AL5)*100/AL5</f>
        <v>6.53</v>
      </c>
    </row>
    <row r="6" spans="1:41" x14ac:dyDescent="0.25">
      <c r="A6" s="38">
        <f>'2024.02'!Q2</f>
        <v>2024.02</v>
      </c>
      <c r="B6" s="4">
        <f>'2024.02'!B39</f>
        <v>0</v>
      </c>
      <c r="C6" s="4">
        <f>'2024.02'!C39</f>
        <v>0</v>
      </c>
      <c r="D6" s="4">
        <f t="shared" ref="D6:D26" si="1">D5+B6</f>
        <v>18.940000000000001</v>
      </c>
      <c r="E6" s="6">
        <f>'2024.02'!F39</f>
        <v>0</v>
      </c>
      <c r="F6" s="6">
        <f t="shared" ref="F6:F12" si="2">F5+E6</f>
        <v>0.19</v>
      </c>
      <c r="G6" s="6">
        <v>111.01600000000001</v>
      </c>
      <c r="H6" s="4">
        <f>F6*G6</f>
        <v>21.09</v>
      </c>
      <c r="I6" s="4">
        <f t="shared" ref="I6:I26" si="3">H6-D6</f>
        <v>2.15</v>
      </c>
      <c r="J6" s="18">
        <f t="shared" ref="J6:J26" si="4">(H6-D6)/D6</f>
        <v>0.1135</v>
      </c>
      <c r="K6" s="4">
        <f>'2024.02'!D39</f>
        <v>0</v>
      </c>
      <c r="L6" s="4">
        <f>'2024.02'!J39</f>
        <v>0</v>
      </c>
      <c r="M6" s="4">
        <f>'2024.02'!O39</f>
        <v>0</v>
      </c>
      <c r="AC6" s="4">
        <f>'2024.02'!$C$39</f>
        <v>0</v>
      </c>
      <c r="AD6" s="4" t="str">
        <f>'2024.02'!$E$39</f>
        <v>0.00</v>
      </c>
      <c r="AE6" s="7">
        <f>'2024.02'!$F$39</f>
        <v>0</v>
      </c>
      <c r="AF6" s="49">
        <f>'2024.05'!$A$25</f>
        <v>45414</v>
      </c>
      <c r="AG6" s="4">
        <f>'2024.05'!$B$39*-1</f>
        <v>-18.98</v>
      </c>
      <c r="AH6" s="43"/>
      <c r="AJ6" s="5"/>
      <c r="AK6" s="4">
        <v>0</v>
      </c>
      <c r="AL6" s="4">
        <f>AL5+AK6</f>
        <v>17.93</v>
      </c>
      <c r="AM6" s="5">
        <v>1.0548999999999999</v>
      </c>
      <c r="AN6" s="4">
        <f t="shared" si="0"/>
        <v>19.989999999999998</v>
      </c>
      <c r="AO6" s="4">
        <f t="shared" ref="AO6:AO27" si="5">(AN6-AL6)*100/AL6</f>
        <v>11.49</v>
      </c>
    </row>
    <row r="7" spans="1:41" x14ac:dyDescent="0.25">
      <c r="A7" s="38">
        <f>'2024.03'!Q2</f>
        <v>2024.03</v>
      </c>
      <c r="B7" s="4">
        <f>'2024.03'!B39</f>
        <v>0</v>
      </c>
      <c r="C7" s="4">
        <f>'2024.03'!C39</f>
        <v>0</v>
      </c>
      <c r="D7" s="4">
        <f t="shared" si="1"/>
        <v>18.940000000000001</v>
      </c>
      <c r="E7" s="6">
        <f>'2024.03'!F39</f>
        <v>0</v>
      </c>
      <c r="F7" s="6">
        <f t="shared" si="2"/>
        <v>0.19</v>
      </c>
      <c r="G7" s="6">
        <v>114.92700000000001</v>
      </c>
      <c r="H7" s="4">
        <f>F7*G7</f>
        <v>21.84</v>
      </c>
      <c r="I7" s="4">
        <f t="shared" si="3"/>
        <v>2.9</v>
      </c>
      <c r="J7" s="18">
        <f t="shared" si="4"/>
        <v>0.15310000000000001</v>
      </c>
      <c r="K7" s="4">
        <f>'2024.03'!D39</f>
        <v>0</v>
      </c>
      <c r="L7" s="4">
        <f>'2024.03'!J39</f>
        <v>0</v>
      </c>
      <c r="M7" s="4">
        <f>'2024.03'!O39</f>
        <v>0</v>
      </c>
      <c r="AC7" s="4">
        <f>'2024.03'!$C$39</f>
        <v>0</v>
      </c>
      <c r="AD7" s="4" t="str">
        <f>'2024.03'!$E$39</f>
        <v>0.00</v>
      </c>
      <c r="AE7" s="7">
        <f>'2024.03'!$F$39</f>
        <v>0</v>
      </c>
      <c r="AF7" s="49"/>
      <c r="AG7" s="4"/>
      <c r="AH7" s="43"/>
      <c r="AJ7" s="5"/>
      <c r="AK7" s="4">
        <v>0</v>
      </c>
      <c r="AL7" s="4">
        <f t="shared" ref="AL7:AL27" si="6">AL6+AK7</f>
        <v>17.93</v>
      </c>
      <c r="AM7" s="5">
        <v>1.0498000000000001</v>
      </c>
      <c r="AN7" s="4">
        <f t="shared" si="0"/>
        <v>20.8</v>
      </c>
      <c r="AO7" s="4">
        <f t="shared" si="5"/>
        <v>16.010000000000002</v>
      </c>
    </row>
    <row r="8" spans="1:41" x14ac:dyDescent="0.25">
      <c r="A8" s="38">
        <f>'2024.04'!Q2</f>
        <v>2024.04</v>
      </c>
      <c r="B8" s="4">
        <f>'2024.04'!B39</f>
        <v>0</v>
      </c>
      <c r="C8" s="4">
        <f>'2024.04'!C39</f>
        <v>0</v>
      </c>
      <c r="D8" s="4">
        <f t="shared" si="1"/>
        <v>18.940000000000001</v>
      </c>
      <c r="E8" s="6">
        <f>'2024.04'!F39</f>
        <v>0</v>
      </c>
      <c r="F8" s="6">
        <f t="shared" si="2"/>
        <v>0.19</v>
      </c>
      <c r="G8" s="6">
        <v>110.498</v>
      </c>
      <c r="H8" s="4">
        <f t="shared" ref="H8" si="7">F8*G8</f>
        <v>20.99</v>
      </c>
      <c r="I8" s="4">
        <f t="shared" si="3"/>
        <v>2.0499999999999998</v>
      </c>
      <c r="J8" s="18">
        <f t="shared" si="4"/>
        <v>0.1082</v>
      </c>
      <c r="K8" s="4">
        <f>'2024.04'!D39</f>
        <v>0</v>
      </c>
      <c r="L8" s="4">
        <f>'2024.04'!J39</f>
        <v>0</v>
      </c>
      <c r="M8" s="4">
        <f>'2024.04'!O39</f>
        <v>0</v>
      </c>
      <c r="AC8" s="4">
        <f>'2024.04'!$C$39</f>
        <v>0</v>
      </c>
      <c r="AD8" s="4" t="str">
        <f>'2024.04'!$E$39</f>
        <v>0.00</v>
      </c>
      <c r="AE8" s="7">
        <f>'2024.04'!$F$39</f>
        <v>0</v>
      </c>
      <c r="AF8" s="49"/>
      <c r="AG8" s="4"/>
      <c r="AH8" s="43"/>
      <c r="AJ8" s="5"/>
      <c r="AK8" s="4">
        <v>0</v>
      </c>
      <c r="AL8" s="4">
        <f t="shared" si="6"/>
        <v>17.93</v>
      </c>
      <c r="AM8" s="5">
        <v>1.0411999999999999</v>
      </c>
      <c r="AN8" s="4">
        <f t="shared" si="0"/>
        <v>20.16</v>
      </c>
      <c r="AO8" s="4">
        <f t="shared" si="5"/>
        <v>12.44</v>
      </c>
    </row>
    <row r="9" spans="1:41" x14ac:dyDescent="0.25">
      <c r="A9" s="38">
        <f>'2024.05'!Q2</f>
        <v>2024.05</v>
      </c>
      <c r="B9" s="4">
        <f>'2024.05'!B39</f>
        <v>18.98</v>
      </c>
      <c r="C9" s="4">
        <f>'2024.05'!C39</f>
        <v>18.98</v>
      </c>
      <c r="D9" s="4">
        <f t="shared" si="1"/>
        <v>37.92</v>
      </c>
      <c r="E9" s="6">
        <f>'2024.05'!F39</f>
        <v>0.17399999999999999</v>
      </c>
      <c r="F9" s="6">
        <f t="shared" si="2"/>
        <v>0.36399999999999999</v>
      </c>
      <c r="G9" s="6">
        <v>114.82</v>
      </c>
      <c r="H9" s="4">
        <f t="shared" ref="H9" si="8">F9*G9</f>
        <v>41.79</v>
      </c>
      <c r="I9" s="4">
        <f t="shared" si="3"/>
        <v>3.87</v>
      </c>
      <c r="J9" s="18">
        <f t="shared" si="4"/>
        <v>0.1021</v>
      </c>
      <c r="K9" s="4">
        <f>'2024.05'!D39</f>
        <v>0</v>
      </c>
      <c r="L9" s="4">
        <f>'2024.05'!J39</f>
        <v>0</v>
      </c>
      <c r="M9" s="4">
        <f>'2024.05'!O39</f>
        <v>0</v>
      </c>
      <c r="AC9" s="4">
        <f>'2024.05'!$C$39</f>
        <v>18.98</v>
      </c>
      <c r="AD9" s="4">
        <f>'2024.05'!$E$39</f>
        <v>114.94</v>
      </c>
      <c r="AE9" s="7">
        <f>'2024.05'!$F$39</f>
        <v>0.17399999999999999</v>
      </c>
      <c r="AF9" s="49"/>
      <c r="AG9" s="4"/>
      <c r="AH9" s="43"/>
      <c r="AJ9" s="5">
        <v>1.0535000000000001</v>
      </c>
      <c r="AK9" s="4">
        <f>B9/AJ9</f>
        <v>18.02</v>
      </c>
      <c r="AL9" s="4">
        <f t="shared" si="6"/>
        <v>35.950000000000003</v>
      </c>
      <c r="AM9" s="5">
        <v>1.0577000000000001</v>
      </c>
      <c r="AN9" s="4">
        <f t="shared" si="0"/>
        <v>39.51</v>
      </c>
      <c r="AO9" s="4">
        <f t="shared" si="5"/>
        <v>9.9</v>
      </c>
    </row>
    <row r="10" spans="1:41" x14ac:dyDescent="0.25">
      <c r="A10" s="38">
        <f>'2024.06'!Q2</f>
        <v>2024.06</v>
      </c>
      <c r="B10" s="4">
        <f>'2024.06'!B39</f>
        <v>0</v>
      </c>
      <c r="C10" s="4">
        <f>'2024.06'!C39</f>
        <v>0</v>
      </c>
      <c r="D10" s="4">
        <f t="shared" si="1"/>
        <v>37.92</v>
      </c>
      <c r="E10" s="6">
        <f>'2024.06'!D39+'2024.06'!O35</f>
        <v>3.0000000000000001E-3</v>
      </c>
      <c r="F10" s="6">
        <f t="shared" si="2"/>
        <v>0.36699999999999999</v>
      </c>
      <c r="G10" s="6">
        <v>125.88500000000001</v>
      </c>
      <c r="H10" s="4">
        <f t="shared" ref="H10" si="9">F10*G10</f>
        <v>46.2</v>
      </c>
      <c r="I10" s="4">
        <f t="shared" si="3"/>
        <v>8.2799999999999994</v>
      </c>
      <c r="J10" s="18">
        <f t="shared" si="4"/>
        <v>0.21840000000000001</v>
      </c>
      <c r="K10" s="4">
        <f>'2024.06'!D39</f>
        <v>0</v>
      </c>
      <c r="L10" s="4">
        <f>'2024.06'!J39</f>
        <v>0</v>
      </c>
      <c r="M10" s="4">
        <f>'2024.06'!O39</f>
        <v>0</v>
      </c>
      <c r="AC10" s="4">
        <f>'2024.06'!$C$39</f>
        <v>0</v>
      </c>
      <c r="AD10" s="4" t="str">
        <f>'2024.06'!$E$39</f>
        <v>0.00</v>
      </c>
      <c r="AE10" s="7">
        <f>'2024.06'!$F$39</f>
        <v>0</v>
      </c>
      <c r="AF10" s="49"/>
      <c r="AG10" s="4"/>
      <c r="AH10" s="43"/>
      <c r="AJ10" s="5"/>
      <c r="AK10" s="4">
        <v>0</v>
      </c>
      <c r="AL10" s="4">
        <f t="shared" si="6"/>
        <v>35.950000000000003</v>
      </c>
      <c r="AM10" s="5">
        <v>1.0404</v>
      </c>
      <c r="AN10" s="4">
        <f t="shared" si="0"/>
        <v>44.41</v>
      </c>
      <c r="AO10" s="4">
        <f t="shared" si="5"/>
        <v>23.53</v>
      </c>
    </row>
    <row r="11" spans="1:41" x14ac:dyDescent="0.25">
      <c r="A11" s="38">
        <f>'2024.07'!Q2</f>
        <v>2024.07</v>
      </c>
      <c r="B11" s="4">
        <f>'2024.07'!B39</f>
        <v>0</v>
      </c>
      <c r="C11" s="4">
        <f>'2024.07'!C39</f>
        <v>0</v>
      </c>
      <c r="D11" s="4">
        <f t="shared" si="1"/>
        <v>37.92</v>
      </c>
      <c r="E11" s="6">
        <f>'2024.07'!F39</f>
        <v>0</v>
      </c>
      <c r="F11" s="6">
        <f t="shared" si="2"/>
        <v>0.36699999999999999</v>
      </c>
      <c r="G11" s="6">
        <v>117.77500000000001</v>
      </c>
      <c r="H11" s="4">
        <f t="shared" ref="H11" si="10">F11*G11</f>
        <v>43.22</v>
      </c>
      <c r="I11" s="4">
        <f t="shared" si="3"/>
        <v>5.3</v>
      </c>
      <c r="J11" s="18">
        <f t="shared" si="4"/>
        <v>0.13980000000000001</v>
      </c>
      <c r="K11" s="4">
        <f>'2024.07'!D39</f>
        <v>0</v>
      </c>
      <c r="L11" s="4">
        <f>'2024.07'!J39</f>
        <v>0</v>
      </c>
      <c r="M11" s="4">
        <f>'2024.07'!O39</f>
        <v>0</v>
      </c>
      <c r="AC11" s="4">
        <f>'2024.07'!$C$39</f>
        <v>0</v>
      </c>
      <c r="AD11" s="4" t="str">
        <f>'2024.07'!$E$39</f>
        <v>0.00</v>
      </c>
      <c r="AE11" s="7">
        <f>'2024.07'!$F$39</f>
        <v>0</v>
      </c>
      <c r="AF11" s="49"/>
      <c r="AG11" s="4"/>
      <c r="AH11" s="43"/>
      <c r="AJ11" s="5"/>
      <c r="AK11" s="4">
        <v>0</v>
      </c>
      <c r="AL11" s="4">
        <f t="shared" si="6"/>
        <v>35.950000000000003</v>
      </c>
      <c r="AM11" s="5">
        <v>1.0543</v>
      </c>
      <c r="AN11" s="4">
        <f t="shared" si="0"/>
        <v>40.99</v>
      </c>
      <c r="AO11" s="4">
        <f t="shared" si="5"/>
        <v>14.02</v>
      </c>
    </row>
    <row r="12" spans="1:41" x14ac:dyDescent="0.25">
      <c r="A12" s="38">
        <f>'2024.08'!Q2</f>
        <v>2024.08</v>
      </c>
      <c r="B12" s="4">
        <f>'2024.08'!B39</f>
        <v>0</v>
      </c>
      <c r="C12" s="4">
        <f>'2024.08'!C39</f>
        <v>0</v>
      </c>
      <c r="D12" s="4">
        <f t="shared" si="1"/>
        <v>37.92</v>
      </c>
      <c r="E12" s="6">
        <f>'2024.08'!F39</f>
        <v>0</v>
      </c>
      <c r="F12" s="6">
        <f t="shared" si="2"/>
        <v>0.36699999999999999</v>
      </c>
      <c r="G12" s="6">
        <v>121.56</v>
      </c>
      <c r="H12" s="4">
        <f t="shared" ref="H12" si="11">F12*G12</f>
        <v>44.61</v>
      </c>
      <c r="I12" s="4">
        <f t="shared" si="3"/>
        <v>6.69</v>
      </c>
      <c r="J12" s="18">
        <f t="shared" si="4"/>
        <v>0.1764</v>
      </c>
      <c r="K12" s="4">
        <f>'2024.08'!D39</f>
        <v>0</v>
      </c>
      <c r="L12" s="4">
        <f>'2024.08'!J39</f>
        <v>0</v>
      </c>
      <c r="M12" s="4">
        <f>'2024.08'!O39</f>
        <v>0</v>
      </c>
      <c r="AC12" s="4">
        <f>'2024.08'!$C$39</f>
        <v>0</v>
      </c>
      <c r="AD12" s="4" t="str">
        <f>'2024.08'!$E$39</f>
        <v>0.00</v>
      </c>
      <c r="AE12" s="7">
        <f>'2024.08'!$F$39</f>
        <v>0</v>
      </c>
      <c r="AF12" s="49"/>
      <c r="AG12" s="4"/>
      <c r="AH12" s="43"/>
      <c r="AJ12" s="5"/>
      <c r="AK12" s="4">
        <v>0</v>
      </c>
      <c r="AL12" s="4">
        <f t="shared" si="6"/>
        <v>35.950000000000003</v>
      </c>
      <c r="AM12" s="5">
        <v>1.0762</v>
      </c>
      <c r="AN12" s="4">
        <f t="shared" si="0"/>
        <v>41.45</v>
      </c>
      <c r="AO12" s="4">
        <f t="shared" si="5"/>
        <v>15.3</v>
      </c>
    </row>
    <row r="13" spans="1:41" x14ac:dyDescent="0.25">
      <c r="A13" s="38">
        <f>'2024.09'!Q2</f>
        <v>2024.09</v>
      </c>
      <c r="B13" s="4">
        <f>'2024.09'!B39</f>
        <v>0</v>
      </c>
      <c r="C13" s="4">
        <f>'2024.09'!C39</f>
        <v>0</v>
      </c>
      <c r="D13" s="4">
        <f t="shared" si="1"/>
        <v>37.92</v>
      </c>
      <c r="E13" s="6">
        <f>'2024.09'!F39</f>
        <v>0</v>
      </c>
      <c r="F13" s="6">
        <f t="shared" ref="F13" si="12">F12+E13</f>
        <v>0.36699999999999999</v>
      </c>
      <c r="G13" s="6">
        <v>127.17400000000001</v>
      </c>
      <c r="H13" s="4">
        <f t="shared" ref="H13" si="13">F13*G13</f>
        <v>46.67</v>
      </c>
      <c r="I13" s="4">
        <f t="shared" si="3"/>
        <v>8.75</v>
      </c>
      <c r="J13" s="18">
        <f t="shared" si="4"/>
        <v>0.23069999999999999</v>
      </c>
      <c r="K13" s="4">
        <f>'2024.09'!D39</f>
        <v>0</v>
      </c>
      <c r="L13" s="4">
        <f>'2024.09'!J39</f>
        <v>0</v>
      </c>
      <c r="M13" s="4">
        <f>'2024.09'!O39</f>
        <v>0</v>
      </c>
      <c r="AC13" s="4">
        <f>'2024.09'!$C$39</f>
        <v>0</v>
      </c>
      <c r="AD13" s="4" t="str">
        <f>'2024.09'!$E$39</f>
        <v>0.00</v>
      </c>
      <c r="AE13" s="7">
        <f>'2024.09'!$F$39</f>
        <v>0</v>
      </c>
      <c r="AF13" s="49"/>
      <c r="AG13" s="4"/>
      <c r="AH13" s="43"/>
      <c r="AJ13" s="5"/>
      <c r="AK13" s="4">
        <v>0</v>
      </c>
      <c r="AL13" s="4">
        <f t="shared" si="6"/>
        <v>35.950000000000003</v>
      </c>
      <c r="AM13" s="5">
        <v>1.0861000000000001</v>
      </c>
      <c r="AN13" s="4">
        <f t="shared" si="0"/>
        <v>42.97</v>
      </c>
      <c r="AO13" s="4">
        <f t="shared" si="5"/>
        <v>19.53</v>
      </c>
    </row>
    <row r="14" spans="1:41" x14ac:dyDescent="0.25">
      <c r="A14" s="38">
        <f>'2024.10'!Q2</f>
        <v>2024.1</v>
      </c>
      <c r="B14" s="4">
        <f>'2024.10'!B39</f>
        <v>0</v>
      </c>
      <c r="C14" s="4">
        <f>'2024.10'!C39</f>
        <v>0</v>
      </c>
      <c r="D14" s="4">
        <f t="shared" si="1"/>
        <v>37.92</v>
      </c>
      <c r="E14" s="6">
        <f>'2024.10'!D39</f>
        <v>0</v>
      </c>
      <c r="F14" s="6">
        <f t="shared" ref="F14" si="14">F13+E14</f>
        <v>0.36699999999999999</v>
      </c>
      <c r="G14" s="6">
        <v>130.37700000000001</v>
      </c>
      <c r="H14" s="4">
        <f t="shared" ref="H14" si="15">F14*G14</f>
        <v>47.85</v>
      </c>
      <c r="I14" s="4">
        <f t="shared" si="3"/>
        <v>9.93</v>
      </c>
      <c r="J14" s="18">
        <f t="shared" si="4"/>
        <v>0.26190000000000002</v>
      </c>
      <c r="K14" s="4">
        <f>'2024.10'!D39</f>
        <v>0</v>
      </c>
      <c r="L14" s="4">
        <f>'2024.10'!J39</f>
        <v>0</v>
      </c>
      <c r="M14" s="4">
        <f>'2024.10'!O39</f>
        <v>0</v>
      </c>
      <c r="AC14" s="4">
        <f>'2024.10'!$C$39</f>
        <v>0</v>
      </c>
      <c r="AD14" s="4" t="str">
        <f>'2024.10'!$E$39</f>
        <v>0.00</v>
      </c>
      <c r="AE14" s="7">
        <f>'2024.10'!$F$39</f>
        <v>0</v>
      </c>
      <c r="AF14" s="49"/>
      <c r="AG14" s="4"/>
      <c r="AH14" s="43"/>
      <c r="AJ14" s="5"/>
      <c r="AK14" s="4">
        <v>0</v>
      </c>
      <c r="AL14" s="4">
        <f t="shared" si="6"/>
        <v>35.950000000000003</v>
      </c>
      <c r="AM14" s="5">
        <v>1.0563</v>
      </c>
      <c r="AN14" s="4">
        <f t="shared" si="0"/>
        <v>45.3</v>
      </c>
      <c r="AO14" s="4">
        <f t="shared" si="5"/>
        <v>26.01</v>
      </c>
    </row>
    <row r="15" spans="1:41" x14ac:dyDescent="0.25">
      <c r="A15" s="38">
        <f>'2024.11'!Q2</f>
        <v>2024.11</v>
      </c>
      <c r="B15" s="4">
        <f>'2024.11'!B39</f>
        <v>0</v>
      </c>
      <c r="C15" s="4">
        <f>'2024.11'!C39</f>
        <v>0</v>
      </c>
      <c r="D15" s="4">
        <f t="shared" si="1"/>
        <v>37.92</v>
      </c>
      <c r="E15" s="6">
        <f>'2024.11'!F39</f>
        <v>0</v>
      </c>
      <c r="F15" s="6">
        <f t="shared" ref="F15" si="16">F14+E15</f>
        <v>0.36699999999999999</v>
      </c>
      <c r="G15" s="6">
        <v>130.64099999999999</v>
      </c>
      <c r="H15" s="4">
        <f t="shared" ref="H15" si="17">F15*G15</f>
        <v>47.95</v>
      </c>
      <c r="I15" s="4">
        <f t="shared" si="3"/>
        <v>10.029999999999999</v>
      </c>
      <c r="J15" s="18">
        <f t="shared" si="4"/>
        <v>0.26450000000000001</v>
      </c>
      <c r="K15" s="4">
        <f>'2024.11'!D39</f>
        <v>0</v>
      </c>
      <c r="L15" s="4">
        <f>'2024.11'!J39</f>
        <v>0</v>
      </c>
      <c r="M15" s="4">
        <f>'2024.11'!O39</f>
        <v>0</v>
      </c>
      <c r="AC15" s="4">
        <f>'2024.11'!$C$39</f>
        <v>0</v>
      </c>
      <c r="AD15" s="4" t="str">
        <f>'2024.11'!$E$39</f>
        <v>0.00</v>
      </c>
      <c r="AE15" s="7">
        <f>'2024.11'!$F$39</f>
        <v>0</v>
      </c>
      <c r="AF15" s="49"/>
      <c r="AG15" s="4"/>
      <c r="AH15" s="43"/>
      <c r="AJ15" s="5"/>
      <c r="AK15" s="4">
        <v>0</v>
      </c>
      <c r="AL15" s="4">
        <f t="shared" si="6"/>
        <v>35.950000000000003</v>
      </c>
      <c r="AM15" s="5">
        <v>1.0268999999999999</v>
      </c>
      <c r="AN15" s="4">
        <f t="shared" si="0"/>
        <v>46.69</v>
      </c>
      <c r="AO15" s="4">
        <f t="shared" si="5"/>
        <v>29.87</v>
      </c>
    </row>
    <row r="16" spans="1:41" x14ac:dyDescent="0.25">
      <c r="A16" s="38">
        <f>'2024.12'!Q2</f>
        <v>2024.12</v>
      </c>
      <c r="B16" s="4">
        <f>'2024.12'!B39</f>
        <v>0</v>
      </c>
      <c r="C16" s="4">
        <f>'2024.12'!C39</f>
        <v>0</v>
      </c>
      <c r="D16" s="4">
        <f t="shared" si="1"/>
        <v>37.92</v>
      </c>
      <c r="E16" s="6">
        <f>'2024.12'!F39</f>
        <v>0</v>
      </c>
      <c r="F16" s="6">
        <f t="shared" ref="F16" si="18">F15+E16</f>
        <v>0.36699999999999999</v>
      </c>
      <c r="G16" s="6">
        <v>136.173</v>
      </c>
      <c r="H16" s="4">
        <f t="shared" ref="H16" si="19">F16*G16</f>
        <v>49.98</v>
      </c>
      <c r="I16" s="4">
        <f t="shared" si="3"/>
        <v>12.06</v>
      </c>
      <c r="J16" s="18">
        <f t="shared" si="4"/>
        <v>0.318</v>
      </c>
      <c r="K16" s="4">
        <f>'2024.12'!D39</f>
        <v>0</v>
      </c>
      <c r="L16" s="4">
        <f>'2024.12'!J39</f>
        <v>0</v>
      </c>
      <c r="M16" s="4">
        <f>'2024.12'!O39</f>
        <v>0</v>
      </c>
      <c r="AC16" s="4">
        <f>'2024.12'!$C$39</f>
        <v>0</v>
      </c>
      <c r="AD16" s="4" t="str">
        <f>'2024.12'!$E$39</f>
        <v>0.00</v>
      </c>
      <c r="AE16" s="7">
        <f>'2024.12'!$F$39</f>
        <v>0</v>
      </c>
      <c r="AF16" s="49"/>
      <c r="AG16" s="4"/>
      <c r="AH16" s="43"/>
      <c r="AJ16" s="5"/>
      <c r="AK16" s="4">
        <v>0</v>
      </c>
      <c r="AL16" s="4">
        <f t="shared" si="6"/>
        <v>35.950000000000003</v>
      </c>
      <c r="AM16" s="5">
        <v>1.0104</v>
      </c>
      <c r="AN16" s="4">
        <f t="shared" si="0"/>
        <v>49.47</v>
      </c>
      <c r="AO16" s="4">
        <f t="shared" si="5"/>
        <v>37.61</v>
      </c>
    </row>
    <row r="17" spans="1:41" x14ac:dyDescent="0.25">
      <c r="A17" s="38">
        <f>'2025.01'!Q2</f>
        <v>2025.01</v>
      </c>
      <c r="B17" s="4">
        <f>'2025.01'!B39</f>
        <v>0</v>
      </c>
      <c r="C17" s="4">
        <f>'2025.01'!C39</f>
        <v>0</v>
      </c>
      <c r="D17" s="4">
        <f t="shared" si="1"/>
        <v>37.92</v>
      </c>
      <c r="E17" s="6">
        <f>'2025.01'!F39</f>
        <v>0</v>
      </c>
      <c r="F17" s="6">
        <f t="shared" ref="F17" si="20">F16+E17</f>
        <v>0.36699999999999999</v>
      </c>
      <c r="G17" s="6">
        <v>137.07400000000001</v>
      </c>
      <c r="H17" s="4">
        <f t="shared" ref="H17" si="21">F17*G17</f>
        <v>50.31</v>
      </c>
      <c r="I17" s="4">
        <f t="shared" si="3"/>
        <v>12.39</v>
      </c>
      <c r="J17" s="18">
        <f t="shared" si="4"/>
        <v>0.32669999999999999</v>
      </c>
      <c r="K17" s="4">
        <f>'2025.01'!D39</f>
        <v>0</v>
      </c>
      <c r="L17" s="4">
        <f>'2025.01'!J39</f>
        <v>0</v>
      </c>
      <c r="M17" s="4">
        <f>'2025.01'!O39</f>
        <v>0</v>
      </c>
      <c r="AC17" s="4">
        <f>'2025.01'!$C$39</f>
        <v>0</v>
      </c>
      <c r="AD17" s="4" t="str">
        <f>'2025.01'!$E$39</f>
        <v>0.00</v>
      </c>
      <c r="AE17" s="7">
        <f>'2025.01'!$F$39</f>
        <v>0</v>
      </c>
      <c r="AF17" s="49"/>
      <c r="AG17" s="4"/>
      <c r="AH17" s="43"/>
      <c r="AJ17" s="5"/>
      <c r="AK17" s="4">
        <v>0</v>
      </c>
      <c r="AL17" s="4">
        <f t="shared" si="6"/>
        <v>35.950000000000003</v>
      </c>
      <c r="AM17" s="6">
        <v>1.01</v>
      </c>
      <c r="AN17" s="4">
        <f t="shared" si="0"/>
        <v>49.81</v>
      </c>
      <c r="AO17" s="4">
        <f t="shared" si="5"/>
        <v>38.549999999999997</v>
      </c>
    </row>
    <row r="18" spans="1:41" x14ac:dyDescent="0.25">
      <c r="A18" s="38">
        <f>'2025.02'!Q2</f>
        <v>2025.02</v>
      </c>
      <c r="B18" s="4">
        <f>'2025.02'!B39</f>
        <v>0</v>
      </c>
      <c r="C18" s="4">
        <f>'2025.02'!C39</f>
        <v>0</v>
      </c>
      <c r="D18" s="4">
        <f t="shared" si="1"/>
        <v>37.92</v>
      </c>
      <c r="E18" s="6">
        <f>'2025.02'!D35</f>
        <v>0</v>
      </c>
      <c r="F18" s="6">
        <f t="shared" ref="F18" si="22">F17+E18</f>
        <v>0.36699999999999999</v>
      </c>
      <c r="G18" s="6">
        <v>127.60299999999999</v>
      </c>
      <c r="H18" s="4">
        <f t="shared" ref="H18" si="23">F18*G18</f>
        <v>46.83</v>
      </c>
      <c r="I18" s="4">
        <f t="shared" si="3"/>
        <v>8.91</v>
      </c>
      <c r="J18" s="18">
        <f t="shared" si="4"/>
        <v>0.23499999999999999</v>
      </c>
      <c r="K18" s="4">
        <f>'2025.02'!D39</f>
        <v>0</v>
      </c>
      <c r="L18" s="4">
        <f>'2025.02'!J39</f>
        <v>0</v>
      </c>
      <c r="M18" s="4">
        <f>'2025.02'!O39</f>
        <v>0</v>
      </c>
      <c r="AC18" s="4">
        <f>'2025.02'!$C$39</f>
        <v>0</v>
      </c>
      <c r="AD18" s="4" t="str">
        <f>'2025.02'!$E$39</f>
        <v>0.00</v>
      </c>
      <c r="AE18" s="7">
        <f>'2025.02'!$F$39</f>
        <v>0</v>
      </c>
      <c r="AF18" s="49"/>
      <c r="AG18" s="4"/>
      <c r="AH18" s="43"/>
      <c r="AJ18" s="5"/>
      <c r="AK18" s="4">
        <v>0</v>
      </c>
      <c r="AL18" s="4">
        <f t="shared" si="6"/>
        <v>35.950000000000003</v>
      </c>
      <c r="AM18" s="5">
        <v>1.0123</v>
      </c>
      <c r="AN18" s="4">
        <f t="shared" si="0"/>
        <v>46.26</v>
      </c>
      <c r="AO18" s="4">
        <f t="shared" si="5"/>
        <v>28.68</v>
      </c>
    </row>
    <row r="19" spans="1:41" x14ac:dyDescent="0.25">
      <c r="A19" s="38">
        <f>'2025.03'!Q2</f>
        <v>2025.03</v>
      </c>
      <c r="B19" s="4">
        <f>'2025.03'!B39</f>
        <v>0</v>
      </c>
      <c r="C19" s="4">
        <f>'2025.03'!C39</f>
        <v>0</v>
      </c>
      <c r="D19" s="4">
        <f t="shared" si="1"/>
        <v>37.92</v>
      </c>
      <c r="E19" s="6">
        <f>'2025.03'!F39</f>
        <v>0</v>
      </c>
      <c r="F19" s="6">
        <f t="shared" ref="F19" si="24">F18+E19</f>
        <v>0.36699999999999999</v>
      </c>
      <c r="G19" s="6">
        <v>117.657</v>
      </c>
      <c r="H19" s="4">
        <f t="shared" ref="H19" si="25">F19*G19</f>
        <v>43.18</v>
      </c>
      <c r="I19" s="4">
        <f t="shared" si="3"/>
        <v>5.26</v>
      </c>
      <c r="J19" s="18">
        <f t="shared" si="4"/>
        <v>0.13869999999999999</v>
      </c>
      <c r="K19" s="4">
        <f>'2025.03'!D39</f>
        <v>0</v>
      </c>
      <c r="L19" s="4">
        <f>'2025.03'!J39</f>
        <v>0</v>
      </c>
      <c r="M19" s="4">
        <f>'2025.03'!O39</f>
        <v>0</v>
      </c>
      <c r="AC19" s="4">
        <f>'2025.03'!$C$39</f>
        <v>0</v>
      </c>
      <c r="AD19" s="4" t="str">
        <f>'2025.03'!$E$39</f>
        <v>0.00</v>
      </c>
      <c r="AE19" s="7">
        <f>'2025.03'!$F$39</f>
        <v>0</v>
      </c>
      <c r="AF19" s="49"/>
      <c r="AG19" s="4"/>
      <c r="AH19" s="43"/>
      <c r="AJ19" s="5"/>
      <c r="AK19" s="4">
        <v>0</v>
      </c>
      <c r="AL19" s="4">
        <f t="shared" si="6"/>
        <v>35.950000000000003</v>
      </c>
      <c r="AM19" s="6">
        <v>1.0509999999999999</v>
      </c>
      <c r="AN19" s="4">
        <f t="shared" si="0"/>
        <v>41.08</v>
      </c>
      <c r="AO19" s="4">
        <f t="shared" si="5"/>
        <v>14.27</v>
      </c>
    </row>
    <row r="20" spans="1:41" x14ac:dyDescent="0.25">
      <c r="A20" s="38">
        <f>'2025.04'!Q2</f>
        <v>2025.04</v>
      </c>
      <c r="B20" s="4">
        <f>'2025.04'!B39</f>
        <v>0</v>
      </c>
      <c r="C20" s="4">
        <f>'2025.04'!C39</f>
        <v>0</v>
      </c>
      <c r="D20" s="4">
        <f t="shared" si="1"/>
        <v>37.92</v>
      </c>
      <c r="E20" s="6">
        <f>'2025.04'!F39</f>
        <v>0</v>
      </c>
      <c r="F20" s="6">
        <f t="shared" ref="F20" si="26">F19+E20</f>
        <v>0.36699999999999999</v>
      </c>
      <c r="G20" s="6">
        <v>122.41</v>
      </c>
      <c r="H20" s="4">
        <f t="shared" ref="H20" si="27">F20*G20</f>
        <v>44.92</v>
      </c>
      <c r="I20" s="4">
        <f t="shared" si="3"/>
        <v>7</v>
      </c>
      <c r="J20" s="18">
        <f t="shared" si="4"/>
        <v>0.18459999999999999</v>
      </c>
      <c r="K20" s="4">
        <f>'2025.04'!D39</f>
        <v>0</v>
      </c>
      <c r="L20" s="4">
        <f>'2025.04'!J39</f>
        <v>0</v>
      </c>
      <c r="M20" s="4">
        <f>'2025.04'!O39</f>
        <v>0</v>
      </c>
      <c r="AC20" s="4">
        <f>'2025.04'!$C$39</f>
        <v>0</v>
      </c>
      <c r="AD20" s="4" t="str">
        <f>'2025.04'!$E$39</f>
        <v>0.00</v>
      </c>
      <c r="AE20" s="7">
        <f>'2025.04'!$F$39</f>
        <v>0</v>
      </c>
      <c r="AF20" s="49"/>
      <c r="AG20" s="4"/>
      <c r="AH20" s="43"/>
      <c r="AJ20" s="5"/>
      <c r="AK20" s="4">
        <v>0</v>
      </c>
      <c r="AL20" s="4">
        <f t="shared" si="6"/>
        <v>35.950000000000003</v>
      </c>
      <c r="AM20" s="5">
        <v>1.1061000000000001</v>
      </c>
      <c r="AN20" s="4">
        <f t="shared" si="0"/>
        <v>40.61</v>
      </c>
      <c r="AO20" s="4">
        <f t="shared" si="5"/>
        <v>12.96</v>
      </c>
    </row>
    <row r="21" spans="1:41" x14ac:dyDescent="0.25">
      <c r="A21" s="38">
        <f>'2025.05'!Q2</f>
        <v>2025.05</v>
      </c>
      <c r="B21" s="4">
        <f>'2025.05'!B39</f>
        <v>0</v>
      </c>
      <c r="C21" s="4">
        <f>'2025.05'!C39</f>
        <v>0</v>
      </c>
      <c r="D21" s="4">
        <f t="shared" si="1"/>
        <v>37.92</v>
      </c>
      <c r="E21" s="6">
        <f>'2025.05'!F39</f>
        <v>0</v>
      </c>
      <c r="F21" s="6">
        <f t="shared" ref="F21" si="28">F20+E21</f>
        <v>0.36699999999999999</v>
      </c>
      <c r="G21" s="6">
        <v>133.58799999999999</v>
      </c>
      <c r="H21" s="4">
        <f t="shared" ref="H21" si="29">F21*G21</f>
        <v>49.03</v>
      </c>
      <c r="I21" s="4">
        <f t="shared" si="3"/>
        <v>11.11</v>
      </c>
      <c r="J21" s="18">
        <f t="shared" si="4"/>
        <v>0.29299999999999998</v>
      </c>
      <c r="K21" s="4">
        <f>'2025.05'!D39</f>
        <v>0</v>
      </c>
      <c r="L21" s="4">
        <f>'2025.05'!J39</f>
        <v>0</v>
      </c>
      <c r="M21" s="4">
        <f>'2025.05'!O39</f>
        <v>0</v>
      </c>
      <c r="AC21" s="4">
        <f>'2025.05'!$C$39</f>
        <v>0</v>
      </c>
      <c r="AD21" s="4" t="str">
        <f>'2025.05'!$E$39</f>
        <v>0.00</v>
      </c>
      <c r="AE21" s="7">
        <f>'2025.05'!$F$39</f>
        <v>0</v>
      </c>
      <c r="AF21" s="49"/>
      <c r="AG21" s="4"/>
      <c r="AH21" s="43"/>
      <c r="AJ21" s="5"/>
      <c r="AK21" s="4">
        <v>0</v>
      </c>
      <c r="AL21" s="4">
        <f t="shared" si="6"/>
        <v>35.950000000000003</v>
      </c>
      <c r="AM21" s="5">
        <v>1.1041000000000001</v>
      </c>
      <c r="AN21" s="4">
        <f t="shared" si="0"/>
        <v>44.41</v>
      </c>
      <c r="AO21" s="4">
        <f t="shared" si="5"/>
        <v>23.53</v>
      </c>
    </row>
    <row r="22" spans="1:41" x14ac:dyDescent="0.25">
      <c r="A22" s="38">
        <f>'2025.06'!Q2</f>
        <v>2025.06</v>
      </c>
      <c r="B22" s="4">
        <f>'2025.06'!B39</f>
        <v>0</v>
      </c>
      <c r="C22" s="4">
        <f>'2025.06'!C39</f>
        <v>0</v>
      </c>
      <c r="D22" s="4">
        <f t="shared" si="1"/>
        <v>37.92</v>
      </c>
      <c r="E22" s="6">
        <f>'2025.06'!F39+'2025.06'!O35</f>
        <v>4.0000000000000001E-3</v>
      </c>
      <c r="F22" s="6">
        <f t="shared" ref="F22" si="30">F21+E22</f>
        <v>0.371</v>
      </c>
      <c r="G22" s="6">
        <v>142.79900000000001</v>
      </c>
      <c r="H22" s="4">
        <f t="shared" ref="H22" si="31">F22*G22</f>
        <v>52.98</v>
      </c>
      <c r="I22" s="4">
        <f t="shared" si="3"/>
        <v>15.06</v>
      </c>
      <c r="J22" s="18">
        <f t="shared" si="4"/>
        <v>0.3972</v>
      </c>
      <c r="K22" s="4">
        <f>'2025.06'!D39</f>
        <v>0</v>
      </c>
      <c r="L22" s="4">
        <f>'2025.06'!J39</f>
        <v>0</v>
      </c>
      <c r="M22" s="4">
        <f>'2025.06'!O39</f>
        <v>0</v>
      </c>
      <c r="AC22" s="4">
        <f>'2025.06'!$C$39</f>
        <v>0</v>
      </c>
      <c r="AD22" s="4" t="str">
        <f>'2025.06'!$E$39</f>
        <v>0.00</v>
      </c>
      <c r="AE22" s="7">
        <f>'2025.06'!$F$39</f>
        <v>0</v>
      </c>
      <c r="AF22" s="49"/>
      <c r="AG22" s="4"/>
      <c r="AH22" s="43"/>
      <c r="AJ22" s="5"/>
      <c r="AK22" s="4">
        <v>0</v>
      </c>
      <c r="AL22" s="4">
        <f t="shared" si="6"/>
        <v>35.950000000000003</v>
      </c>
      <c r="AM22" s="5">
        <v>1.2038</v>
      </c>
      <c r="AN22" s="4">
        <f t="shared" si="0"/>
        <v>44.01</v>
      </c>
      <c r="AO22" s="4">
        <f t="shared" si="5"/>
        <v>22.42</v>
      </c>
    </row>
    <row r="23" spans="1:41" x14ac:dyDescent="0.25">
      <c r="A23" s="38">
        <f>'2025.07'!Q2</f>
        <v>2025.07</v>
      </c>
      <c r="B23" s="4">
        <f>'2025.07'!B39</f>
        <v>0</v>
      </c>
      <c r="C23" s="4">
        <f>'2025.07'!C39</f>
        <v>0</v>
      </c>
      <c r="D23" s="4">
        <f t="shared" si="1"/>
        <v>37.92</v>
      </c>
      <c r="E23" s="6">
        <f>'2025.07'!F39</f>
        <v>0</v>
      </c>
      <c r="F23" s="6">
        <f t="shared" ref="F23" si="32">F22+E23</f>
        <v>0.371</v>
      </c>
      <c r="G23" s="6">
        <v>149.327</v>
      </c>
      <c r="H23" s="4">
        <f t="shared" ref="H23" si="33">F23*G23</f>
        <v>55.4</v>
      </c>
      <c r="I23" s="4">
        <f t="shared" si="3"/>
        <v>17.48</v>
      </c>
      <c r="J23" s="18">
        <f t="shared" si="4"/>
        <v>0.46100000000000002</v>
      </c>
      <c r="K23" s="4">
        <f>'2025.07'!D39</f>
        <v>0</v>
      </c>
      <c r="L23" s="4">
        <f>'2025.07'!J39</f>
        <v>0</v>
      </c>
      <c r="M23" s="4">
        <f>'2025.07'!O39</f>
        <v>0</v>
      </c>
      <c r="AC23" s="4">
        <f>'2025.07'!$C$39</f>
        <v>0</v>
      </c>
      <c r="AD23" s="4" t="str">
        <f>'2025.07'!$E$39</f>
        <v>0.00</v>
      </c>
      <c r="AE23" s="7">
        <f>'2025.07'!$F$39</f>
        <v>0</v>
      </c>
      <c r="AF23" s="49"/>
      <c r="AG23" s="4"/>
      <c r="AH23" s="43"/>
      <c r="AJ23" s="5"/>
      <c r="AK23" s="4">
        <v>0</v>
      </c>
      <c r="AL23" s="4">
        <f t="shared" si="6"/>
        <v>35.950000000000003</v>
      </c>
      <c r="AM23" s="5">
        <v>1.1727000000000001</v>
      </c>
      <c r="AN23" s="4">
        <f t="shared" si="0"/>
        <v>47.24</v>
      </c>
      <c r="AO23" s="4">
        <f t="shared" si="5"/>
        <v>31.4</v>
      </c>
    </row>
    <row r="24" spans="1:41" x14ac:dyDescent="0.25">
      <c r="A24" s="38">
        <f>'2025.08'!Q2</f>
        <v>2025.08</v>
      </c>
      <c r="B24" s="4">
        <f>'2025.08'!B39</f>
        <v>0</v>
      </c>
      <c r="C24" s="4">
        <f>'2025.08'!C39</f>
        <v>0</v>
      </c>
      <c r="D24" s="4">
        <f t="shared" si="1"/>
        <v>37.92</v>
      </c>
      <c r="E24" s="6">
        <f>'2025.08'!F39</f>
        <v>0</v>
      </c>
      <c r="F24" s="6">
        <f t="shared" ref="F24" si="34">F23+E24</f>
        <v>0.371</v>
      </c>
      <c r="G24" s="6">
        <v>145.91900000000001</v>
      </c>
      <c r="H24" s="4">
        <f t="shared" ref="H24" si="35">F24*G24</f>
        <v>54.14</v>
      </c>
      <c r="I24" s="4">
        <f t="shared" si="3"/>
        <v>16.22</v>
      </c>
      <c r="J24" s="18">
        <f t="shared" si="4"/>
        <v>0.42770000000000002</v>
      </c>
      <c r="K24" s="4">
        <f>'2025.08'!D39</f>
        <v>0</v>
      </c>
      <c r="L24" s="4">
        <f>'2025.08'!J39</f>
        <v>0</v>
      </c>
      <c r="M24" s="4">
        <f>'2025.08'!O39</f>
        <v>0</v>
      </c>
      <c r="AC24" s="4">
        <f>'2025.08'!$C$39</f>
        <v>0</v>
      </c>
      <c r="AD24" s="4" t="str">
        <f>'2025.08'!$E$39</f>
        <v>0.00</v>
      </c>
      <c r="AE24" s="7">
        <f>'2025.08'!$F$39</f>
        <v>0</v>
      </c>
      <c r="AF24" s="49"/>
      <c r="AG24" s="4"/>
      <c r="AH24" s="43"/>
      <c r="AJ24" s="5"/>
      <c r="AK24" s="4">
        <v>0</v>
      </c>
      <c r="AL24" s="4">
        <f t="shared" si="6"/>
        <v>35.950000000000003</v>
      </c>
      <c r="AM24" s="5">
        <v>1.1657999999999999</v>
      </c>
      <c r="AN24" s="4">
        <f t="shared" si="0"/>
        <v>46.44</v>
      </c>
      <c r="AO24" s="4">
        <f t="shared" si="5"/>
        <v>29.18</v>
      </c>
    </row>
    <row r="25" spans="1:41" x14ac:dyDescent="0.25">
      <c r="A25" s="38">
        <f>'2025.09'!Q2</f>
        <v>2025.09</v>
      </c>
      <c r="B25" s="4">
        <f>'2025.09'!B39</f>
        <v>0</v>
      </c>
      <c r="C25" s="4">
        <f>'2025.09'!C39</f>
        <v>0</v>
      </c>
      <c r="D25" s="4">
        <f t="shared" si="1"/>
        <v>37.92</v>
      </c>
      <c r="E25" s="6">
        <f>'2025.09'!F39</f>
        <v>0</v>
      </c>
      <c r="F25" s="6">
        <f t="shared" ref="F25" si="36">F24+E25</f>
        <v>0.371</v>
      </c>
      <c r="G25" s="6">
        <v>150.13</v>
      </c>
      <c r="H25" s="4">
        <f t="shared" ref="H25" si="37">F25*G25</f>
        <v>55.7</v>
      </c>
      <c r="I25" s="4">
        <f t="shared" si="3"/>
        <v>17.78</v>
      </c>
      <c r="J25" s="18">
        <f t="shared" si="4"/>
        <v>0.46889999999999998</v>
      </c>
      <c r="K25" s="4">
        <f>'2025.09'!D39</f>
        <v>0</v>
      </c>
      <c r="L25" s="4">
        <f>'2025.09'!J39</f>
        <v>0</v>
      </c>
      <c r="M25" s="4">
        <f>'2025.09'!O39</f>
        <v>0</v>
      </c>
      <c r="AC25" s="4">
        <f>'2025.09'!$C$39</f>
        <v>0</v>
      </c>
      <c r="AD25" s="4" t="str">
        <f>'2025.09'!$E$39</f>
        <v>0.00</v>
      </c>
      <c r="AE25" s="7">
        <f>'2025.09'!$F$39</f>
        <v>0</v>
      </c>
      <c r="AF25" s="49"/>
      <c r="AG25" s="4"/>
      <c r="AH25" s="43"/>
      <c r="AJ25" s="5"/>
      <c r="AK25" s="4">
        <v>0</v>
      </c>
      <c r="AL25" s="4">
        <f t="shared" si="6"/>
        <v>35.950000000000003</v>
      </c>
      <c r="AM25" s="5">
        <v>1.1740999999999999</v>
      </c>
      <c r="AN25" s="4">
        <f t="shared" si="0"/>
        <v>47.44</v>
      </c>
      <c r="AO25" s="4">
        <f t="shared" si="5"/>
        <v>31.96</v>
      </c>
    </row>
    <row r="26" spans="1:41" x14ac:dyDescent="0.25">
      <c r="A26" s="38">
        <f>'2025.10'!Q2</f>
        <v>2025.1</v>
      </c>
      <c r="B26" s="4">
        <f>'2025.10'!B39</f>
        <v>0</v>
      </c>
      <c r="C26" s="4">
        <f>'2025.10'!C39</f>
        <v>0</v>
      </c>
      <c r="D26" s="4">
        <f t="shared" si="1"/>
        <v>37.92</v>
      </c>
      <c r="E26" s="6">
        <f>'2025.10'!F39</f>
        <v>0</v>
      </c>
      <c r="F26" s="6">
        <f t="shared" ref="F26" si="38">F25+E26</f>
        <v>0.371</v>
      </c>
      <c r="G26" s="6">
        <v>160.23699999999999</v>
      </c>
      <c r="H26" s="4">
        <f t="shared" ref="H26" si="39">F26*G26</f>
        <v>59.45</v>
      </c>
      <c r="I26" s="4">
        <f t="shared" si="3"/>
        <v>21.53</v>
      </c>
      <c r="J26" s="18">
        <f t="shared" si="4"/>
        <v>0.56779999999999997</v>
      </c>
      <c r="K26" s="4">
        <f>'2025.10'!D39</f>
        <v>0</v>
      </c>
      <c r="L26" s="4">
        <f>'2025.10'!J39</f>
        <v>0</v>
      </c>
      <c r="M26" s="4">
        <f>'2025.10'!O39</f>
        <v>0</v>
      </c>
      <c r="AC26" s="4">
        <f>'2025.10'!$C$39</f>
        <v>0</v>
      </c>
      <c r="AD26" s="4" t="str">
        <f>'2025.10'!$E$39</f>
        <v>0.00</v>
      </c>
      <c r="AE26" s="7">
        <f>'2025.10'!$F$39</f>
        <v>0</v>
      </c>
      <c r="AF26" s="49"/>
      <c r="AG26" s="4"/>
      <c r="AH26" s="43"/>
      <c r="AJ26" s="5"/>
      <c r="AK26" s="4">
        <v>0</v>
      </c>
      <c r="AL26" s="4">
        <f t="shared" si="6"/>
        <v>35.950000000000003</v>
      </c>
      <c r="AM26" s="6">
        <v>1.155</v>
      </c>
      <c r="AN26" s="4">
        <f t="shared" si="0"/>
        <v>51.47</v>
      </c>
      <c r="AO26" s="4">
        <f t="shared" si="5"/>
        <v>43.17</v>
      </c>
    </row>
    <row r="27" spans="1:41" x14ac:dyDescent="0.25">
      <c r="A27" s="44">
        <f>'2025.11'!Q2</f>
        <v>2025.11</v>
      </c>
      <c r="B27" s="16">
        <f>'2025.11'!B39</f>
        <v>0</v>
      </c>
      <c r="C27" s="16">
        <f>'2025.11'!C39</f>
        <v>0</v>
      </c>
      <c r="D27" s="16">
        <f t="shared" ref="D27" si="40">D26+B27</f>
        <v>37.92</v>
      </c>
      <c r="E27" s="17">
        <f>'2025.11'!F39</f>
        <v>0</v>
      </c>
      <c r="F27" s="17">
        <f t="shared" ref="F27" si="41">F26+E27</f>
        <v>0.371</v>
      </c>
      <c r="G27" s="17">
        <v>145.667</v>
      </c>
      <c r="H27" s="16">
        <f t="shared" ref="H27" si="42">F27*G27</f>
        <v>54.04</v>
      </c>
      <c r="I27" s="16">
        <f t="shared" ref="I27" si="43">H27-D27</f>
        <v>16.12</v>
      </c>
      <c r="J27" s="36">
        <f t="shared" ref="J27" si="44">(H27-D27)/D27</f>
        <v>0.42509999999999998</v>
      </c>
      <c r="K27" s="16">
        <f>'2025.11'!D39</f>
        <v>0</v>
      </c>
      <c r="L27" s="16">
        <f>'2025.11'!J39</f>
        <v>0</v>
      </c>
      <c r="M27" s="16">
        <f>'2025.11'!O39</f>
        <v>0</v>
      </c>
      <c r="AC27" s="4">
        <f>'2025.11'!$C$39</f>
        <v>0</v>
      </c>
      <c r="AD27" s="4" t="str">
        <f>'2025.11'!$E$39</f>
        <v>0.00</v>
      </c>
      <c r="AE27" s="7">
        <f>'2025.11'!$F$39</f>
        <v>0</v>
      </c>
      <c r="AF27" s="49">
        <v>45982</v>
      </c>
      <c r="AG27" s="4">
        <f>R5</f>
        <v>45.63</v>
      </c>
      <c r="AH27" s="43"/>
      <c r="AJ27" s="5"/>
      <c r="AK27" s="4">
        <v>0</v>
      </c>
      <c r="AL27" s="4">
        <f t="shared" si="6"/>
        <v>35.950000000000003</v>
      </c>
      <c r="AM27" s="5">
        <v>1.1842999999999999</v>
      </c>
      <c r="AN27" s="4">
        <f t="shared" si="0"/>
        <v>45.63</v>
      </c>
      <c r="AO27" s="4">
        <f t="shared" si="5"/>
        <v>26.93</v>
      </c>
    </row>
    <row r="28" spans="1:41" x14ac:dyDescent="0.25">
      <c r="AC28" s="27"/>
      <c r="AD28" s="27"/>
      <c r="AE28" s="43"/>
      <c r="AF28" s="50"/>
      <c r="AG28" s="27"/>
      <c r="AH28" s="43"/>
    </row>
    <row r="29" spans="1:41" x14ac:dyDescent="0.25">
      <c r="AC29" s="27"/>
      <c r="AD29" s="27"/>
      <c r="AE29" s="43"/>
      <c r="AF29" s="50"/>
      <c r="AG29" s="27"/>
      <c r="AH29" s="43"/>
    </row>
    <row r="30" spans="1:41" x14ac:dyDescent="0.25">
      <c r="AC30" s="27"/>
      <c r="AD30" s="27"/>
      <c r="AE30" s="43"/>
      <c r="AF30" s="50"/>
      <c r="AG30" s="27"/>
      <c r="AH30" s="43"/>
    </row>
    <row r="31" spans="1:41" x14ac:dyDescent="0.25">
      <c r="AC31" s="27"/>
      <c r="AD31" s="27"/>
      <c r="AE31" s="43"/>
      <c r="AF31" s="50"/>
      <c r="AG31" s="27"/>
      <c r="AH31" s="43"/>
    </row>
    <row r="32" spans="1:41" x14ac:dyDescent="0.25">
      <c r="AC32" s="27"/>
      <c r="AD32" s="27"/>
      <c r="AE32" s="43"/>
      <c r="AF32" s="50"/>
      <c r="AG32" s="27"/>
      <c r="AH32" s="43"/>
    </row>
    <row r="33" spans="29:34" x14ac:dyDescent="0.25">
      <c r="AC33" s="27"/>
      <c r="AD33" s="27"/>
      <c r="AE33" s="43"/>
      <c r="AF33" s="50"/>
      <c r="AG33" s="27"/>
      <c r="AH33" s="43"/>
    </row>
    <row r="34" spans="29:34" x14ac:dyDescent="0.25">
      <c r="AC34" s="27"/>
      <c r="AD34" s="27"/>
      <c r="AE34" s="43"/>
      <c r="AF34" s="50"/>
      <c r="AG34" s="27"/>
      <c r="AH34" s="43"/>
    </row>
    <row r="35" spans="29:34" x14ac:dyDescent="0.25">
      <c r="AC35" s="27"/>
      <c r="AD35" s="27"/>
      <c r="AE35" s="43"/>
      <c r="AF35" s="50"/>
      <c r="AG35" s="27"/>
      <c r="AH35" s="43"/>
    </row>
    <row r="36" spans="29:34" x14ac:dyDescent="0.25">
      <c r="AC36" s="27"/>
      <c r="AD36" s="27"/>
      <c r="AE36" s="43"/>
      <c r="AF36" s="50"/>
      <c r="AG36" s="27"/>
      <c r="AH36" s="43"/>
    </row>
    <row r="37" spans="29:34" x14ac:dyDescent="0.25">
      <c r="AC37" s="27"/>
      <c r="AD37" s="27"/>
      <c r="AE37" s="43"/>
      <c r="AF37" s="50"/>
      <c r="AG37" s="27"/>
      <c r="AH37" s="43"/>
    </row>
    <row r="38" spans="29:34" x14ac:dyDescent="0.25">
      <c r="AC38" s="27"/>
      <c r="AD38" s="27"/>
      <c r="AE38" s="43"/>
      <c r="AF38" s="50"/>
      <c r="AG38" s="27"/>
      <c r="AH38" s="43"/>
    </row>
    <row r="39" spans="29:34" x14ac:dyDescent="0.25">
      <c r="AC39" s="27"/>
      <c r="AD39" s="27"/>
      <c r="AE39" s="43"/>
      <c r="AF39" s="50"/>
      <c r="AG39" s="27"/>
      <c r="AH39" s="43"/>
    </row>
    <row r="40" spans="29:34" x14ac:dyDescent="0.25">
      <c r="AC40" s="27"/>
      <c r="AD40" s="27"/>
      <c r="AE40" s="43"/>
      <c r="AF40" s="50"/>
      <c r="AG40" s="27"/>
      <c r="AH40" s="43"/>
    </row>
    <row r="41" spans="29:34" x14ac:dyDescent="0.25">
      <c r="AC41" s="27"/>
      <c r="AD41" s="27"/>
      <c r="AE41" s="43"/>
      <c r="AF41" s="50"/>
      <c r="AG41" s="27"/>
      <c r="AH41" s="43"/>
    </row>
    <row r="42" spans="29:34" x14ac:dyDescent="0.25">
      <c r="AC42" s="27"/>
      <c r="AD42" s="27"/>
      <c r="AE42" s="43"/>
      <c r="AF42" s="50"/>
      <c r="AG42" s="27"/>
      <c r="AH42" s="43"/>
    </row>
    <row r="43" spans="29:34" x14ac:dyDescent="0.25">
      <c r="AF43" s="50"/>
      <c r="AG43" s="27"/>
    </row>
    <row r="44" spans="29:34" x14ac:dyDescent="0.25">
      <c r="AF44" s="50"/>
      <c r="AG44" s="27"/>
    </row>
    <row r="45" spans="29:34" x14ac:dyDescent="0.25">
      <c r="AF45" s="50"/>
      <c r="AG45" s="27"/>
    </row>
    <row r="46" spans="29:34" x14ac:dyDescent="0.25">
      <c r="AF46" s="50"/>
      <c r="AG46" s="27"/>
    </row>
    <row r="47" spans="29:34" x14ac:dyDescent="0.25">
      <c r="AF47" s="50"/>
      <c r="AG47" s="27"/>
    </row>
    <row r="48" spans="29:34" x14ac:dyDescent="0.25">
      <c r="AF48" s="50"/>
      <c r="AG48" s="27"/>
    </row>
    <row r="49" spans="32:33" x14ac:dyDescent="0.25">
      <c r="AF49" s="50"/>
      <c r="AG49" s="27"/>
    </row>
    <row r="50" spans="32:33" x14ac:dyDescent="0.25">
      <c r="AF50" s="50"/>
      <c r="AG50" s="27"/>
    </row>
    <row r="51" spans="32:33" x14ac:dyDescent="0.25">
      <c r="AF51" s="50"/>
      <c r="AG51" s="27"/>
    </row>
    <row r="52" spans="32:33" x14ac:dyDescent="0.25">
      <c r="AF52" s="50"/>
      <c r="AG52" s="27"/>
    </row>
    <row r="53" spans="32:33" x14ac:dyDescent="0.25">
      <c r="AF53" s="50"/>
      <c r="AG53" s="27"/>
    </row>
    <row r="54" spans="32:33" x14ac:dyDescent="0.25">
      <c r="AF54" s="50"/>
      <c r="AG54" s="27"/>
    </row>
    <row r="55" spans="32:33" x14ac:dyDescent="0.25">
      <c r="AF55" s="50"/>
      <c r="AG55" s="27"/>
    </row>
    <row r="56" spans="32:33" x14ac:dyDescent="0.25">
      <c r="AF56" s="50"/>
      <c r="AG56" s="27"/>
    </row>
    <row r="57" spans="32:33" x14ac:dyDescent="0.25">
      <c r="AF57" s="50"/>
      <c r="AG57" s="27"/>
    </row>
    <row r="58" spans="32:33" x14ac:dyDescent="0.25">
      <c r="AF58" s="50"/>
      <c r="AG58" s="27"/>
    </row>
    <row r="59" spans="32:33" x14ac:dyDescent="0.25">
      <c r="AF59" s="50"/>
      <c r="AG59" s="27"/>
    </row>
    <row r="60" spans="32:33" x14ac:dyDescent="0.25">
      <c r="AF60" s="50"/>
      <c r="AG60" s="27"/>
    </row>
    <row r="61" spans="32:33" x14ac:dyDescent="0.25">
      <c r="AF61" s="50"/>
      <c r="AG61" s="27"/>
    </row>
    <row r="62" spans="32:33" x14ac:dyDescent="0.25">
      <c r="AF62" s="50"/>
      <c r="AG62" s="27"/>
    </row>
    <row r="63" spans="32:33" x14ac:dyDescent="0.25">
      <c r="AF63" s="50"/>
      <c r="AG63" s="27"/>
    </row>
    <row r="64" spans="32:33" x14ac:dyDescent="0.25">
      <c r="AF64" s="50"/>
      <c r="AG64" s="27"/>
    </row>
    <row r="65" spans="32:33" x14ac:dyDescent="0.25">
      <c r="AF65" s="50"/>
      <c r="AG65" s="27"/>
    </row>
  </sheetData>
  <mergeCells count="19">
    <mergeCell ref="V3:W3"/>
    <mergeCell ref="X3:X4"/>
    <mergeCell ref="AJ3:AO3"/>
    <mergeCell ref="O3:O4"/>
    <mergeCell ref="P3:P4"/>
    <mergeCell ref="Q3:Q4"/>
    <mergeCell ref="R3:R4"/>
    <mergeCell ref="Y3:Y4"/>
    <mergeCell ref="AC3:AC4"/>
    <mergeCell ref="AD3:AD4"/>
    <mergeCell ref="AE3:AE4"/>
    <mergeCell ref="S3:U3"/>
    <mergeCell ref="AF3:AG3"/>
    <mergeCell ref="M3:M4"/>
    <mergeCell ref="A3:A4"/>
    <mergeCell ref="B3:D3"/>
    <mergeCell ref="E3:F3"/>
    <mergeCell ref="G3:J3"/>
    <mergeCell ref="K3:L3"/>
  </mergeCells>
  <hyperlinks>
    <hyperlink ref="A5" location="'2024.01'!A1" display="'2024.01'!A1" xr:uid="{3C761C2D-1450-4BAD-9436-4D290560A155}"/>
    <hyperlink ref="A6" location="'2024.02'!A1" display="'2024.02'!A1" xr:uid="{0F304AC4-D329-42DD-BCB1-B58C876D966A}"/>
    <hyperlink ref="A7" location="'2024.03'!A1" display="'2024.03'!A1" xr:uid="{69948435-E2B3-4BA2-BB5C-FAF2F830A747}"/>
    <hyperlink ref="A8" location="'2024.04'!A1" display="'2024.04'!A1" xr:uid="{257BD019-C327-4847-8E08-55713D240EA0}"/>
    <hyperlink ref="A9" location="'2024.05'!A1" display="'2024.05'!A1" xr:uid="{B9475212-457E-43AA-9F47-A842D245D0F1}"/>
    <hyperlink ref="A10" location="'2024.06'!A1" display="'2024.06'!A1" xr:uid="{19D8501F-37D6-4398-B760-9D5FE945CD5F}"/>
    <hyperlink ref="A11" location="'2024.07'!A1" display="'2024.07'!A1" xr:uid="{F79DC74B-B87A-44C4-8606-1D4CAB5E0132}"/>
    <hyperlink ref="A12" location="'2024.08'!A1" display="'2024.08'!A1" xr:uid="{23943EC5-71AB-4114-A86B-DD7217619EA7}"/>
    <hyperlink ref="A13" location="'2024.09'!A1" display="'2024.09'!A1" xr:uid="{656338C0-21B9-4205-AF07-2BA9E97E7132}"/>
    <hyperlink ref="A14" location="'2024.10'!A1" display="'2024.10'!A1" xr:uid="{6EA94F9F-5142-4473-A5B8-81DA5BDC8E9D}"/>
    <hyperlink ref="A15" location="'2024.11'!A1" display="'2024.11'!A1" xr:uid="{B097FDED-2DFE-4185-80CC-51080C3A8BC2}"/>
    <hyperlink ref="A16" location="'2024.12'!A1" display="'2024.12'!A1" xr:uid="{7D35F10E-0B77-41CB-8680-CA416D92F93F}"/>
    <hyperlink ref="A17" location="'2025.01'!A1" display="'2025.01'!A1" xr:uid="{7E130A3F-6357-4F4A-9DC6-033260526BA7}"/>
    <hyperlink ref="A18" location="'2025.02'!A1" display="'2025.02'!A1" xr:uid="{A5A13B7D-7091-4810-9E0D-DEB217AC4A3D}"/>
    <hyperlink ref="A19" location="'2025.03'!A1" display="'2025.03'!A1" xr:uid="{007679FA-06B5-4D2A-AC3D-8775FC3D1096}"/>
    <hyperlink ref="A20" location="'2025.04'!A1" display="'2025.04'!A1" xr:uid="{9C25D76A-8B15-446B-B82E-2D9ECC57A7F3}"/>
    <hyperlink ref="A21" location="'2025.05'!A1" display="'2025.05'!A1" xr:uid="{EFEBCDFB-A7DB-4801-9EC5-1785402991A1}"/>
    <hyperlink ref="A22" location="'2025.06'!A1" display="'2025.06'!A1" xr:uid="{6FDA2E1C-557D-48A4-9DFD-0CC87ABC23CE}"/>
    <hyperlink ref="A23" location="'2025.07'!A1" display="'2025.07'!A1" xr:uid="{EB0EE384-7D1D-460F-9169-4BB8C95EE19D}"/>
    <hyperlink ref="A24" location="'2025.08'!A1" display="'2025.08'!A1" xr:uid="{82474C0C-417A-48C7-AA3C-8054D1F6DB51}"/>
    <hyperlink ref="A25" location="'2025.09'!A1" display="'2025.09'!A1" xr:uid="{E0C85096-47B2-4035-BDD7-35DCC9CDBC14}"/>
    <hyperlink ref="A26" location="'2025.10'!A1" display="'2025.10'!A1" xr:uid="{2574A874-17AF-4D8A-8666-25474D6391B5}"/>
    <hyperlink ref="A27" location="'2025.11'!A1" display="'2025.11'!A1" xr:uid="{7469CE5A-0B0A-4C66-AE71-15E34FDC230D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65"/>
  <sheetViews>
    <sheetView workbookViewId="0">
      <pane xSplit="1" ySplit="5" topLeftCell="B6" activePane="bottomRight" state="frozen"/>
      <selection activeCell="H28" sqref="H28"/>
      <selection pane="topRight" activeCell="H28" sqref="H28"/>
      <selection pane="bottomLeft" activeCell="H28" sqref="H28"/>
      <selection pane="bottomRight" activeCell="H28" sqref="H28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31" t="s">
        <v>49</v>
      </c>
    </row>
    <row r="3" spans="1:33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51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</row>
    <row r="4" spans="1:33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</row>
    <row r="5" spans="1:33" x14ac:dyDescent="0.25">
      <c r="A5" s="38">
        <f>'2024.11'!Q2</f>
        <v>2024.11</v>
      </c>
      <c r="B5" s="4">
        <f>'2024.11'!B49</f>
        <v>20</v>
      </c>
      <c r="C5" s="4">
        <f>'2024.11'!C49</f>
        <v>20</v>
      </c>
      <c r="D5" s="4">
        <f>B5</f>
        <v>20</v>
      </c>
      <c r="E5" s="6">
        <f>'2024.11'!F49</f>
        <v>1.7999999999999999E-2</v>
      </c>
      <c r="F5" s="6">
        <f>E5</f>
        <v>1.7999999999999999E-2</v>
      </c>
      <c r="G5" s="6">
        <v>1110.6089999999999</v>
      </c>
      <c r="H5" s="4">
        <f>F5*G5</f>
        <v>19.989999999999998</v>
      </c>
      <c r="I5" s="4">
        <f>H5-D5</f>
        <v>-0.01</v>
      </c>
      <c r="J5" s="18">
        <f>(H5-D5)/D5</f>
        <v>-5.0000000000000001E-4</v>
      </c>
      <c r="K5" s="4">
        <f>'2024.11'!D49</f>
        <v>0</v>
      </c>
      <c r="L5" s="4">
        <f>'2024.11'!J49</f>
        <v>0</v>
      </c>
      <c r="M5" s="4">
        <f>'2024.11'!O49</f>
        <v>0</v>
      </c>
      <c r="O5" s="3" t="s">
        <v>2</v>
      </c>
      <c r="P5" s="4">
        <f>SUM(B5:B42)</f>
        <v>20</v>
      </c>
      <c r="Q5" s="7">
        <f>SUM(E5:E42)</f>
        <v>1.7999999999999999E-2</v>
      </c>
      <c r="R5" s="4">
        <v>21.1</v>
      </c>
      <c r="S5" s="4">
        <f>R5-P5+X5</f>
        <v>1.1000000000000001</v>
      </c>
      <c r="T5" s="18">
        <f>(R5-P5+X5)/P5</f>
        <v>5.5E-2</v>
      </c>
      <c r="U5" s="18">
        <f>XIRR(AG5:AG65,AF5:AF65)</f>
        <v>5.5199999999999999E-2</v>
      </c>
      <c r="V5" s="4">
        <f>SUM(K5:K42)</f>
        <v>0</v>
      </c>
      <c r="W5" s="4">
        <f t="shared" ref="W5:X5" si="0">SUM(L5:L42)</f>
        <v>0</v>
      </c>
      <c r="X5" s="4">
        <f t="shared" si="0"/>
        <v>0</v>
      </c>
      <c r="Y5" s="4" cm="1">
        <f t="array" ref="Y5">SUMPRODUCT(IFERROR(AD5:AD200,0),IFERROR(AE5:AE200,0))/SUM(IFERROR(AE5:AE200,0))</f>
        <v>1111.1099999999999</v>
      </c>
      <c r="AC5" s="4">
        <f>'2024.11'!$C$49</f>
        <v>20</v>
      </c>
      <c r="AD5" s="4">
        <f>'2024.11'!$E$49</f>
        <v>1111.1099999999999</v>
      </c>
      <c r="AE5" s="7">
        <f>'2024.11'!$F$49</f>
        <v>1.7999999999999999E-2</v>
      </c>
      <c r="AF5" s="49">
        <f>'2024.11'!$A$45</f>
        <v>45614</v>
      </c>
      <c r="AG5" s="4">
        <f>'2024.11'!$B$45*-1</f>
        <v>-20</v>
      </c>
    </row>
    <row r="6" spans="1:33" x14ac:dyDescent="0.25">
      <c r="A6" s="38">
        <f>'2024.12'!Q2</f>
        <v>2024.12</v>
      </c>
      <c r="B6" s="4">
        <f>'2024.12'!B49</f>
        <v>0</v>
      </c>
      <c r="C6" s="4">
        <f>'2024.12'!C49</f>
        <v>0</v>
      </c>
      <c r="D6" s="4">
        <f t="shared" ref="D6:D16" si="1">D5+B6</f>
        <v>20</v>
      </c>
      <c r="E6" s="6">
        <f>'2024.12'!F49</f>
        <v>0</v>
      </c>
      <c r="F6" s="6">
        <f>F5+E6</f>
        <v>1.7999999999999999E-2</v>
      </c>
      <c r="G6" s="6">
        <v>1110.242</v>
      </c>
      <c r="H6" s="4">
        <f t="shared" ref="H6:H11" si="2">F6*G6</f>
        <v>19.98</v>
      </c>
      <c r="I6" s="4">
        <f>H6-D6</f>
        <v>-0.02</v>
      </c>
      <c r="J6" s="18">
        <f t="shared" ref="J6:J16" si="3">(H6-D6)/D6</f>
        <v>-1E-3</v>
      </c>
      <c r="K6" s="4">
        <f>'2024.12'!D49</f>
        <v>0</v>
      </c>
      <c r="L6" s="4">
        <f>'2024.12'!J49</f>
        <v>0</v>
      </c>
      <c r="M6" s="4">
        <f>'2024.12'!O49</f>
        <v>0</v>
      </c>
      <c r="AC6" s="4">
        <f>'2024.12'!$C$49</f>
        <v>0</v>
      </c>
      <c r="AD6" s="4" t="str">
        <f>'2024.12'!$E$49</f>
        <v>0.00</v>
      </c>
      <c r="AE6" s="7">
        <f>'2024.12'!$F$49</f>
        <v>0</v>
      </c>
      <c r="AF6" s="49"/>
      <c r="AG6" s="4"/>
    </row>
    <row r="7" spans="1:33" x14ac:dyDescent="0.25">
      <c r="A7" s="38">
        <f>'2025.01'!Q2</f>
        <v>2025.01</v>
      </c>
      <c r="B7" s="4">
        <f>'2025.01'!B49</f>
        <v>0</v>
      </c>
      <c r="C7" s="4">
        <f>'2025.01'!C49</f>
        <v>0</v>
      </c>
      <c r="D7" s="4">
        <f t="shared" si="1"/>
        <v>20</v>
      </c>
      <c r="E7" s="6">
        <f>'2025.01'!F49</f>
        <v>0</v>
      </c>
      <c r="F7" s="6">
        <f t="shared" ref="F7:F11" si="4">F6+E7</f>
        <v>1.7999999999999999E-2</v>
      </c>
      <c r="G7" s="6">
        <v>1121.548</v>
      </c>
      <c r="H7" s="4">
        <f t="shared" si="2"/>
        <v>20.190000000000001</v>
      </c>
      <c r="I7" s="4">
        <f t="shared" ref="I7:I16" si="5">H7-D7</f>
        <v>0.19</v>
      </c>
      <c r="J7" s="18">
        <f t="shared" si="3"/>
        <v>9.4999999999999998E-3</v>
      </c>
      <c r="K7" s="4">
        <f>'2025.01'!D49</f>
        <v>0</v>
      </c>
      <c r="L7" s="4">
        <f>'2025.01'!J49</f>
        <v>0</v>
      </c>
      <c r="M7" s="4">
        <f>'2025.01'!O49</f>
        <v>0</v>
      </c>
      <c r="AC7" s="4">
        <f>'2025.01'!$C$49</f>
        <v>0</v>
      </c>
      <c r="AD7" s="4" t="str">
        <f>'2025.01'!$E$49</f>
        <v>0.00</v>
      </c>
      <c r="AE7" s="7">
        <f>'2025.01'!$F$49</f>
        <v>0</v>
      </c>
      <c r="AF7" s="49"/>
      <c r="AG7" s="4"/>
    </row>
    <row r="8" spans="1:33" x14ac:dyDescent="0.25">
      <c r="A8" s="38">
        <f>'2025.02'!Q2</f>
        <v>2025.02</v>
      </c>
      <c r="B8" s="4">
        <f>'2025.02'!B49</f>
        <v>0</v>
      </c>
      <c r="C8" s="4">
        <f>'2025.02'!C49</f>
        <v>0</v>
      </c>
      <c r="D8" s="4">
        <f t="shared" si="1"/>
        <v>20</v>
      </c>
      <c r="E8" s="6">
        <f>'2025.02'!F49</f>
        <v>0</v>
      </c>
      <c r="F8" s="6">
        <f t="shared" si="4"/>
        <v>1.7999999999999999E-2</v>
      </c>
      <c r="G8" s="6">
        <v>1128.577</v>
      </c>
      <c r="H8" s="4">
        <f t="shared" si="2"/>
        <v>20.309999999999999</v>
      </c>
      <c r="I8" s="4">
        <f t="shared" si="5"/>
        <v>0.31</v>
      </c>
      <c r="J8" s="18">
        <f t="shared" si="3"/>
        <v>1.55E-2</v>
      </c>
      <c r="K8" s="4">
        <f>'2025.02'!D49</f>
        <v>0</v>
      </c>
      <c r="L8" s="4">
        <f>'2025.03'!J49</f>
        <v>0</v>
      </c>
      <c r="M8" s="4">
        <f>'2025.02'!O49</f>
        <v>0</v>
      </c>
      <c r="AC8" s="4">
        <f>'2025.02'!$C$49</f>
        <v>0</v>
      </c>
      <c r="AD8" s="4" t="str">
        <f>'2025.02'!$E$49</f>
        <v>0.00</v>
      </c>
      <c r="AE8" s="7">
        <f>'2025.02'!$F$49</f>
        <v>0</v>
      </c>
      <c r="AF8" s="49"/>
      <c r="AG8" s="4"/>
    </row>
    <row r="9" spans="1:33" x14ac:dyDescent="0.25">
      <c r="A9" s="38">
        <f>'2025.03'!Q2</f>
        <v>2025.03</v>
      </c>
      <c r="B9" s="4">
        <f>'2025.03'!B49</f>
        <v>0</v>
      </c>
      <c r="C9" s="4">
        <f>'2025.03'!C49</f>
        <v>0</v>
      </c>
      <c r="D9" s="4">
        <f t="shared" si="1"/>
        <v>20</v>
      </c>
      <c r="E9" s="6">
        <f>'2025.03'!F49</f>
        <v>0</v>
      </c>
      <c r="F9" s="6">
        <f t="shared" si="4"/>
        <v>1.7999999999999999E-2</v>
      </c>
      <c r="G9" s="6">
        <v>1118.9739999999999</v>
      </c>
      <c r="H9" s="4">
        <f t="shared" si="2"/>
        <v>20.14</v>
      </c>
      <c r="I9" s="4">
        <f t="shared" si="5"/>
        <v>0.14000000000000001</v>
      </c>
      <c r="J9" s="18">
        <f t="shared" si="3"/>
        <v>7.0000000000000001E-3</v>
      </c>
      <c r="K9" s="4">
        <f>'2025.03'!D49</f>
        <v>0</v>
      </c>
      <c r="L9" s="4">
        <f>'2025.03'!J49</f>
        <v>0</v>
      </c>
      <c r="M9" s="4">
        <f>'2025.03'!O49</f>
        <v>0</v>
      </c>
      <c r="AC9" s="4">
        <f>'2025.03'!$C$49</f>
        <v>0</v>
      </c>
      <c r="AD9" s="4" t="str">
        <f>'2025.03'!$E$49</f>
        <v>0.00</v>
      </c>
      <c r="AE9" s="7">
        <f>'2025.03'!$F$49</f>
        <v>0</v>
      </c>
      <c r="AF9" s="49"/>
      <c r="AG9" s="4"/>
    </row>
    <row r="10" spans="1:33" x14ac:dyDescent="0.25">
      <c r="A10" s="38">
        <f>'2025.04'!Q2</f>
        <v>2025.04</v>
      </c>
      <c r="B10" s="4">
        <f>'2025.04'!B49</f>
        <v>0</v>
      </c>
      <c r="C10" s="4">
        <f>'2025.04'!C49</f>
        <v>0</v>
      </c>
      <c r="D10" s="4">
        <f t="shared" si="1"/>
        <v>20</v>
      </c>
      <c r="E10" s="6">
        <f>'2025.04'!F49</f>
        <v>0</v>
      </c>
      <c r="F10" s="6">
        <f t="shared" si="4"/>
        <v>1.7999999999999999E-2</v>
      </c>
      <c r="G10" s="6">
        <v>1123.0329999999999</v>
      </c>
      <c r="H10" s="4">
        <f t="shared" si="2"/>
        <v>20.21</v>
      </c>
      <c r="I10" s="4">
        <f t="shared" si="5"/>
        <v>0.21</v>
      </c>
      <c r="J10" s="18">
        <f t="shared" si="3"/>
        <v>1.0500000000000001E-2</v>
      </c>
      <c r="K10" s="4">
        <f>'2025.04'!D49</f>
        <v>0</v>
      </c>
      <c r="L10" s="4">
        <f>'2025.04'!J49</f>
        <v>0</v>
      </c>
      <c r="M10" s="4">
        <f>'2025.04'!O49</f>
        <v>0</v>
      </c>
      <c r="AC10" s="4">
        <f>'2025.04'!$C$49</f>
        <v>0</v>
      </c>
      <c r="AD10" s="4" t="str">
        <f>'2025.04'!$E$49</f>
        <v>0.00</v>
      </c>
      <c r="AE10" s="7">
        <f>'2025.04'!$F$49</f>
        <v>0</v>
      </c>
      <c r="AF10" s="49"/>
      <c r="AG10" s="4"/>
    </row>
    <row r="11" spans="1:33" x14ac:dyDescent="0.25">
      <c r="A11" s="38">
        <f>'2025.05'!Q2</f>
        <v>2025.05</v>
      </c>
      <c r="B11" s="4">
        <f>'2025.05'!B49</f>
        <v>0</v>
      </c>
      <c r="C11" s="4">
        <f>'2025.05'!C49</f>
        <v>0</v>
      </c>
      <c r="D11" s="4">
        <f t="shared" si="1"/>
        <v>20</v>
      </c>
      <c r="E11" s="6">
        <f>'2025.05'!F49</f>
        <v>0</v>
      </c>
      <c r="F11" s="6">
        <f t="shared" si="4"/>
        <v>1.7999999999999999E-2</v>
      </c>
      <c r="G11" s="6">
        <v>1133.5319999999999</v>
      </c>
      <c r="H11" s="4">
        <f t="shared" si="2"/>
        <v>20.399999999999999</v>
      </c>
      <c r="I11" s="4">
        <f t="shared" si="5"/>
        <v>0.4</v>
      </c>
      <c r="J11" s="18">
        <f t="shared" si="3"/>
        <v>0.02</v>
      </c>
      <c r="K11" s="4">
        <f>'2025.05'!D49</f>
        <v>0</v>
      </c>
      <c r="L11" s="4">
        <f>'2025.05'!J49</f>
        <v>0</v>
      </c>
      <c r="M11" s="4">
        <f>'2025.05'!O49</f>
        <v>0</v>
      </c>
      <c r="AC11" s="4">
        <f>'2025.05'!$C$49</f>
        <v>0</v>
      </c>
      <c r="AD11" s="4" t="str">
        <f>'2025.05'!$E$49</f>
        <v>0.00</v>
      </c>
      <c r="AE11" s="7">
        <f>'2025.05'!$F$49</f>
        <v>0</v>
      </c>
      <c r="AF11" s="49"/>
      <c r="AG11" s="4"/>
    </row>
    <row r="12" spans="1:33" x14ac:dyDescent="0.25">
      <c r="A12" s="38">
        <f>'2025.06'!Q2</f>
        <v>2025.06</v>
      </c>
      <c r="B12" s="4">
        <f>'2025.06'!B49</f>
        <v>0</v>
      </c>
      <c r="C12" s="4">
        <f>'2025.06'!C49</f>
        <v>0</v>
      </c>
      <c r="D12" s="4">
        <f t="shared" si="1"/>
        <v>20</v>
      </c>
      <c r="E12" s="6">
        <f>'2025.06'!F49</f>
        <v>0</v>
      </c>
      <c r="F12" s="6">
        <f t="shared" ref="F12" si="6">F11+E12</f>
        <v>1.7999999999999999E-2</v>
      </c>
      <c r="G12" s="6">
        <v>1147.2570000000001</v>
      </c>
      <c r="H12" s="4">
        <f t="shared" ref="H12" si="7">F12*G12</f>
        <v>20.65</v>
      </c>
      <c r="I12" s="4">
        <f t="shared" si="5"/>
        <v>0.65</v>
      </c>
      <c r="J12" s="18">
        <f t="shared" si="3"/>
        <v>3.2500000000000001E-2</v>
      </c>
      <c r="K12" s="4">
        <f>'2025.06'!D49</f>
        <v>0</v>
      </c>
      <c r="L12" s="4">
        <f>'2025.06'!J49</f>
        <v>0</v>
      </c>
      <c r="M12" s="4">
        <f>'2025.06'!O49</f>
        <v>0</v>
      </c>
      <c r="AC12" s="4">
        <f>'2025.06'!$C$49</f>
        <v>0</v>
      </c>
      <c r="AD12" s="4" t="str">
        <f>'2025.06'!$E$49</f>
        <v>0.00</v>
      </c>
      <c r="AE12" s="7">
        <f>'2025.06'!$F$49</f>
        <v>0</v>
      </c>
      <c r="AF12" s="49"/>
      <c r="AG12" s="4"/>
    </row>
    <row r="13" spans="1:33" x14ac:dyDescent="0.25">
      <c r="A13" s="38">
        <f>'2025.07'!Q2</f>
        <v>2025.07</v>
      </c>
      <c r="B13" s="4">
        <f>'2025.07'!B49</f>
        <v>0</v>
      </c>
      <c r="C13" s="4">
        <f>'2025.07'!C49</f>
        <v>0</v>
      </c>
      <c r="D13" s="4">
        <f t="shared" si="1"/>
        <v>20</v>
      </c>
      <c r="E13" s="6">
        <f>'2025.07'!F49</f>
        <v>0</v>
      </c>
      <c r="F13" s="6">
        <f t="shared" ref="F13" si="8">F12+E13</f>
        <v>1.7999999999999999E-2</v>
      </c>
      <c r="G13" s="6">
        <v>1155.3309999999999</v>
      </c>
      <c r="H13" s="4">
        <f t="shared" ref="H13" si="9">F13*G13</f>
        <v>20.8</v>
      </c>
      <c r="I13" s="4">
        <f t="shared" si="5"/>
        <v>0.8</v>
      </c>
      <c r="J13" s="18">
        <f t="shared" si="3"/>
        <v>0.04</v>
      </c>
      <c r="K13" s="4">
        <f>'2025.07'!D49</f>
        <v>0</v>
      </c>
      <c r="L13" s="4">
        <f>'2025.07'!J49</f>
        <v>0</v>
      </c>
      <c r="M13" s="4">
        <f>'2025.07'!O49</f>
        <v>0</v>
      </c>
      <c r="AC13" s="4">
        <f>'2025.07'!$C$49</f>
        <v>0</v>
      </c>
      <c r="AD13" s="4" t="str">
        <f>'2025.07'!$E$49</f>
        <v>0.00</v>
      </c>
      <c r="AE13" s="7">
        <f>'2025.07'!$F$49</f>
        <v>0</v>
      </c>
      <c r="AF13" s="49"/>
      <c r="AG13" s="4"/>
    </row>
    <row r="14" spans="1:33" x14ac:dyDescent="0.25">
      <c r="A14" s="38">
        <f>'2025.08'!Q2</f>
        <v>2025.08</v>
      </c>
      <c r="B14" s="4">
        <f>'2025.08'!B49</f>
        <v>0</v>
      </c>
      <c r="C14" s="4">
        <f>'2025.08'!C49</f>
        <v>0</v>
      </c>
      <c r="D14" s="4">
        <f t="shared" si="1"/>
        <v>20</v>
      </c>
      <c r="E14" s="6">
        <f>'2025.08'!F49</f>
        <v>0</v>
      </c>
      <c r="F14" s="6">
        <f t="shared" ref="F14" si="10">F13+E14</f>
        <v>1.7999999999999999E-2</v>
      </c>
      <c r="G14" s="6">
        <v>1162.2539999999999</v>
      </c>
      <c r="H14" s="4">
        <f t="shared" ref="H14" si="11">F14*G14</f>
        <v>20.92</v>
      </c>
      <c r="I14" s="4">
        <f t="shared" si="5"/>
        <v>0.92</v>
      </c>
      <c r="J14" s="18">
        <f t="shared" si="3"/>
        <v>4.5999999999999999E-2</v>
      </c>
      <c r="K14" s="4">
        <f>'2025.08'!D49</f>
        <v>0</v>
      </c>
      <c r="L14" s="4">
        <f>'2025.08'!J49</f>
        <v>0</v>
      </c>
      <c r="M14" s="4">
        <f>'2025.08'!O49</f>
        <v>0</v>
      </c>
      <c r="AC14" s="4">
        <f>'2025.08'!$C$49</f>
        <v>0</v>
      </c>
      <c r="AD14" s="4" t="str">
        <f>'2025.08'!$E$49</f>
        <v>0.00</v>
      </c>
      <c r="AE14" s="7">
        <f>'2025.08'!$F$49</f>
        <v>0</v>
      </c>
      <c r="AF14" s="49"/>
      <c r="AG14" s="4"/>
    </row>
    <row r="15" spans="1:33" x14ac:dyDescent="0.25">
      <c r="A15" s="38">
        <f>'2025.09'!Q2</f>
        <v>2025.09</v>
      </c>
      <c r="B15" s="4">
        <f>'2025.09'!B49</f>
        <v>0</v>
      </c>
      <c r="C15" s="4">
        <f>'2025.09'!C49</f>
        <v>0</v>
      </c>
      <c r="D15" s="4">
        <f t="shared" si="1"/>
        <v>20</v>
      </c>
      <c r="E15" s="6">
        <f>'2025.09'!F49</f>
        <v>0</v>
      </c>
      <c r="F15" s="6">
        <f t="shared" ref="F15" si="12">F14+E15</f>
        <v>1.7999999999999999E-2</v>
      </c>
      <c r="G15" s="6">
        <v>1167.0740000000001</v>
      </c>
      <c r="H15" s="4">
        <f t="shared" ref="H15" si="13">F15*G15</f>
        <v>21.01</v>
      </c>
      <c r="I15" s="4">
        <f t="shared" si="5"/>
        <v>1.01</v>
      </c>
      <c r="J15" s="18">
        <f t="shared" si="3"/>
        <v>5.0500000000000003E-2</v>
      </c>
      <c r="K15" s="4">
        <f>'2025.09'!D49</f>
        <v>0</v>
      </c>
      <c r="L15" s="4">
        <f>'2025.09'!J49</f>
        <v>0</v>
      </c>
      <c r="M15" s="4">
        <f>'2025.09'!O49</f>
        <v>0</v>
      </c>
      <c r="AC15" s="4">
        <f>'2025.09'!$C$49</f>
        <v>0</v>
      </c>
      <c r="AD15" s="4" t="str">
        <f>'2025.09'!$E$49</f>
        <v>0.00</v>
      </c>
      <c r="AE15" s="7">
        <f>'2025.09'!$F$49</f>
        <v>0</v>
      </c>
      <c r="AF15" s="49"/>
      <c r="AG15" s="4"/>
    </row>
    <row r="16" spans="1:33" x14ac:dyDescent="0.25">
      <c r="A16" s="38">
        <f>'2025.10'!Q2</f>
        <v>2025.1</v>
      </c>
      <c r="B16" s="4">
        <f>'2025.10'!B49</f>
        <v>0</v>
      </c>
      <c r="C16" s="4">
        <f>'2025.10'!C49</f>
        <v>0</v>
      </c>
      <c r="D16" s="4">
        <f t="shared" si="1"/>
        <v>20</v>
      </c>
      <c r="E16" s="6">
        <f>'2025.10'!F49</f>
        <v>0</v>
      </c>
      <c r="F16" s="6">
        <f t="shared" ref="F16" si="14">F15+E16</f>
        <v>1.7999999999999999E-2</v>
      </c>
      <c r="G16" s="6">
        <v>1173.674</v>
      </c>
      <c r="H16" s="4">
        <f t="shared" ref="H16" si="15">F16*G16</f>
        <v>21.13</v>
      </c>
      <c r="I16" s="4">
        <f t="shared" si="5"/>
        <v>1.1299999999999999</v>
      </c>
      <c r="J16" s="18">
        <f t="shared" si="3"/>
        <v>5.6500000000000002E-2</v>
      </c>
      <c r="K16" s="4">
        <f>'2025.10'!D49</f>
        <v>0</v>
      </c>
      <c r="L16" s="4">
        <f>'2025.10'!J49</f>
        <v>0</v>
      </c>
      <c r="M16" s="4">
        <f>'2025.10'!O49</f>
        <v>0</v>
      </c>
      <c r="AC16" s="4">
        <f>'2025.10'!$C$49</f>
        <v>0</v>
      </c>
      <c r="AD16" s="4" t="str">
        <f>'2025.10'!$E$49</f>
        <v>0.00</v>
      </c>
      <c r="AE16" s="7">
        <f>'2025.10'!$F$49</f>
        <v>0</v>
      </c>
      <c r="AF16" s="49"/>
      <c r="AG16" s="4"/>
    </row>
    <row r="17" spans="1:33" x14ac:dyDescent="0.25">
      <c r="A17" s="44">
        <f>'2025.11'!Q2</f>
        <v>2025.11</v>
      </c>
      <c r="B17" s="16">
        <f>'2025.11'!B49</f>
        <v>0</v>
      </c>
      <c r="C17" s="16">
        <f>'2025.11'!C49</f>
        <v>0</v>
      </c>
      <c r="D17" s="16">
        <f t="shared" ref="D17" si="16">D16+B17</f>
        <v>20</v>
      </c>
      <c r="E17" s="17">
        <f>'2025.11'!F49</f>
        <v>0</v>
      </c>
      <c r="F17" s="17">
        <f t="shared" ref="F17" si="17">F16+E17</f>
        <v>1.7999999999999999E-2</v>
      </c>
      <c r="G17" s="17">
        <v>1172.3810000000001</v>
      </c>
      <c r="H17" s="16">
        <f t="shared" ref="H17" si="18">F17*G17</f>
        <v>21.1</v>
      </c>
      <c r="I17" s="16">
        <f t="shared" ref="I17" si="19">H17-D17</f>
        <v>1.1000000000000001</v>
      </c>
      <c r="J17" s="36">
        <f t="shared" ref="J17" si="20">(H17-D17)/D17</f>
        <v>5.5E-2</v>
      </c>
      <c r="K17" s="16">
        <f>'2025.10'!D50</f>
        <v>0</v>
      </c>
      <c r="L17" s="16">
        <f>'2025.10'!J50</f>
        <v>0</v>
      </c>
      <c r="M17" s="16">
        <f>'2025.10'!O50</f>
        <v>0</v>
      </c>
      <c r="AC17" s="4">
        <f>'2025.11'!$C$49</f>
        <v>0</v>
      </c>
      <c r="AD17" s="4" t="str">
        <f>'2025.11'!$E$49</f>
        <v>0.00</v>
      </c>
      <c r="AE17" s="7">
        <f>'2025.11'!$F$49</f>
        <v>0</v>
      </c>
      <c r="AF17" s="49">
        <v>45978</v>
      </c>
      <c r="AG17" s="4">
        <f>R5</f>
        <v>21.1</v>
      </c>
    </row>
    <row r="18" spans="1:33" x14ac:dyDescent="0.25">
      <c r="AC18" s="27"/>
      <c r="AD18" s="27"/>
      <c r="AE18" s="43"/>
      <c r="AF18" s="50"/>
      <c r="AG18" s="27"/>
    </row>
    <row r="19" spans="1:33" x14ac:dyDescent="0.25">
      <c r="AC19" s="27"/>
      <c r="AD19" s="27"/>
      <c r="AE19" s="43"/>
      <c r="AF19" s="50"/>
      <c r="AG19" s="27"/>
    </row>
    <row r="20" spans="1:33" x14ac:dyDescent="0.25">
      <c r="AC20" s="27"/>
      <c r="AD20" s="27"/>
      <c r="AE20" s="43"/>
      <c r="AF20" s="50"/>
      <c r="AG20" s="27"/>
    </row>
    <row r="21" spans="1:33" x14ac:dyDescent="0.25">
      <c r="AC21" s="27"/>
      <c r="AD21" s="27"/>
      <c r="AE21" s="43"/>
      <c r="AF21" s="50"/>
      <c r="AG21" s="27"/>
    </row>
    <row r="22" spans="1:33" x14ac:dyDescent="0.25">
      <c r="AC22" s="27"/>
      <c r="AD22" s="27"/>
      <c r="AE22" s="43"/>
      <c r="AF22" s="50"/>
      <c r="AG22" s="27"/>
    </row>
    <row r="23" spans="1:33" x14ac:dyDescent="0.25">
      <c r="AC23" s="27"/>
      <c r="AD23" s="27"/>
      <c r="AE23" s="43"/>
      <c r="AF23" s="50"/>
      <c r="AG23" s="27"/>
    </row>
    <row r="24" spans="1:33" x14ac:dyDescent="0.25">
      <c r="AC24" s="27"/>
      <c r="AD24" s="27"/>
      <c r="AE24" s="43"/>
      <c r="AF24" s="50"/>
      <c r="AG24" s="27"/>
    </row>
    <row r="25" spans="1:33" x14ac:dyDescent="0.25">
      <c r="AC25" s="27"/>
      <c r="AD25" s="27"/>
      <c r="AE25" s="43"/>
      <c r="AF25" s="50"/>
      <c r="AG25" s="27"/>
    </row>
    <row r="26" spans="1:33" x14ac:dyDescent="0.25">
      <c r="AC26" s="27"/>
      <c r="AD26" s="27"/>
      <c r="AE26" s="43"/>
      <c r="AF26" s="50"/>
      <c r="AG26" s="27"/>
    </row>
    <row r="27" spans="1:33" x14ac:dyDescent="0.25">
      <c r="AC27" s="27"/>
      <c r="AD27" s="27"/>
      <c r="AE27" s="43"/>
      <c r="AF27" s="50"/>
      <c r="AG27" s="27"/>
    </row>
    <row r="28" spans="1:33" x14ac:dyDescent="0.25">
      <c r="AC28" s="27"/>
      <c r="AD28" s="27"/>
      <c r="AE28" s="43"/>
      <c r="AF28" s="50"/>
      <c r="AG28" s="27"/>
    </row>
    <row r="29" spans="1:33" x14ac:dyDescent="0.25">
      <c r="AC29" s="27"/>
      <c r="AD29" s="27"/>
      <c r="AE29" s="43"/>
      <c r="AF29" s="50"/>
      <c r="AG29" s="27"/>
    </row>
    <row r="30" spans="1:33" x14ac:dyDescent="0.25">
      <c r="AC30" s="27"/>
      <c r="AD30" s="27"/>
      <c r="AE30" s="43"/>
      <c r="AF30" s="50"/>
      <c r="AG30" s="27"/>
    </row>
    <row r="31" spans="1:33" x14ac:dyDescent="0.25">
      <c r="AC31" s="27"/>
      <c r="AD31" s="27"/>
      <c r="AE31" s="43"/>
      <c r="AF31" s="50"/>
      <c r="AG31" s="27"/>
    </row>
    <row r="32" spans="1:33" x14ac:dyDescent="0.25">
      <c r="AC32" s="27"/>
      <c r="AD32" s="27"/>
      <c r="AE32" s="43"/>
      <c r="AF32" s="50"/>
      <c r="AG32" s="27"/>
    </row>
    <row r="33" spans="29:33" x14ac:dyDescent="0.25">
      <c r="AC33" s="27"/>
      <c r="AD33" s="27"/>
      <c r="AE33" s="43"/>
      <c r="AF33" s="50"/>
      <c r="AG33" s="27"/>
    </row>
    <row r="34" spans="29:33" x14ac:dyDescent="0.25">
      <c r="AC34" s="27"/>
      <c r="AD34" s="27"/>
      <c r="AE34" s="43"/>
      <c r="AF34" s="50"/>
      <c r="AG34" s="27"/>
    </row>
    <row r="35" spans="29:33" x14ac:dyDescent="0.25">
      <c r="AC35" s="27"/>
      <c r="AD35" s="27"/>
      <c r="AE35" s="43"/>
      <c r="AF35" s="50"/>
      <c r="AG35" s="27"/>
    </row>
    <row r="36" spans="29:33" x14ac:dyDescent="0.25">
      <c r="AC36" s="27"/>
      <c r="AD36" s="27"/>
      <c r="AE36" s="43"/>
      <c r="AF36" s="50"/>
      <c r="AG36" s="27"/>
    </row>
    <row r="37" spans="29:33" x14ac:dyDescent="0.25">
      <c r="AC37" s="27"/>
      <c r="AD37" s="27"/>
      <c r="AE37" s="43"/>
      <c r="AF37" s="50"/>
      <c r="AG37" s="27"/>
    </row>
    <row r="38" spans="29:33" x14ac:dyDescent="0.25">
      <c r="AC38" s="27"/>
      <c r="AD38" s="27"/>
      <c r="AE38" s="43"/>
      <c r="AF38" s="50"/>
      <c r="AG38" s="27"/>
    </row>
    <row r="39" spans="29:33" x14ac:dyDescent="0.25">
      <c r="AC39" s="27"/>
      <c r="AD39" s="27"/>
      <c r="AE39" s="43"/>
      <c r="AF39" s="50"/>
      <c r="AG39" s="27"/>
    </row>
    <row r="40" spans="29:33" x14ac:dyDescent="0.25">
      <c r="AC40" s="27"/>
      <c r="AD40" s="27"/>
      <c r="AE40" s="43"/>
      <c r="AF40" s="50"/>
      <c r="AG40" s="27"/>
    </row>
    <row r="41" spans="29:33" x14ac:dyDescent="0.25">
      <c r="AC41" s="27"/>
      <c r="AD41" s="27"/>
      <c r="AE41" s="43"/>
      <c r="AF41" s="50"/>
      <c r="AG41" s="27"/>
    </row>
    <row r="42" spans="29:33" x14ac:dyDescent="0.25">
      <c r="AC42" s="27"/>
      <c r="AD42" s="27"/>
      <c r="AE42" s="43"/>
      <c r="AF42" s="50"/>
      <c r="AG42" s="27"/>
    </row>
    <row r="43" spans="29:33" x14ac:dyDescent="0.25">
      <c r="AC43" s="27"/>
      <c r="AD43" s="27"/>
      <c r="AE43" s="43"/>
      <c r="AF43" s="50"/>
      <c r="AG43" s="27"/>
    </row>
    <row r="44" spans="29:33" x14ac:dyDescent="0.25">
      <c r="AC44" s="27"/>
      <c r="AD44" s="27"/>
      <c r="AE44" s="43"/>
      <c r="AF44" s="50"/>
      <c r="AG44" s="27"/>
    </row>
    <row r="45" spans="29:33" x14ac:dyDescent="0.25">
      <c r="AC45" s="27"/>
      <c r="AD45" s="27"/>
      <c r="AE45" s="43"/>
      <c r="AF45" s="50"/>
      <c r="AG45" s="27"/>
    </row>
    <row r="46" spans="29:33" x14ac:dyDescent="0.25">
      <c r="AC46" s="27"/>
      <c r="AD46" s="27"/>
      <c r="AE46" s="43"/>
      <c r="AF46" s="50"/>
      <c r="AG46" s="27"/>
    </row>
    <row r="47" spans="29:33" x14ac:dyDescent="0.25">
      <c r="AC47" s="27"/>
      <c r="AD47" s="27"/>
      <c r="AE47" s="43"/>
      <c r="AF47" s="50"/>
      <c r="AG47" s="27"/>
    </row>
    <row r="48" spans="29:33" x14ac:dyDescent="0.25">
      <c r="AF48" s="50"/>
      <c r="AG48" s="27"/>
    </row>
    <row r="49" spans="32:33" x14ac:dyDescent="0.25">
      <c r="AF49" s="50"/>
      <c r="AG49" s="27"/>
    </row>
    <row r="50" spans="32:33" x14ac:dyDescent="0.25">
      <c r="AF50" s="50"/>
      <c r="AG50" s="27"/>
    </row>
    <row r="51" spans="32:33" x14ac:dyDescent="0.25">
      <c r="AF51" s="50"/>
      <c r="AG51" s="27"/>
    </row>
    <row r="52" spans="32:33" x14ac:dyDescent="0.25">
      <c r="AF52" s="50"/>
      <c r="AG52" s="27"/>
    </row>
    <row r="53" spans="32:33" x14ac:dyDescent="0.25">
      <c r="AF53" s="50"/>
      <c r="AG53" s="27"/>
    </row>
    <row r="54" spans="32:33" x14ac:dyDescent="0.25">
      <c r="AF54" s="50"/>
      <c r="AG54" s="27"/>
    </row>
    <row r="55" spans="32:33" x14ac:dyDescent="0.25">
      <c r="AF55" s="50"/>
      <c r="AG55" s="27"/>
    </row>
    <row r="56" spans="32:33" x14ac:dyDescent="0.25">
      <c r="AF56" s="50"/>
      <c r="AG56" s="27"/>
    </row>
    <row r="57" spans="32:33" x14ac:dyDescent="0.25">
      <c r="AF57" s="50"/>
      <c r="AG57" s="27"/>
    </row>
    <row r="58" spans="32:33" x14ac:dyDescent="0.25">
      <c r="AF58" s="50"/>
      <c r="AG58" s="27"/>
    </row>
    <row r="59" spans="32:33" x14ac:dyDescent="0.25">
      <c r="AF59" s="50"/>
      <c r="AG59" s="27"/>
    </row>
    <row r="60" spans="32:33" x14ac:dyDescent="0.25">
      <c r="AF60" s="50"/>
      <c r="AG60" s="27"/>
    </row>
    <row r="61" spans="32:33" x14ac:dyDescent="0.25">
      <c r="AF61" s="50"/>
      <c r="AG61" s="27"/>
    </row>
    <row r="62" spans="32:33" x14ac:dyDescent="0.25">
      <c r="AF62" s="50"/>
      <c r="AG62" s="27"/>
    </row>
    <row r="63" spans="32:33" x14ac:dyDescent="0.25">
      <c r="AF63" s="50"/>
      <c r="AG63" s="27"/>
    </row>
    <row r="64" spans="32:33" x14ac:dyDescent="0.25">
      <c r="AF64" s="50"/>
      <c r="AG64" s="27"/>
    </row>
    <row r="65" spans="32:33" x14ac:dyDescent="0.25">
      <c r="AF65" s="50"/>
      <c r="AG65" s="27"/>
    </row>
  </sheetData>
  <mergeCells count="18">
    <mergeCell ref="O3:O4"/>
    <mergeCell ref="P3:P4"/>
    <mergeCell ref="Q3:Q4"/>
    <mergeCell ref="R3:R4"/>
    <mergeCell ref="S3:U3"/>
    <mergeCell ref="M3:M4"/>
    <mergeCell ref="A3:A4"/>
    <mergeCell ref="B3:D3"/>
    <mergeCell ref="E3:F3"/>
    <mergeCell ref="G3:J3"/>
    <mergeCell ref="K3:L3"/>
    <mergeCell ref="AD3:AD4"/>
    <mergeCell ref="AE3:AE4"/>
    <mergeCell ref="V3:W3"/>
    <mergeCell ref="X3:X4"/>
    <mergeCell ref="AF3:AG3"/>
    <mergeCell ref="Y3:Y4"/>
    <mergeCell ref="AC3:AC4"/>
  </mergeCells>
  <hyperlinks>
    <hyperlink ref="A5" location="'2024.11'!A1" display="'2024.11'!A1" xr:uid="{A36C040A-8DDE-4003-B22A-C2BF5AA0CB12}"/>
    <hyperlink ref="A6" location="'2024.12'!A1" display="'2024.12'!A1" xr:uid="{67B7382C-5B88-4D47-9937-A7AEF1303621}"/>
    <hyperlink ref="A7" location="'2025.01'!A1" display="'2025.01'!A1" xr:uid="{BA51EF31-AD82-4D17-81C7-C76E8CAB0902}"/>
    <hyperlink ref="A8" location="'2025.02'!A1" display="'2025.02'!A1" xr:uid="{C62300FD-303C-4DEF-B748-6E2E424A2FB4}"/>
    <hyperlink ref="A9" location="'2025.03'!A1" display="'2025.03'!A1" xr:uid="{E76A11A0-6F5D-4BDA-9D1E-1E11F12D6E16}"/>
    <hyperlink ref="A10" location="'2025.04'!A1" display="'2025.04'!A1" xr:uid="{F3C48685-3BCB-49CA-848D-8F2340638078}"/>
    <hyperlink ref="A11" location="'2025.05'!A1" display="'2025.05'!A1" xr:uid="{0E159E44-7A93-4D93-8FDF-8A173225EA21}"/>
    <hyperlink ref="A12" location="'2025.06'!A1" display="'2025.06'!A1" xr:uid="{72E631E2-78AD-496B-B27F-E3C3C373BF46}"/>
    <hyperlink ref="A13" location="'2025.07'!A1" display="'2025.07'!A1" xr:uid="{2C21361F-C15D-4BEE-8697-BC7303EE6289}"/>
    <hyperlink ref="A14" location="'2025.08'!A1" display="'2025.08'!A1" xr:uid="{C70B5FC9-F07C-4C5F-A140-0C7EC5AFA7C3}"/>
    <hyperlink ref="A15" location="'2025.09'!A1" display="'2025.09'!A1" xr:uid="{BAC70D12-B982-4FB3-956B-1B21CD8BF966}"/>
    <hyperlink ref="A16" location="'2025.10'!A1" display="'2025.10'!A1" xr:uid="{7E92F770-8F04-4B4A-8CD4-BC8615B237E2}"/>
    <hyperlink ref="A17" location="'2025.11'!A1" display="'2025.11'!A1" xr:uid="{010FB1CC-1E95-42E5-A6D6-474BBEC3B133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G65"/>
  <sheetViews>
    <sheetView workbookViewId="0">
      <pane xSplit="1" ySplit="5" topLeftCell="B6" activePane="bottomRight" state="frozen"/>
      <selection activeCell="AF1" sqref="AF1:AF1048576"/>
      <selection pane="topRight" activeCell="AF1" sqref="AF1:AF1048576"/>
      <selection pane="bottomLeft" activeCell="AF1" sqref="AF1:AF1048576"/>
      <selection pane="bottomRight" activeCell="AF1" sqref="AF1:AF1048576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31" t="s">
        <v>50</v>
      </c>
    </row>
    <row r="3" spans="1:33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51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</row>
    <row r="4" spans="1:33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</row>
    <row r="5" spans="1:33" x14ac:dyDescent="0.25">
      <c r="A5" s="38">
        <f>'2025.01'!Q2</f>
        <v>2025.01</v>
      </c>
      <c r="B5" s="4">
        <f>'2025.01'!B59</f>
        <v>20</v>
      </c>
      <c r="C5" s="4">
        <f>'2025.01'!C59</f>
        <v>20</v>
      </c>
      <c r="D5" s="4">
        <f>B5</f>
        <v>20</v>
      </c>
      <c r="E5" s="6">
        <f>'2025.01'!F59</f>
        <v>0.15</v>
      </c>
      <c r="F5" s="6">
        <f>E5</f>
        <v>0.15</v>
      </c>
      <c r="G5" s="6">
        <v>140.27600000000001</v>
      </c>
      <c r="H5" s="4">
        <f t="shared" ref="H5:H9" si="0">F5*G5</f>
        <v>21.04</v>
      </c>
      <c r="I5" s="4">
        <f>H5-D5</f>
        <v>1.04</v>
      </c>
      <c r="J5" s="18">
        <f>(H5-D5)/D5</f>
        <v>5.1999999999999998E-2</v>
      </c>
      <c r="K5" s="4">
        <f>'2025.01'!D59</f>
        <v>0</v>
      </c>
      <c r="L5" s="4">
        <f>'2025.01'!J59</f>
        <v>0</v>
      </c>
      <c r="M5" s="4">
        <f>'2025.01'!O59</f>
        <v>0</v>
      </c>
      <c r="O5" s="3" t="s">
        <v>2</v>
      </c>
      <c r="P5" s="4">
        <f>SUM(B5:B15)</f>
        <v>30</v>
      </c>
      <c r="Q5" s="7">
        <f>SUM(E5:E15)</f>
        <v>0.22900000000000001</v>
      </c>
      <c r="R5" s="4">
        <v>31.26</v>
      </c>
      <c r="S5" s="4">
        <f>R5-P5+X5</f>
        <v>1.26</v>
      </c>
      <c r="T5" s="18">
        <f>(R5-P5+X5)/P5</f>
        <v>4.2000000000000003E-2</v>
      </c>
      <c r="U5" s="18">
        <f>XIRR(AG5:AG65,AF5:AF65)</f>
        <v>5.0700000000000002E-2</v>
      </c>
      <c r="V5" s="4">
        <f>SUM(K5:K15)</f>
        <v>0</v>
      </c>
      <c r="W5" s="4">
        <f>SUM(L5:L15)</f>
        <v>0</v>
      </c>
      <c r="X5" s="4">
        <f>SUM(M5:M15)</f>
        <v>0</v>
      </c>
      <c r="Y5" s="4" cm="1">
        <f t="array" ref="Y5">SUMPRODUCT(IFERROR(AD5:AD200,0),IFERROR(AE5:AE200,0))/SUM(IFERROR(AE5:AE200,0))</f>
        <v>135.13</v>
      </c>
      <c r="AC5" s="4">
        <f>'2025.01'!$C$59</f>
        <v>20</v>
      </c>
      <c r="AD5" s="4">
        <f>'2025.01'!$E$59</f>
        <v>133.33000000000001</v>
      </c>
      <c r="AE5" s="7">
        <f>'2025.01'!$F$59</f>
        <v>0.15</v>
      </c>
      <c r="AF5" s="49">
        <f>'2025.01'!$A$55</f>
        <v>45659</v>
      </c>
      <c r="AG5" s="4">
        <f>'2025.01'!$B$55*-1</f>
        <v>-20</v>
      </c>
    </row>
    <row r="6" spans="1:33" x14ac:dyDescent="0.25">
      <c r="A6" s="38">
        <f>'2025.02'!Q2</f>
        <v>2025.02</v>
      </c>
      <c r="B6" s="4">
        <f>'2025.02'!B59</f>
        <v>10</v>
      </c>
      <c r="C6" s="4">
        <f>'2025.02'!C59</f>
        <v>10</v>
      </c>
      <c r="D6" s="4">
        <f t="shared" ref="D6:D14" si="1">D5+B6</f>
        <v>30</v>
      </c>
      <c r="E6" s="6">
        <f>'2025.02'!F59</f>
        <v>7.1999999999999995E-2</v>
      </c>
      <c r="F6" s="6">
        <f t="shared" ref="F6:F9" si="2">F5+E6</f>
        <v>0.222</v>
      </c>
      <c r="G6" s="6">
        <v>137.489</v>
      </c>
      <c r="H6" s="4">
        <f t="shared" si="0"/>
        <v>30.52</v>
      </c>
      <c r="I6" s="4">
        <f t="shared" ref="I6:I14" si="3">H6-D6</f>
        <v>0.52</v>
      </c>
      <c r="J6" s="18">
        <f t="shared" ref="J6:J14" si="4">(H6-D6)/D6</f>
        <v>1.7299999999999999E-2</v>
      </c>
      <c r="K6" s="4">
        <f>'2025.02'!D59</f>
        <v>0</v>
      </c>
      <c r="L6" s="4">
        <f>'2025.02'!J59</f>
        <v>0</v>
      </c>
      <c r="M6" s="4">
        <f>'2025.02'!O59</f>
        <v>0</v>
      </c>
      <c r="AC6" s="4">
        <f>'2025.02'!$C$59</f>
        <v>10</v>
      </c>
      <c r="AD6" s="4">
        <f>'2025.02'!$E$59</f>
        <v>138.88999999999999</v>
      </c>
      <c r="AE6" s="7">
        <f>'2025.02'!$F$59</f>
        <v>7.1999999999999995E-2</v>
      </c>
      <c r="AF6" s="49">
        <f>'2025.02'!$A$55</f>
        <v>45709</v>
      </c>
      <c r="AG6" s="4">
        <f>'2025.02'!$B$55*-1</f>
        <v>-10</v>
      </c>
    </row>
    <row r="7" spans="1:33" x14ac:dyDescent="0.25">
      <c r="A7" s="38">
        <f>'2025.03'!Q2</f>
        <v>2025.03</v>
      </c>
      <c r="B7" s="4">
        <f>'2025.03'!B59</f>
        <v>0</v>
      </c>
      <c r="C7" s="4">
        <f>'2025.03'!C59</f>
        <v>0</v>
      </c>
      <c r="D7" s="4">
        <f t="shared" si="1"/>
        <v>30</v>
      </c>
      <c r="E7" s="6">
        <f>'2025.03'!F59</f>
        <v>0</v>
      </c>
      <c r="F7" s="6">
        <f t="shared" si="2"/>
        <v>0.222</v>
      </c>
      <c r="G7" s="6">
        <v>127.217</v>
      </c>
      <c r="H7" s="4">
        <f t="shared" si="0"/>
        <v>28.24</v>
      </c>
      <c r="I7" s="4">
        <f t="shared" si="3"/>
        <v>-1.76</v>
      </c>
      <c r="J7" s="18">
        <f t="shared" si="4"/>
        <v>-5.8700000000000002E-2</v>
      </c>
      <c r="K7" s="4">
        <f>'2025.03'!D59</f>
        <v>0</v>
      </c>
      <c r="L7" s="4">
        <f>'2025.03'!J59</f>
        <v>0</v>
      </c>
      <c r="M7" s="4">
        <f>'2025.03'!O59</f>
        <v>0</v>
      </c>
      <c r="AC7" s="4">
        <f>'2025.03'!$C$59</f>
        <v>0</v>
      </c>
      <c r="AD7" s="4" t="str">
        <f>'2025.03'!$E$59</f>
        <v>0.00</v>
      </c>
      <c r="AE7" s="7">
        <f>'2025.03'!$F$59</f>
        <v>0</v>
      </c>
      <c r="AF7" s="49"/>
      <c r="AG7" s="4"/>
    </row>
    <row r="8" spans="1:33" x14ac:dyDescent="0.25">
      <c r="A8" s="38">
        <f>'2025.04'!Q2</f>
        <v>2025.04</v>
      </c>
      <c r="B8" s="4">
        <f>'2025.04'!B59</f>
        <v>0</v>
      </c>
      <c r="C8" s="4">
        <f>'2025.04'!C59</f>
        <v>0</v>
      </c>
      <c r="D8" s="4">
        <f t="shared" si="1"/>
        <v>30</v>
      </c>
      <c r="E8" s="6">
        <f>'2025.04'!F59</f>
        <v>0</v>
      </c>
      <c r="F8" s="6">
        <f t="shared" si="2"/>
        <v>0.222</v>
      </c>
      <c r="G8" s="6">
        <v>121.389</v>
      </c>
      <c r="H8" s="4">
        <f t="shared" si="0"/>
        <v>26.95</v>
      </c>
      <c r="I8" s="4">
        <f t="shared" si="3"/>
        <v>-3.05</v>
      </c>
      <c r="J8" s="18">
        <f t="shared" si="4"/>
        <v>-0.1017</v>
      </c>
      <c r="K8" s="4">
        <f>'2025.04'!D59</f>
        <v>0</v>
      </c>
      <c r="L8" s="4">
        <f>'2025.04'!J59</f>
        <v>0</v>
      </c>
      <c r="M8" s="4">
        <f>'2025.04'!O59</f>
        <v>0</v>
      </c>
      <c r="AC8" s="4">
        <f>'2025.04'!$C$59</f>
        <v>0</v>
      </c>
      <c r="AD8" s="4" t="str">
        <f>'2025.04'!$E$59</f>
        <v>0.00</v>
      </c>
      <c r="AE8" s="7">
        <f>'2025.04'!$F$59</f>
        <v>0</v>
      </c>
      <c r="AF8" s="49"/>
      <c r="AG8" s="4"/>
    </row>
    <row r="9" spans="1:33" x14ac:dyDescent="0.25">
      <c r="A9" s="38">
        <f>'2025.05'!Q2</f>
        <v>2025.05</v>
      </c>
      <c r="B9" s="4">
        <f>'2025.05'!B59</f>
        <v>0</v>
      </c>
      <c r="C9" s="4">
        <f>'2025.05'!C59</f>
        <v>0</v>
      </c>
      <c r="D9" s="4">
        <f t="shared" si="1"/>
        <v>30</v>
      </c>
      <c r="E9" s="6">
        <f>'2025.05'!F59</f>
        <v>0</v>
      </c>
      <c r="F9" s="6">
        <f t="shared" si="2"/>
        <v>0.222</v>
      </c>
      <c r="G9" s="6">
        <v>122.663</v>
      </c>
      <c r="H9" s="4">
        <f t="shared" si="0"/>
        <v>27.23</v>
      </c>
      <c r="I9" s="4">
        <f t="shared" si="3"/>
        <v>-2.77</v>
      </c>
      <c r="J9" s="18">
        <f t="shared" si="4"/>
        <v>-9.2299999999999993E-2</v>
      </c>
      <c r="K9" s="4">
        <f>'2025.05'!D59</f>
        <v>0</v>
      </c>
      <c r="L9" s="4">
        <f>'2025.05'!J59</f>
        <v>0</v>
      </c>
      <c r="M9" s="4">
        <f>'2025.05'!O59</f>
        <v>0</v>
      </c>
      <c r="AC9" s="4">
        <f>'2025.05'!$C$59</f>
        <v>0</v>
      </c>
      <c r="AD9" s="4" t="str">
        <f>'2025.05'!$E$59</f>
        <v>0.00</v>
      </c>
      <c r="AE9" s="7">
        <f>'2025.05'!$F$59</f>
        <v>0</v>
      </c>
      <c r="AF9" s="49"/>
      <c r="AG9" s="4"/>
    </row>
    <row r="10" spans="1:33" x14ac:dyDescent="0.25">
      <c r="A10" s="38">
        <f>'2025.06'!Q2</f>
        <v>2025.06</v>
      </c>
      <c r="B10" s="4">
        <f>'2025.06'!B59</f>
        <v>0</v>
      </c>
      <c r="C10" s="4">
        <f>'2025.06'!C59</f>
        <v>0</v>
      </c>
      <c r="D10" s="4">
        <f t="shared" si="1"/>
        <v>30</v>
      </c>
      <c r="E10" s="6">
        <f>'2025.06'!F59+'2025.06'!O55</f>
        <v>7.0000000000000001E-3</v>
      </c>
      <c r="F10" s="6">
        <f t="shared" ref="F10" si="5">F9+E10</f>
        <v>0.22900000000000001</v>
      </c>
      <c r="G10" s="6">
        <v>123.142</v>
      </c>
      <c r="H10" s="4">
        <f t="shared" ref="H10" si="6">F10*G10</f>
        <v>28.2</v>
      </c>
      <c r="I10" s="4">
        <f t="shared" si="3"/>
        <v>-1.8</v>
      </c>
      <c r="J10" s="18">
        <f t="shared" si="4"/>
        <v>-0.06</v>
      </c>
      <c r="K10" s="4">
        <f>'2025.06'!D59</f>
        <v>0</v>
      </c>
      <c r="L10" s="4">
        <f>'2025.06'!J59</f>
        <v>0</v>
      </c>
      <c r="M10" s="4">
        <f>'2025.06'!O59</f>
        <v>0</v>
      </c>
      <c r="AC10" s="4">
        <f>'2025.06'!$C$59</f>
        <v>0</v>
      </c>
      <c r="AD10" s="4" t="str">
        <f>'2025.06'!$E$59</f>
        <v>0.00</v>
      </c>
      <c r="AE10" s="7">
        <f>'2025.06'!$F$59</f>
        <v>0</v>
      </c>
      <c r="AF10" s="49"/>
      <c r="AG10" s="4"/>
    </row>
    <row r="11" spans="1:33" x14ac:dyDescent="0.25">
      <c r="A11" s="38">
        <f>'2025.07'!Q2</f>
        <v>2025.07</v>
      </c>
      <c r="B11" s="4">
        <f>'2025.07'!B59</f>
        <v>0</v>
      </c>
      <c r="C11" s="4">
        <f>'2025.07'!C59</f>
        <v>0</v>
      </c>
      <c r="D11" s="4">
        <f t="shared" si="1"/>
        <v>30</v>
      </c>
      <c r="E11" s="6">
        <f>'2025.07'!F59</f>
        <v>0</v>
      </c>
      <c r="F11" s="6">
        <f t="shared" ref="F11" si="7">F10+E11</f>
        <v>0.22900000000000001</v>
      </c>
      <c r="G11" s="6">
        <v>128.97300000000001</v>
      </c>
      <c r="H11" s="4">
        <f t="shared" ref="H11" si="8">F11*G11</f>
        <v>29.53</v>
      </c>
      <c r="I11" s="4">
        <f t="shared" si="3"/>
        <v>-0.47</v>
      </c>
      <c r="J11" s="18">
        <f t="shared" si="4"/>
        <v>-1.5699999999999999E-2</v>
      </c>
      <c r="K11" s="4">
        <f>'2025.07'!D59</f>
        <v>0</v>
      </c>
      <c r="L11" s="4">
        <f>'2025.07'!J59</f>
        <v>0</v>
      </c>
      <c r="M11" s="4">
        <f>'2025.07'!O59</f>
        <v>0</v>
      </c>
      <c r="AC11" s="4">
        <f>'2025.07'!$C$59</f>
        <v>0</v>
      </c>
      <c r="AD11" s="4" t="str">
        <f>'2025.07'!$E$59</f>
        <v>0.00</v>
      </c>
      <c r="AE11" s="7">
        <f>'2025.07'!$F$59</f>
        <v>0</v>
      </c>
      <c r="AF11" s="49"/>
      <c r="AG11" s="4"/>
    </row>
    <row r="12" spans="1:33" x14ac:dyDescent="0.25">
      <c r="A12" s="38">
        <f>'2025.08'!Q2</f>
        <v>2025.08</v>
      </c>
      <c r="B12" s="4">
        <f>'2025.08'!B59</f>
        <v>0</v>
      </c>
      <c r="C12" s="4">
        <f>'2025.08'!C59</f>
        <v>0</v>
      </c>
      <c r="D12" s="4">
        <f t="shared" si="1"/>
        <v>30</v>
      </c>
      <c r="E12" s="6">
        <f>'2025.08'!F59</f>
        <v>0</v>
      </c>
      <c r="F12" s="6">
        <f t="shared" ref="F12" si="9">F11+E12</f>
        <v>0.22900000000000001</v>
      </c>
      <c r="G12" s="6">
        <v>130.77500000000001</v>
      </c>
      <c r="H12" s="4">
        <f t="shared" ref="H12" si="10">F12*G12</f>
        <v>29.95</v>
      </c>
      <c r="I12" s="4">
        <f t="shared" si="3"/>
        <v>-0.05</v>
      </c>
      <c r="J12" s="18">
        <f t="shared" si="4"/>
        <v>-1.6999999999999999E-3</v>
      </c>
      <c r="K12" s="4">
        <f>'2025.08'!D59</f>
        <v>0</v>
      </c>
      <c r="L12" s="4">
        <f>'2025.08'!J59</f>
        <v>0</v>
      </c>
      <c r="M12" s="4">
        <f>'2025.08'!O59</f>
        <v>0</v>
      </c>
      <c r="AC12" s="4">
        <f>'2025.08'!$C$59</f>
        <v>0</v>
      </c>
      <c r="AD12" s="4" t="str">
        <f>'2025.08'!$E$59</f>
        <v>0.00</v>
      </c>
      <c r="AE12" s="7">
        <f>'2025.08'!$F$59</f>
        <v>0</v>
      </c>
      <c r="AF12" s="49"/>
      <c r="AG12" s="4"/>
    </row>
    <row r="13" spans="1:33" x14ac:dyDescent="0.25">
      <c r="A13" s="38">
        <f>'2025.09'!Q2</f>
        <v>2025.09</v>
      </c>
      <c r="B13" s="4">
        <f>'2025.09'!B59</f>
        <v>0</v>
      </c>
      <c r="C13" s="4">
        <f>'2025.09'!C59</f>
        <v>0</v>
      </c>
      <c r="D13" s="4">
        <f t="shared" si="1"/>
        <v>30</v>
      </c>
      <c r="E13" s="6">
        <f>'2025.09'!F59</f>
        <v>0</v>
      </c>
      <c r="F13" s="6">
        <f t="shared" ref="F13" si="11">F12+E13</f>
        <v>0.22900000000000001</v>
      </c>
      <c r="G13" s="6">
        <v>132.90600000000001</v>
      </c>
      <c r="H13" s="4">
        <f t="shared" ref="H13" si="12">F13*G13</f>
        <v>30.44</v>
      </c>
      <c r="I13" s="4">
        <f t="shared" si="3"/>
        <v>0.44</v>
      </c>
      <c r="J13" s="18">
        <f t="shared" si="4"/>
        <v>1.47E-2</v>
      </c>
      <c r="K13" s="4">
        <f>'2025.09'!D59</f>
        <v>0</v>
      </c>
      <c r="L13" s="4">
        <f>'2025.09'!J59</f>
        <v>0</v>
      </c>
      <c r="M13" s="4">
        <f>'2025.09'!O59</f>
        <v>0</v>
      </c>
      <c r="AC13" s="4">
        <f>'2025.09'!$C$59</f>
        <v>0</v>
      </c>
      <c r="AD13" s="4" t="str">
        <f>'2025.09'!$E$59</f>
        <v>0.00</v>
      </c>
      <c r="AE13" s="7">
        <f>'2025.09'!$F$59</f>
        <v>0</v>
      </c>
      <c r="AF13" s="49"/>
      <c r="AG13" s="4"/>
    </row>
    <row r="14" spans="1:33" x14ac:dyDescent="0.25">
      <c r="A14" s="38">
        <f>'2025.10'!Q2</f>
        <v>2025.1</v>
      </c>
      <c r="B14" s="4">
        <f>'2025.10'!B59</f>
        <v>0</v>
      </c>
      <c r="C14" s="4">
        <f>'2025.10'!C59</f>
        <v>0</v>
      </c>
      <c r="D14" s="4">
        <f t="shared" si="1"/>
        <v>30</v>
      </c>
      <c r="E14" s="6">
        <f>'2025.10'!F59</f>
        <v>0</v>
      </c>
      <c r="F14" s="6">
        <f t="shared" ref="F14" si="13">F13+E14</f>
        <v>0.22900000000000001</v>
      </c>
      <c r="G14" s="6">
        <v>138.82499999999999</v>
      </c>
      <c r="H14" s="4">
        <f t="shared" ref="H14" si="14">F14*G14</f>
        <v>31.79</v>
      </c>
      <c r="I14" s="4">
        <f t="shared" si="3"/>
        <v>1.79</v>
      </c>
      <c r="J14" s="18">
        <f t="shared" si="4"/>
        <v>5.9700000000000003E-2</v>
      </c>
      <c r="K14" s="4">
        <f>'2025.10'!D59</f>
        <v>0</v>
      </c>
      <c r="L14" s="4">
        <f>'2025.10'!J59</f>
        <v>0</v>
      </c>
      <c r="M14" s="4">
        <f>'2025.10'!O59</f>
        <v>0</v>
      </c>
      <c r="AC14" s="4">
        <f>'2025.10'!$C$59</f>
        <v>0</v>
      </c>
      <c r="AD14" s="4" t="str">
        <f>'2025.10'!$E$59</f>
        <v>0.00</v>
      </c>
      <c r="AE14" s="7">
        <f>'2025.10'!$F$59</f>
        <v>0</v>
      </c>
      <c r="AF14" s="49"/>
      <c r="AG14" s="4"/>
    </row>
    <row r="15" spans="1:33" x14ac:dyDescent="0.25">
      <c r="A15" s="44">
        <f>'2025.11'!Q2</f>
        <v>2025.11</v>
      </c>
      <c r="B15" s="16">
        <f>'2025.11'!B59</f>
        <v>0</v>
      </c>
      <c r="C15" s="16">
        <f>'2025.11'!C59</f>
        <v>0</v>
      </c>
      <c r="D15" s="16">
        <f t="shared" ref="D15" si="15">D14+B15</f>
        <v>30</v>
      </c>
      <c r="E15" s="17">
        <f>'2025.11'!F59</f>
        <v>0</v>
      </c>
      <c r="F15" s="17">
        <f t="shared" ref="F15" si="16">F14+E15</f>
        <v>0.22900000000000001</v>
      </c>
      <c r="G15" s="17">
        <v>136.499</v>
      </c>
      <c r="H15" s="16">
        <f t="shared" ref="H15" si="17">F15*G15</f>
        <v>31.26</v>
      </c>
      <c r="I15" s="16">
        <f t="shared" ref="I15" si="18">H15-D15</f>
        <v>1.26</v>
      </c>
      <c r="J15" s="36">
        <f t="shared" ref="J15" si="19">(H15-D15)/D15</f>
        <v>4.2000000000000003E-2</v>
      </c>
      <c r="K15" s="16">
        <f>'2025.11'!D59</f>
        <v>0</v>
      </c>
      <c r="L15" s="16">
        <f>'2025.11'!J59</f>
        <v>0</v>
      </c>
      <c r="M15" s="16">
        <f>'2025.11'!O59</f>
        <v>0</v>
      </c>
      <c r="AC15" s="4">
        <f>'2025.11'!$C$59</f>
        <v>0</v>
      </c>
      <c r="AD15" s="4" t="str">
        <f>'2025.11'!$E$59</f>
        <v>0.00</v>
      </c>
      <c r="AE15" s="7">
        <f>'2025.11'!$F$59</f>
        <v>0</v>
      </c>
      <c r="AF15" s="49">
        <v>45979</v>
      </c>
      <c r="AG15" s="4">
        <f>R5</f>
        <v>31.26</v>
      </c>
    </row>
    <row r="16" spans="1:33" x14ac:dyDescent="0.25">
      <c r="AC16" s="27"/>
      <c r="AD16" s="27"/>
      <c r="AE16" s="43"/>
      <c r="AF16" s="50"/>
      <c r="AG16" s="27"/>
    </row>
    <row r="17" spans="29:33" x14ac:dyDescent="0.25">
      <c r="AC17" s="27"/>
      <c r="AD17" s="27"/>
      <c r="AE17" s="43"/>
      <c r="AF17" s="50"/>
      <c r="AG17" s="27"/>
    </row>
    <row r="18" spans="29:33" x14ac:dyDescent="0.25">
      <c r="AC18" s="27"/>
      <c r="AD18" s="27"/>
      <c r="AE18" s="43"/>
      <c r="AF18" s="50"/>
      <c r="AG18" s="27"/>
    </row>
    <row r="19" spans="29:33" x14ac:dyDescent="0.25">
      <c r="AC19" s="27"/>
      <c r="AD19" s="27"/>
      <c r="AE19" s="43"/>
      <c r="AF19" s="50"/>
      <c r="AG19" s="27"/>
    </row>
    <row r="20" spans="29:33" x14ac:dyDescent="0.25">
      <c r="AC20" s="27"/>
      <c r="AD20" s="27"/>
      <c r="AE20" s="43"/>
      <c r="AF20" s="50"/>
      <c r="AG20" s="27"/>
    </row>
    <row r="21" spans="29:33" x14ac:dyDescent="0.25">
      <c r="AC21" s="27"/>
      <c r="AD21" s="27"/>
      <c r="AE21" s="43"/>
      <c r="AF21" s="50"/>
      <c r="AG21" s="27"/>
    </row>
    <row r="22" spans="29:33" x14ac:dyDescent="0.25">
      <c r="AC22" s="27"/>
      <c r="AD22" s="27"/>
      <c r="AE22" s="43"/>
      <c r="AF22" s="50"/>
      <c r="AG22" s="27"/>
    </row>
    <row r="23" spans="29:33" x14ac:dyDescent="0.25">
      <c r="AC23" s="27"/>
      <c r="AD23" s="27"/>
      <c r="AE23" s="43"/>
      <c r="AF23" s="50"/>
      <c r="AG23" s="27"/>
    </row>
    <row r="24" spans="29:33" x14ac:dyDescent="0.25">
      <c r="AC24" s="27"/>
      <c r="AD24" s="27"/>
      <c r="AE24" s="43"/>
      <c r="AF24" s="50"/>
      <c r="AG24" s="27"/>
    </row>
    <row r="25" spans="29:33" x14ac:dyDescent="0.25">
      <c r="AC25" s="27"/>
      <c r="AD25" s="27"/>
      <c r="AE25" s="43"/>
      <c r="AF25" s="50"/>
      <c r="AG25" s="27"/>
    </row>
    <row r="26" spans="29:33" x14ac:dyDescent="0.25">
      <c r="AC26" s="27"/>
      <c r="AD26" s="27"/>
      <c r="AE26" s="43"/>
      <c r="AF26" s="50"/>
      <c r="AG26" s="27"/>
    </row>
    <row r="27" spans="29:33" x14ac:dyDescent="0.25">
      <c r="AC27" s="27"/>
      <c r="AD27" s="27"/>
      <c r="AE27" s="43"/>
      <c r="AF27" s="50"/>
      <c r="AG27" s="27"/>
    </row>
    <row r="28" spans="29:33" x14ac:dyDescent="0.25">
      <c r="AC28" s="27"/>
      <c r="AD28" s="27"/>
      <c r="AE28" s="43"/>
      <c r="AF28" s="50"/>
      <c r="AG28" s="27"/>
    </row>
    <row r="29" spans="29:33" x14ac:dyDescent="0.25">
      <c r="AC29" s="27"/>
      <c r="AD29" s="27"/>
      <c r="AE29" s="43"/>
      <c r="AF29" s="50"/>
      <c r="AG29" s="27"/>
    </row>
    <row r="30" spans="29:33" x14ac:dyDescent="0.25">
      <c r="AC30" s="27"/>
      <c r="AD30" s="27"/>
      <c r="AE30" s="43"/>
      <c r="AF30" s="50"/>
      <c r="AG30" s="27"/>
    </row>
    <row r="31" spans="29:33" x14ac:dyDescent="0.25">
      <c r="AC31" s="27"/>
      <c r="AD31" s="27"/>
      <c r="AE31" s="43"/>
      <c r="AF31" s="50"/>
      <c r="AG31" s="27"/>
    </row>
    <row r="32" spans="29:33" x14ac:dyDescent="0.25">
      <c r="AC32" s="27"/>
      <c r="AD32" s="27"/>
      <c r="AE32" s="43"/>
      <c r="AF32" s="50"/>
      <c r="AG32" s="27"/>
    </row>
    <row r="33" spans="29:33" x14ac:dyDescent="0.25">
      <c r="AC33" s="27"/>
      <c r="AD33" s="27"/>
      <c r="AE33" s="43"/>
      <c r="AF33" s="50"/>
      <c r="AG33" s="27"/>
    </row>
    <row r="34" spans="29:33" x14ac:dyDescent="0.25">
      <c r="AC34" s="27"/>
      <c r="AD34" s="27"/>
      <c r="AE34" s="43"/>
      <c r="AF34" s="50"/>
      <c r="AG34" s="27"/>
    </row>
    <row r="35" spans="29:33" x14ac:dyDescent="0.25">
      <c r="AC35" s="27"/>
      <c r="AD35" s="27"/>
      <c r="AE35" s="43"/>
      <c r="AF35" s="50"/>
      <c r="AG35" s="27"/>
    </row>
    <row r="36" spans="29:33" x14ac:dyDescent="0.25">
      <c r="AC36" s="27"/>
      <c r="AD36" s="27"/>
      <c r="AE36" s="43"/>
      <c r="AF36" s="50"/>
      <c r="AG36" s="27"/>
    </row>
    <row r="37" spans="29:33" x14ac:dyDescent="0.25">
      <c r="AC37" s="27"/>
      <c r="AD37" s="27"/>
      <c r="AE37" s="43"/>
      <c r="AF37" s="50"/>
      <c r="AG37" s="27"/>
    </row>
    <row r="38" spans="29:33" x14ac:dyDescent="0.25">
      <c r="AC38" s="27"/>
      <c r="AD38" s="27"/>
      <c r="AE38" s="43"/>
      <c r="AF38" s="50"/>
      <c r="AG38" s="27"/>
    </row>
    <row r="39" spans="29:33" x14ac:dyDescent="0.25">
      <c r="AC39" s="27"/>
      <c r="AD39" s="27"/>
      <c r="AE39" s="43"/>
      <c r="AF39" s="50"/>
      <c r="AG39" s="27"/>
    </row>
    <row r="40" spans="29:33" x14ac:dyDescent="0.25">
      <c r="AC40" s="27"/>
      <c r="AD40" s="27"/>
      <c r="AE40" s="43"/>
      <c r="AF40" s="50"/>
      <c r="AG40" s="27"/>
    </row>
    <row r="41" spans="29:33" x14ac:dyDescent="0.25">
      <c r="AC41" s="27"/>
      <c r="AD41" s="27"/>
      <c r="AE41" s="43"/>
      <c r="AF41" s="50"/>
      <c r="AG41" s="27"/>
    </row>
    <row r="42" spans="29:33" x14ac:dyDescent="0.25">
      <c r="AC42" s="27"/>
      <c r="AD42" s="27"/>
      <c r="AE42" s="43"/>
      <c r="AF42" s="50"/>
      <c r="AG42" s="27"/>
    </row>
    <row r="43" spans="29:33" x14ac:dyDescent="0.25">
      <c r="AC43" s="27"/>
      <c r="AD43" s="27"/>
      <c r="AE43" s="43"/>
      <c r="AF43" s="50"/>
      <c r="AG43" s="27"/>
    </row>
    <row r="44" spans="29:33" x14ac:dyDescent="0.25">
      <c r="AC44" s="27"/>
      <c r="AD44" s="27"/>
      <c r="AE44" s="43"/>
      <c r="AF44" s="50"/>
      <c r="AG44" s="27"/>
    </row>
    <row r="45" spans="29:33" x14ac:dyDescent="0.25">
      <c r="AC45" s="27"/>
      <c r="AD45" s="27"/>
      <c r="AE45" s="43"/>
      <c r="AF45" s="50"/>
      <c r="AG45" s="27"/>
    </row>
    <row r="46" spans="29:33" x14ac:dyDescent="0.25">
      <c r="AC46" s="27"/>
      <c r="AD46" s="27"/>
      <c r="AE46" s="43"/>
      <c r="AF46" s="50"/>
      <c r="AG46" s="27"/>
    </row>
    <row r="47" spans="29:33" x14ac:dyDescent="0.25">
      <c r="AC47" s="27"/>
      <c r="AD47" s="27"/>
      <c r="AE47" s="43"/>
      <c r="AF47" s="50"/>
      <c r="AG47" s="27"/>
    </row>
    <row r="48" spans="29:33" x14ac:dyDescent="0.25">
      <c r="AF48" s="50"/>
      <c r="AG48" s="27"/>
    </row>
    <row r="49" spans="32:33" x14ac:dyDescent="0.25">
      <c r="AF49" s="50"/>
      <c r="AG49" s="27"/>
    </row>
    <row r="50" spans="32:33" x14ac:dyDescent="0.25">
      <c r="AF50" s="50"/>
      <c r="AG50" s="27"/>
    </row>
    <row r="51" spans="32:33" x14ac:dyDescent="0.25">
      <c r="AF51" s="50"/>
      <c r="AG51" s="27"/>
    </row>
    <row r="52" spans="32:33" x14ac:dyDescent="0.25">
      <c r="AF52" s="50"/>
      <c r="AG52" s="27"/>
    </row>
    <row r="53" spans="32:33" x14ac:dyDescent="0.25">
      <c r="AF53" s="50"/>
      <c r="AG53" s="27"/>
    </row>
    <row r="54" spans="32:33" x14ac:dyDescent="0.25">
      <c r="AF54" s="50"/>
      <c r="AG54" s="27"/>
    </row>
    <row r="55" spans="32:33" x14ac:dyDescent="0.25">
      <c r="AF55" s="50"/>
      <c r="AG55" s="27"/>
    </row>
    <row r="56" spans="32:33" x14ac:dyDescent="0.25">
      <c r="AF56" s="50"/>
      <c r="AG56" s="27"/>
    </row>
    <row r="57" spans="32:33" x14ac:dyDescent="0.25">
      <c r="AF57" s="50"/>
      <c r="AG57" s="27"/>
    </row>
    <row r="58" spans="32:33" x14ac:dyDescent="0.25">
      <c r="AF58" s="50"/>
      <c r="AG58" s="27"/>
    </row>
    <row r="59" spans="32:33" x14ac:dyDescent="0.25">
      <c r="AF59" s="50"/>
      <c r="AG59" s="27"/>
    </row>
    <row r="60" spans="32:33" x14ac:dyDescent="0.25">
      <c r="AF60" s="50"/>
      <c r="AG60" s="27"/>
    </row>
    <row r="61" spans="32:33" x14ac:dyDescent="0.25">
      <c r="AF61" s="50"/>
      <c r="AG61" s="27"/>
    </row>
    <row r="62" spans="32:33" x14ac:dyDescent="0.25">
      <c r="AF62" s="50"/>
      <c r="AG62" s="27"/>
    </row>
    <row r="63" spans="32:33" x14ac:dyDescent="0.25">
      <c r="AF63" s="50"/>
      <c r="AG63" s="27"/>
    </row>
    <row r="64" spans="32:33" x14ac:dyDescent="0.25">
      <c r="AF64" s="50"/>
      <c r="AG64" s="27"/>
    </row>
    <row r="65" spans="32:33" x14ac:dyDescent="0.25">
      <c r="AF65" s="50"/>
      <c r="AG65" s="27"/>
    </row>
  </sheetData>
  <mergeCells count="18">
    <mergeCell ref="AF3:AG3"/>
    <mergeCell ref="Y3:Y4"/>
    <mergeCell ref="AC3:AC4"/>
    <mergeCell ref="AD3:AD4"/>
    <mergeCell ref="AE3:AE4"/>
    <mergeCell ref="V3:W3"/>
    <mergeCell ref="X3:X4"/>
    <mergeCell ref="M3:M4"/>
    <mergeCell ref="A3:A4"/>
    <mergeCell ref="B3:D3"/>
    <mergeCell ref="E3:F3"/>
    <mergeCell ref="G3:J3"/>
    <mergeCell ref="K3:L3"/>
    <mergeCell ref="O3:O4"/>
    <mergeCell ref="P3:P4"/>
    <mergeCell ref="Q3:Q4"/>
    <mergeCell ref="R3:R4"/>
    <mergeCell ref="S3:U3"/>
  </mergeCells>
  <hyperlinks>
    <hyperlink ref="A5" location="'2025.01'!A1" display="'2025.01'!A1" xr:uid="{C6F69A1E-1E4D-4DD3-9D87-EA927D37CD8E}"/>
    <hyperlink ref="A6" location="'2025.02'!A1" display="'2025.02'!A1" xr:uid="{765D06CA-FFC4-43ED-90BD-225511A6FEB5}"/>
    <hyperlink ref="A7" location="'2025.03'!A1" display="'2025.03'!A1" xr:uid="{6FE824A3-3123-4EA4-854B-BF6B2BC7B759}"/>
    <hyperlink ref="A8" location="'2025.04'!A1" display="'2025.04'!A1" xr:uid="{1181D891-BF46-4DE1-8806-A01AEF3D2777}"/>
    <hyperlink ref="A9" location="'2025.05'!A1" display="'2025.05'!A1" xr:uid="{D7A53369-B165-4211-96F5-A9939DA90015}"/>
    <hyperlink ref="A10" location="'2025.06'!A1" display="'2025.06'!A1" xr:uid="{72426675-7B35-4000-8BED-C61C8A768222}"/>
    <hyperlink ref="A11" location="'2025.07'!A1" display="'2025.07'!A1" xr:uid="{C27D185E-1E20-477E-8087-E77D66DA64DF}"/>
    <hyperlink ref="A12" location="'2025.08'!A1" display="'2025.08'!A1" xr:uid="{ACAACA2D-F6B3-411D-8F64-99A8BA083BF6}"/>
    <hyperlink ref="A13" location="'2025.09'!A1" display="'2025.09'!A1" xr:uid="{A8EAB884-E12A-47E5-AEFB-6549E279EB63}"/>
    <hyperlink ref="A14" location="'2025.10'!A1" display="'2025.10'!A1" xr:uid="{37958BB4-A14E-43E8-9A8F-BDF68443FA1C}"/>
    <hyperlink ref="A15" location="'2025.11'!A1" display="'2025.11'!A1" xr:uid="{5F4CB3DA-A35E-4425-934C-E1A7E5DD3FDE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65"/>
  <sheetViews>
    <sheetView workbookViewId="0">
      <pane xSplit="1" ySplit="5" topLeftCell="B6" activePane="bottomRight" state="frozen"/>
      <selection activeCell="AF1" sqref="AF1:AF1048576"/>
      <selection pane="topRight" activeCell="AF1" sqref="AF1:AF1048576"/>
      <selection pane="bottomLeft" activeCell="AF1" sqref="AF1:AF1048576"/>
      <selection pane="bottomRight" activeCell="AF1" sqref="AF1:AF1048576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31" t="s">
        <v>52</v>
      </c>
    </row>
    <row r="3" spans="1:33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53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</row>
    <row r="4" spans="1:33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</row>
    <row r="5" spans="1:33" x14ac:dyDescent="0.25">
      <c r="A5" s="38">
        <f>'2025.03'!Q2</f>
        <v>2025.03</v>
      </c>
      <c r="B5" s="4">
        <f>'2025.03'!B69</f>
        <v>50</v>
      </c>
      <c r="C5" s="4">
        <f>'2025.03'!C69</f>
        <v>50</v>
      </c>
      <c r="D5" s="4">
        <f>B5</f>
        <v>50</v>
      </c>
      <c r="E5" s="6">
        <f>'2025.03'!F69</f>
        <v>0.39100000000000001</v>
      </c>
      <c r="F5" s="6">
        <f>E5</f>
        <v>0.39100000000000001</v>
      </c>
      <c r="G5" s="6">
        <v>125.816</v>
      </c>
      <c r="H5" s="4">
        <f t="shared" ref="H5:H7" si="0">F5*G5</f>
        <v>49.19</v>
      </c>
      <c r="I5" s="4">
        <f>H5-D5</f>
        <v>-0.81</v>
      </c>
      <c r="J5" s="18">
        <f>(H5-D5)/D5</f>
        <v>-1.6199999999999999E-2</v>
      </c>
      <c r="K5" s="4">
        <f>'2025.03'!D69</f>
        <v>0</v>
      </c>
      <c r="L5" s="4">
        <f>'2025.03'!J69</f>
        <v>0</v>
      </c>
      <c r="M5" s="4">
        <f>'2025.03'!O69</f>
        <v>0</v>
      </c>
      <c r="O5" s="3" t="s">
        <v>2</v>
      </c>
      <c r="P5" s="4">
        <f>SUM(B5:B13)</f>
        <v>50</v>
      </c>
      <c r="Q5" s="7">
        <f>SUM(E5:E13)</f>
        <v>0.39100000000000001</v>
      </c>
      <c r="R5" s="4">
        <v>53.24</v>
      </c>
      <c r="S5" s="4">
        <f>R5-P5+X5</f>
        <v>3.24</v>
      </c>
      <c r="T5" s="18">
        <f>(R5-P5+X5)/P5</f>
        <v>6.4799999999999996E-2</v>
      </c>
      <c r="U5" s="18">
        <f>XIRR(AG5:AG65,AF5:AF65)</f>
        <v>0.10150000000000001</v>
      </c>
      <c r="V5" s="4">
        <f>SUM(K5:K13)</f>
        <v>0</v>
      </c>
      <c r="W5" s="4">
        <f>SUM(L5:L13)</f>
        <v>0</v>
      </c>
      <c r="X5" s="4">
        <f>SUM(M5:M13)</f>
        <v>0</v>
      </c>
      <c r="Y5" s="4" cm="1">
        <f t="array" ref="Y5">SUMPRODUCT(IFERROR(AD5:AD200,0),IFERROR(AE5:AE200,0))/SUM(IFERROR(AE5:AE200,0))</f>
        <v>127.88</v>
      </c>
      <c r="AC5" s="4">
        <f>'2025.03'!$C$69</f>
        <v>50</v>
      </c>
      <c r="AD5" s="4">
        <f>'2025.03'!$E$69</f>
        <v>127.88</v>
      </c>
      <c r="AE5" s="7">
        <f>'2025.03'!$F$69</f>
        <v>0.39100000000000001</v>
      </c>
      <c r="AF5" s="49">
        <f>'2025.03'!$A$65</f>
        <v>45741</v>
      </c>
      <c r="AG5" s="4">
        <f>'2025.03'!$B$65*-1</f>
        <v>-50</v>
      </c>
    </row>
    <row r="6" spans="1:33" x14ac:dyDescent="0.25">
      <c r="A6" s="38">
        <f>'2025.04'!Q2</f>
        <v>2025.04</v>
      </c>
      <c r="B6" s="4">
        <f>'2025.04'!B69</f>
        <v>0</v>
      </c>
      <c r="C6" s="4">
        <f>'2025.04'!C69</f>
        <v>0</v>
      </c>
      <c r="D6" s="4">
        <f t="shared" ref="D6:D13" si="1">D5+B6</f>
        <v>50</v>
      </c>
      <c r="E6" s="6">
        <f>'2025.04'!F69</f>
        <v>0</v>
      </c>
      <c r="F6" s="6">
        <f t="shared" ref="F6:F7" si="2">F5+E6</f>
        <v>0.39100000000000001</v>
      </c>
      <c r="G6" s="6">
        <v>122.913</v>
      </c>
      <c r="H6" s="4">
        <f t="shared" si="0"/>
        <v>48.06</v>
      </c>
      <c r="I6" s="4">
        <f t="shared" ref="I6:I12" si="3">H6-D6</f>
        <v>-1.94</v>
      </c>
      <c r="J6" s="18">
        <f t="shared" ref="J6:J12" si="4">(H6-D6)/D6</f>
        <v>-3.8800000000000001E-2</v>
      </c>
      <c r="K6" s="4">
        <f>'2025.04'!D69</f>
        <v>0</v>
      </c>
      <c r="L6" s="4">
        <f>'2025.04'!J69</f>
        <v>0</v>
      </c>
      <c r="M6" s="4">
        <f>'2025.04'!O69</f>
        <v>0</v>
      </c>
      <c r="AC6" s="4">
        <f>'2025.04'!$C$69</f>
        <v>0</v>
      </c>
      <c r="AD6" s="4" t="str">
        <f>'2025.04'!$E$69</f>
        <v>0.00</v>
      </c>
      <c r="AE6" s="7">
        <f>'2025.04'!$F$69</f>
        <v>0</v>
      </c>
      <c r="AF6" s="49"/>
      <c r="AG6" s="4"/>
    </row>
    <row r="7" spans="1:33" x14ac:dyDescent="0.25">
      <c r="A7" s="38">
        <f>'2025.05'!Q2</f>
        <v>2025.05</v>
      </c>
      <c r="B7" s="4">
        <f>'2025.05'!B69</f>
        <v>0</v>
      </c>
      <c r="C7" s="4">
        <f>'2025.05'!C69</f>
        <v>0</v>
      </c>
      <c r="D7" s="4">
        <f t="shared" si="1"/>
        <v>50</v>
      </c>
      <c r="E7" s="6">
        <f>'2025.05'!F69</f>
        <v>0</v>
      </c>
      <c r="F7" s="6">
        <f t="shared" si="2"/>
        <v>0.39100000000000001</v>
      </c>
      <c r="G7" s="6">
        <v>129.37200000000001</v>
      </c>
      <c r="H7" s="4">
        <f t="shared" si="0"/>
        <v>50.58</v>
      </c>
      <c r="I7" s="4">
        <f t="shared" si="3"/>
        <v>0.57999999999999996</v>
      </c>
      <c r="J7" s="18">
        <f t="shared" si="4"/>
        <v>1.1599999999999999E-2</v>
      </c>
      <c r="K7" s="4">
        <f>'2025.05'!D69</f>
        <v>0</v>
      </c>
      <c r="L7" s="4">
        <f>'2025.05'!J69</f>
        <v>0</v>
      </c>
      <c r="M7" s="4">
        <f>'2025.05'!O69</f>
        <v>0</v>
      </c>
      <c r="AC7" s="4">
        <f>'2025.05'!$C$69</f>
        <v>0</v>
      </c>
      <c r="AD7" s="4" t="str">
        <f>'2025.05'!$E$69</f>
        <v>0.00</v>
      </c>
      <c r="AE7" s="7">
        <f>'2025.05'!$F$69</f>
        <v>0</v>
      </c>
      <c r="AF7" s="49"/>
      <c r="AG7" s="4"/>
    </row>
    <row r="8" spans="1:33" x14ac:dyDescent="0.25">
      <c r="A8" s="38">
        <f>'2025.06'!Q2</f>
        <v>2025.06</v>
      </c>
      <c r="B8" s="4">
        <f>'2025.06'!B69</f>
        <v>0</v>
      </c>
      <c r="C8" s="4">
        <f>'2025.06'!C69</f>
        <v>0</v>
      </c>
      <c r="D8" s="4">
        <f t="shared" si="1"/>
        <v>50</v>
      </c>
      <c r="E8" s="6">
        <f>'2025.06'!F69</f>
        <v>0</v>
      </c>
      <c r="F8" s="6">
        <f t="shared" ref="F8" si="5">F7+E8</f>
        <v>0.39100000000000001</v>
      </c>
      <c r="G8" s="6">
        <v>126.086</v>
      </c>
      <c r="H8" s="4">
        <f t="shared" ref="H8" si="6">F8*G8</f>
        <v>49.3</v>
      </c>
      <c r="I8" s="4">
        <f t="shared" si="3"/>
        <v>-0.7</v>
      </c>
      <c r="J8" s="18">
        <f t="shared" si="4"/>
        <v>-1.4E-2</v>
      </c>
      <c r="K8" s="4">
        <f>'2025.06'!D69</f>
        <v>0</v>
      </c>
      <c r="L8" s="4">
        <f>'2025.06'!J69</f>
        <v>0</v>
      </c>
      <c r="M8" s="4">
        <f>'2025.06'!O69</f>
        <v>0</v>
      </c>
      <c r="AC8" s="4">
        <f>'2025.06'!$C$69</f>
        <v>0</v>
      </c>
      <c r="AD8" s="4" t="str">
        <f>'2025.06'!$E$69</f>
        <v>0.00</v>
      </c>
      <c r="AE8" s="7">
        <f>'2025.06'!$F$69</f>
        <v>0</v>
      </c>
      <c r="AF8" s="49"/>
      <c r="AG8" s="4"/>
    </row>
    <row r="9" spans="1:33" x14ac:dyDescent="0.25">
      <c r="A9" s="38">
        <f>'2025.07'!Q2</f>
        <v>2025.07</v>
      </c>
      <c r="B9" s="4">
        <f>'2025.07'!B69</f>
        <v>0</v>
      </c>
      <c r="C9" s="4">
        <f>'2025.07'!C69</f>
        <v>0</v>
      </c>
      <c r="D9" s="4">
        <f t="shared" si="1"/>
        <v>50</v>
      </c>
      <c r="E9" s="6">
        <f>'2025.07'!F69</f>
        <v>0</v>
      </c>
      <c r="F9" s="6">
        <f t="shared" ref="F9" si="7">F8+E9</f>
        <v>0.39100000000000001</v>
      </c>
      <c r="G9" s="6">
        <v>128.82400000000001</v>
      </c>
      <c r="H9" s="4">
        <f t="shared" ref="H9" si="8">F9*G9</f>
        <v>50.37</v>
      </c>
      <c r="I9" s="4">
        <f t="shared" si="3"/>
        <v>0.37</v>
      </c>
      <c r="J9" s="18">
        <f t="shared" si="4"/>
        <v>7.4000000000000003E-3</v>
      </c>
      <c r="K9" s="4">
        <f>'2025.07'!D69</f>
        <v>0</v>
      </c>
      <c r="L9" s="4">
        <f>'2025.07'!J69</f>
        <v>0</v>
      </c>
      <c r="M9" s="4">
        <f>'2025.07'!O69</f>
        <v>0</v>
      </c>
      <c r="AC9" s="4">
        <f>'2025.07'!$C$69</f>
        <v>0</v>
      </c>
      <c r="AD9" s="4" t="str">
        <f>'2025.07'!$E$69</f>
        <v>0.00</v>
      </c>
      <c r="AE9" s="7">
        <f>'2025.07'!$F$69</f>
        <v>0</v>
      </c>
      <c r="AF9" s="49"/>
      <c r="AG9" s="4"/>
    </row>
    <row r="10" spans="1:33" x14ac:dyDescent="0.25">
      <c r="A10" s="38">
        <f>'2025.08'!Q2</f>
        <v>2025.08</v>
      </c>
      <c r="B10" s="4">
        <f>'2025.08'!B69</f>
        <v>0</v>
      </c>
      <c r="C10" s="4">
        <f>'2025.08'!C69</f>
        <v>0</v>
      </c>
      <c r="D10" s="4">
        <f t="shared" si="1"/>
        <v>50</v>
      </c>
      <c r="E10" s="6">
        <f>'2025.08'!F69</f>
        <v>0</v>
      </c>
      <c r="F10" s="6">
        <f t="shared" ref="F10" si="9">F9+E10</f>
        <v>0.39100000000000001</v>
      </c>
      <c r="G10" s="6">
        <v>130.19399999999999</v>
      </c>
      <c r="H10" s="4">
        <f t="shared" ref="H10" si="10">F10*G10</f>
        <v>50.91</v>
      </c>
      <c r="I10" s="4">
        <f t="shared" si="3"/>
        <v>0.91</v>
      </c>
      <c r="J10" s="18">
        <f t="shared" si="4"/>
        <v>1.8200000000000001E-2</v>
      </c>
      <c r="K10" s="4">
        <f>'2025.08'!D69</f>
        <v>0</v>
      </c>
      <c r="L10" s="4">
        <f>'2025.08'!J69</f>
        <v>0</v>
      </c>
      <c r="M10" s="4">
        <f>'2025.08'!O69</f>
        <v>0</v>
      </c>
      <c r="AC10" s="4">
        <f>'2025.08'!$C$69</f>
        <v>0</v>
      </c>
      <c r="AD10" s="4" t="str">
        <f>'2025.08'!$E$69</f>
        <v>0.00</v>
      </c>
      <c r="AE10" s="7">
        <f>'2025.08'!$F$69</f>
        <v>0</v>
      </c>
      <c r="AF10" s="49"/>
      <c r="AG10" s="4"/>
    </row>
    <row r="11" spans="1:33" x14ac:dyDescent="0.25">
      <c r="A11" s="38">
        <f>'2025.09'!Q2</f>
        <v>2025.09</v>
      </c>
      <c r="B11" s="4">
        <f>'2025.09'!B69</f>
        <v>0</v>
      </c>
      <c r="C11" s="4">
        <f>'2025.09'!C69</f>
        <v>0</v>
      </c>
      <c r="D11" s="4">
        <f t="shared" si="1"/>
        <v>50</v>
      </c>
      <c r="E11" s="6">
        <f>'2025.09'!F69</f>
        <v>0</v>
      </c>
      <c r="F11" s="6">
        <f t="shared" ref="F11" si="11">F10+E11</f>
        <v>0.39100000000000001</v>
      </c>
      <c r="G11" s="6">
        <v>129.69999999999999</v>
      </c>
      <c r="H11" s="4">
        <f t="shared" ref="H11" si="12">F11*G11</f>
        <v>50.71</v>
      </c>
      <c r="I11" s="4">
        <f t="shared" si="3"/>
        <v>0.71</v>
      </c>
      <c r="J11" s="18">
        <f t="shared" si="4"/>
        <v>1.4200000000000001E-2</v>
      </c>
      <c r="K11" s="4">
        <f>'2025.09'!D69</f>
        <v>0</v>
      </c>
      <c r="L11" s="4">
        <f>'2025.09'!J69</f>
        <v>0</v>
      </c>
      <c r="M11" s="4">
        <f>'2025.09'!O69</f>
        <v>0</v>
      </c>
      <c r="AC11" s="4">
        <f>'2025.09'!$C$69</f>
        <v>0</v>
      </c>
      <c r="AD11" s="4" t="str">
        <f>'2025.09'!$E$69</f>
        <v>0.00</v>
      </c>
      <c r="AE11" s="7">
        <f>'2025.09'!$F$69</f>
        <v>0</v>
      </c>
      <c r="AF11" s="49"/>
      <c r="AG11" s="4"/>
    </row>
    <row r="12" spans="1:33" x14ac:dyDescent="0.25">
      <c r="A12" s="38">
        <f>'2025.10'!Q2</f>
        <v>2025.1</v>
      </c>
      <c r="B12" s="4">
        <f>'2025.10'!B69</f>
        <v>0</v>
      </c>
      <c r="C12" s="4">
        <f>'2025.10'!C69</f>
        <v>0</v>
      </c>
      <c r="D12" s="4">
        <f t="shared" si="1"/>
        <v>50</v>
      </c>
      <c r="E12" s="6">
        <f>'2025.10'!F69</f>
        <v>0</v>
      </c>
      <c r="F12" s="6">
        <f t="shared" ref="F12" si="13">F11+E12</f>
        <v>0.39100000000000001</v>
      </c>
      <c r="G12" s="6">
        <v>134.83000000000001</v>
      </c>
      <c r="H12" s="4">
        <f t="shared" ref="H12" si="14">F12*G12</f>
        <v>52.72</v>
      </c>
      <c r="I12" s="4">
        <f t="shared" si="3"/>
        <v>2.72</v>
      </c>
      <c r="J12" s="18">
        <f t="shared" si="4"/>
        <v>5.4399999999999997E-2</v>
      </c>
      <c r="K12" s="4">
        <f>'2025.10'!D69</f>
        <v>0</v>
      </c>
      <c r="L12" s="4">
        <f>'2025.10'!J69</f>
        <v>0</v>
      </c>
      <c r="M12" s="4">
        <f>'2025.10'!O69</f>
        <v>0</v>
      </c>
      <c r="AC12" s="4">
        <f>'2025.10'!$C$69</f>
        <v>0</v>
      </c>
      <c r="AD12" s="4" t="str">
        <f>'2025.10'!$E$69</f>
        <v>0.00</v>
      </c>
      <c r="AE12" s="7">
        <f>'2025.10'!$F$69</f>
        <v>0</v>
      </c>
      <c r="AF12" s="49"/>
      <c r="AG12" s="4"/>
    </row>
    <row r="13" spans="1:33" x14ac:dyDescent="0.25">
      <c r="A13" s="44">
        <f>'2025.11'!Q2</f>
        <v>2025.11</v>
      </c>
      <c r="B13" s="16">
        <f>'2025.11'!B69</f>
        <v>0</v>
      </c>
      <c r="C13" s="16">
        <f>'2025.11'!C69</f>
        <v>0</v>
      </c>
      <c r="D13" s="16">
        <f t="shared" si="1"/>
        <v>50</v>
      </c>
      <c r="E13" s="17">
        <f>'2025.11'!F69</f>
        <v>0</v>
      </c>
      <c r="F13" s="17">
        <f t="shared" ref="F13" si="15">F12+E13</f>
        <v>0.39100000000000001</v>
      </c>
      <c r="G13" s="17">
        <v>136.16999999999999</v>
      </c>
      <c r="H13" s="16">
        <f t="shared" ref="H13" si="16">F13*G13</f>
        <v>53.24</v>
      </c>
      <c r="I13" s="16">
        <f t="shared" ref="I13" si="17">H13-D13</f>
        <v>3.24</v>
      </c>
      <c r="J13" s="36">
        <f t="shared" ref="J13" si="18">(H13-D13)/D13</f>
        <v>6.4799999999999996E-2</v>
      </c>
      <c r="K13" s="16">
        <f>'2025.11'!D69</f>
        <v>0</v>
      </c>
      <c r="L13" s="16">
        <f>'2025.11'!J69</f>
        <v>0</v>
      </c>
      <c r="M13" s="16">
        <f>'2025.11'!O69</f>
        <v>0</v>
      </c>
      <c r="AC13" s="4">
        <f>'2025.11'!$C$69</f>
        <v>0</v>
      </c>
      <c r="AD13" s="4" t="str">
        <f>'2025.11'!$E$69</f>
        <v>0.00</v>
      </c>
      <c r="AE13" s="7">
        <f>'2025.11'!$F$69</f>
        <v>0</v>
      </c>
      <c r="AF13" s="49">
        <v>45978</v>
      </c>
      <c r="AG13" s="4">
        <f>R5</f>
        <v>53.24</v>
      </c>
    </row>
    <row r="14" spans="1:33" x14ac:dyDescent="0.25">
      <c r="AC14" s="27"/>
      <c r="AD14" s="27"/>
      <c r="AE14" s="43"/>
      <c r="AF14" s="50"/>
      <c r="AG14" s="27"/>
    </row>
    <row r="15" spans="1:33" x14ac:dyDescent="0.25">
      <c r="AC15" s="27"/>
      <c r="AD15" s="27"/>
      <c r="AE15" s="43"/>
      <c r="AF15" s="50"/>
      <c r="AG15" s="27"/>
    </row>
    <row r="16" spans="1:33" x14ac:dyDescent="0.25">
      <c r="AC16" s="27"/>
      <c r="AD16" s="27"/>
      <c r="AE16" s="43"/>
      <c r="AF16" s="50"/>
      <c r="AG16" s="27"/>
    </row>
    <row r="17" spans="29:33" x14ac:dyDescent="0.25">
      <c r="AC17" s="27"/>
      <c r="AD17" s="27"/>
      <c r="AE17" s="43"/>
      <c r="AF17" s="50"/>
      <c r="AG17" s="27"/>
    </row>
    <row r="18" spans="29:33" x14ac:dyDescent="0.25">
      <c r="AC18" s="27"/>
      <c r="AD18" s="27"/>
      <c r="AE18" s="43"/>
      <c r="AF18" s="50"/>
      <c r="AG18" s="27"/>
    </row>
    <row r="19" spans="29:33" x14ac:dyDescent="0.25">
      <c r="AC19" s="27"/>
      <c r="AD19" s="27"/>
      <c r="AE19" s="43"/>
      <c r="AF19" s="50"/>
      <c r="AG19" s="27"/>
    </row>
    <row r="20" spans="29:33" x14ac:dyDescent="0.25">
      <c r="AC20" s="27"/>
      <c r="AD20" s="27"/>
      <c r="AE20" s="43"/>
      <c r="AF20" s="50"/>
      <c r="AG20" s="27"/>
    </row>
    <row r="21" spans="29:33" x14ac:dyDescent="0.25">
      <c r="AC21" s="27"/>
      <c r="AD21" s="27"/>
      <c r="AE21" s="43"/>
      <c r="AF21" s="50"/>
      <c r="AG21" s="27"/>
    </row>
    <row r="22" spans="29:33" x14ac:dyDescent="0.25">
      <c r="AC22" s="27"/>
      <c r="AD22" s="27"/>
      <c r="AE22" s="43"/>
      <c r="AF22" s="50"/>
      <c r="AG22" s="27"/>
    </row>
    <row r="23" spans="29:33" x14ac:dyDescent="0.25">
      <c r="AC23" s="27"/>
      <c r="AD23" s="27"/>
      <c r="AE23" s="43"/>
      <c r="AF23" s="50"/>
      <c r="AG23" s="27"/>
    </row>
    <row r="24" spans="29:33" x14ac:dyDescent="0.25">
      <c r="AC24" s="27"/>
      <c r="AD24" s="27"/>
      <c r="AE24" s="43"/>
      <c r="AF24" s="50"/>
      <c r="AG24" s="27"/>
    </row>
    <row r="25" spans="29:33" x14ac:dyDescent="0.25">
      <c r="AC25" s="27"/>
      <c r="AD25" s="27"/>
      <c r="AE25" s="43"/>
      <c r="AF25" s="50"/>
      <c r="AG25" s="27"/>
    </row>
    <row r="26" spans="29:33" x14ac:dyDescent="0.25">
      <c r="AC26" s="27"/>
      <c r="AD26" s="27"/>
      <c r="AE26" s="43"/>
      <c r="AF26" s="50"/>
      <c r="AG26" s="27"/>
    </row>
    <row r="27" spans="29:33" x14ac:dyDescent="0.25">
      <c r="AC27" s="27"/>
      <c r="AD27" s="27"/>
      <c r="AE27" s="43"/>
      <c r="AF27" s="50"/>
      <c r="AG27" s="27"/>
    </row>
    <row r="28" spans="29:33" x14ac:dyDescent="0.25">
      <c r="AC28" s="27"/>
      <c r="AD28" s="27"/>
      <c r="AE28" s="43"/>
      <c r="AF28" s="50"/>
      <c r="AG28" s="27"/>
    </row>
    <row r="29" spans="29:33" x14ac:dyDescent="0.25">
      <c r="AC29" s="27"/>
      <c r="AD29" s="27"/>
      <c r="AE29" s="43"/>
      <c r="AF29" s="50"/>
      <c r="AG29" s="27"/>
    </row>
    <row r="30" spans="29:33" x14ac:dyDescent="0.25">
      <c r="AC30" s="27"/>
      <c r="AD30" s="27"/>
      <c r="AE30" s="43"/>
      <c r="AF30" s="50"/>
      <c r="AG30" s="27"/>
    </row>
    <row r="31" spans="29:33" x14ac:dyDescent="0.25">
      <c r="AC31" s="27"/>
      <c r="AD31" s="27"/>
      <c r="AE31" s="43"/>
      <c r="AF31" s="50"/>
      <c r="AG31" s="27"/>
    </row>
    <row r="32" spans="29:33" x14ac:dyDescent="0.25">
      <c r="AC32" s="27"/>
      <c r="AD32" s="27"/>
      <c r="AE32" s="43"/>
      <c r="AF32" s="50"/>
      <c r="AG32" s="27"/>
    </row>
    <row r="33" spans="29:33" x14ac:dyDescent="0.25">
      <c r="AC33" s="27"/>
      <c r="AD33" s="27"/>
      <c r="AE33" s="43"/>
      <c r="AF33" s="50"/>
      <c r="AG33" s="27"/>
    </row>
    <row r="34" spans="29:33" x14ac:dyDescent="0.25">
      <c r="AC34" s="27"/>
      <c r="AD34" s="27"/>
      <c r="AE34" s="43"/>
      <c r="AF34" s="50"/>
      <c r="AG34" s="27"/>
    </row>
    <row r="35" spans="29:33" x14ac:dyDescent="0.25">
      <c r="AC35" s="27"/>
      <c r="AD35" s="27"/>
      <c r="AE35" s="43"/>
      <c r="AF35" s="50"/>
      <c r="AG35" s="27"/>
    </row>
    <row r="36" spans="29:33" x14ac:dyDescent="0.25">
      <c r="AC36" s="27"/>
      <c r="AD36" s="27"/>
      <c r="AE36" s="43"/>
      <c r="AF36" s="50"/>
      <c r="AG36" s="27"/>
    </row>
    <row r="37" spans="29:33" x14ac:dyDescent="0.25">
      <c r="AC37" s="27"/>
      <c r="AD37" s="27"/>
      <c r="AE37" s="43"/>
      <c r="AF37" s="50"/>
      <c r="AG37" s="27"/>
    </row>
    <row r="38" spans="29:33" x14ac:dyDescent="0.25">
      <c r="AC38" s="27"/>
      <c r="AD38" s="27"/>
      <c r="AE38" s="43"/>
      <c r="AF38" s="50"/>
      <c r="AG38" s="27"/>
    </row>
    <row r="39" spans="29:33" x14ac:dyDescent="0.25">
      <c r="AC39" s="27"/>
      <c r="AD39" s="27"/>
      <c r="AE39" s="43"/>
      <c r="AF39" s="50"/>
      <c r="AG39" s="27"/>
    </row>
    <row r="40" spans="29:33" x14ac:dyDescent="0.25">
      <c r="AC40" s="27"/>
      <c r="AD40" s="27"/>
      <c r="AE40" s="43"/>
      <c r="AF40" s="50"/>
      <c r="AG40" s="27"/>
    </row>
    <row r="41" spans="29:33" x14ac:dyDescent="0.25">
      <c r="AC41" s="27"/>
      <c r="AD41" s="27"/>
      <c r="AE41" s="43"/>
      <c r="AF41" s="50"/>
      <c r="AG41" s="27"/>
    </row>
    <row r="42" spans="29:33" x14ac:dyDescent="0.25">
      <c r="AC42" s="27"/>
      <c r="AD42" s="27"/>
      <c r="AE42" s="43"/>
      <c r="AF42" s="50"/>
      <c r="AG42" s="27"/>
    </row>
    <row r="43" spans="29:33" x14ac:dyDescent="0.25">
      <c r="AC43" s="27"/>
      <c r="AD43" s="27"/>
      <c r="AE43" s="43"/>
      <c r="AF43" s="50"/>
      <c r="AG43" s="27"/>
    </row>
    <row r="44" spans="29:33" x14ac:dyDescent="0.25">
      <c r="AC44" s="27"/>
      <c r="AD44" s="27"/>
      <c r="AE44" s="43"/>
      <c r="AF44" s="50"/>
      <c r="AG44" s="27"/>
    </row>
    <row r="45" spans="29:33" x14ac:dyDescent="0.25">
      <c r="AC45" s="27"/>
      <c r="AD45" s="27"/>
      <c r="AE45" s="43"/>
      <c r="AF45" s="50"/>
      <c r="AG45" s="27"/>
    </row>
    <row r="46" spans="29:33" x14ac:dyDescent="0.25">
      <c r="AC46" s="27"/>
      <c r="AD46" s="27"/>
      <c r="AE46" s="43"/>
      <c r="AF46" s="50"/>
      <c r="AG46" s="27"/>
    </row>
    <row r="47" spans="29:33" x14ac:dyDescent="0.25">
      <c r="AC47" s="27"/>
      <c r="AD47" s="27"/>
      <c r="AE47" s="43"/>
      <c r="AF47" s="50"/>
      <c r="AG47" s="27"/>
    </row>
    <row r="48" spans="29:33" x14ac:dyDescent="0.25">
      <c r="AF48" s="50"/>
      <c r="AG48" s="27"/>
    </row>
    <row r="49" spans="32:33" x14ac:dyDescent="0.25">
      <c r="AF49" s="50"/>
      <c r="AG49" s="27"/>
    </row>
    <row r="50" spans="32:33" x14ac:dyDescent="0.25">
      <c r="AF50" s="50"/>
      <c r="AG50" s="27"/>
    </row>
    <row r="51" spans="32:33" x14ac:dyDescent="0.25">
      <c r="AF51" s="50"/>
      <c r="AG51" s="27"/>
    </row>
    <row r="52" spans="32:33" x14ac:dyDescent="0.25">
      <c r="AF52" s="50"/>
      <c r="AG52" s="27"/>
    </row>
    <row r="53" spans="32:33" x14ac:dyDescent="0.25">
      <c r="AF53" s="50"/>
      <c r="AG53" s="27"/>
    </row>
    <row r="54" spans="32:33" x14ac:dyDescent="0.25">
      <c r="AF54" s="50"/>
      <c r="AG54" s="27"/>
    </row>
    <row r="55" spans="32:33" x14ac:dyDescent="0.25">
      <c r="AF55" s="50"/>
      <c r="AG55" s="27"/>
    </row>
    <row r="56" spans="32:33" x14ac:dyDescent="0.25">
      <c r="AF56" s="50"/>
      <c r="AG56" s="27"/>
    </row>
    <row r="57" spans="32:33" x14ac:dyDescent="0.25">
      <c r="AF57" s="50"/>
      <c r="AG57" s="27"/>
    </row>
    <row r="58" spans="32:33" x14ac:dyDescent="0.25">
      <c r="AF58" s="50"/>
      <c r="AG58" s="27"/>
    </row>
    <row r="59" spans="32:33" x14ac:dyDescent="0.25">
      <c r="AF59" s="50"/>
      <c r="AG59" s="27"/>
    </row>
    <row r="60" spans="32:33" x14ac:dyDescent="0.25">
      <c r="AF60" s="50"/>
      <c r="AG60" s="27"/>
    </row>
    <row r="61" spans="32:33" x14ac:dyDescent="0.25">
      <c r="AF61" s="50"/>
      <c r="AG61" s="27"/>
    </row>
    <row r="62" spans="32:33" x14ac:dyDescent="0.25">
      <c r="AF62" s="50"/>
      <c r="AG62" s="27"/>
    </row>
    <row r="63" spans="32:33" x14ac:dyDescent="0.25">
      <c r="AF63" s="50"/>
      <c r="AG63" s="27"/>
    </row>
    <row r="64" spans="32:33" x14ac:dyDescent="0.25">
      <c r="AF64" s="50"/>
      <c r="AG64" s="27"/>
    </row>
    <row r="65" spans="32:33" x14ac:dyDescent="0.25">
      <c r="AF65" s="50"/>
      <c r="AG65" s="27"/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P3:P4"/>
    <mergeCell ref="Q3:Q4"/>
    <mergeCell ref="R3:R4"/>
    <mergeCell ref="S3:U3"/>
    <mergeCell ref="A3:A4"/>
    <mergeCell ref="B3:D3"/>
    <mergeCell ref="E3:F3"/>
    <mergeCell ref="G3:J3"/>
    <mergeCell ref="K3:L3"/>
  </mergeCells>
  <hyperlinks>
    <hyperlink ref="A5" location="'2025.03'!A1" display="'2025.03'!A1" xr:uid="{83B27652-85EB-40F6-B9BE-478CCD2D860A}"/>
    <hyperlink ref="A6" location="'2025.04'!A1" display="'2025.04'!A1" xr:uid="{46453159-D263-424C-AE33-73DFC3A51A36}"/>
    <hyperlink ref="A7" location="'2025.05'!A1" display="'2025.05'!A1" xr:uid="{1364B0BE-71AE-4DE1-B4A8-5D9E289DC872}"/>
    <hyperlink ref="A8" location="'2025.06'!A1" display="'2025.06'!A1" xr:uid="{649E79DA-97FC-4B24-8C27-F649C0994CB6}"/>
    <hyperlink ref="A9" location="'2025.07'!A1" display="'2025.07'!A1" xr:uid="{60F6A4AC-AED5-4332-8739-8188BBC662D1}"/>
    <hyperlink ref="A10" location="'2025.08'!A1" display="'2025.08'!A1" xr:uid="{662B1339-6BB8-4458-897B-42B0FE8DFDB4}"/>
    <hyperlink ref="A11" location="'2025.09'!A1" display="'2025.09'!A1" xr:uid="{CF8C842A-56A5-4630-9B9A-2FF874D527C2}"/>
    <hyperlink ref="A12" location="'2025.10'!A1" display="'2025.10'!A1" xr:uid="{AB4B7BF1-7EE6-4757-89B2-4924DFE27271}"/>
    <hyperlink ref="A13" location="'2025.11'!A1" display="'2025.11'!A1" xr:uid="{935F20BA-5087-4582-A965-4C3F69100DA5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65"/>
  <sheetViews>
    <sheetView workbookViewId="0">
      <pane xSplit="1" ySplit="5" topLeftCell="B6" activePane="bottomRight" state="frozen"/>
      <selection activeCell="AF1" sqref="AF1:AF1048576"/>
      <selection pane="topRight" activeCell="AF1" sqref="AF1:AF1048576"/>
      <selection pane="bottomLeft" activeCell="AF1" sqref="AF1:AF1048576"/>
      <selection pane="bottomRight" activeCell="AF1" sqref="AF1:AF1048576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31" t="s">
        <v>54</v>
      </c>
    </row>
    <row r="3" spans="1:33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53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</row>
    <row r="4" spans="1:33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</row>
    <row r="5" spans="1:33" x14ac:dyDescent="0.25">
      <c r="A5" s="38">
        <f>'2025.04'!Q2</f>
        <v>2025.04</v>
      </c>
      <c r="B5" s="4">
        <f>'2025.04'!B79</f>
        <v>20</v>
      </c>
      <c r="C5" s="4">
        <f>'2025.04'!C79</f>
        <v>20</v>
      </c>
      <c r="D5" s="4">
        <f>B5</f>
        <v>20</v>
      </c>
      <c r="E5" s="6">
        <f>'2025.04'!F79</f>
        <v>0.17199999999999999</v>
      </c>
      <c r="F5" s="6">
        <f>E5</f>
        <v>0.17199999999999999</v>
      </c>
      <c r="G5" s="6">
        <v>120.238</v>
      </c>
      <c r="H5" s="4">
        <f t="shared" ref="H5:H6" si="0">F5*G5</f>
        <v>20.68</v>
      </c>
      <c r="I5" s="4">
        <f>H5-D5</f>
        <v>0.68</v>
      </c>
      <c r="J5" s="18">
        <f>(H5-D5)/D5</f>
        <v>3.4000000000000002E-2</v>
      </c>
      <c r="K5" s="4">
        <f>'2025.04'!D79</f>
        <v>0</v>
      </c>
      <c r="L5" s="4">
        <f>'2025.04'!J79</f>
        <v>0</v>
      </c>
      <c r="M5" s="4">
        <f>'2025.04'!O79</f>
        <v>0</v>
      </c>
      <c r="O5" s="3" t="s">
        <v>2</v>
      </c>
      <c r="P5" s="4">
        <f>SUM(B5:B12)</f>
        <v>20</v>
      </c>
      <c r="Q5" s="7">
        <f>SUM(E5:E12)</f>
        <v>0.17599999999999999</v>
      </c>
      <c r="R5" s="4">
        <v>24.86</v>
      </c>
      <c r="S5" s="4">
        <f>R5-P5+X5</f>
        <v>4.8600000000000003</v>
      </c>
      <c r="T5" s="18">
        <f>(R5-P5+X5)/P5</f>
        <v>0.24299999999999999</v>
      </c>
      <c r="U5" s="18">
        <f>XIRR(AG5:AG65,AF5:AF65)</f>
        <v>0.47020000000000001</v>
      </c>
      <c r="V5" s="4">
        <f>SUM(K5:K12)</f>
        <v>0</v>
      </c>
      <c r="W5" s="4">
        <f>SUM(L5:L12)</f>
        <v>0</v>
      </c>
      <c r="X5" s="4">
        <f>SUM(M5:M12)</f>
        <v>0</v>
      </c>
      <c r="Y5" s="4" cm="1">
        <f t="array" ref="Y5">SUMPRODUCT(IFERROR(AD5:AD200,0),IFERROR(AE5:AE200,0))/SUM(IFERROR(AE5:AE200,0))</f>
        <v>116.28</v>
      </c>
      <c r="AC5" s="4">
        <f>'2025.04'!$C$79</f>
        <v>20</v>
      </c>
      <c r="AD5" s="4">
        <f>'2025.04'!$E$79</f>
        <v>116.28</v>
      </c>
      <c r="AE5" s="7">
        <f>'2025.04'!$F$79</f>
        <v>0.17199999999999999</v>
      </c>
      <c r="AF5" s="49">
        <f>'2025.04'!$A$75</f>
        <v>45772</v>
      </c>
      <c r="AG5" s="4">
        <f>'2025.04'!$B$75*-1</f>
        <v>-20</v>
      </c>
    </row>
    <row r="6" spans="1:33" x14ac:dyDescent="0.25">
      <c r="A6" s="38">
        <f>'2025.05'!Q2</f>
        <v>2025.05</v>
      </c>
      <c r="B6" s="4">
        <f>'2025.05'!B79</f>
        <v>0</v>
      </c>
      <c r="C6" s="4">
        <f>'2025.05'!C79</f>
        <v>0</v>
      </c>
      <c r="D6" s="4">
        <f t="shared" ref="D6:D12" si="1">D5+B6</f>
        <v>20</v>
      </c>
      <c r="E6" s="6">
        <f>'2025.05'!F79</f>
        <v>0</v>
      </c>
      <c r="F6" s="6">
        <f t="shared" ref="F6" si="2">F5+E6</f>
        <v>0.17199999999999999</v>
      </c>
      <c r="G6" s="6">
        <v>125.99299999999999</v>
      </c>
      <c r="H6" s="4">
        <f t="shared" si="0"/>
        <v>21.67</v>
      </c>
      <c r="I6" s="4">
        <f t="shared" ref="I6:I11" si="3">H6-D6</f>
        <v>1.67</v>
      </c>
      <c r="J6" s="18">
        <f t="shared" ref="J6:J11" si="4">(H6-D6)/D6</f>
        <v>8.3500000000000005E-2</v>
      </c>
      <c r="K6" s="4">
        <f>'2025.05'!D79</f>
        <v>0</v>
      </c>
      <c r="L6" s="4">
        <f>'2025.05'!J79</f>
        <v>0</v>
      </c>
      <c r="M6" s="4">
        <f>'2025.05'!O79</f>
        <v>0</v>
      </c>
      <c r="AC6" s="4">
        <f>'2025.05'!$C$79</f>
        <v>0</v>
      </c>
      <c r="AD6" s="4" t="str">
        <f>'2025.05'!$E$79</f>
        <v>0.00</v>
      </c>
      <c r="AE6" s="7">
        <f>'2025.05'!$F$79</f>
        <v>0</v>
      </c>
      <c r="AF6" s="49"/>
      <c r="AG6" s="4"/>
    </row>
    <row r="7" spans="1:33" x14ac:dyDescent="0.25">
      <c r="A7" s="38">
        <f>'2025.06'!Q2</f>
        <v>2025.06</v>
      </c>
      <c r="B7" s="4">
        <f>'2025.06'!B79</f>
        <v>0</v>
      </c>
      <c r="C7" s="4">
        <f>'2025.06'!C79</f>
        <v>0</v>
      </c>
      <c r="D7" s="4">
        <f t="shared" si="1"/>
        <v>20</v>
      </c>
      <c r="E7" s="6">
        <f>'2025.06'!F79+'2025.06'!O35</f>
        <v>4.0000000000000001E-3</v>
      </c>
      <c r="F7" s="6">
        <f t="shared" ref="F7" si="5">F6+E7</f>
        <v>0.17599999999999999</v>
      </c>
      <c r="G7" s="6">
        <v>127.18899999999999</v>
      </c>
      <c r="H7" s="4">
        <f t="shared" ref="H7" si="6">F7*G7</f>
        <v>22.39</v>
      </c>
      <c r="I7" s="4">
        <f t="shared" si="3"/>
        <v>2.39</v>
      </c>
      <c r="J7" s="18">
        <f t="shared" si="4"/>
        <v>0.1195</v>
      </c>
      <c r="K7" s="4">
        <f>'2025.06'!D79</f>
        <v>0</v>
      </c>
      <c r="L7" s="4">
        <f>'2025.06'!J79</f>
        <v>0</v>
      </c>
      <c r="M7" s="4">
        <f>'2025.06'!O79</f>
        <v>0</v>
      </c>
      <c r="AC7" s="4">
        <f>'2025.06'!$C$79</f>
        <v>0</v>
      </c>
      <c r="AD7" s="4" t="str">
        <f>'2025.06'!$E$79</f>
        <v>0.00</v>
      </c>
      <c r="AE7" s="7">
        <f>'2025.06'!$F$79</f>
        <v>0</v>
      </c>
      <c r="AF7" s="49"/>
      <c r="AG7" s="4"/>
    </row>
    <row r="8" spans="1:33" x14ac:dyDescent="0.25">
      <c r="A8" s="38">
        <f>'2025.07'!Q2</f>
        <v>2025.07</v>
      </c>
      <c r="B8" s="4">
        <f>'2025.07'!B79</f>
        <v>0</v>
      </c>
      <c r="C8" s="4">
        <f>'2025.07'!C79</f>
        <v>0</v>
      </c>
      <c r="D8" s="4">
        <f t="shared" si="1"/>
        <v>20</v>
      </c>
      <c r="E8" s="6">
        <f>'2025.07'!F79</f>
        <v>0</v>
      </c>
      <c r="F8" s="6">
        <f t="shared" ref="F8" si="7">F7+E8</f>
        <v>0.17599999999999999</v>
      </c>
      <c r="G8" s="6">
        <v>134.321</v>
      </c>
      <c r="H8" s="4">
        <f t="shared" ref="H8" si="8">F8*G8</f>
        <v>23.64</v>
      </c>
      <c r="I8" s="4">
        <f t="shared" si="3"/>
        <v>3.64</v>
      </c>
      <c r="J8" s="18">
        <f t="shared" si="4"/>
        <v>0.182</v>
      </c>
      <c r="K8" s="4">
        <f>'2025.07'!D79</f>
        <v>0</v>
      </c>
      <c r="L8" s="4">
        <f>'2025.07'!J79</f>
        <v>0</v>
      </c>
      <c r="M8" s="4">
        <f>'2025.07'!O79</f>
        <v>0</v>
      </c>
      <c r="AC8" s="4">
        <f>'2025.07'!$C$79</f>
        <v>0</v>
      </c>
      <c r="AD8" s="4" t="str">
        <f>'2025.07'!$E$79</f>
        <v>0.00</v>
      </c>
      <c r="AE8" s="7">
        <f>'2025.07'!$F$79</f>
        <v>0</v>
      </c>
      <c r="AF8" s="49"/>
      <c r="AG8" s="4"/>
    </row>
    <row r="9" spans="1:33" x14ac:dyDescent="0.25">
      <c r="A9" s="38">
        <f>'2025.08'!Q2</f>
        <v>2025.08</v>
      </c>
      <c r="B9" s="4">
        <f>'2025.08'!B79</f>
        <v>0</v>
      </c>
      <c r="C9" s="4">
        <f>'2025.08'!C79</f>
        <v>0</v>
      </c>
      <c r="D9" s="4">
        <f t="shared" si="1"/>
        <v>20</v>
      </c>
      <c r="E9" s="6">
        <f>'2025.08'!F79</f>
        <v>0</v>
      </c>
      <c r="F9" s="6">
        <f t="shared" ref="F9" si="9">F8+E9</f>
        <v>0.17599999999999999</v>
      </c>
      <c r="G9" s="6">
        <v>135.98500000000001</v>
      </c>
      <c r="H9" s="4">
        <f t="shared" ref="H9" si="10">F9*G9</f>
        <v>23.93</v>
      </c>
      <c r="I9" s="4">
        <f t="shared" si="3"/>
        <v>3.93</v>
      </c>
      <c r="J9" s="18">
        <f t="shared" si="4"/>
        <v>0.19650000000000001</v>
      </c>
      <c r="K9" s="4">
        <f>'2025.08'!D79</f>
        <v>0</v>
      </c>
      <c r="L9" s="4">
        <f>'2025.08'!J79</f>
        <v>0</v>
      </c>
      <c r="M9" s="4">
        <f>'2025.08'!O79</f>
        <v>0</v>
      </c>
      <c r="AC9" s="4">
        <f>'2025.08'!$C$79</f>
        <v>0</v>
      </c>
      <c r="AD9" s="4" t="str">
        <f>'2025.08'!$E$79</f>
        <v>0.00</v>
      </c>
      <c r="AE9" s="7">
        <f>'2025.08'!$F$79</f>
        <v>0</v>
      </c>
      <c r="AF9" s="49"/>
      <c r="AG9" s="4"/>
    </row>
    <row r="10" spans="1:33" x14ac:dyDescent="0.25">
      <c r="A10" s="38">
        <f>'2025.09'!Q2</f>
        <v>2025.09</v>
      </c>
      <c r="B10" s="4">
        <f>'2025.09'!B79</f>
        <v>0</v>
      </c>
      <c r="C10" s="4">
        <f>'2025.09'!C79</f>
        <v>0</v>
      </c>
      <c r="D10" s="4">
        <f t="shared" si="1"/>
        <v>20</v>
      </c>
      <c r="E10" s="6">
        <f>'2025.09'!F79</f>
        <v>0</v>
      </c>
      <c r="F10" s="6">
        <f t="shared" ref="F10" si="11">F9+E10</f>
        <v>0.17599999999999999</v>
      </c>
      <c r="G10" s="6">
        <v>138.511</v>
      </c>
      <c r="H10" s="4">
        <f t="shared" ref="H10" si="12">F10*G10</f>
        <v>24.38</v>
      </c>
      <c r="I10" s="4">
        <f t="shared" si="3"/>
        <v>4.38</v>
      </c>
      <c r="J10" s="18">
        <f t="shared" si="4"/>
        <v>0.219</v>
      </c>
      <c r="K10" s="4">
        <f>'2025.09'!D79</f>
        <v>0</v>
      </c>
      <c r="L10" s="4">
        <f>'2025.09'!J79</f>
        <v>0</v>
      </c>
      <c r="M10" s="4">
        <f>'2025.09'!O79</f>
        <v>0</v>
      </c>
      <c r="AC10" s="4">
        <f>'2025.09'!$C$79</f>
        <v>0</v>
      </c>
      <c r="AD10" s="4" t="str">
        <f>'2025.09'!$E$79</f>
        <v>0.00</v>
      </c>
      <c r="AE10" s="7">
        <f>'2025.09'!$F$79</f>
        <v>0</v>
      </c>
      <c r="AF10" s="49"/>
      <c r="AG10" s="4"/>
    </row>
    <row r="11" spans="1:33" x14ac:dyDescent="0.25">
      <c r="A11" s="38">
        <f>'2025.10'!Q2</f>
        <v>2025.1</v>
      </c>
      <c r="B11" s="4">
        <f>'2025.10'!B79</f>
        <v>0</v>
      </c>
      <c r="C11" s="4">
        <f>'2025.10'!C79</f>
        <v>0</v>
      </c>
      <c r="D11" s="4">
        <f t="shared" si="1"/>
        <v>20</v>
      </c>
      <c r="E11" s="6">
        <f>'2025.10'!F79</f>
        <v>0</v>
      </c>
      <c r="F11" s="6">
        <f t="shared" ref="F11" si="13">F10+E11</f>
        <v>0.17599999999999999</v>
      </c>
      <c r="G11" s="6">
        <v>144.61199999999999</v>
      </c>
      <c r="H11" s="4">
        <f t="shared" ref="H11" si="14">F11*G11</f>
        <v>25.45</v>
      </c>
      <c r="I11" s="4">
        <f t="shared" si="3"/>
        <v>5.45</v>
      </c>
      <c r="J11" s="18">
        <f t="shared" si="4"/>
        <v>0.27250000000000002</v>
      </c>
      <c r="K11" s="4">
        <f>'2025.10'!D79</f>
        <v>0</v>
      </c>
      <c r="L11" s="4">
        <f>'2025.10'!J79</f>
        <v>0</v>
      </c>
      <c r="M11" s="4">
        <f>'2025.10'!O79</f>
        <v>0</v>
      </c>
      <c r="AC11" s="4">
        <f>'2025.10'!$C$79</f>
        <v>0</v>
      </c>
      <c r="AD11" s="4" t="str">
        <f>'2025.10'!$E$79</f>
        <v>0.00</v>
      </c>
      <c r="AE11" s="7">
        <f>'2025.10'!$F$79</f>
        <v>0</v>
      </c>
      <c r="AF11" s="49"/>
      <c r="AG11" s="4"/>
    </row>
    <row r="12" spans="1:33" x14ac:dyDescent="0.25">
      <c r="A12" s="44">
        <f>'2025.11'!Q2</f>
        <v>2025.11</v>
      </c>
      <c r="B12" s="16">
        <f>'2025.11'!B79</f>
        <v>0</v>
      </c>
      <c r="C12" s="16">
        <f>'2025.11'!C79</f>
        <v>0</v>
      </c>
      <c r="D12" s="16">
        <f t="shared" si="1"/>
        <v>20</v>
      </c>
      <c r="E12" s="17">
        <f>'2025.11'!F79</f>
        <v>0</v>
      </c>
      <c r="F12" s="17">
        <f t="shared" ref="F12" si="15">F11+E12</f>
        <v>0.17599999999999999</v>
      </c>
      <c r="G12" s="17">
        <v>141.227</v>
      </c>
      <c r="H12" s="16">
        <f t="shared" ref="H12" si="16">F12*G12</f>
        <v>24.86</v>
      </c>
      <c r="I12" s="16">
        <f t="shared" ref="I12" si="17">H12-D12</f>
        <v>4.8600000000000003</v>
      </c>
      <c r="J12" s="36">
        <f t="shared" ref="J12" si="18">(H12-D12)/D12</f>
        <v>0.24299999999999999</v>
      </c>
      <c r="K12" s="16">
        <f>'2025.10'!D80</f>
        <v>0</v>
      </c>
      <c r="L12" s="16">
        <f>'2025.10'!J80</f>
        <v>0</v>
      </c>
      <c r="M12" s="16">
        <f>'2025.10'!O80</f>
        <v>0</v>
      </c>
      <c r="AC12" s="4">
        <f>'2025.11'!$C$79</f>
        <v>0</v>
      </c>
      <c r="AD12" s="4" t="str">
        <f>'2025.11'!$E$79</f>
        <v>0.00</v>
      </c>
      <c r="AE12" s="7">
        <f>'2025.11'!$F$79</f>
        <v>0</v>
      </c>
      <c r="AF12" s="49">
        <v>45978</v>
      </c>
      <c r="AG12" s="4">
        <f>R5</f>
        <v>24.86</v>
      </c>
    </row>
    <row r="13" spans="1:33" x14ac:dyDescent="0.25">
      <c r="AC13" s="27"/>
      <c r="AD13" s="27"/>
      <c r="AE13" s="43"/>
      <c r="AF13" s="50"/>
      <c r="AG13" s="27"/>
    </row>
    <row r="14" spans="1:33" x14ac:dyDescent="0.25">
      <c r="AC14" s="27"/>
      <c r="AD14" s="27"/>
      <c r="AE14" s="43"/>
      <c r="AF14" s="50"/>
      <c r="AG14" s="27"/>
    </row>
    <row r="15" spans="1:33" x14ac:dyDescent="0.25">
      <c r="AC15" s="27"/>
      <c r="AD15" s="27"/>
      <c r="AE15" s="43"/>
      <c r="AF15" s="50"/>
      <c r="AG15" s="27"/>
    </row>
    <row r="16" spans="1:33" x14ac:dyDescent="0.25">
      <c r="AC16" s="27"/>
      <c r="AD16" s="27"/>
      <c r="AE16" s="43"/>
      <c r="AF16" s="50"/>
      <c r="AG16" s="27"/>
    </row>
    <row r="17" spans="29:33" x14ac:dyDescent="0.25">
      <c r="AC17" s="27"/>
      <c r="AD17" s="27"/>
      <c r="AE17" s="43"/>
      <c r="AF17" s="50"/>
      <c r="AG17" s="27"/>
    </row>
    <row r="18" spans="29:33" x14ac:dyDescent="0.25">
      <c r="AC18" s="27"/>
      <c r="AD18" s="27"/>
      <c r="AE18" s="43"/>
      <c r="AF18" s="50"/>
      <c r="AG18" s="27"/>
    </row>
    <row r="19" spans="29:33" x14ac:dyDescent="0.25">
      <c r="AC19" s="27"/>
      <c r="AD19" s="27"/>
      <c r="AE19" s="43"/>
      <c r="AF19" s="50"/>
      <c r="AG19" s="27"/>
    </row>
    <row r="20" spans="29:33" x14ac:dyDescent="0.25">
      <c r="AC20" s="27"/>
      <c r="AD20" s="27"/>
      <c r="AE20" s="43"/>
      <c r="AF20" s="50"/>
      <c r="AG20" s="27"/>
    </row>
    <row r="21" spans="29:33" x14ac:dyDescent="0.25">
      <c r="AC21" s="27"/>
      <c r="AD21" s="27"/>
      <c r="AE21" s="43"/>
      <c r="AF21" s="50"/>
      <c r="AG21" s="27"/>
    </row>
    <row r="22" spans="29:33" x14ac:dyDescent="0.25">
      <c r="AC22" s="27"/>
      <c r="AD22" s="27"/>
      <c r="AE22" s="43"/>
      <c r="AF22" s="50"/>
      <c r="AG22" s="27"/>
    </row>
    <row r="23" spans="29:33" x14ac:dyDescent="0.25">
      <c r="AC23" s="27"/>
      <c r="AD23" s="27"/>
      <c r="AE23" s="43"/>
      <c r="AF23" s="50"/>
      <c r="AG23" s="27"/>
    </row>
    <row r="24" spans="29:33" x14ac:dyDescent="0.25">
      <c r="AC24" s="27"/>
      <c r="AD24" s="27"/>
      <c r="AE24" s="43"/>
      <c r="AF24" s="50"/>
      <c r="AG24" s="27"/>
    </row>
    <row r="25" spans="29:33" x14ac:dyDescent="0.25">
      <c r="AC25" s="27"/>
      <c r="AD25" s="27"/>
      <c r="AE25" s="43"/>
      <c r="AF25" s="50"/>
      <c r="AG25" s="27"/>
    </row>
    <row r="26" spans="29:33" x14ac:dyDescent="0.25">
      <c r="AC26" s="27"/>
      <c r="AD26" s="27"/>
      <c r="AE26" s="43"/>
      <c r="AF26" s="50"/>
      <c r="AG26" s="27"/>
    </row>
    <row r="27" spans="29:33" x14ac:dyDescent="0.25">
      <c r="AC27" s="27"/>
      <c r="AD27" s="27"/>
      <c r="AE27" s="43"/>
      <c r="AF27" s="50"/>
      <c r="AG27" s="27"/>
    </row>
    <row r="28" spans="29:33" x14ac:dyDescent="0.25">
      <c r="AC28" s="27"/>
      <c r="AD28" s="27"/>
      <c r="AE28" s="43"/>
      <c r="AF28" s="50"/>
      <c r="AG28" s="27"/>
    </row>
    <row r="29" spans="29:33" x14ac:dyDescent="0.25">
      <c r="AC29" s="27"/>
      <c r="AD29" s="27"/>
      <c r="AE29" s="43"/>
      <c r="AF29" s="50"/>
      <c r="AG29" s="27"/>
    </row>
    <row r="30" spans="29:33" x14ac:dyDescent="0.25">
      <c r="AC30" s="27"/>
      <c r="AD30" s="27"/>
      <c r="AE30" s="43"/>
      <c r="AF30" s="50"/>
      <c r="AG30" s="27"/>
    </row>
    <row r="31" spans="29:33" x14ac:dyDescent="0.25">
      <c r="AC31" s="27"/>
      <c r="AD31" s="27"/>
      <c r="AE31" s="43"/>
      <c r="AF31" s="50"/>
      <c r="AG31" s="27"/>
    </row>
    <row r="32" spans="29:33" x14ac:dyDescent="0.25">
      <c r="AC32" s="27"/>
      <c r="AD32" s="27"/>
      <c r="AE32" s="43"/>
      <c r="AF32" s="50"/>
      <c r="AG32" s="27"/>
    </row>
    <row r="33" spans="29:33" x14ac:dyDescent="0.25">
      <c r="AC33" s="27"/>
      <c r="AD33" s="27"/>
      <c r="AE33" s="43"/>
      <c r="AF33" s="50"/>
      <c r="AG33" s="27"/>
    </row>
    <row r="34" spans="29:33" x14ac:dyDescent="0.25">
      <c r="AC34" s="27"/>
      <c r="AD34" s="27"/>
      <c r="AE34" s="43"/>
      <c r="AF34" s="50"/>
      <c r="AG34" s="27"/>
    </row>
    <row r="35" spans="29:33" x14ac:dyDescent="0.25">
      <c r="AC35" s="27"/>
      <c r="AD35" s="27"/>
      <c r="AE35" s="43"/>
      <c r="AF35" s="50"/>
      <c r="AG35" s="27"/>
    </row>
    <row r="36" spans="29:33" x14ac:dyDescent="0.25">
      <c r="AC36" s="27"/>
      <c r="AD36" s="27"/>
      <c r="AE36" s="43"/>
      <c r="AF36" s="50"/>
      <c r="AG36" s="27"/>
    </row>
    <row r="37" spans="29:33" x14ac:dyDescent="0.25">
      <c r="AC37" s="27"/>
      <c r="AD37" s="27"/>
      <c r="AE37" s="43"/>
      <c r="AF37" s="50"/>
      <c r="AG37" s="27"/>
    </row>
    <row r="38" spans="29:33" x14ac:dyDescent="0.25">
      <c r="AC38" s="27"/>
      <c r="AD38" s="27"/>
      <c r="AE38" s="43"/>
      <c r="AF38" s="50"/>
      <c r="AG38" s="27"/>
    </row>
    <row r="39" spans="29:33" x14ac:dyDescent="0.25">
      <c r="AC39" s="27"/>
      <c r="AD39" s="27"/>
      <c r="AE39" s="43"/>
      <c r="AF39" s="50"/>
      <c r="AG39" s="27"/>
    </row>
    <row r="40" spans="29:33" x14ac:dyDescent="0.25">
      <c r="AC40" s="27"/>
      <c r="AD40" s="27"/>
      <c r="AE40" s="43"/>
      <c r="AF40" s="50"/>
      <c r="AG40" s="27"/>
    </row>
    <row r="41" spans="29:33" x14ac:dyDescent="0.25">
      <c r="AC41" s="27"/>
      <c r="AD41" s="27"/>
      <c r="AE41" s="43"/>
      <c r="AF41" s="50"/>
      <c r="AG41" s="27"/>
    </row>
    <row r="42" spans="29:33" x14ac:dyDescent="0.25">
      <c r="AC42" s="27"/>
      <c r="AD42" s="27"/>
      <c r="AE42" s="43"/>
      <c r="AF42" s="50"/>
      <c r="AG42" s="27"/>
    </row>
    <row r="43" spans="29:33" x14ac:dyDescent="0.25">
      <c r="AC43" s="27"/>
      <c r="AD43" s="27"/>
      <c r="AE43" s="43"/>
      <c r="AF43" s="50"/>
      <c r="AG43" s="27"/>
    </row>
    <row r="44" spans="29:33" x14ac:dyDescent="0.25">
      <c r="AC44" s="27"/>
      <c r="AD44" s="27"/>
      <c r="AE44" s="43"/>
      <c r="AF44" s="50"/>
      <c r="AG44" s="27"/>
    </row>
    <row r="45" spans="29:33" x14ac:dyDescent="0.25">
      <c r="AC45" s="27"/>
      <c r="AD45" s="27"/>
      <c r="AE45" s="43"/>
      <c r="AF45" s="50"/>
      <c r="AG45" s="27"/>
    </row>
    <row r="46" spans="29:33" x14ac:dyDescent="0.25">
      <c r="AC46" s="27"/>
      <c r="AD46" s="27"/>
      <c r="AE46" s="43"/>
      <c r="AF46" s="50"/>
      <c r="AG46" s="27"/>
    </row>
    <row r="47" spans="29:33" x14ac:dyDescent="0.25">
      <c r="AC47" s="27"/>
      <c r="AD47" s="27"/>
      <c r="AE47" s="43"/>
      <c r="AF47" s="50"/>
      <c r="AG47" s="27"/>
    </row>
    <row r="48" spans="29:33" x14ac:dyDescent="0.25">
      <c r="AF48" s="50"/>
      <c r="AG48" s="27"/>
    </row>
    <row r="49" spans="32:33" x14ac:dyDescent="0.25">
      <c r="AF49" s="50"/>
      <c r="AG49" s="27"/>
    </row>
    <row r="50" spans="32:33" x14ac:dyDescent="0.25">
      <c r="AF50" s="50"/>
      <c r="AG50" s="27"/>
    </row>
    <row r="51" spans="32:33" x14ac:dyDescent="0.25">
      <c r="AF51" s="50"/>
      <c r="AG51" s="27"/>
    </row>
    <row r="52" spans="32:33" x14ac:dyDescent="0.25">
      <c r="AF52" s="50"/>
      <c r="AG52" s="27"/>
    </row>
    <row r="53" spans="32:33" x14ac:dyDescent="0.25">
      <c r="AF53" s="50"/>
      <c r="AG53" s="27"/>
    </row>
    <row r="54" spans="32:33" x14ac:dyDescent="0.25">
      <c r="AF54" s="50"/>
      <c r="AG54" s="27"/>
    </row>
    <row r="55" spans="32:33" x14ac:dyDescent="0.25">
      <c r="AF55" s="50"/>
      <c r="AG55" s="27"/>
    </row>
    <row r="56" spans="32:33" x14ac:dyDescent="0.25">
      <c r="AF56" s="50"/>
      <c r="AG56" s="27"/>
    </row>
    <row r="57" spans="32:33" x14ac:dyDescent="0.25">
      <c r="AF57" s="50"/>
      <c r="AG57" s="27"/>
    </row>
    <row r="58" spans="32:33" x14ac:dyDescent="0.25">
      <c r="AF58" s="50"/>
      <c r="AG58" s="27"/>
    </row>
    <row r="59" spans="32:33" x14ac:dyDescent="0.25">
      <c r="AF59" s="50"/>
      <c r="AG59" s="27"/>
    </row>
    <row r="60" spans="32:33" x14ac:dyDescent="0.25">
      <c r="AF60" s="50"/>
      <c r="AG60" s="27"/>
    </row>
    <row r="61" spans="32:33" x14ac:dyDescent="0.25">
      <c r="AF61" s="50"/>
      <c r="AG61" s="27"/>
    </row>
    <row r="62" spans="32:33" x14ac:dyDescent="0.25">
      <c r="AF62" s="50"/>
      <c r="AG62" s="27"/>
    </row>
    <row r="63" spans="32:33" x14ac:dyDescent="0.25">
      <c r="AF63" s="50"/>
      <c r="AG63" s="27"/>
    </row>
    <row r="64" spans="32:33" x14ac:dyDescent="0.25">
      <c r="AF64" s="50"/>
      <c r="AG64" s="27"/>
    </row>
    <row r="65" spans="32:33" x14ac:dyDescent="0.25">
      <c r="AF65" s="50"/>
      <c r="AG65" s="27"/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P3:P4"/>
    <mergeCell ref="Q3:Q4"/>
    <mergeCell ref="R3:R4"/>
    <mergeCell ref="S3:U3"/>
    <mergeCell ref="A3:A4"/>
    <mergeCell ref="B3:D3"/>
    <mergeCell ref="E3:F3"/>
    <mergeCell ref="G3:J3"/>
    <mergeCell ref="K3:L3"/>
  </mergeCells>
  <hyperlinks>
    <hyperlink ref="A5" location="'2025.04'!A1" display="'2025.04'!A1" xr:uid="{1B56CBB3-5E96-428E-8776-13C1B6BF03BE}"/>
    <hyperlink ref="A6" location="'2025.05'!A1" display="'2025.05'!A1" xr:uid="{9F9A7156-4425-4286-90C7-81FD5AF800D7}"/>
    <hyperlink ref="A7" location="'2025.06'!A1" display="'2025.06'!A1" xr:uid="{11F09C8C-B197-4717-A2AA-9E1155EAB7FE}"/>
    <hyperlink ref="A8" location="'2025.07'!A1" display="'2025.07'!A1" xr:uid="{2E362777-D429-4A22-A85F-C3BB998A3629}"/>
    <hyperlink ref="A9" location="'2025.08'!A1" display="'2025.08'!A1" xr:uid="{29733257-6E1A-49C7-8066-B392E5265A44}"/>
    <hyperlink ref="A12" location="'2025.11'!A1" display="'2025.11'!A1" xr:uid="{58DA54DC-0364-4509-B4F1-AB5DFB2E2CBB}"/>
    <hyperlink ref="A10" location="'2025.09'!A1" display="'2025.09'!A1" xr:uid="{5EEC7797-F2E0-40EA-90FC-8C220D10CE65}"/>
    <hyperlink ref="A11" location="'2025.10'!A1" display="'2025.10'!A1" xr:uid="{D49119C8-020A-4F72-8EA8-15E21BE64FCE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G65"/>
  <sheetViews>
    <sheetView workbookViewId="0">
      <pane xSplit="1" ySplit="5" topLeftCell="B6" activePane="bottomRight" state="frozen"/>
      <selection activeCell="AF1" sqref="AF1:AF1048576"/>
      <selection pane="topRight" activeCell="AF1" sqref="AF1:AF1048576"/>
      <selection pane="bottomLeft" activeCell="AF1" sqref="AF1:AF1048576"/>
      <selection pane="bottomRight" activeCell="AF1" sqref="AF1:AF1048576"/>
    </sheetView>
  </sheetViews>
  <sheetFormatPr defaultRowHeight="15" x14ac:dyDescent="0.25"/>
  <cols>
    <col min="1" max="1" width="15.7109375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4" t="s">
        <v>55</v>
      </c>
    </row>
    <row r="2" spans="1:33" x14ac:dyDescent="0.25">
      <c r="A2" s="14"/>
    </row>
    <row r="3" spans="1:33" x14ac:dyDescent="0.25">
      <c r="A3" s="60" t="s">
        <v>31</v>
      </c>
      <c r="B3" s="63" t="s">
        <v>3</v>
      </c>
      <c r="C3" s="64"/>
      <c r="D3" s="65"/>
      <c r="E3" s="63" t="s">
        <v>1</v>
      </c>
      <c r="F3" s="65"/>
      <c r="G3" s="63" t="s">
        <v>35</v>
      </c>
      <c r="H3" s="64"/>
      <c r="I3" s="64"/>
      <c r="J3" s="65"/>
      <c r="K3" s="59" t="s">
        <v>28</v>
      </c>
      <c r="L3" s="59"/>
      <c r="M3" s="60" t="s">
        <v>6</v>
      </c>
      <c r="O3" s="66" t="s">
        <v>53</v>
      </c>
      <c r="P3" s="60" t="s">
        <v>13</v>
      </c>
      <c r="Q3" s="60" t="s">
        <v>1</v>
      </c>
      <c r="R3" s="60" t="s">
        <v>27</v>
      </c>
      <c r="S3" s="62" t="s">
        <v>11</v>
      </c>
      <c r="T3" s="62"/>
      <c r="U3" s="62"/>
      <c r="V3" s="63" t="s">
        <v>28</v>
      </c>
      <c r="W3" s="65"/>
      <c r="X3" s="60" t="s">
        <v>6</v>
      </c>
      <c r="Y3" s="60" t="s">
        <v>58</v>
      </c>
      <c r="AC3" s="62" t="s">
        <v>59</v>
      </c>
      <c r="AD3" s="62" t="s">
        <v>0</v>
      </c>
      <c r="AE3" s="62" t="s">
        <v>1</v>
      </c>
      <c r="AF3" s="68" t="s">
        <v>60</v>
      </c>
      <c r="AG3" s="69"/>
    </row>
    <row r="4" spans="1:33" x14ac:dyDescent="0.25">
      <c r="A4" s="61"/>
      <c r="B4" s="3" t="s">
        <v>13</v>
      </c>
      <c r="C4" s="3" t="s">
        <v>36</v>
      </c>
      <c r="D4" s="3" t="s">
        <v>37</v>
      </c>
      <c r="E4" s="3" t="s">
        <v>38</v>
      </c>
      <c r="F4" s="3" t="s">
        <v>32</v>
      </c>
      <c r="G4" s="3" t="s">
        <v>0</v>
      </c>
      <c r="H4" s="3" t="s">
        <v>7</v>
      </c>
      <c r="I4" s="3" t="s">
        <v>11</v>
      </c>
      <c r="J4" s="3" t="s">
        <v>9</v>
      </c>
      <c r="K4" s="3" t="s">
        <v>23</v>
      </c>
      <c r="L4" s="3" t="s">
        <v>24</v>
      </c>
      <c r="M4" s="61"/>
      <c r="O4" s="67"/>
      <c r="P4" s="61"/>
      <c r="Q4" s="61"/>
      <c r="R4" s="61"/>
      <c r="S4" s="46" t="s">
        <v>45</v>
      </c>
      <c r="T4" s="46" t="s">
        <v>9</v>
      </c>
      <c r="U4" s="46" t="s">
        <v>61</v>
      </c>
      <c r="V4" s="3" t="s">
        <v>23</v>
      </c>
      <c r="W4" s="13" t="s">
        <v>24</v>
      </c>
      <c r="X4" s="61"/>
      <c r="Y4" s="61"/>
      <c r="AC4" s="62"/>
      <c r="AD4" s="62"/>
      <c r="AE4" s="62"/>
      <c r="AF4" s="47" t="s">
        <v>31</v>
      </c>
      <c r="AG4" s="48" t="s">
        <v>59</v>
      </c>
    </row>
    <row r="5" spans="1:33" x14ac:dyDescent="0.25">
      <c r="A5" s="38">
        <f>'2025.05'!Q2</f>
        <v>2025.05</v>
      </c>
      <c r="B5" s="4">
        <f>'2025.05'!B89</f>
        <v>10</v>
      </c>
      <c r="C5" s="4">
        <f>'2025.05'!C89</f>
        <v>10</v>
      </c>
      <c r="D5" s="4">
        <f>B5</f>
        <v>10</v>
      </c>
      <c r="E5" s="6">
        <f>'2025.05'!F89</f>
        <v>8.1000000000000003E-2</v>
      </c>
      <c r="F5" s="6">
        <f>E5</f>
        <v>8.1000000000000003E-2</v>
      </c>
      <c r="G5" s="6">
        <v>121.49</v>
      </c>
      <c r="H5" s="4">
        <f t="shared" ref="H5" si="0">F5*G5</f>
        <v>9.84</v>
      </c>
      <c r="I5" s="4">
        <f>H5-D5</f>
        <v>-0.16</v>
      </c>
      <c r="J5" s="18">
        <f>(H5-D5)/D5</f>
        <v>-1.6E-2</v>
      </c>
      <c r="K5" s="4">
        <f>'2025.05'!D89</f>
        <v>0</v>
      </c>
      <c r="L5" s="4">
        <f>'2025.05'!J89</f>
        <v>0</v>
      </c>
      <c r="M5" s="4">
        <f>'2025.05'!O89</f>
        <v>0</v>
      </c>
      <c r="O5" s="3" t="s">
        <v>2</v>
      </c>
      <c r="P5" s="4">
        <f>SUM(B5:B32)</f>
        <v>10</v>
      </c>
      <c r="Q5" s="7">
        <f>SUM(E5:E32)</f>
        <v>8.4000000000000005E-2</v>
      </c>
      <c r="R5" s="4">
        <v>10.73</v>
      </c>
      <c r="S5" s="4">
        <f>R5-P5+X5</f>
        <v>0.73</v>
      </c>
      <c r="T5" s="18">
        <f>(R5-P5+X5)/P5</f>
        <v>7.2999999999999995E-2</v>
      </c>
      <c r="U5" s="18">
        <f>XIRR(AG5:AG65,AF5:AF65)</f>
        <v>0.1527</v>
      </c>
      <c r="V5" s="4">
        <f>SUM(K5:K32)</f>
        <v>0</v>
      </c>
      <c r="W5" s="4">
        <f t="shared" ref="W5:X5" si="1">SUM(L5:L32)</f>
        <v>0</v>
      </c>
      <c r="X5" s="4">
        <f t="shared" si="1"/>
        <v>0</v>
      </c>
      <c r="Y5" s="4" cm="1">
        <f t="array" ref="Y5">SUMPRODUCT(IFERROR(AD5:AD200,0),IFERROR(AE5:AE200,0))/SUM(IFERROR(AE5:AE200,0))</f>
        <v>123.46</v>
      </c>
      <c r="AC5" s="4">
        <f>'2025.05'!$C$89</f>
        <v>10</v>
      </c>
      <c r="AD5" s="4">
        <f>'2025.05'!$E$89</f>
        <v>123.46</v>
      </c>
      <c r="AE5" s="7">
        <f>'2025.05'!$F$89</f>
        <v>8.1000000000000003E-2</v>
      </c>
      <c r="AF5" s="49">
        <f>'2025.05'!$A$85</f>
        <v>45793</v>
      </c>
      <c r="AG5" s="4">
        <f>'2025.05'!$B$85*-1</f>
        <v>-10</v>
      </c>
    </row>
    <row r="6" spans="1:33" x14ac:dyDescent="0.25">
      <c r="A6" s="38">
        <f>'2025.06'!Q2</f>
        <v>2025.06</v>
      </c>
      <c r="B6" s="4">
        <f>'2025.06'!B89</f>
        <v>0</v>
      </c>
      <c r="C6" s="4">
        <f>'2025.06'!C89</f>
        <v>0</v>
      </c>
      <c r="D6" s="4">
        <f t="shared" ref="D6:D11" si="2">D5+B6</f>
        <v>10</v>
      </c>
      <c r="E6" s="6">
        <f>'2025.06'!F89+'2025.06'!O85</f>
        <v>3.0000000000000001E-3</v>
      </c>
      <c r="F6" s="6">
        <f t="shared" ref="F6:F11" si="3">F5+E6</f>
        <v>8.4000000000000005E-2</v>
      </c>
      <c r="G6" s="6">
        <v>118.405</v>
      </c>
      <c r="H6" s="4">
        <f t="shared" ref="H6" si="4">F6*G6</f>
        <v>9.9499999999999993</v>
      </c>
      <c r="I6" s="4">
        <f t="shared" ref="I6:I11" si="5">H6-D6</f>
        <v>-0.05</v>
      </c>
      <c r="J6" s="18">
        <f t="shared" ref="J6:J11" si="6">(H6-D6)/D6</f>
        <v>-5.0000000000000001E-3</v>
      </c>
      <c r="K6" s="4">
        <f>'2025.06'!D89</f>
        <v>0</v>
      </c>
      <c r="L6" s="4">
        <f>'2025.06'!J89</f>
        <v>0</v>
      </c>
      <c r="M6" s="4">
        <f>'2025.06'!O89</f>
        <v>0</v>
      </c>
      <c r="AC6" s="4">
        <f>'2025.06'!$C$89</f>
        <v>0</v>
      </c>
      <c r="AD6" s="4" t="str">
        <f>'2025.06'!$E$89</f>
        <v>0.00</v>
      </c>
      <c r="AE6" s="7">
        <f>'2025.06'!$F$89</f>
        <v>0</v>
      </c>
      <c r="AF6" s="49"/>
      <c r="AG6" s="4"/>
    </row>
    <row r="7" spans="1:33" x14ac:dyDescent="0.25">
      <c r="A7" s="38">
        <f>'2025.07'!Q2</f>
        <v>2025.07</v>
      </c>
      <c r="B7" s="4">
        <f>'2025.07'!B89</f>
        <v>0</v>
      </c>
      <c r="C7" s="4">
        <f>'2025.07'!C89</f>
        <v>0</v>
      </c>
      <c r="D7" s="4">
        <f t="shared" si="2"/>
        <v>10</v>
      </c>
      <c r="E7" s="6">
        <f>'2025.07'!F89</f>
        <v>0</v>
      </c>
      <c r="F7" s="6">
        <f t="shared" si="3"/>
        <v>8.4000000000000005E-2</v>
      </c>
      <c r="G7" s="6">
        <v>120.976</v>
      </c>
      <c r="H7" s="4">
        <f t="shared" ref="H7" si="7">F7*G7</f>
        <v>10.16</v>
      </c>
      <c r="I7" s="4">
        <f t="shared" si="5"/>
        <v>0.16</v>
      </c>
      <c r="J7" s="18">
        <f t="shared" si="6"/>
        <v>1.6E-2</v>
      </c>
      <c r="K7" s="4">
        <f>'2025.07'!D89</f>
        <v>0</v>
      </c>
      <c r="L7" s="4">
        <f>'2025.07'!J89</f>
        <v>0</v>
      </c>
      <c r="M7" s="4">
        <f>'2025.07'!O89</f>
        <v>0</v>
      </c>
      <c r="AC7" s="4">
        <f>'2025.07'!$C$89</f>
        <v>0</v>
      </c>
      <c r="AD7" s="4" t="str">
        <f>'2025.07'!$E$89</f>
        <v>0.00</v>
      </c>
      <c r="AE7" s="7">
        <f>'2025.07'!$F$89</f>
        <v>0</v>
      </c>
      <c r="AF7" s="49"/>
      <c r="AG7" s="4"/>
    </row>
    <row r="8" spans="1:33" x14ac:dyDescent="0.25">
      <c r="A8" s="38">
        <f>'2025.08'!Q2</f>
        <v>2025.08</v>
      </c>
      <c r="B8" s="4">
        <f>'2025.08'!B89</f>
        <v>0</v>
      </c>
      <c r="C8" s="4">
        <f>'2025.08'!C89</f>
        <v>0</v>
      </c>
      <c r="D8" s="4">
        <f t="shared" si="2"/>
        <v>10</v>
      </c>
      <c r="E8" s="6">
        <f>'2025.08'!F89</f>
        <v>0</v>
      </c>
      <c r="F8" s="6">
        <f t="shared" si="3"/>
        <v>8.4000000000000005E-2</v>
      </c>
      <c r="G8" s="6">
        <v>122.26300000000001</v>
      </c>
      <c r="H8" s="4">
        <f t="shared" ref="H8" si="8">F8*G8</f>
        <v>10.27</v>
      </c>
      <c r="I8" s="4">
        <f t="shared" si="5"/>
        <v>0.27</v>
      </c>
      <c r="J8" s="18">
        <f t="shared" si="6"/>
        <v>2.7E-2</v>
      </c>
      <c r="K8" s="4">
        <f>'2025.08'!D89</f>
        <v>0</v>
      </c>
      <c r="L8" s="4">
        <f>'2025.08'!J89</f>
        <v>0</v>
      </c>
      <c r="M8" s="4">
        <f>'2025.08'!O89</f>
        <v>0</v>
      </c>
      <c r="AC8" s="4">
        <f>'2025.08'!$C$89</f>
        <v>0</v>
      </c>
      <c r="AD8" s="4" t="str">
        <f>'2025.08'!$E$89</f>
        <v>0.00</v>
      </c>
      <c r="AE8" s="7">
        <f>'2025.08'!$F$89</f>
        <v>0</v>
      </c>
      <c r="AF8" s="49"/>
      <c r="AG8" s="4"/>
    </row>
    <row r="9" spans="1:33" x14ac:dyDescent="0.25">
      <c r="A9" s="38">
        <f>'2025.09'!Q2</f>
        <v>2025.09</v>
      </c>
      <c r="B9" s="4">
        <f>'2025.09'!B89</f>
        <v>0</v>
      </c>
      <c r="C9" s="4">
        <f>'2025.09'!C89</f>
        <v>0</v>
      </c>
      <c r="D9" s="4">
        <f t="shared" si="2"/>
        <v>10</v>
      </c>
      <c r="E9" s="6">
        <f>'2025.09'!F89</f>
        <v>0</v>
      </c>
      <c r="F9" s="6">
        <f t="shared" si="3"/>
        <v>8.4000000000000005E-2</v>
      </c>
      <c r="G9" s="6">
        <v>121.79900000000001</v>
      </c>
      <c r="H9" s="4">
        <f t="shared" ref="H9" si="9">F9*G9</f>
        <v>10.23</v>
      </c>
      <c r="I9" s="4">
        <f t="shared" si="5"/>
        <v>0.23</v>
      </c>
      <c r="J9" s="18">
        <f t="shared" si="6"/>
        <v>2.3E-2</v>
      </c>
      <c r="K9" s="4">
        <f>'2025.09'!D89</f>
        <v>0</v>
      </c>
      <c r="L9" s="4">
        <f>'2025.09'!J89</f>
        <v>0</v>
      </c>
      <c r="M9" s="4">
        <f>'2025.09'!O89</f>
        <v>0</v>
      </c>
      <c r="AC9" s="4">
        <f>'2025.09'!$C$89</f>
        <v>0</v>
      </c>
      <c r="AD9" s="4" t="str">
        <f>'2025.09'!$E$89</f>
        <v>0.00</v>
      </c>
      <c r="AE9" s="7">
        <f>'2025.09'!$F$89</f>
        <v>0</v>
      </c>
      <c r="AF9" s="49"/>
      <c r="AG9" s="4"/>
    </row>
    <row r="10" spans="1:33" x14ac:dyDescent="0.25">
      <c r="A10" s="38">
        <f>'2025.10'!Q2</f>
        <v>2025.1</v>
      </c>
      <c r="B10" s="4">
        <f>'2025.10'!B89</f>
        <v>0</v>
      </c>
      <c r="C10" s="4">
        <f>'2025.10'!C89</f>
        <v>0</v>
      </c>
      <c r="D10" s="4">
        <f t="shared" si="2"/>
        <v>10</v>
      </c>
      <c r="E10" s="6">
        <f>'2025.10'!F89</f>
        <v>0</v>
      </c>
      <c r="F10" s="6">
        <f t="shared" si="3"/>
        <v>8.4000000000000005E-2</v>
      </c>
      <c r="G10" s="6">
        <v>126.616</v>
      </c>
      <c r="H10" s="4">
        <f t="shared" ref="H10" si="10">F10*G10</f>
        <v>10.64</v>
      </c>
      <c r="I10" s="4">
        <f t="shared" si="5"/>
        <v>0.64</v>
      </c>
      <c r="J10" s="18">
        <f t="shared" si="6"/>
        <v>6.4000000000000001E-2</v>
      </c>
      <c r="K10" s="4">
        <f>'2025.10'!D89</f>
        <v>0</v>
      </c>
      <c r="L10" s="4">
        <f>'2025.10'!J89</f>
        <v>0</v>
      </c>
      <c r="M10" s="4">
        <f>'2025.10'!O89</f>
        <v>0</v>
      </c>
      <c r="AC10" s="4">
        <f>'2025.10'!$C$89</f>
        <v>0</v>
      </c>
      <c r="AD10" s="4" t="str">
        <f>'2025.10'!$E$89</f>
        <v>0.00</v>
      </c>
      <c r="AE10" s="7">
        <f>'2025.10'!$F$89</f>
        <v>0</v>
      </c>
      <c r="AF10" s="49"/>
      <c r="AG10" s="4"/>
    </row>
    <row r="11" spans="1:33" x14ac:dyDescent="0.25">
      <c r="A11" s="44">
        <f>'2025.11'!Q2</f>
        <v>2025.11</v>
      </c>
      <c r="B11" s="16">
        <f>'2025.11'!B89</f>
        <v>0</v>
      </c>
      <c r="C11" s="16">
        <f>'2025.11'!C89</f>
        <v>0</v>
      </c>
      <c r="D11" s="16">
        <f t="shared" si="2"/>
        <v>10</v>
      </c>
      <c r="E11" s="17">
        <f>'2025.11'!F89</f>
        <v>0</v>
      </c>
      <c r="F11" s="17">
        <f t="shared" si="3"/>
        <v>8.4000000000000005E-2</v>
      </c>
      <c r="G11" s="17">
        <v>127.756</v>
      </c>
      <c r="H11" s="16">
        <f t="shared" ref="H11" si="11">F11*G11</f>
        <v>10.73</v>
      </c>
      <c r="I11" s="16">
        <f t="shared" si="5"/>
        <v>0.73</v>
      </c>
      <c r="J11" s="36">
        <f t="shared" si="6"/>
        <v>7.2999999999999995E-2</v>
      </c>
      <c r="K11" s="16">
        <f>'2025.11'!D89</f>
        <v>0</v>
      </c>
      <c r="L11" s="16">
        <f>'2025.11'!J89</f>
        <v>0</v>
      </c>
      <c r="M11" s="16">
        <f>'2025.11'!O89</f>
        <v>0</v>
      </c>
      <c r="AC11" s="4">
        <f>'2025.11'!$C$89</f>
        <v>0</v>
      </c>
      <c r="AD11" s="4" t="str">
        <f>'2025.11'!$E$89</f>
        <v>0.00</v>
      </c>
      <c r="AE11" s="7">
        <f>'2025.11'!$F$89</f>
        <v>0</v>
      </c>
      <c r="AF11" s="51">
        <v>45974</v>
      </c>
      <c r="AG11" s="52">
        <f>R5</f>
        <v>10.73</v>
      </c>
    </row>
    <row r="12" spans="1:33" x14ac:dyDescent="0.25">
      <c r="AC12" s="27"/>
      <c r="AD12" s="27"/>
      <c r="AE12" s="43"/>
      <c r="AF12" s="53"/>
      <c r="AG12" s="54"/>
    </row>
    <row r="13" spans="1:33" x14ac:dyDescent="0.25">
      <c r="AC13" s="27"/>
      <c r="AD13" s="27"/>
      <c r="AE13" s="43"/>
      <c r="AF13" s="50"/>
      <c r="AG13" s="27"/>
    </row>
    <row r="14" spans="1:33" x14ac:dyDescent="0.25">
      <c r="AC14" s="27"/>
      <c r="AD14" s="27"/>
      <c r="AE14" s="43"/>
      <c r="AF14" s="50"/>
      <c r="AG14" s="27"/>
    </row>
    <row r="15" spans="1:33" x14ac:dyDescent="0.25">
      <c r="AC15" s="27"/>
      <c r="AD15" s="27"/>
      <c r="AE15" s="43"/>
      <c r="AF15" s="50"/>
      <c r="AG15" s="27"/>
    </row>
    <row r="16" spans="1:33" x14ac:dyDescent="0.25">
      <c r="AC16" s="27"/>
      <c r="AD16" s="27"/>
      <c r="AE16" s="43"/>
      <c r="AF16" s="50"/>
      <c r="AG16" s="27"/>
    </row>
    <row r="17" spans="29:33" x14ac:dyDescent="0.25">
      <c r="AC17" s="27"/>
      <c r="AD17" s="27"/>
      <c r="AE17" s="43"/>
      <c r="AF17" s="50"/>
      <c r="AG17" s="27"/>
    </row>
    <row r="18" spans="29:33" x14ac:dyDescent="0.25">
      <c r="AC18" s="27"/>
      <c r="AD18" s="27"/>
      <c r="AE18" s="43"/>
      <c r="AF18" s="50"/>
      <c r="AG18" s="27"/>
    </row>
    <row r="19" spans="29:33" x14ac:dyDescent="0.25">
      <c r="AC19" s="27"/>
      <c r="AD19" s="27"/>
      <c r="AE19" s="43"/>
      <c r="AF19" s="50"/>
      <c r="AG19" s="27"/>
    </row>
    <row r="20" spans="29:33" x14ac:dyDescent="0.25">
      <c r="AC20" s="27"/>
      <c r="AD20" s="27"/>
      <c r="AE20" s="43"/>
      <c r="AF20" s="50"/>
      <c r="AG20" s="27"/>
    </row>
    <row r="21" spans="29:33" x14ac:dyDescent="0.25">
      <c r="AC21" s="27"/>
      <c r="AD21" s="27"/>
      <c r="AE21" s="43"/>
      <c r="AF21" s="50"/>
      <c r="AG21" s="27"/>
    </row>
    <row r="22" spans="29:33" x14ac:dyDescent="0.25">
      <c r="AC22" s="27"/>
      <c r="AD22" s="27"/>
      <c r="AE22" s="43"/>
      <c r="AF22" s="50"/>
      <c r="AG22" s="27"/>
    </row>
    <row r="23" spans="29:33" x14ac:dyDescent="0.25">
      <c r="AC23" s="27"/>
      <c r="AD23" s="27"/>
      <c r="AE23" s="43"/>
      <c r="AF23" s="50"/>
      <c r="AG23" s="27"/>
    </row>
    <row r="24" spans="29:33" x14ac:dyDescent="0.25">
      <c r="AC24" s="27"/>
      <c r="AD24" s="27"/>
      <c r="AE24" s="43"/>
      <c r="AF24" s="50"/>
      <c r="AG24" s="27"/>
    </row>
    <row r="25" spans="29:33" x14ac:dyDescent="0.25">
      <c r="AC25" s="27"/>
      <c r="AD25" s="27"/>
      <c r="AE25" s="43"/>
      <c r="AF25" s="50"/>
      <c r="AG25" s="27"/>
    </row>
    <row r="26" spans="29:33" x14ac:dyDescent="0.25">
      <c r="AC26" s="27"/>
      <c r="AD26" s="27"/>
      <c r="AE26" s="43"/>
      <c r="AF26" s="50"/>
      <c r="AG26" s="27"/>
    </row>
    <row r="27" spans="29:33" x14ac:dyDescent="0.25">
      <c r="AC27" s="27"/>
      <c r="AD27" s="27"/>
      <c r="AE27" s="43"/>
      <c r="AF27" s="50"/>
      <c r="AG27" s="27"/>
    </row>
    <row r="28" spans="29:33" x14ac:dyDescent="0.25">
      <c r="AC28" s="27"/>
      <c r="AD28" s="27"/>
      <c r="AE28" s="43"/>
      <c r="AF28" s="50"/>
      <c r="AG28" s="27"/>
    </row>
    <row r="29" spans="29:33" x14ac:dyDescent="0.25">
      <c r="AC29" s="27"/>
      <c r="AD29" s="27"/>
      <c r="AE29" s="43"/>
      <c r="AF29" s="50"/>
      <c r="AG29" s="27"/>
    </row>
    <row r="30" spans="29:33" x14ac:dyDescent="0.25">
      <c r="AC30" s="27"/>
      <c r="AD30" s="27"/>
      <c r="AE30" s="43"/>
      <c r="AF30" s="50"/>
      <c r="AG30" s="27"/>
    </row>
    <row r="31" spans="29:33" x14ac:dyDescent="0.25">
      <c r="AC31" s="27"/>
      <c r="AD31" s="27"/>
      <c r="AE31" s="43"/>
      <c r="AF31" s="50"/>
      <c r="AG31" s="27"/>
    </row>
    <row r="32" spans="29:33" x14ac:dyDescent="0.25">
      <c r="AC32" s="27"/>
      <c r="AD32" s="27"/>
      <c r="AE32" s="43"/>
      <c r="AF32" s="50"/>
      <c r="AG32" s="27"/>
    </row>
    <row r="33" spans="29:33" x14ac:dyDescent="0.25">
      <c r="AC33" s="27"/>
      <c r="AD33" s="27"/>
      <c r="AE33" s="43"/>
      <c r="AF33" s="50"/>
      <c r="AG33" s="27"/>
    </row>
    <row r="34" spans="29:33" x14ac:dyDescent="0.25">
      <c r="AC34" s="27"/>
      <c r="AD34" s="27"/>
      <c r="AE34" s="43"/>
      <c r="AF34" s="50"/>
      <c r="AG34" s="27"/>
    </row>
    <row r="35" spans="29:33" x14ac:dyDescent="0.25">
      <c r="AC35" s="27"/>
      <c r="AD35" s="27"/>
      <c r="AE35" s="43"/>
      <c r="AF35" s="50"/>
      <c r="AG35" s="27"/>
    </row>
    <row r="36" spans="29:33" x14ac:dyDescent="0.25">
      <c r="AC36" s="27"/>
      <c r="AD36" s="27"/>
      <c r="AE36" s="43"/>
      <c r="AF36" s="50"/>
      <c r="AG36" s="27"/>
    </row>
    <row r="37" spans="29:33" x14ac:dyDescent="0.25">
      <c r="AC37" s="27"/>
      <c r="AD37" s="27"/>
      <c r="AE37" s="43"/>
      <c r="AF37" s="50"/>
      <c r="AG37" s="27"/>
    </row>
    <row r="38" spans="29:33" x14ac:dyDescent="0.25">
      <c r="AC38" s="27"/>
      <c r="AD38" s="27"/>
      <c r="AE38" s="43"/>
      <c r="AF38" s="50"/>
      <c r="AG38" s="27"/>
    </row>
    <row r="39" spans="29:33" x14ac:dyDescent="0.25">
      <c r="AC39" s="27"/>
      <c r="AD39" s="27"/>
      <c r="AE39" s="43"/>
      <c r="AF39" s="50"/>
      <c r="AG39" s="27"/>
    </row>
    <row r="40" spans="29:33" x14ac:dyDescent="0.25">
      <c r="AC40" s="27"/>
      <c r="AD40" s="27"/>
      <c r="AE40" s="43"/>
      <c r="AF40" s="50"/>
      <c r="AG40" s="27"/>
    </row>
    <row r="41" spans="29:33" x14ac:dyDescent="0.25">
      <c r="AC41" s="27"/>
      <c r="AD41" s="27"/>
      <c r="AE41" s="43"/>
      <c r="AF41" s="50"/>
      <c r="AG41" s="27"/>
    </row>
    <row r="42" spans="29:33" x14ac:dyDescent="0.25">
      <c r="AC42" s="27"/>
      <c r="AD42" s="27"/>
      <c r="AE42" s="43"/>
      <c r="AF42" s="50"/>
      <c r="AG42" s="27"/>
    </row>
    <row r="43" spans="29:33" x14ac:dyDescent="0.25">
      <c r="AC43" s="27"/>
      <c r="AD43" s="27"/>
      <c r="AE43" s="43"/>
      <c r="AF43" s="50"/>
      <c r="AG43" s="27"/>
    </row>
    <row r="44" spans="29:33" x14ac:dyDescent="0.25">
      <c r="AC44" s="27"/>
      <c r="AD44" s="27"/>
      <c r="AE44" s="43"/>
      <c r="AF44" s="50"/>
      <c r="AG44" s="27"/>
    </row>
    <row r="45" spans="29:33" x14ac:dyDescent="0.25">
      <c r="AC45" s="27"/>
      <c r="AD45" s="27"/>
      <c r="AE45" s="43"/>
      <c r="AF45" s="50"/>
      <c r="AG45" s="27"/>
    </row>
    <row r="46" spans="29:33" x14ac:dyDescent="0.25">
      <c r="AC46" s="27"/>
      <c r="AD46" s="27"/>
      <c r="AE46" s="43"/>
      <c r="AF46" s="50"/>
      <c r="AG46" s="27"/>
    </row>
    <row r="47" spans="29:33" x14ac:dyDescent="0.25">
      <c r="AC47" s="27"/>
      <c r="AD47" s="27"/>
      <c r="AE47" s="43"/>
      <c r="AF47" s="50"/>
      <c r="AG47" s="27"/>
    </row>
    <row r="48" spans="29:33" x14ac:dyDescent="0.25">
      <c r="AF48" s="50"/>
      <c r="AG48" s="27"/>
    </row>
    <row r="49" spans="32:33" x14ac:dyDescent="0.25">
      <c r="AF49" s="50"/>
      <c r="AG49" s="27"/>
    </row>
    <row r="50" spans="32:33" x14ac:dyDescent="0.25">
      <c r="AF50" s="50"/>
      <c r="AG50" s="27"/>
    </row>
    <row r="51" spans="32:33" x14ac:dyDescent="0.25">
      <c r="AF51" s="50"/>
      <c r="AG51" s="27"/>
    </row>
    <row r="52" spans="32:33" x14ac:dyDescent="0.25">
      <c r="AF52" s="50"/>
      <c r="AG52" s="27"/>
    </row>
    <row r="53" spans="32:33" x14ac:dyDescent="0.25">
      <c r="AF53" s="50"/>
      <c r="AG53" s="27"/>
    </row>
    <row r="54" spans="32:33" x14ac:dyDescent="0.25">
      <c r="AF54" s="50"/>
      <c r="AG54" s="27"/>
    </row>
    <row r="55" spans="32:33" x14ac:dyDescent="0.25">
      <c r="AF55" s="50"/>
      <c r="AG55" s="27"/>
    </row>
    <row r="56" spans="32:33" x14ac:dyDescent="0.25">
      <c r="AF56" s="50"/>
      <c r="AG56" s="27"/>
    </row>
    <row r="57" spans="32:33" x14ac:dyDescent="0.25">
      <c r="AF57" s="50"/>
      <c r="AG57" s="27"/>
    </row>
    <row r="58" spans="32:33" x14ac:dyDescent="0.25">
      <c r="AF58" s="50"/>
      <c r="AG58" s="27"/>
    </row>
    <row r="59" spans="32:33" x14ac:dyDescent="0.25">
      <c r="AF59" s="50"/>
      <c r="AG59" s="27"/>
    </row>
    <row r="60" spans="32:33" x14ac:dyDescent="0.25">
      <c r="AF60" s="50"/>
      <c r="AG60" s="27"/>
    </row>
    <row r="61" spans="32:33" x14ac:dyDescent="0.25">
      <c r="AF61" s="50"/>
      <c r="AG61" s="27"/>
    </row>
    <row r="62" spans="32:33" x14ac:dyDescent="0.25">
      <c r="AF62" s="50"/>
      <c r="AG62" s="27"/>
    </row>
    <row r="63" spans="32:33" x14ac:dyDescent="0.25">
      <c r="AF63" s="50"/>
      <c r="AG63" s="27"/>
    </row>
    <row r="64" spans="32:33" x14ac:dyDescent="0.25">
      <c r="AF64" s="50"/>
      <c r="AG64" s="27"/>
    </row>
    <row r="65" spans="32:33" x14ac:dyDescent="0.25">
      <c r="AF65" s="50"/>
      <c r="AG65" s="27"/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P3:P4"/>
    <mergeCell ref="Q3:Q4"/>
    <mergeCell ref="R3:R4"/>
    <mergeCell ref="S3:U3"/>
    <mergeCell ref="A3:A4"/>
    <mergeCell ref="B3:D3"/>
    <mergeCell ref="E3:F3"/>
    <mergeCell ref="G3:J3"/>
    <mergeCell ref="K3:L3"/>
  </mergeCells>
  <hyperlinks>
    <hyperlink ref="A5" location="'2025.05'!A1" display="'2025.05'!A1" xr:uid="{C258E11D-DB0C-407B-84A7-F2EC0F434E4E}"/>
    <hyperlink ref="A6" location="'2025.06'!A1" display="'2025.06'!A1" xr:uid="{83BF2394-67BE-4949-BFD5-9B2AB2558F96}"/>
    <hyperlink ref="A7" location="'2025.07'!A1" display="'2025.07'!A1" xr:uid="{417B9BCC-AF05-4C40-B9EE-D8F391431422}"/>
    <hyperlink ref="A8" location="'2025.08'!A1" display="'2025.08'!A1" xr:uid="{CFF918D5-2F4A-4AEF-AE97-BE43C47505A1}"/>
    <hyperlink ref="A9" location="'2025.09'!A1" display="'2025.09'!A1" xr:uid="{53690691-C142-436B-9E89-F72A98A08E59}"/>
    <hyperlink ref="A10" location="'2025.10'!A1" display="'2025.10'!A1" xr:uid="{581B233B-72C1-4103-B821-53C3E970AAA1}"/>
    <hyperlink ref="A11" location="'2025.11'!A1" display="'2025.11'!A1" xr:uid="{10DE4551-0A40-446A-8EEC-92727D68CFE2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0989-8B6C-409D-9A5D-19190C0C7C18}">
  <dimension ref="A2:X89"/>
  <sheetViews>
    <sheetView tabSelected="1" workbookViewId="0">
      <selection activeCell="I19" sqref="I19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2026.06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20</v>
      </c>
      <c r="R5" s="4">
        <f>T5</f>
        <v>1742.8</v>
      </c>
      <c r="S5" s="4">
        <f>(C19+C29+C39+C49+C59+C69+C79+C89+C99+C109)</f>
        <v>20</v>
      </c>
      <c r="T5" s="4">
        <f>(I19+I29+I39+I49+I59+I69+I79+I89+I99+I109)-W5</f>
        <v>1742.8</v>
      </c>
      <c r="U5" s="4">
        <f>D19+D29+D39+D49+D59+D69+D79+D89+D99+D109</f>
        <v>0</v>
      </c>
      <c r="V5" s="4">
        <v>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35">
        <v>46190</v>
      </c>
      <c r="B15" s="24">
        <v>20</v>
      </c>
      <c r="C15" s="4">
        <v>20</v>
      </c>
      <c r="D15" s="4">
        <f>B15-C15</f>
        <v>0</v>
      </c>
      <c r="E15" s="5">
        <v>149.36519799999999</v>
      </c>
      <c r="F15" s="32">
        <f>C15/E15</f>
        <v>0.13389999999999999</v>
      </c>
      <c r="G15" s="74"/>
      <c r="H15" s="29">
        <v>46198</v>
      </c>
      <c r="I15" s="5">
        <v>1112.6199999999999</v>
      </c>
      <c r="J15" s="4">
        <v>0</v>
      </c>
      <c r="K15" s="6">
        <v>150.05770000000001</v>
      </c>
      <c r="L15" s="6">
        <f>I15/K15</f>
        <v>7.4146000000000001</v>
      </c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149.36519799999999</v>
      </c>
      <c r="F19" s="6">
        <f>SUM(F15:F18)</f>
        <v>0.13389999999999999</v>
      </c>
      <c r="G19" s="75"/>
      <c r="H19" s="3" t="s">
        <v>2</v>
      </c>
      <c r="I19" s="4">
        <f>SUM(I15:I18)</f>
        <v>1112.6199999999999</v>
      </c>
      <c r="J19" s="4">
        <f t="shared" ref="J19:L19" si="0">SUM(J15:J18)</f>
        <v>0</v>
      </c>
      <c r="K19" s="5"/>
      <c r="L19" s="6">
        <f t="shared" si="0"/>
        <v>7.4146000000000001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>
        <v>46191</v>
      </c>
      <c r="I25" s="5">
        <v>630.17999999999995</v>
      </c>
      <c r="J25" s="4">
        <v>0</v>
      </c>
      <c r="K25" s="34">
        <v>172.26050000000001</v>
      </c>
      <c r="L25" s="6">
        <f>I25/K25</f>
        <v>3.6583000000000001</v>
      </c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37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630.17999999999995</v>
      </c>
      <c r="J29" s="4">
        <f t="shared" ref="J29" si="1">SUM(J25:J28)</f>
        <v>0</v>
      </c>
      <c r="K29" s="5"/>
      <c r="L29" s="6">
        <f t="shared" ref="L29" si="2">SUM(L25:L28)</f>
        <v>3.6583000000000001</v>
      </c>
      <c r="M29" s="26"/>
      <c r="N29" s="3" t="s">
        <v>2</v>
      </c>
      <c r="O29" s="4">
        <f>SUM(O25:O28)</f>
        <v>0</v>
      </c>
      <c r="P29" s="1"/>
    </row>
    <row r="31" spans="1:18" hidden="1" x14ac:dyDescent="0.25"/>
    <row r="32" spans="1:18" ht="15" hidden="1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hidden="1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hidden="1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hidden="1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hidden="1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hidden="1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hidden="1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hidden="1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hidden="1" x14ac:dyDescent="0.25">
      <c r="B40" s="1"/>
      <c r="C40" s="1"/>
      <c r="D40" s="1"/>
    </row>
    <row r="41" spans="1:18" ht="15" hidden="1" customHeight="1" x14ac:dyDescent="0.25">
      <c r="B41" s="1"/>
      <c r="E41" s="1"/>
      <c r="F41" s="1"/>
      <c r="J41"/>
    </row>
    <row r="42" spans="1:18" ht="15" hidden="1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hidden="1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hidden="1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hidden="1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hidden="1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hidden="1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hidden="1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hidden="1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0" spans="1:18" hidden="1" x14ac:dyDescent="0.25"/>
    <row r="51" spans="1:18" ht="15" hidden="1" customHeight="1" x14ac:dyDescent="0.25">
      <c r="B51" s="1"/>
      <c r="E51" s="1"/>
      <c r="F51" s="1"/>
      <c r="J51"/>
    </row>
    <row r="52" spans="1:18" ht="15" hidden="1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hidden="1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hidden="1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hidden="1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hidden="1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hidden="1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hidden="1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hidden="1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0" spans="1:18" hidden="1" x14ac:dyDescent="0.25"/>
    <row r="61" spans="1:18" hidden="1" x14ac:dyDescent="0.25"/>
    <row r="62" spans="1:18" ht="15" hidden="1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hidden="1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hidden="1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hidden="1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hidden="1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hidden="1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hidden="1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hidden="1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0" spans="1:16" hidden="1" x14ac:dyDescent="0.25"/>
    <row r="71" spans="1:16" hidden="1" x14ac:dyDescent="0.25"/>
    <row r="72" spans="1:16" ht="15" hidden="1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hidden="1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hidden="1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hidden="1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hidden="1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hidden="1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hidden="1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hidden="1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0" spans="1:16" hidden="1" x14ac:dyDescent="0.25"/>
    <row r="81" spans="1:16" hidden="1" x14ac:dyDescent="0.25"/>
    <row r="82" spans="1:16" ht="15" hidden="1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hidden="1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hidden="1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hidden="1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hidden="1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hidden="1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hidden="1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hidden="1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Q2:X2"/>
    <mergeCell ref="Q3:Q4"/>
    <mergeCell ref="R3:R4"/>
    <mergeCell ref="S3:S4"/>
    <mergeCell ref="T3:T4"/>
    <mergeCell ref="U3:W3"/>
    <mergeCell ref="X3:X4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83:F83"/>
    <mergeCell ref="G83:G89"/>
    <mergeCell ref="H83:L83"/>
    <mergeCell ref="N83:O8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48D448EB-831A-4B73-AE36-3321961B6FA5}"/>
    <hyperlink ref="A22:O22" location="'SEB Active 80'!A1" display="SESA8FE SS „SEB Active 80“ SE0016076111" xr:uid="{6C1406E3-6204-4954-BBB6-75C86CF83B18}"/>
    <hyperlink ref="A32:O32" location="'SEB Artificial Intelligence Fun'!A1" display="SESTUDI LX „SEB Artificial Intelligence Fund&quot; LU2249630257" xr:uid="{790DFC7C-F530-4718-A7FA-8E44425FC1C6}"/>
    <hyperlink ref="A42:O42" location="'SEB Global High Yield Fund'!A1" display="SEHYUCE LX „SEB Global High Yield Fund&quot; LY1791749010" xr:uid="{CD69F7C8-3A39-4878-9606-64E882897D7E}"/>
    <hyperlink ref="A52:O52" location="'SEB Global Exposure fund UD'!A1" display="SEBGEUD &quot;SEB Global Exposure fund&quot; UD-mok. LU2625197160" xr:uid="{FA4F51AB-82AF-4014-8CD1-DC4E6AD5484D}"/>
    <hyperlink ref="A62:O62" location="'SEB Europe Exposure Fund UC'!A1" display="SEBEEUD &quot;SEB Europe Exposure fund&quot; LU2625195974" xr:uid="{6680090D-C5BA-4039-8371-310283E8B012}"/>
    <hyperlink ref="A72:O72" location="'SEB US Exposure Fund UD'!A1" display="SE3UUDE &quot;SEB US Exposure fund&quot; UD-mok. LU2625197327" xr:uid="{1D7BCB67-F599-4741-AFC3-7794340E1806}"/>
    <hyperlink ref="A82:O82" location="'SEB Europe Exposure Fund UD'!A1" display="SEBEUDI &quot;SEB Europe Exposure Fund&quot; UD-mok. LU2625196196" xr:uid="{FABB99F7-7684-43F0-A427-0E80C52CA734}"/>
  </hyperlinks>
  <pageMargins left="0.7" right="0.7" top="0.75" bottom="0.75" header="0.3" footer="0.3"/>
  <pageSetup orientation="portrait" r:id="rId1"/>
  <ignoredErrors>
    <ignoredError sqref="E29 E19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E4AE-6218-4A66-B9B1-C69E80359E04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2026.05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40</v>
      </c>
      <c r="R5" s="4">
        <f>T5</f>
        <v>0</v>
      </c>
      <c r="S5" s="4">
        <f>(C19+C29+C39+C49+C59+C69+C79+C89+C99+C109)</f>
        <v>40</v>
      </c>
      <c r="T5" s="4">
        <f>(I19+I29+I39+I49+I59+I69+I79+I89+I99+I109)-W5</f>
        <v>0</v>
      </c>
      <c r="U5" s="4">
        <f>D19+D29+D39+D49+D59+D69+D79+D89+D99+D109</f>
        <v>0</v>
      </c>
      <c r="V5" s="4">
        <v>0.54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35">
        <v>46157</v>
      </c>
      <c r="B15" s="24">
        <v>20</v>
      </c>
      <c r="C15" s="4">
        <v>20</v>
      </c>
      <c r="D15" s="4">
        <f>B15-C15</f>
        <v>0</v>
      </c>
      <c r="E15" s="5">
        <v>145.454545</v>
      </c>
      <c r="F15" s="32">
        <f>C15/E15</f>
        <v>0.13750000000000001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145.454545</v>
      </c>
      <c r="F19" s="6">
        <f>SUM(F15:F18)</f>
        <v>0.13750000000000001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46171</v>
      </c>
      <c r="B25" s="24">
        <v>20</v>
      </c>
      <c r="C25" s="4">
        <v>20</v>
      </c>
      <c r="D25" s="4">
        <f>B25-C25</f>
        <v>0</v>
      </c>
      <c r="E25" s="5">
        <v>171.379606</v>
      </c>
      <c r="F25" s="32">
        <f>C25/E25</f>
        <v>0.1167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37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171.379606</v>
      </c>
      <c r="F29" s="6">
        <f>SUM(F25:F28)</f>
        <v>0.1167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hidden="1" x14ac:dyDescent="0.25"/>
    <row r="32" spans="1:18" ht="15" hidden="1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hidden="1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hidden="1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hidden="1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hidden="1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hidden="1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hidden="1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hidden="1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hidden="1" x14ac:dyDescent="0.25">
      <c r="B40" s="1"/>
      <c r="C40" s="1"/>
      <c r="D40" s="1"/>
    </row>
    <row r="41" spans="1:18" ht="15" hidden="1" customHeight="1" x14ac:dyDescent="0.25">
      <c r="B41" s="1"/>
      <c r="E41" s="1"/>
      <c r="F41" s="1"/>
      <c r="J41"/>
    </row>
    <row r="42" spans="1:18" ht="15" hidden="1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hidden="1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hidden="1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hidden="1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hidden="1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hidden="1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hidden="1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hidden="1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0" spans="1:18" hidden="1" x14ac:dyDescent="0.25"/>
    <row r="51" spans="1:18" ht="15" hidden="1" customHeight="1" x14ac:dyDescent="0.25">
      <c r="B51" s="1"/>
      <c r="E51" s="1"/>
      <c r="F51" s="1"/>
      <c r="J51"/>
    </row>
    <row r="52" spans="1:18" ht="15" hidden="1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hidden="1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hidden="1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hidden="1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hidden="1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hidden="1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hidden="1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hidden="1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0" spans="1:18" hidden="1" x14ac:dyDescent="0.25"/>
    <row r="61" spans="1:18" hidden="1" x14ac:dyDescent="0.25"/>
    <row r="62" spans="1:18" ht="15" hidden="1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hidden="1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hidden="1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hidden="1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hidden="1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hidden="1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hidden="1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hidden="1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0" spans="1:16" hidden="1" x14ac:dyDescent="0.25"/>
    <row r="71" spans="1:16" hidden="1" x14ac:dyDescent="0.25"/>
    <row r="72" spans="1:16" ht="15" hidden="1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hidden="1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hidden="1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hidden="1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hidden="1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hidden="1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hidden="1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hidden="1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0" spans="1:16" hidden="1" x14ac:dyDescent="0.25"/>
    <row r="81" spans="1:16" hidden="1" x14ac:dyDescent="0.25"/>
    <row r="82" spans="1:16" ht="15" hidden="1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hidden="1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hidden="1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hidden="1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hidden="1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hidden="1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hidden="1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hidden="1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5FA7BD4E-626D-4E3D-9D22-23F983DD1E50}"/>
    <hyperlink ref="A22:O22" location="'SEB Active 80'!A1" display="SESA8FE SS „SEB Active 80“ SE0016076111" xr:uid="{C0414E1F-F935-44EE-AAFC-82A975D09791}"/>
    <hyperlink ref="A32:O32" location="'SEB Artificial Intelligence Fun'!A1" display="SESTUDI LX „SEB Artificial Intelligence Fund&quot; LU2249630257" xr:uid="{18F266A3-6918-4C46-9F86-05C4AD8949A9}"/>
    <hyperlink ref="A42:O42" location="'SEB Global High Yield Fund'!A1" display="SEHYUCE LX „SEB Global High Yield Fund&quot; LY1791749010" xr:uid="{362DB667-8207-4CF6-9A17-2141D0C6F05D}"/>
    <hyperlink ref="A52:O52" location="'SEB Global Exposure fund UD'!A1" display="SEBGEUD &quot;SEB Global Exposure fund&quot; UD-mok. LU2625197160" xr:uid="{0A3C15C6-6320-4A72-9B8B-3F1795C92E46}"/>
    <hyperlink ref="A62:O62" location="'SEB Europe Exposure Fund UC'!A1" display="SEBEEUD &quot;SEB Europe Exposure fund&quot; LU2625195974" xr:uid="{14DBA97B-86AE-431D-BB3B-61ED9DCC1488}"/>
    <hyperlink ref="A72:O72" location="'SEB US Exposure Fund UD'!A1" display="SE3UUDE &quot;SEB US Exposure fund&quot; UD-mok. LU2625197327" xr:uid="{E85ABA00-1F27-4C4C-94AC-98F49FFDDFBD}"/>
    <hyperlink ref="A82:O82" location="'SEB Europe Exposure Fund UD'!A1" display="SEBEUDI &quot;SEB Europe Exposure Fund&quot; UD-mok. LU2625196196" xr:uid="{AC81ED67-5BBC-43A1-AF22-D49E4D9114AC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A15A-A0BD-4D60-A241-703DCD52F84B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2026.04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40</v>
      </c>
      <c r="R5" s="4">
        <f>T5</f>
        <v>0</v>
      </c>
      <c r="S5" s="4">
        <f>(C19+C29+C39+C49+C59+C69+C79+C89+C99+C109)</f>
        <v>40</v>
      </c>
      <c r="T5" s="4">
        <f>(I19+I29+I39+I49+I59+I69+I79+I89+I99+I109)-W5</f>
        <v>0</v>
      </c>
      <c r="U5" s="4">
        <f>D19+D29+D39+D49+D59+D69+D79+D89+D99+D109</f>
        <v>0</v>
      </c>
      <c r="V5" s="4">
        <v>0.52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35">
        <v>46128</v>
      </c>
      <c r="B15" s="24">
        <v>20</v>
      </c>
      <c r="C15" s="4">
        <v>20</v>
      </c>
      <c r="D15" s="4">
        <f>B15-C15</f>
        <v>0</v>
      </c>
      <c r="E15" s="5">
        <v>141.84397200000001</v>
      </c>
      <c r="F15" s="32">
        <f>C15/E15</f>
        <v>0.14099999999999999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141.84397200000001</v>
      </c>
      <c r="F19" s="6">
        <f>SUM(F15:F18)</f>
        <v>0.14099999999999999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46142</v>
      </c>
      <c r="B25" s="24">
        <v>20</v>
      </c>
      <c r="C25" s="4">
        <v>20</v>
      </c>
      <c r="D25" s="4">
        <f>B25-C25</f>
        <v>0</v>
      </c>
      <c r="E25" s="5">
        <v>162.86644999999999</v>
      </c>
      <c r="F25" s="32">
        <f>C25/E25</f>
        <v>0.12280000000000001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37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162.86644999999999</v>
      </c>
      <c r="F29" s="6">
        <f>SUM(F25:F28)</f>
        <v>0.12280000000000001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hidden="1" x14ac:dyDescent="0.25"/>
    <row r="32" spans="1:18" ht="15" hidden="1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hidden="1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hidden="1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hidden="1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hidden="1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hidden="1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hidden="1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hidden="1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hidden="1" x14ac:dyDescent="0.25">
      <c r="B40" s="1"/>
      <c r="C40" s="1"/>
      <c r="D40" s="1"/>
    </row>
    <row r="41" spans="1:18" ht="15" hidden="1" customHeight="1" x14ac:dyDescent="0.25">
      <c r="B41" s="1"/>
      <c r="E41" s="1"/>
      <c r="F41" s="1"/>
      <c r="J41"/>
    </row>
    <row r="42" spans="1:18" ht="15" hidden="1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hidden="1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hidden="1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hidden="1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hidden="1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hidden="1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hidden="1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hidden="1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0" spans="1:18" hidden="1" x14ac:dyDescent="0.25"/>
    <row r="51" spans="1:18" ht="15" hidden="1" customHeight="1" x14ac:dyDescent="0.25">
      <c r="B51" s="1"/>
      <c r="E51" s="1"/>
      <c r="F51" s="1"/>
      <c r="J51"/>
    </row>
    <row r="52" spans="1:18" ht="15" hidden="1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hidden="1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hidden="1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hidden="1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hidden="1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hidden="1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hidden="1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hidden="1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0" spans="1:18" hidden="1" x14ac:dyDescent="0.25"/>
    <row r="61" spans="1:18" hidden="1" x14ac:dyDescent="0.25"/>
    <row r="62" spans="1:18" ht="15" hidden="1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hidden="1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hidden="1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hidden="1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hidden="1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hidden="1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hidden="1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hidden="1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0" spans="1:16" hidden="1" x14ac:dyDescent="0.25"/>
    <row r="71" spans="1:16" hidden="1" x14ac:dyDescent="0.25"/>
    <row r="72" spans="1:16" ht="15" hidden="1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hidden="1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hidden="1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hidden="1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hidden="1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hidden="1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hidden="1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hidden="1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0" spans="1:16" hidden="1" x14ac:dyDescent="0.25"/>
    <row r="81" spans="1:16" hidden="1" x14ac:dyDescent="0.25"/>
    <row r="82" spans="1:16" ht="15" hidden="1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hidden="1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hidden="1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hidden="1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hidden="1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hidden="1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hidden="1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hidden="1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D4114FC0-17DB-494D-857E-4858AA0217C1}"/>
    <hyperlink ref="A22:O22" location="'SEB Active 80'!A1" display="SESA8FE SS „SEB Active 80“ SE0016076111" xr:uid="{0A9C1705-6A5E-4A4D-BF7C-D9BD25881459}"/>
    <hyperlink ref="A32:O32" location="'SEB Artificial Intelligence Fun'!A1" display="SESTUDI LX „SEB Artificial Intelligence Fund&quot; LU2249630257" xr:uid="{2B15C43E-4652-4F9F-81C3-365F915951FC}"/>
    <hyperlink ref="A42:O42" location="'SEB Global High Yield Fund'!A1" display="SEHYUCE LX „SEB Global High Yield Fund&quot; LY1791749010" xr:uid="{56E98AC2-238A-4465-8FC0-5FD64DE15033}"/>
    <hyperlink ref="A52:O52" location="'SEB Global Exposure fund UD'!A1" display="SEBGEUD &quot;SEB Global Exposure fund&quot; UD-mok. LU2625197160" xr:uid="{2E3B7D9B-041A-4363-91A1-B39B88CA0078}"/>
    <hyperlink ref="A62:O62" location="'SEB Europe Exposure Fund UC'!A1" display="SEBEEUD &quot;SEB Europe Exposure fund&quot; LU2625195974" xr:uid="{5626F2C5-C4D3-4026-97B3-D2A164E814BA}"/>
    <hyperlink ref="A72:O72" location="'SEB US Exposure Fund UD'!A1" display="SE3UUDE &quot;SEB US Exposure fund&quot; UD-mok. LU2625197327" xr:uid="{202F788F-7B35-4078-BA58-334DEDF0FF29}"/>
    <hyperlink ref="A82:O82" location="'SEB Europe Exposure Fund UD'!A1" display="SEBEUDI &quot;SEB Europe Exposure Fund&quot; UD-mok. LU2625196196" xr:uid="{FB1E2EF4-F672-4AAC-BD91-F239ED3146D0}"/>
  </hyperlinks>
  <pageMargins left="0.7" right="0.7" top="0.75" bottom="0.75" header="0.3" footer="0.3"/>
  <pageSetup orientation="portrait" r:id="rId1"/>
  <ignoredErrors>
    <ignoredError sqref="E19 E29 E89 E79 E69 E59 E49 E39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2026.03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60</v>
      </c>
      <c r="R5" s="4">
        <f>T5</f>
        <v>0</v>
      </c>
      <c r="S5" s="4">
        <f>(C19+C29+C39+C49+C59+C69+C79+C89+C99+C109)</f>
        <v>60</v>
      </c>
      <c r="T5" s="4">
        <f>(I19+I29+I39+I49+I59+I69+I79+I89+I99+I109)-W5</f>
        <v>0</v>
      </c>
      <c r="U5" s="4">
        <f>D19+D29+D39+D49+D59+D69+D79+D89+D99+D109</f>
        <v>0</v>
      </c>
      <c r="V5" s="4">
        <v>0.52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46098</v>
      </c>
      <c r="B15" s="24">
        <v>20</v>
      </c>
      <c r="C15" s="4">
        <v>20</v>
      </c>
      <c r="D15" s="4">
        <f>B15-C15</f>
        <v>0</v>
      </c>
      <c r="E15" s="5">
        <v>138.504155</v>
      </c>
      <c r="F15" s="32">
        <f>C15/E15</f>
        <v>0.1444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138.504155</v>
      </c>
      <c r="F19" s="6">
        <f>SUM(F15:F18)</f>
        <v>0.1444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46084</v>
      </c>
      <c r="B25" s="24">
        <v>20</v>
      </c>
      <c r="C25" s="4">
        <v>20</v>
      </c>
      <c r="D25" s="4">
        <f>B25-C25</f>
        <v>0</v>
      </c>
      <c r="E25" s="5">
        <v>164.338537</v>
      </c>
      <c r="F25" s="32">
        <f>C25/E25</f>
        <v>0.1217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46112</v>
      </c>
      <c r="B26" s="24">
        <v>20</v>
      </c>
      <c r="C26" s="4">
        <v>20</v>
      </c>
      <c r="D26" s="4">
        <f>B26-C26</f>
        <v>0</v>
      </c>
      <c r="E26" s="37">
        <v>150.60240999999999</v>
      </c>
      <c r="F26" s="32">
        <f>C26/E26</f>
        <v>0.1328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40</v>
      </c>
      <c r="C29" s="4">
        <f>SUM(C25:C28)</f>
        <v>40</v>
      </c>
      <c r="D29" s="4">
        <f>SUM(D25:D28)</f>
        <v>0</v>
      </c>
      <c r="E29" s="5">
        <f>IF(B29&gt;0,SUMPRODUCT(E25:E28,F25:F28)/SUM(F25:F28),"0.00")</f>
        <v>157.17092338271101</v>
      </c>
      <c r="F29" s="6">
        <f>SUM(F25:F28)</f>
        <v>0.2545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hidden="1" x14ac:dyDescent="0.25"/>
    <row r="32" spans="1:18" ht="15" hidden="1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hidden="1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hidden="1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hidden="1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hidden="1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hidden="1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hidden="1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hidden="1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hidden="1" x14ac:dyDescent="0.25">
      <c r="B40" s="1"/>
      <c r="C40" s="1"/>
      <c r="D40" s="1"/>
    </row>
    <row r="41" spans="1:18" ht="15" hidden="1" customHeight="1" x14ac:dyDescent="0.25">
      <c r="B41" s="1"/>
      <c r="E41" s="1"/>
      <c r="F41" s="1"/>
      <c r="J41"/>
    </row>
    <row r="42" spans="1:18" ht="15" hidden="1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hidden="1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hidden="1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hidden="1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hidden="1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hidden="1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hidden="1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hidden="1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0" spans="1:18" hidden="1" x14ac:dyDescent="0.25"/>
    <row r="51" spans="1:18" ht="15" hidden="1" customHeight="1" x14ac:dyDescent="0.25">
      <c r="B51" s="1"/>
      <c r="E51" s="1"/>
      <c r="F51" s="1"/>
      <c r="J51"/>
    </row>
    <row r="52" spans="1:18" ht="15" hidden="1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hidden="1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hidden="1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hidden="1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hidden="1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hidden="1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hidden="1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hidden="1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0" spans="1:18" hidden="1" x14ac:dyDescent="0.25"/>
    <row r="61" spans="1:18" hidden="1" x14ac:dyDescent="0.25"/>
    <row r="62" spans="1:18" ht="15" hidden="1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hidden="1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hidden="1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hidden="1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hidden="1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hidden="1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hidden="1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hidden="1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0" spans="1:16" hidden="1" x14ac:dyDescent="0.25"/>
    <row r="71" spans="1:16" hidden="1" x14ac:dyDescent="0.25"/>
    <row r="72" spans="1:16" ht="15" hidden="1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hidden="1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hidden="1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hidden="1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hidden="1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hidden="1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hidden="1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hidden="1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0" spans="1:16" hidden="1" x14ac:dyDescent="0.25"/>
    <row r="81" spans="1:16" hidden="1" x14ac:dyDescent="0.25"/>
    <row r="82" spans="1:16" ht="15" hidden="1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hidden="1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hidden="1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hidden="1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hidden="1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hidden="1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hidden="1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hidden="1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DD4EA4D1-01D4-49E6-A2A4-787382717913}"/>
    <hyperlink ref="A22:O22" location="'SEB Active 80'!A1" display="SESA8FE SS „SEB Active 80“ SE0016076111" xr:uid="{CF0121D6-52FF-4B0C-BBC0-AC719E895282}"/>
    <hyperlink ref="A32:O32" location="'SEB Artificial Intelligence Fun'!A1" display="SESTUDI LX „SEB Artificial Intelligence Fund&quot; LU2249630257" xr:uid="{ABB5009E-38DD-4A1E-846F-4CB57D3F2894}"/>
    <hyperlink ref="A42:O42" location="'SEB Global High Yield Fund'!A1" display="SEHYUCE LX „SEB Global High Yield Fund&quot; LY1791749010" xr:uid="{0693A50A-407D-4A7B-B0F4-BC846061D46A}"/>
    <hyperlink ref="A52:O52" location="'SEB Global Exposure fund UD'!A1" display="SEBGEUD &quot;SEB Global Exposure fund&quot; UD-mok. LU2625197160" xr:uid="{7CB22417-1518-43F7-82DD-22243CCEEB43}"/>
    <hyperlink ref="A62:O62" location="'SEB Europe Exposure Fund UC'!A1" display="SEBEEUD &quot;SEB Europe Exposure fund&quot; LU2625195974" xr:uid="{67FA9FC9-E00A-48A5-82D0-9CD9B6BDDB8F}"/>
    <hyperlink ref="A72:O72" location="'SEB US Exposure Fund UD'!A1" display="SE3UUDE &quot;SEB US Exposure fund&quot; UD-mok. LU2625197327" xr:uid="{58184FFD-C010-4276-8DD6-08292DB406EC}"/>
    <hyperlink ref="A82:O82" location="'SEB Europe Exposure Fund UD'!A1" display="SEBEUDI &quot;SEB Europe Exposure Fund&quot; UD-mok. LU2625196196" xr:uid="{6BDE635F-3494-4E3B-9824-20A53207DA1C}"/>
  </hyperlinks>
  <pageMargins left="0.7" right="0.7" top="0.75" bottom="0.75" header="0.3" footer="0.3"/>
  <pageSetup orientation="portrait" r:id="rId1"/>
  <ignoredErrors>
    <ignoredError sqref="E39 E49 E59 E69 E79 E89 E19 E29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2026.02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20</v>
      </c>
      <c r="R5" s="4">
        <f>T5</f>
        <v>0</v>
      </c>
      <c r="S5" s="4">
        <f>(C19+C29+C39+C49+C59+C69+C79+C89+C99+C109)</f>
        <v>20</v>
      </c>
      <c r="T5" s="4">
        <f>(I19+I29+I39+I49+I59+I69+I79+I89+I99+I109)-W5</f>
        <v>0</v>
      </c>
      <c r="U5" s="4">
        <f>D19+D29+D39+D49+D59+D69+D79+D89+D99+D109</f>
        <v>0</v>
      </c>
      <c r="V5" s="4">
        <v>0.5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46070</v>
      </c>
      <c r="B15" s="24">
        <v>20</v>
      </c>
      <c r="C15" s="4">
        <v>20</v>
      </c>
      <c r="D15" s="4">
        <f>B15-C15</f>
        <v>0</v>
      </c>
      <c r="E15" s="5">
        <v>142.75517500000001</v>
      </c>
      <c r="F15" s="32">
        <f>C15/E15</f>
        <v>0.1401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142.75517500000001</v>
      </c>
      <c r="F19" s="6">
        <f>SUM(F15:F18)</f>
        <v>0.1401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hidden="1" x14ac:dyDescent="0.25"/>
    <row r="32" spans="1:18" ht="15" hidden="1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hidden="1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hidden="1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hidden="1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hidden="1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hidden="1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hidden="1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hidden="1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hidden="1" x14ac:dyDescent="0.25">
      <c r="B40" s="1"/>
      <c r="C40" s="1"/>
      <c r="D40" s="1"/>
    </row>
    <row r="41" spans="1:18" ht="15" hidden="1" customHeight="1" x14ac:dyDescent="0.25">
      <c r="B41" s="1"/>
      <c r="E41" s="1"/>
      <c r="F41" s="1"/>
      <c r="J41"/>
    </row>
    <row r="42" spans="1:18" ht="15" hidden="1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hidden="1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hidden="1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hidden="1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hidden="1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hidden="1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hidden="1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hidden="1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0" spans="1:18" hidden="1" x14ac:dyDescent="0.25"/>
    <row r="51" spans="1:18" ht="15" hidden="1" customHeight="1" x14ac:dyDescent="0.25">
      <c r="B51" s="1"/>
      <c r="E51" s="1"/>
      <c r="F51" s="1"/>
      <c r="J51"/>
    </row>
    <row r="52" spans="1:18" ht="15" hidden="1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hidden="1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hidden="1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hidden="1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hidden="1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hidden="1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hidden="1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hidden="1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0" spans="1:18" hidden="1" x14ac:dyDescent="0.25"/>
    <row r="61" spans="1:18" hidden="1" x14ac:dyDescent="0.25"/>
    <row r="62" spans="1:18" ht="15" hidden="1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hidden="1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hidden="1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hidden="1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hidden="1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hidden="1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hidden="1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hidden="1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0" spans="1:16" hidden="1" x14ac:dyDescent="0.25"/>
    <row r="71" spans="1:16" hidden="1" x14ac:dyDescent="0.25"/>
    <row r="72" spans="1:16" ht="15" hidden="1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hidden="1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hidden="1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hidden="1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hidden="1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hidden="1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hidden="1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hidden="1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0" spans="1:16" hidden="1" x14ac:dyDescent="0.25"/>
    <row r="81" spans="1:16" hidden="1" x14ac:dyDescent="0.25"/>
    <row r="82" spans="1:16" ht="15" hidden="1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hidden="1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hidden="1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hidden="1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hidden="1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hidden="1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hidden="1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hidden="1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CCF9EE92-667A-437F-AEEC-57A460FE3051}"/>
    <hyperlink ref="A22:O22" location="'SEB Active 80'!A1" display="SESA8FE SS „SEB Active 80“ SE0016076111" xr:uid="{873D6077-2EAD-4260-BB50-D3E5E322E16D}"/>
    <hyperlink ref="A32:O32" location="'SEB Artificial Intelligence Fun'!A1" display="SESTUDI LX „SEB Artificial Intelligence Fund&quot; LU2249630257" xr:uid="{C0D7BB64-00EE-40FB-83FE-DCCF7C056152}"/>
    <hyperlink ref="A42:O42" location="'SEB Global High Yield Fund'!A1" display="SEHYUCE LX „SEB Global High Yield Fund&quot; LY1791749010" xr:uid="{C0DB714B-9A82-4681-BF90-3D22E9E84C2D}"/>
    <hyperlink ref="A52:O52" location="'SEB Global Exposure fund UD'!A1" display="SEBGEUD &quot;SEB Global Exposure fund&quot; UD-mok. LU2625197160" xr:uid="{348F3995-0106-4EB0-A6BD-9EF4A844E557}"/>
    <hyperlink ref="A62:O62" location="'SEB Europe Exposure Fund UC'!A1" display="SEBEEUD &quot;SEB Europe Exposure fund&quot; LU2625195974" xr:uid="{3119530D-3BCE-45B6-8FCC-20659DD090A1}"/>
    <hyperlink ref="A72:O72" location="'SEB US Exposure Fund UD'!A1" display="SE3UUDE &quot;SEB US Exposure fund&quot; UD-mok. LU2625197327" xr:uid="{48CC6EF6-F3C1-43CD-8795-30202A046CE5}"/>
    <hyperlink ref="A82:O82" location="'SEB Europe Exposure Fund UD'!A1" display="SEBEUDI &quot;SEB Europe Exposure Fund&quot; UD-mok. LU2625196196" xr:uid="{4F69BF77-FA2E-46B4-97F8-60ECA06A9B64}"/>
  </hyperlinks>
  <pageMargins left="0.7" right="0.7" top="0.75" bottom="0.75" header="0.3" footer="0.3"/>
  <pageSetup orientation="portrait" r:id="rId1"/>
  <ignoredErrors>
    <ignoredError sqref="E19 E29 E89 E79 E69 E59 E49 E39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2026.01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60</v>
      </c>
      <c r="R5" s="4">
        <f>T5</f>
        <v>0</v>
      </c>
      <c r="S5" s="4">
        <f>(C19+C29+C39+C49+C59+C69+C79+C89+C99+C109)</f>
        <v>60</v>
      </c>
      <c r="T5" s="4">
        <f>(I19+I29+I39+I49+I59+I69+I79+I89+I99+I109)-W5</f>
        <v>0</v>
      </c>
      <c r="U5" s="4">
        <f>D19+D29+D39+D49+D59+D69+D79+D89+D99+D109</f>
        <v>0</v>
      </c>
      <c r="V5" s="4">
        <v>0.48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46037</v>
      </c>
      <c r="B15" s="24">
        <v>20</v>
      </c>
      <c r="C15" s="4">
        <v>20</v>
      </c>
      <c r="D15" s="4">
        <f>B15-C15</f>
        <v>0</v>
      </c>
      <c r="E15" s="5">
        <v>142.247511</v>
      </c>
      <c r="F15" s="32">
        <f>C15/E15</f>
        <v>0.1406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142.247511</v>
      </c>
      <c r="F19" s="6">
        <f>SUM(F15:F18)</f>
        <v>0.1406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46027</v>
      </c>
      <c r="B25" s="24">
        <v>20</v>
      </c>
      <c r="C25" s="4">
        <v>20</v>
      </c>
      <c r="D25" s="4">
        <v>0</v>
      </c>
      <c r="E25" s="5">
        <v>159.10899000000001</v>
      </c>
      <c r="F25" s="32">
        <f>C25/E25</f>
        <v>0.12570000000000001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46051</v>
      </c>
      <c r="B26" s="24">
        <v>20</v>
      </c>
      <c r="C26" s="4">
        <v>20</v>
      </c>
      <c r="D26" s="4">
        <v>0</v>
      </c>
      <c r="E26" s="5">
        <v>163.26530600000001</v>
      </c>
      <c r="F26" s="32">
        <f>C26/E26</f>
        <v>0.1225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40</v>
      </c>
      <c r="C29" s="4">
        <f>SUM(C25:C28)</f>
        <v>40</v>
      </c>
      <c r="D29" s="4">
        <f>SUM(D25:D28)</f>
        <v>0</v>
      </c>
      <c r="E29" s="5">
        <f>IF(B29&gt;0,SUMPRODUCT(E25:E28,F25:F28)/SUM(F25:F28),"0.00")</f>
        <v>161.160354665592</v>
      </c>
      <c r="F29" s="6">
        <f>SUM(F25:F28)</f>
        <v>0.2482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hidden="1" x14ac:dyDescent="0.25"/>
    <row r="32" spans="1:18" ht="15" hidden="1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hidden="1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hidden="1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hidden="1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hidden="1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hidden="1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hidden="1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hidden="1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hidden="1" x14ac:dyDescent="0.25">
      <c r="B40" s="1"/>
      <c r="C40" s="1"/>
      <c r="D40" s="1"/>
    </row>
    <row r="41" spans="1:18" ht="15" hidden="1" customHeight="1" x14ac:dyDescent="0.25">
      <c r="B41" s="1"/>
      <c r="E41" s="1"/>
      <c r="F41" s="1"/>
      <c r="J41"/>
    </row>
    <row r="42" spans="1:18" ht="15" hidden="1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hidden="1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hidden="1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hidden="1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hidden="1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hidden="1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hidden="1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hidden="1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0" spans="1:18" hidden="1" x14ac:dyDescent="0.25"/>
    <row r="51" spans="1:18" ht="15" hidden="1" customHeight="1" x14ac:dyDescent="0.25">
      <c r="B51" s="1"/>
      <c r="E51" s="1"/>
      <c r="F51" s="1"/>
      <c r="J51"/>
    </row>
    <row r="52" spans="1:18" ht="15" hidden="1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hidden="1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hidden="1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hidden="1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hidden="1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hidden="1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hidden="1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hidden="1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0" spans="1:18" hidden="1" x14ac:dyDescent="0.25"/>
    <row r="61" spans="1:18" hidden="1" x14ac:dyDescent="0.25"/>
    <row r="62" spans="1:18" ht="15" hidden="1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hidden="1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hidden="1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hidden="1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hidden="1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hidden="1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hidden="1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hidden="1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0" spans="1:16" hidden="1" x14ac:dyDescent="0.25"/>
    <row r="71" spans="1:16" hidden="1" x14ac:dyDescent="0.25"/>
    <row r="72" spans="1:16" ht="15" hidden="1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hidden="1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hidden="1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hidden="1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hidden="1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hidden="1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hidden="1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hidden="1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0" spans="1:16" hidden="1" x14ac:dyDescent="0.25"/>
    <row r="81" spans="1:16" hidden="1" x14ac:dyDescent="0.25"/>
    <row r="82" spans="1:16" ht="15" hidden="1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hidden="1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hidden="1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hidden="1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hidden="1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hidden="1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hidden="1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hidden="1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342D1C46-3320-489C-BDF0-D520F7115F39}"/>
    <hyperlink ref="A22:O22" location="'SEB Active 80'!A1" display="SESA8FE SS „SEB Active 80“ SE0016076111" xr:uid="{B6B6F83F-CE29-42D1-B570-F7CFC097D792}"/>
    <hyperlink ref="A32:O32" location="'SEB Artificial Intelligence Fun'!A1" display="SESTUDI LX „SEB Artificial Intelligence Fund&quot; LU2249630257" xr:uid="{0A476C35-214D-439D-B0B2-E4EFF8F83072}"/>
    <hyperlink ref="A42:O42" location="'SEB Global High Yield Fund'!A1" display="SEHYUCE LX „SEB Global High Yield Fund&quot; LY1791749010" xr:uid="{2917D620-7A1C-40D0-8D8E-4FFA08875B41}"/>
    <hyperlink ref="A52:O52" location="'SEB Global Exposure fund UD'!A1" display="SEBGEUD &quot;SEB Global Exposure fund&quot; UD-mok. LU2625197160" xr:uid="{A35D68A0-9527-426D-8389-36D4C7668AF9}"/>
    <hyperlink ref="A62:O62" location="'SEB Europe Exposure Fund UC'!A1" display="SEBEEUD &quot;SEB Europe Exposure fund&quot; LU2625195974" xr:uid="{3BB70F52-51B3-45ED-A335-0DCD9AABAB7B}"/>
    <hyperlink ref="A72:O72" location="'SEB US Exposure Fund UD'!A1" display="SE3UUDE &quot;SEB US Exposure fund&quot; UD-mok. LU2625197327" xr:uid="{4BE7042D-1051-4E0E-979E-34D5273642E8}"/>
    <hyperlink ref="A82:O82" location="'SEB Europe Exposure Fund UD'!A1" display="SEBEUDI &quot;SEB Europe Exposure Fund&quot; UD-mok. LU2625196196" xr:uid="{DD8286C2-4A3A-4DB9-B2AE-52DAF2EDD6AA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2025.12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40</v>
      </c>
      <c r="R5" s="4">
        <f>T5</f>
        <v>0</v>
      </c>
      <c r="S5" s="4">
        <f>(C19+C29+C39+C49+C59+C69+C79+C89+C99+C109)</f>
        <v>40</v>
      </c>
      <c r="T5" s="4">
        <f>(I19+I29+I39+I49+I59+I69+I79+I89+I99+I109)-W5</f>
        <v>0</v>
      </c>
      <c r="U5" s="4">
        <f>D19+D29+D39+D49+D59+D69+D79+D89+D99+D109</f>
        <v>0</v>
      </c>
      <c r="V5" s="4">
        <v>0.49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46008</v>
      </c>
      <c r="B15" s="24">
        <v>20</v>
      </c>
      <c r="C15" s="4">
        <v>20</v>
      </c>
      <c r="D15" s="4">
        <f>B15-C15</f>
        <v>0</v>
      </c>
      <c r="E15" s="5">
        <v>138.31258600000001</v>
      </c>
      <c r="F15" s="32">
        <f>C15/E15</f>
        <v>0.14460000000000001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138.31258600000001</v>
      </c>
      <c r="F19" s="6">
        <f>SUM(F15:F18)</f>
        <v>0.14460000000000001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45992</v>
      </c>
      <c r="B25" s="24">
        <v>20</v>
      </c>
      <c r="C25" s="4">
        <v>20</v>
      </c>
      <c r="D25" s="4">
        <v>0</v>
      </c>
      <c r="E25" s="5">
        <v>155.76324</v>
      </c>
      <c r="F25" s="32">
        <f>C25/E25</f>
        <v>0.12839999999999999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155.76324</v>
      </c>
      <c r="F29" s="6">
        <f>SUM(F25:F28)</f>
        <v>0.12839999999999999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hidden="1" x14ac:dyDescent="0.25"/>
    <row r="32" spans="1:18" ht="15" hidden="1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hidden="1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hidden="1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hidden="1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hidden="1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hidden="1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hidden="1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hidden="1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hidden="1" x14ac:dyDescent="0.25">
      <c r="B40" s="1"/>
      <c r="C40" s="1"/>
      <c r="D40" s="1"/>
    </row>
    <row r="41" spans="1:18" ht="15" hidden="1" customHeight="1" x14ac:dyDescent="0.25">
      <c r="B41" s="1"/>
      <c r="E41" s="1"/>
      <c r="F41" s="1"/>
      <c r="J41"/>
    </row>
    <row r="42" spans="1:18" ht="15" hidden="1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hidden="1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hidden="1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hidden="1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hidden="1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hidden="1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hidden="1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hidden="1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0" spans="1:18" hidden="1" x14ac:dyDescent="0.25"/>
    <row r="51" spans="1:18" ht="15" hidden="1" customHeight="1" x14ac:dyDescent="0.25">
      <c r="B51" s="1"/>
      <c r="E51" s="1"/>
      <c r="F51" s="1"/>
      <c r="J51"/>
    </row>
    <row r="52" spans="1:18" ht="15" hidden="1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hidden="1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hidden="1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hidden="1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hidden="1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hidden="1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hidden="1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hidden="1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0" spans="1:18" hidden="1" x14ac:dyDescent="0.25"/>
    <row r="61" spans="1:18" hidden="1" x14ac:dyDescent="0.25"/>
    <row r="62" spans="1:18" ht="15" hidden="1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hidden="1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hidden="1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hidden="1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hidden="1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hidden="1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hidden="1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hidden="1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0" spans="1:16" hidden="1" x14ac:dyDescent="0.25"/>
    <row r="71" spans="1:16" hidden="1" x14ac:dyDescent="0.25"/>
    <row r="72" spans="1:16" ht="15" hidden="1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hidden="1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hidden="1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hidden="1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hidden="1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hidden="1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hidden="1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hidden="1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0" spans="1:16" hidden="1" x14ac:dyDescent="0.25"/>
    <row r="81" spans="1:16" hidden="1" x14ac:dyDescent="0.25"/>
    <row r="82" spans="1:16" ht="15" hidden="1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hidden="1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hidden="1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hidden="1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hidden="1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hidden="1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hidden="1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hidden="1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A6EB4527-5276-4973-B552-C1296D7C2A08}"/>
    <hyperlink ref="A22:O22" location="'SEB Active 80'!A1" display="SESA8FE SS „SEB Active 80“ SE0016076111" xr:uid="{7AFDE641-60EA-4584-96AE-5C35A597A771}"/>
    <hyperlink ref="A32:O32" location="'SEB Artificial Intelligence Fun'!A1" display="SESTUDI LX „SEB Artificial Intelligence Fund&quot; LU2249630257" xr:uid="{056F6D4D-816F-4464-A2FB-8FC21BB34A9B}"/>
    <hyperlink ref="A42:O42" location="'SEB Global High Yield Fund'!A1" display="SEHYUCE LX „SEB Global High Yield Fund&quot; LY1791749010" xr:uid="{6CD078F3-F88C-4D0B-80D1-CAD93BDD3024}"/>
    <hyperlink ref="A52:O52" location="'SEB Global Exposure fund UD'!A1" display="SEBGEUD &quot;SEB Global Exposure fund&quot; UD-mok. LU2625197160" xr:uid="{B42BD3B7-C19B-4CBC-B480-14A58B69800C}"/>
    <hyperlink ref="A62:O62" location="'SEB Europe Exposure Fund UC'!A1" display="SEBEEUD &quot;SEB Europe Exposure fund&quot; LU2625195974" xr:uid="{D87472B2-7E77-40C7-A928-E5809FAE7246}"/>
    <hyperlink ref="A72:O72" location="'SEB US Exposure Fund UD'!A1" display="SE3UUDE &quot;SEB US Exposure fund&quot; UD-mok. LU2625197327" xr:uid="{770A80F2-F350-4E63-AC59-7397D8F0AA7D}"/>
    <hyperlink ref="A82:O82" location="'SEB Europe Exposure Fund UD'!A1" display="SEBEUDI &quot;SEB Europe Exposure Fund&quot; UD-mok. LU2625196196" xr:uid="{3025F4D3-1F6B-453E-B8A1-42B604D3BAFD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89"/>
  <sheetViews>
    <sheetView topLeftCell="A64" workbookViewId="0">
      <selection activeCell="A72" sqref="A72:O7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2025.11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</f>
        <v>20</v>
      </c>
      <c r="R5" s="4">
        <f>T5</f>
        <v>186.82</v>
      </c>
      <c r="S5" s="4">
        <f>(C19+C29+C39+C49+C59+C69+C79+C89+C99+C109)</f>
        <v>20</v>
      </c>
      <c r="T5" s="4">
        <f>(I19+I29+I39+I49+I59+I69+I79+I89+I99+I109)-W5</f>
        <v>186.82</v>
      </c>
      <c r="U5" s="4">
        <f>D19+D29+D39+D49+D59+D69+D79+D89+D99+D109</f>
        <v>0</v>
      </c>
      <c r="V5" s="4">
        <v>0.51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45977</v>
      </c>
      <c r="B15" s="24">
        <v>20</v>
      </c>
      <c r="C15" s="4">
        <v>20</v>
      </c>
      <c r="D15" s="4">
        <f>B15-C15</f>
        <v>0</v>
      </c>
      <c r="E15" s="5">
        <v>138.60013900000001</v>
      </c>
      <c r="F15" s="32">
        <f>C15/E15</f>
        <v>0.14430000000000001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138.60013900000001</v>
      </c>
      <c r="F19" s="6">
        <f>SUM(F15:F18)</f>
        <v>0.14430000000000001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56</v>
      </c>
      <c r="J34" s="3" t="s">
        <v>22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>
        <v>45982</v>
      </c>
      <c r="I35" s="5">
        <v>54.04</v>
      </c>
      <c r="J35" s="6">
        <v>1.1842999999999999</v>
      </c>
      <c r="K35" s="7">
        <v>145.667</v>
      </c>
      <c r="L35" s="7">
        <f>I35/K35</f>
        <v>0.371</v>
      </c>
      <c r="M35" s="25"/>
      <c r="N35" s="29"/>
      <c r="O35" s="7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SUM(I35:I38)/J35</f>
        <v>45.63</v>
      </c>
      <c r="J39" s="4"/>
      <c r="K39" s="5"/>
      <c r="L39" s="6">
        <f t="shared" ref="L39" si="3">SUM(L35:L38)</f>
        <v>0.371</v>
      </c>
      <c r="M39" s="26"/>
      <c r="N39" s="3" t="s">
        <v>2</v>
      </c>
      <c r="O39" s="4"/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>
        <v>45978</v>
      </c>
      <c r="I45" s="4">
        <v>21.1</v>
      </c>
      <c r="J45" s="4">
        <v>0</v>
      </c>
      <c r="K45" s="7">
        <v>1172.3810000000001</v>
      </c>
      <c r="L45" s="7">
        <f>I45/K45</f>
        <v>1.7999999999999999E-2</v>
      </c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21.1</v>
      </c>
      <c r="J49" s="4">
        <f t="shared" ref="J49" si="4">SUM(J45:J48)</f>
        <v>0</v>
      </c>
      <c r="K49" s="5"/>
      <c r="L49" s="6">
        <f t="shared" ref="L49" si="5">SUM(L45:L48)</f>
        <v>1.7999999999999999E-2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customHeight="1" x14ac:dyDescent="0.25">
      <c r="A55" s="29"/>
      <c r="B55" s="24"/>
      <c r="C55" s="4"/>
      <c r="D55" s="4"/>
      <c r="E55" s="5"/>
      <c r="F55" s="32"/>
      <c r="G55" s="74"/>
      <c r="H55" s="29">
        <v>45979</v>
      </c>
      <c r="I55" s="5">
        <v>31.26</v>
      </c>
      <c r="J55" s="4">
        <v>0</v>
      </c>
      <c r="K55" s="7">
        <v>136.499</v>
      </c>
      <c r="L55" s="7">
        <f>I55/K55</f>
        <v>0.22900000000000001</v>
      </c>
      <c r="M55" s="25"/>
      <c r="N55" s="29"/>
      <c r="O55" s="7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31.26</v>
      </c>
      <c r="J59" s="4">
        <f t="shared" ref="J59" si="6">SUM(J55:J58)</f>
        <v>0</v>
      </c>
      <c r="K59" s="5"/>
      <c r="L59" s="6">
        <f t="shared" ref="L59" si="7">SUM(L55:L58)</f>
        <v>0.22900000000000001</v>
      </c>
      <c r="M59" s="26"/>
      <c r="N59" s="3" t="s">
        <v>2</v>
      </c>
      <c r="O59" s="4"/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>
        <v>45978</v>
      </c>
      <c r="I65" s="5">
        <v>53.24</v>
      </c>
      <c r="J65" s="4">
        <v>0</v>
      </c>
      <c r="K65" s="7">
        <v>136.16999999999999</v>
      </c>
      <c r="L65" s="7">
        <f>I65/K65</f>
        <v>0.39100000000000001</v>
      </c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53.24</v>
      </c>
      <c r="J69" s="4">
        <f t="shared" ref="J69" si="8">SUM(J65:J68)</f>
        <v>0</v>
      </c>
      <c r="K69" s="5"/>
      <c r="L69" s="6">
        <f t="shared" ref="L69" si="9">SUM(L65:L68)</f>
        <v>0.39100000000000001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customHeight="1" x14ac:dyDescent="0.25">
      <c r="A75" s="35"/>
      <c r="B75" s="24"/>
      <c r="C75" s="4"/>
      <c r="D75" s="4"/>
      <c r="E75" s="5"/>
      <c r="F75" s="32"/>
      <c r="G75" s="74"/>
      <c r="H75" s="29">
        <v>45978</v>
      </c>
      <c r="I75" s="5">
        <v>24.86</v>
      </c>
      <c r="J75" s="4">
        <v>0</v>
      </c>
      <c r="K75" s="7">
        <v>141.227</v>
      </c>
      <c r="L75" s="7">
        <f>I75/K75</f>
        <v>0.17599999999999999</v>
      </c>
      <c r="M75" s="25"/>
      <c r="N75" s="29"/>
      <c r="O75" s="7"/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24.86</v>
      </c>
      <c r="J79" s="4">
        <f t="shared" ref="J79" si="10">SUM(J75:J78)</f>
        <v>0</v>
      </c>
      <c r="K79" s="5"/>
      <c r="L79" s="6">
        <f t="shared" ref="L79" si="11">SUM(L75:L78)</f>
        <v>0.17599999999999999</v>
      </c>
      <c r="M79" s="26"/>
      <c r="N79" s="3" t="s">
        <v>2</v>
      </c>
      <c r="O79" s="4"/>
      <c r="P79" s="1"/>
    </row>
    <row r="82" spans="1:16" ht="15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customHeight="1" x14ac:dyDescent="0.25">
      <c r="A85" s="29"/>
      <c r="B85" s="24"/>
      <c r="C85" s="4"/>
      <c r="D85" s="4"/>
      <c r="E85" s="5"/>
      <c r="F85" s="32"/>
      <c r="G85" s="74"/>
      <c r="H85" s="29">
        <v>45974</v>
      </c>
      <c r="I85" s="5">
        <v>10.73</v>
      </c>
      <c r="J85" s="4">
        <v>0</v>
      </c>
      <c r="K85" s="7">
        <v>127.756</v>
      </c>
      <c r="L85" s="7">
        <f>I85/K85</f>
        <v>8.4000000000000005E-2</v>
      </c>
      <c r="M85" s="25"/>
      <c r="N85" s="29"/>
      <c r="O85" s="7"/>
      <c r="P85" s="1"/>
    </row>
    <row r="86" spans="1:16" ht="15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10.73</v>
      </c>
      <c r="J89" s="4">
        <f t="shared" ref="J89" si="12">SUM(J85:J88)</f>
        <v>0</v>
      </c>
      <c r="K89" s="5"/>
      <c r="L89" s="6">
        <f t="shared" ref="L89" si="13">SUM(L85:L88)</f>
        <v>8.4000000000000005E-2</v>
      </c>
      <c r="M89" s="26"/>
      <c r="N89" s="3" t="s">
        <v>2</v>
      </c>
      <c r="O89" s="4"/>
      <c r="P89" s="1"/>
    </row>
  </sheetData>
  <mergeCells count="47">
    <mergeCell ref="A62:O62"/>
    <mergeCell ref="A52:O5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42:O42"/>
    <mergeCell ref="A43:F43"/>
    <mergeCell ref="G43:G49"/>
    <mergeCell ref="H43:L43"/>
    <mergeCell ref="N43:O43"/>
    <mergeCell ref="A63:F63"/>
    <mergeCell ref="G63:G69"/>
    <mergeCell ref="H63:L63"/>
    <mergeCell ref="N63:O63"/>
    <mergeCell ref="A72:O72"/>
    <mergeCell ref="A83:F83"/>
    <mergeCell ref="G83:G89"/>
    <mergeCell ref="H83:L83"/>
    <mergeCell ref="N83:O83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448BE27D-0F9F-43F0-A35F-C8EC01E47E21}"/>
    <hyperlink ref="A22:O22" location="'SEB Active 80'!A1" display="SESA8FE SS „SEB Active 80“ SE0016076111" xr:uid="{92BA5356-A2FE-4A68-8551-436DF8C854D1}"/>
    <hyperlink ref="A32:O32" location="'SEB Artificial Intelligence Fun'!A1" display="SESTUDI LX „SEB Artificial Intelligence Fund&quot; LU2249630257" xr:uid="{8A8323CB-793D-4079-BA5A-185BB66B9178}"/>
    <hyperlink ref="A42:O42" location="'SEB Global High Yield Fund'!A1" display="SEHYUCE LX „SEB Global High Yield Fund&quot; LY1791749010" xr:uid="{100668B2-FDE6-4A9A-A3E4-7FF8D2460977}"/>
    <hyperlink ref="A52:O52" location="'SEB Global Exposure fund UD'!A1" display="SEBGEUD &quot;SEB Global Exposure fund&quot; UD-mok. LU2625197160" xr:uid="{B75DBAC5-4867-4D96-9D61-C3A4C230F130}"/>
    <hyperlink ref="A62:O62" location="'SEB Europe Exposure Fund UC'!A1" display="SEBEEUD &quot;SEB Europe Exposure fund&quot; LU2625195974" xr:uid="{4B1FECEF-6265-4592-8B13-4EF9E97BE1E3}"/>
    <hyperlink ref="A72:O72" location="'SEB US Exposure Fund UD'!A1" display="SE3UUDE &quot;SEB US Exposure fund&quot; UD-mok. LU2625197327" xr:uid="{9B6ABE59-0A02-42C1-B70D-36E077C10446}"/>
    <hyperlink ref="A82:O82" location="'SEB Europe Exposure Fund UD'!A1" display="SEBEUDI &quot;SEB Europe Exposure Fund&quot; UD-mok. LU2625196196" xr:uid="{B1C56748-631F-466F-9D68-6FBD6B939C51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60</v>
      </c>
      <c r="R5" s="4">
        <v>0</v>
      </c>
      <c r="S5" s="4">
        <f>(C19+C29+C39+C49+C59+C69+C79+C89+C99+C109)-T5</f>
        <v>60</v>
      </c>
      <c r="T5" s="4">
        <f>(I19+I29+I39+I49+I59+I69+I79+I89+I99+I109)-W5</f>
        <v>0</v>
      </c>
      <c r="U5" s="4">
        <f>D19+D29+D39+D49+D59+D69+D79+D89+D99+D109</f>
        <v>0</v>
      </c>
      <c r="V5" s="4">
        <v>0.49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45946</v>
      </c>
      <c r="B15" s="24">
        <v>20</v>
      </c>
      <c r="C15" s="4">
        <v>20</v>
      </c>
      <c r="D15" s="4">
        <f>B15-C15</f>
        <v>0</v>
      </c>
      <c r="E15" s="5">
        <v>135.50135499999999</v>
      </c>
      <c r="F15" s="32">
        <f>C15/E15</f>
        <v>0.14760000000000001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135.50135499999999</v>
      </c>
      <c r="F19" s="6">
        <f>SUM(F15:F18)</f>
        <v>0.14760000000000001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45931</v>
      </c>
      <c r="B25" s="24">
        <v>20</v>
      </c>
      <c r="C25" s="4">
        <v>20</v>
      </c>
      <c r="D25" s="4">
        <f>B25-C25</f>
        <v>0</v>
      </c>
      <c r="E25" s="5">
        <v>150.82956300000001</v>
      </c>
      <c r="F25" s="32">
        <f>C25/E25</f>
        <v>0.1326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45960</v>
      </c>
      <c r="B26" s="24">
        <v>20</v>
      </c>
      <c r="C26" s="4">
        <v>20</v>
      </c>
      <c r="D26" s="4">
        <f>B26-C26</f>
        <v>0</v>
      </c>
      <c r="E26" s="5">
        <v>156.985871</v>
      </c>
      <c r="F26" s="32">
        <f>C26/E26</f>
        <v>0.12740000000000001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40</v>
      </c>
      <c r="C29" s="4">
        <f>SUM(C25:C28)</f>
        <v>40</v>
      </c>
      <c r="D29" s="4">
        <f>SUM(D25:D28)</f>
        <v>0</v>
      </c>
      <c r="E29" s="5">
        <f>IF(B29&gt;0,SUMPRODUCT(E25:E28,F25:F28)/SUM(F25:F28),"0.00")</f>
        <v>153.84615392000001</v>
      </c>
      <c r="F29" s="6">
        <f>SUM(F25:F28)</f>
        <v>0.26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2" spans="1:16" ht="15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E010CE5F-0A15-4845-A56F-934A11B83FAD}"/>
    <hyperlink ref="A22:O22" location="'SEB Active 80'!A1" display="SESA8FE SS „SEB Active 80“ SE0016076111" xr:uid="{5D03144F-5533-414A-82C4-5AAF0941EED8}"/>
    <hyperlink ref="A32:O32" location="'SEB Artificial Intelligence Fun'!A1" display="SESTUDI LX „SEB Artificial Intelligence Fund&quot; LU2249630257" xr:uid="{9CF7E761-F88C-465E-9E91-207752E55FEC}"/>
    <hyperlink ref="A42:O42" location="'SEB Global High Yield Fund'!A1" display="SEHYUCE LX „SEB Global High Yield Fund&quot; LY1791749010" xr:uid="{84B4F7BB-86D3-4427-86B0-26F9C649A9F1}"/>
    <hyperlink ref="A52:O52" location="'SEB Global Exposure fund UD'!A1" display="SEBGEUD &quot;SEB Global Exposure fund&quot; UD-mok. LU2625197160" xr:uid="{4E3FB716-A309-44C5-BF6C-4533695B3C24}"/>
    <hyperlink ref="A62:O62" location="'SEB Europe Exposure Fund UC'!A1" display="SEBEEUD &quot;SEB Europe Exposure fund&quot; LU2625195974" xr:uid="{20A8F039-08FF-4EA8-8EF0-9ED8B3C8AFA8}"/>
    <hyperlink ref="A72:O72" location="'SEB US Exposure Fund UD'!A1" display="SE3UUDE &quot;SEB US Exposure fund&quot; UD-mok. LU2625197327" xr:uid="{95683721-6855-4EB6-AF7B-177BB0178CB1}"/>
    <hyperlink ref="A82:O82" location="'SEB Europe Exposure Fund UD'!A1" display="SEBEUDI &quot;SEB Europe Exposure Fund&quot; UD-mok. LU2625196196" xr:uid="{E095FCE4-633C-47C4-8161-09DCD9DDE29F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2025.09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20</v>
      </c>
      <c r="R5" s="4">
        <v>0</v>
      </c>
      <c r="S5" s="4">
        <f>(C19+C29+C39+C49+C59+C69+C79+C89+C99+C109)-T5</f>
        <v>20</v>
      </c>
      <c r="T5" s="4">
        <f>(I19+I29+I39+I49+I59+I69+I79+I89+I99+I109)-W5</f>
        <v>0</v>
      </c>
      <c r="U5" s="4">
        <f>D19+D29+D39+D49+D59+D69+D79+D89+D99+D109</f>
        <v>0</v>
      </c>
      <c r="V5" s="4">
        <v>0.48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45917</v>
      </c>
      <c r="B15" s="24">
        <v>20</v>
      </c>
      <c r="C15" s="4">
        <v>20</v>
      </c>
      <c r="D15" s="4">
        <f>B15-C15</f>
        <v>0</v>
      </c>
      <c r="E15" s="5">
        <v>135.04388900000001</v>
      </c>
      <c r="F15" s="32">
        <f>C15/E15</f>
        <v>0.14810000000000001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135.04388900000001</v>
      </c>
      <c r="F19" s="6">
        <f>SUM(F15:F18)</f>
        <v>0.14810000000000001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2" spans="1:16" ht="15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A3AC90C1-A439-4C3E-9274-17807C6C1EAC}"/>
    <hyperlink ref="A22:O22" location="'SEB Active 80'!A1" display="SESA8FE SS „SEB Active 80“ SE0016076111" xr:uid="{434329D4-7310-4944-BB85-C6E4290FC1EA}"/>
    <hyperlink ref="A32:O32" location="'SEB Artificial Intelligence Fun'!A1" display="SESTUDI LX „SEB Artificial Intelligence Fund&quot; LU2249630257" xr:uid="{89B67557-83CB-47CB-B421-B37A5DCEBBE4}"/>
    <hyperlink ref="A42:O42" location="'SEB Global High Yield Fund'!A1" display="SEHYUCE LX „SEB Global High Yield Fund&quot; LY1791749010" xr:uid="{4CF9D92F-BBE2-4845-84AE-E4C36135E4CB}"/>
    <hyperlink ref="A52:O52" location="'SEB Global Exposure fund UD'!A1" display="SEBGEUD &quot;SEB Global Exposure fund&quot; UD-mok. LU2625197160" xr:uid="{B16A131A-CB24-405B-B491-45FF5E83E754}"/>
    <hyperlink ref="A62:O62" location="'SEB Europe Exposure Fund UC'!A1" display="SEBEEUD &quot;SEB Europe Exposure fund&quot; LU2625195974" xr:uid="{BFFF3E32-686D-4C6A-B1D6-1B4DFE29F9CB}"/>
    <hyperlink ref="A72:O72" location="'SEB US Exposure Fund UD'!A1" display="SE3UUDE &quot;SEB US Exposure fund&quot; UD-mok. LU2625197327" xr:uid="{D29E1EEF-2F7C-489D-BB9E-4280A7FDDC9D}"/>
    <hyperlink ref="A82:O82" location="'SEB Europe Exposure Fund UD'!A1" display="SEBEUDI &quot;SEB Europe Exposure Fund&quot; UD-mok. LU2625196196" xr:uid="{9935AD9B-664B-4F95-B12E-2DC950ED51C9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2025.08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40</v>
      </c>
      <c r="R5" s="4">
        <v>0</v>
      </c>
      <c r="S5" s="4">
        <f>(C19+C29+C39+C49+C59+C69+C79+C89+C99+C109)-T5</f>
        <v>40</v>
      </c>
      <c r="T5" s="4">
        <f>(I19+I29+I39+I49+I59+I69+I79+I89+I99+I109)-W5</f>
        <v>0</v>
      </c>
      <c r="U5" s="4">
        <f>D19+D29+D39+D49+D59+D69+D79+D89+D99+D109</f>
        <v>0</v>
      </c>
      <c r="V5" s="4">
        <v>0.46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45887</v>
      </c>
      <c r="B15" s="24">
        <v>20</v>
      </c>
      <c r="C15" s="4">
        <v>20</v>
      </c>
      <c r="D15" s="4">
        <f>B15-C15</f>
        <v>0</v>
      </c>
      <c r="E15" s="5">
        <v>133.422282</v>
      </c>
      <c r="F15" s="32">
        <f>C15/E15</f>
        <v>0.14990000000000001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133.422282</v>
      </c>
      <c r="F19" s="6">
        <f>SUM(F15:F18)</f>
        <v>0.14990000000000001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45898</v>
      </c>
      <c r="B25" s="24">
        <v>20</v>
      </c>
      <c r="C25" s="4">
        <v>20</v>
      </c>
      <c r="D25" s="4">
        <f>B25-C25</f>
        <v>0</v>
      </c>
      <c r="E25" s="5">
        <v>150.26295999999999</v>
      </c>
      <c r="F25" s="32">
        <f>C25/E25</f>
        <v>0.1331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150.26295999999999</v>
      </c>
      <c r="F29" s="6">
        <f>SUM(F25:F28)</f>
        <v>0.1331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2" spans="1:16" ht="15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B64E55CB-BBC0-4F2C-94DA-E766C32486C7}"/>
    <hyperlink ref="A22:O22" location="'SEB Active 80'!A1" display="SESA8FE SS „SEB Active 80“ SE0016076111" xr:uid="{887D5B29-8394-49B7-8733-41B35FB2413F}"/>
    <hyperlink ref="A32:O32" location="'SEB Artificial Intelligence Fun'!A1" display="SESTUDI LX „SEB Artificial Intelligence Fund&quot; LU2249630257" xr:uid="{F26C6195-5D34-4401-912C-25B4A5EC01B8}"/>
    <hyperlink ref="A42:O42" location="'SEB Global High Yield Fund'!A1" display="SEHYUCE LX „SEB Global High Yield Fund&quot; LY1791749010" xr:uid="{6C9B5F40-389B-451C-8876-48ADEC9C492D}"/>
    <hyperlink ref="A52:O52" location="'SEB Global Exposure fund UD'!A1" display="SEBGEUD &quot;SEB Global Exposure fund&quot; UD-mok. LU2625197160" xr:uid="{F94768B2-88ED-4D1F-9199-F45764A3080D}"/>
    <hyperlink ref="A62:O62" location="'SEB Europe Exposure Fund UC'!A1" display="SEBEEUD &quot;SEB Europe Exposure fund&quot; LU2625195974" xr:uid="{DFC293CB-2908-4976-A1F4-15AF788FA75D}"/>
    <hyperlink ref="A72:O72" location="'SEB US Exposure Fund UD'!A1" display="SE3UUDE &quot;SEB US Exposure fund&quot; UD-mok. LU2625197327" xr:uid="{BDB6CE2E-09E5-46FC-89F4-688577C17F27}"/>
    <hyperlink ref="A82:O82" location="'SEB Europe Exposure Fund UD'!A1" display="SEBEUDI &quot;SEB Europe Exposure Fund&quot; UD-mok. LU2625196196" xr:uid="{DD22936A-D1F9-4473-8F0A-9C717D097694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2025.07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60</v>
      </c>
      <c r="R5" s="4">
        <v>0</v>
      </c>
      <c r="S5" s="4">
        <f>(C19+C29+C39+C49+C59+C69+C79+C89+C99+C109)-T5</f>
        <v>60</v>
      </c>
      <c r="T5" s="4">
        <f>(I19+I29+I39+I49+I59+I69+I79+I89+I99+I109)-W5</f>
        <v>0</v>
      </c>
      <c r="U5" s="4">
        <f>D19+D29+D39+D49+D59+D69+D79+D89+D99+D109</f>
        <v>0</v>
      </c>
      <c r="V5" s="4">
        <v>0.44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45855</v>
      </c>
      <c r="B15" s="24">
        <v>20</v>
      </c>
      <c r="C15" s="4">
        <v>20</v>
      </c>
      <c r="D15" s="4">
        <f>B15-C15</f>
        <v>0</v>
      </c>
      <c r="E15" s="5">
        <v>132.27513200000001</v>
      </c>
      <c r="F15" s="32">
        <f>C15/E15</f>
        <v>0.1512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132.27513200000001</v>
      </c>
      <c r="F19" s="6">
        <f>SUM(F15:F18)</f>
        <v>0.1512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45839</v>
      </c>
      <c r="B25" s="24">
        <v>20</v>
      </c>
      <c r="C25" s="4">
        <v>20</v>
      </c>
      <c r="D25" s="4">
        <f>B25-C25</f>
        <v>0</v>
      </c>
      <c r="E25" s="5">
        <v>146.73514299999999</v>
      </c>
      <c r="F25" s="32">
        <f>C25/E25</f>
        <v>0.1363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45869</v>
      </c>
      <c r="B26" s="24">
        <v>20</v>
      </c>
      <c r="C26" s="4">
        <v>20</v>
      </c>
      <c r="D26" s="4">
        <f>B26-C26</f>
        <v>0</v>
      </c>
      <c r="E26" s="5">
        <v>150.037509</v>
      </c>
      <c r="F26" s="32">
        <f>C26/E26</f>
        <v>0.1333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40</v>
      </c>
      <c r="C29" s="4">
        <f>SUM(C25:C28)</f>
        <v>40</v>
      </c>
      <c r="D29" s="4">
        <f>SUM(D25:D28)</f>
        <v>0</v>
      </c>
      <c r="E29" s="5">
        <f>IF(B29&gt;0,SUMPRODUCT(E25:E28,F25:F28)/SUM(F25:F28),"0.00")</f>
        <v>148.36795230192899</v>
      </c>
      <c r="F29" s="6">
        <f>SUM(F25:F28)</f>
        <v>0.26960000000000001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/>
      <c r="O55" s="7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7"/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2" spans="1:16" ht="15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/>
      <c r="O85" s="7"/>
      <c r="P85" s="1"/>
    </row>
    <row r="86" spans="1:16" ht="15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44497FE0-CDEF-47DC-92C5-91082FF402F0}"/>
    <hyperlink ref="A22:O22" location="'SEB Active 80'!A1" display="SESA8FE SS „SEB Active 80“ SE0016076111" xr:uid="{5FC97854-7F13-48D7-8829-1663D3CA395E}"/>
    <hyperlink ref="A32:O32" location="'SEB Artificial Intelligence Fun'!A1" display="SESTUDI LX „SEB Artificial Intelligence Fund&quot; LU2249630257" xr:uid="{6C80E96B-A783-49F7-BDEF-FDEE5CA15E2E}"/>
    <hyperlink ref="A42:O42" location="'SEB Global High Yield Fund'!A1" display="SEHYUCE LX „SEB Global High Yield Fund&quot; LY1791749010" xr:uid="{674D9F8B-9B8D-466F-8F70-1ACC0B27A3F5}"/>
    <hyperlink ref="A52:O52" location="'SEB Global Exposure fund UD'!A1" display="SEBGEUD &quot;SEB Global Exposure fund&quot; UD-mok. LU2625197160" xr:uid="{38A76E73-E59F-4261-9C57-86AC9590CAA7}"/>
    <hyperlink ref="A62:O62" location="'SEB Europe Exposure Fund UC'!A1" display="SEBEEUD &quot;SEB Europe Exposure fund&quot; LU2625195974" xr:uid="{3F79BA98-4CE7-4DC6-9EC8-289126341B37}"/>
    <hyperlink ref="A72:O72" location="'SEB US Exposure Fund UD'!A1" display="SE3UUDE &quot;SEB US Exposure fund&quot; UD-mok. LU2625197327" xr:uid="{569729CA-258D-4E60-AE0F-808E7408C82E}"/>
    <hyperlink ref="A82:O82" location="'SEB Europe Exposure Fund UD'!A1" display="SEBEUDI &quot;SEB Europe Exposure Fund&quot; UD-mok. LU2625196196" xr:uid="{555727ED-A7C5-49C5-9205-F2C342CF1C38}"/>
  </hyperlinks>
  <pageMargins left="0.7" right="0.7" top="0.75" bottom="0.75" header="0.3" footer="0.3"/>
  <pageSetup orientation="portrait" r:id="rId1"/>
  <ignoredErrors>
    <ignoredError sqref="E19 E29 E39 E49 E59 E69 E79 E8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2025.06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20</v>
      </c>
      <c r="R5" s="4">
        <v>0</v>
      </c>
      <c r="S5" s="4">
        <f>(C19+C29+C39+C49+C59+C69+C79+C89+C99+C109)-T5</f>
        <v>20</v>
      </c>
      <c r="T5" s="4">
        <f>(I19+I29+I39+I49+I59+I69+I79+I89+I99+I109)-W5</f>
        <v>0</v>
      </c>
      <c r="U5" s="4">
        <f>D19+D29+D39+D49+D59+D69+D79+D89+D99+D109</f>
        <v>0</v>
      </c>
      <c r="V5" s="4">
        <v>0.41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45825</v>
      </c>
      <c r="B15" s="24">
        <v>20</v>
      </c>
      <c r="C15" s="4">
        <v>20</v>
      </c>
      <c r="D15" s="4">
        <f>B15-C15</f>
        <v>0</v>
      </c>
      <c r="E15" s="5">
        <v>131.23359600000001</v>
      </c>
      <c r="F15" s="32">
        <f>C15/E15</f>
        <v>0.15240000000000001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131.23359600000001</v>
      </c>
      <c r="F19" s="6">
        <f>SUM(F15:F18)</f>
        <v>0.15240000000000001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>
        <v>45821</v>
      </c>
      <c r="O35" s="7">
        <v>4.0000000000000001E-3</v>
      </c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>SUM(C35:C38)</f>
        <v>0</v>
      </c>
      <c r="D39" s="4">
        <f>SUM(D35:D38)</f>
        <v>0</v>
      </c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/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5">SUM(J45:J48)</f>
        <v>0</v>
      </c>
      <c r="K49" s="5"/>
      <c r="L49" s="6">
        <f t="shared" ref="L49" si="6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47</v>
      </c>
      <c r="P54" s="21"/>
    </row>
    <row r="55" spans="1:18" ht="15" customHeight="1" x14ac:dyDescent="0.25">
      <c r="A55" s="29"/>
      <c r="B55" s="24"/>
      <c r="C55" s="4"/>
      <c r="D55" s="4"/>
      <c r="E55" s="5"/>
      <c r="F55" s="32"/>
      <c r="G55" s="74"/>
      <c r="H55" s="29"/>
      <c r="I55" s="5"/>
      <c r="J55" s="4"/>
      <c r="K55" s="4"/>
      <c r="L55" s="5"/>
      <c r="M55" s="25"/>
      <c r="N55" s="29">
        <v>45820</v>
      </c>
      <c r="O55" s="7">
        <v>7.0000000000000001E-3</v>
      </c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7">SUM(J55:J58)</f>
        <v>0</v>
      </c>
      <c r="K59" s="5"/>
      <c r="L59" s="6">
        <f t="shared" ref="L59" si="8">SUM(L55:L58)</f>
        <v>0</v>
      </c>
      <c r="M59" s="26"/>
      <c r="N59" s="3" t="s">
        <v>2</v>
      </c>
      <c r="O59" s="4"/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9">SUM(J65:J68)</f>
        <v>0</v>
      </c>
      <c r="K69" s="5"/>
      <c r="L69" s="6">
        <f t="shared" ref="L69" si="10">SUM(L65:L68)</f>
        <v>0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47</v>
      </c>
      <c r="P74" s="21"/>
    </row>
    <row r="75" spans="1:16" ht="15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>
        <v>45820</v>
      </c>
      <c r="O75" s="7">
        <v>4.0000000000000001E-3</v>
      </c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1">SUM(J75:J78)</f>
        <v>0</v>
      </c>
      <c r="K79" s="5"/>
      <c r="L79" s="6">
        <f t="shared" ref="L79" si="12">SUM(L75:L78)</f>
        <v>0</v>
      </c>
      <c r="M79" s="26"/>
      <c r="N79" s="3" t="s">
        <v>2</v>
      </c>
      <c r="O79" s="4"/>
      <c r="P79" s="1"/>
    </row>
    <row r="82" spans="1:16" ht="15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47</v>
      </c>
      <c r="P84" s="21"/>
    </row>
    <row r="85" spans="1:16" ht="15" customHeight="1" x14ac:dyDescent="0.25">
      <c r="A85" s="29"/>
      <c r="B85" s="24"/>
      <c r="C85" s="4"/>
      <c r="D85" s="4"/>
      <c r="E85" s="5"/>
      <c r="F85" s="32"/>
      <c r="G85" s="74"/>
      <c r="H85" s="29"/>
      <c r="I85" s="5"/>
      <c r="J85" s="4"/>
      <c r="K85" s="4"/>
      <c r="L85" s="5"/>
      <c r="M85" s="25"/>
      <c r="N85" s="29">
        <v>45817</v>
      </c>
      <c r="O85" s="7">
        <v>3.0000000000000001E-3</v>
      </c>
      <c r="P85" s="1"/>
    </row>
    <row r="86" spans="1:16" ht="15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customHeight="1" x14ac:dyDescent="0.25">
      <c r="A89" s="3" t="s">
        <v>2</v>
      </c>
      <c r="B89" s="4">
        <f>SUM(B85:B88)</f>
        <v>0</v>
      </c>
      <c r="C89" s="4">
        <f>SUM(C85:C88)</f>
        <v>0</v>
      </c>
      <c r="D89" s="4">
        <f>SUM(D85:D88)</f>
        <v>0</v>
      </c>
      <c r="E89" s="5" t="str">
        <f>IF(B89&gt;0,SUMPRODUCT(E85:E88,F85:F88)/SUM(F85:F88),"0.00")</f>
        <v>0.00</v>
      </c>
      <c r="F89" s="6">
        <f>SUM(F85:F88)</f>
        <v>0</v>
      </c>
      <c r="G89" s="75"/>
      <c r="H89" s="3" t="s">
        <v>2</v>
      </c>
      <c r="I89" s="4">
        <f>SUM(I85:I88)</f>
        <v>0</v>
      </c>
      <c r="J89" s="4">
        <f t="shared" ref="J89" si="13">SUM(J85:J88)</f>
        <v>0</v>
      </c>
      <c r="K89" s="5"/>
      <c r="L89" s="6">
        <f t="shared" ref="L89" si="14">SUM(L85:L88)</f>
        <v>0</v>
      </c>
      <c r="M89" s="26"/>
      <c r="N89" s="3" t="s">
        <v>2</v>
      </c>
      <c r="O89" s="4"/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44138046-567A-4BDE-A553-803221537F84}"/>
    <hyperlink ref="A22:O22" location="'SEB Active 80'!A1" display="SESA8FE SS „SEB Active 80“ SE0016076111" xr:uid="{02FC6BBE-C932-4159-8536-02E148BEDB05}"/>
    <hyperlink ref="A32:O32" location="'SEB Artificial Intelligence Fun'!A1" display="SESTUDI LX „SEB Artificial Intelligence Fund&quot; LU2249630257" xr:uid="{5E5C34AF-097A-47A7-9FF3-5F99B8A97E01}"/>
    <hyperlink ref="A42:O42" location="'SEB Global High Yield Fund'!A1" display="SEHYUCE LX „SEB Global High Yield Fund&quot; LY1791749010" xr:uid="{A1E6FA30-35DB-4BFD-9E0C-180F0E30F03D}"/>
    <hyperlink ref="A52:O52" location="'SEB Global Exposure fund UD'!A1" display="SEBGEUD &quot;SEB Global Exposure fund&quot; UD-mok. LU2625197160" xr:uid="{169BB576-EC74-42E7-9930-741959997E4D}"/>
    <hyperlink ref="A62:O62" location="'SEB Europe Exposure Fund UC'!A1" display="SEBEEUD &quot;SEB Europe Exposure fund&quot; LU2625195974" xr:uid="{6471C992-849A-4457-B536-65DFFB852E4B}"/>
    <hyperlink ref="A72:O72" location="'SEB US Exposure Fund UD'!A1" display="SE3UUDE &quot;SEB US Exposure fund&quot; UD-mok. LU2625197327" xr:uid="{AD170161-7AA3-4436-BBDE-FEAB1E31D6B7}"/>
    <hyperlink ref="A82:O82" location="'SEB Europe Exposure Fund UD'!A1" display="SEBEUDI &quot;SEB Europe Exposure Fund&quot; UD-mok. LU2625196196" xr:uid="{65509C51-A72A-4AF0-A4A2-8E619D56D21C}"/>
  </hyperlinks>
  <pageMargins left="0.7" right="0.7" top="0.75" bottom="0.75" header="0.3" footer="0.3"/>
  <ignoredErrors>
    <ignoredError sqref="E49 E39 E19 E29 E59 E69 E79 E89" formula="1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8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2025.05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60</v>
      </c>
      <c r="R5" s="4">
        <v>0</v>
      </c>
      <c r="S5" s="4">
        <f>(C19+C29+C39+C49+C59+C69+C79+C89+C99+C109)-T5</f>
        <v>60</v>
      </c>
      <c r="T5" s="4">
        <f>(I19+I29+I39+I49+I59+I69+I79+I89+I99+I109)-W5</f>
        <v>0</v>
      </c>
      <c r="U5" s="4">
        <f>D19+D29+D39+D49+D59+D69+D79+D89+D99+D109</f>
        <v>0</v>
      </c>
      <c r="V5" s="4">
        <v>0.36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45792</v>
      </c>
      <c r="B15" s="24">
        <v>20</v>
      </c>
      <c r="C15" s="4">
        <v>20</v>
      </c>
      <c r="D15" s="4">
        <f>B15-C15</f>
        <v>0</v>
      </c>
      <c r="E15" s="5">
        <v>131.40604500000001</v>
      </c>
      <c r="F15" s="32">
        <f>C15/E15</f>
        <v>0.1522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131.40604500000001</v>
      </c>
      <c r="F19" s="6">
        <f>SUM(F15:F18)</f>
        <v>0.1522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45779</v>
      </c>
      <c r="B25" s="24">
        <v>15</v>
      </c>
      <c r="C25" s="4">
        <v>15</v>
      </c>
      <c r="D25" s="4">
        <f>B25-C25</f>
        <v>0</v>
      </c>
      <c r="E25" s="5">
        <v>139.275766</v>
      </c>
      <c r="F25" s="32">
        <f>C25/E25</f>
        <v>0.1077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45807</v>
      </c>
      <c r="B26" s="24">
        <v>15</v>
      </c>
      <c r="C26" s="4">
        <v>15</v>
      </c>
      <c r="D26" s="4">
        <f>B26-C26</f>
        <v>0</v>
      </c>
      <c r="E26" s="5">
        <v>146.77103700000001</v>
      </c>
      <c r="F26" s="32">
        <f>C26/E26</f>
        <v>0.1022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30</v>
      </c>
      <c r="C29" s="4">
        <f>SUM(C25:C28)</f>
        <v>30</v>
      </c>
      <c r="D29" s="4">
        <f>SUM(D25:D28)</f>
        <v>0</v>
      </c>
      <c r="E29" s="5">
        <f>IF(B29&gt;0,SUMPRODUCT(E25:E28,F25:F28)/SUM(F25:F28),"0.00")</f>
        <v>142.92520238018099</v>
      </c>
      <c r="F29" s="6">
        <f>SUM(F25:F28)</f>
        <v>0.2099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6">SUM(J45:J48)</f>
        <v>0</v>
      </c>
      <c r="K49" s="5"/>
      <c r="L49" s="6">
        <f t="shared" ref="L49" si="7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25</v>
      </c>
      <c r="P54" s="21"/>
    </row>
    <row r="55" spans="1:18" ht="15" customHeight="1" x14ac:dyDescent="0.25">
      <c r="A55" s="29"/>
      <c r="B55" s="24"/>
      <c r="C55" s="4"/>
      <c r="D55" s="4">
        <v>0</v>
      </c>
      <c r="E55" s="5"/>
      <c r="F55" s="32"/>
      <c r="G55" s="74"/>
      <c r="H55" s="29"/>
      <c r="I55" s="5"/>
      <c r="J55" s="4"/>
      <c r="K55" s="4"/>
      <c r="L55" s="5"/>
      <c r="M55" s="25"/>
      <c r="N55" s="29"/>
      <c r="O55" s="4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8">SUM(J55:J58)</f>
        <v>0</v>
      </c>
      <c r="K59" s="5"/>
      <c r="L59" s="6">
        <f t="shared" ref="L59" si="9">SUM(L55:L58)</f>
        <v>0</v>
      </c>
      <c r="M59" s="26"/>
      <c r="N59" s="3" t="s">
        <v>2</v>
      </c>
      <c r="O59" s="4">
        <f>SUM(O55:O58)</f>
        <v>0</v>
      </c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10">SUM(J65:J68)</f>
        <v>0</v>
      </c>
      <c r="K69" s="5"/>
      <c r="L69" s="6">
        <f t="shared" ref="L69" si="11">SUM(L65:L68)</f>
        <v>0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25</v>
      </c>
      <c r="P74" s="21"/>
    </row>
    <row r="75" spans="1:16" ht="15" customHeight="1" x14ac:dyDescent="0.25">
      <c r="A75" s="35"/>
      <c r="B75" s="24"/>
      <c r="C75" s="4"/>
      <c r="D75" s="4"/>
      <c r="E75" s="5"/>
      <c r="F75" s="32"/>
      <c r="G75" s="74"/>
      <c r="H75" s="29"/>
      <c r="I75" s="5"/>
      <c r="J75" s="4"/>
      <c r="K75" s="4"/>
      <c r="L75" s="5"/>
      <c r="M75" s="25"/>
      <c r="N75" s="29"/>
      <c r="O75" s="4"/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0</v>
      </c>
      <c r="C79" s="4">
        <f>SUM(C75:C78)</f>
        <v>0</v>
      </c>
      <c r="D79" s="4">
        <f>SUM(D75:D78)</f>
        <v>0</v>
      </c>
      <c r="E79" s="5" t="str">
        <f>IF(B79&gt;0,SUMPRODUCT(E75:E78,F75:F78)/SUM(F75:F78),"0.00")</f>
        <v>0.00</v>
      </c>
      <c r="F79" s="6">
        <f>SUM(F75:F78)</f>
        <v>0</v>
      </c>
      <c r="G79" s="75"/>
      <c r="H79" s="3" t="s">
        <v>2</v>
      </c>
      <c r="I79" s="4">
        <f>SUM(I75:I78)</f>
        <v>0</v>
      </c>
      <c r="J79" s="4">
        <f t="shared" ref="J79" si="12">SUM(J75:J78)</f>
        <v>0</v>
      </c>
      <c r="K79" s="5"/>
      <c r="L79" s="6">
        <f t="shared" ref="L79" si="13">SUM(L75:L78)</f>
        <v>0</v>
      </c>
      <c r="M79" s="26"/>
      <c r="N79" s="3" t="s">
        <v>2</v>
      </c>
      <c r="O79" s="4">
        <f>SUM(O75:O78)</f>
        <v>0</v>
      </c>
      <c r="P79" s="1"/>
    </row>
    <row r="82" spans="1:16" ht="15" customHeight="1" x14ac:dyDescent="0.25">
      <c r="A82" s="79" t="s">
        <v>55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6" ht="15" customHeight="1" x14ac:dyDescent="0.25">
      <c r="A83" s="63" t="s">
        <v>23</v>
      </c>
      <c r="B83" s="64"/>
      <c r="C83" s="64"/>
      <c r="D83" s="64"/>
      <c r="E83" s="64"/>
      <c r="F83" s="65"/>
      <c r="G83" s="73"/>
      <c r="H83" s="76" t="s">
        <v>24</v>
      </c>
      <c r="I83" s="77"/>
      <c r="J83" s="77"/>
      <c r="K83" s="77"/>
      <c r="L83" s="78"/>
      <c r="M83" s="20"/>
      <c r="N83" s="63" t="s">
        <v>6</v>
      </c>
      <c r="O83" s="65"/>
      <c r="P83" s="21"/>
    </row>
    <row r="84" spans="1:16" ht="15" customHeight="1" x14ac:dyDescent="0.25">
      <c r="A84" s="22" t="s">
        <v>31</v>
      </c>
      <c r="B84" s="3" t="s">
        <v>3</v>
      </c>
      <c r="C84" s="3" t="s">
        <v>33</v>
      </c>
      <c r="D84" s="3" t="s">
        <v>12</v>
      </c>
      <c r="E84" s="3" t="s">
        <v>0</v>
      </c>
      <c r="F84" s="3" t="s">
        <v>1</v>
      </c>
      <c r="G84" s="74"/>
      <c r="H84" s="22" t="s">
        <v>31</v>
      </c>
      <c r="I84" s="3" t="s">
        <v>25</v>
      </c>
      <c r="J84" s="3" t="s">
        <v>12</v>
      </c>
      <c r="K84" s="3" t="s">
        <v>0</v>
      </c>
      <c r="L84" s="3" t="s">
        <v>1</v>
      </c>
      <c r="M84" s="23"/>
      <c r="N84" s="19" t="s">
        <v>31</v>
      </c>
      <c r="O84" s="3" t="s">
        <v>25</v>
      </c>
      <c r="P84" s="21"/>
    </row>
    <row r="85" spans="1:16" ht="15" customHeight="1" x14ac:dyDescent="0.25">
      <c r="A85" s="29">
        <v>45793</v>
      </c>
      <c r="B85" s="24">
        <v>10</v>
      </c>
      <c r="C85" s="4">
        <v>10</v>
      </c>
      <c r="D85" s="4">
        <v>0</v>
      </c>
      <c r="E85" s="5">
        <v>123.45679</v>
      </c>
      <c r="F85" s="32">
        <f>C85/E85</f>
        <v>8.1000000000000003E-2</v>
      </c>
      <c r="G85" s="74"/>
      <c r="H85" s="29"/>
      <c r="I85" s="5"/>
      <c r="J85" s="4"/>
      <c r="K85" s="4"/>
      <c r="L85" s="5"/>
      <c r="M85" s="25"/>
      <c r="N85" s="29"/>
      <c r="O85" s="4"/>
      <c r="P85" s="1"/>
    </row>
    <row r="86" spans="1:16" ht="15" customHeight="1" x14ac:dyDescent="0.25">
      <c r="A86" s="29"/>
      <c r="B86" s="4"/>
      <c r="C86" s="4"/>
      <c r="D86" s="4"/>
      <c r="E86" s="5"/>
      <c r="F86" s="32"/>
      <c r="G86" s="74"/>
      <c r="H86" s="29"/>
      <c r="I86" s="2"/>
      <c r="J86" s="2"/>
      <c r="K86" s="2"/>
      <c r="L86" s="2"/>
      <c r="M86" s="15"/>
      <c r="N86" s="29"/>
      <c r="O86" s="2"/>
    </row>
    <row r="87" spans="1:16" ht="15" customHeight="1" x14ac:dyDescent="0.3">
      <c r="A87" s="29"/>
      <c r="B87" s="4"/>
      <c r="C87" s="4"/>
      <c r="D87" s="4"/>
      <c r="E87" s="5"/>
      <c r="F87" s="28"/>
      <c r="G87" s="74"/>
      <c r="H87" s="30"/>
      <c r="I87" s="2"/>
      <c r="J87" s="2"/>
      <c r="K87" s="2"/>
      <c r="L87" s="2"/>
      <c r="M87" s="15"/>
      <c r="N87" s="30"/>
      <c r="O87" s="2"/>
    </row>
    <row r="88" spans="1:16" ht="15" customHeight="1" x14ac:dyDescent="0.3">
      <c r="A88" s="29"/>
      <c r="B88" s="4"/>
      <c r="C88" s="4"/>
      <c r="D88" s="4"/>
      <c r="E88" s="5"/>
      <c r="F88" s="28"/>
      <c r="G88" s="74"/>
      <c r="H88" s="30"/>
      <c r="I88" s="2"/>
      <c r="J88" s="2"/>
      <c r="K88" s="2"/>
      <c r="L88" s="2"/>
      <c r="M88" s="15"/>
      <c r="N88" s="30"/>
      <c r="O88" s="2"/>
    </row>
    <row r="89" spans="1:16" ht="15" customHeight="1" x14ac:dyDescent="0.25">
      <c r="A89" s="3" t="s">
        <v>2</v>
      </c>
      <c r="B89" s="4">
        <f>SUM(B85:B88)</f>
        <v>10</v>
      </c>
      <c r="C89" s="4">
        <f>SUM(C85:C88)</f>
        <v>10</v>
      </c>
      <c r="D89" s="4">
        <f>SUM(D85:D88)</f>
        <v>0</v>
      </c>
      <c r="E89" s="5">
        <f>IF(B89&gt;0,SUMPRODUCT(E85:E88,F85:F88)/SUM(F85:F88),"0.00")</f>
        <v>123.45679</v>
      </c>
      <c r="F89" s="6">
        <f>SUM(F85:F88)</f>
        <v>8.1000000000000003E-2</v>
      </c>
      <c r="G89" s="75"/>
      <c r="H89" s="3" t="s">
        <v>2</v>
      </c>
      <c r="I89" s="4">
        <f>SUM(I85:I88)</f>
        <v>0</v>
      </c>
      <c r="J89" s="4">
        <f t="shared" ref="J89" si="14">SUM(J85:J88)</f>
        <v>0</v>
      </c>
      <c r="K89" s="5"/>
      <c r="L89" s="6">
        <f t="shared" ref="L89" si="15">SUM(L85:L88)</f>
        <v>0</v>
      </c>
      <c r="M89" s="26"/>
      <c r="N89" s="3" t="s">
        <v>2</v>
      </c>
      <c r="O89" s="4">
        <f>SUM(O85:O88)</f>
        <v>0</v>
      </c>
      <c r="P89" s="1"/>
    </row>
  </sheetData>
  <mergeCells count="4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</mergeCells>
  <hyperlinks>
    <hyperlink ref="A12:O12" location="'SEB Active 55'!A1" display="SESA5FE SS „SEB Active 55“ SE0016076046" xr:uid="{F755C948-F1D3-416D-B0E4-C668EB9F7A19}"/>
    <hyperlink ref="A22:O22" location="'SEB Active 80'!A1" display="SESA8FE SS „SEB Active 80“ SE0016076111" xr:uid="{5C9BF90F-E5F1-4DA4-86D1-63DA3B808169}"/>
    <hyperlink ref="A32:O32" location="'SEB Artificial Intelligence Fun'!A1" display="SESTUDI LX „SEB Artificial Intelligence Fund&quot; LU2249630257" xr:uid="{11225DF3-8C7D-426D-911A-9D05CBBC74A2}"/>
    <hyperlink ref="A42:O42" location="'SEB Global High Yield Fund'!A1" display="SEHYUCE LX „SEB Global High Yield Fund&quot; LY1791749010" xr:uid="{2C8580C5-11FA-4AB9-A817-920D7FAC3E0D}"/>
    <hyperlink ref="A52:O52" location="'SEB Global Exposure fund UD'!A1" display="SEBGEUD &quot;SEB Global Exposure fund&quot; UD-mok. LU2625197160" xr:uid="{65F9D316-3194-47AF-9972-6811364ECAA2}"/>
    <hyperlink ref="A62:O62" location="'SEB Europe Exposure Fund UC'!A1" display="SEBEEUD &quot;SEB Europe Exposure fund&quot; LU2625195974" xr:uid="{B0116090-9617-4DF0-8E1F-CD6470003D7D}"/>
    <hyperlink ref="A72:O72" location="'SEB US Exposure Fund UD'!A1" display="SE3UUDE &quot;SEB US Exposure fund&quot; UD-mok. LU2625197327" xr:uid="{31FD25B5-A880-40CE-9E25-56339DB931F9}"/>
    <hyperlink ref="A82:O82" location="'SEB Europe Exposure Fund UD'!A1" display="SEBEUDI &quot;SEB Europe Exposure Fund&quot; UD-mok. LU2625196196" xr:uid="{39744BCB-7FF5-43E0-A164-243EE67AD2CB}"/>
  </hyperlinks>
  <pageMargins left="0.7" right="0.7" top="0.75" bottom="0.75" header="0.3" footer="0.3"/>
  <ignoredErrors>
    <ignoredError sqref="E79 E89 E69 E59 E49 E19 E29" formula="1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79"/>
  <sheetViews>
    <sheetView topLeftCell="A52" workbookViewId="0"/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2025.04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40</v>
      </c>
      <c r="R5" s="4">
        <v>0</v>
      </c>
      <c r="S5" s="4">
        <f>(C19+C29+C39+C49+C59+C69+C79+C89+C99+C109)-T5</f>
        <v>40</v>
      </c>
      <c r="T5" s="4">
        <f>(I19+I29+I39+I49+I59+I69+I79+I89+I99+I109)-W5</f>
        <v>0</v>
      </c>
      <c r="U5" s="4">
        <f>D19+D29+D39+D49+D59+D69+D79+D89+D99+D109</f>
        <v>0</v>
      </c>
      <c r="V5" s="4">
        <v>0.36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45764</v>
      </c>
      <c r="B15" s="24">
        <v>20</v>
      </c>
      <c r="C15" s="4">
        <v>20</v>
      </c>
      <c r="D15" s="4">
        <f>B15-C15</f>
        <v>0</v>
      </c>
      <c r="E15" s="5">
        <v>124.14649300000001</v>
      </c>
      <c r="F15" s="32">
        <f>C15/E15</f>
        <v>0.16109999999999999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20</v>
      </c>
      <c r="C19" s="4">
        <f>SUM(C15:C18)</f>
        <v>20</v>
      </c>
      <c r="D19" s="4">
        <f>SUM(D15:D18)</f>
        <v>0</v>
      </c>
      <c r="E19" s="5">
        <f>IF(B19&gt;0,SUMPRODUCT(E15:E18,F15:F18)/SUM(F15:F18),"0.00")</f>
        <v>124.14649300000001</v>
      </c>
      <c r="F19" s="6">
        <f>SUM(F15:F18)</f>
        <v>0.16109999999999999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6">SUM(J45:J48)</f>
        <v>0</v>
      </c>
      <c r="K49" s="5"/>
      <c r="L49" s="6">
        <f t="shared" ref="L49" si="7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25</v>
      </c>
      <c r="P54" s="21"/>
    </row>
    <row r="55" spans="1:18" ht="15" customHeight="1" x14ac:dyDescent="0.25">
      <c r="A55" s="29"/>
      <c r="B55" s="24"/>
      <c r="C55" s="4"/>
      <c r="D55" s="4">
        <v>0</v>
      </c>
      <c r="E55" s="5"/>
      <c r="F55" s="32"/>
      <c r="G55" s="74"/>
      <c r="H55" s="29"/>
      <c r="I55" s="5"/>
      <c r="J55" s="4"/>
      <c r="K55" s="4"/>
      <c r="L55" s="5"/>
      <c r="M55" s="25"/>
      <c r="N55" s="29"/>
      <c r="O55" s="4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8">SUM(J55:J58)</f>
        <v>0</v>
      </c>
      <c r="K59" s="5"/>
      <c r="L59" s="6">
        <f t="shared" ref="L59" si="9">SUM(L55:L58)</f>
        <v>0</v>
      </c>
      <c r="M59" s="26"/>
      <c r="N59" s="3" t="s">
        <v>2</v>
      </c>
      <c r="O59" s="4">
        <f>SUM(O55:O58)</f>
        <v>0</v>
      </c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/>
      <c r="B65" s="24"/>
      <c r="C65" s="4"/>
      <c r="D65" s="4"/>
      <c r="E65" s="5"/>
      <c r="F65" s="32"/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0</v>
      </c>
      <c r="C69" s="4">
        <f>SUM(C65:C68)</f>
        <v>0</v>
      </c>
      <c r="D69" s="4">
        <f>SUM(D65:D68)</f>
        <v>0</v>
      </c>
      <c r="E69" s="5" t="str">
        <f>IF(B69&gt;0,SUMPRODUCT(E65:E68,F65:F68)/SUM(F65:F68),"0.00")</f>
        <v>0.00</v>
      </c>
      <c r="F69" s="6">
        <f>SUM(F65:F68)</f>
        <v>0</v>
      </c>
      <c r="G69" s="75"/>
      <c r="H69" s="3" t="s">
        <v>2</v>
      </c>
      <c r="I69" s="4">
        <f>SUM(I65:I68)</f>
        <v>0</v>
      </c>
      <c r="J69" s="4">
        <f t="shared" ref="J69" si="10">SUM(J65:J68)</f>
        <v>0</v>
      </c>
      <c r="K69" s="5"/>
      <c r="L69" s="6">
        <f t="shared" ref="L69" si="11">SUM(L65:L68)</f>
        <v>0</v>
      </c>
      <c r="M69" s="26"/>
      <c r="N69" s="3" t="s">
        <v>2</v>
      </c>
      <c r="O69" s="4">
        <f>SUM(O65:O68)</f>
        <v>0</v>
      </c>
      <c r="P69" s="1"/>
    </row>
    <row r="72" spans="1:16" ht="15" customHeight="1" x14ac:dyDescent="0.25">
      <c r="A72" s="79" t="s">
        <v>54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6" ht="15" customHeight="1" x14ac:dyDescent="0.25">
      <c r="A73" s="63" t="s">
        <v>23</v>
      </c>
      <c r="B73" s="64"/>
      <c r="C73" s="64"/>
      <c r="D73" s="64"/>
      <c r="E73" s="64"/>
      <c r="F73" s="65"/>
      <c r="G73" s="73"/>
      <c r="H73" s="76" t="s">
        <v>24</v>
      </c>
      <c r="I73" s="77"/>
      <c r="J73" s="77"/>
      <c r="K73" s="77"/>
      <c r="L73" s="78"/>
      <c r="M73" s="20"/>
      <c r="N73" s="63" t="s">
        <v>6</v>
      </c>
      <c r="O73" s="65"/>
      <c r="P73" s="21"/>
    </row>
    <row r="74" spans="1:16" ht="15" customHeight="1" x14ac:dyDescent="0.25">
      <c r="A74" s="22" t="s">
        <v>31</v>
      </c>
      <c r="B74" s="3" t="s">
        <v>3</v>
      </c>
      <c r="C74" s="3" t="s">
        <v>33</v>
      </c>
      <c r="D74" s="3" t="s">
        <v>12</v>
      </c>
      <c r="E74" s="3" t="s">
        <v>0</v>
      </c>
      <c r="F74" s="3" t="s">
        <v>1</v>
      </c>
      <c r="G74" s="74"/>
      <c r="H74" s="22" t="s">
        <v>31</v>
      </c>
      <c r="I74" s="3" t="s">
        <v>25</v>
      </c>
      <c r="J74" s="3" t="s">
        <v>12</v>
      </c>
      <c r="K74" s="3" t="s">
        <v>0</v>
      </c>
      <c r="L74" s="3" t="s">
        <v>1</v>
      </c>
      <c r="M74" s="23"/>
      <c r="N74" s="19" t="s">
        <v>31</v>
      </c>
      <c r="O74" s="3" t="s">
        <v>25</v>
      </c>
      <c r="P74" s="21"/>
    </row>
    <row r="75" spans="1:16" ht="15" customHeight="1" x14ac:dyDescent="0.25">
      <c r="A75" s="35">
        <v>45772</v>
      </c>
      <c r="B75" s="24">
        <v>20</v>
      </c>
      <c r="C75" s="4">
        <v>20</v>
      </c>
      <c r="D75" s="4">
        <v>0</v>
      </c>
      <c r="E75" s="5">
        <v>116.27907</v>
      </c>
      <c r="F75" s="32">
        <f>C75/E75</f>
        <v>0.17199999999999999</v>
      </c>
      <c r="G75" s="74"/>
      <c r="H75" s="29"/>
      <c r="I75" s="5"/>
      <c r="J75" s="4"/>
      <c r="K75" s="4"/>
      <c r="L75" s="5"/>
      <c r="M75" s="25"/>
      <c r="N75" s="29"/>
      <c r="O75" s="4"/>
      <c r="P75" s="1"/>
    </row>
    <row r="76" spans="1:16" ht="15" customHeight="1" x14ac:dyDescent="0.25">
      <c r="A76" s="29"/>
      <c r="B76" s="4"/>
      <c r="C76" s="4"/>
      <c r="D76" s="4"/>
      <c r="E76" s="5"/>
      <c r="F76" s="32"/>
      <c r="G76" s="74"/>
      <c r="H76" s="29"/>
      <c r="I76" s="2"/>
      <c r="J76" s="2"/>
      <c r="K76" s="2"/>
      <c r="L76" s="2"/>
      <c r="M76" s="15"/>
      <c r="N76" s="29"/>
      <c r="O76" s="2"/>
    </row>
    <row r="77" spans="1:16" ht="15" customHeight="1" x14ac:dyDescent="0.3">
      <c r="A77" s="29"/>
      <c r="B77" s="4"/>
      <c r="C77" s="4"/>
      <c r="D77" s="4"/>
      <c r="E77" s="5"/>
      <c r="F77" s="28"/>
      <c r="G77" s="74"/>
      <c r="H77" s="30"/>
      <c r="I77" s="2"/>
      <c r="J77" s="2"/>
      <c r="K77" s="2"/>
      <c r="L77" s="2"/>
      <c r="M77" s="15"/>
      <c r="N77" s="30"/>
      <c r="O77" s="2"/>
    </row>
    <row r="78" spans="1:16" ht="15" customHeight="1" x14ac:dyDescent="0.3">
      <c r="A78" s="29"/>
      <c r="B78" s="4"/>
      <c r="C78" s="4"/>
      <c r="D78" s="4"/>
      <c r="E78" s="5"/>
      <c r="F78" s="28"/>
      <c r="G78" s="74"/>
      <c r="H78" s="30"/>
      <c r="I78" s="2"/>
      <c r="J78" s="2"/>
      <c r="K78" s="2"/>
      <c r="L78" s="2"/>
      <c r="M78" s="15"/>
      <c r="N78" s="30"/>
      <c r="O78" s="2"/>
    </row>
    <row r="79" spans="1:16" ht="15" customHeight="1" x14ac:dyDescent="0.25">
      <c r="A79" s="3" t="s">
        <v>2</v>
      </c>
      <c r="B79" s="4">
        <f>SUM(B75:B78)</f>
        <v>20</v>
      </c>
      <c r="C79" s="4">
        <f>SUM(C75:C78)</f>
        <v>20</v>
      </c>
      <c r="D79" s="4">
        <f>SUM(D75:D78)</f>
        <v>0</v>
      </c>
      <c r="E79" s="5">
        <f>IF(B79&gt;0,SUMPRODUCT(E75:E78,F75:F78)/SUM(F75:F78),"0.00")</f>
        <v>116.27907</v>
      </c>
      <c r="F79" s="6">
        <f>SUM(F75:F78)</f>
        <v>0.17199999999999999</v>
      </c>
      <c r="G79" s="75"/>
      <c r="H79" s="3" t="s">
        <v>2</v>
      </c>
      <c r="I79" s="4">
        <f>SUM(I75:I78)</f>
        <v>0</v>
      </c>
      <c r="J79" s="4">
        <f t="shared" ref="J79" si="12">SUM(J75:J78)</f>
        <v>0</v>
      </c>
      <c r="K79" s="5"/>
      <c r="L79" s="6">
        <f t="shared" ref="L79" si="13">SUM(L75:L78)</f>
        <v>0</v>
      </c>
      <c r="M79" s="26"/>
      <c r="N79" s="3" t="s">
        <v>2</v>
      </c>
      <c r="O79" s="4">
        <f>SUM(O75:O78)</f>
        <v>0</v>
      </c>
      <c r="P79" s="1"/>
    </row>
  </sheetData>
  <mergeCells count="42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73:F73"/>
    <mergeCell ref="G73:G79"/>
    <mergeCell ref="H73:L73"/>
    <mergeCell ref="N73:O73"/>
    <mergeCell ref="A62:O62"/>
    <mergeCell ref="A63:F63"/>
    <mergeCell ref="G63:G69"/>
    <mergeCell ref="H63:L63"/>
    <mergeCell ref="N63:O63"/>
    <mergeCell ref="A72:O72"/>
  </mergeCells>
  <hyperlinks>
    <hyperlink ref="A12:O12" location="'SEB Active 55'!A1" display="SESA5FE SS „SEB Active 55“ SE0016076046" xr:uid="{C61A9B89-92AF-4EC2-BFAC-48CCD0E5E52B}"/>
    <hyperlink ref="A22:O22" location="'SEB Active 80'!A1" display="SESA8FE SS „SEB Active 80“ SE0016076111" xr:uid="{8A15F16F-A418-49C7-9AC5-AFAB0500C800}"/>
    <hyperlink ref="A32:O32" location="'SEB Artificial Intelligence Fun'!A1" display="SESTUDI LX „SEB Artificial Intelligence Fund&quot; LU2249630257" xr:uid="{3DEC5E64-1C0F-4239-94C5-F2DFECF6B465}"/>
    <hyperlink ref="A42:O42" location="'SEB Global High Yield Fund'!A1" display="SEHYUCE LX „SEB Global High Yield Fund&quot; LY1791749010" xr:uid="{42A193E0-D053-4694-8082-BCCDFA83EC18}"/>
    <hyperlink ref="A52:O52" location="'SEB Global Exposure fund UD'!A1" display="SEBGEUD &quot;SEB Global Exposure fund&quot; UD-mok. LU2625197160" xr:uid="{5B76F762-C4D8-4AE0-BB96-41550A9D0FE9}"/>
    <hyperlink ref="A62:O62" location="'SEB Europe Exposure Fund UC'!A1" display="SEBEEUD &quot;SEB Europe Exposure fund&quot; LU2625195974" xr:uid="{FD12CA01-B370-4E27-BC6A-31FFE7CA93AC}"/>
    <hyperlink ref="A72:O72" location="'SEB US Exposure Fund UD'!A1" display="SE3UUDE &quot;SEB US Exposure fund&quot; UD-mok. LU2625197327" xr:uid="{1DDA507D-1D11-4E41-AD94-28566189B1D6}"/>
  </hyperlinks>
  <pageMargins left="0.7" right="0.7" top="0.75" bottom="0.75" header="0.3" footer="0.3"/>
  <pageSetup orientation="portrait" r:id="rId1"/>
  <ignoredErrors>
    <ignoredError sqref="E49 E59 E69 E79 E19 E2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69"/>
  <sheetViews>
    <sheetView topLeftCell="A37" workbookViewId="0">
      <selection activeCell="A62" sqref="A62:O6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2025.03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90</v>
      </c>
      <c r="R5" s="4">
        <v>0</v>
      </c>
      <c r="S5" s="4">
        <f>(C19+C29+C39+C49+C59+C69+C79+C89+C99+C109)-T5</f>
        <v>90</v>
      </c>
      <c r="T5" s="4">
        <f>(I19+I29+I39+I49+I59+I69+I79+I89+I99+I109)-W5</f>
        <v>0</v>
      </c>
      <c r="U5" s="4">
        <f>D19+D29+D39+D49+D59+D69+D79+D89+D99+D109</f>
        <v>0</v>
      </c>
      <c r="V5" s="4">
        <v>0.37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45733</v>
      </c>
      <c r="B15" s="24">
        <v>15</v>
      </c>
      <c r="C15" s="4">
        <v>15</v>
      </c>
      <c r="D15" s="4">
        <f>B15-C15</f>
        <v>0</v>
      </c>
      <c r="E15" s="5">
        <v>129.53367900000001</v>
      </c>
      <c r="F15" s="32">
        <f>C15/E15</f>
        <v>0.1158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129.53367900000001</v>
      </c>
      <c r="F19" s="6">
        <f>SUM(F15:F18)</f>
        <v>0.1158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45719</v>
      </c>
      <c r="B25" s="24">
        <v>10</v>
      </c>
      <c r="C25" s="4">
        <v>10</v>
      </c>
      <c r="D25" s="4">
        <v>0</v>
      </c>
      <c r="E25" s="5">
        <v>153.13935699999999</v>
      </c>
      <c r="F25" s="32">
        <f>C25/E25</f>
        <v>6.5299999999999997E-2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45747</v>
      </c>
      <c r="B26" s="24">
        <v>15</v>
      </c>
      <c r="C26" s="4">
        <v>15</v>
      </c>
      <c r="D26" s="4">
        <v>0</v>
      </c>
      <c r="E26" s="5">
        <v>146.77103700000001</v>
      </c>
      <c r="F26" s="32">
        <f>C26/E26</f>
        <v>0.1022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25</v>
      </c>
      <c r="C29" s="4">
        <f>SUM(C25:C28)</f>
        <v>25</v>
      </c>
      <c r="D29" s="4">
        <f>SUM(D25:D28)</f>
        <v>0</v>
      </c>
      <c r="E29" s="5">
        <f>IF(B29&gt;0,SUMPRODUCT(E25:E28,F25:F28)/SUM(F25:F28),"0.00")</f>
        <v>149.25373130447801</v>
      </c>
      <c r="F29" s="6">
        <f>SUM(F25:F28)</f>
        <v>0.16750000000000001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6">SUM(J45:J48)</f>
        <v>0</v>
      </c>
      <c r="K49" s="5"/>
      <c r="L49" s="6">
        <f t="shared" ref="L49" si="7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25</v>
      </c>
      <c r="P54" s="21"/>
    </row>
    <row r="55" spans="1:18" ht="15" customHeight="1" x14ac:dyDescent="0.25">
      <c r="A55" s="29"/>
      <c r="B55" s="24"/>
      <c r="C55" s="4"/>
      <c r="D55" s="4">
        <v>0</v>
      </c>
      <c r="E55" s="5"/>
      <c r="F55" s="32"/>
      <c r="G55" s="74"/>
      <c r="H55" s="29"/>
      <c r="I55" s="5"/>
      <c r="J55" s="4"/>
      <c r="K55" s="4"/>
      <c r="L55" s="5"/>
      <c r="M55" s="25"/>
      <c r="N55" s="29"/>
      <c r="O55" s="4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0</v>
      </c>
      <c r="C59" s="4">
        <f>SUM(C55:C58)</f>
        <v>0</v>
      </c>
      <c r="D59" s="4">
        <f>SUM(D55:D58)</f>
        <v>0</v>
      </c>
      <c r="E59" s="5" t="str">
        <f>IF(B59&gt;0,SUMPRODUCT(E55:E58,F55:F58)/SUM(F55:F58),"0.00")</f>
        <v>0.00</v>
      </c>
      <c r="F59" s="6">
        <f>SUM(F55:F58)</f>
        <v>0</v>
      </c>
      <c r="G59" s="75"/>
      <c r="H59" s="3" t="s">
        <v>2</v>
      </c>
      <c r="I59" s="4">
        <f>SUM(I55:I58)</f>
        <v>0</v>
      </c>
      <c r="J59" s="4">
        <f t="shared" ref="J59" si="8">SUM(J55:J58)</f>
        <v>0</v>
      </c>
      <c r="K59" s="5"/>
      <c r="L59" s="6">
        <f t="shared" ref="L59" si="9">SUM(L55:L58)</f>
        <v>0</v>
      </c>
      <c r="M59" s="26"/>
      <c r="N59" s="3" t="s">
        <v>2</v>
      </c>
      <c r="O59" s="4">
        <f>SUM(O55:O58)</f>
        <v>0</v>
      </c>
      <c r="P59" s="1"/>
    </row>
    <row r="62" spans="1:18" ht="15" customHeight="1" x14ac:dyDescent="0.25">
      <c r="A62" s="79" t="s">
        <v>52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8" ht="15" customHeight="1" x14ac:dyDescent="0.25">
      <c r="A63" s="63" t="s">
        <v>23</v>
      </c>
      <c r="B63" s="64"/>
      <c r="C63" s="64"/>
      <c r="D63" s="64"/>
      <c r="E63" s="64"/>
      <c r="F63" s="65"/>
      <c r="G63" s="73"/>
      <c r="H63" s="76" t="s">
        <v>24</v>
      </c>
      <c r="I63" s="77"/>
      <c r="J63" s="77"/>
      <c r="K63" s="77"/>
      <c r="L63" s="78"/>
      <c r="M63" s="20"/>
      <c r="N63" s="63" t="s">
        <v>6</v>
      </c>
      <c r="O63" s="65"/>
      <c r="P63" s="21"/>
    </row>
    <row r="64" spans="1:18" ht="15" customHeight="1" x14ac:dyDescent="0.25">
      <c r="A64" s="22" t="s">
        <v>31</v>
      </c>
      <c r="B64" s="3" t="s">
        <v>3</v>
      </c>
      <c r="C64" s="3" t="s">
        <v>33</v>
      </c>
      <c r="D64" s="3" t="s">
        <v>12</v>
      </c>
      <c r="E64" s="3" t="s">
        <v>0</v>
      </c>
      <c r="F64" s="3" t="s">
        <v>1</v>
      </c>
      <c r="G64" s="74"/>
      <c r="H64" s="22" t="s">
        <v>31</v>
      </c>
      <c r="I64" s="3" t="s">
        <v>25</v>
      </c>
      <c r="J64" s="3" t="s">
        <v>12</v>
      </c>
      <c r="K64" s="3" t="s">
        <v>0</v>
      </c>
      <c r="L64" s="3" t="s">
        <v>1</v>
      </c>
      <c r="M64" s="23"/>
      <c r="N64" s="19" t="s">
        <v>31</v>
      </c>
      <c r="O64" s="3" t="s">
        <v>25</v>
      </c>
      <c r="P64" s="21"/>
    </row>
    <row r="65" spans="1:16" ht="15" customHeight="1" x14ac:dyDescent="0.25">
      <c r="A65" s="29">
        <v>45741</v>
      </c>
      <c r="B65" s="24">
        <v>50</v>
      </c>
      <c r="C65" s="4">
        <v>50</v>
      </c>
      <c r="D65" s="4">
        <v>0</v>
      </c>
      <c r="E65" s="5">
        <v>127.87723800000001</v>
      </c>
      <c r="F65" s="32">
        <f>C65/E65</f>
        <v>0.39100000000000001</v>
      </c>
      <c r="G65" s="74"/>
      <c r="H65" s="29"/>
      <c r="I65" s="5"/>
      <c r="J65" s="4"/>
      <c r="K65" s="4"/>
      <c r="L65" s="5"/>
      <c r="M65" s="25"/>
      <c r="N65" s="29"/>
      <c r="O65" s="4"/>
      <c r="P65" s="1"/>
    </row>
    <row r="66" spans="1:16" ht="15" customHeight="1" x14ac:dyDescent="0.25">
      <c r="A66" s="29"/>
      <c r="B66" s="4"/>
      <c r="C66" s="4"/>
      <c r="D66" s="4"/>
      <c r="E66" s="5"/>
      <c r="F66" s="32"/>
      <c r="G66" s="74"/>
      <c r="H66" s="29"/>
      <c r="I66" s="2"/>
      <c r="J66" s="2"/>
      <c r="K66" s="2"/>
      <c r="L66" s="2"/>
      <c r="M66" s="15"/>
      <c r="N66" s="29"/>
      <c r="O66" s="2"/>
    </row>
    <row r="67" spans="1:16" ht="15" customHeight="1" x14ac:dyDescent="0.3">
      <c r="A67" s="29"/>
      <c r="B67" s="4"/>
      <c r="C67" s="4"/>
      <c r="D67" s="4"/>
      <c r="E67" s="5"/>
      <c r="F67" s="28"/>
      <c r="G67" s="74"/>
      <c r="H67" s="30"/>
      <c r="I67" s="2"/>
      <c r="J67" s="2"/>
      <c r="K67" s="2"/>
      <c r="L67" s="2"/>
      <c r="M67" s="15"/>
      <c r="N67" s="30"/>
      <c r="O67" s="2"/>
    </row>
    <row r="68" spans="1:16" ht="15" customHeight="1" x14ac:dyDescent="0.3">
      <c r="A68" s="29"/>
      <c r="B68" s="4"/>
      <c r="C68" s="4"/>
      <c r="D68" s="4"/>
      <c r="E68" s="5"/>
      <c r="F68" s="28"/>
      <c r="G68" s="74"/>
      <c r="H68" s="30"/>
      <c r="I68" s="2"/>
      <c r="J68" s="2"/>
      <c r="K68" s="2"/>
      <c r="L68" s="2"/>
      <c r="M68" s="15"/>
      <c r="N68" s="30"/>
      <c r="O68" s="2"/>
    </row>
    <row r="69" spans="1:16" ht="15" customHeight="1" x14ac:dyDescent="0.25">
      <c r="A69" s="3" t="s">
        <v>2</v>
      </c>
      <c r="B69" s="4">
        <f>SUM(B65:B68)</f>
        <v>50</v>
      </c>
      <c r="C69" s="4">
        <f>SUM(C65:C68)</f>
        <v>50</v>
      </c>
      <c r="D69" s="4">
        <f>SUM(D65:D68)</f>
        <v>0</v>
      </c>
      <c r="E69" s="5">
        <f>IF(B69&gt;0,SUMPRODUCT(E65:E68,F65:F68)/SUM(F65:F68),"0.00")</f>
        <v>127.87723800000001</v>
      </c>
      <c r="F69" s="6">
        <f>SUM(F65:F68)</f>
        <v>0.39100000000000001</v>
      </c>
      <c r="G69" s="75"/>
      <c r="H69" s="3" t="s">
        <v>2</v>
      </c>
      <c r="I69" s="4">
        <f>SUM(I65:I68)</f>
        <v>0</v>
      </c>
      <c r="J69" s="4">
        <f t="shared" ref="J69" si="10">SUM(J65:J68)</f>
        <v>0</v>
      </c>
      <c r="K69" s="5"/>
      <c r="L69" s="6">
        <f t="shared" ref="L69" si="11">SUM(L65:L68)</f>
        <v>0</v>
      </c>
      <c r="M69" s="26"/>
      <c r="N69" s="3" t="s">
        <v>2</v>
      </c>
      <c r="O69" s="4">
        <f>SUM(O65:O68)</f>
        <v>0</v>
      </c>
      <c r="P69" s="1"/>
    </row>
  </sheetData>
  <mergeCells count="3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62:O62"/>
    <mergeCell ref="A63:F63"/>
    <mergeCell ref="G63:G69"/>
    <mergeCell ref="H63:L63"/>
    <mergeCell ref="N63:O63"/>
  </mergeCells>
  <hyperlinks>
    <hyperlink ref="A12:O12" location="'SEB Active 55'!A1" display="SESA5FE SS „SEB Active 55“ SE0016076046" xr:uid="{216B0A6C-F011-4205-83A9-D90CC58EBFA2}"/>
    <hyperlink ref="A22:O22" location="'SEB Active 80'!A1" display="SESA8FE SS „SEB Active 80“ SE0016076111" xr:uid="{3C4BA39D-FF3C-4C3B-A6E2-D28C34A44D88}"/>
    <hyperlink ref="A32:O32" location="'SEB Artificial Intelligence Fun'!A1" display="SESTUDI LX „SEB Artificial Intelligence Fund&quot; LU2249630257" xr:uid="{2CC4AA33-EDAD-472E-8939-E7A904A0722F}"/>
    <hyperlink ref="A42:O42" location="'SEB Global High Yield Fund'!A1" display="SEHYUCE LX „SEB Global High Yield Fund&quot; LY1791749010" xr:uid="{77EE3070-F6A0-42CB-ABAD-D670276E86CC}"/>
    <hyperlink ref="A52:O52" location="'SEB Global Exposure fund UD'!A1" display="SEBGEUD &quot;SEB Global Exposure fund&quot; UD-mok. LU2625197160" xr:uid="{2974AF9B-85A3-43DC-8905-E8F60C6DE3CC}"/>
    <hyperlink ref="A62:O62" location="'SEB Europe Exposure Fund UC'!A1" display="SEBEEUD &quot;SEB Europe Exposure fund&quot; LU2625195974" xr:uid="{0562CDE1-C73E-40FC-BD2D-5DA398D5FDEB}"/>
  </hyperlinks>
  <pageMargins left="0.7" right="0.7" top="0.75" bottom="0.75" header="0.3" footer="0.3"/>
  <ignoredErrors>
    <ignoredError sqref="E59 E49 E19 E29 E69" formula="1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59"/>
  <sheetViews>
    <sheetView topLeftCell="A28" workbookViewId="0">
      <selection activeCell="A52" sqref="A52:O5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25</v>
      </c>
      <c r="R5" s="4">
        <v>0</v>
      </c>
      <c r="S5" s="4">
        <f>(C19+C29+C39+C49+C59+C69+C79+C89+C99+C109)-T5</f>
        <v>25</v>
      </c>
      <c r="T5" s="4">
        <f>(I19+I29+I39+I49+I59+I69+I79+I89+I99+I109)-W5</f>
        <v>0</v>
      </c>
      <c r="U5" s="4">
        <f>D19+D29+D39+D49+D59+D69+D79+D89+D99+D109</f>
        <v>0</v>
      </c>
      <c r="V5" s="4">
        <v>0.36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45705</v>
      </c>
      <c r="B15" s="24">
        <v>15</v>
      </c>
      <c r="C15" s="4">
        <v>15</v>
      </c>
      <c r="D15" s="4">
        <f>B15-C15</f>
        <v>0</v>
      </c>
      <c r="E15" s="5">
        <v>134.89208600000001</v>
      </c>
      <c r="F15" s="32">
        <f>C15/E15</f>
        <v>0.11119999999999999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134.89208600000001</v>
      </c>
      <c r="F19" s="6">
        <f>SUM(F15:F18)</f>
        <v>0.11119999999999999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2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6">SUM(J45:J48)</f>
        <v>0</v>
      </c>
      <c r="K49" s="5"/>
      <c r="L49" s="6">
        <f t="shared" ref="L49" si="7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25</v>
      </c>
      <c r="P54" s="21"/>
    </row>
    <row r="55" spans="1:18" ht="15" customHeight="1" x14ac:dyDescent="0.25">
      <c r="A55" s="29">
        <v>45709</v>
      </c>
      <c r="B55" s="24">
        <v>10</v>
      </c>
      <c r="C55" s="4">
        <v>10</v>
      </c>
      <c r="D55" s="4">
        <v>0</v>
      </c>
      <c r="E55" s="5">
        <v>138.88888900000001</v>
      </c>
      <c r="F55" s="32">
        <f>C55/E55</f>
        <v>7.1999999999999995E-2</v>
      </c>
      <c r="G55" s="74"/>
      <c r="H55" s="29"/>
      <c r="I55" s="5"/>
      <c r="J55" s="4"/>
      <c r="K55" s="4"/>
      <c r="L55" s="5"/>
      <c r="M55" s="25"/>
      <c r="N55" s="29"/>
      <c r="O55" s="4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10</v>
      </c>
      <c r="C59" s="4">
        <f>SUM(C55:C58)</f>
        <v>10</v>
      </c>
      <c r="D59" s="4">
        <f>SUM(D55:D58)</f>
        <v>0</v>
      </c>
      <c r="E59" s="5">
        <f>IF(B59&gt;0,SUMPRODUCT(E55:E58,F55:F58)/SUM(F55:F58),"0.00")</f>
        <v>138.88888900000001</v>
      </c>
      <c r="F59" s="6">
        <f>SUM(F55:F58)</f>
        <v>7.1999999999999995E-2</v>
      </c>
      <c r="G59" s="75"/>
      <c r="H59" s="3" t="s">
        <v>2</v>
      </c>
      <c r="I59" s="4">
        <f>SUM(I55:I58)</f>
        <v>0</v>
      </c>
      <c r="J59" s="4">
        <f t="shared" ref="J59" si="8">SUM(J55:J58)</f>
        <v>0</v>
      </c>
      <c r="K59" s="5"/>
      <c r="L59" s="6">
        <f t="shared" ref="L59" si="9">SUM(L55:L58)</f>
        <v>0</v>
      </c>
      <c r="M59" s="26"/>
      <c r="N59" s="3" t="s">
        <v>2</v>
      </c>
      <c r="O59" s="4">
        <f>SUM(O55:O58)</f>
        <v>0</v>
      </c>
      <c r="P59" s="1"/>
    </row>
  </sheetData>
  <mergeCells count="32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</mergeCells>
  <hyperlinks>
    <hyperlink ref="A12:O12" location="'SEB Active 55'!A1" display="SESA5FE SS „SEB Active 55“ SE0016076046" xr:uid="{87DC748A-CF26-42E5-BE48-BA511E493EE6}"/>
    <hyperlink ref="A22:O22" location="'SEB Active 80'!A1" display="SESA8FE SS „SEB Active 80“ SE0016076111" xr:uid="{4B3DFBC2-87F1-4511-821A-ADAF780C688F}"/>
    <hyperlink ref="A32:O32" location="'SEB Artificial Intelligence Fun'!A1" display="SESTUDI LX „SEB Artificial Intelligence Fund&quot; LU2249630257" xr:uid="{95870ACF-C09E-4C8F-ACAA-656F55B0A7D4}"/>
    <hyperlink ref="A42:O42" location="'SEB Global High Yield Fund'!A1" display="SEHYUCE LX „SEB Global High Yield Fund&quot; LY1791749010" xr:uid="{A7BC3C47-5B66-426D-8874-B45440889E08}"/>
    <hyperlink ref="A52:O52" location="'SEB Global Exposure fund UD'!A1" display="SEBGEUD &quot;SEB Global Exposure fund&quot; UD-mok. LU2625197160" xr:uid="{1301A64D-308F-40BA-B940-241B02220CBC}"/>
  </hyperlinks>
  <pageMargins left="0.7" right="0.7" top="0.75" bottom="0.75" header="0.3" footer="0.3"/>
  <ignoredErrors>
    <ignoredError sqref="E49 E59 E19 E29" formula="1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59"/>
  <sheetViews>
    <sheetView topLeftCell="A34" workbookViewId="0">
      <selection activeCell="A52" sqref="A52:O5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2025.01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55</v>
      </c>
      <c r="R5" s="4">
        <v>0</v>
      </c>
      <c r="S5" s="4">
        <f>(C19+C29+C39+C49+C59+C69+C79+C89+C99+C109)-T5</f>
        <v>55</v>
      </c>
      <c r="T5" s="4">
        <f>(I19+I29+I39+I49+I59+I69+I79+I89+I99+I109)-W5</f>
        <v>0</v>
      </c>
      <c r="U5" s="4">
        <f>D19+D29+D39+D49+D59+D69+D79+D89+D99+D109</f>
        <v>0</v>
      </c>
      <c r="V5" s="4">
        <v>0.33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45673</v>
      </c>
      <c r="B15" s="24">
        <v>15</v>
      </c>
      <c r="C15" s="4">
        <v>15</v>
      </c>
      <c r="D15" s="4">
        <f>B15-C15</f>
        <v>0</v>
      </c>
      <c r="E15" s="5">
        <v>129.31034500000001</v>
      </c>
      <c r="F15" s="32">
        <f>C15/E15</f>
        <v>0.11600000000000001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129.31034500000001</v>
      </c>
      <c r="F19" s="6">
        <f>SUM(F15:F18)</f>
        <v>0.11600000000000001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45660</v>
      </c>
      <c r="B25" s="24">
        <v>10</v>
      </c>
      <c r="C25" s="4">
        <v>10</v>
      </c>
      <c r="D25" s="4">
        <v>0</v>
      </c>
      <c r="E25" s="5">
        <v>145.348837</v>
      </c>
      <c r="F25" s="32">
        <f>C25/E25</f>
        <v>6.88E-2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45687</v>
      </c>
      <c r="B26" s="24">
        <v>10</v>
      </c>
      <c r="C26" s="4">
        <v>10</v>
      </c>
      <c r="D26" s="4">
        <v>0</v>
      </c>
      <c r="E26" s="5">
        <v>149.925037</v>
      </c>
      <c r="F26" s="32">
        <f>C26/E26</f>
        <v>6.6699999999999995E-2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147.601475671587</v>
      </c>
      <c r="F29" s="6">
        <f>SUM(F25:F28)</f>
        <v>0.13550000000000001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8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6">SUM(J45:J48)</f>
        <v>0</v>
      </c>
      <c r="K49" s="5"/>
      <c r="L49" s="6">
        <f t="shared" ref="L49" si="7">SUM(L45:L48)</f>
        <v>0</v>
      </c>
      <c r="M49" s="26"/>
      <c r="N49" s="3" t="s">
        <v>2</v>
      </c>
      <c r="O49" s="4">
        <f>SUM(O45:O48)</f>
        <v>0</v>
      </c>
      <c r="P49" s="1"/>
    </row>
    <row r="51" spans="1:18" ht="15" customHeight="1" x14ac:dyDescent="0.25">
      <c r="B51" s="1"/>
      <c r="E51" s="1"/>
      <c r="F51" s="1"/>
      <c r="J51"/>
    </row>
    <row r="52" spans="1:18" ht="15" customHeight="1" x14ac:dyDescent="0.25">
      <c r="A52" s="79" t="s">
        <v>50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8" ht="15" customHeight="1" x14ac:dyDescent="0.25">
      <c r="A53" s="63" t="s">
        <v>23</v>
      </c>
      <c r="B53" s="64"/>
      <c r="C53" s="64"/>
      <c r="D53" s="64"/>
      <c r="E53" s="64"/>
      <c r="F53" s="65"/>
      <c r="G53" s="73"/>
      <c r="H53" s="76" t="s">
        <v>24</v>
      </c>
      <c r="I53" s="77"/>
      <c r="J53" s="77"/>
      <c r="K53" s="77"/>
      <c r="L53" s="78"/>
      <c r="M53" s="20"/>
      <c r="N53" s="63" t="s">
        <v>6</v>
      </c>
      <c r="O53" s="65"/>
      <c r="P53" s="21"/>
    </row>
    <row r="54" spans="1:18" ht="15" customHeight="1" x14ac:dyDescent="0.25">
      <c r="A54" s="22" t="s">
        <v>31</v>
      </c>
      <c r="B54" s="3" t="s">
        <v>3</v>
      </c>
      <c r="C54" s="3" t="s">
        <v>33</v>
      </c>
      <c r="D54" s="3" t="s">
        <v>12</v>
      </c>
      <c r="E54" s="3" t="s">
        <v>0</v>
      </c>
      <c r="F54" s="3" t="s">
        <v>1</v>
      </c>
      <c r="G54" s="74"/>
      <c r="H54" s="22" t="s">
        <v>31</v>
      </c>
      <c r="I54" s="3" t="s">
        <v>25</v>
      </c>
      <c r="J54" s="3" t="s">
        <v>12</v>
      </c>
      <c r="K54" s="3" t="s">
        <v>0</v>
      </c>
      <c r="L54" s="3" t="s">
        <v>1</v>
      </c>
      <c r="M54" s="23"/>
      <c r="N54" s="19" t="s">
        <v>31</v>
      </c>
      <c r="O54" s="3" t="s">
        <v>25</v>
      </c>
      <c r="P54" s="21"/>
    </row>
    <row r="55" spans="1:18" ht="15" customHeight="1" x14ac:dyDescent="0.25">
      <c r="A55" s="29">
        <v>45659</v>
      </c>
      <c r="B55" s="24">
        <v>20</v>
      </c>
      <c r="C55" s="4">
        <v>20</v>
      </c>
      <c r="D55" s="4">
        <v>0</v>
      </c>
      <c r="E55" s="5">
        <v>133.33333300000001</v>
      </c>
      <c r="F55" s="32">
        <f>C55/E55</f>
        <v>0.15</v>
      </c>
      <c r="G55" s="74"/>
      <c r="H55" s="29"/>
      <c r="I55" s="5"/>
      <c r="J55" s="4"/>
      <c r="K55" s="4"/>
      <c r="L55" s="5"/>
      <c r="M55" s="25"/>
      <c r="N55" s="29"/>
      <c r="O55" s="4"/>
      <c r="P55" s="1"/>
      <c r="R55" s="1"/>
    </row>
    <row r="56" spans="1:18" ht="15" customHeight="1" x14ac:dyDescent="0.25">
      <c r="A56" s="29"/>
      <c r="B56" s="4"/>
      <c r="C56" s="4"/>
      <c r="D56" s="4"/>
      <c r="E56" s="5"/>
      <c r="F56" s="32"/>
      <c r="G56" s="74"/>
      <c r="H56" s="29"/>
      <c r="I56" s="2"/>
      <c r="J56" s="2"/>
      <c r="K56" s="2"/>
      <c r="L56" s="2"/>
      <c r="M56" s="15"/>
      <c r="N56" s="29"/>
      <c r="O56" s="2"/>
    </row>
    <row r="57" spans="1:18" ht="15" customHeight="1" x14ac:dyDescent="0.3">
      <c r="A57" s="29"/>
      <c r="B57" s="4"/>
      <c r="C57" s="4"/>
      <c r="D57" s="4"/>
      <c r="E57" s="5"/>
      <c r="F57" s="28"/>
      <c r="G57" s="74"/>
      <c r="H57" s="30"/>
      <c r="I57" s="2"/>
      <c r="J57" s="2"/>
      <c r="K57" s="2"/>
      <c r="L57" s="2"/>
      <c r="M57" s="15"/>
      <c r="N57" s="30"/>
      <c r="O57" s="2"/>
    </row>
    <row r="58" spans="1:18" ht="15" customHeight="1" x14ac:dyDescent="0.3">
      <c r="A58" s="29"/>
      <c r="B58" s="4"/>
      <c r="C58" s="4"/>
      <c r="D58" s="4"/>
      <c r="E58" s="5"/>
      <c r="F58" s="28"/>
      <c r="G58" s="74"/>
      <c r="H58" s="30"/>
      <c r="I58" s="2"/>
      <c r="J58" s="2"/>
      <c r="K58" s="2"/>
      <c r="L58" s="2"/>
      <c r="M58" s="15"/>
      <c r="N58" s="30"/>
      <c r="O58" s="2"/>
    </row>
    <row r="59" spans="1:18" ht="15" customHeight="1" x14ac:dyDescent="0.25">
      <c r="A59" s="3" t="s">
        <v>2</v>
      </c>
      <c r="B59" s="4">
        <f>SUM(B55:B58)</f>
        <v>20</v>
      </c>
      <c r="C59" s="4">
        <f>SUM(C55:C58)</f>
        <v>20</v>
      </c>
      <c r="D59" s="4">
        <f>SUM(D55:D58)</f>
        <v>0</v>
      </c>
      <c r="E59" s="5">
        <f>IF(B59&gt;0,SUMPRODUCT(E55:E58,F55:F58)/SUM(F55:F58),"0.00")</f>
        <v>133.33333300000001</v>
      </c>
      <c r="F59" s="6">
        <f>SUM(F55:F58)</f>
        <v>0.15</v>
      </c>
      <c r="G59" s="75"/>
      <c r="H59" s="3" t="s">
        <v>2</v>
      </c>
      <c r="I59" s="4">
        <f>SUM(I55:I58)</f>
        <v>0</v>
      </c>
      <c r="J59" s="4">
        <f t="shared" ref="J59" si="8">SUM(J55:J58)</f>
        <v>0</v>
      </c>
      <c r="K59" s="5"/>
      <c r="L59" s="6">
        <f t="shared" ref="L59" si="9">SUM(L55:L58)</f>
        <v>0</v>
      </c>
      <c r="M59" s="26"/>
      <c r="N59" s="3" t="s">
        <v>2</v>
      </c>
      <c r="O59" s="4">
        <f>SUM(O55:O58)</f>
        <v>0</v>
      </c>
      <c r="P59" s="1"/>
    </row>
  </sheetData>
  <mergeCells count="32"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C981F95C-CAB1-4AF2-AB1C-2AE6F59FE172}"/>
    <hyperlink ref="A22:O22" location="'SEB Active 80'!A1" display="SESA8FE SS „SEB Active 80“ SE0016076111" xr:uid="{E2C4776C-AEFE-44EC-884D-B75360787220}"/>
    <hyperlink ref="A32:O32" location="'SEB Artificial Intelligence Fun'!A1" display="SESTUDI LX „SEB Artificial Intelligence Fund&quot; LU2249630257" xr:uid="{5444C74B-4A93-483D-AD10-E133121F70A0}"/>
    <hyperlink ref="A42:O42" location="'SEB Global High Yield Fund'!A1" display="SEHYUCE LX „SEB Global High Yield Fund&quot; LY1791749010" xr:uid="{54A83334-3122-4072-B3CA-B37A8510B333}"/>
    <hyperlink ref="A52:O52" location="'SEB Global Exposure fund UD'!A1" display="SEBGEUD &quot;SEB Global Exposure fund&quot; UD-mok. LU2625197160" xr:uid="{CAD946D2-4A72-4658-87D0-E2B5664566A9}"/>
  </hyperlinks>
  <pageMargins left="0.7" right="0.7" top="0.75" bottom="0.75" header="0.3" footer="0.3"/>
  <ignoredErrors>
    <ignoredError sqref="E49 E19 E29 E59" formula="1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4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2024.12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15</v>
      </c>
      <c r="R5" s="4">
        <v>0</v>
      </c>
      <c r="S5" s="4">
        <f>(C19+C29+C39+C49+C59+C69+C79+C89+C99+C109)-T5</f>
        <v>15</v>
      </c>
      <c r="T5" s="4">
        <f>(I19+I29+I39+I49+I59+I69+I79+I89+I99+I109)-W5</f>
        <v>0</v>
      </c>
      <c r="U5" s="4">
        <f>D19+D29+D39+D49+D59+D69+D79+D89+D99+D109</f>
        <v>0</v>
      </c>
      <c r="V5" s="4">
        <v>0.31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45643</v>
      </c>
      <c r="B15" s="24">
        <v>15</v>
      </c>
      <c r="C15" s="4">
        <v>15</v>
      </c>
      <c r="D15" s="4">
        <f>B15-C15</f>
        <v>0</v>
      </c>
      <c r="E15" s="5">
        <v>132.15859</v>
      </c>
      <c r="F15" s="32">
        <f>C15/E15</f>
        <v>0.1135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132.15859</v>
      </c>
      <c r="F19" s="6">
        <f>SUM(F15:F18)</f>
        <v>0.1135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/>
      <c r="B45" s="24"/>
      <c r="C45" s="4"/>
      <c r="D45" s="4"/>
      <c r="E45" s="5"/>
      <c r="F45" s="32"/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6" ht="15" customHeight="1" x14ac:dyDescent="0.25">
      <c r="A49" s="3" t="s">
        <v>2</v>
      </c>
      <c r="B49" s="4">
        <f>SUM(B45:B48)</f>
        <v>0</v>
      </c>
      <c r="C49" s="4">
        <f>SUM(C45:C48)</f>
        <v>0</v>
      </c>
      <c r="D49" s="4">
        <f>SUM(D45:D48)</f>
        <v>0</v>
      </c>
      <c r="E49" s="5" t="str">
        <f>IF(B49&gt;0,SUMPRODUCT(E45:E48,F45:F48)/SUM(F45:F48),"0.00")</f>
        <v>0.00</v>
      </c>
      <c r="F49" s="6">
        <f>SUM(F45:F48)</f>
        <v>0</v>
      </c>
      <c r="G49" s="75"/>
      <c r="H49" s="3" t="s">
        <v>2</v>
      </c>
      <c r="I49" s="4">
        <f>SUM(I45:I48)</f>
        <v>0</v>
      </c>
      <c r="J49" s="4">
        <f t="shared" ref="J49" si="6">SUM(J45:J48)</f>
        <v>0</v>
      </c>
      <c r="K49" s="5"/>
      <c r="L49" s="6">
        <f t="shared" ref="L49" si="7">SUM(L45:L48)</f>
        <v>0</v>
      </c>
      <c r="M49" s="26"/>
      <c r="N49" s="3" t="s">
        <v>2</v>
      </c>
      <c r="O49" s="4">
        <f>SUM(O45:O48)</f>
        <v>0</v>
      </c>
      <c r="P49" s="1"/>
    </row>
  </sheetData>
  <mergeCells count="27">
    <mergeCell ref="A43:F43"/>
    <mergeCell ref="G43:G49"/>
    <mergeCell ref="H43:L43"/>
    <mergeCell ref="N43:O43"/>
    <mergeCell ref="A32:O32"/>
    <mergeCell ref="A33:F33"/>
    <mergeCell ref="G33:G39"/>
    <mergeCell ref="H33:L33"/>
    <mergeCell ref="N33:O33"/>
    <mergeCell ref="A42:O4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92EEE2AF-D5F8-4441-9894-E8E13ED1997D}"/>
    <hyperlink ref="A22:O22" location="'SEB Active 80'!A1" display="SESA8FE SS „SEB Active 80“ SE0016076111" xr:uid="{CCB8B24F-490B-49D2-8571-EAE7867C8ADE}"/>
    <hyperlink ref="A32:O32" location="'SEB Artificial Intelligence Fun'!A1" display="SESTUDI LX „SEB Artificial Intelligence Fund&quot; LU2249630257" xr:uid="{A930F35F-3DF7-4648-A39E-E5718E005D82}"/>
    <hyperlink ref="A42:O42" location="'SEB Global High Yield Fund'!A1" display="SEHYUCE LX „SEB Global High Yield Fund&quot; LY1791749010" xr:uid="{0B1E23E1-9D88-4B76-8730-C3263DB13435}"/>
  </hyperlinks>
  <pageMargins left="0.7" right="0.7" top="0.75" bottom="0.75" header="0.3" footer="0.3"/>
  <ignoredErrors>
    <ignoredError sqref="E19 E29 E49" formula="1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49"/>
  <sheetViews>
    <sheetView topLeftCell="A16" workbookViewId="0">
      <selection activeCell="A42" sqref="A42:O4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2024.11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45</v>
      </c>
      <c r="R5" s="4">
        <v>0</v>
      </c>
      <c r="S5" s="4">
        <f>(C19+C29+C39+C49+C59+C69+C79+C89+C99+C109)-T5</f>
        <v>45</v>
      </c>
      <c r="T5" s="4">
        <f>(I19+I29+I39+I49+I59+I69+I79+I89+I99+I109)-W5</f>
        <v>0</v>
      </c>
      <c r="U5" s="4">
        <f>D19+D29+D39+D49+D59+D69+D79+D89+D99+D109</f>
        <v>0</v>
      </c>
      <c r="V5" s="4">
        <v>0.3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45611</v>
      </c>
      <c r="B15" s="24">
        <v>15</v>
      </c>
      <c r="C15" s="4">
        <v>15</v>
      </c>
      <c r="D15" s="4">
        <f>B15-C15</f>
        <v>0</v>
      </c>
      <c r="E15" s="5">
        <v>129.87012999999999</v>
      </c>
      <c r="F15" s="32">
        <f>C15/E15</f>
        <v>0.11550000000000001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129.87012999999999</v>
      </c>
      <c r="F19" s="6">
        <f>SUM(F15:F18)</f>
        <v>0.11550000000000001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45625</v>
      </c>
      <c r="B25" s="24">
        <v>10</v>
      </c>
      <c r="C25" s="4">
        <v>10</v>
      </c>
      <c r="D25" s="4">
        <v>0</v>
      </c>
      <c r="E25" s="5">
        <v>146.19882999999999</v>
      </c>
      <c r="F25" s="32">
        <f>C25/E25</f>
        <v>6.8400000000000002E-2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10</v>
      </c>
      <c r="C29" s="4">
        <f>SUM(C25:C28)</f>
        <v>10</v>
      </c>
      <c r="D29" s="4">
        <f>SUM(D25:D28)</f>
        <v>0</v>
      </c>
      <c r="E29" s="5">
        <f>IF(B29&gt;0,SUMPRODUCT(E25:E28,F25:F28)/SUM(F25:F28),"0.00")</f>
        <v>146.19882999999999</v>
      </c>
      <c r="F29" s="6">
        <f>SUM(F25:F28)</f>
        <v>6.8400000000000002E-2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8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8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8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8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8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8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8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8" x14ac:dyDescent="0.25">
      <c r="B40" s="1"/>
      <c r="C40" s="1"/>
      <c r="D40" s="1"/>
    </row>
    <row r="41" spans="1:18" ht="15" customHeight="1" x14ac:dyDescent="0.25">
      <c r="B41" s="1"/>
      <c r="E41" s="1"/>
      <c r="F41" s="1"/>
      <c r="J41"/>
    </row>
    <row r="42" spans="1:18" ht="15" customHeight="1" x14ac:dyDescent="0.25">
      <c r="A42" s="79" t="s">
        <v>49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8" ht="15" customHeight="1" x14ac:dyDescent="0.25">
      <c r="A43" s="63" t="s">
        <v>23</v>
      </c>
      <c r="B43" s="64"/>
      <c r="C43" s="64"/>
      <c r="D43" s="64"/>
      <c r="E43" s="64"/>
      <c r="F43" s="65"/>
      <c r="G43" s="73"/>
      <c r="H43" s="76" t="s">
        <v>24</v>
      </c>
      <c r="I43" s="77"/>
      <c r="J43" s="77"/>
      <c r="K43" s="77"/>
      <c r="L43" s="78"/>
      <c r="M43" s="20"/>
      <c r="N43" s="63" t="s">
        <v>6</v>
      </c>
      <c r="O43" s="65"/>
      <c r="P43" s="21"/>
    </row>
    <row r="44" spans="1:18" ht="15" customHeight="1" x14ac:dyDescent="0.25">
      <c r="A44" s="22" t="s">
        <v>31</v>
      </c>
      <c r="B44" s="3" t="s">
        <v>3</v>
      </c>
      <c r="C44" s="3" t="s">
        <v>33</v>
      </c>
      <c r="D44" s="3" t="s">
        <v>12</v>
      </c>
      <c r="E44" s="3" t="s">
        <v>0</v>
      </c>
      <c r="F44" s="3" t="s">
        <v>1</v>
      </c>
      <c r="G44" s="74"/>
      <c r="H44" s="22" t="s">
        <v>31</v>
      </c>
      <c r="I44" s="3" t="s">
        <v>25</v>
      </c>
      <c r="J44" s="3" t="s">
        <v>12</v>
      </c>
      <c r="K44" s="3" t="s">
        <v>0</v>
      </c>
      <c r="L44" s="3" t="s">
        <v>1</v>
      </c>
      <c r="M44" s="23"/>
      <c r="N44" s="19" t="s">
        <v>31</v>
      </c>
      <c r="O44" s="3" t="s">
        <v>25</v>
      </c>
      <c r="P44" s="21"/>
    </row>
    <row r="45" spans="1:18" ht="15" customHeight="1" x14ac:dyDescent="0.25">
      <c r="A45" s="29">
        <v>45614</v>
      </c>
      <c r="B45" s="24">
        <v>20</v>
      </c>
      <c r="C45" s="4">
        <v>20</v>
      </c>
      <c r="D45" s="4">
        <v>0</v>
      </c>
      <c r="E45" s="5">
        <v>1111.1111109999999</v>
      </c>
      <c r="F45" s="32">
        <f>C45/E45</f>
        <v>1.7999999999999999E-2</v>
      </c>
      <c r="G45" s="74"/>
      <c r="H45" s="29"/>
      <c r="I45" s="5"/>
      <c r="J45" s="4"/>
      <c r="K45" s="4"/>
      <c r="L45" s="5"/>
      <c r="M45" s="25"/>
      <c r="N45" s="29"/>
      <c r="O45" s="4"/>
      <c r="P45" s="1"/>
      <c r="R45" s="1"/>
    </row>
    <row r="46" spans="1:18" ht="15" customHeight="1" x14ac:dyDescent="0.25">
      <c r="A46" s="29"/>
      <c r="B46" s="4"/>
      <c r="C46" s="4"/>
      <c r="D46" s="4"/>
      <c r="E46" s="5"/>
      <c r="F46" s="32"/>
      <c r="G46" s="74"/>
      <c r="H46" s="29"/>
      <c r="I46" s="2"/>
      <c r="J46" s="2"/>
      <c r="K46" s="2"/>
      <c r="L46" s="2"/>
      <c r="M46" s="15"/>
      <c r="N46" s="29"/>
      <c r="O46" s="2"/>
    </row>
    <row r="47" spans="1:18" ht="15" customHeight="1" x14ac:dyDescent="0.3">
      <c r="A47" s="29"/>
      <c r="B47" s="4"/>
      <c r="C47" s="4"/>
      <c r="D47" s="4"/>
      <c r="E47" s="5"/>
      <c r="F47" s="28"/>
      <c r="G47" s="74"/>
      <c r="H47" s="30"/>
      <c r="I47" s="2"/>
      <c r="J47" s="2"/>
      <c r="K47" s="2"/>
      <c r="L47" s="2"/>
      <c r="M47" s="15"/>
      <c r="N47" s="30"/>
      <c r="O47" s="2"/>
    </row>
    <row r="48" spans="1:18" ht="15" customHeight="1" x14ac:dyDescent="0.3">
      <c r="A48" s="29"/>
      <c r="B48" s="4"/>
      <c r="C48" s="4"/>
      <c r="D48" s="4"/>
      <c r="E48" s="5"/>
      <c r="F48" s="28"/>
      <c r="G48" s="74"/>
      <c r="H48" s="30"/>
      <c r="I48" s="2"/>
      <c r="J48" s="2"/>
      <c r="K48" s="2"/>
      <c r="L48" s="2"/>
      <c r="M48" s="15"/>
      <c r="N48" s="30"/>
      <c r="O48" s="2"/>
    </row>
    <row r="49" spans="1:16" ht="15" customHeight="1" x14ac:dyDescent="0.25">
      <c r="A49" s="3" t="s">
        <v>2</v>
      </c>
      <c r="B49" s="4">
        <f>SUM(B45:B48)</f>
        <v>20</v>
      </c>
      <c r="C49" s="4">
        <f>SUM(C45:C48)</f>
        <v>20</v>
      </c>
      <c r="D49" s="4">
        <f>SUM(D45:D48)</f>
        <v>0</v>
      </c>
      <c r="E49" s="5">
        <f>IF(B49&gt;0,SUMPRODUCT(E45:E48,F45:F48)/SUM(F45:F48),"0.00")</f>
        <v>1111.1111109999999</v>
      </c>
      <c r="F49" s="6">
        <f>SUM(F45:F48)</f>
        <v>1.7999999999999999E-2</v>
      </c>
      <c r="G49" s="75"/>
      <c r="H49" s="3" t="s">
        <v>2</v>
      </c>
      <c r="I49" s="4">
        <f>SUM(I45:I48)</f>
        <v>0</v>
      </c>
      <c r="J49" s="4">
        <f t="shared" ref="J49" si="6">SUM(J45:J48)</f>
        <v>0</v>
      </c>
      <c r="K49" s="5"/>
      <c r="L49" s="6">
        <f t="shared" ref="L49" si="7">SUM(L45:L48)</f>
        <v>0</v>
      </c>
      <c r="M49" s="26"/>
      <c r="N49" s="3" t="s">
        <v>2</v>
      </c>
      <c r="O49" s="4">
        <f>SUM(O45:O48)</f>
        <v>0</v>
      </c>
      <c r="P49" s="1"/>
    </row>
  </sheetData>
  <mergeCells count="27">
    <mergeCell ref="A43:F43"/>
    <mergeCell ref="G43:G49"/>
    <mergeCell ref="H43:L43"/>
    <mergeCell ref="N43:O43"/>
    <mergeCell ref="A32:O32"/>
    <mergeCell ref="A33:F33"/>
    <mergeCell ref="G33:G39"/>
    <mergeCell ref="H33:L33"/>
    <mergeCell ref="N33:O33"/>
    <mergeCell ref="A42:O4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A123D9C7-901F-4FAA-869D-C0BE598B8DE5}"/>
    <hyperlink ref="A22:O22" location="'SEB Active 80'!A1" display="SESA8FE SS „SEB Active 80“ SE0016076111" xr:uid="{B6173879-CE86-4172-A8E1-FB147963D002}"/>
    <hyperlink ref="A32:O32" location="'SEB Artificial Intelligence Fun'!A1" display="SESTUDI LX „SEB Artificial Intelligence Fund&quot; LU2249630257" xr:uid="{8565890F-E724-4DB8-AD27-A64C6ADDA635}"/>
    <hyperlink ref="A42:O42" location="'SEB Global High Yield Fund'!A1" display="SEHYUCE LX „SEB Global High Yield Fund&quot; LY1791749010" xr:uid="{FF122988-B60A-4706-B9E6-C573B88DD4C8}"/>
  </hyperlinks>
  <pageMargins left="0.7" right="0.7" top="0.75" bottom="0.75" header="0.3" footer="0.3"/>
  <ignoredErrors>
    <ignoredError sqref="E19 E29 E49" formula="1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35</v>
      </c>
      <c r="R5" s="4">
        <v>0</v>
      </c>
      <c r="S5" s="4">
        <f>(C19+C29+C39+C49+C59+C69+C79+C89+C99+C109)-T5</f>
        <v>35</v>
      </c>
      <c r="T5" s="4">
        <f>(I19+I29+I39+I49+I59+I69+I79+I89+I99+I109)-W5</f>
        <v>0</v>
      </c>
      <c r="U5" s="4">
        <f>D19+D29+D39+D49+D59+D69+D79+D89+D99+D109</f>
        <v>0</v>
      </c>
      <c r="V5" s="4">
        <v>0.28000000000000003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45582</v>
      </c>
      <c r="B15" s="24">
        <v>15</v>
      </c>
      <c r="C15" s="4">
        <v>15</v>
      </c>
      <c r="D15" s="4">
        <f>B15-C15</f>
        <v>0</v>
      </c>
      <c r="E15" s="5">
        <v>129.98266899999999</v>
      </c>
      <c r="F15" s="32">
        <f>C15/E15</f>
        <v>0.1154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129.98266899999999</v>
      </c>
      <c r="F19" s="6">
        <f>SUM(F15:F18)</f>
        <v>0.1154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45566</v>
      </c>
      <c r="B25" s="24">
        <v>10</v>
      </c>
      <c r="C25" s="4">
        <v>10</v>
      </c>
      <c r="D25" s="4">
        <v>0</v>
      </c>
      <c r="E25" s="5">
        <v>143.88489200000001</v>
      </c>
      <c r="F25" s="32">
        <f>C25/E25</f>
        <v>6.9500000000000006E-2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45596</v>
      </c>
      <c r="B26" s="4">
        <v>10</v>
      </c>
      <c r="C26" s="4">
        <v>10</v>
      </c>
      <c r="D26" s="4">
        <v>0</v>
      </c>
      <c r="E26" s="5">
        <v>145.348837</v>
      </c>
      <c r="F26" s="32">
        <f>C26/E26</f>
        <v>6.88E-2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144.61315965003601</v>
      </c>
      <c r="F29" s="6">
        <f>SUM(F25:F28)</f>
        <v>0.13830000000000001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7"/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3938F388-54E0-4CFE-921E-800F6A8E56E0}"/>
    <hyperlink ref="A22:O22" location="'SEB Active 80'!A1" display="SESA8FE SS „SEB Active 80“ SE0016076111" xr:uid="{0A45BAB1-9928-4B36-B21B-D612833701ED}"/>
    <hyperlink ref="A32:O32" location="'SEB Artificial Intelligence Fun'!A1" display="„SEB Artificial Intelligence Fund&quot;" xr:uid="{5CA0E1B6-CBD4-4041-8167-213B6A22DAE4}"/>
  </hyperlinks>
  <pageMargins left="0.7" right="0.7" top="0.75" bottom="0.75" header="0.3" footer="0.3"/>
  <ignoredErrors>
    <ignoredError sqref="E19 E29" formula="1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2024.09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15</v>
      </c>
      <c r="R5" s="4">
        <v>0</v>
      </c>
      <c r="S5" s="4">
        <f>(C19+C29+C39+C49+C59+C69+C79+C89+C99+C109)-T5</f>
        <v>15</v>
      </c>
      <c r="T5" s="4">
        <f>(I19+I29+I39+I49+I59+I69+I79+I89+I99+I109)-W5</f>
        <v>0</v>
      </c>
      <c r="U5" s="4">
        <f>D19+D29+D39+D49+D59+D69+D79+D89+D99+D109</f>
        <v>0</v>
      </c>
      <c r="V5" s="4">
        <v>0.26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45552</v>
      </c>
      <c r="B15" s="24">
        <v>15</v>
      </c>
      <c r="C15" s="4">
        <v>15</v>
      </c>
      <c r="D15" s="4">
        <f>B15-C15</f>
        <v>0</v>
      </c>
      <c r="E15" s="5">
        <v>127.011008</v>
      </c>
      <c r="F15" s="32">
        <f>C15/E15</f>
        <v>0.1181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127.011008</v>
      </c>
      <c r="F19" s="6">
        <f>SUM(F15:F18)</f>
        <v>0.1181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7"/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9036BE21-F3D0-4A97-8224-72EDB2CDE80F}"/>
    <hyperlink ref="A22:O22" location="'SEB Active 80'!A1" display="SESA8FE SS „SEB Active 80“ SE0016076111" xr:uid="{85A4AB08-0C33-42E6-B19F-4C9EB9B6D18F}"/>
    <hyperlink ref="A32:O32" location="'SEB Artificial Intelligence Fun'!A1" display="„SEB Artificial Intelligence Fund&quot;" xr:uid="{F2C7188C-E223-4D1F-B236-C9603A369E4B}"/>
  </hyperlinks>
  <pageMargins left="0.7" right="0.7" top="0.75" bottom="0.75" header="0.3" footer="0.3"/>
  <ignoredErrors>
    <ignoredError sqref="E19 E29" formula="1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2024.08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25</v>
      </c>
      <c r="R5" s="4">
        <v>0</v>
      </c>
      <c r="S5" s="4">
        <f>(C19+C29+C39+C49+C59+C69+C79+C89+C99+C109)-T5</f>
        <v>25</v>
      </c>
      <c r="T5" s="4">
        <f>(I19+I29+I39+I49+I59+I69+I79+I89+I99+I109)-W5</f>
        <v>0</v>
      </c>
      <c r="U5" s="4">
        <f>D19+D29+D39+D49+D59+D69+D79+D89+D99+D109</f>
        <v>0</v>
      </c>
      <c r="V5" s="4">
        <v>0.26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45520</v>
      </c>
      <c r="B15" s="24">
        <v>15</v>
      </c>
      <c r="C15" s="4">
        <v>15</v>
      </c>
      <c r="D15" s="4">
        <f>B15-C15</f>
        <v>0</v>
      </c>
      <c r="E15" s="5">
        <v>123.966942</v>
      </c>
      <c r="F15" s="32">
        <f>C15/E15</f>
        <v>0.121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123.966942</v>
      </c>
      <c r="F19" s="6">
        <f>SUM(F15:F18)</f>
        <v>0.121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45533</v>
      </c>
      <c r="B25" s="24">
        <v>10</v>
      </c>
      <c r="C25" s="4">
        <v>10</v>
      </c>
      <c r="D25" s="4">
        <v>0</v>
      </c>
      <c r="E25" s="5">
        <v>140.84506999999999</v>
      </c>
      <c r="F25" s="32">
        <f>C25/E25</f>
        <v>7.0999999999999994E-2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10</v>
      </c>
      <c r="C29" s="4">
        <f>SUM(C25:C28)</f>
        <v>10</v>
      </c>
      <c r="D29" s="4">
        <f>SUM(D25:D28)</f>
        <v>0</v>
      </c>
      <c r="E29" s="5">
        <f>IF(B29&gt;0,SUMPRODUCT(E25:E28,F25:F28)/SUM(F25:F28),"0.00")</f>
        <v>140.84506999999999</v>
      </c>
      <c r="F29" s="6">
        <f>SUM(F25:F28)</f>
        <v>7.0999999999999994E-2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7"/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42B52CD6-4703-4D8C-B50A-7D404E25DACD}"/>
    <hyperlink ref="A22:O22" location="'SEB Active 80'!A1" display="SESA8FE SS „SEB Active 80“ SE0016076111" xr:uid="{AFFF90B6-58A0-49F9-8F3A-0F0D0BF97B70}"/>
    <hyperlink ref="A32:O32" location="'SEB Artificial Intelligence Fun'!A1" display="„SEB Artificial Intelligence Fund&quot;" xr:uid="{A8021E4F-4A5B-44A7-988B-9E8A60BAF978}"/>
  </hyperlinks>
  <pageMargins left="0.7" right="0.7" top="0.75" bottom="0.75" header="0.3" footer="0.3"/>
  <ignoredErrors>
    <ignoredError sqref="E19 E29" formula="1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2024.07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35</v>
      </c>
      <c r="R5" s="4">
        <v>0</v>
      </c>
      <c r="S5" s="4">
        <f>(C19+C29+C39+C49+C59+C69+C79+C89+C99+C109)-T5</f>
        <v>35</v>
      </c>
      <c r="T5" s="4">
        <f>(I19+I29+I39+I49+I59+I69+I79+I89+I99+I109)-W5</f>
        <v>0</v>
      </c>
      <c r="U5" s="4">
        <f>D19+D29+D39+D49+D59+D69+D79+D89+D99+D109</f>
        <v>0</v>
      </c>
      <c r="V5" s="4">
        <v>0.25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45490</v>
      </c>
      <c r="B15" s="24">
        <v>15</v>
      </c>
      <c r="C15" s="4">
        <v>15</v>
      </c>
      <c r="D15" s="4">
        <f>B15-C15</f>
        <v>0</v>
      </c>
      <c r="E15" s="5">
        <v>126.689189</v>
      </c>
      <c r="F15" s="32">
        <f>C15/E15</f>
        <v>0.11840000000000001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126.689189</v>
      </c>
      <c r="F19" s="6">
        <f>SUM(F15:F18)</f>
        <v>0.11840000000000001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45474</v>
      </c>
      <c r="B25" s="24">
        <v>10</v>
      </c>
      <c r="C25" s="4">
        <v>10</v>
      </c>
      <c r="D25" s="4">
        <v>0</v>
      </c>
      <c r="E25" s="5">
        <v>140.64697899999999</v>
      </c>
      <c r="F25" s="32">
        <f>C25/E25</f>
        <v>7.1099999999999997E-2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45504</v>
      </c>
      <c r="B26" s="4">
        <v>10</v>
      </c>
      <c r="C26" s="4">
        <v>10</v>
      </c>
      <c r="D26" s="4">
        <v>0</v>
      </c>
      <c r="E26" s="5">
        <v>139.08205799999999</v>
      </c>
      <c r="F26" s="32">
        <f>C26/E26</f>
        <v>7.1900000000000006E-2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139.86014109860099</v>
      </c>
      <c r="F29" s="6">
        <f>SUM(F25:F28)</f>
        <v>0.14299999999999999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7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7"/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22C2CDBA-0434-4BE9-ADE4-0F4D21F4ECB7}"/>
    <hyperlink ref="A22:O22" location="'SEB Active 80'!A1" display="SESA8FE SS „SEB Active 80“ SE0016076111" xr:uid="{3068C725-CF5E-4C59-B085-BFE30125CC76}"/>
    <hyperlink ref="A32:O32" location="'SEB Artificial Intelligence Fun'!A1" display="„SEB Artificial Intelligence Fund&quot;" xr:uid="{B43D5D03-3FC1-4C07-AEAB-2CD785E42E68}"/>
  </hyperlinks>
  <pageMargins left="0.7" right="0.7" top="0.75" bottom="0.75" header="0.3" footer="0.3"/>
  <ignoredErrors>
    <ignoredError sqref="E19 E29" formula="1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2024.06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15</v>
      </c>
      <c r="R5" s="4">
        <v>0</v>
      </c>
      <c r="S5" s="4">
        <f>(C19+C29+C39+C49+C59+C69+C79+C89+C99+C109)-T5</f>
        <v>15</v>
      </c>
      <c r="T5" s="4">
        <f>(I19+I29+I39+I49+I59+I69+I79+I89+I99+I109)-W5</f>
        <v>0</v>
      </c>
      <c r="U5" s="4">
        <f>D19+D29+D39+D49+D59+D69+D79+D89+D99+D109</f>
        <v>0</v>
      </c>
      <c r="V5" s="4">
        <v>0.23</v>
      </c>
      <c r="W5" s="4">
        <f>J19+J29+J39+J49+J59+J69+J79+J89+J99+J109</f>
        <v>0</v>
      </c>
      <c r="X5" s="7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45460</v>
      </c>
      <c r="B15" s="24">
        <v>15</v>
      </c>
      <c r="C15" s="4">
        <v>15</v>
      </c>
      <c r="D15" s="4">
        <f>B15-C15</f>
        <v>0</v>
      </c>
      <c r="E15" s="5">
        <v>125.628114</v>
      </c>
      <c r="F15" s="32">
        <f>C15/E15</f>
        <v>0.11940000000000001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125.628114</v>
      </c>
      <c r="F19" s="6">
        <f>SUM(F15:F18)</f>
        <v>0.11940000000000001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47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>
        <v>45460</v>
      </c>
      <c r="O35" s="7">
        <v>3.0000000000000001E-3</v>
      </c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7"/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F15D8B2B-E1D5-4AC9-86E4-7FAA4446E158}"/>
    <hyperlink ref="A22:O22" location="'SEB Active 80'!A1" display="SESA8FE SS „SEB Active 80“ SE0016076111" xr:uid="{9CF8FEA1-D8B2-4E23-92A0-8902E03FEC78}"/>
    <hyperlink ref="A32:O32" location="'SEB Artificial Intelligence Fun'!A1" display="„SEB Artificial Intelligence Fund&quot;" xr:uid="{8394F770-F3C1-495A-84D9-1B0F0C91C73F}"/>
  </hyperlinks>
  <pageMargins left="0.7" right="0.7" top="0.75" bottom="0.75" header="0.3" footer="0.3"/>
  <ignoredErrors>
    <ignoredError sqref="E19 E29" formula="1"/>
  </ignoredError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40"/>
  <sheetViews>
    <sheetView topLeftCell="A13" workbookViewId="0">
      <selection activeCell="A32" sqref="A32:O3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2024.05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53.98</v>
      </c>
      <c r="R5" s="4">
        <v>0</v>
      </c>
      <c r="S5" s="4">
        <f>(C19+C29+C39+C49+C59+C69+C79+C89+C99+C109)-T5</f>
        <v>53.98</v>
      </c>
      <c r="T5" s="4">
        <f>(I19+I29+I39+I49+I59+I69+I79+I89+I99+I109)-W5</f>
        <v>0</v>
      </c>
      <c r="U5" s="4">
        <f>D19+D29+D39+D49+D59+D69+D79+D89+D99+D109</f>
        <v>0</v>
      </c>
      <c r="V5" s="4">
        <v>0.22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45428</v>
      </c>
      <c r="B15" s="24">
        <v>15</v>
      </c>
      <c r="C15" s="4">
        <v>15</v>
      </c>
      <c r="D15" s="4">
        <f>B15-C15</f>
        <v>0</v>
      </c>
      <c r="E15" s="5">
        <v>123.152709</v>
      </c>
      <c r="F15" s="32">
        <f>C15/E15</f>
        <v>0.12180000000000001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123.152709</v>
      </c>
      <c r="F19" s="6">
        <f>SUM(F15:F18)</f>
        <v>0.12180000000000001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45414</v>
      </c>
      <c r="B25" s="24">
        <v>10</v>
      </c>
      <c r="C25" s="4">
        <v>10</v>
      </c>
      <c r="D25" s="4">
        <v>0</v>
      </c>
      <c r="E25" s="5">
        <v>133.868809</v>
      </c>
      <c r="F25" s="32">
        <f>C25/E25</f>
        <v>7.4700000000000003E-2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45442</v>
      </c>
      <c r="B26" s="4">
        <v>10</v>
      </c>
      <c r="C26" s="4">
        <v>10</v>
      </c>
      <c r="D26" s="4">
        <v>0</v>
      </c>
      <c r="E26" s="5">
        <v>138.504155</v>
      </c>
      <c r="F26" s="32">
        <f>C26/E26</f>
        <v>7.22E-2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20</v>
      </c>
      <c r="C29" s="4">
        <f>SUM(C25:C28)</f>
        <v>20</v>
      </c>
      <c r="D29" s="4">
        <f>SUM(D25:D28)</f>
        <v>0</v>
      </c>
      <c r="E29" s="5">
        <f>IF(B29&gt;0,SUMPRODUCT(E25:E28,F25:F28)/SUM(F25:F28),"0.00")</f>
        <v>136.14703896051699</v>
      </c>
      <c r="F29" s="6">
        <f>SUM(F25:F28)</f>
        <v>0.1469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5" ht="15" customHeight="1" x14ac:dyDescent="0.25">
      <c r="A35" s="33">
        <v>45428</v>
      </c>
      <c r="B35" s="24">
        <v>20</v>
      </c>
      <c r="C35" s="4">
        <v>20</v>
      </c>
      <c r="D35" s="5">
        <v>1.0535000000000001</v>
      </c>
      <c r="E35" s="5">
        <v>114.94252899999999</v>
      </c>
      <c r="F35" s="32">
        <f>C35/E35</f>
        <v>0.17399999999999999</v>
      </c>
      <c r="G35" s="74"/>
      <c r="H35" s="29"/>
      <c r="I35" s="5"/>
      <c r="J35" s="4"/>
      <c r="K35" s="4"/>
      <c r="L35" s="5"/>
      <c r="M35" s="25"/>
      <c r="N35" s="29"/>
      <c r="O35" s="4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SUM(B35:B38)/D35</f>
        <v>18.98</v>
      </c>
      <c r="C39" s="4">
        <f>SUM(C35:C38)/D35</f>
        <v>18.98</v>
      </c>
      <c r="D39" s="4"/>
      <c r="E39" s="5">
        <f>IF(B39&gt;0,SUMPRODUCT(E35:E38,F35:F38)/SUM(F35:F38),"0.00")</f>
        <v>114.94252899999999</v>
      </c>
      <c r="F39" s="6">
        <f>SUM(F35:F38)</f>
        <v>0.17399999999999999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>
        <f>SUM(O35:O38)</f>
        <v>0</v>
      </c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D9FA916D-D5C0-4BF7-8B12-BD60A461D064}"/>
    <hyperlink ref="A22:O22" location="'SEB Active 80'!A1" display="SESA8FE SS „SEB Active 80“ SE0016076111" xr:uid="{2AF2DBE9-20D9-4D9F-880A-B9228B147844}"/>
    <hyperlink ref="A32:O32" location="'SEB Artificial Intelligence Fun'!A1" display="„SEB Artificial Intelligence Fund&quot;" xr:uid="{4B4EDAFE-CD93-4472-9E7B-349FA49E25AA}"/>
  </hyperlinks>
  <pageMargins left="0.7" right="0.7" top="0.75" bottom="0.75" header="0.3" footer="0.3"/>
  <ignoredErrors>
    <ignoredError sqref="E19 E29" formula="1"/>
  </ignoredError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2024.04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25</v>
      </c>
      <c r="R5" s="4">
        <v>0</v>
      </c>
      <c r="S5" s="4">
        <f>(C19+C29+C39+C49+C59+C69+C79+C89+C99+C109)-T5</f>
        <v>25</v>
      </c>
      <c r="T5" s="4">
        <f>(I19+I29+I39+I49+I59+I69+I79+I89+I99+I109)-W5</f>
        <v>0</v>
      </c>
      <c r="U5" s="4">
        <f>D19+D29+D39+D49+D59+D69+D79+D89+D99+D109</f>
        <v>0</v>
      </c>
      <c r="V5" s="4">
        <v>0.22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45399</v>
      </c>
      <c r="B15" s="24">
        <v>15</v>
      </c>
      <c r="C15" s="4">
        <v>15</v>
      </c>
      <c r="D15" s="4">
        <f>B15-C15</f>
        <v>0</v>
      </c>
      <c r="E15" s="5">
        <v>121.359223</v>
      </c>
      <c r="F15" s="32">
        <f>C15/E15</f>
        <v>0.1236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121.359223</v>
      </c>
      <c r="F19" s="6">
        <f>SUM(F15:F18)</f>
        <v>0.1236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45384</v>
      </c>
      <c r="B25" s="24">
        <v>10</v>
      </c>
      <c r="C25" s="4">
        <v>10</v>
      </c>
      <c r="D25" s="4">
        <v>0</v>
      </c>
      <c r="E25" s="5">
        <v>136.05442199999999</v>
      </c>
      <c r="F25" s="32">
        <f>C25/E25</f>
        <v>7.3499999999999996E-2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10</v>
      </c>
      <c r="C29" s="4">
        <f>SUM(C25:C28)</f>
        <v>10</v>
      </c>
      <c r="D29" s="4">
        <f>SUM(D25:D28)</f>
        <v>0</v>
      </c>
      <c r="E29" s="5">
        <f>IF(B29&gt;0,SUMPRODUCT(E25:E28,F25:F28)/SUM(F25:F28),"0.00")</f>
        <v>136.05442199999999</v>
      </c>
      <c r="F29" s="6">
        <f>SUM(F25:F28)</f>
        <v>7.3499999999999996E-2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FC8C2ACD-CBDF-4315-B213-68B9DA151721}"/>
    <hyperlink ref="A22:O22" location="'SEB Active 80'!A1" display="SESA8FE SS „SEB Active 80“ SE0016076111" xr:uid="{66F5EDB1-9BCB-40BF-9BF1-BCCEDBB1946F}"/>
    <hyperlink ref="A32:O32" location="'SEB Artificial Intelligence Fun'!A1" display="„SEB Artificial Intelligence Fund&quot;" xr:uid="{8B9AFEA8-28A3-41B8-933A-64B625367AE1}"/>
  </hyperlinks>
  <pageMargins left="0.7" right="0.7" top="0.75" bottom="0.75" header="0.3" footer="0.3"/>
  <ignoredErrors>
    <ignoredError sqref="E19 E29" formula="1"/>
  </ignoredError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2024.03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15</v>
      </c>
      <c r="R5" s="4">
        <v>0</v>
      </c>
      <c r="S5" s="4">
        <f>(C19+C29+C39+C49+C59+C69+C79+C89+C99+C109)-T5</f>
        <v>15</v>
      </c>
      <c r="T5" s="4">
        <f>(I19+I29+I39+I49+I59+I69+I79+I89+I99+I109)-W5</f>
        <v>0</v>
      </c>
      <c r="U5" s="4">
        <f>D19+D29+D39+D49+D59+D69+D79+D89+D99+D109</f>
        <v>0</v>
      </c>
      <c r="V5" s="4">
        <v>0.2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45366</v>
      </c>
      <c r="B15" s="24">
        <v>15</v>
      </c>
      <c r="C15" s="4">
        <v>15</v>
      </c>
      <c r="D15" s="4">
        <f>B15-C15</f>
        <v>0</v>
      </c>
      <c r="E15" s="5">
        <v>121.555916</v>
      </c>
      <c r="F15" s="32">
        <f>C15/E15</f>
        <v>0.1234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121.555916</v>
      </c>
      <c r="F19" s="6">
        <f>SUM(F15:F18)</f>
        <v>0.1234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32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926413AB-41C5-4DE0-9E03-B999386973A7}"/>
    <hyperlink ref="A22:O22" location="'SEB Active 80'!A1" display="SESA8FE SS „SEB Active 80“ SE0016076111" xr:uid="{6DFCD6DD-0EA2-478C-A72A-BE5819E866AF}"/>
    <hyperlink ref="A32:O32" location="'SEB Artificial Intelligence Fun'!A1" display="„SEB Artificial Intelligence Fund&quot;" xr:uid="{F8EB7956-DF18-44F0-B360-B3FA0FE0ECF8}"/>
  </hyperlinks>
  <pageMargins left="0.7" right="0.7" top="0.75" bottom="0.75" header="0.3" footer="0.3"/>
  <ignoredErrors>
    <ignoredError sqref="E19 E29" formula="1"/>
  </ignoredError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4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25</v>
      </c>
      <c r="R5" s="4">
        <v>0</v>
      </c>
      <c r="S5" s="4">
        <f>(C19+C29+C39+C49+C59+C69+C79+C89+C99+C109)-T5</f>
        <v>25</v>
      </c>
      <c r="T5" s="4">
        <f>(I19+I29+I39+I49+I59+I69+I79+I89+I99+I109)-W5</f>
        <v>0</v>
      </c>
      <c r="U5" s="4">
        <f>D19+D29+D39+D49+D59+D69+D79+D89+D99+D109</f>
        <v>0</v>
      </c>
      <c r="V5" s="4">
        <v>0.18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45337</v>
      </c>
      <c r="B15" s="24">
        <v>15</v>
      </c>
      <c r="C15" s="4">
        <v>15</v>
      </c>
      <c r="D15" s="4">
        <f>B15-C15</f>
        <v>0</v>
      </c>
      <c r="E15" s="5">
        <v>117.55485899999999</v>
      </c>
      <c r="F15" s="32">
        <f>C15/E15</f>
        <v>0.12759999999999999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117.55485899999999</v>
      </c>
      <c r="F19" s="6">
        <f>SUM(F15:F18)</f>
        <v>0.12759999999999999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45351</v>
      </c>
      <c r="B25" s="24">
        <v>10</v>
      </c>
      <c r="C25" s="4">
        <v>10</v>
      </c>
      <c r="D25" s="4">
        <v>0</v>
      </c>
      <c r="E25" s="5">
        <v>132.10039599999999</v>
      </c>
      <c r="F25" s="32">
        <f>C25/E25</f>
        <v>7.5700000000000003E-2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10</v>
      </c>
      <c r="C29" s="4">
        <f>SUM(C25:C28)</f>
        <v>10</v>
      </c>
      <c r="D29" s="4">
        <f>SUM(D25:D28)</f>
        <v>0</v>
      </c>
      <c r="E29" s="5">
        <f>IF(B29&gt;0,SUMPRODUCT(E25:E28,F25:F28)/SUM(F25:F28),"0.00")</f>
        <v>132.10039599999999</v>
      </c>
      <c r="F29" s="6">
        <f>SUM(F25:F28)</f>
        <v>7.5700000000000003E-2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5" ht="15" customHeight="1" x14ac:dyDescent="0.25">
      <c r="A35" s="33"/>
      <c r="B35" s="24"/>
      <c r="C35" s="4"/>
      <c r="D35" s="5"/>
      <c r="E35" s="5"/>
      <c r="F35" s="32"/>
      <c r="G35" s="74"/>
      <c r="H35" s="29"/>
      <c r="I35" s="5"/>
      <c r="J35" s="4"/>
      <c r="K35" s="4"/>
      <c r="L35" s="5"/>
      <c r="M35" s="25"/>
      <c r="N35" s="29"/>
      <c r="O35" s="4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</f>
        <v>0</v>
      </c>
      <c r="C39" s="4">
        <f t="shared" ref="C39" si="3">SUM(C35:C38)</f>
        <v>0</v>
      </c>
      <c r="D39" s="4"/>
      <c r="E39" s="5" t="str">
        <f>IF(B39&gt;0,SUMPRODUCT(E35:E38,F35:F38)/SUM(F35:F38),"0.00")</f>
        <v>0.00</v>
      </c>
      <c r="F39" s="6">
        <f>SUM(F35:F38)</f>
        <v>0</v>
      </c>
      <c r="G39" s="75"/>
      <c r="H39" s="3" t="s">
        <v>2</v>
      </c>
      <c r="I39" s="4">
        <f>SUM(I35:I38)</f>
        <v>0</v>
      </c>
      <c r="J39" s="4">
        <f t="shared" ref="J39" si="4">SUM(J35:J38)</f>
        <v>0</v>
      </c>
      <c r="K39" s="5"/>
      <c r="L39" s="6">
        <f t="shared" ref="L39" si="5">SUM(L35:L38)</f>
        <v>0</v>
      </c>
      <c r="M39" s="26"/>
      <c r="N39" s="3" t="s">
        <v>2</v>
      </c>
      <c r="O39" s="4">
        <f>SUM(O35:O38)</f>
        <v>0</v>
      </c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F351420B-E068-4D33-91FE-0267F7CB5333}"/>
    <hyperlink ref="A22:O22" location="'SEB Active 80'!A1" display="SESA8FE SS „SEB Active 80“ SE0016076111" xr:uid="{74FC2537-EC8B-48AD-8369-7509EC299C2C}"/>
    <hyperlink ref="A32:O32" location="'SEB Artificial Intelligence Fun'!A1" display="„SEB Artificial Intelligence Fund&quot;" xr:uid="{7EDFEE38-AED0-455A-8E57-5D80CC155931}"/>
  </hyperlinks>
  <pageMargins left="0.7" right="0.7" top="0.75" bottom="0.75" header="0.3" footer="0.3"/>
  <ignoredErrors>
    <ignoredError sqref="E19 E29 E39" formula="1"/>
  </ignoredError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X40"/>
  <sheetViews>
    <sheetView topLeftCell="A4" workbookViewId="0">
      <selection activeCell="A32" sqref="A32:O3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2024.01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38.94</v>
      </c>
      <c r="R5" s="4">
        <v>0</v>
      </c>
      <c r="S5" s="4">
        <f>(C19+C29+C39+C49+C59+C69+C79+C89+C99+C109)-T5</f>
        <v>38.94</v>
      </c>
      <c r="T5" s="4">
        <f>(I19+I29+I39+I49+I59+I69+I79+I89+I99+I109)-W5</f>
        <v>0</v>
      </c>
      <c r="U5" s="4">
        <f>D19+D29+D39+D49+D59+D69+D79+D89+D99+D109</f>
        <v>0</v>
      </c>
      <c r="V5" s="4">
        <v>0.18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45308</v>
      </c>
      <c r="B15" s="24">
        <v>10</v>
      </c>
      <c r="C15" s="4">
        <v>10</v>
      </c>
      <c r="D15" s="4">
        <f>B15-C15</f>
        <v>0</v>
      </c>
      <c r="E15" s="5">
        <v>115.207373</v>
      </c>
      <c r="F15" s="32">
        <f>C15/E15</f>
        <v>8.6800000000000002E-2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115.207373</v>
      </c>
      <c r="F19" s="6">
        <f>SUM(F15:F18)</f>
        <v>8.6800000000000002E-2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45322</v>
      </c>
      <c r="B25" s="24">
        <v>10</v>
      </c>
      <c r="C25" s="4">
        <v>10</v>
      </c>
      <c r="D25" s="4">
        <v>0</v>
      </c>
      <c r="E25" s="5">
        <v>128.205128</v>
      </c>
      <c r="F25" s="32">
        <f>C25/E25</f>
        <v>7.8E-2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10</v>
      </c>
      <c r="C29" s="4">
        <f>SUM(C25:C28)</f>
        <v>10</v>
      </c>
      <c r="D29" s="4">
        <f>SUM(D25:D28)</f>
        <v>0</v>
      </c>
      <c r="E29" s="5">
        <f>IF(B29&gt;0,SUMPRODUCT(E25:E28,F25:F28)/SUM(F25:F28),"0.00")</f>
        <v>128.205128</v>
      </c>
      <c r="F29" s="6">
        <f>SUM(F25:F28)</f>
        <v>7.8E-2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2" spans="1:18" ht="15" customHeight="1" x14ac:dyDescent="0.25">
      <c r="A32" s="79" t="s">
        <v>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ht="15" customHeight="1" x14ac:dyDescent="0.25">
      <c r="A33" s="63" t="s">
        <v>23</v>
      </c>
      <c r="B33" s="64"/>
      <c r="C33" s="64"/>
      <c r="D33" s="64"/>
      <c r="E33" s="64"/>
      <c r="F33" s="65"/>
      <c r="G33" s="73"/>
      <c r="H33" s="76" t="s">
        <v>24</v>
      </c>
      <c r="I33" s="77"/>
      <c r="J33" s="77"/>
      <c r="K33" s="77"/>
      <c r="L33" s="78"/>
      <c r="M33" s="20"/>
      <c r="N33" s="63" t="s">
        <v>6</v>
      </c>
      <c r="O33" s="65"/>
    </row>
    <row r="34" spans="1:15" ht="15" customHeight="1" x14ac:dyDescent="0.25">
      <c r="A34" s="22" t="s">
        <v>31</v>
      </c>
      <c r="B34" s="3" t="s">
        <v>4</v>
      </c>
      <c r="C34" s="3" t="s">
        <v>33</v>
      </c>
      <c r="D34" s="3" t="s">
        <v>22</v>
      </c>
      <c r="E34" s="3" t="s">
        <v>0</v>
      </c>
      <c r="F34" s="3" t="s">
        <v>1</v>
      </c>
      <c r="G34" s="74"/>
      <c r="H34" s="22" t="s">
        <v>31</v>
      </c>
      <c r="I34" s="3" t="s">
        <v>25</v>
      </c>
      <c r="J34" s="3" t="s">
        <v>12</v>
      </c>
      <c r="K34" s="3" t="s">
        <v>0</v>
      </c>
      <c r="L34" s="3" t="s">
        <v>1</v>
      </c>
      <c r="M34" s="23"/>
      <c r="N34" s="19" t="s">
        <v>31</v>
      </c>
      <c r="O34" s="3" t="s">
        <v>25</v>
      </c>
    </row>
    <row r="35" spans="1:15" ht="15" customHeight="1" x14ac:dyDescent="0.25">
      <c r="A35" s="33" t="s">
        <v>44</v>
      </c>
      <c r="B35" s="24">
        <v>20</v>
      </c>
      <c r="C35" s="4">
        <v>20</v>
      </c>
      <c r="D35" s="5">
        <v>1.0562</v>
      </c>
      <c r="E35" s="5">
        <v>105.263158</v>
      </c>
      <c r="F35" s="32">
        <f>C35/E35</f>
        <v>0.19</v>
      </c>
      <c r="G35" s="74"/>
      <c r="H35" s="29"/>
      <c r="I35" s="5"/>
      <c r="J35" s="4"/>
      <c r="K35" s="4"/>
      <c r="L35" s="5"/>
      <c r="M35" s="25"/>
      <c r="N35" s="29"/>
      <c r="O35" s="4"/>
    </row>
    <row r="36" spans="1:15" ht="15" customHeight="1" x14ac:dyDescent="0.25">
      <c r="A36" s="29"/>
      <c r="B36" s="4"/>
      <c r="C36" s="4"/>
      <c r="D36" s="4"/>
      <c r="E36" s="5"/>
      <c r="F36" s="28"/>
      <c r="G36" s="74"/>
      <c r="H36" s="29"/>
      <c r="I36" s="2"/>
      <c r="J36" s="2"/>
      <c r="K36" s="2"/>
      <c r="L36" s="2"/>
      <c r="M36" s="15"/>
      <c r="N36" s="29"/>
      <c r="O36" s="2"/>
    </row>
    <row r="37" spans="1:15" ht="15" customHeight="1" x14ac:dyDescent="0.3">
      <c r="A37" s="29"/>
      <c r="B37" s="4"/>
      <c r="C37" s="4"/>
      <c r="D37" s="4"/>
      <c r="E37" s="5"/>
      <c r="F37" s="28"/>
      <c r="G37" s="74"/>
      <c r="H37" s="30"/>
      <c r="I37" s="2"/>
      <c r="J37" s="2"/>
      <c r="K37" s="2"/>
      <c r="L37" s="2"/>
      <c r="M37" s="15"/>
      <c r="N37" s="30"/>
      <c r="O37" s="2"/>
    </row>
    <row r="38" spans="1:15" ht="15" customHeight="1" x14ac:dyDescent="0.3">
      <c r="A38" s="29"/>
      <c r="B38" s="4"/>
      <c r="C38" s="4"/>
      <c r="D38" s="4"/>
      <c r="E38" s="5"/>
      <c r="F38" s="28"/>
      <c r="G38" s="74"/>
      <c r="H38" s="30"/>
      <c r="I38" s="2"/>
      <c r="J38" s="2"/>
      <c r="K38" s="2"/>
      <c r="L38" s="2"/>
      <c r="M38" s="15"/>
      <c r="N38" s="30"/>
      <c r="O38" s="2"/>
    </row>
    <row r="39" spans="1:15" ht="15" customHeight="1" x14ac:dyDescent="0.25">
      <c r="A39" s="3" t="s">
        <v>45</v>
      </c>
      <c r="B39" s="4">
        <f>SUM(B35:B38)/D35</f>
        <v>18.940000000000001</v>
      </c>
      <c r="C39" s="4">
        <f>SUM(C35:C38)/D35</f>
        <v>18.940000000000001</v>
      </c>
      <c r="D39" s="4"/>
      <c r="E39" s="5">
        <f>IF(B39&gt;0,SUMPRODUCT(E35:E38,F35:F38)/SUM(F35:F38),"0.00")</f>
        <v>105.263158</v>
      </c>
      <c r="F39" s="6">
        <f>SUM(F35:F38)</f>
        <v>0.19</v>
      </c>
      <c r="G39" s="75"/>
      <c r="H39" s="3" t="s">
        <v>2</v>
      </c>
      <c r="I39" s="4">
        <f>SUM(I35:I38)</f>
        <v>0</v>
      </c>
      <c r="J39" s="4">
        <f t="shared" ref="J39" si="3">SUM(J35:J38)</f>
        <v>0</v>
      </c>
      <c r="K39" s="5"/>
      <c r="L39" s="6">
        <f t="shared" ref="L39" si="4">SUM(L35:L38)</f>
        <v>0</v>
      </c>
      <c r="M39" s="26"/>
      <c r="N39" s="3" t="s">
        <v>2</v>
      </c>
      <c r="O39" s="4">
        <f>SUM(O35:O38)</f>
        <v>0</v>
      </c>
    </row>
    <row r="40" spans="1:15" x14ac:dyDescent="0.25">
      <c r="B40" s="1"/>
      <c r="C40" s="1"/>
      <c r="D40" s="1"/>
    </row>
  </sheetData>
  <mergeCells count="22">
    <mergeCell ref="A32:O32"/>
    <mergeCell ref="A33:F33"/>
    <mergeCell ref="G33:G39"/>
    <mergeCell ref="H33:L33"/>
    <mergeCell ref="N33:O33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2E304275-593C-411F-8623-61E4E40D5237}"/>
    <hyperlink ref="A22:O22" location="'SEB Active 80'!A1" display="SESA8FE SS „SEB Active 80“ SE0016076111" xr:uid="{FDC1DA7D-405C-4E73-9E71-A1D3C0FB5852}"/>
    <hyperlink ref="A32:O32" location="'SEB Artificial Intelligence Fun'!A1" display="„SEB Artificial Intelligence Fund&quot;" xr:uid="{13B45E58-F9B9-4D2E-B982-375EB0362C2B}"/>
  </hyperlinks>
  <pageMargins left="0.7" right="0.7" top="0.75" bottom="0.75" header="0.3" footer="0.3"/>
  <ignoredErrors>
    <ignoredError sqref="E19 E29" formula="1"/>
  </ignoredError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X3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2023.12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45275</v>
      </c>
      <c r="B15" s="24">
        <v>10</v>
      </c>
      <c r="C15" s="4">
        <v>10</v>
      </c>
      <c r="D15" s="4">
        <f>B15-C15</f>
        <v>0</v>
      </c>
      <c r="E15" s="5">
        <v>113.507378</v>
      </c>
      <c r="F15" s="32">
        <f>C15/E15</f>
        <v>8.8099999999999998E-2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113.507378</v>
      </c>
      <c r="F19" s="6">
        <f>SUM(F15:F18)</f>
        <v>8.8099999999999998E-2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8B60A5A5-31BC-4F9C-9763-CB2BA141DF39}"/>
    <hyperlink ref="A22:O22" location="'SEB Active 80'!A1" display="SESA8FE SS „SEB Active 80“ SE0016076111" xr:uid="{9EF079B2-EA6D-48FF-8CFF-EF8D281F195A}"/>
  </hyperlinks>
  <pageMargins left="0.7" right="0.7" top="0.75" bottom="0.75" header="0.3" footer="0.3"/>
  <ignoredErrors>
    <ignoredError sqref="E19 E29" formula="1"/>
  </ignoredError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2023.11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0.15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45246</v>
      </c>
      <c r="B15" s="24">
        <v>10</v>
      </c>
      <c r="C15" s="4">
        <v>10</v>
      </c>
      <c r="D15" s="4">
        <f>B15-C15</f>
        <v>0</v>
      </c>
      <c r="E15" s="5">
        <v>108.813928</v>
      </c>
      <c r="F15" s="32">
        <f>C15/E15</f>
        <v>9.1899999999999996E-2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108.813928</v>
      </c>
      <c r="F19" s="6">
        <f>SUM(F15:F18)</f>
        <v>9.1899999999999996E-2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6FF72776-B82F-4301-B76F-E43A22E14FBB}"/>
    <hyperlink ref="A22:O22" location="'SEB Active 80'!A1" display="SESA8FE SS „SEB Active 80“ SE0016076111" xr:uid="{5B16A732-F3E1-4FFE-B5D2-63963F22C254}"/>
  </hyperlinks>
  <pageMargins left="0.7" right="0.7" top="0.75" bottom="0.75" header="0.3" footer="0.3"/>
  <ignoredErrors>
    <ignoredError sqref="E29 E19" formula="1"/>
  </ignoredError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0.15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45216</v>
      </c>
      <c r="B15" s="24">
        <v>10</v>
      </c>
      <c r="C15" s="4">
        <v>10</v>
      </c>
      <c r="D15" s="4">
        <f>B15-C15</f>
        <v>0</v>
      </c>
      <c r="E15" s="5">
        <v>108.48987</v>
      </c>
      <c r="F15" s="32">
        <f>C15/E15</f>
        <v>9.2200000000000004E-2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108.48987</v>
      </c>
      <c r="F19" s="6">
        <f>SUM(F15:F18)</f>
        <v>9.2200000000000004E-2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41EA541E-BB18-44BC-8D46-354EDF79BA60}"/>
    <hyperlink ref="A22:O22" location="'SEB Active 80'!A1" display="SESA8FE SS „SEB Active 80“ SE0016076111" xr:uid="{268AA7B0-2A96-4ABD-B778-4B1DB5DD316F}"/>
  </hyperlinks>
  <pageMargins left="0.7" right="0.7" top="0.75" bottom="0.75" header="0.3" footer="0.3"/>
  <ignoredErrors>
    <ignoredError sqref="E19 E29" formula="1"/>
  </ignoredError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2023.09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0.15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45184</v>
      </c>
      <c r="B15" s="24">
        <v>10</v>
      </c>
      <c r="C15" s="4">
        <v>10</v>
      </c>
      <c r="D15" s="4">
        <f>B15-C15</f>
        <v>0</v>
      </c>
      <c r="E15" s="5">
        <v>108.695652</v>
      </c>
      <c r="F15" s="32">
        <f>C15/E15</f>
        <v>9.1999999999999998E-2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108.695652</v>
      </c>
      <c r="F19" s="6">
        <f>SUM(F15:F18)</f>
        <v>9.1999999999999998E-2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BAC5A47D-2A68-4B84-90F7-5E7672047611}"/>
    <hyperlink ref="A22:O22" location="'SEB Active 80'!A1" display="SESA8FE SS „SEB Active 80“ SE0016076111" xr:uid="{A5344A89-6557-41EB-BD72-C7961A7A0A52}"/>
  </hyperlinks>
  <pageMargins left="0.7" right="0.7" top="0.75" bottom="0.75" header="0.3" footer="0.3"/>
  <ignoredErrors>
    <ignoredError sqref="E29 E19" formula="1"/>
  </ignoredError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2023.08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0.14000000000000001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45155</v>
      </c>
      <c r="B15" s="24">
        <v>10</v>
      </c>
      <c r="C15" s="4">
        <v>10</v>
      </c>
      <c r="D15" s="4">
        <f>B15-C15</f>
        <v>0</v>
      </c>
      <c r="E15" s="5">
        <v>108.45987</v>
      </c>
      <c r="F15" s="32">
        <f>C15/E15</f>
        <v>9.2200000000000004E-2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108.45987</v>
      </c>
      <c r="F19" s="6">
        <f>SUM(F15:F18)</f>
        <v>9.2200000000000004E-2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0A427C75-AABE-4A02-9FD3-DF6C5DCAB7E3}"/>
    <hyperlink ref="A22:O22" location="'SEB Active 80'!A1" display="SESA8FE SS „SEB Active 80“ SE0016076111" xr:uid="{6AB817CC-FD28-4B85-9857-CD33E62F6DE7}"/>
  </hyperlinks>
  <pageMargins left="0.7" right="0.7" top="0.75" bottom="0.75" header="0.3" footer="0.3"/>
  <ignoredErrors>
    <ignoredError sqref="E19 E29" formula="1"/>
  </ignoredError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2023.07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0.14000000000000001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45124</v>
      </c>
      <c r="B15" s="24">
        <v>10</v>
      </c>
      <c r="C15" s="4">
        <v>10</v>
      </c>
      <c r="D15" s="4">
        <f>B15-C15</f>
        <v>0</v>
      </c>
      <c r="E15" s="5">
        <v>109.40919</v>
      </c>
      <c r="F15" s="32">
        <f>C15/E15</f>
        <v>9.1399999999999995E-2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109.40919</v>
      </c>
      <c r="F19" s="6">
        <f>SUM(F15:F18)</f>
        <v>9.1399999999999995E-2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50248925-F18E-44BE-B6E5-0946208DE29D}"/>
    <hyperlink ref="A22:O22" location="'SEB Active 80'!A1" display="SESA8FE SS „SEB Active 80“ SE0016076111" xr:uid="{0FE7C52A-72C3-45EF-9909-8E73D806E348}"/>
  </hyperlinks>
  <pageMargins left="0.7" right="0.7" top="0.75" bottom="0.75" header="0.3" footer="0.3"/>
  <ignoredErrors>
    <ignoredError sqref="E29 E19" formula="1"/>
  </ignoredError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2023.06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0.13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45092</v>
      </c>
      <c r="B15" s="24">
        <v>10</v>
      </c>
      <c r="C15" s="4">
        <v>10</v>
      </c>
      <c r="D15" s="4">
        <f>B15-C15</f>
        <v>0</v>
      </c>
      <c r="E15" s="5">
        <v>109.649123</v>
      </c>
      <c r="F15" s="32">
        <f>C15/E15</f>
        <v>9.1200000000000003E-2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109.649123</v>
      </c>
      <c r="F19" s="6">
        <f>SUM(F15:F18)</f>
        <v>9.1200000000000003E-2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9CF8199B-6AB6-4998-8034-B021335587C5}"/>
    <hyperlink ref="A22:O22" location="'SEB Active 80'!A1" display="SESA8FE SS „SEB Active 80“ SE0016076111" xr:uid="{F2D76776-FF49-483E-AC1E-F1DABECE93B0}"/>
  </hyperlinks>
  <pageMargins left="0.7" right="0.7" top="0.75" bottom="0.75" header="0.3" footer="0.3"/>
  <ignoredErrors>
    <ignoredError sqref="E19 E29" formula="1"/>
  </ignoredError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2023.05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0.13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45063</v>
      </c>
      <c r="B15" s="24">
        <v>10</v>
      </c>
      <c r="C15" s="4">
        <v>10</v>
      </c>
      <c r="D15" s="4">
        <f>B15-C15</f>
        <v>0</v>
      </c>
      <c r="E15" s="5">
        <v>107.874865</v>
      </c>
      <c r="F15" s="32">
        <f>C15/E15</f>
        <v>9.2700000000000005E-2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107.874865</v>
      </c>
      <c r="F19" s="6">
        <f>SUM(F15:F18)</f>
        <v>9.2700000000000005E-2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60ABCEC7-AEBA-40E1-9604-41DAEA109F55}"/>
    <hyperlink ref="A22:O22" location="'SEB Active 80'!A1" display="SESA8FE SS „SEB Active 80“ SE0016076111" xr:uid="{297DFEBA-FED2-4CA9-A66F-EE7A0D2CD42E}"/>
  </hyperlinks>
  <pageMargins left="0.7" right="0.7" top="0.75" bottom="0.75" header="0.3" footer="0.3"/>
  <ignoredErrors>
    <ignoredError sqref="E19 E29" formula="1"/>
  </ignoredError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2023.04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0.13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45033</v>
      </c>
      <c r="B15" s="24">
        <v>10</v>
      </c>
      <c r="C15" s="4">
        <v>10</v>
      </c>
      <c r="D15" s="4">
        <f>B15-C15</f>
        <v>0</v>
      </c>
      <c r="E15" s="5">
        <v>106.83760700000001</v>
      </c>
      <c r="F15" s="32">
        <f>C15/E15</f>
        <v>9.3600000000000003E-2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106.83760700000001</v>
      </c>
      <c r="F19" s="6">
        <f>SUM(F15:F18)</f>
        <v>9.3600000000000003E-2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8BC2DF2C-BCFC-4F67-A287-8B61637AB104}"/>
    <hyperlink ref="A22:O22" location="'SEB Active 80'!A1" display="SESA8FE SS „SEB Active 80“ SE0016076111" xr:uid="{19AC1809-4455-4931-89FD-867EBC59FC95}"/>
  </hyperlinks>
  <pageMargins left="0.7" right="0.7" top="0.75" bottom="0.75" header="0.3" footer="0.3"/>
  <ignoredErrors>
    <ignoredError sqref="E19 E29" formula="1"/>
  </ignoredError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2023.03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45001</v>
      </c>
      <c r="B15" s="24">
        <v>10</v>
      </c>
      <c r="C15" s="4">
        <v>10</v>
      </c>
      <c r="D15" s="4">
        <f>B15-C15</f>
        <v>0</v>
      </c>
      <c r="E15" s="5">
        <v>104.931794</v>
      </c>
      <c r="F15" s="32">
        <f>C15/E15</f>
        <v>9.5299999999999996E-2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104.931794</v>
      </c>
      <c r="F19" s="6">
        <f>SUM(F15:F18)</f>
        <v>9.5299999999999996E-2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1E887F32-CCF2-4586-B529-1593D959D22B}"/>
    <hyperlink ref="A22:O22" location="'SEB Active 80'!A1" display="SESA8FE SS „SEB Active 80“ SE0016076111" xr:uid="{063336B0-99B6-439B-B790-05CB34A3B6CE}"/>
  </hyperlinks>
  <pageMargins left="0.7" right="0.7" top="0.75" bottom="0.75" header="0.3" footer="0.3"/>
  <ignoredErrors>
    <ignoredError sqref="E19 E29" formula="1"/>
  </ignoredError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44974</v>
      </c>
      <c r="B15" s="24">
        <v>10</v>
      </c>
      <c r="C15" s="4">
        <v>10</v>
      </c>
      <c r="D15" s="4">
        <f>B15-C15</f>
        <v>0</v>
      </c>
      <c r="E15" s="5">
        <v>108.813928</v>
      </c>
      <c r="F15" s="32">
        <f>C15/E15</f>
        <v>9.1899999999999996E-2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108.813928</v>
      </c>
      <c r="F19" s="6">
        <f>SUM(F15:F18)</f>
        <v>9.1899999999999996E-2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B3C1035E-C6DC-4227-BAC8-F075D16BBAEA}"/>
    <hyperlink ref="A22:O22" location="'SEB Active 80'!A1" display="SESA8FE SS „SEB Active 80“ SE0016076111" xr:uid="{1CCD735B-BA17-4837-9057-F75BDD011D58}"/>
  </hyperlinks>
  <pageMargins left="0.7" right="0.7" top="0.75" bottom="0.75" header="0.3" footer="0.3"/>
  <ignoredErrors>
    <ignoredError sqref="E19 E29" formula="1"/>
  </ignoredError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X30"/>
  <sheetViews>
    <sheetView workbookViewId="0">
      <selection activeCell="Q7" sqref="Q7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2023.01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44943</v>
      </c>
      <c r="B15" s="24">
        <v>10</v>
      </c>
      <c r="C15" s="4">
        <v>10</v>
      </c>
      <c r="D15" s="4">
        <f>B15-C15</f>
        <v>0</v>
      </c>
      <c r="E15" s="5">
        <v>106.609808</v>
      </c>
      <c r="F15" s="32">
        <f>C15/E15</f>
        <v>9.3799999999999994E-2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106.609808</v>
      </c>
      <c r="F19" s="6">
        <f>SUM(F15:F18)</f>
        <v>9.3799999999999994E-2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07231415-2BC5-4268-B63B-34FA3462F04D}"/>
    <hyperlink ref="A22:O22" location="'SEB Active 80'!A1" display="SESA8FE SS „SEB Active 80“ SE0016076111" xr:uid="{074A331A-BF0E-4165-B44C-11989E289FF4}"/>
  </hyperlinks>
  <pageMargins left="0.7" right="0.7" top="0.75" bottom="0.75" header="0.3" footer="0.3"/>
  <ignoredErrors>
    <ignoredError sqref="E29 E19" formula="1"/>
  </ignoredError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2022.12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44910</v>
      </c>
      <c r="B15" s="24">
        <v>10</v>
      </c>
      <c r="C15" s="4">
        <v>10</v>
      </c>
      <c r="D15" s="4">
        <f>B15-C15</f>
        <v>0</v>
      </c>
      <c r="E15" s="5">
        <v>106.95187199999999</v>
      </c>
      <c r="F15" s="32">
        <f>C15/E15</f>
        <v>9.35E-2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106.95187199999999</v>
      </c>
      <c r="F19" s="6">
        <f>SUM(F15:F18)</f>
        <v>9.35E-2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8315F0C5-5077-4316-9A4E-BCD01BAAA2F3}"/>
    <hyperlink ref="A22:O22" location="'SEB Active 80'!A1" display="SESA8FE SS „SEB Active 80“ SE0016076111" xr:uid="{0CFE0E7C-0E72-402B-A136-958D57B6DA65}"/>
  </hyperlinks>
  <pageMargins left="0.7" right="0.7" top="0.75" bottom="0.75" header="0.3" footer="0.3"/>
  <ignoredErrors>
    <ignoredError sqref="E19 E29" formula="1"/>
  </ignoredError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2022.11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44882</v>
      </c>
      <c r="B15" s="24">
        <v>10</v>
      </c>
      <c r="C15" s="4">
        <v>10</v>
      </c>
      <c r="D15" s="4">
        <f>B15-C15</f>
        <v>0</v>
      </c>
      <c r="E15" s="5">
        <v>105.70824500000001</v>
      </c>
      <c r="F15" s="32">
        <f>C15/E15</f>
        <v>9.4600000000000004E-2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105.70824500000001</v>
      </c>
      <c r="F19" s="6">
        <f>SUM(F15:F18)</f>
        <v>9.4600000000000004E-2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BBC29188-A988-40A6-9F86-98475588F361}"/>
    <hyperlink ref="A22:O22" location="'SEB Active 80'!A1" display="SESA8FE SS „SEB Active 80“ SE0016076111" xr:uid="{EF80C376-88C6-4DAD-AA13-1A978D900CC9}"/>
  </hyperlinks>
  <pageMargins left="0.7" right="0.7" top="0.75" bottom="0.75" header="0.3" footer="0.3"/>
  <ignoredErrors>
    <ignoredError sqref="E19 E29" formula="1"/>
  </ignoredError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44851</v>
      </c>
      <c r="B15" s="24">
        <v>10</v>
      </c>
      <c r="C15" s="4">
        <v>10</v>
      </c>
      <c r="D15" s="4">
        <f>B15-C15</f>
        <v>0</v>
      </c>
      <c r="E15" s="5">
        <v>99.900099999999995</v>
      </c>
      <c r="F15" s="32">
        <f>C15/E15</f>
        <v>0.10009999999999999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99.900099999999995</v>
      </c>
      <c r="F19" s="6">
        <f>SUM(F15:F18)</f>
        <v>0.10009999999999999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22:O22" location="'SEB Active 80'!A1" display="SESA8FE SS „SEB Active 80“ SE0016076111" xr:uid="{240FD836-6A8E-4802-9965-946D357BCF44}"/>
    <hyperlink ref="A12:O12" location="'SEB Active 55'!A1" display="SESA5FE SS „SEB Active 55“ SE0016076046" xr:uid="{3E632226-AFD2-4DB0-81A5-2EB6BD667213}"/>
  </hyperlinks>
  <pageMargins left="0.7" right="0.7" top="0.75" bottom="0.75" header="0.3" footer="0.3"/>
  <ignoredErrors>
    <ignoredError sqref="E19 E29" formula="1"/>
  </ignoredError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2022.09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44819</v>
      </c>
      <c r="B15" s="24">
        <v>10</v>
      </c>
      <c r="C15" s="4">
        <v>10</v>
      </c>
      <c r="D15" s="4">
        <f>B15-C15</f>
        <v>0</v>
      </c>
      <c r="E15" s="5">
        <v>107.181136</v>
      </c>
      <c r="F15" s="32">
        <f>C15/E15</f>
        <v>9.3299999999999994E-2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107.181136</v>
      </c>
      <c r="F19" s="6">
        <f>SUM(F15:F18)</f>
        <v>9.3299999999999994E-2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BC2BBE0C-0A8D-4349-AC0C-2641FD314659}"/>
    <hyperlink ref="A22:O22" location="'SEB Active 80'!A1" display="SESA8FE SS „SEB Active 80“ SE0016076111" xr:uid="{8DAD057B-096D-4876-B544-109A6EB1B9C8}"/>
  </hyperlinks>
  <pageMargins left="0.7" right="0.7" top="0.75" bottom="0.75" header="0.3" footer="0.3"/>
  <ignoredErrors>
    <ignoredError sqref="E19 E29" formula="1"/>
  </ignoredError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2022.08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44790</v>
      </c>
      <c r="B15" s="24">
        <v>10</v>
      </c>
      <c r="C15" s="4">
        <v>10</v>
      </c>
      <c r="D15" s="4">
        <f>B15-C15</f>
        <v>0</v>
      </c>
      <c r="E15" s="5">
        <v>111.982083</v>
      </c>
      <c r="F15" s="32">
        <f>C15/E15</f>
        <v>8.9300000000000004E-2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111.982083</v>
      </c>
      <c r="F19" s="6">
        <f>SUM(F15:F18)</f>
        <v>8.9300000000000004E-2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2E76550A-1557-4475-88FE-F292A9BD3663}"/>
    <hyperlink ref="A22:O22" location="'SEB Active 80'!A1" display="SESA8FE SS „SEB Active 80“ SE0016076111" xr:uid="{8E86B1E8-6F6C-4EBC-A072-32734CB56396}"/>
  </hyperlinks>
  <pageMargins left="0.7" right="0.7" top="0.75" bottom="0.75" header="0.3" footer="0.3"/>
  <ignoredErrors>
    <ignoredError sqref="E19 E29" formula="1"/>
  </ignoredError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2022.07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44757</v>
      </c>
      <c r="B15" s="24">
        <v>10</v>
      </c>
      <c r="C15" s="4">
        <v>10</v>
      </c>
      <c r="D15" s="4">
        <f>B15-C15</f>
        <v>0</v>
      </c>
      <c r="E15" s="5">
        <v>106.157113</v>
      </c>
      <c r="F15" s="32">
        <f>C15/E15</f>
        <v>9.4200000000000006E-2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106.157113</v>
      </c>
      <c r="F19" s="6">
        <f>SUM(F15:F18)</f>
        <v>9.4200000000000006E-2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9B5D97FE-1BE1-4185-9DFD-5EC0452D2D85}"/>
    <hyperlink ref="A22:O22" location="'SEB Active 80'!A1" display="SESA8FE SS „SEB Active 80“ SE0016076111" xr:uid="{7EE0D1B6-90CD-4648-BAA6-D14356922CCF}"/>
  </hyperlinks>
  <pageMargins left="0.7" right="0.7" top="0.75" bottom="0.75" header="0.3" footer="0.3"/>
  <ignoredErrors>
    <ignoredError sqref="E19 E29" formula="1"/>
  </ignoredError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2022.06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0.09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44728</v>
      </c>
      <c r="B15" s="24">
        <v>10</v>
      </c>
      <c r="C15" s="4">
        <v>10</v>
      </c>
      <c r="D15" s="4">
        <f>B15-C15</f>
        <v>0</v>
      </c>
      <c r="E15" s="5">
        <v>103.950104</v>
      </c>
      <c r="F15" s="32">
        <f>C15/E15</f>
        <v>9.6199999999999994E-2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103.950104</v>
      </c>
      <c r="F19" s="6">
        <f>SUM(F15:F18)</f>
        <v>9.6199999999999994E-2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4B11E106-0253-4B28-9242-89C18A5E0757}"/>
    <hyperlink ref="A22:O22" location="'SEB Active 80'!A1" display="SESA8FE SS „SEB Active 80“ SE0016076111" xr:uid="{DB65CE04-483F-4F6B-A346-4F97C80B1389}"/>
  </hyperlinks>
  <pageMargins left="0.7" right="0.7" top="0.75" bottom="0.75" header="0.3" footer="0.3"/>
  <ignoredErrors>
    <ignoredError sqref="E19 E29" formula="1"/>
  </ignoredError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2022.05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44698</v>
      </c>
      <c r="B15" s="24">
        <v>10</v>
      </c>
      <c r="C15" s="4">
        <v>10</v>
      </c>
      <c r="D15" s="4">
        <f>B15-C15</f>
        <v>0</v>
      </c>
      <c r="E15" s="5">
        <v>108.108108</v>
      </c>
      <c r="F15" s="32">
        <f>C15/E15</f>
        <v>9.2499999999999999E-2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108.108108</v>
      </c>
      <c r="F19" s="6">
        <f>SUM(F15:F18)</f>
        <v>9.2499999999999999E-2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C183825C-8B22-44C5-8E6A-B8D4384EF9B2}"/>
    <hyperlink ref="A22:O22" location="'SEB Active 80'!A1" display="SESA8FE SS „SEB Active 80“ SE0016076111" xr:uid="{2FAB2018-1C06-48FA-9074-16E399E2AB4D}"/>
  </hyperlinks>
  <pageMargins left="0.7" right="0.7" top="0.75" bottom="0.75" header="0.3" footer="0.3"/>
  <ignoredErrors>
    <ignoredError sqref="E19 E29" formula="1"/>
  </ignoredError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2022.04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0.09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44670</v>
      </c>
      <c r="B15" s="24">
        <v>10</v>
      </c>
      <c r="C15" s="4">
        <v>10</v>
      </c>
      <c r="D15" s="4">
        <f>B15-C15</f>
        <v>0</v>
      </c>
      <c r="E15" s="5">
        <v>114.416476</v>
      </c>
      <c r="F15" s="32">
        <f>C15/E15</f>
        <v>8.7400000000000005E-2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114.416476</v>
      </c>
      <c r="F19" s="6">
        <f>SUM(F15:F18)</f>
        <v>8.7400000000000005E-2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9576D34E-4293-4C66-9FF4-4980BFDB4433}"/>
    <hyperlink ref="A22:O22" location="'SEB Active 80'!A1" display="SESA8FE SS „SEB Active 80“ SE0016076111" xr:uid="{5555B5B1-3F84-40E4-9C6C-268EACA81857}"/>
  </hyperlinks>
  <pageMargins left="0.7" right="0.7" top="0.75" bottom="0.75" header="0.3" footer="0.3"/>
  <ignoredErrors>
    <ignoredError sqref="E19 E29" formula="1"/>
  </ignoredError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2022.03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44637</v>
      </c>
      <c r="B15" s="24">
        <v>10</v>
      </c>
      <c r="C15" s="4">
        <v>10</v>
      </c>
      <c r="D15" s="4">
        <f>B15-C15</f>
        <v>0</v>
      </c>
      <c r="E15" s="5">
        <v>110.987791</v>
      </c>
      <c r="F15" s="32">
        <f>C15/E15</f>
        <v>9.01E-2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110.987791</v>
      </c>
      <c r="F19" s="6">
        <f>SUM(F15:F18)</f>
        <v>9.01E-2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6B500332-7A48-4F8A-875E-B49F7E446571}"/>
    <hyperlink ref="A22:O22" location="'SEB Active 80'!A1" display="SESA8FE SS „SEB Active 80“ SE0016076111" xr:uid="{38CE39DA-AAED-4DD8-9BCF-B784957693C2}"/>
  </hyperlinks>
  <pageMargins left="0.7" right="0.7" top="0.75" bottom="0.75" header="0.3" footer="0.3"/>
  <ignoredErrors>
    <ignoredError sqref="E29 E19" formula="1"/>
  </ignoredError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10</v>
      </c>
      <c r="R5" s="4">
        <v>0</v>
      </c>
      <c r="S5" s="4">
        <f>(C19+C29+C39+C49+C59+C69+C79+C89+C99+C109)-T5</f>
        <v>10</v>
      </c>
      <c r="T5" s="4">
        <f>(I19+I29+I39+I49+I59+I69+I79+I89+I99+I109)-W5</f>
        <v>0</v>
      </c>
      <c r="U5" s="4">
        <f>D19+D29+D39+D49+D59+D69+D79+D89+D99+D109</f>
        <v>0</v>
      </c>
      <c r="V5" s="4">
        <v>0.09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44609</v>
      </c>
      <c r="B15" s="24">
        <v>10</v>
      </c>
      <c r="C15" s="4">
        <v>10</v>
      </c>
      <c r="D15" s="4">
        <f>B15-C15</f>
        <v>0</v>
      </c>
      <c r="E15" s="5">
        <v>115.606936</v>
      </c>
      <c r="F15" s="32">
        <f>C15/E15</f>
        <v>8.6499999999999994E-2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115.606936</v>
      </c>
      <c r="F19" s="6">
        <f>SUM(F15:F18)</f>
        <v>8.6499999999999994E-2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7B6964FA-805D-4FF7-B428-06969B588233}"/>
    <hyperlink ref="A22:O22" location="'SEB Active 80'!A1" display="SESA8FE SS „SEB Active 80“ SE0016076111" xr:uid="{D47E057E-6F3A-4148-9FFE-3F4AB5CABB1F}"/>
  </hyperlinks>
  <pageMargins left="0.7" right="0.7" top="0.75" bottom="0.75" header="0.3" footer="0.3"/>
  <ignoredErrors>
    <ignoredError sqref="E19 E29" formula="1"/>
  </ignoredError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2022.01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28</v>
      </c>
      <c r="R5" s="4">
        <v>0</v>
      </c>
      <c r="S5" s="4">
        <f>(C19+C29+C39+C49+C59+C69+C79+C89+C99+C109)-T5</f>
        <v>28</v>
      </c>
      <c r="T5" s="4">
        <f>(I19+I29+I39+I49+I59+I69+I79+I89+I99+I109)-W5</f>
        <v>0</v>
      </c>
      <c r="U5" s="4">
        <f>D19+D29+D39+D49+D59+D69+D79+D89+D99+D109</f>
        <v>0</v>
      </c>
      <c r="V5" s="4">
        <v>0.08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44578</v>
      </c>
      <c r="B15" s="24">
        <v>10</v>
      </c>
      <c r="C15" s="4">
        <v>10</v>
      </c>
      <c r="D15" s="4">
        <f>B15-C15</f>
        <v>0</v>
      </c>
      <c r="E15" s="5">
        <v>120.481928</v>
      </c>
      <c r="F15" s="32">
        <f>C15/E15</f>
        <v>8.3000000000000004E-2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>
        <v>44581</v>
      </c>
      <c r="B16" s="4">
        <v>18</v>
      </c>
      <c r="C16" s="4">
        <v>18</v>
      </c>
      <c r="D16" s="4">
        <f>B16-C16</f>
        <v>0</v>
      </c>
      <c r="E16" s="5">
        <v>118.57707499999999</v>
      </c>
      <c r="F16" s="32">
        <f>C16/E16</f>
        <v>0.15179999999999999</v>
      </c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32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6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28</v>
      </c>
      <c r="C19" s="4">
        <f>SUM(C15:C18)</f>
        <v>28</v>
      </c>
      <c r="D19" s="4">
        <f>SUM(D15:D18)</f>
        <v>0</v>
      </c>
      <c r="E19" s="5">
        <f>IF(B19&gt;0,SUMPRODUCT(E15:E18,F15:F18)/SUM(F15:F18),"0.00")</f>
        <v>119.25042593270901</v>
      </c>
      <c r="F19" s="6">
        <f>SUM(F15:F18)</f>
        <v>0.23480000000000001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82AB21B1-AFC9-4E86-B595-E35798F93F41}"/>
    <hyperlink ref="A22:O22" location="'SEB Active 80'!A1" display="SESA8FE SS „SEB Active 80“ SE0016076111" xr:uid="{777AA7A2-4DAA-4887-85DD-09F9C73599AE}"/>
  </hyperlinks>
  <pageMargins left="0.7" right="0.7" top="0.75" bottom="0.75" header="0.3" footer="0.3"/>
  <ignoredErrors>
    <ignoredError sqref="E19 E29" formula="1"/>
  </ignoredError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X31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2021.12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45</v>
      </c>
      <c r="R5" s="4">
        <v>0</v>
      </c>
      <c r="S5" s="4">
        <f>(C19+C29+C39+C49+C59+C69+C79+C89+C99+C109)-T5</f>
        <v>45</v>
      </c>
      <c r="T5" s="4">
        <f>(I19+I29+I39+I49+I59+I69+I79+I89+I99+I109)-W5</f>
        <v>0</v>
      </c>
      <c r="U5" s="4">
        <f>D19+D29+D39+D49+D59+D69+D79+D89+D99+D109</f>
        <v>0</v>
      </c>
      <c r="V5" s="4">
        <v>0.08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44545</v>
      </c>
      <c r="B15" s="24">
        <v>10</v>
      </c>
      <c r="C15" s="4">
        <v>10</v>
      </c>
      <c r="D15" s="4">
        <f>B15-C15</f>
        <v>0</v>
      </c>
      <c r="E15" s="5">
        <v>121.506683</v>
      </c>
      <c r="F15" s="32">
        <f>C15/E15</f>
        <v>8.2299999999999998E-2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>
        <v>44546</v>
      </c>
      <c r="B16" s="4">
        <v>10</v>
      </c>
      <c r="C16" s="4">
        <v>10</v>
      </c>
      <c r="D16" s="4">
        <f>B16-C16</f>
        <v>0</v>
      </c>
      <c r="E16" s="5">
        <v>120.481928</v>
      </c>
      <c r="F16" s="32">
        <f>C16/E16</f>
        <v>8.3000000000000004E-2</v>
      </c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>
        <v>44559</v>
      </c>
      <c r="B17" s="4">
        <v>15</v>
      </c>
      <c r="C17" s="4">
        <v>15</v>
      </c>
      <c r="D17" s="4">
        <f>B17-C17</f>
        <v>0</v>
      </c>
      <c r="E17" s="5">
        <v>122.850123</v>
      </c>
      <c r="F17" s="32">
        <f>C17/E17</f>
        <v>0.1221</v>
      </c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6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35</v>
      </c>
      <c r="C19" s="4">
        <f>SUM(C15:C18)</f>
        <v>35</v>
      </c>
      <c r="D19" s="4">
        <f>SUM(D15:D18)</f>
        <v>0</v>
      </c>
      <c r="E19" s="5">
        <f>IF(B19&gt;0,SUMPRODUCT(E15:E18,F15:F18)/SUM(F15:F18),"0.00")</f>
        <v>121.781489398747</v>
      </c>
      <c r="F19" s="6">
        <f>SUM(F15:F18)</f>
        <v>0.28739999999999999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44545</v>
      </c>
      <c r="B25" s="24">
        <v>10</v>
      </c>
      <c r="C25" s="4">
        <v>10</v>
      </c>
      <c r="D25" s="4">
        <f>B25-C25</f>
        <v>0</v>
      </c>
      <c r="E25" s="5">
        <v>133.511348</v>
      </c>
      <c r="F25" s="32">
        <f>C25/E25</f>
        <v>7.4899999999999994E-2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32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32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10</v>
      </c>
      <c r="C29" s="4">
        <f>SUM(C25:C28)</f>
        <v>10</v>
      </c>
      <c r="D29" s="4">
        <f>SUM(D25:D28)</f>
        <v>0</v>
      </c>
      <c r="E29" s="5">
        <f>IF(B29&gt;0,SUMPRODUCT(E25:E28,F25:F28)/SUM(F25:F28),"0.00")</f>
        <v>133.511348</v>
      </c>
      <c r="F29" s="6">
        <f>SUM(F25:F28)</f>
        <v>7.4899999999999994E-2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  <row r="31" spans="1:18" x14ac:dyDescent="0.25">
      <c r="B31" s="1"/>
      <c r="C31" s="1"/>
      <c r="D31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B6078C38-99CE-4746-83CE-6865884519E9}"/>
    <hyperlink ref="A22:O22" location="'SEB Active 80'!A1" display="SESA8FE SS „SEB Active 80“ SE0016076111" xr:uid="{39B1A291-1DE2-4CF3-8A46-568EA1C98687}"/>
  </hyperlinks>
  <pageMargins left="0.7" right="0.7" top="0.75" bottom="0.75" header="0.3" footer="0.3"/>
  <ignoredErrors>
    <ignoredError sqref="E29 E19" formula="1"/>
  </ignoredError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X32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2">
        <v>2021.11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9</v>
      </c>
      <c r="R5" s="4">
        <v>0</v>
      </c>
      <c r="S5" s="4">
        <f>(C19+C29+C39+C49+C59+C69+C79+C89+C99+C109)-T5</f>
        <v>9</v>
      </c>
      <c r="T5" s="4">
        <f>(I19+I29+I39+I49+I59+I69+I79+I89+I99+I109)-W5</f>
        <v>0</v>
      </c>
      <c r="U5" s="4">
        <f>D19+D29+D39+D49+D59+D69+D79+D89+D99+D109</f>
        <v>0</v>
      </c>
      <c r="V5" s="4">
        <v>0.06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42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/>
      <c r="B15" s="24"/>
      <c r="C15" s="4"/>
      <c r="D15" s="4"/>
      <c r="E15" s="5"/>
      <c r="F15" s="7"/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0</v>
      </c>
      <c r="C19" s="4">
        <f>SUM(C15:C18)</f>
        <v>0</v>
      </c>
      <c r="D19" s="4">
        <f>SUM(D15:D18)</f>
        <v>0</v>
      </c>
      <c r="E19" s="5" t="str">
        <f>IF(B19&gt;0,SUMPRODUCT(E15:E18,F15:F18)/SUM(F15:F18),"0.00")</f>
        <v>0.00</v>
      </c>
      <c r="F19" s="7">
        <f>SUM(F15:F18)</f>
        <v>0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41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44503</v>
      </c>
      <c r="B25" s="24">
        <v>3</v>
      </c>
      <c r="C25" s="4">
        <v>3</v>
      </c>
      <c r="D25" s="4">
        <f>B25-C25</f>
        <v>0</v>
      </c>
      <c r="E25" s="5">
        <v>136.36363600000001</v>
      </c>
      <c r="F25" s="32">
        <f>C25/E25</f>
        <v>2.1999999999999999E-2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44529</v>
      </c>
      <c r="B26" s="4">
        <v>6</v>
      </c>
      <c r="C26" s="4">
        <v>6</v>
      </c>
      <c r="D26" s="4">
        <f>B26-C26</f>
        <v>0</v>
      </c>
      <c r="E26" s="5">
        <v>135.13513499999999</v>
      </c>
      <c r="F26" s="32">
        <f>C26/E26</f>
        <v>4.4400000000000002E-2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32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32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9</v>
      </c>
      <c r="C29" s="4">
        <f>SUM(C25:C28)</f>
        <v>9</v>
      </c>
      <c r="D29" s="4">
        <f>SUM(D25:D28)</f>
        <v>0</v>
      </c>
      <c r="E29" s="5">
        <f>IF(B29&gt;0,SUMPRODUCT(E25:E28,F25:F28)/SUM(F25:F28),"0.00")</f>
        <v>135.54216846385501</v>
      </c>
      <c r="F29" s="6">
        <f>SUM(F25:F28)</f>
        <v>6.6400000000000001E-2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  <row r="32" spans="1:18" x14ac:dyDescent="0.25">
      <c r="A32" t="s">
        <v>43</v>
      </c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22:O22" location="'SEB Active 80'!A1" display="SESA8FE SS „SEB Active 80“ SE0016076111" xr:uid="{32180A04-04C1-4083-94F3-254802283B9C}"/>
    <hyperlink ref="A12:O12" location="'SEB Active 55'!A1" display="SESA5FE SS „SEB Active 55“ SE0016076046" xr:uid="{BB8F8EEA-31B2-4293-B735-FDD8A181A84D}"/>
  </hyperlinks>
  <pageMargins left="0.7" right="0.7" top="0.75" bottom="0.75" header="0.3" footer="0.3"/>
  <ignoredErrors>
    <ignoredError sqref="E19 E29" formula="1"/>
  </ignoredError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X30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9">
        <v>2021.1</v>
      </c>
      <c r="R2" s="83"/>
      <c r="S2" s="83"/>
      <c r="T2" s="83"/>
      <c r="U2" s="83"/>
      <c r="V2" s="83"/>
      <c r="W2" s="83"/>
      <c r="X2" s="84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37</v>
      </c>
      <c r="R5" s="4">
        <v>0</v>
      </c>
      <c r="S5" s="4">
        <f>(C19+C29+C39+C49+C59+C69+C79+C89+C99+C109)-T5</f>
        <v>37</v>
      </c>
      <c r="T5" s="4">
        <f>(I19+I29+I39+I49+I59+I69+I79+I89+I99+I109)-W5</f>
        <v>0</v>
      </c>
      <c r="U5" s="4">
        <f>D19+D29+D39+D49+D59+D69+D79+D89+D99+D109</f>
        <v>0</v>
      </c>
      <c r="V5" s="4">
        <v>0.04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34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44487</v>
      </c>
      <c r="B15" s="24">
        <v>10</v>
      </c>
      <c r="C15" s="4">
        <v>10</v>
      </c>
      <c r="D15" s="4">
        <f>B15-C15</f>
        <v>0</v>
      </c>
      <c r="E15" s="5">
        <v>120.481928</v>
      </c>
      <c r="F15" s="7">
        <f>B15/E15</f>
        <v>8.3000000000000004E-2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120.481928</v>
      </c>
      <c r="F19" s="7">
        <f>SUM(F15:F18)</f>
        <v>8.3000000000000004E-2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57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44470</v>
      </c>
      <c r="B25" s="24">
        <v>9</v>
      </c>
      <c r="C25" s="4">
        <v>9</v>
      </c>
      <c r="D25" s="4">
        <f>B25-C25</f>
        <v>0</v>
      </c>
      <c r="E25" s="5">
        <v>132.35294099999999</v>
      </c>
      <c r="F25" s="28">
        <f>C25/E25</f>
        <v>6.8000000000000005E-2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44489</v>
      </c>
      <c r="B26" s="4">
        <v>18</v>
      </c>
      <c r="C26" s="4">
        <v>18</v>
      </c>
      <c r="D26" s="4">
        <f>B26-C26</f>
        <v>0</v>
      </c>
      <c r="E26" s="5">
        <v>132.35294099999999</v>
      </c>
      <c r="F26" s="28">
        <f>C26/E26</f>
        <v>0.13600000000000001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27</v>
      </c>
      <c r="C29" s="4">
        <f>SUM(C25:C28)</f>
        <v>27</v>
      </c>
      <c r="D29" s="4">
        <f>SUM(D25:D28)</f>
        <v>0</v>
      </c>
      <c r="E29" s="5">
        <f>IF(B29&gt;0,SUMPRODUCT(E25:E28,F25:F28)/SUM(F25:F28),"0.00")</f>
        <v>132.35294099999999</v>
      </c>
      <c r="F29" s="7">
        <f>SUM(F25:F28)</f>
        <v>0.20399999999999999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22:O22" location="'SEB Active 80'!A1" display="SEGUCHE LX „SEB Strategy Growth“ LU1764038615" xr:uid="{9058D5D2-617E-42BD-94AD-A9A89FF8CD45}"/>
    <hyperlink ref="A12:O12" location="'SEB Active 55'!A1" display="SESUCHE LX „SEB Strategy Opportunity“ LU1764038532" xr:uid="{6E49F165-28E7-4DC4-A0F7-01C666FCC989}"/>
  </hyperlinks>
  <pageMargins left="0.7" right="0.7" top="0.75" bottom="0.75" header="0.3" footer="0.3"/>
  <ignoredErrors>
    <ignoredError sqref="E29 E19" formula="1"/>
  </ignoredError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X39"/>
  <sheetViews>
    <sheetView workbookViewId="0">
      <selection activeCell="A12" sqref="A12:O12"/>
    </sheetView>
  </sheetViews>
  <sheetFormatPr defaultRowHeight="15" x14ac:dyDescent="0.25"/>
  <cols>
    <col min="1" max="3" width="10.7109375" customWidth="1"/>
    <col min="4" max="4" width="10.7109375" style="8" customWidth="1"/>
    <col min="5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0">
        <v>2021.09</v>
      </c>
      <c r="R2" s="71"/>
      <c r="S2" s="71"/>
      <c r="T2" s="71"/>
      <c r="U2" s="71"/>
      <c r="V2" s="71"/>
      <c r="W2" s="71"/>
      <c r="X2" s="72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56</v>
      </c>
      <c r="R5" s="4">
        <v>0</v>
      </c>
      <c r="S5" s="4">
        <f>(C19+C29+C39+C49+C59+C69+C79+C89+C99+C109)-T5</f>
        <v>56</v>
      </c>
      <c r="T5" s="4">
        <f>(I19+I29+I39+I49+I59+I69+I79+I89+I99+I109)-W5</f>
        <v>0</v>
      </c>
      <c r="U5" s="4">
        <f>D19+D29+D39+D49+D59+D69+D79+D89+D99+D109</f>
        <v>0</v>
      </c>
      <c r="V5" s="4">
        <v>0.03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D11"/>
      <c r="J11"/>
    </row>
    <row r="12" spans="1:24" ht="15" customHeight="1" x14ac:dyDescent="0.25">
      <c r="A12" s="79" t="s">
        <v>34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44456</v>
      </c>
      <c r="B15" s="24">
        <v>10</v>
      </c>
      <c r="C15" s="4">
        <v>10</v>
      </c>
      <c r="D15" s="4">
        <f>B15-C15</f>
        <v>0</v>
      </c>
      <c r="E15" s="5">
        <v>121.95122000000001</v>
      </c>
      <c r="F15" s="7">
        <f>B15/E15</f>
        <v>8.2000000000000003E-2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121.95122000000001</v>
      </c>
      <c r="F19" s="7">
        <f>SUM(F15:F18)</f>
        <v>8.2000000000000003E-2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D20"/>
      <c r="E20" s="1"/>
      <c r="F20" s="11"/>
      <c r="J20"/>
    </row>
    <row r="21" spans="1:18" ht="15" customHeight="1" x14ac:dyDescent="0.25">
      <c r="B21" s="1"/>
      <c r="D21"/>
      <c r="E21" s="1"/>
      <c r="F21" s="1"/>
      <c r="J21"/>
    </row>
    <row r="22" spans="1:18" ht="15" customHeight="1" x14ac:dyDescent="0.25">
      <c r="A22" s="79" t="s">
        <v>57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44448</v>
      </c>
      <c r="B25" s="24">
        <v>9</v>
      </c>
      <c r="C25" s="4">
        <v>9</v>
      </c>
      <c r="D25" s="4">
        <f>B25-C25</f>
        <v>0</v>
      </c>
      <c r="E25" s="5">
        <v>134.32835800000001</v>
      </c>
      <c r="F25" s="28">
        <f>C25/E25</f>
        <v>6.7000000000000004E-2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44455</v>
      </c>
      <c r="B26" s="4">
        <v>19</v>
      </c>
      <c r="C26" s="4">
        <v>19</v>
      </c>
      <c r="D26" s="4">
        <f>B26-C26</f>
        <v>0</v>
      </c>
      <c r="E26" s="5">
        <v>133.802817</v>
      </c>
      <c r="F26" s="28">
        <f>C26/E26</f>
        <v>0.14199999999999999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>
        <v>44461</v>
      </c>
      <c r="B27" s="4">
        <v>12</v>
      </c>
      <c r="C27" s="4">
        <v>12</v>
      </c>
      <c r="D27" s="4">
        <f t="shared" ref="D27:D28" si="1">B27-C27</f>
        <v>0</v>
      </c>
      <c r="E27" s="5">
        <v>133.33333300000001</v>
      </c>
      <c r="F27" s="28">
        <f t="shared" ref="F27:F28" si="2">C27/E27</f>
        <v>0.09</v>
      </c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>
        <v>44466</v>
      </c>
      <c r="B28" s="4">
        <v>6</v>
      </c>
      <c r="C28" s="4">
        <v>6</v>
      </c>
      <c r="D28" s="4">
        <f t="shared" si="1"/>
        <v>0</v>
      </c>
      <c r="E28" s="5">
        <v>133.33333300000001</v>
      </c>
      <c r="F28" s="28">
        <f t="shared" si="2"/>
        <v>4.4999999999999998E-2</v>
      </c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46</v>
      </c>
      <c r="C29" s="4">
        <f>SUM(C25:C28)</f>
        <v>46</v>
      </c>
      <c r="D29" s="4">
        <f>SUM(D25:D28)</f>
        <v>0</v>
      </c>
      <c r="E29" s="5">
        <f>IF(B29&gt;0,SUMPRODUCT(E25:E28,F25:F28)/SUM(F25:F28),"0.00")</f>
        <v>133.72093010174399</v>
      </c>
      <c r="F29" s="7">
        <f>SUM(F25:F28)</f>
        <v>0.34399999999999997</v>
      </c>
      <c r="G29" s="75"/>
      <c r="H29" s="3" t="s">
        <v>2</v>
      </c>
      <c r="I29" s="4">
        <f>SUM(I25:I28)</f>
        <v>0</v>
      </c>
      <c r="J29" s="4">
        <f t="shared" ref="J29" si="3">SUM(J25:J28)</f>
        <v>0</v>
      </c>
      <c r="K29" s="5"/>
      <c r="L29" s="7">
        <f t="shared" ref="L29" si="4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1"/>
    </row>
    <row r="31" spans="1:18" x14ac:dyDescent="0.25">
      <c r="B31" s="1"/>
      <c r="C31" s="1"/>
      <c r="D31" s="11"/>
    </row>
    <row r="39" spans="4:4" x14ac:dyDescent="0.25">
      <c r="D39" s="9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UCHE LX „SEB Strategy Opportunity“ LU1764038532" xr:uid="{D31C7DCD-5CE5-4580-BA34-507EA4CD6D7D}"/>
    <hyperlink ref="A22:O22" location="'SEB Active 80'!A1" display="SEGUCHE LX „SEB Strategy Growth“ LU1764038615" xr:uid="{B7A1C09E-DFC5-4E67-8670-BE8EEF40F5B2}"/>
  </hyperlinks>
  <pageMargins left="0.7" right="0.7" top="0.75" bottom="0.75" header="0.3" footer="0.3"/>
  <pageSetup orientation="portrait" r:id="rId1"/>
  <ignoredErrors>
    <ignoredError sqref="E29 E19" formula="1"/>
  </ignoredError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X31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0">
        <v>2021.08</v>
      </c>
      <c r="R2" s="71"/>
      <c r="S2" s="71"/>
      <c r="T2" s="71"/>
      <c r="U2" s="71"/>
      <c r="V2" s="71"/>
      <c r="W2" s="71"/>
      <c r="X2" s="72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(B9+B19+B29+B39+B49+B59+B69+B79+B89+B99)-T5</f>
        <v>16</v>
      </c>
      <c r="R5" s="4">
        <v>0</v>
      </c>
      <c r="S5" s="4">
        <f>(C9+C19+C29+C39+C49+C59+C69+C79+C89+C99)-T5</f>
        <v>16</v>
      </c>
      <c r="T5" s="4">
        <f>(I9+I19+I29+I39+I49+I59+I69+I79+I89+I99)-W5</f>
        <v>0</v>
      </c>
      <c r="U5" s="4">
        <f>D9+D19+D29+D39+D49+D59+D69+D79+D89+D99</f>
        <v>0</v>
      </c>
      <c r="V5" s="4">
        <v>0.02</v>
      </c>
      <c r="W5" s="4">
        <f>J9+J19+J29+J39+J49+J59+J69+J79+J89+J99</f>
        <v>0</v>
      </c>
      <c r="X5" s="4">
        <f>O9+O19+O29+O39+O49+O59+O69+O79+O89+O99</f>
        <v>0</v>
      </c>
    </row>
    <row r="11" spans="1:24" ht="15" customHeight="1" x14ac:dyDescent="0.25">
      <c r="J11"/>
    </row>
    <row r="12" spans="1:24" ht="15" customHeight="1" x14ac:dyDescent="0.25">
      <c r="A12" s="79" t="s">
        <v>34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  <c r="Q12" s="90"/>
      <c r="R12" s="90"/>
      <c r="S12" s="90"/>
      <c r="T12" s="90"/>
      <c r="U12" s="90"/>
      <c r="V12" s="90"/>
      <c r="W12" s="90"/>
      <c r="X12" s="90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  <c r="Q13" s="91"/>
      <c r="R13" s="91"/>
      <c r="S13" s="91"/>
      <c r="T13" s="91"/>
      <c r="U13" s="92"/>
      <c r="V13" s="92"/>
      <c r="W13" s="92"/>
      <c r="X13" s="9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  <c r="Q14" s="91"/>
      <c r="R14" s="91"/>
      <c r="S14" s="91"/>
      <c r="T14" s="91"/>
      <c r="U14" s="40"/>
      <c r="V14" s="40"/>
      <c r="W14" s="41"/>
      <c r="X14" s="91"/>
    </row>
    <row r="15" spans="1:24" ht="15" customHeight="1" x14ac:dyDescent="0.25">
      <c r="A15" s="29">
        <v>44426</v>
      </c>
      <c r="B15" s="24">
        <v>10</v>
      </c>
      <c r="C15" s="4">
        <v>10</v>
      </c>
      <c r="D15" s="4">
        <f>B15-C15</f>
        <v>0</v>
      </c>
      <c r="E15" s="5">
        <v>121.95122000000001</v>
      </c>
      <c r="F15" s="7">
        <f>B15/E15</f>
        <v>8.2000000000000003E-2</v>
      </c>
      <c r="G15" s="74"/>
      <c r="H15" s="29"/>
      <c r="I15" s="5"/>
      <c r="J15" s="4"/>
      <c r="K15" s="4"/>
      <c r="L15" s="5"/>
      <c r="M15" s="25"/>
      <c r="N15" s="29"/>
      <c r="O15" s="4"/>
      <c r="P15" s="1"/>
      <c r="Q15" s="27"/>
      <c r="R15" s="27"/>
      <c r="S15" s="27"/>
      <c r="T15" s="27"/>
      <c r="U15" s="27"/>
      <c r="V15" s="27"/>
      <c r="W15" s="27"/>
      <c r="X15" s="27"/>
    </row>
    <row r="16" spans="1:24" ht="15" customHeight="1" x14ac:dyDescent="0.25">
      <c r="A16" s="29"/>
      <c r="B16" s="4"/>
      <c r="C16" s="4"/>
      <c r="D16" s="4"/>
      <c r="E16" s="5"/>
      <c r="F16" s="7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121.95122000000001</v>
      </c>
      <c r="F19" s="7">
        <f>SUM(F15:F18)</f>
        <v>8.2000000000000003E-2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57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44424</v>
      </c>
      <c r="B25" s="24">
        <v>3</v>
      </c>
      <c r="C25" s="4">
        <v>3</v>
      </c>
      <c r="D25" s="4">
        <f>B25-C25</f>
        <v>0</v>
      </c>
      <c r="E25" s="5">
        <v>136.36363600000001</v>
      </c>
      <c r="F25" s="28">
        <f>C25/E25</f>
        <v>2.1999999999999999E-2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44438</v>
      </c>
      <c r="B26" s="4">
        <v>3</v>
      </c>
      <c r="C26" s="4">
        <v>3</v>
      </c>
      <c r="D26" s="4">
        <f>B26-C26</f>
        <v>0</v>
      </c>
      <c r="E26" s="5">
        <v>136.36363600000001</v>
      </c>
      <c r="F26" s="28">
        <f>C26/E26</f>
        <v>2.1999999999999999E-2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6</v>
      </c>
      <c r="C29" s="4">
        <f>SUM(C25:C28)</f>
        <v>6</v>
      </c>
      <c r="D29" s="4">
        <f>SUM(D25:D28)</f>
        <v>0</v>
      </c>
      <c r="E29" s="5">
        <f>IF(B29&gt;0,SUMPRODUCT(E25:E28,F25:F28)/SUM(F25:F28),"0.00")</f>
        <v>136.36363600000001</v>
      </c>
      <c r="F29" s="7">
        <f>SUM(F25:F28)</f>
        <v>4.3999999999999997E-2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x14ac:dyDescent="0.25">
      <c r="B31" s="1"/>
      <c r="C31" s="1"/>
      <c r="D31" s="1"/>
    </row>
  </sheetData>
  <mergeCells count="24">
    <mergeCell ref="A12:O12"/>
    <mergeCell ref="Q12:X12"/>
    <mergeCell ref="A13:F13"/>
    <mergeCell ref="G13:G19"/>
    <mergeCell ref="H13:L13"/>
    <mergeCell ref="N13:O13"/>
    <mergeCell ref="Q13:Q14"/>
    <mergeCell ref="R13:R14"/>
    <mergeCell ref="S13:S14"/>
    <mergeCell ref="T13:T14"/>
    <mergeCell ref="U13:W13"/>
    <mergeCell ref="X13:X14"/>
    <mergeCell ref="A22:O22"/>
    <mergeCell ref="A23:F23"/>
    <mergeCell ref="G23:G29"/>
    <mergeCell ref="H23:L23"/>
    <mergeCell ref="N23:O23"/>
    <mergeCell ref="Q2:X2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UCHE LX „SEB Strategy Opportunity“ LU1764038532" xr:uid="{6BF220C8-1EC3-417F-9B2E-E980B339F960}"/>
    <hyperlink ref="A22:O22" location="'SEB Active 80'!A1" display="SEGUCHE LX „SEB Strategy Growth“ LU1764038615" xr:uid="{9B9FBC71-7AE4-4275-93AA-D17DA2A35628}"/>
  </hyperlinks>
  <pageMargins left="0.7" right="0.7" top="0.75" bottom="0.75" header="0.3" footer="0.3"/>
  <ignoredErrors>
    <ignoredError sqref="E29 E19" formula="1"/>
  </ignoredError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X29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0">
        <v>2021.07</v>
      </c>
      <c r="R2" s="71"/>
      <c r="S2" s="71"/>
      <c r="T2" s="71"/>
      <c r="U2" s="71"/>
      <c r="V2" s="71"/>
      <c r="W2" s="71"/>
      <c r="X2" s="72"/>
    </row>
    <row r="3" spans="1:24" x14ac:dyDescent="0.25">
      <c r="Q3" s="85" t="s">
        <v>13</v>
      </c>
      <c r="R3" s="85" t="s">
        <v>30</v>
      </c>
      <c r="S3" s="85" t="s">
        <v>26</v>
      </c>
      <c r="T3" s="85" t="s">
        <v>27</v>
      </c>
      <c r="U3" s="86" t="s">
        <v>28</v>
      </c>
      <c r="V3" s="87"/>
      <c r="W3" s="88"/>
      <c r="X3" s="62" t="s">
        <v>6</v>
      </c>
    </row>
    <row r="4" spans="1:24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2"/>
    </row>
    <row r="5" spans="1:24" x14ac:dyDescent="0.25">
      <c r="Q5" s="4">
        <f>(B19+B29+B39+B49+B59+B69+B79+B89+B99+B109)-T5</f>
        <v>18</v>
      </c>
      <c r="R5" s="4">
        <v>0</v>
      </c>
      <c r="S5" s="4">
        <f>(C19+C29+C39+C49+C59+C69+C79+C89+C99+C109)-T5</f>
        <v>18</v>
      </c>
      <c r="T5" s="4">
        <f>(I19+I29+I39+I49+I59+I69+I79+I89+I99+I109)-W5</f>
        <v>0</v>
      </c>
      <c r="U5" s="4">
        <f>D19+D29+D39+D49+D59+D69+D79+D89+D99+D109</f>
        <v>0</v>
      </c>
      <c r="V5" s="4">
        <v>0.01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34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44393</v>
      </c>
      <c r="B15" s="24">
        <v>10</v>
      </c>
      <c r="C15" s="4">
        <v>10</v>
      </c>
      <c r="D15" s="4">
        <f>B15-C15</f>
        <v>0</v>
      </c>
      <c r="E15" s="5">
        <v>121.95122000000001</v>
      </c>
      <c r="F15" s="7">
        <f>B15/E15</f>
        <v>8.2000000000000003E-2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10</v>
      </c>
      <c r="C19" s="4">
        <f>SUM(C15:C18)</f>
        <v>10</v>
      </c>
      <c r="D19" s="4">
        <f>SUM(D15:D18)</f>
        <v>0</v>
      </c>
      <c r="E19" s="5">
        <f>IF(B19&gt;0,SUMPRODUCT(E15:E18,F15:F18)/SUM(F15:F18),"0.00")</f>
        <v>121.95122000000001</v>
      </c>
      <c r="F19" s="7">
        <f>SUM(F15:F18)</f>
        <v>8.2000000000000003E-2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57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44379</v>
      </c>
      <c r="B25" s="24">
        <v>5</v>
      </c>
      <c r="C25" s="4">
        <v>5</v>
      </c>
      <c r="D25" s="4">
        <f>B25-C25</f>
        <v>0</v>
      </c>
      <c r="E25" s="5">
        <v>131.578947</v>
      </c>
      <c r="F25" s="28">
        <f>C25/E25</f>
        <v>3.7999999999999999E-2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44397</v>
      </c>
      <c r="B26" s="4">
        <v>3</v>
      </c>
      <c r="C26" s="4">
        <v>3</v>
      </c>
      <c r="D26" s="4">
        <f>B26-C26</f>
        <v>0</v>
      </c>
      <c r="E26" s="5">
        <v>130.43478300000001</v>
      </c>
      <c r="F26" s="28">
        <f>C26/E26</f>
        <v>2.3E-2</v>
      </c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8</v>
      </c>
      <c r="C29" s="4">
        <f>SUM(C25:C28)</f>
        <v>8</v>
      </c>
      <c r="D29" s="4">
        <f>SUM(D25:D28)</f>
        <v>0</v>
      </c>
      <c r="E29" s="5">
        <f>IF(B29&gt;0,SUMPRODUCT(E25:E28,F25:F28)/SUM(F25:F28),"0.00")</f>
        <v>131.14754090163899</v>
      </c>
      <c r="F29" s="7">
        <f>SUM(F25:F28)</f>
        <v>6.0999999999999999E-2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UCHE LX „SEB Strategy Opportunity“ LU1764038532" xr:uid="{11714899-ED3E-4299-A7F6-A5D3EFAAFDDE}"/>
    <hyperlink ref="A22:O22" location="'SEB Active 80'!A1" display="SEGUCHE LX „SEB Strategy Growth“ LU1764038615" xr:uid="{5BB3902F-2815-486D-96EB-662DFEF30EF2}"/>
  </hyperlinks>
  <pageMargins left="0.7" right="0.7" top="0.75" bottom="0.75" header="0.3" footer="0.3"/>
  <ignoredErrors>
    <ignoredError sqref="E29 E19" formula="1"/>
  </ignoredError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X31"/>
  <sheetViews>
    <sheetView workbookViewId="0">
      <selection activeCell="A12" sqref="A12:O12"/>
    </sheetView>
  </sheetViews>
  <sheetFormatPr defaultRowHeight="15" customHeight="1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ht="15" customHeight="1" x14ac:dyDescent="0.25">
      <c r="Q2" s="70">
        <v>2021.06</v>
      </c>
      <c r="R2" s="71"/>
      <c r="S2" s="71"/>
      <c r="T2" s="71"/>
      <c r="U2" s="71"/>
      <c r="V2" s="71"/>
      <c r="W2" s="71"/>
      <c r="X2" s="72"/>
    </row>
    <row r="3" spans="1:24" ht="15" customHeight="1" x14ac:dyDescent="0.25">
      <c r="Q3" s="60" t="s">
        <v>13</v>
      </c>
      <c r="R3" s="60" t="s">
        <v>30</v>
      </c>
      <c r="S3" s="60" t="s">
        <v>26</v>
      </c>
      <c r="T3" s="60" t="s">
        <v>27</v>
      </c>
      <c r="U3" s="63" t="s">
        <v>28</v>
      </c>
      <c r="V3" s="64"/>
      <c r="W3" s="65"/>
      <c r="X3" s="60" t="s">
        <v>6</v>
      </c>
    </row>
    <row r="4" spans="1:24" ht="15" customHeight="1" x14ac:dyDescent="0.25">
      <c r="Q4" s="61"/>
      <c r="R4" s="61"/>
      <c r="S4" s="61"/>
      <c r="T4" s="61"/>
      <c r="U4" s="12" t="s">
        <v>23</v>
      </c>
      <c r="V4" s="12" t="s">
        <v>29</v>
      </c>
      <c r="W4" s="13" t="s">
        <v>24</v>
      </c>
      <c r="X4" s="61"/>
    </row>
    <row r="5" spans="1:24" ht="15" customHeight="1" x14ac:dyDescent="0.25">
      <c r="Q5" s="4">
        <f>(B19+B29+B39+B49+B59+B69+B79+B89+B99+B109)-T5</f>
        <v>63</v>
      </c>
      <c r="R5" s="4">
        <v>0</v>
      </c>
      <c r="S5" s="4">
        <f>(C19+C29+C39+C49+C59+C69+C79+C89+C99+C109)-T5</f>
        <v>63</v>
      </c>
      <c r="T5" s="4">
        <f>(I19+I29+I39+I49+I59+I69+I79+I89+I99+I109)-W5</f>
        <v>0</v>
      </c>
      <c r="U5" s="4">
        <f>D19+D29+D39+D49+D59+D69+D79+D89+D99+D109</f>
        <v>0</v>
      </c>
      <c r="V5" s="4">
        <v>0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79" t="s">
        <v>34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24" ht="15" customHeight="1" x14ac:dyDescent="0.25">
      <c r="A13" s="63" t="s">
        <v>23</v>
      </c>
      <c r="B13" s="64"/>
      <c r="C13" s="64"/>
      <c r="D13" s="64"/>
      <c r="E13" s="64"/>
      <c r="F13" s="65"/>
      <c r="G13" s="73"/>
      <c r="H13" s="76" t="s">
        <v>24</v>
      </c>
      <c r="I13" s="77"/>
      <c r="J13" s="77"/>
      <c r="K13" s="77"/>
      <c r="L13" s="78"/>
      <c r="M13" s="20"/>
      <c r="N13" s="63" t="s">
        <v>6</v>
      </c>
      <c r="O13" s="65"/>
      <c r="P13" s="21"/>
    </row>
    <row r="14" spans="1:24" ht="15" customHeight="1" x14ac:dyDescent="0.25">
      <c r="A14" s="22" t="s">
        <v>31</v>
      </c>
      <c r="B14" s="3" t="s">
        <v>3</v>
      </c>
      <c r="C14" s="3" t="s">
        <v>33</v>
      </c>
      <c r="D14" s="3" t="s">
        <v>12</v>
      </c>
      <c r="E14" s="3" t="s">
        <v>0</v>
      </c>
      <c r="F14" s="3" t="s">
        <v>1</v>
      </c>
      <c r="G14" s="74"/>
      <c r="H14" s="22" t="s">
        <v>31</v>
      </c>
      <c r="I14" s="3" t="s">
        <v>25</v>
      </c>
      <c r="J14" s="3" t="s">
        <v>12</v>
      </c>
      <c r="K14" s="3" t="s">
        <v>0</v>
      </c>
      <c r="L14" s="3" t="s">
        <v>1</v>
      </c>
      <c r="M14" s="23"/>
      <c r="N14" s="19" t="s">
        <v>31</v>
      </c>
      <c r="O14" s="3" t="s">
        <v>25</v>
      </c>
      <c r="P14" s="21"/>
    </row>
    <row r="15" spans="1:24" ht="15" customHeight="1" x14ac:dyDescent="0.25">
      <c r="A15" s="29">
        <v>44363</v>
      </c>
      <c r="B15" s="24">
        <v>50</v>
      </c>
      <c r="C15" s="4">
        <v>50</v>
      </c>
      <c r="D15" s="4">
        <f>B15-C15</f>
        <v>0</v>
      </c>
      <c r="E15" s="5">
        <v>119.33174200000001</v>
      </c>
      <c r="F15" s="7">
        <f>B15/E15</f>
        <v>0.41899999999999998</v>
      </c>
      <c r="G15" s="74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>
        <v>44365</v>
      </c>
      <c r="B16" s="4">
        <v>10</v>
      </c>
      <c r="C16" s="4">
        <v>10</v>
      </c>
      <c r="D16" s="4">
        <f>B16-C16</f>
        <v>0</v>
      </c>
      <c r="E16" s="5">
        <v>119.047619</v>
      </c>
      <c r="F16" s="7">
        <f>B16/E16</f>
        <v>8.4000000000000005E-2</v>
      </c>
      <c r="G16" s="74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4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4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60</v>
      </c>
      <c r="C19" s="4">
        <f>SUM(C15:C18)</f>
        <v>60</v>
      </c>
      <c r="D19" s="4">
        <f>SUM(D15:D18)</f>
        <v>0</v>
      </c>
      <c r="E19" s="5">
        <f>IF(B19&gt;0,SUMPRODUCT(E15:E18,F15:F18)/SUM(F15:F18),"0.00")</f>
        <v>119.284294023857</v>
      </c>
      <c r="F19" s="7">
        <f>SUM(F15:F18)</f>
        <v>0.503</v>
      </c>
      <c r="G19" s="75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79" t="s">
        <v>57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1:18" ht="15" customHeight="1" x14ac:dyDescent="0.25">
      <c r="A23" s="63" t="s">
        <v>23</v>
      </c>
      <c r="B23" s="64"/>
      <c r="C23" s="64"/>
      <c r="D23" s="64"/>
      <c r="E23" s="64"/>
      <c r="F23" s="65"/>
      <c r="G23" s="73"/>
      <c r="H23" s="76" t="s">
        <v>24</v>
      </c>
      <c r="I23" s="77"/>
      <c r="J23" s="77"/>
      <c r="K23" s="77"/>
      <c r="L23" s="78"/>
      <c r="M23" s="20"/>
      <c r="N23" s="63" t="s">
        <v>6</v>
      </c>
      <c r="O23" s="65"/>
      <c r="P23" s="21"/>
    </row>
    <row r="24" spans="1:18" ht="15" customHeight="1" x14ac:dyDescent="0.25">
      <c r="A24" s="22" t="s">
        <v>31</v>
      </c>
      <c r="B24" s="3" t="s">
        <v>3</v>
      </c>
      <c r="C24" s="3" t="s">
        <v>33</v>
      </c>
      <c r="D24" s="3" t="s">
        <v>12</v>
      </c>
      <c r="E24" s="3" t="s">
        <v>0</v>
      </c>
      <c r="F24" s="3" t="s">
        <v>1</v>
      </c>
      <c r="G24" s="74"/>
      <c r="H24" s="22" t="s">
        <v>31</v>
      </c>
      <c r="I24" s="3" t="s">
        <v>25</v>
      </c>
      <c r="J24" s="3" t="s">
        <v>12</v>
      </c>
      <c r="K24" s="3" t="s">
        <v>0</v>
      </c>
      <c r="L24" s="3" t="s">
        <v>1</v>
      </c>
      <c r="M24" s="23"/>
      <c r="N24" s="19" t="s">
        <v>31</v>
      </c>
      <c r="O24" s="3" t="s">
        <v>25</v>
      </c>
      <c r="P24" s="21"/>
    </row>
    <row r="25" spans="1:18" ht="15" customHeight="1" x14ac:dyDescent="0.25">
      <c r="A25" s="29">
        <v>44376</v>
      </c>
      <c r="B25" s="24">
        <v>3</v>
      </c>
      <c r="C25" s="4">
        <v>3</v>
      </c>
      <c r="D25" s="4">
        <f>B25-C25</f>
        <v>0</v>
      </c>
      <c r="E25" s="5">
        <v>130.43478300000001</v>
      </c>
      <c r="F25" s="28">
        <f>C25/E25</f>
        <v>2.3E-2</v>
      </c>
      <c r="G25" s="74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5"/>
      <c r="D26" s="5"/>
      <c r="E26" s="5"/>
      <c r="F26" s="7"/>
      <c r="G26" s="74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4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4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3</v>
      </c>
      <c r="C29" s="4">
        <f>SUM(C25:C28)</f>
        <v>3</v>
      </c>
      <c r="D29" s="4">
        <f>SUM(D25:D28)</f>
        <v>0</v>
      </c>
      <c r="E29" s="5">
        <f>IF(B29&gt;0,SUMPRODUCT(E25:E28,F25:F28)/SUM(F25:F28),"0.00")</f>
        <v>130.43478300000001</v>
      </c>
      <c r="F29" s="7">
        <f>SUM(F25:F28)</f>
        <v>2.3E-2</v>
      </c>
      <c r="G29" s="75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ht="15" customHeight="1" x14ac:dyDescent="0.25">
      <c r="J30"/>
    </row>
    <row r="31" spans="1:18" ht="15" customHeight="1" x14ac:dyDescent="0.25">
      <c r="D31" s="10"/>
    </row>
  </sheetData>
  <mergeCells count="17">
    <mergeCell ref="T3:T4"/>
    <mergeCell ref="Q2:X2"/>
    <mergeCell ref="U3:W3"/>
    <mergeCell ref="X3:X4"/>
    <mergeCell ref="A22:O22"/>
    <mergeCell ref="Q3:Q4"/>
    <mergeCell ref="R3:R4"/>
    <mergeCell ref="S3:S4"/>
    <mergeCell ref="A23:F23"/>
    <mergeCell ref="G23:G29"/>
    <mergeCell ref="H23:L23"/>
    <mergeCell ref="N23:O23"/>
    <mergeCell ref="A12:O12"/>
    <mergeCell ref="A13:F13"/>
    <mergeCell ref="G13:G19"/>
    <mergeCell ref="H13:L13"/>
    <mergeCell ref="N13:O13"/>
  </mergeCells>
  <hyperlinks>
    <hyperlink ref="A12:O12" location="'SEB Active 55'!A1" display="SESUCHE LX „SEB Strategy Opportunity“ LU1764038532" xr:uid="{4550FC17-D1FB-4E7D-9E5B-A0E195EB47A1}"/>
    <hyperlink ref="A22:O22" location="'SEB Active 80'!A1" display="SEGUCHE LX „SEB Strategy Growth“ LU1764038615" xr:uid="{80C1FBC1-CE9E-4A1C-8367-CCD6BC99E008}"/>
  </hyperlinks>
  <pageMargins left="0.7" right="0.7" top="0.75" bottom="0.75" header="0.3" footer="0.3"/>
  <pageSetup orientation="portrait" r:id="rId1"/>
  <ignoredErrors>
    <ignoredError sqref="E19 E2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Apžvalga</vt:lpstr>
      <vt:lpstr>SEB Active 55</vt:lpstr>
      <vt:lpstr>SEB Active 80</vt:lpstr>
      <vt:lpstr>SEB Artificial Intelligence Fun</vt:lpstr>
      <vt:lpstr>SEB Global High Yield Fund</vt:lpstr>
      <vt:lpstr>SEB Global Exposure fund UD</vt:lpstr>
      <vt:lpstr>SEB Europe Exposure Fund UC</vt:lpstr>
      <vt:lpstr>SEB US Exposure Fund UD</vt:lpstr>
      <vt:lpstr>SEB Europe Exposure Fund UD</vt:lpstr>
      <vt:lpstr>2026.06</vt:lpstr>
      <vt:lpstr>2026.05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  <vt:lpstr>2024.11</vt:lpstr>
      <vt:lpstr>2024.10</vt:lpstr>
      <vt:lpstr>2024.09</vt:lpstr>
      <vt:lpstr>2024.08</vt:lpstr>
      <vt:lpstr>2024.07</vt:lpstr>
      <vt:lpstr>2024.06</vt:lpstr>
      <vt:lpstr>2024.05</vt:lpstr>
      <vt:lpstr>2024.04</vt:lpstr>
      <vt:lpstr>2024.03</vt:lpstr>
      <vt:lpstr>2024.02</vt:lpstr>
      <vt:lpstr>2024.01</vt:lpstr>
      <vt:lpstr>2023.12</vt:lpstr>
      <vt:lpstr>2023.11</vt:lpstr>
      <vt:lpstr>2023.10</vt:lpstr>
      <vt:lpstr>2023.09</vt:lpstr>
      <vt:lpstr>2023.08</vt:lpstr>
      <vt:lpstr>2023.07</vt:lpstr>
      <vt:lpstr>2023.06</vt:lpstr>
      <vt:lpstr>2023.05</vt:lpstr>
      <vt:lpstr>2023.04</vt:lpstr>
      <vt:lpstr>2023.03</vt:lpstr>
      <vt:lpstr>2023.02</vt:lpstr>
      <vt:lpstr>2023.01</vt:lpstr>
      <vt:lpstr>2022.12</vt:lpstr>
      <vt:lpstr>2022.11</vt:lpstr>
      <vt:lpstr>2022.10</vt:lpstr>
      <vt:lpstr>2022.09</vt:lpstr>
      <vt:lpstr>2022.08</vt:lpstr>
      <vt:lpstr>2022.07</vt:lpstr>
      <vt:lpstr>2022.06</vt:lpstr>
      <vt:lpstr>2022.05</vt:lpstr>
      <vt:lpstr>2022.04</vt:lpstr>
      <vt:lpstr>2022.03</vt:lpstr>
      <vt:lpstr>2022.02</vt:lpstr>
      <vt:lpstr>2022.01</vt:lpstr>
      <vt:lpstr>2021.12</vt:lpstr>
      <vt:lpstr>2021.11</vt:lpstr>
      <vt:lpstr>2021.10</vt:lpstr>
      <vt:lpstr>2021.09</vt:lpstr>
      <vt:lpstr>2021.08</vt:lpstr>
      <vt:lpstr>2021.07</vt:lpstr>
      <vt:lpstr>2021.06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2026-07-24T04:25:28Z</dcterms:modified>
</cp:coreProperties>
</file>