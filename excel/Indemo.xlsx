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nvestavimas 2026.08.08\Indemo\"/>
    </mc:Choice>
  </mc:AlternateContent>
  <xr:revisionPtr revIDLastSave="0" documentId="13_ncr:1_{6346771D-098A-479F-8F47-E24A9C33444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verview" sheetId="33" r:id="rId1"/>
    <sheet name="Pinigai" sheetId="127" r:id="rId2"/>
    <sheet name="J035" sheetId="144" r:id="rId3"/>
    <sheet name="J036" sheetId="145" r:id="rId4"/>
    <sheet name="J037" sheetId="146" r:id="rId5"/>
    <sheet name="J038" sheetId="147" r:id="rId6"/>
    <sheet name="J039" sheetId="148" r:id="rId7"/>
    <sheet name="J040" sheetId="149" r:id="rId8"/>
    <sheet name="J041" sheetId="150" r:id="rId9"/>
    <sheet name="J042" sheetId="151" r:id="rId10"/>
    <sheet name="J043" sheetId="152" r:id="rId11"/>
    <sheet name="J044" sheetId="153" r:id="rId12"/>
    <sheet name="J046" sheetId="154" r:id="rId13"/>
    <sheet name="J048" sheetId="155" r:id="rId14"/>
    <sheet name="J049" sheetId="156" r:id="rId15"/>
    <sheet name="J050" sheetId="157" r:id="rId16"/>
    <sheet name="J051" sheetId="158" r:id="rId17"/>
    <sheet name="J052" sheetId="159" r:id="rId18"/>
    <sheet name="J053" sheetId="160" r:id="rId19"/>
    <sheet name="J054" sheetId="161" r:id="rId20"/>
    <sheet name="J055" sheetId="162" r:id="rId21"/>
    <sheet name="J056" sheetId="163" r:id="rId22"/>
    <sheet name="J057" sheetId="164" r:id="rId23"/>
    <sheet name="J059" sheetId="165" r:id="rId24"/>
    <sheet name="J060" sheetId="166" r:id="rId25"/>
    <sheet name="J061" sheetId="167" r:id="rId26"/>
    <sheet name="J062" sheetId="168" r:id="rId27"/>
    <sheet name="J063" sheetId="169" r:id="rId28"/>
    <sheet name="J064" sheetId="170" r:id="rId29"/>
    <sheet name="J065" sheetId="171" r:id="rId30"/>
    <sheet name="J066" sheetId="172" r:id="rId31"/>
    <sheet name="J067" sheetId="173" r:id="rId32"/>
    <sheet name="J068" sheetId="174" r:id="rId33"/>
    <sheet name="J069" sheetId="175" r:id="rId34"/>
    <sheet name="J071" sheetId="176" r:id="rId35"/>
    <sheet name="J072" sheetId="177" r:id="rId36"/>
    <sheet name="J073" sheetId="178" r:id="rId37"/>
    <sheet name="J074" sheetId="179" r:id="rId38"/>
    <sheet name="J076" sheetId="180" r:id="rId39"/>
    <sheet name="R030" sheetId="181" r:id="rId40"/>
    <sheet name="R077" sheetId="182" r:id="rId41"/>
    <sheet name="R078" sheetId="183" r:id="rId42"/>
    <sheet name="R079" sheetId="184" r:id="rId43"/>
    <sheet name="R080" sheetId="185" r:id="rId44"/>
    <sheet name="R081" sheetId="186" r:id="rId45"/>
    <sheet name="R084" sheetId="187" r:id="rId46"/>
    <sheet name="R085" sheetId="188" r:id="rId47"/>
    <sheet name="R086" sheetId="189" r:id="rId48"/>
    <sheet name="R087" sheetId="190" r:id="rId49"/>
    <sheet name="R088" sheetId="191" r:id="rId50"/>
    <sheet name="R089" sheetId="192" r:id="rId51"/>
    <sheet name="R090" sheetId="193" r:id="rId52"/>
    <sheet name="R091" sheetId="194" r:id="rId53"/>
    <sheet name="R092" sheetId="195" r:id="rId54"/>
    <sheet name="R093" sheetId="196" r:id="rId55"/>
    <sheet name="R094" sheetId="197" r:id="rId56"/>
    <sheet name="R095" sheetId="198" r:id="rId57"/>
    <sheet name="R096" sheetId="199" r:id="rId58"/>
    <sheet name="R097" sheetId="200" r:id="rId59"/>
    <sheet name="R098" sheetId="201" r:id="rId60"/>
    <sheet name="R099" sheetId="202" r:id="rId61"/>
    <sheet name="R100" sheetId="203" r:id="rId62"/>
    <sheet name="R101" sheetId="204" r:id="rId63"/>
    <sheet name="R102" sheetId="205" r:id="rId64"/>
    <sheet name="R103" sheetId="206" r:id="rId65"/>
    <sheet name="R104" sheetId="207" r:id="rId66"/>
    <sheet name="R105" sheetId="208" r:id="rId67"/>
    <sheet name="R107" sheetId="209" r:id="rId68"/>
    <sheet name="R108" sheetId="210" r:id="rId69"/>
    <sheet name="R111" sheetId="211" r:id="rId70"/>
    <sheet name="R119" sheetId="212" r:id="rId71"/>
    <sheet name="R120" sheetId="213" r:id="rId72"/>
    <sheet name="R121" sheetId="214" r:id="rId73"/>
    <sheet name="R122" sheetId="215" r:id="rId74"/>
    <sheet name="R123" sheetId="216" r:id="rId75"/>
    <sheet name="R128" sheetId="217" r:id="rId76"/>
    <sheet name="R129" sheetId="218" r:id="rId77"/>
    <sheet name="R130" sheetId="219" r:id="rId78"/>
    <sheet name="R131" sheetId="220" r:id="rId79"/>
    <sheet name="R150" sheetId="221" r:id="rId80"/>
    <sheet name="R151" sheetId="222" r:id="rId81"/>
    <sheet name="R152" sheetId="223" r:id="rId82"/>
    <sheet name="R156" sheetId="224" r:id="rId83"/>
    <sheet name="R157" sheetId="225" r:id="rId84"/>
    <sheet name="R158" sheetId="226" r:id="rId85"/>
    <sheet name="R175" sheetId="227" r:id="rId86"/>
    <sheet name="R180" sheetId="228" r:id="rId87"/>
    <sheet name="R256" sheetId="229" r:id="rId88"/>
    <sheet name="R259" sheetId="231" r:id="rId89"/>
    <sheet name="C004" sheetId="230" r:id="rId9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33" l="1"/>
  <c r="H89" i="33"/>
  <c r="G89" i="33"/>
  <c r="F89" i="33"/>
  <c r="E89" i="33"/>
  <c r="D89" i="33"/>
  <c r="C89" i="33"/>
  <c r="B10" i="231"/>
  <c r="L20" i="231" s="1"/>
  <c r="Z20" i="231"/>
  <c r="Y20" i="231"/>
  <c r="X20" i="231"/>
  <c r="W20" i="231"/>
  <c r="H20" i="231"/>
  <c r="Z19" i="231"/>
  <c r="Y19" i="231"/>
  <c r="W19" i="231"/>
  <c r="H19" i="231"/>
  <c r="X19" i="231" s="1"/>
  <c r="Z18" i="231"/>
  <c r="Y18" i="231"/>
  <c r="X18" i="231"/>
  <c r="W18" i="231"/>
  <c r="H18" i="231"/>
  <c r="Z17" i="231"/>
  <c r="Y17" i="231"/>
  <c r="W17" i="231"/>
  <c r="H17" i="231"/>
  <c r="X17" i="231" s="1"/>
  <c r="Z16" i="231"/>
  <c r="Y16" i="231"/>
  <c r="X16" i="231"/>
  <c r="W16" i="231"/>
  <c r="H16" i="231"/>
  <c r="Z15" i="231"/>
  <c r="Y15" i="231"/>
  <c r="W15" i="231"/>
  <c r="H15" i="231"/>
  <c r="X15" i="231" s="1"/>
  <c r="Z14" i="231"/>
  <c r="Y14" i="231"/>
  <c r="X14" i="231"/>
  <c r="W14" i="231"/>
  <c r="H14" i="231"/>
  <c r="Z13" i="231"/>
  <c r="Y13" i="231"/>
  <c r="X13" i="231"/>
  <c r="W13" i="231"/>
  <c r="H13" i="231"/>
  <c r="Z12" i="231"/>
  <c r="Y12" i="231"/>
  <c r="W12" i="231"/>
  <c r="H12" i="231"/>
  <c r="X12" i="231" s="1"/>
  <c r="B12" i="231"/>
  <c r="Z11" i="231"/>
  <c r="Y11" i="231"/>
  <c r="X11" i="231"/>
  <c r="W11" i="231"/>
  <c r="H11" i="231"/>
  <c r="B11" i="231"/>
  <c r="L6" i="231" s="1"/>
  <c r="Z10" i="231"/>
  <c r="Y10" i="231"/>
  <c r="X10" i="231"/>
  <c r="W10" i="231"/>
  <c r="H10" i="231"/>
  <c r="Z9" i="231"/>
  <c r="Y9" i="231"/>
  <c r="W9" i="231"/>
  <c r="L9" i="231"/>
  <c r="H9" i="231"/>
  <c r="X9" i="231" s="1"/>
  <c r="Z8" i="231"/>
  <c r="Y8" i="231"/>
  <c r="X8" i="231"/>
  <c r="W8" i="231"/>
  <c r="H8" i="231"/>
  <c r="Z7" i="231"/>
  <c r="Y7" i="231"/>
  <c r="W7" i="231"/>
  <c r="L7" i="231"/>
  <c r="H7" i="231"/>
  <c r="X7" i="231" s="1"/>
  <c r="Z6" i="231"/>
  <c r="Y6" i="231"/>
  <c r="W6" i="231"/>
  <c r="H6" i="231"/>
  <c r="X6" i="231" s="1"/>
  <c r="Z5" i="231"/>
  <c r="Y5" i="231"/>
  <c r="X5" i="231"/>
  <c r="W5" i="231"/>
  <c r="H5" i="231"/>
  <c r="Z4" i="231"/>
  <c r="Y4" i="231"/>
  <c r="W4" i="231"/>
  <c r="H4" i="231"/>
  <c r="X4" i="231" s="1"/>
  <c r="Z3" i="231"/>
  <c r="Y3" i="231"/>
  <c r="X3" i="231"/>
  <c r="W3" i="231"/>
  <c r="H3" i="231"/>
  <c r="I90" i="33"/>
  <c r="H90" i="33"/>
  <c r="G90" i="33"/>
  <c r="F90" i="33"/>
  <c r="D90" i="33"/>
  <c r="C90" i="33"/>
  <c r="B90" i="33"/>
  <c r="Z20" i="230"/>
  <c r="Y20" i="230"/>
  <c r="W20" i="230"/>
  <c r="H20" i="230"/>
  <c r="X20" i="230" s="1"/>
  <c r="Z19" i="230"/>
  <c r="Y19" i="230"/>
  <c r="W19" i="230"/>
  <c r="H19" i="230"/>
  <c r="X19" i="230" s="1"/>
  <c r="Z18" i="230"/>
  <c r="Y18" i="230"/>
  <c r="W18" i="230"/>
  <c r="H18" i="230"/>
  <c r="X18" i="230" s="1"/>
  <c r="Z17" i="230"/>
  <c r="Y17" i="230"/>
  <c r="W17" i="230"/>
  <c r="H17" i="230"/>
  <c r="X17" i="230" s="1"/>
  <c r="Z16" i="230"/>
  <c r="Y16" i="230"/>
  <c r="W16" i="230"/>
  <c r="H16" i="230"/>
  <c r="X16" i="230" s="1"/>
  <c r="Z15" i="230"/>
  <c r="Y15" i="230"/>
  <c r="W15" i="230"/>
  <c r="H15" i="230"/>
  <c r="X15" i="230" s="1"/>
  <c r="Z14" i="230"/>
  <c r="Y14" i="230"/>
  <c r="W14" i="230"/>
  <c r="H14" i="230"/>
  <c r="X14" i="230" s="1"/>
  <c r="Z13" i="230"/>
  <c r="Y13" i="230"/>
  <c r="W13" i="230"/>
  <c r="H13" i="230"/>
  <c r="X13" i="230" s="1"/>
  <c r="B13" i="230"/>
  <c r="Z12" i="230"/>
  <c r="Y12" i="230"/>
  <c r="X12" i="230"/>
  <c r="W12" i="230"/>
  <c r="H12" i="230"/>
  <c r="B12" i="230"/>
  <c r="Z11" i="230"/>
  <c r="Y11" i="230"/>
  <c r="X11" i="230"/>
  <c r="W11" i="230"/>
  <c r="L11" i="230"/>
  <c r="H11" i="230"/>
  <c r="B11" i="230"/>
  <c r="L6" i="230" s="1"/>
  <c r="Z10" i="230"/>
  <c r="Y10" i="230"/>
  <c r="W10" i="230"/>
  <c r="L10" i="230"/>
  <c r="H10" i="230"/>
  <c r="X10" i="230" s="1"/>
  <c r="L20" i="230"/>
  <c r="Z9" i="230"/>
  <c r="Y9" i="230"/>
  <c r="X9" i="230"/>
  <c r="W9" i="230"/>
  <c r="L9" i="230"/>
  <c r="H9" i="230"/>
  <c r="Z8" i="230"/>
  <c r="Y8" i="230"/>
  <c r="X8" i="230"/>
  <c r="W8" i="230"/>
  <c r="L8" i="230"/>
  <c r="H8" i="230"/>
  <c r="Z7" i="230"/>
  <c r="Y7" i="230"/>
  <c r="X7" i="230"/>
  <c r="W7" i="230"/>
  <c r="L7" i="230"/>
  <c r="H7" i="230"/>
  <c r="Z6" i="230"/>
  <c r="Y6" i="230"/>
  <c r="X6" i="230"/>
  <c r="W6" i="230"/>
  <c r="H6" i="230"/>
  <c r="Z5" i="230"/>
  <c r="Y5" i="230"/>
  <c r="W5" i="230"/>
  <c r="L5" i="230"/>
  <c r="H5" i="230"/>
  <c r="X5" i="230" s="1"/>
  <c r="Z4" i="230"/>
  <c r="Y4" i="230"/>
  <c r="X4" i="230"/>
  <c r="W4" i="230"/>
  <c r="H4" i="230"/>
  <c r="Z3" i="230"/>
  <c r="Y3" i="230"/>
  <c r="W3" i="230"/>
  <c r="L3" i="230"/>
  <c r="H3" i="230"/>
  <c r="X3" i="230" s="1"/>
  <c r="E90" i="33" l="1"/>
  <c r="L13" i="231"/>
  <c r="L8" i="231"/>
  <c r="L11" i="231"/>
  <c r="B13" i="231"/>
  <c r="L4" i="231"/>
  <c r="L12" i="231"/>
  <c r="B14" i="231"/>
  <c r="L15" i="231"/>
  <c r="L17" i="231"/>
  <c r="L19" i="231"/>
  <c r="L3" i="231"/>
  <c r="L5" i="231"/>
  <c r="L10" i="231"/>
  <c r="L14" i="231"/>
  <c r="L16" i="231"/>
  <c r="L18" i="231"/>
  <c r="L13" i="230"/>
  <c r="L4" i="230"/>
  <c r="L12" i="230"/>
  <c r="B14" i="230"/>
  <c r="L15" i="230"/>
  <c r="L17" i="230"/>
  <c r="L19" i="230"/>
  <c r="L14" i="230"/>
  <c r="L16" i="230"/>
  <c r="L18" i="230"/>
  <c r="K3" i="127"/>
  <c r="H3" i="144" l="1"/>
  <c r="K4" i="127"/>
  <c r="K5" i="127"/>
  <c r="K6" i="127"/>
  <c r="K7" i="127"/>
  <c r="K8" i="127"/>
  <c r="K9" i="127"/>
  <c r="K10" i="127"/>
  <c r="K11" i="127"/>
  <c r="K12" i="127"/>
  <c r="K13" i="127"/>
  <c r="K14" i="127"/>
  <c r="K15" i="127"/>
  <c r="K16" i="127"/>
  <c r="K17" i="127"/>
  <c r="K18" i="127"/>
  <c r="K19" i="127"/>
  <c r="K20" i="127"/>
  <c r="K21" i="127"/>
  <c r="K22" i="127"/>
  <c r="K23" i="127"/>
  <c r="K24" i="127"/>
  <c r="K25" i="127"/>
  <c r="K26" i="127"/>
  <c r="K27" i="127"/>
  <c r="K28" i="127"/>
  <c r="K29" i="127"/>
  <c r="K30" i="127"/>
  <c r="K31" i="127"/>
  <c r="K32" i="127"/>
  <c r="K33" i="127"/>
  <c r="K2" i="127"/>
  <c r="A200" i="127"/>
  <c r="I88" i="33"/>
  <c r="H88" i="33"/>
  <c r="G88" i="33"/>
  <c r="F88" i="33"/>
  <c r="D88" i="33"/>
  <c r="C88" i="33"/>
  <c r="B88" i="33"/>
  <c r="Z20" i="229"/>
  <c r="Y20" i="229"/>
  <c r="W20" i="229"/>
  <c r="H20" i="229"/>
  <c r="X20" i="229" s="1"/>
  <c r="Z19" i="229"/>
  <c r="Y19" i="229"/>
  <c r="W19" i="229"/>
  <c r="H19" i="229"/>
  <c r="X19" i="229" s="1"/>
  <c r="Z18" i="229"/>
  <c r="Y18" i="229"/>
  <c r="W18" i="229"/>
  <c r="H18" i="229"/>
  <c r="X18" i="229" s="1"/>
  <c r="Z17" i="229"/>
  <c r="Y17" i="229"/>
  <c r="W17" i="229"/>
  <c r="H17" i="229"/>
  <c r="X17" i="229" s="1"/>
  <c r="Z16" i="229"/>
  <c r="Y16" i="229"/>
  <c r="W16" i="229"/>
  <c r="H16" i="229"/>
  <c r="X16" i="229" s="1"/>
  <c r="Z15" i="229"/>
  <c r="Y15" i="229"/>
  <c r="W15" i="229"/>
  <c r="H15" i="229"/>
  <c r="X15" i="229" s="1"/>
  <c r="Z14" i="229"/>
  <c r="Y14" i="229"/>
  <c r="W14" i="229"/>
  <c r="H14" i="229"/>
  <c r="X14" i="229" s="1"/>
  <c r="Z13" i="229"/>
  <c r="Y13" i="229"/>
  <c r="X13" i="229"/>
  <c r="W13" i="229"/>
  <c r="L13" i="229"/>
  <c r="H13" i="229"/>
  <c r="Z12" i="229"/>
  <c r="Y12" i="229"/>
  <c r="W12" i="229"/>
  <c r="H12" i="229"/>
  <c r="X12" i="229" s="1"/>
  <c r="B12" i="229"/>
  <c r="Z11" i="229"/>
  <c r="Y11" i="229"/>
  <c r="X11" i="229"/>
  <c r="W11" i="229"/>
  <c r="H11" i="229"/>
  <c r="B11" i="229"/>
  <c r="Z10" i="229"/>
  <c r="Y10" i="229"/>
  <c r="W10" i="229"/>
  <c r="L10" i="229"/>
  <c r="H10" i="229"/>
  <c r="X10" i="229" s="1"/>
  <c r="B10" i="229"/>
  <c r="B13" i="229" s="1"/>
  <c r="Z9" i="229"/>
  <c r="Y9" i="229"/>
  <c r="W9" i="229"/>
  <c r="H9" i="229"/>
  <c r="X9" i="229" s="1"/>
  <c r="Z8" i="229"/>
  <c r="Y8" i="229"/>
  <c r="W8" i="229"/>
  <c r="H8" i="229"/>
  <c r="X8" i="229" s="1"/>
  <c r="Z7" i="229"/>
  <c r="Y7" i="229"/>
  <c r="W7" i="229"/>
  <c r="H7" i="229"/>
  <c r="X7" i="229" s="1"/>
  <c r="B7" i="229"/>
  <c r="Z6" i="229"/>
  <c r="Y6" i="229"/>
  <c r="W6" i="229"/>
  <c r="L6" i="229"/>
  <c r="H6" i="229"/>
  <c r="X6" i="229" s="1"/>
  <c r="Z5" i="229"/>
  <c r="Y5" i="229"/>
  <c r="W5" i="229"/>
  <c r="H5" i="229"/>
  <c r="X5" i="229" s="1"/>
  <c r="Z4" i="229"/>
  <c r="Y4" i="229"/>
  <c r="W4" i="229"/>
  <c r="H4" i="229"/>
  <c r="X4" i="229" s="1"/>
  <c r="Z3" i="229"/>
  <c r="Y3" i="229"/>
  <c r="W3" i="229"/>
  <c r="H3" i="229"/>
  <c r="X3" i="229" s="1"/>
  <c r="I87" i="33"/>
  <c r="H87" i="33"/>
  <c r="G87" i="33"/>
  <c r="F87" i="33"/>
  <c r="D87" i="33"/>
  <c r="C87" i="33"/>
  <c r="B87" i="33"/>
  <c r="Z20" i="228"/>
  <c r="Y20" i="228"/>
  <c r="W20" i="228"/>
  <c r="H20" i="228"/>
  <c r="X20" i="228" s="1"/>
  <c r="Z19" i="228"/>
  <c r="Y19" i="228"/>
  <c r="W19" i="228"/>
  <c r="H19" i="228"/>
  <c r="X19" i="228" s="1"/>
  <c r="Z18" i="228"/>
  <c r="Y18" i="228"/>
  <c r="W18" i="228"/>
  <c r="H18" i="228"/>
  <c r="X18" i="228" s="1"/>
  <c r="Z17" i="228"/>
  <c r="Y17" i="228"/>
  <c r="W17" i="228"/>
  <c r="H17" i="228"/>
  <c r="X17" i="228" s="1"/>
  <c r="Z16" i="228"/>
  <c r="Y16" i="228"/>
  <c r="W16" i="228"/>
  <c r="H16" i="228"/>
  <c r="X16" i="228" s="1"/>
  <c r="Z15" i="228"/>
  <c r="Y15" i="228"/>
  <c r="W15" i="228"/>
  <c r="H15" i="228"/>
  <c r="X15" i="228" s="1"/>
  <c r="Z14" i="228"/>
  <c r="Y14" i="228"/>
  <c r="W14" i="228"/>
  <c r="H14" i="228"/>
  <c r="X14" i="228" s="1"/>
  <c r="Z13" i="228"/>
  <c r="Y13" i="228"/>
  <c r="X13" i="228"/>
  <c r="W13" i="228"/>
  <c r="L13" i="228"/>
  <c r="H13" i="228"/>
  <c r="Z12" i="228"/>
  <c r="Y12" i="228"/>
  <c r="W12" i="228"/>
  <c r="H12" i="228"/>
  <c r="X12" i="228" s="1"/>
  <c r="B12" i="228"/>
  <c r="Z11" i="228"/>
  <c r="Y11" i="228"/>
  <c r="X11" i="228"/>
  <c r="W11" i="228"/>
  <c r="H11" i="228"/>
  <c r="B11" i="228"/>
  <c r="Z10" i="228"/>
  <c r="Y10" i="228"/>
  <c r="W10" i="228"/>
  <c r="H10" i="228"/>
  <c r="X10" i="228" s="1"/>
  <c r="B10" i="228"/>
  <c r="B13" i="228" s="1"/>
  <c r="Z9" i="228"/>
  <c r="Y9" i="228"/>
  <c r="W9" i="228"/>
  <c r="H9" i="228"/>
  <c r="X9" i="228" s="1"/>
  <c r="Z8" i="228"/>
  <c r="Y8" i="228"/>
  <c r="X8" i="228"/>
  <c r="W8" i="228"/>
  <c r="L8" i="228"/>
  <c r="H8" i="228"/>
  <c r="Z7" i="228"/>
  <c r="Y7" i="228"/>
  <c r="W7" i="228"/>
  <c r="H7" i="228"/>
  <c r="X7" i="228" s="1"/>
  <c r="B7" i="228"/>
  <c r="Z6" i="228"/>
  <c r="Y6" i="228"/>
  <c r="W6" i="228"/>
  <c r="L6" i="228"/>
  <c r="H6" i="228"/>
  <c r="X6" i="228" s="1"/>
  <c r="Z5" i="228"/>
  <c r="Y5" i="228"/>
  <c r="W5" i="228"/>
  <c r="H5" i="228"/>
  <c r="X5" i="228" s="1"/>
  <c r="Z4" i="228"/>
  <c r="Y4" i="228"/>
  <c r="X4" i="228"/>
  <c r="W4" i="228"/>
  <c r="L4" i="228"/>
  <c r="H4" i="228"/>
  <c r="Z3" i="228"/>
  <c r="Y3" i="228"/>
  <c r="W3" i="228"/>
  <c r="H3" i="228"/>
  <c r="X3" i="228" s="1"/>
  <c r="I86" i="33"/>
  <c r="H86" i="33"/>
  <c r="G86" i="33"/>
  <c r="F86" i="33"/>
  <c r="D86" i="33"/>
  <c r="C86" i="33"/>
  <c r="B86" i="33"/>
  <c r="Z20" i="227"/>
  <c r="Y20" i="227"/>
  <c r="W20" i="227"/>
  <c r="H20" i="227"/>
  <c r="X20" i="227" s="1"/>
  <c r="Z19" i="227"/>
  <c r="Y19" i="227"/>
  <c r="W19" i="227"/>
  <c r="H19" i="227"/>
  <c r="X19" i="227" s="1"/>
  <c r="Z18" i="227"/>
  <c r="Y18" i="227"/>
  <c r="W18" i="227"/>
  <c r="H18" i="227"/>
  <c r="X18" i="227" s="1"/>
  <c r="Z17" i="227"/>
  <c r="Y17" i="227"/>
  <c r="W17" i="227"/>
  <c r="H17" i="227"/>
  <c r="X17" i="227" s="1"/>
  <c r="Z16" i="227"/>
  <c r="Y16" i="227"/>
  <c r="W16" i="227"/>
  <c r="H16" i="227"/>
  <c r="X16" i="227" s="1"/>
  <c r="Z15" i="227"/>
  <c r="Y15" i="227"/>
  <c r="W15" i="227"/>
  <c r="H15" i="227"/>
  <c r="X15" i="227" s="1"/>
  <c r="Z14" i="227"/>
  <c r="Y14" i="227"/>
  <c r="W14" i="227"/>
  <c r="H14" i="227"/>
  <c r="X14" i="227" s="1"/>
  <c r="Z13" i="227"/>
  <c r="Y13" i="227"/>
  <c r="X13" i="227"/>
  <c r="W13" i="227"/>
  <c r="L13" i="227"/>
  <c r="H13" i="227"/>
  <c r="B13" i="227"/>
  <c r="Z12" i="227"/>
  <c r="Y12" i="227"/>
  <c r="W12" i="227"/>
  <c r="H12" i="227"/>
  <c r="X12" i="227" s="1"/>
  <c r="B12" i="227"/>
  <c r="Z11" i="227"/>
  <c r="Y11" i="227"/>
  <c r="X11" i="227"/>
  <c r="W11" i="227"/>
  <c r="L11" i="227"/>
  <c r="H11" i="227"/>
  <c r="B11" i="227"/>
  <c r="Z10" i="227"/>
  <c r="Y10" i="227"/>
  <c r="W10" i="227"/>
  <c r="H10" i="227"/>
  <c r="X10" i="227" s="1"/>
  <c r="B10" i="227"/>
  <c r="L9" i="227" s="1"/>
  <c r="Z9" i="227"/>
  <c r="Y9" i="227"/>
  <c r="X9" i="227"/>
  <c r="W9" i="227"/>
  <c r="H9" i="227"/>
  <c r="Z8" i="227"/>
  <c r="Y8" i="227"/>
  <c r="W8" i="227"/>
  <c r="H8" i="227"/>
  <c r="X8" i="227" s="1"/>
  <c r="Z7" i="227"/>
  <c r="Y7" i="227"/>
  <c r="X7" i="227"/>
  <c r="W7" i="227"/>
  <c r="H7" i="227"/>
  <c r="B7" i="227"/>
  <c r="Z6" i="227"/>
  <c r="Y6" i="227"/>
  <c r="W6" i="227"/>
  <c r="L6" i="227"/>
  <c r="H6" i="227"/>
  <c r="X6" i="227" s="1"/>
  <c r="Z5" i="227"/>
  <c r="Y5" i="227"/>
  <c r="W5" i="227"/>
  <c r="H5" i="227"/>
  <c r="X5" i="227" s="1"/>
  <c r="Z4" i="227"/>
  <c r="Y4" i="227"/>
  <c r="W4" i="227"/>
  <c r="L4" i="227"/>
  <c r="H4" i="227"/>
  <c r="X4" i="227" s="1"/>
  <c r="Z3" i="227"/>
  <c r="Y3" i="227"/>
  <c r="W3" i="227"/>
  <c r="H3" i="227"/>
  <c r="X3" i="227" s="1"/>
  <c r="I85" i="33"/>
  <c r="H85" i="33"/>
  <c r="G85" i="33"/>
  <c r="F85" i="33"/>
  <c r="D85" i="33"/>
  <c r="C85" i="33"/>
  <c r="B85" i="33"/>
  <c r="Z20" i="226"/>
  <c r="Y20" i="226"/>
  <c r="W20" i="226"/>
  <c r="H20" i="226"/>
  <c r="X20" i="226" s="1"/>
  <c r="Z19" i="226"/>
  <c r="Y19" i="226"/>
  <c r="W19" i="226"/>
  <c r="H19" i="226"/>
  <c r="X19" i="226" s="1"/>
  <c r="Z18" i="226"/>
  <c r="Y18" i="226"/>
  <c r="W18" i="226"/>
  <c r="H18" i="226"/>
  <c r="X18" i="226" s="1"/>
  <c r="Z17" i="226"/>
  <c r="Y17" i="226"/>
  <c r="W17" i="226"/>
  <c r="H17" i="226"/>
  <c r="X17" i="226" s="1"/>
  <c r="Z16" i="226"/>
  <c r="Y16" i="226"/>
  <c r="W16" i="226"/>
  <c r="H16" i="226"/>
  <c r="X16" i="226" s="1"/>
  <c r="Z15" i="226"/>
  <c r="Y15" i="226"/>
  <c r="W15" i="226"/>
  <c r="H15" i="226"/>
  <c r="X15" i="226" s="1"/>
  <c r="Z14" i="226"/>
  <c r="Y14" i="226"/>
  <c r="W14" i="226"/>
  <c r="H14" i="226"/>
  <c r="X14" i="226" s="1"/>
  <c r="Z13" i="226"/>
  <c r="Y13" i="226"/>
  <c r="W13" i="226"/>
  <c r="H13" i="226"/>
  <c r="X13" i="226" s="1"/>
  <c r="Z12" i="226"/>
  <c r="Y12" i="226"/>
  <c r="W12" i="226"/>
  <c r="H12" i="226"/>
  <c r="X12" i="226" s="1"/>
  <c r="B12" i="226"/>
  <c r="Z11" i="226"/>
  <c r="Y11" i="226"/>
  <c r="X11" i="226"/>
  <c r="W11" i="226"/>
  <c r="H11" i="226"/>
  <c r="B11" i="226"/>
  <c r="Z10" i="226"/>
  <c r="Y10" i="226"/>
  <c r="W10" i="226"/>
  <c r="H10" i="226"/>
  <c r="X10" i="226" s="1"/>
  <c r="B10" i="226"/>
  <c r="B13" i="226" s="1"/>
  <c r="Z9" i="226"/>
  <c r="Y9" i="226"/>
  <c r="W9" i="226"/>
  <c r="H9" i="226"/>
  <c r="X9" i="226" s="1"/>
  <c r="Z8" i="226"/>
  <c r="Y8" i="226"/>
  <c r="W8" i="226"/>
  <c r="H8" i="226"/>
  <c r="X8" i="226" s="1"/>
  <c r="Z7" i="226"/>
  <c r="Y7" i="226"/>
  <c r="W7" i="226"/>
  <c r="H7" i="226"/>
  <c r="X7" i="226" s="1"/>
  <c r="B7" i="226"/>
  <c r="Z6" i="226"/>
  <c r="Y6" i="226"/>
  <c r="W6" i="226"/>
  <c r="H6" i="226"/>
  <c r="X6" i="226" s="1"/>
  <c r="Z5" i="226"/>
  <c r="Y5" i="226"/>
  <c r="W5" i="226"/>
  <c r="H5" i="226"/>
  <c r="X5" i="226" s="1"/>
  <c r="Z4" i="226"/>
  <c r="Y4" i="226"/>
  <c r="W4" i="226"/>
  <c r="H4" i="226"/>
  <c r="X4" i="226" s="1"/>
  <c r="Z3" i="226"/>
  <c r="Y3" i="226"/>
  <c r="W3" i="226"/>
  <c r="H3" i="226"/>
  <c r="X3" i="226" s="1"/>
  <c r="I84" i="33"/>
  <c r="H84" i="33"/>
  <c r="G84" i="33"/>
  <c r="F84" i="33"/>
  <c r="D84" i="33"/>
  <c r="C84" i="33"/>
  <c r="B84" i="33"/>
  <c r="Z20" i="225"/>
  <c r="Y20" i="225"/>
  <c r="W20" i="225"/>
  <c r="H20" i="225"/>
  <c r="X20" i="225" s="1"/>
  <c r="Z19" i="225"/>
  <c r="Y19" i="225"/>
  <c r="W19" i="225"/>
  <c r="H19" i="225"/>
  <c r="X19" i="225" s="1"/>
  <c r="Z18" i="225"/>
  <c r="Y18" i="225"/>
  <c r="W18" i="225"/>
  <c r="H18" i="225"/>
  <c r="X18" i="225" s="1"/>
  <c r="Z17" i="225"/>
  <c r="Y17" i="225"/>
  <c r="W17" i="225"/>
  <c r="H17" i="225"/>
  <c r="X17" i="225" s="1"/>
  <c r="Z16" i="225"/>
  <c r="Y16" i="225"/>
  <c r="W16" i="225"/>
  <c r="H16" i="225"/>
  <c r="X16" i="225" s="1"/>
  <c r="Z15" i="225"/>
  <c r="Y15" i="225"/>
  <c r="W15" i="225"/>
  <c r="H15" i="225"/>
  <c r="X15" i="225" s="1"/>
  <c r="Z14" i="225"/>
  <c r="Y14" i="225"/>
  <c r="W14" i="225"/>
  <c r="H14" i="225"/>
  <c r="X14" i="225" s="1"/>
  <c r="Z13" i="225"/>
  <c r="Y13" i="225"/>
  <c r="X13" i="225"/>
  <c r="W13" i="225"/>
  <c r="L13" i="225"/>
  <c r="H13" i="225"/>
  <c r="Z12" i="225"/>
  <c r="Y12" i="225"/>
  <c r="W12" i="225"/>
  <c r="H12" i="225"/>
  <c r="X12" i="225" s="1"/>
  <c r="B12" i="225"/>
  <c r="Z11" i="225"/>
  <c r="Y11" i="225"/>
  <c r="X11" i="225"/>
  <c r="W11" i="225"/>
  <c r="H11" i="225"/>
  <c r="B11" i="225"/>
  <c r="Z10" i="225"/>
  <c r="Y10" i="225"/>
  <c r="X10" i="225"/>
  <c r="W10" i="225"/>
  <c r="H10" i="225"/>
  <c r="B10" i="225"/>
  <c r="B13" i="225" s="1"/>
  <c r="Z9" i="225"/>
  <c r="Y9" i="225"/>
  <c r="W9" i="225"/>
  <c r="H9" i="225"/>
  <c r="X9" i="225" s="1"/>
  <c r="Z8" i="225"/>
  <c r="Y8" i="225"/>
  <c r="X8" i="225"/>
  <c r="W8" i="225"/>
  <c r="H8" i="225"/>
  <c r="Z7" i="225"/>
  <c r="Y7" i="225"/>
  <c r="W7" i="225"/>
  <c r="H7" i="225"/>
  <c r="X7" i="225" s="1"/>
  <c r="B7" i="225"/>
  <c r="Z6" i="225"/>
  <c r="Y6" i="225"/>
  <c r="W6" i="225"/>
  <c r="L6" i="225"/>
  <c r="H6" i="225"/>
  <c r="X6" i="225" s="1"/>
  <c r="Z5" i="225"/>
  <c r="Y5" i="225"/>
  <c r="W5" i="225"/>
  <c r="H5" i="225"/>
  <c r="X5" i="225" s="1"/>
  <c r="Z4" i="225"/>
  <c r="Y4" i="225"/>
  <c r="W4" i="225"/>
  <c r="L4" i="225"/>
  <c r="H4" i="225"/>
  <c r="X4" i="225" s="1"/>
  <c r="Z3" i="225"/>
  <c r="Y3" i="225"/>
  <c r="W3" i="225"/>
  <c r="H3" i="225"/>
  <c r="X3" i="225" s="1"/>
  <c r="I83" i="33"/>
  <c r="H83" i="33"/>
  <c r="G83" i="33"/>
  <c r="F83" i="33"/>
  <c r="D83" i="33"/>
  <c r="C83" i="33"/>
  <c r="E83" i="33" s="1"/>
  <c r="B83" i="33"/>
  <c r="Z20" i="224"/>
  <c r="Y20" i="224"/>
  <c r="W20" i="224"/>
  <c r="H20" i="224"/>
  <c r="X20" i="224" s="1"/>
  <c r="Z19" i="224"/>
  <c r="Y19" i="224"/>
  <c r="W19" i="224"/>
  <c r="H19" i="224"/>
  <c r="X19" i="224" s="1"/>
  <c r="Z18" i="224"/>
  <c r="Y18" i="224"/>
  <c r="W18" i="224"/>
  <c r="H18" i="224"/>
  <c r="X18" i="224" s="1"/>
  <c r="Z17" i="224"/>
  <c r="Y17" i="224"/>
  <c r="W17" i="224"/>
  <c r="H17" i="224"/>
  <c r="X17" i="224" s="1"/>
  <c r="Z16" i="224"/>
  <c r="Y16" i="224"/>
  <c r="W16" i="224"/>
  <c r="H16" i="224"/>
  <c r="X16" i="224" s="1"/>
  <c r="Z15" i="224"/>
  <c r="Y15" i="224"/>
  <c r="W15" i="224"/>
  <c r="H15" i="224"/>
  <c r="X15" i="224" s="1"/>
  <c r="Z14" i="224"/>
  <c r="Y14" i="224"/>
  <c r="W14" i="224"/>
  <c r="H14" i="224"/>
  <c r="X14" i="224" s="1"/>
  <c r="Z13" i="224"/>
  <c r="Y13" i="224"/>
  <c r="X13" i="224"/>
  <c r="W13" i="224"/>
  <c r="L13" i="224"/>
  <c r="H13" i="224"/>
  <c r="Z12" i="224"/>
  <c r="Y12" i="224"/>
  <c r="W12" i="224"/>
  <c r="H12" i="224"/>
  <c r="X12" i="224" s="1"/>
  <c r="B12" i="224"/>
  <c r="Z11" i="224"/>
  <c r="Y11" i="224"/>
  <c r="X11" i="224"/>
  <c r="W11" i="224"/>
  <c r="H11" i="224"/>
  <c r="B11" i="224"/>
  <c r="Z10" i="224"/>
  <c r="Y10" i="224"/>
  <c r="W10" i="224"/>
  <c r="H10" i="224"/>
  <c r="X10" i="224" s="1"/>
  <c r="B10" i="224"/>
  <c r="L5" i="224" s="1"/>
  <c r="Z9" i="224"/>
  <c r="Y9" i="224"/>
  <c r="W9" i="224"/>
  <c r="H9" i="224"/>
  <c r="X9" i="224" s="1"/>
  <c r="Z8" i="224"/>
  <c r="Y8" i="224"/>
  <c r="W8" i="224"/>
  <c r="H8" i="224"/>
  <c r="X8" i="224" s="1"/>
  <c r="Z7" i="224"/>
  <c r="Y7" i="224"/>
  <c r="W7" i="224"/>
  <c r="H7" i="224"/>
  <c r="X7" i="224" s="1"/>
  <c r="B7" i="224"/>
  <c r="Z6" i="224"/>
  <c r="Y6" i="224"/>
  <c r="W6" i="224"/>
  <c r="H6" i="224"/>
  <c r="X6" i="224" s="1"/>
  <c r="Z5" i="224"/>
  <c r="Y5" i="224"/>
  <c r="W5" i="224"/>
  <c r="H5" i="224"/>
  <c r="X5" i="224" s="1"/>
  <c r="Z4" i="224"/>
  <c r="Y4" i="224"/>
  <c r="W4" i="224"/>
  <c r="H4" i="224"/>
  <c r="X4" i="224" s="1"/>
  <c r="Z3" i="224"/>
  <c r="Y3" i="224"/>
  <c r="W3" i="224"/>
  <c r="H3" i="224"/>
  <c r="X3" i="224" s="1"/>
  <c r="I82" i="33"/>
  <c r="H82" i="33"/>
  <c r="G82" i="33"/>
  <c r="F82" i="33"/>
  <c r="D82" i="33"/>
  <c r="C82" i="33"/>
  <c r="B82" i="33"/>
  <c r="Z20" i="223"/>
  <c r="Y20" i="223"/>
  <c r="W20" i="223"/>
  <c r="H20" i="223"/>
  <c r="X20" i="223" s="1"/>
  <c r="Z19" i="223"/>
  <c r="Y19" i="223"/>
  <c r="W19" i="223"/>
  <c r="H19" i="223"/>
  <c r="X19" i="223" s="1"/>
  <c r="Z18" i="223"/>
  <c r="Y18" i="223"/>
  <c r="W18" i="223"/>
  <c r="H18" i="223"/>
  <c r="X18" i="223" s="1"/>
  <c r="Z17" i="223"/>
  <c r="Y17" i="223"/>
  <c r="W17" i="223"/>
  <c r="H17" i="223"/>
  <c r="X17" i="223" s="1"/>
  <c r="Z16" i="223"/>
  <c r="Y16" i="223"/>
  <c r="W16" i="223"/>
  <c r="H16" i="223"/>
  <c r="X16" i="223" s="1"/>
  <c r="Z15" i="223"/>
  <c r="Y15" i="223"/>
  <c r="W15" i="223"/>
  <c r="H15" i="223"/>
  <c r="X15" i="223" s="1"/>
  <c r="Z14" i="223"/>
  <c r="Y14" i="223"/>
  <c r="W14" i="223"/>
  <c r="H14" i="223"/>
  <c r="X14" i="223" s="1"/>
  <c r="Z13" i="223"/>
  <c r="Y13" i="223"/>
  <c r="X13" i="223"/>
  <c r="W13" i="223"/>
  <c r="L13" i="223"/>
  <c r="H13" i="223"/>
  <c r="Z12" i="223"/>
  <c r="Y12" i="223"/>
  <c r="W12" i="223"/>
  <c r="H12" i="223"/>
  <c r="X12" i="223" s="1"/>
  <c r="B12" i="223"/>
  <c r="Z11" i="223"/>
  <c r="Y11" i="223"/>
  <c r="X11" i="223"/>
  <c r="W11" i="223"/>
  <c r="H11" i="223"/>
  <c r="B11" i="223"/>
  <c r="Z10" i="223"/>
  <c r="Y10" i="223"/>
  <c r="W10" i="223"/>
  <c r="H10" i="223"/>
  <c r="X10" i="223" s="1"/>
  <c r="B10" i="223"/>
  <c r="L17" i="223" s="1"/>
  <c r="Z9" i="223"/>
  <c r="Y9" i="223"/>
  <c r="W9" i="223"/>
  <c r="H9" i="223"/>
  <c r="X9" i="223" s="1"/>
  <c r="Z8" i="223"/>
  <c r="Y8" i="223"/>
  <c r="W8" i="223"/>
  <c r="H8" i="223"/>
  <c r="X8" i="223" s="1"/>
  <c r="Z7" i="223"/>
  <c r="Y7" i="223"/>
  <c r="W7" i="223"/>
  <c r="H7" i="223"/>
  <c r="X7" i="223" s="1"/>
  <c r="B7" i="223"/>
  <c r="Z6" i="223"/>
  <c r="Y6" i="223"/>
  <c r="W6" i="223"/>
  <c r="H6" i="223"/>
  <c r="X6" i="223" s="1"/>
  <c r="Z5" i="223"/>
  <c r="Y5" i="223"/>
  <c r="W5" i="223"/>
  <c r="H5" i="223"/>
  <c r="X5" i="223" s="1"/>
  <c r="Z4" i="223"/>
  <c r="Y4" i="223"/>
  <c r="W4" i="223"/>
  <c r="H4" i="223"/>
  <c r="X4" i="223" s="1"/>
  <c r="Z3" i="223"/>
  <c r="Y3" i="223"/>
  <c r="W3" i="223"/>
  <c r="H3" i="223"/>
  <c r="X3" i="223" s="1"/>
  <c r="I81" i="33"/>
  <c r="H81" i="33"/>
  <c r="G81" i="33"/>
  <c r="F81" i="33"/>
  <c r="D81" i="33"/>
  <c r="C81" i="33"/>
  <c r="E81" i="33" s="1"/>
  <c r="B81" i="33"/>
  <c r="Z20" i="222"/>
  <c r="Y20" i="222"/>
  <c r="W20" i="222"/>
  <c r="H20" i="222"/>
  <c r="X20" i="222" s="1"/>
  <c r="Z19" i="222"/>
  <c r="Y19" i="222"/>
  <c r="W19" i="222"/>
  <c r="H19" i="222"/>
  <c r="X19" i="222" s="1"/>
  <c r="Z18" i="222"/>
  <c r="Y18" i="222"/>
  <c r="W18" i="222"/>
  <c r="H18" i="222"/>
  <c r="X18" i="222" s="1"/>
  <c r="Z17" i="222"/>
  <c r="Y17" i="222"/>
  <c r="W17" i="222"/>
  <c r="H17" i="222"/>
  <c r="X17" i="222" s="1"/>
  <c r="Z16" i="222"/>
  <c r="Y16" i="222"/>
  <c r="W16" i="222"/>
  <c r="H16" i="222"/>
  <c r="X16" i="222" s="1"/>
  <c r="Z15" i="222"/>
  <c r="Y15" i="222"/>
  <c r="W15" i="222"/>
  <c r="H15" i="222"/>
  <c r="X15" i="222" s="1"/>
  <c r="Z14" i="222"/>
  <c r="Y14" i="222"/>
  <c r="W14" i="222"/>
  <c r="H14" i="222"/>
  <c r="X14" i="222" s="1"/>
  <c r="Z13" i="222"/>
  <c r="Y13" i="222"/>
  <c r="X13" i="222"/>
  <c r="W13" i="222"/>
  <c r="L13" i="222"/>
  <c r="H13" i="222"/>
  <c r="Z12" i="222"/>
  <c r="Y12" i="222"/>
  <c r="W12" i="222"/>
  <c r="H12" i="222"/>
  <c r="X12" i="222" s="1"/>
  <c r="B12" i="222"/>
  <c r="Z11" i="222"/>
  <c r="Y11" i="222"/>
  <c r="X11" i="222"/>
  <c r="W11" i="222"/>
  <c r="H11" i="222"/>
  <c r="B11" i="222"/>
  <c r="Z10" i="222"/>
  <c r="Y10" i="222"/>
  <c r="X10" i="222"/>
  <c r="W10" i="222"/>
  <c r="H10" i="222"/>
  <c r="B10" i="222"/>
  <c r="B13" i="222" s="1"/>
  <c r="Z9" i="222"/>
  <c r="Y9" i="222"/>
  <c r="W9" i="222"/>
  <c r="H9" i="222"/>
  <c r="X9" i="222" s="1"/>
  <c r="Z8" i="222"/>
  <c r="Y8" i="222"/>
  <c r="W8" i="222"/>
  <c r="H8" i="222"/>
  <c r="X8" i="222" s="1"/>
  <c r="Z7" i="222"/>
  <c r="Y7" i="222"/>
  <c r="W7" i="222"/>
  <c r="H7" i="222"/>
  <c r="X7" i="222" s="1"/>
  <c r="B7" i="222"/>
  <c r="Z6" i="222"/>
  <c r="Y6" i="222"/>
  <c r="W6" i="222"/>
  <c r="H6" i="222"/>
  <c r="X6" i="222" s="1"/>
  <c r="Z5" i="222"/>
  <c r="Y5" i="222"/>
  <c r="W5" i="222"/>
  <c r="H5" i="222"/>
  <c r="X5" i="222" s="1"/>
  <c r="Z4" i="222"/>
  <c r="Y4" i="222"/>
  <c r="W4" i="222"/>
  <c r="H4" i="222"/>
  <c r="X4" i="222" s="1"/>
  <c r="Z3" i="222"/>
  <c r="Y3" i="222"/>
  <c r="W3" i="222"/>
  <c r="H3" i="222"/>
  <c r="X3" i="222" s="1"/>
  <c r="I80" i="33"/>
  <c r="H80" i="33"/>
  <c r="G80" i="33"/>
  <c r="F80" i="33"/>
  <c r="D80" i="33"/>
  <c r="C80" i="33"/>
  <c r="B80" i="33"/>
  <c r="Z20" i="221"/>
  <c r="Y20" i="221"/>
  <c r="W20" i="221"/>
  <c r="H20" i="221"/>
  <c r="X20" i="221" s="1"/>
  <c r="Z19" i="221"/>
  <c r="Y19" i="221"/>
  <c r="W19" i="221"/>
  <c r="H19" i="221"/>
  <c r="X19" i="221" s="1"/>
  <c r="Z18" i="221"/>
  <c r="Y18" i="221"/>
  <c r="W18" i="221"/>
  <c r="H18" i="221"/>
  <c r="X18" i="221" s="1"/>
  <c r="Z17" i="221"/>
  <c r="Y17" i="221"/>
  <c r="W17" i="221"/>
  <c r="H17" i="221"/>
  <c r="X17" i="221" s="1"/>
  <c r="Z16" i="221"/>
  <c r="Y16" i="221"/>
  <c r="W16" i="221"/>
  <c r="H16" i="221"/>
  <c r="X16" i="221" s="1"/>
  <c r="Z15" i="221"/>
  <c r="Y15" i="221"/>
  <c r="W15" i="221"/>
  <c r="H15" i="221"/>
  <c r="X15" i="221" s="1"/>
  <c r="Z14" i="221"/>
  <c r="Y14" i="221"/>
  <c r="W14" i="221"/>
  <c r="H14" i="221"/>
  <c r="X14" i="221" s="1"/>
  <c r="Z13" i="221"/>
  <c r="Y13" i="221"/>
  <c r="X13" i="221"/>
  <c r="W13" i="221"/>
  <c r="H13" i="221"/>
  <c r="Z12" i="221"/>
  <c r="Y12" i="221"/>
  <c r="W12" i="221"/>
  <c r="H12" i="221"/>
  <c r="X12" i="221" s="1"/>
  <c r="B12" i="221"/>
  <c r="Z11" i="221"/>
  <c r="Y11" i="221"/>
  <c r="X11" i="221"/>
  <c r="W11" i="221"/>
  <c r="H11" i="221"/>
  <c r="B11" i="221"/>
  <c r="Z10" i="221"/>
  <c r="Y10" i="221"/>
  <c r="W10" i="221"/>
  <c r="H10" i="221"/>
  <c r="X10" i="221" s="1"/>
  <c r="B10" i="221"/>
  <c r="L8" i="221" s="1"/>
  <c r="Z9" i="221"/>
  <c r="Y9" i="221"/>
  <c r="W9" i="221"/>
  <c r="H9" i="221"/>
  <c r="X9" i="221" s="1"/>
  <c r="Z8" i="221"/>
  <c r="Y8" i="221"/>
  <c r="W8" i="221"/>
  <c r="H8" i="221"/>
  <c r="X8" i="221" s="1"/>
  <c r="Z7" i="221"/>
  <c r="Y7" i="221"/>
  <c r="W7" i="221"/>
  <c r="H7" i="221"/>
  <c r="X7" i="221" s="1"/>
  <c r="B7" i="221"/>
  <c r="Z6" i="221"/>
  <c r="Y6" i="221"/>
  <c r="W6" i="221"/>
  <c r="H6" i="221"/>
  <c r="X6" i="221" s="1"/>
  <c r="Z5" i="221"/>
  <c r="Y5" i="221"/>
  <c r="W5" i="221"/>
  <c r="H5" i="221"/>
  <c r="X5" i="221" s="1"/>
  <c r="Z4" i="221"/>
  <c r="Y4" i="221"/>
  <c r="W4" i="221"/>
  <c r="H4" i="221"/>
  <c r="X4" i="221" s="1"/>
  <c r="Z3" i="221"/>
  <c r="Y3" i="221"/>
  <c r="W3" i="221"/>
  <c r="H3" i="221"/>
  <c r="X3" i="221" s="1"/>
  <c r="D79" i="33"/>
  <c r="C79" i="33"/>
  <c r="B79" i="33"/>
  <c r="Z20" i="220"/>
  <c r="Y20" i="220"/>
  <c r="W20" i="220"/>
  <c r="X20" i="220"/>
  <c r="Z19" i="220"/>
  <c r="Y19" i="220"/>
  <c r="W19" i="220"/>
  <c r="X19" i="220"/>
  <c r="Z18" i="220"/>
  <c r="Y18" i="220"/>
  <c r="W18" i="220"/>
  <c r="X18" i="220"/>
  <c r="Z17" i="220"/>
  <c r="Y17" i="220"/>
  <c r="W17" i="220"/>
  <c r="X17" i="220"/>
  <c r="Z16" i="220"/>
  <c r="Y16" i="220"/>
  <c r="W16" i="220"/>
  <c r="X16" i="220"/>
  <c r="Z15" i="220"/>
  <c r="Y15" i="220"/>
  <c r="W15" i="220"/>
  <c r="X15" i="220"/>
  <c r="Z14" i="220"/>
  <c r="Y14" i="220"/>
  <c r="W14" i="220"/>
  <c r="X14" i="220"/>
  <c r="Z13" i="220"/>
  <c r="Y13" i="220"/>
  <c r="W13" i="220"/>
  <c r="X13" i="220"/>
  <c r="Z12" i="220"/>
  <c r="Y12" i="220"/>
  <c r="W12" i="220"/>
  <c r="X12" i="220"/>
  <c r="B12" i="220"/>
  <c r="H79" i="33" s="1"/>
  <c r="Z11" i="220"/>
  <c r="Y11" i="220"/>
  <c r="W11" i="220"/>
  <c r="X11" i="220"/>
  <c r="B11" i="220"/>
  <c r="Z10" i="220"/>
  <c r="Y10" i="220"/>
  <c r="W10" i="220"/>
  <c r="X10" i="220"/>
  <c r="B10" i="220"/>
  <c r="Z9" i="220"/>
  <c r="Y9" i="220"/>
  <c r="W9" i="220"/>
  <c r="X9" i="220"/>
  <c r="Z8" i="220"/>
  <c r="Y8" i="220"/>
  <c r="W8" i="220"/>
  <c r="X8" i="220"/>
  <c r="Z7" i="220"/>
  <c r="Y7" i="220"/>
  <c r="W7" i="220"/>
  <c r="X7" i="220"/>
  <c r="B7" i="220"/>
  <c r="Z6" i="220"/>
  <c r="Y6" i="220"/>
  <c r="W6" i="220"/>
  <c r="H6" i="220"/>
  <c r="X6" i="220" s="1"/>
  <c r="Z5" i="220"/>
  <c r="Y5" i="220"/>
  <c r="W5" i="220"/>
  <c r="H5" i="220"/>
  <c r="X5" i="220" s="1"/>
  <c r="Z4" i="220"/>
  <c r="Y4" i="220"/>
  <c r="W4" i="220"/>
  <c r="H4" i="220"/>
  <c r="X4" i="220" s="1"/>
  <c r="Z3" i="220"/>
  <c r="Y3" i="220"/>
  <c r="W3" i="220"/>
  <c r="X3" i="220"/>
  <c r="I78" i="33"/>
  <c r="H78" i="33"/>
  <c r="G78" i="33"/>
  <c r="E78" i="33" s="1"/>
  <c r="F78" i="33"/>
  <c r="D78" i="33"/>
  <c r="C78" i="33"/>
  <c r="B78" i="33"/>
  <c r="Z20" i="219"/>
  <c r="Y20" i="219"/>
  <c r="W20" i="219"/>
  <c r="H20" i="219"/>
  <c r="X20" i="219" s="1"/>
  <c r="Z19" i="219"/>
  <c r="Y19" i="219"/>
  <c r="W19" i="219"/>
  <c r="H19" i="219"/>
  <c r="X19" i="219" s="1"/>
  <c r="Z18" i="219"/>
  <c r="Y18" i="219"/>
  <c r="W18" i="219"/>
  <c r="H18" i="219"/>
  <c r="X18" i="219" s="1"/>
  <c r="Z17" i="219"/>
  <c r="Y17" i="219"/>
  <c r="W17" i="219"/>
  <c r="H17" i="219"/>
  <c r="X17" i="219" s="1"/>
  <c r="Z16" i="219"/>
  <c r="Y16" i="219"/>
  <c r="W16" i="219"/>
  <c r="H16" i="219"/>
  <c r="X16" i="219" s="1"/>
  <c r="Z15" i="219"/>
  <c r="Y15" i="219"/>
  <c r="W15" i="219"/>
  <c r="H15" i="219"/>
  <c r="X15" i="219" s="1"/>
  <c r="Z14" i="219"/>
  <c r="Y14" i="219"/>
  <c r="W14" i="219"/>
  <c r="H14" i="219"/>
  <c r="X14" i="219" s="1"/>
  <c r="Z13" i="219"/>
  <c r="Y13" i="219"/>
  <c r="X13" i="219"/>
  <c r="W13" i="219"/>
  <c r="L13" i="219"/>
  <c r="H13" i="219"/>
  <c r="Z12" i="219"/>
  <c r="Y12" i="219"/>
  <c r="W12" i="219"/>
  <c r="H12" i="219"/>
  <c r="X12" i="219" s="1"/>
  <c r="B12" i="219"/>
  <c r="Z11" i="219"/>
  <c r="Y11" i="219"/>
  <c r="X11" i="219"/>
  <c r="W11" i="219"/>
  <c r="H11" i="219"/>
  <c r="B11" i="219"/>
  <c r="Z10" i="219"/>
  <c r="Y10" i="219"/>
  <c r="W10" i="219"/>
  <c r="H10" i="219"/>
  <c r="X10" i="219" s="1"/>
  <c r="B10" i="219"/>
  <c r="L12" i="219" s="1"/>
  <c r="Z9" i="219"/>
  <c r="Y9" i="219"/>
  <c r="W9" i="219"/>
  <c r="H9" i="219"/>
  <c r="X9" i="219" s="1"/>
  <c r="Z8" i="219"/>
  <c r="Y8" i="219"/>
  <c r="W8" i="219"/>
  <c r="H8" i="219"/>
  <c r="X8" i="219" s="1"/>
  <c r="Z7" i="219"/>
  <c r="Y7" i="219"/>
  <c r="W7" i="219"/>
  <c r="H7" i="219"/>
  <c r="X7" i="219" s="1"/>
  <c r="B7" i="219"/>
  <c r="Z6" i="219"/>
  <c r="Y6" i="219"/>
  <c r="W6" i="219"/>
  <c r="H6" i="219"/>
  <c r="X6" i="219" s="1"/>
  <c r="Z5" i="219"/>
  <c r="Y5" i="219"/>
  <c r="W5" i="219"/>
  <c r="H5" i="219"/>
  <c r="X5" i="219" s="1"/>
  <c r="Z4" i="219"/>
  <c r="Y4" i="219"/>
  <c r="W4" i="219"/>
  <c r="H4" i="219"/>
  <c r="X4" i="219" s="1"/>
  <c r="Z3" i="219"/>
  <c r="Y3" i="219"/>
  <c r="W3" i="219"/>
  <c r="H3" i="219"/>
  <c r="X3" i="219" s="1"/>
  <c r="E82" i="33" l="1"/>
  <c r="E84" i="33"/>
  <c r="E80" i="33"/>
  <c r="E87" i="33"/>
  <c r="G79" i="33"/>
  <c r="E79" i="33" s="1"/>
  <c r="L6" i="220"/>
  <c r="B13" i="220"/>
  <c r="I79" i="33" s="1"/>
  <c r="L4" i="220"/>
  <c r="B14" i="220" s="1"/>
  <c r="F79" i="33" s="1"/>
  <c r="L3" i="220"/>
  <c r="L5" i="220"/>
  <c r="E85" i="33"/>
  <c r="E88" i="33"/>
  <c r="E86" i="33"/>
  <c r="L4" i="229"/>
  <c r="L15" i="229"/>
  <c r="L17" i="229"/>
  <c r="L19" i="229"/>
  <c r="L8" i="229"/>
  <c r="L12" i="229"/>
  <c r="B14" i="229"/>
  <c r="L3" i="229"/>
  <c r="L5" i="229"/>
  <c r="L14" i="229"/>
  <c r="L16" i="229"/>
  <c r="L18" i="229"/>
  <c r="L20" i="229"/>
  <c r="L7" i="229"/>
  <c r="L9" i="229"/>
  <c r="L11" i="229"/>
  <c r="L10" i="228"/>
  <c r="L15" i="228"/>
  <c r="L17" i="228"/>
  <c r="L19" i="228"/>
  <c r="L12" i="228"/>
  <c r="B14" i="228"/>
  <c r="L3" i="228"/>
  <c r="L5" i="228"/>
  <c r="L14" i="228"/>
  <c r="L16" i="228"/>
  <c r="L18" i="228"/>
  <c r="L20" i="228"/>
  <c r="L7" i="228"/>
  <c r="L9" i="228"/>
  <c r="L11" i="228"/>
  <c r="L10" i="227"/>
  <c r="L15" i="227"/>
  <c r="L17" i="227"/>
  <c r="L19" i="227"/>
  <c r="L8" i="227"/>
  <c r="L12" i="227"/>
  <c r="B14" i="227"/>
  <c r="L3" i="227"/>
  <c r="L5" i="227"/>
  <c r="L14" i="227"/>
  <c r="L16" i="227"/>
  <c r="L18" i="227"/>
  <c r="L20" i="227"/>
  <c r="L7" i="227"/>
  <c r="L4" i="226"/>
  <c r="L13" i="226"/>
  <c r="L6" i="226"/>
  <c r="L19" i="226"/>
  <c r="L8" i="226"/>
  <c r="L10" i="226"/>
  <c r="L12" i="226"/>
  <c r="B14" i="226"/>
  <c r="L15" i="226"/>
  <c r="L3" i="226"/>
  <c r="L5" i="226"/>
  <c r="L14" i="226"/>
  <c r="L16" i="226"/>
  <c r="L18" i="226"/>
  <c r="L20" i="226"/>
  <c r="L7" i="226"/>
  <c r="L9" i="226"/>
  <c r="L17" i="226"/>
  <c r="L11" i="226"/>
  <c r="L17" i="225"/>
  <c r="L8" i="225"/>
  <c r="L15" i="225"/>
  <c r="L19" i="225"/>
  <c r="L10" i="225"/>
  <c r="L12" i="225"/>
  <c r="B14" i="225"/>
  <c r="L3" i="225"/>
  <c r="L5" i="225"/>
  <c r="L14" i="225"/>
  <c r="L16" i="225"/>
  <c r="L18" i="225"/>
  <c r="L20" i="225"/>
  <c r="L7" i="225"/>
  <c r="L9" i="225"/>
  <c r="L11" i="225"/>
  <c r="L19" i="224"/>
  <c r="L12" i="224"/>
  <c r="B14" i="224"/>
  <c r="L15" i="224"/>
  <c r="L3" i="224"/>
  <c r="L14" i="224"/>
  <c r="L20" i="224"/>
  <c r="L6" i="224"/>
  <c r="L17" i="224"/>
  <c r="L10" i="224"/>
  <c r="L8" i="224"/>
  <c r="L18" i="224"/>
  <c r="L9" i="224"/>
  <c r="L16" i="224"/>
  <c r="L7" i="224"/>
  <c r="L11" i="224"/>
  <c r="B13" i="224"/>
  <c r="L4" i="224"/>
  <c r="L15" i="223"/>
  <c r="L10" i="223"/>
  <c r="L12" i="223"/>
  <c r="B14" i="223"/>
  <c r="L4" i="223"/>
  <c r="L19" i="223"/>
  <c r="L8" i="223"/>
  <c r="L3" i="223"/>
  <c r="L5" i="223"/>
  <c r="L14" i="223"/>
  <c r="L16" i="223"/>
  <c r="L18" i="223"/>
  <c r="L20" i="223"/>
  <c r="L7" i="223"/>
  <c r="L9" i="223"/>
  <c r="L6" i="223"/>
  <c r="L11" i="223"/>
  <c r="B13" i="223"/>
  <c r="B14" i="222"/>
  <c r="L12" i="222"/>
  <c r="L19" i="222"/>
  <c r="L8" i="222"/>
  <c r="L17" i="222"/>
  <c r="L10" i="222"/>
  <c r="L4" i="222"/>
  <c r="L6" i="222"/>
  <c r="L15" i="222"/>
  <c r="L3" i="222"/>
  <c r="L5" i="222"/>
  <c r="L14" i="222"/>
  <c r="L16" i="222"/>
  <c r="L18" i="222"/>
  <c r="L20" i="222"/>
  <c r="L7" i="222"/>
  <c r="L9" i="222"/>
  <c r="L11" i="222"/>
  <c r="L13" i="221"/>
  <c r="L12" i="221"/>
  <c r="B14" i="221"/>
  <c r="L3" i="221"/>
  <c r="L5" i="221"/>
  <c r="L14" i="221"/>
  <c r="L16" i="221"/>
  <c r="L18" i="221"/>
  <c r="L20" i="221"/>
  <c r="L10" i="221"/>
  <c r="L7" i="221"/>
  <c r="L9" i="221"/>
  <c r="L19" i="221"/>
  <c r="L6" i="221"/>
  <c r="L17" i="221"/>
  <c r="L11" i="221"/>
  <c r="B13" i="221"/>
  <c r="L4" i="221"/>
  <c r="L15" i="221"/>
  <c r="B14" i="219"/>
  <c r="L17" i="219"/>
  <c r="L19" i="219"/>
  <c r="L8" i="219"/>
  <c r="L10" i="219"/>
  <c r="L14" i="219"/>
  <c r="L16" i="219"/>
  <c r="L18" i="219"/>
  <c r="L20" i="219"/>
  <c r="L7" i="219"/>
  <c r="L9" i="219"/>
  <c r="L4" i="219"/>
  <c r="L15" i="219"/>
  <c r="L3" i="219"/>
  <c r="L5" i="219"/>
  <c r="L11" i="219"/>
  <c r="B13" i="219"/>
  <c r="L6" i="219"/>
  <c r="I77" i="33" l="1"/>
  <c r="H77" i="33"/>
  <c r="G77" i="33"/>
  <c r="F77" i="33"/>
  <c r="D77" i="33"/>
  <c r="C77" i="33"/>
  <c r="B77" i="33"/>
  <c r="Z20" i="218"/>
  <c r="Y20" i="218"/>
  <c r="W20" i="218"/>
  <c r="H20" i="218"/>
  <c r="X20" i="218" s="1"/>
  <c r="Z19" i="218"/>
  <c r="Y19" i="218"/>
  <c r="W19" i="218"/>
  <c r="H19" i="218"/>
  <c r="X19" i="218" s="1"/>
  <c r="Z18" i="218"/>
  <c r="Y18" i="218"/>
  <c r="W18" i="218"/>
  <c r="H18" i="218"/>
  <c r="X18" i="218" s="1"/>
  <c r="Z17" i="218"/>
  <c r="Y17" i="218"/>
  <c r="W17" i="218"/>
  <c r="H17" i="218"/>
  <c r="X17" i="218" s="1"/>
  <c r="Z16" i="218"/>
  <c r="Y16" i="218"/>
  <c r="W16" i="218"/>
  <c r="H16" i="218"/>
  <c r="X16" i="218" s="1"/>
  <c r="Z15" i="218"/>
  <c r="Y15" i="218"/>
  <c r="W15" i="218"/>
  <c r="H15" i="218"/>
  <c r="X15" i="218" s="1"/>
  <c r="Z14" i="218"/>
  <c r="Y14" i="218"/>
  <c r="W14" i="218"/>
  <c r="H14" i="218"/>
  <c r="X14" i="218" s="1"/>
  <c r="Z13" i="218"/>
  <c r="Y13" i="218"/>
  <c r="X13" i="218"/>
  <c r="W13" i="218"/>
  <c r="H13" i="218"/>
  <c r="Z12" i="218"/>
  <c r="Y12" i="218"/>
  <c r="W12" i="218"/>
  <c r="H12" i="218"/>
  <c r="X12" i="218" s="1"/>
  <c r="B12" i="218"/>
  <c r="Z11" i="218"/>
  <c r="Y11" i="218"/>
  <c r="X11" i="218"/>
  <c r="W11" i="218"/>
  <c r="H11" i="218"/>
  <c r="B11" i="218"/>
  <c r="Z10" i="218"/>
  <c r="Y10" i="218"/>
  <c r="W10" i="218"/>
  <c r="H10" i="218"/>
  <c r="X10" i="218" s="1"/>
  <c r="B10" i="218"/>
  <c r="B13" i="218" s="1"/>
  <c r="Z9" i="218"/>
  <c r="Y9" i="218"/>
  <c r="W9" i="218"/>
  <c r="H9" i="218"/>
  <c r="X9" i="218" s="1"/>
  <c r="Z8" i="218"/>
  <c r="Y8" i="218"/>
  <c r="W8" i="218"/>
  <c r="H8" i="218"/>
  <c r="X8" i="218" s="1"/>
  <c r="Z7" i="218"/>
  <c r="Y7" i="218"/>
  <c r="W7" i="218"/>
  <c r="H7" i="218"/>
  <c r="X7" i="218" s="1"/>
  <c r="B7" i="218"/>
  <c r="Z6" i="218"/>
  <c r="Y6" i="218"/>
  <c r="W6" i="218"/>
  <c r="H6" i="218"/>
  <c r="X6" i="218" s="1"/>
  <c r="Z5" i="218"/>
  <c r="Y5" i="218"/>
  <c r="W5" i="218"/>
  <c r="H5" i="218"/>
  <c r="X5" i="218" s="1"/>
  <c r="Z4" i="218"/>
  <c r="Y4" i="218"/>
  <c r="W4" i="218"/>
  <c r="L4" i="218"/>
  <c r="H4" i="218"/>
  <c r="X4" i="218" s="1"/>
  <c r="Z3" i="218"/>
  <c r="Y3" i="218"/>
  <c r="W3" i="218"/>
  <c r="H3" i="218"/>
  <c r="X3" i="218" s="1"/>
  <c r="I76" i="33"/>
  <c r="H76" i="33"/>
  <c r="G76" i="33"/>
  <c r="F76" i="33"/>
  <c r="D76" i="33"/>
  <c r="C76" i="33"/>
  <c r="E76" i="33" s="1"/>
  <c r="B76" i="33"/>
  <c r="Z20" i="217"/>
  <c r="Y20" i="217"/>
  <c r="W20" i="217"/>
  <c r="H20" i="217"/>
  <c r="X20" i="217" s="1"/>
  <c r="Z19" i="217"/>
  <c r="Y19" i="217"/>
  <c r="W19" i="217"/>
  <c r="H19" i="217"/>
  <c r="X19" i="217" s="1"/>
  <c r="Z18" i="217"/>
  <c r="Y18" i="217"/>
  <c r="W18" i="217"/>
  <c r="H18" i="217"/>
  <c r="X18" i="217" s="1"/>
  <c r="Z17" i="217"/>
  <c r="Y17" i="217"/>
  <c r="W17" i="217"/>
  <c r="H17" i="217"/>
  <c r="X17" i="217" s="1"/>
  <c r="Z16" i="217"/>
  <c r="Y16" i="217"/>
  <c r="W16" i="217"/>
  <c r="H16" i="217"/>
  <c r="X16" i="217" s="1"/>
  <c r="Z15" i="217"/>
  <c r="Y15" i="217"/>
  <c r="W15" i="217"/>
  <c r="L15" i="217"/>
  <c r="H15" i="217"/>
  <c r="X15" i="217" s="1"/>
  <c r="Z14" i="217"/>
  <c r="Y14" i="217"/>
  <c r="W14" i="217"/>
  <c r="H14" i="217"/>
  <c r="X14" i="217" s="1"/>
  <c r="Z13" i="217"/>
  <c r="Y13" i="217"/>
  <c r="X13" i="217"/>
  <c r="W13" i="217"/>
  <c r="L13" i="217"/>
  <c r="H13" i="217"/>
  <c r="Z12" i="217"/>
  <c r="Y12" i="217"/>
  <c r="W12" i="217"/>
  <c r="H12" i="217"/>
  <c r="X12" i="217" s="1"/>
  <c r="B12" i="217"/>
  <c r="Z11" i="217"/>
  <c r="Y11" i="217"/>
  <c r="X11" i="217"/>
  <c r="W11" i="217"/>
  <c r="H11" i="217"/>
  <c r="B11" i="217"/>
  <c r="Z10" i="217"/>
  <c r="Y10" i="217"/>
  <c r="W10" i="217"/>
  <c r="H10" i="217"/>
  <c r="X10" i="217" s="1"/>
  <c r="B10" i="217"/>
  <c r="B13" i="217" s="1"/>
  <c r="Z9" i="217"/>
  <c r="Y9" i="217"/>
  <c r="W9" i="217"/>
  <c r="H9" i="217"/>
  <c r="X9" i="217" s="1"/>
  <c r="Z8" i="217"/>
  <c r="Y8" i="217"/>
  <c r="W8" i="217"/>
  <c r="H8" i="217"/>
  <c r="X8" i="217" s="1"/>
  <c r="Z7" i="217"/>
  <c r="Y7" i="217"/>
  <c r="W7" i="217"/>
  <c r="H7" i="217"/>
  <c r="X7" i="217" s="1"/>
  <c r="B7" i="217"/>
  <c r="Z6" i="217"/>
  <c r="Y6" i="217"/>
  <c r="W6" i="217"/>
  <c r="L6" i="217"/>
  <c r="H6" i="217"/>
  <c r="X6" i="217" s="1"/>
  <c r="Z5" i="217"/>
  <c r="Y5" i="217"/>
  <c r="W5" i="217"/>
  <c r="H5" i="217"/>
  <c r="X5" i="217" s="1"/>
  <c r="Z4" i="217"/>
  <c r="Y4" i="217"/>
  <c r="W4" i="217"/>
  <c r="H4" i="217"/>
  <c r="X4" i="217" s="1"/>
  <c r="Z3" i="217"/>
  <c r="Y3" i="217"/>
  <c r="W3" i="217"/>
  <c r="H3" i="217"/>
  <c r="X3" i="217" s="1"/>
  <c r="I75" i="33"/>
  <c r="H75" i="33"/>
  <c r="G75" i="33"/>
  <c r="F75" i="33"/>
  <c r="D75" i="33"/>
  <c r="C75" i="33"/>
  <c r="E75" i="33" s="1"/>
  <c r="B75" i="33"/>
  <c r="Z20" i="216"/>
  <c r="Y20" i="216"/>
  <c r="W20" i="216"/>
  <c r="H20" i="216"/>
  <c r="X20" i="216" s="1"/>
  <c r="Z19" i="216"/>
  <c r="Y19" i="216"/>
  <c r="W19" i="216"/>
  <c r="H19" i="216"/>
  <c r="X19" i="216" s="1"/>
  <c r="Z18" i="216"/>
  <c r="Y18" i="216"/>
  <c r="W18" i="216"/>
  <c r="H18" i="216"/>
  <c r="X18" i="216" s="1"/>
  <c r="Z17" i="216"/>
  <c r="Y17" i="216"/>
  <c r="W17" i="216"/>
  <c r="H17" i="216"/>
  <c r="X17" i="216" s="1"/>
  <c r="Z16" i="216"/>
  <c r="Y16" i="216"/>
  <c r="W16" i="216"/>
  <c r="H16" i="216"/>
  <c r="X16" i="216" s="1"/>
  <c r="Z15" i="216"/>
  <c r="Y15" i="216"/>
  <c r="W15" i="216"/>
  <c r="H15" i="216"/>
  <c r="X15" i="216" s="1"/>
  <c r="Z14" i="216"/>
  <c r="Y14" i="216"/>
  <c r="W14" i="216"/>
  <c r="H14" i="216"/>
  <c r="X14" i="216" s="1"/>
  <c r="Z13" i="216"/>
  <c r="Y13" i="216"/>
  <c r="X13" i="216"/>
  <c r="W13" i="216"/>
  <c r="L13" i="216"/>
  <c r="H13" i="216"/>
  <c r="Z12" i="216"/>
  <c r="Y12" i="216"/>
  <c r="W12" i="216"/>
  <c r="H12" i="216"/>
  <c r="X12" i="216" s="1"/>
  <c r="B12" i="216"/>
  <c r="Z11" i="216"/>
  <c r="Y11" i="216"/>
  <c r="X11" i="216"/>
  <c r="W11" i="216"/>
  <c r="H11" i="216"/>
  <c r="B11" i="216"/>
  <c r="Z10" i="216"/>
  <c r="Y10" i="216"/>
  <c r="W10" i="216"/>
  <c r="H10" i="216"/>
  <c r="X10" i="216" s="1"/>
  <c r="B10" i="216"/>
  <c r="B13" i="216" s="1"/>
  <c r="Z9" i="216"/>
  <c r="Y9" i="216"/>
  <c r="W9" i="216"/>
  <c r="H9" i="216"/>
  <c r="X9" i="216" s="1"/>
  <c r="Z8" i="216"/>
  <c r="Y8" i="216"/>
  <c r="W8" i="216"/>
  <c r="L8" i="216"/>
  <c r="H8" i="216"/>
  <c r="X8" i="216" s="1"/>
  <c r="Z7" i="216"/>
  <c r="Y7" i="216"/>
  <c r="W7" i="216"/>
  <c r="H7" i="216"/>
  <c r="X7" i="216" s="1"/>
  <c r="B7" i="216"/>
  <c r="Z6" i="216"/>
  <c r="Y6" i="216"/>
  <c r="W6" i="216"/>
  <c r="L6" i="216"/>
  <c r="H6" i="216"/>
  <c r="X6" i="216" s="1"/>
  <c r="Z5" i="216"/>
  <c r="Y5" i="216"/>
  <c r="W5" i="216"/>
  <c r="H5" i="216"/>
  <c r="X5" i="216" s="1"/>
  <c r="Z4" i="216"/>
  <c r="Y4" i="216"/>
  <c r="W4" i="216"/>
  <c r="L4" i="216"/>
  <c r="H4" i="216"/>
  <c r="X4" i="216" s="1"/>
  <c r="Z3" i="216"/>
  <c r="Y3" i="216"/>
  <c r="W3" i="216"/>
  <c r="H3" i="216"/>
  <c r="X3" i="216" s="1"/>
  <c r="I74" i="33"/>
  <c r="H74" i="33"/>
  <c r="G74" i="33"/>
  <c r="F74" i="33"/>
  <c r="D74" i="33"/>
  <c r="C74" i="33"/>
  <c r="B74" i="33"/>
  <c r="Z20" i="215"/>
  <c r="Y20" i="215"/>
  <c r="W20" i="215"/>
  <c r="H20" i="215"/>
  <c r="X20" i="215" s="1"/>
  <c r="Z19" i="215"/>
  <c r="Y19" i="215"/>
  <c r="W19" i="215"/>
  <c r="H19" i="215"/>
  <c r="X19" i="215" s="1"/>
  <c r="Z18" i="215"/>
  <c r="Y18" i="215"/>
  <c r="W18" i="215"/>
  <c r="H18" i="215"/>
  <c r="X18" i="215" s="1"/>
  <c r="Z17" i="215"/>
  <c r="Y17" i="215"/>
  <c r="W17" i="215"/>
  <c r="H17" i="215"/>
  <c r="X17" i="215" s="1"/>
  <c r="Z16" i="215"/>
  <c r="Y16" i="215"/>
  <c r="W16" i="215"/>
  <c r="H16" i="215"/>
  <c r="X16" i="215" s="1"/>
  <c r="Z15" i="215"/>
  <c r="Y15" i="215"/>
  <c r="W15" i="215"/>
  <c r="H15" i="215"/>
  <c r="X15" i="215" s="1"/>
  <c r="Z14" i="215"/>
  <c r="Y14" i="215"/>
  <c r="W14" i="215"/>
  <c r="H14" i="215"/>
  <c r="X14" i="215" s="1"/>
  <c r="Z13" i="215"/>
  <c r="Y13" i="215"/>
  <c r="X13" i="215"/>
  <c r="W13" i="215"/>
  <c r="L13" i="215"/>
  <c r="H13" i="215"/>
  <c r="Z12" i="215"/>
  <c r="Y12" i="215"/>
  <c r="W12" i="215"/>
  <c r="H12" i="215"/>
  <c r="X12" i="215" s="1"/>
  <c r="B12" i="215"/>
  <c r="Z11" i="215"/>
  <c r="Y11" i="215"/>
  <c r="X11" i="215"/>
  <c r="W11" i="215"/>
  <c r="H11" i="215"/>
  <c r="B11" i="215"/>
  <c r="Z10" i="215"/>
  <c r="Y10" i="215"/>
  <c r="W10" i="215"/>
  <c r="H10" i="215"/>
  <c r="X10" i="215" s="1"/>
  <c r="B10" i="215"/>
  <c r="B13" i="215" s="1"/>
  <c r="Z9" i="215"/>
  <c r="Y9" i="215"/>
  <c r="W9" i="215"/>
  <c r="H9" i="215"/>
  <c r="X9" i="215" s="1"/>
  <c r="Z8" i="215"/>
  <c r="Y8" i="215"/>
  <c r="W8" i="215"/>
  <c r="L8" i="215"/>
  <c r="H8" i="215"/>
  <c r="X8" i="215" s="1"/>
  <c r="Z7" i="215"/>
  <c r="Y7" i="215"/>
  <c r="W7" i="215"/>
  <c r="H7" i="215"/>
  <c r="X7" i="215" s="1"/>
  <c r="B7" i="215"/>
  <c r="Z6" i="215"/>
  <c r="Y6" i="215"/>
  <c r="W6" i="215"/>
  <c r="L6" i="215"/>
  <c r="H6" i="215"/>
  <c r="X6" i="215" s="1"/>
  <c r="Z5" i="215"/>
  <c r="Y5" i="215"/>
  <c r="W5" i="215"/>
  <c r="H5" i="215"/>
  <c r="X5" i="215" s="1"/>
  <c r="Z4" i="215"/>
  <c r="Y4" i="215"/>
  <c r="W4" i="215"/>
  <c r="L4" i="215"/>
  <c r="H4" i="215"/>
  <c r="X4" i="215" s="1"/>
  <c r="Z3" i="215"/>
  <c r="Y3" i="215"/>
  <c r="W3" i="215"/>
  <c r="H3" i="215"/>
  <c r="X3" i="215" s="1"/>
  <c r="I73" i="33"/>
  <c r="H73" i="33"/>
  <c r="G73" i="33"/>
  <c r="F73" i="33"/>
  <c r="D73" i="33"/>
  <c r="C73" i="33"/>
  <c r="B73" i="33"/>
  <c r="Z20" i="214"/>
  <c r="Y20" i="214"/>
  <c r="W20" i="214"/>
  <c r="H20" i="214"/>
  <c r="X20" i="214" s="1"/>
  <c r="Z19" i="214"/>
  <c r="Y19" i="214"/>
  <c r="W19" i="214"/>
  <c r="H19" i="214"/>
  <c r="X19" i="214" s="1"/>
  <c r="Z18" i="214"/>
  <c r="Y18" i="214"/>
  <c r="W18" i="214"/>
  <c r="H18" i="214"/>
  <c r="X18" i="214" s="1"/>
  <c r="Z17" i="214"/>
  <c r="Y17" i="214"/>
  <c r="W17" i="214"/>
  <c r="H17" i="214"/>
  <c r="X17" i="214" s="1"/>
  <c r="Z16" i="214"/>
  <c r="Y16" i="214"/>
  <c r="W16" i="214"/>
  <c r="H16" i="214"/>
  <c r="X16" i="214" s="1"/>
  <c r="Z15" i="214"/>
  <c r="Y15" i="214"/>
  <c r="W15" i="214"/>
  <c r="H15" i="214"/>
  <c r="X15" i="214" s="1"/>
  <c r="Z14" i="214"/>
  <c r="Y14" i="214"/>
  <c r="W14" i="214"/>
  <c r="H14" i="214"/>
  <c r="X14" i="214" s="1"/>
  <c r="Z13" i="214"/>
  <c r="Y13" i="214"/>
  <c r="X13" i="214"/>
  <c r="W13" i="214"/>
  <c r="L13" i="214"/>
  <c r="H13" i="214"/>
  <c r="Z12" i="214"/>
  <c r="Y12" i="214"/>
  <c r="W12" i="214"/>
  <c r="H12" i="214"/>
  <c r="X12" i="214" s="1"/>
  <c r="B12" i="214"/>
  <c r="Z11" i="214"/>
  <c r="Y11" i="214"/>
  <c r="X11" i="214"/>
  <c r="W11" i="214"/>
  <c r="H11" i="214"/>
  <c r="B11" i="214"/>
  <c r="Z10" i="214"/>
  <c r="Y10" i="214"/>
  <c r="X10" i="214"/>
  <c r="W10" i="214"/>
  <c r="H10" i="214"/>
  <c r="B10" i="214"/>
  <c r="B13" i="214" s="1"/>
  <c r="Z9" i="214"/>
  <c r="Y9" i="214"/>
  <c r="W9" i="214"/>
  <c r="H9" i="214"/>
  <c r="X9" i="214" s="1"/>
  <c r="Z8" i="214"/>
  <c r="Y8" i="214"/>
  <c r="W8" i="214"/>
  <c r="H8" i="214"/>
  <c r="X8" i="214" s="1"/>
  <c r="Z7" i="214"/>
  <c r="Y7" i="214"/>
  <c r="W7" i="214"/>
  <c r="H7" i="214"/>
  <c r="X7" i="214" s="1"/>
  <c r="B7" i="214"/>
  <c r="Z6" i="214"/>
  <c r="Y6" i="214"/>
  <c r="X6" i="214"/>
  <c r="W6" i="214"/>
  <c r="L6" i="214"/>
  <c r="H6" i="214"/>
  <c r="Z5" i="214"/>
  <c r="Y5" i="214"/>
  <c r="W5" i="214"/>
  <c r="H5" i="214"/>
  <c r="X5" i="214" s="1"/>
  <c r="Z4" i="214"/>
  <c r="Y4" i="214"/>
  <c r="W4" i="214"/>
  <c r="L4" i="214"/>
  <c r="H4" i="214"/>
  <c r="X4" i="214" s="1"/>
  <c r="Z3" i="214"/>
  <c r="Y3" i="214"/>
  <c r="W3" i="214"/>
  <c r="H3" i="214"/>
  <c r="X3" i="214" s="1"/>
  <c r="I72" i="33"/>
  <c r="H72" i="33"/>
  <c r="G72" i="33"/>
  <c r="F72" i="33"/>
  <c r="D72" i="33"/>
  <c r="C72" i="33"/>
  <c r="E72" i="33" s="1"/>
  <c r="B72" i="33"/>
  <c r="Z20" i="213"/>
  <c r="Y20" i="213"/>
  <c r="W20" i="213"/>
  <c r="H20" i="213"/>
  <c r="X20" i="213" s="1"/>
  <c r="Z19" i="213"/>
  <c r="Y19" i="213"/>
  <c r="W19" i="213"/>
  <c r="H19" i="213"/>
  <c r="X19" i="213" s="1"/>
  <c r="Z18" i="213"/>
  <c r="Y18" i="213"/>
  <c r="W18" i="213"/>
  <c r="H18" i="213"/>
  <c r="X18" i="213" s="1"/>
  <c r="Z17" i="213"/>
  <c r="Y17" i="213"/>
  <c r="W17" i="213"/>
  <c r="H17" i="213"/>
  <c r="X17" i="213" s="1"/>
  <c r="Z16" i="213"/>
  <c r="Y16" i="213"/>
  <c r="W16" i="213"/>
  <c r="H16" i="213"/>
  <c r="X16" i="213" s="1"/>
  <c r="Z15" i="213"/>
  <c r="Y15" i="213"/>
  <c r="W15" i="213"/>
  <c r="H15" i="213"/>
  <c r="X15" i="213" s="1"/>
  <c r="Z14" i="213"/>
  <c r="Y14" i="213"/>
  <c r="W14" i="213"/>
  <c r="H14" i="213"/>
  <c r="X14" i="213" s="1"/>
  <c r="Z13" i="213"/>
  <c r="Y13" i="213"/>
  <c r="X13" i="213"/>
  <c r="W13" i="213"/>
  <c r="L13" i="213"/>
  <c r="H13" i="213"/>
  <c r="Z12" i="213"/>
  <c r="Y12" i="213"/>
  <c r="W12" i="213"/>
  <c r="H12" i="213"/>
  <c r="X12" i="213" s="1"/>
  <c r="B12" i="213"/>
  <c r="Z11" i="213"/>
  <c r="Y11" i="213"/>
  <c r="X11" i="213"/>
  <c r="W11" i="213"/>
  <c r="H11" i="213"/>
  <c r="B11" i="213"/>
  <c r="Z10" i="213"/>
  <c r="Y10" i="213"/>
  <c r="X10" i="213"/>
  <c r="W10" i="213"/>
  <c r="H10" i="213"/>
  <c r="B10" i="213"/>
  <c r="B13" i="213" s="1"/>
  <c r="Z9" i="213"/>
  <c r="Y9" i="213"/>
  <c r="W9" i="213"/>
  <c r="H9" i="213"/>
  <c r="X9" i="213" s="1"/>
  <c r="Z8" i="213"/>
  <c r="Y8" i="213"/>
  <c r="W8" i="213"/>
  <c r="H8" i="213"/>
  <c r="X8" i="213" s="1"/>
  <c r="Z7" i="213"/>
  <c r="Y7" i="213"/>
  <c r="W7" i="213"/>
  <c r="H7" i="213"/>
  <c r="X7" i="213" s="1"/>
  <c r="B7" i="213"/>
  <c r="Z6" i="213"/>
  <c r="Y6" i="213"/>
  <c r="W6" i="213"/>
  <c r="L6" i="213"/>
  <c r="H6" i="213"/>
  <c r="X6" i="213" s="1"/>
  <c r="Z5" i="213"/>
  <c r="Y5" i="213"/>
  <c r="W5" i="213"/>
  <c r="H5" i="213"/>
  <c r="X5" i="213" s="1"/>
  <c r="Z4" i="213"/>
  <c r="Y4" i="213"/>
  <c r="W4" i="213"/>
  <c r="L4" i="213"/>
  <c r="H4" i="213"/>
  <c r="X4" i="213" s="1"/>
  <c r="Z3" i="213"/>
  <c r="Y3" i="213"/>
  <c r="W3" i="213"/>
  <c r="H3" i="213"/>
  <c r="X3" i="213" s="1"/>
  <c r="I71" i="33"/>
  <c r="H71" i="33"/>
  <c r="G71" i="33"/>
  <c r="F71" i="33"/>
  <c r="D71" i="33"/>
  <c r="C71" i="33"/>
  <c r="B71" i="33"/>
  <c r="Z20" i="212"/>
  <c r="Y20" i="212"/>
  <c r="W20" i="212"/>
  <c r="H20" i="212"/>
  <c r="X20" i="212" s="1"/>
  <c r="Z19" i="212"/>
  <c r="Y19" i="212"/>
  <c r="W19" i="212"/>
  <c r="H19" i="212"/>
  <c r="X19" i="212" s="1"/>
  <c r="Z18" i="212"/>
  <c r="Y18" i="212"/>
  <c r="W18" i="212"/>
  <c r="H18" i="212"/>
  <c r="X18" i="212" s="1"/>
  <c r="Z17" i="212"/>
  <c r="Y17" i="212"/>
  <c r="W17" i="212"/>
  <c r="H17" i="212"/>
  <c r="X17" i="212" s="1"/>
  <c r="Z16" i="212"/>
  <c r="Y16" i="212"/>
  <c r="W16" i="212"/>
  <c r="H16" i="212"/>
  <c r="X16" i="212" s="1"/>
  <c r="Z15" i="212"/>
  <c r="Y15" i="212"/>
  <c r="W15" i="212"/>
  <c r="L15" i="212"/>
  <c r="H15" i="212"/>
  <c r="X15" i="212" s="1"/>
  <c r="Z14" i="212"/>
  <c r="Y14" i="212"/>
  <c r="W14" i="212"/>
  <c r="H14" i="212"/>
  <c r="X14" i="212" s="1"/>
  <c r="Z13" i="212"/>
  <c r="Y13" i="212"/>
  <c r="X13" i="212"/>
  <c r="W13" i="212"/>
  <c r="L13" i="212"/>
  <c r="H13" i="212"/>
  <c r="Z12" i="212"/>
  <c r="Y12" i="212"/>
  <c r="W12" i="212"/>
  <c r="H12" i="212"/>
  <c r="X12" i="212" s="1"/>
  <c r="B12" i="212"/>
  <c r="Z11" i="212"/>
  <c r="Y11" i="212"/>
  <c r="X11" i="212"/>
  <c r="W11" i="212"/>
  <c r="H11" i="212"/>
  <c r="B11" i="212"/>
  <c r="Z10" i="212"/>
  <c r="Y10" i="212"/>
  <c r="X10" i="212"/>
  <c r="W10" i="212"/>
  <c r="H10" i="212"/>
  <c r="B10" i="212"/>
  <c r="B13" i="212" s="1"/>
  <c r="Z9" i="212"/>
  <c r="Y9" i="212"/>
  <c r="W9" i="212"/>
  <c r="H9" i="212"/>
  <c r="X9" i="212" s="1"/>
  <c r="Z8" i="212"/>
  <c r="Y8" i="212"/>
  <c r="W8" i="212"/>
  <c r="H8" i="212"/>
  <c r="X8" i="212" s="1"/>
  <c r="Z7" i="212"/>
  <c r="Y7" i="212"/>
  <c r="W7" i="212"/>
  <c r="H7" i="212"/>
  <c r="X7" i="212" s="1"/>
  <c r="B7" i="212"/>
  <c r="Z6" i="212"/>
  <c r="Y6" i="212"/>
  <c r="W6" i="212"/>
  <c r="L6" i="212"/>
  <c r="H6" i="212"/>
  <c r="X6" i="212" s="1"/>
  <c r="Z5" i="212"/>
  <c r="Y5" i="212"/>
  <c r="W5" i="212"/>
  <c r="H5" i="212"/>
  <c r="X5" i="212" s="1"/>
  <c r="Z4" i="212"/>
  <c r="Y4" i="212"/>
  <c r="W4" i="212"/>
  <c r="L4" i="212"/>
  <c r="H4" i="212"/>
  <c r="X4" i="212" s="1"/>
  <c r="Z3" i="212"/>
  <c r="Y3" i="212"/>
  <c r="W3" i="212"/>
  <c r="H3" i="212"/>
  <c r="X3" i="212" s="1"/>
  <c r="I70" i="33"/>
  <c r="H70" i="33"/>
  <c r="G70" i="33"/>
  <c r="F70" i="33"/>
  <c r="D70" i="33"/>
  <c r="C70" i="33"/>
  <c r="B70" i="33"/>
  <c r="Z20" i="211"/>
  <c r="Y20" i="211"/>
  <c r="W20" i="211"/>
  <c r="H20" i="211"/>
  <c r="X20" i="211" s="1"/>
  <c r="Z19" i="211"/>
  <c r="Y19" i="211"/>
  <c r="W19" i="211"/>
  <c r="H19" i="211"/>
  <c r="X19" i="211" s="1"/>
  <c r="Z18" i="211"/>
  <c r="Y18" i="211"/>
  <c r="W18" i="211"/>
  <c r="H18" i="211"/>
  <c r="X18" i="211" s="1"/>
  <c r="Z17" i="211"/>
  <c r="Y17" i="211"/>
  <c r="W17" i="211"/>
  <c r="H17" i="211"/>
  <c r="X17" i="211" s="1"/>
  <c r="Z16" i="211"/>
  <c r="Y16" i="211"/>
  <c r="W16" i="211"/>
  <c r="H16" i="211"/>
  <c r="X16" i="211" s="1"/>
  <c r="Z15" i="211"/>
  <c r="Y15" i="211"/>
  <c r="W15" i="211"/>
  <c r="H15" i="211"/>
  <c r="X15" i="211" s="1"/>
  <c r="Z14" i="211"/>
  <c r="Y14" i="211"/>
  <c r="W14" i="211"/>
  <c r="H14" i="211"/>
  <c r="X14" i="211" s="1"/>
  <c r="Z13" i="211"/>
  <c r="Y13" i="211"/>
  <c r="X13" i="211"/>
  <c r="W13" i="211"/>
  <c r="L13" i="211"/>
  <c r="H13" i="211"/>
  <c r="Z12" i="211"/>
  <c r="Y12" i="211"/>
  <c r="W12" i="211"/>
  <c r="H12" i="211"/>
  <c r="X12" i="211" s="1"/>
  <c r="B12" i="211"/>
  <c r="Z11" i="211"/>
  <c r="Y11" i="211"/>
  <c r="X11" i="211"/>
  <c r="W11" i="211"/>
  <c r="H11" i="211"/>
  <c r="B11" i="211"/>
  <c r="Z10" i="211"/>
  <c r="Y10" i="211"/>
  <c r="W10" i="211"/>
  <c r="H10" i="211"/>
  <c r="X10" i="211" s="1"/>
  <c r="B10" i="211"/>
  <c r="B13" i="211" s="1"/>
  <c r="Z9" i="211"/>
  <c r="Y9" i="211"/>
  <c r="W9" i="211"/>
  <c r="H9" i="211"/>
  <c r="X9" i="211" s="1"/>
  <c r="Z8" i="211"/>
  <c r="Y8" i="211"/>
  <c r="W8" i="211"/>
  <c r="H8" i="211"/>
  <c r="X8" i="211" s="1"/>
  <c r="Z7" i="211"/>
  <c r="Y7" i="211"/>
  <c r="W7" i="211"/>
  <c r="H7" i="211"/>
  <c r="X7" i="211" s="1"/>
  <c r="B7" i="211"/>
  <c r="Z6" i="211"/>
  <c r="Y6" i="211"/>
  <c r="W6" i="211"/>
  <c r="L6" i="211"/>
  <c r="H6" i="211"/>
  <c r="X6" i="211" s="1"/>
  <c r="Z5" i="211"/>
  <c r="Y5" i="211"/>
  <c r="W5" i="211"/>
  <c r="H5" i="211"/>
  <c r="X5" i="211" s="1"/>
  <c r="Z4" i="211"/>
  <c r="Y4" i="211"/>
  <c r="W4" i="211"/>
  <c r="H4" i="211"/>
  <c r="X4" i="211" s="1"/>
  <c r="Z3" i="211"/>
  <c r="Y3" i="211"/>
  <c r="W3" i="211"/>
  <c r="H3" i="211"/>
  <c r="X3" i="211" s="1"/>
  <c r="I69" i="33"/>
  <c r="H69" i="33"/>
  <c r="G69" i="33"/>
  <c r="F69" i="33"/>
  <c r="D69" i="33"/>
  <c r="C69" i="33"/>
  <c r="B69" i="33"/>
  <c r="Z20" i="210"/>
  <c r="Y20" i="210"/>
  <c r="W20" i="210"/>
  <c r="H20" i="210"/>
  <c r="X20" i="210" s="1"/>
  <c r="Z19" i="210"/>
  <c r="Y19" i="210"/>
  <c r="W19" i="210"/>
  <c r="H19" i="210"/>
  <c r="X19" i="210" s="1"/>
  <c r="Z18" i="210"/>
  <c r="Y18" i="210"/>
  <c r="W18" i="210"/>
  <c r="H18" i="210"/>
  <c r="X18" i="210" s="1"/>
  <c r="Z17" i="210"/>
  <c r="Y17" i="210"/>
  <c r="W17" i="210"/>
  <c r="H17" i="210"/>
  <c r="X17" i="210" s="1"/>
  <c r="Z16" i="210"/>
  <c r="Y16" i="210"/>
  <c r="W16" i="210"/>
  <c r="H16" i="210"/>
  <c r="X16" i="210" s="1"/>
  <c r="Z15" i="210"/>
  <c r="Y15" i="210"/>
  <c r="W15" i="210"/>
  <c r="H15" i="210"/>
  <c r="X15" i="210" s="1"/>
  <c r="Z14" i="210"/>
  <c r="Y14" i="210"/>
  <c r="W14" i="210"/>
  <c r="H14" i="210"/>
  <c r="X14" i="210" s="1"/>
  <c r="Z13" i="210"/>
  <c r="Y13" i="210"/>
  <c r="X13" i="210"/>
  <c r="W13" i="210"/>
  <c r="L13" i="210"/>
  <c r="H13" i="210"/>
  <c r="Z12" i="210"/>
  <c r="Y12" i="210"/>
  <c r="W12" i="210"/>
  <c r="H12" i="210"/>
  <c r="X12" i="210" s="1"/>
  <c r="B12" i="210"/>
  <c r="Z11" i="210"/>
  <c r="Y11" i="210"/>
  <c r="X11" i="210"/>
  <c r="W11" i="210"/>
  <c r="H11" i="210"/>
  <c r="B11" i="210"/>
  <c r="Z10" i="210"/>
  <c r="Y10" i="210"/>
  <c r="W10" i="210"/>
  <c r="H10" i="210"/>
  <c r="X10" i="210" s="1"/>
  <c r="B10" i="210"/>
  <c r="B13" i="210" s="1"/>
  <c r="Z9" i="210"/>
  <c r="Y9" i="210"/>
  <c r="W9" i="210"/>
  <c r="H9" i="210"/>
  <c r="X9" i="210" s="1"/>
  <c r="Z8" i="210"/>
  <c r="Y8" i="210"/>
  <c r="W8" i="210"/>
  <c r="H8" i="210"/>
  <c r="X8" i="210" s="1"/>
  <c r="Z7" i="210"/>
  <c r="Y7" i="210"/>
  <c r="W7" i="210"/>
  <c r="H7" i="210"/>
  <c r="X7" i="210" s="1"/>
  <c r="B7" i="210"/>
  <c r="Z6" i="210"/>
  <c r="Y6" i="210"/>
  <c r="W6" i="210"/>
  <c r="H6" i="210"/>
  <c r="X6" i="210" s="1"/>
  <c r="Z5" i="210"/>
  <c r="Y5" i="210"/>
  <c r="W5" i="210"/>
  <c r="H5" i="210"/>
  <c r="X5" i="210" s="1"/>
  <c r="Z4" i="210"/>
  <c r="Y4" i="210"/>
  <c r="W4" i="210"/>
  <c r="H4" i="210"/>
  <c r="X4" i="210" s="1"/>
  <c r="Z3" i="210"/>
  <c r="Y3" i="210"/>
  <c r="W3" i="210"/>
  <c r="H3" i="210"/>
  <c r="X3" i="210" s="1"/>
  <c r="I68" i="33"/>
  <c r="H68" i="33"/>
  <c r="G68" i="33"/>
  <c r="F68" i="33"/>
  <c r="D68" i="33"/>
  <c r="C68" i="33"/>
  <c r="E68" i="33" s="1"/>
  <c r="B68" i="33"/>
  <c r="Z20" i="209"/>
  <c r="Y20" i="209"/>
  <c r="W20" i="209"/>
  <c r="H20" i="209"/>
  <c r="X20" i="209" s="1"/>
  <c r="Z19" i="209"/>
  <c r="Y19" i="209"/>
  <c r="X19" i="209"/>
  <c r="W19" i="209"/>
  <c r="H19" i="209"/>
  <c r="Z18" i="209"/>
  <c r="Y18" i="209"/>
  <c r="W18" i="209"/>
  <c r="H18" i="209"/>
  <c r="X18" i="209" s="1"/>
  <c r="Z17" i="209"/>
  <c r="Y17" i="209"/>
  <c r="X17" i="209"/>
  <c r="W17" i="209"/>
  <c r="H17" i="209"/>
  <c r="Z16" i="209"/>
  <c r="Y16" i="209"/>
  <c r="W16" i="209"/>
  <c r="H16" i="209"/>
  <c r="X16" i="209" s="1"/>
  <c r="Z15" i="209"/>
  <c r="Y15" i="209"/>
  <c r="X15" i="209"/>
  <c r="W15" i="209"/>
  <c r="H15" i="209"/>
  <c r="Z14" i="209"/>
  <c r="Y14" i="209"/>
  <c r="W14" i="209"/>
  <c r="H14" i="209"/>
  <c r="X14" i="209" s="1"/>
  <c r="Z13" i="209"/>
  <c r="Y13" i="209"/>
  <c r="X13" i="209"/>
  <c r="W13" i="209"/>
  <c r="H13" i="209"/>
  <c r="Z12" i="209"/>
  <c r="Y12" i="209"/>
  <c r="W12" i="209"/>
  <c r="H12" i="209"/>
  <c r="X12" i="209" s="1"/>
  <c r="B12" i="209"/>
  <c r="Z11" i="209"/>
  <c r="Y11" i="209"/>
  <c r="X11" i="209"/>
  <c r="W11" i="209"/>
  <c r="H11" i="209"/>
  <c r="B11" i="209"/>
  <c r="Z10" i="209"/>
  <c r="Y10" i="209"/>
  <c r="W10" i="209"/>
  <c r="H10" i="209"/>
  <c r="X10" i="209" s="1"/>
  <c r="B10" i="209"/>
  <c r="B13" i="209" s="1"/>
  <c r="Z9" i="209"/>
  <c r="Y9" i="209"/>
  <c r="W9" i="209"/>
  <c r="H9" i="209"/>
  <c r="X9" i="209" s="1"/>
  <c r="Z8" i="209"/>
  <c r="Y8" i="209"/>
  <c r="W8" i="209"/>
  <c r="H8" i="209"/>
  <c r="X8" i="209" s="1"/>
  <c r="Z7" i="209"/>
  <c r="Y7" i="209"/>
  <c r="W7" i="209"/>
  <c r="H7" i="209"/>
  <c r="X7" i="209" s="1"/>
  <c r="B7" i="209"/>
  <c r="Z6" i="209"/>
  <c r="Y6" i="209"/>
  <c r="X6" i="209"/>
  <c r="W6" i="209"/>
  <c r="L6" i="209"/>
  <c r="H6" i="209"/>
  <c r="Z5" i="209"/>
  <c r="Y5" i="209"/>
  <c r="W5" i="209"/>
  <c r="H5" i="209"/>
  <c r="X5" i="209" s="1"/>
  <c r="Z4" i="209"/>
  <c r="Y4" i="209"/>
  <c r="X4" i="209"/>
  <c r="W4" i="209"/>
  <c r="L4" i="209"/>
  <c r="H4" i="209"/>
  <c r="Z3" i="209"/>
  <c r="Y3" i="209"/>
  <c r="W3" i="209"/>
  <c r="H3" i="209"/>
  <c r="X3" i="209" s="1"/>
  <c r="I67" i="33"/>
  <c r="H67" i="33"/>
  <c r="G67" i="33"/>
  <c r="F67" i="33"/>
  <c r="D67" i="33"/>
  <c r="C67" i="33"/>
  <c r="E67" i="33" s="1"/>
  <c r="B67" i="33"/>
  <c r="Z20" i="208"/>
  <c r="Y20" i="208"/>
  <c r="W20" i="208"/>
  <c r="H20" i="208"/>
  <c r="X20" i="208" s="1"/>
  <c r="Z19" i="208"/>
  <c r="Y19" i="208"/>
  <c r="W19" i="208"/>
  <c r="H19" i="208"/>
  <c r="X19" i="208" s="1"/>
  <c r="Z18" i="208"/>
  <c r="Y18" i="208"/>
  <c r="W18" i="208"/>
  <c r="H18" i="208"/>
  <c r="X18" i="208" s="1"/>
  <c r="Z17" i="208"/>
  <c r="Y17" i="208"/>
  <c r="W17" i="208"/>
  <c r="H17" i="208"/>
  <c r="X17" i="208" s="1"/>
  <c r="Z16" i="208"/>
  <c r="Y16" i="208"/>
  <c r="W16" i="208"/>
  <c r="H16" i="208"/>
  <c r="X16" i="208" s="1"/>
  <c r="Z15" i="208"/>
  <c r="Y15" i="208"/>
  <c r="W15" i="208"/>
  <c r="H15" i="208"/>
  <c r="X15" i="208" s="1"/>
  <c r="Z14" i="208"/>
  <c r="Y14" i="208"/>
  <c r="W14" i="208"/>
  <c r="H14" i="208"/>
  <c r="X14" i="208" s="1"/>
  <c r="Z13" i="208"/>
  <c r="Y13" i="208"/>
  <c r="X13" i="208"/>
  <c r="W13" i="208"/>
  <c r="L13" i="208"/>
  <c r="H13" i="208"/>
  <c r="Z12" i="208"/>
  <c r="Y12" i="208"/>
  <c r="W12" i="208"/>
  <c r="H12" i="208"/>
  <c r="X12" i="208" s="1"/>
  <c r="B12" i="208"/>
  <c r="Z11" i="208"/>
  <c r="Y11" i="208"/>
  <c r="X11" i="208"/>
  <c r="W11" i="208"/>
  <c r="H11" i="208"/>
  <c r="B11" i="208"/>
  <c r="Z10" i="208"/>
  <c r="Y10" i="208"/>
  <c r="W10" i="208"/>
  <c r="H10" i="208"/>
  <c r="X10" i="208" s="1"/>
  <c r="B10" i="208"/>
  <c r="B13" i="208" s="1"/>
  <c r="Z9" i="208"/>
  <c r="Y9" i="208"/>
  <c r="W9" i="208"/>
  <c r="H9" i="208"/>
  <c r="X9" i="208" s="1"/>
  <c r="Z8" i="208"/>
  <c r="Y8" i="208"/>
  <c r="W8" i="208"/>
  <c r="H8" i="208"/>
  <c r="X8" i="208" s="1"/>
  <c r="Z7" i="208"/>
  <c r="Y7" i="208"/>
  <c r="W7" i="208"/>
  <c r="H7" i="208"/>
  <c r="X7" i="208" s="1"/>
  <c r="B7" i="208"/>
  <c r="Z6" i="208"/>
  <c r="Y6" i="208"/>
  <c r="W6" i="208"/>
  <c r="H6" i="208"/>
  <c r="X6" i="208" s="1"/>
  <c r="Z5" i="208"/>
  <c r="Y5" i="208"/>
  <c r="W5" i="208"/>
  <c r="H5" i="208"/>
  <c r="X5" i="208" s="1"/>
  <c r="Z4" i="208"/>
  <c r="Y4" i="208"/>
  <c r="W4" i="208"/>
  <c r="H4" i="208"/>
  <c r="X4" i="208" s="1"/>
  <c r="Z3" i="208"/>
  <c r="Y3" i="208"/>
  <c r="W3" i="208"/>
  <c r="H3" i="208"/>
  <c r="X3" i="208" s="1"/>
  <c r="I66" i="33"/>
  <c r="H66" i="33"/>
  <c r="G66" i="33"/>
  <c r="F66" i="33"/>
  <c r="D66" i="33"/>
  <c r="C66" i="33"/>
  <c r="B66" i="33"/>
  <c r="Z20" i="207"/>
  <c r="Y20" i="207"/>
  <c r="W20" i="207"/>
  <c r="H20" i="207"/>
  <c r="X20" i="207" s="1"/>
  <c r="Z19" i="207"/>
  <c r="Y19" i="207"/>
  <c r="W19" i="207"/>
  <c r="H19" i="207"/>
  <c r="X19" i="207" s="1"/>
  <c r="Z18" i="207"/>
  <c r="Y18" i="207"/>
  <c r="W18" i="207"/>
  <c r="H18" i="207"/>
  <c r="X18" i="207" s="1"/>
  <c r="Z17" i="207"/>
  <c r="Y17" i="207"/>
  <c r="W17" i="207"/>
  <c r="H17" i="207"/>
  <c r="X17" i="207" s="1"/>
  <c r="Z16" i="207"/>
  <c r="Y16" i="207"/>
  <c r="W16" i="207"/>
  <c r="H16" i="207"/>
  <c r="X16" i="207" s="1"/>
  <c r="Z15" i="207"/>
  <c r="Y15" i="207"/>
  <c r="W15" i="207"/>
  <c r="H15" i="207"/>
  <c r="X15" i="207" s="1"/>
  <c r="Z14" i="207"/>
  <c r="Y14" i="207"/>
  <c r="W14" i="207"/>
  <c r="H14" i="207"/>
  <c r="X14" i="207" s="1"/>
  <c r="Z13" i="207"/>
  <c r="Y13" i="207"/>
  <c r="X13" i="207"/>
  <c r="W13" i="207"/>
  <c r="L13" i="207"/>
  <c r="H13" i="207"/>
  <c r="Z12" i="207"/>
  <c r="Y12" i="207"/>
  <c r="W12" i="207"/>
  <c r="H12" i="207"/>
  <c r="X12" i="207" s="1"/>
  <c r="B12" i="207"/>
  <c r="Z11" i="207"/>
  <c r="Y11" i="207"/>
  <c r="X11" i="207"/>
  <c r="W11" i="207"/>
  <c r="H11" i="207"/>
  <c r="B11" i="207"/>
  <c r="Z10" i="207"/>
  <c r="Y10" i="207"/>
  <c r="W10" i="207"/>
  <c r="H10" i="207"/>
  <c r="X10" i="207" s="1"/>
  <c r="B10" i="207"/>
  <c r="B13" i="207" s="1"/>
  <c r="Z9" i="207"/>
  <c r="Y9" i="207"/>
  <c r="W9" i="207"/>
  <c r="H9" i="207"/>
  <c r="X9" i="207" s="1"/>
  <c r="Z8" i="207"/>
  <c r="Y8" i="207"/>
  <c r="W8" i="207"/>
  <c r="H8" i="207"/>
  <c r="X8" i="207" s="1"/>
  <c r="Z7" i="207"/>
  <c r="Y7" i="207"/>
  <c r="W7" i="207"/>
  <c r="H7" i="207"/>
  <c r="X7" i="207" s="1"/>
  <c r="B7" i="207"/>
  <c r="Z6" i="207"/>
  <c r="Y6" i="207"/>
  <c r="W6" i="207"/>
  <c r="L6" i="207"/>
  <c r="H6" i="207"/>
  <c r="X6" i="207" s="1"/>
  <c r="Z5" i="207"/>
  <c r="Y5" i="207"/>
  <c r="W5" i="207"/>
  <c r="H5" i="207"/>
  <c r="X5" i="207" s="1"/>
  <c r="Z4" i="207"/>
  <c r="Y4" i="207"/>
  <c r="W4" i="207"/>
  <c r="H4" i="207"/>
  <c r="X4" i="207" s="1"/>
  <c r="Z3" i="207"/>
  <c r="Y3" i="207"/>
  <c r="W3" i="207"/>
  <c r="H3" i="207"/>
  <c r="X3" i="207" s="1"/>
  <c r="I65" i="33"/>
  <c r="H65" i="33"/>
  <c r="G65" i="33"/>
  <c r="F65" i="33"/>
  <c r="D65" i="33"/>
  <c r="C65" i="33"/>
  <c r="B65" i="33"/>
  <c r="Z20" i="206"/>
  <c r="Y20" i="206"/>
  <c r="W20" i="206"/>
  <c r="H20" i="206"/>
  <c r="X20" i="206" s="1"/>
  <c r="Z19" i="206"/>
  <c r="Y19" i="206"/>
  <c r="W19" i="206"/>
  <c r="H19" i="206"/>
  <c r="X19" i="206" s="1"/>
  <c r="Z18" i="206"/>
  <c r="Y18" i="206"/>
  <c r="W18" i="206"/>
  <c r="H18" i="206"/>
  <c r="X18" i="206" s="1"/>
  <c r="Z17" i="206"/>
  <c r="Y17" i="206"/>
  <c r="W17" i="206"/>
  <c r="H17" i="206"/>
  <c r="X17" i="206" s="1"/>
  <c r="Z16" i="206"/>
  <c r="Y16" i="206"/>
  <c r="W16" i="206"/>
  <c r="H16" i="206"/>
  <c r="X16" i="206" s="1"/>
  <c r="Z15" i="206"/>
  <c r="Y15" i="206"/>
  <c r="W15" i="206"/>
  <c r="H15" i="206"/>
  <c r="X15" i="206" s="1"/>
  <c r="Z14" i="206"/>
  <c r="Y14" i="206"/>
  <c r="W14" i="206"/>
  <c r="H14" i="206"/>
  <c r="X14" i="206" s="1"/>
  <c r="Z13" i="206"/>
  <c r="Y13" i="206"/>
  <c r="X13" i="206"/>
  <c r="W13" i="206"/>
  <c r="L13" i="206"/>
  <c r="H13" i="206"/>
  <c r="Z12" i="206"/>
  <c r="Y12" i="206"/>
  <c r="W12" i="206"/>
  <c r="H12" i="206"/>
  <c r="X12" i="206" s="1"/>
  <c r="B12" i="206"/>
  <c r="Z11" i="206"/>
  <c r="Y11" i="206"/>
  <c r="X11" i="206"/>
  <c r="W11" i="206"/>
  <c r="H11" i="206"/>
  <c r="B11" i="206"/>
  <c r="Z10" i="206"/>
  <c r="Y10" i="206"/>
  <c r="W10" i="206"/>
  <c r="H10" i="206"/>
  <c r="X10" i="206" s="1"/>
  <c r="B10" i="206"/>
  <c r="L15" i="206" s="1"/>
  <c r="Z9" i="206"/>
  <c r="Y9" i="206"/>
  <c r="W9" i="206"/>
  <c r="H9" i="206"/>
  <c r="X9" i="206" s="1"/>
  <c r="Z8" i="206"/>
  <c r="Y8" i="206"/>
  <c r="W8" i="206"/>
  <c r="H8" i="206"/>
  <c r="X8" i="206" s="1"/>
  <c r="Z7" i="206"/>
  <c r="Y7" i="206"/>
  <c r="W7" i="206"/>
  <c r="H7" i="206"/>
  <c r="X7" i="206" s="1"/>
  <c r="B7" i="206"/>
  <c r="Z6" i="206"/>
  <c r="Y6" i="206"/>
  <c r="W6" i="206"/>
  <c r="H6" i="206"/>
  <c r="X6" i="206" s="1"/>
  <c r="Z5" i="206"/>
  <c r="Y5" i="206"/>
  <c r="W5" i="206"/>
  <c r="H5" i="206"/>
  <c r="X5" i="206" s="1"/>
  <c r="Z4" i="206"/>
  <c r="Y4" i="206"/>
  <c r="W4" i="206"/>
  <c r="H4" i="206"/>
  <c r="X4" i="206" s="1"/>
  <c r="Z3" i="206"/>
  <c r="Y3" i="206"/>
  <c r="W3" i="206"/>
  <c r="H3" i="206"/>
  <c r="X3" i="206" s="1"/>
  <c r="I64" i="33"/>
  <c r="H64" i="33"/>
  <c r="G64" i="33"/>
  <c r="F64" i="33"/>
  <c r="D64" i="33"/>
  <c r="C64" i="33"/>
  <c r="B64" i="33"/>
  <c r="Z20" i="205"/>
  <c r="Y20" i="205"/>
  <c r="W20" i="205"/>
  <c r="H20" i="205"/>
  <c r="X20" i="205" s="1"/>
  <c r="Z19" i="205"/>
  <c r="Y19" i="205"/>
  <c r="W19" i="205"/>
  <c r="H19" i="205"/>
  <c r="X19" i="205" s="1"/>
  <c r="Z18" i="205"/>
  <c r="Y18" i="205"/>
  <c r="W18" i="205"/>
  <c r="H18" i="205"/>
  <c r="X18" i="205" s="1"/>
  <c r="Z17" i="205"/>
  <c r="Y17" i="205"/>
  <c r="W17" i="205"/>
  <c r="H17" i="205"/>
  <c r="X17" i="205" s="1"/>
  <c r="Z16" i="205"/>
  <c r="Y16" i="205"/>
  <c r="W16" i="205"/>
  <c r="H16" i="205"/>
  <c r="X16" i="205" s="1"/>
  <c r="Z15" i="205"/>
  <c r="Y15" i="205"/>
  <c r="W15" i="205"/>
  <c r="H15" i="205"/>
  <c r="X15" i="205" s="1"/>
  <c r="Z14" i="205"/>
  <c r="Y14" i="205"/>
  <c r="W14" i="205"/>
  <c r="H14" i="205"/>
  <c r="X14" i="205" s="1"/>
  <c r="Z13" i="205"/>
  <c r="Y13" i="205"/>
  <c r="X13" i="205"/>
  <c r="W13" i="205"/>
  <c r="L13" i="205"/>
  <c r="H13" i="205"/>
  <c r="Z12" i="205"/>
  <c r="Y12" i="205"/>
  <c r="W12" i="205"/>
  <c r="H12" i="205"/>
  <c r="X12" i="205" s="1"/>
  <c r="B12" i="205"/>
  <c r="Z11" i="205"/>
  <c r="Y11" i="205"/>
  <c r="X11" i="205"/>
  <c r="W11" i="205"/>
  <c r="H11" i="205"/>
  <c r="B11" i="205"/>
  <c r="Z10" i="205"/>
  <c r="Y10" i="205"/>
  <c r="W10" i="205"/>
  <c r="H10" i="205"/>
  <c r="X10" i="205" s="1"/>
  <c r="B10" i="205"/>
  <c r="B13" i="205" s="1"/>
  <c r="Z9" i="205"/>
  <c r="Y9" i="205"/>
  <c r="W9" i="205"/>
  <c r="H9" i="205"/>
  <c r="X9" i="205" s="1"/>
  <c r="Z8" i="205"/>
  <c r="Y8" i="205"/>
  <c r="W8" i="205"/>
  <c r="H8" i="205"/>
  <c r="X8" i="205" s="1"/>
  <c r="Z7" i="205"/>
  <c r="Y7" i="205"/>
  <c r="W7" i="205"/>
  <c r="H7" i="205"/>
  <c r="X7" i="205" s="1"/>
  <c r="B7" i="205"/>
  <c r="Z6" i="205"/>
  <c r="Y6" i="205"/>
  <c r="W6" i="205"/>
  <c r="L6" i="205"/>
  <c r="H6" i="205"/>
  <c r="X6" i="205" s="1"/>
  <c r="Z5" i="205"/>
  <c r="Y5" i="205"/>
  <c r="W5" i="205"/>
  <c r="H5" i="205"/>
  <c r="X5" i="205" s="1"/>
  <c r="Z4" i="205"/>
  <c r="Y4" i="205"/>
  <c r="W4" i="205"/>
  <c r="H4" i="205"/>
  <c r="X4" i="205" s="1"/>
  <c r="Z3" i="205"/>
  <c r="Y3" i="205"/>
  <c r="W3" i="205"/>
  <c r="H3" i="205"/>
  <c r="X3" i="205" s="1"/>
  <c r="I63" i="33"/>
  <c r="H63" i="33"/>
  <c r="G63" i="33"/>
  <c r="F63" i="33"/>
  <c r="D63" i="33"/>
  <c r="C63" i="33"/>
  <c r="B63" i="33"/>
  <c r="Z20" i="204"/>
  <c r="Y20" i="204"/>
  <c r="W20" i="204"/>
  <c r="H20" i="204"/>
  <c r="X20" i="204" s="1"/>
  <c r="Z19" i="204"/>
  <c r="Y19" i="204"/>
  <c r="W19" i="204"/>
  <c r="H19" i="204"/>
  <c r="X19" i="204" s="1"/>
  <c r="Z18" i="204"/>
  <c r="Y18" i="204"/>
  <c r="W18" i="204"/>
  <c r="H18" i="204"/>
  <c r="X18" i="204" s="1"/>
  <c r="Z17" i="204"/>
  <c r="Y17" i="204"/>
  <c r="W17" i="204"/>
  <c r="H17" i="204"/>
  <c r="X17" i="204" s="1"/>
  <c r="Z16" i="204"/>
  <c r="Y16" i="204"/>
  <c r="W16" i="204"/>
  <c r="H16" i="204"/>
  <c r="X16" i="204" s="1"/>
  <c r="Z15" i="204"/>
  <c r="Y15" i="204"/>
  <c r="W15" i="204"/>
  <c r="H15" i="204"/>
  <c r="X15" i="204" s="1"/>
  <c r="Z14" i="204"/>
  <c r="Y14" i="204"/>
  <c r="W14" i="204"/>
  <c r="H14" i="204"/>
  <c r="X14" i="204" s="1"/>
  <c r="Z13" i="204"/>
  <c r="Y13" i="204"/>
  <c r="X13" i="204"/>
  <c r="W13" i="204"/>
  <c r="L13" i="204"/>
  <c r="H13" i="204"/>
  <c r="Z12" i="204"/>
  <c r="Y12" i="204"/>
  <c r="W12" i="204"/>
  <c r="H12" i="204"/>
  <c r="X12" i="204" s="1"/>
  <c r="B12" i="204"/>
  <c r="Z11" i="204"/>
  <c r="Y11" i="204"/>
  <c r="X11" i="204"/>
  <c r="W11" i="204"/>
  <c r="H11" i="204"/>
  <c r="B11" i="204"/>
  <c r="Z10" i="204"/>
  <c r="Y10" i="204"/>
  <c r="W10" i="204"/>
  <c r="H10" i="204"/>
  <c r="X10" i="204" s="1"/>
  <c r="B10" i="204"/>
  <c r="B13" i="204" s="1"/>
  <c r="Z9" i="204"/>
  <c r="Y9" i="204"/>
  <c r="W9" i="204"/>
  <c r="H9" i="204"/>
  <c r="X9" i="204" s="1"/>
  <c r="Z8" i="204"/>
  <c r="Y8" i="204"/>
  <c r="W8" i="204"/>
  <c r="H8" i="204"/>
  <c r="X8" i="204" s="1"/>
  <c r="Z7" i="204"/>
  <c r="Y7" i="204"/>
  <c r="W7" i="204"/>
  <c r="H7" i="204"/>
  <c r="X7" i="204" s="1"/>
  <c r="B7" i="204"/>
  <c r="Z6" i="204"/>
  <c r="Y6" i="204"/>
  <c r="W6" i="204"/>
  <c r="L6" i="204"/>
  <c r="H6" i="204"/>
  <c r="X6" i="204" s="1"/>
  <c r="Z5" i="204"/>
  <c r="Y5" i="204"/>
  <c r="W5" i="204"/>
  <c r="H5" i="204"/>
  <c r="X5" i="204" s="1"/>
  <c r="Z4" i="204"/>
  <c r="Y4" i="204"/>
  <c r="W4" i="204"/>
  <c r="H4" i="204"/>
  <c r="X4" i="204" s="1"/>
  <c r="Z3" i="204"/>
  <c r="Y3" i="204"/>
  <c r="W3" i="204"/>
  <c r="H3" i="204"/>
  <c r="X3" i="204" s="1"/>
  <c r="I62" i="33"/>
  <c r="H62" i="33"/>
  <c r="G62" i="33"/>
  <c r="F62" i="33"/>
  <c r="D62" i="33"/>
  <c r="C62" i="33"/>
  <c r="B62" i="33"/>
  <c r="D61" i="33"/>
  <c r="C61" i="33"/>
  <c r="B61" i="33"/>
  <c r="Z20" i="203"/>
  <c r="Y20" i="203"/>
  <c r="W20" i="203"/>
  <c r="H20" i="203"/>
  <c r="X20" i="203" s="1"/>
  <c r="Z19" i="203"/>
  <c r="Y19" i="203"/>
  <c r="W19" i="203"/>
  <c r="H19" i="203"/>
  <c r="X19" i="203" s="1"/>
  <c r="Z18" i="203"/>
  <c r="Y18" i="203"/>
  <c r="W18" i="203"/>
  <c r="H18" i="203"/>
  <c r="X18" i="203" s="1"/>
  <c r="Z17" i="203"/>
  <c r="Y17" i="203"/>
  <c r="W17" i="203"/>
  <c r="H17" i="203"/>
  <c r="X17" i="203" s="1"/>
  <c r="Z16" i="203"/>
  <c r="Y16" i="203"/>
  <c r="W16" i="203"/>
  <c r="H16" i="203"/>
  <c r="X16" i="203" s="1"/>
  <c r="Z15" i="203"/>
  <c r="Y15" i="203"/>
  <c r="W15" i="203"/>
  <c r="H15" i="203"/>
  <c r="X15" i="203" s="1"/>
  <c r="Z14" i="203"/>
  <c r="Y14" i="203"/>
  <c r="W14" i="203"/>
  <c r="H14" i="203"/>
  <c r="X14" i="203" s="1"/>
  <c r="Z13" i="203"/>
  <c r="Y13" i="203"/>
  <c r="X13" i="203"/>
  <c r="W13" i="203"/>
  <c r="L13" i="203"/>
  <c r="H13" i="203"/>
  <c r="Z12" i="203"/>
  <c r="Y12" i="203"/>
  <c r="W12" i="203"/>
  <c r="H12" i="203"/>
  <c r="X12" i="203" s="1"/>
  <c r="B12" i="203"/>
  <c r="Z11" i="203"/>
  <c r="Y11" i="203"/>
  <c r="W11" i="203"/>
  <c r="H11" i="203"/>
  <c r="X11" i="203" s="1"/>
  <c r="B11" i="203"/>
  <c r="Z10" i="203"/>
  <c r="Y10" i="203"/>
  <c r="W10" i="203"/>
  <c r="H10" i="203"/>
  <c r="X10" i="203" s="1"/>
  <c r="B10" i="203"/>
  <c r="Z9" i="203"/>
  <c r="Y9" i="203"/>
  <c r="W9" i="203"/>
  <c r="H9" i="203"/>
  <c r="X9" i="203" s="1"/>
  <c r="Z8" i="203"/>
  <c r="Y8" i="203"/>
  <c r="W8" i="203"/>
  <c r="H8" i="203"/>
  <c r="X8" i="203" s="1"/>
  <c r="Z7" i="203"/>
  <c r="Y7" i="203"/>
  <c r="W7" i="203"/>
  <c r="H7" i="203"/>
  <c r="X7" i="203" s="1"/>
  <c r="B7" i="203"/>
  <c r="Z6" i="203"/>
  <c r="Y6" i="203"/>
  <c r="W6" i="203"/>
  <c r="H6" i="203"/>
  <c r="X6" i="203" s="1"/>
  <c r="Z5" i="203"/>
  <c r="Y5" i="203"/>
  <c r="W5" i="203"/>
  <c r="H5" i="203"/>
  <c r="X5" i="203" s="1"/>
  <c r="Z4" i="203"/>
  <c r="Y4" i="203"/>
  <c r="W4" i="203"/>
  <c r="H4" i="203"/>
  <c r="X4" i="203" s="1"/>
  <c r="Z3" i="203"/>
  <c r="Y3" i="203"/>
  <c r="W3" i="203"/>
  <c r="H3" i="203"/>
  <c r="X3" i="203" s="1"/>
  <c r="X7" i="202"/>
  <c r="X10" i="202"/>
  <c r="X13" i="202"/>
  <c r="X15" i="202"/>
  <c r="X16" i="202"/>
  <c r="X19" i="202"/>
  <c r="Z20" i="202"/>
  <c r="Y20" i="202"/>
  <c r="W20" i="202"/>
  <c r="X20" i="202"/>
  <c r="Z19" i="202"/>
  <c r="Y19" i="202"/>
  <c r="W19" i="202"/>
  <c r="Z18" i="202"/>
  <c r="Y18" i="202"/>
  <c r="W18" i="202"/>
  <c r="X18" i="202"/>
  <c r="Z17" i="202"/>
  <c r="Y17" i="202"/>
  <c r="W17" i="202"/>
  <c r="X17" i="202"/>
  <c r="Z16" i="202"/>
  <c r="Y16" i="202"/>
  <c r="W16" i="202"/>
  <c r="Z15" i="202"/>
  <c r="Y15" i="202"/>
  <c r="W15" i="202"/>
  <c r="Z14" i="202"/>
  <c r="Y14" i="202"/>
  <c r="W14" i="202"/>
  <c r="X14" i="202"/>
  <c r="Z13" i="202"/>
  <c r="Y13" i="202"/>
  <c r="W13" i="202"/>
  <c r="Z12" i="202"/>
  <c r="Y12" i="202"/>
  <c r="W12" i="202"/>
  <c r="X12" i="202"/>
  <c r="B12" i="202"/>
  <c r="H61" i="33" s="1"/>
  <c r="Z11" i="202"/>
  <c r="Y11" i="202"/>
  <c r="X11" i="202"/>
  <c r="W11" i="202"/>
  <c r="B11" i="202"/>
  <c r="G61" i="33" s="1"/>
  <c r="Z10" i="202"/>
  <c r="Y10" i="202"/>
  <c r="W10" i="202"/>
  <c r="B10" i="202"/>
  <c r="Z9" i="202"/>
  <c r="Y9" i="202"/>
  <c r="W9" i="202"/>
  <c r="X9" i="202"/>
  <c r="Z8" i="202"/>
  <c r="Y8" i="202"/>
  <c r="W8" i="202"/>
  <c r="X8" i="202"/>
  <c r="Z7" i="202"/>
  <c r="Y7" i="202"/>
  <c r="W7" i="202"/>
  <c r="B7" i="202"/>
  <c r="Z6" i="202"/>
  <c r="Y6" i="202"/>
  <c r="W6" i="202"/>
  <c r="X6" i="202"/>
  <c r="Z5" i="202"/>
  <c r="Y5" i="202"/>
  <c r="W5" i="202"/>
  <c r="H5" i="202"/>
  <c r="X5" i="202" s="1"/>
  <c r="Z4" i="202"/>
  <c r="Y4" i="202"/>
  <c r="W4" i="202"/>
  <c r="H4" i="202"/>
  <c r="X4" i="202" s="1"/>
  <c r="Z3" i="202"/>
  <c r="Y3" i="202"/>
  <c r="W3" i="202"/>
  <c r="H3" i="202"/>
  <c r="X3" i="202" s="1"/>
  <c r="I60" i="33"/>
  <c r="H60" i="33"/>
  <c r="G60" i="33"/>
  <c r="F60" i="33"/>
  <c r="D60" i="33"/>
  <c r="C60" i="33"/>
  <c r="B60" i="33"/>
  <c r="Z20" i="201"/>
  <c r="Y20" i="201"/>
  <c r="W20" i="201"/>
  <c r="H20" i="201"/>
  <c r="X20" i="201" s="1"/>
  <c r="Z19" i="201"/>
  <c r="Y19" i="201"/>
  <c r="W19" i="201"/>
  <c r="H19" i="201"/>
  <c r="X19" i="201" s="1"/>
  <c r="Z18" i="201"/>
  <c r="Y18" i="201"/>
  <c r="W18" i="201"/>
  <c r="H18" i="201"/>
  <c r="X18" i="201" s="1"/>
  <c r="Z17" i="201"/>
  <c r="Y17" i="201"/>
  <c r="W17" i="201"/>
  <c r="H17" i="201"/>
  <c r="X17" i="201" s="1"/>
  <c r="Z16" i="201"/>
  <c r="Y16" i="201"/>
  <c r="W16" i="201"/>
  <c r="H16" i="201"/>
  <c r="X16" i="201" s="1"/>
  <c r="Z15" i="201"/>
  <c r="Y15" i="201"/>
  <c r="W15" i="201"/>
  <c r="H15" i="201"/>
  <c r="X15" i="201" s="1"/>
  <c r="Z14" i="201"/>
  <c r="Y14" i="201"/>
  <c r="W14" i="201"/>
  <c r="H14" i="201"/>
  <c r="X14" i="201" s="1"/>
  <c r="Z13" i="201"/>
  <c r="Y13" i="201"/>
  <c r="X13" i="201"/>
  <c r="W13" i="201"/>
  <c r="L13" i="201"/>
  <c r="H13" i="201"/>
  <c r="Z12" i="201"/>
  <c r="Y12" i="201"/>
  <c r="W12" i="201"/>
  <c r="H12" i="201"/>
  <c r="X12" i="201" s="1"/>
  <c r="B12" i="201"/>
  <c r="Z11" i="201"/>
  <c r="Y11" i="201"/>
  <c r="X11" i="201"/>
  <c r="W11" i="201"/>
  <c r="H11" i="201"/>
  <c r="B11" i="201"/>
  <c r="Z10" i="201"/>
  <c r="Y10" i="201"/>
  <c r="W10" i="201"/>
  <c r="H10" i="201"/>
  <c r="X10" i="201" s="1"/>
  <c r="B10" i="201"/>
  <c r="B13" i="201" s="1"/>
  <c r="Z9" i="201"/>
  <c r="Y9" i="201"/>
  <c r="W9" i="201"/>
  <c r="H9" i="201"/>
  <c r="X9" i="201" s="1"/>
  <c r="Z8" i="201"/>
  <c r="Y8" i="201"/>
  <c r="W8" i="201"/>
  <c r="H8" i="201"/>
  <c r="X8" i="201" s="1"/>
  <c r="Z7" i="201"/>
  <c r="Y7" i="201"/>
  <c r="W7" i="201"/>
  <c r="H7" i="201"/>
  <c r="X7" i="201" s="1"/>
  <c r="B7" i="201"/>
  <c r="Z6" i="201"/>
  <c r="Y6" i="201"/>
  <c r="W6" i="201"/>
  <c r="H6" i="201"/>
  <c r="X6" i="201" s="1"/>
  <c r="Z5" i="201"/>
  <c r="Y5" i="201"/>
  <c r="W5" i="201"/>
  <c r="H5" i="201"/>
  <c r="X5" i="201" s="1"/>
  <c r="Z4" i="201"/>
  <c r="Y4" i="201"/>
  <c r="W4" i="201"/>
  <c r="L4" i="201"/>
  <c r="H4" i="201"/>
  <c r="X4" i="201" s="1"/>
  <c r="Z3" i="201"/>
  <c r="Y3" i="201"/>
  <c r="W3" i="201"/>
  <c r="H3" i="201"/>
  <c r="X3" i="201" s="1"/>
  <c r="I59" i="33"/>
  <c r="H59" i="33"/>
  <c r="G59" i="33"/>
  <c r="F59" i="33"/>
  <c r="D59" i="33"/>
  <c r="C59" i="33"/>
  <c r="E59" i="33" s="1"/>
  <c r="B59" i="33"/>
  <c r="Z20" i="200"/>
  <c r="Y20" i="200"/>
  <c r="W20" i="200"/>
  <c r="H20" i="200"/>
  <c r="X20" i="200" s="1"/>
  <c r="Z19" i="200"/>
  <c r="Y19" i="200"/>
  <c r="W19" i="200"/>
  <c r="H19" i="200"/>
  <c r="X19" i="200" s="1"/>
  <c r="Z18" i="200"/>
  <c r="Y18" i="200"/>
  <c r="W18" i="200"/>
  <c r="H18" i="200"/>
  <c r="X18" i="200" s="1"/>
  <c r="Z17" i="200"/>
  <c r="Y17" i="200"/>
  <c r="W17" i="200"/>
  <c r="L17" i="200"/>
  <c r="H17" i="200"/>
  <c r="X17" i="200" s="1"/>
  <c r="Z16" i="200"/>
  <c r="Y16" i="200"/>
  <c r="W16" i="200"/>
  <c r="H16" i="200"/>
  <c r="X16" i="200" s="1"/>
  <c r="Z15" i="200"/>
  <c r="Y15" i="200"/>
  <c r="W15" i="200"/>
  <c r="H15" i="200"/>
  <c r="X15" i="200" s="1"/>
  <c r="Z14" i="200"/>
  <c r="Y14" i="200"/>
  <c r="W14" i="200"/>
  <c r="H14" i="200"/>
  <c r="X14" i="200" s="1"/>
  <c r="Z13" i="200"/>
  <c r="Y13" i="200"/>
  <c r="X13" i="200"/>
  <c r="W13" i="200"/>
  <c r="L13" i="200"/>
  <c r="H13" i="200"/>
  <c r="Z12" i="200"/>
  <c r="Y12" i="200"/>
  <c r="W12" i="200"/>
  <c r="H12" i="200"/>
  <c r="X12" i="200" s="1"/>
  <c r="B12" i="200"/>
  <c r="Z11" i="200"/>
  <c r="Y11" i="200"/>
  <c r="X11" i="200"/>
  <c r="W11" i="200"/>
  <c r="H11" i="200"/>
  <c r="B11" i="200"/>
  <c r="Z10" i="200"/>
  <c r="Y10" i="200"/>
  <c r="W10" i="200"/>
  <c r="H10" i="200"/>
  <c r="X10" i="200" s="1"/>
  <c r="B10" i="200"/>
  <c r="B13" i="200" s="1"/>
  <c r="Z9" i="200"/>
  <c r="Y9" i="200"/>
  <c r="W9" i="200"/>
  <c r="H9" i="200"/>
  <c r="X9" i="200" s="1"/>
  <c r="Z8" i="200"/>
  <c r="Y8" i="200"/>
  <c r="W8" i="200"/>
  <c r="H8" i="200"/>
  <c r="X8" i="200" s="1"/>
  <c r="Z7" i="200"/>
  <c r="Y7" i="200"/>
  <c r="W7" i="200"/>
  <c r="H7" i="200"/>
  <c r="X7" i="200" s="1"/>
  <c r="B7" i="200"/>
  <c r="Z6" i="200"/>
  <c r="Y6" i="200"/>
  <c r="W6" i="200"/>
  <c r="L6" i="200"/>
  <c r="H6" i="200"/>
  <c r="X6" i="200" s="1"/>
  <c r="Z5" i="200"/>
  <c r="Y5" i="200"/>
  <c r="W5" i="200"/>
  <c r="H5" i="200"/>
  <c r="X5" i="200" s="1"/>
  <c r="Z4" i="200"/>
  <c r="Y4" i="200"/>
  <c r="W4" i="200"/>
  <c r="L4" i="200"/>
  <c r="H4" i="200"/>
  <c r="X4" i="200" s="1"/>
  <c r="Z3" i="200"/>
  <c r="Y3" i="200"/>
  <c r="W3" i="200"/>
  <c r="H3" i="200"/>
  <c r="X3" i="200" s="1"/>
  <c r="I58" i="33"/>
  <c r="H58" i="33"/>
  <c r="G58" i="33"/>
  <c r="F58" i="33"/>
  <c r="D58" i="33"/>
  <c r="C58" i="33"/>
  <c r="B58" i="33"/>
  <c r="Z20" i="199"/>
  <c r="Y20" i="199"/>
  <c r="W20" i="199"/>
  <c r="H20" i="199"/>
  <c r="X20" i="199" s="1"/>
  <c r="Z19" i="199"/>
  <c r="Y19" i="199"/>
  <c r="W19" i="199"/>
  <c r="H19" i="199"/>
  <c r="X19" i="199" s="1"/>
  <c r="Z18" i="199"/>
  <c r="Y18" i="199"/>
  <c r="W18" i="199"/>
  <c r="H18" i="199"/>
  <c r="X18" i="199" s="1"/>
  <c r="Z17" i="199"/>
  <c r="Y17" i="199"/>
  <c r="W17" i="199"/>
  <c r="H17" i="199"/>
  <c r="X17" i="199" s="1"/>
  <c r="Z16" i="199"/>
  <c r="Y16" i="199"/>
  <c r="W16" i="199"/>
  <c r="H16" i="199"/>
  <c r="X16" i="199" s="1"/>
  <c r="Z15" i="199"/>
  <c r="Y15" i="199"/>
  <c r="W15" i="199"/>
  <c r="H15" i="199"/>
  <c r="X15" i="199" s="1"/>
  <c r="Z14" i="199"/>
  <c r="Y14" i="199"/>
  <c r="W14" i="199"/>
  <c r="H14" i="199"/>
  <c r="X14" i="199" s="1"/>
  <c r="Z13" i="199"/>
  <c r="Y13" i="199"/>
  <c r="X13" i="199"/>
  <c r="W13" i="199"/>
  <c r="L13" i="199"/>
  <c r="H13" i="199"/>
  <c r="Z12" i="199"/>
  <c r="Y12" i="199"/>
  <c r="W12" i="199"/>
  <c r="H12" i="199"/>
  <c r="X12" i="199" s="1"/>
  <c r="B12" i="199"/>
  <c r="Z11" i="199"/>
  <c r="Y11" i="199"/>
  <c r="X11" i="199"/>
  <c r="W11" i="199"/>
  <c r="H11" i="199"/>
  <c r="B11" i="199"/>
  <c r="Z10" i="199"/>
  <c r="Y10" i="199"/>
  <c r="W10" i="199"/>
  <c r="H10" i="199"/>
  <c r="X10" i="199" s="1"/>
  <c r="B10" i="199"/>
  <c r="B13" i="199" s="1"/>
  <c r="Z9" i="199"/>
  <c r="Y9" i="199"/>
  <c r="W9" i="199"/>
  <c r="H9" i="199"/>
  <c r="X9" i="199" s="1"/>
  <c r="Z8" i="199"/>
  <c r="Y8" i="199"/>
  <c r="W8" i="199"/>
  <c r="L8" i="199"/>
  <c r="H8" i="199"/>
  <c r="X8" i="199" s="1"/>
  <c r="Z7" i="199"/>
  <c r="Y7" i="199"/>
  <c r="W7" i="199"/>
  <c r="H7" i="199"/>
  <c r="X7" i="199" s="1"/>
  <c r="B7" i="199"/>
  <c r="Z6" i="199"/>
  <c r="Y6" i="199"/>
  <c r="W6" i="199"/>
  <c r="L6" i="199"/>
  <c r="H6" i="199"/>
  <c r="X6" i="199" s="1"/>
  <c r="Z5" i="199"/>
  <c r="Y5" i="199"/>
  <c r="W5" i="199"/>
  <c r="H5" i="199"/>
  <c r="X5" i="199" s="1"/>
  <c r="Z4" i="199"/>
  <c r="Y4" i="199"/>
  <c r="W4" i="199"/>
  <c r="L4" i="199"/>
  <c r="H4" i="199"/>
  <c r="X4" i="199" s="1"/>
  <c r="Z3" i="199"/>
  <c r="Y3" i="199"/>
  <c r="W3" i="199"/>
  <c r="H3" i="199"/>
  <c r="X3" i="199" s="1"/>
  <c r="I57" i="33"/>
  <c r="H57" i="33"/>
  <c r="G57" i="33"/>
  <c r="F57" i="33"/>
  <c r="D57" i="33"/>
  <c r="C57" i="33"/>
  <c r="B57" i="33"/>
  <c r="Z20" i="198"/>
  <c r="Y20" i="198"/>
  <c r="X20" i="198"/>
  <c r="W20" i="198"/>
  <c r="H20" i="198"/>
  <c r="Z19" i="198"/>
  <c r="Y19" i="198"/>
  <c r="W19" i="198"/>
  <c r="H19" i="198"/>
  <c r="X19" i="198" s="1"/>
  <c r="Z18" i="198"/>
  <c r="Y18" i="198"/>
  <c r="X18" i="198"/>
  <c r="W18" i="198"/>
  <c r="H18" i="198"/>
  <c r="Z17" i="198"/>
  <c r="Y17" i="198"/>
  <c r="W17" i="198"/>
  <c r="H17" i="198"/>
  <c r="X17" i="198" s="1"/>
  <c r="Z16" i="198"/>
  <c r="Y16" i="198"/>
  <c r="X16" i="198"/>
  <c r="W16" i="198"/>
  <c r="H16" i="198"/>
  <c r="Z15" i="198"/>
  <c r="Y15" i="198"/>
  <c r="W15" i="198"/>
  <c r="H15" i="198"/>
  <c r="X15" i="198" s="1"/>
  <c r="Z14" i="198"/>
  <c r="Y14" i="198"/>
  <c r="X14" i="198"/>
  <c r="W14" i="198"/>
  <c r="H14" i="198"/>
  <c r="Z13" i="198"/>
  <c r="Y13" i="198"/>
  <c r="X13" i="198"/>
  <c r="W13" i="198"/>
  <c r="H13" i="198"/>
  <c r="Z12" i="198"/>
  <c r="Y12" i="198"/>
  <c r="X12" i="198"/>
  <c r="W12" i="198"/>
  <c r="H12" i="198"/>
  <c r="B12" i="198"/>
  <c r="Z11" i="198"/>
  <c r="Y11" i="198"/>
  <c r="X11" i="198"/>
  <c r="W11" i="198"/>
  <c r="H11" i="198"/>
  <c r="B11" i="198"/>
  <c r="Z10" i="198"/>
  <c r="Y10" i="198"/>
  <c r="W10" i="198"/>
  <c r="H10" i="198"/>
  <c r="X10" i="198" s="1"/>
  <c r="B10" i="198"/>
  <c r="B13" i="198" s="1"/>
  <c r="Z9" i="198"/>
  <c r="Y9" i="198"/>
  <c r="W9" i="198"/>
  <c r="H9" i="198"/>
  <c r="X9" i="198" s="1"/>
  <c r="Z8" i="198"/>
  <c r="Y8" i="198"/>
  <c r="W8" i="198"/>
  <c r="H8" i="198"/>
  <c r="X8" i="198" s="1"/>
  <c r="Z7" i="198"/>
  <c r="Y7" i="198"/>
  <c r="W7" i="198"/>
  <c r="H7" i="198"/>
  <c r="X7" i="198" s="1"/>
  <c r="B7" i="198"/>
  <c r="Z6" i="198"/>
  <c r="Y6" i="198"/>
  <c r="W6" i="198"/>
  <c r="L6" i="198"/>
  <c r="H6" i="198"/>
  <c r="X6" i="198" s="1"/>
  <c r="Z5" i="198"/>
  <c r="Y5" i="198"/>
  <c r="X5" i="198"/>
  <c r="W5" i="198"/>
  <c r="H5" i="198"/>
  <c r="Z4" i="198"/>
  <c r="Y4" i="198"/>
  <c r="W4" i="198"/>
  <c r="L4" i="198"/>
  <c r="H4" i="198"/>
  <c r="X4" i="198" s="1"/>
  <c r="Z3" i="198"/>
  <c r="Y3" i="198"/>
  <c r="X3" i="198"/>
  <c r="W3" i="198"/>
  <c r="H3" i="198"/>
  <c r="I56" i="33"/>
  <c r="H56" i="33"/>
  <c r="G56" i="33"/>
  <c r="F56" i="33"/>
  <c r="D56" i="33"/>
  <c r="C56" i="33"/>
  <c r="B56" i="33"/>
  <c r="Z20" i="197"/>
  <c r="Y20" i="197"/>
  <c r="W20" i="197"/>
  <c r="H20" i="197"/>
  <c r="X20" i="197" s="1"/>
  <c r="Z19" i="197"/>
  <c r="Y19" i="197"/>
  <c r="W19" i="197"/>
  <c r="H19" i="197"/>
  <c r="X19" i="197" s="1"/>
  <c r="Z18" i="197"/>
  <c r="Y18" i="197"/>
  <c r="W18" i="197"/>
  <c r="H18" i="197"/>
  <c r="X18" i="197" s="1"/>
  <c r="Z17" i="197"/>
  <c r="Y17" i="197"/>
  <c r="W17" i="197"/>
  <c r="H17" i="197"/>
  <c r="X17" i="197" s="1"/>
  <c r="Z16" i="197"/>
  <c r="Y16" i="197"/>
  <c r="W16" i="197"/>
  <c r="H16" i="197"/>
  <c r="X16" i="197" s="1"/>
  <c r="Z15" i="197"/>
  <c r="Y15" i="197"/>
  <c r="W15" i="197"/>
  <c r="H15" i="197"/>
  <c r="X15" i="197" s="1"/>
  <c r="Z14" i="197"/>
  <c r="Y14" i="197"/>
  <c r="W14" i="197"/>
  <c r="H14" i="197"/>
  <c r="X14" i="197" s="1"/>
  <c r="Z13" i="197"/>
  <c r="Y13" i="197"/>
  <c r="X13" i="197"/>
  <c r="W13" i="197"/>
  <c r="L13" i="197"/>
  <c r="H13" i="197"/>
  <c r="Z12" i="197"/>
  <c r="Y12" i="197"/>
  <c r="W12" i="197"/>
  <c r="H12" i="197"/>
  <c r="X12" i="197" s="1"/>
  <c r="B12" i="197"/>
  <c r="Z11" i="197"/>
  <c r="Y11" i="197"/>
  <c r="X11" i="197"/>
  <c r="W11" i="197"/>
  <c r="H11" i="197"/>
  <c r="B11" i="197"/>
  <c r="Z10" i="197"/>
  <c r="Y10" i="197"/>
  <c r="W10" i="197"/>
  <c r="H10" i="197"/>
  <c r="X10" i="197" s="1"/>
  <c r="B10" i="197"/>
  <c r="B13" i="197" s="1"/>
  <c r="Z9" i="197"/>
  <c r="Y9" i="197"/>
  <c r="W9" i="197"/>
  <c r="H9" i="197"/>
  <c r="X9" i="197" s="1"/>
  <c r="Z8" i="197"/>
  <c r="Y8" i="197"/>
  <c r="W8" i="197"/>
  <c r="H8" i="197"/>
  <c r="X8" i="197" s="1"/>
  <c r="Z7" i="197"/>
  <c r="Y7" i="197"/>
  <c r="W7" i="197"/>
  <c r="H7" i="197"/>
  <c r="X7" i="197" s="1"/>
  <c r="B7" i="197"/>
  <c r="Z6" i="197"/>
  <c r="Y6" i="197"/>
  <c r="W6" i="197"/>
  <c r="L6" i="197"/>
  <c r="H6" i="197"/>
  <c r="X6" i="197" s="1"/>
  <c r="Z5" i="197"/>
  <c r="Y5" i="197"/>
  <c r="W5" i="197"/>
  <c r="H5" i="197"/>
  <c r="X5" i="197" s="1"/>
  <c r="Z4" i="197"/>
  <c r="Y4" i="197"/>
  <c r="W4" i="197"/>
  <c r="H4" i="197"/>
  <c r="X4" i="197" s="1"/>
  <c r="Z3" i="197"/>
  <c r="Y3" i="197"/>
  <c r="W3" i="197"/>
  <c r="H3" i="197"/>
  <c r="X3" i="197" s="1"/>
  <c r="I55" i="33"/>
  <c r="H55" i="33"/>
  <c r="G55" i="33"/>
  <c r="F55" i="33"/>
  <c r="D55" i="33"/>
  <c r="C55" i="33"/>
  <c r="B55" i="33"/>
  <c r="Z20" i="196"/>
  <c r="Y20" i="196"/>
  <c r="W20" i="196"/>
  <c r="H20" i="196"/>
  <c r="X20" i="196" s="1"/>
  <c r="Z19" i="196"/>
  <c r="Y19" i="196"/>
  <c r="W19" i="196"/>
  <c r="H19" i="196"/>
  <c r="X19" i="196" s="1"/>
  <c r="Z18" i="196"/>
  <c r="Y18" i="196"/>
  <c r="W18" i="196"/>
  <c r="H18" i="196"/>
  <c r="X18" i="196" s="1"/>
  <c r="Z17" i="196"/>
  <c r="Y17" i="196"/>
  <c r="W17" i="196"/>
  <c r="H17" i="196"/>
  <c r="X17" i="196" s="1"/>
  <c r="Z16" i="196"/>
  <c r="Y16" i="196"/>
  <c r="W16" i="196"/>
  <c r="H16" i="196"/>
  <c r="X16" i="196" s="1"/>
  <c r="Z15" i="196"/>
  <c r="Y15" i="196"/>
  <c r="W15" i="196"/>
  <c r="H15" i="196"/>
  <c r="X15" i="196" s="1"/>
  <c r="Z14" i="196"/>
  <c r="Y14" i="196"/>
  <c r="W14" i="196"/>
  <c r="H14" i="196"/>
  <c r="X14" i="196" s="1"/>
  <c r="Z13" i="196"/>
  <c r="Y13" i="196"/>
  <c r="X13" i="196"/>
  <c r="W13" i="196"/>
  <c r="L13" i="196"/>
  <c r="H13" i="196"/>
  <c r="Z12" i="196"/>
  <c r="Y12" i="196"/>
  <c r="W12" i="196"/>
  <c r="H12" i="196"/>
  <c r="X12" i="196" s="1"/>
  <c r="B12" i="196"/>
  <c r="Z11" i="196"/>
  <c r="Y11" i="196"/>
  <c r="X11" i="196"/>
  <c r="W11" i="196"/>
  <c r="H11" i="196"/>
  <c r="B11" i="196"/>
  <c r="Z10" i="196"/>
  <c r="Y10" i="196"/>
  <c r="W10" i="196"/>
  <c r="H10" i="196"/>
  <c r="X10" i="196" s="1"/>
  <c r="B10" i="196"/>
  <c r="B13" i="196" s="1"/>
  <c r="Z9" i="196"/>
  <c r="Y9" i="196"/>
  <c r="W9" i="196"/>
  <c r="H9" i="196"/>
  <c r="X9" i="196" s="1"/>
  <c r="Z8" i="196"/>
  <c r="Y8" i="196"/>
  <c r="W8" i="196"/>
  <c r="H8" i="196"/>
  <c r="X8" i="196" s="1"/>
  <c r="Z7" i="196"/>
  <c r="Y7" i="196"/>
  <c r="W7" i="196"/>
  <c r="H7" i="196"/>
  <c r="X7" i="196" s="1"/>
  <c r="B7" i="196"/>
  <c r="Z6" i="196"/>
  <c r="Y6" i="196"/>
  <c r="W6" i="196"/>
  <c r="L6" i="196"/>
  <c r="H6" i="196"/>
  <c r="X6" i="196" s="1"/>
  <c r="Z5" i="196"/>
  <c r="Y5" i="196"/>
  <c r="W5" i="196"/>
  <c r="H5" i="196"/>
  <c r="X5" i="196" s="1"/>
  <c r="Z4" i="196"/>
  <c r="Y4" i="196"/>
  <c r="W4" i="196"/>
  <c r="L4" i="196"/>
  <c r="H4" i="196"/>
  <c r="X4" i="196" s="1"/>
  <c r="Z3" i="196"/>
  <c r="Y3" i="196"/>
  <c r="W3" i="196"/>
  <c r="H3" i="196"/>
  <c r="X3" i="196" s="1"/>
  <c r="I54" i="33"/>
  <c r="H54" i="33"/>
  <c r="G54" i="33"/>
  <c r="F54" i="33"/>
  <c r="D54" i="33"/>
  <c r="C54" i="33"/>
  <c r="B54" i="33"/>
  <c r="Z20" i="195"/>
  <c r="Y20" i="195"/>
  <c r="W20" i="195"/>
  <c r="H20" i="195"/>
  <c r="X20" i="195" s="1"/>
  <c r="Z19" i="195"/>
  <c r="Y19" i="195"/>
  <c r="W19" i="195"/>
  <c r="H19" i="195"/>
  <c r="X19" i="195" s="1"/>
  <c r="Z18" i="195"/>
  <c r="Y18" i="195"/>
  <c r="W18" i="195"/>
  <c r="H18" i="195"/>
  <c r="X18" i="195" s="1"/>
  <c r="Z17" i="195"/>
  <c r="Y17" i="195"/>
  <c r="W17" i="195"/>
  <c r="H17" i="195"/>
  <c r="X17" i="195" s="1"/>
  <c r="Z16" i="195"/>
  <c r="Y16" i="195"/>
  <c r="W16" i="195"/>
  <c r="H16" i="195"/>
  <c r="X16" i="195" s="1"/>
  <c r="Z15" i="195"/>
  <c r="Y15" i="195"/>
  <c r="W15" i="195"/>
  <c r="H15" i="195"/>
  <c r="X15" i="195" s="1"/>
  <c r="Z14" i="195"/>
  <c r="Y14" i="195"/>
  <c r="W14" i="195"/>
  <c r="H14" i="195"/>
  <c r="X14" i="195" s="1"/>
  <c r="Z13" i="195"/>
  <c r="Y13" i="195"/>
  <c r="X13" i="195"/>
  <c r="W13" i="195"/>
  <c r="L13" i="195"/>
  <c r="H13" i="195"/>
  <c r="Z12" i="195"/>
  <c r="Y12" i="195"/>
  <c r="W12" i="195"/>
  <c r="H12" i="195"/>
  <c r="X12" i="195" s="1"/>
  <c r="B12" i="195"/>
  <c r="Z11" i="195"/>
  <c r="Y11" i="195"/>
  <c r="X11" i="195"/>
  <c r="W11" i="195"/>
  <c r="H11" i="195"/>
  <c r="B11" i="195"/>
  <c r="Z10" i="195"/>
  <c r="Y10" i="195"/>
  <c r="W10" i="195"/>
  <c r="H10" i="195"/>
  <c r="X10" i="195" s="1"/>
  <c r="B10" i="195"/>
  <c r="B13" i="195" s="1"/>
  <c r="Z9" i="195"/>
  <c r="Y9" i="195"/>
  <c r="W9" i="195"/>
  <c r="H9" i="195"/>
  <c r="X9" i="195" s="1"/>
  <c r="Z8" i="195"/>
  <c r="Y8" i="195"/>
  <c r="X8" i="195"/>
  <c r="W8" i="195"/>
  <c r="L8" i="195"/>
  <c r="H8" i="195"/>
  <c r="Z7" i="195"/>
  <c r="Y7" i="195"/>
  <c r="W7" i="195"/>
  <c r="H7" i="195"/>
  <c r="X7" i="195" s="1"/>
  <c r="B7" i="195"/>
  <c r="Z6" i="195"/>
  <c r="Y6" i="195"/>
  <c r="W6" i="195"/>
  <c r="L6" i="195"/>
  <c r="H6" i="195"/>
  <c r="X6" i="195" s="1"/>
  <c r="Z5" i="195"/>
  <c r="Y5" i="195"/>
  <c r="W5" i="195"/>
  <c r="H5" i="195"/>
  <c r="X5" i="195" s="1"/>
  <c r="Z4" i="195"/>
  <c r="Y4" i="195"/>
  <c r="W4" i="195"/>
  <c r="L4" i="195"/>
  <c r="H4" i="195"/>
  <c r="X4" i="195" s="1"/>
  <c r="Z3" i="195"/>
  <c r="Y3" i="195"/>
  <c r="W3" i="195"/>
  <c r="H3" i="195"/>
  <c r="X3" i="195" s="1"/>
  <c r="I53" i="33"/>
  <c r="H53" i="33"/>
  <c r="G53" i="33"/>
  <c r="F53" i="33"/>
  <c r="D53" i="33"/>
  <c r="C53" i="33"/>
  <c r="B53" i="33"/>
  <c r="Z20" i="194"/>
  <c r="Y20" i="194"/>
  <c r="W20" i="194"/>
  <c r="H20" i="194"/>
  <c r="X20" i="194" s="1"/>
  <c r="Z19" i="194"/>
  <c r="Y19" i="194"/>
  <c r="W19" i="194"/>
  <c r="H19" i="194"/>
  <c r="X19" i="194" s="1"/>
  <c r="Z18" i="194"/>
  <c r="Y18" i="194"/>
  <c r="W18" i="194"/>
  <c r="H18" i="194"/>
  <c r="X18" i="194" s="1"/>
  <c r="Z17" i="194"/>
  <c r="Y17" i="194"/>
  <c r="W17" i="194"/>
  <c r="H17" i="194"/>
  <c r="X17" i="194" s="1"/>
  <c r="Z16" i="194"/>
  <c r="Y16" i="194"/>
  <c r="W16" i="194"/>
  <c r="H16" i="194"/>
  <c r="X16" i="194" s="1"/>
  <c r="Z15" i="194"/>
  <c r="Y15" i="194"/>
  <c r="W15" i="194"/>
  <c r="H15" i="194"/>
  <c r="X15" i="194" s="1"/>
  <c r="Z14" i="194"/>
  <c r="Y14" i="194"/>
  <c r="W14" i="194"/>
  <c r="H14" i="194"/>
  <c r="X14" i="194" s="1"/>
  <c r="Z13" i="194"/>
  <c r="Y13" i="194"/>
  <c r="X13" i="194"/>
  <c r="W13" i="194"/>
  <c r="L13" i="194"/>
  <c r="H13" i="194"/>
  <c r="Z12" i="194"/>
  <c r="Y12" i="194"/>
  <c r="W12" i="194"/>
  <c r="H12" i="194"/>
  <c r="X12" i="194" s="1"/>
  <c r="B12" i="194"/>
  <c r="Z11" i="194"/>
  <c r="Y11" i="194"/>
  <c r="X11" i="194"/>
  <c r="W11" i="194"/>
  <c r="H11" i="194"/>
  <c r="B11" i="194"/>
  <c r="Z10" i="194"/>
  <c r="Y10" i="194"/>
  <c r="W10" i="194"/>
  <c r="H10" i="194"/>
  <c r="X10" i="194" s="1"/>
  <c r="B10" i="194"/>
  <c r="B13" i="194" s="1"/>
  <c r="Z9" i="194"/>
  <c r="Y9" i="194"/>
  <c r="W9" i="194"/>
  <c r="H9" i="194"/>
  <c r="X9" i="194" s="1"/>
  <c r="Z8" i="194"/>
  <c r="Y8" i="194"/>
  <c r="W8" i="194"/>
  <c r="L8" i="194"/>
  <c r="H8" i="194"/>
  <c r="X8" i="194" s="1"/>
  <c r="Z7" i="194"/>
  <c r="Y7" i="194"/>
  <c r="W7" i="194"/>
  <c r="H7" i="194"/>
  <c r="X7" i="194" s="1"/>
  <c r="B7" i="194"/>
  <c r="Z6" i="194"/>
  <c r="Y6" i="194"/>
  <c r="W6" i="194"/>
  <c r="L6" i="194"/>
  <c r="H6" i="194"/>
  <c r="X6" i="194" s="1"/>
  <c r="Z5" i="194"/>
  <c r="Y5" i="194"/>
  <c r="W5" i="194"/>
  <c r="H5" i="194"/>
  <c r="X5" i="194" s="1"/>
  <c r="Z4" i="194"/>
  <c r="Y4" i="194"/>
  <c r="W4" i="194"/>
  <c r="L4" i="194"/>
  <c r="H4" i="194"/>
  <c r="X4" i="194" s="1"/>
  <c r="Z3" i="194"/>
  <c r="Y3" i="194"/>
  <c r="W3" i="194"/>
  <c r="H3" i="194"/>
  <c r="X3" i="194" s="1"/>
  <c r="I52" i="33"/>
  <c r="H52" i="33"/>
  <c r="G52" i="33"/>
  <c r="F52" i="33"/>
  <c r="D52" i="33"/>
  <c r="C52" i="33"/>
  <c r="B52" i="33"/>
  <c r="Z20" i="193"/>
  <c r="Y20" i="193"/>
  <c r="W20" i="193"/>
  <c r="H20" i="193"/>
  <c r="X20" i="193" s="1"/>
  <c r="Z19" i="193"/>
  <c r="Y19" i="193"/>
  <c r="W19" i="193"/>
  <c r="H19" i="193"/>
  <c r="X19" i="193" s="1"/>
  <c r="Z18" i="193"/>
  <c r="Y18" i="193"/>
  <c r="W18" i="193"/>
  <c r="H18" i="193"/>
  <c r="X18" i="193" s="1"/>
  <c r="Z17" i="193"/>
  <c r="Y17" i="193"/>
  <c r="W17" i="193"/>
  <c r="H17" i="193"/>
  <c r="X17" i="193" s="1"/>
  <c r="Z16" i="193"/>
  <c r="Y16" i="193"/>
  <c r="W16" i="193"/>
  <c r="H16" i="193"/>
  <c r="X16" i="193" s="1"/>
  <c r="Z15" i="193"/>
  <c r="Y15" i="193"/>
  <c r="W15" i="193"/>
  <c r="H15" i="193"/>
  <c r="X15" i="193" s="1"/>
  <c r="Z14" i="193"/>
  <c r="Y14" i="193"/>
  <c r="W14" i="193"/>
  <c r="H14" i="193"/>
  <c r="X14" i="193" s="1"/>
  <c r="Z13" i="193"/>
  <c r="Y13" i="193"/>
  <c r="X13" i="193"/>
  <c r="W13" i="193"/>
  <c r="L13" i="193"/>
  <c r="H13" i="193"/>
  <c r="Z12" i="193"/>
  <c r="Y12" i="193"/>
  <c r="W12" i="193"/>
  <c r="H12" i="193"/>
  <c r="X12" i="193" s="1"/>
  <c r="B12" i="193"/>
  <c r="Z11" i="193"/>
  <c r="Y11" i="193"/>
  <c r="X11" i="193"/>
  <c r="W11" i="193"/>
  <c r="H11" i="193"/>
  <c r="B11" i="193"/>
  <c r="Z10" i="193"/>
  <c r="Y10" i="193"/>
  <c r="W10" i="193"/>
  <c r="H10" i="193"/>
  <c r="X10" i="193" s="1"/>
  <c r="B10" i="193"/>
  <c r="L12" i="193" s="1"/>
  <c r="Z9" i="193"/>
  <c r="Y9" i="193"/>
  <c r="W9" i="193"/>
  <c r="H9" i="193"/>
  <c r="X9" i="193" s="1"/>
  <c r="Z8" i="193"/>
  <c r="Y8" i="193"/>
  <c r="W8" i="193"/>
  <c r="H8" i="193"/>
  <c r="X8" i="193" s="1"/>
  <c r="Z7" i="193"/>
  <c r="Y7" i="193"/>
  <c r="W7" i="193"/>
  <c r="H7" i="193"/>
  <c r="X7" i="193" s="1"/>
  <c r="B7" i="193"/>
  <c r="Z6" i="193"/>
  <c r="Y6" i="193"/>
  <c r="W6" i="193"/>
  <c r="L6" i="193"/>
  <c r="H6" i="193"/>
  <c r="X6" i="193" s="1"/>
  <c r="Z5" i="193"/>
  <c r="Y5" i="193"/>
  <c r="W5" i="193"/>
  <c r="H5" i="193"/>
  <c r="X5" i="193" s="1"/>
  <c r="Z4" i="193"/>
  <c r="Y4" i="193"/>
  <c r="W4" i="193"/>
  <c r="H4" i="193"/>
  <c r="X4" i="193" s="1"/>
  <c r="Z3" i="193"/>
  <c r="Y3" i="193"/>
  <c r="W3" i="193"/>
  <c r="H3" i="193"/>
  <c r="X3" i="193" s="1"/>
  <c r="I51" i="33"/>
  <c r="H51" i="33"/>
  <c r="G51" i="33"/>
  <c r="F51" i="33"/>
  <c r="D51" i="33"/>
  <c r="C51" i="33"/>
  <c r="B51" i="33"/>
  <c r="Z20" i="192"/>
  <c r="Y20" i="192"/>
  <c r="W20" i="192"/>
  <c r="H20" i="192"/>
  <c r="X20" i="192" s="1"/>
  <c r="Z19" i="192"/>
  <c r="Y19" i="192"/>
  <c r="W19" i="192"/>
  <c r="H19" i="192"/>
  <c r="X19" i="192" s="1"/>
  <c r="Z18" i="192"/>
  <c r="Y18" i="192"/>
  <c r="W18" i="192"/>
  <c r="H18" i="192"/>
  <c r="X18" i="192" s="1"/>
  <c r="Z17" i="192"/>
  <c r="Y17" i="192"/>
  <c r="W17" i="192"/>
  <c r="H17" i="192"/>
  <c r="X17" i="192" s="1"/>
  <c r="Z16" i="192"/>
  <c r="Y16" i="192"/>
  <c r="W16" i="192"/>
  <c r="H16" i="192"/>
  <c r="X16" i="192" s="1"/>
  <c r="Z15" i="192"/>
  <c r="Y15" i="192"/>
  <c r="W15" i="192"/>
  <c r="H15" i="192"/>
  <c r="X15" i="192" s="1"/>
  <c r="Z14" i="192"/>
  <c r="Y14" i="192"/>
  <c r="W14" i="192"/>
  <c r="H14" i="192"/>
  <c r="X14" i="192" s="1"/>
  <c r="Z13" i="192"/>
  <c r="Y13" i="192"/>
  <c r="X13" i="192"/>
  <c r="W13" i="192"/>
  <c r="L13" i="192"/>
  <c r="H13" i="192"/>
  <c r="Z12" i="192"/>
  <c r="Y12" i="192"/>
  <c r="W12" i="192"/>
  <c r="H12" i="192"/>
  <c r="X12" i="192" s="1"/>
  <c r="B12" i="192"/>
  <c r="Z11" i="192"/>
  <c r="Y11" i="192"/>
  <c r="X11" i="192"/>
  <c r="W11" i="192"/>
  <c r="H11" i="192"/>
  <c r="B11" i="192"/>
  <c r="Z10" i="192"/>
  <c r="Y10" i="192"/>
  <c r="W10" i="192"/>
  <c r="H10" i="192"/>
  <c r="X10" i="192" s="1"/>
  <c r="B10" i="192"/>
  <c r="B13" i="192" s="1"/>
  <c r="Z9" i="192"/>
  <c r="Y9" i="192"/>
  <c r="W9" i="192"/>
  <c r="H9" i="192"/>
  <c r="X9" i="192" s="1"/>
  <c r="Z8" i="192"/>
  <c r="Y8" i="192"/>
  <c r="W8" i="192"/>
  <c r="H8" i="192"/>
  <c r="X8" i="192" s="1"/>
  <c r="Z7" i="192"/>
  <c r="Y7" i="192"/>
  <c r="W7" i="192"/>
  <c r="H7" i="192"/>
  <c r="X7" i="192" s="1"/>
  <c r="B7" i="192"/>
  <c r="Z6" i="192"/>
  <c r="Y6" i="192"/>
  <c r="W6" i="192"/>
  <c r="L6" i="192"/>
  <c r="H6" i="192"/>
  <c r="X6" i="192" s="1"/>
  <c r="Z5" i="192"/>
  <c r="Y5" i="192"/>
  <c r="W5" i="192"/>
  <c r="H5" i="192"/>
  <c r="X5" i="192" s="1"/>
  <c r="Z4" i="192"/>
  <c r="Y4" i="192"/>
  <c r="W4" i="192"/>
  <c r="L4" i="192"/>
  <c r="H4" i="192"/>
  <c r="X4" i="192" s="1"/>
  <c r="Z3" i="192"/>
  <c r="Y3" i="192"/>
  <c r="W3" i="192"/>
  <c r="H3" i="192"/>
  <c r="X3" i="192" s="1"/>
  <c r="I50" i="33"/>
  <c r="H50" i="33"/>
  <c r="G50" i="33"/>
  <c r="F50" i="33"/>
  <c r="D50" i="33"/>
  <c r="C50" i="33"/>
  <c r="B50" i="33"/>
  <c r="Z20" i="191"/>
  <c r="Y20" i="191"/>
  <c r="W20" i="191"/>
  <c r="H20" i="191"/>
  <c r="X20" i="191" s="1"/>
  <c r="Z19" i="191"/>
  <c r="Y19" i="191"/>
  <c r="W19" i="191"/>
  <c r="H19" i="191"/>
  <c r="X19" i="191" s="1"/>
  <c r="Z18" i="191"/>
  <c r="Y18" i="191"/>
  <c r="W18" i="191"/>
  <c r="H18" i="191"/>
  <c r="X18" i="191" s="1"/>
  <c r="Z17" i="191"/>
  <c r="Y17" i="191"/>
  <c r="W17" i="191"/>
  <c r="H17" i="191"/>
  <c r="X17" i="191" s="1"/>
  <c r="Z16" i="191"/>
  <c r="Y16" i="191"/>
  <c r="W16" i="191"/>
  <c r="H16" i="191"/>
  <c r="X16" i="191" s="1"/>
  <c r="Z15" i="191"/>
  <c r="Y15" i="191"/>
  <c r="W15" i="191"/>
  <c r="H15" i="191"/>
  <c r="X15" i="191" s="1"/>
  <c r="Z14" i="191"/>
  <c r="Y14" i="191"/>
  <c r="W14" i="191"/>
  <c r="H14" i="191"/>
  <c r="X14" i="191" s="1"/>
  <c r="Z13" i="191"/>
  <c r="Y13" i="191"/>
  <c r="X13" i="191"/>
  <c r="W13" i="191"/>
  <c r="L13" i="191"/>
  <c r="H13" i="191"/>
  <c r="Z12" i="191"/>
  <c r="Y12" i="191"/>
  <c r="W12" i="191"/>
  <c r="H12" i="191"/>
  <c r="X12" i="191" s="1"/>
  <c r="B12" i="191"/>
  <c r="Z11" i="191"/>
  <c r="Y11" i="191"/>
  <c r="X11" i="191"/>
  <c r="W11" i="191"/>
  <c r="H11" i="191"/>
  <c r="B11" i="191"/>
  <c r="Z10" i="191"/>
  <c r="Y10" i="191"/>
  <c r="W10" i="191"/>
  <c r="H10" i="191"/>
  <c r="X10" i="191" s="1"/>
  <c r="B10" i="191"/>
  <c r="B13" i="191" s="1"/>
  <c r="Z9" i="191"/>
  <c r="Y9" i="191"/>
  <c r="W9" i="191"/>
  <c r="H9" i="191"/>
  <c r="X9" i="191" s="1"/>
  <c r="Z8" i="191"/>
  <c r="Y8" i="191"/>
  <c r="W8" i="191"/>
  <c r="L8" i="191"/>
  <c r="H8" i="191"/>
  <c r="X8" i="191" s="1"/>
  <c r="Z7" i="191"/>
  <c r="Y7" i="191"/>
  <c r="W7" i="191"/>
  <c r="H7" i="191"/>
  <c r="X7" i="191" s="1"/>
  <c r="B7" i="191"/>
  <c r="Z6" i="191"/>
  <c r="Y6" i="191"/>
  <c r="W6" i="191"/>
  <c r="L6" i="191"/>
  <c r="H6" i="191"/>
  <c r="X6" i="191" s="1"/>
  <c r="Z5" i="191"/>
  <c r="Y5" i="191"/>
  <c r="W5" i="191"/>
  <c r="H5" i="191"/>
  <c r="X5" i="191" s="1"/>
  <c r="Z4" i="191"/>
  <c r="Y4" i="191"/>
  <c r="W4" i="191"/>
  <c r="H4" i="191"/>
  <c r="X4" i="191" s="1"/>
  <c r="Z3" i="191"/>
  <c r="Y3" i="191"/>
  <c r="W3" i="191"/>
  <c r="H3" i="191"/>
  <c r="X3" i="191" s="1"/>
  <c r="I49" i="33"/>
  <c r="H49" i="33"/>
  <c r="G49" i="33"/>
  <c r="E49" i="33" s="1"/>
  <c r="F49" i="33"/>
  <c r="D49" i="33"/>
  <c r="C49" i="33"/>
  <c r="B49" i="33"/>
  <c r="Z20" i="190"/>
  <c r="Y20" i="190"/>
  <c r="W20" i="190"/>
  <c r="H20" i="190"/>
  <c r="X20" i="190" s="1"/>
  <c r="Z19" i="190"/>
  <c r="Y19" i="190"/>
  <c r="W19" i="190"/>
  <c r="H19" i="190"/>
  <c r="X19" i="190" s="1"/>
  <c r="Z18" i="190"/>
  <c r="Y18" i="190"/>
  <c r="W18" i="190"/>
  <c r="H18" i="190"/>
  <c r="X18" i="190" s="1"/>
  <c r="Z17" i="190"/>
  <c r="Y17" i="190"/>
  <c r="W17" i="190"/>
  <c r="H17" i="190"/>
  <c r="X17" i="190" s="1"/>
  <c r="Z16" i="190"/>
  <c r="Y16" i="190"/>
  <c r="W16" i="190"/>
  <c r="H16" i="190"/>
  <c r="X16" i="190" s="1"/>
  <c r="Z15" i="190"/>
  <c r="Y15" i="190"/>
  <c r="W15" i="190"/>
  <c r="H15" i="190"/>
  <c r="X15" i="190" s="1"/>
  <c r="Z14" i="190"/>
  <c r="Y14" i="190"/>
  <c r="W14" i="190"/>
  <c r="H14" i="190"/>
  <c r="X14" i="190" s="1"/>
  <c r="Z13" i="190"/>
  <c r="Y13" i="190"/>
  <c r="X13" i="190"/>
  <c r="W13" i="190"/>
  <c r="L13" i="190"/>
  <c r="H13" i="190"/>
  <c r="Z12" i="190"/>
  <c r="Y12" i="190"/>
  <c r="W12" i="190"/>
  <c r="H12" i="190"/>
  <c r="X12" i="190" s="1"/>
  <c r="B12" i="190"/>
  <c r="Z11" i="190"/>
  <c r="Y11" i="190"/>
  <c r="X11" i="190"/>
  <c r="W11" i="190"/>
  <c r="H11" i="190"/>
  <c r="B11" i="190"/>
  <c r="Z10" i="190"/>
  <c r="Y10" i="190"/>
  <c r="W10" i="190"/>
  <c r="H10" i="190"/>
  <c r="X10" i="190" s="1"/>
  <c r="B10" i="190"/>
  <c r="L15" i="190" s="1"/>
  <c r="Z9" i="190"/>
  <c r="Y9" i="190"/>
  <c r="W9" i="190"/>
  <c r="H9" i="190"/>
  <c r="X9" i="190" s="1"/>
  <c r="Z8" i="190"/>
  <c r="Y8" i="190"/>
  <c r="W8" i="190"/>
  <c r="H8" i="190"/>
  <c r="X8" i="190" s="1"/>
  <c r="Z7" i="190"/>
  <c r="Y7" i="190"/>
  <c r="W7" i="190"/>
  <c r="H7" i="190"/>
  <c r="X7" i="190" s="1"/>
  <c r="B7" i="190"/>
  <c r="Z6" i="190"/>
  <c r="Y6" i="190"/>
  <c r="W6" i="190"/>
  <c r="H6" i="190"/>
  <c r="X6" i="190" s="1"/>
  <c r="Z5" i="190"/>
  <c r="Y5" i="190"/>
  <c r="W5" i="190"/>
  <c r="H5" i="190"/>
  <c r="X5" i="190" s="1"/>
  <c r="Z4" i="190"/>
  <c r="Y4" i="190"/>
  <c r="W4" i="190"/>
  <c r="H4" i="190"/>
  <c r="X4" i="190" s="1"/>
  <c r="Z3" i="190"/>
  <c r="Y3" i="190"/>
  <c r="W3" i="190"/>
  <c r="H3" i="190"/>
  <c r="X3" i="190" s="1"/>
  <c r="I48" i="33"/>
  <c r="H48" i="33"/>
  <c r="G48" i="33"/>
  <c r="F48" i="33"/>
  <c r="D48" i="33"/>
  <c r="C48" i="33"/>
  <c r="B48" i="33"/>
  <c r="Z20" i="189"/>
  <c r="Y20" i="189"/>
  <c r="W20" i="189"/>
  <c r="H20" i="189"/>
  <c r="X20" i="189" s="1"/>
  <c r="Z19" i="189"/>
  <c r="Y19" i="189"/>
  <c r="W19" i="189"/>
  <c r="H19" i="189"/>
  <c r="X19" i="189" s="1"/>
  <c r="Z18" i="189"/>
  <c r="Y18" i="189"/>
  <c r="W18" i="189"/>
  <c r="H18" i="189"/>
  <c r="X18" i="189" s="1"/>
  <c r="Z17" i="189"/>
  <c r="Y17" i="189"/>
  <c r="W17" i="189"/>
  <c r="H17" i="189"/>
  <c r="X17" i="189" s="1"/>
  <c r="Z16" i="189"/>
  <c r="Y16" i="189"/>
  <c r="W16" i="189"/>
  <c r="H16" i="189"/>
  <c r="X16" i="189" s="1"/>
  <c r="Z15" i="189"/>
  <c r="Y15" i="189"/>
  <c r="W15" i="189"/>
  <c r="H15" i="189"/>
  <c r="X15" i="189" s="1"/>
  <c r="Z14" i="189"/>
  <c r="Y14" i="189"/>
  <c r="W14" i="189"/>
  <c r="H14" i="189"/>
  <c r="X14" i="189" s="1"/>
  <c r="Z13" i="189"/>
  <c r="Y13" i="189"/>
  <c r="X13" i="189"/>
  <c r="W13" i="189"/>
  <c r="L13" i="189"/>
  <c r="H13" i="189"/>
  <c r="Z12" i="189"/>
  <c r="Y12" i="189"/>
  <c r="W12" i="189"/>
  <c r="H12" i="189"/>
  <c r="X12" i="189" s="1"/>
  <c r="B12" i="189"/>
  <c r="Z11" i="189"/>
  <c r="Y11" i="189"/>
  <c r="X11" i="189"/>
  <c r="W11" i="189"/>
  <c r="H11" i="189"/>
  <c r="B11" i="189"/>
  <c r="Z10" i="189"/>
  <c r="Y10" i="189"/>
  <c r="W10" i="189"/>
  <c r="H10" i="189"/>
  <c r="X10" i="189" s="1"/>
  <c r="B10" i="189"/>
  <c r="B13" i="189" s="1"/>
  <c r="Z9" i="189"/>
  <c r="Y9" i="189"/>
  <c r="W9" i="189"/>
  <c r="H9" i="189"/>
  <c r="X9" i="189" s="1"/>
  <c r="Z8" i="189"/>
  <c r="Y8" i="189"/>
  <c r="W8" i="189"/>
  <c r="H8" i="189"/>
  <c r="X8" i="189" s="1"/>
  <c r="Z7" i="189"/>
  <c r="Y7" i="189"/>
  <c r="W7" i="189"/>
  <c r="H7" i="189"/>
  <c r="X7" i="189" s="1"/>
  <c r="B7" i="189"/>
  <c r="Z6" i="189"/>
  <c r="Y6" i="189"/>
  <c r="W6" i="189"/>
  <c r="H6" i="189"/>
  <c r="X6" i="189" s="1"/>
  <c r="Z5" i="189"/>
  <c r="Y5" i="189"/>
  <c r="W5" i="189"/>
  <c r="H5" i="189"/>
  <c r="X5" i="189" s="1"/>
  <c r="Z4" i="189"/>
  <c r="Y4" i="189"/>
  <c r="W4" i="189"/>
  <c r="H4" i="189"/>
  <c r="X4" i="189" s="1"/>
  <c r="Z3" i="189"/>
  <c r="Y3" i="189"/>
  <c r="W3" i="189"/>
  <c r="H3" i="189"/>
  <c r="X3" i="189" s="1"/>
  <c r="I47" i="33"/>
  <c r="H47" i="33"/>
  <c r="G47" i="33"/>
  <c r="F47" i="33"/>
  <c r="D47" i="33"/>
  <c r="C47" i="33"/>
  <c r="B47" i="33"/>
  <c r="Z20" i="188"/>
  <c r="Y20" i="188"/>
  <c r="W20" i="188"/>
  <c r="H20" i="188"/>
  <c r="X20" i="188" s="1"/>
  <c r="Z19" i="188"/>
  <c r="Y19" i="188"/>
  <c r="W19" i="188"/>
  <c r="H19" i="188"/>
  <c r="X19" i="188" s="1"/>
  <c r="Z18" i="188"/>
  <c r="Y18" i="188"/>
  <c r="W18" i="188"/>
  <c r="H18" i="188"/>
  <c r="X18" i="188" s="1"/>
  <c r="Z17" i="188"/>
  <c r="Y17" i="188"/>
  <c r="W17" i="188"/>
  <c r="H17" i="188"/>
  <c r="X17" i="188" s="1"/>
  <c r="Z16" i="188"/>
  <c r="Y16" i="188"/>
  <c r="W16" i="188"/>
  <c r="H16" i="188"/>
  <c r="X16" i="188" s="1"/>
  <c r="Z15" i="188"/>
  <c r="Y15" i="188"/>
  <c r="W15" i="188"/>
  <c r="H15" i="188"/>
  <c r="X15" i="188" s="1"/>
  <c r="Z14" i="188"/>
  <c r="Y14" i="188"/>
  <c r="W14" i="188"/>
  <c r="H14" i="188"/>
  <c r="X14" i="188" s="1"/>
  <c r="Z13" i="188"/>
  <c r="Y13" i="188"/>
  <c r="X13" i="188"/>
  <c r="W13" i="188"/>
  <c r="H13" i="188"/>
  <c r="Z12" i="188"/>
  <c r="Y12" i="188"/>
  <c r="W12" i="188"/>
  <c r="H12" i="188"/>
  <c r="X12" i="188" s="1"/>
  <c r="B12" i="188"/>
  <c r="Z11" i="188"/>
  <c r="Y11" i="188"/>
  <c r="X11" i="188"/>
  <c r="W11" i="188"/>
  <c r="H11" i="188"/>
  <c r="B11" i="188"/>
  <c r="Z10" i="188"/>
  <c r="Y10" i="188"/>
  <c r="W10" i="188"/>
  <c r="H10" i="188"/>
  <c r="X10" i="188" s="1"/>
  <c r="B10" i="188"/>
  <c r="B13" i="188" s="1"/>
  <c r="Z9" i="188"/>
  <c r="Y9" i="188"/>
  <c r="W9" i="188"/>
  <c r="H9" i="188"/>
  <c r="X9" i="188" s="1"/>
  <c r="Z8" i="188"/>
  <c r="Y8" i="188"/>
  <c r="W8" i="188"/>
  <c r="H8" i="188"/>
  <c r="X8" i="188" s="1"/>
  <c r="Z7" i="188"/>
  <c r="Y7" i="188"/>
  <c r="W7" i="188"/>
  <c r="H7" i="188"/>
  <c r="X7" i="188" s="1"/>
  <c r="B7" i="188"/>
  <c r="Z6" i="188"/>
  <c r="Y6" i="188"/>
  <c r="W6" i="188"/>
  <c r="H6" i="188"/>
  <c r="X6" i="188" s="1"/>
  <c r="Z5" i="188"/>
  <c r="Y5" i="188"/>
  <c r="W5" i="188"/>
  <c r="H5" i="188"/>
  <c r="X5" i="188" s="1"/>
  <c r="Z4" i="188"/>
  <c r="Y4" i="188"/>
  <c r="W4" i="188"/>
  <c r="H4" i="188"/>
  <c r="X4" i="188" s="1"/>
  <c r="Z3" i="188"/>
  <c r="Y3" i="188"/>
  <c r="W3" i="188"/>
  <c r="H3" i="188"/>
  <c r="X3" i="188" s="1"/>
  <c r="I46" i="33"/>
  <c r="H46" i="33"/>
  <c r="G46" i="33"/>
  <c r="F46" i="33"/>
  <c r="D46" i="33"/>
  <c r="C46" i="33"/>
  <c r="B46" i="33"/>
  <c r="H19" i="187"/>
  <c r="H20" i="187"/>
  <c r="L20" i="187"/>
  <c r="Z20" i="187"/>
  <c r="Y20" i="187"/>
  <c r="X20" i="187"/>
  <c r="W20" i="187"/>
  <c r="Z19" i="187"/>
  <c r="Y19" i="187"/>
  <c r="X19" i="187"/>
  <c r="W19" i="187"/>
  <c r="Z18" i="187"/>
  <c r="Y18" i="187"/>
  <c r="X18" i="187"/>
  <c r="W18" i="187"/>
  <c r="H18" i="187"/>
  <c r="Z17" i="187"/>
  <c r="Y17" i="187"/>
  <c r="W17" i="187"/>
  <c r="H17" i="187"/>
  <c r="X17" i="187" s="1"/>
  <c r="Z16" i="187"/>
  <c r="Y16" i="187"/>
  <c r="X16" i="187"/>
  <c r="W16" i="187"/>
  <c r="H16" i="187"/>
  <c r="Z15" i="187"/>
  <c r="Y15" i="187"/>
  <c r="W15" i="187"/>
  <c r="H15" i="187"/>
  <c r="X15" i="187" s="1"/>
  <c r="Z14" i="187"/>
  <c r="Y14" i="187"/>
  <c r="X14" i="187"/>
  <c r="W14" i="187"/>
  <c r="H14" i="187"/>
  <c r="Z13" i="187"/>
  <c r="Y13" i="187"/>
  <c r="W13" i="187"/>
  <c r="H13" i="187"/>
  <c r="X13" i="187" s="1"/>
  <c r="Z12" i="187"/>
  <c r="Y12" i="187"/>
  <c r="W12" i="187"/>
  <c r="H12" i="187"/>
  <c r="X12" i="187" s="1"/>
  <c r="B12" i="187"/>
  <c r="Z11" i="187"/>
  <c r="Y11" i="187"/>
  <c r="W11" i="187"/>
  <c r="H11" i="187"/>
  <c r="X11" i="187" s="1"/>
  <c r="B11" i="187"/>
  <c r="L9" i="187" s="1"/>
  <c r="Z10" i="187"/>
  <c r="Y10" i="187"/>
  <c r="W10" i="187"/>
  <c r="H10" i="187"/>
  <c r="X10" i="187" s="1"/>
  <c r="B10" i="187"/>
  <c r="L18" i="187" s="1"/>
  <c r="Z9" i="187"/>
  <c r="Y9" i="187"/>
  <c r="X9" i="187"/>
  <c r="W9" i="187"/>
  <c r="H9" i="187"/>
  <c r="Z8" i="187"/>
  <c r="Y8" i="187"/>
  <c r="W8" i="187"/>
  <c r="H8" i="187"/>
  <c r="X8" i="187" s="1"/>
  <c r="Z7" i="187"/>
  <c r="Y7" i="187"/>
  <c r="X7" i="187"/>
  <c r="W7" i="187"/>
  <c r="H7" i="187"/>
  <c r="B7" i="187"/>
  <c r="Z6" i="187"/>
  <c r="Y6" i="187"/>
  <c r="W6" i="187"/>
  <c r="H6" i="187"/>
  <c r="X6" i="187" s="1"/>
  <c r="Z5" i="187"/>
  <c r="Y5" i="187"/>
  <c r="X5" i="187"/>
  <c r="W5" i="187"/>
  <c r="H5" i="187"/>
  <c r="Z4" i="187"/>
  <c r="Y4" i="187"/>
  <c r="W4" i="187"/>
  <c r="H4" i="187"/>
  <c r="X4" i="187" s="1"/>
  <c r="Z3" i="187"/>
  <c r="Y3" i="187"/>
  <c r="X3" i="187"/>
  <c r="W3" i="187"/>
  <c r="H3" i="187"/>
  <c r="I45" i="33"/>
  <c r="H45" i="33"/>
  <c r="G45" i="33"/>
  <c r="F45" i="33"/>
  <c r="D45" i="33"/>
  <c r="C45" i="33"/>
  <c r="B45" i="33"/>
  <c r="Z20" i="186"/>
  <c r="Y20" i="186"/>
  <c r="X20" i="186"/>
  <c r="W20" i="186"/>
  <c r="Z19" i="186"/>
  <c r="Y19" i="186"/>
  <c r="X19" i="186"/>
  <c r="W19" i="186"/>
  <c r="Z18" i="186"/>
  <c r="Y18" i="186"/>
  <c r="X18" i="186"/>
  <c r="W18" i="186"/>
  <c r="H18" i="186"/>
  <c r="Z17" i="186"/>
  <c r="Y17" i="186"/>
  <c r="W17" i="186"/>
  <c r="H17" i="186"/>
  <c r="X17" i="186" s="1"/>
  <c r="Z16" i="186"/>
  <c r="Y16" i="186"/>
  <c r="X16" i="186"/>
  <c r="W16" i="186"/>
  <c r="H16" i="186"/>
  <c r="Z15" i="186"/>
  <c r="Y15" i="186"/>
  <c r="W15" i="186"/>
  <c r="H15" i="186"/>
  <c r="X15" i="186" s="1"/>
  <c r="Z14" i="186"/>
  <c r="Y14" i="186"/>
  <c r="X14" i="186"/>
  <c r="W14" i="186"/>
  <c r="H14" i="186"/>
  <c r="Z13" i="186"/>
  <c r="Y13" i="186"/>
  <c r="W13" i="186"/>
  <c r="H13" i="186"/>
  <c r="X13" i="186" s="1"/>
  <c r="Z12" i="186"/>
  <c r="Y12" i="186"/>
  <c r="W12" i="186"/>
  <c r="H12" i="186"/>
  <c r="X12" i="186" s="1"/>
  <c r="B12" i="186"/>
  <c r="Z11" i="186"/>
  <c r="Y11" i="186"/>
  <c r="W11" i="186"/>
  <c r="H11" i="186"/>
  <c r="X11" i="186" s="1"/>
  <c r="B11" i="186"/>
  <c r="L6" i="186" s="1"/>
  <c r="Z10" i="186"/>
  <c r="Y10" i="186"/>
  <c r="W10" i="186"/>
  <c r="H10" i="186"/>
  <c r="X10" i="186" s="1"/>
  <c r="B10" i="186"/>
  <c r="L18" i="186" s="1"/>
  <c r="Z9" i="186"/>
  <c r="Y9" i="186"/>
  <c r="X9" i="186"/>
  <c r="W9" i="186"/>
  <c r="H9" i="186"/>
  <c r="Z8" i="186"/>
  <c r="Y8" i="186"/>
  <c r="W8" i="186"/>
  <c r="H8" i="186"/>
  <c r="X8" i="186" s="1"/>
  <c r="Z7" i="186"/>
  <c r="Y7" i="186"/>
  <c r="X7" i="186"/>
  <c r="W7" i="186"/>
  <c r="H7" i="186"/>
  <c r="B7" i="186"/>
  <c r="Z6" i="186"/>
  <c r="Y6" i="186"/>
  <c r="W6" i="186"/>
  <c r="H6" i="186"/>
  <c r="X6" i="186" s="1"/>
  <c r="Z5" i="186"/>
  <c r="Y5" i="186"/>
  <c r="X5" i="186"/>
  <c r="W5" i="186"/>
  <c r="H5" i="186"/>
  <c r="Z4" i="186"/>
  <c r="Y4" i="186"/>
  <c r="W4" i="186"/>
  <c r="H4" i="186"/>
  <c r="X4" i="186" s="1"/>
  <c r="Z3" i="186"/>
  <c r="Y3" i="186"/>
  <c r="X3" i="186"/>
  <c r="W3" i="186"/>
  <c r="H3" i="186"/>
  <c r="I44" i="33"/>
  <c r="H44" i="33"/>
  <c r="G44" i="33"/>
  <c r="F44" i="33"/>
  <c r="D44" i="33"/>
  <c r="C44" i="33"/>
  <c r="B44" i="33"/>
  <c r="I43" i="33"/>
  <c r="H43" i="33"/>
  <c r="G43" i="33"/>
  <c r="F43" i="33"/>
  <c r="D43" i="33"/>
  <c r="C43" i="33"/>
  <c r="E43" i="33" s="1"/>
  <c r="B43" i="33"/>
  <c r="Z20" i="185"/>
  <c r="Y20" i="185"/>
  <c r="X20" i="185"/>
  <c r="W20" i="185"/>
  <c r="Z19" i="185"/>
  <c r="Y19" i="185"/>
  <c r="X19" i="185"/>
  <c r="W19" i="185"/>
  <c r="Z18" i="185"/>
  <c r="Y18" i="185"/>
  <c r="W18" i="185"/>
  <c r="H18" i="185"/>
  <c r="X18" i="185" s="1"/>
  <c r="Z17" i="185"/>
  <c r="Y17" i="185"/>
  <c r="W17" i="185"/>
  <c r="H17" i="185"/>
  <c r="X17" i="185" s="1"/>
  <c r="Z16" i="185"/>
  <c r="Y16" i="185"/>
  <c r="W16" i="185"/>
  <c r="H16" i="185"/>
  <c r="X16" i="185" s="1"/>
  <c r="Z15" i="185"/>
  <c r="Y15" i="185"/>
  <c r="W15" i="185"/>
  <c r="H15" i="185"/>
  <c r="X15" i="185" s="1"/>
  <c r="Z14" i="185"/>
  <c r="Y14" i="185"/>
  <c r="W14" i="185"/>
  <c r="H14" i="185"/>
  <c r="X14" i="185" s="1"/>
  <c r="Z13" i="185"/>
  <c r="Y13" i="185"/>
  <c r="W13" i="185"/>
  <c r="H13" i="185"/>
  <c r="X13" i="185" s="1"/>
  <c r="Z12" i="185"/>
  <c r="Y12" i="185"/>
  <c r="W12" i="185"/>
  <c r="H12" i="185"/>
  <c r="X12" i="185" s="1"/>
  <c r="B12" i="185"/>
  <c r="Z11" i="185"/>
  <c r="Y11" i="185"/>
  <c r="W11" i="185"/>
  <c r="H11" i="185"/>
  <c r="X11" i="185" s="1"/>
  <c r="B11" i="185"/>
  <c r="Z10" i="185"/>
  <c r="Y10" i="185"/>
  <c r="W10" i="185"/>
  <c r="H10" i="185"/>
  <c r="X10" i="185" s="1"/>
  <c r="B10" i="185"/>
  <c r="Z9" i="185"/>
  <c r="Y9" i="185"/>
  <c r="X9" i="185"/>
  <c r="W9" i="185"/>
  <c r="H9" i="185"/>
  <c r="Z8" i="185"/>
  <c r="Y8" i="185"/>
  <c r="W8" i="185"/>
  <c r="H8" i="185"/>
  <c r="X8" i="185" s="1"/>
  <c r="Z7" i="185"/>
  <c r="Y7" i="185"/>
  <c r="W7" i="185"/>
  <c r="H7" i="185"/>
  <c r="X7" i="185" s="1"/>
  <c r="B7" i="185"/>
  <c r="Z6" i="185"/>
  <c r="Y6" i="185"/>
  <c r="W6" i="185"/>
  <c r="H6" i="185"/>
  <c r="X6" i="185" s="1"/>
  <c r="Z5" i="185"/>
  <c r="Y5" i="185"/>
  <c r="X5" i="185"/>
  <c r="W5" i="185"/>
  <c r="H5" i="185"/>
  <c r="Z4" i="185"/>
  <c r="Y4" i="185"/>
  <c r="W4" i="185"/>
  <c r="H4" i="185"/>
  <c r="X4" i="185" s="1"/>
  <c r="Z3" i="185"/>
  <c r="Y3" i="185"/>
  <c r="W3" i="185"/>
  <c r="H3" i="185"/>
  <c r="X3" i="185" s="1"/>
  <c r="E66" i="33" l="1"/>
  <c r="E69" i="33"/>
  <c r="E73" i="33"/>
  <c r="E77" i="33"/>
  <c r="E48" i="33"/>
  <c r="E54" i="33"/>
  <c r="E55" i="33"/>
  <c r="E52" i="33"/>
  <c r="E51" i="33"/>
  <c r="E56" i="33"/>
  <c r="E58" i="33"/>
  <c r="E65" i="33"/>
  <c r="E71" i="33"/>
  <c r="E46" i="33"/>
  <c r="E57" i="33"/>
  <c r="E63" i="33"/>
  <c r="E70" i="33"/>
  <c r="E44" i="33"/>
  <c r="E50" i="33"/>
  <c r="E53" i="33"/>
  <c r="E60" i="33"/>
  <c r="E62" i="33"/>
  <c r="E64" i="33"/>
  <c r="E47" i="33"/>
  <c r="E45" i="33"/>
  <c r="E74" i="33"/>
  <c r="E61" i="33"/>
  <c r="L13" i="218"/>
  <c r="L15" i="218"/>
  <c r="L10" i="218"/>
  <c r="L6" i="218"/>
  <c r="L12" i="218"/>
  <c r="B14" i="218"/>
  <c r="L8" i="218"/>
  <c r="L3" i="218"/>
  <c r="L5" i="218"/>
  <c r="L14" i="218"/>
  <c r="L16" i="218"/>
  <c r="L18" i="218"/>
  <c r="L20" i="218"/>
  <c r="L17" i="218"/>
  <c r="L7" i="218"/>
  <c r="L9" i="218"/>
  <c r="L19" i="218"/>
  <c r="L11" i="218"/>
  <c r="L4" i="217"/>
  <c r="L19" i="217"/>
  <c r="L8" i="217"/>
  <c r="L10" i="217"/>
  <c r="L12" i="217"/>
  <c r="B14" i="217"/>
  <c r="L3" i="217"/>
  <c r="L5" i="217"/>
  <c r="L14" i="217"/>
  <c r="L16" i="217"/>
  <c r="L18" i="217"/>
  <c r="L20" i="217"/>
  <c r="L17" i="217"/>
  <c r="L7" i="217"/>
  <c r="L9" i="217"/>
  <c r="L11" i="217"/>
  <c r="L10" i="216"/>
  <c r="L15" i="216"/>
  <c r="L17" i="216"/>
  <c r="L19" i="216"/>
  <c r="L12" i="216"/>
  <c r="B14" i="216"/>
  <c r="L3" i="216"/>
  <c r="L5" i="216"/>
  <c r="L14" i="216"/>
  <c r="L16" i="216"/>
  <c r="L18" i="216"/>
  <c r="L20" i="216"/>
  <c r="L7" i="216"/>
  <c r="L9" i="216"/>
  <c r="L11" i="216"/>
  <c r="L10" i="215"/>
  <c r="L15" i="215"/>
  <c r="L17" i="215"/>
  <c r="L19" i="215"/>
  <c r="L12" i="215"/>
  <c r="B14" i="215"/>
  <c r="L3" i="215"/>
  <c r="L5" i="215"/>
  <c r="L14" i="215"/>
  <c r="L16" i="215"/>
  <c r="L18" i="215"/>
  <c r="L20" i="215"/>
  <c r="L7" i="215"/>
  <c r="L9" i="215"/>
  <c r="L11" i="215"/>
  <c r="L10" i="214"/>
  <c r="L15" i="214"/>
  <c r="L17" i="214"/>
  <c r="L19" i="214"/>
  <c r="L8" i="214"/>
  <c r="L12" i="214"/>
  <c r="B14" i="214"/>
  <c r="L3" i="214"/>
  <c r="L5" i="214"/>
  <c r="L14" i="214"/>
  <c r="L16" i="214"/>
  <c r="L18" i="214"/>
  <c r="L20" i="214"/>
  <c r="L7" i="214"/>
  <c r="L9" i="214"/>
  <c r="L11" i="214"/>
  <c r="L10" i="213"/>
  <c r="L15" i="213"/>
  <c r="L17" i="213"/>
  <c r="L19" i="213"/>
  <c r="L8" i="213"/>
  <c r="L12" i="213"/>
  <c r="B14" i="213"/>
  <c r="L3" i="213"/>
  <c r="L5" i="213"/>
  <c r="L14" i="213"/>
  <c r="L16" i="213"/>
  <c r="L18" i="213"/>
  <c r="L20" i="213"/>
  <c r="L7" i="213"/>
  <c r="L9" i="213"/>
  <c r="L11" i="213"/>
  <c r="L19" i="212"/>
  <c r="L8" i="212"/>
  <c r="L17" i="212"/>
  <c r="L10" i="212"/>
  <c r="L12" i="212"/>
  <c r="B14" i="212"/>
  <c r="L3" i="212"/>
  <c r="L5" i="212"/>
  <c r="L14" i="212"/>
  <c r="L16" i="212"/>
  <c r="L18" i="212"/>
  <c r="L20" i="212"/>
  <c r="L7" i="212"/>
  <c r="L9" i="212"/>
  <c r="L11" i="212"/>
  <c r="L19" i="211"/>
  <c r="L8" i="211"/>
  <c r="L15" i="211"/>
  <c r="L10" i="211"/>
  <c r="L4" i="211"/>
  <c r="L12" i="211"/>
  <c r="B14" i="211"/>
  <c r="L3" i="211"/>
  <c r="L5" i="211"/>
  <c r="L14" i="211"/>
  <c r="L16" i="211"/>
  <c r="L18" i="211"/>
  <c r="L20" i="211"/>
  <c r="L17" i="211"/>
  <c r="L7" i="211"/>
  <c r="L9" i="211"/>
  <c r="L11" i="211"/>
  <c r="L19" i="210"/>
  <c r="L8" i="210"/>
  <c r="L15" i="210"/>
  <c r="L10" i="210"/>
  <c r="L12" i="210"/>
  <c r="B14" i="210"/>
  <c r="L6" i="210"/>
  <c r="L3" i="210"/>
  <c r="L5" i="210"/>
  <c r="L14" i="210"/>
  <c r="L16" i="210"/>
  <c r="L18" i="210"/>
  <c r="L20" i="210"/>
  <c r="L17" i="210"/>
  <c r="L7" i="210"/>
  <c r="L9" i="210"/>
  <c r="L4" i="210"/>
  <c r="L11" i="210"/>
  <c r="L15" i="209"/>
  <c r="L13" i="209"/>
  <c r="L17" i="209"/>
  <c r="L8" i="209"/>
  <c r="L12" i="209"/>
  <c r="B14" i="209"/>
  <c r="L10" i="209"/>
  <c r="L3" i="209"/>
  <c r="L5" i="209"/>
  <c r="L14" i="209"/>
  <c r="L16" i="209"/>
  <c r="L18" i="209"/>
  <c r="L20" i="209"/>
  <c r="L7" i="209"/>
  <c r="L9" i="209"/>
  <c r="L19" i="209"/>
  <c r="L11" i="209"/>
  <c r="L19" i="208"/>
  <c r="L8" i="208"/>
  <c r="L4" i="208"/>
  <c r="L17" i="208"/>
  <c r="L10" i="208"/>
  <c r="L12" i="208"/>
  <c r="B14" i="208"/>
  <c r="L6" i="208"/>
  <c r="L3" i="208"/>
  <c r="L5" i="208"/>
  <c r="L14" i="208"/>
  <c r="L16" i="208"/>
  <c r="L18" i="208"/>
  <c r="L20" i="208"/>
  <c r="L7" i="208"/>
  <c r="L9" i="208"/>
  <c r="L15" i="208"/>
  <c r="L11" i="208"/>
  <c r="L4" i="207"/>
  <c r="L15" i="207"/>
  <c r="L17" i="207"/>
  <c r="L19" i="207"/>
  <c r="L8" i="207"/>
  <c r="L10" i="207"/>
  <c r="L12" i="207"/>
  <c r="B14" i="207"/>
  <c r="L3" i="207"/>
  <c r="L5" i="207"/>
  <c r="L14" i="207"/>
  <c r="L16" i="207"/>
  <c r="L18" i="207"/>
  <c r="L20" i="207"/>
  <c r="L7" i="207"/>
  <c r="L9" i="207"/>
  <c r="L11" i="207"/>
  <c r="L6" i="206"/>
  <c r="L19" i="206"/>
  <c r="L10" i="206"/>
  <c r="L12" i="206"/>
  <c r="B14" i="206"/>
  <c r="L3" i="206"/>
  <c r="L5" i="206"/>
  <c r="L14" i="206"/>
  <c r="L16" i="206"/>
  <c r="L18" i="206"/>
  <c r="L20" i="206"/>
  <c r="L4" i="206"/>
  <c r="L17" i="206"/>
  <c r="L7" i="206"/>
  <c r="L9" i="206"/>
  <c r="L8" i="206"/>
  <c r="L11" i="206"/>
  <c r="B13" i="206"/>
  <c r="L4" i="205"/>
  <c r="L15" i="205"/>
  <c r="L17" i="205"/>
  <c r="L19" i="205"/>
  <c r="L8" i="205"/>
  <c r="L10" i="205"/>
  <c r="L12" i="205"/>
  <c r="B14" i="205"/>
  <c r="L3" i="205"/>
  <c r="L5" i="205"/>
  <c r="L14" i="205"/>
  <c r="L16" i="205"/>
  <c r="L18" i="205"/>
  <c r="L20" i="205"/>
  <c r="L7" i="205"/>
  <c r="L9" i="205"/>
  <c r="L11" i="205"/>
  <c r="L4" i="204"/>
  <c r="L17" i="204"/>
  <c r="L8" i="204"/>
  <c r="L15" i="204"/>
  <c r="L19" i="204"/>
  <c r="L10" i="204"/>
  <c r="L12" i="204"/>
  <c r="B14" i="204"/>
  <c r="L3" i="204"/>
  <c r="L5" i="204"/>
  <c r="L14" i="204"/>
  <c r="L16" i="204"/>
  <c r="L18" i="204"/>
  <c r="L20" i="204"/>
  <c r="L7" i="204"/>
  <c r="L9" i="204"/>
  <c r="L11" i="204"/>
  <c r="B13" i="203"/>
  <c r="L17" i="203"/>
  <c r="L8" i="203"/>
  <c r="L19" i="203"/>
  <c r="L10" i="203"/>
  <c r="L4" i="203"/>
  <c r="L15" i="203"/>
  <c r="L12" i="203"/>
  <c r="L3" i="203"/>
  <c r="B14" i="203" s="1"/>
  <c r="L5" i="203"/>
  <c r="L14" i="203"/>
  <c r="L16" i="203"/>
  <c r="L18" i="203"/>
  <c r="L20" i="203"/>
  <c r="L7" i="203"/>
  <c r="L9" i="203"/>
  <c r="L6" i="203"/>
  <c r="L11" i="203"/>
  <c r="B13" i="202"/>
  <c r="I61" i="33" s="1"/>
  <c r="L4" i="202"/>
  <c r="L3" i="202"/>
  <c r="L5" i="202"/>
  <c r="L19" i="201"/>
  <c r="L8" i="201"/>
  <c r="L10" i="201"/>
  <c r="L15" i="201"/>
  <c r="L17" i="201"/>
  <c r="L12" i="201"/>
  <c r="B14" i="201"/>
  <c r="L6" i="201"/>
  <c r="L3" i="201"/>
  <c r="L5" i="201"/>
  <c r="L14" i="201"/>
  <c r="L16" i="201"/>
  <c r="L18" i="201"/>
  <c r="L20" i="201"/>
  <c r="L7" i="201"/>
  <c r="L9" i="201"/>
  <c r="L11" i="201"/>
  <c r="L15" i="200"/>
  <c r="L19" i="200"/>
  <c r="L8" i="200"/>
  <c r="L10" i="200"/>
  <c r="L12" i="200"/>
  <c r="B14" i="200"/>
  <c r="L3" i="200"/>
  <c r="L5" i="200"/>
  <c r="L14" i="200"/>
  <c r="L16" i="200"/>
  <c r="L18" i="200"/>
  <c r="L20" i="200"/>
  <c r="L7" i="200"/>
  <c r="L9" i="200"/>
  <c r="L11" i="200"/>
  <c r="L10" i="199"/>
  <c r="L15" i="199"/>
  <c r="L17" i="199"/>
  <c r="L19" i="199"/>
  <c r="L12" i="199"/>
  <c r="B14" i="199"/>
  <c r="L3" i="199"/>
  <c r="L5" i="199"/>
  <c r="L14" i="199"/>
  <c r="L16" i="199"/>
  <c r="L18" i="199"/>
  <c r="L20" i="199"/>
  <c r="L7" i="199"/>
  <c r="L9" i="199"/>
  <c r="L11" i="199"/>
  <c r="L13" i="198"/>
  <c r="L15" i="198"/>
  <c r="L17" i="198"/>
  <c r="L19" i="198"/>
  <c r="L8" i="198"/>
  <c r="L10" i="198"/>
  <c r="L12" i="198"/>
  <c r="B14" i="198"/>
  <c r="L3" i="198"/>
  <c r="L14" i="198"/>
  <c r="L16" i="198"/>
  <c r="L18" i="198"/>
  <c r="L20" i="198"/>
  <c r="L5" i="198"/>
  <c r="L7" i="198"/>
  <c r="L9" i="198"/>
  <c r="L11" i="198"/>
  <c r="L4" i="197"/>
  <c r="L15" i="197"/>
  <c r="L17" i="197"/>
  <c r="L19" i="197"/>
  <c r="L8" i="197"/>
  <c r="L10" i="197"/>
  <c r="L12" i="197"/>
  <c r="B14" i="197"/>
  <c r="L3" i="197"/>
  <c r="L5" i="197"/>
  <c r="L14" i="197"/>
  <c r="L16" i="197"/>
  <c r="L18" i="197"/>
  <c r="L20" i="197"/>
  <c r="L7" i="197"/>
  <c r="L9" i="197"/>
  <c r="L11" i="197"/>
  <c r="L10" i="196"/>
  <c r="L15" i="196"/>
  <c r="L17" i="196"/>
  <c r="L19" i="196"/>
  <c r="L8" i="196"/>
  <c r="L12" i="196"/>
  <c r="B14" i="196"/>
  <c r="L3" i="196"/>
  <c r="L5" i="196"/>
  <c r="L14" i="196"/>
  <c r="L16" i="196"/>
  <c r="L18" i="196"/>
  <c r="L20" i="196"/>
  <c r="L7" i="196"/>
  <c r="L9" i="196"/>
  <c r="L11" i="196"/>
  <c r="L15" i="195"/>
  <c r="L17" i="195"/>
  <c r="L19" i="195"/>
  <c r="L10" i="195"/>
  <c r="L12" i="195"/>
  <c r="B14" i="195"/>
  <c r="L3" i="195"/>
  <c r="L5" i="195"/>
  <c r="L14" i="195"/>
  <c r="L16" i="195"/>
  <c r="L18" i="195"/>
  <c r="L20" i="195"/>
  <c r="L7" i="195"/>
  <c r="L9" i="195"/>
  <c r="L11" i="195"/>
  <c r="L10" i="194"/>
  <c r="L15" i="194"/>
  <c r="L17" i="194"/>
  <c r="L19" i="194"/>
  <c r="L12" i="194"/>
  <c r="B14" i="194"/>
  <c r="L3" i="194"/>
  <c r="L5" i="194"/>
  <c r="L14" i="194"/>
  <c r="L16" i="194"/>
  <c r="L18" i="194"/>
  <c r="L20" i="194"/>
  <c r="L7" i="194"/>
  <c r="L9" i="194"/>
  <c r="L11" i="194"/>
  <c r="L4" i="193"/>
  <c r="L15" i="193"/>
  <c r="L19" i="193"/>
  <c r="L8" i="193"/>
  <c r="L10" i="193"/>
  <c r="L3" i="193"/>
  <c r="L5" i="193"/>
  <c r="L14" i="193"/>
  <c r="L16" i="193"/>
  <c r="L18" i="193"/>
  <c r="L20" i="193"/>
  <c r="L7" i="193"/>
  <c r="L9" i="193"/>
  <c r="B14" i="193"/>
  <c r="L11" i="193"/>
  <c r="B13" i="193"/>
  <c r="L17" i="193"/>
  <c r="L15" i="192"/>
  <c r="L17" i="192"/>
  <c r="L19" i="192"/>
  <c r="L8" i="192"/>
  <c r="L10" i="192"/>
  <c r="L12" i="192"/>
  <c r="B14" i="192"/>
  <c r="L3" i="192"/>
  <c r="L5" i="192"/>
  <c r="L14" i="192"/>
  <c r="L16" i="192"/>
  <c r="L18" i="192"/>
  <c r="L20" i="192"/>
  <c r="L7" i="192"/>
  <c r="L9" i="192"/>
  <c r="L11" i="192"/>
  <c r="L4" i="191"/>
  <c r="L10" i="191"/>
  <c r="L15" i="191"/>
  <c r="L17" i="191"/>
  <c r="L19" i="191"/>
  <c r="L12" i="191"/>
  <c r="B14" i="191"/>
  <c r="L3" i="191"/>
  <c r="L5" i="191"/>
  <c r="L14" i="191"/>
  <c r="L16" i="191"/>
  <c r="L18" i="191"/>
  <c r="L20" i="191"/>
  <c r="L7" i="191"/>
  <c r="L9" i="191"/>
  <c r="L11" i="191"/>
  <c r="L17" i="190"/>
  <c r="L10" i="190"/>
  <c r="L6" i="190"/>
  <c r="L8" i="190"/>
  <c r="L12" i="190"/>
  <c r="B14" i="190"/>
  <c r="L3" i="190"/>
  <c r="L5" i="190"/>
  <c r="L14" i="190"/>
  <c r="L16" i="190"/>
  <c r="L18" i="190"/>
  <c r="L20" i="190"/>
  <c r="L7" i="190"/>
  <c r="L9" i="190"/>
  <c r="L19" i="190"/>
  <c r="L4" i="190"/>
  <c r="L11" i="190"/>
  <c r="B13" i="190"/>
  <c r="L10" i="189"/>
  <c r="L12" i="189"/>
  <c r="B14" i="189"/>
  <c r="L4" i="189"/>
  <c r="L3" i="189"/>
  <c r="L5" i="189"/>
  <c r="L14" i="189"/>
  <c r="L16" i="189"/>
  <c r="L18" i="189"/>
  <c r="L20" i="189"/>
  <c r="L17" i="189"/>
  <c r="L7" i="189"/>
  <c r="L9" i="189"/>
  <c r="L6" i="189"/>
  <c r="L19" i="189"/>
  <c r="L15" i="189"/>
  <c r="L8" i="189"/>
  <c r="L11" i="189"/>
  <c r="L13" i="188"/>
  <c r="L4" i="188"/>
  <c r="L17" i="188"/>
  <c r="L8" i="188"/>
  <c r="L10" i="188"/>
  <c r="L12" i="188"/>
  <c r="L3" i="188"/>
  <c r="B14" i="188" s="1"/>
  <c r="L5" i="188"/>
  <c r="L14" i="188"/>
  <c r="L16" i="188"/>
  <c r="L18" i="188"/>
  <c r="L20" i="188"/>
  <c r="L19" i="188"/>
  <c r="L7" i="188"/>
  <c r="L9" i="188"/>
  <c r="L6" i="188"/>
  <c r="L15" i="188"/>
  <c r="L11" i="188"/>
  <c r="L19" i="187"/>
  <c r="L11" i="187"/>
  <c r="B13" i="187"/>
  <c r="L13" i="187"/>
  <c r="L15" i="187"/>
  <c r="L17" i="187"/>
  <c r="L7" i="187"/>
  <c r="L8" i="187"/>
  <c r="L6" i="187"/>
  <c r="L10" i="187"/>
  <c r="L4" i="187"/>
  <c r="L12" i="187"/>
  <c r="B14" i="187"/>
  <c r="L3" i="187"/>
  <c r="L5" i="187"/>
  <c r="L14" i="187"/>
  <c r="L16" i="187"/>
  <c r="L11" i="186"/>
  <c r="B13" i="186"/>
  <c r="L7" i="186"/>
  <c r="L13" i="186"/>
  <c r="L4" i="186"/>
  <c r="L15" i="186"/>
  <c r="L17" i="186"/>
  <c r="L8" i="186"/>
  <c r="L9" i="186"/>
  <c r="L10" i="186"/>
  <c r="L12" i="186"/>
  <c r="B14" i="186"/>
  <c r="L3" i="186"/>
  <c r="L5" i="186"/>
  <c r="L14" i="186"/>
  <c r="L16" i="186"/>
  <c r="L7" i="185"/>
  <c r="L18" i="185"/>
  <c r="L11" i="185"/>
  <c r="L9" i="185"/>
  <c r="L6" i="185"/>
  <c r="L17" i="185"/>
  <c r="L8" i="185"/>
  <c r="B13" i="185"/>
  <c r="L13" i="185"/>
  <c r="L4" i="185"/>
  <c r="L10" i="185"/>
  <c r="L15" i="185"/>
  <c r="L12" i="185"/>
  <c r="B14" i="185"/>
  <c r="L3" i="185"/>
  <c r="L5" i="185"/>
  <c r="L14" i="185"/>
  <c r="L16" i="185"/>
  <c r="Z20" i="184"/>
  <c r="Y20" i="184"/>
  <c r="X20" i="184"/>
  <c r="W20" i="184"/>
  <c r="Z19" i="184"/>
  <c r="Y19" i="184"/>
  <c r="X19" i="184"/>
  <c r="W19" i="184"/>
  <c r="Z18" i="184"/>
  <c r="Y18" i="184"/>
  <c r="X18" i="184"/>
  <c r="W18" i="184"/>
  <c r="Z17" i="184"/>
  <c r="Y17" i="184"/>
  <c r="W17" i="184"/>
  <c r="X17" i="184"/>
  <c r="Z16" i="184"/>
  <c r="Y16" i="184"/>
  <c r="X16" i="184"/>
  <c r="W16" i="184"/>
  <c r="Z15" i="184"/>
  <c r="Y15" i="184"/>
  <c r="W15" i="184"/>
  <c r="X15" i="184"/>
  <c r="Z14" i="184"/>
  <c r="Y14" i="184"/>
  <c r="X14" i="184"/>
  <c r="W14" i="184"/>
  <c r="Z13" i="184"/>
  <c r="Y13" i="184"/>
  <c r="W13" i="184"/>
  <c r="X13" i="184"/>
  <c r="Z12" i="184"/>
  <c r="Y12" i="184"/>
  <c r="W12" i="184"/>
  <c r="X12" i="184"/>
  <c r="B12" i="184"/>
  <c r="Z11" i="184"/>
  <c r="Y11" i="184"/>
  <c r="W11" i="184"/>
  <c r="X11" i="184"/>
  <c r="B11" i="184"/>
  <c r="Z10" i="184"/>
  <c r="Y10" i="184"/>
  <c r="W10" i="184"/>
  <c r="X10" i="184"/>
  <c r="B10" i="184"/>
  <c r="Z9" i="184"/>
  <c r="Y9" i="184"/>
  <c r="X9" i="184"/>
  <c r="W9" i="184"/>
  <c r="Z8" i="184"/>
  <c r="Y8" i="184"/>
  <c r="W8" i="184"/>
  <c r="X8" i="184"/>
  <c r="Z7" i="184"/>
  <c r="Y7" i="184"/>
  <c r="X7" i="184"/>
  <c r="W7" i="184"/>
  <c r="B7" i="184"/>
  <c r="Z6" i="184"/>
  <c r="Y6" i="184"/>
  <c r="W6" i="184"/>
  <c r="X6" i="184"/>
  <c r="Z5" i="184"/>
  <c r="Y5" i="184"/>
  <c r="X5" i="184"/>
  <c r="W5" i="184"/>
  <c r="Z4" i="184"/>
  <c r="Y4" i="184"/>
  <c r="W4" i="184"/>
  <c r="H4" i="184"/>
  <c r="X4" i="184" s="1"/>
  <c r="Z3" i="184"/>
  <c r="Y3" i="184"/>
  <c r="W3" i="184"/>
  <c r="H3" i="184"/>
  <c r="X3" i="184" s="1"/>
  <c r="I42" i="33"/>
  <c r="H42" i="33"/>
  <c r="G42" i="33"/>
  <c r="F42" i="33"/>
  <c r="D42" i="33"/>
  <c r="C42" i="33"/>
  <c r="B42" i="33"/>
  <c r="Z20" i="183"/>
  <c r="Y20" i="183"/>
  <c r="X20" i="183"/>
  <c r="W20" i="183"/>
  <c r="Z19" i="183"/>
  <c r="Y19" i="183"/>
  <c r="X19" i="183"/>
  <c r="W19" i="183"/>
  <c r="Z18" i="183"/>
  <c r="Y18" i="183"/>
  <c r="W18" i="183"/>
  <c r="H18" i="183"/>
  <c r="X18" i="183" s="1"/>
  <c r="Z17" i="183"/>
  <c r="Y17" i="183"/>
  <c r="X17" i="183"/>
  <c r="W17" i="183"/>
  <c r="H17" i="183"/>
  <c r="Z16" i="183"/>
  <c r="Y16" i="183"/>
  <c r="W16" i="183"/>
  <c r="H16" i="183"/>
  <c r="X16" i="183" s="1"/>
  <c r="Z15" i="183"/>
  <c r="Y15" i="183"/>
  <c r="X15" i="183"/>
  <c r="W15" i="183"/>
  <c r="H15" i="183"/>
  <c r="Z14" i="183"/>
  <c r="Y14" i="183"/>
  <c r="W14" i="183"/>
  <c r="H14" i="183"/>
  <c r="X14" i="183" s="1"/>
  <c r="Z13" i="183"/>
  <c r="Y13" i="183"/>
  <c r="W13" i="183"/>
  <c r="H13" i="183"/>
  <c r="X13" i="183" s="1"/>
  <c r="Z12" i="183"/>
  <c r="Y12" i="183"/>
  <c r="W12" i="183"/>
  <c r="H12" i="183"/>
  <c r="X12" i="183" s="1"/>
  <c r="B12" i="183"/>
  <c r="Z11" i="183"/>
  <c r="Y11" i="183"/>
  <c r="W11" i="183"/>
  <c r="H11" i="183"/>
  <c r="X11" i="183" s="1"/>
  <c r="B11" i="183"/>
  <c r="Z10" i="183"/>
  <c r="Y10" i="183"/>
  <c r="W10" i="183"/>
  <c r="L10" i="183"/>
  <c r="H10" i="183"/>
  <c r="X10" i="183" s="1"/>
  <c r="B10" i="183"/>
  <c r="L18" i="183" s="1"/>
  <c r="Z9" i="183"/>
  <c r="Y9" i="183"/>
  <c r="W9" i="183"/>
  <c r="H9" i="183"/>
  <c r="X9" i="183" s="1"/>
  <c r="Z8" i="183"/>
  <c r="Y8" i="183"/>
  <c r="X8" i="183"/>
  <c r="W8" i="183"/>
  <c r="H8" i="183"/>
  <c r="Z7" i="183"/>
  <c r="Y7" i="183"/>
  <c r="X7" i="183"/>
  <c r="W7" i="183"/>
  <c r="H7" i="183"/>
  <c r="B7" i="183"/>
  <c r="Z6" i="183"/>
  <c r="Y6" i="183"/>
  <c r="X6" i="183"/>
  <c r="W6" i="183"/>
  <c r="H6" i="183"/>
  <c r="Z5" i="183"/>
  <c r="Y5" i="183"/>
  <c r="W5" i="183"/>
  <c r="H5" i="183"/>
  <c r="X5" i="183" s="1"/>
  <c r="Z4" i="183"/>
  <c r="Y4" i="183"/>
  <c r="X4" i="183"/>
  <c r="W4" i="183"/>
  <c r="H4" i="183"/>
  <c r="Z3" i="183"/>
  <c r="Y3" i="183"/>
  <c r="W3" i="183"/>
  <c r="H3" i="183"/>
  <c r="X3" i="183" s="1"/>
  <c r="I41" i="33"/>
  <c r="H41" i="33"/>
  <c r="G41" i="33"/>
  <c r="F41" i="33"/>
  <c r="D41" i="33"/>
  <c r="C41" i="33"/>
  <c r="B41" i="33"/>
  <c r="Z20" i="182"/>
  <c r="Y20" i="182"/>
  <c r="X20" i="182"/>
  <c r="W20" i="182"/>
  <c r="Z19" i="182"/>
  <c r="Y19" i="182"/>
  <c r="X19" i="182"/>
  <c r="W19" i="182"/>
  <c r="Z18" i="182"/>
  <c r="Y18" i="182"/>
  <c r="X18" i="182"/>
  <c r="W18" i="182"/>
  <c r="H18" i="182"/>
  <c r="Z17" i="182"/>
  <c r="Y17" i="182"/>
  <c r="W17" i="182"/>
  <c r="H17" i="182"/>
  <c r="X17" i="182" s="1"/>
  <c r="Z16" i="182"/>
  <c r="Y16" i="182"/>
  <c r="X16" i="182"/>
  <c r="W16" i="182"/>
  <c r="H16" i="182"/>
  <c r="Z15" i="182"/>
  <c r="Y15" i="182"/>
  <c r="W15" i="182"/>
  <c r="H15" i="182"/>
  <c r="X15" i="182" s="1"/>
  <c r="Z14" i="182"/>
  <c r="Y14" i="182"/>
  <c r="X14" i="182"/>
  <c r="W14" i="182"/>
  <c r="H14" i="182"/>
  <c r="Z13" i="182"/>
  <c r="Y13" i="182"/>
  <c r="W13" i="182"/>
  <c r="H13" i="182"/>
  <c r="X13" i="182" s="1"/>
  <c r="Z12" i="182"/>
  <c r="Y12" i="182"/>
  <c r="W12" i="182"/>
  <c r="H12" i="182"/>
  <c r="X12" i="182" s="1"/>
  <c r="B12" i="182"/>
  <c r="Z11" i="182"/>
  <c r="Y11" i="182"/>
  <c r="W11" i="182"/>
  <c r="H11" i="182"/>
  <c r="X11" i="182" s="1"/>
  <c r="B11" i="182"/>
  <c r="L5" i="182" s="1"/>
  <c r="Z10" i="182"/>
  <c r="Y10" i="182"/>
  <c r="W10" i="182"/>
  <c r="H10" i="182"/>
  <c r="X10" i="182" s="1"/>
  <c r="B10" i="182"/>
  <c r="L18" i="182" s="1"/>
  <c r="Z9" i="182"/>
  <c r="Y9" i="182"/>
  <c r="X9" i="182"/>
  <c r="W9" i="182"/>
  <c r="H9" i="182"/>
  <c r="Z8" i="182"/>
  <c r="Y8" i="182"/>
  <c r="W8" i="182"/>
  <c r="H8" i="182"/>
  <c r="X8" i="182" s="1"/>
  <c r="Z7" i="182"/>
  <c r="Y7" i="182"/>
  <c r="X7" i="182"/>
  <c r="W7" i="182"/>
  <c r="H7" i="182"/>
  <c r="B7" i="182"/>
  <c r="Z6" i="182"/>
  <c r="Y6" i="182"/>
  <c r="W6" i="182"/>
  <c r="H6" i="182"/>
  <c r="X6" i="182" s="1"/>
  <c r="Z5" i="182"/>
  <c r="Y5" i="182"/>
  <c r="X5" i="182"/>
  <c r="W5" i="182"/>
  <c r="H5" i="182"/>
  <c r="Z4" i="182"/>
  <c r="Y4" i="182"/>
  <c r="W4" i="182"/>
  <c r="H4" i="182"/>
  <c r="X4" i="182" s="1"/>
  <c r="Z3" i="182"/>
  <c r="Y3" i="182"/>
  <c r="X3" i="182"/>
  <c r="W3" i="182"/>
  <c r="H3" i="182"/>
  <c r="I40" i="33"/>
  <c r="H40" i="33"/>
  <c r="G40" i="33"/>
  <c r="F40" i="33"/>
  <c r="D40" i="33"/>
  <c r="C40" i="33"/>
  <c r="B40" i="33"/>
  <c r="Z20" i="181"/>
  <c r="Y20" i="181"/>
  <c r="X20" i="181"/>
  <c r="W20" i="181"/>
  <c r="Z19" i="181"/>
  <c r="Y19" i="181"/>
  <c r="X19" i="181"/>
  <c r="W19" i="181"/>
  <c r="Z18" i="181"/>
  <c r="Y18" i="181"/>
  <c r="X18" i="181"/>
  <c r="W18" i="181"/>
  <c r="H18" i="181"/>
  <c r="Z17" i="181"/>
  <c r="Y17" i="181"/>
  <c r="W17" i="181"/>
  <c r="H17" i="181"/>
  <c r="X17" i="181" s="1"/>
  <c r="Z16" i="181"/>
  <c r="Y16" i="181"/>
  <c r="X16" i="181"/>
  <c r="W16" i="181"/>
  <c r="H16" i="181"/>
  <c r="Z15" i="181"/>
  <c r="Y15" i="181"/>
  <c r="W15" i="181"/>
  <c r="H15" i="181"/>
  <c r="X15" i="181" s="1"/>
  <c r="Z14" i="181"/>
  <c r="Y14" i="181"/>
  <c r="X14" i="181"/>
  <c r="W14" i="181"/>
  <c r="H14" i="181"/>
  <c r="Z13" i="181"/>
  <c r="Y13" i="181"/>
  <c r="W13" i="181"/>
  <c r="H13" i="181"/>
  <c r="X13" i="181" s="1"/>
  <c r="Z12" i="181"/>
  <c r="Y12" i="181"/>
  <c r="W12" i="181"/>
  <c r="H12" i="181"/>
  <c r="X12" i="181" s="1"/>
  <c r="B12" i="181"/>
  <c r="Z11" i="181"/>
  <c r="Y11" i="181"/>
  <c r="W11" i="181"/>
  <c r="H11" i="181"/>
  <c r="X11" i="181" s="1"/>
  <c r="B11" i="181"/>
  <c r="Z10" i="181"/>
  <c r="Y10" i="181"/>
  <c r="W10" i="181"/>
  <c r="H10" i="181"/>
  <c r="X10" i="181" s="1"/>
  <c r="B10" i="181"/>
  <c r="L18" i="181" s="1"/>
  <c r="Z9" i="181"/>
  <c r="Y9" i="181"/>
  <c r="X9" i="181"/>
  <c r="W9" i="181"/>
  <c r="H9" i="181"/>
  <c r="Z8" i="181"/>
  <c r="Y8" i="181"/>
  <c r="W8" i="181"/>
  <c r="H8" i="181"/>
  <c r="X8" i="181" s="1"/>
  <c r="Z7" i="181"/>
  <c r="Y7" i="181"/>
  <c r="X7" i="181"/>
  <c r="W7" i="181"/>
  <c r="H7" i="181"/>
  <c r="B7" i="181"/>
  <c r="Z6" i="181"/>
  <c r="Y6" i="181"/>
  <c r="W6" i="181"/>
  <c r="H6" i="181"/>
  <c r="X6" i="181" s="1"/>
  <c r="Z5" i="181"/>
  <c r="Y5" i="181"/>
  <c r="X5" i="181"/>
  <c r="W5" i="181"/>
  <c r="H5" i="181"/>
  <c r="Z4" i="181"/>
  <c r="Y4" i="181"/>
  <c r="W4" i="181"/>
  <c r="H4" i="181"/>
  <c r="X4" i="181" s="1"/>
  <c r="Z3" i="181"/>
  <c r="Y3" i="181"/>
  <c r="X3" i="181"/>
  <c r="W3" i="181"/>
  <c r="H3" i="181"/>
  <c r="I39" i="33"/>
  <c r="H39" i="33"/>
  <c r="G39" i="33"/>
  <c r="F39" i="33"/>
  <c r="D39" i="33"/>
  <c r="C39" i="33"/>
  <c r="B39" i="33"/>
  <c r="E40" i="33" l="1"/>
  <c r="E42" i="33"/>
  <c r="E41" i="33"/>
  <c r="E39" i="33"/>
  <c r="B14" i="202"/>
  <c r="F61" i="33" s="1"/>
  <c r="B13" i="184"/>
  <c r="L4" i="184"/>
  <c r="B14" i="184" s="1"/>
  <c r="L3" i="184"/>
  <c r="L5" i="183"/>
  <c r="L7" i="183"/>
  <c r="L11" i="183"/>
  <c r="B13" i="183"/>
  <c r="L9" i="183"/>
  <c r="L13" i="183"/>
  <c r="L4" i="183"/>
  <c r="L6" i="183"/>
  <c r="L15" i="183"/>
  <c r="L17" i="183"/>
  <c r="L8" i="183"/>
  <c r="L12" i="183"/>
  <c r="B14" i="183"/>
  <c r="L3" i="183"/>
  <c r="L14" i="183"/>
  <c r="L16" i="183"/>
  <c r="L7" i="182"/>
  <c r="B13" i="182"/>
  <c r="L15" i="182"/>
  <c r="L17" i="182"/>
  <c r="L13" i="182"/>
  <c r="L8" i="182"/>
  <c r="L9" i="182"/>
  <c r="L11" i="182"/>
  <c r="L4" i="182"/>
  <c r="L10" i="182"/>
  <c r="L6" i="182"/>
  <c r="L12" i="182"/>
  <c r="B14" i="182"/>
  <c r="L3" i="182"/>
  <c r="L14" i="182"/>
  <c r="L16" i="182"/>
  <c r="L11" i="181"/>
  <c r="L9" i="181"/>
  <c r="L15" i="181"/>
  <c r="L17" i="181"/>
  <c r="B13" i="181"/>
  <c r="L10" i="181"/>
  <c r="L13" i="181"/>
  <c r="L7" i="181"/>
  <c r="L4" i="181"/>
  <c r="L6" i="181"/>
  <c r="L8" i="181"/>
  <c r="L12" i="181"/>
  <c r="B14" i="181"/>
  <c r="L3" i="181"/>
  <c r="L5" i="181"/>
  <c r="L14" i="181"/>
  <c r="L16" i="181"/>
  <c r="Z20" i="180"/>
  <c r="Y20" i="180"/>
  <c r="X20" i="180"/>
  <c r="W20" i="180"/>
  <c r="Z19" i="180"/>
  <c r="Y19" i="180"/>
  <c r="X19" i="180"/>
  <c r="W19" i="180"/>
  <c r="Z18" i="180"/>
  <c r="Y18" i="180"/>
  <c r="X18" i="180"/>
  <c r="W18" i="180"/>
  <c r="H18" i="180"/>
  <c r="Z17" i="180"/>
  <c r="Y17" i="180"/>
  <c r="W17" i="180"/>
  <c r="H17" i="180"/>
  <c r="X17" i="180" s="1"/>
  <c r="Z16" i="180"/>
  <c r="Y16" i="180"/>
  <c r="X16" i="180"/>
  <c r="W16" i="180"/>
  <c r="H16" i="180"/>
  <c r="Z15" i="180"/>
  <c r="Y15" i="180"/>
  <c r="W15" i="180"/>
  <c r="H15" i="180"/>
  <c r="X15" i="180" s="1"/>
  <c r="Z14" i="180"/>
  <c r="Y14" i="180"/>
  <c r="X14" i="180"/>
  <c r="W14" i="180"/>
  <c r="H14" i="180"/>
  <c r="Z13" i="180"/>
  <c r="Y13" i="180"/>
  <c r="X13" i="180"/>
  <c r="W13" i="180"/>
  <c r="H13" i="180"/>
  <c r="Z12" i="180"/>
  <c r="Y12" i="180"/>
  <c r="W12" i="180"/>
  <c r="H12" i="180"/>
  <c r="X12" i="180" s="1"/>
  <c r="B12" i="180"/>
  <c r="Z11" i="180"/>
  <c r="Y11" i="180"/>
  <c r="W11" i="180"/>
  <c r="H11" i="180"/>
  <c r="X11" i="180" s="1"/>
  <c r="B11" i="180"/>
  <c r="Z10" i="180"/>
  <c r="Y10" i="180"/>
  <c r="W10" i="180"/>
  <c r="H10" i="180"/>
  <c r="X10" i="180" s="1"/>
  <c r="B10" i="180"/>
  <c r="L18" i="180" s="1"/>
  <c r="Z9" i="180"/>
  <c r="Y9" i="180"/>
  <c r="X9" i="180"/>
  <c r="W9" i="180"/>
  <c r="H9" i="180"/>
  <c r="Z8" i="180"/>
  <c r="Y8" i="180"/>
  <c r="W8" i="180"/>
  <c r="H8" i="180"/>
  <c r="X8" i="180" s="1"/>
  <c r="Z7" i="180"/>
  <c r="Y7" i="180"/>
  <c r="X7" i="180"/>
  <c r="W7" i="180"/>
  <c r="H7" i="180"/>
  <c r="B7" i="180"/>
  <c r="Z6" i="180"/>
  <c r="Y6" i="180"/>
  <c r="W6" i="180"/>
  <c r="L6" i="180"/>
  <c r="H6" i="180"/>
  <c r="X6" i="180" s="1"/>
  <c r="Z5" i="180"/>
  <c r="Y5" i="180"/>
  <c r="W5" i="180"/>
  <c r="H5" i="180"/>
  <c r="X5" i="180" s="1"/>
  <c r="Z4" i="180"/>
  <c r="Y4" i="180"/>
  <c r="W4" i="180"/>
  <c r="L4" i="180"/>
  <c r="H4" i="180"/>
  <c r="X4" i="180" s="1"/>
  <c r="Z3" i="180"/>
  <c r="Y3" i="180"/>
  <c r="W3" i="180"/>
  <c r="H3" i="180"/>
  <c r="X3" i="180" s="1"/>
  <c r="I38" i="33"/>
  <c r="H38" i="33"/>
  <c r="G38" i="33"/>
  <c r="E38" i="33" s="1"/>
  <c r="F38" i="33"/>
  <c r="D38" i="33"/>
  <c r="C38" i="33"/>
  <c r="B38" i="33"/>
  <c r="Z20" i="179"/>
  <c r="Y20" i="179"/>
  <c r="X20" i="179"/>
  <c r="W20" i="179"/>
  <c r="Z19" i="179"/>
  <c r="Y19" i="179"/>
  <c r="X19" i="179"/>
  <c r="W19" i="179"/>
  <c r="Z18" i="179"/>
  <c r="Y18" i="179"/>
  <c r="X18" i="179"/>
  <c r="W18" i="179"/>
  <c r="H18" i="179"/>
  <c r="Z17" i="179"/>
  <c r="Y17" i="179"/>
  <c r="W17" i="179"/>
  <c r="H17" i="179"/>
  <c r="X17" i="179" s="1"/>
  <c r="Z16" i="179"/>
  <c r="Y16" i="179"/>
  <c r="X16" i="179"/>
  <c r="W16" i="179"/>
  <c r="H16" i="179"/>
  <c r="Z15" i="179"/>
  <c r="Y15" i="179"/>
  <c r="W15" i="179"/>
  <c r="H15" i="179"/>
  <c r="X15" i="179" s="1"/>
  <c r="Z14" i="179"/>
  <c r="Y14" i="179"/>
  <c r="X14" i="179"/>
  <c r="W14" i="179"/>
  <c r="H14" i="179"/>
  <c r="Z13" i="179"/>
  <c r="Y13" i="179"/>
  <c r="W13" i="179"/>
  <c r="H13" i="179"/>
  <c r="X13" i="179" s="1"/>
  <c r="Z12" i="179"/>
  <c r="Y12" i="179"/>
  <c r="W12" i="179"/>
  <c r="H12" i="179"/>
  <c r="X12" i="179" s="1"/>
  <c r="B12" i="179"/>
  <c r="Z11" i="179"/>
  <c r="Y11" i="179"/>
  <c r="W11" i="179"/>
  <c r="H11" i="179"/>
  <c r="X11" i="179" s="1"/>
  <c r="B11" i="179"/>
  <c r="L9" i="179" s="1"/>
  <c r="Z10" i="179"/>
  <c r="Y10" i="179"/>
  <c r="W10" i="179"/>
  <c r="H10" i="179"/>
  <c r="X10" i="179" s="1"/>
  <c r="B10" i="179"/>
  <c r="L18" i="179" s="1"/>
  <c r="Z9" i="179"/>
  <c r="Y9" i="179"/>
  <c r="X9" i="179"/>
  <c r="W9" i="179"/>
  <c r="H9" i="179"/>
  <c r="Z8" i="179"/>
  <c r="Y8" i="179"/>
  <c r="W8" i="179"/>
  <c r="H8" i="179"/>
  <c r="X8" i="179" s="1"/>
  <c r="Z7" i="179"/>
  <c r="Y7" i="179"/>
  <c r="X7" i="179"/>
  <c r="W7" i="179"/>
  <c r="H7" i="179"/>
  <c r="B7" i="179"/>
  <c r="Z6" i="179"/>
  <c r="Y6" i="179"/>
  <c r="W6" i="179"/>
  <c r="H6" i="179"/>
  <c r="X6" i="179" s="1"/>
  <c r="Z5" i="179"/>
  <c r="Y5" i="179"/>
  <c r="X5" i="179"/>
  <c r="W5" i="179"/>
  <c r="H5" i="179"/>
  <c r="Z4" i="179"/>
  <c r="Y4" i="179"/>
  <c r="W4" i="179"/>
  <c r="H4" i="179"/>
  <c r="X4" i="179" s="1"/>
  <c r="Z3" i="179"/>
  <c r="Y3" i="179"/>
  <c r="X3" i="179"/>
  <c r="W3" i="179"/>
  <c r="H3" i="179"/>
  <c r="I37" i="33"/>
  <c r="H37" i="33"/>
  <c r="G37" i="33"/>
  <c r="F37" i="33"/>
  <c r="D37" i="33"/>
  <c r="C37" i="33"/>
  <c r="B37" i="33"/>
  <c r="Z20" i="178"/>
  <c r="Y20" i="178"/>
  <c r="X20" i="178"/>
  <c r="W20" i="178"/>
  <c r="Z19" i="178"/>
  <c r="Y19" i="178"/>
  <c r="X19" i="178"/>
  <c r="W19" i="178"/>
  <c r="Z18" i="178"/>
  <c r="Y18" i="178"/>
  <c r="X18" i="178"/>
  <c r="W18" i="178"/>
  <c r="H18" i="178"/>
  <c r="Z17" i="178"/>
  <c r="Y17" i="178"/>
  <c r="W17" i="178"/>
  <c r="H17" i="178"/>
  <c r="X17" i="178" s="1"/>
  <c r="Z16" i="178"/>
  <c r="Y16" i="178"/>
  <c r="X16" i="178"/>
  <c r="W16" i="178"/>
  <c r="H16" i="178"/>
  <c r="Z15" i="178"/>
  <c r="Y15" i="178"/>
  <c r="W15" i="178"/>
  <c r="H15" i="178"/>
  <c r="X15" i="178" s="1"/>
  <c r="Z14" i="178"/>
  <c r="Y14" i="178"/>
  <c r="X14" i="178"/>
  <c r="W14" i="178"/>
  <c r="H14" i="178"/>
  <c r="Z13" i="178"/>
  <c r="Y13" i="178"/>
  <c r="W13" i="178"/>
  <c r="H13" i="178"/>
  <c r="X13" i="178" s="1"/>
  <c r="Z12" i="178"/>
  <c r="Y12" i="178"/>
  <c r="W12" i="178"/>
  <c r="H12" i="178"/>
  <c r="X12" i="178" s="1"/>
  <c r="B12" i="178"/>
  <c r="Z11" i="178"/>
  <c r="Y11" i="178"/>
  <c r="W11" i="178"/>
  <c r="H11" i="178"/>
  <c r="X11" i="178" s="1"/>
  <c r="B11" i="178"/>
  <c r="L10" i="178" s="1"/>
  <c r="Z10" i="178"/>
  <c r="Y10" i="178"/>
  <c r="W10" i="178"/>
  <c r="H10" i="178"/>
  <c r="X10" i="178" s="1"/>
  <c r="B10" i="178"/>
  <c r="L18" i="178" s="1"/>
  <c r="Z9" i="178"/>
  <c r="Y9" i="178"/>
  <c r="X9" i="178"/>
  <c r="W9" i="178"/>
  <c r="H9" i="178"/>
  <c r="Z8" i="178"/>
  <c r="Y8" i="178"/>
  <c r="W8" i="178"/>
  <c r="H8" i="178"/>
  <c r="X8" i="178" s="1"/>
  <c r="Z7" i="178"/>
  <c r="Y7" i="178"/>
  <c r="X7" i="178"/>
  <c r="W7" i="178"/>
  <c r="L7" i="178"/>
  <c r="H7" i="178"/>
  <c r="B7" i="178"/>
  <c r="Z6" i="178"/>
  <c r="Y6" i="178"/>
  <c r="W6" i="178"/>
  <c r="H6" i="178"/>
  <c r="X6" i="178" s="1"/>
  <c r="Z5" i="178"/>
  <c r="Y5" i="178"/>
  <c r="X5" i="178"/>
  <c r="W5" i="178"/>
  <c r="H5" i="178"/>
  <c r="Z4" i="178"/>
  <c r="Y4" i="178"/>
  <c r="W4" i="178"/>
  <c r="H4" i="178"/>
  <c r="X4" i="178" s="1"/>
  <c r="Z3" i="178"/>
  <c r="Y3" i="178"/>
  <c r="X3" i="178"/>
  <c r="W3" i="178"/>
  <c r="H3" i="178"/>
  <c r="I36" i="33"/>
  <c r="H36" i="33"/>
  <c r="G36" i="33"/>
  <c r="F36" i="33"/>
  <c r="D36" i="33"/>
  <c r="C36" i="33"/>
  <c r="B36" i="33"/>
  <c r="Z20" i="177"/>
  <c r="Y20" i="177"/>
  <c r="X20" i="177"/>
  <c r="W20" i="177"/>
  <c r="Z19" i="177"/>
  <c r="Y19" i="177"/>
  <c r="X19" i="177"/>
  <c r="W19" i="177"/>
  <c r="Z18" i="177"/>
  <c r="Y18" i="177"/>
  <c r="X18" i="177"/>
  <c r="W18" i="177"/>
  <c r="H18" i="177"/>
  <c r="Z17" i="177"/>
  <c r="Y17" i="177"/>
  <c r="W17" i="177"/>
  <c r="H17" i="177"/>
  <c r="X17" i="177" s="1"/>
  <c r="Z16" i="177"/>
  <c r="Y16" i="177"/>
  <c r="X16" i="177"/>
  <c r="W16" i="177"/>
  <c r="H16" i="177"/>
  <c r="Z15" i="177"/>
  <c r="Y15" i="177"/>
  <c r="W15" i="177"/>
  <c r="H15" i="177"/>
  <c r="X15" i="177" s="1"/>
  <c r="Z14" i="177"/>
  <c r="Y14" i="177"/>
  <c r="X14" i="177"/>
  <c r="W14" i="177"/>
  <c r="H14" i="177"/>
  <c r="Z13" i="177"/>
  <c r="Y13" i="177"/>
  <c r="W13" i="177"/>
  <c r="H13" i="177"/>
  <c r="X13" i="177" s="1"/>
  <c r="Z12" i="177"/>
  <c r="Y12" i="177"/>
  <c r="W12" i="177"/>
  <c r="H12" i="177"/>
  <c r="X12" i="177" s="1"/>
  <c r="B12" i="177"/>
  <c r="Z11" i="177"/>
  <c r="Y11" i="177"/>
  <c r="W11" i="177"/>
  <c r="H11" i="177"/>
  <c r="X11" i="177" s="1"/>
  <c r="B11" i="177"/>
  <c r="L7" i="177" s="1"/>
  <c r="Z10" i="177"/>
  <c r="Y10" i="177"/>
  <c r="W10" i="177"/>
  <c r="H10" i="177"/>
  <c r="X10" i="177" s="1"/>
  <c r="B10" i="177"/>
  <c r="L18" i="177" s="1"/>
  <c r="Z9" i="177"/>
  <c r="Y9" i="177"/>
  <c r="X9" i="177"/>
  <c r="W9" i="177"/>
  <c r="H9" i="177"/>
  <c r="Z8" i="177"/>
  <c r="Y8" i="177"/>
  <c r="W8" i="177"/>
  <c r="H8" i="177"/>
  <c r="X8" i="177" s="1"/>
  <c r="Z7" i="177"/>
  <c r="Y7" i="177"/>
  <c r="X7" i="177"/>
  <c r="W7" i="177"/>
  <c r="H7" i="177"/>
  <c r="B7" i="177"/>
  <c r="Z6" i="177"/>
  <c r="Y6" i="177"/>
  <c r="W6" i="177"/>
  <c r="H6" i="177"/>
  <c r="X6" i="177" s="1"/>
  <c r="Z5" i="177"/>
  <c r="Y5" i="177"/>
  <c r="X5" i="177"/>
  <c r="W5" i="177"/>
  <c r="H5" i="177"/>
  <c r="Z4" i="177"/>
  <c r="Y4" i="177"/>
  <c r="W4" i="177"/>
  <c r="H4" i="177"/>
  <c r="X4" i="177" s="1"/>
  <c r="Z3" i="177"/>
  <c r="Y3" i="177"/>
  <c r="X3" i="177"/>
  <c r="W3" i="177"/>
  <c r="H3" i="177"/>
  <c r="I35" i="33"/>
  <c r="H35" i="33"/>
  <c r="G35" i="33"/>
  <c r="F35" i="33"/>
  <c r="D35" i="33"/>
  <c r="C35" i="33"/>
  <c r="B35" i="33"/>
  <c r="Z20" i="176"/>
  <c r="Y20" i="176"/>
  <c r="X20" i="176"/>
  <c r="W20" i="176"/>
  <c r="Z19" i="176"/>
  <c r="Y19" i="176"/>
  <c r="X19" i="176"/>
  <c r="W19" i="176"/>
  <c r="Z18" i="176"/>
  <c r="Y18" i="176"/>
  <c r="X18" i="176"/>
  <c r="W18" i="176"/>
  <c r="H18" i="176"/>
  <c r="Z17" i="176"/>
  <c r="Y17" i="176"/>
  <c r="W17" i="176"/>
  <c r="H17" i="176"/>
  <c r="X17" i="176" s="1"/>
  <c r="Z16" i="176"/>
  <c r="Y16" i="176"/>
  <c r="X16" i="176"/>
  <c r="W16" i="176"/>
  <c r="H16" i="176"/>
  <c r="Z15" i="176"/>
  <c r="Y15" i="176"/>
  <c r="W15" i="176"/>
  <c r="H15" i="176"/>
  <c r="X15" i="176" s="1"/>
  <c r="Z14" i="176"/>
  <c r="Y14" i="176"/>
  <c r="X14" i="176"/>
  <c r="W14" i="176"/>
  <c r="H14" i="176"/>
  <c r="Z13" i="176"/>
  <c r="Y13" i="176"/>
  <c r="W13" i="176"/>
  <c r="H13" i="176"/>
  <c r="X13" i="176" s="1"/>
  <c r="Z12" i="176"/>
  <c r="Y12" i="176"/>
  <c r="W12" i="176"/>
  <c r="H12" i="176"/>
  <c r="X12" i="176" s="1"/>
  <c r="B12" i="176"/>
  <c r="Z11" i="176"/>
  <c r="Y11" i="176"/>
  <c r="X11" i="176"/>
  <c r="W11" i="176"/>
  <c r="H11" i="176"/>
  <c r="B11" i="176"/>
  <c r="L5" i="176" s="1"/>
  <c r="Z10" i="176"/>
  <c r="Y10" i="176"/>
  <c r="W10" i="176"/>
  <c r="H10" i="176"/>
  <c r="X10" i="176" s="1"/>
  <c r="B10" i="176"/>
  <c r="L18" i="176" s="1"/>
  <c r="Z9" i="176"/>
  <c r="Y9" i="176"/>
  <c r="X9" i="176"/>
  <c r="W9" i="176"/>
  <c r="H9" i="176"/>
  <c r="Z8" i="176"/>
  <c r="Y8" i="176"/>
  <c r="W8" i="176"/>
  <c r="H8" i="176"/>
  <c r="X8" i="176" s="1"/>
  <c r="Z7" i="176"/>
  <c r="Y7" i="176"/>
  <c r="X7" i="176"/>
  <c r="W7" i="176"/>
  <c r="H7" i="176"/>
  <c r="B7" i="176"/>
  <c r="Z6" i="176"/>
  <c r="Y6" i="176"/>
  <c r="W6" i="176"/>
  <c r="H6" i="176"/>
  <c r="X6" i="176" s="1"/>
  <c r="Z5" i="176"/>
  <c r="Y5" i="176"/>
  <c r="X5" i="176"/>
  <c r="W5" i="176"/>
  <c r="H5" i="176"/>
  <c r="Z4" i="176"/>
  <c r="Y4" i="176"/>
  <c r="W4" i="176"/>
  <c r="H4" i="176"/>
  <c r="X4" i="176" s="1"/>
  <c r="Z3" i="176"/>
  <c r="Y3" i="176"/>
  <c r="X3" i="176"/>
  <c r="W3" i="176"/>
  <c r="H3" i="176"/>
  <c r="I34" i="33"/>
  <c r="H34" i="33"/>
  <c r="G34" i="33"/>
  <c r="F34" i="33"/>
  <c r="D34" i="33"/>
  <c r="C34" i="33"/>
  <c r="B34" i="33"/>
  <c r="Z20" i="175"/>
  <c r="Y20" i="175"/>
  <c r="X20" i="175"/>
  <c r="W20" i="175"/>
  <c r="Z19" i="175"/>
  <c r="Y19" i="175"/>
  <c r="X19" i="175"/>
  <c r="W19" i="175"/>
  <c r="Z18" i="175"/>
  <c r="Y18" i="175"/>
  <c r="X18" i="175"/>
  <c r="W18" i="175"/>
  <c r="H18" i="175"/>
  <c r="Z17" i="175"/>
  <c r="Y17" i="175"/>
  <c r="W17" i="175"/>
  <c r="H17" i="175"/>
  <c r="X17" i="175" s="1"/>
  <c r="Z16" i="175"/>
  <c r="Y16" i="175"/>
  <c r="X16" i="175"/>
  <c r="W16" i="175"/>
  <c r="H16" i="175"/>
  <c r="Z15" i="175"/>
  <c r="Y15" i="175"/>
  <c r="W15" i="175"/>
  <c r="H15" i="175"/>
  <c r="X15" i="175" s="1"/>
  <c r="Z14" i="175"/>
  <c r="Y14" i="175"/>
  <c r="X14" i="175"/>
  <c r="W14" i="175"/>
  <c r="H14" i="175"/>
  <c r="Z13" i="175"/>
  <c r="Y13" i="175"/>
  <c r="W13" i="175"/>
  <c r="H13" i="175"/>
  <c r="X13" i="175" s="1"/>
  <c r="Z12" i="175"/>
  <c r="Y12" i="175"/>
  <c r="W12" i="175"/>
  <c r="H12" i="175"/>
  <c r="X12" i="175" s="1"/>
  <c r="B12" i="175"/>
  <c r="Z11" i="175"/>
  <c r="Y11" i="175"/>
  <c r="W11" i="175"/>
  <c r="H11" i="175"/>
  <c r="X11" i="175" s="1"/>
  <c r="B11" i="175"/>
  <c r="L8" i="175" s="1"/>
  <c r="Z10" i="175"/>
  <c r="Y10" i="175"/>
  <c r="W10" i="175"/>
  <c r="H10" i="175"/>
  <c r="X10" i="175" s="1"/>
  <c r="B10" i="175"/>
  <c r="L18" i="175" s="1"/>
  <c r="Z9" i="175"/>
  <c r="Y9" i="175"/>
  <c r="X9" i="175"/>
  <c r="W9" i="175"/>
  <c r="L9" i="175"/>
  <c r="H9" i="175"/>
  <c r="Z8" i="175"/>
  <c r="Y8" i="175"/>
  <c r="W8" i="175"/>
  <c r="H8" i="175"/>
  <c r="X8" i="175" s="1"/>
  <c r="Z7" i="175"/>
  <c r="Y7" i="175"/>
  <c r="X7" i="175"/>
  <c r="W7" i="175"/>
  <c r="H7" i="175"/>
  <c r="B7" i="175"/>
  <c r="Z6" i="175"/>
  <c r="Y6" i="175"/>
  <c r="W6" i="175"/>
  <c r="H6" i="175"/>
  <c r="X6" i="175" s="1"/>
  <c r="Z5" i="175"/>
  <c r="Y5" i="175"/>
  <c r="X5" i="175"/>
  <c r="W5" i="175"/>
  <c r="H5" i="175"/>
  <c r="Z4" i="175"/>
  <c r="Y4" i="175"/>
  <c r="W4" i="175"/>
  <c r="H4" i="175"/>
  <c r="X4" i="175" s="1"/>
  <c r="Z3" i="175"/>
  <c r="Y3" i="175"/>
  <c r="X3" i="175"/>
  <c r="W3" i="175"/>
  <c r="H3" i="175"/>
  <c r="I33" i="33"/>
  <c r="H33" i="33"/>
  <c r="G33" i="33"/>
  <c r="F33" i="33"/>
  <c r="D33" i="33"/>
  <c r="C33" i="33"/>
  <c r="B33" i="33"/>
  <c r="Z20" i="174"/>
  <c r="Y20" i="174"/>
  <c r="X20" i="174"/>
  <c r="W20" i="174"/>
  <c r="Z19" i="174"/>
  <c r="Y19" i="174"/>
  <c r="X19" i="174"/>
  <c r="W19" i="174"/>
  <c r="Z18" i="174"/>
  <c r="Y18" i="174"/>
  <c r="X18" i="174"/>
  <c r="W18" i="174"/>
  <c r="H18" i="174"/>
  <c r="Z17" i="174"/>
  <c r="Y17" i="174"/>
  <c r="W17" i="174"/>
  <c r="H17" i="174"/>
  <c r="X17" i="174" s="1"/>
  <c r="Z16" i="174"/>
  <c r="Y16" i="174"/>
  <c r="X16" i="174"/>
  <c r="W16" i="174"/>
  <c r="H16" i="174"/>
  <c r="Z15" i="174"/>
  <c r="Y15" i="174"/>
  <c r="W15" i="174"/>
  <c r="H15" i="174"/>
  <c r="X15" i="174" s="1"/>
  <c r="Z14" i="174"/>
  <c r="Y14" i="174"/>
  <c r="X14" i="174"/>
  <c r="W14" i="174"/>
  <c r="H14" i="174"/>
  <c r="Z13" i="174"/>
  <c r="Y13" i="174"/>
  <c r="W13" i="174"/>
  <c r="H13" i="174"/>
  <c r="X13" i="174" s="1"/>
  <c r="Z12" i="174"/>
  <c r="Y12" i="174"/>
  <c r="W12" i="174"/>
  <c r="H12" i="174"/>
  <c r="X12" i="174" s="1"/>
  <c r="B12" i="174"/>
  <c r="Z11" i="174"/>
  <c r="Y11" i="174"/>
  <c r="W11" i="174"/>
  <c r="H11" i="174"/>
  <c r="X11" i="174" s="1"/>
  <c r="B11" i="174"/>
  <c r="L4" i="174" s="1"/>
  <c r="Z10" i="174"/>
  <c r="Y10" i="174"/>
  <c r="W10" i="174"/>
  <c r="H10" i="174"/>
  <c r="X10" i="174" s="1"/>
  <c r="B10" i="174"/>
  <c r="L18" i="174" s="1"/>
  <c r="Z9" i="174"/>
  <c r="Y9" i="174"/>
  <c r="X9" i="174"/>
  <c r="W9" i="174"/>
  <c r="H9" i="174"/>
  <c r="Z8" i="174"/>
  <c r="Y8" i="174"/>
  <c r="W8" i="174"/>
  <c r="H8" i="174"/>
  <c r="X8" i="174" s="1"/>
  <c r="Z7" i="174"/>
  <c r="Y7" i="174"/>
  <c r="X7" i="174"/>
  <c r="W7" i="174"/>
  <c r="H7" i="174"/>
  <c r="B7" i="174"/>
  <c r="Z6" i="174"/>
  <c r="Y6" i="174"/>
  <c r="W6" i="174"/>
  <c r="H6" i="174"/>
  <c r="X6" i="174" s="1"/>
  <c r="Z5" i="174"/>
  <c r="Y5" i="174"/>
  <c r="X5" i="174"/>
  <c r="W5" i="174"/>
  <c r="H5" i="174"/>
  <c r="Z4" i="174"/>
  <c r="Y4" i="174"/>
  <c r="W4" i="174"/>
  <c r="H4" i="174"/>
  <c r="X4" i="174" s="1"/>
  <c r="Z3" i="174"/>
  <c r="Y3" i="174"/>
  <c r="X3" i="174"/>
  <c r="W3" i="174"/>
  <c r="H3" i="174"/>
  <c r="I32" i="33"/>
  <c r="H32" i="33"/>
  <c r="G32" i="33"/>
  <c r="F32" i="33"/>
  <c r="D32" i="33"/>
  <c r="C32" i="33"/>
  <c r="B32" i="33"/>
  <c r="Z20" i="173"/>
  <c r="Y20" i="173"/>
  <c r="X20" i="173"/>
  <c r="W20" i="173"/>
  <c r="Z19" i="173"/>
  <c r="Y19" i="173"/>
  <c r="X19" i="173"/>
  <c r="W19" i="173"/>
  <c r="Z18" i="173"/>
  <c r="Y18" i="173"/>
  <c r="X18" i="173"/>
  <c r="W18" i="173"/>
  <c r="H18" i="173"/>
  <c r="Z17" i="173"/>
  <c r="Y17" i="173"/>
  <c r="W17" i="173"/>
  <c r="H17" i="173"/>
  <c r="X17" i="173" s="1"/>
  <c r="Z16" i="173"/>
  <c r="Y16" i="173"/>
  <c r="X16" i="173"/>
  <c r="W16" i="173"/>
  <c r="H16" i="173"/>
  <c r="Z15" i="173"/>
  <c r="Y15" i="173"/>
  <c r="W15" i="173"/>
  <c r="H15" i="173"/>
  <c r="X15" i="173" s="1"/>
  <c r="Z14" i="173"/>
  <c r="Y14" i="173"/>
  <c r="X14" i="173"/>
  <c r="W14" i="173"/>
  <c r="H14" i="173"/>
  <c r="Z13" i="173"/>
  <c r="Y13" i="173"/>
  <c r="W13" i="173"/>
  <c r="H13" i="173"/>
  <c r="X13" i="173" s="1"/>
  <c r="Z12" i="173"/>
  <c r="Y12" i="173"/>
  <c r="W12" i="173"/>
  <c r="H12" i="173"/>
  <c r="X12" i="173" s="1"/>
  <c r="B12" i="173"/>
  <c r="Z11" i="173"/>
  <c r="Y11" i="173"/>
  <c r="W11" i="173"/>
  <c r="H11" i="173"/>
  <c r="X11" i="173" s="1"/>
  <c r="B11" i="173"/>
  <c r="L6" i="173" s="1"/>
  <c r="Z10" i="173"/>
  <c r="Y10" i="173"/>
  <c r="W10" i="173"/>
  <c r="H10" i="173"/>
  <c r="X10" i="173" s="1"/>
  <c r="B10" i="173"/>
  <c r="L18" i="173" s="1"/>
  <c r="Z9" i="173"/>
  <c r="Y9" i="173"/>
  <c r="X9" i="173"/>
  <c r="W9" i="173"/>
  <c r="H9" i="173"/>
  <c r="Z8" i="173"/>
  <c r="Y8" i="173"/>
  <c r="W8" i="173"/>
  <c r="H8" i="173"/>
  <c r="X8" i="173" s="1"/>
  <c r="Z7" i="173"/>
  <c r="Y7" i="173"/>
  <c r="X7" i="173"/>
  <c r="W7" i="173"/>
  <c r="H7" i="173"/>
  <c r="B7" i="173"/>
  <c r="Z6" i="173"/>
  <c r="Y6" i="173"/>
  <c r="W6" i="173"/>
  <c r="H6" i="173"/>
  <c r="X6" i="173" s="1"/>
  <c r="Z5" i="173"/>
  <c r="Y5" i="173"/>
  <c r="X5" i="173"/>
  <c r="W5" i="173"/>
  <c r="H5" i="173"/>
  <c r="Z4" i="173"/>
  <c r="Y4" i="173"/>
  <c r="W4" i="173"/>
  <c r="H4" i="173"/>
  <c r="X4" i="173" s="1"/>
  <c r="Z3" i="173"/>
  <c r="Y3" i="173"/>
  <c r="X3" i="173"/>
  <c r="W3" i="173"/>
  <c r="H3" i="173"/>
  <c r="I31" i="33"/>
  <c r="H31" i="33"/>
  <c r="G31" i="33"/>
  <c r="F31" i="33"/>
  <c r="D31" i="33"/>
  <c r="C31" i="33"/>
  <c r="E31" i="33" s="1"/>
  <c r="B31" i="33"/>
  <c r="Z20" i="172"/>
  <c r="Y20" i="172"/>
  <c r="X20" i="172"/>
  <c r="W20" i="172"/>
  <c r="Z19" i="172"/>
  <c r="Y19" i="172"/>
  <c r="X19" i="172"/>
  <c r="W19" i="172"/>
  <c r="Z18" i="172"/>
  <c r="Y18" i="172"/>
  <c r="X18" i="172"/>
  <c r="W18" i="172"/>
  <c r="H18" i="172"/>
  <c r="Z17" i="172"/>
  <c r="Y17" i="172"/>
  <c r="W17" i="172"/>
  <c r="H17" i="172"/>
  <c r="X17" i="172" s="1"/>
  <c r="Z16" i="172"/>
  <c r="Y16" i="172"/>
  <c r="X16" i="172"/>
  <c r="W16" i="172"/>
  <c r="H16" i="172"/>
  <c r="Z15" i="172"/>
  <c r="Y15" i="172"/>
  <c r="W15" i="172"/>
  <c r="H15" i="172"/>
  <c r="X15" i="172" s="1"/>
  <c r="Z14" i="172"/>
  <c r="Y14" i="172"/>
  <c r="X14" i="172"/>
  <c r="W14" i="172"/>
  <c r="H14" i="172"/>
  <c r="Z13" i="172"/>
  <c r="Y13" i="172"/>
  <c r="W13" i="172"/>
  <c r="H13" i="172"/>
  <c r="X13" i="172" s="1"/>
  <c r="Z12" i="172"/>
  <c r="Y12" i="172"/>
  <c r="W12" i="172"/>
  <c r="H12" i="172"/>
  <c r="X12" i="172" s="1"/>
  <c r="B12" i="172"/>
  <c r="Z11" i="172"/>
  <c r="Y11" i="172"/>
  <c r="W11" i="172"/>
  <c r="H11" i="172"/>
  <c r="X11" i="172" s="1"/>
  <c r="B11" i="172"/>
  <c r="L7" i="172" s="1"/>
  <c r="Z10" i="172"/>
  <c r="Y10" i="172"/>
  <c r="W10" i="172"/>
  <c r="H10" i="172"/>
  <c r="X10" i="172" s="1"/>
  <c r="B10" i="172"/>
  <c r="L18" i="172" s="1"/>
  <c r="Z9" i="172"/>
  <c r="Y9" i="172"/>
  <c r="X9" i="172"/>
  <c r="W9" i="172"/>
  <c r="L9" i="172"/>
  <c r="H9" i="172"/>
  <c r="Z8" i="172"/>
  <c r="Y8" i="172"/>
  <c r="W8" i="172"/>
  <c r="H8" i="172"/>
  <c r="X8" i="172" s="1"/>
  <c r="Z7" i="172"/>
  <c r="Y7" i="172"/>
  <c r="X7" i="172"/>
  <c r="W7" i="172"/>
  <c r="H7" i="172"/>
  <c r="B7" i="172"/>
  <c r="Z6" i="172"/>
  <c r="Y6" i="172"/>
  <c r="W6" i="172"/>
  <c r="H6" i="172"/>
  <c r="X6" i="172" s="1"/>
  <c r="Z5" i="172"/>
  <c r="Y5" i="172"/>
  <c r="X5" i="172"/>
  <c r="W5" i="172"/>
  <c r="H5" i="172"/>
  <c r="Z4" i="172"/>
  <c r="Y4" i="172"/>
  <c r="W4" i="172"/>
  <c r="H4" i="172"/>
  <c r="X4" i="172" s="1"/>
  <c r="Z3" i="172"/>
  <c r="Y3" i="172"/>
  <c r="X3" i="172"/>
  <c r="W3" i="172"/>
  <c r="H3" i="172"/>
  <c r="H30" i="33"/>
  <c r="D30" i="33"/>
  <c r="C30" i="33"/>
  <c r="B30" i="33"/>
  <c r="Z20" i="171"/>
  <c r="Y20" i="171"/>
  <c r="X20" i="171"/>
  <c r="W20" i="171"/>
  <c r="Z19" i="171"/>
  <c r="Y19" i="171"/>
  <c r="X19" i="171"/>
  <c r="W19" i="171"/>
  <c r="Z18" i="171"/>
  <c r="Y18" i="171"/>
  <c r="W18" i="171"/>
  <c r="X18" i="171"/>
  <c r="Z17" i="171"/>
  <c r="Y17" i="171"/>
  <c r="W17" i="171"/>
  <c r="X17" i="171"/>
  <c r="Z16" i="171"/>
  <c r="Y16" i="171"/>
  <c r="X16" i="171"/>
  <c r="W16" i="171"/>
  <c r="Z15" i="171"/>
  <c r="Y15" i="171"/>
  <c r="W15" i="171"/>
  <c r="X15" i="171"/>
  <c r="Z14" i="171"/>
  <c r="Y14" i="171"/>
  <c r="W14" i="171"/>
  <c r="X14" i="171"/>
  <c r="Z13" i="171"/>
  <c r="Y13" i="171"/>
  <c r="W13" i="171"/>
  <c r="X13" i="171"/>
  <c r="Z12" i="171"/>
  <c r="Y12" i="171"/>
  <c r="W12" i="171"/>
  <c r="X12" i="171"/>
  <c r="B12" i="171"/>
  <c r="Z11" i="171"/>
  <c r="Y11" i="171"/>
  <c r="W11" i="171"/>
  <c r="X11" i="171"/>
  <c r="B11" i="171"/>
  <c r="Z10" i="171"/>
  <c r="Y10" i="171"/>
  <c r="W10" i="171"/>
  <c r="X10" i="171"/>
  <c r="B10" i="171"/>
  <c r="Z9" i="171"/>
  <c r="Y9" i="171"/>
  <c r="W9" i="171"/>
  <c r="X9" i="171"/>
  <c r="Z8" i="171"/>
  <c r="Y8" i="171"/>
  <c r="W8" i="171"/>
  <c r="X8" i="171"/>
  <c r="Z7" i="171"/>
  <c r="Y7" i="171"/>
  <c r="W7" i="171"/>
  <c r="X7" i="171"/>
  <c r="B7" i="171"/>
  <c r="Z6" i="171"/>
  <c r="Y6" i="171"/>
  <c r="W6" i="171"/>
  <c r="X6" i="171"/>
  <c r="Z5" i="171"/>
  <c r="Y5" i="171"/>
  <c r="X5" i="171"/>
  <c r="W5" i="171"/>
  <c r="Z4" i="171"/>
  <c r="Y4" i="171"/>
  <c r="W4" i="171"/>
  <c r="X4" i="171"/>
  <c r="Z3" i="171"/>
  <c r="Y3" i="171"/>
  <c r="W3" i="171"/>
  <c r="H3" i="171"/>
  <c r="X3" i="171" s="1"/>
  <c r="I29" i="33"/>
  <c r="H29" i="33"/>
  <c r="G29" i="33"/>
  <c r="E29" i="33" s="1"/>
  <c r="F29" i="33"/>
  <c r="D29" i="33"/>
  <c r="C29" i="33"/>
  <c r="B29" i="33"/>
  <c r="Z20" i="170"/>
  <c r="Y20" i="170"/>
  <c r="X20" i="170"/>
  <c r="W20" i="170"/>
  <c r="Z19" i="170"/>
  <c r="Y19" i="170"/>
  <c r="X19" i="170"/>
  <c r="W19" i="170"/>
  <c r="Z18" i="170"/>
  <c r="Y18" i="170"/>
  <c r="X18" i="170"/>
  <c r="W18" i="170"/>
  <c r="H18" i="170"/>
  <c r="Z17" i="170"/>
  <c r="Y17" i="170"/>
  <c r="W17" i="170"/>
  <c r="H17" i="170"/>
  <c r="X17" i="170" s="1"/>
  <c r="Z16" i="170"/>
  <c r="Y16" i="170"/>
  <c r="X16" i="170"/>
  <c r="W16" i="170"/>
  <c r="H16" i="170"/>
  <c r="Z15" i="170"/>
  <c r="Y15" i="170"/>
  <c r="W15" i="170"/>
  <c r="H15" i="170"/>
  <c r="X15" i="170" s="1"/>
  <c r="Z14" i="170"/>
  <c r="Y14" i="170"/>
  <c r="X14" i="170"/>
  <c r="W14" i="170"/>
  <c r="H14" i="170"/>
  <c r="Z13" i="170"/>
  <c r="Y13" i="170"/>
  <c r="W13" i="170"/>
  <c r="H13" i="170"/>
  <c r="X13" i="170" s="1"/>
  <c r="Z12" i="170"/>
  <c r="Y12" i="170"/>
  <c r="W12" i="170"/>
  <c r="H12" i="170"/>
  <c r="X12" i="170" s="1"/>
  <c r="B12" i="170"/>
  <c r="Z11" i="170"/>
  <c r="Y11" i="170"/>
  <c r="W11" i="170"/>
  <c r="H11" i="170"/>
  <c r="X11" i="170" s="1"/>
  <c r="B11" i="170"/>
  <c r="L8" i="170" s="1"/>
  <c r="Z10" i="170"/>
  <c r="Y10" i="170"/>
  <c r="W10" i="170"/>
  <c r="H10" i="170"/>
  <c r="X10" i="170" s="1"/>
  <c r="B10" i="170"/>
  <c r="L18" i="170" s="1"/>
  <c r="Z9" i="170"/>
  <c r="Y9" i="170"/>
  <c r="X9" i="170"/>
  <c r="W9" i="170"/>
  <c r="H9" i="170"/>
  <c r="Z8" i="170"/>
  <c r="Y8" i="170"/>
  <c r="W8" i="170"/>
  <c r="H8" i="170"/>
  <c r="X8" i="170" s="1"/>
  <c r="Z7" i="170"/>
  <c r="Y7" i="170"/>
  <c r="X7" i="170"/>
  <c r="W7" i="170"/>
  <c r="H7" i="170"/>
  <c r="B7" i="170"/>
  <c r="Z6" i="170"/>
  <c r="Y6" i="170"/>
  <c r="W6" i="170"/>
  <c r="H6" i="170"/>
  <c r="X6" i="170" s="1"/>
  <c r="Z5" i="170"/>
  <c r="Y5" i="170"/>
  <c r="X5" i="170"/>
  <c r="W5" i="170"/>
  <c r="H5" i="170"/>
  <c r="Z4" i="170"/>
  <c r="Y4" i="170"/>
  <c r="W4" i="170"/>
  <c r="H4" i="170"/>
  <c r="X4" i="170" s="1"/>
  <c r="Z3" i="170"/>
  <c r="Y3" i="170"/>
  <c r="X3" i="170"/>
  <c r="W3" i="170"/>
  <c r="H3" i="170"/>
  <c r="I28" i="33"/>
  <c r="H28" i="33"/>
  <c r="G28" i="33"/>
  <c r="F28" i="33"/>
  <c r="D28" i="33"/>
  <c r="C28" i="33"/>
  <c r="B28" i="33"/>
  <c r="Z20" i="169"/>
  <c r="Y20" i="169"/>
  <c r="X20" i="169"/>
  <c r="W20" i="169"/>
  <c r="Z19" i="169"/>
  <c r="Y19" i="169"/>
  <c r="X19" i="169"/>
  <c r="W19" i="169"/>
  <c r="Z18" i="169"/>
  <c r="Y18" i="169"/>
  <c r="X18" i="169"/>
  <c r="W18" i="169"/>
  <c r="H18" i="169"/>
  <c r="Z17" i="169"/>
  <c r="Y17" i="169"/>
  <c r="W17" i="169"/>
  <c r="H17" i="169"/>
  <c r="X17" i="169" s="1"/>
  <c r="Z16" i="169"/>
  <c r="Y16" i="169"/>
  <c r="X16" i="169"/>
  <c r="W16" i="169"/>
  <c r="H16" i="169"/>
  <c r="Z15" i="169"/>
  <c r="Y15" i="169"/>
  <c r="W15" i="169"/>
  <c r="H15" i="169"/>
  <c r="X15" i="169" s="1"/>
  <c r="Z14" i="169"/>
  <c r="Y14" i="169"/>
  <c r="X14" i="169"/>
  <c r="W14" i="169"/>
  <c r="H14" i="169"/>
  <c r="Z13" i="169"/>
  <c r="Y13" i="169"/>
  <c r="W13" i="169"/>
  <c r="H13" i="169"/>
  <c r="X13" i="169" s="1"/>
  <c r="Z12" i="169"/>
  <c r="Y12" i="169"/>
  <c r="W12" i="169"/>
  <c r="H12" i="169"/>
  <c r="X12" i="169" s="1"/>
  <c r="B12" i="169"/>
  <c r="Z11" i="169"/>
  <c r="Y11" i="169"/>
  <c r="W11" i="169"/>
  <c r="H11" i="169"/>
  <c r="X11" i="169" s="1"/>
  <c r="B11" i="169"/>
  <c r="L5" i="169" s="1"/>
  <c r="Z10" i="169"/>
  <c r="Y10" i="169"/>
  <c r="W10" i="169"/>
  <c r="H10" i="169"/>
  <c r="X10" i="169" s="1"/>
  <c r="B10" i="169"/>
  <c r="L18" i="169" s="1"/>
  <c r="Z9" i="169"/>
  <c r="Y9" i="169"/>
  <c r="X9" i="169"/>
  <c r="W9" i="169"/>
  <c r="H9" i="169"/>
  <c r="Z8" i="169"/>
  <c r="Y8" i="169"/>
  <c r="W8" i="169"/>
  <c r="H8" i="169"/>
  <c r="X8" i="169" s="1"/>
  <c r="Z7" i="169"/>
  <c r="Y7" i="169"/>
  <c r="X7" i="169"/>
  <c r="W7" i="169"/>
  <c r="L7" i="169"/>
  <c r="H7" i="169"/>
  <c r="B7" i="169"/>
  <c r="Z6" i="169"/>
  <c r="Y6" i="169"/>
  <c r="W6" i="169"/>
  <c r="H6" i="169"/>
  <c r="X6" i="169" s="1"/>
  <c r="Z5" i="169"/>
  <c r="Y5" i="169"/>
  <c r="W5" i="169"/>
  <c r="H5" i="169"/>
  <c r="X5" i="169" s="1"/>
  <c r="Z4" i="169"/>
  <c r="Y4" i="169"/>
  <c r="W4" i="169"/>
  <c r="H4" i="169"/>
  <c r="X4" i="169" s="1"/>
  <c r="Z3" i="169"/>
  <c r="Y3" i="169"/>
  <c r="W3" i="169"/>
  <c r="H3" i="169"/>
  <c r="X3" i="169" s="1"/>
  <c r="I27" i="33"/>
  <c r="H27" i="33"/>
  <c r="G27" i="33"/>
  <c r="F27" i="33"/>
  <c r="D27" i="33"/>
  <c r="C27" i="33"/>
  <c r="B27" i="33"/>
  <c r="H11" i="168"/>
  <c r="H12" i="168"/>
  <c r="X12" i="168" s="1"/>
  <c r="H13" i="168"/>
  <c r="X13" i="168" s="1"/>
  <c r="H14" i="168"/>
  <c r="H15" i="168"/>
  <c r="X15" i="168" s="1"/>
  <c r="H16" i="168"/>
  <c r="X16" i="168" s="1"/>
  <c r="H17" i="168"/>
  <c r="X17" i="168" s="1"/>
  <c r="H18" i="168"/>
  <c r="X18" i="168" s="1"/>
  <c r="Z20" i="168"/>
  <c r="Y20" i="168"/>
  <c r="X20" i="168"/>
  <c r="W20" i="168"/>
  <c r="Z19" i="168"/>
  <c r="Y19" i="168"/>
  <c r="X19" i="168"/>
  <c r="W19" i="168"/>
  <c r="Z18" i="168"/>
  <c r="Y18" i="168"/>
  <c r="W18" i="168"/>
  <c r="Z17" i="168"/>
  <c r="Y17" i="168"/>
  <c r="W17" i="168"/>
  <c r="Z16" i="168"/>
  <c r="Y16" i="168"/>
  <c r="W16" i="168"/>
  <c r="Z15" i="168"/>
  <c r="Y15" i="168"/>
  <c r="W15" i="168"/>
  <c r="Z14" i="168"/>
  <c r="Y14" i="168"/>
  <c r="X14" i="168"/>
  <c r="W14" i="168"/>
  <c r="Z13" i="168"/>
  <c r="Y13" i="168"/>
  <c r="W13" i="168"/>
  <c r="Z12" i="168"/>
  <c r="Y12" i="168"/>
  <c r="W12" i="168"/>
  <c r="B12" i="168"/>
  <c r="Z11" i="168"/>
  <c r="Y11" i="168"/>
  <c r="X11" i="168"/>
  <c r="W11" i="168"/>
  <c r="B11" i="168"/>
  <c r="L8" i="168" s="1"/>
  <c r="Z10" i="168"/>
  <c r="Y10" i="168"/>
  <c r="X10" i="168"/>
  <c r="W10" i="168"/>
  <c r="H10" i="168"/>
  <c r="B10" i="168"/>
  <c r="Z9" i="168"/>
  <c r="Y9" i="168"/>
  <c r="W9" i="168"/>
  <c r="H9" i="168"/>
  <c r="X9" i="168" s="1"/>
  <c r="Z8" i="168"/>
  <c r="Y8" i="168"/>
  <c r="W8" i="168"/>
  <c r="H8" i="168"/>
  <c r="X8" i="168" s="1"/>
  <c r="Z7" i="168"/>
  <c r="Y7" i="168"/>
  <c r="W7" i="168"/>
  <c r="H7" i="168"/>
  <c r="X7" i="168" s="1"/>
  <c r="B7" i="168"/>
  <c r="Z6" i="168"/>
  <c r="Y6" i="168"/>
  <c r="W6" i="168"/>
  <c r="H6" i="168"/>
  <c r="X6" i="168" s="1"/>
  <c r="Z5" i="168"/>
  <c r="Y5" i="168"/>
  <c r="W5" i="168"/>
  <c r="H5" i="168"/>
  <c r="X5" i="168" s="1"/>
  <c r="Z4" i="168"/>
  <c r="Y4" i="168"/>
  <c r="W4" i="168"/>
  <c r="H4" i="168"/>
  <c r="X4" i="168" s="1"/>
  <c r="Z3" i="168"/>
  <c r="Y3" i="168"/>
  <c r="W3" i="168"/>
  <c r="H3" i="168"/>
  <c r="X3" i="168" s="1"/>
  <c r="I26" i="33"/>
  <c r="H26" i="33"/>
  <c r="G26" i="33"/>
  <c r="F26" i="33"/>
  <c r="D26" i="33"/>
  <c r="C26" i="33"/>
  <c r="B26" i="33"/>
  <c r="Z20" i="167"/>
  <c r="Y20" i="167"/>
  <c r="X20" i="167"/>
  <c r="W20" i="167"/>
  <c r="Z19" i="167"/>
  <c r="Y19" i="167"/>
  <c r="X19" i="167"/>
  <c r="W19" i="167"/>
  <c r="Z18" i="167"/>
  <c r="Y18" i="167"/>
  <c r="X18" i="167"/>
  <c r="W18" i="167"/>
  <c r="Z17" i="167"/>
  <c r="Y17" i="167"/>
  <c r="X17" i="167"/>
  <c r="W17" i="167"/>
  <c r="Z16" i="167"/>
  <c r="Y16" i="167"/>
  <c r="X16" i="167"/>
  <c r="W16" i="167"/>
  <c r="Z15" i="167"/>
  <c r="Y15" i="167"/>
  <c r="X15" i="167"/>
  <c r="W15" i="167"/>
  <c r="Z14" i="167"/>
  <c r="Y14" i="167"/>
  <c r="X14" i="167"/>
  <c r="W14" i="167"/>
  <c r="Z13" i="167"/>
  <c r="Y13" i="167"/>
  <c r="X13" i="167"/>
  <c r="W13" i="167"/>
  <c r="Z12" i="167"/>
  <c r="Y12" i="167"/>
  <c r="X12" i="167"/>
  <c r="W12" i="167"/>
  <c r="B12" i="167"/>
  <c r="Z11" i="167"/>
  <c r="Y11" i="167"/>
  <c r="X11" i="167"/>
  <c r="W11" i="167"/>
  <c r="B11" i="167"/>
  <c r="Z10" i="167"/>
  <c r="Y10" i="167"/>
  <c r="X10" i="167"/>
  <c r="W10" i="167"/>
  <c r="H10" i="167"/>
  <c r="B10" i="167"/>
  <c r="L10" i="167" s="1"/>
  <c r="Z9" i="167"/>
  <c r="Y9" i="167"/>
  <c r="W9" i="167"/>
  <c r="H9" i="167"/>
  <c r="X9" i="167" s="1"/>
  <c r="Z8" i="167"/>
  <c r="Y8" i="167"/>
  <c r="X8" i="167"/>
  <c r="W8" i="167"/>
  <c r="H8" i="167"/>
  <c r="Z7" i="167"/>
  <c r="Y7" i="167"/>
  <c r="W7" i="167"/>
  <c r="H7" i="167"/>
  <c r="X7" i="167" s="1"/>
  <c r="B7" i="167"/>
  <c r="Z6" i="167"/>
  <c r="Y6" i="167"/>
  <c r="W6" i="167"/>
  <c r="H6" i="167"/>
  <c r="X6" i="167" s="1"/>
  <c r="Z5" i="167"/>
  <c r="Y5" i="167"/>
  <c r="W5" i="167"/>
  <c r="H5" i="167"/>
  <c r="X5" i="167" s="1"/>
  <c r="Z4" i="167"/>
  <c r="Y4" i="167"/>
  <c r="W4" i="167"/>
  <c r="H4" i="167"/>
  <c r="X4" i="167" s="1"/>
  <c r="Z3" i="167"/>
  <c r="Y3" i="167"/>
  <c r="W3" i="167"/>
  <c r="H3" i="167"/>
  <c r="X3" i="167" s="1"/>
  <c r="I25" i="33"/>
  <c r="H25" i="33"/>
  <c r="G25" i="33"/>
  <c r="F25" i="33"/>
  <c r="D25" i="33"/>
  <c r="C25" i="33"/>
  <c r="B25" i="33"/>
  <c r="Z20" i="166"/>
  <c r="Y20" i="166"/>
  <c r="X20" i="166"/>
  <c r="W20" i="166"/>
  <c r="Z19" i="166"/>
  <c r="Y19" i="166"/>
  <c r="X19" i="166"/>
  <c r="W19" i="166"/>
  <c r="Z18" i="166"/>
  <c r="Y18" i="166"/>
  <c r="X18" i="166"/>
  <c r="W18" i="166"/>
  <c r="Z17" i="166"/>
  <c r="Y17" i="166"/>
  <c r="X17" i="166"/>
  <c r="W17" i="166"/>
  <c r="Z16" i="166"/>
  <c r="Y16" i="166"/>
  <c r="X16" i="166"/>
  <c r="W16" i="166"/>
  <c r="Z15" i="166"/>
  <c r="Y15" i="166"/>
  <c r="X15" i="166"/>
  <c r="W15" i="166"/>
  <c r="Z14" i="166"/>
  <c r="Y14" i="166"/>
  <c r="X14" i="166"/>
  <c r="W14" i="166"/>
  <c r="Z13" i="166"/>
  <c r="Y13" i="166"/>
  <c r="X13" i="166"/>
  <c r="W13" i="166"/>
  <c r="B13" i="166"/>
  <c r="Z12" i="166"/>
  <c r="Y12" i="166"/>
  <c r="X12" i="166"/>
  <c r="W12" i="166"/>
  <c r="B12" i="166"/>
  <c r="Z11" i="166"/>
  <c r="Y11" i="166"/>
  <c r="X11" i="166"/>
  <c r="W11" i="166"/>
  <c r="B11" i="166"/>
  <c r="L6" i="166" s="1"/>
  <c r="Z10" i="166"/>
  <c r="Y10" i="166"/>
  <c r="X10" i="166"/>
  <c r="W10" i="166"/>
  <c r="H10" i="166"/>
  <c r="B10" i="166"/>
  <c r="L10" i="166" s="1"/>
  <c r="Z9" i="166"/>
  <c r="Y9" i="166"/>
  <c r="W9" i="166"/>
  <c r="L9" i="166"/>
  <c r="H9" i="166"/>
  <c r="X9" i="166" s="1"/>
  <c r="Z8" i="166"/>
  <c r="Y8" i="166"/>
  <c r="X8" i="166"/>
  <c r="W8" i="166"/>
  <c r="H8" i="166"/>
  <c r="Z7" i="166"/>
  <c r="Y7" i="166"/>
  <c r="W7" i="166"/>
  <c r="H7" i="166"/>
  <c r="X7" i="166" s="1"/>
  <c r="B7" i="166"/>
  <c r="Z6" i="166"/>
  <c r="Y6" i="166"/>
  <c r="W6" i="166"/>
  <c r="H6" i="166"/>
  <c r="X6" i="166" s="1"/>
  <c r="Z5" i="166"/>
  <c r="Y5" i="166"/>
  <c r="W5" i="166"/>
  <c r="L5" i="166"/>
  <c r="H5" i="166"/>
  <c r="X5" i="166" s="1"/>
  <c r="Z4" i="166"/>
  <c r="Y4" i="166"/>
  <c r="W4" i="166"/>
  <c r="H4" i="166"/>
  <c r="X4" i="166" s="1"/>
  <c r="Z3" i="166"/>
  <c r="Y3" i="166"/>
  <c r="W3" i="166"/>
  <c r="L3" i="166"/>
  <c r="H3" i="166"/>
  <c r="X3" i="166" s="1"/>
  <c r="I24" i="33"/>
  <c r="H24" i="33"/>
  <c r="G24" i="33"/>
  <c r="F24" i="33"/>
  <c r="D24" i="33"/>
  <c r="C24" i="33"/>
  <c r="B24" i="33"/>
  <c r="Z20" i="165"/>
  <c r="Y20" i="165"/>
  <c r="X20" i="165"/>
  <c r="W20" i="165"/>
  <c r="Z19" i="165"/>
  <c r="Y19" i="165"/>
  <c r="X19" i="165"/>
  <c r="W19" i="165"/>
  <c r="Z18" i="165"/>
  <c r="Y18" i="165"/>
  <c r="X18" i="165"/>
  <c r="W18" i="165"/>
  <c r="Z17" i="165"/>
  <c r="Y17" i="165"/>
  <c r="X17" i="165"/>
  <c r="W17" i="165"/>
  <c r="Z16" i="165"/>
  <c r="Y16" i="165"/>
  <c r="X16" i="165"/>
  <c r="W16" i="165"/>
  <c r="Z15" i="165"/>
  <c r="Y15" i="165"/>
  <c r="X15" i="165"/>
  <c r="W15" i="165"/>
  <c r="Z14" i="165"/>
  <c r="Y14" i="165"/>
  <c r="X14" i="165"/>
  <c r="W14" i="165"/>
  <c r="Z13" i="165"/>
  <c r="Y13" i="165"/>
  <c r="X13" i="165"/>
  <c r="W13" i="165"/>
  <c r="B13" i="165"/>
  <c r="Z12" i="165"/>
  <c r="Y12" i="165"/>
  <c r="X12" i="165"/>
  <c r="W12" i="165"/>
  <c r="B12" i="165"/>
  <c r="Z11" i="165"/>
  <c r="Y11" i="165"/>
  <c r="X11" i="165"/>
  <c r="W11" i="165"/>
  <c r="B11" i="165"/>
  <c r="L8" i="165" s="1"/>
  <c r="Z10" i="165"/>
  <c r="Y10" i="165"/>
  <c r="X10" i="165"/>
  <c r="W10" i="165"/>
  <c r="H10" i="165"/>
  <c r="B10" i="165"/>
  <c r="L10" i="165" s="1"/>
  <c r="Z9" i="165"/>
  <c r="Y9" i="165"/>
  <c r="W9" i="165"/>
  <c r="L9" i="165"/>
  <c r="H9" i="165"/>
  <c r="X9" i="165" s="1"/>
  <c r="Z8" i="165"/>
  <c r="Y8" i="165"/>
  <c r="X8" i="165"/>
  <c r="W8" i="165"/>
  <c r="H8" i="165"/>
  <c r="Z7" i="165"/>
  <c r="Y7" i="165"/>
  <c r="W7" i="165"/>
  <c r="H7" i="165"/>
  <c r="X7" i="165" s="1"/>
  <c r="B7" i="165"/>
  <c r="Z6" i="165"/>
  <c r="Y6" i="165"/>
  <c r="W6" i="165"/>
  <c r="H6" i="165"/>
  <c r="X6" i="165" s="1"/>
  <c r="Z5" i="165"/>
  <c r="Y5" i="165"/>
  <c r="W5" i="165"/>
  <c r="L5" i="165"/>
  <c r="H5" i="165"/>
  <c r="X5" i="165" s="1"/>
  <c r="Z4" i="165"/>
  <c r="Y4" i="165"/>
  <c r="W4" i="165"/>
  <c r="H4" i="165"/>
  <c r="X4" i="165" s="1"/>
  <c r="Z3" i="165"/>
  <c r="Y3" i="165"/>
  <c r="W3" i="165"/>
  <c r="L3" i="165"/>
  <c r="H3" i="165"/>
  <c r="X3" i="165" s="1"/>
  <c r="I23" i="33"/>
  <c r="H23" i="33"/>
  <c r="G23" i="33"/>
  <c r="E23" i="33" s="1"/>
  <c r="F23" i="33"/>
  <c r="D23" i="33"/>
  <c r="C23" i="33"/>
  <c r="B23" i="33"/>
  <c r="Z20" i="164"/>
  <c r="Y20" i="164"/>
  <c r="X20" i="164"/>
  <c r="W20" i="164"/>
  <c r="Z19" i="164"/>
  <c r="Y19" i="164"/>
  <c r="X19" i="164"/>
  <c r="W19" i="164"/>
  <c r="Z18" i="164"/>
  <c r="Y18" i="164"/>
  <c r="X18" i="164"/>
  <c r="W18" i="164"/>
  <c r="Z17" i="164"/>
  <c r="Y17" i="164"/>
  <c r="X17" i="164"/>
  <c r="W17" i="164"/>
  <c r="Z16" i="164"/>
  <c r="Y16" i="164"/>
  <c r="X16" i="164"/>
  <c r="W16" i="164"/>
  <c r="Z15" i="164"/>
  <c r="Y15" i="164"/>
  <c r="X15" i="164"/>
  <c r="W15" i="164"/>
  <c r="Z14" i="164"/>
  <c r="Y14" i="164"/>
  <c r="X14" i="164"/>
  <c r="W14" i="164"/>
  <c r="Z13" i="164"/>
  <c r="Y13" i="164"/>
  <c r="X13" i="164"/>
  <c r="W13" i="164"/>
  <c r="B13" i="164"/>
  <c r="Z12" i="164"/>
  <c r="Y12" i="164"/>
  <c r="X12" i="164"/>
  <c r="W12" i="164"/>
  <c r="B12" i="164"/>
  <c r="Z11" i="164"/>
  <c r="Y11" i="164"/>
  <c r="X11" i="164"/>
  <c r="W11" i="164"/>
  <c r="B11" i="164"/>
  <c r="L8" i="164" s="1"/>
  <c r="Z10" i="164"/>
  <c r="Y10" i="164"/>
  <c r="X10" i="164"/>
  <c r="W10" i="164"/>
  <c r="H10" i="164"/>
  <c r="B10" i="164"/>
  <c r="L10" i="164" s="1"/>
  <c r="Z9" i="164"/>
  <c r="Y9" i="164"/>
  <c r="W9" i="164"/>
  <c r="L9" i="164"/>
  <c r="H9" i="164"/>
  <c r="X9" i="164" s="1"/>
  <c r="Z8" i="164"/>
  <c r="Y8" i="164"/>
  <c r="X8" i="164"/>
  <c r="W8" i="164"/>
  <c r="H8" i="164"/>
  <c r="Z7" i="164"/>
  <c r="Y7" i="164"/>
  <c r="W7" i="164"/>
  <c r="H7" i="164"/>
  <c r="X7" i="164" s="1"/>
  <c r="B7" i="164"/>
  <c r="Z6" i="164"/>
  <c r="Y6" i="164"/>
  <c r="W6" i="164"/>
  <c r="H6" i="164"/>
  <c r="X6" i="164" s="1"/>
  <c r="Z5" i="164"/>
  <c r="Y5" i="164"/>
  <c r="W5" i="164"/>
  <c r="L5" i="164"/>
  <c r="H5" i="164"/>
  <c r="X5" i="164" s="1"/>
  <c r="Z4" i="164"/>
  <c r="Y4" i="164"/>
  <c r="W4" i="164"/>
  <c r="H4" i="164"/>
  <c r="X4" i="164" s="1"/>
  <c r="Z3" i="164"/>
  <c r="Y3" i="164"/>
  <c r="W3" i="164"/>
  <c r="L3" i="164"/>
  <c r="H3" i="164"/>
  <c r="X3" i="164" s="1"/>
  <c r="I22" i="33"/>
  <c r="H22" i="33"/>
  <c r="G22" i="33"/>
  <c r="F22" i="33"/>
  <c r="D22" i="33"/>
  <c r="C22" i="33"/>
  <c r="E22" i="33" s="1"/>
  <c r="B22" i="33"/>
  <c r="Z20" i="163"/>
  <c r="Y20" i="163"/>
  <c r="X20" i="163"/>
  <c r="W20" i="163"/>
  <c r="Z19" i="163"/>
  <c r="Y19" i="163"/>
  <c r="X19" i="163"/>
  <c r="W19" i="163"/>
  <c r="Z18" i="163"/>
  <c r="Y18" i="163"/>
  <c r="X18" i="163"/>
  <c r="W18" i="163"/>
  <c r="Z17" i="163"/>
  <c r="Y17" i="163"/>
  <c r="X17" i="163"/>
  <c r="W17" i="163"/>
  <c r="Z16" i="163"/>
  <c r="Y16" i="163"/>
  <c r="X16" i="163"/>
  <c r="W16" i="163"/>
  <c r="Z15" i="163"/>
  <c r="Y15" i="163"/>
  <c r="X15" i="163"/>
  <c r="W15" i="163"/>
  <c r="Z14" i="163"/>
  <c r="Y14" i="163"/>
  <c r="X14" i="163"/>
  <c r="W14" i="163"/>
  <c r="Z13" i="163"/>
  <c r="Y13" i="163"/>
  <c r="X13" i="163"/>
  <c r="W13" i="163"/>
  <c r="B13" i="163"/>
  <c r="Z12" i="163"/>
  <c r="Y12" i="163"/>
  <c r="X12" i="163"/>
  <c r="W12" i="163"/>
  <c r="B12" i="163"/>
  <c r="Z11" i="163"/>
  <c r="Y11" i="163"/>
  <c r="X11" i="163"/>
  <c r="W11" i="163"/>
  <c r="B11" i="163"/>
  <c r="L8" i="163" s="1"/>
  <c r="Z10" i="163"/>
  <c r="Y10" i="163"/>
  <c r="X10" i="163"/>
  <c r="W10" i="163"/>
  <c r="H10" i="163"/>
  <c r="B10" i="163"/>
  <c r="L10" i="163" s="1"/>
  <c r="Z9" i="163"/>
  <c r="Y9" i="163"/>
  <c r="W9" i="163"/>
  <c r="H9" i="163"/>
  <c r="X9" i="163" s="1"/>
  <c r="Z8" i="163"/>
  <c r="Y8" i="163"/>
  <c r="X8" i="163"/>
  <c r="W8" i="163"/>
  <c r="H8" i="163"/>
  <c r="Z7" i="163"/>
  <c r="Y7" i="163"/>
  <c r="W7" i="163"/>
  <c r="H7" i="163"/>
  <c r="X7" i="163" s="1"/>
  <c r="B7" i="163"/>
  <c r="Z6" i="163"/>
  <c r="Y6" i="163"/>
  <c r="W6" i="163"/>
  <c r="H6" i="163"/>
  <c r="X6" i="163" s="1"/>
  <c r="Z5" i="163"/>
  <c r="Y5" i="163"/>
  <c r="W5" i="163"/>
  <c r="L5" i="163"/>
  <c r="H5" i="163"/>
  <c r="X5" i="163" s="1"/>
  <c r="Z4" i="163"/>
  <c r="Y4" i="163"/>
  <c r="W4" i="163"/>
  <c r="H4" i="163"/>
  <c r="X4" i="163" s="1"/>
  <c r="Z3" i="163"/>
  <c r="Y3" i="163"/>
  <c r="W3" i="163"/>
  <c r="L3" i="163"/>
  <c r="H3" i="163"/>
  <c r="X3" i="163" s="1"/>
  <c r="E24" i="33" l="1"/>
  <c r="E25" i="33"/>
  <c r="E27" i="33"/>
  <c r="E36" i="33"/>
  <c r="G30" i="33"/>
  <c r="E30" i="33" s="1"/>
  <c r="E35" i="33"/>
  <c r="E37" i="33"/>
  <c r="E32" i="33"/>
  <c r="E26" i="33"/>
  <c r="E33" i="33"/>
  <c r="E28" i="33"/>
  <c r="E34" i="33"/>
  <c r="L15" i="180"/>
  <c r="L7" i="180"/>
  <c r="L9" i="180"/>
  <c r="L11" i="180"/>
  <c r="B13" i="180"/>
  <c r="L13" i="180"/>
  <c r="L17" i="180"/>
  <c r="L10" i="180"/>
  <c r="L12" i="180"/>
  <c r="B14" i="180"/>
  <c r="L8" i="180"/>
  <c r="L3" i="180"/>
  <c r="L5" i="180"/>
  <c r="L14" i="180"/>
  <c r="L16" i="180"/>
  <c r="L7" i="179"/>
  <c r="L11" i="179"/>
  <c r="B13" i="179"/>
  <c r="L13" i="179"/>
  <c r="L4" i="179"/>
  <c r="L6" i="179"/>
  <c r="L15" i="179"/>
  <c r="L17" i="179"/>
  <c r="L8" i="179"/>
  <c r="L10" i="179"/>
  <c r="L12" i="179"/>
  <c r="B14" i="179"/>
  <c r="L3" i="179"/>
  <c r="L5" i="179"/>
  <c r="L14" i="179"/>
  <c r="L16" i="179"/>
  <c r="L9" i="178"/>
  <c r="L11" i="178"/>
  <c r="B13" i="178"/>
  <c r="L13" i="178"/>
  <c r="L4" i="178"/>
  <c r="L6" i="178"/>
  <c r="L15" i="178"/>
  <c r="L17" i="178"/>
  <c r="L8" i="178"/>
  <c r="L12" i="178"/>
  <c r="B14" i="178"/>
  <c r="L3" i="178"/>
  <c r="L5" i="178"/>
  <c r="L14" i="178"/>
  <c r="L16" i="178"/>
  <c r="L11" i="177"/>
  <c r="B13" i="177"/>
  <c r="L13" i="177"/>
  <c r="L4" i="177"/>
  <c r="L6" i="177"/>
  <c r="L15" i="177"/>
  <c r="L17" i="177"/>
  <c r="L8" i="177"/>
  <c r="L10" i="177"/>
  <c r="L9" i="177"/>
  <c r="L12" i="177"/>
  <c r="B14" i="177"/>
  <c r="L3" i="177"/>
  <c r="L5" i="177"/>
  <c r="L14" i="177"/>
  <c r="L16" i="177"/>
  <c r="L7" i="176"/>
  <c r="L11" i="176"/>
  <c r="B13" i="176"/>
  <c r="L9" i="176"/>
  <c r="L13" i="176"/>
  <c r="L4" i="176"/>
  <c r="L6" i="176"/>
  <c r="L15" i="176"/>
  <c r="L17" i="176"/>
  <c r="L8" i="176"/>
  <c r="L10" i="176"/>
  <c r="L12" i="176"/>
  <c r="B14" i="176"/>
  <c r="L3" i="176"/>
  <c r="L14" i="176"/>
  <c r="L16" i="176"/>
  <c r="L7" i="175"/>
  <c r="L11" i="175"/>
  <c r="B13" i="175"/>
  <c r="L13" i="175"/>
  <c r="L4" i="175"/>
  <c r="L6" i="175"/>
  <c r="L15" i="175"/>
  <c r="L17" i="175"/>
  <c r="L10" i="175"/>
  <c r="L12" i="175"/>
  <c r="B14" i="175"/>
  <c r="L3" i="175"/>
  <c r="L5" i="175"/>
  <c r="L14" i="175"/>
  <c r="L16" i="175"/>
  <c r="L11" i="174"/>
  <c r="B13" i="174"/>
  <c r="L13" i="174"/>
  <c r="L7" i="174"/>
  <c r="L15" i="174"/>
  <c r="L17" i="174"/>
  <c r="L6" i="174"/>
  <c r="L8" i="174"/>
  <c r="L10" i="174"/>
  <c r="L12" i="174"/>
  <c r="B14" i="174"/>
  <c r="L9" i="174"/>
  <c r="L3" i="174"/>
  <c r="L5" i="174"/>
  <c r="L14" i="174"/>
  <c r="L16" i="174"/>
  <c r="L9" i="173"/>
  <c r="L11" i="173"/>
  <c r="B13" i="173"/>
  <c r="L7" i="173"/>
  <c r="L13" i="173"/>
  <c r="L4" i="173"/>
  <c r="L15" i="173"/>
  <c r="L17" i="173"/>
  <c r="L8" i="173"/>
  <c r="L10" i="173"/>
  <c r="L12" i="173"/>
  <c r="B14" i="173"/>
  <c r="L3" i="173"/>
  <c r="L5" i="173"/>
  <c r="L14" i="173"/>
  <c r="L16" i="173"/>
  <c r="L11" i="172"/>
  <c r="B13" i="172"/>
  <c r="L13" i="172"/>
  <c r="L4" i="172"/>
  <c r="L6" i="172"/>
  <c r="L15" i="172"/>
  <c r="L17" i="172"/>
  <c r="L8" i="172"/>
  <c r="L10" i="172"/>
  <c r="L12" i="172"/>
  <c r="B14" i="172"/>
  <c r="L3" i="172"/>
  <c r="L5" i="172"/>
  <c r="L14" i="172"/>
  <c r="L16" i="172"/>
  <c r="B13" i="171"/>
  <c r="I30" i="33" s="1"/>
  <c r="B14" i="171"/>
  <c r="F30" i="33" s="1"/>
  <c r="L3" i="171"/>
  <c r="L7" i="170"/>
  <c r="L11" i="170"/>
  <c r="B13" i="170"/>
  <c r="L4" i="170"/>
  <c r="L6" i="170"/>
  <c r="L15" i="170"/>
  <c r="L17" i="170"/>
  <c r="L10" i="170"/>
  <c r="L9" i="170"/>
  <c r="L13" i="170"/>
  <c r="L12" i="170"/>
  <c r="B14" i="170"/>
  <c r="L3" i="170"/>
  <c r="L5" i="170"/>
  <c r="L14" i="170"/>
  <c r="L16" i="170"/>
  <c r="L9" i="169"/>
  <c r="L11" i="169"/>
  <c r="B13" i="169"/>
  <c r="L13" i="169"/>
  <c r="L4" i="169"/>
  <c r="L6" i="169"/>
  <c r="L15" i="169"/>
  <c r="L17" i="169"/>
  <c r="L8" i="169"/>
  <c r="L10" i="169"/>
  <c r="L12" i="169"/>
  <c r="B14" i="169"/>
  <c r="L3" i="169"/>
  <c r="L14" i="169"/>
  <c r="L16" i="169"/>
  <c r="L7" i="168"/>
  <c r="L14" i="168"/>
  <c r="L5" i="168"/>
  <c r="L10" i="168"/>
  <c r="L13" i="168"/>
  <c r="L16" i="168"/>
  <c r="L9" i="168"/>
  <c r="L15" i="168"/>
  <c r="L18" i="168"/>
  <c r="L12" i="168"/>
  <c r="L3" i="168"/>
  <c r="B14" i="168" s="1"/>
  <c r="B13" i="168"/>
  <c r="L17" i="168"/>
  <c r="L11" i="168"/>
  <c r="L4" i="168"/>
  <c r="L6" i="168"/>
  <c r="L8" i="167"/>
  <c r="L9" i="167"/>
  <c r="L5" i="167"/>
  <c r="L3" i="167"/>
  <c r="L7" i="167"/>
  <c r="B13" i="167"/>
  <c r="B14" i="167"/>
  <c r="L4" i="167"/>
  <c r="L6" i="167"/>
  <c r="L7" i="166"/>
  <c r="B14" i="166"/>
  <c r="L4" i="166"/>
  <c r="L8" i="166"/>
  <c r="L7" i="165"/>
  <c r="B14" i="165"/>
  <c r="L4" i="165"/>
  <c r="L6" i="165"/>
  <c r="L7" i="164"/>
  <c r="B14" i="164"/>
  <c r="L4" i="164"/>
  <c r="L6" i="164"/>
  <c r="L9" i="163"/>
  <c r="B14" i="163"/>
  <c r="L7" i="163"/>
  <c r="L4" i="163"/>
  <c r="L6" i="163"/>
  <c r="B7" i="162"/>
  <c r="B7" i="161"/>
  <c r="B7" i="160"/>
  <c r="B7" i="159"/>
  <c r="D18" i="33" s="1"/>
  <c r="B7" i="158"/>
  <c r="B7" i="157"/>
  <c r="B7" i="156"/>
  <c r="B7" i="155"/>
  <c r="B7" i="154"/>
  <c r="B7" i="153"/>
  <c r="B7" i="152"/>
  <c r="B7" i="151"/>
  <c r="D10" i="33" s="1"/>
  <c r="B14" i="162"/>
  <c r="B14" i="161"/>
  <c r="F20" i="33" s="1"/>
  <c r="B14" i="160"/>
  <c r="B14" i="159"/>
  <c r="B14" i="158"/>
  <c r="B14" i="157"/>
  <c r="F16" i="33" s="1"/>
  <c r="B14" i="156"/>
  <c r="B14" i="155"/>
  <c r="B14" i="154"/>
  <c r="B14" i="153"/>
  <c r="B14" i="152"/>
  <c r="B14" i="149"/>
  <c r="B14" i="148"/>
  <c r="B14" i="146"/>
  <c r="B14" i="145"/>
  <c r="B14" i="150"/>
  <c r="B14" i="147"/>
  <c r="B7" i="150"/>
  <c r="B7" i="149"/>
  <c r="B7" i="148"/>
  <c r="B7" i="147"/>
  <c r="B7" i="146"/>
  <c r="B7" i="145"/>
  <c r="B7" i="144"/>
  <c r="D3" i="33" s="1"/>
  <c r="I21" i="33"/>
  <c r="H21" i="33"/>
  <c r="G21" i="33"/>
  <c r="F21" i="33"/>
  <c r="D21" i="33"/>
  <c r="C21" i="33"/>
  <c r="B21" i="33"/>
  <c r="Z20" i="162"/>
  <c r="Y20" i="162"/>
  <c r="X20" i="162"/>
  <c r="W20" i="162"/>
  <c r="Z19" i="162"/>
  <c r="Y19" i="162"/>
  <c r="X19" i="162"/>
  <c r="W19" i="162"/>
  <c r="Z18" i="162"/>
  <c r="Y18" i="162"/>
  <c r="X18" i="162"/>
  <c r="W18" i="162"/>
  <c r="Z17" i="162"/>
  <c r="Y17" i="162"/>
  <c r="X17" i="162"/>
  <c r="W17" i="162"/>
  <c r="Z16" i="162"/>
  <c r="Y16" i="162"/>
  <c r="X16" i="162"/>
  <c r="W16" i="162"/>
  <c r="Z15" i="162"/>
  <c r="Y15" i="162"/>
  <c r="X15" i="162"/>
  <c r="W15" i="162"/>
  <c r="Z14" i="162"/>
  <c r="Y14" i="162"/>
  <c r="X14" i="162"/>
  <c r="W14" i="162"/>
  <c r="Z13" i="162"/>
  <c r="Y13" i="162"/>
  <c r="X13" i="162"/>
  <c r="W13" i="162"/>
  <c r="B13" i="162"/>
  <c r="Z12" i="162"/>
  <c r="Y12" i="162"/>
  <c r="X12" i="162"/>
  <c r="W12" i="162"/>
  <c r="B12" i="162"/>
  <c r="Z11" i="162"/>
  <c r="Y11" i="162"/>
  <c r="X11" i="162"/>
  <c r="W11" i="162"/>
  <c r="B11" i="162"/>
  <c r="L7" i="162" s="1"/>
  <c r="Z10" i="162"/>
  <c r="Y10" i="162"/>
  <c r="X10" i="162"/>
  <c r="W10" i="162"/>
  <c r="H10" i="162"/>
  <c r="B10" i="162"/>
  <c r="L10" i="162" s="1"/>
  <c r="Z9" i="162"/>
  <c r="Y9" i="162"/>
  <c r="W9" i="162"/>
  <c r="H9" i="162"/>
  <c r="X9" i="162" s="1"/>
  <c r="Z8" i="162"/>
  <c r="Y8" i="162"/>
  <c r="X8" i="162"/>
  <c r="W8" i="162"/>
  <c r="H8" i="162"/>
  <c r="Z7" i="162"/>
  <c r="Y7" i="162"/>
  <c r="W7" i="162"/>
  <c r="H7" i="162"/>
  <c r="X7" i="162" s="1"/>
  <c r="Z6" i="162"/>
  <c r="Y6" i="162"/>
  <c r="W6" i="162"/>
  <c r="H6" i="162"/>
  <c r="X6" i="162" s="1"/>
  <c r="Z5" i="162"/>
  <c r="Y5" i="162"/>
  <c r="W5" i="162"/>
  <c r="L5" i="162"/>
  <c r="H5" i="162"/>
  <c r="X5" i="162" s="1"/>
  <c r="Z4" i="162"/>
  <c r="Y4" i="162"/>
  <c r="W4" i="162"/>
  <c r="H4" i="162"/>
  <c r="X4" i="162" s="1"/>
  <c r="Z3" i="162"/>
  <c r="Y3" i="162"/>
  <c r="W3" i="162"/>
  <c r="L3" i="162"/>
  <c r="H3" i="162"/>
  <c r="X3" i="162" s="1"/>
  <c r="I20" i="33"/>
  <c r="H20" i="33"/>
  <c r="G20" i="33"/>
  <c r="D20" i="33"/>
  <c r="C20" i="33"/>
  <c r="E20" i="33" s="1"/>
  <c r="B20" i="33"/>
  <c r="Z20" i="161"/>
  <c r="Y20" i="161"/>
  <c r="X20" i="161"/>
  <c r="W20" i="161"/>
  <c r="Z19" i="161"/>
  <c r="Y19" i="161"/>
  <c r="X19" i="161"/>
  <c r="W19" i="161"/>
  <c r="Z18" i="161"/>
  <c r="Y18" i="161"/>
  <c r="X18" i="161"/>
  <c r="W18" i="161"/>
  <c r="Z17" i="161"/>
  <c r="Y17" i="161"/>
  <c r="X17" i="161"/>
  <c r="W17" i="161"/>
  <c r="Z16" i="161"/>
  <c r="Y16" i="161"/>
  <c r="X16" i="161"/>
  <c r="W16" i="161"/>
  <c r="Z15" i="161"/>
  <c r="Y15" i="161"/>
  <c r="X15" i="161"/>
  <c r="W15" i="161"/>
  <c r="Z14" i="161"/>
  <c r="Y14" i="161"/>
  <c r="X14" i="161"/>
  <c r="W14" i="161"/>
  <c r="Z13" i="161"/>
  <c r="Y13" i="161"/>
  <c r="X13" i="161"/>
  <c r="W13" i="161"/>
  <c r="B13" i="161"/>
  <c r="Z12" i="161"/>
  <c r="Y12" i="161"/>
  <c r="X12" i="161"/>
  <c r="W12" i="161"/>
  <c r="B12" i="161"/>
  <c r="Z11" i="161"/>
  <c r="Y11" i="161"/>
  <c r="X11" i="161"/>
  <c r="W11" i="161"/>
  <c r="B11" i="161"/>
  <c r="L8" i="161" s="1"/>
  <c r="Z10" i="161"/>
  <c r="Y10" i="161"/>
  <c r="X10" i="161"/>
  <c r="W10" i="161"/>
  <c r="H10" i="161"/>
  <c r="B10" i="161"/>
  <c r="L10" i="161" s="1"/>
  <c r="Z9" i="161"/>
  <c r="Y9" i="161"/>
  <c r="W9" i="161"/>
  <c r="L9" i="161"/>
  <c r="H9" i="161"/>
  <c r="X9" i="161" s="1"/>
  <c r="Z8" i="161"/>
  <c r="Y8" i="161"/>
  <c r="X8" i="161"/>
  <c r="W8" i="161"/>
  <c r="H8" i="161"/>
  <c r="Z7" i="161"/>
  <c r="Y7" i="161"/>
  <c r="W7" i="161"/>
  <c r="L7" i="161"/>
  <c r="H7" i="161"/>
  <c r="X7" i="161" s="1"/>
  <c r="Z6" i="161"/>
  <c r="Y6" i="161"/>
  <c r="W6" i="161"/>
  <c r="H6" i="161"/>
  <c r="X6" i="161" s="1"/>
  <c r="Z5" i="161"/>
  <c r="Y5" i="161"/>
  <c r="W5" i="161"/>
  <c r="L5" i="161"/>
  <c r="H5" i="161"/>
  <c r="X5" i="161" s="1"/>
  <c r="Z4" i="161"/>
  <c r="Y4" i="161"/>
  <c r="W4" i="161"/>
  <c r="H4" i="161"/>
  <c r="X4" i="161" s="1"/>
  <c r="Z3" i="161"/>
  <c r="Y3" i="161"/>
  <c r="W3" i="161"/>
  <c r="L3" i="161"/>
  <c r="H3" i="161"/>
  <c r="X3" i="161" s="1"/>
  <c r="I19" i="33"/>
  <c r="H19" i="33"/>
  <c r="G19" i="33"/>
  <c r="F19" i="33"/>
  <c r="D19" i="33"/>
  <c r="C19" i="33"/>
  <c r="B19" i="33"/>
  <c r="Z20" i="160"/>
  <c r="Y20" i="160"/>
  <c r="X20" i="160"/>
  <c r="W20" i="160"/>
  <c r="Z19" i="160"/>
  <c r="Y19" i="160"/>
  <c r="X19" i="160"/>
  <c r="W19" i="160"/>
  <c r="Z18" i="160"/>
  <c r="Y18" i="160"/>
  <c r="X18" i="160"/>
  <c r="W18" i="160"/>
  <c r="Z17" i="160"/>
  <c r="Y17" i="160"/>
  <c r="X17" i="160"/>
  <c r="W17" i="160"/>
  <c r="Z16" i="160"/>
  <c r="Y16" i="160"/>
  <c r="X16" i="160"/>
  <c r="W16" i="160"/>
  <c r="Z15" i="160"/>
  <c r="Y15" i="160"/>
  <c r="X15" i="160"/>
  <c r="W15" i="160"/>
  <c r="Z14" i="160"/>
  <c r="Y14" i="160"/>
  <c r="X14" i="160"/>
  <c r="W14" i="160"/>
  <c r="Z13" i="160"/>
  <c r="Y13" i="160"/>
  <c r="X13" i="160"/>
  <c r="W13" i="160"/>
  <c r="B13" i="160"/>
  <c r="Z12" i="160"/>
  <c r="Y12" i="160"/>
  <c r="X12" i="160"/>
  <c r="W12" i="160"/>
  <c r="B12" i="160"/>
  <c r="Z11" i="160"/>
  <c r="Y11" i="160"/>
  <c r="X11" i="160"/>
  <c r="W11" i="160"/>
  <c r="B11" i="160"/>
  <c r="L8" i="160" s="1"/>
  <c r="Z10" i="160"/>
  <c r="Y10" i="160"/>
  <c r="X10" i="160"/>
  <c r="W10" i="160"/>
  <c r="H10" i="160"/>
  <c r="B10" i="160"/>
  <c r="L10" i="160" s="1"/>
  <c r="Z9" i="160"/>
  <c r="Y9" i="160"/>
  <c r="W9" i="160"/>
  <c r="H9" i="160"/>
  <c r="X9" i="160" s="1"/>
  <c r="Z8" i="160"/>
  <c r="Y8" i="160"/>
  <c r="X8" i="160"/>
  <c r="W8" i="160"/>
  <c r="H8" i="160"/>
  <c r="Z7" i="160"/>
  <c r="Y7" i="160"/>
  <c r="W7" i="160"/>
  <c r="H7" i="160"/>
  <c r="X7" i="160" s="1"/>
  <c r="Z6" i="160"/>
  <c r="Y6" i="160"/>
  <c r="W6" i="160"/>
  <c r="H6" i="160"/>
  <c r="X6" i="160" s="1"/>
  <c r="Z5" i="160"/>
  <c r="Y5" i="160"/>
  <c r="W5" i="160"/>
  <c r="L5" i="160"/>
  <c r="H5" i="160"/>
  <c r="X5" i="160" s="1"/>
  <c r="Z4" i="160"/>
  <c r="Y4" i="160"/>
  <c r="W4" i="160"/>
  <c r="H4" i="160"/>
  <c r="X4" i="160" s="1"/>
  <c r="Z3" i="160"/>
  <c r="Y3" i="160"/>
  <c r="W3" i="160"/>
  <c r="L3" i="160"/>
  <c r="H3" i="160"/>
  <c r="X3" i="160" s="1"/>
  <c r="I18" i="33"/>
  <c r="H18" i="33"/>
  <c r="G18" i="33"/>
  <c r="F18" i="33"/>
  <c r="C18" i="33"/>
  <c r="B18" i="33"/>
  <c r="Z20" i="159"/>
  <c r="Y20" i="159"/>
  <c r="X20" i="159"/>
  <c r="W20" i="159"/>
  <c r="Z19" i="159"/>
  <c r="Y19" i="159"/>
  <c r="X19" i="159"/>
  <c r="W19" i="159"/>
  <c r="Z18" i="159"/>
  <c r="Y18" i="159"/>
  <c r="X18" i="159"/>
  <c r="W18" i="159"/>
  <c r="Z17" i="159"/>
  <c r="Y17" i="159"/>
  <c r="X17" i="159"/>
  <c r="W17" i="159"/>
  <c r="Z16" i="159"/>
  <c r="Y16" i="159"/>
  <c r="X16" i="159"/>
  <c r="W16" i="159"/>
  <c r="Z15" i="159"/>
  <c r="Y15" i="159"/>
  <c r="X15" i="159"/>
  <c r="W15" i="159"/>
  <c r="Z14" i="159"/>
  <c r="Y14" i="159"/>
  <c r="X14" i="159"/>
  <c r="W14" i="159"/>
  <c r="Z13" i="159"/>
  <c r="Y13" i="159"/>
  <c r="X13" i="159"/>
  <c r="W13" i="159"/>
  <c r="Z12" i="159"/>
  <c r="Y12" i="159"/>
  <c r="X12" i="159"/>
  <c r="W12" i="159"/>
  <c r="B12" i="159"/>
  <c r="Z11" i="159"/>
  <c r="Y11" i="159"/>
  <c r="X11" i="159"/>
  <c r="W11" i="159"/>
  <c r="B11" i="159"/>
  <c r="Z10" i="159"/>
  <c r="Y10" i="159"/>
  <c r="W10" i="159"/>
  <c r="H10" i="159"/>
  <c r="X10" i="159" s="1"/>
  <c r="B10" i="159"/>
  <c r="L10" i="159" s="1"/>
  <c r="Z9" i="159"/>
  <c r="Y9" i="159"/>
  <c r="W9" i="159"/>
  <c r="H9" i="159"/>
  <c r="X9" i="159" s="1"/>
  <c r="Z8" i="159"/>
  <c r="Y8" i="159"/>
  <c r="W8" i="159"/>
  <c r="H8" i="159"/>
  <c r="X8" i="159" s="1"/>
  <c r="Z7" i="159"/>
  <c r="Y7" i="159"/>
  <c r="W7" i="159"/>
  <c r="H7" i="159"/>
  <c r="X7" i="159" s="1"/>
  <c r="Z6" i="159"/>
  <c r="Y6" i="159"/>
  <c r="W6" i="159"/>
  <c r="H6" i="159"/>
  <c r="X6" i="159" s="1"/>
  <c r="Z5" i="159"/>
  <c r="Y5" i="159"/>
  <c r="W5" i="159"/>
  <c r="H5" i="159"/>
  <c r="X5" i="159" s="1"/>
  <c r="Z4" i="159"/>
  <c r="Y4" i="159"/>
  <c r="W4" i="159"/>
  <c r="H4" i="159"/>
  <c r="X4" i="159" s="1"/>
  <c r="Z3" i="159"/>
  <c r="Y3" i="159"/>
  <c r="W3" i="159"/>
  <c r="H3" i="159"/>
  <c r="X3" i="159" s="1"/>
  <c r="I17" i="33"/>
  <c r="H17" i="33"/>
  <c r="G17" i="33"/>
  <c r="F17" i="33"/>
  <c r="D17" i="33"/>
  <c r="C17" i="33"/>
  <c r="B17" i="33"/>
  <c r="X6" i="158"/>
  <c r="Z20" i="158"/>
  <c r="Y20" i="158"/>
  <c r="X20" i="158"/>
  <c r="W20" i="158"/>
  <c r="Z19" i="158"/>
  <c r="Y19" i="158"/>
  <c r="X19" i="158"/>
  <c r="W19" i="158"/>
  <c r="Z18" i="158"/>
  <c r="Y18" i="158"/>
  <c r="X18" i="158"/>
  <c r="W18" i="158"/>
  <c r="Z17" i="158"/>
  <c r="Y17" i="158"/>
  <c r="X17" i="158"/>
  <c r="W17" i="158"/>
  <c r="Z16" i="158"/>
  <c r="Y16" i="158"/>
  <c r="X16" i="158"/>
  <c r="W16" i="158"/>
  <c r="Z15" i="158"/>
  <c r="Y15" i="158"/>
  <c r="X15" i="158"/>
  <c r="W15" i="158"/>
  <c r="Z14" i="158"/>
  <c r="Y14" i="158"/>
  <c r="X14" i="158"/>
  <c r="W14" i="158"/>
  <c r="Z13" i="158"/>
  <c r="Y13" i="158"/>
  <c r="X13" i="158"/>
  <c r="W13" i="158"/>
  <c r="Z12" i="158"/>
  <c r="Y12" i="158"/>
  <c r="X12" i="158"/>
  <c r="W12" i="158"/>
  <c r="B12" i="158"/>
  <c r="Z11" i="158"/>
  <c r="Y11" i="158"/>
  <c r="X11" i="158"/>
  <c r="W11" i="158"/>
  <c r="B11" i="158"/>
  <c r="Z10" i="158"/>
  <c r="Y10" i="158"/>
  <c r="W10" i="158"/>
  <c r="X10" i="158"/>
  <c r="B10" i="158"/>
  <c r="Z9" i="158"/>
  <c r="Y9" i="158"/>
  <c r="W9" i="158"/>
  <c r="X9" i="158"/>
  <c r="Z8" i="158"/>
  <c r="Y8" i="158"/>
  <c r="X8" i="158"/>
  <c r="W8" i="158"/>
  <c r="Z7" i="158"/>
  <c r="Y7" i="158"/>
  <c r="W7" i="158"/>
  <c r="X7" i="158"/>
  <c r="Z6" i="158"/>
  <c r="Y6" i="158"/>
  <c r="W6" i="158"/>
  <c r="Z5" i="158"/>
  <c r="Y5" i="158"/>
  <c r="W5" i="158"/>
  <c r="X5" i="158"/>
  <c r="Z4" i="158"/>
  <c r="Y4" i="158"/>
  <c r="W4" i="158"/>
  <c r="X4" i="158"/>
  <c r="Z3" i="158"/>
  <c r="Y3" i="158"/>
  <c r="W3" i="158"/>
  <c r="H3" i="158"/>
  <c r="X3" i="158" s="1"/>
  <c r="I16" i="33"/>
  <c r="H16" i="33"/>
  <c r="G16" i="33"/>
  <c r="D16" i="33"/>
  <c r="C16" i="33"/>
  <c r="B16" i="33"/>
  <c r="Z20" i="157"/>
  <c r="Y20" i="157"/>
  <c r="X20" i="157"/>
  <c r="W20" i="157"/>
  <c r="Z19" i="157"/>
  <c r="Y19" i="157"/>
  <c r="X19" i="157"/>
  <c r="W19" i="157"/>
  <c r="Z18" i="157"/>
  <c r="Y18" i="157"/>
  <c r="X18" i="157"/>
  <c r="W18" i="157"/>
  <c r="Z17" i="157"/>
  <c r="Y17" i="157"/>
  <c r="X17" i="157"/>
  <c r="W17" i="157"/>
  <c r="Z16" i="157"/>
  <c r="Y16" i="157"/>
  <c r="X16" i="157"/>
  <c r="W16" i="157"/>
  <c r="Z15" i="157"/>
  <c r="Y15" i="157"/>
  <c r="X15" i="157"/>
  <c r="W15" i="157"/>
  <c r="Z14" i="157"/>
  <c r="Y14" i="157"/>
  <c r="X14" i="157"/>
  <c r="W14" i="157"/>
  <c r="Z13" i="157"/>
  <c r="Y13" i="157"/>
  <c r="X13" i="157"/>
  <c r="W13" i="157"/>
  <c r="Z12" i="157"/>
  <c r="Y12" i="157"/>
  <c r="X12" i="157"/>
  <c r="W12" i="157"/>
  <c r="B12" i="157"/>
  <c r="Z11" i="157"/>
  <c r="Y11" i="157"/>
  <c r="X11" i="157"/>
  <c r="W11" i="157"/>
  <c r="B11" i="157"/>
  <c r="Z10" i="157"/>
  <c r="Y10" i="157"/>
  <c r="X10" i="157"/>
  <c r="W10" i="157"/>
  <c r="H10" i="157"/>
  <c r="B10" i="157"/>
  <c r="L10" i="157" s="1"/>
  <c r="Z9" i="157"/>
  <c r="Y9" i="157"/>
  <c r="W9" i="157"/>
  <c r="H9" i="157"/>
  <c r="X9" i="157" s="1"/>
  <c r="Z8" i="157"/>
  <c r="Y8" i="157"/>
  <c r="X8" i="157"/>
  <c r="W8" i="157"/>
  <c r="H8" i="157"/>
  <c r="Z7" i="157"/>
  <c r="Y7" i="157"/>
  <c r="W7" i="157"/>
  <c r="H7" i="157"/>
  <c r="X7" i="157" s="1"/>
  <c r="Z6" i="157"/>
  <c r="Y6" i="157"/>
  <c r="W6" i="157"/>
  <c r="H6" i="157"/>
  <c r="X6" i="157" s="1"/>
  <c r="Z5" i="157"/>
  <c r="Y5" i="157"/>
  <c r="W5" i="157"/>
  <c r="H5" i="157"/>
  <c r="X5" i="157" s="1"/>
  <c r="Z4" i="157"/>
  <c r="Y4" i="157"/>
  <c r="W4" i="157"/>
  <c r="H4" i="157"/>
  <c r="X4" i="157" s="1"/>
  <c r="Z3" i="157"/>
  <c r="Y3" i="157"/>
  <c r="W3" i="157"/>
  <c r="H3" i="157"/>
  <c r="X3" i="157" s="1"/>
  <c r="I15" i="33"/>
  <c r="H15" i="33"/>
  <c r="G15" i="33"/>
  <c r="F15" i="33"/>
  <c r="D15" i="33"/>
  <c r="C15" i="33"/>
  <c r="B15" i="33"/>
  <c r="Z20" i="156"/>
  <c r="Y20" i="156"/>
  <c r="X20" i="156"/>
  <c r="W20" i="156"/>
  <c r="Z19" i="156"/>
  <c r="Y19" i="156"/>
  <c r="X19" i="156"/>
  <c r="W19" i="156"/>
  <c r="Z18" i="156"/>
  <c r="Y18" i="156"/>
  <c r="X18" i="156"/>
  <c r="W18" i="156"/>
  <c r="Z17" i="156"/>
  <c r="Y17" i="156"/>
  <c r="X17" i="156"/>
  <c r="W17" i="156"/>
  <c r="Z16" i="156"/>
  <c r="Y16" i="156"/>
  <c r="X16" i="156"/>
  <c r="W16" i="156"/>
  <c r="Z15" i="156"/>
  <c r="Y15" i="156"/>
  <c r="X15" i="156"/>
  <c r="W15" i="156"/>
  <c r="Z14" i="156"/>
  <c r="Y14" i="156"/>
  <c r="X14" i="156"/>
  <c r="W14" i="156"/>
  <c r="Z13" i="156"/>
  <c r="Y13" i="156"/>
  <c r="X13" i="156"/>
  <c r="W13" i="156"/>
  <c r="B13" i="156"/>
  <c r="Z12" i="156"/>
  <c r="Y12" i="156"/>
  <c r="X12" i="156"/>
  <c r="W12" i="156"/>
  <c r="B12" i="156"/>
  <c r="Z11" i="156"/>
  <c r="Y11" i="156"/>
  <c r="X11" i="156"/>
  <c r="W11" i="156"/>
  <c r="B11" i="156"/>
  <c r="L8" i="156" s="1"/>
  <c r="Z10" i="156"/>
  <c r="Y10" i="156"/>
  <c r="X10" i="156"/>
  <c r="W10" i="156"/>
  <c r="H10" i="156"/>
  <c r="B10" i="156"/>
  <c r="L10" i="156" s="1"/>
  <c r="Z9" i="156"/>
  <c r="Y9" i="156"/>
  <c r="W9" i="156"/>
  <c r="L9" i="156"/>
  <c r="H9" i="156"/>
  <c r="X9" i="156" s="1"/>
  <c r="Z8" i="156"/>
  <c r="Y8" i="156"/>
  <c r="X8" i="156"/>
  <c r="W8" i="156"/>
  <c r="H8" i="156"/>
  <c r="Z7" i="156"/>
  <c r="Y7" i="156"/>
  <c r="W7" i="156"/>
  <c r="L7" i="156"/>
  <c r="H7" i="156"/>
  <c r="X7" i="156" s="1"/>
  <c r="Z6" i="156"/>
  <c r="Y6" i="156"/>
  <c r="W6" i="156"/>
  <c r="H6" i="156"/>
  <c r="X6" i="156" s="1"/>
  <c r="Z5" i="156"/>
  <c r="Y5" i="156"/>
  <c r="W5" i="156"/>
  <c r="L5" i="156"/>
  <c r="H5" i="156"/>
  <c r="X5" i="156" s="1"/>
  <c r="Z4" i="156"/>
  <c r="Y4" i="156"/>
  <c r="W4" i="156"/>
  <c r="H4" i="156"/>
  <c r="X4" i="156" s="1"/>
  <c r="Z3" i="156"/>
  <c r="Y3" i="156"/>
  <c r="W3" i="156"/>
  <c r="L3" i="156"/>
  <c r="H3" i="156"/>
  <c r="X3" i="156" s="1"/>
  <c r="I14" i="33"/>
  <c r="H14" i="33"/>
  <c r="G14" i="33"/>
  <c r="F14" i="33"/>
  <c r="D14" i="33"/>
  <c r="C14" i="33"/>
  <c r="B14" i="33"/>
  <c r="Z20" i="155"/>
  <c r="Y20" i="155"/>
  <c r="X20" i="155"/>
  <c r="W20" i="155"/>
  <c r="Z19" i="155"/>
  <c r="Y19" i="155"/>
  <c r="X19" i="155"/>
  <c r="W19" i="155"/>
  <c r="Z18" i="155"/>
  <c r="Y18" i="155"/>
  <c r="X18" i="155"/>
  <c r="W18" i="155"/>
  <c r="Z17" i="155"/>
  <c r="Y17" i="155"/>
  <c r="X17" i="155"/>
  <c r="W17" i="155"/>
  <c r="Z16" i="155"/>
  <c r="Y16" i="155"/>
  <c r="X16" i="155"/>
  <c r="W16" i="155"/>
  <c r="Z15" i="155"/>
  <c r="Y15" i="155"/>
  <c r="X15" i="155"/>
  <c r="W15" i="155"/>
  <c r="Z14" i="155"/>
  <c r="Y14" i="155"/>
  <c r="X14" i="155"/>
  <c r="W14" i="155"/>
  <c r="Z13" i="155"/>
  <c r="Y13" i="155"/>
  <c r="X13" i="155"/>
  <c r="W13" i="155"/>
  <c r="Z12" i="155"/>
  <c r="Y12" i="155"/>
  <c r="X12" i="155"/>
  <c r="W12" i="155"/>
  <c r="B12" i="155"/>
  <c r="Z11" i="155"/>
  <c r="Y11" i="155"/>
  <c r="X11" i="155"/>
  <c r="W11" i="155"/>
  <c r="B11" i="155"/>
  <c r="Z10" i="155"/>
  <c r="Y10" i="155"/>
  <c r="X10" i="155"/>
  <c r="W10" i="155"/>
  <c r="H10" i="155"/>
  <c r="B10" i="155"/>
  <c r="L10" i="155" s="1"/>
  <c r="Z9" i="155"/>
  <c r="Y9" i="155"/>
  <c r="X9" i="155"/>
  <c r="W9" i="155"/>
  <c r="H9" i="155"/>
  <c r="Z8" i="155"/>
  <c r="Y8" i="155"/>
  <c r="X8" i="155"/>
  <c r="W8" i="155"/>
  <c r="H8" i="155"/>
  <c r="Z7" i="155"/>
  <c r="Y7" i="155"/>
  <c r="X7" i="155"/>
  <c r="W7" i="155"/>
  <c r="H7" i="155"/>
  <c r="Z6" i="155"/>
  <c r="Y6" i="155"/>
  <c r="W6" i="155"/>
  <c r="H6" i="155"/>
  <c r="X6" i="155" s="1"/>
  <c r="Z5" i="155"/>
  <c r="Y5" i="155"/>
  <c r="W5" i="155"/>
  <c r="H5" i="155"/>
  <c r="X5" i="155" s="1"/>
  <c r="Z4" i="155"/>
  <c r="Y4" i="155"/>
  <c r="W4" i="155"/>
  <c r="H4" i="155"/>
  <c r="X4" i="155" s="1"/>
  <c r="Z3" i="155"/>
  <c r="Y3" i="155"/>
  <c r="W3" i="155"/>
  <c r="H3" i="155"/>
  <c r="X3" i="155" s="1"/>
  <c r="I13" i="33"/>
  <c r="H13" i="33"/>
  <c r="G13" i="33"/>
  <c r="F13" i="33"/>
  <c r="D13" i="33"/>
  <c r="C13" i="33"/>
  <c r="B13" i="33"/>
  <c r="Z20" i="154"/>
  <c r="Y20" i="154"/>
  <c r="X20" i="154"/>
  <c r="W20" i="154"/>
  <c r="Z19" i="154"/>
  <c r="Y19" i="154"/>
  <c r="X19" i="154"/>
  <c r="W19" i="154"/>
  <c r="Z18" i="154"/>
  <c r="Y18" i="154"/>
  <c r="X18" i="154"/>
  <c r="W18" i="154"/>
  <c r="Z17" i="154"/>
  <c r="Y17" i="154"/>
  <c r="X17" i="154"/>
  <c r="W17" i="154"/>
  <c r="Z16" i="154"/>
  <c r="Y16" i="154"/>
  <c r="X16" i="154"/>
  <c r="W16" i="154"/>
  <c r="Z15" i="154"/>
  <c r="Y15" i="154"/>
  <c r="X15" i="154"/>
  <c r="W15" i="154"/>
  <c r="Z14" i="154"/>
  <c r="Y14" i="154"/>
  <c r="X14" i="154"/>
  <c r="W14" i="154"/>
  <c r="Z13" i="154"/>
  <c r="Y13" i="154"/>
  <c r="X13" i="154"/>
  <c r="W13" i="154"/>
  <c r="Z12" i="154"/>
  <c r="Y12" i="154"/>
  <c r="X12" i="154"/>
  <c r="W12" i="154"/>
  <c r="B12" i="154"/>
  <c r="Z11" i="154"/>
  <c r="Y11" i="154"/>
  <c r="X11" i="154"/>
  <c r="W11" i="154"/>
  <c r="B11" i="154"/>
  <c r="Z10" i="154"/>
  <c r="Y10" i="154"/>
  <c r="W10" i="154"/>
  <c r="H10" i="154"/>
  <c r="X10" i="154" s="1"/>
  <c r="B10" i="154"/>
  <c r="L10" i="154" s="1"/>
  <c r="Z9" i="154"/>
  <c r="Y9" i="154"/>
  <c r="W9" i="154"/>
  <c r="H9" i="154"/>
  <c r="X9" i="154" s="1"/>
  <c r="Z8" i="154"/>
  <c r="Y8" i="154"/>
  <c r="W8" i="154"/>
  <c r="H8" i="154"/>
  <c r="X8" i="154" s="1"/>
  <c r="Z7" i="154"/>
  <c r="Y7" i="154"/>
  <c r="W7" i="154"/>
  <c r="H7" i="154"/>
  <c r="X7" i="154" s="1"/>
  <c r="Z6" i="154"/>
  <c r="Y6" i="154"/>
  <c r="W6" i="154"/>
  <c r="H6" i="154"/>
  <c r="X6" i="154" s="1"/>
  <c r="Z5" i="154"/>
  <c r="Y5" i="154"/>
  <c r="W5" i="154"/>
  <c r="H5" i="154"/>
  <c r="X5" i="154" s="1"/>
  <c r="Z4" i="154"/>
  <c r="Y4" i="154"/>
  <c r="W4" i="154"/>
  <c r="H4" i="154"/>
  <c r="X4" i="154" s="1"/>
  <c r="Z3" i="154"/>
  <c r="Y3" i="154"/>
  <c r="W3" i="154"/>
  <c r="H3" i="154"/>
  <c r="X3" i="154" s="1"/>
  <c r="D12" i="33"/>
  <c r="C12" i="33"/>
  <c r="B12" i="33"/>
  <c r="H5" i="153"/>
  <c r="H4" i="153"/>
  <c r="H3" i="153"/>
  <c r="X10" i="153"/>
  <c r="X3" i="153"/>
  <c r="X6" i="153"/>
  <c r="X9" i="153"/>
  <c r="Z20" i="153"/>
  <c r="Y20" i="153"/>
  <c r="X20" i="153"/>
  <c r="W20" i="153"/>
  <c r="Z19" i="153"/>
  <c r="Y19" i="153"/>
  <c r="X19" i="153"/>
  <c r="W19" i="153"/>
  <c r="Z18" i="153"/>
  <c r="Y18" i="153"/>
  <c r="X18" i="153"/>
  <c r="W18" i="153"/>
  <c r="Z17" i="153"/>
  <c r="Y17" i="153"/>
  <c r="X17" i="153"/>
  <c r="W17" i="153"/>
  <c r="Z16" i="153"/>
  <c r="Y16" i="153"/>
  <c r="X16" i="153"/>
  <c r="W16" i="153"/>
  <c r="Z15" i="153"/>
  <c r="Y15" i="153"/>
  <c r="X15" i="153"/>
  <c r="W15" i="153"/>
  <c r="Z14" i="153"/>
  <c r="Y14" i="153"/>
  <c r="X14" i="153"/>
  <c r="W14" i="153"/>
  <c r="Z13" i="153"/>
  <c r="Y13" i="153"/>
  <c r="X13" i="153"/>
  <c r="W13" i="153"/>
  <c r="Z12" i="153"/>
  <c r="Y12" i="153"/>
  <c r="X12" i="153"/>
  <c r="W12" i="153"/>
  <c r="B12" i="153"/>
  <c r="H12" i="33" s="1"/>
  <c r="Z11" i="153"/>
  <c r="Y11" i="153"/>
  <c r="X11" i="153"/>
  <c r="W11" i="153"/>
  <c r="B11" i="153"/>
  <c r="G12" i="33" s="1"/>
  <c r="Z10" i="153"/>
  <c r="Y10" i="153"/>
  <c r="W10" i="153"/>
  <c r="B10" i="153"/>
  <c r="Z9" i="153"/>
  <c r="Y9" i="153"/>
  <c r="W9" i="153"/>
  <c r="Z8" i="153"/>
  <c r="Y8" i="153"/>
  <c r="X8" i="153"/>
  <c r="W8" i="153"/>
  <c r="Z7" i="153"/>
  <c r="Y7" i="153"/>
  <c r="W7" i="153"/>
  <c r="X7" i="153"/>
  <c r="Z6" i="153"/>
  <c r="Y6" i="153"/>
  <c r="W6" i="153"/>
  <c r="Z5" i="153"/>
  <c r="Y5" i="153"/>
  <c r="W5" i="153"/>
  <c r="X5" i="153"/>
  <c r="Z4" i="153"/>
  <c r="Y4" i="153"/>
  <c r="W4" i="153"/>
  <c r="X4" i="153"/>
  <c r="Z3" i="153"/>
  <c r="Y3" i="153"/>
  <c r="W3" i="153"/>
  <c r="I11" i="33"/>
  <c r="H11" i="33"/>
  <c r="G11" i="33"/>
  <c r="F11" i="33"/>
  <c r="D11" i="33"/>
  <c r="C11" i="33"/>
  <c r="E11" i="33" s="1"/>
  <c r="B11" i="33"/>
  <c r="Z20" i="152"/>
  <c r="Y20" i="152"/>
  <c r="X20" i="152"/>
  <c r="W20" i="152"/>
  <c r="Z19" i="152"/>
  <c r="Y19" i="152"/>
  <c r="X19" i="152"/>
  <c r="W19" i="152"/>
  <c r="Z18" i="152"/>
  <c r="Y18" i="152"/>
  <c r="X18" i="152"/>
  <c r="W18" i="152"/>
  <c r="Z17" i="152"/>
  <c r="Y17" i="152"/>
  <c r="X17" i="152"/>
  <c r="W17" i="152"/>
  <c r="Z16" i="152"/>
  <c r="Y16" i="152"/>
  <c r="X16" i="152"/>
  <c r="W16" i="152"/>
  <c r="Z15" i="152"/>
  <c r="Y15" i="152"/>
  <c r="X15" i="152"/>
  <c r="W15" i="152"/>
  <c r="Z14" i="152"/>
  <c r="Y14" i="152"/>
  <c r="X14" i="152"/>
  <c r="W14" i="152"/>
  <c r="Z13" i="152"/>
  <c r="Y13" i="152"/>
  <c r="X13" i="152"/>
  <c r="W13" i="152"/>
  <c r="B13" i="152"/>
  <c r="Z12" i="152"/>
  <c r="Y12" i="152"/>
  <c r="X12" i="152"/>
  <c r="W12" i="152"/>
  <c r="B12" i="152"/>
  <c r="Z11" i="152"/>
  <c r="Y11" i="152"/>
  <c r="X11" i="152"/>
  <c r="W11" i="152"/>
  <c r="B11" i="152"/>
  <c r="L8" i="152" s="1"/>
  <c r="Z10" i="152"/>
  <c r="Y10" i="152"/>
  <c r="X10" i="152"/>
  <c r="W10" i="152"/>
  <c r="H10" i="152"/>
  <c r="B10" i="152"/>
  <c r="L10" i="152" s="1"/>
  <c r="Z9" i="152"/>
  <c r="Y9" i="152"/>
  <c r="W9" i="152"/>
  <c r="H9" i="152"/>
  <c r="X9" i="152" s="1"/>
  <c r="Z8" i="152"/>
  <c r="Y8" i="152"/>
  <c r="X8" i="152"/>
  <c r="W8" i="152"/>
  <c r="H8" i="152"/>
  <c r="Z7" i="152"/>
  <c r="Y7" i="152"/>
  <c r="W7" i="152"/>
  <c r="H7" i="152"/>
  <c r="X7" i="152" s="1"/>
  <c r="Z6" i="152"/>
  <c r="Y6" i="152"/>
  <c r="W6" i="152"/>
  <c r="H6" i="152"/>
  <c r="X6" i="152" s="1"/>
  <c r="Z5" i="152"/>
  <c r="Y5" i="152"/>
  <c r="W5" i="152"/>
  <c r="L5" i="152"/>
  <c r="H5" i="152"/>
  <c r="X5" i="152" s="1"/>
  <c r="Z4" i="152"/>
  <c r="Y4" i="152"/>
  <c r="W4" i="152"/>
  <c r="H4" i="152"/>
  <c r="X4" i="152" s="1"/>
  <c r="Z3" i="152"/>
  <c r="Y3" i="152"/>
  <c r="W3" i="152"/>
  <c r="L3" i="152"/>
  <c r="H3" i="152"/>
  <c r="X3" i="152" s="1"/>
  <c r="H10" i="33"/>
  <c r="G10" i="33"/>
  <c r="B10" i="33"/>
  <c r="Z20" i="151"/>
  <c r="Y20" i="151"/>
  <c r="X20" i="151"/>
  <c r="W20" i="151"/>
  <c r="Z19" i="151"/>
  <c r="Y19" i="151"/>
  <c r="X19" i="151"/>
  <c r="W19" i="151"/>
  <c r="Z18" i="151"/>
  <c r="Y18" i="151"/>
  <c r="X18" i="151"/>
  <c r="W18" i="151"/>
  <c r="Z17" i="151"/>
  <c r="Y17" i="151"/>
  <c r="X17" i="151"/>
  <c r="W17" i="151"/>
  <c r="Z16" i="151"/>
  <c r="Y16" i="151"/>
  <c r="X16" i="151"/>
  <c r="W16" i="151"/>
  <c r="Z15" i="151"/>
  <c r="Y15" i="151"/>
  <c r="X15" i="151"/>
  <c r="W15" i="151"/>
  <c r="Z14" i="151"/>
  <c r="Y14" i="151"/>
  <c r="X14" i="151"/>
  <c r="W14" i="151"/>
  <c r="Z13" i="151"/>
  <c r="Y13" i="151"/>
  <c r="X13" i="151"/>
  <c r="W13" i="151"/>
  <c r="Z12" i="151"/>
  <c r="Y12" i="151"/>
  <c r="X12" i="151"/>
  <c r="W12" i="151"/>
  <c r="B12" i="151"/>
  <c r="Z11" i="151"/>
  <c r="Y11" i="151"/>
  <c r="X11" i="151"/>
  <c r="W11" i="151"/>
  <c r="B11" i="151"/>
  <c r="Z10" i="151"/>
  <c r="Y10" i="151"/>
  <c r="W10" i="151"/>
  <c r="H10" i="151"/>
  <c r="X10" i="151" s="1"/>
  <c r="B10" i="151"/>
  <c r="L10" i="151" s="1"/>
  <c r="Z9" i="151"/>
  <c r="Y9" i="151"/>
  <c r="W9" i="151"/>
  <c r="H9" i="151"/>
  <c r="X9" i="151" s="1"/>
  <c r="Z8" i="151"/>
  <c r="Y8" i="151"/>
  <c r="W8" i="151"/>
  <c r="H8" i="151"/>
  <c r="X8" i="151" s="1"/>
  <c r="Z7" i="151"/>
  <c r="Y7" i="151"/>
  <c r="W7" i="151"/>
  <c r="H7" i="151"/>
  <c r="X7" i="151" s="1"/>
  <c r="Z6" i="151"/>
  <c r="Y6" i="151"/>
  <c r="W6" i="151"/>
  <c r="H6" i="151"/>
  <c r="X6" i="151" s="1"/>
  <c r="Z5" i="151"/>
  <c r="Y5" i="151"/>
  <c r="W5" i="151"/>
  <c r="H5" i="151"/>
  <c r="Z4" i="151"/>
  <c r="Y4" i="151"/>
  <c r="W4" i="151"/>
  <c r="H4" i="151"/>
  <c r="X4" i="151" s="1"/>
  <c r="Z3" i="151"/>
  <c r="Y3" i="151"/>
  <c r="W3" i="151"/>
  <c r="H3" i="151"/>
  <c r="I9" i="33"/>
  <c r="H9" i="33"/>
  <c r="G9" i="33"/>
  <c r="F9" i="33"/>
  <c r="D9" i="33"/>
  <c r="C9" i="33"/>
  <c r="E9" i="33" s="1"/>
  <c r="B9" i="33"/>
  <c r="H9" i="150"/>
  <c r="X9" i="150" s="1"/>
  <c r="H10" i="150"/>
  <c r="X10" i="150" s="1"/>
  <c r="Z20" i="150"/>
  <c r="Y20" i="150"/>
  <c r="X20" i="150"/>
  <c r="W20" i="150"/>
  <c r="Z19" i="150"/>
  <c r="Y19" i="150"/>
  <c r="X19" i="150"/>
  <c r="W19" i="150"/>
  <c r="Z18" i="150"/>
  <c r="Y18" i="150"/>
  <c r="X18" i="150"/>
  <c r="W18" i="150"/>
  <c r="Z17" i="150"/>
  <c r="Y17" i="150"/>
  <c r="X17" i="150"/>
  <c r="W17" i="150"/>
  <c r="Z16" i="150"/>
  <c r="Y16" i="150"/>
  <c r="X16" i="150"/>
  <c r="W16" i="150"/>
  <c r="Z15" i="150"/>
  <c r="Y15" i="150"/>
  <c r="X15" i="150"/>
  <c r="W15" i="150"/>
  <c r="Z14" i="150"/>
  <c r="Y14" i="150"/>
  <c r="X14" i="150"/>
  <c r="W14" i="150"/>
  <c r="Z13" i="150"/>
  <c r="Y13" i="150"/>
  <c r="X13" i="150"/>
  <c r="W13" i="150"/>
  <c r="Z12" i="150"/>
  <c r="Y12" i="150"/>
  <c r="X12" i="150"/>
  <c r="W12" i="150"/>
  <c r="B12" i="150"/>
  <c r="Z11" i="150"/>
  <c r="Y11" i="150"/>
  <c r="X11" i="150"/>
  <c r="W11" i="150"/>
  <c r="B11" i="150"/>
  <c r="L9" i="150" s="1"/>
  <c r="Z10" i="150"/>
  <c r="Y10" i="150"/>
  <c r="W10" i="150"/>
  <c r="B10" i="150"/>
  <c r="Z9" i="150"/>
  <c r="Y9" i="150"/>
  <c r="W9" i="150"/>
  <c r="Z8" i="150"/>
  <c r="Y8" i="150"/>
  <c r="W8" i="150"/>
  <c r="H8" i="150"/>
  <c r="X8" i="150" s="1"/>
  <c r="Z7" i="150"/>
  <c r="Y7" i="150"/>
  <c r="W7" i="150"/>
  <c r="H7" i="150"/>
  <c r="X7" i="150" s="1"/>
  <c r="Z6" i="150"/>
  <c r="Y6" i="150"/>
  <c r="W6" i="150"/>
  <c r="H6" i="150"/>
  <c r="X6" i="150" s="1"/>
  <c r="Z5" i="150"/>
  <c r="Y5" i="150"/>
  <c r="W5" i="150"/>
  <c r="H5" i="150"/>
  <c r="X5" i="150" s="1"/>
  <c r="Z4" i="150"/>
  <c r="Y4" i="150"/>
  <c r="W4" i="150"/>
  <c r="H4" i="150"/>
  <c r="X4" i="150" s="1"/>
  <c r="Z3" i="150"/>
  <c r="Y3" i="150"/>
  <c r="W3" i="150"/>
  <c r="H3" i="150"/>
  <c r="X3" i="150" s="1"/>
  <c r="I7" i="33"/>
  <c r="I6" i="33"/>
  <c r="I5" i="33"/>
  <c r="I4" i="33"/>
  <c r="H8" i="33"/>
  <c r="H7" i="33"/>
  <c r="H6" i="33"/>
  <c r="H5" i="33"/>
  <c r="H4" i="33"/>
  <c r="G8" i="33"/>
  <c r="G7" i="33"/>
  <c r="G6" i="33"/>
  <c r="G5" i="33"/>
  <c r="G4" i="33"/>
  <c r="F7" i="33"/>
  <c r="F6" i="33"/>
  <c r="F5" i="33"/>
  <c r="F4" i="33"/>
  <c r="D8" i="33"/>
  <c r="D7" i="33"/>
  <c r="D6" i="33"/>
  <c r="D5" i="33"/>
  <c r="D4" i="33"/>
  <c r="C8" i="33"/>
  <c r="C7" i="33"/>
  <c r="C6" i="33"/>
  <c r="C5" i="33"/>
  <c r="E5" i="33" s="1"/>
  <c r="C4" i="33"/>
  <c r="C3" i="33"/>
  <c r="B8" i="33"/>
  <c r="B7" i="33"/>
  <c r="B6" i="33"/>
  <c r="B5" i="33"/>
  <c r="B4" i="33"/>
  <c r="B3" i="33"/>
  <c r="X22" i="149"/>
  <c r="Y22" i="149"/>
  <c r="Z22" i="149"/>
  <c r="X23" i="149"/>
  <c r="Y23" i="149"/>
  <c r="Z23" i="149"/>
  <c r="W22" i="149"/>
  <c r="W23" i="149"/>
  <c r="Z6" i="149"/>
  <c r="Z7" i="149"/>
  <c r="Z8" i="149"/>
  <c r="Z9" i="149"/>
  <c r="Z10" i="149"/>
  <c r="Z11" i="149"/>
  <c r="Z12" i="149"/>
  <c r="Z13" i="149"/>
  <c r="Z14" i="149"/>
  <c r="Z15" i="149"/>
  <c r="Z16" i="149"/>
  <c r="Z17" i="149"/>
  <c r="Z18" i="149"/>
  <c r="Z19" i="149"/>
  <c r="Z20" i="149"/>
  <c r="Z21" i="149"/>
  <c r="Y6" i="149"/>
  <c r="Y7" i="149"/>
  <c r="Y8" i="149"/>
  <c r="Y9" i="149"/>
  <c r="Y10" i="149"/>
  <c r="Y11" i="149"/>
  <c r="Y12" i="149"/>
  <c r="Y13" i="149"/>
  <c r="Y14" i="149"/>
  <c r="Y15" i="149"/>
  <c r="Y16" i="149"/>
  <c r="Y17" i="149"/>
  <c r="Y18" i="149"/>
  <c r="Y19" i="149"/>
  <c r="Y20" i="149"/>
  <c r="Y21" i="149"/>
  <c r="X6" i="149"/>
  <c r="X9" i="149"/>
  <c r="X10" i="149"/>
  <c r="X11" i="149"/>
  <c r="X12" i="149"/>
  <c r="X13" i="149"/>
  <c r="X14" i="149"/>
  <c r="X15" i="149"/>
  <c r="X16" i="149"/>
  <c r="X17" i="149"/>
  <c r="X18" i="149"/>
  <c r="X19" i="149"/>
  <c r="X20" i="149"/>
  <c r="X21" i="149"/>
  <c r="W6" i="149"/>
  <c r="W7" i="149"/>
  <c r="W8" i="149"/>
  <c r="W9" i="149"/>
  <c r="W10" i="149"/>
  <c r="W11" i="149"/>
  <c r="W12" i="149"/>
  <c r="W13" i="149"/>
  <c r="W14" i="149"/>
  <c r="W15" i="149"/>
  <c r="W16" i="149"/>
  <c r="W17" i="149"/>
  <c r="W18" i="149"/>
  <c r="W19" i="149"/>
  <c r="W20" i="149"/>
  <c r="W21" i="149"/>
  <c r="H4" i="149"/>
  <c r="H5" i="149"/>
  <c r="H6" i="149"/>
  <c r="H7" i="149"/>
  <c r="X7" i="149" s="1"/>
  <c r="H8" i="149"/>
  <c r="X8" i="149" s="1"/>
  <c r="H3" i="149"/>
  <c r="X3" i="149" s="1"/>
  <c r="B12" i="149"/>
  <c r="B11" i="149"/>
  <c r="B10" i="149"/>
  <c r="Z5" i="149"/>
  <c r="Y5" i="149"/>
  <c r="W5" i="149"/>
  <c r="Z4" i="149"/>
  <c r="Y4" i="149"/>
  <c r="W4" i="149"/>
  <c r="Z3" i="149"/>
  <c r="Y3" i="149"/>
  <c r="W3" i="149"/>
  <c r="B10" i="148"/>
  <c r="B10" i="147"/>
  <c r="B12" i="148"/>
  <c r="B11" i="148"/>
  <c r="Z5" i="148"/>
  <c r="Y5" i="148"/>
  <c r="X5" i="148"/>
  <c r="W5" i="148"/>
  <c r="Z4" i="148"/>
  <c r="Y4" i="148"/>
  <c r="X4" i="148"/>
  <c r="W4" i="148"/>
  <c r="Z3" i="148"/>
  <c r="Y3" i="148"/>
  <c r="W3" i="148"/>
  <c r="H3" i="148"/>
  <c r="X3" i="148" s="1"/>
  <c r="G2" i="127"/>
  <c r="H2" i="127"/>
  <c r="F2" i="127"/>
  <c r="H3" i="147"/>
  <c r="B12" i="147"/>
  <c r="B11" i="147"/>
  <c r="Z5" i="147"/>
  <c r="Y5" i="147"/>
  <c r="X5" i="147"/>
  <c r="W5" i="147"/>
  <c r="Z4" i="147"/>
  <c r="Y4" i="147"/>
  <c r="X4" i="147"/>
  <c r="W4" i="147"/>
  <c r="Z3" i="147"/>
  <c r="Y3" i="147"/>
  <c r="W3" i="147"/>
  <c r="X3" i="147"/>
  <c r="B12" i="146"/>
  <c r="B11" i="146"/>
  <c r="B10" i="146"/>
  <c r="Z5" i="146"/>
  <c r="Y5" i="146"/>
  <c r="X5" i="146"/>
  <c r="W5" i="146"/>
  <c r="Z4" i="146"/>
  <c r="Y4" i="146"/>
  <c r="X4" i="146"/>
  <c r="W4" i="146"/>
  <c r="Z3" i="146"/>
  <c r="Y3" i="146"/>
  <c r="W3" i="146"/>
  <c r="H3" i="146"/>
  <c r="X3" i="146" s="1"/>
  <c r="B12" i="145"/>
  <c r="B11" i="145"/>
  <c r="B10" i="145"/>
  <c r="Z5" i="145"/>
  <c r="Y5" i="145"/>
  <c r="X5" i="145"/>
  <c r="W5" i="145"/>
  <c r="Z4" i="145"/>
  <c r="Y4" i="145"/>
  <c r="X4" i="145"/>
  <c r="W4" i="145"/>
  <c r="Z3" i="145"/>
  <c r="Y3" i="145"/>
  <c r="W3" i="145"/>
  <c r="H3" i="145"/>
  <c r="X3" i="145" s="1"/>
  <c r="E15" i="33" l="1"/>
  <c r="E16" i="33"/>
  <c r="E7" i="33"/>
  <c r="E13" i="33"/>
  <c r="E17" i="33"/>
  <c r="E19" i="33"/>
  <c r="E6" i="33"/>
  <c r="E14" i="33"/>
  <c r="E18" i="33"/>
  <c r="E12" i="33"/>
  <c r="E4" i="33"/>
  <c r="E21" i="33"/>
  <c r="E8" i="33"/>
  <c r="B14" i="151"/>
  <c r="F10" i="33" s="1"/>
  <c r="C10" i="33"/>
  <c r="E10" i="33" s="1"/>
  <c r="L9" i="162"/>
  <c r="L4" i="162"/>
  <c r="L6" i="162"/>
  <c r="L8" i="162"/>
  <c r="L4" i="161"/>
  <c r="L6" i="161"/>
  <c r="L9" i="160"/>
  <c r="L7" i="160"/>
  <c r="L4" i="160"/>
  <c r="L6" i="160"/>
  <c r="L6" i="159"/>
  <c r="B13" i="159"/>
  <c r="L3" i="159"/>
  <c r="L5" i="159"/>
  <c r="L7" i="159"/>
  <c r="L9" i="159"/>
  <c r="L4" i="159"/>
  <c r="L8" i="159"/>
  <c r="L3" i="158"/>
  <c r="B13" i="158"/>
  <c r="L6" i="157"/>
  <c r="L9" i="157"/>
  <c r="L7" i="157"/>
  <c r="B13" i="157"/>
  <c r="L3" i="157"/>
  <c r="L5" i="157"/>
  <c r="L4" i="157"/>
  <c r="L8" i="157"/>
  <c r="L4" i="156"/>
  <c r="L6" i="156"/>
  <c r="L8" i="155"/>
  <c r="L9" i="155"/>
  <c r="L7" i="155"/>
  <c r="B13" i="155"/>
  <c r="L3" i="155"/>
  <c r="L5" i="155"/>
  <c r="L4" i="155"/>
  <c r="L6" i="155"/>
  <c r="L8" i="154"/>
  <c r="L9" i="154"/>
  <c r="L7" i="154"/>
  <c r="B13" i="154"/>
  <c r="L3" i="154"/>
  <c r="L5" i="154"/>
  <c r="L4" i="154"/>
  <c r="L6" i="154"/>
  <c r="L5" i="153"/>
  <c r="B13" i="153"/>
  <c r="I12" i="33" s="1"/>
  <c r="L3" i="153"/>
  <c r="F12" i="33" s="1"/>
  <c r="L4" i="153"/>
  <c r="L9" i="152"/>
  <c r="L7" i="152"/>
  <c r="L4" i="152"/>
  <c r="L6" i="152"/>
  <c r="L3" i="151"/>
  <c r="L8" i="151"/>
  <c r="L5" i="151"/>
  <c r="L7" i="151"/>
  <c r="L9" i="151"/>
  <c r="X3" i="151"/>
  <c r="B13" i="151" s="1"/>
  <c r="I10" i="33" s="1"/>
  <c r="X5" i="151"/>
  <c r="L4" i="151"/>
  <c r="L6" i="151"/>
  <c r="L10" i="150"/>
  <c r="L4" i="150"/>
  <c r="L7" i="150"/>
  <c r="L6" i="150"/>
  <c r="L8" i="150"/>
  <c r="B13" i="150"/>
  <c r="L3" i="150"/>
  <c r="L5" i="150"/>
  <c r="L4" i="149"/>
  <c r="L7" i="149"/>
  <c r="L6" i="149"/>
  <c r="L3" i="149"/>
  <c r="L8" i="149"/>
  <c r="L5" i="149"/>
  <c r="X4" i="149"/>
  <c r="X5" i="149"/>
  <c r="B13" i="149"/>
  <c r="I8" i="33" s="1"/>
  <c r="L3" i="147"/>
  <c r="L3" i="148"/>
  <c r="B13" i="148"/>
  <c r="B13" i="147"/>
  <c r="B13" i="146"/>
  <c r="L3" i="146"/>
  <c r="L3" i="145"/>
  <c r="B13" i="145"/>
  <c r="B12" i="144"/>
  <c r="B11" i="144"/>
  <c r="B10" i="144"/>
  <c r="Z5" i="144"/>
  <c r="Y5" i="144"/>
  <c r="W5" i="144"/>
  <c r="X5" i="144"/>
  <c r="Z4" i="144"/>
  <c r="Y4" i="144"/>
  <c r="W4" i="144"/>
  <c r="X4" i="144"/>
  <c r="Z3" i="144"/>
  <c r="Y3" i="144"/>
  <c r="W3" i="144"/>
  <c r="X3" i="144"/>
  <c r="H3" i="33" l="1"/>
  <c r="P3" i="33" s="1"/>
  <c r="G3" i="33"/>
  <c r="E3" i="33" s="1"/>
  <c r="L3" i="144"/>
  <c r="B14" i="144" s="1"/>
  <c r="F3" i="33" s="1"/>
  <c r="B13" i="144"/>
  <c r="I3" i="33" s="1"/>
  <c r="M3" i="33" l="1"/>
  <c r="O3" i="33" l="1"/>
  <c r="L3" i="33" s="1"/>
  <c r="K3" i="33" l="1"/>
  <c r="Q3" i="33" l="1"/>
  <c r="K200" i="127" l="1"/>
  <c r="I2" i="127" s="1"/>
  <c r="R3" i="33"/>
  <c r="N3" i="33"/>
  <c r="S3" i="33"/>
  <c r="F8" i="33"/>
  <c r="T3" i="33" l="1"/>
</calcChain>
</file>

<file path=xl/sharedStrings.xml><?xml version="1.0" encoding="utf-8"?>
<sst xmlns="http://schemas.openxmlformats.org/spreadsheetml/2006/main" count="2542" uniqueCount="253">
  <si>
    <t>LV0000103612</t>
  </si>
  <si>
    <t>PTV</t>
  </si>
  <si>
    <t>R077</t>
  </si>
  <si>
    <t>R081</t>
  </si>
  <si>
    <t>J044</t>
  </si>
  <si>
    <t>J067</t>
  </si>
  <si>
    <t>J040</t>
  </si>
  <si>
    <t>J046</t>
  </si>
  <si>
    <t>J052</t>
  </si>
  <si>
    <t>J062</t>
  </si>
  <si>
    <t>Palūkanos</t>
  </si>
  <si>
    <t>LV0000103604</t>
  </si>
  <si>
    <t>R078</t>
  </si>
  <si>
    <t>R079</t>
  </si>
  <si>
    <t>R080</t>
  </si>
  <si>
    <t>J053</t>
  </si>
  <si>
    <t>J059</t>
  </si>
  <si>
    <t>J061</t>
  </si>
  <si>
    <t>LV0000103620</t>
  </si>
  <si>
    <t>J036</t>
  </si>
  <si>
    <t>J038</t>
  </si>
  <si>
    <t>J063</t>
  </si>
  <si>
    <t>J071</t>
  </si>
  <si>
    <t>LV0000103745</t>
  </si>
  <si>
    <t>J066</t>
  </si>
  <si>
    <t>J074</t>
  </si>
  <si>
    <t>LV0000103752</t>
  </si>
  <si>
    <t>LV0000103810</t>
  </si>
  <si>
    <t>LV0000103828</t>
  </si>
  <si>
    <t>LV0000103935</t>
  </si>
  <si>
    <t>J048</t>
  </si>
  <si>
    <t>J060</t>
  </si>
  <si>
    <t>J072</t>
  </si>
  <si>
    <t>J073</t>
  </si>
  <si>
    <t>J076</t>
  </si>
  <si>
    <t>R084</t>
  </si>
  <si>
    <t>J041</t>
  </si>
  <si>
    <t>LV0000103927</t>
  </si>
  <si>
    <t>J049</t>
  </si>
  <si>
    <t>J050</t>
  </si>
  <si>
    <t>LV0000103950</t>
  </si>
  <si>
    <t>LV0000103976</t>
  </si>
  <si>
    <t>LV0000103968</t>
  </si>
  <si>
    <t>LV0000104081</t>
  </si>
  <si>
    <t>R030</t>
  </si>
  <si>
    <t>J037</t>
  </si>
  <si>
    <t>R085</t>
  </si>
  <si>
    <t>R086</t>
  </si>
  <si>
    <t>R087</t>
  </si>
  <si>
    <t>R088</t>
  </si>
  <si>
    <t>LV0000104099</t>
  </si>
  <si>
    <t>J039</t>
  </si>
  <si>
    <t>LV0000104107</t>
  </si>
  <si>
    <t>J035</t>
  </si>
  <si>
    <t>J051</t>
  </si>
  <si>
    <t>LV0000104198</t>
  </si>
  <si>
    <t>LV0000104206</t>
  </si>
  <si>
    <t>LV0000104180</t>
  </si>
  <si>
    <t>J065</t>
  </si>
  <si>
    <t>LV0000104289</t>
  </si>
  <si>
    <t>LV0000104297</t>
  </si>
  <si>
    <t>LV0000104305</t>
  </si>
  <si>
    <t>LV0000104560</t>
  </si>
  <si>
    <t>LV0000104578</t>
  </si>
  <si>
    <t>LV0000104586</t>
  </si>
  <si>
    <t>LV0000104628</t>
  </si>
  <si>
    <t>LV0000104636</t>
  </si>
  <si>
    <t>J042</t>
  </si>
  <si>
    <t>J055</t>
  </si>
  <si>
    <t>J056</t>
  </si>
  <si>
    <t>J057</t>
  </si>
  <si>
    <t>J064</t>
  </si>
  <si>
    <t>J068</t>
  </si>
  <si>
    <t>J069</t>
  </si>
  <si>
    <t>LV0000104644</t>
  </si>
  <si>
    <t>LV0000104891</t>
  </si>
  <si>
    <t>LV0000104909</t>
  </si>
  <si>
    <t>LV0000104917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</si>
  <si>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</si>
  <si>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</si>
  <si>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</si>
  <si>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</si>
  <si>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</si>
  <si>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</si>
  <si>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</si>
  <si>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</si>
  <si>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</si>
  <si>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Grąžinta</t>
  </si>
  <si>
    <t>Data</t>
  </si>
  <si>
    <t>Pelnas</t>
  </si>
  <si>
    <t>Vertė</t>
  </si>
  <si>
    <t>Mortgage loan ID</t>
  </si>
  <si>
    <t>House at Carrer de la Roca</t>
  </si>
  <si>
    <t>PDT</t>
  </si>
  <si>
    <t>Investuota</t>
  </si>
  <si>
    <t>Laikas</t>
  </si>
  <si>
    <t>Grąž. Data</t>
  </si>
  <si>
    <t>Note</t>
  </si>
  <si>
    <t>House at Calle Pino Apolinario</t>
  </si>
  <si>
    <t>House at Calle Concepción Arenal</t>
  </si>
  <si>
    <t>Flat at Calle Mercurio</t>
  </si>
  <si>
    <t>House in Aznalcázar</t>
  </si>
  <si>
    <t>House in Camas</t>
  </si>
  <si>
    <t>Apartment in Almeria</t>
  </si>
  <si>
    <t>House in Les Preses</t>
  </si>
  <si>
    <t>Apartment in Mataro</t>
  </si>
  <si>
    <t>House in Torrelles de Llobregat</t>
  </si>
  <si>
    <t>House in St. Quirze Valles</t>
  </si>
  <si>
    <t>Apartment in Badalona</t>
  </si>
  <si>
    <t>Apartment in Madrid</t>
  </si>
  <si>
    <t>Apartment in Sabinanigo</t>
  </si>
  <si>
    <t>House in Alicante and Apartment in Albacete</t>
  </si>
  <si>
    <t>Apartment in Vigo</t>
  </si>
  <si>
    <t>Apartment in Adra</t>
  </si>
  <si>
    <t>Apartment in Santa Cruz de Tenerife</t>
  </si>
  <si>
    <t>Apartments in Alicante and Almeria</t>
  </si>
  <si>
    <t>Apartment in Sant Pere de Ribes</t>
  </si>
  <si>
    <t>Apartment on Calle Manresa</t>
  </si>
  <si>
    <t>Flat at Calle Noguera</t>
  </si>
  <si>
    <t>House at Calle Virgen María</t>
  </si>
  <si>
    <t>House in Les Franqueses del Valles</t>
  </si>
  <si>
    <t>House in Lloret de Mar</t>
  </si>
  <si>
    <t>House in Llinars del Valles</t>
  </si>
  <si>
    <t>Apartment in Vic</t>
  </si>
  <si>
    <t>House in Arroyomolinos</t>
  </si>
  <si>
    <t>Apartment in Fuenlabrada</t>
  </si>
  <si>
    <t>Apartment in Cambrils</t>
  </si>
  <si>
    <t>House in Torrevieja</t>
  </si>
  <si>
    <t>Apartment and House in Malaga</t>
  </si>
  <si>
    <t>Apartment in Torrejón de Ardoz</t>
  </si>
  <si>
    <t>Apartments in Sevilla</t>
  </si>
  <si>
    <t>House in Castellar del Valles</t>
  </si>
  <si>
    <t>House in Llers</t>
  </si>
  <si>
    <t>Apartment in Sabadell</t>
  </si>
  <si>
    <t>Apartment on Calle Covadonga</t>
  </si>
  <si>
    <t>Apartment in Terrassa</t>
  </si>
  <si>
    <t>House in Vacarisses</t>
  </si>
  <si>
    <t>House in Viladecavalls</t>
  </si>
  <si>
    <t>Apartament in St. Cugat Valles</t>
  </si>
  <si>
    <t>Apartment in Parla</t>
  </si>
  <si>
    <t>Apartment on Calle Guadalajara</t>
  </si>
  <si>
    <t>Apartment in Adeje</t>
  </si>
  <si>
    <t>Apartment on Calle San Roque</t>
  </si>
  <si>
    <t>Apartment on Ronda de los Tejares</t>
  </si>
  <si>
    <t>House in Piera</t>
  </si>
  <si>
    <t>Apartment in Roquetas de Mar</t>
  </si>
  <si>
    <t>House in Fines</t>
  </si>
  <si>
    <t>House in Vejer de la Frontera</t>
  </si>
  <si>
    <t>Apartment and Land in Madrid</t>
  </si>
  <si>
    <t>Apartment in Barcelona</t>
  </si>
  <si>
    <t>LV0000105054</t>
  </si>
  <si>
    <t>LV0000105369</t>
  </si>
  <si>
    <t>R099</t>
  </si>
  <si>
    <t>R100</t>
  </si>
  <si>
    <t>R101</t>
  </si>
  <si>
    <t>R102</t>
  </si>
  <si>
    <t>R103</t>
  </si>
  <si>
    <t>R104</t>
  </si>
  <si>
    <t>LV0000105377</t>
  </si>
  <si>
    <t>LV0000105385</t>
  </si>
  <si>
    <t>LV0000105799</t>
  </si>
  <si>
    <t>J043</t>
  </si>
  <si>
    <t>J054</t>
  </si>
  <si>
    <t>R098</t>
  </si>
  <si>
    <t>R105</t>
  </si>
  <si>
    <t>R111</t>
  </si>
  <si>
    <t>R107</t>
  </si>
  <si>
    <t>R108</t>
  </si>
  <si>
    <t>Apartment and House in Lleida</t>
  </si>
  <si>
    <t>LV0000105807</t>
  </si>
  <si>
    <t>LV0000105815</t>
  </si>
  <si>
    <t>Apartment on Carrer de l'Harmonia</t>
  </si>
  <si>
    <t>Apartment in Calafell</t>
  </si>
  <si>
    <t>Apartment in La Pobla De Montornés</t>
  </si>
  <si>
    <t>House in Elche</t>
  </si>
  <si>
    <t>Apartments in Igualada</t>
  </si>
  <si>
    <t>House, apartment and commercial premise in Barcelona</t>
  </si>
  <si>
    <t>Apartment in Sant Joan d’Alacant</t>
  </si>
  <si>
    <t>Apartment in Escorial</t>
  </si>
  <si>
    <t>House in Pucol</t>
  </si>
  <si>
    <t>House in Masssamagrell</t>
  </si>
  <si>
    <t>LV0000106102</t>
  </si>
  <si>
    <t>R119</t>
  </si>
  <si>
    <t>R120</t>
  </si>
  <si>
    <t>R121</t>
  </si>
  <si>
    <t>R122</t>
  </si>
  <si>
    <t>R123</t>
  </si>
  <si>
    <t>LV0000106110</t>
  </si>
  <si>
    <t>LV0000106128</t>
  </si>
  <si>
    <t>House in Santa Margarida I Els Monjos</t>
  </si>
  <si>
    <t>House in Vilanova del Valles</t>
  </si>
  <si>
    <t>House, Apartment in Jaen and Ap. in Torrenueva Costa</t>
  </si>
  <si>
    <t>House in Cordoba</t>
  </si>
  <si>
    <t>Apartment in Capdepera</t>
  </si>
  <si>
    <t>LV0000106391</t>
  </si>
  <si>
    <t>LV0000106409</t>
  </si>
  <si>
    <t>LV0000106458</t>
  </si>
  <si>
    <t>LV0000106557</t>
  </si>
  <si>
    <t>R128</t>
  </si>
  <si>
    <t>R129</t>
  </si>
  <si>
    <t>R130</t>
  </si>
  <si>
    <t>R131</t>
  </si>
  <si>
    <t>LV0000106565</t>
  </si>
  <si>
    <t>LV0000106573</t>
  </si>
  <si>
    <t>Apartments in Cambrils</t>
  </si>
  <si>
    <t>Apartment in Alcorcon</t>
  </si>
  <si>
    <t>House in Terrassa</t>
  </si>
  <si>
    <t>Įnešta</t>
  </si>
  <si>
    <t>Išimta</t>
  </si>
  <si>
    <t>Paskola</t>
  </si>
  <si>
    <t>Premijos</t>
  </si>
  <si>
    <t>Gryni</t>
  </si>
  <si>
    <t>LV0000107373</t>
  </si>
  <si>
    <t>R150</t>
  </si>
  <si>
    <t>R151</t>
  </si>
  <si>
    <t>R152</t>
  </si>
  <si>
    <t>R156</t>
  </si>
  <si>
    <t>R157</t>
  </si>
  <si>
    <t>R158</t>
  </si>
  <si>
    <t>LV0000107381</t>
  </si>
  <si>
    <t>LV0000107399</t>
  </si>
  <si>
    <t>Two Commercial premises and two apart. in Valencia</t>
  </si>
  <si>
    <t>House in Barcelona</t>
  </si>
  <si>
    <t>House in Girona</t>
  </si>
  <si>
    <t>Two Houses in Girona</t>
  </si>
  <si>
    <t>House in Alicante</t>
  </si>
  <si>
    <t>Apartment and House in Sevilla</t>
  </si>
  <si>
    <t>Paskolos pradžia</t>
  </si>
  <si>
    <t>Suma</t>
  </si>
  <si>
    <t>Grąžinimas</t>
  </si>
  <si>
    <t>Pinigai</t>
  </si>
  <si>
    <t>Apartment in Tona</t>
  </si>
  <si>
    <t>R175</t>
  </si>
  <si>
    <t>LV0000108512</t>
  </si>
  <si>
    <t>R180</t>
  </si>
  <si>
    <t>Semi-Detached House in Barcelona</t>
  </si>
  <si>
    <t>LV0000108645</t>
  </si>
  <si>
    <t>R256</t>
  </si>
  <si>
    <t>Apartment in Alcala de Henares</t>
  </si>
  <si>
    <t>LVX0000UAG94</t>
  </si>
  <si>
    <t>Paskola grąžinta</t>
  </si>
  <si>
    <t>Pavadinimas</t>
  </si>
  <si>
    <t>XIRR</t>
  </si>
  <si>
    <t>Terminas</t>
  </si>
  <si>
    <t>Loan ID</t>
  </si>
  <si>
    <t>Viso</t>
  </si>
  <si>
    <t>%</t>
  </si>
  <si>
    <t>Eur</t>
  </si>
  <si>
    <t>C004</t>
  </si>
  <si>
    <t>Apartments and a House in Madrid</t>
  </si>
  <si>
    <t>LVX0000UXRQ8</t>
  </si>
  <si>
    <t>R259</t>
  </si>
  <si>
    <t>LVX0000V82T4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</si>
</sst>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2" fillId="0" borderId="1" xfId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0" xfId="0" applyNumberFormat="1" applyAlignment="1">
      <alignment horizontal="center"/>
    </xf>
    <xf numFmtId="165" fontId="0" fillId="0" borderId="0" xfId="0" applyNumberFormat="1"/>
    <xf numFmtId="10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7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wiev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26ED45-40F1-4104-AAE5-8820A83EA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A0BA12-6EFA-4FBA-828A-5EB97962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B23ACE-24E4-43D6-86A5-71E6EBE0B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1CA6A-CE06-4A34-893B-422A8E13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73FBF7-A619-45F0-9BD9-89C6058D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2EE66-23B4-4872-A7E5-0AC160C6B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CDB9E-E516-4B9D-BEAC-910A31337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08DF14-2152-461D-8F90-F459DC84F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60B69D-F7CC-43F7-9EB7-12D35775A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A32054-8C85-4598-AEC3-B86E57B7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796819-2C9E-4B11-AC62-9EDE9985F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6BD4F6-D715-4046-A2AD-2DFEDBB58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B079B-5883-4003-8324-6BC30A706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1AFC1E-902C-4ED9-90B6-873F6D748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5067B0-1F0A-46E9-BFAD-84E8EDBE0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8516CA-549D-4A41-A91C-D0B7F1AC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C7553-038D-4067-8575-A9C40F629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BA157A-B47F-4891-9575-815FD249A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426B29-963F-4231-BE74-FFDCCB080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C39360-C32F-4704-8BD9-A02A2CD40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6F1A5-C3C6-431F-AD6F-0D995796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FD687-5C6F-4112-B408-D63595858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6355CD-B6A7-4806-8364-7C5213A38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DB348-BFE9-4B62-8664-18858D1ED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2E3C57-B9F8-4189-8160-72C53F59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18B1B-B852-46E4-BA05-3D2F304FF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3C24A2-EEB7-4949-8FB5-B753C80EF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079A36-B53D-4040-BE6B-1ADF56F11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7EECAC-2FCE-4425-95E4-C88227886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28221-EFD3-45BE-91BB-C50232134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1F806-D124-4ECB-A9A4-F91C9C5DC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A7AEFA-3B24-4F42-B9F3-5FB22C956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6317B-D55D-4017-8594-1992908A7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18BD1-D66C-49A5-89E6-B6D345ABB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834215-8592-4A8F-9E66-CF8132333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5A0D58-EF30-474A-A628-EFACC082C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C5E2F3-7DDB-4BBF-ACBE-414926D1E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33B8F-C0D4-46E3-8B07-311043F92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085EB-4676-4980-A9E4-9637EFE5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D44F37-1B9B-4489-82A1-B49B8CE77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C4A04-B96F-4777-A938-8BF4B24C4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BD087B-A415-4479-82A9-3088062B6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F5BD1-85DC-4724-B8D2-9F22D8CF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57E509-CF90-418B-8556-76E5FFCBC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B8DE1E-CD15-4F58-B4AA-DDC0C4541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B5AA9-818E-4124-9B45-465539D17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3FA7FD-E1C2-40A4-B127-F13EC516E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E98F0-5725-4E1C-AEF1-DB14D90C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CC368-B5D0-4625-847A-5F92FC8F9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B1274-650E-4B7F-AA2B-288102559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49478-7937-4EBA-9939-E40FF2D9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4BA560-6D73-4EB4-907D-BADDA7622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380A0-7E2B-4D5F-8611-66519E75A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F8DCBF-7896-4207-9D57-D3D834FB2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C6700-9748-4A72-BE5B-A0C7222FD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49738A-B0A7-4BDD-B96F-D5F2F8C10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6EEC60-5E8A-45FE-B24E-5266AE03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719541-3934-48CF-88BA-644EAE257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3387FA-3EF6-4E48-AAA2-95D050520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B9B08E-19FF-41C5-A6E7-9E6EF5E45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051AE-5C79-48E6-96BD-05B643B65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70BDC6-B826-421F-9472-8343753B5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C115DD-5DC2-4B84-A4D7-DC80D51A0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7C1162-7D6F-4019-A042-FC993DA27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28586-4E9F-4C5D-83D1-CAA8BA258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6A2BE3-7772-4544-BCFC-F18CD671C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8584EB-BBEE-45A3-9DAA-8E32DB184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6E77FE-3BBB-4806-ADAC-FF7B4134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DC21F-92C2-48D1-8DE3-214439E99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91E2EA-EA84-4625-9DFC-553EEE570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45324F-9924-4782-A56A-71C68A8B9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778D2F-C79D-4659-998A-CEA7A7AC0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AF5B53-1B57-474D-B76F-EE831A4A9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FD3577-4274-4654-BE35-5617AAB33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B785BA-A512-40E3-AD05-482015B4D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2085B-FB72-46E0-8DBF-46A58D6E1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D7882-ED2E-4004-8ECB-27397976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FE697-A26E-4936-A4A6-3A89E7BF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886A27-AD99-4576-9FE5-AAB4A7E5A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B1A544-FEF0-438A-901C-F9D341557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96000E-7C4D-4F6B-8859-FBBEE1DD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B9F07-F72B-4B69-B4BD-FE3E9AFE8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A50DE3-4986-40BF-908D-02BD4F38B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AA81D9-31C3-4C22-BA07-EBD0D5497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EA498A-DFAB-46FE-BBE9-798D2DB43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696E2-7614-4C50-BCEA-654BAE03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5CDE48-B7B6-45F7-9227-32ED80B6E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10A597-EF6A-46BB-AC48-5E4ACEABE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T90"/>
  <sheetViews>
    <sheetView tabSelected="1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.7109375" style="15" customWidth="1"/>
    <col min="2" max="2" width="15.7109375" style="15" customWidth="1"/>
    <col min="3" max="3" width="10.7109375" style="15" customWidth="1"/>
    <col min="4" max="5" width="15.7109375" style="15" customWidth="1"/>
    <col min="6" max="9" width="10.7109375" style="15" customWidth="1"/>
    <col min="11" max="19" width="10.7109375" customWidth="1"/>
  </cols>
  <sheetData>
    <row r="1" spans="1:20" x14ac:dyDescent="0.25">
      <c r="A1" s="38"/>
      <c r="B1" s="32" t="s">
        <v>244</v>
      </c>
      <c r="C1" s="37" t="s">
        <v>94</v>
      </c>
      <c r="D1" s="37"/>
      <c r="E1" s="34" t="s">
        <v>87</v>
      </c>
      <c r="F1" s="36"/>
      <c r="G1" s="36"/>
      <c r="H1" s="36"/>
      <c r="I1" s="35"/>
      <c r="K1" s="39" t="s">
        <v>230</v>
      </c>
      <c r="L1" s="40"/>
      <c r="M1" s="40"/>
      <c r="N1" s="41"/>
      <c r="O1" s="34" t="s">
        <v>87</v>
      </c>
      <c r="P1" s="35"/>
      <c r="Q1" s="37" t="s">
        <v>90</v>
      </c>
      <c r="R1" s="37"/>
      <c r="S1" s="37"/>
      <c r="T1" s="37"/>
    </row>
    <row r="2" spans="1:20" x14ac:dyDescent="0.25">
      <c r="A2" s="38"/>
      <c r="B2" s="33"/>
      <c r="C2" s="19" t="s">
        <v>228</v>
      </c>
      <c r="D2" s="19" t="s">
        <v>88</v>
      </c>
      <c r="E2" s="3" t="s">
        <v>88</v>
      </c>
      <c r="F2" s="3" t="s">
        <v>95</v>
      </c>
      <c r="G2" s="3" t="s">
        <v>209</v>
      </c>
      <c r="H2" s="3" t="s">
        <v>10</v>
      </c>
      <c r="I2" s="3" t="s">
        <v>242</v>
      </c>
      <c r="K2" s="19" t="s">
        <v>207</v>
      </c>
      <c r="L2" s="19" t="s">
        <v>94</v>
      </c>
      <c r="M2" s="3" t="s">
        <v>210</v>
      </c>
      <c r="N2" s="19" t="s">
        <v>211</v>
      </c>
      <c r="O2" s="3" t="s">
        <v>209</v>
      </c>
      <c r="P2" s="14" t="s">
        <v>10</v>
      </c>
      <c r="Q2" s="19" t="s">
        <v>245</v>
      </c>
      <c r="R2" s="19" t="s">
        <v>247</v>
      </c>
      <c r="S2" s="19" t="s">
        <v>246</v>
      </c>
      <c r="T2" s="19" t="s">
        <v>242</v>
      </c>
    </row>
    <row r="3" spans="1:20" x14ac:dyDescent="0.25">
      <c r="A3" s="4">
        <v>1</v>
      </c>
      <c r="B3" s="21" t="str">
        <f>'J035'!$B$1</f>
        <v>J035</v>
      </c>
      <c r="C3" s="5">
        <f>'J035'!$B$10</f>
        <v>0.12</v>
      </c>
      <c r="D3" s="24">
        <f>'J035'!$B$7</f>
        <v>45769</v>
      </c>
      <c r="E3" s="7" t="str">
        <f>IF(C3=G3,'J035'!$B$9,"")</f>
        <v/>
      </c>
      <c r="F3" s="25" t="str">
        <f>'J035'!$B$14</f>
        <v/>
      </c>
      <c r="G3" s="5">
        <f>'J035'!$B$11</f>
        <v>0</v>
      </c>
      <c r="H3" s="5">
        <f>'J035'!$B$12</f>
        <v>0</v>
      </c>
      <c r="I3" s="6" t="str">
        <f>'J035'!$B$13</f>
        <v/>
      </c>
      <c r="K3" s="5">
        <f>Pinigai!F2</f>
        <v>550</v>
      </c>
      <c r="L3" s="5">
        <f>SUM(C3:C201)-O3</f>
        <v>636.74</v>
      </c>
      <c r="M3" s="5">
        <f>Pinigai!H2</f>
        <v>84.490000000000023</v>
      </c>
      <c r="N3" s="5">
        <f>Q3-L3</f>
        <v>0.32000000000005002</v>
      </c>
      <c r="O3" s="5">
        <f>SUM(G3:G201)</f>
        <v>23.869999999999997</v>
      </c>
      <c r="P3" s="5">
        <f>SUM(H3:H201)</f>
        <v>2.5700000000000003</v>
      </c>
      <c r="Q3" s="5">
        <f>K3+M3+P3</f>
        <v>637.06000000000006</v>
      </c>
      <c r="R3" s="5">
        <f>Q3-K3</f>
        <v>87.060000000000059</v>
      </c>
      <c r="S3" s="6">
        <f>(Q3-K3)/Q3</f>
        <v>0.13665902740715169</v>
      </c>
      <c r="T3" s="6">
        <f ca="1">XIRR(Pinigai!K2:K200,Pinigai!A2:A200)</f>
        <v>0.12463424801826478</v>
      </c>
    </row>
    <row r="4" spans="1:20" x14ac:dyDescent="0.25">
      <c r="A4" s="4">
        <v>2</v>
      </c>
      <c r="B4" s="21" t="str">
        <f>'J036'!$B$1</f>
        <v>J036</v>
      </c>
      <c r="C4" s="5">
        <f>'J036'!$B$10</f>
        <v>0.62</v>
      </c>
      <c r="D4" s="24">
        <f>'J036'!$B$7</f>
        <v>45741</v>
      </c>
      <c r="E4" s="7" t="str">
        <f>IF(C4=G4,'J036'!$B$9,"")</f>
        <v/>
      </c>
      <c r="F4" s="25" t="str">
        <f>'J036'!$B$14</f>
        <v/>
      </c>
      <c r="G4" s="5">
        <f>'J036'!$B$11</f>
        <v>0</v>
      </c>
      <c r="H4" s="5">
        <f>'J036'!$B$12</f>
        <v>0</v>
      </c>
      <c r="I4" s="6" t="str">
        <f>'J036'!$B$13</f>
        <v/>
      </c>
      <c r="K4" s="17"/>
      <c r="L4" s="17"/>
      <c r="M4" s="17"/>
      <c r="N4" s="17"/>
      <c r="O4" s="17"/>
      <c r="P4" s="17"/>
      <c r="Q4" s="17"/>
      <c r="R4" s="17"/>
      <c r="S4" s="18"/>
    </row>
    <row r="5" spans="1:20" x14ac:dyDescent="0.25">
      <c r="A5" s="4">
        <v>3</v>
      </c>
      <c r="B5" s="23" t="str">
        <f>'J037'!$B$1</f>
        <v>J037</v>
      </c>
      <c r="C5" s="5">
        <f>'J037'!$B$10</f>
        <v>0.13</v>
      </c>
      <c r="D5" s="24">
        <f>'J037'!$B$7</f>
        <v>45769</v>
      </c>
      <c r="E5" s="7" t="str">
        <f>IF(C5=G5,'J037'!$B$9,"")</f>
        <v/>
      </c>
      <c r="F5" s="25" t="str">
        <f>'J037'!$B$14</f>
        <v/>
      </c>
      <c r="G5" s="5">
        <f>'J037'!$B$11</f>
        <v>0</v>
      </c>
      <c r="H5" s="5">
        <f>'J037'!$B$12</f>
        <v>0</v>
      </c>
      <c r="I5" s="6" t="str">
        <f>'J037'!$B$13</f>
        <v/>
      </c>
    </row>
    <row r="6" spans="1:20" x14ac:dyDescent="0.25">
      <c r="A6" s="4">
        <v>4</v>
      </c>
      <c r="B6" s="23" t="str">
        <f>'J038'!$B$1</f>
        <v>J038</v>
      </c>
      <c r="C6" s="5">
        <f>'J038'!$B$10</f>
        <v>0.76</v>
      </c>
      <c r="D6" s="24">
        <f>'J038'!$B$7</f>
        <v>45741.000000000007</v>
      </c>
      <c r="E6" s="7">
        <f>IF(C6=G6,'J038'!$B$9,"")</f>
        <v>45996</v>
      </c>
      <c r="F6" s="25">
        <f>'J038'!$B$14</f>
        <v>255</v>
      </c>
      <c r="G6" s="5">
        <f>'J038'!$B$11</f>
        <v>0.76</v>
      </c>
      <c r="H6" s="5">
        <f>'J038'!$B$12</f>
        <v>0.11</v>
      </c>
      <c r="I6" s="6">
        <f>'J038'!$B$13</f>
        <v>0.21347175240516666</v>
      </c>
    </row>
    <row r="7" spans="1:20" x14ac:dyDescent="0.25">
      <c r="A7" s="4">
        <v>5</v>
      </c>
      <c r="B7" s="23" t="str">
        <f>'J039'!$B$1</f>
        <v>J039</v>
      </c>
      <c r="C7" s="5">
        <f>'J039'!$B$10</f>
        <v>0.13</v>
      </c>
      <c r="D7" s="24">
        <f>'J039'!$B$7</f>
        <v>45769</v>
      </c>
      <c r="E7" s="7" t="str">
        <f>IF(C7=G7,'J039'!$B$9,"")</f>
        <v/>
      </c>
      <c r="F7" s="25" t="str">
        <f>'J039'!$B$14</f>
        <v/>
      </c>
      <c r="G7" s="5">
        <f>'J039'!$B$11</f>
        <v>0</v>
      </c>
      <c r="H7" s="5">
        <f>'J039'!$B$12</f>
        <v>0</v>
      </c>
      <c r="I7" s="6" t="str">
        <f>'J039'!$B$13</f>
        <v/>
      </c>
    </row>
    <row r="8" spans="1:20" x14ac:dyDescent="0.25">
      <c r="A8" s="4">
        <v>6</v>
      </c>
      <c r="B8" s="23" t="str">
        <f>'J040'!$B$1</f>
        <v>J040</v>
      </c>
      <c r="C8" s="5">
        <f>'J040'!$B$10</f>
        <v>21.509999999999998</v>
      </c>
      <c r="D8" s="24">
        <f>'J040'!$B$7</f>
        <v>45743.935378893548</v>
      </c>
      <c r="E8" s="7" t="str">
        <f>IF(C8=G8,'J040'!$B$9,"")</f>
        <v/>
      </c>
      <c r="F8" s="25" t="str">
        <f>'J040'!$B$14</f>
        <v/>
      </c>
      <c r="G8" s="5">
        <f>'J040'!$B$11</f>
        <v>0</v>
      </c>
      <c r="H8" s="5">
        <f>'J040'!$B$12</f>
        <v>0</v>
      </c>
      <c r="I8" s="6" t="str">
        <f>'J040'!$B$13</f>
        <v/>
      </c>
    </row>
    <row r="9" spans="1:20" x14ac:dyDescent="0.25">
      <c r="A9" s="4">
        <v>7</v>
      </c>
      <c r="B9" s="23" t="str">
        <f>'J041'!$B$1</f>
        <v>J041</v>
      </c>
      <c r="C9" s="5">
        <f>'J041'!$B$10</f>
        <v>6.7899999999999991</v>
      </c>
      <c r="D9" s="24">
        <f>'J041'!$B$7</f>
        <v>45762.969072164953</v>
      </c>
      <c r="E9" s="7">
        <f>IF(C9=G9,'J041'!$B$9,"")</f>
        <v>45995</v>
      </c>
      <c r="F9" s="25">
        <f>'J041'!$B$14</f>
        <v>232.03092783505159</v>
      </c>
      <c r="G9" s="5">
        <f>'J041'!$B$11</f>
        <v>6.7899999999999991</v>
      </c>
      <c r="H9" s="5">
        <f>'J041'!$B$12</f>
        <v>0.68</v>
      </c>
      <c r="I9" s="6">
        <f>'J041'!$B$13</f>
        <v>0.16198473572731023</v>
      </c>
    </row>
    <row r="10" spans="1:20" x14ac:dyDescent="0.25">
      <c r="A10" s="4">
        <v>8</v>
      </c>
      <c r="B10" s="23" t="str">
        <f>'J042'!$B$1</f>
        <v>J042</v>
      </c>
      <c r="C10" s="5">
        <f>'J042'!$B$10</f>
        <v>0.97</v>
      </c>
      <c r="D10" s="24">
        <f>'J042'!$B$7</f>
        <v>45807.030927835054</v>
      </c>
      <c r="E10" s="7" t="str">
        <f>IF(C10=G10,'J042'!$B$9,"")</f>
        <v/>
      </c>
      <c r="F10" s="25" t="str">
        <f>'J042'!$B$14</f>
        <v/>
      </c>
      <c r="G10" s="5">
        <f>'J042'!$B$11</f>
        <v>0</v>
      </c>
      <c r="H10" s="5">
        <f>'J042'!$B$12</f>
        <v>0</v>
      </c>
      <c r="I10" s="6" t="str">
        <f>'J042'!$B$13</f>
        <v/>
      </c>
    </row>
    <row r="11" spans="1:20" x14ac:dyDescent="0.25">
      <c r="A11" s="4">
        <v>9</v>
      </c>
      <c r="B11" s="23" t="str">
        <f>'J043'!$B$1</f>
        <v>J043</v>
      </c>
      <c r="C11" s="5">
        <f>'J043'!$B$10</f>
        <v>1.0899999999999999</v>
      </c>
      <c r="D11" s="24">
        <f>'J043'!$B$7</f>
        <v>45867.000000000007</v>
      </c>
      <c r="E11" s="7" t="str">
        <f>IF(C11=G11,'J043'!$B$9,"")</f>
        <v/>
      </c>
      <c r="F11" s="25" t="str">
        <f>'J043'!$B$14</f>
        <v/>
      </c>
      <c r="G11" s="5">
        <f>'J043'!$B$11</f>
        <v>0</v>
      </c>
      <c r="H11" s="5">
        <f>'J043'!$B$12</f>
        <v>0</v>
      </c>
      <c r="I11" s="6" t="str">
        <f>'J043'!$B$13</f>
        <v/>
      </c>
    </row>
    <row r="12" spans="1:20" x14ac:dyDescent="0.25">
      <c r="A12" s="4">
        <v>10</v>
      </c>
      <c r="B12" s="23" t="str">
        <f>'J044'!$B$1</f>
        <v>J044</v>
      </c>
      <c r="C12" s="5">
        <f>'J044'!$B$10</f>
        <v>3.11</v>
      </c>
      <c r="D12" s="24">
        <f>'J044'!$B$7</f>
        <v>45742.73311897106</v>
      </c>
      <c r="E12" s="7">
        <f>IF(C12=G12,'J044'!$B$9,"")</f>
        <v>46169</v>
      </c>
      <c r="F12" s="25">
        <f>'J044'!$B$14</f>
        <v>426.26688102893888</v>
      </c>
      <c r="G12" s="5">
        <f>'J044'!$B$11</f>
        <v>3.11</v>
      </c>
      <c r="H12" s="5">
        <f>'J044'!$B$12</f>
        <v>0.51</v>
      </c>
      <c r="I12" s="6">
        <f>'J044'!$B$13</f>
        <v>0.13885676264762878</v>
      </c>
      <c r="P12" s="13"/>
    </row>
    <row r="13" spans="1:20" x14ac:dyDescent="0.25">
      <c r="A13" s="4">
        <v>11</v>
      </c>
      <c r="B13" s="23" t="str">
        <f>'J046'!$B$1</f>
        <v>J046</v>
      </c>
      <c r="C13" s="5">
        <f>'J046'!$B$10</f>
        <v>14.659999999999998</v>
      </c>
      <c r="D13" s="24">
        <f>'J046'!$B$7</f>
        <v>45744.046384720321</v>
      </c>
      <c r="E13" s="7" t="str">
        <f>IF(C13=G13,'J046'!$B$9,"")</f>
        <v/>
      </c>
      <c r="F13" s="25" t="str">
        <f>'J046'!$B$14</f>
        <v/>
      </c>
      <c r="G13" s="5">
        <f>'J046'!$B$11</f>
        <v>0</v>
      </c>
      <c r="H13" s="5">
        <f>'J046'!$B$12</f>
        <v>0</v>
      </c>
      <c r="I13" s="6" t="str">
        <f>'J046'!$B$13</f>
        <v/>
      </c>
    </row>
    <row r="14" spans="1:20" x14ac:dyDescent="0.25">
      <c r="A14" s="4">
        <v>12</v>
      </c>
      <c r="B14" s="23" t="str">
        <f>'J048'!$B$1</f>
        <v>J048</v>
      </c>
      <c r="C14" s="5">
        <f>'J048'!$B$10</f>
        <v>6.8800000000000008</v>
      </c>
      <c r="D14" s="24">
        <f>'J048'!$B$7</f>
        <v>45763.078488372092</v>
      </c>
      <c r="E14" s="7" t="str">
        <f>IF(C14=G14,'J048'!$B$9,"")</f>
        <v/>
      </c>
      <c r="F14" s="25" t="str">
        <f>'J048'!$B$14</f>
        <v/>
      </c>
      <c r="G14" s="5">
        <f>'J048'!$B$11</f>
        <v>0</v>
      </c>
      <c r="H14" s="5">
        <f>'J048'!$B$12</f>
        <v>0</v>
      </c>
      <c r="I14" s="6" t="str">
        <f>'J048'!$B$13</f>
        <v/>
      </c>
    </row>
    <row r="15" spans="1:20" x14ac:dyDescent="0.25">
      <c r="A15" s="4">
        <v>13</v>
      </c>
      <c r="B15" s="23" t="str">
        <f>'J049'!$B$1</f>
        <v>J049</v>
      </c>
      <c r="C15" s="5">
        <f>'J049'!$B$10</f>
        <v>3.22</v>
      </c>
      <c r="D15" s="24">
        <f>'J049'!$B$7</f>
        <v>45771.369565217385</v>
      </c>
      <c r="E15" s="7" t="str">
        <f>IF(C15=G15,'J049'!$B$9,"")</f>
        <v/>
      </c>
      <c r="F15" s="25" t="str">
        <f>'J049'!$B$14</f>
        <v/>
      </c>
      <c r="G15" s="5">
        <f>'J049'!$B$11</f>
        <v>0</v>
      </c>
      <c r="H15" s="5">
        <f>'J049'!$B$12</f>
        <v>0</v>
      </c>
      <c r="I15" s="6" t="str">
        <f>'J049'!$B$13</f>
        <v/>
      </c>
    </row>
    <row r="16" spans="1:20" x14ac:dyDescent="0.25">
      <c r="A16" s="4">
        <v>14</v>
      </c>
      <c r="B16" s="23" t="str">
        <f>'J050'!$B$1</f>
        <v>J050</v>
      </c>
      <c r="C16" s="5">
        <f>'J050'!$B$10</f>
        <v>5.1199999999999992</v>
      </c>
      <c r="D16" s="24">
        <f>'J050'!$B$7</f>
        <v>45770.886718750007</v>
      </c>
      <c r="E16" s="7" t="str">
        <f>IF(C16=G16,'J050'!$B$9,"")</f>
        <v/>
      </c>
      <c r="F16" s="25" t="str">
        <f>'J050'!$B$14</f>
        <v/>
      </c>
      <c r="G16" s="5">
        <f>'J050'!$B$11</f>
        <v>0</v>
      </c>
      <c r="H16" s="5">
        <f>'J050'!$B$12</f>
        <v>0</v>
      </c>
      <c r="I16" s="6" t="str">
        <f>'J050'!$B$13</f>
        <v/>
      </c>
    </row>
    <row r="17" spans="1:9" x14ac:dyDescent="0.25">
      <c r="A17" s="4">
        <v>15</v>
      </c>
      <c r="B17" s="23" t="str">
        <f>'J051'!$B$1</f>
        <v>J051</v>
      </c>
      <c r="C17" s="5">
        <f>'J051'!$B$10</f>
        <v>0.21</v>
      </c>
      <c r="D17" s="24">
        <f>'J051'!$B$7</f>
        <v>45769</v>
      </c>
      <c r="E17" s="7">
        <f>IF(C17=G17,'J051'!$B$9,"")</f>
        <v>46099</v>
      </c>
      <c r="F17" s="25">
        <f>'J051'!$B$14</f>
        <v>330</v>
      </c>
      <c r="G17" s="5">
        <f>'J051'!$B$11</f>
        <v>0.21</v>
      </c>
      <c r="H17" s="5">
        <f>'J051'!$B$12</f>
        <v>0.03</v>
      </c>
      <c r="I17" s="6">
        <f>'J051'!$B$13</f>
        <v>0.15915792584419255</v>
      </c>
    </row>
    <row r="18" spans="1:9" x14ac:dyDescent="0.25">
      <c r="A18" s="4">
        <v>16</v>
      </c>
      <c r="B18" s="23" t="str">
        <f>'J052'!$B$1</f>
        <v>J052</v>
      </c>
      <c r="C18" s="5">
        <f>'J052'!$B$10</f>
        <v>14.659999999999998</v>
      </c>
      <c r="D18" s="24">
        <f>'J052'!$B$7</f>
        <v>45743.946111869031</v>
      </c>
      <c r="E18" s="7" t="str">
        <f>IF(C18=G18,'J052'!$B$9,"")</f>
        <v/>
      </c>
      <c r="F18" s="25" t="str">
        <f>'J052'!$B$14</f>
        <v/>
      </c>
      <c r="G18" s="5">
        <f>'J052'!$B$11</f>
        <v>0</v>
      </c>
      <c r="H18" s="5">
        <f>'J052'!$B$12</f>
        <v>0</v>
      </c>
      <c r="I18" s="6" t="str">
        <f>'J052'!$B$13</f>
        <v/>
      </c>
    </row>
    <row r="19" spans="1:9" x14ac:dyDescent="0.25">
      <c r="A19" s="4">
        <v>17</v>
      </c>
      <c r="B19" s="23" t="str">
        <f>'J053'!$B$1</f>
        <v>J053</v>
      </c>
      <c r="C19" s="5">
        <f>'J053'!$B$10</f>
        <v>4.0200000000000005</v>
      </c>
      <c r="D19" s="24">
        <f>'J053'!$B$7</f>
        <v>45743.786069651738</v>
      </c>
      <c r="E19" s="7" t="str">
        <f>IF(C19=G19,'J053'!$B$9,"")</f>
        <v/>
      </c>
      <c r="F19" s="25" t="str">
        <f>'J053'!$B$14</f>
        <v/>
      </c>
      <c r="G19" s="5">
        <f>'J053'!$B$11</f>
        <v>0</v>
      </c>
      <c r="H19" s="5">
        <f>'J053'!$B$12</f>
        <v>0</v>
      </c>
      <c r="I19" s="6" t="str">
        <f>'J053'!$B$13</f>
        <v/>
      </c>
    </row>
    <row r="20" spans="1:9" x14ac:dyDescent="0.25">
      <c r="A20" s="4">
        <v>18</v>
      </c>
      <c r="B20" s="23" t="str">
        <f>'J054'!$B$1</f>
        <v>J054</v>
      </c>
      <c r="C20" s="5">
        <f>'J054'!$B$10</f>
        <v>5.6</v>
      </c>
      <c r="D20" s="24">
        <f>'J054'!$B$7</f>
        <v>45872.549999999996</v>
      </c>
      <c r="E20" s="7" t="str">
        <f>IF(C20=G20,'J054'!$B$9,"")</f>
        <v/>
      </c>
      <c r="F20" s="25" t="str">
        <f>'J054'!$B$14</f>
        <v/>
      </c>
      <c r="G20" s="5">
        <f>'J054'!$B$11</f>
        <v>0</v>
      </c>
      <c r="H20" s="5">
        <f>'J054'!$B$12</f>
        <v>0</v>
      </c>
      <c r="I20" s="6" t="str">
        <f>'J054'!$B$13</f>
        <v/>
      </c>
    </row>
    <row r="21" spans="1:9" x14ac:dyDescent="0.25">
      <c r="A21" s="4">
        <v>19</v>
      </c>
      <c r="B21" s="23" t="str">
        <f>'J055'!$B$1</f>
        <v>J055</v>
      </c>
      <c r="C21" s="5">
        <f>'J055'!$B$10</f>
        <v>2.08</v>
      </c>
      <c r="D21" s="24">
        <f>'J055'!$B$7</f>
        <v>45806.019230769227</v>
      </c>
      <c r="E21" s="7" t="str">
        <f>IF(C21=G21,'J055'!$B$9,"")</f>
        <v/>
      </c>
      <c r="F21" s="25" t="str">
        <f>'J055'!$B$14</f>
        <v/>
      </c>
      <c r="G21" s="5">
        <f>'J055'!$B$11</f>
        <v>0</v>
      </c>
      <c r="H21" s="5">
        <f>'J055'!$B$12</f>
        <v>0</v>
      </c>
      <c r="I21" s="6" t="str">
        <f>'J055'!$B$13</f>
        <v/>
      </c>
    </row>
    <row r="22" spans="1:9" x14ac:dyDescent="0.25">
      <c r="A22" s="4">
        <v>20</v>
      </c>
      <c r="B22" s="23" t="str">
        <f>'J056'!$B$1</f>
        <v>J056</v>
      </c>
      <c r="C22" s="5">
        <f>'J056'!$B$10</f>
        <v>5.01</v>
      </c>
      <c r="D22" s="24">
        <f>'J056'!$B$7</f>
        <v>45811.99201596807</v>
      </c>
      <c r="E22" s="7" t="str">
        <f>IF(C22=G22,'J056'!$B$9,"")</f>
        <v/>
      </c>
      <c r="F22" s="25" t="str">
        <f>'J056'!$B$14</f>
        <v/>
      </c>
      <c r="G22" s="5">
        <f>'J056'!$B$11</f>
        <v>0</v>
      </c>
      <c r="H22" s="5">
        <f>'J056'!$B$12</f>
        <v>0</v>
      </c>
      <c r="I22" s="6" t="str">
        <f>'J056'!$B$13</f>
        <v/>
      </c>
    </row>
    <row r="23" spans="1:9" x14ac:dyDescent="0.25">
      <c r="A23" s="4">
        <v>21</v>
      </c>
      <c r="B23" s="23" t="str">
        <f>'J057'!$B$1</f>
        <v>J057</v>
      </c>
      <c r="C23" s="5">
        <f>'J057'!$B$10</f>
        <v>3.8499999999999996</v>
      </c>
      <c r="D23" s="24">
        <f>'J057'!$B$7</f>
        <v>45804</v>
      </c>
      <c r="E23" s="7" t="str">
        <f>IF(C23=G23,'J057'!$B$9,"")</f>
        <v/>
      </c>
      <c r="F23" s="25" t="str">
        <f>'J057'!$B$14</f>
        <v/>
      </c>
      <c r="G23" s="5">
        <f>'J057'!$B$11</f>
        <v>0</v>
      </c>
      <c r="H23" s="5">
        <f>'J057'!$B$12</f>
        <v>0</v>
      </c>
      <c r="I23" s="6" t="str">
        <f>'J057'!$B$13</f>
        <v/>
      </c>
    </row>
    <row r="24" spans="1:9" x14ac:dyDescent="0.25">
      <c r="A24" s="4">
        <v>22</v>
      </c>
      <c r="B24" s="23" t="str">
        <f>'J059'!$B$1</f>
        <v>J059</v>
      </c>
      <c r="C24" s="5">
        <f>'J059'!$B$10</f>
        <v>10.86</v>
      </c>
      <c r="D24" s="24">
        <f>'J059'!$B$7</f>
        <v>45744.184162062622</v>
      </c>
      <c r="E24" s="7" t="str">
        <f>IF(C24=G24,'J059'!$B$9,"")</f>
        <v/>
      </c>
      <c r="F24" s="25" t="str">
        <f>'J059'!$B$14</f>
        <v/>
      </c>
      <c r="G24" s="5">
        <f>'J059'!$B$11</f>
        <v>0</v>
      </c>
      <c r="H24" s="5">
        <f>'J059'!$B$12</f>
        <v>0</v>
      </c>
      <c r="I24" s="6" t="str">
        <f>'J059'!$B$13</f>
        <v/>
      </c>
    </row>
    <row r="25" spans="1:9" x14ac:dyDescent="0.25">
      <c r="A25" s="4">
        <v>23</v>
      </c>
      <c r="B25" s="23" t="str">
        <f>'J060'!$B$1</f>
        <v>J060</v>
      </c>
      <c r="C25" s="5">
        <f>'J060'!$B$10</f>
        <v>5.97</v>
      </c>
      <c r="D25" s="24">
        <f>'J060'!$B$7</f>
        <v>45768.812395309884</v>
      </c>
      <c r="E25" s="7" t="str">
        <f>IF(C25=G25,'J060'!$B$9,"")</f>
        <v/>
      </c>
      <c r="F25" s="25" t="str">
        <f>'J060'!$B$14</f>
        <v/>
      </c>
      <c r="G25" s="5">
        <f>'J060'!$B$11</f>
        <v>0</v>
      </c>
      <c r="H25" s="5">
        <f>'J060'!$B$12</f>
        <v>0</v>
      </c>
      <c r="I25" s="6" t="str">
        <f>'J060'!$B$13</f>
        <v/>
      </c>
    </row>
    <row r="26" spans="1:9" x14ac:dyDescent="0.25">
      <c r="A26" s="4">
        <v>24</v>
      </c>
      <c r="B26" s="23" t="str">
        <f>'J061'!$B$1</f>
        <v>J061</v>
      </c>
      <c r="C26" s="5">
        <f>'J061'!$B$10</f>
        <v>3.58</v>
      </c>
      <c r="D26" s="24">
        <f>'J061'!$B$7</f>
        <v>45744.754189944135</v>
      </c>
      <c r="E26" s="7" t="str">
        <f>IF(C26=G26,'J061'!$B$9,"")</f>
        <v/>
      </c>
      <c r="F26" s="25" t="str">
        <f>'J061'!$B$14</f>
        <v/>
      </c>
      <c r="G26" s="5">
        <f>'J061'!$B$11</f>
        <v>0</v>
      </c>
      <c r="H26" s="5">
        <f>'J061'!$B$12</f>
        <v>0</v>
      </c>
      <c r="I26" s="6" t="str">
        <f>'J061'!$B$13</f>
        <v/>
      </c>
    </row>
    <row r="27" spans="1:9" x14ac:dyDescent="0.25">
      <c r="A27" s="4">
        <v>25</v>
      </c>
      <c r="B27" s="23" t="str">
        <f>'J062'!$B$1</f>
        <v>J062</v>
      </c>
      <c r="C27" s="5">
        <f>'J062'!$B$10</f>
        <v>40.029999999999994</v>
      </c>
      <c r="D27" s="24">
        <f>'J062'!$B$7</f>
        <v>45747.527854109423</v>
      </c>
      <c r="E27" s="7" t="str">
        <f>IF(C27=G27,'J062'!$B$9,"")</f>
        <v/>
      </c>
      <c r="F27" s="25" t="str">
        <f>'J062'!$B$14</f>
        <v/>
      </c>
      <c r="G27" s="5">
        <f>'J062'!$B$11</f>
        <v>0</v>
      </c>
      <c r="H27" s="5">
        <f>'J062'!$B$12</f>
        <v>0</v>
      </c>
      <c r="I27" s="6" t="str">
        <f>'J062'!$B$13</f>
        <v/>
      </c>
    </row>
    <row r="28" spans="1:9" x14ac:dyDescent="0.25">
      <c r="A28" s="4">
        <v>26</v>
      </c>
      <c r="B28" s="23" t="str">
        <f>'J063'!$B$1</f>
        <v>J063</v>
      </c>
      <c r="C28" s="5">
        <f>'J063'!$B$10</f>
        <v>10.45</v>
      </c>
      <c r="D28" s="24">
        <f>'J063'!$B$7</f>
        <v>45743.853588516744</v>
      </c>
      <c r="E28" s="7" t="str">
        <f>IF(C28=G28,'J063'!$B$9,"")</f>
        <v/>
      </c>
      <c r="F28" s="25" t="str">
        <f>'J063'!$B$14</f>
        <v/>
      </c>
      <c r="G28" s="5">
        <f>'J063'!$B$11</f>
        <v>0</v>
      </c>
      <c r="H28" s="5">
        <f>'J063'!$B$12</f>
        <v>0</v>
      </c>
      <c r="I28" s="6" t="str">
        <f>'J063'!$B$13</f>
        <v/>
      </c>
    </row>
    <row r="29" spans="1:9" x14ac:dyDescent="0.25">
      <c r="A29" s="4">
        <v>27</v>
      </c>
      <c r="B29" s="23" t="str">
        <f>'J064'!$B$1</f>
        <v>J064</v>
      </c>
      <c r="C29" s="5">
        <f>'J064'!$B$10</f>
        <v>2.27</v>
      </c>
      <c r="D29" s="24">
        <f>'J064'!$B$7</f>
        <v>45804</v>
      </c>
      <c r="E29" s="7" t="str">
        <f>IF(C29=G29,'J064'!$B$9,"")</f>
        <v/>
      </c>
      <c r="F29" s="25" t="str">
        <f>'J064'!$B$14</f>
        <v/>
      </c>
      <c r="G29" s="5">
        <f>'J064'!$B$11</f>
        <v>0</v>
      </c>
      <c r="H29" s="5">
        <f>'J064'!$B$12</f>
        <v>0</v>
      </c>
      <c r="I29" s="6" t="str">
        <f>'J064'!$B$13</f>
        <v/>
      </c>
    </row>
    <row r="30" spans="1:9" x14ac:dyDescent="0.25">
      <c r="A30" s="4">
        <v>28</v>
      </c>
      <c r="B30" s="23" t="str">
        <f>'J065'!$B$1</f>
        <v>J065</v>
      </c>
      <c r="C30" s="5">
        <f>'J065'!$B$10</f>
        <v>0.11</v>
      </c>
      <c r="D30" s="24">
        <f>'J065'!$B$7</f>
        <v>45776</v>
      </c>
      <c r="E30" s="7">
        <f>IF(C30=G30,'J065'!$B$9,"")</f>
        <v>46233</v>
      </c>
      <c r="F30" s="25">
        <f>'J065'!$B$14</f>
        <v>457</v>
      </c>
      <c r="G30" s="5">
        <f>'J065'!$B$11</f>
        <v>0.11</v>
      </c>
      <c r="H30" s="5">
        <f>'J065'!$B$12</f>
        <v>0.03</v>
      </c>
      <c r="I30" s="6">
        <f>'J065'!$B$13</f>
        <v>0.21241351962089541</v>
      </c>
    </row>
    <row r="31" spans="1:9" x14ac:dyDescent="0.25">
      <c r="A31" s="4">
        <v>29</v>
      </c>
      <c r="B31" s="23" t="str">
        <f>'J066'!$B$1</f>
        <v>J066</v>
      </c>
      <c r="C31" s="5">
        <f>'J066'!$B$10</f>
        <v>0.63</v>
      </c>
      <c r="D31" s="24">
        <f>'J066'!$B$7</f>
        <v>45748</v>
      </c>
      <c r="E31" s="7" t="str">
        <f>IF(C31=G31,'J066'!$B$9,"")</f>
        <v/>
      </c>
      <c r="F31" s="25" t="str">
        <f>'J066'!$B$14</f>
        <v/>
      </c>
      <c r="G31" s="5">
        <f>'J066'!$B$11</f>
        <v>0</v>
      </c>
      <c r="H31" s="5">
        <f>'J066'!$B$12</f>
        <v>0</v>
      </c>
      <c r="I31" s="6" t="str">
        <f>'J066'!$B$13</f>
        <v/>
      </c>
    </row>
    <row r="32" spans="1:9" x14ac:dyDescent="0.25">
      <c r="A32" s="4">
        <v>30</v>
      </c>
      <c r="B32" s="23" t="str">
        <f>'J067'!$B$1</f>
        <v>J067</v>
      </c>
      <c r="C32" s="5">
        <f>'J067'!$B$10</f>
        <v>3.03</v>
      </c>
      <c r="D32" s="24">
        <f>'J067'!$B$7</f>
        <v>45742.848184818489</v>
      </c>
      <c r="E32" s="7" t="str">
        <f>IF(C32=G32,'J067'!$B$9,"")</f>
        <v/>
      </c>
      <c r="F32" s="25" t="str">
        <f>'J067'!$B$14</f>
        <v/>
      </c>
      <c r="G32" s="5">
        <f>'J067'!$B$11</f>
        <v>0</v>
      </c>
      <c r="H32" s="5">
        <f>'J067'!$B$12</f>
        <v>0</v>
      </c>
      <c r="I32" s="6" t="str">
        <f>'J067'!$B$13</f>
        <v/>
      </c>
    </row>
    <row r="33" spans="1:9" x14ac:dyDescent="0.25">
      <c r="A33" s="4">
        <v>31</v>
      </c>
      <c r="B33" s="23" t="str">
        <f>'J068'!$B$1</f>
        <v>J068</v>
      </c>
      <c r="C33" s="5">
        <f>'J068'!$B$10</f>
        <v>0.43</v>
      </c>
      <c r="D33" s="24">
        <f>'J068'!$B$7</f>
        <v>45804</v>
      </c>
      <c r="E33" s="7" t="str">
        <f>IF(C33=G33,'J068'!$B$9,"")</f>
        <v/>
      </c>
      <c r="F33" s="25" t="str">
        <f>'J068'!$B$14</f>
        <v/>
      </c>
      <c r="G33" s="5">
        <f>'J068'!$B$11</f>
        <v>0</v>
      </c>
      <c r="H33" s="5">
        <f>'J068'!$B$12</f>
        <v>0</v>
      </c>
      <c r="I33" s="6" t="str">
        <f>'J068'!$B$13</f>
        <v/>
      </c>
    </row>
    <row r="34" spans="1:9" x14ac:dyDescent="0.25">
      <c r="A34" s="4">
        <v>32</v>
      </c>
      <c r="B34" s="23" t="str">
        <f>'J069'!$B$1</f>
        <v>J069</v>
      </c>
      <c r="C34" s="5">
        <f>'J069'!$B$10</f>
        <v>2.33</v>
      </c>
      <c r="D34" s="24">
        <f>'J069'!$B$7</f>
        <v>45803.999999999993</v>
      </c>
      <c r="E34" s="7" t="str">
        <f>IF(C34=G34,'J069'!$B$9,"")</f>
        <v/>
      </c>
      <c r="F34" s="25" t="str">
        <f>'J069'!$B$14</f>
        <v/>
      </c>
      <c r="G34" s="5">
        <f>'J069'!$B$11</f>
        <v>0</v>
      </c>
      <c r="H34" s="5">
        <f>'J069'!$B$12</f>
        <v>0</v>
      </c>
      <c r="I34" s="6" t="str">
        <f>'J069'!$B$13</f>
        <v/>
      </c>
    </row>
    <row r="35" spans="1:9" x14ac:dyDescent="0.25">
      <c r="A35" s="4">
        <v>33</v>
      </c>
      <c r="B35" s="23" t="str">
        <f>'J071'!$B$1</f>
        <v>J071</v>
      </c>
      <c r="C35" s="5">
        <f>'J071'!$B$10</f>
        <v>12.65</v>
      </c>
      <c r="D35" s="24">
        <f>'J071'!$B$7</f>
        <v>45744.137549407111</v>
      </c>
      <c r="E35" s="7" t="str">
        <f>IF(C35=G35,'J071'!$B$9,"")</f>
        <v/>
      </c>
      <c r="F35" s="25" t="str">
        <f>'J071'!$B$14</f>
        <v/>
      </c>
      <c r="G35" s="5">
        <f>'J071'!$B$11</f>
        <v>0</v>
      </c>
      <c r="H35" s="5">
        <f>'J071'!$B$12</f>
        <v>0</v>
      </c>
      <c r="I35" s="6" t="str">
        <f>'J071'!$B$13</f>
        <v/>
      </c>
    </row>
    <row r="36" spans="1:9" x14ac:dyDescent="0.25">
      <c r="A36" s="4">
        <v>34</v>
      </c>
      <c r="B36" s="23" t="str">
        <f>'J072'!$B$1</f>
        <v>J072</v>
      </c>
      <c r="C36" s="5">
        <f>'J072'!$B$10</f>
        <v>4.83</v>
      </c>
      <c r="D36" s="24">
        <f>'J072'!$B$7</f>
        <v>45770.710144927536</v>
      </c>
      <c r="E36" s="7" t="str">
        <f>IF(C36=G36,'J072'!$B$9,"")</f>
        <v/>
      </c>
      <c r="F36" s="25" t="str">
        <f>'J072'!$B$14</f>
        <v/>
      </c>
      <c r="G36" s="5">
        <f>'J072'!$B$11</f>
        <v>0</v>
      </c>
      <c r="H36" s="5">
        <f>'J072'!$B$12</f>
        <v>0</v>
      </c>
      <c r="I36" s="6" t="str">
        <f>'J072'!$B$13</f>
        <v/>
      </c>
    </row>
    <row r="37" spans="1:9" x14ac:dyDescent="0.25">
      <c r="A37" s="4">
        <v>35</v>
      </c>
      <c r="B37" s="23" t="str">
        <f>'J073'!$B$1</f>
        <v>J073</v>
      </c>
      <c r="C37" s="5">
        <f>'J073'!$B$10</f>
        <v>2.87</v>
      </c>
      <c r="D37" s="24">
        <f>'J073'!$B$7</f>
        <v>45769.292682926825</v>
      </c>
      <c r="E37" s="7" t="str">
        <f>IF(C37=G37,'J073'!$B$9,"")</f>
        <v/>
      </c>
      <c r="F37" s="25" t="str">
        <f>'J073'!$B$14</f>
        <v/>
      </c>
      <c r="G37" s="5">
        <f>'J073'!$B$11</f>
        <v>0</v>
      </c>
      <c r="H37" s="5">
        <f>'J073'!$B$12</f>
        <v>0</v>
      </c>
      <c r="I37" s="6" t="str">
        <f>'J073'!$B$13</f>
        <v/>
      </c>
    </row>
    <row r="38" spans="1:9" x14ac:dyDescent="0.25">
      <c r="A38" s="4">
        <v>36</v>
      </c>
      <c r="B38" s="23" t="str">
        <f>'J074'!$B$1</f>
        <v>J074</v>
      </c>
      <c r="C38" s="5">
        <f>'J074'!$B$10</f>
        <v>0.49</v>
      </c>
      <c r="D38" s="24">
        <f>'J074'!$B$7</f>
        <v>45748</v>
      </c>
      <c r="E38" s="7" t="str">
        <f>IF(C38=G38,'J074'!$B$9,"")</f>
        <v/>
      </c>
      <c r="F38" s="25" t="str">
        <f>'J074'!$B$14</f>
        <v/>
      </c>
      <c r="G38" s="5">
        <f>'J074'!$B$11</f>
        <v>0</v>
      </c>
      <c r="H38" s="5">
        <f>'J074'!$B$12</f>
        <v>0</v>
      </c>
      <c r="I38" s="6" t="str">
        <f>'J074'!$B$13</f>
        <v/>
      </c>
    </row>
    <row r="39" spans="1:9" x14ac:dyDescent="0.25">
      <c r="A39" s="4">
        <v>37</v>
      </c>
      <c r="B39" s="23" t="str">
        <f>'J076'!$B$1</f>
        <v>J076</v>
      </c>
      <c r="C39" s="5">
        <f>'J076'!$B$10</f>
        <v>13.41</v>
      </c>
      <c r="D39" s="24">
        <f>'J076'!$B$7</f>
        <v>45767.846383296041</v>
      </c>
      <c r="E39" s="7" t="str">
        <f>IF(C39=G39,'J076'!$B$9,"")</f>
        <v/>
      </c>
      <c r="F39" s="25" t="str">
        <f>'J076'!$B$14</f>
        <v/>
      </c>
      <c r="G39" s="5">
        <f>'J076'!$B$11</f>
        <v>0</v>
      </c>
      <c r="H39" s="5">
        <f>'J076'!$B$12</f>
        <v>0</v>
      </c>
      <c r="I39" s="6" t="str">
        <f>'J076'!$B$13</f>
        <v/>
      </c>
    </row>
    <row r="40" spans="1:9" x14ac:dyDescent="0.25">
      <c r="A40" s="4">
        <v>38</v>
      </c>
      <c r="B40" s="23" t="str">
        <f>'R030'!$B$1</f>
        <v>R030</v>
      </c>
      <c r="C40" s="5">
        <f>'R030'!$B$10</f>
        <v>0.08</v>
      </c>
      <c r="D40" s="24">
        <f>'R030'!$B$7</f>
        <v>45769</v>
      </c>
      <c r="E40" s="7" t="str">
        <f>IF(C40=G40,'R030'!$B$9,"")</f>
        <v/>
      </c>
      <c r="F40" s="25" t="str">
        <f>'R030'!$B$14</f>
        <v/>
      </c>
      <c r="G40" s="5">
        <f>'R030'!$B$11</f>
        <v>0</v>
      </c>
      <c r="H40" s="5">
        <f>'R030'!$B$12</f>
        <v>0</v>
      </c>
      <c r="I40" s="6" t="str">
        <f>'R030'!$B$13</f>
        <v/>
      </c>
    </row>
    <row r="41" spans="1:9" x14ac:dyDescent="0.25">
      <c r="A41" s="4">
        <v>39</v>
      </c>
      <c r="B41" s="23" t="str">
        <f>'R077'!$B$1</f>
        <v>R077</v>
      </c>
      <c r="C41" s="5">
        <f>'R077'!$B$10</f>
        <v>9.1199999999999992</v>
      </c>
      <c r="D41" s="24">
        <f>'R077'!$B$7</f>
        <v>45743.471491228069</v>
      </c>
      <c r="E41" s="7" t="str">
        <f>IF(C41=G41,'R077'!$B$9,"")</f>
        <v/>
      </c>
      <c r="F41" s="25" t="str">
        <f>'R077'!$B$14</f>
        <v/>
      </c>
      <c r="G41" s="5">
        <f>'R077'!$B$11</f>
        <v>0</v>
      </c>
      <c r="H41" s="5">
        <f>'R077'!$B$12</f>
        <v>0</v>
      </c>
      <c r="I41" s="6" t="str">
        <f>'R077'!$B$13</f>
        <v/>
      </c>
    </row>
    <row r="42" spans="1:9" x14ac:dyDescent="0.25">
      <c r="A42" s="4">
        <v>40</v>
      </c>
      <c r="B42" s="23" t="str">
        <f>'R078'!$B$1</f>
        <v>R078</v>
      </c>
      <c r="C42" s="5">
        <f>'R078'!$B$10</f>
        <v>5.5</v>
      </c>
      <c r="D42" s="24">
        <f>'R078'!$B$7</f>
        <v>45743.850909090906</v>
      </c>
      <c r="E42" s="7" t="str">
        <f>IF(C42=G42,'R078'!$B$9,"")</f>
        <v/>
      </c>
      <c r="F42" s="25" t="str">
        <f>'R078'!$B$14</f>
        <v/>
      </c>
      <c r="G42" s="5">
        <f>'R078'!$B$11</f>
        <v>0</v>
      </c>
      <c r="H42" s="5">
        <f>'R078'!$B$12</f>
        <v>0</v>
      </c>
      <c r="I42" s="6" t="str">
        <f>'R078'!$B$13</f>
        <v/>
      </c>
    </row>
    <row r="43" spans="1:9" x14ac:dyDescent="0.25">
      <c r="A43" s="4">
        <v>41</v>
      </c>
      <c r="B43" s="23" t="str">
        <f>'R079'!$B$1</f>
        <v>R079</v>
      </c>
      <c r="C43" s="5">
        <f>'R079'!$B$10</f>
        <v>2.0100000000000002</v>
      </c>
      <c r="D43" s="24">
        <f>'R079'!$B$7</f>
        <v>45743.855721393033</v>
      </c>
      <c r="E43" s="7">
        <f>IF(C43=G43,'R079'!$B$9,"")</f>
        <v>45817</v>
      </c>
      <c r="F43" s="25">
        <f>'R079'!$B$14</f>
        <v>73.144278606965173</v>
      </c>
      <c r="G43" s="5">
        <f>'R079'!$B$11</f>
        <v>2.0100000000000002</v>
      </c>
      <c r="H43" s="5">
        <f>'R079'!$B$12</f>
        <v>0.11</v>
      </c>
      <c r="I43" s="6">
        <f>'R079'!$B$13</f>
        <v>0.30452540516853333</v>
      </c>
    </row>
    <row r="44" spans="1:9" x14ac:dyDescent="0.25">
      <c r="A44" s="4">
        <v>42</v>
      </c>
      <c r="B44" s="23" t="str">
        <f>'R080'!$B$1</f>
        <v>R080</v>
      </c>
      <c r="C44" s="5">
        <f>'R080'!$B$10</f>
        <v>8.52</v>
      </c>
      <c r="D44" s="24">
        <f>'R080'!$B$7</f>
        <v>45744.023474178408</v>
      </c>
      <c r="E44" s="7" t="str">
        <f>IF(C44=G44,'R080'!$B$9,"")</f>
        <v/>
      </c>
      <c r="F44" s="25" t="str">
        <f>'R080'!$B$14</f>
        <v/>
      </c>
      <c r="G44" s="5">
        <f>'R080'!$B$11</f>
        <v>0</v>
      </c>
      <c r="H44" s="5">
        <f>'R080'!$B$12</f>
        <v>0</v>
      </c>
      <c r="I44" s="6" t="str">
        <f>'R080'!$B$13</f>
        <v/>
      </c>
    </row>
    <row r="45" spans="1:9" x14ac:dyDescent="0.25">
      <c r="A45" s="4">
        <v>43</v>
      </c>
      <c r="B45" s="23" t="str">
        <f>'R081'!$B$1</f>
        <v>R081</v>
      </c>
      <c r="C45" s="5">
        <f>'R081'!$B$10</f>
        <v>2.4400000000000004</v>
      </c>
      <c r="D45" s="24">
        <f>'R081'!$B$7</f>
        <v>45746.049180327864</v>
      </c>
      <c r="E45" s="7" t="str">
        <f>IF(C45=G45,'R081'!$B$9,"")</f>
        <v/>
      </c>
      <c r="F45" s="25" t="str">
        <f>'R081'!$B$14</f>
        <v/>
      </c>
      <c r="G45" s="5">
        <f>'R081'!$B$11</f>
        <v>0</v>
      </c>
      <c r="H45" s="5">
        <f>'R081'!$B$12</f>
        <v>0</v>
      </c>
      <c r="I45" s="6" t="str">
        <f>'R081'!$B$13</f>
        <v/>
      </c>
    </row>
    <row r="46" spans="1:9" x14ac:dyDescent="0.25">
      <c r="A46" s="4">
        <v>44</v>
      </c>
      <c r="B46" s="23" t="str">
        <f>'R084'!$B$1</f>
        <v>R084</v>
      </c>
      <c r="C46" s="5">
        <f>'R084'!$B$10</f>
        <v>24.249999999999996</v>
      </c>
      <c r="D46" s="24">
        <f>'R084'!$B$7</f>
        <v>45773.757113402062</v>
      </c>
      <c r="E46" s="7" t="str">
        <f>IF(C46=G46,'R084'!$B$9,"")</f>
        <v/>
      </c>
      <c r="F46" s="25" t="str">
        <f>'R084'!$B$14</f>
        <v/>
      </c>
      <c r="G46" s="5">
        <f>'R084'!$B$11</f>
        <v>0</v>
      </c>
      <c r="H46" s="5">
        <f>'R084'!$B$12</f>
        <v>0</v>
      </c>
      <c r="I46" s="6" t="str">
        <f>'R084'!$B$13</f>
        <v/>
      </c>
    </row>
    <row r="47" spans="1:9" x14ac:dyDescent="0.25">
      <c r="A47" s="4">
        <v>45</v>
      </c>
      <c r="B47" s="23" t="str">
        <f>'R085'!$B$1</f>
        <v>R085</v>
      </c>
      <c r="C47" s="5">
        <f>'R085'!$B$10</f>
        <v>25.09</v>
      </c>
      <c r="D47" s="24">
        <f>'R085'!$B$7</f>
        <v>45782.734954165011</v>
      </c>
      <c r="E47" s="7" t="str">
        <f>IF(C47=G47,'R085'!$B$9,"")</f>
        <v/>
      </c>
      <c r="F47" s="25" t="str">
        <f>'R085'!$B$14</f>
        <v/>
      </c>
      <c r="G47" s="5">
        <f>'R085'!$B$11</f>
        <v>0</v>
      </c>
      <c r="H47" s="5">
        <f>'R085'!$B$12</f>
        <v>0</v>
      </c>
      <c r="I47" s="6" t="str">
        <f>'R085'!$B$13</f>
        <v/>
      </c>
    </row>
    <row r="48" spans="1:9" x14ac:dyDescent="0.25">
      <c r="A48" s="4">
        <v>46</v>
      </c>
      <c r="B48" s="23" t="str">
        <f>'R086'!$B$1</f>
        <v>R086</v>
      </c>
      <c r="C48" s="5">
        <f>'R086'!$B$10</f>
        <v>25.089999999999996</v>
      </c>
      <c r="D48" s="24">
        <f>'R086'!$B$7</f>
        <v>45781.995615783191</v>
      </c>
      <c r="E48" s="7" t="str">
        <f>IF(C48=G48,'R086'!$B$9,"")</f>
        <v/>
      </c>
      <c r="F48" s="25" t="str">
        <f>'R086'!$B$14</f>
        <v/>
      </c>
      <c r="G48" s="5">
        <f>'R086'!$B$11</f>
        <v>0</v>
      </c>
      <c r="H48" s="5">
        <f>'R086'!$B$12</f>
        <v>0</v>
      </c>
      <c r="I48" s="6" t="str">
        <f>'R086'!$B$13</f>
        <v/>
      </c>
    </row>
    <row r="49" spans="1:9" x14ac:dyDescent="0.25">
      <c r="A49" s="4">
        <v>47</v>
      </c>
      <c r="B49" s="23" t="str">
        <f>'R087'!$B$1</f>
        <v>R087</v>
      </c>
      <c r="C49" s="5">
        <f>'R087'!$B$10</f>
        <v>30.769999999999992</v>
      </c>
      <c r="D49" s="24">
        <f>'R087'!$B$7</f>
        <v>45785.848228794297</v>
      </c>
      <c r="E49" s="7" t="str">
        <f>IF(C49=G49,'R087'!$B$9,"")</f>
        <v/>
      </c>
      <c r="F49" s="25" t="str">
        <f>'R087'!$B$14</f>
        <v/>
      </c>
      <c r="G49" s="5">
        <f>'R087'!$B$11</f>
        <v>0</v>
      </c>
      <c r="H49" s="5">
        <f>'R087'!$B$12</f>
        <v>0</v>
      </c>
      <c r="I49" s="6" t="str">
        <f>'R087'!$B$13</f>
        <v/>
      </c>
    </row>
    <row r="50" spans="1:9" x14ac:dyDescent="0.25">
      <c r="A50" s="4">
        <v>48</v>
      </c>
      <c r="B50" s="23" t="str">
        <f>'R088'!$B$1</f>
        <v>R088</v>
      </c>
      <c r="C50" s="5">
        <f>'R088'!$B$10</f>
        <v>25.310000000000002</v>
      </c>
      <c r="D50" s="24">
        <f>'R088'!$B$7</f>
        <v>45782.740023706036</v>
      </c>
      <c r="E50" s="7" t="str">
        <f>IF(C50=G50,'R088'!$B$9,"")</f>
        <v/>
      </c>
      <c r="F50" s="25" t="str">
        <f>'R088'!$B$14</f>
        <v/>
      </c>
      <c r="G50" s="5">
        <f>'R088'!$B$11</f>
        <v>0</v>
      </c>
      <c r="H50" s="5">
        <f>'R088'!$B$12</f>
        <v>0</v>
      </c>
      <c r="I50" s="6" t="str">
        <f>'R088'!$B$13</f>
        <v/>
      </c>
    </row>
    <row r="51" spans="1:9" x14ac:dyDescent="0.25">
      <c r="A51" s="4">
        <v>49</v>
      </c>
      <c r="B51" s="23" t="str">
        <f>'R089'!$B$1</f>
        <v>R089</v>
      </c>
      <c r="C51" s="5">
        <f>'R089'!$B$10</f>
        <v>6.04</v>
      </c>
      <c r="D51" s="24">
        <f>'R089'!$B$7</f>
        <v>45825</v>
      </c>
      <c r="E51" s="7" t="str">
        <f>IF(C51=G51,'R089'!$B$9,"")</f>
        <v/>
      </c>
      <c r="F51" s="25" t="str">
        <f>'R089'!$B$14</f>
        <v/>
      </c>
      <c r="G51" s="5">
        <f>'R089'!$B$11</f>
        <v>0</v>
      </c>
      <c r="H51" s="5">
        <f>'R089'!$B$12</f>
        <v>0</v>
      </c>
      <c r="I51" s="6" t="str">
        <f>'R089'!$B$13</f>
        <v/>
      </c>
    </row>
    <row r="52" spans="1:9" x14ac:dyDescent="0.25">
      <c r="A52" s="4">
        <v>50</v>
      </c>
      <c r="B52" s="23" t="str">
        <f>'R090'!$B$1</f>
        <v>R090</v>
      </c>
      <c r="C52" s="5">
        <f>'R090'!$B$10</f>
        <v>1.94</v>
      </c>
      <c r="D52" s="24">
        <f>'R090'!$B$7</f>
        <v>45825</v>
      </c>
      <c r="E52" s="7" t="str">
        <f>IF(C52=G52,'R090'!$B$9,"")</f>
        <v/>
      </c>
      <c r="F52" s="25" t="str">
        <f>'R090'!$B$14</f>
        <v/>
      </c>
      <c r="G52" s="5">
        <f>'R090'!$B$11</f>
        <v>0</v>
      </c>
      <c r="H52" s="5">
        <f>'R090'!$B$12</f>
        <v>0</v>
      </c>
      <c r="I52" s="6" t="str">
        <f>'R090'!$B$13</f>
        <v/>
      </c>
    </row>
    <row r="53" spans="1:9" x14ac:dyDescent="0.25">
      <c r="A53" s="4">
        <v>51</v>
      </c>
      <c r="B53" s="23" t="str">
        <f>'R091'!$B$1</f>
        <v>R091</v>
      </c>
      <c r="C53" s="5">
        <f>'R091'!$B$10</f>
        <v>5.21</v>
      </c>
      <c r="D53" s="24">
        <f>'R091'!$B$7</f>
        <v>45826.948176583493</v>
      </c>
      <c r="E53" s="7" t="str">
        <f>IF(C53=G53,'R091'!$B$9,"")</f>
        <v/>
      </c>
      <c r="F53" s="25" t="str">
        <f>'R091'!$B$14</f>
        <v/>
      </c>
      <c r="G53" s="5">
        <f>'R091'!$B$11</f>
        <v>0</v>
      </c>
      <c r="H53" s="5">
        <f>'R091'!$B$12</f>
        <v>0</v>
      </c>
      <c r="I53" s="6" t="str">
        <f>'R091'!$B$13</f>
        <v/>
      </c>
    </row>
    <row r="54" spans="1:9" x14ac:dyDescent="0.25">
      <c r="A54" s="4">
        <v>52</v>
      </c>
      <c r="B54" s="23" t="str">
        <f>'R092'!$B$1</f>
        <v>R092</v>
      </c>
      <c r="C54" s="5">
        <f>'R092'!$B$10</f>
        <v>7.62</v>
      </c>
      <c r="D54" s="24">
        <f>'R092'!$B$7</f>
        <v>45826.442257217845</v>
      </c>
      <c r="E54" s="7" t="str">
        <f>IF(C54=G54,'R092'!$B$9,"")</f>
        <v/>
      </c>
      <c r="F54" s="25" t="str">
        <f>'R092'!$B$14</f>
        <v/>
      </c>
      <c r="G54" s="5">
        <f>'R092'!$B$11</f>
        <v>0</v>
      </c>
      <c r="H54" s="5">
        <f>'R092'!$B$12</f>
        <v>0</v>
      </c>
      <c r="I54" s="6" t="str">
        <f>'R092'!$B$13</f>
        <v/>
      </c>
    </row>
    <row r="55" spans="1:9" x14ac:dyDescent="0.25">
      <c r="A55" s="4">
        <v>53</v>
      </c>
      <c r="B55" s="23" t="str">
        <f>'R093'!$B$1</f>
        <v>R093</v>
      </c>
      <c r="C55" s="5">
        <f>'R093'!$B$10</f>
        <v>4.6700000000000008</v>
      </c>
      <c r="D55" s="24">
        <f>'R093'!$B$7</f>
        <v>45827.038543897215</v>
      </c>
      <c r="E55" s="7" t="str">
        <f>IF(C55=G55,'R093'!$B$9,"")</f>
        <v/>
      </c>
      <c r="F55" s="25" t="str">
        <f>'R093'!$B$14</f>
        <v/>
      </c>
      <c r="G55" s="5">
        <f>'R093'!$B$11</f>
        <v>0</v>
      </c>
      <c r="H55" s="5">
        <f>'R093'!$B$12</f>
        <v>0</v>
      </c>
      <c r="I55" s="6" t="str">
        <f>'R093'!$B$13</f>
        <v/>
      </c>
    </row>
    <row r="56" spans="1:9" x14ac:dyDescent="0.25">
      <c r="A56" s="4">
        <v>54</v>
      </c>
      <c r="B56" s="23" t="str">
        <f>'R094'!$B$1</f>
        <v>R094</v>
      </c>
      <c r="C56" s="5">
        <f>'R094'!$B$10</f>
        <v>3.9000000000000004</v>
      </c>
      <c r="D56" s="24">
        <f>'R094'!$B$7</f>
        <v>45824.999999999993</v>
      </c>
      <c r="E56" s="7" t="str">
        <f>IF(C56=G56,'R094'!$B$9,"")</f>
        <v/>
      </c>
      <c r="F56" s="25" t="str">
        <f>'R094'!$B$14</f>
        <v/>
      </c>
      <c r="G56" s="5">
        <f>'R094'!$B$11</f>
        <v>0</v>
      </c>
      <c r="H56" s="5">
        <f>'R094'!$B$12</f>
        <v>0</v>
      </c>
      <c r="I56" s="6" t="str">
        <f>'R094'!$B$13</f>
        <v/>
      </c>
    </row>
    <row r="57" spans="1:9" x14ac:dyDescent="0.25">
      <c r="A57" s="4">
        <v>55</v>
      </c>
      <c r="B57" s="23" t="str">
        <f>'R095'!$B$1</f>
        <v>R095</v>
      </c>
      <c r="C57" s="5">
        <f>'R095'!$B$10</f>
        <v>3.94</v>
      </c>
      <c r="D57" s="24">
        <f>'R095'!$B$7</f>
        <v>45829.05076142132</v>
      </c>
      <c r="E57" s="7" t="str">
        <f>IF(C57=G57,'R095'!$B$9,"")</f>
        <v/>
      </c>
      <c r="F57" s="25" t="str">
        <f>'R095'!$B$14</f>
        <v/>
      </c>
      <c r="G57" s="5">
        <f>'R095'!$B$11</f>
        <v>0</v>
      </c>
      <c r="H57" s="5">
        <f>'R095'!$B$12</f>
        <v>0</v>
      </c>
      <c r="I57" s="6" t="str">
        <f>'R095'!$B$13</f>
        <v/>
      </c>
    </row>
    <row r="58" spans="1:9" x14ac:dyDescent="0.25">
      <c r="A58" s="4">
        <v>56</v>
      </c>
      <c r="B58" s="23" t="str">
        <f>'R096'!$B$1</f>
        <v>R096</v>
      </c>
      <c r="C58" s="5">
        <f>'R096'!$B$10</f>
        <v>2.19</v>
      </c>
      <c r="D58" s="24">
        <f>'R096'!$B$7</f>
        <v>45825</v>
      </c>
      <c r="E58" s="7" t="str">
        <f>IF(C58=G58,'R096'!$B$9,"")</f>
        <v/>
      </c>
      <c r="F58" s="25" t="str">
        <f>'R096'!$B$14</f>
        <v/>
      </c>
      <c r="G58" s="5">
        <f>'R096'!$B$11</f>
        <v>0</v>
      </c>
      <c r="H58" s="5">
        <f>'R096'!$B$12</f>
        <v>0</v>
      </c>
      <c r="I58" s="6" t="str">
        <f>'R096'!$B$13</f>
        <v/>
      </c>
    </row>
    <row r="59" spans="1:9" x14ac:dyDescent="0.25">
      <c r="A59" s="4">
        <v>57</v>
      </c>
      <c r="B59" s="23" t="str">
        <f>'R097'!$B$1</f>
        <v>R097</v>
      </c>
      <c r="C59" s="5">
        <f>'R097'!$B$10</f>
        <v>4.8600000000000003</v>
      </c>
      <c r="D59" s="24">
        <f>'R097'!$B$7</f>
        <v>45827.751028806582</v>
      </c>
      <c r="E59" s="7" t="str">
        <f>IF(C59=G59,'R097'!$B$9,"")</f>
        <v/>
      </c>
      <c r="F59" s="25" t="str">
        <f>'R097'!$B$14</f>
        <v/>
      </c>
      <c r="G59" s="5">
        <f>'R097'!$B$11</f>
        <v>0</v>
      </c>
      <c r="H59" s="5">
        <f>'R097'!$B$12</f>
        <v>0</v>
      </c>
      <c r="I59" s="6" t="str">
        <f>'R097'!$B$13</f>
        <v/>
      </c>
    </row>
    <row r="60" spans="1:9" x14ac:dyDescent="0.25">
      <c r="A60" s="4">
        <v>58</v>
      </c>
      <c r="B60" s="23" t="str">
        <f>'R098'!$B$1</f>
        <v>R098</v>
      </c>
      <c r="C60" s="5">
        <f>'R098'!$B$10</f>
        <v>25.99</v>
      </c>
      <c r="D60" s="24">
        <f>'R098'!$B$7</f>
        <v>45896.63216621778</v>
      </c>
      <c r="E60" s="7" t="str">
        <f>IF(C60=G60,'R098'!$B$9,"")</f>
        <v/>
      </c>
      <c r="F60" s="25" t="str">
        <f>'R098'!$B$14</f>
        <v/>
      </c>
      <c r="G60" s="5">
        <f>'R098'!$B$11</f>
        <v>0</v>
      </c>
      <c r="H60" s="5">
        <f>'R098'!$B$12</f>
        <v>0</v>
      </c>
      <c r="I60" s="6" t="str">
        <f>'R098'!$B$13</f>
        <v/>
      </c>
    </row>
    <row r="61" spans="1:9" x14ac:dyDescent="0.25">
      <c r="A61" s="4">
        <v>59</v>
      </c>
      <c r="B61" s="23" t="str">
        <f>'R099'!$B$1</f>
        <v>R099</v>
      </c>
      <c r="C61" s="5">
        <f>'R099'!$B$10</f>
        <v>3.97</v>
      </c>
      <c r="D61" s="24">
        <f>'R099'!$B$7</f>
        <v>45846</v>
      </c>
      <c r="E61" s="7">
        <f>IF(C61=G61,'R099'!$B$9,"")</f>
        <v>45945</v>
      </c>
      <c r="F61" s="25">
        <f>'R099'!$B$14</f>
        <v>99</v>
      </c>
      <c r="G61" s="5">
        <f>'R099'!$B$11</f>
        <v>3.97</v>
      </c>
      <c r="H61" s="5">
        <f>'R099'!$B$12</f>
        <v>0.28000000000000003</v>
      </c>
      <c r="I61" s="6">
        <f>'R099'!$B$13</f>
        <v>0.28565812706947336</v>
      </c>
    </row>
    <row r="62" spans="1:9" x14ac:dyDescent="0.25">
      <c r="A62" s="4">
        <v>60</v>
      </c>
      <c r="B62" s="23" t="str">
        <f>'R100'!$B$1</f>
        <v>R100</v>
      </c>
      <c r="C62" s="5">
        <f>'R100'!$B$10</f>
        <v>5.41</v>
      </c>
      <c r="D62" s="24">
        <f>'R100'!$B$7</f>
        <v>45846</v>
      </c>
      <c r="E62" s="7" t="str">
        <f>IF(C62=G62,'R100'!$B$9,"")</f>
        <v/>
      </c>
      <c r="F62" s="25" t="str">
        <f>'R100'!$B$14</f>
        <v/>
      </c>
      <c r="G62" s="5">
        <f>'R100'!$B$11</f>
        <v>0</v>
      </c>
      <c r="H62" s="5">
        <f>'R100'!$B$12</f>
        <v>0</v>
      </c>
      <c r="I62" s="6" t="str">
        <f>'R100'!$B$13</f>
        <v/>
      </c>
    </row>
    <row r="63" spans="1:9" x14ac:dyDescent="0.25">
      <c r="A63" s="4">
        <v>61</v>
      </c>
      <c r="B63" s="23" t="str">
        <f>'R101'!$B$1</f>
        <v>R101</v>
      </c>
      <c r="C63" s="5">
        <f>'R101'!$B$10</f>
        <v>8.77</v>
      </c>
      <c r="D63" s="24">
        <f>'R101'!$B$7</f>
        <v>45853.766248574691</v>
      </c>
      <c r="E63" s="7" t="str">
        <f>IF(C63=G63,'R101'!$B$9,"")</f>
        <v/>
      </c>
      <c r="F63" s="25" t="str">
        <f>'R101'!$B$14</f>
        <v/>
      </c>
      <c r="G63" s="5">
        <f>'R101'!$B$11</f>
        <v>0</v>
      </c>
      <c r="H63" s="5">
        <f>'R101'!$B$12</f>
        <v>0</v>
      </c>
      <c r="I63" s="6" t="str">
        <f>'R101'!$B$13</f>
        <v/>
      </c>
    </row>
    <row r="64" spans="1:9" x14ac:dyDescent="0.25">
      <c r="A64" s="4">
        <v>62</v>
      </c>
      <c r="B64" s="23" t="str">
        <f>'R102'!$B$1</f>
        <v>R102</v>
      </c>
      <c r="C64" s="5">
        <f>'R102'!$B$10</f>
        <v>5.3</v>
      </c>
      <c r="D64" s="24">
        <f>'R102'!$B$7</f>
        <v>45846</v>
      </c>
      <c r="E64" s="7" t="str">
        <f>IF(C64=G64,'R102'!$B$9,"")</f>
        <v/>
      </c>
      <c r="F64" s="25" t="str">
        <f>'R102'!$B$14</f>
        <v/>
      </c>
      <c r="G64" s="5">
        <f>'R102'!$B$11</f>
        <v>0</v>
      </c>
      <c r="H64" s="5">
        <f>'R102'!$B$12</f>
        <v>0</v>
      </c>
      <c r="I64" s="6" t="str">
        <f>'R102'!$B$13</f>
        <v/>
      </c>
    </row>
    <row r="65" spans="1:9" x14ac:dyDescent="0.25">
      <c r="A65" s="4">
        <v>63</v>
      </c>
      <c r="B65" s="23" t="str">
        <f>'R103'!$B$1</f>
        <v>R103</v>
      </c>
      <c r="C65" s="5">
        <f>'R103'!$B$10</f>
        <v>4.45</v>
      </c>
      <c r="D65" s="24">
        <f>'R103'!$B$7</f>
        <v>45846</v>
      </c>
      <c r="E65" s="7" t="str">
        <f>IF(C65=G65,'R103'!$B$9,"")</f>
        <v/>
      </c>
      <c r="F65" s="25" t="str">
        <f>'R103'!$B$14</f>
        <v/>
      </c>
      <c r="G65" s="5">
        <f>'R103'!$B$11</f>
        <v>0</v>
      </c>
      <c r="H65" s="5">
        <f>'R103'!$B$12</f>
        <v>0</v>
      </c>
      <c r="I65" s="6" t="str">
        <f>'R103'!$B$13</f>
        <v/>
      </c>
    </row>
    <row r="66" spans="1:9" x14ac:dyDescent="0.25">
      <c r="A66" s="4">
        <v>64</v>
      </c>
      <c r="B66" s="23" t="str">
        <f>'R104'!$B$1</f>
        <v>R104</v>
      </c>
      <c r="C66" s="5">
        <f>'R104'!$B$10</f>
        <v>4.38</v>
      </c>
      <c r="D66" s="24">
        <f>'R104'!$B$7</f>
        <v>45846</v>
      </c>
      <c r="E66" s="7" t="str">
        <f>IF(C66=G66,'R104'!$B$9,"")</f>
        <v/>
      </c>
      <c r="F66" s="25" t="str">
        <f>'R104'!$B$14</f>
        <v/>
      </c>
      <c r="G66" s="5">
        <f>'R104'!$B$11</f>
        <v>0</v>
      </c>
      <c r="H66" s="5">
        <f>'R104'!$B$12</f>
        <v>0</v>
      </c>
      <c r="I66" s="6" t="str">
        <f>'R104'!$B$13</f>
        <v/>
      </c>
    </row>
    <row r="67" spans="1:9" x14ac:dyDescent="0.25">
      <c r="A67" s="4">
        <v>65</v>
      </c>
      <c r="B67" s="23" t="str">
        <f>'R105'!$B$1</f>
        <v>R105</v>
      </c>
      <c r="C67" s="5">
        <f>'R105'!$B$10</f>
        <v>4.59</v>
      </c>
      <c r="D67" s="24">
        <f>'R105'!$B$7</f>
        <v>45872.505446623094</v>
      </c>
      <c r="E67" s="7" t="str">
        <f>IF(C67=G67,'R105'!$B$9,"")</f>
        <v/>
      </c>
      <c r="F67" s="25" t="str">
        <f>'R105'!$B$14</f>
        <v/>
      </c>
      <c r="G67" s="5">
        <f>'R105'!$B$11</f>
        <v>0</v>
      </c>
      <c r="H67" s="5">
        <f>'R105'!$B$12</f>
        <v>0</v>
      </c>
      <c r="I67" s="6" t="str">
        <f>'R105'!$B$13</f>
        <v/>
      </c>
    </row>
    <row r="68" spans="1:9" x14ac:dyDescent="0.25">
      <c r="A68" s="4">
        <v>66</v>
      </c>
      <c r="B68" s="23" t="str">
        <f>'R107'!$B$1</f>
        <v>R107</v>
      </c>
      <c r="C68" s="5">
        <f>'R107'!$B$10</f>
        <v>12.45</v>
      </c>
      <c r="D68" s="24">
        <f>'R107'!$B$7</f>
        <v>45881.01124497992</v>
      </c>
      <c r="E68" s="7" t="str">
        <f>IF(C68=G68,'R107'!$B$9,"")</f>
        <v/>
      </c>
      <c r="F68" s="25" t="str">
        <f>'R107'!$B$14</f>
        <v/>
      </c>
      <c r="G68" s="5">
        <f>'R107'!$B$11</f>
        <v>0</v>
      </c>
      <c r="H68" s="5">
        <f>'R107'!$B$12</f>
        <v>0</v>
      </c>
      <c r="I68" s="6" t="str">
        <f>'R107'!$B$13</f>
        <v/>
      </c>
    </row>
    <row r="69" spans="1:9" x14ac:dyDescent="0.25">
      <c r="A69" s="4">
        <v>67</v>
      </c>
      <c r="B69" s="23" t="str">
        <f>'R108'!$B$1</f>
        <v>R108</v>
      </c>
      <c r="C69" s="5">
        <f>'R108'!$B$10</f>
        <v>3.47</v>
      </c>
      <c r="D69" s="24">
        <f>'R108'!$B$7</f>
        <v>45867.605187319881</v>
      </c>
      <c r="E69" s="7" t="str">
        <f>IF(C69=G69,'R108'!$B$9,"")</f>
        <v/>
      </c>
      <c r="F69" s="25" t="str">
        <f>'R108'!$B$14</f>
        <v/>
      </c>
      <c r="G69" s="5">
        <f>'R108'!$B$11</f>
        <v>0</v>
      </c>
      <c r="H69" s="5">
        <f>'R108'!$B$12</f>
        <v>0</v>
      </c>
      <c r="I69" s="6" t="str">
        <f>'R108'!$B$13</f>
        <v/>
      </c>
    </row>
    <row r="70" spans="1:9" x14ac:dyDescent="0.25">
      <c r="A70" s="4">
        <v>68</v>
      </c>
      <c r="B70" s="23" t="str">
        <f>'R111'!$B$1</f>
        <v>R111</v>
      </c>
      <c r="C70" s="5">
        <f>'R111'!$B$10</f>
        <v>2.59</v>
      </c>
      <c r="D70" s="24">
        <f>'R111'!$B$7</f>
        <v>45867</v>
      </c>
      <c r="E70" s="7" t="str">
        <f>IF(C70=G70,'R111'!$B$9,"")</f>
        <v/>
      </c>
      <c r="F70" s="25" t="str">
        <f>'R111'!$B$14</f>
        <v/>
      </c>
      <c r="G70" s="5">
        <f>'R111'!$B$11</f>
        <v>0</v>
      </c>
      <c r="H70" s="5">
        <f>'R111'!$B$12</f>
        <v>0</v>
      </c>
      <c r="I70" s="6" t="str">
        <f>'R111'!$B$13</f>
        <v/>
      </c>
    </row>
    <row r="71" spans="1:9" x14ac:dyDescent="0.25">
      <c r="A71" s="4">
        <v>69</v>
      </c>
      <c r="B71" s="23" t="str">
        <f>'R119'!$B$1</f>
        <v>R119</v>
      </c>
      <c r="C71" s="5">
        <f>'R119'!$B$10</f>
        <v>5.91</v>
      </c>
      <c r="D71" s="24">
        <f>'R119'!$B$7</f>
        <v>45895.663282571913</v>
      </c>
      <c r="E71" s="7" t="str">
        <f>IF(C71=G71,'R119'!$B$9,"")</f>
        <v/>
      </c>
      <c r="F71" s="25" t="str">
        <f>'R119'!$B$14</f>
        <v/>
      </c>
      <c r="G71" s="5">
        <f>'R119'!$B$11</f>
        <v>0</v>
      </c>
      <c r="H71" s="5">
        <f>'R119'!$B$12</f>
        <v>0</v>
      </c>
      <c r="I71" s="6" t="str">
        <f>'R119'!$B$13</f>
        <v/>
      </c>
    </row>
    <row r="72" spans="1:9" x14ac:dyDescent="0.25">
      <c r="A72" s="4">
        <v>70</v>
      </c>
      <c r="B72" s="23" t="str">
        <f>'R120'!$B$1</f>
        <v>R120</v>
      </c>
      <c r="C72" s="5">
        <f>'R120'!$B$10</f>
        <v>7.56</v>
      </c>
      <c r="D72" s="24">
        <f>'R120'!$B$7</f>
        <v>45896.342592592591</v>
      </c>
      <c r="E72" s="7" t="str">
        <f>IF(C72=G72,'R120'!$B$9,"")</f>
        <v/>
      </c>
      <c r="F72" s="25" t="str">
        <f>'R120'!$B$14</f>
        <v/>
      </c>
      <c r="G72" s="5">
        <f>'R120'!$B$11</f>
        <v>0</v>
      </c>
      <c r="H72" s="5">
        <f>'R120'!$B$12</f>
        <v>0</v>
      </c>
      <c r="I72" s="6" t="str">
        <f>'R120'!$B$13</f>
        <v/>
      </c>
    </row>
    <row r="73" spans="1:9" x14ac:dyDescent="0.25">
      <c r="A73" s="4">
        <v>71</v>
      </c>
      <c r="B73" s="23" t="str">
        <f>'R121'!$B$1</f>
        <v>R121</v>
      </c>
      <c r="C73" s="5">
        <f>'R121'!$B$10</f>
        <v>19.63</v>
      </c>
      <c r="D73" s="24">
        <f>'R121'!$B$7</f>
        <v>45904.524707081</v>
      </c>
      <c r="E73" s="7" t="str">
        <f>IF(C73=G73,'R121'!$B$9,"")</f>
        <v/>
      </c>
      <c r="F73" s="25" t="str">
        <f>'R121'!$B$14</f>
        <v/>
      </c>
      <c r="G73" s="5">
        <f>'R121'!$B$11</f>
        <v>0</v>
      </c>
      <c r="H73" s="5">
        <f>'R121'!$B$12</f>
        <v>0</v>
      </c>
      <c r="I73" s="6" t="str">
        <f>'R121'!$B$13</f>
        <v/>
      </c>
    </row>
    <row r="74" spans="1:9" x14ac:dyDescent="0.25">
      <c r="A74" s="4">
        <v>72</v>
      </c>
      <c r="B74" s="23" t="str">
        <f>'R122'!$B$1</f>
        <v>R122</v>
      </c>
      <c r="C74" s="5">
        <f>'R122'!$B$10</f>
        <v>8.1900000000000013</v>
      </c>
      <c r="D74" s="24">
        <f>'R122'!$B$7</f>
        <v>45895.709401709391</v>
      </c>
      <c r="E74" s="7" t="str">
        <f>IF(C74=G74,'R122'!$B$9,"")</f>
        <v/>
      </c>
      <c r="F74" s="25" t="str">
        <f>'R122'!$B$14</f>
        <v/>
      </c>
      <c r="G74" s="5">
        <f>'R122'!$B$11</f>
        <v>0</v>
      </c>
      <c r="H74" s="5">
        <f>'R122'!$B$12</f>
        <v>0</v>
      </c>
      <c r="I74" s="6" t="str">
        <f>'R122'!$B$13</f>
        <v/>
      </c>
    </row>
    <row r="75" spans="1:9" x14ac:dyDescent="0.25">
      <c r="A75" s="4">
        <v>73</v>
      </c>
      <c r="B75" s="23" t="str">
        <f>'R123'!$B$1</f>
        <v>R123</v>
      </c>
      <c r="C75" s="5">
        <f>'R123'!$B$10</f>
        <v>8.1199999999999992</v>
      </c>
      <c r="D75" s="24">
        <f>'R123'!$B$7</f>
        <v>45896.275862068964</v>
      </c>
      <c r="E75" s="7" t="str">
        <f>IF(C75=G75,'R123'!$B$9,"")</f>
        <v/>
      </c>
      <c r="F75" s="25" t="str">
        <f>'R123'!$B$14</f>
        <v/>
      </c>
      <c r="G75" s="5">
        <f>'R123'!$B$11</f>
        <v>0</v>
      </c>
      <c r="H75" s="5">
        <f>'R123'!$B$12</f>
        <v>0</v>
      </c>
      <c r="I75" s="6" t="str">
        <f>'R123'!$B$13</f>
        <v/>
      </c>
    </row>
    <row r="76" spans="1:9" x14ac:dyDescent="0.25">
      <c r="A76" s="4">
        <v>74</v>
      </c>
      <c r="B76" s="23" t="str">
        <f>'R128'!$B$1</f>
        <v>R128</v>
      </c>
      <c r="C76" s="5">
        <f>'R128'!$B$10</f>
        <v>5.78</v>
      </c>
      <c r="D76" s="24">
        <f>'R128'!$B$7</f>
        <v>45919.536332179923</v>
      </c>
      <c r="E76" s="7" t="str">
        <f>IF(C76=G76,'R128'!$B$9,"")</f>
        <v/>
      </c>
      <c r="F76" s="25" t="str">
        <f>'R128'!$B$14</f>
        <v/>
      </c>
      <c r="G76" s="5">
        <f>'R128'!$B$11</f>
        <v>0</v>
      </c>
      <c r="H76" s="5">
        <f>'R128'!$B$12</f>
        <v>0</v>
      </c>
      <c r="I76" s="6" t="str">
        <f>'R128'!$B$13</f>
        <v/>
      </c>
    </row>
    <row r="77" spans="1:9" x14ac:dyDescent="0.25">
      <c r="A77" s="4">
        <v>75</v>
      </c>
      <c r="B77" s="23" t="str">
        <f>'R129'!$B$1</f>
        <v>R129</v>
      </c>
      <c r="C77" s="5">
        <f>'R129'!$B$10</f>
        <v>4.7900000000000009</v>
      </c>
      <c r="D77" s="24">
        <f>'R129'!$B$7</f>
        <v>45916.102296450932</v>
      </c>
      <c r="E77" s="7" t="str">
        <f>IF(C77=G77,'R129'!$B$9,"")</f>
        <v/>
      </c>
      <c r="F77" s="25" t="str">
        <f>'R129'!$B$14</f>
        <v/>
      </c>
      <c r="G77" s="5">
        <f>'R129'!$B$11</f>
        <v>0</v>
      </c>
      <c r="H77" s="5">
        <f>'R129'!$B$12</f>
        <v>0</v>
      </c>
      <c r="I77" s="6" t="str">
        <f>'R129'!$B$13</f>
        <v/>
      </c>
    </row>
    <row r="78" spans="1:9" x14ac:dyDescent="0.25">
      <c r="A78" s="4">
        <v>76</v>
      </c>
      <c r="B78" s="23" t="str">
        <f>'R130'!$B$1</f>
        <v>R130</v>
      </c>
      <c r="C78" s="5">
        <f>'R130'!$B$10</f>
        <v>2.67</v>
      </c>
      <c r="D78" s="24">
        <f>'R130'!$B$7</f>
        <v>45916.078651685399</v>
      </c>
      <c r="E78" s="7" t="str">
        <f>IF(C78=G78,'R130'!$B$9,"")</f>
        <v/>
      </c>
      <c r="F78" s="25" t="str">
        <f>'R130'!$B$14</f>
        <v/>
      </c>
      <c r="G78" s="5">
        <f>'R130'!$B$11</f>
        <v>0</v>
      </c>
      <c r="H78" s="5">
        <f>'R130'!$B$12</f>
        <v>0</v>
      </c>
      <c r="I78" s="6" t="str">
        <f>'R130'!$B$13</f>
        <v/>
      </c>
    </row>
    <row r="79" spans="1:9" x14ac:dyDescent="0.25">
      <c r="A79" s="4">
        <v>77</v>
      </c>
      <c r="B79" s="23" t="str">
        <f>'R131'!$B$1</f>
        <v>R131</v>
      </c>
      <c r="C79" s="5">
        <f>'R131'!$B$10</f>
        <v>6.91</v>
      </c>
      <c r="D79" s="24">
        <f>'R131'!$B$7</f>
        <v>45916.96237337192</v>
      </c>
      <c r="E79" s="7">
        <f>IF(C79=G79,'R131'!$B$9,"")</f>
        <v>46203</v>
      </c>
      <c r="F79" s="25">
        <f>'R131'!$B$14</f>
        <v>286.03762662807526</v>
      </c>
      <c r="G79" s="5">
        <f>'R131'!$B$11</f>
        <v>6.91</v>
      </c>
      <c r="H79" s="5">
        <f>'R131'!$B$12</f>
        <v>0.82000000000000006</v>
      </c>
      <c r="I79" s="6">
        <f>'R131'!$B$13</f>
        <v>0.15380992293357851</v>
      </c>
    </row>
    <row r="80" spans="1:9" x14ac:dyDescent="0.25">
      <c r="A80" s="4">
        <v>78</v>
      </c>
      <c r="B80" s="23" t="str">
        <f>'R150'!$B$1</f>
        <v>R150</v>
      </c>
      <c r="C80" s="5">
        <f>'R150'!$B$10</f>
        <v>6.46</v>
      </c>
      <c r="D80" s="24">
        <f>'R150'!$B$7</f>
        <v>45951</v>
      </c>
      <c r="E80" s="7" t="str">
        <f>IF(C80=G80,'R150'!$B$9,"")</f>
        <v/>
      </c>
      <c r="F80" s="25" t="str">
        <f>'R150'!$B$14</f>
        <v/>
      </c>
      <c r="G80" s="5">
        <f>'R150'!$B$11</f>
        <v>0</v>
      </c>
      <c r="H80" s="5">
        <f>'R150'!$B$12</f>
        <v>0</v>
      </c>
      <c r="I80" s="6" t="str">
        <f>'R150'!$B$13</f>
        <v/>
      </c>
    </row>
    <row r="81" spans="1:9" x14ac:dyDescent="0.25">
      <c r="A81" s="4">
        <v>79</v>
      </c>
      <c r="B81" s="23" t="str">
        <f>'R151'!$B$1</f>
        <v>R151</v>
      </c>
      <c r="C81" s="5">
        <f>'R151'!$B$10</f>
        <v>3.0599999999999996</v>
      </c>
      <c r="D81" s="24">
        <f>'R151'!$B$7</f>
        <v>45951.000000000007</v>
      </c>
      <c r="E81" s="7" t="str">
        <f>IF(C81=G81,'R151'!$B$9,"")</f>
        <v/>
      </c>
      <c r="F81" s="25" t="str">
        <f>'R151'!$B$14</f>
        <v/>
      </c>
      <c r="G81" s="5">
        <f>'R151'!$B$11</f>
        <v>0</v>
      </c>
      <c r="H81" s="5">
        <f>'R151'!$B$12</f>
        <v>0</v>
      </c>
      <c r="I81" s="6" t="str">
        <f>'R151'!$B$13</f>
        <v/>
      </c>
    </row>
    <row r="82" spans="1:9" x14ac:dyDescent="0.25">
      <c r="A82" s="4">
        <v>80</v>
      </c>
      <c r="B82" s="23" t="str">
        <f>'R152'!$B$1</f>
        <v>R152</v>
      </c>
      <c r="C82" s="5">
        <f>'R152'!$B$10</f>
        <v>3.33</v>
      </c>
      <c r="D82" s="24">
        <f>'R152'!$B$7</f>
        <v>45951.000000000007</v>
      </c>
      <c r="E82" s="7" t="str">
        <f>IF(C82=G82,'R152'!$B$9,"")</f>
        <v/>
      </c>
      <c r="F82" s="25" t="str">
        <f>'R152'!$B$14</f>
        <v/>
      </c>
      <c r="G82" s="5">
        <f>'R152'!$B$11</f>
        <v>0</v>
      </c>
      <c r="H82" s="5">
        <f>'R152'!$B$12</f>
        <v>0</v>
      </c>
      <c r="I82" s="6" t="str">
        <f>'R152'!$B$13</f>
        <v/>
      </c>
    </row>
    <row r="83" spans="1:9" x14ac:dyDescent="0.25">
      <c r="A83" s="4">
        <v>81</v>
      </c>
      <c r="B83" s="23" t="str">
        <f>'R156'!$B$1</f>
        <v>R156</v>
      </c>
      <c r="C83" s="5">
        <f>'R156'!$B$10</f>
        <v>4.37</v>
      </c>
      <c r="D83" s="24">
        <f>'R156'!$B$7</f>
        <v>45951</v>
      </c>
      <c r="E83" s="7" t="str">
        <f>IF(C83=G83,'R156'!$B$9,"")</f>
        <v/>
      </c>
      <c r="F83" s="25" t="str">
        <f>'R156'!$B$14</f>
        <v/>
      </c>
      <c r="G83" s="5">
        <f>'R156'!$B$11</f>
        <v>0</v>
      </c>
      <c r="H83" s="5">
        <f>'R156'!$B$12</f>
        <v>0</v>
      </c>
      <c r="I83" s="6" t="str">
        <f>'R156'!$B$13</f>
        <v/>
      </c>
    </row>
    <row r="84" spans="1:9" x14ac:dyDescent="0.25">
      <c r="A84" s="4">
        <v>82</v>
      </c>
      <c r="B84" s="23" t="str">
        <f>'R157'!$B$1</f>
        <v>R157</v>
      </c>
      <c r="C84" s="5">
        <f>'R157'!$B$10</f>
        <v>5.4</v>
      </c>
      <c r="D84" s="24">
        <f>'R157'!$B$7</f>
        <v>45951</v>
      </c>
      <c r="E84" s="7" t="str">
        <f>IF(C84=G84,'R157'!$B$9,"")</f>
        <v/>
      </c>
      <c r="F84" s="25" t="str">
        <f>'R157'!$B$14</f>
        <v/>
      </c>
      <c r="G84" s="5">
        <f>'R157'!$B$11</f>
        <v>0</v>
      </c>
      <c r="H84" s="5">
        <f>'R157'!$B$12</f>
        <v>0</v>
      </c>
      <c r="I84" s="6" t="str">
        <f>'R157'!$B$13</f>
        <v/>
      </c>
    </row>
    <row r="85" spans="1:9" x14ac:dyDescent="0.25">
      <c r="A85" s="4">
        <v>83</v>
      </c>
      <c r="B85" s="23" t="str">
        <f>'R158'!$B$1</f>
        <v>R158</v>
      </c>
      <c r="C85" s="5">
        <f>'R158'!$B$10</f>
        <v>3.4499999999999997</v>
      </c>
      <c r="D85" s="24">
        <f>'R158'!$B$7</f>
        <v>45951.000000000007</v>
      </c>
      <c r="E85" s="7" t="str">
        <f>IF(C85=G85,'R158'!$B$9,"")</f>
        <v/>
      </c>
      <c r="F85" s="25" t="str">
        <f>'R158'!$B$14</f>
        <v/>
      </c>
      <c r="G85" s="5">
        <f>'R158'!$B$11</f>
        <v>0</v>
      </c>
      <c r="H85" s="5">
        <f>'R158'!$B$12</f>
        <v>0</v>
      </c>
      <c r="I85" s="6" t="str">
        <f>'R158'!$B$13</f>
        <v/>
      </c>
    </row>
    <row r="86" spans="1:9" x14ac:dyDescent="0.25">
      <c r="A86" s="4">
        <v>84</v>
      </c>
      <c r="B86" s="23" t="str">
        <f>'R175'!$B$1</f>
        <v>R175</v>
      </c>
      <c r="C86" s="5">
        <f>'R175'!$B$10</f>
        <v>17.47</v>
      </c>
      <c r="D86" s="24">
        <f>'R175'!$B$7</f>
        <v>45996</v>
      </c>
      <c r="E86" s="7" t="str">
        <f>IF(C86=G86,'R175'!$B$9,"")</f>
        <v/>
      </c>
      <c r="F86" s="25" t="str">
        <f>'R175'!$B$14</f>
        <v/>
      </c>
      <c r="G86" s="5">
        <f>'R175'!$B$11</f>
        <v>0</v>
      </c>
      <c r="H86" s="5">
        <f>'R175'!$B$12</f>
        <v>0</v>
      </c>
      <c r="I86" s="6" t="str">
        <f>'R175'!$B$13</f>
        <v/>
      </c>
    </row>
    <row r="87" spans="1:9" x14ac:dyDescent="0.25">
      <c r="A87" s="4">
        <v>85</v>
      </c>
      <c r="B87" s="23" t="str">
        <f>'R180'!$B$1</f>
        <v>R180</v>
      </c>
      <c r="C87" s="5">
        <f>'R180'!$B$10</f>
        <v>10.86</v>
      </c>
      <c r="D87" s="24">
        <f>'R180'!$B$7</f>
        <v>45996</v>
      </c>
      <c r="E87" s="7" t="str">
        <f>IF(C87=G87,'R180'!$B$9,"")</f>
        <v/>
      </c>
      <c r="F87" s="25" t="str">
        <f>'R180'!$B$14</f>
        <v/>
      </c>
      <c r="G87" s="5">
        <f>'R180'!$B$11</f>
        <v>0</v>
      </c>
      <c r="H87" s="5">
        <f>'R180'!$B$12</f>
        <v>0</v>
      </c>
      <c r="I87" s="6" t="str">
        <f>'R180'!$B$13</f>
        <v/>
      </c>
    </row>
    <row r="88" spans="1:9" x14ac:dyDescent="0.25">
      <c r="A88" s="4">
        <v>86</v>
      </c>
      <c r="B88" s="23" t="str">
        <f>'R256'!$B$1</f>
        <v>R256</v>
      </c>
      <c r="C88" s="5">
        <f>'R256'!$B$10</f>
        <v>13.87</v>
      </c>
      <c r="D88" s="24">
        <f>'R256'!$B$7</f>
        <v>46168.999999999993</v>
      </c>
      <c r="E88" s="7" t="str">
        <f>IF(C88=G88,'R256'!$B$9,"")</f>
        <v/>
      </c>
      <c r="F88" s="25" t="str">
        <f>'R256'!$B$14</f>
        <v/>
      </c>
      <c r="G88" s="5">
        <f>'R256'!$B$11</f>
        <v>0</v>
      </c>
      <c r="H88" s="5">
        <f>'R256'!$B$12</f>
        <v>0</v>
      </c>
      <c r="I88" s="6" t="str">
        <f>'R256'!$B$13</f>
        <v/>
      </c>
    </row>
    <row r="89" spans="1:9" x14ac:dyDescent="0.25">
      <c r="A89" s="4">
        <v>87</v>
      </c>
      <c r="B89" s="23" t="s">
        <v>251</v>
      </c>
      <c r="C89" s="5">
        <f>'R259'!$B$10</f>
        <v>10.67</v>
      </c>
      <c r="D89" s="24">
        <f>'R259'!$B$7</f>
        <v>46233</v>
      </c>
      <c r="E89" s="7" t="str">
        <f>IF(C89=G89,'R259'!$B$9,"")</f>
        <v/>
      </c>
      <c r="F89" s="25" t="str">
        <f>'R259'!$B$14</f>
        <v/>
      </c>
      <c r="G89" s="5">
        <f>'R259'!$B$11</f>
        <v>0</v>
      </c>
      <c r="H89" s="5">
        <f>'R259'!$B$12</f>
        <v>0</v>
      </c>
      <c r="I89" s="6" t="str">
        <f>'R259'!$B$13</f>
        <v/>
      </c>
    </row>
    <row r="90" spans="1:9" x14ac:dyDescent="0.25">
      <c r="A90" s="4">
        <v>87</v>
      </c>
      <c r="B90" s="23" t="str">
        <f>'C004'!$B$1</f>
        <v>C004</v>
      </c>
      <c r="C90" s="5">
        <f>'C004'!$B$10</f>
        <v>17.71</v>
      </c>
      <c r="D90" s="24">
        <f>'C004'!$B$7</f>
        <v>46204</v>
      </c>
      <c r="E90" s="7" t="str">
        <f>IF(C90=G90,'C004'!$B$9,"")</f>
        <v/>
      </c>
      <c r="F90" s="25" t="str">
        <f>'C004'!$B$14</f>
        <v/>
      </c>
      <c r="G90" s="5">
        <f>'C004'!$B$11</f>
        <v>0</v>
      </c>
      <c r="H90" s="5">
        <f>'C004'!$B$12</f>
        <v>0</v>
      </c>
      <c r="I90" s="6" t="str">
        <f>'C004'!$B$13</f>
        <v/>
      </c>
    </row>
  </sheetData>
  <mergeCells count="7">
    <mergeCell ref="Q1:T1"/>
    <mergeCell ref="O1:P1"/>
    <mergeCell ref="A1:A2"/>
    <mergeCell ref="B1:B2"/>
    <mergeCell ref="E1:I1"/>
    <mergeCell ref="C1:D1"/>
    <mergeCell ref="K1:N1"/>
  </mergeCells>
  <conditionalFormatting sqref="A3:I90">
    <cfRule type="expression" dxfId="116" priority="1">
      <formula>$C3=$G3</formula>
    </cfRule>
  </conditionalFormatting>
  <hyperlinks>
    <hyperlink ref="B3" location="'J035'!A1" display="'J035'!A1" xr:uid="{191CA448-C5B2-4611-930C-6BAB9605E9A9}"/>
    <hyperlink ref="B4" location="'J036'!A1" display="'J036'!A1" xr:uid="{05C5E640-581D-4642-B29B-35E267135942}"/>
    <hyperlink ref="B5" location="'J037'!A1" display="'J037'!A1" xr:uid="{25082897-145F-4093-815B-A5B417BCDB91}"/>
    <hyperlink ref="B6" location="'J038'!A1" display="'J038'!A1" xr:uid="{A128E7F5-4C50-4380-B5AB-EFD5843A083B}"/>
    <hyperlink ref="B7" location="'J039'!A1" display="'J039'!A1" xr:uid="{976F84B5-45F9-4199-A182-2CCC5D81BCE9}"/>
    <hyperlink ref="B8" location="'J040'!A1" display="'J040'!A1" xr:uid="{E5753F54-7349-4998-917C-3BE27BA1896C}"/>
    <hyperlink ref="B9" location="'J041'!A1" display="'J041'!A1" xr:uid="{3ADBBA77-93D2-4030-A32B-0CFCA9121122}"/>
    <hyperlink ref="B10" location="'J042'!A1" display="'J042'!A1" xr:uid="{DE42AB6A-8BD6-4B1B-9165-625D7284D806}"/>
    <hyperlink ref="B11" location="'J043'!A1" display="'J043'!A1" xr:uid="{E02933A0-CFE5-4575-ADB8-FAEE45F515BC}"/>
    <hyperlink ref="B12" location="'J044'!A1" display="'J044'!A1" xr:uid="{589043BB-B6BD-4911-9DAF-ADC10B3AFC82}"/>
    <hyperlink ref="B13" location="'J046'!A1" display="'J046'!A1" xr:uid="{4054AEF7-85D8-4D48-813A-8A0E925328AB}"/>
    <hyperlink ref="B14" location="'J048'!A1" display="'J048'!A1" xr:uid="{FBEA88B9-3F41-4C1F-82DB-E903398EAC07}"/>
    <hyperlink ref="B15" location="'J049'!A1" display="'J049'!A1" xr:uid="{F2B5EF03-76DE-4E82-874E-61BD090C86E8}"/>
    <hyperlink ref="B16" location="'J050'!A1" display="'J050'!A1" xr:uid="{4F0DBBA4-9A66-4420-B381-6D92E6B2CC5C}"/>
    <hyperlink ref="B17" location="'J051'!A1" display="'J051'!A1" xr:uid="{82FF8ECD-D4D1-490C-BBCA-1DF5A2C74329}"/>
    <hyperlink ref="B18" location="'J052'!A1" display="'J052'!A1" xr:uid="{4E50690B-8BC2-41F6-B69C-6DB94C299978}"/>
    <hyperlink ref="B19" location="'J053'!A1" display="'J053'!A1" xr:uid="{D4316BD0-69B0-41FF-A921-96D2106DC58C}"/>
    <hyperlink ref="B20" location="'J054'!A1" display="'J054'!A1" xr:uid="{7E5B99B5-2ADE-4045-8163-159DE859D6A4}"/>
    <hyperlink ref="B21" location="'J055'!A1" display="'J055'!A1" xr:uid="{2AE9C1EC-0010-41C0-9D28-278CE7E25071}"/>
    <hyperlink ref="B22" location="'J056'!A1" display="'J056'!A1" xr:uid="{B60B623A-CDD8-4176-A271-8FCAE711C969}"/>
    <hyperlink ref="B23" location="'J057'!A1" display="'J057'!A1" xr:uid="{F871DFAB-C3F6-455B-934D-63C9DDF3D585}"/>
    <hyperlink ref="B24" location="'J059'!A1" display="'J059'!A1" xr:uid="{0FC9FBAB-BD54-48C5-8F9E-507268209ACC}"/>
    <hyperlink ref="B25" location="'J060'!A1" display="'J060'!A1" xr:uid="{DCDD34B1-0987-4AED-99D5-B9775C295BA4}"/>
    <hyperlink ref="B26" location="'J061'!A1" display="'J061'!A1" xr:uid="{F09B9FA9-DFEA-4E4E-9EC8-D129945D111E}"/>
    <hyperlink ref="B27" location="'J062'!A1" display="'J062'!A1" xr:uid="{11EEC1B1-3AFC-4E74-9EE6-9FC56D7E8D87}"/>
    <hyperlink ref="B28" location="'J063'!A1" display="'J063'!A1" xr:uid="{69EF8973-0DB1-4795-A249-C76372A1CF6F}"/>
    <hyperlink ref="B29" location="'J064'!A1" display="'J064'!A1" xr:uid="{09ED6481-B248-48BA-A0D9-76176E4641B5}"/>
    <hyperlink ref="B30" location="'J065'!A1" display="'J065'!A1" xr:uid="{B6AB867A-5475-4FAE-87B5-F2B33F94BB28}"/>
    <hyperlink ref="B31" location="'J066'!A1" display="'J066'!A1" xr:uid="{73F70EB7-B194-44F9-AE2F-33EF6F19B9F8}"/>
    <hyperlink ref="B32" location="'J067'!A1" display="'J067'!A1" xr:uid="{65AA0008-6B64-4E1A-83E6-3B7FD47852A4}"/>
    <hyperlink ref="B33" location="'J068'!A1" display="'J068'!A1" xr:uid="{A70C48E8-6282-4625-B79A-B66104FFA206}"/>
    <hyperlink ref="B34" location="'J069'!A1" display="'J069'!A1" xr:uid="{6311DE9C-ED1D-42BF-B0B0-949E02CAA54A}"/>
    <hyperlink ref="B35" location="'J071'!A1" display="'J071'!A1" xr:uid="{7BDE7BBA-2F42-46F8-87BB-00C686706D20}"/>
    <hyperlink ref="B36" location="'J072'!A1" display="'J072'!A1" xr:uid="{4CC727BD-BCA0-4CB3-B624-F025CE0E35F7}"/>
    <hyperlink ref="B37" location="'J073'!A1" display="'J073'!A1" xr:uid="{04059759-9209-433B-8952-B8B81548C51C}"/>
    <hyperlink ref="B38" location="'J074'!A1" display="'J074'!A1" xr:uid="{234E751A-6F44-4ED4-96CE-98E8C2237A3D}"/>
    <hyperlink ref="B39" location="'J076'!A1" display="'J076'!A1" xr:uid="{2C5F00B8-0F7D-4394-9305-FBC954069A06}"/>
    <hyperlink ref="B40" location="'R030'!A1" display="'R030'!A1" xr:uid="{BBB23DD2-7100-4D52-AEA1-3C33630A4F65}"/>
    <hyperlink ref="B41" location="'R077'!A1" display="'R077'!A1" xr:uid="{4C600567-5A94-40A7-A1B5-F0DBD4AB4182}"/>
    <hyperlink ref="B42" location="'R078'!A1" display="'R078'!A1" xr:uid="{1C4D4754-B3DB-4EAF-B659-FDDC096EEC4C}"/>
    <hyperlink ref="B43" location="'R079'!A1" display="'R079'!A1" xr:uid="{DA98738D-E940-413C-8038-A4163D4C98EF}"/>
    <hyperlink ref="B44" location="'R080'!A1" display="'R080'!A1" xr:uid="{EF6C740C-2521-4394-8AC7-9AF3C9D755F5}"/>
    <hyperlink ref="B45" location="'R081'!A1" display="'R081'!A1" xr:uid="{EA6AAC44-F2A2-4C35-B528-A2A967CCC526}"/>
    <hyperlink ref="B46" location="'R084'!A1" display="'R084'!A1" xr:uid="{93F5E445-1518-470C-A493-6EB8E2C24BA5}"/>
    <hyperlink ref="B47" location="'R085'!A1" display="'R085'!A1" xr:uid="{F0510845-B061-4A0C-9965-93CC96FB9FFF}"/>
    <hyperlink ref="B48" location="'R086'!A1" display="'R086'!A1" xr:uid="{B89CC21F-C1A5-4B61-B7C0-3887E1DE988F}"/>
    <hyperlink ref="B49" location="'R087'!A1" display="'R087'!A1" xr:uid="{F3F16317-4870-4110-942B-3281E73800E9}"/>
    <hyperlink ref="B50" location="'R088'!A1" display="'R088'!A1" xr:uid="{C871D393-C2BE-4BB6-A209-F140ABF5BD9A}"/>
    <hyperlink ref="B51" location="'R089'!A1" display="'R089'!A1" xr:uid="{EBA3F3A4-4F7A-479D-A156-13E39BA97C80}"/>
    <hyperlink ref="B52" location="'R090'!A1" display="'R090'!A1" xr:uid="{88B486D9-64C7-46AE-BC53-C60F7F7DFB51}"/>
    <hyperlink ref="B53" location="'R091'!A1" display="'R091'!A1" xr:uid="{0079644B-D5E1-469D-B089-92FCDB217C83}"/>
    <hyperlink ref="B54" location="'R092'!A1" display="'R092'!A1" xr:uid="{5B497CC2-B847-4D66-8C94-C55B514064CA}"/>
    <hyperlink ref="B55" location="'R093'!A1" display="'R093'!A1" xr:uid="{D954715E-A861-4499-B416-DE8E30A2D735}"/>
    <hyperlink ref="B56" location="'R094'!A1" display="'R094'!A1" xr:uid="{1D9320AA-7E26-4908-8934-8376B077827E}"/>
    <hyperlink ref="B57" location="'R095'!A1" display="'R095'!A1" xr:uid="{A6E1876C-EAED-4AE6-BACE-C569015E50E9}"/>
    <hyperlink ref="B58" location="'R096'!A1" display="'R096'!A1" xr:uid="{638B25DD-A0D8-40AA-AFEC-36912D6AB5BB}"/>
    <hyperlink ref="B59" location="'R097'!A1" display="'R097'!A1" xr:uid="{EE46465A-8783-4B69-98E3-87F928DE3896}"/>
    <hyperlink ref="B60" location="'R098'!A1" display="'R098'!A1" xr:uid="{347CE890-66E8-4861-9AC3-121155D202B1}"/>
    <hyperlink ref="B61" location="'R099'!A1" display="'R099'!A1" xr:uid="{9CFE71E4-9740-4987-AD66-7E6F572B9480}"/>
    <hyperlink ref="B62" location="'R100'!A1" display="'R100'!A1" xr:uid="{CC838BA2-E7F2-43EA-B97A-9E2D29C6C9E1}"/>
    <hyperlink ref="B63" location="'R101'!A1" display="'R101'!A1" xr:uid="{DDA9CA66-B81B-4524-A47D-C7309ADE9306}"/>
    <hyperlink ref="B64" location="'R102'!A1" display="'R102'!A1" xr:uid="{E03F74AC-86C5-45D9-8E79-E70A581CD4CC}"/>
    <hyperlink ref="B65" location="'R103'!A1" display="'R103'!A1" xr:uid="{490D7638-F4E5-45B7-8F23-31C98761BC0B}"/>
    <hyperlink ref="B66" location="'R104'!A1" display="'R104'!A1" xr:uid="{55D35A04-3A66-4C52-8B80-DFB7F7C7FBB2}"/>
    <hyperlink ref="B67" location="'R105'!A1" display="'R105'!A1" xr:uid="{6381CFAF-DA1B-4815-BE17-C50C2077D8F8}"/>
    <hyperlink ref="B68" location="'R107'!A1" display="'R107'!A1" xr:uid="{ED9AFEBE-BCC9-4DFD-9438-DABFD9D9966C}"/>
    <hyperlink ref="B69" location="'R108'!A1" display="'R108'!A1" xr:uid="{5903E7F2-D86C-4DB3-9634-A96A7BD68D90}"/>
    <hyperlink ref="B70" location="'R111'!A1" display="'R111'!A1" xr:uid="{231B52CF-13BC-4273-8617-1E5FC17C58E6}"/>
    <hyperlink ref="B71" location="'R119'!A1" display="'R119'!A1" xr:uid="{9A2D390E-4EAB-41C1-B06F-1EDF56AC0279}"/>
    <hyperlink ref="B72" location="'R120'!A1" display="'R120'!A1" xr:uid="{C8416E81-3E29-4E3A-80B4-FB84A9B1BDB9}"/>
    <hyperlink ref="B73" location="'R121'!A1" display="'R121'!A1" xr:uid="{87743FD5-1C27-4C00-8C31-DE928143FDE8}"/>
    <hyperlink ref="B74" location="'R122'!A1" display="'R122'!A1" xr:uid="{85A3A954-FEC0-4CED-9DA4-7AB015ADD28F}"/>
    <hyperlink ref="B75" location="'R123'!A1" display="'R123'!A1" xr:uid="{AB8C15B4-B94A-45B0-A4D5-73D6504BE5B2}"/>
    <hyperlink ref="B76" location="'R128'!A1" display="'R128'!A1" xr:uid="{3FB936DE-8546-4886-A516-769BFD8EABE6}"/>
    <hyperlink ref="B77" location="'R129'!A1" display="'R129'!A1" xr:uid="{54B19F6B-ED3E-46F2-B531-7186E60276FC}"/>
    <hyperlink ref="B78" location="'R130'!A1" display="'R130'!A1" xr:uid="{5D62FEBD-2AED-4C22-82DA-F498B9F71680}"/>
    <hyperlink ref="B79" location="'R131'!A1" display="'R131'!A1" xr:uid="{F0AD6BB6-ADE6-4E83-92A5-D47AF675ACEF}"/>
    <hyperlink ref="B80" location="'R150'!A1" display="'R150'!A1" xr:uid="{589DD143-F995-46BE-84A6-C7AAF2548741}"/>
    <hyperlink ref="B81" location="'R151'!A1" display="'R151'!A1" xr:uid="{2E1B2F14-033B-46E8-9E74-6CA3A8AEDD3C}"/>
    <hyperlink ref="B82" location="'R152'!A1" display="'R152'!A1" xr:uid="{DC3CB117-5EF8-46ED-99E6-0E55C0E767AF}"/>
    <hyperlink ref="B83" location="'R156'!A1" display="'R156'!A1" xr:uid="{7C52619D-D14F-45F3-BEBA-F73881DBAA78}"/>
    <hyperlink ref="B84" location="'R157'!A1" display="'R157'!A1" xr:uid="{94AAAAAC-FDD3-4AA7-B567-94F1949186DC}"/>
    <hyperlink ref="B85" location="'R158'!A1" display="'R158'!A1" xr:uid="{5FC1BCD4-61B4-4ED7-97E9-CF5C3C2A66F6}"/>
    <hyperlink ref="B86" location="'R175'!A1" display="'R175'!A1" xr:uid="{E5797F4E-5E5A-4160-B307-932FB087C58E}"/>
    <hyperlink ref="B87" location="'R180'!A1" display="'R180'!A1" xr:uid="{7D3525DC-2B9A-4F4C-9A53-1565FC7E7693}"/>
    <hyperlink ref="B88" location="'R256'!A1" display="'R256'!A1" xr:uid="{FE173A80-6CAD-48EA-A7E0-3607C531C08B}"/>
    <hyperlink ref="B90" location="'C004'!A1" display="'C004'!A1" xr:uid="{E395242E-05F4-4716-AA59-847276E94D8B}"/>
    <hyperlink ref="B89" location="'R259'!A1" display="R259" xr:uid="{49F23C03-73B5-49CC-AD82-B9D723290BF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0"/>
  <sheetViews>
    <sheetView workbookViewId="0">
      <pane ySplit="1" topLeftCell="A2" activePane="bottomLeft" state="frozen"/>
      <selection pane="bottomLeft" activeCell="I2" sqref="I1:I2"/>
    </sheetView>
  </sheetViews>
  <sheetFormatPr defaultRowHeight="15" x14ac:dyDescent="0.25"/>
  <cols>
    <col min="1" max="1" width="15.7109375" style="27" customWidth="1"/>
    <col min="2" max="4" width="10.7109375" customWidth="1"/>
    <col min="6" max="8" width="10.7109375" customWidth="1"/>
    <col min="11" max="11" width="9.140625" style="15"/>
    <col min="18" max="18" width="10.140625" style="28" bestFit="1" customWidth="1"/>
  </cols>
  <sheetData>
    <row r="1" spans="1:11" x14ac:dyDescent="0.25">
      <c r="A1" s="24" t="s">
        <v>88</v>
      </c>
      <c r="B1" s="4" t="s">
        <v>207</v>
      </c>
      <c r="C1" s="4" t="s">
        <v>208</v>
      </c>
      <c r="D1" s="4" t="s">
        <v>210</v>
      </c>
      <c r="F1" s="4" t="s">
        <v>207</v>
      </c>
      <c r="G1" s="4" t="s">
        <v>208</v>
      </c>
      <c r="H1" s="4" t="s">
        <v>210</v>
      </c>
      <c r="I1" s="4" t="s">
        <v>242</v>
      </c>
      <c r="K1" s="3" t="s">
        <v>242</v>
      </c>
    </row>
    <row r="2" spans="1:11" x14ac:dyDescent="0.25">
      <c r="A2" s="24">
        <v>45737</v>
      </c>
      <c r="B2" s="5">
        <v>60</v>
      </c>
      <c r="C2" s="5">
        <v>0</v>
      </c>
      <c r="D2" s="5">
        <v>0</v>
      </c>
      <c r="F2" s="5">
        <f>SUM(B2:B200)</f>
        <v>550</v>
      </c>
      <c r="G2" s="5">
        <f>SUM(C2:C200)</f>
        <v>0</v>
      </c>
      <c r="H2" s="5">
        <f>SUM(D2:D200)</f>
        <v>84.490000000000023</v>
      </c>
      <c r="I2" s="6">
        <f ca="1">XIRR(K2:K200,A2:A200)</f>
        <v>0.12463424801826478</v>
      </c>
      <c r="J2" s="13"/>
      <c r="K2" s="5">
        <f>B2*-1</f>
        <v>-60</v>
      </c>
    </row>
    <row r="3" spans="1:11" x14ac:dyDescent="0.25">
      <c r="A3" s="24">
        <v>45738</v>
      </c>
      <c r="B3" s="5">
        <v>0</v>
      </c>
      <c r="C3" s="5">
        <v>0</v>
      </c>
      <c r="D3" s="5">
        <v>30</v>
      </c>
      <c r="F3" s="17"/>
      <c r="G3" s="17"/>
      <c r="H3" s="17"/>
      <c r="K3" s="5">
        <f t="shared" ref="K3:K33" si="0">B3*-1</f>
        <v>0</v>
      </c>
    </row>
    <row r="4" spans="1:11" x14ac:dyDescent="0.25">
      <c r="A4" s="24">
        <v>45738</v>
      </c>
      <c r="B4" s="5">
        <v>0</v>
      </c>
      <c r="C4" s="5">
        <v>0</v>
      </c>
      <c r="D4" s="5">
        <v>25</v>
      </c>
      <c r="F4" s="17"/>
      <c r="G4" s="17"/>
      <c r="H4" s="17"/>
      <c r="K4" s="5">
        <f t="shared" si="0"/>
        <v>0</v>
      </c>
    </row>
    <row r="5" spans="1:11" x14ac:dyDescent="0.25">
      <c r="A5" s="24">
        <v>45740</v>
      </c>
      <c r="B5" s="5">
        <v>0</v>
      </c>
      <c r="C5" s="5">
        <v>0</v>
      </c>
      <c r="D5" s="5">
        <v>25</v>
      </c>
      <c r="F5" s="17"/>
      <c r="G5" s="17"/>
      <c r="H5" s="17"/>
      <c r="K5" s="5">
        <f t="shared" si="0"/>
        <v>0</v>
      </c>
    </row>
    <row r="6" spans="1:11" x14ac:dyDescent="0.25">
      <c r="A6" s="24">
        <v>45747</v>
      </c>
      <c r="B6" s="5">
        <v>20</v>
      </c>
      <c r="C6" s="5">
        <v>0</v>
      </c>
      <c r="D6" s="5">
        <v>0</v>
      </c>
      <c r="K6" s="5">
        <f t="shared" si="0"/>
        <v>-20</v>
      </c>
    </row>
    <row r="7" spans="1:11" x14ac:dyDescent="0.25">
      <c r="A7" s="24">
        <v>45750</v>
      </c>
      <c r="B7" s="5">
        <v>20</v>
      </c>
      <c r="C7" s="5">
        <v>0</v>
      </c>
      <c r="D7" s="5">
        <v>0</v>
      </c>
      <c r="K7" s="5">
        <f t="shared" si="0"/>
        <v>-20</v>
      </c>
    </row>
    <row r="8" spans="1:11" x14ac:dyDescent="0.25">
      <c r="A8" s="24">
        <v>45755</v>
      </c>
      <c r="B8" s="5">
        <v>30</v>
      </c>
      <c r="C8" s="5">
        <v>0</v>
      </c>
      <c r="D8" s="5">
        <v>3</v>
      </c>
      <c r="G8" s="29"/>
      <c r="K8" s="5">
        <f t="shared" si="0"/>
        <v>-30</v>
      </c>
    </row>
    <row r="9" spans="1:11" x14ac:dyDescent="0.25">
      <c r="A9" s="24">
        <v>45755</v>
      </c>
      <c r="B9" s="5">
        <v>0</v>
      </c>
      <c r="C9" s="5">
        <v>0</v>
      </c>
      <c r="D9" s="5">
        <v>0.15</v>
      </c>
      <c r="K9" s="5">
        <f t="shared" si="0"/>
        <v>0</v>
      </c>
    </row>
    <row r="10" spans="1:11" x14ac:dyDescent="0.25">
      <c r="A10" s="24">
        <v>45761</v>
      </c>
      <c r="B10" s="5">
        <v>30</v>
      </c>
      <c r="C10" s="5">
        <v>0</v>
      </c>
      <c r="D10" s="5">
        <v>0.15</v>
      </c>
      <c r="K10" s="5">
        <f t="shared" si="0"/>
        <v>-30</v>
      </c>
    </row>
    <row r="11" spans="1:11" x14ac:dyDescent="0.25">
      <c r="A11" s="24">
        <v>45761</v>
      </c>
      <c r="B11" s="5">
        <v>0</v>
      </c>
      <c r="C11" s="5">
        <v>0</v>
      </c>
      <c r="D11" s="5">
        <v>0.15</v>
      </c>
      <c r="K11" s="5">
        <f t="shared" si="0"/>
        <v>0</v>
      </c>
    </row>
    <row r="12" spans="1:11" x14ac:dyDescent="0.25">
      <c r="A12" s="24">
        <v>45761</v>
      </c>
      <c r="B12" s="5">
        <v>0</v>
      </c>
      <c r="C12" s="5">
        <v>0</v>
      </c>
      <c r="D12" s="5">
        <v>0.2</v>
      </c>
      <c r="K12" s="5">
        <f t="shared" si="0"/>
        <v>0</v>
      </c>
    </row>
    <row r="13" spans="1:11" x14ac:dyDescent="0.25">
      <c r="A13" s="24">
        <v>45769</v>
      </c>
      <c r="B13" s="5">
        <v>30</v>
      </c>
      <c r="C13" s="5">
        <v>0</v>
      </c>
      <c r="D13" s="5">
        <v>0</v>
      </c>
      <c r="K13" s="5">
        <f t="shared" si="0"/>
        <v>-30</v>
      </c>
    </row>
    <row r="14" spans="1:11" x14ac:dyDescent="0.25">
      <c r="A14" s="24">
        <v>45776</v>
      </c>
      <c r="B14" s="5">
        <v>30</v>
      </c>
      <c r="C14" s="5">
        <v>0</v>
      </c>
      <c r="D14" s="5">
        <v>0</v>
      </c>
      <c r="K14" s="5">
        <f t="shared" si="0"/>
        <v>-30</v>
      </c>
    </row>
    <row r="15" spans="1:11" x14ac:dyDescent="0.25">
      <c r="A15" s="24">
        <v>45790</v>
      </c>
      <c r="B15" s="5">
        <v>30</v>
      </c>
      <c r="C15" s="5">
        <v>0</v>
      </c>
      <c r="D15" s="5">
        <v>0</v>
      </c>
      <c r="G15" s="29"/>
      <c r="K15" s="5">
        <f t="shared" si="0"/>
        <v>-30</v>
      </c>
    </row>
    <row r="16" spans="1:11" x14ac:dyDescent="0.25">
      <c r="A16" s="24">
        <v>45797</v>
      </c>
      <c r="B16" s="5">
        <v>30</v>
      </c>
      <c r="C16" s="5">
        <v>0</v>
      </c>
      <c r="D16" s="5">
        <v>0</v>
      </c>
      <c r="K16" s="5">
        <f t="shared" si="0"/>
        <v>-30</v>
      </c>
    </row>
    <row r="17" spans="1:11" x14ac:dyDescent="0.25">
      <c r="A17" s="24">
        <v>45818</v>
      </c>
      <c r="B17" s="5">
        <v>30</v>
      </c>
      <c r="C17" s="5">
        <v>0</v>
      </c>
      <c r="D17" s="5">
        <v>0</v>
      </c>
      <c r="K17" s="5">
        <f t="shared" si="0"/>
        <v>-30</v>
      </c>
    </row>
    <row r="18" spans="1:11" x14ac:dyDescent="0.25">
      <c r="A18" s="24">
        <v>45828</v>
      </c>
      <c r="B18" s="5">
        <v>10</v>
      </c>
      <c r="C18" s="5">
        <v>0</v>
      </c>
      <c r="D18" s="5">
        <v>0</v>
      </c>
      <c r="K18" s="5">
        <f t="shared" si="0"/>
        <v>-10</v>
      </c>
    </row>
    <row r="19" spans="1:11" x14ac:dyDescent="0.25">
      <c r="A19" s="24">
        <v>45839</v>
      </c>
      <c r="B19" s="5">
        <v>30</v>
      </c>
      <c r="C19" s="5">
        <v>0</v>
      </c>
      <c r="D19" s="5">
        <v>0</v>
      </c>
      <c r="K19" s="5">
        <f t="shared" si="0"/>
        <v>-30</v>
      </c>
    </row>
    <row r="20" spans="1:11" x14ac:dyDescent="0.25">
      <c r="A20" s="24">
        <v>45860</v>
      </c>
      <c r="B20" s="5">
        <v>30</v>
      </c>
      <c r="C20" s="5">
        <v>0</v>
      </c>
      <c r="D20" s="5">
        <v>0</v>
      </c>
      <c r="K20" s="5">
        <f t="shared" si="0"/>
        <v>-30</v>
      </c>
    </row>
    <row r="21" spans="1:11" x14ac:dyDescent="0.25">
      <c r="A21" s="24">
        <v>45880</v>
      </c>
      <c r="B21" s="5">
        <v>30</v>
      </c>
      <c r="C21" s="5">
        <v>0</v>
      </c>
      <c r="D21" s="5">
        <v>0</v>
      </c>
      <c r="K21" s="5">
        <f t="shared" si="0"/>
        <v>-30</v>
      </c>
    </row>
    <row r="22" spans="1:11" x14ac:dyDescent="0.25">
      <c r="A22" s="24">
        <v>45898</v>
      </c>
      <c r="B22" s="5">
        <v>30</v>
      </c>
      <c r="C22" s="5">
        <v>0</v>
      </c>
      <c r="D22" s="5">
        <v>0</v>
      </c>
      <c r="K22" s="5">
        <f t="shared" si="0"/>
        <v>-30</v>
      </c>
    </row>
    <row r="23" spans="1:11" x14ac:dyDescent="0.25">
      <c r="A23" s="24">
        <v>45904</v>
      </c>
      <c r="B23" s="5">
        <v>30</v>
      </c>
      <c r="C23" s="5">
        <v>0</v>
      </c>
      <c r="D23" s="5">
        <v>0</v>
      </c>
      <c r="K23" s="5">
        <f t="shared" si="0"/>
        <v>-30</v>
      </c>
    </row>
    <row r="24" spans="1:11" x14ac:dyDescent="0.25">
      <c r="A24" s="24">
        <v>45945</v>
      </c>
      <c r="B24" s="5">
        <v>30</v>
      </c>
      <c r="C24" s="5">
        <v>0</v>
      </c>
      <c r="D24" s="5">
        <v>0</v>
      </c>
      <c r="K24" s="5">
        <f t="shared" si="0"/>
        <v>-30</v>
      </c>
    </row>
    <row r="25" spans="1:11" x14ac:dyDescent="0.25">
      <c r="A25" s="24">
        <v>45996</v>
      </c>
      <c r="B25" s="5">
        <v>20</v>
      </c>
      <c r="C25" s="5">
        <v>0</v>
      </c>
      <c r="D25" s="5">
        <v>0</v>
      </c>
      <c r="K25" s="5">
        <f t="shared" si="0"/>
        <v>-20</v>
      </c>
    </row>
    <row r="26" spans="1:11" x14ac:dyDescent="0.25">
      <c r="A26" s="24">
        <v>46169</v>
      </c>
      <c r="B26" s="5">
        <v>10</v>
      </c>
      <c r="C26" s="5">
        <v>0</v>
      </c>
      <c r="D26" s="5">
        <v>0</v>
      </c>
      <c r="K26" s="5">
        <f t="shared" si="0"/>
        <v>-10</v>
      </c>
    </row>
    <row r="27" spans="1:11" x14ac:dyDescent="0.25">
      <c r="A27" s="24">
        <v>46204</v>
      </c>
      <c r="B27" s="5">
        <v>10</v>
      </c>
      <c r="C27" s="5">
        <v>0</v>
      </c>
      <c r="D27" s="4">
        <v>0.53</v>
      </c>
      <c r="K27" s="5">
        <f t="shared" si="0"/>
        <v>-10</v>
      </c>
    </row>
    <row r="28" spans="1:11" x14ac:dyDescent="0.25">
      <c r="A28" s="24">
        <v>46233</v>
      </c>
      <c r="B28" s="5">
        <v>10</v>
      </c>
      <c r="C28" s="5">
        <v>0</v>
      </c>
      <c r="D28" s="4">
        <v>0.31</v>
      </c>
      <c r="K28" s="5">
        <f t="shared" si="0"/>
        <v>-10</v>
      </c>
    </row>
    <row r="29" spans="1:11" x14ac:dyDescent="0.25">
      <c r="A29" s="24"/>
      <c r="B29" s="26"/>
      <c r="C29" s="26"/>
      <c r="D29" s="26"/>
      <c r="K29" s="5">
        <f t="shared" si="0"/>
        <v>0</v>
      </c>
    </row>
    <row r="30" spans="1:11" x14ac:dyDescent="0.25">
      <c r="A30" s="24"/>
      <c r="B30" s="26"/>
      <c r="C30" s="26"/>
      <c r="D30" s="26"/>
      <c r="K30" s="5">
        <f t="shared" si="0"/>
        <v>0</v>
      </c>
    </row>
    <row r="31" spans="1:11" x14ac:dyDescent="0.25">
      <c r="A31" s="24"/>
      <c r="B31" s="26"/>
      <c r="C31" s="26"/>
      <c r="D31" s="26"/>
      <c r="K31" s="5">
        <f t="shared" si="0"/>
        <v>0</v>
      </c>
    </row>
    <row r="32" spans="1:11" x14ac:dyDescent="0.25">
      <c r="A32" s="24"/>
      <c r="B32" s="26"/>
      <c r="C32" s="26"/>
      <c r="D32" s="26"/>
      <c r="K32" s="5">
        <f t="shared" si="0"/>
        <v>0</v>
      </c>
    </row>
    <row r="33" spans="1:11" x14ac:dyDescent="0.25">
      <c r="A33" s="24"/>
      <c r="B33" s="26"/>
      <c r="C33" s="26"/>
      <c r="D33" s="26"/>
      <c r="K33" s="5">
        <f t="shared" si="0"/>
        <v>0</v>
      </c>
    </row>
    <row r="34" spans="1:11" x14ac:dyDescent="0.25">
      <c r="A34" s="24"/>
      <c r="B34" s="26"/>
      <c r="C34" s="26"/>
      <c r="D34" s="26"/>
      <c r="K34" s="4"/>
    </row>
    <row r="35" spans="1:11" x14ac:dyDescent="0.25">
      <c r="A35" s="24"/>
      <c r="B35" s="26"/>
      <c r="C35" s="26"/>
      <c r="D35" s="26"/>
      <c r="K35" s="4"/>
    </row>
    <row r="36" spans="1:11" x14ac:dyDescent="0.25">
      <c r="A36" s="24"/>
      <c r="B36" s="26"/>
      <c r="C36" s="26"/>
      <c r="D36" s="26"/>
      <c r="K36" s="4"/>
    </row>
    <row r="37" spans="1:11" x14ac:dyDescent="0.25">
      <c r="A37" s="24"/>
      <c r="B37" s="26"/>
      <c r="C37" s="26"/>
      <c r="D37" s="26"/>
      <c r="K37" s="4"/>
    </row>
    <row r="38" spans="1:11" x14ac:dyDescent="0.25">
      <c r="A38" s="24"/>
      <c r="B38" s="26"/>
      <c r="C38" s="26"/>
      <c r="D38" s="26"/>
      <c r="K38" s="4"/>
    </row>
    <row r="39" spans="1:11" x14ac:dyDescent="0.25">
      <c r="A39" s="24"/>
      <c r="B39" s="26"/>
      <c r="C39" s="26"/>
      <c r="D39" s="26"/>
      <c r="K39" s="4"/>
    </row>
    <row r="40" spans="1:11" x14ac:dyDescent="0.25">
      <c r="A40" s="24"/>
      <c r="B40" s="26"/>
      <c r="C40" s="26"/>
      <c r="D40" s="26"/>
      <c r="K40" s="4"/>
    </row>
    <row r="41" spans="1:11" x14ac:dyDescent="0.25">
      <c r="A41" s="24"/>
      <c r="B41" s="26"/>
      <c r="C41" s="26"/>
      <c r="D41" s="26"/>
      <c r="K41" s="4"/>
    </row>
    <row r="42" spans="1:11" x14ac:dyDescent="0.25">
      <c r="A42" s="24"/>
      <c r="B42" s="26"/>
      <c r="C42" s="26"/>
      <c r="D42" s="26"/>
      <c r="K42" s="4"/>
    </row>
    <row r="43" spans="1:11" x14ac:dyDescent="0.25">
      <c r="A43" s="24"/>
      <c r="B43" s="26"/>
      <c r="C43" s="26"/>
      <c r="D43" s="26"/>
      <c r="K43" s="4"/>
    </row>
    <row r="44" spans="1:11" x14ac:dyDescent="0.25">
      <c r="A44" s="24"/>
      <c r="B44" s="26"/>
      <c r="C44" s="26"/>
      <c r="D44" s="26"/>
      <c r="K44" s="4"/>
    </row>
    <row r="45" spans="1:11" x14ac:dyDescent="0.25">
      <c r="A45" s="24"/>
      <c r="B45" s="26"/>
      <c r="C45" s="26"/>
      <c r="D45" s="26"/>
      <c r="K45" s="4"/>
    </row>
    <row r="46" spans="1:11" x14ac:dyDescent="0.25">
      <c r="A46" s="24"/>
      <c r="B46" s="26"/>
      <c r="C46" s="26"/>
      <c r="D46" s="26"/>
      <c r="K46" s="4"/>
    </row>
    <row r="47" spans="1:11" x14ac:dyDescent="0.25">
      <c r="A47" s="24"/>
      <c r="B47" s="26"/>
      <c r="C47" s="26"/>
      <c r="D47" s="26"/>
      <c r="K47" s="4"/>
    </row>
    <row r="48" spans="1:11" x14ac:dyDescent="0.25">
      <c r="A48" s="24"/>
      <c r="B48" s="26"/>
      <c r="C48" s="26"/>
      <c r="D48" s="26"/>
      <c r="K48" s="4"/>
    </row>
    <row r="49" spans="1:11" x14ac:dyDescent="0.25">
      <c r="A49" s="24"/>
      <c r="B49" s="26"/>
      <c r="C49" s="26"/>
      <c r="D49" s="26"/>
      <c r="K49" s="4"/>
    </row>
    <row r="50" spans="1:11" x14ac:dyDescent="0.25">
      <c r="A50" s="24"/>
      <c r="B50" s="26"/>
      <c r="C50" s="26"/>
      <c r="D50" s="26"/>
      <c r="K50" s="4"/>
    </row>
    <row r="51" spans="1:11" x14ac:dyDescent="0.25">
      <c r="A51" s="24"/>
      <c r="B51" s="26"/>
      <c r="C51" s="26"/>
      <c r="D51" s="26"/>
      <c r="K51" s="4"/>
    </row>
    <row r="52" spans="1:11" x14ac:dyDescent="0.25">
      <c r="A52" s="24"/>
      <c r="B52" s="26"/>
      <c r="C52" s="26"/>
      <c r="D52" s="26"/>
      <c r="K52" s="4"/>
    </row>
    <row r="53" spans="1:11" x14ac:dyDescent="0.25">
      <c r="A53" s="24"/>
      <c r="B53" s="26"/>
      <c r="C53" s="26"/>
      <c r="D53" s="26"/>
      <c r="K53" s="4"/>
    </row>
    <row r="54" spans="1:11" x14ac:dyDescent="0.25">
      <c r="A54" s="24"/>
      <c r="B54" s="26"/>
      <c r="C54" s="26"/>
      <c r="D54" s="26"/>
      <c r="K54" s="4"/>
    </row>
    <row r="55" spans="1:11" x14ac:dyDescent="0.25">
      <c r="A55" s="24"/>
      <c r="B55" s="26"/>
      <c r="C55" s="26"/>
      <c r="D55" s="26"/>
      <c r="K55" s="4"/>
    </row>
    <row r="56" spans="1:11" x14ac:dyDescent="0.25">
      <c r="A56" s="24"/>
      <c r="B56" s="26"/>
      <c r="C56" s="26"/>
      <c r="D56" s="26"/>
      <c r="K56" s="4"/>
    </row>
    <row r="57" spans="1:11" x14ac:dyDescent="0.25">
      <c r="A57" s="24"/>
      <c r="B57" s="26"/>
      <c r="C57" s="26"/>
      <c r="D57" s="26"/>
      <c r="K57" s="4"/>
    </row>
    <row r="58" spans="1:11" x14ac:dyDescent="0.25">
      <c r="A58" s="24"/>
      <c r="B58" s="26"/>
      <c r="C58" s="26"/>
      <c r="D58" s="26"/>
      <c r="K58" s="4"/>
    </row>
    <row r="59" spans="1:11" x14ac:dyDescent="0.25">
      <c r="A59" s="24"/>
      <c r="B59" s="26"/>
      <c r="C59" s="26"/>
      <c r="D59" s="26"/>
      <c r="K59" s="4"/>
    </row>
    <row r="60" spans="1:11" x14ac:dyDescent="0.25">
      <c r="A60" s="24"/>
      <c r="B60" s="26"/>
      <c r="C60" s="26"/>
      <c r="D60" s="26"/>
      <c r="K60" s="4"/>
    </row>
    <row r="61" spans="1:11" x14ac:dyDescent="0.25">
      <c r="A61" s="24"/>
      <c r="B61" s="26"/>
      <c r="C61" s="26"/>
      <c r="D61" s="26"/>
      <c r="K61" s="4"/>
    </row>
    <row r="62" spans="1:11" x14ac:dyDescent="0.25">
      <c r="A62" s="24"/>
      <c r="B62" s="26"/>
      <c r="C62" s="26"/>
      <c r="D62" s="26"/>
      <c r="K62" s="4"/>
    </row>
    <row r="63" spans="1:11" x14ac:dyDescent="0.25">
      <c r="A63" s="24"/>
      <c r="B63" s="26"/>
      <c r="C63" s="26"/>
      <c r="D63" s="26"/>
      <c r="K63" s="4"/>
    </row>
    <row r="64" spans="1:11" x14ac:dyDescent="0.25">
      <c r="A64" s="24"/>
      <c r="B64" s="26"/>
      <c r="C64" s="26"/>
      <c r="D64" s="26"/>
      <c r="K64" s="4"/>
    </row>
    <row r="65" spans="1:11" x14ac:dyDescent="0.25">
      <c r="A65" s="24"/>
      <c r="B65" s="26"/>
      <c r="C65" s="26"/>
      <c r="D65" s="26"/>
      <c r="K65" s="4"/>
    </row>
    <row r="66" spans="1:11" x14ac:dyDescent="0.25">
      <c r="A66" s="24"/>
      <c r="B66" s="26"/>
      <c r="C66" s="26"/>
      <c r="D66" s="26"/>
      <c r="K66" s="4"/>
    </row>
    <row r="67" spans="1:11" x14ac:dyDescent="0.25">
      <c r="A67" s="24"/>
      <c r="B67" s="26"/>
      <c r="C67" s="26"/>
      <c r="D67" s="26"/>
      <c r="K67" s="4"/>
    </row>
    <row r="68" spans="1:11" x14ac:dyDescent="0.25">
      <c r="A68" s="24"/>
      <c r="B68" s="26"/>
      <c r="C68" s="26"/>
      <c r="D68" s="26"/>
      <c r="K68" s="4"/>
    </row>
    <row r="69" spans="1:11" x14ac:dyDescent="0.25">
      <c r="A69" s="24"/>
      <c r="B69" s="26"/>
      <c r="C69" s="26"/>
      <c r="D69" s="26"/>
      <c r="K69" s="4"/>
    </row>
    <row r="70" spans="1:11" x14ac:dyDescent="0.25">
      <c r="A70" s="24"/>
      <c r="B70" s="26"/>
      <c r="C70" s="26"/>
      <c r="D70" s="26"/>
      <c r="K70" s="4"/>
    </row>
    <row r="71" spans="1:11" x14ac:dyDescent="0.25">
      <c r="A71" s="24"/>
      <c r="B71" s="26"/>
      <c r="C71" s="26"/>
      <c r="D71" s="26"/>
      <c r="K71" s="4"/>
    </row>
    <row r="72" spans="1:11" x14ac:dyDescent="0.25">
      <c r="A72" s="24"/>
      <c r="B72" s="26"/>
      <c r="C72" s="26"/>
      <c r="D72" s="26"/>
      <c r="K72" s="4"/>
    </row>
    <row r="73" spans="1:11" x14ac:dyDescent="0.25">
      <c r="A73" s="24"/>
      <c r="B73" s="26"/>
      <c r="C73" s="26"/>
      <c r="D73" s="26"/>
      <c r="K73" s="4"/>
    </row>
    <row r="74" spans="1:11" x14ac:dyDescent="0.25">
      <c r="A74" s="24"/>
      <c r="B74" s="26"/>
      <c r="C74" s="26"/>
      <c r="D74" s="26"/>
      <c r="K74" s="4"/>
    </row>
    <row r="75" spans="1:11" x14ac:dyDescent="0.25">
      <c r="A75" s="24"/>
      <c r="B75" s="26"/>
      <c r="C75" s="26"/>
      <c r="D75" s="26"/>
      <c r="K75" s="4"/>
    </row>
    <row r="76" spans="1:11" x14ac:dyDescent="0.25">
      <c r="A76" s="24"/>
      <c r="B76" s="26"/>
      <c r="C76" s="26"/>
      <c r="D76" s="26"/>
      <c r="K76" s="4"/>
    </row>
    <row r="77" spans="1:11" x14ac:dyDescent="0.25">
      <c r="A77" s="24"/>
      <c r="B77" s="26"/>
      <c r="C77" s="26"/>
      <c r="D77" s="26"/>
      <c r="K77" s="4"/>
    </row>
    <row r="78" spans="1:11" x14ac:dyDescent="0.25">
      <c r="A78" s="24"/>
      <c r="B78" s="26"/>
      <c r="C78" s="26"/>
      <c r="D78" s="26"/>
      <c r="K78" s="4"/>
    </row>
    <row r="79" spans="1:11" x14ac:dyDescent="0.25">
      <c r="A79" s="24"/>
      <c r="B79" s="26"/>
      <c r="C79" s="26"/>
      <c r="D79" s="26"/>
      <c r="K79" s="4"/>
    </row>
    <row r="80" spans="1:11" x14ac:dyDescent="0.25">
      <c r="A80" s="24"/>
      <c r="B80" s="26"/>
      <c r="C80" s="26"/>
      <c r="D80" s="26"/>
      <c r="K80" s="4"/>
    </row>
    <row r="81" spans="1:11" x14ac:dyDescent="0.25">
      <c r="A81" s="24"/>
      <c r="B81" s="26"/>
      <c r="C81" s="26"/>
      <c r="D81" s="26"/>
      <c r="K81" s="4"/>
    </row>
    <row r="82" spans="1:11" x14ac:dyDescent="0.25">
      <c r="A82" s="24"/>
      <c r="B82" s="26"/>
      <c r="C82" s="26"/>
      <c r="D82" s="26"/>
      <c r="K82" s="4"/>
    </row>
    <row r="83" spans="1:11" x14ac:dyDescent="0.25">
      <c r="A83" s="24"/>
      <c r="B83" s="26"/>
      <c r="C83" s="26"/>
      <c r="D83" s="26"/>
      <c r="K83" s="4"/>
    </row>
    <row r="84" spans="1:11" x14ac:dyDescent="0.25">
      <c r="A84" s="24"/>
      <c r="B84" s="26"/>
      <c r="C84" s="26"/>
      <c r="D84" s="26"/>
      <c r="K84" s="4"/>
    </row>
    <row r="85" spans="1:11" x14ac:dyDescent="0.25">
      <c r="A85" s="24"/>
      <c r="B85" s="26"/>
      <c r="C85" s="26"/>
      <c r="D85" s="26"/>
      <c r="K85" s="4"/>
    </row>
    <row r="86" spans="1:11" x14ac:dyDescent="0.25">
      <c r="A86" s="24"/>
      <c r="B86" s="26"/>
      <c r="C86" s="26"/>
      <c r="D86" s="26"/>
      <c r="K86" s="4"/>
    </row>
    <row r="87" spans="1:11" x14ac:dyDescent="0.25">
      <c r="A87" s="24"/>
      <c r="B87" s="26"/>
      <c r="C87" s="26"/>
      <c r="D87" s="26"/>
      <c r="K87" s="4"/>
    </row>
    <row r="88" spans="1:11" x14ac:dyDescent="0.25">
      <c r="A88" s="24"/>
      <c r="B88" s="26"/>
      <c r="C88" s="26"/>
      <c r="D88" s="26"/>
      <c r="K88" s="4"/>
    </row>
    <row r="89" spans="1:11" x14ac:dyDescent="0.25">
      <c r="A89" s="24"/>
      <c r="B89" s="26"/>
      <c r="C89" s="26"/>
      <c r="D89" s="26"/>
      <c r="K89" s="4"/>
    </row>
    <row r="90" spans="1:11" x14ac:dyDescent="0.25">
      <c r="A90" s="24"/>
      <c r="B90" s="26"/>
      <c r="C90" s="26"/>
      <c r="D90" s="26"/>
      <c r="K90" s="4"/>
    </row>
    <row r="91" spans="1:11" x14ac:dyDescent="0.25">
      <c r="A91" s="24"/>
      <c r="B91" s="26"/>
      <c r="C91" s="26"/>
      <c r="D91" s="26"/>
      <c r="K91" s="4"/>
    </row>
    <row r="92" spans="1:11" x14ac:dyDescent="0.25">
      <c r="A92" s="24"/>
      <c r="B92" s="26"/>
      <c r="C92" s="26"/>
      <c r="D92" s="26"/>
      <c r="K92" s="4"/>
    </row>
    <row r="93" spans="1:11" x14ac:dyDescent="0.25">
      <c r="A93" s="24"/>
      <c r="B93" s="26"/>
      <c r="C93" s="26"/>
      <c r="D93" s="26"/>
      <c r="K93" s="4"/>
    </row>
    <row r="94" spans="1:11" x14ac:dyDescent="0.25">
      <c r="A94" s="24"/>
      <c r="B94" s="26"/>
      <c r="C94" s="26"/>
      <c r="D94" s="26"/>
      <c r="K94" s="4"/>
    </row>
    <row r="95" spans="1:11" x14ac:dyDescent="0.25">
      <c r="A95" s="24"/>
      <c r="B95" s="26"/>
      <c r="C95" s="26"/>
      <c r="D95" s="26"/>
      <c r="K95" s="4"/>
    </row>
    <row r="96" spans="1:11" x14ac:dyDescent="0.25">
      <c r="A96" s="24"/>
      <c r="B96" s="26"/>
      <c r="C96" s="26"/>
      <c r="D96" s="26"/>
      <c r="K96" s="4"/>
    </row>
    <row r="97" spans="1:11" x14ac:dyDescent="0.25">
      <c r="A97" s="24"/>
      <c r="B97" s="26"/>
      <c r="C97" s="26"/>
      <c r="D97" s="26"/>
      <c r="K97" s="4"/>
    </row>
    <row r="98" spans="1:11" x14ac:dyDescent="0.25">
      <c r="A98" s="24"/>
      <c r="B98" s="26"/>
      <c r="C98" s="26"/>
      <c r="D98" s="26"/>
      <c r="K98" s="4"/>
    </row>
    <row r="99" spans="1:11" x14ac:dyDescent="0.25">
      <c r="A99" s="24"/>
      <c r="B99" s="26"/>
      <c r="C99" s="26"/>
      <c r="D99" s="26"/>
      <c r="K99" s="4"/>
    </row>
    <row r="100" spans="1:11" x14ac:dyDescent="0.25">
      <c r="A100" s="24"/>
      <c r="B100" s="26"/>
      <c r="C100" s="26"/>
      <c r="D100" s="26"/>
      <c r="K100" s="4"/>
    </row>
    <row r="101" spans="1:11" x14ac:dyDescent="0.25">
      <c r="A101" s="24"/>
      <c r="B101" s="26"/>
      <c r="C101" s="26"/>
      <c r="D101" s="26"/>
      <c r="K101" s="4"/>
    </row>
    <row r="102" spans="1:11" x14ac:dyDescent="0.25">
      <c r="A102" s="24"/>
      <c r="B102" s="26"/>
      <c r="C102" s="26"/>
      <c r="D102" s="26"/>
      <c r="K102" s="4"/>
    </row>
    <row r="103" spans="1:11" x14ac:dyDescent="0.25">
      <c r="A103" s="24"/>
      <c r="B103" s="26"/>
      <c r="C103" s="26"/>
      <c r="D103" s="26"/>
      <c r="K103" s="4"/>
    </row>
    <row r="104" spans="1:11" x14ac:dyDescent="0.25">
      <c r="A104" s="24"/>
      <c r="B104" s="26"/>
      <c r="C104" s="26"/>
      <c r="D104" s="26"/>
      <c r="K104" s="4"/>
    </row>
    <row r="105" spans="1:11" x14ac:dyDescent="0.25">
      <c r="A105" s="24"/>
      <c r="B105" s="26"/>
      <c r="C105" s="26"/>
      <c r="D105" s="26"/>
      <c r="K105" s="4"/>
    </row>
    <row r="106" spans="1:11" x14ac:dyDescent="0.25">
      <c r="A106" s="24"/>
      <c r="B106" s="26"/>
      <c r="C106" s="26"/>
      <c r="D106" s="26"/>
      <c r="K106" s="4"/>
    </row>
    <row r="107" spans="1:11" x14ac:dyDescent="0.25">
      <c r="A107" s="24"/>
      <c r="B107" s="26"/>
      <c r="C107" s="26"/>
      <c r="D107" s="26"/>
      <c r="K107" s="4"/>
    </row>
    <row r="108" spans="1:11" x14ac:dyDescent="0.25">
      <c r="A108" s="24"/>
      <c r="B108" s="26"/>
      <c r="C108" s="26"/>
      <c r="D108" s="26"/>
      <c r="K108" s="4"/>
    </row>
    <row r="109" spans="1:11" x14ac:dyDescent="0.25">
      <c r="A109" s="24"/>
      <c r="B109" s="26"/>
      <c r="C109" s="26"/>
      <c r="D109" s="26"/>
      <c r="K109" s="4"/>
    </row>
    <row r="110" spans="1:11" x14ac:dyDescent="0.25">
      <c r="A110" s="24"/>
      <c r="B110" s="26"/>
      <c r="C110" s="26"/>
      <c r="D110" s="26"/>
      <c r="K110" s="4"/>
    </row>
    <row r="111" spans="1:11" x14ac:dyDescent="0.25">
      <c r="A111" s="24"/>
      <c r="B111" s="26"/>
      <c r="C111" s="26"/>
      <c r="D111" s="26"/>
      <c r="K111" s="4"/>
    </row>
    <row r="112" spans="1:11" x14ac:dyDescent="0.25">
      <c r="A112" s="24"/>
      <c r="B112" s="26"/>
      <c r="C112" s="26"/>
      <c r="D112" s="26"/>
      <c r="K112" s="4"/>
    </row>
    <row r="113" spans="1:11" x14ac:dyDescent="0.25">
      <c r="A113" s="24"/>
      <c r="B113" s="26"/>
      <c r="C113" s="26"/>
      <c r="D113" s="26"/>
      <c r="K113" s="4"/>
    </row>
    <row r="114" spans="1:11" x14ac:dyDescent="0.25">
      <c r="A114" s="24"/>
      <c r="B114" s="26"/>
      <c r="C114" s="26"/>
      <c r="D114" s="26"/>
      <c r="K114" s="4"/>
    </row>
    <row r="115" spans="1:11" x14ac:dyDescent="0.25">
      <c r="A115" s="24"/>
      <c r="B115" s="26"/>
      <c r="C115" s="26"/>
      <c r="D115" s="26"/>
      <c r="K115" s="4"/>
    </row>
    <row r="116" spans="1:11" x14ac:dyDescent="0.25">
      <c r="A116" s="24"/>
      <c r="B116" s="26"/>
      <c r="C116" s="26"/>
      <c r="D116" s="26"/>
      <c r="K116" s="4"/>
    </row>
    <row r="117" spans="1:11" x14ac:dyDescent="0.25">
      <c r="A117" s="24"/>
      <c r="B117" s="26"/>
      <c r="C117" s="26"/>
      <c r="D117" s="26"/>
      <c r="K117" s="4"/>
    </row>
    <row r="118" spans="1:11" x14ac:dyDescent="0.25">
      <c r="A118" s="24"/>
      <c r="B118" s="26"/>
      <c r="C118" s="26"/>
      <c r="D118" s="26"/>
      <c r="K118" s="4"/>
    </row>
    <row r="119" spans="1:11" x14ac:dyDescent="0.25">
      <c r="A119" s="24"/>
      <c r="B119" s="26"/>
      <c r="C119" s="26"/>
      <c r="D119" s="26"/>
      <c r="K119" s="4"/>
    </row>
    <row r="120" spans="1:11" x14ac:dyDescent="0.25">
      <c r="A120" s="24"/>
      <c r="B120" s="26"/>
      <c r="C120" s="26"/>
      <c r="D120" s="26"/>
      <c r="K120" s="4"/>
    </row>
    <row r="121" spans="1:11" x14ac:dyDescent="0.25">
      <c r="A121" s="24"/>
      <c r="B121" s="26"/>
      <c r="C121" s="26"/>
      <c r="D121" s="26"/>
      <c r="K121" s="4"/>
    </row>
    <row r="122" spans="1:11" x14ac:dyDescent="0.25">
      <c r="A122" s="24"/>
      <c r="B122" s="26"/>
      <c r="C122" s="26"/>
      <c r="D122" s="26"/>
      <c r="K122" s="4"/>
    </row>
    <row r="123" spans="1:11" x14ac:dyDescent="0.25">
      <c r="A123" s="24"/>
      <c r="B123" s="26"/>
      <c r="C123" s="26"/>
      <c r="D123" s="26"/>
      <c r="K123" s="4"/>
    </row>
    <row r="124" spans="1:11" x14ac:dyDescent="0.25">
      <c r="A124" s="24"/>
      <c r="B124" s="26"/>
      <c r="C124" s="26"/>
      <c r="D124" s="26"/>
      <c r="K124" s="4"/>
    </row>
    <row r="125" spans="1:11" x14ac:dyDescent="0.25">
      <c r="A125" s="24"/>
      <c r="B125" s="26"/>
      <c r="C125" s="26"/>
      <c r="D125" s="26"/>
      <c r="K125" s="4"/>
    </row>
    <row r="126" spans="1:11" x14ac:dyDescent="0.25">
      <c r="A126" s="24"/>
      <c r="B126" s="26"/>
      <c r="C126" s="26"/>
      <c r="D126" s="26"/>
      <c r="K126" s="4"/>
    </row>
    <row r="127" spans="1:11" x14ac:dyDescent="0.25">
      <c r="A127" s="24"/>
      <c r="B127" s="26"/>
      <c r="C127" s="26"/>
      <c r="D127" s="26"/>
      <c r="K127" s="4"/>
    </row>
    <row r="128" spans="1:11" x14ac:dyDescent="0.25">
      <c r="A128" s="24"/>
      <c r="B128" s="26"/>
      <c r="C128" s="26"/>
      <c r="D128" s="26"/>
      <c r="K128" s="4"/>
    </row>
    <row r="129" spans="1:11" x14ac:dyDescent="0.25">
      <c r="A129" s="24"/>
      <c r="B129" s="26"/>
      <c r="C129" s="26"/>
      <c r="D129" s="26"/>
      <c r="K129" s="4"/>
    </row>
    <row r="130" spans="1:11" x14ac:dyDescent="0.25">
      <c r="A130" s="24"/>
      <c r="B130" s="26"/>
      <c r="C130" s="26"/>
      <c r="D130" s="26"/>
      <c r="K130" s="4"/>
    </row>
    <row r="131" spans="1:11" x14ac:dyDescent="0.25">
      <c r="A131" s="24"/>
      <c r="B131" s="26"/>
      <c r="C131" s="26"/>
      <c r="D131" s="26"/>
      <c r="K131" s="4"/>
    </row>
    <row r="132" spans="1:11" x14ac:dyDescent="0.25">
      <c r="A132" s="24"/>
      <c r="B132" s="26"/>
      <c r="C132" s="26"/>
      <c r="D132" s="26"/>
      <c r="K132" s="4"/>
    </row>
    <row r="133" spans="1:11" x14ac:dyDescent="0.25">
      <c r="A133" s="24"/>
      <c r="B133" s="26"/>
      <c r="C133" s="26"/>
      <c r="D133" s="26"/>
      <c r="K133" s="4"/>
    </row>
    <row r="134" spans="1:11" x14ac:dyDescent="0.25">
      <c r="A134" s="24"/>
      <c r="B134" s="26"/>
      <c r="C134" s="26"/>
      <c r="D134" s="26"/>
      <c r="K134" s="4"/>
    </row>
    <row r="135" spans="1:11" x14ac:dyDescent="0.25">
      <c r="A135" s="24"/>
      <c r="B135" s="26"/>
      <c r="C135" s="26"/>
      <c r="D135" s="26"/>
      <c r="K135" s="4"/>
    </row>
    <row r="136" spans="1:11" x14ac:dyDescent="0.25">
      <c r="A136" s="24"/>
      <c r="B136" s="26"/>
      <c r="C136" s="26"/>
      <c r="D136" s="26"/>
      <c r="K136" s="4"/>
    </row>
    <row r="137" spans="1:11" x14ac:dyDescent="0.25">
      <c r="A137" s="24"/>
      <c r="B137" s="26"/>
      <c r="C137" s="26"/>
      <c r="D137" s="26"/>
      <c r="K137" s="4"/>
    </row>
    <row r="138" spans="1:11" x14ac:dyDescent="0.25">
      <c r="A138" s="24"/>
      <c r="B138" s="26"/>
      <c r="C138" s="26"/>
      <c r="D138" s="26"/>
      <c r="K138" s="4"/>
    </row>
    <row r="139" spans="1:11" x14ac:dyDescent="0.25">
      <c r="A139" s="24"/>
      <c r="B139" s="26"/>
      <c r="C139" s="26"/>
      <c r="D139" s="26"/>
      <c r="K139" s="4"/>
    </row>
    <row r="140" spans="1:11" x14ac:dyDescent="0.25">
      <c r="A140" s="24"/>
      <c r="B140" s="26"/>
      <c r="C140" s="26"/>
      <c r="D140" s="26"/>
      <c r="K140" s="4"/>
    </row>
    <row r="141" spans="1:11" x14ac:dyDescent="0.25">
      <c r="A141" s="24"/>
      <c r="B141" s="26"/>
      <c r="C141" s="26"/>
      <c r="D141" s="26"/>
      <c r="K141" s="4"/>
    </row>
    <row r="142" spans="1:11" x14ac:dyDescent="0.25">
      <c r="A142" s="24"/>
      <c r="B142" s="26"/>
      <c r="C142" s="26"/>
      <c r="D142" s="26"/>
      <c r="K142" s="4"/>
    </row>
    <row r="143" spans="1:11" x14ac:dyDescent="0.25">
      <c r="A143" s="24"/>
      <c r="B143" s="26"/>
      <c r="C143" s="26"/>
      <c r="D143" s="26"/>
      <c r="K143" s="4"/>
    </row>
    <row r="144" spans="1:11" x14ac:dyDescent="0.25">
      <c r="A144" s="24"/>
      <c r="B144" s="26"/>
      <c r="C144" s="26"/>
      <c r="D144" s="26"/>
      <c r="K144" s="4"/>
    </row>
    <row r="145" spans="1:11" x14ac:dyDescent="0.25">
      <c r="A145" s="24"/>
      <c r="B145" s="26"/>
      <c r="C145" s="26"/>
      <c r="D145" s="26"/>
      <c r="K145" s="4"/>
    </row>
    <row r="146" spans="1:11" x14ac:dyDescent="0.25">
      <c r="A146" s="24"/>
      <c r="B146" s="26"/>
      <c r="C146" s="26"/>
      <c r="D146" s="26"/>
      <c r="K146" s="4"/>
    </row>
    <row r="147" spans="1:11" x14ac:dyDescent="0.25">
      <c r="A147" s="24"/>
      <c r="B147" s="26"/>
      <c r="C147" s="26"/>
      <c r="D147" s="26"/>
      <c r="K147" s="4"/>
    </row>
    <row r="148" spans="1:11" x14ac:dyDescent="0.25">
      <c r="A148" s="24"/>
      <c r="B148" s="26"/>
      <c r="C148" s="26"/>
      <c r="D148" s="26"/>
      <c r="K148" s="4"/>
    </row>
    <row r="149" spans="1:11" x14ac:dyDescent="0.25">
      <c r="A149" s="24"/>
      <c r="B149" s="26"/>
      <c r="C149" s="26"/>
      <c r="D149" s="26"/>
      <c r="K149" s="4"/>
    </row>
    <row r="150" spans="1:11" x14ac:dyDescent="0.25">
      <c r="A150" s="24"/>
      <c r="B150" s="26"/>
      <c r="C150" s="26"/>
      <c r="D150" s="26"/>
      <c r="K150" s="4"/>
    </row>
    <row r="151" spans="1:11" x14ac:dyDescent="0.25">
      <c r="A151" s="24"/>
      <c r="B151" s="26"/>
      <c r="C151" s="26"/>
      <c r="D151" s="26"/>
      <c r="K151" s="4"/>
    </row>
    <row r="152" spans="1:11" x14ac:dyDescent="0.25">
      <c r="A152" s="24"/>
      <c r="B152" s="26"/>
      <c r="C152" s="26"/>
      <c r="D152" s="26"/>
      <c r="K152" s="4"/>
    </row>
    <row r="153" spans="1:11" x14ac:dyDescent="0.25">
      <c r="A153" s="24"/>
      <c r="B153" s="26"/>
      <c r="C153" s="26"/>
      <c r="D153" s="26"/>
      <c r="K153" s="4"/>
    </row>
    <row r="154" spans="1:11" x14ac:dyDescent="0.25">
      <c r="A154" s="24"/>
      <c r="B154" s="26"/>
      <c r="C154" s="26"/>
      <c r="D154" s="26"/>
      <c r="K154" s="4"/>
    </row>
    <row r="155" spans="1:11" x14ac:dyDescent="0.25">
      <c r="A155" s="24"/>
      <c r="B155" s="26"/>
      <c r="C155" s="26"/>
      <c r="D155" s="26"/>
      <c r="K155" s="4"/>
    </row>
    <row r="156" spans="1:11" x14ac:dyDescent="0.25">
      <c r="A156" s="24"/>
      <c r="B156" s="26"/>
      <c r="C156" s="26"/>
      <c r="D156" s="26"/>
      <c r="K156" s="4"/>
    </row>
    <row r="157" spans="1:11" x14ac:dyDescent="0.25">
      <c r="A157" s="24"/>
      <c r="B157" s="26"/>
      <c r="C157" s="26"/>
      <c r="D157" s="26"/>
      <c r="K157" s="4"/>
    </row>
    <row r="158" spans="1:11" x14ac:dyDescent="0.25">
      <c r="A158" s="24"/>
      <c r="B158" s="26"/>
      <c r="C158" s="26"/>
      <c r="D158" s="26"/>
      <c r="K158" s="4"/>
    </row>
    <row r="159" spans="1:11" x14ac:dyDescent="0.25">
      <c r="A159" s="24"/>
      <c r="B159" s="26"/>
      <c r="C159" s="26"/>
      <c r="D159" s="26"/>
      <c r="K159" s="4"/>
    </row>
    <row r="160" spans="1:11" x14ac:dyDescent="0.25">
      <c r="A160" s="24"/>
      <c r="B160" s="26"/>
      <c r="C160" s="26"/>
      <c r="D160" s="26"/>
      <c r="K160" s="4"/>
    </row>
    <row r="161" spans="1:11" x14ac:dyDescent="0.25">
      <c r="A161" s="24"/>
      <c r="B161" s="26"/>
      <c r="C161" s="26"/>
      <c r="D161" s="26"/>
      <c r="K161" s="4"/>
    </row>
    <row r="162" spans="1:11" x14ac:dyDescent="0.25">
      <c r="A162" s="24"/>
      <c r="B162" s="26"/>
      <c r="C162" s="26"/>
      <c r="D162" s="26"/>
      <c r="K162" s="4"/>
    </row>
    <row r="163" spans="1:11" x14ac:dyDescent="0.25">
      <c r="A163" s="24"/>
      <c r="B163" s="26"/>
      <c r="C163" s="26"/>
      <c r="D163" s="26"/>
      <c r="K163" s="4"/>
    </row>
    <row r="164" spans="1:11" x14ac:dyDescent="0.25">
      <c r="A164" s="24"/>
      <c r="B164" s="26"/>
      <c r="C164" s="26"/>
      <c r="D164" s="26"/>
      <c r="K164" s="4"/>
    </row>
    <row r="165" spans="1:11" x14ac:dyDescent="0.25">
      <c r="A165" s="24"/>
      <c r="B165" s="26"/>
      <c r="C165" s="26"/>
      <c r="D165" s="26"/>
      <c r="K165" s="4"/>
    </row>
    <row r="166" spans="1:11" x14ac:dyDescent="0.25">
      <c r="A166" s="24"/>
      <c r="B166" s="26"/>
      <c r="C166" s="26"/>
      <c r="D166" s="26"/>
      <c r="K166" s="4"/>
    </row>
    <row r="167" spans="1:11" x14ac:dyDescent="0.25">
      <c r="A167" s="24"/>
      <c r="B167" s="26"/>
      <c r="C167" s="26"/>
      <c r="D167" s="26"/>
      <c r="K167" s="4"/>
    </row>
    <row r="168" spans="1:11" x14ac:dyDescent="0.25">
      <c r="A168" s="24"/>
      <c r="B168" s="26"/>
      <c r="C168" s="26"/>
      <c r="D168" s="26"/>
      <c r="K168" s="4"/>
    </row>
    <row r="169" spans="1:11" x14ac:dyDescent="0.25">
      <c r="A169" s="24"/>
      <c r="B169" s="26"/>
      <c r="C169" s="26"/>
      <c r="D169" s="26"/>
      <c r="K169" s="4"/>
    </row>
    <row r="170" spans="1:11" x14ac:dyDescent="0.25">
      <c r="A170" s="24"/>
      <c r="B170" s="26"/>
      <c r="C170" s="26"/>
      <c r="D170" s="26"/>
      <c r="K170" s="4"/>
    </row>
    <row r="171" spans="1:11" x14ac:dyDescent="0.25">
      <c r="A171" s="24"/>
      <c r="B171" s="26"/>
      <c r="C171" s="26"/>
      <c r="D171" s="26"/>
      <c r="K171" s="4"/>
    </row>
    <row r="172" spans="1:11" x14ac:dyDescent="0.25">
      <c r="A172" s="24"/>
      <c r="B172" s="26"/>
      <c r="C172" s="26"/>
      <c r="D172" s="26"/>
      <c r="K172" s="4"/>
    </row>
    <row r="173" spans="1:11" x14ac:dyDescent="0.25">
      <c r="A173" s="24"/>
      <c r="B173" s="26"/>
      <c r="C173" s="26"/>
      <c r="D173" s="26"/>
      <c r="K173" s="4"/>
    </row>
    <row r="174" spans="1:11" x14ac:dyDescent="0.25">
      <c r="A174" s="24"/>
      <c r="B174" s="26"/>
      <c r="C174" s="26"/>
      <c r="D174" s="26"/>
      <c r="K174" s="4"/>
    </row>
    <row r="175" spans="1:11" x14ac:dyDescent="0.25">
      <c r="A175" s="24"/>
      <c r="B175" s="26"/>
      <c r="C175" s="26"/>
      <c r="D175" s="26"/>
      <c r="K175" s="4"/>
    </row>
    <row r="176" spans="1:11" x14ac:dyDescent="0.25">
      <c r="A176" s="24"/>
      <c r="B176" s="26"/>
      <c r="C176" s="26"/>
      <c r="D176" s="26"/>
      <c r="K176" s="4"/>
    </row>
    <row r="177" spans="1:11" x14ac:dyDescent="0.25">
      <c r="A177" s="24"/>
      <c r="B177" s="26"/>
      <c r="C177" s="26"/>
      <c r="D177" s="26"/>
      <c r="K177" s="4"/>
    </row>
    <row r="178" spans="1:11" x14ac:dyDescent="0.25">
      <c r="A178" s="24"/>
      <c r="B178" s="26"/>
      <c r="C178" s="26"/>
      <c r="D178" s="26"/>
      <c r="K178" s="4"/>
    </row>
    <row r="179" spans="1:11" x14ac:dyDescent="0.25">
      <c r="A179" s="24"/>
      <c r="B179" s="26"/>
      <c r="C179" s="26"/>
      <c r="D179" s="26"/>
      <c r="K179" s="4"/>
    </row>
    <row r="180" spans="1:11" x14ac:dyDescent="0.25">
      <c r="A180" s="24"/>
      <c r="B180" s="26"/>
      <c r="C180" s="26"/>
      <c r="D180" s="26"/>
      <c r="K180" s="4"/>
    </row>
    <row r="181" spans="1:11" x14ac:dyDescent="0.25">
      <c r="A181" s="24"/>
      <c r="B181" s="26"/>
      <c r="C181" s="26"/>
      <c r="D181" s="26"/>
      <c r="K181" s="4"/>
    </row>
    <row r="182" spans="1:11" x14ac:dyDescent="0.25">
      <c r="A182" s="24"/>
      <c r="B182" s="26"/>
      <c r="C182" s="26"/>
      <c r="D182" s="26"/>
      <c r="K182" s="4"/>
    </row>
    <row r="183" spans="1:11" x14ac:dyDescent="0.25">
      <c r="A183" s="24"/>
      <c r="B183" s="26"/>
      <c r="C183" s="26"/>
      <c r="D183" s="26"/>
      <c r="K183" s="4"/>
    </row>
    <row r="184" spans="1:11" x14ac:dyDescent="0.25">
      <c r="A184" s="24"/>
      <c r="B184" s="26"/>
      <c r="C184" s="26"/>
      <c r="D184" s="26"/>
      <c r="K184" s="4"/>
    </row>
    <row r="185" spans="1:11" x14ac:dyDescent="0.25">
      <c r="A185" s="24"/>
      <c r="B185" s="26"/>
      <c r="C185" s="26"/>
      <c r="D185" s="26"/>
      <c r="K185" s="4"/>
    </row>
    <row r="186" spans="1:11" x14ac:dyDescent="0.25">
      <c r="A186" s="24"/>
      <c r="B186" s="26"/>
      <c r="C186" s="26"/>
      <c r="D186" s="26"/>
      <c r="K186" s="4"/>
    </row>
    <row r="187" spans="1:11" x14ac:dyDescent="0.25">
      <c r="A187" s="24"/>
      <c r="B187" s="26"/>
      <c r="C187" s="26"/>
      <c r="D187" s="26"/>
      <c r="K187" s="4"/>
    </row>
    <row r="188" spans="1:11" x14ac:dyDescent="0.25">
      <c r="A188" s="24"/>
      <c r="B188" s="26"/>
      <c r="C188" s="26"/>
      <c r="D188" s="26"/>
      <c r="K188" s="4"/>
    </row>
    <row r="189" spans="1:11" x14ac:dyDescent="0.25">
      <c r="A189" s="24"/>
      <c r="B189" s="26"/>
      <c r="C189" s="26"/>
      <c r="D189" s="26"/>
      <c r="K189" s="4"/>
    </row>
    <row r="190" spans="1:11" x14ac:dyDescent="0.25">
      <c r="A190" s="24"/>
      <c r="B190" s="26"/>
      <c r="C190" s="26"/>
      <c r="D190" s="26"/>
      <c r="K190" s="4"/>
    </row>
    <row r="191" spans="1:11" x14ac:dyDescent="0.25">
      <c r="A191" s="24"/>
      <c r="B191" s="26"/>
      <c r="C191" s="26"/>
      <c r="D191" s="26"/>
      <c r="K191" s="4"/>
    </row>
    <row r="192" spans="1:11" x14ac:dyDescent="0.25">
      <c r="A192" s="24"/>
      <c r="B192" s="26"/>
      <c r="C192" s="26"/>
      <c r="D192" s="26"/>
      <c r="K192" s="4"/>
    </row>
    <row r="193" spans="1:11" x14ac:dyDescent="0.25">
      <c r="A193" s="24"/>
      <c r="B193" s="26"/>
      <c r="C193" s="26"/>
      <c r="D193" s="26"/>
      <c r="K193" s="4"/>
    </row>
    <row r="194" spans="1:11" x14ac:dyDescent="0.25">
      <c r="A194" s="24"/>
      <c r="B194" s="26"/>
      <c r="C194" s="26"/>
      <c r="D194" s="26"/>
      <c r="K194" s="4"/>
    </row>
    <row r="195" spans="1:11" x14ac:dyDescent="0.25">
      <c r="A195" s="24"/>
      <c r="B195" s="26"/>
      <c r="C195" s="26"/>
      <c r="D195" s="26"/>
      <c r="K195" s="4"/>
    </row>
    <row r="196" spans="1:11" x14ac:dyDescent="0.25">
      <c r="A196" s="24"/>
      <c r="B196" s="26"/>
      <c r="C196" s="26"/>
      <c r="D196" s="26"/>
      <c r="K196" s="4"/>
    </row>
    <row r="197" spans="1:11" x14ac:dyDescent="0.25">
      <c r="A197" s="24"/>
      <c r="B197" s="26"/>
      <c r="C197" s="26"/>
      <c r="D197" s="26"/>
      <c r="K197" s="4"/>
    </row>
    <row r="198" spans="1:11" x14ac:dyDescent="0.25">
      <c r="A198" s="24"/>
      <c r="B198" s="26"/>
      <c r="C198" s="26"/>
      <c r="D198" s="26"/>
      <c r="K198" s="4"/>
    </row>
    <row r="199" spans="1:11" x14ac:dyDescent="0.25">
      <c r="A199" s="24"/>
      <c r="B199" s="26"/>
      <c r="C199" s="26"/>
      <c r="D199" s="26"/>
      <c r="K199" s="5"/>
    </row>
    <row r="200" spans="1:11" x14ac:dyDescent="0.25">
      <c r="A200" s="24">
        <f ca="1">TODAY()</f>
        <v>46295</v>
      </c>
      <c r="B200" s="26"/>
      <c r="C200" s="26"/>
      <c r="D200" s="26"/>
      <c r="I200">
        <v>614.37</v>
      </c>
      <c r="J200">
        <v>615.37</v>
      </c>
      <c r="K200" s="5">
        <f>Overview!Q3</f>
        <v>637.06000000000006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A693-18A4-404F-AD41-7B52CBB2E678}">
  <dimension ref="A1:Z14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53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98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0.62</v>
      </c>
      <c r="D3" s="4">
        <v>1</v>
      </c>
      <c r="E3" s="4" t="s">
        <v>52</v>
      </c>
      <c r="F3" s="7">
        <v>45769</v>
      </c>
      <c r="G3" s="5">
        <v>0.12</v>
      </c>
      <c r="H3" s="7" t="str">
        <f>IF(B9&gt;0,B9,"")</f>
        <v/>
      </c>
      <c r="I3" s="5"/>
      <c r="J3" s="4"/>
      <c r="K3" s="6"/>
      <c r="L3" s="4" t="str">
        <f>IF(B10=B11,H3-F3,"")</f>
        <v/>
      </c>
      <c r="W3" s="12">
        <f>F3</f>
        <v>45769</v>
      </c>
      <c r="X3" s="12" t="str">
        <f>H3</f>
        <v/>
      </c>
      <c r="Y3" s="13">
        <f>G3*(-1)</f>
        <v>-0.12</v>
      </c>
      <c r="Z3" s="13">
        <f>I3+J3</f>
        <v>0</v>
      </c>
    </row>
    <row r="4" spans="1:26" x14ac:dyDescent="0.25">
      <c r="A4" s="1" t="s">
        <v>93</v>
      </c>
      <c r="B4" s="10">
        <v>0.38</v>
      </c>
      <c r="W4" s="12">
        <f>F4</f>
        <v>0</v>
      </c>
      <c r="X4" s="12">
        <f t="shared" ref="X4:X5" si="0">H4</f>
        <v>0</v>
      </c>
      <c r="Y4" s="13">
        <f t="shared" ref="Y4:Y5" si="1">G4*(-1)</f>
        <v>0</v>
      </c>
      <c r="Z4" s="13">
        <f t="shared" ref="Z4:Z5" si="2">I4+J4</f>
        <v>0</v>
      </c>
    </row>
    <row r="5" spans="1:26" x14ac:dyDescent="0.25">
      <c r="A5" s="1"/>
      <c r="B5" s="8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W6" s="12"/>
      <c r="X6" s="12"/>
      <c r="Y6" s="13"/>
    </row>
    <row r="7" spans="1:26" x14ac:dyDescent="0.25">
      <c r="A7" s="1" t="s">
        <v>94</v>
      </c>
      <c r="B7" s="8">
        <f>SUMPRODUCT(F3:F20,G3:G20)/SUM(G3:G20)</f>
        <v>45769</v>
      </c>
      <c r="W7" s="12"/>
      <c r="X7" s="12"/>
      <c r="Y7" s="13"/>
    </row>
    <row r="8" spans="1:26" x14ac:dyDescent="0.25">
      <c r="A8" s="1" t="s">
        <v>227</v>
      </c>
      <c r="B8" s="8">
        <v>45551</v>
      </c>
      <c r="W8" s="12"/>
      <c r="X8" s="12"/>
      <c r="Y8" s="13"/>
    </row>
    <row r="9" spans="1:26" x14ac:dyDescent="0.25">
      <c r="A9" s="1" t="s">
        <v>240</v>
      </c>
      <c r="B9" s="8"/>
    </row>
    <row r="10" spans="1:26" x14ac:dyDescent="0.25">
      <c r="A10" s="1" t="s">
        <v>94</v>
      </c>
      <c r="B10" s="2">
        <f>SUM(G3:G20)</f>
        <v>0.12</v>
      </c>
    </row>
    <row r="11" spans="1:26" x14ac:dyDescent="0.25">
      <c r="A11" s="1" t="s">
        <v>87</v>
      </c>
      <c r="B11" s="2">
        <f>SUM(I3:I20)</f>
        <v>0</v>
      </c>
    </row>
    <row r="12" spans="1:26" x14ac:dyDescent="0.25">
      <c r="A12" s="1" t="s">
        <v>10</v>
      </c>
      <c r="B12" s="2">
        <f>SUM(J3:J20)</f>
        <v>0</v>
      </c>
    </row>
    <row r="13" spans="1:26" x14ac:dyDescent="0.25">
      <c r="A13" s="1" t="s">
        <v>242</v>
      </c>
      <c r="B13" s="10" t="str">
        <f>IF(B10=B11,XIRR(Y3:Z20,W3:X20),"")</f>
        <v/>
      </c>
    </row>
    <row r="14" spans="1:26" x14ac:dyDescent="0.25">
      <c r="A14" s="20" t="s">
        <v>243</v>
      </c>
      <c r="B14" s="22" t="str">
        <f>IF(B10=B11,SUMPRODUCT(L3:L20,G3:G20)/SUM(G3:G20),"")</f>
        <v/>
      </c>
    </row>
  </sheetData>
  <mergeCells count="4">
    <mergeCell ref="D1:D2"/>
    <mergeCell ref="E1:E2"/>
    <mergeCell ref="F1:G1"/>
    <mergeCell ref="H1:L1"/>
  </mergeCells>
  <conditionalFormatting sqref="A1:B1">
    <cfRule type="expression" dxfId="11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8773-DE16-4C50-9FF0-3E23DC651E7D}">
  <dimension ref="A1:Z14"/>
  <sheetViews>
    <sheetView workbookViewId="0">
      <selection activeCell="B29" sqref="B2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19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18</v>
      </c>
      <c r="F3" s="7">
        <v>45741</v>
      </c>
      <c r="G3" s="5">
        <v>0.62</v>
      </c>
      <c r="H3" s="7" t="str">
        <f>IF(B9&gt;0,B9,"")</f>
        <v/>
      </c>
      <c r="I3" s="5"/>
      <c r="J3" s="4"/>
      <c r="K3" s="6"/>
      <c r="L3" s="4" t="str">
        <f>IF(B10=B11,H3-F3,"")</f>
        <v/>
      </c>
      <c r="W3" s="12">
        <f>F3</f>
        <v>45741</v>
      </c>
      <c r="X3" s="12" t="str">
        <f>H3</f>
        <v/>
      </c>
      <c r="Y3" s="13">
        <f>G3*(-1)</f>
        <v>-0.62</v>
      </c>
      <c r="Z3" s="13">
        <f>I3+J3</f>
        <v>0</v>
      </c>
    </row>
    <row r="4" spans="1:26" x14ac:dyDescent="0.25">
      <c r="A4" s="1" t="s">
        <v>93</v>
      </c>
      <c r="B4" s="10">
        <v>0.51</v>
      </c>
      <c r="W4" s="12">
        <f>F4</f>
        <v>0</v>
      </c>
      <c r="X4" s="12">
        <f t="shared" ref="X4:X5" si="0">H4</f>
        <v>0</v>
      </c>
      <c r="Y4" s="13">
        <f t="shared" ref="Y4:Y5" si="1">G4*(-1)</f>
        <v>0</v>
      </c>
      <c r="Z4" s="13">
        <f t="shared" ref="Z4:Z5" si="2">I4+J4</f>
        <v>0</v>
      </c>
    </row>
    <row r="5" spans="1:26" x14ac:dyDescent="0.25">
      <c r="A5" s="1"/>
      <c r="B5" s="8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W6" s="12"/>
      <c r="X6" s="12"/>
      <c r="Y6" s="13"/>
    </row>
    <row r="7" spans="1:26" x14ac:dyDescent="0.25">
      <c r="A7" s="1" t="s">
        <v>94</v>
      </c>
      <c r="B7" s="8">
        <f>SUMPRODUCT(F3:F20,G3:G20)/SUM(G3:G20)</f>
        <v>45741</v>
      </c>
      <c r="W7" s="12"/>
      <c r="X7" s="12"/>
      <c r="Y7" s="13"/>
    </row>
    <row r="8" spans="1:26" x14ac:dyDescent="0.25">
      <c r="A8" s="1" t="s">
        <v>227</v>
      </c>
      <c r="B8" s="8">
        <v>45551</v>
      </c>
      <c r="W8" s="12"/>
      <c r="X8" s="12"/>
      <c r="Y8" s="13"/>
    </row>
    <row r="9" spans="1:26" x14ac:dyDescent="0.25">
      <c r="A9" s="1" t="s">
        <v>240</v>
      </c>
      <c r="B9" s="8"/>
    </row>
    <row r="10" spans="1:26" x14ac:dyDescent="0.25">
      <c r="A10" s="1" t="s">
        <v>94</v>
      </c>
      <c r="B10" s="2">
        <f>SUM(G3:G20)</f>
        <v>0.62</v>
      </c>
    </row>
    <row r="11" spans="1:26" x14ac:dyDescent="0.25">
      <c r="A11" s="1" t="s">
        <v>87</v>
      </c>
      <c r="B11" s="2">
        <f>SUM(I3:I20)</f>
        <v>0</v>
      </c>
    </row>
    <row r="12" spans="1:26" x14ac:dyDescent="0.25">
      <c r="A12" s="1" t="s">
        <v>10</v>
      </c>
      <c r="B12" s="2">
        <f>SUM(J3:J20)</f>
        <v>0</v>
      </c>
    </row>
    <row r="13" spans="1:26" x14ac:dyDescent="0.25">
      <c r="A13" s="1" t="s">
        <v>242</v>
      </c>
      <c r="B13" s="10" t="str">
        <f>IF(B10=B11,XIRR(Y3:Z20,W3:X20),"")</f>
        <v/>
      </c>
    </row>
    <row r="14" spans="1:26" x14ac:dyDescent="0.25">
      <c r="A14" s="20" t="s">
        <v>243</v>
      </c>
      <c r="B14" s="22" t="str">
        <f>IF(B10=B11,SUMPRODUCT(L3:L20,G3:G20)/SUM(G3:G20),"")</f>
        <v/>
      </c>
    </row>
  </sheetData>
  <mergeCells count="4">
    <mergeCell ref="D1:D2"/>
    <mergeCell ref="E1:E2"/>
    <mergeCell ref="F1:G1"/>
    <mergeCell ref="H1:L1"/>
  </mergeCells>
  <conditionalFormatting sqref="A1:B1">
    <cfRule type="expression" dxfId="11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F52F-D5F0-4F99-AFEB-801575360C0F}">
  <dimension ref="A1:Z14"/>
  <sheetViews>
    <sheetView workbookViewId="0">
      <selection activeCell="B15" sqref="B1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45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99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43</v>
      </c>
      <c r="F3" s="7">
        <v>45769</v>
      </c>
      <c r="G3" s="5">
        <v>0.13</v>
      </c>
      <c r="H3" s="7" t="str">
        <f>IF(B9&gt;0,B9,"")</f>
        <v/>
      </c>
      <c r="I3" s="5"/>
      <c r="J3" s="4"/>
      <c r="K3" s="6"/>
      <c r="L3" s="4" t="str">
        <f>IF(B10=B11,H3-F3,"")</f>
        <v/>
      </c>
      <c r="W3" s="12">
        <f>F3</f>
        <v>45769</v>
      </c>
      <c r="X3" s="12" t="str">
        <f>H3</f>
        <v/>
      </c>
      <c r="Y3" s="13">
        <f>G3*(-1)</f>
        <v>-0.13</v>
      </c>
      <c r="Z3" s="13">
        <f>I3+J3</f>
        <v>0</v>
      </c>
    </row>
    <row r="4" spans="1:26" x14ac:dyDescent="0.25">
      <c r="A4" s="1" t="s">
        <v>93</v>
      </c>
      <c r="B4" s="10">
        <v>0.61</v>
      </c>
      <c r="W4" s="12">
        <f>F4</f>
        <v>0</v>
      </c>
      <c r="X4" s="12">
        <f t="shared" ref="X4:X5" si="0">H4</f>
        <v>0</v>
      </c>
      <c r="Y4" s="13">
        <f t="shared" ref="Y4:Y5" si="1">G4*(-1)</f>
        <v>0</v>
      </c>
      <c r="Z4" s="13">
        <f t="shared" ref="Z4:Z5" si="2">I4+J4</f>
        <v>0</v>
      </c>
    </row>
    <row r="5" spans="1:26" x14ac:dyDescent="0.25">
      <c r="A5" s="1"/>
      <c r="B5" s="8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W6" s="12"/>
      <c r="X6" s="12"/>
      <c r="Y6" s="13"/>
    </row>
    <row r="7" spans="1:26" x14ac:dyDescent="0.25">
      <c r="A7" s="1" t="s">
        <v>94</v>
      </c>
      <c r="B7" s="8">
        <f>SUMPRODUCT(F3:F20,G3:G20)/SUM(G3:G20)</f>
        <v>45769</v>
      </c>
      <c r="W7" s="12"/>
      <c r="X7" s="12"/>
      <c r="Y7" s="13"/>
    </row>
    <row r="8" spans="1:26" x14ac:dyDescent="0.25">
      <c r="A8" s="1" t="s">
        <v>227</v>
      </c>
      <c r="B8" s="8">
        <v>45551</v>
      </c>
      <c r="W8" s="12"/>
      <c r="X8" s="12"/>
      <c r="Y8" s="13"/>
    </row>
    <row r="9" spans="1:26" x14ac:dyDescent="0.25">
      <c r="A9" s="1" t="s">
        <v>240</v>
      </c>
      <c r="B9" s="8"/>
    </row>
    <row r="10" spans="1:26" x14ac:dyDescent="0.25">
      <c r="A10" s="1" t="s">
        <v>94</v>
      </c>
      <c r="B10" s="2">
        <f>SUM(G3:G20)</f>
        <v>0.13</v>
      </c>
    </row>
    <row r="11" spans="1:26" x14ac:dyDescent="0.25">
      <c r="A11" s="1" t="s">
        <v>87</v>
      </c>
      <c r="B11" s="2">
        <f>SUM(I3:I20)</f>
        <v>0</v>
      </c>
    </row>
    <row r="12" spans="1:26" x14ac:dyDescent="0.25">
      <c r="A12" s="1" t="s">
        <v>10</v>
      </c>
      <c r="B12" s="2">
        <f>SUM(J3:J20)</f>
        <v>0</v>
      </c>
    </row>
    <row r="13" spans="1:26" x14ac:dyDescent="0.25">
      <c r="A13" s="1" t="s">
        <v>242</v>
      </c>
      <c r="B13" s="10" t="str">
        <f>IF(B10=B11,XIRR(Y3:Z20,W3:X20),"")</f>
        <v/>
      </c>
    </row>
    <row r="14" spans="1:26" x14ac:dyDescent="0.25">
      <c r="A14" s="20" t="s">
        <v>243</v>
      </c>
      <c r="B14" s="22" t="str">
        <f>IF(B10=B11,SUMPRODUCT(L3:L20,G3:G20)/SUM(G3:G20),"")</f>
        <v/>
      </c>
    </row>
  </sheetData>
  <mergeCells count="4">
    <mergeCell ref="D1:D2"/>
    <mergeCell ref="E1:E2"/>
    <mergeCell ref="F1:G1"/>
    <mergeCell ref="H1:L1"/>
  </mergeCells>
  <conditionalFormatting sqref="A1:B1">
    <cfRule type="expression" dxfId="11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77CB-60C3-453E-8402-14F2F323F5DE}">
  <sheetPr>
    <tabColor rgb="FF00B050"/>
  </sheetPr>
  <dimension ref="A1:Z14"/>
  <sheetViews>
    <sheetView workbookViewId="0">
      <selection activeCell="B13" sqref="B13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20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18</v>
      </c>
      <c r="F3" s="7">
        <v>45741</v>
      </c>
      <c r="G3" s="5">
        <v>0.76</v>
      </c>
      <c r="H3" s="7">
        <f>IF(B9&gt;0,B9,"")</f>
        <v>45996</v>
      </c>
      <c r="I3" s="5">
        <v>0.76</v>
      </c>
      <c r="J3" s="4">
        <v>0.11</v>
      </c>
      <c r="K3" s="6">
        <v>0.21279999999999999</v>
      </c>
      <c r="L3" s="4">
        <f>IF(B10=B11,H3-F3,"")</f>
        <v>255</v>
      </c>
      <c r="W3" s="12">
        <f>F3</f>
        <v>45741</v>
      </c>
      <c r="X3" s="12">
        <f>H3</f>
        <v>45996</v>
      </c>
      <c r="Y3" s="13">
        <f>G3*(-1)</f>
        <v>-0.76</v>
      </c>
      <c r="Z3" s="13">
        <f>I3+J3</f>
        <v>0.87</v>
      </c>
    </row>
    <row r="4" spans="1:26" x14ac:dyDescent="0.25">
      <c r="A4" s="1" t="s">
        <v>93</v>
      </c>
      <c r="B4" s="10">
        <v>0.64</v>
      </c>
      <c r="W4" s="12">
        <f>F4</f>
        <v>0</v>
      </c>
      <c r="X4" s="12">
        <f t="shared" ref="X4:X5" si="0">H4</f>
        <v>0</v>
      </c>
      <c r="Y4" s="13">
        <f t="shared" ref="Y4:Y5" si="1">G4*(-1)</f>
        <v>0</v>
      </c>
      <c r="Z4" s="13">
        <f t="shared" ref="Z4:Z5" si="2">I4+J4</f>
        <v>0</v>
      </c>
    </row>
    <row r="5" spans="1:26" x14ac:dyDescent="0.25">
      <c r="A5" s="1"/>
      <c r="B5" s="8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W6" s="12"/>
      <c r="X6" s="12"/>
      <c r="Y6" s="13"/>
    </row>
    <row r="7" spans="1:26" x14ac:dyDescent="0.25">
      <c r="A7" s="1" t="s">
        <v>94</v>
      </c>
      <c r="B7" s="8">
        <f>SUMPRODUCT(F3:F20,G3:G20)/SUM(G3:G20)</f>
        <v>45741.000000000007</v>
      </c>
      <c r="W7" s="12"/>
      <c r="X7" s="12"/>
      <c r="Y7" s="13"/>
    </row>
    <row r="8" spans="1:26" x14ac:dyDescent="0.25">
      <c r="A8" s="1" t="s">
        <v>227</v>
      </c>
      <c r="B8" s="8">
        <v>45551</v>
      </c>
      <c r="W8" s="12"/>
      <c r="X8" s="12"/>
      <c r="Y8" s="13"/>
    </row>
    <row r="9" spans="1:26" x14ac:dyDescent="0.25">
      <c r="A9" s="1" t="s">
        <v>240</v>
      </c>
      <c r="B9" s="8">
        <v>45996</v>
      </c>
    </row>
    <row r="10" spans="1:26" x14ac:dyDescent="0.25">
      <c r="A10" s="1" t="s">
        <v>94</v>
      </c>
      <c r="B10" s="2">
        <f>SUM(G3:G20)</f>
        <v>0.76</v>
      </c>
    </row>
    <row r="11" spans="1:26" x14ac:dyDescent="0.25">
      <c r="A11" s="1" t="s">
        <v>87</v>
      </c>
      <c r="B11" s="2">
        <f>SUM(I3:I20)</f>
        <v>0.76</v>
      </c>
    </row>
    <row r="12" spans="1:26" x14ac:dyDescent="0.25">
      <c r="A12" s="1" t="s">
        <v>10</v>
      </c>
      <c r="B12" s="2">
        <f>SUM(J3:J20)</f>
        <v>0.11</v>
      </c>
    </row>
    <row r="13" spans="1:26" x14ac:dyDescent="0.25">
      <c r="A13" s="1" t="s">
        <v>242</v>
      </c>
      <c r="B13" s="10">
        <f>IF(B10=B11,XIRR(Y3:Z20,W3:X20),"")</f>
        <v>0.21347175240516666</v>
      </c>
    </row>
    <row r="14" spans="1:26" x14ac:dyDescent="0.25">
      <c r="A14" s="20" t="s">
        <v>243</v>
      </c>
      <c r="B14" s="22">
        <f>IF(B10=B11,SUMPRODUCT(L3:L20,G3:G20)/SUM(G3:G20),"")</f>
        <v>255</v>
      </c>
    </row>
  </sheetData>
  <mergeCells count="4">
    <mergeCell ref="D1:D2"/>
    <mergeCell ref="E1:E2"/>
    <mergeCell ref="F1:G1"/>
    <mergeCell ref="H1:L1"/>
  </mergeCells>
  <conditionalFormatting sqref="A1:B1">
    <cfRule type="expression" dxfId="11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C6D6-FF19-4A08-85A1-10D826CF34E3}">
  <dimension ref="A1:Z14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51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100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0.52</v>
      </c>
      <c r="D3" s="4">
        <v>1</v>
      </c>
      <c r="E3" s="4" t="s">
        <v>50</v>
      </c>
      <c r="F3" s="7">
        <v>45769</v>
      </c>
      <c r="G3" s="5">
        <v>0.13</v>
      </c>
      <c r="H3" s="7" t="str">
        <f>IF(B9&gt;0,B9,"")</f>
        <v/>
      </c>
      <c r="I3" s="5"/>
      <c r="J3" s="4"/>
      <c r="K3" s="6"/>
      <c r="L3" s="4" t="str">
        <f>IF(B10=B11,H3-F3,"")</f>
        <v/>
      </c>
      <c r="W3" s="12">
        <f>F3</f>
        <v>45769</v>
      </c>
      <c r="X3" s="12" t="str">
        <f>H3</f>
        <v/>
      </c>
      <c r="Y3" s="13">
        <f>G3*(-1)</f>
        <v>-0.13</v>
      </c>
      <c r="Z3" s="13">
        <f>I3+J3</f>
        <v>0</v>
      </c>
    </row>
    <row r="4" spans="1:26" x14ac:dyDescent="0.25">
      <c r="A4" s="1" t="s">
        <v>93</v>
      </c>
      <c r="B4" s="10">
        <v>0.76</v>
      </c>
      <c r="W4" s="12">
        <f>F4</f>
        <v>0</v>
      </c>
      <c r="X4" s="12">
        <f t="shared" ref="X4:X5" si="0">H4</f>
        <v>0</v>
      </c>
      <c r="Y4" s="13">
        <f t="shared" ref="Y4:Y5" si="1">G4*(-1)</f>
        <v>0</v>
      </c>
      <c r="Z4" s="13">
        <f t="shared" ref="Z4:Z5" si="2">I4+J4</f>
        <v>0</v>
      </c>
    </row>
    <row r="5" spans="1:26" x14ac:dyDescent="0.25">
      <c r="A5" s="1"/>
      <c r="B5" s="8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W6" s="12"/>
      <c r="X6" s="12"/>
      <c r="Y6" s="13"/>
    </row>
    <row r="7" spans="1:26" x14ac:dyDescent="0.25">
      <c r="A7" s="1" t="s">
        <v>94</v>
      </c>
      <c r="B7" s="8">
        <f>SUMPRODUCT(F3:F20,G3:G20)/SUM(G3:G20)</f>
        <v>45769</v>
      </c>
      <c r="W7" s="12"/>
      <c r="X7" s="12"/>
      <c r="Y7" s="13"/>
    </row>
    <row r="8" spans="1:26" x14ac:dyDescent="0.25">
      <c r="A8" s="1" t="s">
        <v>227</v>
      </c>
      <c r="B8" s="8">
        <v>45551</v>
      </c>
      <c r="W8" s="12"/>
      <c r="X8" s="12"/>
      <c r="Y8" s="13"/>
    </row>
    <row r="9" spans="1:26" x14ac:dyDescent="0.25">
      <c r="A9" s="1" t="s">
        <v>240</v>
      </c>
      <c r="B9" s="8"/>
    </row>
    <row r="10" spans="1:26" x14ac:dyDescent="0.25">
      <c r="A10" s="1" t="s">
        <v>94</v>
      </c>
      <c r="B10" s="2">
        <f>SUM(G3:G20)</f>
        <v>0.13</v>
      </c>
    </row>
    <row r="11" spans="1:26" x14ac:dyDescent="0.25">
      <c r="A11" s="1" t="s">
        <v>87</v>
      </c>
      <c r="B11" s="2">
        <f>SUM(I3:I20)</f>
        <v>0</v>
      </c>
    </row>
    <row r="12" spans="1:26" x14ac:dyDescent="0.25">
      <c r="A12" s="1" t="s">
        <v>10</v>
      </c>
      <c r="B12" s="2">
        <f>SUM(J3:J20)</f>
        <v>0</v>
      </c>
    </row>
    <row r="13" spans="1:26" x14ac:dyDescent="0.25">
      <c r="A13" s="1" t="s">
        <v>242</v>
      </c>
      <c r="B13" s="10" t="str">
        <f>IF(B10=B11,XIRR(Y3:Z20,W3:X20),"")</f>
        <v/>
      </c>
    </row>
    <row r="14" spans="1:26" x14ac:dyDescent="0.25">
      <c r="A14" s="20" t="s">
        <v>243</v>
      </c>
      <c r="B14" s="22" t="str">
        <f>IF(B10=B11,SUMPRODUCT(L3:L20,G3:G20)/SUM(G3:G20),"")</f>
        <v/>
      </c>
    </row>
  </sheetData>
  <mergeCells count="4">
    <mergeCell ref="D1:D2"/>
    <mergeCell ref="E1:E2"/>
    <mergeCell ref="F1:G1"/>
    <mergeCell ref="H1:L1"/>
  </mergeCells>
  <conditionalFormatting sqref="A1:B1">
    <cfRule type="expression" dxfId="11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9B3E-0C91-46A0-8577-ECA4040BB523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18</v>
      </c>
      <c r="F3" s="7">
        <v>45741</v>
      </c>
      <c r="G3" s="5">
        <v>7.82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-7.82</v>
      </c>
      <c r="Z3" s="13">
        <f>I3+J3</f>
        <v>0</v>
      </c>
    </row>
    <row r="4" spans="1:26" x14ac:dyDescent="0.25">
      <c r="A4" s="1" t="s">
        <v>93</v>
      </c>
      <c r="B4" s="10">
        <v>0.55000000000000004</v>
      </c>
      <c r="D4" s="4">
        <v>2</v>
      </c>
      <c r="E4" s="4" t="s">
        <v>0</v>
      </c>
      <c r="F4" s="7">
        <v>45741</v>
      </c>
      <c r="G4" s="5">
        <v>6.95</v>
      </c>
      <c r="H4" s="7" t="str">
        <f t="shared" ref="H4:H8" si="0">IF($B$9&gt;0,$B$9,"")</f>
        <v/>
      </c>
      <c r="I4" s="5"/>
      <c r="J4" s="4"/>
      <c r="K4" s="6"/>
      <c r="L4" s="4" t="str">
        <f t="shared" ref="L4:L8" si="1">IF($B$10=$B$11,H4-F4,"")</f>
        <v/>
      </c>
      <c r="W4" s="12">
        <f>F4</f>
        <v>45741</v>
      </c>
      <c r="X4" s="12" t="str">
        <f t="shared" ref="X4:X21" si="2">H4</f>
        <v/>
      </c>
      <c r="Y4" s="13">
        <f t="shared" ref="Y4:Y21" si="3">G4*(-1)</f>
        <v>-6.95</v>
      </c>
      <c r="Z4" s="13">
        <f t="shared" ref="Z4:Z21" si="4">I4+J4</f>
        <v>0</v>
      </c>
    </row>
    <row r="5" spans="1:26" x14ac:dyDescent="0.25">
      <c r="A5" s="1"/>
      <c r="B5" s="8"/>
      <c r="D5" s="4">
        <v>3</v>
      </c>
      <c r="E5" s="4" t="s">
        <v>23</v>
      </c>
      <c r="F5" s="7">
        <v>45748</v>
      </c>
      <c r="G5" s="5">
        <v>2.9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45748</v>
      </c>
      <c r="X5" s="12" t="str">
        <f t="shared" si="2"/>
        <v/>
      </c>
      <c r="Y5" s="13">
        <f t="shared" si="3"/>
        <v>-2.9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26</v>
      </c>
      <c r="F6" s="7">
        <v>45748</v>
      </c>
      <c r="G6" s="5">
        <v>1.8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3" si="5">F6</f>
        <v>45748</v>
      </c>
      <c r="X6" s="12" t="str">
        <f t="shared" si="2"/>
        <v/>
      </c>
      <c r="Y6" s="13">
        <f t="shared" si="3"/>
        <v>-1.8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45743.935378893548</v>
      </c>
      <c r="D7" s="4">
        <v>5</v>
      </c>
      <c r="E7" s="4" t="s">
        <v>28</v>
      </c>
      <c r="F7" s="7">
        <v>45755</v>
      </c>
      <c r="G7" s="5">
        <v>2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45755</v>
      </c>
      <c r="X7" s="12" t="str">
        <f t="shared" si="2"/>
        <v/>
      </c>
      <c r="Y7" s="13">
        <f t="shared" si="3"/>
        <v>-2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64</v>
      </c>
      <c r="F8" s="7">
        <v>45797</v>
      </c>
      <c r="G8" s="5">
        <v>0.04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45797</v>
      </c>
      <c r="X8" s="12" t="str">
        <f t="shared" si="2"/>
        <v/>
      </c>
      <c r="Y8" s="13">
        <f t="shared" si="3"/>
        <v>-0.04</v>
      </c>
      <c r="Z8" s="13">
        <f t="shared" si="4"/>
        <v>0</v>
      </c>
    </row>
    <row r="9" spans="1:26" x14ac:dyDescent="0.25">
      <c r="A9" s="1" t="s">
        <v>240</v>
      </c>
      <c r="B9" s="8"/>
      <c r="W9" s="12">
        <f t="shared" si="5"/>
        <v>0</v>
      </c>
      <c r="X9" s="12">
        <f t="shared" si="2"/>
        <v>0</v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21.509999999999998</v>
      </c>
      <c r="W10" s="12">
        <f t="shared" si="5"/>
        <v>0</v>
      </c>
      <c r="X10" s="12">
        <f t="shared" si="2"/>
        <v>0</v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>
        <f t="shared" si="5"/>
        <v>0</v>
      </c>
      <c r="X21" s="12">
        <f t="shared" si="2"/>
        <v>0</v>
      </c>
      <c r="Y21" s="13">
        <f t="shared" si="3"/>
        <v>0</v>
      </c>
      <c r="Z21" s="13">
        <f t="shared" si="4"/>
        <v>0</v>
      </c>
    </row>
    <row r="22" spans="23:26" x14ac:dyDescent="0.25">
      <c r="W22" s="12">
        <f t="shared" si="5"/>
        <v>0</v>
      </c>
      <c r="X22" s="12">
        <f t="shared" ref="X22:X23" si="6">H22</f>
        <v>0</v>
      </c>
      <c r="Y22" s="13">
        <f t="shared" ref="Y22:Y23" si="7">G22*(-1)</f>
        <v>0</v>
      </c>
      <c r="Z22" s="13">
        <f t="shared" ref="Z22:Z23" si="8">I22+J22</f>
        <v>0</v>
      </c>
    </row>
    <row r="23" spans="23:26" x14ac:dyDescent="0.25">
      <c r="W23" s="12">
        <f t="shared" si="5"/>
        <v>0</v>
      </c>
      <c r="X23" s="12">
        <f t="shared" si="6"/>
        <v>0</v>
      </c>
      <c r="Y23" s="13">
        <f t="shared" si="7"/>
        <v>0</v>
      </c>
      <c r="Z23" s="13">
        <f t="shared" si="8"/>
        <v>0</v>
      </c>
    </row>
  </sheetData>
  <mergeCells count="4">
    <mergeCell ref="D1:D2"/>
    <mergeCell ref="E1:E2"/>
    <mergeCell ref="F1:G1"/>
    <mergeCell ref="H1:L1"/>
  </mergeCells>
  <conditionalFormatting sqref="A1:B1">
    <cfRule type="expression" dxfId="11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1213-62D7-4B57-AB47-21311C494B00}">
  <sheetPr>
    <tabColor rgb="FF00B050"/>
  </sheetPr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11" t="s">
        <v>36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29</v>
      </c>
      <c r="F3" s="7">
        <v>45755</v>
      </c>
      <c r="G3" s="5">
        <v>0.9</v>
      </c>
      <c r="H3" s="7">
        <f>IF($B$9&gt;0,$B$9,"")</f>
        <v>45995</v>
      </c>
      <c r="I3" s="5">
        <v>0.9</v>
      </c>
      <c r="J3" s="4">
        <v>0.09</v>
      </c>
      <c r="K3" s="6">
        <v>0.159</v>
      </c>
      <c r="L3" s="4">
        <f>IF($B$10=$B$11,H3-F3,"")</f>
        <v>240</v>
      </c>
      <c r="W3" s="12">
        <f>F3</f>
        <v>45755</v>
      </c>
      <c r="X3" s="12">
        <f>H3</f>
        <v>45995</v>
      </c>
      <c r="Y3" s="13">
        <f>G3*(-1)</f>
        <v>-0.9</v>
      </c>
      <c r="Z3" s="13">
        <f>I3+J3</f>
        <v>0.99</v>
      </c>
    </row>
    <row r="4" spans="1:26" x14ac:dyDescent="0.25">
      <c r="A4" s="1" t="s">
        <v>93</v>
      </c>
      <c r="B4" s="10">
        <v>0.35</v>
      </c>
      <c r="D4" s="4">
        <v>2</v>
      </c>
      <c r="E4" s="4" t="s">
        <v>37</v>
      </c>
      <c r="F4" s="7">
        <v>45755</v>
      </c>
      <c r="G4" s="5">
        <v>0.97</v>
      </c>
      <c r="H4" s="7">
        <f t="shared" ref="H4:H10" si="0">IF($B$9&gt;0,$B$9,"")</f>
        <v>45995</v>
      </c>
      <c r="I4" s="5">
        <v>0.97</v>
      </c>
      <c r="J4" s="5">
        <v>0.1</v>
      </c>
      <c r="K4" s="6">
        <v>0.159</v>
      </c>
      <c r="L4" s="4">
        <f t="shared" ref="L4:L10" si="1">IF($B$10=$B$11,H4-F4,"")</f>
        <v>240</v>
      </c>
      <c r="W4" s="12">
        <f>F4</f>
        <v>45755</v>
      </c>
      <c r="X4" s="12">
        <f t="shared" ref="X4:X20" si="2">H4</f>
        <v>45995</v>
      </c>
      <c r="Y4" s="13">
        <f t="shared" ref="Y4:Y20" si="3">G4*(-1)</f>
        <v>-0.97</v>
      </c>
      <c r="Z4" s="13">
        <f t="shared" ref="Z4:Z20" si="4">I4+J4</f>
        <v>1.07</v>
      </c>
    </row>
    <row r="5" spans="1:26" x14ac:dyDescent="0.25">
      <c r="A5" s="1"/>
      <c r="B5" s="8"/>
      <c r="D5" s="4">
        <v>3</v>
      </c>
      <c r="E5" s="4" t="s">
        <v>40</v>
      </c>
      <c r="F5" s="7">
        <v>45762</v>
      </c>
      <c r="G5" s="5">
        <v>1.21</v>
      </c>
      <c r="H5" s="7">
        <f t="shared" si="0"/>
        <v>45995</v>
      </c>
      <c r="I5" s="5">
        <v>1.21</v>
      </c>
      <c r="J5" s="4">
        <v>0.12</v>
      </c>
      <c r="K5" s="6">
        <v>0.1638</v>
      </c>
      <c r="L5" s="4">
        <f t="shared" si="1"/>
        <v>233</v>
      </c>
      <c r="W5" s="12">
        <f>F5</f>
        <v>45762</v>
      </c>
      <c r="X5" s="12">
        <f t="shared" si="2"/>
        <v>45995</v>
      </c>
      <c r="Y5" s="13">
        <f t="shared" si="3"/>
        <v>-1.21</v>
      </c>
      <c r="Z5" s="13">
        <f t="shared" si="4"/>
        <v>1.33</v>
      </c>
    </row>
    <row r="6" spans="1:26" x14ac:dyDescent="0.25">
      <c r="A6" s="1"/>
      <c r="B6" s="8"/>
      <c r="D6" s="4">
        <v>4</v>
      </c>
      <c r="E6" s="4" t="s">
        <v>41</v>
      </c>
      <c r="F6" s="7">
        <v>45762</v>
      </c>
      <c r="G6" s="5">
        <v>1.85</v>
      </c>
      <c r="H6" s="7">
        <f t="shared" si="0"/>
        <v>45995</v>
      </c>
      <c r="I6" s="5">
        <v>1.85</v>
      </c>
      <c r="J6" s="4">
        <v>0.19</v>
      </c>
      <c r="K6" s="6">
        <v>0.1638</v>
      </c>
      <c r="L6" s="4">
        <f t="shared" si="1"/>
        <v>233</v>
      </c>
      <c r="W6" s="12">
        <f t="shared" ref="W6:W20" si="5">F6</f>
        <v>45762</v>
      </c>
      <c r="X6" s="12">
        <f t="shared" si="2"/>
        <v>45995</v>
      </c>
      <c r="Y6" s="13">
        <f t="shared" si="3"/>
        <v>-1.85</v>
      </c>
      <c r="Z6" s="13">
        <f t="shared" si="4"/>
        <v>2.04</v>
      </c>
    </row>
    <row r="7" spans="1:26" x14ac:dyDescent="0.25">
      <c r="A7" s="1" t="s">
        <v>94</v>
      </c>
      <c r="B7" s="8">
        <f>SUMPRODUCT(F3:F20,G3:G20)/SUM(G3:G20)</f>
        <v>45762.969072164953</v>
      </c>
      <c r="D7" s="4">
        <v>5</v>
      </c>
      <c r="E7" s="4" t="s">
        <v>50</v>
      </c>
      <c r="F7" s="7">
        <v>45762</v>
      </c>
      <c r="G7" s="5">
        <v>0.88</v>
      </c>
      <c r="H7" s="7">
        <f t="shared" si="0"/>
        <v>45995</v>
      </c>
      <c r="I7" s="5">
        <v>0.88</v>
      </c>
      <c r="J7" s="4">
        <v>0.09</v>
      </c>
      <c r="K7" s="6">
        <v>0.16889999999999999</v>
      </c>
      <c r="L7" s="4">
        <f t="shared" si="1"/>
        <v>233</v>
      </c>
      <c r="W7" s="12">
        <f t="shared" si="5"/>
        <v>45762</v>
      </c>
      <c r="X7" s="12">
        <f t="shared" si="2"/>
        <v>45995</v>
      </c>
      <c r="Y7" s="13">
        <f t="shared" si="3"/>
        <v>-0.88</v>
      </c>
      <c r="Z7" s="13">
        <f t="shared" si="4"/>
        <v>0.97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57</v>
      </c>
      <c r="F8" s="7">
        <v>45776</v>
      </c>
      <c r="G8" s="5">
        <v>0.41</v>
      </c>
      <c r="H8" s="7">
        <f t="shared" si="0"/>
        <v>45995</v>
      </c>
      <c r="I8" s="5">
        <v>0.41</v>
      </c>
      <c r="J8" s="4">
        <v>0.04</v>
      </c>
      <c r="K8" s="6">
        <v>0.17430000000000001</v>
      </c>
      <c r="L8" s="4">
        <f t="shared" si="1"/>
        <v>219</v>
      </c>
      <c r="W8" s="12">
        <f t="shared" si="5"/>
        <v>45776</v>
      </c>
      <c r="X8" s="12">
        <f t="shared" si="2"/>
        <v>45995</v>
      </c>
      <c r="Y8" s="13">
        <f t="shared" si="3"/>
        <v>-0.41</v>
      </c>
      <c r="Z8" s="13">
        <f t="shared" si="4"/>
        <v>0.44999999999999996</v>
      </c>
    </row>
    <row r="9" spans="1:26" x14ac:dyDescent="0.25">
      <c r="A9" s="1" t="s">
        <v>240</v>
      </c>
      <c r="B9" s="8">
        <v>45995</v>
      </c>
      <c r="D9" s="4">
        <v>7</v>
      </c>
      <c r="E9" s="4" t="s">
        <v>59</v>
      </c>
      <c r="F9" s="7">
        <v>45783</v>
      </c>
      <c r="G9" s="5">
        <v>0.43</v>
      </c>
      <c r="H9" s="7">
        <f t="shared" si="0"/>
        <v>45995</v>
      </c>
      <c r="I9" s="5">
        <v>0.43</v>
      </c>
      <c r="J9" s="4">
        <v>0.04</v>
      </c>
      <c r="K9" s="6">
        <v>0.18</v>
      </c>
      <c r="L9" s="4">
        <f t="shared" si="1"/>
        <v>212</v>
      </c>
      <c r="W9" s="12">
        <f t="shared" si="5"/>
        <v>45783</v>
      </c>
      <c r="X9" s="12">
        <f t="shared" si="2"/>
        <v>45995</v>
      </c>
      <c r="Y9" s="13">
        <f t="shared" si="3"/>
        <v>-0.43</v>
      </c>
      <c r="Z9" s="13">
        <f t="shared" si="4"/>
        <v>0.47</v>
      </c>
    </row>
    <row r="10" spans="1:26" x14ac:dyDescent="0.25">
      <c r="A10" s="1" t="s">
        <v>94</v>
      </c>
      <c r="B10" s="2">
        <f>SUM(G3:G20)</f>
        <v>6.7899999999999991</v>
      </c>
      <c r="D10" s="4">
        <v>8</v>
      </c>
      <c r="E10" s="4" t="s">
        <v>62</v>
      </c>
      <c r="F10" s="7">
        <v>45797</v>
      </c>
      <c r="G10" s="5">
        <v>0.14000000000000001</v>
      </c>
      <c r="H10" s="7">
        <f t="shared" si="0"/>
        <v>45995</v>
      </c>
      <c r="I10" s="5">
        <v>0.14000000000000001</v>
      </c>
      <c r="J10" s="4">
        <v>0.01</v>
      </c>
      <c r="K10" s="6">
        <v>0.19270000000000001</v>
      </c>
      <c r="L10" s="4">
        <f t="shared" si="1"/>
        <v>198</v>
      </c>
      <c r="W10" s="12">
        <f t="shared" si="5"/>
        <v>45797</v>
      </c>
      <c r="X10" s="12">
        <f t="shared" si="2"/>
        <v>45995</v>
      </c>
      <c r="Y10" s="13">
        <f t="shared" si="3"/>
        <v>-0.14000000000000001</v>
      </c>
      <c r="Z10" s="13">
        <f t="shared" si="4"/>
        <v>0.15000000000000002</v>
      </c>
    </row>
    <row r="11" spans="1:26" x14ac:dyDescent="0.25">
      <c r="A11" s="1" t="s">
        <v>87</v>
      </c>
      <c r="B11" s="2">
        <f>SUM(I3:I20)</f>
        <v>6.7899999999999991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0.68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>
        <f>IF(B10=B11,XIRR(Y3:Z20,W3:X20),"")</f>
        <v>0.16198473572731023</v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>
        <f>IF(B10=B11,SUMPRODUCT(L3:L20,G3:G20)/SUM(G3:G20),"")</f>
        <v>232.03092783505159</v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8592-667E-4897-83BE-AE76CF26372C}">
  <dimension ref="A1:Z23"/>
  <sheetViews>
    <sheetView workbookViewId="0">
      <selection activeCell="D3" sqref="D3:G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67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0.34</v>
      </c>
      <c r="D3" s="4">
        <v>1</v>
      </c>
      <c r="E3" s="4" t="s">
        <v>66</v>
      </c>
      <c r="F3" s="7">
        <v>45804</v>
      </c>
      <c r="G3" s="5">
        <v>0.9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45804</v>
      </c>
      <c r="X3" s="12" t="str">
        <f>H3</f>
        <v/>
      </c>
      <c r="Y3" s="13">
        <f>G3*(-1)</f>
        <v>-0.9</v>
      </c>
      <c r="Z3" s="13">
        <f>I3+J3</f>
        <v>0</v>
      </c>
    </row>
    <row r="4" spans="1:26" x14ac:dyDescent="0.25">
      <c r="A4" s="1" t="s">
        <v>93</v>
      </c>
      <c r="B4" s="10">
        <v>0.57999999999999996</v>
      </c>
      <c r="D4" s="4">
        <v>2</v>
      </c>
      <c r="E4" s="4" t="s">
        <v>159</v>
      </c>
      <c r="F4" s="7">
        <v>45846</v>
      </c>
      <c r="G4" s="5">
        <v>7.0000000000000007E-2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45846</v>
      </c>
      <c r="X4" s="12" t="str">
        <f t="shared" ref="X4:X20" si="2">H4</f>
        <v/>
      </c>
      <c r="Y4" s="13">
        <f t="shared" ref="Y4:Y20" si="3">G4*(-1)</f>
        <v>-7.0000000000000007E-2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45807.030927835054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0.97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4475-FDD3-470B-83FB-D24E46D2D9DB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0.63</v>
      </c>
      <c r="D3" s="4">
        <v>1</v>
      </c>
      <c r="E3" s="4" t="s">
        <v>160</v>
      </c>
      <c r="F3" s="7">
        <v>45867</v>
      </c>
      <c r="G3" s="5">
        <v>0.5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45867</v>
      </c>
      <c r="X3" s="12" t="str">
        <f>H3</f>
        <v/>
      </c>
      <c r="Y3" s="13">
        <f>G3*(-1)</f>
        <v>-0.5</v>
      </c>
      <c r="Z3" s="13">
        <f>I3+J3</f>
        <v>0</v>
      </c>
    </row>
    <row r="4" spans="1:26" x14ac:dyDescent="0.25">
      <c r="A4" s="1" t="s">
        <v>93</v>
      </c>
      <c r="B4" s="10">
        <v>0.34</v>
      </c>
      <c r="D4" s="4">
        <v>2</v>
      </c>
      <c r="E4" s="4" t="s">
        <v>169</v>
      </c>
      <c r="F4" s="7">
        <v>45867</v>
      </c>
      <c r="G4" s="5">
        <v>0.59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45867</v>
      </c>
      <c r="X4" s="12" t="str">
        <f t="shared" ref="X4:X20" si="2">H4</f>
        <v/>
      </c>
      <c r="Y4" s="13">
        <f t="shared" ref="Y4:Y20" si="3">G4*(-1)</f>
        <v>-0.59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45867.000000000007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1.0899999999999999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6AC5-5BFF-417D-9FEF-A96F45F9073A}">
  <sheetPr>
    <tabColor rgb="FF00B050"/>
  </sheetPr>
  <dimension ref="A1:Z30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0.2</v>
      </c>
      <c r="D3" s="4">
        <v>1</v>
      </c>
      <c r="E3" s="4" t="s">
        <v>0</v>
      </c>
      <c r="F3" s="7">
        <v>45741</v>
      </c>
      <c r="G3" s="5">
        <v>2.61</v>
      </c>
      <c r="H3" s="7">
        <f>IF($B$9&gt;0,$B$9,"")</f>
        <v>46169</v>
      </c>
      <c r="I3" s="5">
        <v>2.61</v>
      </c>
      <c r="J3" s="4">
        <v>0.44</v>
      </c>
      <c r="K3" s="6">
        <v>0.1452</v>
      </c>
      <c r="L3" s="4">
        <f>IF($B$10=$B$11,H3-F3,"")</f>
        <v>428</v>
      </c>
      <c r="W3" s="12">
        <f>F3</f>
        <v>45741</v>
      </c>
      <c r="X3" s="12">
        <f>H3</f>
        <v>46169</v>
      </c>
      <c r="Y3" s="13">
        <f>G3*(-1)</f>
        <v>-2.61</v>
      </c>
      <c r="Z3" s="13">
        <f>I3+J3</f>
        <v>3.05</v>
      </c>
    </row>
    <row r="4" spans="1:26" x14ac:dyDescent="0.25">
      <c r="A4" s="1" t="s">
        <v>93</v>
      </c>
      <c r="B4" s="10">
        <v>0.64</v>
      </c>
      <c r="D4" s="4">
        <v>2</v>
      </c>
      <c r="E4" s="4" t="s">
        <v>26</v>
      </c>
      <c r="F4" s="7">
        <v>45748</v>
      </c>
      <c r="G4" s="5">
        <v>0.23</v>
      </c>
      <c r="H4" s="7">
        <f t="shared" ref="H4:H5" si="0">IF($B$9&gt;0,$B$9,"")</f>
        <v>46169</v>
      </c>
      <c r="I4" s="5">
        <v>0.23</v>
      </c>
      <c r="J4" s="5">
        <v>0.03</v>
      </c>
      <c r="K4" s="6">
        <v>0.1477</v>
      </c>
      <c r="L4" s="4">
        <f t="shared" ref="L4:L5" si="1">IF($B$10=$B$11,H4-F4,"")</f>
        <v>421</v>
      </c>
      <c r="W4" s="12">
        <f>F4</f>
        <v>45748</v>
      </c>
      <c r="X4" s="12">
        <f t="shared" ref="X4:X20" si="2">H4</f>
        <v>46169</v>
      </c>
      <c r="Y4" s="13">
        <f t="shared" ref="Y4:Y20" si="3">G4*(-1)</f>
        <v>-0.23</v>
      </c>
      <c r="Z4" s="13">
        <f t="shared" ref="Z4:Z20" si="4">I4+J4</f>
        <v>0.26</v>
      </c>
    </row>
    <row r="5" spans="1:26" x14ac:dyDescent="0.25">
      <c r="A5" s="1"/>
      <c r="B5" s="8"/>
      <c r="D5" s="4">
        <v>3</v>
      </c>
      <c r="E5" s="4" t="s">
        <v>27</v>
      </c>
      <c r="F5" s="7">
        <v>45755</v>
      </c>
      <c r="G5" s="5">
        <v>0.27</v>
      </c>
      <c r="H5" s="7">
        <f t="shared" si="0"/>
        <v>46169</v>
      </c>
      <c r="I5" s="5">
        <v>0.27</v>
      </c>
      <c r="J5" s="4">
        <v>0.04</v>
      </c>
      <c r="K5" s="6">
        <v>0.1502</v>
      </c>
      <c r="L5" s="4">
        <f t="shared" si="1"/>
        <v>414</v>
      </c>
      <c r="W5" s="12">
        <f>F5</f>
        <v>45755</v>
      </c>
      <c r="X5" s="12">
        <f t="shared" si="2"/>
        <v>46169</v>
      </c>
      <c r="Y5" s="13">
        <f t="shared" si="3"/>
        <v>-0.27</v>
      </c>
      <c r="Z5" s="13">
        <f t="shared" si="4"/>
        <v>0.31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/>
      <c r="W6" s="12">
        <f t="shared" ref="W6:W20" si="5">F6</f>
        <v>0</v>
      </c>
      <c r="X6" s="12">
        <f t="shared" si="2"/>
        <v>0</v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45742.73311897106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5"/>
        <v>0</v>
      </c>
      <c r="X7" s="12">
        <f t="shared" si="2"/>
        <v>0</v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5"/>
        <v>0</v>
      </c>
      <c r="X8" s="12">
        <f t="shared" si="2"/>
        <v>0</v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>
        <v>46169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5"/>
        <v>0</v>
      </c>
      <c r="X9" s="12">
        <f t="shared" si="2"/>
        <v>0</v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3.11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5"/>
        <v>0</v>
      </c>
      <c r="X10" s="12">
        <f t="shared" si="2"/>
        <v>0</v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3.11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0.51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>
        <f>IF(B10=B11,XIRR(Y3:Z20,W3:X20),"")</f>
        <v>0.13885676264762878</v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>
        <f>IF(B10=B11,SUMPRODUCT(L3:L20,G3:G20)/SUM(G3:G20),"")</f>
        <v>426.26688102893888</v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10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10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10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10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10:26" x14ac:dyDescent="0.25">
      <c r="W21" s="12"/>
      <c r="X21" s="12"/>
      <c r="Y21" s="13"/>
      <c r="Z21" s="13"/>
    </row>
    <row r="22" spans="10:26" x14ac:dyDescent="0.25">
      <c r="W22" s="12"/>
      <c r="X22" s="12"/>
      <c r="Y22" s="13"/>
      <c r="Z22" s="13"/>
    </row>
    <row r="23" spans="10:26" x14ac:dyDescent="0.25">
      <c r="W23" s="12"/>
      <c r="X23" s="12"/>
      <c r="Y23" s="13"/>
      <c r="Z23" s="13"/>
    </row>
    <row r="25" spans="10:26" x14ac:dyDescent="0.25">
      <c r="J25" s="16"/>
      <c r="K25" s="17"/>
    </row>
    <row r="26" spans="10:26" x14ac:dyDescent="0.25">
      <c r="J26" s="16"/>
      <c r="K26" s="17"/>
      <c r="W26" s="12"/>
    </row>
    <row r="27" spans="10:26" x14ac:dyDescent="0.25">
      <c r="J27" s="16"/>
      <c r="K27" s="17"/>
      <c r="W27" s="12"/>
    </row>
    <row r="28" spans="10:26" x14ac:dyDescent="0.25">
      <c r="J28" s="16"/>
      <c r="K28" s="13"/>
      <c r="W28" s="12"/>
    </row>
    <row r="29" spans="10:26" x14ac:dyDescent="0.25">
      <c r="J29" s="16"/>
      <c r="K29" s="13"/>
    </row>
    <row r="30" spans="10:26" x14ac:dyDescent="0.25">
      <c r="J30" s="16"/>
      <c r="K30" s="13"/>
    </row>
  </sheetData>
  <mergeCells count="4">
    <mergeCell ref="D1:D2"/>
    <mergeCell ref="E1:E2"/>
    <mergeCell ref="F1:G1"/>
    <mergeCell ref="H1:L1"/>
  </mergeCells>
  <conditionalFormatting sqref="A1:B1">
    <cfRule type="expression" dxfId="106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7918-FC64-4802-A48F-D16F5C26DEFC}">
  <dimension ref="A1:Z23"/>
  <sheetViews>
    <sheetView workbookViewId="0">
      <selection activeCell="F3" sqref="F3:F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127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18</v>
      </c>
      <c r="F3" s="7">
        <v>45741</v>
      </c>
      <c r="G3" s="5">
        <v>3.92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-3.92</v>
      </c>
      <c r="Z3" s="13">
        <f>I3+J3</f>
        <v>0</v>
      </c>
    </row>
    <row r="4" spans="1:26" x14ac:dyDescent="0.25">
      <c r="A4" s="1" t="s">
        <v>93</v>
      </c>
      <c r="B4" s="10">
        <v>0.52</v>
      </c>
      <c r="D4" s="4">
        <v>2</v>
      </c>
      <c r="E4" s="4" t="s">
        <v>0</v>
      </c>
      <c r="F4" s="7">
        <v>45741</v>
      </c>
      <c r="G4" s="5">
        <v>5.96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45741</v>
      </c>
      <c r="X4" s="12" t="str">
        <f t="shared" ref="X4:X20" si="2">H4</f>
        <v/>
      </c>
      <c r="Y4" s="13">
        <f t="shared" ref="Y4:Y20" si="3">G4*(-1)</f>
        <v>-5.96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23</v>
      </c>
      <c r="F5" s="7">
        <v>45748</v>
      </c>
      <c r="G5" s="5">
        <v>2.0299999999999998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45748</v>
      </c>
      <c r="X5" s="12" t="str">
        <f t="shared" si="2"/>
        <v/>
      </c>
      <c r="Y5" s="13">
        <f t="shared" si="3"/>
        <v>-2.0299999999999998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26</v>
      </c>
      <c r="F6" s="7">
        <v>45748</v>
      </c>
      <c r="G6" s="5">
        <v>1.33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45748</v>
      </c>
      <c r="X6" s="12" t="str">
        <f t="shared" si="2"/>
        <v/>
      </c>
      <c r="Y6" s="13">
        <f t="shared" si="3"/>
        <v>-1.33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45744.046384720321</v>
      </c>
      <c r="D7" s="4">
        <v>5</v>
      </c>
      <c r="E7" s="4" t="s">
        <v>28</v>
      </c>
      <c r="F7" s="7">
        <v>45755</v>
      </c>
      <c r="G7" s="5">
        <v>1.39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45755</v>
      </c>
      <c r="X7" s="12" t="str">
        <f t="shared" si="2"/>
        <v/>
      </c>
      <c r="Y7" s="13">
        <f t="shared" si="3"/>
        <v>-1.39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64</v>
      </c>
      <c r="F8" s="7">
        <v>45797</v>
      </c>
      <c r="G8" s="5">
        <v>0.03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45797</v>
      </c>
      <c r="X8" s="12" t="str">
        <f t="shared" si="2"/>
        <v/>
      </c>
      <c r="Y8" s="13">
        <f t="shared" si="3"/>
        <v>-0.03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14.659999999999998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62B8-E4AF-4B59-B081-33E10FDD0329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30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29</v>
      </c>
      <c r="F3" s="7">
        <v>45755</v>
      </c>
      <c r="G3" s="5">
        <v>0.94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-0.94</v>
      </c>
      <c r="Z3" s="13">
        <f>I3+J3</f>
        <v>0</v>
      </c>
    </row>
    <row r="4" spans="1:26" x14ac:dyDescent="0.25">
      <c r="A4" s="1" t="s">
        <v>93</v>
      </c>
      <c r="B4" s="10">
        <v>0.51</v>
      </c>
      <c r="D4" s="4">
        <v>2</v>
      </c>
      <c r="E4" s="4" t="s">
        <v>37</v>
      </c>
      <c r="F4" s="7">
        <v>45755</v>
      </c>
      <c r="G4" s="5">
        <v>1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40</v>
      </c>
      <c r="F5" s="7">
        <v>45762</v>
      </c>
      <c r="G5" s="5">
        <v>1.24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-1.24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41</v>
      </c>
      <c r="F6" s="7">
        <v>45762</v>
      </c>
      <c r="G6" s="5">
        <v>1.9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45762</v>
      </c>
      <c r="X6" s="12" t="str">
        <f t="shared" si="2"/>
        <v/>
      </c>
      <c r="Y6" s="13">
        <f t="shared" si="3"/>
        <v>-1.9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45763.078488372092</v>
      </c>
      <c r="D7" s="4">
        <v>5</v>
      </c>
      <c r="E7" s="4" t="s">
        <v>52</v>
      </c>
      <c r="F7" s="7">
        <v>45769</v>
      </c>
      <c r="G7" s="5">
        <v>1.2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45769</v>
      </c>
      <c r="X7" s="12" t="str">
        <f t="shared" si="2"/>
        <v/>
      </c>
      <c r="Y7" s="13">
        <f t="shared" si="3"/>
        <v>-1.2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55</v>
      </c>
      <c r="F8" s="7">
        <v>45776</v>
      </c>
      <c r="G8" s="5">
        <v>0.4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45776</v>
      </c>
      <c r="X8" s="12" t="str">
        <f t="shared" si="2"/>
        <v/>
      </c>
      <c r="Y8" s="13">
        <f t="shared" si="3"/>
        <v>-0.4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62</v>
      </c>
      <c r="F9" s="7">
        <v>45797</v>
      </c>
      <c r="G9" s="5">
        <v>0.2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45797</v>
      </c>
      <c r="X9" s="12" t="str">
        <f t="shared" si="2"/>
        <v/>
      </c>
      <c r="Y9" s="13">
        <f t="shared" si="3"/>
        <v>-0.2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6.8800000000000008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4846-F761-4D7C-BC17-D18E22253F08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37</v>
      </c>
      <c r="F3" s="7">
        <v>45755</v>
      </c>
      <c r="G3" s="5">
        <v>0.43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-0.43</v>
      </c>
      <c r="Z3" s="13">
        <f>I3+J3</f>
        <v>0</v>
      </c>
    </row>
    <row r="4" spans="1:26" x14ac:dyDescent="0.25">
      <c r="A4" s="1" t="s">
        <v>93</v>
      </c>
      <c r="B4" s="10">
        <v>0.38</v>
      </c>
      <c r="D4" s="4">
        <v>2</v>
      </c>
      <c r="E4" s="4" t="s">
        <v>40</v>
      </c>
      <c r="F4" s="7">
        <v>45762</v>
      </c>
      <c r="G4" s="5">
        <v>0.67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45762</v>
      </c>
      <c r="X4" s="12" t="str">
        <f t="shared" ref="X4:X20" si="2">H4</f>
        <v/>
      </c>
      <c r="Y4" s="13">
        <f t="shared" ref="Y4:Y20" si="3">G4*(-1)</f>
        <v>-0.67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41</v>
      </c>
      <c r="F5" s="7">
        <v>45762</v>
      </c>
      <c r="G5" s="5">
        <v>0.14000000000000001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-0.14000000000000001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42</v>
      </c>
      <c r="F6" s="7">
        <v>45762</v>
      </c>
      <c r="G6" s="5">
        <v>0.6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45762</v>
      </c>
      <c r="X6" s="12" t="str">
        <f t="shared" si="2"/>
        <v/>
      </c>
      <c r="Y6" s="13">
        <f t="shared" si="3"/>
        <v>-0.6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45771.369565217385</v>
      </c>
      <c r="D7" s="4">
        <v>5</v>
      </c>
      <c r="E7" s="4" t="s">
        <v>55</v>
      </c>
      <c r="F7" s="7">
        <v>45776</v>
      </c>
      <c r="G7" s="5">
        <v>0.44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45776</v>
      </c>
      <c r="X7" s="12" t="str">
        <f t="shared" si="2"/>
        <v/>
      </c>
      <c r="Y7" s="13">
        <f t="shared" si="3"/>
        <v>-0.44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60</v>
      </c>
      <c r="F8" s="7">
        <v>45783</v>
      </c>
      <c r="G8" s="5">
        <v>0.42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45783</v>
      </c>
      <c r="X8" s="12" t="str">
        <f t="shared" si="2"/>
        <v/>
      </c>
      <c r="Y8" s="13">
        <f t="shared" si="3"/>
        <v>-0.42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63</v>
      </c>
      <c r="F9" s="7">
        <v>45797</v>
      </c>
      <c r="G9" s="5">
        <v>0.52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45797</v>
      </c>
      <c r="X9" s="12" t="str">
        <f t="shared" si="2"/>
        <v/>
      </c>
      <c r="Y9" s="13">
        <f t="shared" si="3"/>
        <v>-0.52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3.22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F173-4310-4683-9924-FEBC732875F2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39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37</v>
      </c>
      <c r="F3" s="7">
        <v>45755</v>
      </c>
      <c r="G3" s="5">
        <v>0.75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-0.75</v>
      </c>
      <c r="Z3" s="13">
        <f>I3+J3</f>
        <v>0</v>
      </c>
    </row>
    <row r="4" spans="1:26" x14ac:dyDescent="0.25">
      <c r="A4" s="1" t="s">
        <v>93</v>
      </c>
      <c r="B4" s="10">
        <v>0.22</v>
      </c>
      <c r="D4" s="4">
        <v>2</v>
      </c>
      <c r="E4" s="4" t="s">
        <v>40</v>
      </c>
      <c r="F4" s="7">
        <v>45762</v>
      </c>
      <c r="G4" s="5">
        <v>1.17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45762</v>
      </c>
      <c r="X4" s="12" t="str">
        <f t="shared" ref="X4:X20" si="2">H4</f>
        <v/>
      </c>
      <c r="Y4" s="13">
        <f t="shared" ref="Y4:Y20" si="3">G4*(-1)</f>
        <v>-1.17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42</v>
      </c>
      <c r="F5" s="7">
        <v>45762</v>
      </c>
      <c r="G5" s="5">
        <v>1.04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-1.04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55</v>
      </c>
      <c r="F6" s="7">
        <v>45776</v>
      </c>
      <c r="G6" s="5">
        <v>0.76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45776</v>
      </c>
      <c r="X6" s="12" t="str">
        <f t="shared" si="2"/>
        <v/>
      </c>
      <c r="Y6" s="13">
        <f t="shared" si="3"/>
        <v>-0.76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45770.886718750007</v>
      </c>
      <c r="D7" s="4">
        <v>5</v>
      </c>
      <c r="E7" s="4" t="s">
        <v>60</v>
      </c>
      <c r="F7" s="7">
        <v>45783</v>
      </c>
      <c r="G7" s="5">
        <v>0.89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45783</v>
      </c>
      <c r="X7" s="12" t="str">
        <f t="shared" si="2"/>
        <v/>
      </c>
      <c r="Y7" s="13">
        <f t="shared" si="3"/>
        <v>-0.89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65</v>
      </c>
      <c r="F8" s="7">
        <v>45804</v>
      </c>
      <c r="G8" s="5">
        <v>0.51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45804</v>
      </c>
      <c r="X8" s="12" t="str">
        <f t="shared" si="2"/>
        <v/>
      </c>
      <c r="Y8" s="13">
        <f t="shared" si="3"/>
        <v>-0.51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5.1199999999999992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6EA4-8FA8-4704-B8F1-ADA24035AD78}">
  <sheetPr>
    <tabColor rgb="FF00B050"/>
  </sheetPr>
  <dimension ref="A1:Z23"/>
  <sheetViews>
    <sheetView workbookViewId="0">
      <selection activeCell="C23" sqref="C23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54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0.53</v>
      </c>
      <c r="D3" s="4">
        <v>1</v>
      </c>
      <c r="E3" s="4" t="s">
        <v>52</v>
      </c>
      <c r="F3" s="7">
        <v>45769</v>
      </c>
      <c r="G3" s="5">
        <v>0.21</v>
      </c>
      <c r="H3" s="7">
        <f>IF($B$9&gt;0,$B$9,"")</f>
        <v>46099</v>
      </c>
      <c r="I3" s="5">
        <v>0.21</v>
      </c>
      <c r="J3" s="4">
        <v>0.03</v>
      </c>
      <c r="K3" s="6">
        <v>0.17910000000000001</v>
      </c>
      <c r="L3" s="4">
        <f>IF($B$10=$B$11,H3-F3,"")</f>
        <v>330</v>
      </c>
      <c r="W3" s="12">
        <f>F3</f>
        <v>45769</v>
      </c>
      <c r="X3" s="12">
        <f>H3</f>
        <v>46099</v>
      </c>
      <c r="Y3" s="13">
        <f>G3*(-1)</f>
        <v>-0.21</v>
      </c>
      <c r="Z3" s="13">
        <f>I3+J3</f>
        <v>0.24</v>
      </c>
    </row>
    <row r="4" spans="1:26" x14ac:dyDescent="0.25">
      <c r="A4" s="1" t="s">
        <v>93</v>
      </c>
      <c r="B4" s="10">
        <v>0.13</v>
      </c>
      <c r="D4" s="4"/>
      <c r="E4" s="4"/>
      <c r="F4" s="7"/>
      <c r="G4" s="5"/>
      <c r="H4" s="7"/>
      <c r="I4" s="5"/>
      <c r="J4" s="5"/>
      <c r="K4" s="6"/>
      <c r="L4" s="4"/>
      <c r="W4" s="12">
        <f>F4</f>
        <v>0</v>
      </c>
      <c r="X4" s="12">
        <f t="shared" ref="X4:X20" si="0">H4</f>
        <v>0</v>
      </c>
      <c r="Y4" s="13">
        <f t="shared" ref="Y4:Y20" si="1">G4*(-1)</f>
        <v>0</v>
      </c>
      <c r="Z4" s="13">
        <f t="shared" ref="Z4:Z20" si="2">I4+J4</f>
        <v>0</v>
      </c>
    </row>
    <row r="5" spans="1:26" x14ac:dyDescent="0.25">
      <c r="A5" s="1"/>
      <c r="B5" s="8"/>
      <c r="D5" s="4"/>
      <c r="E5" s="4"/>
      <c r="F5" s="7"/>
      <c r="G5" s="5"/>
      <c r="H5" s="7"/>
      <c r="I5" s="5"/>
      <c r="J5" s="4"/>
      <c r="K5" s="6"/>
      <c r="L5" s="4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/>
      <c r="W6" s="12">
        <f t="shared" ref="W6:W20" si="3">F6</f>
        <v>0</v>
      </c>
      <c r="X6" s="12">
        <f t="shared" si="0"/>
        <v>0</v>
      </c>
      <c r="Y6" s="13">
        <f t="shared" si="1"/>
        <v>0</v>
      </c>
      <c r="Z6" s="13">
        <f t="shared" si="2"/>
        <v>0</v>
      </c>
    </row>
    <row r="7" spans="1:26" x14ac:dyDescent="0.25">
      <c r="A7" s="1" t="s">
        <v>94</v>
      </c>
      <c r="B7" s="8">
        <f>SUMPRODUCT(F3:F20,G3:G20)/SUM(G3:G20)</f>
        <v>45769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3"/>
        <v>0</v>
      </c>
      <c r="X7" s="12">
        <f t="shared" si="0"/>
        <v>0</v>
      </c>
      <c r="Y7" s="13">
        <f t="shared" si="1"/>
        <v>0</v>
      </c>
      <c r="Z7" s="13">
        <f t="shared" si="2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3"/>
        <v>0</v>
      </c>
      <c r="X8" s="12">
        <f t="shared" si="0"/>
        <v>0</v>
      </c>
      <c r="Y8" s="13">
        <f t="shared" si="1"/>
        <v>0</v>
      </c>
      <c r="Z8" s="13">
        <f t="shared" si="2"/>
        <v>0</v>
      </c>
    </row>
    <row r="9" spans="1:26" x14ac:dyDescent="0.25">
      <c r="A9" s="1" t="s">
        <v>240</v>
      </c>
      <c r="B9" s="8">
        <v>46099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3"/>
        <v>0</v>
      </c>
      <c r="X9" s="12">
        <f t="shared" si="0"/>
        <v>0</v>
      </c>
      <c r="Y9" s="13">
        <f t="shared" si="1"/>
        <v>0</v>
      </c>
      <c r="Z9" s="13">
        <f t="shared" si="2"/>
        <v>0</v>
      </c>
    </row>
    <row r="10" spans="1:26" x14ac:dyDescent="0.25">
      <c r="A10" s="1" t="s">
        <v>94</v>
      </c>
      <c r="B10" s="2">
        <f>SUM(G3:G20)</f>
        <v>0.21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3"/>
        <v>0</v>
      </c>
      <c r="X10" s="12">
        <f t="shared" si="0"/>
        <v>0</v>
      </c>
      <c r="Y10" s="13">
        <f t="shared" si="1"/>
        <v>0</v>
      </c>
      <c r="Z10" s="13">
        <f t="shared" si="2"/>
        <v>0</v>
      </c>
    </row>
    <row r="11" spans="1:26" x14ac:dyDescent="0.25">
      <c r="A11" s="1" t="s">
        <v>87</v>
      </c>
      <c r="B11" s="2">
        <f>SUM(I3:I20)</f>
        <v>0.21</v>
      </c>
      <c r="W11" s="12">
        <f t="shared" si="3"/>
        <v>0</v>
      </c>
      <c r="X11" s="12">
        <f t="shared" si="0"/>
        <v>0</v>
      </c>
      <c r="Y11" s="13">
        <f t="shared" si="1"/>
        <v>0</v>
      </c>
      <c r="Z11" s="13">
        <f t="shared" si="2"/>
        <v>0</v>
      </c>
    </row>
    <row r="12" spans="1:26" x14ac:dyDescent="0.25">
      <c r="A12" s="1" t="s">
        <v>10</v>
      </c>
      <c r="B12" s="2">
        <f>SUM(J3:J20)</f>
        <v>0.03</v>
      </c>
      <c r="W12" s="12">
        <f t="shared" si="3"/>
        <v>0</v>
      </c>
      <c r="X12" s="12">
        <f t="shared" si="0"/>
        <v>0</v>
      </c>
      <c r="Y12" s="13">
        <f t="shared" si="1"/>
        <v>0</v>
      </c>
      <c r="Z12" s="13">
        <f t="shared" si="2"/>
        <v>0</v>
      </c>
    </row>
    <row r="13" spans="1:26" x14ac:dyDescent="0.25">
      <c r="A13" s="1" t="s">
        <v>242</v>
      </c>
      <c r="B13" s="10">
        <f>IF(B10=B11,XIRR(Y3:Z20,W3:X20),"")</f>
        <v>0.15915792584419255</v>
      </c>
      <c r="W13" s="12">
        <f t="shared" si="3"/>
        <v>0</v>
      </c>
      <c r="X13" s="12">
        <f t="shared" si="0"/>
        <v>0</v>
      </c>
      <c r="Y13" s="13">
        <f t="shared" si="1"/>
        <v>0</v>
      </c>
      <c r="Z13" s="13">
        <f t="shared" si="2"/>
        <v>0</v>
      </c>
    </row>
    <row r="14" spans="1:26" x14ac:dyDescent="0.25">
      <c r="A14" s="20" t="s">
        <v>243</v>
      </c>
      <c r="B14" s="22">
        <f>IF(B10=B11,SUMPRODUCT(L3:L20,G3:G20)/SUM(G3:G20),"")</f>
        <v>330</v>
      </c>
      <c r="W14" s="12">
        <f t="shared" si="3"/>
        <v>0</v>
      </c>
      <c r="X14" s="12">
        <f t="shared" si="0"/>
        <v>0</v>
      </c>
      <c r="Y14" s="13">
        <f t="shared" si="1"/>
        <v>0</v>
      </c>
      <c r="Z14" s="13">
        <f t="shared" si="2"/>
        <v>0</v>
      </c>
    </row>
    <row r="15" spans="1:26" x14ac:dyDescent="0.25">
      <c r="W15" s="12">
        <f t="shared" si="3"/>
        <v>0</v>
      </c>
      <c r="X15" s="12">
        <f t="shared" si="0"/>
        <v>0</v>
      </c>
      <c r="Y15" s="13">
        <f t="shared" si="1"/>
        <v>0</v>
      </c>
      <c r="Z15" s="13">
        <f t="shared" si="2"/>
        <v>0</v>
      </c>
    </row>
    <row r="16" spans="1:26" x14ac:dyDescent="0.25">
      <c r="W16" s="12">
        <f t="shared" si="3"/>
        <v>0</v>
      </c>
      <c r="X16" s="12">
        <f t="shared" si="0"/>
        <v>0</v>
      </c>
      <c r="Y16" s="13">
        <f t="shared" si="1"/>
        <v>0</v>
      </c>
      <c r="Z16" s="13">
        <f t="shared" si="2"/>
        <v>0</v>
      </c>
    </row>
    <row r="17" spans="23:26" x14ac:dyDescent="0.25">
      <c r="W17" s="12">
        <f t="shared" si="3"/>
        <v>0</v>
      </c>
      <c r="X17" s="12">
        <f t="shared" si="0"/>
        <v>0</v>
      </c>
      <c r="Y17" s="13">
        <f t="shared" si="1"/>
        <v>0</v>
      </c>
      <c r="Z17" s="13">
        <f t="shared" si="2"/>
        <v>0</v>
      </c>
    </row>
    <row r="18" spans="23:26" x14ac:dyDescent="0.25">
      <c r="W18" s="12">
        <f t="shared" si="3"/>
        <v>0</v>
      </c>
      <c r="X18" s="12">
        <f t="shared" si="0"/>
        <v>0</v>
      </c>
      <c r="Y18" s="13">
        <f t="shared" si="1"/>
        <v>0</v>
      </c>
      <c r="Z18" s="13">
        <f t="shared" si="2"/>
        <v>0</v>
      </c>
    </row>
    <row r="19" spans="23:26" x14ac:dyDescent="0.25">
      <c r="W19" s="12">
        <f t="shared" si="3"/>
        <v>0</v>
      </c>
      <c r="X19" s="12">
        <f t="shared" si="0"/>
        <v>0</v>
      </c>
      <c r="Y19" s="13">
        <f t="shared" si="1"/>
        <v>0</v>
      </c>
      <c r="Z19" s="13">
        <f t="shared" si="2"/>
        <v>0</v>
      </c>
    </row>
    <row r="20" spans="23:26" x14ac:dyDescent="0.25">
      <c r="W20" s="12">
        <f t="shared" si="3"/>
        <v>0</v>
      </c>
      <c r="X20" s="12">
        <f t="shared" si="0"/>
        <v>0</v>
      </c>
      <c r="Y20" s="13">
        <f t="shared" si="1"/>
        <v>0</v>
      </c>
      <c r="Z20" s="13">
        <f t="shared" si="2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BA1-813A-4E0A-9145-8EE8B3677CDF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0.37</v>
      </c>
      <c r="D3" s="4">
        <v>1</v>
      </c>
      <c r="E3" s="4" t="s">
        <v>18</v>
      </c>
      <c r="F3" s="7">
        <v>45741</v>
      </c>
      <c r="G3" s="5">
        <v>3.92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-3.92</v>
      </c>
      <c r="Z3" s="13">
        <f>I3+J3</f>
        <v>0</v>
      </c>
    </row>
    <row r="4" spans="1:26" x14ac:dyDescent="0.25">
      <c r="A4" s="1" t="s">
        <v>93</v>
      </c>
      <c r="B4" s="10">
        <v>0.68</v>
      </c>
      <c r="D4" s="4">
        <v>2</v>
      </c>
      <c r="E4" s="4" t="s">
        <v>0</v>
      </c>
      <c r="F4" s="7">
        <v>45741</v>
      </c>
      <c r="G4" s="5">
        <v>5.96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45741</v>
      </c>
      <c r="X4" s="12" t="str">
        <f t="shared" ref="X4:X20" si="2">H4</f>
        <v/>
      </c>
      <c r="Y4" s="13">
        <f t="shared" ref="Y4:Y20" si="3">G4*(-1)</f>
        <v>-5.96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23</v>
      </c>
      <c r="F5" s="7">
        <v>45748</v>
      </c>
      <c r="G5" s="5">
        <v>2.13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45748</v>
      </c>
      <c r="X5" s="12" t="str">
        <f t="shared" si="2"/>
        <v/>
      </c>
      <c r="Y5" s="13">
        <f t="shared" si="3"/>
        <v>-2.13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26</v>
      </c>
      <c r="F6" s="7">
        <v>45748</v>
      </c>
      <c r="G6" s="5">
        <v>1.26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45748</v>
      </c>
      <c r="X6" s="12" t="str">
        <f t="shared" si="2"/>
        <v/>
      </c>
      <c r="Y6" s="13">
        <f t="shared" si="3"/>
        <v>-1.26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45743.946111869031</v>
      </c>
      <c r="D7" s="4">
        <v>5</v>
      </c>
      <c r="E7" s="4" t="s">
        <v>28</v>
      </c>
      <c r="F7" s="7">
        <v>45755</v>
      </c>
      <c r="G7" s="5">
        <v>1.39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45755</v>
      </c>
      <c r="X7" s="12" t="str">
        <f t="shared" si="2"/>
        <v/>
      </c>
      <c r="Y7" s="13">
        <f t="shared" si="3"/>
        <v>-1.39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14.659999999999998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10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264F-DF8F-4E1E-B362-B7C6FD4DA0E0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11</v>
      </c>
      <c r="F3" s="7">
        <v>45741</v>
      </c>
      <c r="G3" s="5">
        <v>3.22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-3.22</v>
      </c>
      <c r="Z3" s="13">
        <f>I3+J3</f>
        <v>0</v>
      </c>
    </row>
    <row r="4" spans="1:26" x14ac:dyDescent="0.25">
      <c r="A4" s="1" t="s">
        <v>93</v>
      </c>
      <c r="B4" s="10">
        <v>0.48</v>
      </c>
      <c r="D4" s="4">
        <v>2</v>
      </c>
      <c r="E4" s="4" t="s">
        <v>27</v>
      </c>
      <c r="F4" s="7">
        <v>45755</v>
      </c>
      <c r="G4" s="5">
        <v>0.8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-0.8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45743.786069651738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4.0200000000000005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A91-B72C-47D4-B790-C5F2F86B237E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0.63</v>
      </c>
      <c r="D3" s="4">
        <v>1</v>
      </c>
      <c r="E3" s="4" t="s">
        <v>160</v>
      </c>
      <c r="F3" s="7">
        <v>45867</v>
      </c>
      <c r="G3" s="5">
        <v>1.47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45867</v>
      </c>
      <c r="X3" s="12" t="str">
        <f>H3</f>
        <v/>
      </c>
      <c r="Y3" s="13">
        <f>G3*(-1)</f>
        <v>-1.47</v>
      </c>
      <c r="Z3" s="13">
        <f>I3+J3</f>
        <v>0</v>
      </c>
    </row>
    <row r="4" spans="1:26" x14ac:dyDescent="0.25">
      <c r="A4" s="1" t="s">
        <v>93</v>
      </c>
      <c r="B4" s="10">
        <v>0.48</v>
      </c>
      <c r="D4" s="4">
        <v>2</v>
      </c>
      <c r="E4" s="4" t="s">
        <v>169</v>
      </c>
      <c r="F4" s="7">
        <v>45867</v>
      </c>
      <c r="G4" s="5">
        <v>1.75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45867</v>
      </c>
      <c r="X4" s="12" t="str">
        <f t="shared" ref="X4:X20" si="2">H4</f>
        <v/>
      </c>
      <c r="Y4" s="13">
        <f t="shared" ref="Y4:Y20" si="3">G4*(-1)</f>
        <v>-1.75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170</v>
      </c>
      <c r="F5" s="7">
        <v>45867</v>
      </c>
      <c r="G5" s="5">
        <v>1.44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45867</v>
      </c>
      <c r="X5" s="12" t="str">
        <f t="shared" si="2"/>
        <v/>
      </c>
      <c r="Y5" s="13">
        <f t="shared" si="3"/>
        <v>-1.44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181</v>
      </c>
      <c r="F6" s="7">
        <v>45888</v>
      </c>
      <c r="G6" s="5">
        <v>0.13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45888</v>
      </c>
      <c r="X6" s="12" t="str">
        <f t="shared" si="2"/>
        <v/>
      </c>
      <c r="Y6" s="13">
        <f t="shared" si="3"/>
        <v>-0.13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45872.549999999996</v>
      </c>
      <c r="D7" s="4">
        <v>5</v>
      </c>
      <c r="E7" s="4" t="s">
        <v>194</v>
      </c>
      <c r="F7" s="7">
        <v>45902</v>
      </c>
      <c r="G7" s="5">
        <v>0.81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45902</v>
      </c>
      <c r="X7" s="12" t="str">
        <f t="shared" si="2"/>
        <v/>
      </c>
      <c r="Y7" s="13">
        <f t="shared" si="3"/>
        <v>-0.81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5D0F-B178-442C-895D-5E2357036AC3}">
  <dimension ref="A1:Z23"/>
  <sheetViews>
    <sheetView workbookViewId="0">
      <selection activeCell="C18" sqref="C1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68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110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74</v>
      </c>
      <c r="F3" s="7">
        <v>45804</v>
      </c>
      <c r="G3" s="5">
        <v>1.01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45804</v>
      </c>
      <c r="X3" s="12" t="str">
        <f>H3</f>
        <v/>
      </c>
      <c r="Y3" s="13">
        <f>G3*(-1)</f>
        <v>-1.01</v>
      </c>
      <c r="Z3" s="13">
        <f>I3+J3</f>
        <v>0</v>
      </c>
    </row>
    <row r="4" spans="1:26" x14ac:dyDescent="0.25">
      <c r="A4" s="1" t="s">
        <v>93</v>
      </c>
      <c r="B4" s="10">
        <v>0.33</v>
      </c>
      <c r="D4" s="4">
        <v>2</v>
      </c>
      <c r="E4" s="4" t="s">
        <v>66</v>
      </c>
      <c r="F4" s="7">
        <v>45804</v>
      </c>
      <c r="G4" s="5">
        <v>0.98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45804</v>
      </c>
      <c r="X4" s="12" t="str">
        <f t="shared" ref="X4:X20" si="2">H4</f>
        <v/>
      </c>
      <c r="Y4" s="13">
        <f t="shared" ref="Y4:Y20" si="3">G4*(-1)</f>
        <v>-0.98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151</v>
      </c>
      <c r="F5" s="7">
        <v>45846</v>
      </c>
      <c r="G5" s="5">
        <v>7.0000000000000007E-2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45846</v>
      </c>
      <c r="X5" s="12" t="str">
        <f t="shared" si="2"/>
        <v/>
      </c>
      <c r="Y5" s="13">
        <f t="shared" si="3"/>
        <v>-7.0000000000000007E-2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169</v>
      </c>
      <c r="F6" s="7">
        <v>45867</v>
      </c>
      <c r="G6" s="5">
        <v>0.02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45867</v>
      </c>
      <c r="X6" s="12" t="str">
        <f t="shared" si="2"/>
        <v/>
      </c>
      <c r="Y6" s="13">
        <f t="shared" si="3"/>
        <v>-0.02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45806.019230769227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2.08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85F6-D486-428F-B976-6A97941C79F1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69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0.63</v>
      </c>
      <c r="D3" s="4">
        <v>1</v>
      </c>
      <c r="E3" s="4" t="s">
        <v>74</v>
      </c>
      <c r="F3" s="7">
        <v>45804</v>
      </c>
      <c r="G3" s="5">
        <v>1.97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45804</v>
      </c>
      <c r="X3" s="12" t="str">
        <f>H3</f>
        <v/>
      </c>
      <c r="Y3" s="13">
        <f>G3*(-1)</f>
        <v>-1.97</v>
      </c>
      <c r="Z3" s="13">
        <f>I3+J3</f>
        <v>0</v>
      </c>
    </row>
    <row r="4" spans="1:26" x14ac:dyDescent="0.25">
      <c r="A4" s="1" t="s">
        <v>93</v>
      </c>
      <c r="B4" s="10">
        <v>0.31</v>
      </c>
      <c r="D4" s="4">
        <v>2</v>
      </c>
      <c r="E4" s="4" t="s">
        <v>66</v>
      </c>
      <c r="F4" s="7">
        <v>45804</v>
      </c>
      <c r="G4" s="5">
        <v>1.61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45804</v>
      </c>
      <c r="X4" s="12" t="str">
        <f t="shared" ref="X4:X20" si="2">H4</f>
        <v/>
      </c>
      <c r="Y4" s="13">
        <f t="shared" ref="Y4:Y20" si="3">G4*(-1)</f>
        <v>-1.61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150</v>
      </c>
      <c r="F5" s="7">
        <v>45832</v>
      </c>
      <c r="G5" s="5">
        <v>1.43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45832</v>
      </c>
      <c r="X5" s="12" t="str">
        <f t="shared" si="2"/>
        <v/>
      </c>
      <c r="Y5" s="13">
        <f t="shared" si="3"/>
        <v>-1.43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45811.99201596807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5.01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6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8E53-DE9A-41B3-94AF-227861F363F4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70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0.61</v>
      </c>
      <c r="D3" s="4">
        <v>1</v>
      </c>
      <c r="E3" s="4" t="s">
        <v>74</v>
      </c>
      <c r="F3" s="7">
        <v>45804</v>
      </c>
      <c r="G3" s="5">
        <v>1.97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45804</v>
      </c>
      <c r="X3" s="12" t="str">
        <f>H3</f>
        <v/>
      </c>
      <c r="Y3" s="13">
        <f>G3*(-1)</f>
        <v>-1.97</v>
      </c>
      <c r="Z3" s="13">
        <f>I3+J3</f>
        <v>0</v>
      </c>
    </row>
    <row r="4" spans="1:26" x14ac:dyDescent="0.25">
      <c r="A4" s="1" t="s">
        <v>93</v>
      </c>
      <c r="B4" s="10">
        <v>0.32</v>
      </c>
      <c r="D4" s="4">
        <v>2</v>
      </c>
      <c r="E4" s="4" t="s">
        <v>66</v>
      </c>
      <c r="F4" s="7">
        <v>45804</v>
      </c>
      <c r="G4" s="5">
        <v>1.88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45804</v>
      </c>
      <c r="X4" s="12" t="str">
        <f t="shared" ref="X4:X20" si="2">H4</f>
        <v/>
      </c>
      <c r="Y4" s="13">
        <f t="shared" ref="Y4:Y20" si="3">G4*(-1)</f>
        <v>-1.88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45804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3.8499999999999996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5B09-E0F8-4EE1-A632-44890D0046E2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11</v>
      </c>
      <c r="F3" s="7">
        <v>45741</v>
      </c>
      <c r="G3" s="5">
        <v>7.88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-7.88</v>
      </c>
      <c r="Z3" s="13">
        <f>I3+J3</f>
        <v>0</v>
      </c>
    </row>
    <row r="4" spans="1:26" x14ac:dyDescent="0.25">
      <c r="A4" s="1" t="s">
        <v>93</v>
      </c>
      <c r="B4" s="10">
        <v>0.45</v>
      </c>
      <c r="D4" s="4">
        <v>2</v>
      </c>
      <c r="E4" s="4" t="s">
        <v>26</v>
      </c>
      <c r="F4" s="7">
        <v>45748</v>
      </c>
      <c r="G4" s="5">
        <v>1.02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45748</v>
      </c>
      <c r="X4" s="12" t="str">
        <f t="shared" ref="X4:X20" si="2">H4</f>
        <v/>
      </c>
      <c r="Y4" s="13">
        <f t="shared" ref="Y4:Y20" si="3">G4*(-1)</f>
        <v>-1.02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27</v>
      </c>
      <c r="F5" s="7">
        <v>45755</v>
      </c>
      <c r="G5" s="5">
        <v>1.96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45755</v>
      </c>
      <c r="X5" s="12" t="str">
        <f t="shared" si="2"/>
        <v/>
      </c>
      <c r="Y5" s="13">
        <f t="shared" si="3"/>
        <v>-1.96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45744.184162062622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10.86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9B6C-93BE-417F-8C79-0DCE6915A118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231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0.39</v>
      </c>
      <c r="D3" s="4">
        <v>1</v>
      </c>
      <c r="E3" s="4" t="s">
        <v>29</v>
      </c>
      <c r="F3" s="7">
        <v>45755</v>
      </c>
      <c r="G3" s="5">
        <v>1.02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-1.02</v>
      </c>
      <c r="Z3" s="13">
        <f>I3+J3</f>
        <v>0</v>
      </c>
    </row>
    <row r="4" spans="1:26" x14ac:dyDescent="0.25">
      <c r="A4" s="1" t="s">
        <v>93</v>
      </c>
      <c r="B4" s="10">
        <v>0.69</v>
      </c>
      <c r="D4" s="4">
        <v>2</v>
      </c>
      <c r="E4" s="4" t="s">
        <v>37</v>
      </c>
      <c r="F4" s="7">
        <v>45755</v>
      </c>
      <c r="G4" s="5">
        <v>1.07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-1.07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41</v>
      </c>
      <c r="F5" s="7">
        <v>45762</v>
      </c>
      <c r="G5" s="5">
        <v>0.34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-0.34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42</v>
      </c>
      <c r="F6" s="7">
        <v>45762</v>
      </c>
      <c r="G6" s="5">
        <v>1.49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45762</v>
      </c>
      <c r="X6" s="12" t="str">
        <f t="shared" si="2"/>
        <v/>
      </c>
      <c r="Y6" s="13">
        <f t="shared" si="3"/>
        <v>-1.49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45768.812395309884</v>
      </c>
      <c r="D7" s="4">
        <v>5</v>
      </c>
      <c r="E7" s="4" t="s">
        <v>56</v>
      </c>
      <c r="F7" s="7">
        <v>45776</v>
      </c>
      <c r="G7" s="5">
        <v>0.53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45776</v>
      </c>
      <c r="X7" s="12" t="str">
        <f t="shared" si="2"/>
        <v/>
      </c>
      <c r="Y7" s="13">
        <f t="shared" si="3"/>
        <v>-0.53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61</v>
      </c>
      <c r="F8" s="7">
        <v>45783</v>
      </c>
      <c r="G8" s="5">
        <v>0.76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45783</v>
      </c>
      <c r="X8" s="12" t="str">
        <f t="shared" si="2"/>
        <v/>
      </c>
      <c r="Y8" s="13">
        <f t="shared" si="3"/>
        <v>-0.76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65</v>
      </c>
      <c r="F9" s="7">
        <v>45804</v>
      </c>
      <c r="G9" s="5">
        <v>0.76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45804</v>
      </c>
      <c r="X9" s="12" t="str">
        <f t="shared" si="2"/>
        <v/>
      </c>
      <c r="Y9" s="13">
        <f t="shared" si="3"/>
        <v>-0.76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5.97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4A40-7D53-439B-AB94-C2283A553B22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0.55000000000000004</v>
      </c>
      <c r="D3" s="4">
        <v>1</v>
      </c>
      <c r="E3" s="4" t="s">
        <v>11</v>
      </c>
      <c r="F3" s="7">
        <v>45741</v>
      </c>
      <c r="G3" s="5">
        <v>2.62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-2.62</v>
      </c>
      <c r="Z3" s="13">
        <f>I3+J3</f>
        <v>0</v>
      </c>
    </row>
    <row r="4" spans="1:26" x14ac:dyDescent="0.25">
      <c r="A4" s="1" t="s">
        <v>93</v>
      </c>
      <c r="B4" s="10">
        <v>0.42</v>
      </c>
      <c r="D4" s="4">
        <v>2</v>
      </c>
      <c r="E4" s="4" t="s">
        <v>28</v>
      </c>
      <c r="F4" s="7">
        <v>45755</v>
      </c>
      <c r="G4" s="5">
        <v>0.96</v>
      </c>
      <c r="H4" s="7" t="str">
        <f t="shared" ref="H4:H10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-0.96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45744.754189944135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3.58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23:26" x14ac:dyDescent="0.25"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23:26" x14ac:dyDescent="0.25"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23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23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23:26" x14ac:dyDescent="0.25">
      <c r="W21" s="12"/>
      <c r="X21" s="12"/>
      <c r="Y21" s="13"/>
      <c r="Z21" s="13"/>
    </row>
    <row r="22" spans="23:26" x14ac:dyDescent="0.25">
      <c r="W22" s="12"/>
      <c r="X22" s="12"/>
      <c r="Y22" s="13"/>
      <c r="Z22" s="13"/>
    </row>
    <row r="23" spans="23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FB34-9F78-4D6B-BA9A-3D7E01178A5C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9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0.49</v>
      </c>
      <c r="D3" s="4">
        <v>1</v>
      </c>
      <c r="E3" s="4" t="s">
        <v>11</v>
      </c>
      <c r="F3" s="7">
        <v>45741</v>
      </c>
      <c r="G3" s="5">
        <v>7.9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-7.9</v>
      </c>
      <c r="Z3" s="13">
        <f>I3+J3</f>
        <v>0</v>
      </c>
    </row>
    <row r="4" spans="1:26" x14ac:dyDescent="0.25">
      <c r="A4" s="1" t="s">
        <v>93</v>
      </c>
      <c r="B4" s="10">
        <v>0.68</v>
      </c>
      <c r="D4" s="4">
        <v>2</v>
      </c>
      <c r="E4" s="4" t="s">
        <v>18</v>
      </c>
      <c r="F4" s="7">
        <v>45741</v>
      </c>
      <c r="G4" s="5">
        <v>7.92</v>
      </c>
      <c r="H4" s="7" t="str">
        <f t="shared" ref="H4:H18" si="0">IF($B$9&gt;0,$B$9,"")</f>
        <v/>
      </c>
      <c r="I4" s="5"/>
      <c r="J4" s="5"/>
      <c r="K4" s="6"/>
      <c r="L4" s="4" t="str">
        <f t="shared" ref="L4:L10" si="1">IF($B$10=$B$11,H4-F4,"")</f>
        <v/>
      </c>
      <c r="W4" s="12">
        <f>F4</f>
        <v>45741</v>
      </c>
      <c r="X4" s="12" t="str">
        <f t="shared" ref="X4:X20" si="2">H4</f>
        <v/>
      </c>
      <c r="Y4" s="13">
        <f t="shared" ref="Y4:Y20" si="3">G4*(-1)</f>
        <v>-7.92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0</v>
      </c>
      <c r="F5" s="7">
        <v>45741</v>
      </c>
      <c r="G5" s="5">
        <v>6.98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45741</v>
      </c>
      <c r="X5" s="12" t="str">
        <f t="shared" si="2"/>
        <v/>
      </c>
      <c r="Y5" s="13">
        <f t="shared" si="3"/>
        <v>-6.98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23</v>
      </c>
      <c r="F6" s="7">
        <v>45748</v>
      </c>
      <c r="G6" s="5">
        <v>2.99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45748</v>
      </c>
      <c r="X6" s="12" t="str">
        <f t="shared" si="2"/>
        <v/>
      </c>
      <c r="Y6" s="13">
        <f t="shared" si="3"/>
        <v>-2.99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45747.527854109423</v>
      </c>
      <c r="D7" s="4">
        <v>5</v>
      </c>
      <c r="E7" s="4" t="s">
        <v>26</v>
      </c>
      <c r="F7" s="7">
        <v>45748</v>
      </c>
      <c r="G7" s="5">
        <v>2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45748</v>
      </c>
      <c r="X7" s="12" t="str">
        <f t="shared" si="2"/>
        <v/>
      </c>
      <c r="Y7" s="13">
        <f t="shared" si="3"/>
        <v>-2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27</v>
      </c>
      <c r="F8" s="7">
        <v>45755</v>
      </c>
      <c r="G8" s="5">
        <v>1.99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45755</v>
      </c>
      <c r="X8" s="12" t="str">
        <f t="shared" si="2"/>
        <v/>
      </c>
      <c r="Y8" s="13">
        <f t="shared" si="3"/>
        <v>-1.99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28</v>
      </c>
      <c r="F9" s="7">
        <v>45755</v>
      </c>
      <c r="G9" s="5">
        <v>1.99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45755</v>
      </c>
      <c r="X9" s="12" t="str">
        <f t="shared" si="2"/>
        <v/>
      </c>
      <c r="Y9" s="13">
        <f t="shared" si="3"/>
        <v>-1.99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40.029999999999994</v>
      </c>
      <c r="D10" s="4">
        <v>8</v>
      </c>
      <c r="E10" s="4" t="s">
        <v>29</v>
      </c>
      <c r="F10" s="7">
        <v>45755</v>
      </c>
      <c r="G10" s="5">
        <v>2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45755</v>
      </c>
      <c r="X10" s="12" t="str">
        <f t="shared" si="2"/>
        <v/>
      </c>
      <c r="Y10" s="13">
        <f t="shared" si="3"/>
        <v>-2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37</v>
      </c>
      <c r="F11" s="7">
        <v>45755</v>
      </c>
      <c r="G11" s="5">
        <v>2</v>
      </c>
      <c r="H11" s="7" t="str">
        <f t="shared" si="0"/>
        <v/>
      </c>
      <c r="I11" s="5"/>
      <c r="J11" s="4"/>
      <c r="K11" s="6"/>
      <c r="L11" s="4" t="str">
        <f t="shared" ref="L11:L18" si="6">IF($B$10=$B$11,H11-F11,"")</f>
        <v/>
      </c>
      <c r="W11" s="12">
        <f t="shared" si="5"/>
        <v>45755</v>
      </c>
      <c r="X11" s="12" t="str">
        <f t="shared" si="2"/>
        <v/>
      </c>
      <c r="Y11" s="13">
        <f t="shared" si="3"/>
        <v>-2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40</v>
      </c>
      <c r="F12" s="7">
        <v>45762</v>
      </c>
      <c r="G12" s="5">
        <v>0.74</v>
      </c>
      <c r="H12" s="7" t="str">
        <f t="shared" si="0"/>
        <v/>
      </c>
      <c r="I12" s="5"/>
      <c r="J12" s="4"/>
      <c r="K12" s="6"/>
      <c r="L12" s="4" t="str">
        <f t="shared" si="6"/>
        <v/>
      </c>
      <c r="W12" s="12">
        <f t="shared" si="5"/>
        <v>45762</v>
      </c>
      <c r="X12" s="12" t="str">
        <f t="shared" si="2"/>
        <v/>
      </c>
      <c r="Y12" s="13">
        <f t="shared" si="3"/>
        <v>-0.74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41</v>
      </c>
      <c r="F13" s="7">
        <v>45762</v>
      </c>
      <c r="G13" s="5">
        <v>0.83</v>
      </c>
      <c r="H13" s="7" t="str">
        <f t="shared" si="0"/>
        <v/>
      </c>
      <c r="I13" s="5"/>
      <c r="J13" s="4"/>
      <c r="K13" s="6"/>
      <c r="L13" s="4" t="str">
        <f t="shared" si="6"/>
        <v/>
      </c>
      <c r="W13" s="12">
        <f t="shared" si="5"/>
        <v>45762</v>
      </c>
      <c r="X13" s="12" t="str">
        <f t="shared" si="2"/>
        <v/>
      </c>
      <c r="Y13" s="13">
        <f t="shared" si="3"/>
        <v>-0.83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>
        <v>12</v>
      </c>
      <c r="E14" s="4" t="s">
        <v>42</v>
      </c>
      <c r="F14" s="7">
        <v>45762</v>
      </c>
      <c r="G14" s="5">
        <v>0.71</v>
      </c>
      <c r="H14" s="7" t="str">
        <f t="shared" si="0"/>
        <v/>
      </c>
      <c r="I14" s="5"/>
      <c r="J14" s="4"/>
      <c r="K14" s="6"/>
      <c r="L14" s="4" t="str">
        <f t="shared" si="6"/>
        <v/>
      </c>
      <c r="W14" s="12">
        <f t="shared" si="5"/>
        <v>45762</v>
      </c>
      <c r="X14" s="12" t="str">
        <f t="shared" si="2"/>
        <v/>
      </c>
      <c r="Y14" s="13">
        <f t="shared" si="3"/>
        <v>-0.71</v>
      </c>
      <c r="Z14" s="13">
        <f t="shared" si="4"/>
        <v>0</v>
      </c>
    </row>
    <row r="15" spans="1:26" x14ac:dyDescent="0.25">
      <c r="D15" s="4">
        <v>13</v>
      </c>
      <c r="E15" s="4" t="s">
        <v>43</v>
      </c>
      <c r="F15" s="7">
        <v>45769</v>
      </c>
      <c r="G15" s="5">
        <v>1.07</v>
      </c>
      <c r="H15" s="7" t="str">
        <f t="shared" si="0"/>
        <v/>
      </c>
      <c r="I15" s="5"/>
      <c r="J15" s="4"/>
      <c r="K15" s="6"/>
      <c r="L15" s="4" t="str">
        <f t="shared" si="6"/>
        <v/>
      </c>
      <c r="W15" s="12">
        <f t="shared" si="5"/>
        <v>45769</v>
      </c>
      <c r="X15" s="12" t="str">
        <f t="shared" si="2"/>
        <v/>
      </c>
      <c r="Y15" s="13">
        <f t="shared" si="3"/>
        <v>-1.07</v>
      </c>
      <c r="Z15" s="13">
        <f t="shared" si="4"/>
        <v>0</v>
      </c>
    </row>
    <row r="16" spans="1:26" x14ac:dyDescent="0.25">
      <c r="D16" s="4">
        <v>14</v>
      </c>
      <c r="E16" s="4" t="s">
        <v>57</v>
      </c>
      <c r="F16" s="7">
        <v>45776</v>
      </c>
      <c r="G16" s="5">
        <v>0.44</v>
      </c>
      <c r="H16" s="7" t="str">
        <f t="shared" si="0"/>
        <v/>
      </c>
      <c r="I16" s="5"/>
      <c r="J16" s="4"/>
      <c r="K16" s="6"/>
      <c r="L16" s="4" t="str">
        <f t="shared" si="6"/>
        <v/>
      </c>
      <c r="W16" s="12">
        <f t="shared" si="5"/>
        <v>45776</v>
      </c>
      <c r="X16" s="12" t="str">
        <f t="shared" si="2"/>
        <v/>
      </c>
      <c r="Y16" s="13">
        <f t="shared" si="3"/>
        <v>-0.44</v>
      </c>
      <c r="Z16" s="13">
        <f t="shared" si="4"/>
        <v>0</v>
      </c>
    </row>
    <row r="17" spans="4:26" x14ac:dyDescent="0.25">
      <c r="D17" s="4">
        <v>15</v>
      </c>
      <c r="E17" s="4" t="s">
        <v>59</v>
      </c>
      <c r="F17" s="7">
        <v>45783</v>
      </c>
      <c r="G17" s="5">
        <v>0.35</v>
      </c>
      <c r="H17" s="7" t="str">
        <f t="shared" si="0"/>
        <v/>
      </c>
      <c r="I17" s="5"/>
      <c r="J17" s="4"/>
      <c r="K17" s="6"/>
      <c r="L17" s="4" t="str">
        <f t="shared" si="6"/>
        <v/>
      </c>
      <c r="W17" s="12">
        <f t="shared" si="5"/>
        <v>45783</v>
      </c>
      <c r="X17" s="12" t="str">
        <f t="shared" si="2"/>
        <v/>
      </c>
      <c r="Y17" s="13">
        <f t="shared" si="3"/>
        <v>-0.35</v>
      </c>
      <c r="Z17" s="13">
        <f t="shared" si="4"/>
        <v>0</v>
      </c>
    </row>
    <row r="18" spans="4:26" x14ac:dyDescent="0.25">
      <c r="D18" s="4">
        <v>16</v>
      </c>
      <c r="E18" s="4" t="s">
        <v>63</v>
      </c>
      <c r="F18" s="7">
        <v>45797</v>
      </c>
      <c r="G18" s="5">
        <v>0.12</v>
      </c>
      <c r="H18" s="7" t="str">
        <f t="shared" si="0"/>
        <v/>
      </c>
      <c r="I18" s="5"/>
      <c r="J18" s="4"/>
      <c r="K18" s="6"/>
      <c r="L18" s="4" t="str">
        <f t="shared" si="6"/>
        <v/>
      </c>
      <c r="W18" s="12">
        <f t="shared" si="5"/>
        <v>45797</v>
      </c>
      <c r="X18" s="12" t="str">
        <f t="shared" si="2"/>
        <v/>
      </c>
      <c r="Y18" s="13">
        <f t="shared" si="3"/>
        <v>-0.12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B207-E10A-4187-9676-4284B43F996F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18</v>
      </c>
      <c r="F3" s="7">
        <v>45741</v>
      </c>
      <c r="G3" s="5">
        <v>7.06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-7.06</v>
      </c>
      <c r="Z3" s="13">
        <f>I3+J3</f>
        <v>0</v>
      </c>
    </row>
    <row r="4" spans="1:26" x14ac:dyDescent="0.25">
      <c r="A4" s="1" t="s">
        <v>93</v>
      </c>
      <c r="B4" s="10">
        <v>0.17</v>
      </c>
      <c r="D4" s="4">
        <v>2</v>
      </c>
      <c r="E4" s="4" t="s">
        <v>23</v>
      </c>
      <c r="F4" s="7">
        <v>45748</v>
      </c>
      <c r="G4" s="5">
        <v>1.59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45748</v>
      </c>
      <c r="X4" s="12" t="str">
        <f t="shared" ref="X4:X20" si="2">H4</f>
        <v/>
      </c>
      <c r="Y4" s="13">
        <f t="shared" ref="Y4:Y20" si="3">G4*(-1)</f>
        <v>-1.59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26</v>
      </c>
      <c r="F5" s="7">
        <v>45748</v>
      </c>
      <c r="G5" s="5">
        <v>0.93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45748</v>
      </c>
      <c r="X5" s="12" t="str">
        <f t="shared" si="2"/>
        <v/>
      </c>
      <c r="Y5" s="13">
        <f t="shared" si="3"/>
        <v>-0.93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28</v>
      </c>
      <c r="F6" s="7">
        <v>45755</v>
      </c>
      <c r="G6" s="5">
        <v>0.87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45755</v>
      </c>
      <c r="X6" s="12" t="str">
        <f t="shared" si="2"/>
        <v/>
      </c>
      <c r="Y6" s="13">
        <f t="shared" si="3"/>
        <v>-0.87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45743.853588516744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10.45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9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1F64-713D-4FA3-A947-A04F2DB4F904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71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</v>
      </c>
      <c r="D3" s="4">
        <v>1</v>
      </c>
      <c r="E3" s="4" t="s">
        <v>74</v>
      </c>
      <c r="F3" s="7">
        <v>45804</v>
      </c>
      <c r="G3" s="5">
        <v>1.1499999999999999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45804</v>
      </c>
      <c r="X3" s="12" t="str">
        <f>H3</f>
        <v/>
      </c>
      <c r="Y3" s="13">
        <f>G3*(-1)</f>
        <v>-1.1499999999999999</v>
      </c>
      <c r="Z3" s="13">
        <f>I3+J3</f>
        <v>0</v>
      </c>
    </row>
    <row r="4" spans="1:26" x14ac:dyDescent="0.25">
      <c r="A4" s="1" t="s">
        <v>93</v>
      </c>
      <c r="B4" s="10">
        <v>0.25</v>
      </c>
      <c r="D4" s="4">
        <v>2</v>
      </c>
      <c r="E4" s="4" t="s">
        <v>66</v>
      </c>
      <c r="F4" s="7">
        <v>45804</v>
      </c>
      <c r="G4" s="5">
        <v>1.1200000000000001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45804</v>
      </c>
      <c r="X4" s="12" t="str">
        <f t="shared" ref="X4:X20" si="2">H4</f>
        <v/>
      </c>
      <c r="Y4" s="13">
        <f t="shared" ref="Y4:Y20" si="3">G4*(-1)</f>
        <v>-1.1200000000000001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45804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2.27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6019-FCD4-43C0-A7E6-412B639E2A8E}">
  <sheetPr>
    <tabColor rgb="FF00B050"/>
  </sheetPr>
  <dimension ref="A1:Z23"/>
  <sheetViews>
    <sheetView workbookViewId="0">
      <selection activeCell="G28" sqref="G2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58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0.41</v>
      </c>
      <c r="D3" s="4">
        <v>1</v>
      </c>
      <c r="E3" s="4" t="s">
        <v>57</v>
      </c>
      <c r="F3" s="7">
        <v>45776</v>
      </c>
      <c r="G3" s="5">
        <v>0.11</v>
      </c>
      <c r="H3" s="7">
        <f>IF($B$9&gt;0,$B$9,"")</f>
        <v>46233</v>
      </c>
      <c r="I3" s="5">
        <v>0.11</v>
      </c>
      <c r="J3" s="4">
        <v>0.03</v>
      </c>
      <c r="K3" s="6">
        <v>0.2515</v>
      </c>
      <c r="L3" s="4">
        <f>IF($B$10=$B$11,H3-F3,"")</f>
        <v>457</v>
      </c>
      <c r="W3" s="12">
        <f>F3</f>
        <v>45776</v>
      </c>
      <c r="X3" s="12">
        <f>H3</f>
        <v>46233</v>
      </c>
      <c r="Y3" s="13">
        <f>G3*(-1)</f>
        <v>-0.11</v>
      </c>
      <c r="Z3" s="13">
        <f>I3+J3</f>
        <v>0.14000000000000001</v>
      </c>
    </row>
    <row r="4" spans="1:26" x14ac:dyDescent="0.25">
      <c r="A4" s="1" t="s">
        <v>93</v>
      </c>
      <c r="B4" s="10">
        <v>0.15</v>
      </c>
      <c r="D4" s="4"/>
      <c r="E4" s="4"/>
      <c r="F4" s="7"/>
      <c r="G4" s="5"/>
      <c r="H4" s="7"/>
      <c r="I4" s="5"/>
      <c r="J4" s="5"/>
      <c r="K4" s="6"/>
      <c r="L4" s="4"/>
      <c r="W4" s="12">
        <f>F4</f>
        <v>0</v>
      </c>
      <c r="X4" s="12">
        <f t="shared" ref="X4:X20" si="0">H4</f>
        <v>0</v>
      </c>
      <c r="Y4" s="13">
        <f t="shared" ref="Y4:Y20" si="1">G4*(-1)</f>
        <v>0</v>
      </c>
      <c r="Z4" s="13">
        <f t="shared" ref="Z4:Z20" si="2">I4+J4</f>
        <v>0</v>
      </c>
    </row>
    <row r="5" spans="1:26" x14ac:dyDescent="0.25">
      <c r="A5" s="1"/>
      <c r="B5" s="8"/>
      <c r="D5" s="4"/>
      <c r="E5" s="4"/>
      <c r="F5" s="7"/>
      <c r="G5" s="5"/>
      <c r="H5" s="7"/>
      <c r="I5" s="5"/>
      <c r="J5" s="4"/>
      <c r="K5" s="6"/>
      <c r="L5" s="4"/>
      <c r="W5" s="12">
        <f>F5</f>
        <v>0</v>
      </c>
      <c r="X5" s="12">
        <f t="shared" si="0"/>
        <v>0</v>
      </c>
      <c r="Y5" s="13">
        <f t="shared" si="1"/>
        <v>0</v>
      </c>
      <c r="Z5" s="13">
        <f t="shared" si="2"/>
        <v>0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/>
      <c r="W6" s="12">
        <f t="shared" ref="W6:W20" si="3">F6</f>
        <v>0</v>
      </c>
      <c r="X6" s="12">
        <f t="shared" si="0"/>
        <v>0</v>
      </c>
      <c r="Y6" s="13">
        <f t="shared" si="1"/>
        <v>0</v>
      </c>
      <c r="Z6" s="13">
        <f t="shared" si="2"/>
        <v>0</v>
      </c>
    </row>
    <row r="7" spans="1:26" x14ac:dyDescent="0.25">
      <c r="A7" s="1" t="s">
        <v>94</v>
      </c>
      <c r="B7" s="8">
        <f>SUMPRODUCT(F3:F20,G3:G20)/SUM(G3:G20)</f>
        <v>45776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3"/>
        <v>0</v>
      </c>
      <c r="X7" s="12">
        <f t="shared" si="0"/>
        <v>0</v>
      </c>
      <c r="Y7" s="13">
        <f t="shared" si="1"/>
        <v>0</v>
      </c>
      <c r="Z7" s="13">
        <f t="shared" si="2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3"/>
        <v>0</v>
      </c>
      <c r="X8" s="12">
        <f t="shared" si="0"/>
        <v>0</v>
      </c>
      <c r="Y8" s="13">
        <f t="shared" si="1"/>
        <v>0</v>
      </c>
      <c r="Z8" s="13">
        <f t="shared" si="2"/>
        <v>0</v>
      </c>
    </row>
    <row r="9" spans="1:26" x14ac:dyDescent="0.25">
      <c r="A9" s="1" t="s">
        <v>240</v>
      </c>
      <c r="B9" s="8">
        <v>46233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3"/>
        <v>0</v>
      </c>
      <c r="X9" s="12">
        <f t="shared" si="0"/>
        <v>0</v>
      </c>
      <c r="Y9" s="13">
        <f t="shared" si="1"/>
        <v>0</v>
      </c>
      <c r="Z9" s="13">
        <f t="shared" si="2"/>
        <v>0</v>
      </c>
    </row>
    <row r="10" spans="1:26" x14ac:dyDescent="0.25">
      <c r="A10" s="1" t="s">
        <v>94</v>
      </c>
      <c r="B10" s="2">
        <f>SUM(G3:G20)</f>
        <v>0.11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3"/>
        <v>0</v>
      </c>
      <c r="X10" s="12">
        <f t="shared" si="0"/>
        <v>0</v>
      </c>
      <c r="Y10" s="13">
        <f t="shared" si="1"/>
        <v>0</v>
      </c>
      <c r="Z10" s="13">
        <f t="shared" si="2"/>
        <v>0</v>
      </c>
    </row>
    <row r="11" spans="1:26" x14ac:dyDescent="0.25">
      <c r="A11" s="1" t="s">
        <v>87</v>
      </c>
      <c r="B11" s="2">
        <f>SUM(I3:I20)</f>
        <v>0.11</v>
      </c>
      <c r="D11" s="4"/>
      <c r="E11" s="4"/>
      <c r="F11" s="7"/>
      <c r="G11" s="5"/>
      <c r="H11" s="7"/>
      <c r="I11" s="5"/>
      <c r="J11" s="4"/>
      <c r="K11" s="6"/>
      <c r="L11" s="4"/>
      <c r="W11" s="12">
        <f t="shared" si="3"/>
        <v>0</v>
      </c>
      <c r="X11" s="12">
        <f t="shared" si="0"/>
        <v>0</v>
      </c>
      <c r="Y11" s="13">
        <f t="shared" si="1"/>
        <v>0</v>
      </c>
      <c r="Z11" s="13">
        <f t="shared" si="2"/>
        <v>0</v>
      </c>
    </row>
    <row r="12" spans="1:26" x14ac:dyDescent="0.25">
      <c r="A12" s="1" t="s">
        <v>10</v>
      </c>
      <c r="B12" s="2">
        <f>SUM(J3:J20)</f>
        <v>0.03</v>
      </c>
      <c r="D12" s="4"/>
      <c r="E12" s="4"/>
      <c r="F12" s="7"/>
      <c r="G12" s="5"/>
      <c r="H12" s="7"/>
      <c r="I12" s="5"/>
      <c r="J12" s="4"/>
      <c r="K12" s="6"/>
      <c r="L12" s="4"/>
      <c r="W12" s="12">
        <f t="shared" si="3"/>
        <v>0</v>
      </c>
      <c r="X12" s="12">
        <f t="shared" si="0"/>
        <v>0</v>
      </c>
      <c r="Y12" s="13">
        <f t="shared" si="1"/>
        <v>0</v>
      </c>
      <c r="Z12" s="13">
        <f t="shared" si="2"/>
        <v>0</v>
      </c>
    </row>
    <row r="13" spans="1:26" x14ac:dyDescent="0.25">
      <c r="A13" s="1" t="s">
        <v>242</v>
      </c>
      <c r="B13" s="10">
        <f>IF(B10=B11,XIRR(Y3:Z20,W3:X20),"")</f>
        <v>0.21241351962089541</v>
      </c>
      <c r="D13" s="4"/>
      <c r="E13" s="4"/>
      <c r="F13" s="7"/>
      <c r="G13" s="5"/>
      <c r="H13" s="7"/>
      <c r="I13" s="5"/>
      <c r="J13" s="4"/>
      <c r="K13" s="6"/>
      <c r="L13" s="4"/>
      <c r="W13" s="12">
        <f t="shared" si="3"/>
        <v>0</v>
      </c>
      <c r="X13" s="12">
        <f t="shared" si="0"/>
        <v>0</v>
      </c>
      <c r="Y13" s="13">
        <f t="shared" si="1"/>
        <v>0</v>
      </c>
      <c r="Z13" s="13">
        <f t="shared" si="2"/>
        <v>0</v>
      </c>
    </row>
    <row r="14" spans="1:26" x14ac:dyDescent="0.25">
      <c r="A14" s="20" t="s">
        <v>243</v>
      </c>
      <c r="B14" s="22">
        <f>IF(B10=B11,SUMPRODUCT(L3:L20,G3:G20)/SUM(G3:G20),"")</f>
        <v>457</v>
      </c>
      <c r="D14" s="4"/>
      <c r="E14" s="4"/>
      <c r="F14" s="7"/>
      <c r="G14" s="5"/>
      <c r="H14" s="7"/>
      <c r="I14" s="5"/>
      <c r="J14" s="4"/>
      <c r="K14" s="6"/>
      <c r="L14" s="4"/>
      <c r="W14" s="12">
        <f t="shared" si="3"/>
        <v>0</v>
      </c>
      <c r="X14" s="12">
        <f t="shared" si="0"/>
        <v>0</v>
      </c>
      <c r="Y14" s="13">
        <f t="shared" si="1"/>
        <v>0</v>
      </c>
      <c r="Z14" s="13">
        <f t="shared" si="2"/>
        <v>0</v>
      </c>
    </row>
    <row r="15" spans="1:26" x14ac:dyDescent="0.25">
      <c r="D15" s="4"/>
      <c r="E15" s="4"/>
      <c r="F15" s="7"/>
      <c r="G15" s="5"/>
      <c r="H15" s="7"/>
      <c r="I15" s="5"/>
      <c r="J15" s="4"/>
      <c r="K15" s="6"/>
      <c r="L15" s="4"/>
      <c r="W15" s="12">
        <f t="shared" si="3"/>
        <v>0</v>
      </c>
      <c r="X15" s="12">
        <f t="shared" si="0"/>
        <v>0</v>
      </c>
      <c r="Y15" s="13">
        <f t="shared" si="1"/>
        <v>0</v>
      </c>
      <c r="Z15" s="13">
        <f t="shared" si="2"/>
        <v>0</v>
      </c>
    </row>
    <row r="16" spans="1:26" x14ac:dyDescent="0.25">
      <c r="D16" s="4"/>
      <c r="E16" s="4"/>
      <c r="F16" s="7"/>
      <c r="G16" s="5"/>
      <c r="H16" s="7"/>
      <c r="I16" s="5"/>
      <c r="J16" s="4"/>
      <c r="K16" s="6"/>
      <c r="L16" s="4"/>
      <c r="W16" s="12">
        <f t="shared" si="3"/>
        <v>0</v>
      </c>
      <c r="X16" s="12">
        <f t="shared" si="0"/>
        <v>0</v>
      </c>
      <c r="Y16" s="13">
        <f t="shared" si="1"/>
        <v>0</v>
      </c>
      <c r="Z16" s="13">
        <f t="shared" si="2"/>
        <v>0</v>
      </c>
    </row>
    <row r="17" spans="4:26" x14ac:dyDescent="0.25">
      <c r="D17" s="4"/>
      <c r="E17" s="4"/>
      <c r="F17" s="7"/>
      <c r="G17" s="5"/>
      <c r="H17" s="7"/>
      <c r="I17" s="5"/>
      <c r="J17" s="4"/>
      <c r="K17" s="6"/>
      <c r="L17" s="4"/>
      <c r="W17" s="12">
        <f t="shared" si="3"/>
        <v>0</v>
      </c>
      <c r="X17" s="12">
        <f t="shared" si="0"/>
        <v>0</v>
      </c>
      <c r="Y17" s="13">
        <f t="shared" si="1"/>
        <v>0</v>
      </c>
      <c r="Z17" s="13">
        <f t="shared" si="2"/>
        <v>0</v>
      </c>
    </row>
    <row r="18" spans="4:26" x14ac:dyDescent="0.25">
      <c r="D18" s="4"/>
      <c r="E18" s="4"/>
      <c r="F18" s="7"/>
      <c r="G18" s="5"/>
      <c r="H18" s="7"/>
      <c r="I18" s="5"/>
      <c r="J18" s="4"/>
      <c r="K18" s="6"/>
      <c r="L18" s="4"/>
      <c r="W18" s="12">
        <f t="shared" si="3"/>
        <v>0</v>
      </c>
      <c r="X18" s="12">
        <f t="shared" si="0"/>
        <v>0</v>
      </c>
      <c r="Y18" s="13">
        <f t="shared" si="1"/>
        <v>0</v>
      </c>
      <c r="Z18" s="13">
        <f t="shared" si="2"/>
        <v>0</v>
      </c>
    </row>
    <row r="19" spans="4:26" x14ac:dyDescent="0.25">
      <c r="W19" s="12">
        <f t="shared" si="3"/>
        <v>0</v>
      </c>
      <c r="X19" s="12">
        <f t="shared" si="0"/>
        <v>0</v>
      </c>
      <c r="Y19" s="13">
        <f t="shared" si="1"/>
        <v>0</v>
      </c>
      <c r="Z19" s="13">
        <f t="shared" si="2"/>
        <v>0</v>
      </c>
    </row>
    <row r="20" spans="4:26" x14ac:dyDescent="0.25">
      <c r="W20" s="12">
        <f t="shared" si="3"/>
        <v>0</v>
      </c>
      <c r="X20" s="12">
        <f t="shared" si="0"/>
        <v>0</v>
      </c>
      <c r="Y20" s="13">
        <f t="shared" si="1"/>
        <v>0</v>
      </c>
      <c r="Z20" s="13">
        <f t="shared" si="2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30F1-A86F-48EE-AFBD-C92D45EF7A35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0.53</v>
      </c>
      <c r="D3" s="4">
        <v>1</v>
      </c>
      <c r="E3" s="4" t="s">
        <v>23</v>
      </c>
      <c r="F3" s="7">
        <v>45748</v>
      </c>
      <c r="G3" s="5">
        <v>0.63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45748</v>
      </c>
      <c r="X3" s="12" t="str">
        <f>H3</f>
        <v/>
      </c>
      <c r="Y3" s="13">
        <f>G3*(-1)</f>
        <v>-0.63</v>
      </c>
      <c r="Z3" s="13">
        <f>I3+J3</f>
        <v>0</v>
      </c>
    </row>
    <row r="4" spans="1:26" x14ac:dyDescent="0.25">
      <c r="A4" s="1" t="s">
        <v>93</v>
      </c>
      <c r="B4" s="10">
        <v>0.2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45748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0.63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B686-DDA5-4A09-9B86-6387150739A1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140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0.53</v>
      </c>
      <c r="D3" s="4">
        <v>1</v>
      </c>
      <c r="E3" s="4" t="s">
        <v>0</v>
      </c>
      <c r="F3" s="7">
        <v>45741</v>
      </c>
      <c r="G3" s="5">
        <v>2.63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-2.63</v>
      </c>
      <c r="Z3" s="13">
        <f>I3+J3</f>
        <v>0</v>
      </c>
    </row>
    <row r="4" spans="1:26" x14ac:dyDescent="0.25">
      <c r="A4" s="1" t="s">
        <v>93</v>
      </c>
      <c r="B4" s="10">
        <v>0.15</v>
      </c>
      <c r="D4" s="4">
        <v>2</v>
      </c>
      <c r="E4" s="4" t="s">
        <v>28</v>
      </c>
      <c r="F4" s="7">
        <v>45755</v>
      </c>
      <c r="G4" s="5">
        <v>0.4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-0.4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45742.848184818489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3.03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6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D113-8330-41CA-9C23-F9E39E56CC09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72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0.34</v>
      </c>
      <c r="D3" s="4">
        <v>1</v>
      </c>
      <c r="E3" s="4" t="s">
        <v>66</v>
      </c>
      <c r="F3" s="7">
        <v>45804</v>
      </c>
      <c r="G3" s="5">
        <v>0.43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45804</v>
      </c>
      <c r="X3" s="12" t="str">
        <f>H3</f>
        <v/>
      </c>
      <c r="Y3" s="13">
        <f>G3*(-1)</f>
        <v>-0.43</v>
      </c>
      <c r="Z3" s="13">
        <f>I3+J3</f>
        <v>0</v>
      </c>
    </row>
    <row r="4" spans="1:26" x14ac:dyDescent="0.25">
      <c r="A4" s="1" t="s">
        <v>93</v>
      </c>
      <c r="B4" s="10">
        <v>0.33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45804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0.43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0872-C04F-442D-B331-6D7F00BA9857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73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0.55000000000000004</v>
      </c>
      <c r="D3" s="4">
        <v>1</v>
      </c>
      <c r="E3" s="4" t="s">
        <v>74</v>
      </c>
      <c r="F3" s="7">
        <v>45804</v>
      </c>
      <c r="G3" s="5">
        <v>1.2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45804</v>
      </c>
      <c r="X3" s="12" t="str">
        <f>H3</f>
        <v/>
      </c>
      <c r="Y3" s="13">
        <f>G3*(-1)</f>
        <v>-1.2</v>
      </c>
      <c r="Z3" s="13">
        <f>I3+J3</f>
        <v>0</v>
      </c>
    </row>
    <row r="4" spans="1:26" x14ac:dyDescent="0.25">
      <c r="A4" s="1" t="s">
        <v>93</v>
      </c>
      <c r="B4" s="10">
        <v>0.37</v>
      </c>
      <c r="D4" s="4">
        <v>2</v>
      </c>
      <c r="E4" s="4" t="s">
        <v>66</v>
      </c>
      <c r="F4" s="7">
        <v>45804</v>
      </c>
      <c r="G4" s="5">
        <v>1.1299999999999999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45804</v>
      </c>
      <c r="X4" s="12" t="str">
        <f t="shared" ref="X4:X20" si="2">H4</f>
        <v/>
      </c>
      <c r="Y4" s="13">
        <f t="shared" ref="Y4:Y20" si="3">G4*(-1)</f>
        <v>-1.1299999999999999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45803.999999999993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2.33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209C-1074-40BA-9306-FCADCE411BFB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130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</v>
      </c>
      <c r="D3" s="4">
        <v>1</v>
      </c>
      <c r="E3" s="4" t="s">
        <v>18</v>
      </c>
      <c r="F3" s="7">
        <v>45741</v>
      </c>
      <c r="G3" s="5">
        <v>7.98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-7.98</v>
      </c>
      <c r="Z3" s="13">
        <f>I3+J3</f>
        <v>0</v>
      </c>
    </row>
    <row r="4" spans="1:26" x14ac:dyDescent="0.25">
      <c r="A4" s="1" t="s">
        <v>93</v>
      </c>
      <c r="B4" s="10">
        <v>0.48</v>
      </c>
      <c r="D4" s="4">
        <v>2</v>
      </c>
      <c r="E4" s="4" t="s">
        <v>23</v>
      </c>
      <c r="F4" s="7">
        <v>45748</v>
      </c>
      <c r="G4" s="5">
        <v>2.2400000000000002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45748</v>
      </c>
      <c r="X4" s="12" t="str">
        <f t="shared" ref="X4:X20" si="2">H4</f>
        <v/>
      </c>
      <c r="Y4" s="13">
        <f t="shared" ref="Y4:Y20" si="3">G4*(-1)</f>
        <v>-2.2400000000000002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26</v>
      </c>
      <c r="F5" s="7">
        <v>45748</v>
      </c>
      <c r="G5" s="5">
        <v>1.43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45748</v>
      </c>
      <c r="X5" s="12" t="str">
        <f t="shared" si="2"/>
        <v/>
      </c>
      <c r="Y5" s="13">
        <f t="shared" si="3"/>
        <v>-1.43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28</v>
      </c>
      <c r="F6" s="7">
        <v>45755</v>
      </c>
      <c r="G6" s="5">
        <v>1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45755</v>
      </c>
      <c r="X6" s="12" t="str">
        <f t="shared" si="2"/>
        <v/>
      </c>
      <c r="Y6" s="13">
        <f t="shared" si="3"/>
        <v>-1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45744.137549407111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12.65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29D8-FBE7-4906-8053-03C2FCAFD7BD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147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29</v>
      </c>
      <c r="F3" s="7">
        <v>45755</v>
      </c>
      <c r="G3" s="5">
        <v>0.75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-0.75</v>
      </c>
      <c r="Z3" s="13">
        <f>I3+J3</f>
        <v>0</v>
      </c>
    </row>
    <row r="4" spans="1:26" x14ac:dyDescent="0.25">
      <c r="A4" s="1" t="s">
        <v>93</v>
      </c>
      <c r="B4" s="10">
        <v>0.41</v>
      </c>
      <c r="D4" s="4">
        <v>2</v>
      </c>
      <c r="E4" s="4" t="s">
        <v>41</v>
      </c>
      <c r="F4" s="7">
        <v>45762</v>
      </c>
      <c r="G4" s="5">
        <v>1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45762</v>
      </c>
      <c r="X4" s="12" t="str">
        <f t="shared" ref="X4:X20" si="2">H4</f>
        <v/>
      </c>
      <c r="Y4" s="13">
        <f t="shared" ref="Y4:Y20" si="3">G4*(-1)</f>
        <v>-1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42</v>
      </c>
      <c r="F5" s="7">
        <v>45762</v>
      </c>
      <c r="G5" s="5">
        <v>1.31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-1.31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56</v>
      </c>
      <c r="F6" s="7">
        <v>45776</v>
      </c>
      <c r="G6" s="5">
        <v>0.59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45776</v>
      </c>
      <c r="X6" s="12" t="str">
        <f t="shared" si="2"/>
        <v/>
      </c>
      <c r="Y6" s="13">
        <f t="shared" si="3"/>
        <v>-0.59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45770.710144927536</v>
      </c>
      <c r="D7" s="4">
        <v>5</v>
      </c>
      <c r="E7" s="4" t="s">
        <v>61</v>
      </c>
      <c r="F7" s="7">
        <v>45783</v>
      </c>
      <c r="G7" s="5">
        <v>0.46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45783</v>
      </c>
      <c r="X7" s="12" t="str">
        <f t="shared" si="2"/>
        <v/>
      </c>
      <c r="Y7" s="13">
        <f t="shared" si="3"/>
        <v>-0.46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64</v>
      </c>
      <c r="F8" s="7">
        <v>45797</v>
      </c>
      <c r="G8" s="5">
        <v>0.6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45797</v>
      </c>
      <c r="X8" s="12" t="str">
        <f t="shared" si="2"/>
        <v/>
      </c>
      <c r="Y8" s="13">
        <f t="shared" si="3"/>
        <v>-0.6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150</v>
      </c>
      <c r="F9" s="7">
        <v>45832</v>
      </c>
      <c r="G9" s="5">
        <v>0.12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45832</v>
      </c>
      <c r="X9" s="12" t="str">
        <f t="shared" si="2"/>
        <v/>
      </c>
      <c r="Y9" s="13">
        <f t="shared" si="3"/>
        <v>-0.12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4.83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E4A7-D05E-48F9-91F2-B37DA5794231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29</v>
      </c>
      <c r="F3" s="7">
        <v>45755</v>
      </c>
      <c r="G3" s="5">
        <v>0.61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-0.61</v>
      </c>
      <c r="Z3" s="13">
        <f>I3+J3</f>
        <v>0</v>
      </c>
    </row>
    <row r="4" spans="1:26" x14ac:dyDescent="0.25">
      <c r="A4" s="1" t="s">
        <v>93</v>
      </c>
      <c r="B4" s="10">
        <v>0.2</v>
      </c>
      <c r="D4" s="4">
        <v>2</v>
      </c>
      <c r="E4" s="4" t="s">
        <v>40</v>
      </c>
      <c r="F4" s="7">
        <v>45762</v>
      </c>
      <c r="G4" s="5">
        <v>1.01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45762</v>
      </c>
      <c r="X4" s="12" t="str">
        <f t="shared" ref="X4:X20" si="2">H4</f>
        <v/>
      </c>
      <c r="Y4" s="13">
        <f t="shared" ref="Y4:Y20" si="3">G4*(-1)</f>
        <v>-1.01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42</v>
      </c>
      <c r="F5" s="7">
        <v>45762</v>
      </c>
      <c r="G5" s="5">
        <v>0.89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-0.89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150</v>
      </c>
      <c r="F6" s="7">
        <v>45832</v>
      </c>
      <c r="G6" s="5">
        <v>0.36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45832</v>
      </c>
      <c r="X6" s="12" t="str">
        <f t="shared" si="2"/>
        <v/>
      </c>
      <c r="Y6" s="13">
        <f t="shared" si="3"/>
        <v>-0.36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45769.292682926825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2.87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1359-742E-40FB-A0B7-229B57BA6DC0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0.49</v>
      </c>
      <c r="D3" s="4">
        <v>1</v>
      </c>
      <c r="E3" s="4" t="s">
        <v>23</v>
      </c>
      <c r="F3" s="7">
        <v>45748</v>
      </c>
      <c r="G3" s="5">
        <v>0.49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45748</v>
      </c>
      <c r="X3" s="12" t="str">
        <f>H3</f>
        <v/>
      </c>
      <c r="Y3" s="13">
        <f>G3*(-1)</f>
        <v>-0.49</v>
      </c>
      <c r="Z3" s="13">
        <f>I3+J3</f>
        <v>0</v>
      </c>
    </row>
    <row r="4" spans="1:26" x14ac:dyDescent="0.25">
      <c r="A4" s="1" t="s">
        <v>93</v>
      </c>
      <c r="B4" s="10">
        <v>0.2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45748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0.49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8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126A-1FC5-4A30-8618-A21C173CBAB1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29</v>
      </c>
      <c r="F3" s="7">
        <v>45755</v>
      </c>
      <c r="G3" s="5">
        <v>1.79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-1.79</v>
      </c>
      <c r="Z3" s="13">
        <f>I3+J3</f>
        <v>0</v>
      </c>
    </row>
    <row r="4" spans="1:26" x14ac:dyDescent="0.25">
      <c r="A4" s="1" t="s">
        <v>93</v>
      </c>
      <c r="B4" s="10">
        <v>0.51</v>
      </c>
      <c r="D4" s="4">
        <v>2</v>
      </c>
      <c r="E4" s="4" t="s">
        <v>37</v>
      </c>
      <c r="F4" s="7">
        <v>45755</v>
      </c>
      <c r="G4" s="5">
        <v>1.79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-1.79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40</v>
      </c>
      <c r="F5" s="7">
        <v>45762</v>
      </c>
      <c r="G5" s="5">
        <v>1.97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-1.97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41</v>
      </c>
      <c r="F6" s="7">
        <v>45762</v>
      </c>
      <c r="G6" s="5">
        <v>1.95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45762</v>
      </c>
      <c r="X6" s="12" t="str">
        <f t="shared" si="2"/>
        <v/>
      </c>
      <c r="Y6" s="13">
        <f t="shared" si="3"/>
        <v>-1.95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45767.846383296041</v>
      </c>
      <c r="D7" s="4">
        <v>5</v>
      </c>
      <c r="E7" s="4" t="s">
        <v>42</v>
      </c>
      <c r="F7" s="7">
        <v>45762</v>
      </c>
      <c r="G7" s="5">
        <v>1.98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45762</v>
      </c>
      <c r="X7" s="12" t="str">
        <f t="shared" si="2"/>
        <v/>
      </c>
      <c r="Y7" s="13">
        <f t="shared" si="3"/>
        <v>-1.98</v>
      </c>
      <c r="Z7" s="13">
        <f t="shared" si="4"/>
        <v>0</v>
      </c>
    </row>
    <row r="8" spans="1:26" x14ac:dyDescent="0.25">
      <c r="A8" s="1" t="s">
        <v>227</v>
      </c>
      <c r="B8" s="8">
        <v>45551</v>
      </c>
      <c r="D8" s="4">
        <v>6</v>
      </c>
      <c r="E8" s="4" t="s">
        <v>56</v>
      </c>
      <c r="F8" s="7">
        <v>45776</v>
      </c>
      <c r="G8" s="5">
        <v>0.63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45776</v>
      </c>
      <c r="X8" s="12" t="str">
        <f t="shared" si="2"/>
        <v/>
      </c>
      <c r="Y8" s="13">
        <f t="shared" si="3"/>
        <v>-0.63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60</v>
      </c>
      <c r="F9" s="7">
        <v>45783</v>
      </c>
      <c r="G9" s="5">
        <v>0.64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45783</v>
      </c>
      <c r="X9" s="12" t="str">
        <f t="shared" si="2"/>
        <v/>
      </c>
      <c r="Y9" s="13">
        <f t="shared" si="3"/>
        <v>-0.64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13.41</v>
      </c>
      <c r="D10" s="4">
        <v>8</v>
      </c>
      <c r="E10" s="4" t="s">
        <v>61</v>
      </c>
      <c r="F10" s="7">
        <v>45783</v>
      </c>
      <c r="G10" s="5">
        <v>0.5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45783</v>
      </c>
      <c r="X10" s="12" t="str">
        <f t="shared" si="2"/>
        <v/>
      </c>
      <c r="Y10" s="13">
        <f t="shared" si="3"/>
        <v>-0.5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59</v>
      </c>
      <c r="F11" s="7">
        <v>45783</v>
      </c>
      <c r="G11" s="5">
        <v>0.69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45783</v>
      </c>
      <c r="X11" s="12" t="str">
        <f t="shared" si="2"/>
        <v/>
      </c>
      <c r="Y11" s="13">
        <f t="shared" si="3"/>
        <v>-0.69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62</v>
      </c>
      <c r="F12" s="7">
        <v>45797</v>
      </c>
      <c r="G12" s="5">
        <v>0.79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45797</v>
      </c>
      <c r="X12" s="12" t="str">
        <f t="shared" si="2"/>
        <v/>
      </c>
      <c r="Y12" s="13">
        <f t="shared" si="3"/>
        <v>-0.79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65</v>
      </c>
      <c r="F13" s="7">
        <v>45804</v>
      </c>
      <c r="G13" s="5">
        <v>0.68</v>
      </c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45804</v>
      </c>
      <c r="X13" s="12" t="str">
        <f t="shared" si="2"/>
        <v/>
      </c>
      <c r="Y13" s="13">
        <f t="shared" si="3"/>
        <v>-0.68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D9E5-DC59-4D7D-9CAE-0D62B95CABBE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44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92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43</v>
      </c>
      <c r="F3" s="7">
        <v>45769</v>
      </c>
      <c r="G3" s="5">
        <v>0.08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45769</v>
      </c>
      <c r="X3" s="12" t="str">
        <f>H3</f>
        <v/>
      </c>
      <c r="Y3" s="13">
        <f>G3*(-1)</f>
        <v>-0.08</v>
      </c>
      <c r="Z3" s="13">
        <f>I3+J3</f>
        <v>0</v>
      </c>
    </row>
    <row r="4" spans="1:26" x14ac:dyDescent="0.25">
      <c r="A4" s="1" t="s">
        <v>93</v>
      </c>
      <c r="B4" s="10">
        <v>0.66</v>
      </c>
      <c r="D4" s="4"/>
      <c r="E4" s="4"/>
      <c r="F4" s="7"/>
      <c r="G4" s="5"/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45769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45540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0.08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95F6-4902-4001-9867-30DD90862C93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120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11</v>
      </c>
      <c r="F3" s="7">
        <v>45741</v>
      </c>
      <c r="G3" s="5">
        <v>5.72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-5.72</v>
      </c>
      <c r="Z3" s="13">
        <f>I3+J3</f>
        <v>0</v>
      </c>
    </row>
    <row r="4" spans="1:26" x14ac:dyDescent="0.25">
      <c r="A4" s="1" t="s">
        <v>93</v>
      </c>
      <c r="B4" s="10">
        <v>0.63</v>
      </c>
      <c r="D4" s="4">
        <v>2</v>
      </c>
      <c r="E4" s="4" t="s">
        <v>0</v>
      </c>
      <c r="F4" s="7">
        <v>45741</v>
      </c>
      <c r="G4" s="5">
        <v>1.79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45741</v>
      </c>
      <c r="X4" s="12" t="str">
        <f t="shared" ref="X4:X20" si="2">H4</f>
        <v/>
      </c>
      <c r="Y4" s="13">
        <f t="shared" ref="Y4:Y20" si="3">G4*(-1)</f>
        <v>-1.79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27</v>
      </c>
      <c r="F5" s="7">
        <v>45755</v>
      </c>
      <c r="G5" s="5">
        <v>1.61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45755</v>
      </c>
      <c r="X5" s="12" t="str">
        <f t="shared" si="2"/>
        <v/>
      </c>
      <c r="Y5" s="13">
        <f t="shared" si="3"/>
        <v>-1.61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45743.471491228069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45624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9.1199999999999992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DCA7-C59C-4BDC-B218-117461BF682B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0.74</v>
      </c>
      <c r="D3" s="4">
        <v>1</v>
      </c>
      <c r="E3" s="4" t="s">
        <v>11</v>
      </c>
      <c r="F3" s="7">
        <v>45741</v>
      </c>
      <c r="G3" s="5">
        <v>4.38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-4.38</v>
      </c>
      <c r="Z3" s="13">
        <f>I3+J3</f>
        <v>0</v>
      </c>
    </row>
    <row r="4" spans="1:26" x14ac:dyDescent="0.25">
      <c r="A4" s="1" t="s">
        <v>93</v>
      </c>
      <c r="B4" s="10">
        <v>0.84</v>
      </c>
      <c r="D4" s="4">
        <v>2</v>
      </c>
      <c r="E4" s="4" t="s">
        <v>27</v>
      </c>
      <c r="F4" s="7">
        <v>45755</v>
      </c>
      <c r="G4" s="5">
        <v>1.1200000000000001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-1.1200000000000001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45743.850909090906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45624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5.5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6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40A9-F67E-4B28-A149-A7CCF7A3D86C}">
  <sheetPr>
    <tabColor rgb="FF00B050"/>
  </sheetPr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11" t="s">
        <v>13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</v>
      </c>
      <c r="D3" s="4">
        <v>1</v>
      </c>
      <c r="E3" s="4" t="s">
        <v>11</v>
      </c>
      <c r="F3" s="7">
        <v>45741</v>
      </c>
      <c r="G3" s="5">
        <v>1.6</v>
      </c>
      <c r="H3" s="7">
        <f>IF($B$9&gt;0,$B$9,"")</f>
        <v>45817</v>
      </c>
      <c r="I3" s="5">
        <v>1.6</v>
      </c>
      <c r="J3" s="4">
        <v>0.09</v>
      </c>
      <c r="K3" s="6">
        <v>0.2752</v>
      </c>
      <c r="L3" s="4">
        <f>IF($B$10=$B$11,H3-F3,"")</f>
        <v>76</v>
      </c>
      <c r="W3" s="12">
        <f>F3</f>
        <v>45741</v>
      </c>
      <c r="X3" s="12">
        <f>H3</f>
        <v>45817</v>
      </c>
      <c r="Y3" s="13">
        <f>G3*(-1)</f>
        <v>-1.6</v>
      </c>
      <c r="Z3" s="13">
        <f>I3+J3</f>
        <v>1.6900000000000002</v>
      </c>
    </row>
    <row r="4" spans="1:26" x14ac:dyDescent="0.25">
      <c r="A4" s="1" t="s">
        <v>93</v>
      </c>
      <c r="B4" s="10">
        <v>0.56999999999999995</v>
      </c>
      <c r="D4" s="4">
        <v>2</v>
      </c>
      <c r="E4" s="4" t="s">
        <v>27</v>
      </c>
      <c r="F4" s="7">
        <v>45755</v>
      </c>
      <c r="G4" s="5">
        <v>0.41</v>
      </c>
      <c r="H4" s="7">
        <f t="shared" ref="H4" si="0">IF($B$9&gt;0,$B$9,"")</f>
        <v>45817</v>
      </c>
      <c r="I4" s="5">
        <v>0.41</v>
      </c>
      <c r="J4" s="5">
        <v>0.02</v>
      </c>
      <c r="K4" s="6">
        <v>0.33729999999999999</v>
      </c>
      <c r="L4" s="4">
        <f t="shared" ref="L4" si="1">IF($B$10=$B$11,H4-F4,"")</f>
        <v>62</v>
      </c>
      <c r="W4" s="12">
        <f>F4</f>
        <v>45755</v>
      </c>
      <c r="X4" s="12">
        <f t="shared" ref="X4:X20" si="2">H4</f>
        <v>45817</v>
      </c>
      <c r="Y4" s="13">
        <f t="shared" ref="Y4:Y20" si="3">G4*(-1)</f>
        <v>-0.41</v>
      </c>
      <c r="Z4" s="13">
        <f t="shared" ref="Z4:Z20" si="4">I4+J4</f>
        <v>0.43</v>
      </c>
    </row>
    <row r="5" spans="1:26" x14ac:dyDescent="0.25">
      <c r="A5" s="1"/>
      <c r="B5" s="8"/>
      <c r="D5" s="4"/>
      <c r="E5" s="4"/>
      <c r="F5" s="7"/>
      <c r="G5" s="5"/>
      <c r="H5" s="7"/>
      <c r="I5" s="5"/>
      <c r="J5" s="4"/>
      <c r="K5" s="6"/>
      <c r="L5" s="4"/>
      <c r="W5" s="12">
        <f>F5</f>
        <v>0</v>
      </c>
      <c r="X5" s="12">
        <f t="shared" si="2"/>
        <v>0</v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/>
      <c r="W6" s="12">
        <f t="shared" ref="W6:W20" si="5">F6</f>
        <v>0</v>
      </c>
      <c r="X6" s="12">
        <f t="shared" si="2"/>
        <v>0</v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45743.855721393033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5"/>
        <v>0</v>
      </c>
      <c r="X7" s="12">
        <f t="shared" si="2"/>
        <v>0</v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45624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5"/>
        <v>0</v>
      </c>
      <c r="X8" s="12">
        <f t="shared" si="2"/>
        <v>0</v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>
        <v>45817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5"/>
        <v>0</v>
      </c>
      <c r="X9" s="12">
        <f t="shared" si="2"/>
        <v>0</v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2.0100000000000002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5"/>
        <v>0</v>
      </c>
      <c r="X10" s="12">
        <f t="shared" si="2"/>
        <v>0</v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2.0100000000000002</v>
      </c>
      <c r="D11" s="4"/>
      <c r="E11" s="4"/>
      <c r="F11" s="7"/>
      <c r="G11" s="5"/>
      <c r="H11" s="7"/>
      <c r="I11" s="5"/>
      <c r="J11" s="4"/>
      <c r="K11" s="6"/>
      <c r="L11" s="4"/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0.11</v>
      </c>
      <c r="D12" s="4"/>
      <c r="E12" s="4"/>
      <c r="F12" s="7"/>
      <c r="G12" s="5"/>
      <c r="H12" s="7"/>
      <c r="I12" s="5"/>
      <c r="J12" s="4"/>
      <c r="K12" s="6"/>
      <c r="L12" s="4"/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>
        <f>IF(B10=B11,XIRR(Y3:Z20,W3:X20),"")</f>
        <v>0.30452540516853333</v>
      </c>
      <c r="D13" s="4"/>
      <c r="E13" s="4"/>
      <c r="F13" s="7"/>
      <c r="G13" s="5"/>
      <c r="H13" s="7"/>
      <c r="I13" s="5"/>
      <c r="J13" s="4"/>
      <c r="K13" s="6"/>
      <c r="L13" s="4"/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>
        <f>IF(B10=B11,SUMPRODUCT(L3:L20,G3:G20)/SUM(G3:G20),"")</f>
        <v>73.144278606965173</v>
      </c>
      <c r="D14" s="4"/>
      <c r="E14" s="4"/>
      <c r="F14" s="7"/>
      <c r="G14" s="5"/>
      <c r="H14" s="7"/>
      <c r="I14" s="5"/>
      <c r="J14" s="4"/>
      <c r="K14" s="6"/>
      <c r="L14" s="4"/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/>
      <c r="I15" s="5"/>
      <c r="J15" s="4"/>
      <c r="K15" s="6"/>
      <c r="L15" s="4"/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/>
      <c r="I16" s="5"/>
      <c r="J16" s="4"/>
      <c r="K16" s="6"/>
      <c r="L16" s="4"/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/>
      <c r="I17" s="5"/>
      <c r="J17" s="4"/>
      <c r="K17" s="6"/>
      <c r="L17" s="4"/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/>
      <c r="I18" s="5"/>
      <c r="J18" s="4"/>
      <c r="K18" s="6"/>
      <c r="L18" s="4"/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BA34-80A8-4CC9-A1EA-69FA4F89FAA3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0.55000000000000004</v>
      </c>
      <c r="D3" s="4">
        <v>1</v>
      </c>
      <c r="E3" s="4" t="s">
        <v>11</v>
      </c>
      <c r="F3" s="7">
        <v>45741</v>
      </c>
      <c r="G3" s="5">
        <v>6.68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-6.68</v>
      </c>
      <c r="Z3" s="13">
        <f>I3+J3</f>
        <v>0</v>
      </c>
    </row>
    <row r="4" spans="1:26" x14ac:dyDescent="0.25">
      <c r="A4" s="1" t="s">
        <v>93</v>
      </c>
      <c r="B4" s="10">
        <v>0.59</v>
      </c>
      <c r="D4" s="4">
        <v>2</v>
      </c>
      <c r="E4" s="4" t="s">
        <v>27</v>
      </c>
      <c r="F4" s="7">
        <v>45755</v>
      </c>
      <c r="G4" s="5">
        <v>1.84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-1.84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45744.023474178408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45624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8.52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4325-119C-4D0B-A8AE-7271CCBBB012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122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0.46</v>
      </c>
      <c r="D3" s="4">
        <v>1</v>
      </c>
      <c r="E3" s="4" t="s">
        <v>0</v>
      </c>
      <c r="F3" s="7">
        <v>45741</v>
      </c>
      <c r="G3" s="5">
        <v>2.12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45741</v>
      </c>
      <c r="X3" s="12" t="str">
        <f>H3</f>
        <v/>
      </c>
      <c r="Y3" s="13">
        <f>G3*(-1)</f>
        <v>-2.12</v>
      </c>
      <c r="Z3" s="13">
        <f>I3+J3</f>
        <v>0</v>
      </c>
    </row>
    <row r="4" spans="1:26" x14ac:dyDescent="0.25">
      <c r="A4" s="1" t="s">
        <v>93</v>
      </c>
      <c r="B4" s="10">
        <v>0.52</v>
      </c>
      <c r="D4" s="4">
        <v>2</v>
      </c>
      <c r="E4" s="4" t="s">
        <v>50</v>
      </c>
      <c r="F4" s="7">
        <v>45769</v>
      </c>
      <c r="G4" s="5">
        <v>0.2</v>
      </c>
      <c r="H4" s="7" t="str">
        <f t="shared" ref="H4:H18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45769</v>
      </c>
      <c r="X4" s="12" t="str">
        <f t="shared" ref="X4:X20" si="2">H4</f>
        <v/>
      </c>
      <c r="Y4" s="13">
        <f t="shared" ref="Y4:Y20" si="3">G4*(-1)</f>
        <v>-0.2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63</v>
      </c>
      <c r="F5" s="7">
        <v>45797</v>
      </c>
      <c r="G5" s="5">
        <v>0.12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45797</v>
      </c>
      <c r="X5" s="12" t="str">
        <f t="shared" si="2"/>
        <v/>
      </c>
      <c r="Y5" s="13">
        <f t="shared" si="3"/>
        <v>-0.12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45746.049180327864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45666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2.4400000000000004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63DA-1D48-403C-8F5D-54B664CBE1AA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35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0.39</v>
      </c>
      <c r="D3" s="4">
        <v>1</v>
      </c>
      <c r="E3" s="4" t="s">
        <v>29</v>
      </c>
      <c r="F3" s="7">
        <v>45755</v>
      </c>
      <c r="G3" s="5">
        <v>1.99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45755</v>
      </c>
      <c r="X3" s="12" t="str">
        <f>H3</f>
        <v/>
      </c>
      <c r="Y3" s="13">
        <f>G3*(-1)</f>
        <v>-1.99</v>
      </c>
      <c r="Z3" s="13">
        <f>I3+J3</f>
        <v>0</v>
      </c>
    </row>
    <row r="4" spans="1:26" x14ac:dyDescent="0.25">
      <c r="A4" s="1" t="s">
        <v>93</v>
      </c>
      <c r="B4" s="10">
        <v>0.79</v>
      </c>
      <c r="D4" s="4">
        <v>2</v>
      </c>
      <c r="E4" s="4" t="s">
        <v>37</v>
      </c>
      <c r="F4" s="7">
        <v>45755</v>
      </c>
      <c r="G4" s="5">
        <v>1.99</v>
      </c>
      <c r="H4" s="7" t="str">
        <f t="shared" ref="H4:H20" si="0">IF($B$9&gt;0,$B$9,"")</f>
        <v/>
      </c>
      <c r="I4" s="5"/>
      <c r="J4" s="5"/>
      <c r="K4" s="6"/>
      <c r="L4" s="4" t="str">
        <f t="shared" ref="L4:L18" si="1">IF($B$10=$B$11,H4-F4,"")</f>
        <v/>
      </c>
      <c r="W4" s="12">
        <f>F4</f>
        <v>45755</v>
      </c>
      <c r="X4" s="12" t="str">
        <f t="shared" ref="X4:X20" si="2">H4</f>
        <v/>
      </c>
      <c r="Y4" s="13">
        <f t="shared" ref="Y4:Y20" si="3">G4*(-1)</f>
        <v>-1.99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40</v>
      </c>
      <c r="F5" s="7">
        <v>45762</v>
      </c>
      <c r="G5" s="5">
        <v>1.99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45762</v>
      </c>
      <c r="X5" s="12" t="str">
        <f t="shared" si="2"/>
        <v/>
      </c>
      <c r="Y5" s="13">
        <f t="shared" si="3"/>
        <v>-1.99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41</v>
      </c>
      <c r="F6" s="7">
        <v>45762</v>
      </c>
      <c r="G6" s="5">
        <v>1.99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45762</v>
      </c>
      <c r="X6" s="12" t="str">
        <f t="shared" si="2"/>
        <v/>
      </c>
      <c r="Y6" s="13">
        <f t="shared" si="3"/>
        <v>-1.99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45773.757113402062</v>
      </c>
      <c r="D7" s="4">
        <v>5</v>
      </c>
      <c r="E7" s="4" t="s">
        <v>42</v>
      </c>
      <c r="F7" s="7">
        <v>45762</v>
      </c>
      <c r="G7" s="5">
        <v>1.98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45762</v>
      </c>
      <c r="X7" s="12" t="str">
        <f t="shared" si="2"/>
        <v/>
      </c>
      <c r="Y7" s="13">
        <f t="shared" si="3"/>
        <v>-1.98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>
        <v>6</v>
      </c>
      <c r="E8" s="4" t="s">
        <v>43</v>
      </c>
      <c r="F8" s="7">
        <v>45769</v>
      </c>
      <c r="G8" s="5">
        <v>0.98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45769</v>
      </c>
      <c r="X8" s="12" t="str">
        <f t="shared" si="2"/>
        <v/>
      </c>
      <c r="Y8" s="13">
        <f t="shared" si="3"/>
        <v>-0.98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50</v>
      </c>
      <c r="F9" s="7">
        <v>45769</v>
      </c>
      <c r="G9" s="5">
        <v>0.92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45769</v>
      </c>
      <c r="X9" s="12" t="str">
        <f t="shared" si="2"/>
        <v/>
      </c>
      <c r="Y9" s="13">
        <f t="shared" si="3"/>
        <v>-0.92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24.249999999999996</v>
      </c>
      <c r="D10" s="4">
        <v>8</v>
      </c>
      <c r="E10" s="4" t="s">
        <v>52</v>
      </c>
      <c r="F10" s="7">
        <v>45769</v>
      </c>
      <c r="G10" s="5">
        <v>1.36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45769</v>
      </c>
      <c r="X10" s="12" t="str">
        <f t="shared" si="2"/>
        <v/>
      </c>
      <c r="Y10" s="13">
        <f t="shared" si="3"/>
        <v>-1.36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55</v>
      </c>
      <c r="F11" s="7">
        <v>45776</v>
      </c>
      <c r="G11" s="5">
        <v>0.95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45776</v>
      </c>
      <c r="X11" s="12" t="str">
        <f t="shared" si="2"/>
        <v/>
      </c>
      <c r="Y11" s="13">
        <f t="shared" si="3"/>
        <v>-0.95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56</v>
      </c>
      <c r="F12" s="7">
        <v>45776</v>
      </c>
      <c r="G12" s="5">
        <v>0.93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45776</v>
      </c>
      <c r="X12" s="12" t="str">
        <f t="shared" si="2"/>
        <v/>
      </c>
      <c r="Y12" s="13">
        <f t="shared" si="3"/>
        <v>-0.93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57</v>
      </c>
      <c r="F13" s="7">
        <v>45776</v>
      </c>
      <c r="G13" s="5">
        <v>1.1499999999999999</v>
      </c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45776</v>
      </c>
      <c r="X13" s="12" t="str">
        <f t="shared" si="2"/>
        <v/>
      </c>
      <c r="Y13" s="13">
        <f t="shared" si="3"/>
        <v>-1.1499999999999999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>
        <v>12</v>
      </c>
      <c r="E14" s="4" t="s">
        <v>60</v>
      </c>
      <c r="F14" s="7">
        <v>45783</v>
      </c>
      <c r="G14" s="5">
        <v>0.91</v>
      </c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45783</v>
      </c>
      <c r="X14" s="12" t="str">
        <f t="shared" si="2"/>
        <v/>
      </c>
      <c r="Y14" s="13">
        <f t="shared" si="3"/>
        <v>-0.91</v>
      </c>
      <c r="Z14" s="13">
        <f t="shared" si="4"/>
        <v>0</v>
      </c>
    </row>
    <row r="15" spans="1:26" x14ac:dyDescent="0.25">
      <c r="D15" s="4">
        <v>13</v>
      </c>
      <c r="E15" s="4" t="s">
        <v>61</v>
      </c>
      <c r="F15" s="7">
        <v>45783</v>
      </c>
      <c r="G15" s="5">
        <v>0.95</v>
      </c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45783</v>
      </c>
      <c r="X15" s="12" t="str">
        <f t="shared" si="2"/>
        <v/>
      </c>
      <c r="Y15" s="13">
        <f t="shared" si="3"/>
        <v>-0.95</v>
      </c>
      <c r="Z15" s="13">
        <f t="shared" si="4"/>
        <v>0</v>
      </c>
    </row>
    <row r="16" spans="1:26" x14ac:dyDescent="0.25">
      <c r="D16" s="4">
        <v>14</v>
      </c>
      <c r="E16" s="4" t="s">
        <v>59</v>
      </c>
      <c r="F16" s="7">
        <v>45783</v>
      </c>
      <c r="G16" s="5">
        <v>0.98</v>
      </c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45783</v>
      </c>
      <c r="X16" s="12" t="str">
        <f t="shared" si="2"/>
        <v/>
      </c>
      <c r="Y16" s="13">
        <f t="shared" si="3"/>
        <v>-0.98</v>
      </c>
      <c r="Z16" s="13">
        <f t="shared" si="4"/>
        <v>0</v>
      </c>
    </row>
    <row r="17" spans="4:26" x14ac:dyDescent="0.25">
      <c r="D17" s="4">
        <v>15</v>
      </c>
      <c r="E17" s="4" t="s">
        <v>64</v>
      </c>
      <c r="F17" s="7">
        <v>45797</v>
      </c>
      <c r="G17" s="5">
        <v>1.5</v>
      </c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45797</v>
      </c>
      <c r="X17" s="12" t="str">
        <f t="shared" si="2"/>
        <v/>
      </c>
      <c r="Y17" s="13">
        <f t="shared" si="3"/>
        <v>-1.5</v>
      </c>
      <c r="Z17" s="13">
        <f t="shared" si="4"/>
        <v>0</v>
      </c>
    </row>
    <row r="18" spans="4:26" x14ac:dyDescent="0.25">
      <c r="D18" s="4">
        <v>16</v>
      </c>
      <c r="E18" s="4" t="s">
        <v>62</v>
      </c>
      <c r="F18" s="7">
        <v>45797</v>
      </c>
      <c r="G18" s="5">
        <v>1.23</v>
      </c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45797</v>
      </c>
      <c r="X18" s="12" t="str">
        <f t="shared" si="2"/>
        <v/>
      </c>
      <c r="Y18" s="13">
        <f t="shared" si="3"/>
        <v>-1.23</v>
      </c>
      <c r="Z18" s="13">
        <f t="shared" si="4"/>
        <v>0</v>
      </c>
    </row>
    <row r="19" spans="4:26" x14ac:dyDescent="0.25">
      <c r="D19" s="4">
        <v>17</v>
      </c>
      <c r="E19" s="4" t="s">
        <v>63</v>
      </c>
      <c r="F19" s="7">
        <v>45797</v>
      </c>
      <c r="G19" s="5">
        <v>1.48</v>
      </c>
      <c r="H19" s="7" t="str">
        <f t="shared" si="0"/>
        <v/>
      </c>
      <c r="I19" s="5"/>
      <c r="J19" s="4"/>
      <c r="K19" s="6"/>
      <c r="L19" s="4" t="str">
        <f t="shared" ref="L19:L20" si="6">IF($B$10=$B$11,H19-F19,"")</f>
        <v/>
      </c>
      <c r="W19" s="12">
        <f t="shared" si="5"/>
        <v>45797</v>
      </c>
      <c r="X19" s="12" t="str">
        <f t="shared" si="2"/>
        <v/>
      </c>
      <c r="Y19" s="13">
        <f t="shared" si="3"/>
        <v>-1.48</v>
      </c>
      <c r="Z19" s="13">
        <f t="shared" si="4"/>
        <v>0</v>
      </c>
    </row>
    <row r="20" spans="4:26" x14ac:dyDescent="0.25">
      <c r="D20" s="4">
        <v>18</v>
      </c>
      <c r="E20" s="4" t="s">
        <v>65</v>
      </c>
      <c r="F20" s="7">
        <v>45804</v>
      </c>
      <c r="G20" s="5">
        <v>0.97</v>
      </c>
      <c r="H20" s="7" t="str">
        <f t="shared" si="0"/>
        <v/>
      </c>
      <c r="I20" s="5"/>
      <c r="J20" s="4"/>
      <c r="K20" s="6"/>
      <c r="L20" s="4" t="str">
        <f t="shared" si="6"/>
        <v/>
      </c>
      <c r="W20" s="12">
        <f t="shared" si="5"/>
        <v>45804</v>
      </c>
      <c r="X20" s="12" t="str">
        <f t="shared" si="2"/>
        <v/>
      </c>
      <c r="Y20" s="13">
        <f t="shared" si="3"/>
        <v>-0.97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2096-94A7-44BE-8951-F259C934EA9E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46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0.71</v>
      </c>
      <c r="D3" s="4">
        <v>1</v>
      </c>
      <c r="E3" s="4" t="s">
        <v>43</v>
      </c>
      <c r="F3" s="7">
        <v>45769</v>
      </c>
      <c r="G3" s="5">
        <v>1.91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45769</v>
      </c>
      <c r="X3" s="12" t="str">
        <f>H3</f>
        <v/>
      </c>
      <c r="Y3" s="13">
        <f>G3*(-1)</f>
        <v>-1.91</v>
      </c>
      <c r="Z3" s="13">
        <f>I3+J3</f>
        <v>0</v>
      </c>
    </row>
    <row r="4" spans="1:26" x14ac:dyDescent="0.25">
      <c r="A4" s="1" t="s">
        <v>93</v>
      </c>
      <c r="B4" s="10">
        <v>0.51</v>
      </c>
      <c r="D4" s="4">
        <v>2</v>
      </c>
      <c r="E4" s="4" t="s">
        <v>50</v>
      </c>
      <c r="F4" s="7">
        <v>45769</v>
      </c>
      <c r="G4" s="5">
        <v>1.95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45769</v>
      </c>
      <c r="X4" s="12" t="str">
        <f t="shared" ref="X4:X20" si="2">H4</f>
        <v/>
      </c>
      <c r="Y4" s="13">
        <f t="shared" ref="Y4:Y20" si="3">G4*(-1)</f>
        <v>-1.95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52</v>
      </c>
      <c r="F5" s="7">
        <v>45769</v>
      </c>
      <c r="G5" s="5">
        <v>2.63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45769</v>
      </c>
      <c r="X5" s="12" t="str">
        <f t="shared" si="2"/>
        <v/>
      </c>
      <c r="Y5" s="13">
        <f t="shared" si="3"/>
        <v>-2.63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55</v>
      </c>
      <c r="F6" s="7">
        <v>45776</v>
      </c>
      <c r="G6" s="5">
        <v>1.8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45776</v>
      </c>
      <c r="X6" s="12" t="str">
        <f t="shared" si="2"/>
        <v/>
      </c>
      <c r="Y6" s="13">
        <f t="shared" si="3"/>
        <v>-1.8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45782.734954165011</v>
      </c>
      <c r="D7" s="4">
        <v>5</v>
      </c>
      <c r="E7" s="4" t="s">
        <v>56</v>
      </c>
      <c r="F7" s="7">
        <v>45776</v>
      </c>
      <c r="G7" s="5">
        <v>1.77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45776</v>
      </c>
      <c r="X7" s="12" t="str">
        <f t="shared" si="2"/>
        <v/>
      </c>
      <c r="Y7" s="13">
        <f t="shared" si="3"/>
        <v>-1.77</v>
      </c>
      <c r="Z7" s="13">
        <f t="shared" si="4"/>
        <v>0</v>
      </c>
    </row>
    <row r="8" spans="1:26" x14ac:dyDescent="0.25">
      <c r="A8" s="1" t="s">
        <v>227</v>
      </c>
      <c r="B8" s="8">
        <v>45700</v>
      </c>
      <c r="D8" s="4">
        <v>6</v>
      </c>
      <c r="E8" s="4" t="s">
        <v>57</v>
      </c>
      <c r="F8" s="7">
        <v>45776</v>
      </c>
      <c r="G8" s="5">
        <v>2.02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45776</v>
      </c>
      <c r="X8" s="12" t="str">
        <f t="shared" si="2"/>
        <v/>
      </c>
      <c r="Y8" s="13">
        <f t="shared" si="3"/>
        <v>-2.02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60</v>
      </c>
      <c r="F9" s="7">
        <v>45783</v>
      </c>
      <c r="G9" s="5">
        <v>1.71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45783</v>
      </c>
      <c r="X9" s="12" t="str">
        <f t="shared" si="2"/>
        <v/>
      </c>
      <c r="Y9" s="13">
        <f t="shared" si="3"/>
        <v>-1.71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25.09</v>
      </c>
      <c r="D10" s="4">
        <v>8</v>
      </c>
      <c r="E10" s="4" t="s">
        <v>61</v>
      </c>
      <c r="F10" s="7">
        <v>45783</v>
      </c>
      <c r="G10" s="5">
        <v>1.76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45783</v>
      </c>
      <c r="X10" s="12" t="str">
        <f t="shared" si="2"/>
        <v/>
      </c>
      <c r="Y10" s="13">
        <f t="shared" si="3"/>
        <v>-1.76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59</v>
      </c>
      <c r="F11" s="7">
        <v>45783</v>
      </c>
      <c r="G11" s="5">
        <v>1.84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45783</v>
      </c>
      <c r="X11" s="12" t="str">
        <f t="shared" si="2"/>
        <v/>
      </c>
      <c r="Y11" s="13">
        <f t="shared" si="3"/>
        <v>-1.84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64</v>
      </c>
      <c r="F12" s="7">
        <v>45797</v>
      </c>
      <c r="G12" s="5">
        <v>1.91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45797</v>
      </c>
      <c r="X12" s="12" t="str">
        <f t="shared" si="2"/>
        <v/>
      </c>
      <c r="Y12" s="13">
        <f t="shared" si="3"/>
        <v>-1.91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62</v>
      </c>
      <c r="F13" s="7">
        <v>45797</v>
      </c>
      <c r="G13" s="5">
        <v>1.87</v>
      </c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45797</v>
      </c>
      <c r="X13" s="12" t="str">
        <f t="shared" si="2"/>
        <v/>
      </c>
      <c r="Y13" s="13">
        <f t="shared" si="3"/>
        <v>-1.87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>
        <v>12</v>
      </c>
      <c r="E14" s="4" t="s">
        <v>63</v>
      </c>
      <c r="F14" s="7">
        <v>45797</v>
      </c>
      <c r="G14" s="5">
        <v>1.88</v>
      </c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45797</v>
      </c>
      <c r="X14" s="12" t="str">
        <f t="shared" si="2"/>
        <v/>
      </c>
      <c r="Y14" s="13">
        <f t="shared" si="3"/>
        <v>-1.88</v>
      </c>
      <c r="Z14" s="13">
        <f t="shared" si="4"/>
        <v>0</v>
      </c>
    </row>
    <row r="15" spans="1:26" x14ac:dyDescent="0.25">
      <c r="D15" s="4">
        <v>13</v>
      </c>
      <c r="E15" s="4" t="s">
        <v>74</v>
      </c>
      <c r="F15" s="7">
        <v>45804</v>
      </c>
      <c r="G15" s="5">
        <v>0.35</v>
      </c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45804</v>
      </c>
      <c r="X15" s="12" t="str">
        <f t="shared" si="2"/>
        <v/>
      </c>
      <c r="Y15" s="13">
        <f t="shared" si="3"/>
        <v>-0.35</v>
      </c>
      <c r="Z15" s="13">
        <f t="shared" si="4"/>
        <v>0</v>
      </c>
    </row>
    <row r="16" spans="1:26" x14ac:dyDescent="0.25">
      <c r="D16" s="4">
        <v>14</v>
      </c>
      <c r="E16" s="4" t="s">
        <v>65</v>
      </c>
      <c r="F16" s="7">
        <v>45804</v>
      </c>
      <c r="G16" s="5">
        <v>1.67</v>
      </c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45804</v>
      </c>
      <c r="X16" s="12" t="str">
        <f t="shared" si="2"/>
        <v/>
      </c>
      <c r="Y16" s="13">
        <f t="shared" si="3"/>
        <v>-1.67</v>
      </c>
      <c r="Z16" s="13">
        <f t="shared" si="4"/>
        <v>0</v>
      </c>
    </row>
    <row r="17" spans="4:26" x14ac:dyDescent="0.25">
      <c r="D17" s="4">
        <v>15</v>
      </c>
      <c r="E17" s="4" t="s">
        <v>170</v>
      </c>
      <c r="F17" s="7">
        <v>45867</v>
      </c>
      <c r="G17" s="5">
        <v>0.02</v>
      </c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45867</v>
      </c>
      <c r="X17" s="12" t="str">
        <f t="shared" si="2"/>
        <v/>
      </c>
      <c r="Y17" s="13">
        <f t="shared" si="3"/>
        <v>-0.02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9850-AE58-4816-A6E1-FE67EE0D02AD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47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0.68</v>
      </c>
      <c r="D3" s="4">
        <v>1</v>
      </c>
      <c r="E3" s="4" t="s">
        <v>43</v>
      </c>
      <c r="F3" s="7">
        <v>45769</v>
      </c>
      <c r="G3" s="5">
        <v>1.92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45769</v>
      </c>
      <c r="X3" s="12" t="str">
        <f>H3</f>
        <v/>
      </c>
      <c r="Y3" s="13">
        <f>G3*(-1)</f>
        <v>-1.92</v>
      </c>
      <c r="Z3" s="13">
        <f>I3+J3</f>
        <v>0</v>
      </c>
    </row>
    <row r="4" spans="1:26" x14ac:dyDescent="0.25">
      <c r="A4" s="1" t="s">
        <v>93</v>
      </c>
      <c r="B4" s="10">
        <v>0.73</v>
      </c>
      <c r="D4" s="4">
        <v>2</v>
      </c>
      <c r="E4" s="4" t="s">
        <v>50</v>
      </c>
      <c r="F4" s="7">
        <v>45769</v>
      </c>
      <c r="G4" s="5">
        <v>1.97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45769</v>
      </c>
      <c r="X4" s="12" t="str">
        <f t="shared" ref="X4:X20" si="2">H4</f>
        <v/>
      </c>
      <c r="Y4" s="13">
        <f t="shared" ref="Y4:Y20" si="3">G4*(-1)</f>
        <v>-1.97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52</v>
      </c>
      <c r="F5" s="7">
        <v>45769</v>
      </c>
      <c r="G5" s="5">
        <v>2.63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45769</v>
      </c>
      <c r="X5" s="12" t="str">
        <f t="shared" si="2"/>
        <v/>
      </c>
      <c r="Y5" s="13">
        <f t="shared" si="3"/>
        <v>-2.63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55</v>
      </c>
      <c r="F6" s="7">
        <v>45776</v>
      </c>
      <c r="G6" s="5">
        <v>1.84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45776</v>
      </c>
      <c r="X6" s="12" t="str">
        <f t="shared" si="2"/>
        <v/>
      </c>
      <c r="Y6" s="13">
        <f t="shared" si="3"/>
        <v>-1.84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45781.995615783191</v>
      </c>
      <c r="D7" s="4">
        <v>5</v>
      </c>
      <c r="E7" s="4" t="s">
        <v>56</v>
      </c>
      <c r="F7" s="7">
        <v>45776</v>
      </c>
      <c r="G7" s="5">
        <v>1.78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45776</v>
      </c>
      <c r="X7" s="12" t="str">
        <f t="shared" si="2"/>
        <v/>
      </c>
      <c r="Y7" s="13">
        <f t="shared" si="3"/>
        <v>-1.78</v>
      </c>
      <c r="Z7" s="13">
        <f t="shared" si="4"/>
        <v>0</v>
      </c>
    </row>
    <row r="8" spans="1:26" x14ac:dyDescent="0.25">
      <c r="A8" s="1" t="s">
        <v>227</v>
      </c>
      <c r="B8" s="8">
        <v>45758</v>
      </c>
      <c r="D8" s="4">
        <v>6</v>
      </c>
      <c r="E8" s="4" t="s">
        <v>57</v>
      </c>
      <c r="F8" s="7">
        <v>45776</v>
      </c>
      <c r="G8" s="5">
        <v>2.02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45776</v>
      </c>
      <c r="X8" s="12" t="str">
        <f t="shared" si="2"/>
        <v/>
      </c>
      <c r="Y8" s="13">
        <f t="shared" si="3"/>
        <v>-2.02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60</v>
      </c>
      <c r="F9" s="7">
        <v>45776</v>
      </c>
      <c r="G9" s="5">
        <v>1.73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45776</v>
      </c>
      <c r="X9" s="12" t="str">
        <f t="shared" si="2"/>
        <v/>
      </c>
      <c r="Y9" s="13">
        <f t="shared" si="3"/>
        <v>-1.73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25.089999999999996</v>
      </c>
      <c r="D10" s="4">
        <v>8</v>
      </c>
      <c r="E10" s="4" t="s">
        <v>61</v>
      </c>
      <c r="F10" s="7">
        <v>45783</v>
      </c>
      <c r="G10" s="5">
        <v>1.8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45783</v>
      </c>
      <c r="X10" s="12" t="str">
        <f t="shared" si="2"/>
        <v/>
      </c>
      <c r="Y10" s="13">
        <f t="shared" si="3"/>
        <v>-1.8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59</v>
      </c>
      <c r="F11" s="7">
        <v>45783</v>
      </c>
      <c r="G11" s="5">
        <v>1.87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45783</v>
      </c>
      <c r="X11" s="12" t="str">
        <f t="shared" si="2"/>
        <v/>
      </c>
      <c r="Y11" s="13">
        <f t="shared" si="3"/>
        <v>-1.87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64</v>
      </c>
      <c r="F12" s="7">
        <v>45797</v>
      </c>
      <c r="G12" s="5">
        <v>1.95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45797</v>
      </c>
      <c r="X12" s="12" t="str">
        <f t="shared" si="2"/>
        <v/>
      </c>
      <c r="Y12" s="13">
        <f t="shared" si="3"/>
        <v>-1.95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62</v>
      </c>
      <c r="F13" s="7">
        <v>45797</v>
      </c>
      <c r="G13" s="5">
        <v>1.9</v>
      </c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45797</v>
      </c>
      <c r="X13" s="12" t="str">
        <f t="shared" si="2"/>
        <v/>
      </c>
      <c r="Y13" s="13">
        <f t="shared" si="3"/>
        <v>-1.9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>
        <v>12</v>
      </c>
      <c r="E14" s="4" t="s">
        <v>63</v>
      </c>
      <c r="F14" s="7">
        <v>45797</v>
      </c>
      <c r="G14" s="5">
        <v>1.93</v>
      </c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45797</v>
      </c>
      <c r="X14" s="12" t="str">
        <f t="shared" si="2"/>
        <v/>
      </c>
      <c r="Y14" s="13">
        <f t="shared" si="3"/>
        <v>-1.93</v>
      </c>
      <c r="Z14" s="13">
        <f t="shared" si="4"/>
        <v>0</v>
      </c>
    </row>
    <row r="15" spans="1:26" x14ac:dyDescent="0.25">
      <c r="D15" s="4">
        <v>13</v>
      </c>
      <c r="E15" s="4" t="s">
        <v>65</v>
      </c>
      <c r="F15" s="7">
        <v>45804</v>
      </c>
      <c r="G15" s="5">
        <v>1.75</v>
      </c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45804</v>
      </c>
      <c r="X15" s="12" t="str">
        <f t="shared" si="2"/>
        <v/>
      </c>
      <c r="Y15" s="13">
        <f t="shared" si="3"/>
        <v>-1.75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7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1A37-FD31-4722-9953-84CE3A3CD1A8}">
  <dimension ref="A1:Z23"/>
  <sheetViews>
    <sheetView workbookViewId="0">
      <selection activeCell="C8" sqref="C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48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107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0.61</v>
      </c>
      <c r="D3" s="4">
        <v>1</v>
      </c>
      <c r="E3" s="4" t="s">
        <v>43</v>
      </c>
      <c r="F3" s="7">
        <v>45769</v>
      </c>
      <c r="G3" s="5">
        <v>1.99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45769</v>
      </c>
      <c r="X3" s="12" t="str">
        <f>H3</f>
        <v/>
      </c>
      <c r="Y3" s="13">
        <f>G3*(-1)</f>
        <v>-1.99</v>
      </c>
      <c r="Z3" s="13">
        <f>I3+J3</f>
        <v>0</v>
      </c>
    </row>
    <row r="4" spans="1:26" x14ac:dyDescent="0.25">
      <c r="A4" s="1" t="s">
        <v>93</v>
      </c>
      <c r="B4" s="10">
        <v>0.69</v>
      </c>
      <c r="D4" s="4">
        <v>2</v>
      </c>
      <c r="E4" s="4" t="s">
        <v>50</v>
      </c>
      <c r="F4" s="7">
        <v>45769</v>
      </c>
      <c r="G4" s="5">
        <v>1.98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45769</v>
      </c>
      <c r="X4" s="12" t="str">
        <f t="shared" ref="X4:X20" si="2">H4</f>
        <v/>
      </c>
      <c r="Y4" s="13">
        <f t="shared" ref="Y4:Y20" si="3">G4*(-1)</f>
        <v>-1.98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52</v>
      </c>
      <c r="F5" s="7">
        <v>45769</v>
      </c>
      <c r="G5" s="5">
        <v>2.68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45769</v>
      </c>
      <c r="X5" s="12" t="str">
        <f t="shared" si="2"/>
        <v/>
      </c>
      <c r="Y5" s="13">
        <f t="shared" si="3"/>
        <v>-2.68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55</v>
      </c>
      <c r="F6" s="7">
        <v>45776</v>
      </c>
      <c r="G6" s="5">
        <v>1.99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45776</v>
      </c>
      <c r="X6" s="12" t="str">
        <f t="shared" si="2"/>
        <v/>
      </c>
      <c r="Y6" s="13">
        <f t="shared" si="3"/>
        <v>-1.99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45785.848228794297</v>
      </c>
      <c r="D7" s="4">
        <v>5</v>
      </c>
      <c r="E7" s="4" t="s">
        <v>56</v>
      </c>
      <c r="F7" s="7">
        <v>45776</v>
      </c>
      <c r="G7" s="5">
        <v>1.99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45776</v>
      </c>
      <c r="X7" s="12" t="str">
        <f t="shared" si="2"/>
        <v/>
      </c>
      <c r="Y7" s="13">
        <f t="shared" si="3"/>
        <v>-1.99</v>
      </c>
      <c r="Z7" s="13">
        <f t="shared" si="4"/>
        <v>0</v>
      </c>
    </row>
    <row r="8" spans="1:26" x14ac:dyDescent="0.25">
      <c r="A8" s="1" t="s">
        <v>227</v>
      </c>
      <c r="B8" s="8">
        <v>45758</v>
      </c>
      <c r="D8" s="4">
        <v>6</v>
      </c>
      <c r="E8" s="4" t="s">
        <v>57</v>
      </c>
      <c r="F8" s="7">
        <v>45776</v>
      </c>
      <c r="G8" s="5">
        <v>2.0299999999999998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45776</v>
      </c>
      <c r="X8" s="12" t="str">
        <f t="shared" si="2"/>
        <v/>
      </c>
      <c r="Y8" s="13">
        <f t="shared" si="3"/>
        <v>-2.0299999999999998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60</v>
      </c>
      <c r="F9" s="7">
        <v>45783</v>
      </c>
      <c r="G9" s="5">
        <v>1.99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45783</v>
      </c>
      <c r="X9" s="12" t="str">
        <f t="shared" si="2"/>
        <v/>
      </c>
      <c r="Y9" s="13">
        <f t="shared" si="3"/>
        <v>-1.99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30.769999999999992</v>
      </c>
      <c r="D10" s="4">
        <v>8</v>
      </c>
      <c r="E10" s="4" t="s">
        <v>61</v>
      </c>
      <c r="F10" s="7">
        <v>45783</v>
      </c>
      <c r="G10" s="5">
        <v>1.99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45783</v>
      </c>
      <c r="X10" s="12" t="str">
        <f t="shared" si="2"/>
        <v/>
      </c>
      <c r="Y10" s="13">
        <f t="shared" si="3"/>
        <v>-1.99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59</v>
      </c>
      <c r="F11" s="7">
        <v>45783</v>
      </c>
      <c r="G11" s="5">
        <v>1.99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45783</v>
      </c>
      <c r="X11" s="12" t="str">
        <f t="shared" si="2"/>
        <v/>
      </c>
      <c r="Y11" s="13">
        <f t="shared" si="3"/>
        <v>-1.99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64</v>
      </c>
      <c r="F12" s="7">
        <v>45797</v>
      </c>
      <c r="G12" s="5">
        <v>1.99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45797</v>
      </c>
      <c r="X12" s="12" t="str">
        <f t="shared" si="2"/>
        <v/>
      </c>
      <c r="Y12" s="13">
        <f t="shared" si="3"/>
        <v>-1.99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62</v>
      </c>
      <c r="F13" s="7">
        <v>45797</v>
      </c>
      <c r="G13" s="5">
        <v>1.99</v>
      </c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45797</v>
      </c>
      <c r="X13" s="12" t="str">
        <f t="shared" si="2"/>
        <v/>
      </c>
      <c r="Y13" s="13">
        <f t="shared" si="3"/>
        <v>-1.99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>
        <v>12</v>
      </c>
      <c r="E14" s="4" t="s">
        <v>63</v>
      </c>
      <c r="F14" s="7">
        <v>45797</v>
      </c>
      <c r="G14" s="5">
        <v>1.99</v>
      </c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45797</v>
      </c>
      <c r="X14" s="12" t="str">
        <f t="shared" si="2"/>
        <v/>
      </c>
      <c r="Y14" s="13">
        <f t="shared" si="3"/>
        <v>-1.99</v>
      </c>
      <c r="Z14" s="13">
        <f t="shared" si="4"/>
        <v>0</v>
      </c>
    </row>
    <row r="15" spans="1:26" x14ac:dyDescent="0.25">
      <c r="D15" s="4">
        <v>13</v>
      </c>
      <c r="E15" s="4" t="s">
        <v>74</v>
      </c>
      <c r="F15" s="7">
        <v>45804</v>
      </c>
      <c r="G15" s="5">
        <v>2</v>
      </c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45804</v>
      </c>
      <c r="X15" s="12" t="str">
        <f t="shared" si="2"/>
        <v/>
      </c>
      <c r="Y15" s="13">
        <f t="shared" si="3"/>
        <v>-2</v>
      </c>
      <c r="Z15" s="13">
        <f t="shared" si="4"/>
        <v>0</v>
      </c>
    </row>
    <row r="16" spans="1:26" x14ac:dyDescent="0.25">
      <c r="D16" s="4">
        <v>14</v>
      </c>
      <c r="E16" s="4" t="s">
        <v>65</v>
      </c>
      <c r="F16" s="7">
        <v>45804</v>
      </c>
      <c r="G16" s="5">
        <v>1.99</v>
      </c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45804</v>
      </c>
      <c r="X16" s="12" t="str">
        <f t="shared" si="2"/>
        <v/>
      </c>
      <c r="Y16" s="13">
        <f t="shared" si="3"/>
        <v>-1.99</v>
      </c>
      <c r="Z16" s="13">
        <f t="shared" si="4"/>
        <v>0</v>
      </c>
    </row>
    <row r="17" spans="4:26" x14ac:dyDescent="0.25">
      <c r="D17" s="4">
        <v>15</v>
      </c>
      <c r="E17" s="4" t="s">
        <v>66</v>
      </c>
      <c r="F17" s="7">
        <v>45804</v>
      </c>
      <c r="G17" s="5">
        <v>1.95</v>
      </c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45804</v>
      </c>
      <c r="X17" s="12" t="str">
        <f t="shared" si="2"/>
        <v/>
      </c>
      <c r="Y17" s="13">
        <f t="shared" si="3"/>
        <v>-1.95</v>
      </c>
      <c r="Z17" s="13">
        <f t="shared" si="4"/>
        <v>0</v>
      </c>
    </row>
    <row r="18" spans="4:26" x14ac:dyDescent="0.25">
      <c r="D18" s="4">
        <v>16</v>
      </c>
      <c r="E18" s="4" t="s">
        <v>158</v>
      </c>
      <c r="F18" s="7">
        <v>45846</v>
      </c>
      <c r="G18" s="5">
        <v>0.23</v>
      </c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45846</v>
      </c>
      <c r="X18" s="12" t="str">
        <f t="shared" si="2"/>
        <v/>
      </c>
      <c r="Y18" s="13">
        <f t="shared" si="3"/>
        <v>-0.23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84A0-45AD-4D76-B197-2686CF7ED9AF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49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108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0.62</v>
      </c>
      <c r="D3" s="4">
        <v>1</v>
      </c>
      <c r="E3" s="4" t="s">
        <v>43</v>
      </c>
      <c r="F3" s="7">
        <v>45769</v>
      </c>
      <c r="G3" s="5">
        <v>1.92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45769</v>
      </c>
      <c r="X3" s="12" t="str">
        <f>H3</f>
        <v/>
      </c>
      <c r="Y3" s="13">
        <f>G3*(-1)</f>
        <v>-1.92</v>
      </c>
      <c r="Z3" s="13">
        <f>I3+J3</f>
        <v>0</v>
      </c>
    </row>
    <row r="4" spans="1:26" x14ac:dyDescent="0.25">
      <c r="A4" s="1" t="s">
        <v>93</v>
      </c>
      <c r="B4" s="10">
        <v>0.79</v>
      </c>
      <c r="D4" s="4">
        <v>2</v>
      </c>
      <c r="E4" s="4" t="s">
        <v>50</v>
      </c>
      <c r="F4" s="7">
        <v>45769</v>
      </c>
      <c r="G4" s="5">
        <v>1.97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45769</v>
      </c>
      <c r="X4" s="12" t="str">
        <f t="shared" ref="X4:X20" si="2">H4</f>
        <v/>
      </c>
      <c r="Y4" s="13">
        <f t="shared" ref="Y4:Y20" si="3">G4*(-1)</f>
        <v>-1.97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52</v>
      </c>
      <c r="F5" s="7">
        <v>45769</v>
      </c>
      <c r="G5" s="5">
        <v>2.62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45769</v>
      </c>
      <c r="X5" s="12" t="str">
        <f t="shared" si="2"/>
        <v/>
      </c>
      <c r="Y5" s="13">
        <f t="shared" si="3"/>
        <v>-2.62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55</v>
      </c>
      <c r="F6" s="7">
        <v>45776</v>
      </c>
      <c r="G6" s="5">
        <v>1.82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45776</v>
      </c>
      <c r="X6" s="12" t="str">
        <f t="shared" si="2"/>
        <v/>
      </c>
      <c r="Y6" s="13">
        <f t="shared" si="3"/>
        <v>-1.82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45782.740023706036</v>
      </c>
      <c r="D7" s="4">
        <v>5</v>
      </c>
      <c r="E7" s="4" t="s">
        <v>56</v>
      </c>
      <c r="F7" s="7">
        <v>45776</v>
      </c>
      <c r="G7" s="5">
        <v>1.78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45776</v>
      </c>
      <c r="X7" s="12" t="str">
        <f t="shared" si="2"/>
        <v/>
      </c>
      <c r="Y7" s="13">
        <f t="shared" si="3"/>
        <v>-1.78</v>
      </c>
      <c r="Z7" s="13">
        <f t="shared" si="4"/>
        <v>0</v>
      </c>
    </row>
    <row r="8" spans="1:26" x14ac:dyDescent="0.25">
      <c r="A8" s="1" t="s">
        <v>227</v>
      </c>
      <c r="B8" s="8">
        <v>45758</v>
      </c>
      <c r="D8" s="4">
        <v>6</v>
      </c>
      <c r="E8" s="4" t="s">
        <v>57</v>
      </c>
      <c r="F8" s="7">
        <v>45776</v>
      </c>
      <c r="G8" s="5">
        <v>2.02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45776</v>
      </c>
      <c r="X8" s="12" t="str">
        <f t="shared" si="2"/>
        <v/>
      </c>
      <c r="Y8" s="13">
        <f t="shared" si="3"/>
        <v>-2.02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60</v>
      </c>
      <c r="F9" s="7">
        <v>45783</v>
      </c>
      <c r="G9" s="5">
        <v>1.71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45783</v>
      </c>
      <c r="X9" s="12" t="str">
        <f t="shared" si="2"/>
        <v/>
      </c>
      <c r="Y9" s="13">
        <f t="shared" si="3"/>
        <v>-1.71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25.310000000000002</v>
      </c>
      <c r="D10" s="4">
        <v>8</v>
      </c>
      <c r="E10" s="4" t="s">
        <v>61</v>
      </c>
      <c r="F10" s="7">
        <v>45783</v>
      </c>
      <c r="G10" s="5">
        <v>1.78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45783</v>
      </c>
      <c r="X10" s="12" t="str">
        <f t="shared" si="2"/>
        <v/>
      </c>
      <c r="Y10" s="13">
        <f t="shared" si="3"/>
        <v>-1.78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59</v>
      </c>
      <c r="F11" s="7">
        <v>45783</v>
      </c>
      <c r="G11" s="5">
        <v>1.85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45783</v>
      </c>
      <c r="X11" s="12" t="str">
        <f t="shared" si="2"/>
        <v/>
      </c>
      <c r="Y11" s="13">
        <f t="shared" si="3"/>
        <v>-1.85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64</v>
      </c>
      <c r="F12" s="7">
        <v>45797</v>
      </c>
      <c r="G12" s="5">
        <v>1.98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45797</v>
      </c>
      <c r="X12" s="12" t="str">
        <f t="shared" si="2"/>
        <v/>
      </c>
      <c r="Y12" s="13">
        <f t="shared" si="3"/>
        <v>-1.98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62</v>
      </c>
      <c r="F13" s="7">
        <v>45797</v>
      </c>
      <c r="G13" s="5">
        <v>1.88</v>
      </c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45797</v>
      </c>
      <c r="X13" s="12" t="str">
        <f t="shared" si="2"/>
        <v/>
      </c>
      <c r="Y13" s="13">
        <f t="shared" si="3"/>
        <v>-1.88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>
        <v>12</v>
      </c>
      <c r="E14" s="4" t="s">
        <v>63</v>
      </c>
      <c r="F14" s="7">
        <v>45797</v>
      </c>
      <c r="G14" s="5">
        <v>1.96</v>
      </c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45797</v>
      </c>
      <c r="X14" s="12" t="str">
        <f t="shared" si="2"/>
        <v/>
      </c>
      <c r="Y14" s="13">
        <f t="shared" si="3"/>
        <v>-1.96</v>
      </c>
      <c r="Z14" s="13">
        <f t="shared" si="4"/>
        <v>0</v>
      </c>
    </row>
    <row r="15" spans="1:26" x14ac:dyDescent="0.25">
      <c r="D15" s="4">
        <v>13</v>
      </c>
      <c r="E15" s="4" t="s">
        <v>74</v>
      </c>
      <c r="F15" s="7">
        <v>45804</v>
      </c>
      <c r="G15" s="5">
        <v>0.35</v>
      </c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45804</v>
      </c>
      <c r="X15" s="12" t="str">
        <f t="shared" si="2"/>
        <v/>
      </c>
      <c r="Y15" s="13">
        <f t="shared" si="3"/>
        <v>-0.35</v>
      </c>
      <c r="Z15" s="13">
        <f t="shared" si="4"/>
        <v>0</v>
      </c>
    </row>
    <row r="16" spans="1:26" x14ac:dyDescent="0.25">
      <c r="D16" s="4">
        <v>14</v>
      </c>
      <c r="E16" s="4" t="s">
        <v>65</v>
      </c>
      <c r="F16" s="7">
        <v>45804</v>
      </c>
      <c r="G16" s="5">
        <v>1.67</v>
      </c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45804</v>
      </c>
      <c r="X16" s="12" t="str">
        <f t="shared" si="2"/>
        <v/>
      </c>
      <c r="Y16" s="13">
        <f t="shared" si="3"/>
        <v>-1.67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2938-C4F7-4EEC-A15A-FBF1B20C3D02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78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75</v>
      </c>
      <c r="F3" s="7">
        <v>45825</v>
      </c>
      <c r="G3" s="5">
        <v>2.29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-2.29</v>
      </c>
      <c r="Z3" s="13">
        <f>I3+J3</f>
        <v>0</v>
      </c>
    </row>
    <row r="4" spans="1:26" x14ac:dyDescent="0.25">
      <c r="A4" s="1" t="s">
        <v>93</v>
      </c>
      <c r="B4" s="10">
        <v>0.42</v>
      </c>
      <c r="D4" s="4">
        <v>2</v>
      </c>
      <c r="E4" s="4" t="s">
        <v>76</v>
      </c>
      <c r="F4" s="7">
        <v>45825</v>
      </c>
      <c r="G4" s="5">
        <v>1.83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-1.83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77</v>
      </c>
      <c r="F5" s="7">
        <v>45825</v>
      </c>
      <c r="G5" s="5">
        <v>1.92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45825</v>
      </c>
      <c r="X5" s="12" t="str">
        <f t="shared" si="2"/>
        <v/>
      </c>
      <c r="Y5" s="13">
        <f t="shared" si="3"/>
        <v>-1.92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45825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6.04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7545-BE76-44C0-948C-E85D97DC9BBE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79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0.65</v>
      </c>
      <c r="D3" s="4">
        <v>1</v>
      </c>
      <c r="E3" s="4" t="s">
        <v>75</v>
      </c>
      <c r="F3" s="7">
        <v>45825</v>
      </c>
      <c r="G3" s="5">
        <v>0.8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-0.8</v>
      </c>
      <c r="Z3" s="13">
        <f>I3+J3</f>
        <v>0</v>
      </c>
    </row>
    <row r="4" spans="1:26" x14ac:dyDescent="0.25">
      <c r="A4" s="1" t="s">
        <v>93</v>
      </c>
      <c r="B4" s="10">
        <v>0.62</v>
      </c>
      <c r="D4" s="4">
        <v>2</v>
      </c>
      <c r="E4" s="4" t="s">
        <v>76</v>
      </c>
      <c r="F4" s="7">
        <v>45825</v>
      </c>
      <c r="G4" s="5">
        <v>0.64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-0.64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77</v>
      </c>
      <c r="F5" s="7">
        <v>45825</v>
      </c>
      <c r="G5" s="5">
        <v>0.5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45825</v>
      </c>
      <c r="X5" s="12" t="str">
        <f t="shared" si="2"/>
        <v/>
      </c>
      <c r="Y5" s="13">
        <f t="shared" si="3"/>
        <v>-0.5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45825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1.94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6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9ED3-878C-4E26-8DAD-2B3E0D8697FC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80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75</v>
      </c>
      <c r="F3" s="7">
        <v>45825</v>
      </c>
      <c r="G3" s="5">
        <v>1.43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-1.43</v>
      </c>
      <c r="Z3" s="13">
        <f>I3+J3</f>
        <v>0</v>
      </c>
    </row>
    <row r="4" spans="1:26" x14ac:dyDescent="0.25">
      <c r="A4" s="1" t="s">
        <v>93</v>
      </c>
      <c r="B4" s="10">
        <v>0.7</v>
      </c>
      <c r="D4" s="4">
        <v>2</v>
      </c>
      <c r="E4" s="4" t="s">
        <v>76</v>
      </c>
      <c r="F4" s="7">
        <v>45825</v>
      </c>
      <c r="G4" s="5">
        <v>1.1399999999999999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-1.1399999999999999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77</v>
      </c>
      <c r="F5" s="7">
        <v>45825</v>
      </c>
      <c r="G5" s="5">
        <v>1.19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45825</v>
      </c>
      <c r="X5" s="12" t="str">
        <f t="shared" si="2"/>
        <v/>
      </c>
      <c r="Y5" s="13">
        <f t="shared" si="3"/>
        <v>-1.19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150</v>
      </c>
      <c r="F6" s="7">
        <v>45832</v>
      </c>
      <c r="G6" s="5">
        <v>1.45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45832</v>
      </c>
      <c r="X6" s="12" t="str">
        <f t="shared" si="2"/>
        <v/>
      </c>
      <c r="Y6" s="13">
        <f t="shared" si="3"/>
        <v>-1.45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45826.948176583493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5.21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5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BDA4-9EF6-40EC-B1DC-BC3502D33432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0.75</v>
      </c>
      <c r="D3" s="4">
        <v>1</v>
      </c>
      <c r="E3" s="4" t="s">
        <v>75</v>
      </c>
      <c r="F3" s="7">
        <v>45825</v>
      </c>
      <c r="G3" s="5">
        <v>2.2999999999999998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-2.2999999999999998</v>
      </c>
      <c r="Z3" s="13">
        <f>I3+J3</f>
        <v>0</v>
      </c>
    </row>
    <row r="4" spans="1:26" x14ac:dyDescent="0.25">
      <c r="A4" s="1" t="s">
        <v>93</v>
      </c>
      <c r="B4" s="10">
        <v>0.4</v>
      </c>
      <c r="D4" s="4">
        <v>2</v>
      </c>
      <c r="E4" s="4" t="s">
        <v>76</v>
      </c>
      <c r="F4" s="7">
        <v>45825</v>
      </c>
      <c r="G4" s="5">
        <v>1.83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-1.83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77</v>
      </c>
      <c r="F5" s="7">
        <v>45825</v>
      </c>
      <c r="G5" s="5">
        <v>1.92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45825</v>
      </c>
      <c r="X5" s="12" t="str">
        <f t="shared" si="2"/>
        <v/>
      </c>
      <c r="Y5" s="13">
        <f t="shared" si="3"/>
        <v>-1.92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150</v>
      </c>
      <c r="F6" s="7">
        <v>45832</v>
      </c>
      <c r="G6" s="5">
        <v>1.57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45832</v>
      </c>
      <c r="X6" s="12" t="str">
        <f t="shared" si="2"/>
        <v/>
      </c>
      <c r="Y6" s="13">
        <f t="shared" si="3"/>
        <v>-1.57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45826.442257217845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7.62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4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4406-D99C-4E1E-9208-C4BFF8A52253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0.65</v>
      </c>
      <c r="D3" s="4">
        <v>1</v>
      </c>
      <c r="E3" s="4" t="s">
        <v>75</v>
      </c>
      <c r="F3" s="7">
        <v>45825</v>
      </c>
      <c r="G3" s="5">
        <v>1.34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-1.34</v>
      </c>
      <c r="Z3" s="13">
        <f>I3+J3</f>
        <v>0</v>
      </c>
    </row>
    <row r="4" spans="1:26" x14ac:dyDescent="0.25">
      <c r="A4" s="1" t="s">
        <v>93</v>
      </c>
      <c r="B4" s="10">
        <v>0.71</v>
      </c>
      <c r="D4" s="4">
        <v>2</v>
      </c>
      <c r="E4" s="4" t="s">
        <v>76</v>
      </c>
      <c r="F4" s="7">
        <v>45825</v>
      </c>
      <c r="G4" s="5">
        <v>1.06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-1.06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77</v>
      </c>
      <c r="F5" s="7">
        <v>45825</v>
      </c>
      <c r="G5" s="5">
        <v>0.91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45825</v>
      </c>
      <c r="X5" s="12" t="str">
        <f t="shared" si="2"/>
        <v/>
      </c>
      <c r="Y5" s="13">
        <f t="shared" si="3"/>
        <v>-0.91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150</v>
      </c>
      <c r="F6" s="7">
        <v>45832</v>
      </c>
      <c r="G6" s="5">
        <v>1.36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45832</v>
      </c>
      <c r="X6" s="12" t="str">
        <f t="shared" si="2"/>
        <v/>
      </c>
      <c r="Y6" s="13">
        <f t="shared" si="3"/>
        <v>-1.36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45827.038543897215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4.6700000000000008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3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2908-298F-44D8-8804-0A3444E0A618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117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0.66</v>
      </c>
      <c r="D3" s="4">
        <v>1</v>
      </c>
      <c r="E3" s="4" t="s">
        <v>75</v>
      </c>
      <c r="F3" s="7">
        <v>45825</v>
      </c>
      <c r="G3" s="5">
        <v>1.48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-1.48</v>
      </c>
      <c r="Z3" s="13">
        <f>I3+J3</f>
        <v>0</v>
      </c>
    </row>
    <row r="4" spans="1:26" x14ac:dyDescent="0.25">
      <c r="A4" s="1" t="s">
        <v>93</v>
      </c>
      <c r="B4" s="10">
        <v>0.81</v>
      </c>
      <c r="D4" s="4">
        <v>2</v>
      </c>
      <c r="E4" s="4" t="s">
        <v>76</v>
      </c>
      <c r="F4" s="7">
        <v>45825</v>
      </c>
      <c r="G4" s="5">
        <v>1.18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-1.18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77</v>
      </c>
      <c r="F5" s="7">
        <v>45825</v>
      </c>
      <c r="G5" s="5">
        <v>1.24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45825</v>
      </c>
      <c r="X5" s="12" t="str">
        <f t="shared" si="2"/>
        <v/>
      </c>
      <c r="Y5" s="13">
        <f t="shared" si="3"/>
        <v>-1.24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45824.999999999993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3.9000000000000004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6202-7C87-4769-810B-B69A8A9351B4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0.68</v>
      </c>
      <c r="D3" s="4">
        <v>1</v>
      </c>
      <c r="E3" s="4" t="s">
        <v>75</v>
      </c>
      <c r="F3" s="7">
        <v>45825</v>
      </c>
      <c r="G3" s="5">
        <v>1.1000000000000001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-1.1000000000000001</v>
      </c>
      <c r="Z3" s="13">
        <f>I3+J3</f>
        <v>0</v>
      </c>
    </row>
    <row r="4" spans="1:26" x14ac:dyDescent="0.25">
      <c r="A4" s="1" t="s">
        <v>93</v>
      </c>
      <c r="B4" s="10">
        <v>0.81</v>
      </c>
      <c r="D4" s="4">
        <v>2</v>
      </c>
      <c r="E4" s="4" t="s">
        <v>76</v>
      </c>
      <c r="F4" s="7">
        <v>45825</v>
      </c>
      <c r="G4" s="5">
        <v>0.88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-0.88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150</v>
      </c>
      <c r="F5" s="7">
        <v>45832</v>
      </c>
      <c r="G5" s="5">
        <v>1.8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45832</v>
      </c>
      <c r="X5" s="12" t="str">
        <f t="shared" si="2"/>
        <v/>
      </c>
      <c r="Y5" s="13">
        <f t="shared" si="3"/>
        <v>-1.8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151</v>
      </c>
      <c r="F6" s="7">
        <v>45846</v>
      </c>
      <c r="G6" s="5">
        <v>0.05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45846</v>
      </c>
      <c r="X6" s="12" t="str">
        <f t="shared" si="2"/>
        <v/>
      </c>
      <c r="Y6" s="13">
        <f t="shared" si="3"/>
        <v>-0.05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45829.05076142132</v>
      </c>
      <c r="D7" s="4">
        <v>5</v>
      </c>
      <c r="E7" s="4" t="s">
        <v>158</v>
      </c>
      <c r="F7" s="7">
        <v>45846</v>
      </c>
      <c r="G7" s="5">
        <v>0.05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45846</v>
      </c>
      <c r="X7" s="12" t="str">
        <f t="shared" si="2"/>
        <v/>
      </c>
      <c r="Y7" s="13">
        <f t="shared" si="3"/>
        <v>-0.05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>
        <v>6</v>
      </c>
      <c r="E8" s="4" t="s">
        <v>159</v>
      </c>
      <c r="F8" s="7">
        <v>45846</v>
      </c>
      <c r="G8" s="5">
        <v>0.06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45846</v>
      </c>
      <c r="X8" s="12" t="str">
        <f t="shared" si="2"/>
        <v/>
      </c>
      <c r="Y8" s="13">
        <f t="shared" si="3"/>
        <v>-0.06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3.94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1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7903-863B-4C64-8E15-311EAC682606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75</v>
      </c>
      <c r="F3" s="7">
        <v>45825</v>
      </c>
      <c r="G3" s="5">
        <v>1.38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-1.38</v>
      </c>
      <c r="Z3" s="13">
        <f>I3+J3</f>
        <v>0</v>
      </c>
    </row>
    <row r="4" spans="1:26" x14ac:dyDescent="0.25">
      <c r="A4" s="1" t="s">
        <v>93</v>
      </c>
      <c r="B4" s="10">
        <v>0.47</v>
      </c>
      <c r="D4" s="4">
        <v>2</v>
      </c>
      <c r="E4" s="4" t="s">
        <v>77</v>
      </c>
      <c r="F4" s="7">
        <v>45825</v>
      </c>
      <c r="G4" s="5">
        <v>0.81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-0.81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45825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2.19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60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F0C3-3E9C-43F9-9A5F-E657A0DF4ED5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86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137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76</v>
      </c>
      <c r="F3" s="7">
        <v>45825</v>
      </c>
      <c r="G3" s="5">
        <v>1.44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45825</v>
      </c>
      <c r="X3" s="12" t="str">
        <f>H3</f>
        <v/>
      </c>
      <c r="Y3" s="13">
        <f>G3*(-1)</f>
        <v>-1.44</v>
      </c>
      <c r="Z3" s="13">
        <f>I3+J3</f>
        <v>0</v>
      </c>
    </row>
    <row r="4" spans="1:26" x14ac:dyDescent="0.25">
      <c r="A4" s="1" t="s">
        <v>93</v>
      </c>
      <c r="B4" s="10">
        <v>0.47</v>
      </c>
      <c r="D4" s="4">
        <v>2</v>
      </c>
      <c r="E4" s="4" t="s">
        <v>77</v>
      </c>
      <c r="F4" s="7">
        <v>45825</v>
      </c>
      <c r="G4" s="5">
        <v>1.51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45825</v>
      </c>
      <c r="X4" s="12" t="str">
        <f t="shared" ref="X4:X20" si="2">H4</f>
        <v/>
      </c>
      <c r="Y4" s="13">
        <f t="shared" ref="Y4:Y20" si="3">G4*(-1)</f>
        <v>-1.51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150</v>
      </c>
      <c r="F5" s="7">
        <v>45832</v>
      </c>
      <c r="G5" s="5">
        <v>1.91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45832</v>
      </c>
      <c r="X5" s="12" t="str">
        <f t="shared" si="2"/>
        <v/>
      </c>
      <c r="Y5" s="13">
        <f t="shared" si="3"/>
        <v>-1.91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45827.751028806582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45740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4.8600000000000003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59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80C2-2FC5-482E-AB8B-CF3DD0125A2A}">
  <dimension ref="A1:Z23"/>
  <sheetViews>
    <sheetView workbookViewId="0">
      <selection activeCell="C8" sqref="C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0.32</v>
      </c>
      <c r="D3" s="4">
        <v>1</v>
      </c>
      <c r="E3" s="4" t="s">
        <v>160</v>
      </c>
      <c r="F3" s="7">
        <v>45867</v>
      </c>
      <c r="G3" s="5">
        <v>1.97</v>
      </c>
      <c r="H3" s="7" t="str">
        <f>IF($B$9&gt;0,$B$9,"")</f>
        <v/>
      </c>
      <c r="I3" s="5"/>
      <c r="J3" s="4"/>
      <c r="K3" s="6"/>
      <c r="L3" s="4" t="str">
        <f>IF($B$10=$B$11,H3-F3,"")</f>
        <v/>
      </c>
      <c r="W3" s="12">
        <f>F3</f>
        <v>45867</v>
      </c>
      <c r="X3" s="12" t="str">
        <f>H3</f>
        <v/>
      </c>
      <c r="Y3" s="13">
        <f>G3*(-1)</f>
        <v>-1.97</v>
      </c>
      <c r="Z3" s="13">
        <f>I3+J3</f>
        <v>0</v>
      </c>
    </row>
    <row r="4" spans="1:26" x14ac:dyDescent="0.25">
      <c r="A4" s="1" t="s">
        <v>93</v>
      </c>
      <c r="B4" s="10">
        <v>0.76</v>
      </c>
      <c r="D4" s="4">
        <v>2</v>
      </c>
      <c r="E4" s="4" t="s">
        <v>169</v>
      </c>
      <c r="F4" s="7">
        <v>45867</v>
      </c>
      <c r="G4" s="5">
        <v>1.98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45867</v>
      </c>
      <c r="X4" s="12" t="str">
        <f t="shared" ref="X4:X20" si="2">H4</f>
        <v/>
      </c>
      <c r="Y4" s="13">
        <f t="shared" ref="Y4:Y20" si="3">G4*(-1)</f>
        <v>-1.98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170</v>
      </c>
      <c r="F5" s="7">
        <v>45867</v>
      </c>
      <c r="G5" s="5">
        <v>2</v>
      </c>
      <c r="H5" s="7" t="str">
        <f t="shared" si="0"/>
        <v/>
      </c>
      <c r="I5" s="5"/>
      <c r="J5" s="4"/>
      <c r="K5" s="6"/>
      <c r="L5" s="4" t="str">
        <f t="shared" si="1"/>
        <v/>
      </c>
      <c r="W5" s="12">
        <f>F5</f>
        <v>45867</v>
      </c>
      <c r="X5" s="12" t="str">
        <f t="shared" si="2"/>
        <v/>
      </c>
      <c r="Y5" s="13">
        <f t="shared" si="3"/>
        <v>-2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181</v>
      </c>
      <c r="F6" s="7">
        <v>45888</v>
      </c>
      <c r="G6" s="5">
        <v>2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45888</v>
      </c>
      <c r="X6" s="12" t="str">
        <f t="shared" si="2"/>
        <v/>
      </c>
      <c r="Y6" s="13">
        <f t="shared" si="3"/>
        <v>-2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45896.63216621778</v>
      </c>
      <c r="D7" s="4">
        <v>5</v>
      </c>
      <c r="E7" s="4" t="s">
        <v>187</v>
      </c>
      <c r="F7" s="7">
        <v>45888</v>
      </c>
      <c r="G7" s="5">
        <v>2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45888</v>
      </c>
      <c r="X7" s="12" t="str">
        <f t="shared" si="2"/>
        <v/>
      </c>
      <c r="Y7" s="13">
        <f t="shared" si="3"/>
        <v>-2</v>
      </c>
      <c r="Z7" s="13">
        <f t="shared" si="4"/>
        <v>0</v>
      </c>
    </row>
    <row r="8" spans="1:26" x14ac:dyDescent="0.25">
      <c r="A8" s="1" t="s">
        <v>227</v>
      </c>
      <c r="B8" s="8">
        <v>45769</v>
      </c>
      <c r="D8" s="4">
        <v>6</v>
      </c>
      <c r="E8" s="4" t="s">
        <v>188</v>
      </c>
      <c r="F8" s="7">
        <v>45888</v>
      </c>
      <c r="G8" s="5">
        <v>2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45888</v>
      </c>
      <c r="X8" s="12" t="str">
        <f t="shared" si="2"/>
        <v/>
      </c>
      <c r="Y8" s="13">
        <f t="shared" si="3"/>
        <v>-2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194</v>
      </c>
      <c r="F9" s="7">
        <v>45902</v>
      </c>
      <c r="G9" s="5">
        <v>1.98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45902</v>
      </c>
      <c r="X9" s="12" t="str">
        <f t="shared" si="2"/>
        <v/>
      </c>
      <c r="Y9" s="13">
        <f t="shared" si="3"/>
        <v>-1.98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25.99</v>
      </c>
      <c r="D10" s="4">
        <v>8</v>
      </c>
      <c r="E10" s="4" t="s">
        <v>195</v>
      </c>
      <c r="F10" s="7">
        <v>45902</v>
      </c>
      <c r="G10" s="5">
        <v>2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45902</v>
      </c>
      <c r="X10" s="12" t="str">
        <f t="shared" si="2"/>
        <v/>
      </c>
      <c r="Y10" s="13">
        <f t="shared" si="3"/>
        <v>-2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196</v>
      </c>
      <c r="F11" s="7">
        <v>45902</v>
      </c>
      <c r="G11" s="5">
        <v>1.98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45902</v>
      </c>
      <c r="X11" s="12" t="str">
        <f t="shared" si="2"/>
        <v/>
      </c>
      <c r="Y11" s="13">
        <f t="shared" si="3"/>
        <v>-1.98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197</v>
      </c>
      <c r="F12" s="7">
        <v>45909</v>
      </c>
      <c r="G12" s="5">
        <v>1.94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45909</v>
      </c>
      <c r="X12" s="12" t="str">
        <f t="shared" si="2"/>
        <v/>
      </c>
      <c r="Y12" s="13">
        <f t="shared" si="3"/>
        <v>-1.94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>
        <v>11</v>
      </c>
      <c r="E13" s="4" t="s">
        <v>202</v>
      </c>
      <c r="F13" s="7">
        <v>45909</v>
      </c>
      <c r="G13" s="5">
        <v>1.88</v>
      </c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45909</v>
      </c>
      <c r="X13" s="12" t="str">
        <f t="shared" si="2"/>
        <v/>
      </c>
      <c r="Y13" s="13">
        <f t="shared" si="3"/>
        <v>-1.88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>
        <v>12</v>
      </c>
      <c r="E14" s="4" t="s">
        <v>203</v>
      </c>
      <c r="F14" s="7">
        <v>45909</v>
      </c>
      <c r="G14" s="5">
        <v>1.97</v>
      </c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45909</v>
      </c>
      <c r="X14" s="12" t="str">
        <f t="shared" si="2"/>
        <v/>
      </c>
      <c r="Y14" s="13">
        <f t="shared" si="3"/>
        <v>-1.97</v>
      </c>
      <c r="Z14" s="13">
        <f t="shared" si="4"/>
        <v>0</v>
      </c>
    </row>
    <row r="15" spans="1:26" x14ac:dyDescent="0.25">
      <c r="D15" s="4">
        <v>13</v>
      </c>
      <c r="E15" s="4" t="s">
        <v>212</v>
      </c>
      <c r="F15" s="7">
        <v>45951</v>
      </c>
      <c r="G15" s="5">
        <v>2.29</v>
      </c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45951</v>
      </c>
      <c r="X15" s="12" t="str">
        <f t="shared" si="2"/>
        <v/>
      </c>
      <c r="Y15" s="13">
        <f t="shared" si="3"/>
        <v>-2.29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58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3DAF-EC5E-4CF7-9977-DA21BDC8B299}">
  <sheetPr>
    <tabColor rgb="FF00B050"/>
  </sheetPr>
  <dimension ref="A1:Z23"/>
  <sheetViews>
    <sheetView workbookViewId="0">
      <selection sqref="A1:B1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152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0.67</v>
      </c>
      <c r="D3" s="4">
        <v>1</v>
      </c>
      <c r="E3" s="4" t="s">
        <v>151</v>
      </c>
      <c r="F3" s="7">
        <v>45846</v>
      </c>
      <c r="G3" s="5">
        <v>1.33</v>
      </c>
      <c r="H3" s="7">
        <f>IF($B$9&gt;0,$B$9,"")</f>
        <v>45945</v>
      </c>
      <c r="I3" s="5">
        <v>1.33</v>
      </c>
      <c r="J3" s="5">
        <v>0.1</v>
      </c>
      <c r="K3" s="6">
        <v>0.26889999999999997</v>
      </c>
      <c r="L3" s="4">
        <f>IF($B$10=$B$11,H3-F3,"")</f>
        <v>99</v>
      </c>
      <c r="W3" s="12">
        <f>F3</f>
        <v>45846</v>
      </c>
      <c r="X3" s="12">
        <f>H3</f>
        <v>45945</v>
      </c>
      <c r="Y3" s="13">
        <f>G3*(-1)</f>
        <v>-1.33</v>
      </c>
      <c r="Z3" s="13">
        <f>I3+J3</f>
        <v>1.4300000000000002</v>
      </c>
    </row>
    <row r="4" spans="1:26" x14ac:dyDescent="0.25">
      <c r="A4" s="1" t="s">
        <v>93</v>
      </c>
      <c r="B4" s="10">
        <v>0.51</v>
      </c>
      <c r="D4" s="4">
        <v>2</v>
      </c>
      <c r="E4" s="4" t="s">
        <v>158</v>
      </c>
      <c r="F4" s="7">
        <v>45846</v>
      </c>
      <c r="G4" s="5">
        <v>1.31</v>
      </c>
      <c r="H4" s="7">
        <f t="shared" ref="H4:H5" si="0">IF($B$9&gt;0,$B$9,"")</f>
        <v>45945</v>
      </c>
      <c r="I4" s="5">
        <v>1.31</v>
      </c>
      <c r="J4" s="5">
        <v>0.09</v>
      </c>
      <c r="K4" s="6">
        <v>0.26889999999999997</v>
      </c>
      <c r="L4" s="4">
        <f t="shared" ref="L4:L5" si="1">IF($B$10=$B$11,H4-F4,"")</f>
        <v>99</v>
      </c>
      <c r="W4" s="12">
        <f>F4</f>
        <v>45846</v>
      </c>
      <c r="X4" s="12">
        <f t="shared" ref="X4:X20" si="2">H4</f>
        <v>45945</v>
      </c>
      <c r="Y4" s="13">
        <f t="shared" ref="Y4:Y20" si="3">G4*(-1)</f>
        <v>-1.31</v>
      </c>
      <c r="Z4" s="13">
        <f t="shared" ref="Z4:Z20" si="4">I4+J4</f>
        <v>1.4000000000000001</v>
      </c>
    </row>
    <row r="5" spans="1:26" x14ac:dyDescent="0.25">
      <c r="A5" s="1"/>
      <c r="B5" s="8"/>
      <c r="D5" s="4">
        <v>3</v>
      </c>
      <c r="E5" s="4" t="s">
        <v>159</v>
      </c>
      <c r="F5" s="7">
        <v>45846</v>
      </c>
      <c r="G5" s="5">
        <v>1.33</v>
      </c>
      <c r="H5" s="7">
        <f t="shared" si="0"/>
        <v>45945</v>
      </c>
      <c r="I5" s="5">
        <v>1.33</v>
      </c>
      <c r="J5" s="5">
        <v>0.09</v>
      </c>
      <c r="K5" s="6">
        <v>0.26889999999999997</v>
      </c>
      <c r="L5" s="4">
        <f t="shared" si="1"/>
        <v>99</v>
      </c>
      <c r="W5" s="12">
        <f>F5</f>
        <v>45846</v>
      </c>
      <c r="X5" s="12">
        <f t="shared" si="2"/>
        <v>45945</v>
      </c>
      <c r="Y5" s="13">
        <f t="shared" si="3"/>
        <v>-1.33</v>
      </c>
      <c r="Z5" s="13">
        <f t="shared" si="4"/>
        <v>1.4200000000000002</v>
      </c>
    </row>
    <row r="6" spans="1:26" x14ac:dyDescent="0.25">
      <c r="A6" s="1"/>
      <c r="B6" s="8"/>
      <c r="D6" s="4"/>
      <c r="E6" s="4"/>
      <c r="F6" s="7"/>
      <c r="G6" s="5"/>
      <c r="H6" s="7"/>
      <c r="I6" s="5"/>
      <c r="J6" s="4"/>
      <c r="K6" s="6"/>
      <c r="L6" s="4"/>
      <c r="W6" s="12">
        <f t="shared" ref="W6:W20" si="5">F6</f>
        <v>0</v>
      </c>
      <c r="X6" s="12">
        <f t="shared" si="2"/>
        <v>0</v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45846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5"/>
        <v>0</v>
      </c>
      <c r="X7" s="12">
        <f t="shared" si="2"/>
        <v>0</v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45769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5"/>
        <v>0</v>
      </c>
      <c r="X8" s="12">
        <f t="shared" si="2"/>
        <v>0</v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>
        <v>45945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5"/>
        <v>0</v>
      </c>
      <c r="X9" s="12">
        <f t="shared" si="2"/>
        <v>0</v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3.97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5"/>
        <v>0</v>
      </c>
      <c r="X10" s="12">
        <f t="shared" si="2"/>
        <v>0</v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3.97</v>
      </c>
      <c r="D11" s="4"/>
      <c r="E11" s="4"/>
      <c r="F11" s="7"/>
      <c r="G11" s="5"/>
      <c r="H11" s="7"/>
      <c r="I11" s="5"/>
      <c r="J11" s="4"/>
      <c r="K11" s="6"/>
      <c r="L11" s="4"/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0.28000000000000003</v>
      </c>
      <c r="D12" s="4"/>
      <c r="E12" s="4"/>
      <c r="F12" s="7"/>
      <c r="G12" s="5"/>
      <c r="H12" s="7"/>
      <c r="I12" s="5"/>
      <c r="J12" s="4"/>
      <c r="K12" s="6"/>
      <c r="L12" s="4"/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>
        <f>IF(B10=B11,XIRR(Y3:Z20,W3:X20),"")</f>
        <v>0.28565812706947336</v>
      </c>
      <c r="D13" s="4"/>
      <c r="E13" s="4"/>
      <c r="F13" s="7"/>
      <c r="G13" s="5"/>
      <c r="H13" s="7"/>
      <c r="I13" s="5"/>
      <c r="J13" s="4"/>
      <c r="K13" s="6"/>
      <c r="L13" s="4"/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>
        <f>IF(B10=B11,SUMPRODUCT(L3:L20,G3:G20)/SUM(G3:G20),"")</f>
        <v>99</v>
      </c>
      <c r="D14" s="4"/>
      <c r="E14" s="4"/>
      <c r="F14" s="7"/>
      <c r="G14" s="5"/>
      <c r="H14" s="7"/>
      <c r="I14" s="5"/>
      <c r="J14" s="4"/>
      <c r="K14" s="6"/>
      <c r="L14" s="4"/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/>
      <c r="I15" s="5"/>
      <c r="J15" s="4"/>
      <c r="K15" s="6"/>
      <c r="L15" s="4"/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/>
      <c r="I16" s="5"/>
      <c r="J16" s="4"/>
      <c r="K16" s="6"/>
      <c r="L16" s="4"/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/>
      <c r="I17" s="5"/>
      <c r="J17" s="4"/>
      <c r="K17" s="6"/>
      <c r="L17" s="4"/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/>
      <c r="I18" s="5"/>
      <c r="J18" s="4"/>
      <c r="K18" s="6"/>
      <c r="L18" s="4"/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/>
      <c r="I19" s="5"/>
      <c r="J19" s="4"/>
      <c r="K19" s="6"/>
      <c r="L19" s="4"/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/>
      <c r="I20" s="5"/>
      <c r="J20" s="4"/>
      <c r="K20" s="6"/>
      <c r="L20" s="4"/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57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3AE5-53DB-4165-B144-DAF308F989B4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153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0.66</v>
      </c>
      <c r="D3" s="4">
        <v>1</v>
      </c>
      <c r="E3" s="4" t="s">
        <v>151</v>
      </c>
      <c r="F3" s="7">
        <v>45846</v>
      </c>
      <c r="G3" s="5">
        <v>1.82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45846</v>
      </c>
      <c r="X3" s="12" t="str">
        <f>H3</f>
        <v/>
      </c>
      <c r="Y3" s="13">
        <f>G3*(-1)</f>
        <v>-1.82</v>
      </c>
      <c r="Z3" s="13">
        <f>I3+J3</f>
        <v>0</v>
      </c>
    </row>
    <row r="4" spans="1:26" x14ac:dyDescent="0.25">
      <c r="A4" s="1" t="s">
        <v>93</v>
      </c>
      <c r="B4" s="10">
        <v>0.48</v>
      </c>
      <c r="D4" s="4">
        <v>2</v>
      </c>
      <c r="E4" s="4" t="s">
        <v>158</v>
      </c>
      <c r="F4" s="7">
        <v>45846</v>
      </c>
      <c r="G4" s="5">
        <v>1.78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45846</v>
      </c>
      <c r="X4" s="12" t="str">
        <f t="shared" ref="X4:X20" si="2">H4</f>
        <v/>
      </c>
      <c r="Y4" s="13">
        <f t="shared" ref="Y4:Y20" si="3">G4*(-1)</f>
        <v>-1.78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159</v>
      </c>
      <c r="F5" s="7">
        <v>45846</v>
      </c>
      <c r="G5" s="5">
        <v>1.81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45846</v>
      </c>
      <c r="X5" s="12" t="str">
        <f t="shared" si="2"/>
        <v/>
      </c>
      <c r="Y5" s="13">
        <f t="shared" si="3"/>
        <v>-1.81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45846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45769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5.41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56" priority="3">
      <formula>$B$10=$B$11</formula>
    </cfRule>
  </conditionalFormatting>
  <conditionalFormatting sqref="B1">
    <cfRule type="expression" dxfId="55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A4ED-7BAE-4D30-BDAA-D267F37FE5B0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154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168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151</v>
      </c>
      <c r="F3" s="7">
        <v>45846</v>
      </c>
      <c r="G3" s="5">
        <v>1.98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45846</v>
      </c>
      <c r="X3" s="12" t="str">
        <f>H3</f>
        <v/>
      </c>
      <c r="Y3" s="13">
        <f>G3*(-1)</f>
        <v>-1.98</v>
      </c>
      <c r="Z3" s="13">
        <f>I3+J3</f>
        <v>0</v>
      </c>
    </row>
    <row r="4" spans="1:26" x14ac:dyDescent="0.25">
      <c r="A4" s="1" t="s">
        <v>93</v>
      </c>
      <c r="B4" s="10">
        <v>0.41</v>
      </c>
      <c r="D4" s="4">
        <v>2</v>
      </c>
      <c r="E4" s="4" t="s">
        <v>158</v>
      </c>
      <c r="F4" s="7">
        <v>45846</v>
      </c>
      <c r="G4" s="5">
        <v>1.99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45846</v>
      </c>
      <c r="X4" s="12" t="str">
        <f t="shared" ref="X4:X20" si="2">H4</f>
        <v/>
      </c>
      <c r="Y4" s="13">
        <f t="shared" ref="Y4:Y20" si="3">G4*(-1)</f>
        <v>-1.99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159</v>
      </c>
      <c r="F5" s="7">
        <v>45846</v>
      </c>
      <c r="G5" s="5">
        <v>1.99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45846</v>
      </c>
      <c r="X5" s="12" t="str">
        <f t="shared" si="2"/>
        <v/>
      </c>
      <c r="Y5" s="13">
        <f t="shared" si="3"/>
        <v>-1.99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160</v>
      </c>
      <c r="F6" s="7">
        <v>45867</v>
      </c>
      <c r="G6" s="5">
        <v>0.99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45867</v>
      </c>
      <c r="X6" s="12" t="str">
        <f t="shared" si="2"/>
        <v/>
      </c>
      <c r="Y6" s="13">
        <f t="shared" si="3"/>
        <v>-0.99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45853.766248574691</v>
      </c>
      <c r="D7" s="4">
        <v>5</v>
      </c>
      <c r="E7" s="4" t="s">
        <v>170</v>
      </c>
      <c r="F7" s="7">
        <v>45867</v>
      </c>
      <c r="G7" s="5">
        <v>1.56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45867</v>
      </c>
      <c r="X7" s="12" t="str">
        <f t="shared" si="2"/>
        <v/>
      </c>
      <c r="Y7" s="13">
        <f t="shared" si="3"/>
        <v>-1.56</v>
      </c>
      <c r="Z7" s="13">
        <f t="shared" si="4"/>
        <v>0</v>
      </c>
    </row>
    <row r="8" spans="1:26" x14ac:dyDescent="0.25">
      <c r="A8" s="1" t="s">
        <v>227</v>
      </c>
      <c r="B8" s="8">
        <v>45769</v>
      </c>
      <c r="D8" s="4">
        <v>6</v>
      </c>
      <c r="E8" s="4" t="s">
        <v>196</v>
      </c>
      <c r="F8" s="7">
        <v>45902</v>
      </c>
      <c r="G8" s="5">
        <v>0.26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45902</v>
      </c>
      <c r="X8" s="12" t="str">
        <f t="shared" si="2"/>
        <v/>
      </c>
      <c r="Y8" s="13">
        <f t="shared" si="3"/>
        <v>-0.26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8.77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54" priority="3">
      <formula>$B$10=$B$11</formula>
    </cfRule>
  </conditionalFormatting>
  <conditionalFormatting sqref="B1">
    <cfRule type="expression" dxfId="53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81BB-8AB7-43AE-B2EC-20833AD3E477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155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151</v>
      </c>
      <c r="F3" s="7">
        <v>45846</v>
      </c>
      <c r="G3" s="5">
        <v>1.78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45846</v>
      </c>
      <c r="X3" s="12" t="str">
        <f>H3</f>
        <v/>
      </c>
      <c r="Y3" s="13">
        <f>G3*(-1)</f>
        <v>-1.78</v>
      </c>
      <c r="Z3" s="13">
        <f>I3+J3</f>
        <v>0</v>
      </c>
    </row>
    <row r="4" spans="1:26" x14ac:dyDescent="0.25">
      <c r="A4" s="1" t="s">
        <v>93</v>
      </c>
      <c r="B4" s="10">
        <v>0.79</v>
      </c>
      <c r="D4" s="4">
        <v>2</v>
      </c>
      <c r="E4" s="4" t="s">
        <v>158</v>
      </c>
      <c r="F4" s="7">
        <v>45846</v>
      </c>
      <c r="G4" s="5">
        <v>1.74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45846</v>
      </c>
      <c r="X4" s="12" t="str">
        <f t="shared" ref="X4:X20" si="2">H4</f>
        <v/>
      </c>
      <c r="Y4" s="13">
        <f t="shared" ref="Y4:Y20" si="3">G4*(-1)</f>
        <v>-1.74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159</v>
      </c>
      <c r="F5" s="7">
        <v>45846</v>
      </c>
      <c r="G5" s="5">
        <v>1.78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45846</v>
      </c>
      <c r="X5" s="12" t="str">
        <f t="shared" si="2"/>
        <v/>
      </c>
      <c r="Y5" s="13">
        <f t="shared" si="3"/>
        <v>-1.78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45846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45769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52" priority="2">
      <formula>$B$10=$B$11</formula>
    </cfRule>
  </conditionalFormatting>
  <conditionalFormatting sqref="B1">
    <cfRule type="expression" dxfId="51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B62B-39D2-41BB-88EE-F9E4C9D7B77F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156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151</v>
      </c>
      <c r="F3" s="7">
        <v>45846</v>
      </c>
      <c r="G3" s="5">
        <v>1.5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45846</v>
      </c>
      <c r="X3" s="12" t="str">
        <f>H3</f>
        <v/>
      </c>
      <c r="Y3" s="13">
        <f>G3*(-1)</f>
        <v>-1.5</v>
      </c>
      <c r="Z3" s="13">
        <f>I3+J3</f>
        <v>0</v>
      </c>
    </row>
    <row r="4" spans="1:26" x14ac:dyDescent="0.25">
      <c r="A4" s="1" t="s">
        <v>93</v>
      </c>
      <c r="B4" s="10">
        <v>0.59</v>
      </c>
      <c r="D4" s="4">
        <v>2</v>
      </c>
      <c r="E4" s="4" t="s">
        <v>158</v>
      </c>
      <c r="F4" s="7">
        <v>45846</v>
      </c>
      <c r="G4" s="5">
        <v>1.46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45846</v>
      </c>
      <c r="X4" s="12" t="str">
        <f t="shared" ref="X4:X20" si="2">H4</f>
        <v/>
      </c>
      <c r="Y4" s="13">
        <f t="shared" ref="Y4:Y20" si="3">G4*(-1)</f>
        <v>-1.46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159</v>
      </c>
      <c r="F5" s="7">
        <v>45846</v>
      </c>
      <c r="G5" s="5">
        <v>1.49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45846</v>
      </c>
      <c r="X5" s="12" t="str">
        <f t="shared" si="2"/>
        <v/>
      </c>
      <c r="Y5" s="13">
        <f t="shared" si="3"/>
        <v>-1.49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45846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45769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4.45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50" priority="2">
      <formula>$B$10=$B$11</formula>
    </cfRule>
  </conditionalFormatting>
  <conditionalFormatting sqref="B1">
    <cfRule type="expression" dxfId="49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BDD2-2E46-4E4E-B04F-A28A28465B61}">
  <dimension ref="A1:Z23"/>
  <sheetViews>
    <sheetView workbookViewId="0">
      <selection activeCell="B9" sqref="B9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157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0.74</v>
      </c>
      <c r="D3" s="4">
        <v>1</v>
      </c>
      <c r="E3" s="4" t="s">
        <v>151</v>
      </c>
      <c r="F3" s="7">
        <v>45846</v>
      </c>
      <c r="G3" s="5">
        <v>1.47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45846</v>
      </c>
      <c r="X3" s="12" t="str">
        <f>H3</f>
        <v/>
      </c>
      <c r="Y3" s="13">
        <f>G3*(-1)</f>
        <v>-1.47</v>
      </c>
      <c r="Z3" s="13">
        <f>I3+J3</f>
        <v>0</v>
      </c>
    </row>
    <row r="4" spans="1:26" x14ac:dyDescent="0.25">
      <c r="A4" s="1" t="s">
        <v>93</v>
      </c>
      <c r="B4" s="10">
        <v>0.63</v>
      </c>
      <c r="D4" s="4">
        <v>2</v>
      </c>
      <c r="E4" s="4" t="s">
        <v>158</v>
      </c>
      <c r="F4" s="7">
        <v>45846</v>
      </c>
      <c r="G4" s="5">
        <v>1.44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45846</v>
      </c>
      <c r="X4" s="12" t="str">
        <f t="shared" ref="X4:X20" si="2">H4</f>
        <v/>
      </c>
      <c r="Y4" s="13">
        <f t="shared" ref="Y4:Y20" si="3">G4*(-1)</f>
        <v>-1.44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159</v>
      </c>
      <c r="F5" s="7">
        <v>45846</v>
      </c>
      <c r="G5" s="5">
        <v>1.47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45846</v>
      </c>
      <c r="X5" s="12" t="str">
        <f t="shared" si="2"/>
        <v/>
      </c>
      <c r="Y5" s="13">
        <f t="shared" si="3"/>
        <v>-1.47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45846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45769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4.38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48" priority="2">
      <formula>$B$10=$B$11</formula>
    </cfRule>
  </conditionalFormatting>
  <conditionalFormatting sqref="B1">
    <cfRule type="expression" dxfId="47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D986-4C24-4C02-8376-3E291B4A93D9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177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0.74</v>
      </c>
      <c r="D3" s="4">
        <v>1</v>
      </c>
      <c r="E3" s="4" t="s">
        <v>160</v>
      </c>
      <c r="F3" s="7">
        <v>45867</v>
      </c>
      <c r="G3" s="5">
        <v>1.2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45867</v>
      </c>
      <c r="X3" s="12" t="str">
        <f>H3</f>
        <v/>
      </c>
      <c r="Y3" s="13">
        <f>G3*(-1)</f>
        <v>-1.2</v>
      </c>
      <c r="Z3" s="13">
        <f>I3+J3</f>
        <v>0</v>
      </c>
    </row>
    <row r="4" spans="1:26" x14ac:dyDescent="0.25">
      <c r="A4" s="1" t="s">
        <v>93</v>
      </c>
      <c r="B4" s="10">
        <v>0.87</v>
      </c>
      <c r="D4" s="4">
        <v>2</v>
      </c>
      <c r="E4" s="4" t="s">
        <v>169</v>
      </c>
      <c r="F4" s="7">
        <v>45867</v>
      </c>
      <c r="G4" s="5">
        <v>1.44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45867</v>
      </c>
      <c r="X4" s="12" t="str">
        <f t="shared" ref="X4:X20" si="2">H4</f>
        <v/>
      </c>
      <c r="Y4" s="13">
        <f t="shared" ref="Y4:Y20" si="3">G4*(-1)</f>
        <v>-1.44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170</v>
      </c>
      <c r="F5" s="7">
        <v>45867</v>
      </c>
      <c r="G5" s="5">
        <v>1.18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45867</v>
      </c>
      <c r="X5" s="12" t="str">
        <f t="shared" si="2"/>
        <v/>
      </c>
      <c r="Y5" s="13">
        <f t="shared" si="3"/>
        <v>-1.18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187</v>
      </c>
      <c r="F6" s="7">
        <v>45888</v>
      </c>
      <c r="G6" s="5">
        <v>0.12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45888</v>
      </c>
      <c r="X6" s="12" t="str">
        <f t="shared" si="2"/>
        <v/>
      </c>
      <c r="Y6" s="13">
        <f t="shared" si="3"/>
        <v>-0.12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45872.505446623094</v>
      </c>
      <c r="D7" s="4">
        <v>5</v>
      </c>
      <c r="E7" s="4" t="s">
        <v>195</v>
      </c>
      <c r="F7" s="7">
        <v>45902</v>
      </c>
      <c r="G7" s="5">
        <v>0.65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45902</v>
      </c>
      <c r="X7" s="12" t="str">
        <f t="shared" si="2"/>
        <v/>
      </c>
      <c r="Y7" s="13">
        <f t="shared" si="3"/>
        <v>-0.65</v>
      </c>
      <c r="Z7" s="13">
        <f t="shared" si="4"/>
        <v>0</v>
      </c>
    </row>
    <row r="8" spans="1:26" x14ac:dyDescent="0.25">
      <c r="A8" s="1" t="s">
        <v>227</v>
      </c>
      <c r="B8" s="8">
        <v>45842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4.59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46" priority="2">
      <formula>$B$10=$B$11</formula>
    </cfRule>
  </conditionalFormatting>
  <conditionalFormatting sqref="B1">
    <cfRule type="expression" dxfId="45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6766-FCB1-4169-9539-03C0062E5540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0.66</v>
      </c>
      <c r="D3" s="4">
        <v>1</v>
      </c>
      <c r="E3" s="4" t="s">
        <v>160</v>
      </c>
      <c r="F3" s="7">
        <v>45867</v>
      </c>
      <c r="G3" s="5">
        <v>1.99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45867</v>
      </c>
      <c r="X3" s="12" t="str">
        <f>H3</f>
        <v/>
      </c>
      <c r="Y3" s="13">
        <f>G3*(-1)</f>
        <v>-1.99</v>
      </c>
      <c r="Z3" s="13">
        <f>I3+J3</f>
        <v>0</v>
      </c>
    </row>
    <row r="4" spans="1:26" x14ac:dyDescent="0.25">
      <c r="A4" s="1" t="s">
        <v>93</v>
      </c>
      <c r="B4" s="10">
        <v>0.73</v>
      </c>
      <c r="D4" s="4">
        <v>2</v>
      </c>
      <c r="E4" s="4" t="s">
        <v>169</v>
      </c>
      <c r="F4" s="7">
        <v>45867</v>
      </c>
      <c r="G4" s="5">
        <v>1.98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45867</v>
      </c>
      <c r="X4" s="12" t="str">
        <f t="shared" ref="X4:X20" si="2">H4</f>
        <v/>
      </c>
      <c r="Y4" s="13">
        <f t="shared" ref="Y4:Y20" si="3">G4*(-1)</f>
        <v>-1.98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170</v>
      </c>
      <c r="F5" s="7">
        <v>45867</v>
      </c>
      <c r="G5" s="5">
        <v>1.96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45867</v>
      </c>
      <c r="X5" s="12" t="str">
        <f t="shared" si="2"/>
        <v/>
      </c>
      <c r="Y5" s="13">
        <f t="shared" si="3"/>
        <v>-1.96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181</v>
      </c>
      <c r="F6" s="7">
        <v>45888</v>
      </c>
      <c r="G6" s="5">
        <v>1.28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45888</v>
      </c>
      <c r="X6" s="12" t="str">
        <f t="shared" si="2"/>
        <v/>
      </c>
      <c r="Y6" s="13">
        <f t="shared" si="3"/>
        <v>-1.28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45881.01124497992</v>
      </c>
      <c r="D7" s="4">
        <v>5</v>
      </c>
      <c r="E7" s="4" t="s">
        <v>187</v>
      </c>
      <c r="F7" s="7">
        <v>45888</v>
      </c>
      <c r="G7" s="5">
        <v>1.29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45888</v>
      </c>
      <c r="X7" s="12" t="str">
        <f t="shared" si="2"/>
        <v/>
      </c>
      <c r="Y7" s="13">
        <f t="shared" si="3"/>
        <v>-1.29</v>
      </c>
      <c r="Z7" s="13">
        <f t="shared" si="4"/>
        <v>0</v>
      </c>
    </row>
    <row r="8" spans="1:26" x14ac:dyDescent="0.25">
      <c r="A8" s="1" t="s">
        <v>227</v>
      </c>
      <c r="B8" s="8">
        <v>45842</v>
      </c>
      <c r="D8" s="4">
        <v>6</v>
      </c>
      <c r="E8" s="4" t="s">
        <v>188</v>
      </c>
      <c r="F8" s="7">
        <v>45888</v>
      </c>
      <c r="G8" s="5">
        <v>1.27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45888</v>
      </c>
      <c r="X8" s="12" t="str">
        <f t="shared" si="2"/>
        <v/>
      </c>
      <c r="Y8" s="13">
        <f t="shared" si="3"/>
        <v>-1.27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194</v>
      </c>
      <c r="F9" s="7">
        <v>45902</v>
      </c>
      <c r="G9" s="5">
        <v>1.57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45902</v>
      </c>
      <c r="X9" s="12" t="str">
        <f t="shared" si="2"/>
        <v/>
      </c>
      <c r="Y9" s="13">
        <f t="shared" si="3"/>
        <v>-1.57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12.45</v>
      </c>
      <c r="D10" s="4">
        <v>8</v>
      </c>
      <c r="E10" s="4" t="s">
        <v>195</v>
      </c>
      <c r="F10" s="7">
        <v>45902</v>
      </c>
      <c r="G10" s="5">
        <v>0.82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45902</v>
      </c>
      <c r="X10" s="12" t="str">
        <f t="shared" si="2"/>
        <v/>
      </c>
      <c r="Y10" s="13">
        <f t="shared" si="3"/>
        <v>-0.82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196</v>
      </c>
      <c r="F11" s="7">
        <v>45902</v>
      </c>
      <c r="G11" s="5">
        <v>0.28999999999999998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45902</v>
      </c>
      <c r="X11" s="12" t="str">
        <f t="shared" si="2"/>
        <v/>
      </c>
      <c r="Y11" s="13">
        <f t="shared" si="3"/>
        <v>-0.28999999999999998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44" priority="2">
      <formula>$B$10=$B$11</formula>
    </cfRule>
  </conditionalFormatting>
  <conditionalFormatting sqref="B1">
    <cfRule type="expression" dxfId="43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AD18-295D-4AA5-95BB-D874437B60B8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180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0.67</v>
      </c>
      <c r="D3" s="4">
        <v>1</v>
      </c>
      <c r="E3" s="4" t="s">
        <v>160</v>
      </c>
      <c r="F3" s="7">
        <v>45867</v>
      </c>
      <c r="G3" s="5">
        <v>1.06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45867</v>
      </c>
      <c r="X3" s="12" t="str">
        <f>H3</f>
        <v/>
      </c>
      <c r="Y3" s="13">
        <f>G3*(-1)</f>
        <v>-1.06</v>
      </c>
      <c r="Z3" s="13">
        <f>I3+J3</f>
        <v>0</v>
      </c>
    </row>
    <row r="4" spans="1:26" x14ac:dyDescent="0.25">
      <c r="A4" s="1" t="s">
        <v>93</v>
      </c>
      <c r="B4" s="10">
        <v>0.55000000000000004</v>
      </c>
      <c r="D4" s="4">
        <v>2</v>
      </c>
      <c r="E4" s="4" t="s">
        <v>169</v>
      </c>
      <c r="F4" s="7">
        <v>45867</v>
      </c>
      <c r="G4" s="5">
        <v>1.27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45867</v>
      </c>
      <c r="X4" s="12" t="str">
        <f t="shared" ref="X4:X20" si="2">H4</f>
        <v/>
      </c>
      <c r="Y4" s="13">
        <f t="shared" ref="Y4:Y20" si="3">G4*(-1)</f>
        <v>-1.27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170</v>
      </c>
      <c r="F5" s="7">
        <v>45867</v>
      </c>
      <c r="G5" s="5">
        <v>1.04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45867</v>
      </c>
      <c r="X5" s="12" t="str">
        <f t="shared" si="2"/>
        <v/>
      </c>
      <c r="Y5" s="13">
        <f t="shared" si="3"/>
        <v>-1.04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188</v>
      </c>
      <c r="F6" s="7">
        <v>45888</v>
      </c>
      <c r="G6" s="5">
        <v>0.1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45888</v>
      </c>
      <c r="X6" s="12" t="str">
        <f t="shared" si="2"/>
        <v/>
      </c>
      <c r="Y6" s="13">
        <f t="shared" si="3"/>
        <v>-0.1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45867.605187319881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45842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3.47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42" priority="2">
      <formula>$B$10=$B$11</formula>
    </cfRule>
  </conditionalFormatting>
  <conditionalFormatting sqref="B1">
    <cfRule type="expression" dxfId="41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18B6-3A9D-4C28-AE3C-B93A916BD8D9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165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178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0.61</v>
      </c>
      <c r="D3" s="4">
        <v>1</v>
      </c>
      <c r="E3" s="4" t="s">
        <v>160</v>
      </c>
      <c r="F3" s="7">
        <v>45867</v>
      </c>
      <c r="G3" s="5">
        <v>0.82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45867</v>
      </c>
      <c r="X3" s="12" t="str">
        <f>H3</f>
        <v/>
      </c>
      <c r="Y3" s="13">
        <f>G3*(-1)</f>
        <v>-0.82</v>
      </c>
      <c r="Z3" s="13">
        <f>I3+J3</f>
        <v>0</v>
      </c>
    </row>
    <row r="4" spans="1:26" x14ac:dyDescent="0.25">
      <c r="A4" s="1" t="s">
        <v>93</v>
      </c>
      <c r="B4" s="10">
        <v>0.87</v>
      </c>
      <c r="D4" s="4">
        <v>2</v>
      </c>
      <c r="E4" s="4" t="s">
        <v>169</v>
      </c>
      <c r="F4" s="7">
        <v>45867</v>
      </c>
      <c r="G4" s="5">
        <v>0.97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45867</v>
      </c>
      <c r="X4" s="12" t="str">
        <f t="shared" ref="X4:X20" si="2">H4</f>
        <v/>
      </c>
      <c r="Y4" s="13">
        <f t="shared" ref="Y4:Y20" si="3">G4*(-1)</f>
        <v>-0.97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170</v>
      </c>
      <c r="F5" s="7">
        <v>45867</v>
      </c>
      <c r="G5" s="5">
        <v>0.8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45867</v>
      </c>
      <c r="X5" s="12" t="str">
        <f t="shared" si="2"/>
        <v/>
      </c>
      <c r="Y5" s="13">
        <f t="shared" si="3"/>
        <v>-0.8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45867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45842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2.59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40" priority="2">
      <formula>$B$10=$B$11</formula>
    </cfRule>
  </conditionalFormatting>
  <conditionalFormatting sqref="B1">
    <cfRule type="expression" dxfId="39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D311-D08D-449A-934A-EBF710C8F5A3}">
  <dimension ref="A1:Z23"/>
  <sheetViews>
    <sheetView workbookViewId="0">
      <selection activeCell="B27" sqref="B27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182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189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0.69</v>
      </c>
      <c r="D3" s="4">
        <v>1</v>
      </c>
      <c r="E3" s="4" t="s">
        <v>181</v>
      </c>
      <c r="F3" s="7">
        <v>45888</v>
      </c>
      <c r="G3" s="5">
        <v>0.94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45888</v>
      </c>
      <c r="X3" s="12" t="str">
        <f>H3</f>
        <v/>
      </c>
      <c r="Y3" s="13">
        <f>G3*(-1)</f>
        <v>-0.94</v>
      </c>
      <c r="Z3" s="13">
        <f>I3+J3</f>
        <v>0</v>
      </c>
    </row>
    <row r="4" spans="1:26" x14ac:dyDescent="0.25">
      <c r="A4" s="1" t="s">
        <v>93</v>
      </c>
      <c r="B4" s="10">
        <v>0.67</v>
      </c>
      <c r="D4" s="4">
        <v>2</v>
      </c>
      <c r="E4" s="4" t="s">
        <v>187</v>
      </c>
      <c r="F4" s="7">
        <v>45888</v>
      </c>
      <c r="G4" s="5">
        <v>0.94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45888</v>
      </c>
      <c r="X4" s="12" t="str">
        <f t="shared" ref="X4:X20" si="2">H4</f>
        <v/>
      </c>
      <c r="Y4" s="13">
        <f t="shared" ref="Y4:Y20" si="3">G4*(-1)</f>
        <v>-0.94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188</v>
      </c>
      <c r="F5" s="7">
        <v>45888</v>
      </c>
      <c r="G5" s="5">
        <v>0.95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45888</v>
      </c>
      <c r="X5" s="12" t="str">
        <f t="shared" si="2"/>
        <v/>
      </c>
      <c r="Y5" s="13">
        <f t="shared" si="3"/>
        <v>-0.95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194</v>
      </c>
      <c r="F6" s="7">
        <v>45902</v>
      </c>
      <c r="G6" s="5">
        <v>0.75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45902</v>
      </c>
      <c r="X6" s="12" t="str">
        <f t="shared" si="2"/>
        <v/>
      </c>
      <c r="Y6" s="13">
        <f t="shared" si="3"/>
        <v>-0.75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45895.663282571913</v>
      </c>
      <c r="D7" s="4">
        <v>5</v>
      </c>
      <c r="E7" s="4" t="s">
        <v>195</v>
      </c>
      <c r="F7" s="7">
        <v>45902</v>
      </c>
      <c r="G7" s="5">
        <v>0.9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45902</v>
      </c>
      <c r="X7" s="12" t="str">
        <f t="shared" si="2"/>
        <v/>
      </c>
      <c r="Y7" s="13">
        <f t="shared" si="3"/>
        <v>-0.9</v>
      </c>
      <c r="Z7" s="13">
        <f t="shared" si="4"/>
        <v>0</v>
      </c>
    </row>
    <row r="8" spans="1:26" x14ac:dyDescent="0.25">
      <c r="A8" s="1" t="s">
        <v>227</v>
      </c>
      <c r="B8" s="8">
        <v>45842</v>
      </c>
      <c r="D8" s="4">
        <v>6</v>
      </c>
      <c r="E8" s="4" t="s">
        <v>196</v>
      </c>
      <c r="F8" s="7">
        <v>45902</v>
      </c>
      <c r="G8" s="5">
        <v>1.1200000000000001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45902</v>
      </c>
      <c r="X8" s="12" t="str">
        <f t="shared" si="2"/>
        <v/>
      </c>
      <c r="Y8" s="13">
        <f t="shared" si="3"/>
        <v>-1.1200000000000001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203</v>
      </c>
      <c r="F9" s="7">
        <v>45909</v>
      </c>
      <c r="G9" s="5">
        <v>0.31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45909</v>
      </c>
      <c r="X9" s="12" t="str">
        <f t="shared" si="2"/>
        <v/>
      </c>
      <c r="Y9" s="13">
        <f t="shared" si="3"/>
        <v>-0.31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5.91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38" priority="2">
      <formula>$B$10=$B$11</formula>
    </cfRule>
  </conditionalFormatting>
  <conditionalFormatting sqref="B1">
    <cfRule type="expression" dxfId="37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B851-AFA7-40BC-AA26-A6375FBDB3EB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183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190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0.65</v>
      </c>
      <c r="D3" s="4">
        <v>1</v>
      </c>
      <c r="E3" s="4" t="s">
        <v>181</v>
      </c>
      <c r="F3" s="7">
        <v>45888</v>
      </c>
      <c r="G3" s="5">
        <v>1.1399999999999999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45888</v>
      </c>
      <c r="X3" s="12" t="str">
        <f>H3</f>
        <v/>
      </c>
      <c r="Y3" s="13">
        <f>G3*(-1)</f>
        <v>-1.1399999999999999</v>
      </c>
      <c r="Z3" s="13">
        <f>I3+J3</f>
        <v>0</v>
      </c>
    </row>
    <row r="4" spans="1:26" x14ac:dyDescent="0.25">
      <c r="A4" s="1" t="s">
        <v>93</v>
      </c>
      <c r="B4" s="10">
        <v>0.84</v>
      </c>
      <c r="D4" s="4">
        <v>2</v>
      </c>
      <c r="E4" s="4" t="s">
        <v>187</v>
      </c>
      <c r="F4" s="7">
        <v>45888</v>
      </c>
      <c r="G4" s="5">
        <v>1.1399999999999999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45888</v>
      </c>
      <c r="X4" s="12" t="str">
        <f t="shared" ref="X4:X20" si="2">H4</f>
        <v/>
      </c>
      <c r="Y4" s="13">
        <f t="shared" ref="Y4:Y20" si="3">G4*(-1)</f>
        <v>-1.1399999999999999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188</v>
      </c>
      <c r="F5" s="7">
        <v>45888</v>
      </c>
      <c r="G5" s="5">
        <v>1.1499999999999999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45888</v>
      </c>
      <c r="X5" s="12" t="str">
        <f t="shared" si="2"/>
        <v/>
      </c>
      <c r="Y5" s="13">
        <f t="shared" si="3"/>
        <v>-1.1499999999999999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194</v>
      </c>
      <c r="F6" s="7">
        <v>45902</v>
      </c>
      <c r="G6" s="5">
        <v>0.91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45902</v>
      </c>
      <c r="X6" s="12" t="str">
        <f t="shared" si="2"/>
        <v/>
      </c>
      <c r="Y6" s="13">
        <f t="shared" si="3"/>
        <v>-0.91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45896.342592592591</v>
      </c>
      <c r="D7" s="4">
        <v>5</v>
      </c>
      <c r="E7" s="4" t="s">
        <v>195</v>
      </c>
      <c r="F7" s="7">
        <v>45902</v>
      </c>
      <c r="G7" s="5">
        <v>1.1000000000000001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45902</v>
      </c>
      <c r="X7" s="12" t="str">
        <f t="shared" si="2"/>
        <v/>
      </c>
      <c r="Y7" s="13">
        <f t="shared" si="3"/>
        <v>-1.1000000000000001</v>
      </c>
      <c r="Z7" s="13">
        <f t="shared" si="4"/>
        <v>0</v>
      </c>
    </row>
    <row r="8" spans="1:26" x14ac:dyDescent="0.25">
      <c r="A8" s="1" t="s">
        <v>227</v>
      </c>
      <c r="B8" s="8">
        <v>45820</v>
      </c>
      <c r="D8" s="4">
        <v>6</v>
      </c>
      <c r="E8" s="4" t="s">
        <v>196</v>
      </c>
      <c r="F8" s="7">
        <v>45902</v>
      </c>
      <c r="G8" s="5">
        <v>1.37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45902</v>
      </c>
      <c r="X8" s="12" t="str">
        <f t="shared" si="2"/>
        <v/>
      </c>
      <c r="Y8" s="13">
        <f t="shared" si="3"/>
        <v>-1.37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197</v>
      </c>
      <c r="F9" s="7">
        <v>45909</v>
      </c>
      <c r="G9" s="5">
        <v>0.37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45909</v>
      </c>
      <c r="X9" s="12" t="str">
        <f t="shared" si="2"/>
        <v/>
      </c>
      <c r="Y9" s="13">
        <f t="shared" si="3"/>
        <v>-0.37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7.56</v>
      </c>
      <c r="D10" s="4">
        <v>8</v>
      </c>
      <c r="E10" s="4" t="s">
        <v>203</v>
      </c>
      <c r="F10" s="7">
        <v>45909</v>
      </c>
      <c r="G10" s="5">
        <v>0.38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45909</v>
      </c>
      <c r="X10" s="12" t="str">
        <f t="shared" si="2"/>
        <v/>
      </c>
      <c r="Y10" s="13">
        <f t="shared" si="3"/>
        <v>-0.38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36" priority="2">
      <formula>$B$10=$B$11</formula>
    </cfRule>
  </conditionalFormatting>
  <conditionalFormatting sqref="B1">
    <cfRule type="expression" dxfId="35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CE9F-E713-438F-9263-7A86C1ECEB67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184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191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0.64</v>
      </c>
      <c r="D3" s="4">
        <v>1</v>
      </c>
      <c r="E3" s="4" t="s">
        <v>181</v>
      </c>
      <c r="F3" s="7">
        <v>45888</v>
      </c>
      <c r="G3" s="5">
        <v>1.99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45888</v>
      </c>
      <c r="X3" s="12" t="str">
        <f>H3</f>
        <v/>
      </c>
      <c r="Y3" s="13">
        <f>G3*(-1)</f>
        <v>-1.99</v>
      </c>
      <c r="Z3" s="13">
        <f>I3+J3</f>
        <v>0</v>
      </c>
    </row>
    <row r="4" spans="1:26" x14ac:dyDescent="0.25">
      <c r="A4" s="1" t="s">
        <v>93</v>
      </c>
      <c r="B4" s="10">
        <v>0.84</v>
      </c>
      <c r="D4" s="4">
        <v>2</v>
      </c>
      <c r="E4" s="4" t="s">
        <v>187</v>
      </c>
      <c r="F4" s="7">
        <v>45888</v>
      </c>
      <c r="G4" s="5">
        <v>1.98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45888</v>
      </c>
      <c r="X4" s="12" t="str">
        <f t="shared" ref="X4:X20" si="2">H4</f>
        <v/>
      </c>
      <c r="Y4" s="13">
        <f t="shared" ref="Y4:Y20" si="3">G4*(-1)</f>
        <v>-1.98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188</v>
      </c>
      <c r="F5" s="7">
        <v>45888</v>
      </c>
      <c r="G5" s="5">
        <v>1.99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45888</v>
      </c>
      <c r="X5" s="12" t="str">
        <f t="shared" si="2"/>
        <v/>
      </c>
      <c r="Y5" s="13">
        <f t="shared" si="3"/>
        <v>-1.99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194</v>
      </c>
      <c r="F6" s="7">
        <v>45902</v>
      </c>
      <c r="G6" s="5">
        <v>1.98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45902</v>
      </c>
      <c r="X6" s="12" t="str">
        <f t="shared" si="2"/>
        <v/>
      </c>
      <c r="Y6" s="13">
        <f t="shared" si="3"/>
        <v>-1.98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45904.524707081</v>
      </c>
      <c r="D7" s="4">
        <v>5</v>
      </c>
      <c r="E7" s="4" t="s">
        <v>195</v>
      </c>
      <c r="F7" s="7">
        <v>45902</v>
      </c>
      <c r="G7" s="5">
        <v>1.99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45902</v>
      </c>
      <c r="X7" s="12" t="str">
        <f t="shared" si="2"/>
        <v/>
      </c>
      <c r="Y7" s="13">
        <f t="shared" si="3"/>
        <v>-1.99</v>
      </c>
      <c r="Z7" s="13">
        <f t="shared" si="4"/>
        <v>0</v>
      </c>
    </row>
    <row r="8" spans="1:26" x14ac:dyDescent="0.25">
      <c r="A8" s="1" t="s">
        <v>227</v>
      </c>
      <c r="B8" s="8">
        <v>45820</v>
      </c>
      <c r="D8" s="4">
        <v>6</v>
      </c>
      <c r="E8" s="4" t="s">
        <v>196</v>
      </c>
      <c r="F8" s="7">
        <v>45902</v>
      </c>
      <c r="G8" s="5">
        <v>1.98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45902</v>
      </c>
      <c r="X8" s="12" t="str">
        <f t="shared" si="2"/>
        <v/>
      </c>
      <c r="Y8" s="13">
        <f t="shared" si="3"/>
        <v>-1.98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197</v>
      </c>
      <c r="F9" s="7">
        <v>45909</v>
      </c>
      <c r="G9" s="5">
        <v>1.96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45909</v>
      </c>
      <c r="X9" s="12" t="str">
        <f t="shared" si="2"/>
        <v/>
      </c>
      <c r="Y9" s="13">
        <f t="shared" si="3"/>
        <v>-1.96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19.63</v>
      </c>
      <c r="D10" s="4">
        <v>8</v>
      </c>
      <c r="E10" s="4" t="s">
        <v>202</v>
      </c>
      <c r="F10" s="7">
        <v>45909</v>
      </c>
      <c r="G10" s="5">
        <v>1.9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45909</v>
      </c>
      <c r="X10" s="12" t="str">
        <f t="shared" si="2"/>
        <v/>
      </c>
      <c r="Y10" s="13">
        <f t="shared" si="3"/>
        <v>-1.9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>
        <v>9</v>
      </c>
      <c r="E11" s="4" t="s">
        <v>203</v>
      </c>
      <c r="F11" s="7">
        <v>45909</v>
      </c>
      <c r="G11" s="5">
        <v>1.98</v>
      </c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45909</v>
      </c>
      <c r="X11" s="12" t="str">
        <f t="shared" si="2"/>
        <v/>
      </c>
      <c r="Y11" s="13">
        <f t="shared" si="3"/>
        <v>-1.98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>
        <v>10</v>
      </c>
      <c r="E12" s="4" t="s">
        <v>212</v>
      </c>
      <c r="F12" s="7">
        <v>45951</v>
      </c>
      <c r="G12" s="5">
        <v>1.88</v>
      </c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45951</v>
      </c>
      <c r="X12" s="12" t="str">
        <f t="shared" si="2"/>
        <v/>
      </c>
      <c r="Y12" s="13">
        <f t="shared" si="3"/>
        <v>-1.88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34" priority="2">
      <formula>$B$10=$B$11</formula>
    </cfRule>
  </conditionalFormatting>
  <conditionalFormatting sqref="B1">
    <cfRule type="expression" dxfId="33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F1CF-BCA9-4F25-8BFF-5F466BF3B55C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185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192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0.71</v>
      </c>
      <c r="D3" s="4">
        <v>1</v>
      </c>
      <c r="E3" s="4" t="s">
        <v>181</v>
      </c>
      <c r="F3" s="7">
        <v>45888</v>
      </c>
      <c r="G3" s="5">
        <v>1.29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45888</v>
      </c>
      <c r="X3" s="12" t="str">
        <f>H3</f>
        <v/>
      </c>
      <c r="Y3" s="13">
        <f>G3*(-1)</f>
        <v>-1.29</v>
      </c>
      <c r="Z3" s="13">
        <f>I3+J3</f>
        <v>0</v>
      </c>
    </row>
    <row r="4" spans="1:26" x14ac:dyDescent="0.25">
      <c r="A4" s="1" t="s">
        <v>93</v>
      </c>
      <c r="B4" s="10">
        <v>0.85</v>
      </c>
      <c r="D4" s="4">
        <v>2</v>
      </c>
      <c r="E4" s="4" t="s">
        <v>187</v>
      </c>
      <c r="F4" s="7">
        <v>45888</v>
      </c>
      <c r="G4" s="5">
        <v>1.29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45888</v>
      </c>
      <c r="X4" s="12" t="str">
        <f t="shared" ref="X4:X20" si="2">H4</f>
        <v/>
      </c>
      <c r="Y4" s="13">
        <f t="shared" ref="Y4:Y20" si="3">G4*(-1)</f>
        <v>-1.29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188</v>
      </c>
      <c r="F5" s="7">
        <v>45888</v>
      </c>
      <c r="G5" s="5">
        <v>1.3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45888</v>
      </c>
      <c r="X5" s="12" t="str">
        <f t="shared" si="2"/>
        <v/>
      </c>
      <c r="Y5" s="13">
        <f t="shared" si="3"/>
        <v>-1.3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194</v>
      </c>
      <c r="F6" s="7">
        <v>45902</v>
      </c>
      <c r="G6" s="5">
        <v>1.02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45902</v>
      </c>
      <c r="X6" s="12" t="str">
        <f t="shared" si="2"/>
        <v/>
      </c>
      <c r="Y6" s="13">
        <f t="shared" si="3"/>
        <v>-1.02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45895.709401709391</v>
      </c>
      <c r="D7" s="4">
        <v>5</v>
      </c>
      <c r="E7" s="4" t="s">
        <v>195</v>
      </c>
      <c r="F7" s="7">
        <v>45902</v>
      </c>
      <c r="G7" s="5">
        <v>1.36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45902</v>
      </c>
      <c r="X7" s="12" t="str">
        <f t="shared" si="2"/>
        <v/>
      </c>
      <c r="Y7" s="13">
        <f t="shared" si="3"/>
        <v>-1.36</v>
      </c>
      <c r="Z7" s="13">
        <f t="shared" si="4"/>
        <v>0</v>
      </c>
    </row>
    <row r="8" spans="1:26" x14ac:dyDescent="0.25">
      <c r="A8" s="1" t="s">
        <v>227</v>
      </c>
      <c r="B8" s="8">
        <v>45820</v>
      </c>
      <c r="D8" s="4">
        <v>6</v>
      </c>
      <c r="E8" s="4" t="s">
        <v>196</v>
      </c>
      <c r="F8" s="7">
        <v>45902</v>
      </c>
      <c r="G8" s="5">
        <v>1.53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45902</v>
      </c>
      <c r="X8" s="12" t="str">
        <f t="shared" si="2"/>
        <v/>
      </c>
      <c r="Y8" s="13">
        <f t="shared" si="3"/>
        <v>-1.53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202</v>
      </c>
      <c r="F9" s="7">
        <v>45909</v>
      </c>
      <c r="G9" s="5">
        <v>0.4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45909</v>
      </c>
      <c r="X9" s="12" t="str">
        <f t="shared" si="2"/>
        <v/>
      </c>
      <c r="Y9" s="13">
        <f t="shared" si="3"/>
        <v>-0.4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8.1900000000000013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32" priority="2">
      <formula>$B$10=$B$11</formula>
    </cfRule>
  </conditionalFormatting>
  <conditionalFormatting sqref="B1">
    <cfRule type="expression" dxfId="31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3986-BE59-4902-B9AC-B6B2926D4C98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186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193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0.68</v>
      </c>
      <c r="D3" s="4">
        <v>1</v>
      </c>
      <c r="E3" s="4" t="s">
        <v>181</v>
      </c>
      <c r="F3" s="7">
        <v>45888</v>
      </c>
      <c r="G3" s="5">
        <v>1.23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45888</v>
      </c>
      <c r="X3" s="12" t="str">
        <f>H3</f>
        <v/>
      </c>
      <c r="Y3" s="13">
        <f>G3*(-1)</f>
        <v>-1.23</v>
      </c>
      <c r="Z3" s="13">
        <f>I3+J3</f>
        <v>0</v>
      </c>
    </row>
    <row r="4" spans="1:26" x14ac:dyDescent="0.25">
      <c r="A4" s="1" t="s">
        <v>93</v>
      </c>
      <c r="B4" s="10">
        <v>0.81</v>
      </c>
      <c r="D4" s="4">
        <v>2</v>
      </c>
      <c r="E4" s="4" t="s">
        <v>187</v>
      </c>
      <c r="F4" s="7">
        <v>45888</v>
      </c>
      <c r="G4" s="5">
        <v>1.24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45888</v>
      </c>
      <c r="X4" s="12" t="str">
        <f t="shared" ref="X4:X20" si="2">H4</f>
        <v/>
      </c>
      <c r="Y4" s="13">
        <f t="shared" ref="Y4:Y20" si="3">G4*(-1)</f>
        <v>-1.24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188</v>
      </c>
      <c r="F5" s="7">
        <v>45888</v>
      </c>
      <c r="G5" s="5">
        <v>1.24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45888</v>
      </c>
      <c r="X5" s="12" t="str">
        <f t="shared" si="2"/>
        <v/>
      </c>
      <c r="Y5" s="13">
        <f t="shared" si="3"/>
        <v>-1.24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194</v>
      </c>
      <c r="F6" s="7">
        <v>45902</v>
      </c>
      <c r="G6" s="5">
        <v>0.98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45902</v>
      </c>
      <c r="X6" s="12" t="str">
        <f t="shared" si="2"/>
        <v/>
      </c>
      <c r="Y6" s="13">
        <f t="shared" si="3"/>
        <v>-0.98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45896.275862068964</v>
      </c>
      <c r="D7" s="4">
        <v>5</v>
      </c>
      <c r="E7" s="4" t="s">
        <v>195</v>
      </c>
      <c r="F7" s="7">
        <v>45902</v>
      </c>
      <c r="G7" s="5">
        <v>1.18</v>
      </c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45902</v>
      </c>
      <c r="X7" s="12" t="str">
        <f t="shared" si="2"/>
        <v/>
      </c>
      <c r="Y7" s="13">
        <f t="shared" si="3"/>
        <v>-1.18</v>
      </c>
      <c r="Z7" s="13">
        <f t="shared" si="4"/>
        <v>0</v>
      </c>
    </row>
    <row r="8" spans="1:26" x14ac:dyDescent="0.25">
      <c r="A8" s="1" t="s">
        <v>227</v>
      </c>
      <c r="B8" s="8">
        <v>45820</v>
      </c>
      <c r="D8" s="4">
        <v>6</v>
      </c>
      <c r="E8" s="4" t="s">
        <v>196</v>
      </c>
      <c r="F8" s="7">
        <v>45902</v>
      </c>
      <c r="G8" s="5">
        <v>1.47</v>
      </c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45902</v>
      </c>
      <c r="X8" s="12" t="str">
        <f t="shared" si="2"/>
        <v/>
      </c>
      <c r="Y8" s="13">
        <f t="shared" si="3"/>
        <v>-1.47</v>
      </c>
      <c r="Z8" s="13">
        <f t="shared" si="4"/>
        <v>0</v>
      </c>
    </row>
    <row r="9" spans="1:26" x14ac:dyDescent="0.25">
      <c r="A9" s="1" t="s">
        <v>240</v>
      </c>
      <c r="B9" s="8"/>
      <c r="D9" s="4">
        <v>7</v>
      </c>
      <c r="E9" s="4" t="s">
        <v>197</v>
      </c>
      <c r="F9" s="7">
        <v>45909</v>
      </c>
      <c r="G9" s="5">
        <v>0.4</v>
      </c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45909</v>
      </c>
      <c r="X9" s="12" t="str">
        <f t="shared" si="2"/>
        <v/>
      </c>
      <c r="Y9" s="13">
        <f t="shared" si="3"/>
        <v>-0.4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8.1199999999999992</v>
      </c>
      <c r="D10" s="4">
        <v>8</v>
      </c>
      <c r="E10" s="4" t="s">
        <v>202</v>
      </c>
      <c r="F10" s="7">
        <v>45909</v>
      </c>
      <c r="G10" s="5">
        <v>0.38</v>
      </c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45909</v>
      </c>
      <c r="X10" s="12" t="str">
        <f t="shared" si="2"/>
        <v/>
      </c>
      <c r="Y10" s="13">
        <f t="shared" si="3"/>
        <v>-0.38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30" priority="2">
      <formula>$B$10=$B$11</formula>
    </cfRule>
  </conditionalFormatting>
  <conditionalFormatting sqref="B1">
    <cfRule type="expression" dxfId="29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31CB-D690-493B-915C-D3AC66986F4F}">
  <dimension ref="A1:Z23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198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204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0.59</v>
      </c>
      <c r="D3" s="4">
        <v>1</v>
      </c>
      <c r="E3" s="4" t="s">
        <v>197</v>
      </c>
      <c r="F3" s="7">
        <v>45909</v>
      </c>
      <c r="G3" s="5">
        <v>1.41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45909</v>
      </c>
      <c r="X3" s="12" t="str">
        <f>H3</f>
        <v/>
      </c>
      <c r="Y3" s="13">
        <f>G3*(-1)</f>
        <v>-1.41</v>
      </c>
      <c r="Z3" s="13">
        <f>I3+J3</f>
        <v>0</v>
      </c>
    </row>
    <row r="4" spans="1:26" x14ac:dyDescent="0.25">
      <c r="A4" s="1" t="s">
        <v>93</v>
      </c>
      <c r="B4" s="10">
        <v>0.5</v>
      </c>
      <c r="D4" s="4">
        <v>2</v>
      </c>
      <c r="E4" s="4" t="s">
        <v>202</v>
      </c>
      <c r="F4" s="7">
        <v>45909</v>
      </c>
      <c r="G4" s="5">
        <v>1.48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45909</v>
      </c>
      <c r="X4" s="12" t="str">
        <f t="shared" ref="X4:X20" si="2">H4</f>
        <v/>
      </c>
      <c r="Y4" s="13">
        <f t="shared" ref="Y4:Y20" si="3">G4*(-1)</f>
        <v>-1.48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203</v>
      </c>
      <c r="F5" s="7">
        <v>45909</v>
      </c>
      <c r="G5" s="5">
        <v>1.44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45909</v>
      </c>
      <c r="X5" s="12" t="str">
        <f t="shared" si="2"/>
        <v/>
      </c>
      <c r="Y5" s="13">
        <f t="shared" si="3"/>
        <v>-1.44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219</v>
      </c>
      <c r="F6" s="7">
        <v>45951</v>
      </c>
      <c r="G6" s="5">
        <v>1.45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45951</v>
      </c>
      <c r="X6" s="12" t="str">
        <f t="shared" si="2"/>
        <v/>
      </c>
      <c r="Y6" s="13">
        <f t="shared" si="3"/>
        <v>-1.45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45919.536332179923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45786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5.78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28" priority="2">
      <formula>$B$10=$B$11</formula>
    </cfRule>
  </conditionalFormatting>
  <conditionalFormatting sqref="B1">
    <cfRule type="expression" dxfId="27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B942-CE1A-4715-A9D6-C36982E12CFD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199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131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197</v>
      </c>
      <c r="F3" s="7">
        <v>45909</v>
      </c>
      <c r="G3" s="5">
        <v>1.3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45909</v>
      </c>
      <c r="X3" s="12" t="str">
        <f>H3</f>
        <v/>
      </c>
      <c r="Y3" s="13">
        <f>G3*(-1)</f>
        <v>-1.3</v>
      </c>
      <c r="Z3" s="13">
        <f>I3+J3</f>
        <v>0</v>
      </c>
    </row>
    <row r="4" spans="1:26" x14ac:dyDescent="0.25">
      <c r="A4" s="1" t="s">
        <v>93</v>
      </c>
      <c r="B4" s="10">
        <v>0.31</v>
      </c>
      <c r="D4" s="4">
        <v>2</v>
      </c>
      <c r="E4" s="4" t="s">
        <v>202</v>
      </c>
      <c r="F4" s="7">
        <v>45909</v>
      </c>
      <c r="G4" s="5">
        <v>1.36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45909</v>
      </c>
      <c r="X4" s="12" t="str">
        <f t="shared" ref="X4:X20" si="2">H4</f>
        <v/>
      </c>
      <c r="Y4" s="13">
        <f t="shared" ref="Y4:Y20" si="3">G4*(-1)</f>
        <v>-1.36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203</v>
      </c>
      <c r="F5" s="7">
        <v>45909</v>
      </c>
      <c r="G5" s="5">
        <v>1.32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45909</v>
      </c>
      <c r="X5" s="12" t="str">
        <f t="shared" si="2"/>
        <v/>
      </c>
      <c r="Y5" s="13">
        <f t="shared" si="3"/>
        <v>-1.32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220</v>
      </c>
      <c r="F6" s="7">
        <v>45951</v>
      </c>
      <c r="G6" s="5">
        <v>0.81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45951</v>
      </c>
      <c r="X6" s="12" t="str">
        <f t="shared" si="2"/>
        <v/>
      </c>
      <c r="Y6" s="13">
        <f t="shared" si="3"/>
        <v>-0.81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45916.102296450932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45786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4.7900000000000009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26" priority="2">
      <formula>$B$10=$B$11</formula>
    </cfRule>
  </conditionalFormatting>
  <conditionalFormatting sqref="B1">
    <cfRule type="expression" dxfId="25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9C6B-AB97-4C59-923D-CB4086072A17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200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205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0.62</v>
      </c>
      <c r="D3" s="4">
        <v>1</v>
      </c>
      <c r="E3" s="4" t="s">
        <v>197</v>
      </c>
      <c r="F3" s="7">
        <v>45909</v>
      </c>
      <c r="G3" s="5">
        <v>0.72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45909</v>
      </c>
      <c r="X3" s="12" t="str">
        <f>H3</f>
        <v/>
      </c>
      <c r="Y3" s="13">
        <f>G3*(-1)</f>
        <v>-0.72</v>
      </c>
      <c r="Z3" s="13">
        <f>I3+J3</f>
        <v>0</v>
      </c>
    </row>
    <row r="4" spans="1:26" x14ac:dyDescent="0.25">
      <c r="A4" s="1" t="s">
        <v>93</v>
      </c>
      <c r="B4" s="10">
        <v>0.52</v>
      </c>
      <c r="D4" s="4">
        <v>2</v>
      </c>
      <c r="E4" s="4" t="s">
        <v>202</v>
      </c>
      <c r="F4" s="7">
        <v>45909</v>
      </c>
      <c r="G4" s="5">
        <v>0.76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45909</v>
      </c>
      <c r="X4" s="12" t="str">
        <f t="shared" ref="X4:X20" si="2">H4</f>
        <v/>
      </c>
      <c r="Y4" s="13">
        <f t="shared" ref="Y4:Y20" si="3">G4*(-1)</f>
        <v>-0.76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203</v>
      </c>
      <c r="F5" s="7">
        <v>45909</v>
      </c>
      <c r="G5" s="5">
        <v>0.74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45909</v>
      </c>
      <c r="X5" s="12" t="str">
        <f t="shared" si="2"/>
        <v/>
      </c>
      <c r="Y5" s="13">
        <f t="shared" si="3"/>
        <v>-0.74</v>
      </c>
      <c r="Z5" s="13">
        <f t="shared" si="4"/>
        <v>0</v>
      </c>
    </row>
    <row r="6" spans="1:26" x14ac:dyDescent="0.25">
      <c r="A6" s="1"/>
      <c r="B6" s="8"/>
      <c r="D6" s="4">
        <v>4</v>
      </c>
      <c r="E6" s="4" t="s">
        <v>219</v>
      </c>
      <c r="F6" s="7">
        <v>45951</v>
      </c>
      <c r="G6" s="5">
        <v>0.45</v>
      </c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45951</v>
      </c>
      <c r="X6" s="12" t="str">
        <f t="shared" si="2"/>
        <v/>
      </c>
      <c r="Y6" s="13">
        <f t="shared" si="3"/>
        <v>-0.45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45916.078651685399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45786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2.67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24" priority="2">
      <formula>$B$10=$B$11</formula>
    </cfRule>
  </conditionalFormatting>
  <conditionalFormatting sqref="B1">
    <cfRule type="expression" dxfId="23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B56C-4C6C-4729-9239-5A0AE8813081}">
  <dimension ref="A1:Z23"/>
  <sheetViews>
    <sheetView workbookViewId="0">
      <selection activeCell="J4" sqref="J4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201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206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0.32</v>
      </c>
      <c r="D3" s="4">
        <v>1</v>
      </c>
      <c r="E3" s="4" t="s">
        <v>197</v>
      </c>
      <c r="F3" s="7">
        <v>45909</v>
      </c>
      <c r="G3" s="5">
        <v>1.9</v>
      </c>
      <c r="H3" s="7">
        <v>46203</v>
      </c>
      <c r="I3" s="5">
        <v>1.9</v>
      </c>
      <c r="J3" s="5">
        <v>0.23</v>
      </c>
      <c r="K3" s="6">
        <v>0.15110000000000001</v>
      </c>
      <c r="L3" s="4">
        <f>IF($B$10=$B$11,H3-F3,"")</f>
        <v>294</v>
      </c>
      <c r="W3" s="12">
        <f>F3</f>
        <v>45909</v>
      </c>
      <c r="X3" s="12">
        <f>H3</f>
        <v>46203</v>
      </c>
      <c r="Y3" s="13">
        <f>G3*(-1)</f>
        <v>-1.9</v>
      </c>
      <c r="Z3" s="13">
        <f>I3+J3</f>
        <v>2.13</v>
      </c>
    </row>
    <row r="4" spans="1:26" x14ac:dyDescent="0.25">
      <c r="A4" s="1" t="s">
        <v>93</v>
      </c>
      <c r="B4" s="10">
        <v>0.82</v>
      </c>
      <c r="D4" s="4">
        <v>2</v>
      </c>
      <c r="E4" s="4" t="s">
        <v>202</v>
      </c>
      <c r="F4" s="7">
        <v>45909</v>
      </c>
      <c r="G4" s="5">
        <v>1.84</v>
      </c>
      <c r="H4" s="7">
        <f t="shared" ref="H4:H6" si="0">IF($B$9&gt;0,$B$9,"")</f>
        <v>46203</v>
      </c>
      <c r="I4" s="5">
        <v>1.84</v>
      </c>
      <c r="J4" s="5">
        <v>0.22</v>
      </c>
      <c r="K4" s="6">
        <v>0.15110000000000001</v>
      </c>
      <c r="L4" s="4">
        <f t="shared" ref="L4:L6" si="1">IF($B$10=$B$11,H4-F4,"")</f>
        <v>294</v>
      </c>
      <c r="W4" s="12">
        <f>F4</f>
        <v>45909</v>
      </c>
      <c r="X4" s="12">
        <f t="shared" ref="X4:X20" si="2">H4</f>
        <v>46203</v>
      </c>
      <c r="Y4" s="13">
        <f t="shared" ref="Y4:Y20" si="3">G4*(-1)</f>
        <v>-1.84</v>
      </c>
      <c r="Z4" s="13">
        <f t="shared" ref="Z4:Z20" si="4">I4+J4</f>
        <v>2.06</v>
      </c>
    </row>
    <row r="5" spans="1:26" x14ac:dyDescent="0.25">
      <c r="A5" s="1"/>
      <c r="B5" s="8"/>
      <c r="D5" s="4">
        <v>3</v>
      </c>
      <c r="E5" s="4" t="s">
        <v>203</v>
      </c>
      <c r="F5" s="7">
        <v>45909</v>
      </c>
      <c r="G5" s="5">
        <v>1.86</v>
      </c>
      <c r="H5" s="7">
        <f t="shared" si="0"/>
        <v>46203</v>
      </c>
      <c r="I5" s="5">
        <v>1.86</v>
      </c>
      <c r="J5" s="5">
        <v>0.22</v>
      </c>
      <c r="K5" s="6">
        <v>0.15110000000000001</v>
      </c>
      <c r="L5" s="4">
        <f t="shared" si="1"/>
        <v>294</v>
      </c>
      <c r="W5" s="12">
        <f>F5</f>
        <v>45909</v>
      </c>
      <c r="X5" s="12">
        <f t="shared" si="2"/>
        <v>46203</v>
      </c>
      <c r="Y5" s="13">
        <f t="shared" si="3"/>
        <v>-1.86</v>
      </c>
      <c r="Z5" s="13">
        <f t="shared" si="4"/>
        <v>2.08</v>
      </c>
    </row>
    <row r="6" spans="1:26" x14ac:dyDescent="0.25">
      <c r="A6" s="1"/>
      <c r="B6" s="8"/>
      <c r="D6" s="4">
        <v>4</v>
      </c>
      <c r="E6" s="4" t="s">
        <v>220</v>
      </c>
      <c r="F6" s="7">
        <v>45951</v>
      </c>
      <c r="G6" s="5">
        <v>1.31</v>
      </c>
      <c r="H6" s="7">
        <f t="shared" si="0"/>
        <v>46203</v>
      </c>
      <c r="I6" s="5">
        <v>1.31</v>
      </c>
      <c r="J6" s="4">
        <v>0.15</v>
      </c>
      <c r="K6" s="6">
        <v>0.17630000000000001</v>
      </c>
      <c r="L6" s="4">
        <f t="shared" si="1"/>
        <v>252</v>
      </c>
      <c r="W6" s="12">
        <f t="shared" ref="W6:W20" si="5">F6</f>
        <v>45951</v>
      </c>
      <c r="X6" s="12">
        <f t="shared" si="2"/>
        <v>46203</v>
      </c>
      <c r="Y6" s="13">
        <f t="shared" si="3"/>
        <v>-1.31</v>
      </c>
      <c r="Z6" s="13">
        <f t="shared" si="4"/>
        <v>1.46</v>
      </c>
    </row>
    <row r="7" spans="1:26" x14ac:dyDescent="0.25">
      <c r="A7" s="1" t="s">
        <v>94</v>
      </c>
      <c r="B7" s="8">
        <f>SUMPRODUCT(F3:F20,G3:G20)/SUM(G3:G20)</f>
        <v>45916.96237337192</v>
      </c>
      <c r="D7" s="4"/>
      <c r="E7" s="4"/>
      <c r="F7" s="7"/>
      <c r="G7" s="5"/>
      <c r="H7" s="7"/>
      <c r="I7" s="5"/>
      <c r="J7" s="4"/>
      <c r="K7" s="6"/>
      <c r="L7" s="4"/>
      <c r="W7" s="12">
        <f t="shared" si="5"/>
        <v>0</v>
      </c>
      <c r="X7" s="12">
        <f t="shared" si="2"/>
        <v>0</v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45786</v>
      </c>
      <c r="D8" s="4"/>
      <c r="E8" s="4"/>
      <c r="F8" s="7"/>
      <c r="G8" s="5"/>
      <c r="H8" s="7"/>
      <c r="I8" s="5"/>
      <c r="J8" s="4"/>
      <c r="K8" s="6"/>
      <c r="L8" s="4"/>
      <c r="W8" s="12">
        <f t="shared" si="5"/>
        <v>0</v>
      </c>
      <c r="X8" s="12">
        <f t="shared" si="2"/>
        <v>0</v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>
        <v>46203</v>
      </c>
      <c r="D9" s="4"/>
      <c r="E9" s="4"/>
      <c r="F9" s="7"/>
      <c r="G9" s="5"/>
      <c r="H9" s="7"/>
      <c r="I9" s="5"/>
      <c r="J9" s="4"/>
      <c r="K9" s="6"/>
      <c r="L9" s="4"/>
      <c r="W9" s="12">
        <f t="shared" si="5"/>
        <v>0</v>
      </c>
      <c r="X9" s="12">
        <f t="shared" si="2"/>
        <v>0</v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6.91</v>
      </c>
      <c r="D10" s="4"/>
      <c r="E10" s="4"/>
      <c r="F10" s="7"/>
      <c r="G10" s="5"/>
      <c r="H10" s="7"/>
      <c r="I10" s="5"/>
      <c r="J10" s="4"/>
      <c r="K10" s="6"/>
      <c r="L10" s="4"/>
      <c r="W10" s="12">
        <f t="shared" si="5"/>
        <v>0</v>
      </c>
      <c r="X10" s="12">
        <f t="shared" si="2"/>
        <v>0</v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6.91</v>
      </c>
      <c r="D11" s="4"/>
      <c r="E11" s="4"/>
      <c r="F11" s="7"/>
      <c r="G11" s="5"/>
      <c r="H11" s="7"/>
      <c r="I11" s="5"/>
      <c r="J11" s="4"/>
      <c r="K11" s="6"/>
      <c r="L11" s="4"/>
      <c r="W11" s="12">
        <f t="shared" si="5"/>
        <v>0</v>
      </c>
      <c r="X11" s="12">
        <f t="shared" si="2"/>
        <v>0</v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0.82000000000000006</v>
      </c>
      <c r="D12" s="4"/>
      <c r="E12" s="4"/>
      <c r="F12" s="7"/>
      <c r="G12" s="5"/>
      <c r="H12" s="7"/>
      <c r="I12" s="5"/>
      <c r="J12" s="4"/>
      <c r="K12" s="6"/>
      <c r="L12" s="4"/>
      <c r="W12" s="12">
        <f t="shared" si="5"/>
        <v>0</v>
      </c>
      <c r="X12" s="12">
        <f t="shared" si="2"/>
        <v>0</v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>
        <f>IF(B10=B11,XIRR(Y3:Z20,W3:X20),"")</f>
        <v>0.15380992293357851</v>
      </c>
      <c r="D13" s="4"/>
      <c r="E13" s="4"/>
      <c r="F13" s="7"/>
      <c r="G13" s="5"/>
      <c r="H13" s="7"/>
      <c r="I13" s="5"/>
      <c r="J13" s="4"/>
      <c r="K13" s="6"/>
      <c r="L13" s="4"/>
      <c r="W13" s="12">
        <f t="shared" si="5"/>
        <v>0</v>
      </c>
      <c r="X13" s="12">
        <f t="shared" si="2"/>
        <v>0</v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>
        <f>IF(B10=B11,SUMPRODUCT(L3:L20,G3:G20)/SUM(G3:G20),"")</f>
        <v>286.03762662807526</v>
      </c>
      <c r="D14" s="4"/>
      <c r="E14" s="4"/>
      <c r="F14" s="7"/>
      <c r="G14" s="5"/>
      <c r="H14" s="7"/>
      <c r="I14" s="5"/>
      <c r="J14" s="4"/>
      <c r="K14" s="6"/>
      <c r="L14" s="4"/>
      <c r="W14" s="12">
        <f t="shared" si="5"/>
        <v>0</v>
      </c>
      <c r="X14" s="12">
        <f t="shared" si="2"/>
        <v>0</v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/>
      <c r="I15" s="5"/>
      <c r="J15" s="4"/>
      <c r="K15" s="6"/>
      <c r="L15" s="4"/>
      <c r="W15" s="12">
        <f t="shared" si="5"/>
        <v>0</v>
      </c>
      <c r="X15" s="12">
        <f t="shared" si="2"/>
        <v>0</v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/>
      <c r="I16" s="5"/>
      <c r="J16" s="4"/>
      <c r="K16" s="6"/>
      <c r="L16" s="4"/>
      <c r="W16" s="12">
        <f t="shared" si="5"/>
        <v>0</v>
      </c>
      <c r="X16" s="12">
        <f t="shared" si="2"/>
        <v>0</v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/>
      <c r="I17" s="5"/>
      <c r="J17" s="4"/>
      <c r="K17" s="6"/>
      <c r="L17" s="4"/>
      <c r="W17" s="12">
        <f t="shared" si="5"/>
        <v>0</v>
      </c>
      <c r="X17" s="12">
        <f t="shared" si="2"/>
        <v>0</v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/>
      <c r="I18" s="5"/>
      <c r="J18" s="4"/>
      <c r="K18" s="6"/>
      <c r="L18" s="4"/>
      <c r="W18" s="12">
        <f t="shared" si="5"/>
        <v>0</v>
      </c>
      <c r="X18" s="12">
        <f t="shared" si="2"/>
        <v>0</v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/>
      <c r="I19" s="5"/>
      <c r="J19" s="4"/>
      <c r="K19" s="6"/>
      <c r="L19" s="4"/>
      <c r="W19" s="12">
        <f t="shared" si="5"/>
        <v>0</v>
      </c>
      <c r="X19" s="12">
        <f t="shared" si="2"/>
        <v>0</v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/>
      <c r="I20" s="5"/>
      <c r="J20" s="4"/>
      <c r="K20" s="6"/>
      <c r="L20" s="4"/>
      <c r="W20" s="12">
        <f t="shared" si="5"/>
        <v>0</v>
      </c>
      <c r="X20" s="12">
        <f t="shared" si="2"/>
        <v>0</v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:B1">
    <cfRule type="expression" dxfId="22" priority="1">
      <formula>$B$10=$B$11</formula>
    </cfRule>
  </conditionalFormatting>
  <pageMargins left="0.7" right="0.7" top="0.75" bottom="0.75" header="0.3" footer="0.3"/>
  <pageSetup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DA84-43CD-4BE1-AB82-057C07579269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213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221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0.43</v>
      </c>
      <c r="D3" s="4">
        <v>1</v>
      </c>
      <c r="E3" s="4" t="s">
        <v>212</v>
      </c>
      <c r="F3" s="7">
        <v>45951</v>
      </c>
      <c r="G3" s="5">
        <v>2.63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45951</v>
      </c>
      <c r="X3" s="12" t="str">
        <f>H3</f>
        <v/>
      </c>
      <c r="Y3" s="13">
        <f>G3*(-1)</f>
        <v>-2.63</v>
      </c>
      <c r="Z3" s="13">
        <f>I3+J3</f>
        <v>0</v>
      </c>
    </row>
    <row r="4" spans="1:26" x14ac:dyDescent="0.25">
      <c r="A4" s="1" t="s">
        <v>93</v>
      </c>
      <c r="B4" s="10">
        <v>0.66</v>
      </c>
      <c r="D4" s="4">
        <v>2</v>
      </c>
      <c r="E4" s="4" t="s">
        <v>219</v>
      </c>
      <c r="F4" s="7">
        <v>45951</v>
      </c>
      <c r="G4" s="5">
        <v>1.94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45951</v>
      </c>
      <c r="X4" s="12" t="str">
        <f t="shared" ref="X4:X20" si="2">H4</f>
        <v/>
      </c>
      <c r="Y4" s="13">
        <f t="shared" ref="Y4:Y20" si="3">G4*(-1)</f>
        <v>-1.94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220</v>
      </c>
      <c r="F5" s="7">
        <v>45951</v>
      </c>
      <c r="G5" s="5">
        <v>1.89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45951</v>
      </c>
      <c r="X5" s="12" t="str">
        <f t="shared" si="2"/>
        <v/>
      </c>
      <c r="Y5" s="13">
        <f t="shared" si="3"/>
        <v>-1.89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45951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45848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6.46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21" priority="2">
      <formula>$B$10=$B$11</formula>
    </cfRule>
  </conditionalFormatting>
  <conditionalFormatting sqref="B1">
    <cfRule type="expression" dxfId="20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B679-7664-4A14-B922-DF5E702F5297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214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222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212</v>
      </c>
      <c r="F3" s="7">
        <v>45951</v>
      </c>
      <c r="G3" s="5">
        <v>1.08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45951</v>
      </c>
      <c r="X3" s="12" t="str">
        <f>H3</f>
        <v/>
      </c>
      <c r="Y3" s="13">
        <f>G3*(-1)</f>
        <v>-1.08</v>
      </c>
      <c r="Z3" s="13">
        <f>I3+J3</f>
        <v>0</v>
      </c>
    </row>
    <row r="4" spans="1:26" x14ac:dyDescent="0.25">
      <c r="A4" s="1" t="s">
        <v>93</v>
      </c>
      <c r="B4" s="10">
        <v>0.28000000000000003</v>
      </c>
      <c r="D4" s="4">
        <v>2</v>
      </c>
      <c r="E4" s="4" t="s">
        <v>219</v>
      </c>
      <c r="F4" s="7">
        <v>45951</v>
      </c>
      <c r="G4" s="5">
        <v>1.01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45951</v>
      </c>
      <c r="X4" s="12" t="str">
        <f t="shared" ref="X4:X20" si="2">H4</f>
        <v/>
      </c>
      <c r="Y4" s="13">
        <f t="shared" ref="Y4:Y20" si="3">G4*(-1)</f>
        <v>-1.01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220</v>
      </c>
      <c r="F5" s="7">
        <v>45951</v>
      </c>
      <c r="G5" s="5">
        <v>0.97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45951</v>
      </c>
      <c r="X5" s="12" t="str">
        <f t="shared" si="2"/>
        <v/>
      </c>
      <c r="Y5" s="13">
        <f t="shared" si="3"/>
        <v>-0.97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45951.000000000007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45848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3.0599999999999996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19" priority="2">
      <formula>$B$10=$B$11</formula>
    </cfRule>
  </conditionalFormatting>
  <conditionalFormatting sqref="B1">
    <cfRule type="expression" dxfId="18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5D78-3EEC-495A-9833-CDF62A6DBB0E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215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223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0.55000000000000004</v>
      </c>
      <c r="D3" s="4">
        <v>1</v>
      </c>
      <c r="E3" s="4" t="s">
        <v>212</v>
      </c>
      <c r="F3" s="7">
        <v>45951</v>
      </c>
      <c r="G3" s="5">
        <v>1.18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45951</v>
      </c>
      <c r="X3" s="12" t="str">
        <f>H3</f>
        <v/>
      </c>
      <c r="Y3" s="13">
        <f>G3*(-1)</f>
        <v>-1.18</v>
      </c>
      <c r="Z3" s="13">
        <f>I3+J3</f>
        <v>0</v>
      </c>
    </row>
    <row r="4" spans="1:26" x14ac:dyDescent="0.25">
      <c r="A4" s="1" t="s">
        <v>93</v>
      </c>
      <c r="B4" s="10">
        <v>0.42</v>
      </c>
      <c r="D4" s="4">
        <v>2</v>
      </c>
      <c r="E4" s="4" t="s">
        <v>219</v>
      </c>
      <c r="F4" s="7">
        <v>45951</v>
      </c>
      <c r="G4" s="5">
        <v>1.0900000000000001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45951</v>
      </c>
      <c r="X4" s="12" t="str">
        <f t="shared" ref="X4:X20" si="2">H4</f>
        <v/>
      </c>
      <c r="Y4" s="13">
        <f t="shared" ref="Y4:Y20" si="3">G4*(-1)</f>
        <v>-1.0900000000000001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220</v>
      </c>
      <c r="F5" s="7">
        <v>45951</v>
      </c>
      <c r="G5" s="5">
        <v>1.06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45951</v>
      </c>
      <c r="X5" s="12" t="str">
        <f t="shared" si="2"/>
        <v/>
      </c>
      <c r="Y5" s="13">
        <f t="shared" si="3"/>
        <v>-1.06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45951.000000000007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45848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3.33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17" priority="2">
      <formula>$B$10=$B$11</formula>
    </cfRule>
  </conditionalFormatting>
  <conditionalFormatting sqref="B1">
    <cfRule type="expression" dxfId="16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4DBF-98BC-497E-A693-C3916EB882E2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216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224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0.68</v>
      </c>
      <c r="D3" s="4">
        <v>1</v>
      </c>
      <c r="E3" s="4" t="s">
        <v>212</v>
      </c>
      <c r="F3" s="7">
        <v>45951</v>
      </c>
      <c r="G3" s="5">
        <v>1.78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45951</v>
      </c>
      <c r="X3" s="12" t="str">
        <f>H3</f>
        <v/>
      </c>
      <c r="Y3" s="13">
        <f>G3*(-1)</f>
        <v>-1.78</v>
      </c>
      <c r="Z3" s="13">
        <f>I3+J3</f>
        <v>0</v>
      </c>
    </row>
    <row r="4" spans="1:26" x14ac:dyDescent="0.25">
      <c r="A4" s="1" t="s">
        <v>93</v>
      </c>
      <c r="B4" s="10">
        <v>0.66</v>
      </c>
      <c r="D4" s="4">
        <v>2</v>
      </c>
      <c r="E4" s="4" t="s">
        <v>219</v>
      </c>
      <c r="F4" s="7">
        <v>45951</v>
      </c>
      <c r="G4" s="5">
        <v>1.31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45951</v>
      </c>
      <c r="X4" s="12" t="str">
        <f t="shared" ref="X4:X20" si="2">H4</f>
        <v/>
      </c>
      <c r="Y4" s="13">
        <f t="shared" ref="Y4:Y20" si="3">G4*(-1)</f>
        <v>-1.31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220</v>
      </c>
      <c r="F5" s="7">
        <v>45951</v>
      </c>
      <c r="G5" s="5">
        <v>1.28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45951</v>
      </c>
      <c r="X5" s="12" t="str">
        <f t="shared" si="2"/>
        <v/>
      </c>
      <c r="Y5" s="13">
        <f t="shared" si="3"/>
        <v>-1.28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45951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45943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4.37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15" priority="2">
      <formula>$B$10=$B$11</formula>
    </cfRule>
  </conditionalFormatting>
  <conditionalFormatting sqref="B1">
    <cfRule type="expression" dxfId="14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F5D0-29F9-4139-A22F-1C6CEF1B5E67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217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225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0.67</v>
      </c>
      <c r="D3" s="4">
        <v>1</v>
      </c>
      <c r="E3" s="4" t="s">
        <v>212</v>
      </c>
      <c r="F3" s="7">
        <v>45951</v>
      </c>
      <c r="G3" s="5">
        <v>2.2000000000000002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45951</v>
      </c>
      <c r="X3" s="12" t="str">
        <f>H3</f>
        <v/>
      </c>
      <c r="Y3" s="13">
        <f>G3*(-1)</f>
        <v>-2.2000000000000002</v>
      </c>
      <c r="Z3" s="13">
        <f>I3+J3</f>
        <v>0</v>
      </c>
    </row>
    <row r="4" spans="1:26" x14ac:dyDescent="0.25">
      <c r="A4" s="1" t="s">
        <v>93</v>
      </c>
      <c r="B4" s="10">
        <v>0.65</v>
      </c>
      <c r="D4" s="4">
        <v>2</v>
      </c>
      <c r="E4" s="4" t="s">
        <v>219</v>
      </c>
      <c r="F4" s="7">
        <v>45951</v>
      </c>
      <c r="G4" s="5">
        <v>1.62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45951</v>
      </c>
      <c r="X4" s="12" t="str">
        <f t="shared" ref="X4:X20" si="2">H4</f>
        <v/>
      </c>
      <c r="Y4" s="13">
        <f t="shared" ref="Y4:Y20" si="3">G4*(-1)</f>
        <v>-1.62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220</v>
      </c>
      <c r="F5" s="7">
        <v>45951</v>
      </c>
      <c r="G5" s="5">
        <v>1.58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45951</v>
      </c>
      <c r="X5" s="12" t="str">
        <f t="shared" si="2"/>
        <v/>
      </c>
      <c r="Y5" s="13">
        <f t="shared" si="3"/>
        <v>-1.58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45951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45848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5.4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13" priority="2">
      <formula>$B$10=$B$11</formula>
    </cfRule>
  </conditionalFormatting>
  <conditionalFormatting sqref="B1">
    <cfRule type="expression" dxfId="12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15E8-494D-42D4-A3A0-BFB76DC69C7E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218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226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0.56999999999999995</v>
      </c>
      <c r="D3" s="4">
        <v>1</v>
      </c>
      <c r="E3" s="4" t="s">
        <v>212</v>
      </c>
      <c r="F3" s="7">
        <v>45951</v>
      </c>
      <c r="G3" s="5">
        <v>1.22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45951</v>
      </c>
      <c r="X3" s="12" t="str">
        <f>H3</f>
        <v/>
      </c>
      <c r="Y3" s="13">
        <f>G3*(-1)</f>
        <v>-1.22</v>
      </c>
      <c r="Z3" s="13">
        <f>I3+J3</f>
        <v>0</v>
      </c>
    </row>
    <row r="4" spans="1:26" x14ac:dyDescent="0.25">
      <c r="A4" s="1" t="s">
        <v>93</v>
      </c>
      <c r="B4" s="10">
        <v>0.57999999999999996</v>
      </c>
      <c r="D4" s="4">
        <v>2</v>
      </c>
      <c r="E4" s="4" t="s">
        <v>219</v>
      </c>
      <c r="F4" s="7">
        <v>45951</v>
      </c>
      <c r="G4" s="5">
        <v>1.1299999999999999</v>
      </c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45951</v>
      </c>
      <c r="X4" s="12" t="str">
        <f t="shared" ref="X4:X20" si="2">H4</f>
        <v/>
      </c>
      <c r="Y4" s="13">
        <f t="shared" ref="Y4:Y20" si="3">G4*(-1)</f>
        <v>-1.1299999999999999</v>
      </c>
      <c r="Z4" s="13">
        <f t="shared" ref="Z4:Z20" si="4">I4+J4</f>
        <v>0</v>
      </c>
    </row>
    <row r="5" spans="1:26" x14ac:dyDescent="0.25">
      <c r="A5" s="1"/>
      <c r="B5" s="8"/>
      <c r="D5" s="4">
        <v>3</v>
      </c>
      <c r="E5" s="4" t="s">
        <v>220</v>
      </c>
      <c r="F5" s="7">
        <v>45951</v>
      </c>
      <c r="G5" s="5">
        <v>1.1000000000000001</v>
      </c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45951</v>
      </c>
      <c r="X5" s="12" t="str">
        <f t="shared" si="2"/>
        <v/>
      </c>
      <c r="Y5" s="13">
        <f t="shared" si="3"/>
        <v>-1.1000000000000001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45951.000000000007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45943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3.4499999999999997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11" priority="2">
      <formula>$B$10=$B$11</formula>
    </cfRule>
  </conditionalFormatting>
  <conditionalFormatting sqref="B1">
    <cfRule type="expression" dxfId="10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50C-D70F-4084-BA51-76C7BD27D5A5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232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222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0.53</v>
      </c>
      <c r="D3" s="4">
        <v>1</v>
      </c>
      <c r="E3" s="4" t="s">
        <v>233</v>
      </c>
      <c r="F3" s="7">
        <v>45996</v>
      </c>
      <c r="G3" s="5">
        <v>17.47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45996</v>
      </c>
      <c r="X3" s="12" t="str">
        <f>H3</f>
        <v/>
      </c>
      <c r="Y3" s="13">
        <f>G3*(-1)</f>
        <v>-17.47</v>
      </c>
      <c r="Z3" s="13">
        <f>I3+J3</f>
        <v>0</v>
      </c>
    </row>
    <row r="4" spans="1:26" x14ac:dyDescent="0.25">
      <c r="A4" s="1" t="s">
        <v>93</v>
      </c>
      <c r="B4" s="10">
        <v>0.51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45996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45931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17.47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9" priority="2">
      <formula>$B$10=$B$11</formula>
    </cfRule>
  </conditionalFormatting>
  <conditionalFormatting sqref="B1">
    <cfRule type="expression" dxfId="8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19A5-8E93-4905-A873-97A3A2AD5518}">
  <dimension ref="A1:Z23"/>
  <sheetViews>
    <sheetView workbookViewId="0"/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234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235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0.57999999999999996</v>
      </c>
      <c r="D3" s="4">
        <v>1</v>
      </c>
      <c r="E3" s="4" t="s">
        <v>236</v>
      </c>
      <c r="F3" s="7">
        <v>45996</v>
      </c>
      <c r="G3" s="5">
        <v>10.86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45996</v>
      </c>
      <c r="X3" s="12" t="str">
        <f>H3</f>
        <v/>
      </c>
      <c r="Y3" s="13">
        <f>G3*(-1)</f>
        <v>-10.86</v>
      </c>
      <c r="Z3" s="13">
        <f>I3+J3</f>
        <v>0</v>
      </c>
    </row>
    <row r="4" spans="1:26" x14ac:dyDescent="0.25">
      <c r="A4" s="1" t="s">
        <v>93</v>
      </c>
      <c r="B4" s="10">
        <v>0.44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45996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45931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10.86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7" priority="2">
      <formula>$B$10=$B$11</formula>
    </cfRule>
  </conditionalFormatting>
  <conditionalFormatting sqref="B1">
    <cfRule type="expression" dxfId="6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AD0B-B483-42D0-91F6-765F5BD63416}">
  <dimension ref="A1:Z23"/>
  <sheetViews>
    <sheetView workbookViewId="0">
      <selection activeCell="B10" sqref="B10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237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238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0.55000000000000004</v>
      </c>
      <c r="D3" s="4">
        <v>1</v>
      </c>
      <c r="E3" s="4" t="s">
        <v>239</v>
      </c>
      <c r="F3" s="7">
        <v>46169</v>
      </c>
      <c r="G3" s="5">
        <v>13.87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46169</v>
      </c>
      <c r="X3" s="12" t="str">
        <f>H3</f>
        <v/>
      </c>
      <c r="Y3" s="13">
        <f>G3*(-1)</f>
        <v>-13.87</v>
      </c>
      <c r="Z3" s="13">
        <f>I3+J3</f>
        <v>0</v>
      </c>
    </row>
    <row r="4" spans="1:26" x14ac:dyDescent="0.25">
      <c r="A4" s="1" t="s">
        <v>93</v>
      </c>
      <c r="B4" s="10">
        <v>0.57999999999999996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f>SUMPRODUCT(F3:F20,G3:G20)/SUM(G3:G20)</f>
        <v>46168.999999999993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46157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13.87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5" priority="2">
      <formula>$B$10=$B$11</formula>
    </cfRule>
  </conditionalFormatting>
  <conditionalFormatting sqref="B1">
    <cfRule type="expression" dxfId="4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5C5D-802D-404F-B03D-5233081F2F88}">
  <dimension ref="A1:Z23"/>
  <sheetViews>
    <sheetView workbookViewId="0">
      <selection activeCell="D25" sqref="D25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251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149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0.71</v>
      </c>
      <c r="D3" s="4">
        <v>1</v>
      </c>
      <c r="E3" s="4" t="s">
        <v>252</v>
      </c>
      <c r="F3" s="7">
        <v>46233</v>
      </c>
      <c r="G3" s="5">
        <v>10.67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46233</v>
      </c>
      <c r="X3" s="12" t="str">
        <f>H3</f>
        <v/>
      </c>
      <c r="Y3" s="13">
        <f>G3*(-1)</f>
        <v>-10.67</v>
      </c>
      <c r="Z3" s="13">
        <f>I3+J3</f>
        <v>0</v>
      </c>
    </row>
    <row r="4" spans="1:26" x14ac:dyDescent="0.25">
      <c r="A4" s="1" t="s">
        <v>93</v>
      </c>
      <c r="B4" s="10">
        <v>0.47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v>46233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46227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f>SUM(G3:G20)</f>
        <v>10.67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3" priority="2">
      <formula>$B$10=$B$11</formula>
    </cfRule>
  </conditionalFormatting>
  <conditionalFormatting sqref="B1">
    <cfRule type="expression" dxfId="2" priority="1">
      <formula>$B$7=$B$8</formula>
    </cfRule>
  </conditionalFormatting>
  <pageMargins left="0.7" right="0.7" top="0.75" bottom="0.75" header="0.3" footer="0.3"/>
  <pageSetup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8351-189F-4B42-B66C-9462453C58C2}">
  <dimension ref="A1:Z23"/>
  <sheetViews>
    <sheetView workbookViewId="0">
      <selection activeCell="K27" sqref="K27"/>
    </sheetView>
  </sheetViews>
  <sheetFormatPr defaultRowHeight="15" x14ac:dyDescent="0.25"/>
  <cols>
    <col min="1" max="1" width="20.7109375" customWidth="1"/>
    <col min="2" max="2" width="50.7109375" customWidth="1"/>
    <col min="4" max="4" width="5.7109375" customWidth="1"/>
    <col min="5" max="5" width="15.7109375" customWidth="1"/>
    <col min="6" max="12" width="10.7109375" customWidth="1"/>
    <col min="23" max="23" width="10.140625" bestFit="1" customWidth="1"/>
    <col min="24" max="24" width="10.140625" customWidth="1"/>
  </cols>
  <sheetData>
    <row r="1" spans="1:26" x14ac:dyDescent="0.25">
      <c r="A1" s="1" t="s">
        <v>91</v>
      </c>
      <c r="B1" s="9" t="s">
        <v>248</v>
      </c>
      <c r="D1" s="30"/>
      <c r="E1" s="32" t="s">
        <v>97</v>
      </c>
      <c r="F1" s="34" t="s">
        <v>94</v>
      </c>
      <c r="G1" s="35"/>
      <c r="H1" s="34" t="s">
        <v>229</v>
      </c>
      <c r="I1" s="36"/>
      <c r="J1" s="36"/>
      <c r="K1" s="36"/>
      <c r="L1" s="35"/>
    </row>
    <row r="2" spans="1:26" x14ac:dyDescent="0.25">
      <c r="A2" s="1" t="s">
        <v>241</v>
      </c>
      <c r="B2" s="9" t="s">
        <v>249</v>
      </c>
      <c r="D2" s="31"/>
      <c r="E2" s="33"/>
      <c r="F2" s="3" t="s">
        <v>88</v>
      </c>
      <c r="G2" s="3" t="s">
        <v>228</v>
      </c>
      <c r="H2" s="3" t="s">
        <v>96</v>
      </c>
      <c r="I2" s="3" t="s">
        <v>209</v>
      </c>
      <c r="J2" s="3" t="s">
        <v>10</v>
      </c>
      <c r="K2" s="3" t="s">
        <v>89</v>
      </c>
      <c r="L2" s="3" t="s">
        <v>95</v>
      </c>
    </row>
    <row r="3" spans="1:26" x14ac:dyDescent="0.25">
      <c r="A3" s="1" t="s">
        <v>1</v>
      </c>
      <c r="B3" s="10">
        <v>0.52</v>
      </c>
      <c r="D3" s="4">
        <v>1</v>
      </c>
      <c r="E3" s="4" t="s">
        <v>250</v>
      </c>
      <c r="F3" s="7">
        <v>46204</v>
      </c>
      <c r="G3" s="5">
        <v>17.71</v>
      </c>
      <c r="H3" s="7" t="str">
        <f>IF($B$9&gt;0,$B$9,"")</f>
        <v/>
      </c>
      <c r="I3" s="5"/>
      <c r="J3" s="5"/>
      <c r="K3" s="6"/>
      <c r="L3" s="4" t="str">
        <f>IF($B$10=$B$11,H3-F3,"")</f>
        <v/>
      </c>
      <c r="W3" s="12">
        <f>F3</f>
        <v>46204</v>
      </c>
      <c r="X3" s="12" t="str">
        <f>H3</f>
        <v/>
      </c>
      <c r="Y3" s="13">
        <f>G3*(-1)</f>
        <v>-17.71</v>
      </c>
      <c r="Z3" s="13">
        <f>I3+J3</f>
        <v>0</v>
      </c>
    </row>
    <row r="4" spans="1:26" x14ac:dyDescent="0.25">
      <c r="A4" s="1" t="s">
        <v>93</v>
      </c>
      <c r="B4" s="10">
        <v>0.69</v>
      </c>
      <c r="D4" s="4"/>
      <c r="E4" s="4"/>
      <c r="F4" s="7"/>
      <c r="G4" s="5"/>
      <c r="H4" s="7" t="str">
        <f t="shared" ref="H4:H20" si="0">IF($B$9&gt;0,$B$9,"")</f>
        <v/>
      </c>
      <c r="I4" s="5"/>
      <c r="J4" s="5"/>
      <c r="K4" s="6"/>
      <c r="L4" s="4" t="str">
        <f t="shared" ref="L4:L20" si="1">IF($B$10=$B$11,H4-F4,"")</f>
        <v/>
      </c>
      <c r="W4" s="12">
        <f>F4</f>
        <v>0</v>
      </c>
      <c r="X4" s="12" t="str">
        <f t="shared" ref="X4:X20" si="2">H4</f>
        <v/>
      </c>
      <c r="Y4" s="13">
        <f t="shared" ref="Y4:Y20" si="3">G4*(-1)</f>
        <v>0</v>
      </c>
      <c r="Z4" s="13">
        <f t="shared" ref="Z4:Z20" si="4">I4+J4</f>
        <v>0</v>
      </c>
    </row>
    <row r="5" spans="1:26" x14ac:dyDescent="0.25">
      <c r="A5" s="1"/>
      <c r="B5" s="8"/>
      <c r="D5" s="4"/>
      <c r="E5" s="4"/>
      <c r="F5" s="7"/>
      <c r="G5" s="5"/>
      <c r="H5" s="7" t="str">
        <f t="shared" si="0"/>
        <v/>
      </c>
      <c r="I5" s="5"/>
      <c r="J5" s="5"/>
      <c r="K5" s="6"/>
      <c r="L5" s="4" t="str">
        <f t="shared" si="1"/>
        <v/>
      </c>
      <c r="W5" s="12">
        <f>F5</f>
        <v>0</v>
      </c>
      <c r="X5" s="12" t="str">
        <f t="shared" si="2"/>
        <v/>
      </c>
      <c r="Y5" s="13">
        <f t="shared" si="3"/>
        <v>0</v>
      </c>
      <c r="Z5" s="13">
        <f t="shared" si="4"/>
        <v>0</v>
      </c>
    </row>
    <row r="6" spans="1:26" x14ac:dyDescent="0.25">
      <c r="A6" s="1"/>
      <c r="B6" s="8"/>
      <c r="D6" s="4"/>
      <c r="E6" s="4"/>
      <c r="F6" s="7"/>
      <c r="G6" s="5"/>
      <c r="H6" s="7" t="str">
        <f t="shared" si="0"/>
        <v/>
      </c>
      <c r="I6" s="5"/>
      <c r="J6" s="4"/>
      <c r="K6" s="6"/>
      <c r="L6" s="4" t="str">
        <f t="shared" si="1"/>
        <v/>
      </c>
      <c r="W6" s="12">
        <f t="shared" ref="W6:W20" si="5">F6</f>
        <v>0</v>
      </c>
      <c r="X6" s="12" t="str">
        <f t="shared" si="2"/>
        <v/>
      </c>
      <c r="Y6" s="13">
        <f t="shared" si="3"/>
        <v>0</v>
      </c>
      <c r="Z6" s="13">
        <f t="shared" si="4"/>
        <v>0</v>
      </c>
    </row>
    <row r="7" spans="1:26" x14ac:dyDescent="0.25">
      <c r="A7" s="1" t="s">
        <v>94</v>
      </c>
      <c r="B7" s="8">
        <v>46204</v>
      </c>
      <c r="D7" s="4"/>
      <c r="E7" s="4"/>
      <c r="F7" s="7"/>
      <c r="G7" s="5"/>
      <c r="H7" s="7" t="str">
        <f t="shared" si="0"/>
        <v/>
      </c>
      <c r="I7" s="5"/>
      <c r="J7" s="4"/>
      <c r="K7" s="6"/>
      <c r="L7" s="4" t="str">
        <f t="shared" si="1"/>
        <v/>
      </c>
      <c r="W7" s="12">
        <f t="shared" si="5"/>
        <v>0</v>
      </c>
      <c r="X7" s="12" t="str">
        <f t="shared" si="2"/>
        <v/>
      </c>
      <c r="Y7" s="13">
        <f t="shared" si="3"/>
        <v>0</v>
      </c>
      <c r="Z7" s="13">
        <f t="shared" si="4"/>
        <v>0</v>
      </c>
    </row>
    <row r="8" spans="1:26" x14ac:dyDescent="0.25">
      <c r="A8" s="1" t="s">
        <v>227</v>
      </c>
      <c r="B8" s="8">
        <v>46203</v>
      </c>
      <c r="D8" s="4"/>
      <c r="E8" s="4"/>
      <c r="F8" s="7"/>
      <c r="G8" s="5"/>
      <c r="H8" s="7" t="str">
        <f t="shared" si="0"/>
        <v/>
      </c>
      <c r="I8" s="5"/>
      <c r="J8" s="4"/>
      <c r="K8" s="6"/>
      <c r="L8" s="4" t="str">
        <f t="shared" si="1"/>
        <v/>
      </c>
      <c r="W8" s="12">
        <f t="shared" si="5"/>
        <v>0</v>
      </c>
      <c r="X8" s="12" t="str">
        <f t="shared" si="2"/>
        <v/>
      </c>
      <c r="Y8" s="13">
        <f t="shared" si="3"/>
        <v>0</v>
      </c>
      <c r="Z8" s="13">
        <f t="shared" si="4"/>
        <v>0</v>
      </c>
    </row>
    <row r="9" spans="1:26" x14ac:dyDescent="0.25">
      <c r="A9" s="1" t="s">
        <v>240</v>
      </c>
      <c r="B9" s="8"/>
      <c r="D9" s="4"/>
      <c r="E9" s="4"/>
      <c r="F9" s="7"/>
      <c r="G9" s="5"/>
      <c r="H9" s="7" t="str">
        <f t="shared" si="0"/>
        <v/>
      </c>
      <c r="I9" s="5"/>
      <c r="J9" s="4"/>
      <c r="K9" s="6"/>
      <c r="L9" s="4" t="str">
        <f t="shared" si="1"/>
        <v/>
      </c>
      <c r="W9" s="12">
        <f t="shared" si="5"/>
        <v>0</v>
      </c>
      <c r="X9" s="12" t="str">
        <f t="shared" si="2"/>
        <v/>
      </c>
      <c r="Y9" s="13">
        <f t="shared" si="3"/>
        <v>0</v>
      </c>
      <c r="Z9" s="13">
        <f t="shared" si="4"/>
        <v>0</v>
      </c>
    </row>
    <row r="10" spans="1:26" x14ac:dyDescent="0.25">
      <c r="A10" s="1" t="s">
        <v>94</v>
      </c>
      <c r="B10" s="2">
        <v>17.71</v>
      </c>
      <c r="D10" s="4"/>
      <c r="E10" s="4"/>
      <c r="F10" s="7"/>
      <c r="G10" s="5"/>
      <c r="H10" s="7" t="str">
        <f t="shared" si="0"/>
        <v/>
      </c>
      <c r="I10" s="5"/>
      <c r="J10" s="4"/>
      <c r="K10" s="6"/>
      <c r="L10" s="4" t="str">
        <f t="shared" si="1"/>
        <v/>
      </c>
      <c r="W10" s="12">
        <f t="shared" si="5"/>
        <v>0</v>
      </c>
      <c r="X10" s="12" t="str">
        <f t="shared" si="2"/>
        <v/>
      </c>
      <c r="Y10" s="13">
        <f t="shared" si="3"/>
        <v>0</v>
      </c>
      <c r="Z10" s="13">
        <f t="shared" si="4"/>
        <v>0</v>
      </c>
    </row>
    <row r="11" spans="1:26" x14ac:dyDescent="0.25">
      <c r="A11" s="1" t="s">
        <v>87</v>
      </c>
      <c r="B11" s="2">
        <f>SUM(I3:I20)</f>
        <v>0</v>
      </c>
      <c r="D11" s="4"/>
      <c r="E11" s="4"/>
      <c r="F11" s="7"/>
      <c r="G11" s="5"/>
      <c r="H11" s="7" t="str">
        <f t="shared" si="0"/>
        <v/>
      </c>
      <c r="I11" s="5"/>
      <c r="J11" s="4"/>
      <c r="K11" s="6"/>
      <c r="L11" s="4" t="str">
        <f t="shared" si="1"/>
        <v/>
      </c>
      <c r="W11" s="12">
        <f t="shared" si="5"/>
        <v>0</v>
      </c>
      <c r="X11" s="12" t="str">
        <f t="shared" si="2"/>
        <v/>
      </c>
      <c r="Y11" s="13">
        <f t="shared" si="3"/>
        <v>0</v>
      </c>
      <c r="Z11" s="13">
        <f t="shared" si="4"/>
        <v>0</v>
      </c>
    </row>
    <row r="12" spans="1:26" x14ac:dyDescent="0.25">
      <c r="A12" s="1" t="s">
        <v>10</v>
      </c>
      <c r="B12" s="2">
        <f>SUM(J3:J20)</f>
        <v>0</v>
      </c>
      <c r="D12" s="4"/>
      <c r="E12" s="4"/>
      <c r="F12" s="7"/>
      <c r="G12" s="5"/>
      <c r="H12" s="7" t="str">
        <f t="shared" si="0"/>
        <v/>
      </c>
      <c r="I12" s="5"/>
      <c r="J12" s="4"/>
      <c r="K12" s="6"/>
      <c r="L12" s="4" t="str">
        <f t="shared" si="1"/>
        <v/>
      </c>
      <c r="W12" s="12">
        <f t="shared" si="5"/>
        <v>0</v>
      </c>
      <c r="X12" s="12" t="str">
        <f t="shared" si="2"/>
        <v/>
      </c>
      <c r="Y12" s="13">
        <f t="shared" si="3"/>
        <v>0</v>
      </c>
      <c r="Z12" s="13">
        <f t="shared" si="4"/>
        <v>0</v>
      </c>
    </row>
    <row r="13" spans="1:26" x14ac:dyDescent="0.25">
      <c r="A13" s="1" t="s">
        <v>242</v>
      </c>
      <c r="B13" s="10" t="str">
        <f>IF(B10=B11,XIRR(Y3:Z20,W3:X20),"")</f>
        <v/>
      </c>
      <c r="D13" s="4"/>
      <c r="E13" s="4"/>
      <c r="F13" s="7"/>
      <c r="G13" s="5"/>
      <c r="H13" s="7" t="str">
        <f t="shared" si="0"/>
        <v/>
      </c>
      <c r="I13" s="5"/>
      <c r="J13" s="4"/>
      <c r="K13" s="6"/>
      <c r="L13" s="4" t="str">
        <f t="shared" si="1"/>
        <v/>
      </c>
      <c r="W13" s="12">
        <f t="shared" si="5"/>
        <v>0</v>
      </c>
      <c r="X13" s="12" t="str">
        <f t="shared" si="2"/>
        <v/>
      </c>
      <c r="Y13" s="13">
        <f t="shared" si="3"/>
        <v>0</v>
      </c>
      <c r="Z13" s="13">
        <f t="shared" si="4"/>
        <v>0</v>
      </c>
    </row>
    <row r="14" spans="1:26" x14ac:dyDescent="0.25">
      <c r="A14" s="20" t="s">
        <v>243</v>
      </c>
      <c r="B14" s="22" t="str">
        <f>IF(B10=B11,SUMPRODUCT(L3:L20,G3:G20)/SUM(G3:G20),"")</f>
        <v/>
      </c>
      <c r="D14" s="4"/>
      <c r="E14" s="4"/>
      <c r="F14" s="7"/>
      <c r="G14" s="5"/>
      <c r="H14" s="7" t="str">
        <f t="shared" si="0"/>
        <v/>
      </c>
      <c r="I14" s="5"/>
      <c r="J14" s="4"/>
      <c r="K14" s="6"/>
      <c r="L14" s="4" t="str">
        <f t="shared" si="1"/>
        <v/>
      </c>
      <c r="W14" s="12">
        <f t="shared" si="5"/>
        <v>0</v>
      </c>
      <c r="X14" s="12" t="str">
        <f t="shared" si="2"/>
        <v/>
      </c>
      <c r="Y14" s="13">
        <f t="shared" si="3"/>
        <v>0</v>
      </c>
      <c r="Z14" s="13">
        <f t="shared" si="4"/>
        <v>0</v>
      </c>
    </row>
    <row r="15" spans="1:26" x14ac:dyDescent="0.25">
      <c r="D15" s="4"/>
      <c r="E15" s="4"/>
      <c r="F15" s="7"/>
      <c r="G15" s="5"/>
      <c r="H15" s="7" t="str">
        <f t="shared" si="0"/>
        <v/>
      </c>
      <c r="I15" s="5"/>
      <c r="J15" s="4"/>
      <c r="K15" s="6"/>
      <c r="L15" s="4" t="str">
        <f t="shared" si="1"/>
        <v/>
      </c>
      <c r="W15" s="12">
        <f t="shared" si="5"/>
        <v>0</v>
      </c>
      <c r="X15" s="12" t="str">
        <f t="shared" si="2"/>
        <v/>
      </c>
      <c r="Y15" s="13">
        <f t="shared" si="3"/>
        <v>0</v>
      </c>
      <c r="Z15" s="13">
        <f t="shared" si="4"/>
        <v>0</v>
      </c>
    </row>
    <row r="16" spans="1:26" x14ac:dyDescent="0.25">
      <c r="D16" s="4"/>
      <c r="E16" s="4"/>
      <c r="F16" s="7"/>
      <c r="G16" s="5"/>
      <c r="H16" s="7" t="str">
        <f t="shared" si="0"/>
        <v/>
      </c>
      <c r="I16" s="5"/>
      <c r="J16" s="4"/>
      <c r="K16" s="6"/>
      <c r="L16" s="4" t="str">
        <f t="shared" si="1"/>
        <v/>
      </c>
      <c r="W16" s="12">
        <f t="shared" si="5"/>
        <v>0</v>
      </c>
      <c r="X16" s="12" t="str">
        <f t="shared" si="2"/>
        <v/>
      </c>
      <c r="Y16" s="13">
        <f t="shared" si="3"/>
        <v>0</v>
      </c>
      <c r="Z16" s="13">
        <f t="shared" si="4"/>
        <v>0</v>
      </c>
    </row>
    <row r="17" spans="4:26" x14ac:dyDescent="0.25">
      <c r="D17" s="4"/>
      <c r="E17" s="4"/>
      <c r="F17" s="7"/>
      <c r="G17" s="5"/>
      <c r="H17" s="7" t="str">
        <f t="shared" si="0"/>
        <v/>
      </c>
      <c r="I17" s="5"/>
      <c r="J17" s="4"/>
      <c r="K17" s="6"/>
      <c r="L17" s="4" t="str">
        <f t="shared" si="1"/>
        <v/>
      </c>
      <c r="W17" s="12">
        <f t="shared" si="5"/>
        <v>0</v>
      </c>
      <c r="X17" s="12" t="str">
        <f t="shared" si="2"/>
        <v/>
      </c>
      <c r="Y17" s="13">
        <f t="shared" si="3"/>
        <v>0</v>
      </c>
      <c r="Z17" s="13">
        <f t="shared" si="4"/>
        <v>0</v>
      </c>
    </row>
    <row r="18" spans="4:26" x14ac:dyDescent="0.25">
      <c r="D18" s="4"/>
      <c r="E18" s="4"/>
      <c r="F18" s="7"/>
      <c r="G18" s="5"/>
      <c r="H18" s="7" t="str">
        <f t="shared" si="0"/>
        <v/>
      </c>
      <c r="I18" s="5"/>
      <c r="J18" s="4"/>
      <c r="K18" s="6"/>
      <c r="L18" s="4" t="str">
        <f t="shared" si="1"/>
        <v/>
      </c>
      <c r="W18" s="12">
        <f t="shared" si="5"/>
        <v>0</v>
      </c>
      <c r="X18" s="12" t="str">
        <f t="shared" si="2"/>
        <v/>
      </c>
      <c r="Y18" s="13">
        <f t="shared" si="3"/>
        <v>0</v>
      </c>
      <c r="Z18" s="13">
        <f t="shared" si="4"/>
        <v>0</v>
      </c>
    </row>
    <row r="19" spans="4:26" x14ac:dyDescent="0.25">
      <c r="D19" s="4"/>
      <c r="E19" s="4"/>
      <c r="F19" s="7"/>
      <c r="G19" s="5"/>
      <c r="H19" s="7" t="str">
        <f t="shared" si="0"/>
        <v/>
      </c>
      <c r="I19" s="5"/>
      <c r="J19" s="4"/>
      <c r="K19" s="6"/>
      <c r="L19" s="4" t="str">
        <f t="shared" si="1"/>
        <v/>
      </c>
      <c r="W19" s="12">
        <f t="shared" si="5"/>
        <v>0</v>
      </c>
      <c r="X19" s="12" t="str">
        <f t="shared" si="2"/>
        <v/>
      </c>
      <c r="Y19" s="13">
        <f t="shared" si="3"/>
        <v>0</v>
      </c>
      <c r="Z19" s="13">
        <f t="shared" si="4"/>
        <v>0</v>
      </c>
    </row>
    <row r="20" spans="4:26" x14ac:dyDescent="0.25">
      <c r="D20" s="4"/>
      <c r="E20" s="4"/>
      <c r="F20" s="7"/>
      <c r="G20" s="5"/>
      <c r="H20" s="7" t="str">
        <f t="shared" si="0"/>
        <v/>
      </c>
      <c r="I20" s="5"/>
      <c r="J20" s="4"/>
      <c r="K20" s="6"/>
      <c r="L20" s="4" t="str">
        <f t="shared" si="1"/>
        <v/>
      </c>
      <c r="W20" s="12">
        <f t="shared" si="5"/>
        <v>0</v>
      </c>
      <c r="X20" s="12" t="str">
        <f t="shared" si="2"/>
        <v/>
      </c>
      <c r="Y20" s="13">
        <f t="shared" si="3"/>
        <v>0</v>
      </c>
      <c r="Z20" s="13">
        <f t="shared" si="4"/>
        <v>0</v>
      </c>
    </row>
    <row r="21" spans="4:26" x14ac:dyDescent="0.25">
      <c r="W21" s="12"/>
      <c r="X21" s="12"/>
      <c r="Y21" s="13"/>
      <c r="Z21" s="13"/>
    </row>
    <row r="22" spans="4:26" x14ac:dyDescent="0.25">
      <c r="W22" s="12"/>
      <c r="X22" s="12"/>
      <c r="Y22" s="13"/>
      <c r="Z22" s="13"/>
    </row>
    <row r="23" spans="4:26" x14ac:dyDescent="0.25">
      <c r="W23" s="12"/>
      <c r="X23" s="12"/>
      <c r="Y23" s="13"/>
      <c r="Z23" s="13"/>
    </row>
  </sheetData>
  <mergeCells count="4">
    <mergeCell ref="D1:D2"/>
    <mergeCell ref="E1:E2"/>
    <mergeCell ref="F1:G1"/>
    <mergeCell ref="H1:L1"/>
  </mergeCells>
  <conditionalFormatting sqref="A1">
    <cfRule type="expression" dxfId="1" priority="2">
      <formula>$B$10=$B$11</formula>
    </cfRule>
  </conditionalFormatting>
  <conditionalFormatting sqref="B1">
    <cfRule type="expression" dxfId="0" priority="1">
      <formula>$B$7=$B$8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Overview</vt:lpstr>
      <vt:lpstr>Pinigai</vt:lpstr>
      <vt:lpstr>J035</vt:lpstr>
      <vt:lpstr>J036</vt:lpstr>
      <vt:lpstr>J037</vt:lpstr>
      <vt:lpstr>J038</vt:lpstr>
      <vt:lpstr>J039</vt:lpstr>
      <vt:lpstr>J040</vt:lpstr>
      <vt:lpstr>J041</vt:lpstr>
      <vt:lpstr>J042</vt:lpstr>
      <vt:lpstr>J043</vt:lpstr>
      <vt:lpstr>J044</vt:lpstr>
      <vt:lpstr>J046</vt:lpstr>
      <vt:lpstr>J048</vt:lpstr>
      <vt:lpstr>J049</vt:lpstr>
      <vt:lpstr>J050</vt:lpstr>
      <vt:lpstr>J051</vt:lpstr>
      <vt:lpstr>J052</vt:lpstr>
      <vt:lpstr>J053</vt:lpstr>
      <vt:lpstr>J054</vt:lpstr>
      <vt:lpstr>J055</vt:lpstr>
      <vt:lpstr>J056</vt:lpstr>
      <vt:lpstr>J057</vt:lpstr>
      <vt:lpstr>J059</vt:lpstr>
      <vt:lpstr>J060</vt:lpstr>
      <vt:lpstr>J061</vt:lpstr>
      <vt:lpstr>J062</vt:lpstr>
      <vt:lpstr>J063</vt:lpstr>
      <vt:lpstr>J064</vt:lpstr>
      <vt:lpstr>J065</vt:lpstr>
      <vt:lpstr>J066</vt:lpstr>
      <vt:lpstr>J067</vt:lpstr>
      <vt:lpstr>J068</vt:lpstr>
      <vt:lpstr>J069</vt:lpstr>
      <vt:lpstr>J071</vt:lpstr>
      <vt:lpstr>J072</vt:lpstr>
      <vt:lpstr>J073</vt:lpstr>
      <vt:lpstr>J074</vt:lpstr>
      <vt:lpstr>J076</vt:lpstr>
      <vt:lpstr>R030</vt:lpstr>
      <vt:lpstr>R077</vt:lpstr>
      <vt:lpstr>R078</vt:lpstr>
      <vt:lpstr>R079</vt:lpstr>
      <vt:lpstr>R080</vt:lpstr>
      <vt:lpstr>R081</vt:lpstr>
      <vt:lpstr>R084</vt:lpstr>
      <vt:lpstr>R085</vt:lpstr>
      <vt:lpstr>R086</vt:lpstr>
      <vt:lpstr>R087</vt:lpstr>
      <vt:lpstr>R088</vt:lpstr>
      <vt:lpstr>R089</vt:lpstr>
      <vt:lpstr>R090</vt:lpstr>
      <vt:lpstr>R091</vt:lpstr>
      <vt:lpstr>R092</vt:lpstr>
      <vt:lpstr>R093</vt:lpstr>
      <vt:lpstr>R094</vt:lpstr>
      <vt:lpstr>R095</vt:lpstr>
      <vt:lpstr>R096</vt:lpstr>
      <vt:lpstr>R097</vt:lpstr>
      <vt:lpstr>R098</vt:lpstr>
      <vt:lpstr>R099</vt:lpstr>
      <vt:lpstr>R100</vt:lpstr>
      <vt:lpstr>R101</vt:lpstr>
      <vt:lpstr>R102</vt:lpstr>
      <vt:lpstr>R103</vt:lpstr>
      <vt:lpstr>R104</vt:lpstr>
      <vt:lpstr>R105</vt:lpstr>
      <vt:lpstr>R107</vt:lpstr>
      <vt:lpstr>R108</vt:lpstr>
      <vt:lpstr>R111</vt:lpstr>
      <vt:lpstr>R119</vt:lpstr>
      <vt:lpstr>R120</vt:lpstr>
      <vt:lpstr>R121</vt:lpstr>
      <vt:lpstr>R122</vt:lpstr>
      <vt:lpstr>R123</vt:lpstr>
      <vt:lpstr>R128</vt:lpstr>
      <vt:lpstr>R129</vt:lpstr>
      <vt:lpstr>R130</vt:lpstr>
      <vt:lpstr>R131</vt:lpstr>
      <vt:lpstr>R150</vt:lpstr>
      <vt:lpstr>R151</vt:lpstr>
      <vt:lpstr>R152</vt:lpstr>
      <vt:lpstr>R156</vt:lpstr>
      <vt:lpstr>R157</vt:lpstr>
      <vt:lpstr>R158</vt:lpstr>
      <vt:lpstr>R175</vt:lpstr>
      <vt:lpstr>R180</vt:lpstr>
      <vt:lpstr>R256</vt:lpstr>
      <vt:lpstr>R259</vt:lpstr>
      <vt:lpstr>C004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2025-06-10T11:13:01Z</dcterms:created>
  <dcterms:modified xsi:type="dcterms:W3CDTF">2026-09-30T10:09:07Z</dcterms:modified>
</cp:coreProperties>
</file>