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https://d.docs.live.net/69be8bcaca992739/Dokumentai/portfolio-analytics/portfolio-dashboard-clean/excel/"/>
    </mc:Choice>
  </mc:AlternateContent>
  <xr:revisionPtr revIDLastSave="1" documentId="13_ncr:1_{C1EE1FC9-214D-466E-AEDD-AC0AB94F2565}" xr6:coauthVersionLast="47" xr6:coauthVersionMax="47" xr10:uidLastSave="{423C2149-F0E0-425C-A1BC-50329235457A}"/>
  <bookViews>
    <workbookView xWindow="-120" yWindow="-120" windowWidth="29040" windowHeight="15720" xr2:uid="{00000000-000D-0000-FFFF-FFFF00000000}"/>
  </bookViews>
  <sheets>
    <sheet name="Apžvalga" sheetId="81" r:id="rId1"/>
    <sheet name="NADQ" sheetId="35" state="hidden" r:id="rId2"/>
    <sheet name="QDVE" sheetId="46" state="hidden" r:id="rId3"/>
    <sheet name="VWCE" sheetId="48" state="hidden" r:id="rId4"/>
    <sheet name="XDEQ" sheetId="83" state="hidden" r:id="rId5"/>
    <sheet name="VUAA" sheetId="84" state="hidden" r:id="rId6"/>
    <sheet name="XDWT" sheetId="86" state="hidden" r:id="rId7"/>
    <sheet name="XAIX" sheetId="87" state="hidden" r:id="rId8"/>
    <sheet name="WEBN" sheetId="90" r:id="rId9"/>
    <sheet name="2026.08" sheetId="103" r:id="rId10"/>
    <sheet name="2026.07" sheetId="102" r:id="rId11"/>
    <sheet name="2026.06" sheetId="101" r:id="rId12"/>
    <sheet name="2026.05" sheetId="100" r:id="rId13"/>
    <sheet name="2026.04" sheetId="99" r:id="rId14"/>
    <sheet name="2026.03" sheetId="98" r:id="rId15"/>
    <sheet name="2026.02" sheetId="97" r:id="rId16"/>
    <sheet name="2026.01" sheetId="69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0" i="81" l="1"/>
  <c r="K10" i="81"/>
  <c r="D10" i="81" s="1"/>
  <c r="J10" i="81"/>
  <c r="E10" i="81"/>
  <c r="C10" i="81"/>
  <c r="B10" i="81"/>
  <c r="A10" i="81"/>
  <c r="F10" i="81"/>
  <c r="G10" i="81"/>
  <c r="M12" i="90"/>
  <c r="L12" i="90"/>
  <c r="K12" i="90"/>
  <c r="E12" i="90"/>
  <c r="F12" i="90" s="1"/>
  <c r="H12" i="90" s="1"/>
  <c r="C12" i="90"/>
  <c r="D12" i="90" s="1"/>
  <c r="B12" i="90"/>
  <c r="A12" i="90"/>
  <c r="AC12" i="90"/>
  <c r="AD12" i="90"/>
  <c r="AE12" i="90"/>
  <c r="AF12" i="90"/>
  <c r="AG12" i="90"/>
  <c r="E15" i="103"/>
  <c r="E19" i="103" s="1"/>
  <c r="O19" i="103"/>
  <c r="L19" i="103"/>
  <c r="J19" i="103"/>
  <c r="V5" i="103" s="1"/>
  <c r="T5" i="103" s="1"/>
  <c r="I19" i="103"/>
  <c r="F19" i="103"/>
  <c r="D19" i="103"/>
  <c r="U5" i="103" s="1"/>
  <c r="C19" i="103"/>
  <c r="B19" i="103"/>
  <c r="W5" i="103"/>
  <c r="S5" i="103"/>
  <c r="X5" i="103" s="1"/>
  <c r="L9" i="81"/>
  <c r="K9" i="81"/>
  <c r="J9" i="81"/>
  <c r="E9" i="81"/>
  <c r="D9" i="81"/>
  <c r="C9" i="81"/>
  <c r="B9" i="81"/>
  <c r="A9" i="81"/>
  <c r="AG11" i="90"/>
  <c r="AF11" i="90"/>
  <c r="AE11" i="90"/>
  <c r="AD11" i="90"/>
  <c r="AC11" i="90"/>
  <c r="M11" i="90"/>
  <c r="L11" i="90"/>
  <c r="K11" i="90"/>
  <c r="E11" i="90"/>
  <c r="F11" i="90" s="1"/>
  <c r="H11" i="90" s="1"/>
  <c r="F9" i="81" s="1"/>
  <c r="G9" i="81" s="1"/>
  <c r="H9" i="81" s="1"/>
  <c r="I9" i="81" s="1"/>
  <c r="C11" i="90"/>
  <c r="D11" i="90" s="1"/>
  <c r="B11" i="90"/>
  <c r="A11" i="90"/>
  <c r="E15" i="102"/>
  <c r="O19" i="102"/>
  <c r="W5" i="102" s="1"/>
  <c r="L19" i="102"/>
  <c r="J19" i="102"/>
  <c r="I19" i="102"/>
  <c r="T5" i="102" s="1"/>
  <c r="F19" i="102"/>
  <c r="D19" i="102"/>
  <c r="C19" i="102"/>
  <c r="B19" i="102"/>
  <c r="E19" i="102"/>
  <c r="V5" i="102"/>
  <c r="U5" i="102"/>
  <c r="S5" i="102"/>
  <c r="X5" i="102" s="1"/>
  <c r="H10" i="81" l="1"/>
  <c r="I10" i="81" s="1"/>
  <c r="I12" i="90"/>
  <c r="J12" i="90"/>
  <c r="I11" i="90"/>
  <c r="J11" i="90"/>
  <c r="AG10" i="90"/>
  <c r="AG9" i="90"/>
  <c r="AG8" i="90"/>
  <c r="AG7" i="90"/>
  <c r="AG6" i="90"/>
  <c r="AG5" i="90"/>
  <c r="AF5" i="90"/>
  <c r="AF6" i="90"/>
  <c r="AF7" i="90"/>
  <c r="AF8" i="90"/>
  <c r="AF9" i="90"/>
  <c r="AF10" i="90"/>
  <c r="AF36" i="90"/>
  <c r="E19" i="101"/>
  <c r="E19" i="100"/>
  <c r="E19" i="99"/>
  <c r="E19" i="98"/>
  <c r="E19" i="97"/>
  <c r="E19" i="69"/>
  <c r="J8" i="81"/>
  <c r="C8" i="81"/>
  <c r="A8" i="81"/>
  <c r="M10" i="90"/>
  <c r="L10" i="90"/>
  <c r="K10" i="90"/>
  <c r="E10" i="90"/>
  <c r="C10" i="90"/>
  <c r="B10" i="90"/>
  <c r="A10" i="90"/>
  <c r="O19" i="101"/>
  <c r="L19" i="101"/>
  <c r="J19" i="101"/>
  <c r="V5" i="101" s="1"/>
  <c r="L8" i="81" s="1"/>
  <c r="I19" i="101"/>
  <c r="F19" i="101"/>
  <c r="AE10" i="90" s="1"/>
  <c r="D19" i="101"/>
  <c r="U5" i="101" s="1"/>
  <c r="K8" i="81" s="1"/>
  <c r="C19" i="101"/>
  <c r="S5" i="101" s="1"/>
  <c r="B19" i="101"/>
  <c r="W5" i="101"/>
  <c r="E15" i="101"/>
  <c r="AD10" i="90" l="1"/>
  <c r="L7" i="81"/>
  <c r="T5" i="101"/>
  <c r="AC10" i="90"/>
  <c r="X5" i="101"/>
  <c r="E8" i="81" s="1"/>
  <c r="C7" i="81"/>
  <c r="C6" i="81"/>
  <c r="A7" i="81"/>
  <c r="A6" i="81"/>
  <c r="M9" i="90" l="1"/>
  <c r="M8" i="90"/>
  <c r="L9" i="90"/>
  <c r="L8" i="90"/>
  <c r="K9" i="90"/>
  <c r="K8" i="90"/>
  <c r="E9" i="90"/>
  <c r="E8" i="90"/>
  <c r="B9" i="90"/>
  <c r="C9" i="90"/>
  <c r="C8" i="90"/>
  <c r="B8" i="90"/>
  <c r="A9" i="90"/>
  <c r="A8" i="90"/>
  <c r="O19" i="100"/>
  <c r="L19" i="100"/>
  <c r="J19" i="100"/>
  <c r="V5" i="100" s="1"/>
  <c r="I19" i="100"/>
  <c r="F19" i="100"/>
  <c r="AE9" i="90" s="1"/>
  <c r="D19" i="100"/>
  <c r="C19" i="100"/>
  <c r="AC9" i="90" s="1"/>
  <c r="B19" i="100"/>
  <c r="W5" i="100"/>
  <c r="J7" i="81" s="1"/>
  <c r="U5" i="100"/>
  <c r="K7" i="81" s="1"/>
  <c r="S5" i="100"/>
  <c r="E15" i="100"/>
  <c r="AD9" i="90" s="1"/>
  <c r="O19" i="99"/>
  <c r="L19" i="99"/>
  <c r="J19" i="99"/>
  <c r="V5" i="99" s="1"/>
  <c r="L6" i="81" s="1"/>
  <c r="I19" i="99"/>
  <c r="F19" i="99"/>
  <c r="AE8" i="90" s="1"/>
  <c r="D19" i="99"/>
  <c r="U5" i="99" s="1"/>
  <c r="K6" i="81" s="1"/>
  <c r="C19" i="99"/>
  <c r="AC8" i="90" s="1"/>
  <c r="B19" i="99"/>
  <c r="W5" i="99"/>
  <c r="J6" i="81" s="1"/>
  <c r="E15" i="99"/>
  <c r="AD8" i="90" s="1"/>
  <c r="M7" i="90"/>
  <c r="L7" i="90"/>
  <c r="K7" i="90"/>
  <c r="E7" i="90"/>
  <c r="C7" i="90"/>
  <c r="B7" i="90"/>
  <c r="C5" i="81"/>
  <c r="A5" i="81"/>
  <c r="A7" i="90"/>
  <c r="O19" i="98"/>
  <c r="L19" i="98"/>
  <c r="J19" i="98"/>
  <c r="V5" i="98" s="1"/>
  <c r="I19" i="98"/>
  <c r="F19" i="98"/>
  <c r="AE7" i="90" s="1"/>
  <c r="D19" i="98"/>
  <c r="U5" i="98" s="1"/>
  <c r="K5" i="81" s="1"/>
  <c r="C19" i="98"/>
  <c r="AC7" i="90" s="1"/>
  <c r="B19" i="98"/>
  <c r="W5" i="98"/>
  <c r="J5" i="81" s="1"/>
  <c r="S5" i="98"/>
  <c r="E15" i="98"/>
  <c r="AD7" i="90" s="1"/>
  <c r="C4" i="81"/>
  <c r="A4" i="81"/>
  <c r="M6" i="90"/>
  <c r="L6" i="90"/>
  <c r="K6" i="90"/>
  <c r="E6" i="90"/>
  <c r="C6" i="90"/>
  <c r="B6" i="90"/>
  <c r="A6" i="90"/>
  <c r="O19" i="97"/>
  <c r="L19" i="97"/>
  <c r="J19" i="97"/>
  <c r="V5" i="97" s="1"/>
  <c r="L4" i="81" s="1"/>
  <c r="I19" i="97"/>
  <c r="F19" i="97"/>
  <c r="AE6" i="90" s="1"/>
  <c r="D19" i="97"/>
  <c r="U5" i="97" s="1"/>
  <c r="K4" i="81" s="1"/>
  <c r="C19" i="97"/>
  <c r="B19" i="97"/>
  <c r="W5" i="97"/>
  <c r="J4" i="81" s="1"/>
  <c r="E15" i="97"/>
  <c r="AD6" i="90" s="1"/>
  <c r="F2" i="81"/>
  <c r="M5" i="90"/>
  <c r="L5" i="90"/>
  <c r="K5" i="90"/>
  <c r="E5" i="90"/>
  <c r="F5" i="90" s="1"/>
  <c r="H5" i="90" s="1"/>
  <c r="C5" i="90"/>
  <c r="D5" i="90" s="1"/>
  <c r="B5" i="90"/>
  <c r="A5" i="90"/>
  <c r="T5" i="100" l="1"/>
  <c r="X5" i="100"/>
  <c r="E7" i="81" s="1"/>
  <c r="S5" i="99"/>
  <c r="T5" i="99"/>
  <c r="L5" i="81"/>
  <c r="T5" i="98"/>
  <c r="X5" i="98"/>
  <c r="E5" i="81" s="1"/>
  <c r="V5" i="90"/>
  <c r="S5" i="97"/>
  <c r="X5" i="97" s="1"/>
  <c r="E4" i="81" s="1"/>
  <c r="AC6" i="90"/>
  <c r="W5" i="90"/>
  <c r="P5" i="90"/>
  <c r="X5" i="90"/>
  <c r="Q5" i="90"/>
  <c r="X5" i="99"/>
  <c r="E6" i="81" s="1"/>
  <c r="I5" i="90"/>
  <c r="F3" i="81"/>
  <c r="J5" i="90"/>
  <c r="D6" i="90"/>
  <c r="D7" i="90" s="1"/>
  <c r="D8" i="90" s="1"/>
  <c r="D9" i="90" s="1"/>
  <c r="D10" i="90" s="1"/>
  <c r="F6" i="90"/>
  <c r="H6" i="90" s="1"/>
  <c r="F4" i="81" s="1"/>
  <c r="T5" i="97"/>
  <c r="S5" i="90" l="1"/>
  <c r="T5" i="90"/>
  <c r="F7" i="90"/>
  <c r="G4" i="81"/>
  <c r="I6" i="90"/>
  <c r="J6" i="90"/>
  <c r="H7" i="90" l="1"/>
  <c r="F8" i="90"/>
  <c r="O19" i="69"/>
  <c r="W5" i="69" s="1"/>
  <c r="A8" i="87"/>
  <c r="A8" i="86"/>
  <c r="A9" i="84"/>
  <c r="A9" i="83"/>
  <c r="A10" i="48"/>
  <c r="A12" i="46"/>
  <c r="A16" i="35"/>
  <c r="C12" i="46"/>
  <c r="M8" i="87"/>
  <c r="L8" i="87"/>
  <c r="E8" i="87"/>
  <c r="C8" i="87"/>
  <c r="B8" i="87"/>
  <c r="K8" i="87"/>
  <c r="M8" i="86"/>
  <c r="L8" i="86"/>
  <c r="E8" i="86"/>
  <c r="C8" i="86"/>
  <c r="B8" i="86"/>
  <c r="K8" i="86"/>
  <c r="M9" i="84"/>
  <c r="L9" i="84"/>
  <c r="E9" i="84"/>
  <c r="K9" i="84"/>
  <c r="C9" i="84"/>
  <c r="B9" i="84"/>
  <c r="M9" i="83"/>
  <c r="L9" i="83"/>
  <c r="E9" i="83"/>
  <c r="K9" i="83"/>
  <c r="C9" i="83"/>
  <c r="B9" i="83"/>
  <c r="M10" i="48"/>
  <c r="L10" i="48"/>
  <c r="E10" i="48"/>
  <c r="B10" i="48"/>
  <c r="M12" i="46"/>
  <c r="L12" i="46"/>
  <c r="E12" i="46"/>
  <c r="K12" i="46"/>
  <c r="B12" i="46"/>
  <c r="E16" i="35"/>
  <c r="B16" i="35"/>
  <c r="C3" i="81"/>
  <c r="E7" i="87"/>
  <c r="A7" i="87"/>
  <c r="A7" i="86"/>
  <c r="A8" i="84"/>
  <c r="C8" i="83"/>
  <c r="A8" i="83"/>
  <c r="A9" i="48"/>
  <c r="A11" i="46"/>
  <c r="A15" i="35"/>
  <c r="K7" i="87"/>
  <c r="K7" i="86"/>
  <c r="M7" i="87"/>
  <c r="C7" i="87"/>
  <c r="B7" i="87"/>
  <c r="M7" i="86"/>
  <c r="L7" i="86"/>
  <c r="E7" i="86"/>
  <c r="C7" i="86"/>
  <c r="B7" i="86"/>
  <c r="M8" i="84"/>
  <c r="L8" i="84"/>
  <c r="E8" i="84"/>
  <c r="K8" i="84"/>
  <c r="C8" i="84"/>
  <c r="B8" i="84"/>
  <c r="M8" i="83"/>
  <c r="L8" i="83"/>
  <c r="E8" i="83"/>
  <c r="K8" i="83"/>
  <c r="B8" i="83"/>
  <c r="M9" i="48"/>
  <c r="L9" i="48"/>
  <c r="E9" i="48"/>
  <c r="K9" i="48"/>
  <c r="B9" i="48"/>
  <c r="M11" i="46"/>
  <c r="L11" i="46"/>
  <c r="E11" i="46"/>
  <c r="K11" i="46"/>
  <c r="B11" i="46"/>
  <c r="E15" i="35"/>
  <c r="B15" i="35"/>
  <c r="A6" i="87"/>
  <c r="A6" i="86"/>
  <c r="H8" i="90" l="1"/>
  <c r="F9" i="90"/>
  <c r="F5" i="81"/>
  <c r="G5" i="81" s="1"/>
  <c r="I7" i="90"/>
  <c r="J7" i="90"/>
  <c r="K16" i="35"/>
  <c r="M16" i="35"/>
  <c r="C16" i="35"/>
  <c r="C15" i="35"/>
  <c r="L15" i="35"/>
  <c r="L7" i="87"/>
  <c r="L16" i="35"/>
  <c r="K15" i="35"/>
  <c r="R5" i="48"/>
  <c r="M15" i="35"/>
  <c r="C9" i="48"/>
  <c r="R5" i="46"/>
  <c r="R5" i="35"/>
  <c r="C10" i="48"/>
  <c r="R5" i="83"/>
  <c r="R5" i="84"/>
  <c r="R5" i="86"/>
  <c r="R5" i="87"/>
  <c r="K10" i="48"/>
  <c r="C11" i="46"/>
  <c r="A7" i="84"/>
  <c r="A7" i="83"/>
  <c r="A8" i="48"/>
  <c r="A10" i="46"/>
  <c r="E14" i="35"/>
  <c r="A14" i="35"/>
  <c r="M6" i="87"/>
  <c r="L6" i="87"/>
  <c r="E6" i="87"/>
  <c r="K6" i="87"/>
  <c r="C6" i="87"/>
  <c r="B6" i="87"/>
  <c r="M6" i="86"/>
  <c r="L6" i="86"/>
  <c r="E6" i="86"/>
  <c r="K6" i="86"/>
  <c r="C6" i="86"/>
  <c r="B6" i="86"/>
  <c r="M7" i="84"/>
  <c r="L7" i="84"/>
  <c r="E7" i="84"/>
  <c r="K7" i="84"/>
  <c r="C7" i="84"/>
  <c r="B7" i="84"/>
  <c r="M7" i="83"/>
  <c r="L7" i="83"/>
  <c r="E7" i="83"/>
  <c r="K7" i="83"/>
  <c r="C7" i="83"/>
  <c r="B7" i="83"/>
  <c r="M8" i="48"/>
  <c r="L8" i="48"/>
  <c r="E8" i="48"/>
  <c r="K8" i="48"/>
  <c r="C8" i="48"/>
  <c r="B8" i="48"/>
  <c r="M10" i="46"/>
  <c r="L10" i="46"/>
  <c r="E10" i="46"/>
  <c r="K10" i="46"/>
  <c r="C10" i="46"/>
  <c r="B10" i="46"/>
  <c r="B14" i="35"/>
  <c r="A5" i="87"/>
  <c r="A5" i="86"/>
  <c r="A6" i="84"/>
  <c r="A5" i="84"/>
  <c r="A6" i="83"/>
  <c r="A7" i="48"/>
  <c r="A9" i="46"/>
  <c r="A13" i="35"/>
  <c r="M5" i="87"/>
  <c r="L5" i="87"/>
  <c r="M5" i="86"/>
  <c r="L5" i="86"/>
  <c r="V5" i="86" s="1"/>
  <c r="M6" i="84"/>
  <c r="L6" i="84"/>
  <c r="E6" i="84"/>
  <c r="K6" i="84"/>
  <c r="C6" i="84"/>
  <c r="B6" i="84"/>
  <c r="M6" i="83"/>
  <c r="L6" i="83"/>
  <c r="E6" i="83"/>
  <c r="K6" i="83"/>
  <c r="C6" i="83"/>
  <c r="B6" i="83"/>
  <c r="M7" i="48"/>
  <c r="L7" i="48"/>
  <c r="E7" i="48"/>
  <c r="K7" i="48"/>
  <c r="C7" i="48"/>
  <c r="B7" i="48"/>
  <c r="M9" i="46"/>
  <c r="L9" i="46"/>
  <c r="E9" i="46"/>
  <c r="K9" i="46"/>
  <c r="C9" i="46"/>
  <c r="B9" i="46"/>
  <c r="E13" i="35"/>
  <c r="B13" i="35"/>
  <c r="A5" i="83"/>
  <c r="A6" i="48"/>
  <c r="A5" i="48"/>
  <c r="A8" i="46"/>
  <c r="A12" i="35"/>
  <c r="M5" i="84"/>
  <c r="L5" i="84"/>
  <c r="M5" i="83"/>
  <c r="L5" i="83"/>
  <c r="M6" i="48"/>
  <c r="L6" i="48"/>
  <c r="E6" i="48"/>
  <c r="K6" i="48"/>
  <c r="C6" i="48"/>
  <c r="B6" i="48"/>
  <c r="M8" i="46"/>
  <c r="L8" i="46"/>
  <c r="E8" i="46"/>
  <c r="K8" i="46"/>
  <c r="C8" i="46"/>
  <c r="B8" i="46"/>
  <c r="E12" i="35"/>
  <c r="B12" i="35"/>
  <c r="A7" i="46"/>
  <c r="A11" i="35"/>
  <c r="M5" i="48"/>
  <c r="L5" i="48"/>
  <c r="M7" i="46"/>
  <c r="L7" i="46"/>
  <c r="E7" i="46"/>
  <c r="K7" i="46"/>
  <c r="C7" i="46"/>
  <c r="B7" i="46"/>
  <c r="E11" i="35"/>
  <c r="B11" i="35"/>
  <c r="A6" i="46"/>
  <c r="A5" i="46"/>
  <c r="A10" i="35"/>
  <c r="A9" i="35"/>
  <c r="A8" i="35"/>
  <c r="A7" i="35"/>
  <c r="A6" i="35"/>
  <c r="A5" i="35"/>
  <c r="A3" i="81"/>
  <c r="M6" i="46"/>
  <c r="M5" i="46"/>
  <c r="B8" i="35"/>
  <c r="B7" i="35"/>
  <c r="B6" i="35"/>
  <c r="H9" i="90" l="1"/>
  <c r="I9" i="90" s="1"/>
  <c r="F10" i="90"/>
  <c r="H10" i="90" s="1"/>
  <c r="AG36" i="90" s="1" a="1"/>
  <c r="AG36" i="90" s="1"/>
  <c r="U5" i="90" s="1"/>
  <c r="F6" i="81"/>
  <c r="G6" i="81" s="1"/>
  <c r="J8" i="90"/>
  <c r="I8" i="90"/>
  <c r="C14" i="35"/>
  <c r="M14" i="35"/>
  <c r="C13" i="35"/>
  <c r="K13" i="35"/>
  <c r="L12" i="35"/>
  <c r="K12" i="35"/>
  <c r="C12" i="35"/>
  <c r="M12" i="35"/>
  <c r="C11" i="35"/>
  <c r="K11" i="35"/>
  <c r="K8" i="35"/>
  <c r="M8" i="35"/>
  <c r="K7" i="35"/>
  <c r="K6" i="35"/>
  <c r="M9" i="35"/>
  <c r="V5" i="87"/>
  <c r="M7" i="35"/>
  <c r="M10" i="35"/>
  <c r="V5" i="84"/>
  <c r="L11" i="35"/>
  <c r="L7" i="35"/>
  <c r="L6" i="35"/>
  <c r="L8" i="35"/>
  <c r="M11" i="35"/>
  <c r="L13" i="35"/>
  <c r="K14" i="35"/>
  <c r="M13" i="35"/>
  <c r="L14" i="35"/>
  <c r="V5" i="83"/>
  <c r="L6" i="46"/>
  <c r="E6" i="46"/>
  <c r="K6" i="46"/>
  <c r="C6" i="46"/>
  <c r="B6" i="46"/>
  <c r="E10" i="35"/>
  <c r="L5" i="46"/>
  <c r="E9" i="35"/>
  <c r="B9" i="35"/>
  <c r="E8" i="35"/>
  <c r="C8" i="35"/>
  <c r="E7" i="35"/>
  <c r="C7" i="35"/>
  <c r="E6" i="35"/>
  <c r="C6" i="35"/>
  <c r="L19" i="69"/>
  <c r="J19" i="69"/>
  <c r="I19" i="69"/>
  <c r="F7" i="81" l="1"/>
  <c r="G7" i="81" s="1"/>
  <c r="J9" i="90"/>
  <c r="F8" i="81"/>
  <c r="G8" i="81" s="1"/>
  <c r="I10" i="90"/>
  <c r="J10" i="90"/>
  <c r="V5" i="69"/>
  <c r="T5" i="69" s="1"/>
  <c r="C10" i="35"/>
  <c r="C9" i="35"/>
  <c r="K9" i="35"/>
  <c r="B10" i="35"/>
  <c r="L5" i="35"/>
  <c r="L10" i="35"/>
  <c r="L9" i="35"/>
  <c r="K10" i="35"/>
  <c r="V5" i="48"/>
  <c r="V5" i="46"/>
  <c r="L3" i="81" l="1"/>
  <c r="V5" i="35"/>
  <c r="E5" i="87" l="1"/>
  <c r="Q5" i="87" s="1"/>
  <c r="K5" i="87"/>
  <c r="U5" i="87" s="1"/>
  <c r="C5" i="87"/>
  <c r="D5" i="87" s="1"/>
  <c r="D6" i="87" s="1"/>
  <c r="D7" i="87" s="1"/>
  <c r="D8" i="87" s="1"/>
  <c r="B5" i="87"/>
  <c r="P5" i="87" s="1"/>
  <c r="E5" i="86"/>
  <c r="Q5" i="86" s="1"/>
  <c r="E5" i="84"/>
  <c r="Q5" i="84" s="1"/>
  <c r="K5" i="84"/>
  <c r="U5" i="84" s="1"/>
  <c r="C5" i="84"/>
  <c r="D5" i="84" s="1"/>
  <c r="B5" i="84"/>
  <c r="P5" i="84" s="1"/>
  <c r="B5" i="86" l="1"/>
  <c r="P5" i="86" s="1"/>
  <c r="S5" i="86" s="1"/>
  <c r="C5" i="86"/>
  <c r="D5" i="86" s="1"/>
  <c r="D6" i="86" s="1"/>
  <c r="D7" i="86" s="1"/>
  <c r="D8" i="86" s="1"/>
  <c r="K5" i="86"/>
  <c r="U5" i="86" s="1"/>
  <c r="S5" i="87"/>
  <c r="T5" i="87"/>
  <c r="S5" i="84"/>
  <c r="T5" i="84"/>
  <c r="D6" i="84"/>
  <c r="D7" i="84" s="1"/>
  <c r="D8" i="84" s="1"/>
  <c r="D9" i="84" s="1"/>
  <c r="F5" i="87"/>
  <c r="F5" i="86"/>
  <c r="F5" i="84"/>
  <c r="E5" i="83"/>
  <c r="Q5" i="83" s="1"/>
  <c r="T5" i="86" l="1"/>
  <c r="B5" i="83"/>
  <c r="P5" i="83" s="1"/>
  <c r="C5" i="83"/>
  <c r="D5" i="83" s="1"/>
  <c r="D6" i="83" s="1"/>
  <c r="D7" i="83" s="1"/>
  <c r="D8" i="83" s="1"/>
  <c r="D9" i="83" s="1"/>
  <c r="K5" i="83"/>
  <c r="U5" i="83" s="1"/>
  <c r="H5" i="86"/>
  <c r="F6" i="86"/>
  <c r="H5" i="84"/>
  <c r="F6" i="84"/>
  <c r="H5" i="87"/>
  <c r="F6" i="87"/>
  <c r="F5" i="83"/>
  <c r="F6" i="83" s="1"/>
  <c r="S5" i="83" l="1"/>
  <c r="T5" i="83"/>
  <c r="H5" i="83"/>
  <c r="J5" i="84"/>
  <c r="I5" i="86"/>
  <c r="J5" i="86"/>
  <c r="I5" i="84"/>
  <c r="F7" i="84"/>
  <c r="H6" i="84"/>
  <c r="F7" i="87"/>
  <c r="H6" i="87"/>
  <c r="F7" i="86"/>
  <c r="H6" i="86"/>
  <c r="H6" i="83"/>
  <c r="F7" i="83"/>
  <c r="J5" i="87"/>
  <c r="I5" i="87"/>
  <c r="I5" i="83"/>
  <c r="J5" i="83" l="1"/>
  <c r="H7" i="87"/>
  <c r="F8" i="87"/>
  <c r="H8" i="87" s="1"/>
  <c r="H7" i="86"/>
  <c r="F8" i="86"/>
  <c r="H8" i="86" s="1"/>
  <c r="H7" i="83"/>
  <c r="F8" i="83"/>
  <c r="I6" i="86"/>
  <c r="J6" i="86"/>
  <c r="J6" i="84"/>
  <c r="I6" i="84"/>
  <c r="J6" i="87"/>
  <c r="I6" i="87"/>
  <c r="J6" i="83"/>
  <c r="I6" i="83"/>
  <c r="H7" i="84"/>
  <c r="F8" i="84"/>
  <c r="E5" i="48"/>
  <c r="E5" i="46"/>
  <c r="F5" i="46" s="1"/>
  <c r="E15" i="69"/>
  <c r="AD5" i="90" s="1"/>
  <c r="J7" i="87" l="1"/>
  <c r="B5" i="48"/>
  <c r="P5" i="48" s="1"/>
  <c r="C5" i="48"/>
  <c r="D5" i="48" s="1"/>
  <c r="D6" i="48" s="1"/>
  <c r="D7" i="48" s="1"/>
  <c r="D8" i="48" s="1"/>
  <c r="D9" i="48" s="1"/>
  <c r="D10" i="48" s="1"/>
  <c r="K5" i="48"/>
  <c r="U5" i="48" s="1"/>
  <c r="F5" i="48"/>
  <c r="H5" i="48" s="1"/>
  <c r="Q5" i="48"/>
  <c r="K5" i="46"/>
  <c r="U5" i="46" s="1"/>
  <c r="Q5" i="46"/>
  <c r="H5" i="46"/>
  <c r="I7" i="87"/>
  <c r="I8" i="87"/>
  <c r="J8" i="87"/>
  <c r="J8" i="86"/>
  <c r="I8" i="86"/>
  <c r="I7" i="86"/>
  <c r="J7" i="86"/>
  <c r="H8" i="83"/>
  <c r="F9" i="83"/>
  <c r="H9" i="83" s="1"/>
  <c r="H8" i="84"/>
  <c r="F9" i="84"/>
  <c r="H9" i="84" s="1"/>
  <c r="J7" i="84"/>
  <c r="I7" i="84"/>
  <c r="I7" i="83"/>
  <c r="J7" i="83"/>
  <c r="B5" i="46"/>
  <c r="P5" i="46" s="1"/>
  <c r="T5" i="46" s="1"/>
  <c r="C5" i="46"/>
  <c r="D5" i="46" s="1"/>
  <c r="D6" i="46" s="1"/>
  <c r="D7" i="46" s="1"/>
  <c r="D8" i="46" s="1"/>
  <c r="D9" i="46" s="1"/>
  <c r="D10" i="46" s="1"/>
  <c r="D11" i="46" s="1"/>
  <c r="D12" i="46" s="1"/>
  <c r="F6" i="46"/>
  <c r="F6" i="48" l="1"/>
  <c r="F7" i="48" s="1"/>
  <c r="F8" i="48" s="1"/>
  <c r="T5" i="48"/>
  <c r="S5" i="48"/>
  <c r="S5" i="46"/>
  <c r="J8" i="83"/>
  <c r="I8" i="83"/>
  <c r="I9" i="83"/>
  <c r="J9" i="83"/>
  <c r="I9" i="84"/>
  <c r="J9" i="84"/>
  <c r="J8" i="84"/>
  <c r="I8" i="84"/>
  <c r="H7" i="48"/>
  <c r="J5" i="46"/>
  <c r="I5" i="46"/>
  <c r="J5" i="48"/>
  <c r="I5" i="48"/>
  <c r="H6" i="46"/>
  <c r="F7" i="46"/>
  <c r="H6" i="48" l="1"/>
  <c r="H8" i="48"/>
  <c r="F9" i="48"/>
  <c r="J7" i="48"/>
  <c r="I7" i="48"/>
  <c r="F8" i="46"/>
  <c r="H7" i="46"/>
  <c r="I6" i="46"/>
  <c r="J6" i="46"/>
  <c r="J6" i="48" l="1"/>
  <c r="I6" i="48"/>
  <c r="H9" i="48"/>
  <c r="F10" i="48"/>
  <c r="H10" i="48" s="1"/>
  <c r="H8" i="46"/>
  <c r="F9" i="46"/>
  <c r="J8" i="48"/>
  <c r="I8" i="48"/>
  <c r="J7" i="46"/>
  <c r="I7" i="46"/>
  <c r="I9" i="48" l="1"/>
  <c r="J9" i="48"/>
  <c r="J8" i="46"/>
  <c r="I8" i="46"/>
  <c r="J10" i="48"/>
  <c r="I10" i="48"/>
  <c r="H9" i="46"/>
  <c r="F10" i="46"/>
  <c r="F19" i="69"/>
  <c r="AE5" i="90" s="1"/>
  <c r="Y5" i="90" s="1" a="1"/>
  <c r="Y5" i="90" s="1"/>
  <c r="D19" i="69"/>
  <c r="U5" i="69" s="1"/>
  <c r="C19" i="69"/>
  <c r="B19" i="69"/>
  <c r="S5" i="69" l="1"/>
  <c r="D3" i="81" s="1"/>
  <c r="D4" i="81" s="1"/>
  <c r="D5" i="81" s="1"/>
  <c r="D6" i="81" s="1"/>
  <c r="D7" i="81" s="1"/>
  <c r="D8" i="81" s="1"/>
  <c r="AC5" i="90"/>
  <c r="K3" i="81"/>
  <c r="K5" i="35"/>
  <c r="U5" i="35" s="1"/>
  <c r="E5" i="35"/>
  <c r="F5" i="35" s="1"/>
  <c r="H10" i="46"/>
  <c r="F11" i="46"/>
  <c r="J9" i="46"/>
  <c r="I9" i="46"/>
  <c r="B3" i="81"/>
  <c r="B4" i="81" s="1"/>
  <c r="B5" i="35"/>
  <c r="P5" i="35" s="1"/>
  <c r="T5" i="35" s="1"/>
  <c r="C5" i="35"/>
  <c r="D5" i="35" s="1"/>
  <c r="D6" i="35" s="1"/>
  <c r="D7" i="35" s="1"/>
  <c r="D8" i="35" s="1"/>
  <c r="D9" i="35" s="1"/>
  <c r="D10" i="35" s="1"/>
  <c r="D11" i="35" s="1"/>
  <c r="D12" i="35" s="1"/>
  <c r="D13" i="35" s="1"/>
  <c r="D14" i="35" s="1"/>
  <c r="D15" i="35" s="1"/>
  <c r="D16" i="35" s="1"/>
  <c r="H4" i="81" l="1"/>
  <c r="I4" i="81" s="1"/>
  <c r="B5" i="81"/>
  <c r="X5" i="69"/>
  <c r="E3" i="81" s="1"/>
  <c r="Q5" i="35"/>
  <c r="H5" i="35"/>
  <c r="J5" i="35" s="1"/>
  <c r="F6" i="35"/>
  <c r="F7" i="35" s="1"/>
  <c r="H11" i="46"/>
  <c r="F12" i="46"/>
  <c r="S5" i="35"/>
  <c r="J10" i="46"/>
  <c r="I10" i="46"/>
  <c r="B6" i="81" l="1"/>
  <c r="H5" i="81"/>
  <c r="I5" i="81" s="1"/>
  <c r="G3" i="81"/>
  <c r="I5" i="35"/>
  <c r="H6" i="35"/>
  <c r="I6" i="35" s="1"/>
  <c r="I11" i="46"/>
  <c r="J11" i="46"/>
  <c r="H12" i="46"/>
  <c r="H7" i="35"/>
  <c r="F8" i="35"/>
  <c r="B7" i="81" l="1"/>
  <c r="H6" i="81"/>
  <c r="I6" i="81" s="1"/>
  <c r="H3" i="81"/>
  <c r="I3" i="81" s="1"/>
  <c r="J6" i="35"/>
  <c r="I7" i="35"/>
  <c r="J7" i="35"/>
  <c r="I12" i="46"/>
  <c r="J12" i="46"/>
  <c r="H8" i="35"/>
  <c r="F9" i="35"/>
  <c r="B8" i="81" l="1"/>
  <c r="H8" i="81" s="1"/>
  <c r="I8" i="81" s="1"/>
  <c r="H7" i="81"/>
  <c r="I7" i="81" s="1"/>
  <c r="I8" i="35"/>
  <c r="J8" i="35"/>
  <c r="H9" i="35"/>
  <c r="F10" i="35"/>
  <c r="I9" i="35" l="1"/>
  <c r="J9" i="35"/>
  <c r="H10" i="35"/>
  <c r="F11" i="35"/>
  <c r="I10" i="35" l="1"/>
  <c r="J10" i="35"/>
  <c r="H11" i="35"/>
  <c r="F12" i="35"/>
  <c r="I11" i="35" l="1"/>
  <c r="J11" i="35"/>
  <c r="H12" i="35"/>
  <c r="F13" i="35"/>
  <c r="I12" i="35" l="1"/>
  <c r="J12" i="35"/>
  <c r="H13" i="35"/>
  <c r="F14" i="35"/>
  <c r="I13" i="35" l="1"/>
  <c r="J13" i="35"/>
  <c r="H14" i="35"/>
  <c r="F15" i="35"/>
  <c r="I14" i="35" l="1"/>
  <c r="J14" i="35"/>
  <c r="H15" i="35"/>
  <c r="F16" i="35"/>
  <c r="H16" i="35" s="1"/>
  <c r="I16" i="35" l="1"/>
  <c r="J16" i="35"/>
  <c r="I15" i="35"/>
  <c r="J15" i="35"/>
  <c r="W5" i="46"/>
  <c r="M5" i="35" l="1"/>
  <c r="J3" i="81"/>
  <c r="M6" i="35"/>
  <c r="W5" i="3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<sst xmlns="http://schemas.openxmlformats.org/spreadsheetml/2006/main" count="482" uniqueCount="48">
  <si>
    <t>Kaina</t>
  </si>
  <si>
    <t>Kiekis</t>
  </si>
  <si>
    <t>Viso:</t>
  </si>
  <si>
    <t>Suma, EUR</t>
  </si>
  <si>
    <t>Vertė gale</t>
  </si>
  <si>
    <t>%</t>
  </si>
  <si>
    <t>Pelnas</t>
  </si>
  <si>
    <t>Mokestis</t>
  </si>
  <si>
    <t>Invest.</t>
  </si>
  <si>
    <t>Investuota</t>
  </si>
  <si>
    <t>Inešta</t>
  </si>
  <si>
    <t>Vertė</t>
  </si>
  <si>
    <t>Įnešta</t>
  </si>
  <si>
    <t>Pirkimas</t>
  </si>
  <si>
    <t>NADQ</t>
  </si>
  <si>
    <t>NADQ Amundi Nasdaq-100 II UCITS ETF (Dist)</t>
  </si>
  <si>
    <t>QDVE</t>
  </si>
  <si>
    <t>iShares S&amp;P 500 Information Technology Sector UCITS ETF (Acc)</t>
  </si>
  <si>
    <t>Vanguard FTSE All-World UCITS ETF (Acc)</t>
  </si>
  <si>
    <t>VWCE</t>
  </si>
  <si>
    <t>XDEQ Xtarckers MSCI World Quality UCITS ETF (Acc)</t>
  </si>
  <si>
    <t>XDEQ</t>
  </si>
  <si>
    <t>VUAA Vanguard S&amp;P 500 UCITS ETF (Acc)</t>
  </si>
  <si>
    <t>VUAA</t>
  </si>
  <si>
    <t>XDWT Xtrackers MSCI World Information Technology ETF (Acc)</t>
  </si>
  <si>
    <t>XDWT</t>
  </si>
  <si>
    <t>XAIX Xtrackers Artificial Intelligence and Big Data ETF (Acc)</t>
  </si>
  <si>
    <t>XAIX</t>
  </si>
  <si>
    <t>Pardavimas</t>
  </si>
  <si>
    <t>Suma,EUR</t>
  </si>
  <si>
    <t>Mokesčiai</t>
  </si>
  <si>
    <t>Parduota</t>
  </si>
  <si>
    <t>Data</t>
  </si>
  <si>
    <t>Išvesta</t>
  </si>
  <si>
    <t>Viso</t>
  </si>
  <si>
    <t>Mėnesio</t>
  </si>
  <si>
    <t>Mėnesio gale</t>
  </si>
  <si>
    <t>Viso Inv.</t>
  </si>
  <si>
    <t>Mėn. Inv.</t>
  </si>
  <si>
    <t>Dividendai</t>
  </si>
  <si>
    <t>Gryni</t>
  </si>
  <si>
    <t xml:space="preserve">WEBN Amundi Prime ACWI Acc UCITS ETF </t>
  </si>
  <si>
    <t>WEBN</t>
  </si>
  <si>
    <t>Vid. Kaina</t>
  </si>
  <si>
    <t>Suma</t>
  </si>
  <si>
    <t>Eur.</t>
  </si>
  <si>
    <t>XIRR</t>
  </si>
  <si>
    <t>Pirkimas/pardavimas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</si>
</sst>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0000000"/>
    <numFmt numFmtId="167" formatCode="yyyy\.mm\.dd;@"/>
  </numFmts>
  <fonts count="7" x14ac:knownFonts="1">
    <font>
      <sz val="11"/>
      <color theme="1"/>
      <name val="Calibri"/>
      <family val="2"/>
      <charset val="186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Arial Narrow"/>
      <family val="2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92D05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8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3" fillId="0" borderId="1" xfId="0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4" fillId="0" borderId="0" xfId="0" applyFont="1"/>
    <xf numFmtId="2" fontId="5" fillId="0" borderId="1" xfId="0" applyNumberFormat="1" applyFont="1" applyBorder="1" applyAlignment="1">
      <alignment horizontal="center"/>
    </xf>
    <xf numFmtId="0" fontId="3" fillId="0" borderId="1" xfId="0" applyFont="1" applyBorder="1"/>
    <xf numFmtId="166" fontId="0" fillId="0" borderId="1" xfId="0" applyNumberFormat="1" applyBorder="1" applyAlignment="1">
      <alignment horizontal="center"/>
    </xf>
    <xf numFmtId="2" fontId="0" fillId="3" borderId="1" xfId="0" applyNumberFormat="1" applyFill="1" applyBorder="1" applyAlignment="1">
      <alignment horizontal="center"/>
    </xf>
    <xf numFmtId="166" fontId="0" fillId="3" borderId="1" xfId="0" applyNumberFormat="1" applyFill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3" fillId="0" borderId="0" xfId="0" applyFont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3" borderId="1" xfId="0" applyNumberFormat="1" applyFill="1" applyBorder="1" applyAlignment="1">
      <alignment horizontal="center"/>
    </xf>
    <xf numFmtId="0" fontId="3" fillId="0" borderId="5" xfId="0" applyFont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0" fillId="0" borderId="2" xfId="0" applyBorder="1"/>
    <xf numFmtId="166" fontId="0" fillId="0" borderId="2" xfId="0" applyNumberFormat="1" applyBorder="1" applyAlignment="1">
      <alignment horizontal="center"/>
    </xf>
    <xf numFmtId="0" fontId="0" fillId="0" borderId="4" xfId="0" applyBorder="1"/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0" fillId="2" borderId="6" xfId="0" applyFill="1" applyBorder="1"/>
    <xf numFmtId="166" fontId="0" fillId="2" borderId="7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67" fontId="1" fillId="0" borderId="1" xfId="0" applyNumberFormat="1" applyFont="1" applyBorder="1"/>
    <xf numFmtId="0" fontId="6" fillId="0" borderId="1" xfId="1" applyBorder="1" applyAlignment="1">
      <alignment horizontal="center"/>
    </xf>
    <xf numFmtId="0" fontId="6" fillId="0" borderId="5" xfId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7" fontId="4" fillId="0" borderId="1" xfId="0" applyNumberFormat="1" applyFont="1" applyBorder="1"/>
    <xf numFmtId="167" fontId="2" fillId="0" borderId="1" xfId="0" applyNumberFormat="1" applyFont="1" applyBorder="1"/>
    <xf numFmtId="167" fontId="1" fillId="0" borderId="1" xfId="0" applyNumberFormat="1" applyFont="1" applyBorder="1" applyAlignment="1">
      <alignment horizontal="center"/>
    </xf>
    <xf numFmtId="167" fontId="5" fillId="0" borderId="1" xfId="0" applyNumberFormat="1" applyFont="1" applyBorder="1" applyAlignment="1">
      <alignment horizontal="center"/>
    </xf>
    <xf numFmtId="167" fontId="4" fillId="0" borderId="1" xfId="0" applyNumberFormat="1" applyFont="1" applyBorder="1" applyAlignment="1">
      <alignment horizontal="center"/>
    </xf>
    <xf numFmtId="167" fontId="2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167" fontId="0" fillId="0" borderId="1" xfId="0" applyNumberForma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165" fontId="0" fillId="0" borderId="1" xfId="0" applyNumberForma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167" fontId="3" fillId="0" borderId="2" xfId="0" applyNumberFormat="1" applyFont="1" applyBorder="1" applyAlignment="1">
      <alignment horizontal="center"/>
    </xf>
    <xf numFmtId="167" fontId="3" fillId="0" borderId="4" xfId="0" applyNumberFormat="1" applyFont="1" applyBorder="1" applyAlignment="1">
      <alignment horizontal="center"/>
    </xf>
    <xf numFmtId="0" fontId="6" fillId="0" borderId="2" xfId="1" applyBorder="1" applyAlignment="1">
      <alignment horizontal="center"/>
    </xf>
    <xf numFmtId="0" fontId="6" fillId="0" borderId="3" xfId="1" applyBorder="1" applyAlignment="1">
      <alignment horizontal="center"/>
    </xf>
    <xf numFmtId="0" fontId="6" fillId="0" borderId="9" xfId="1" applyBorder="1" applyAlignment="1">
      <alignment horizontal="center"/>
    </xf>
    <xf numFmtId="0" fontId="6" fillId="0" borderId="4" xfId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3" fillId="0" borderId="6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/>
    </xf>
    <xf numFmtId="0" fontId="3" fillId="0" borderId="11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200025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74E4D86-C426-4632-A474-CD66DDAFC5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267950" y="11430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9A6A8BD-52A9-42A5-B9C3-015BF189A5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0098843-3903-461F-9E13-327F3C68B1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DF88B25-9C26-4790-AA0D-F02DB54559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9148C53-3C99-4F68-8D14-4B06E98249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4FB9DC1-5ABE-492E-B51C-1BBC6BCDCA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91C8C2D-D9C2-4BB0-A969-9B021DE9AD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2E77520-06CC-410E-98DF-D7780C3359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8CD4EA-FC4D-4D0C-BD92-E92FEFA185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7"/>
  <sheetViews>
    <sheetView tabSelected="1" workbookViewId="0">
      <pane ySplit="2" topLeftCell="A3" activePane="bottomLeft" state="frozen"/>
      <selection pane="bottomLeft" activeCell="I19" sqref="I19"/>
    </sheetView>
  </sheetViews>
  <sheetFormatPr defaultRowHeight="15" x14ac:dyDescent="0.25"/>
  <cols>
    <col min="1" max="1" width="15.7109375" customWidth="1"/>
    <col min="2" max="13" width="10.7109375" customWidth="1"/>
  </cols>
  <sheetData>
    <row r="1" spans="1:12" x14ac:dyDescent="0.25">
      <c r="A1" s="64" t="s">
        <v>32</v>
      </c>
      <c r="B1" s="59" t="s">
        <v>2</v>
      </c>
      <c r="C1" s="60"/>
      <c r="D1" s="60"/>
      <c r="E1" s="61"/>
      <c r="F1" s="59" t="s">
        <v>36</v>
      </c>
      <c r="G1" s="60"/>
      <c r="H1" s="60"/>
      <c r="I1" s="61"/>
      <c r="J1" s="64" t="s">
        <v>39</v>
      </c>
      <c r="K1" s="62" t="s">
        <v>30</v>
      </c>
      <c r="L1" s="63"/>
    </row>
    <row r="2" spans="1:12" x14ac:dyDescent="0.25">
      <c r="A2" s="65"/>
      <c r="B2" s="23" t="s">
        <v>10</v>
      </c>
      <c r="C2" s="23" t="s">
        <v>33</v>
      </c>
      <c r="D2" s="23" t="s">
        <v>9</v>
      </c>
      <c r="E2" s="23" t="s">
        <v>40</v>
      </c>
      <c r="F2" s="37" t="str">
        <f>WEBN!O3</f>
        <v>WEBN</v>
      </c>
      <c r="G2" s="23" t="s">
        <v>11</v>
      </c>
      <c r="H2" s="23" t="s">
        <v>6</v>
      </c>
      <c r="I2" s="23" t="s">
        <v>5</v>
      </c>
      <c r="J2" s="65"/>
      <c r="K2" s="3" t="s">
        <v>13</v>
      </c>
      <c r="L2" s="3" t="s">
        <v>28</v>
      </c>
    </row>
    <row r="3" spans="1:12" x14ac:dyDescent="0.25">
      <c r="A3" s="36">
        <f>'2026.01'!Q2</f>
        <v>2026.01</v>
      </c>
      <c r="B3" s="4">
        <f>'2026.01'!Q5</f>
        <v>100</v>
      </c>
      <c r="C3" s="4">
        <f>'2026.01'!R5</f>
        <v>0</v>
      </c>
      <c r="D3" s="4">
        <f>'2026.01'!S5</f>
        <v>100</v>
      </c>
      <c r="E3" s="4">
        <f>'2026.01'!X5</f>
        <v>0</v>
      </c>
      <c r="F3" s="4">
        <f>WEBN!H5</f>
        <v>99.056603721599998</v>
      </c>
      <c r="G3" s="4">
        <f t="shared" ref="G3:G8" si="0">SUM(F3:F3)+E3</f>
        <v>99.056603721599998</v>
      </c>
      <c r="H3" s="4">
        <f t="shared" ref="H3:H8" si="1">G3-B3</f>
        <v>-0.94339627840000162</v>
      </c>
      <c r="I3" s="21">
        <f t="shared" ref="I3:I8" si="2">H3/B3</f>
        <v>-9.4339627840000165E-3</v>
      </c>
      <c r="J3" s="4">
        <f>'2026.01'!W5</f>
        <v>0</v>
      </c>
      <c r="K3" s="4">
        <f>'2026.01'!U5</f>
        <v>0</v>
      </c>
      <c r="L3" s="4">
        <f>'2026.01'!V5</f>
        <v>0</v>
      </c>
    </row>
    <row r="4" spans="1:12" x14ac:dyDescent="0.25">
      <c r="A4" s="36">
        <f>'2026.02'!Q2</f>
        <v>2026.02</v>
      </c>
      <c r="B4" s="4">
        <f>B3+'2026.02'!Q5</f>
        <v>200</v>
      </c>
      <c r="C4" s="4">
        <f>'2026.02'!R5</f>
        <v>0</v>
      </c>
      <c r="D4" s="4">
        <f>D3+'2026.02'!S5</f>
        <v>200</v>
      </c>
      <c r="E4" s="4">
        <f>'2026.02'!X5</f>
        <v>0</v>
      </c>
      <c r="F4" s="4">
        <f>WEBN!H6</f>
        <v>201.06441105789997</v>
      </c>
      <c r="G4" s="4">
        <f t="shared" si="0"/>
        <v>201.06441105789997</v>
      </c>
      <c r="H4" s="4">
        <f t="shared" si="1"/>
        <v>1.0644110578999744</v>
      </c>
      <c r="I4" s="21">
        <f t="shared" si="2"/>
        <v>5.322055289499872E-3</v>
      </c>
      <c r="J4" s="4">
        <f>'2026.02'!W5</f>
        <v>0</v>
      </c>
      <c r="K4" s="4">
        <f>'2026.02'!U5</f>
        <v>0</v>
      </c>
      <c r="L4" s="4">
        <f>'2026.02'!V5</f>
        <v>0</v>
      </c>
    </row>
    <row r="5" spans="1:12" x14ac:dyDescent="0.25">
      <c r="A5" s="36">
        <f>'2026.03'!Q2</f>
        <v>2026.03</v>
      </c>
      <c r="B5" s="4">
        <f>B4+'2026.03'!Q5</f>
        <v>300</v>
      </c>
      <c r="C5" s="4">
        <f>'2026.03'!R5</f>
        <v>0</v>
      </c>
      <c r="D5" s="4">
        <f>D4+'2026.03'!S5</f>
        <v>300</v>
      </c>
      <c r="E5" s="4">
        <f>'2026.03'!X5</f>
        <v>0</v>
      </c>
      <c r="F5" s="4">
        <f>WEBN!H7</f>
        <v>292.225609104</v>
      </c>
      <c r="G5" s="4">
        <f t="shared" si="0"/>
        <v>292.225609104</v>
      </c>
      <c r="H5" s="4">
        <f t="shared" si="1"/>
        <v>-7.7743908959999999</v>
      </c>
      <c r="I5" s="21">
        <f t="shared" si="2"/>
        <v>-2.591463632E-2</v>
      </c>
      <c r="J5" s="4">
        <f>'2026.03'!W5</f>
        <v>0</v>
      </c>
      <c r="K5" s="4">
        <f>'2026.03'!U5</f>
        <v>0</v>
      </c>
      <c r="L5" s="4">
        <f>'2026.03'!V5</f>
        <v>0</v>
      </c>
    </row>
    <row r="6" spans="1:12" x14ac:dyDescent="0.25">
      <c r="A6" s="36">
        <f>'2026.04'!$Q$2</f>
        <v>2026.04</v>
      </c>
      <c r="B6" s="4">
        <f>B5+'2026.04'!$Q$5</f>
        <v>400</v>
      </c>
      <c r="C6" s="4">
        <f>'2026.04'!$R$5</f>
        <v>0</v>
      </c>
      <c r="D6" s="4">
        <f>D5+'2026.04'!$S$5</f>
        <v>400</v>
      </c>
      <c r="E6" s="4">
        <f>'2026.04'!$X$5</f>
        <v>0</v>
      </c>
      <c r="F6" s="4">
        <f>WEBN!H8</f>
        <v>418.02748413519998</v>
      </c>
      <c r="G6" s="4">
        <f t="shared" si="0"/>
        <v>418.02748413519998</v>
      </c>
      <c r="H6" s="4">
        <f t="shared" si="1"/>
        <v>18.027484135199984</v>
      </c>
      <c r="I6" s="21">
        <f t="shared" si="2"/>
        <v>4.5068710337999959E-2</v>
      </c>
      <c r="J6" s="4">
        <f>'2026.04'!$W$5</f>
        <v>0</v>
      </c>
      <c r="K6" s="4">
        <f>'2026.04'!$U$5</f>
        <v>0</v>
      </c>
      <c r="L6" s="4">
        <f>'2026.04'!$V$5</f>
        <v>0</v>
      </c>
    </row>
    <row r="7" spans="1:12" x14ac:dyDescent="0.25">
      <c r="A7" s="36">
        <f>'2026.05'!$Q$2</f>
        <v>2026.05</v>
      </c>
      <c r="B7" s="4">
        <f>B6+'2026.05'!$Q$5</f>
        <v>500</v>
      </c>
      <c r="C7" s="4">
        <f>'2026.05'!$R$5</f>
        <v>0</v>
      </c>
      <c r="D7" s="4">
        <f>D6+'2026.05'!$S$5-K7-L7</f>
        <v>500</v>
      </c>
      <c r="E7" s="4">
        <f>'2026.05'!$X$5</f>
        <v>0</v>
      </c>
      <c r="F7" s="4">
        <f>WEBN!H9</f>
        <v>544.32602155359996</v>
      </c>
      <c r="G7" s="4">
        <f t="shared" si="0"/>
        <v>544.32602155359996</v>
      </c>
      <c r="H7" s="4">
        <f t="shared" si="1"/>
        <v>44.326021553599958</v>
      </c>
      <c r="I7" s="21">
        <f t="shared" si="2"/>
        <v>8.8652043107199915E-2</v>
      </c>
      <c r="J7" s="4">
        <f>'2026.05'!$W$5</f>
        <v>0</v>
      </c>
      <c r="K7" s="4">
        <f>'2026.05'!$U$5</f>
        <v>0</v>
      </c>
      <c r="L7" s="4">
        <f>'2026.06'!$V$5</f>
        <v>0</v>
      </c>
    </row>
    <row r="8" spans="1:12" x14ac:dyDescent="0.25">
      <c r="A8" s="36">
        <f>'2026.06'!$Q$2</f>
        <v>2026.06</v>
      </c>
      <c r="B8" s="4">
        <f>B7+'2026.06'!$Q$5</f>
        <v>600</v>
      </c>
      <c r="C8" s="4">
        <f>'2026.06'!$R$5</f>
        <v>0</v>
      </c>
      <c r="D8" s="4">
        <f>D7+'2026.06'!$S$5-K8-L8</f>
        <v>600</v>
      </c>
      <c r="E8" s="4">
        <f>'2026.06'!$X$5</f>
        <v>0</v>
      </c>
      <c r="F8" s="4">
        <f>WEBN!H10</f>
        <v>655.7523650981999</v>
      </c>
      <c r="G8" s="4">
        <f t="shared" si="0"/>
        <v>655.7523650981999</v>
      </c>
      <c r="H8" s="4">
        <f t="shared" si="1"/>
        <v>55.752365098199903</v>
      </c>
      <c r="I8" s="21">
        <f t="shared" si="2"/>
        <v>9.2920608496999832E-2</v>
      </c>
      <c r="J8" s="4">
        <f>'2026.06'!$W$5</f>
        <v>0</v>
      </c>
      <c r="K8" s="4">
        <f>'2026.06'!$U$5</f>
        <v>0</v>
      </c>
      <c r="L8" s="4">
        <f>'2026.06'!$V$5</f>
        <v>0</v>
      </c>
    </row>
    <row r="9" spans="1:12" x14ac:dyDescent="0.25">
      <c r="A9" s="36">
        <f>'2026.07'!$Q$2</f>
        <v>2026.07</v>
      </c>
      <c r="B9" s="4">
        <f>B8+'2026.07'!$Q$5</f>
        <v>700</v>
      </c>
      <c r="C9" s="4">
        <f>'2026.07'!$R$5</f>
        <v>0</v>
      </c>
      <c r="D9" s="4">
        <f>D8+'2026.07'!$S$5-K9-L9</f>
        <v>700</v>
      </c>
      <c r="E9" s="4">
        <f>'2026.07'!$X$5</f>
        <v>0</v>
      </c>
      <c r="F9" s="4">
        <f>WEBN!H11</f>
        <v>744.80478521728003</v>
      </c>
      <c r="G9" s="4">
        <f t="shared" ref="G9" si="3">SUM(F9:F9)+E9</f>
        <v>744.80478521728003</v>
      </c>
      <c r="H9" s="4">
        <f t="shared" ref="H9" si="4">G9-B9</f>
        <v>44.804785217280028</v>
      </c>
      <c r="I9" s="21">
        <f t="shared" ref="I9" si="5">H9/B9</f>
        <v>6.4006836024685751E-2</v>
      </c>
      <c r="J9" s="4">
        <f>'2026.07'!$W$5</f>
        <v>0</v>
      </c>
      <c r="K9" s="4">
        <f>'2026.07'!$U$5</f>
        <v>0</v>
      </c>
      <c r="L9" s="4">
        <f>'2026.07'!$V$5</f>
        <v>0</v>
      </c>
    </row>
    <row r="10" spans="1:12" x14ac:dyDescent="0.25">
      <c r="A10" s="36">
        <f>'2026.08'!$Q$2</f>
        <v>2026.08</v>
      </c>
      <c r="B10" s="4">
        <f>B9+'2026.08'!$Q$5</f>
        <v>800</v>
      </c>
      <c r="C10" s="4">
        <f>'2026.08'!$R$5</f>
        <v>0</v>
      </c>
      <c r="D10" s="4">
        <f>D9+'2026.08'!$S$5-K10-L10</f>
        <v>800</v>
      </c>
      <c r="E10" s="4">
        <f>'2026.08'!$X$5</f>
        <v>0</v>
      </c>
      <c r="F10" s="4">
        <f>WEBN!H12</f>
        <v>860.34665192519992</v>
      </c>
      <c r="G10" s="4">
        <f t="shared" ref="G10" si="6">SUM(F10:F10)+E10</f>
        <v>860.34665192519992</v>
      </c>
      <c r="H10" s="4">
        <f t="shared" ref="H10" si="7">G10-B10</f>
        <v>60.346651925199922</v>
      </c>
      <c r="I10" s="21">
        <f t="shared" ref="I10" si="8">H10/B10</f>
        <v>7.5433314906499904E-2</v>
      </c>
      <c r="J10" s="4">
        <f>'2026.08'!$W$5</f>
        <v>0</v>
      </c>
      <c r="K10" s="4">
        <f>'2026.08'!$U$5</f>
        <v>0</v>
      </c>
      <c r="L10" s="4">
        <f>'2026.08'!$V$5</f>
        <v>0</v>
      </c>
    </row>
    <row r="11" spans="1:12" x14ac:dyDescent="0.25">
      <c r="A11" s="5"/>
      <c r="B11" s="4"/>
      <c r="C11" s="4"/>
      <c r="D11" s="4"/>
      <c r="E11" s="4"/>
      <c r="F11" s="4"/>
      <c r="G11" s="4"/>
      <c r="H11" s="4"/>
      <c r="I11" s="21"/>
      <c r="J11" s="4"/>
      <c r="K11" s="4"/>
      <c r="L11" s="4"/>
    </row>
    <row r="12" spans="1:12" x14ac:dyDescent="0.25">
      <c r="A12" s="5"/>
      <c r="B12" s="4"/>
      <c r="C12" s="4"/>
      <c r="D12" s="4"/>
      <c r="E12" s="4"/>
      <c r="F12" s="4"/>
      <c r="G12" s="4"/>
      <c r="H12" s="4"/>
      <c r="I12" s="21"/>
      <c r="J12" s="4"/>
      <c r="K12" s="4"/>
      <c r="L12" s="4"/>
    </row>
    <row r="13" spans="1:12" x14ac:dyDescent="0.25">
      <c r="A13" s="5"/>
      <c r="B13" s="4"/>
      <c r="C13" s="4"/>
      <c r="D13" s="4"/>
      <c r="E13" s="4"/>
      <c r="F13" s="4"/>
      <c r="G13" s="4"/>
      <c r="H13" s="4"/>
      <c r="I13" s="21"/>
      <c r="J13" s="4"/>
      <c r="K13" s="4"/>
      <c r="L13" s="4"/>
    </row>
    <row r="14" spans="1:12" x14ac:dyDescent="0.25">
      <c r="A14" s="5"/>
      <c r="B14" s="4"/>
      <c r="C14" s="4"/>
      <c r="D14" s="4"/>
      <c r="E14" s="4"/>
      <c r="F14" s="4"/>
      <c r="G14" s="4"/>
      <c r="H14" s="4"/>
      <c r="I14" s="21"/>
      <c r="J14" s="4"/>
      <c r="K14" s="4"/>
      <c r="L14" s="4"/>
    </row>
    <row r="15" spans="1:12" x14ac:dyDescent="0.25">
      <c r="A15" s="5"/>
      <c r="B15" s="4"/>
      <c r="C15" s="4"/>
      <c r="D15" s="4"/>
      <c r="E15" s="4"/>
      <c r="F15" s="4"/>
      <c r="G15" s="4"/>
      <c r="H15" s="4"/>
      <c r="I15" s="21"/>
      <c r="J15" s="4"/>
      <c r="K15" s="4"/>
      <c r="L15" s="4"/>
    </row>
    <row r="16" spans="1:12" x14ac:dyDescent="0.25">
      <c r="A16" s="5"/>
      <c r="B16" s="4"/>
      <c r="C16" s="4"/>
      <c r="D16" s="4"/>
      <c r="E16" s="4"/>
      <c r="F16" s="4"/>
      <c r="G16" s="4"/>
      <c r="H16" s="4"/>
      <c r="I16" s="21"/>
      <c r="J16" s="4"/>
      <c r="K16" s="4"/>
      <c r="L16" s="4"/>
    </row>
    <row r="17" spans="1:12" x14ac:dyDescent="0.25">
      <c r="A17" s="5"/>
      <c r="B17" s="4"/>
      <c r="C17" s="4"/>
      <c r="D17" s="4"/>
      <c r="E17" s="4"/>
      <c r="F17" s="4"/>
      <c r="G17" s="4"/>
      <c r="H17" s="4"/>
      <c r="I17" s="21"/>
      <c r="J17" s="4"/>
      <c r="K17" s="4"/>
      <c r="L17" s="4"/>
    </row>
  </sheetData>
  <mergeCells count="5">
    <mergeCell ref="F1:I1"/>
    <mergeCell ref="B1:E1"/>
    <mergeCell ref="K1:L1"/>
    <mergeCell ref="A1:A2"/>
    <mergeCell ref="J1:J2"/>
  </mergeCells>
  <hyperlinks>
    <hyperlink ref="A3" location="'2026.01'!A1" display="'2026.01'!A1" xr:uid="{433E9D29-69A2-402B-B7FC-623D8369235B}"/>
    <hyperlink ref="A4" location="'2026.02'!A1" display="'2026.02'!A1" xr:uid="{88481852-F152-417B-A111-B021723978B9}"/>
    <hyperlink ref="A5" location="'2026.03'!A1" display="'2026.03'!A1" xr:uid="{3A82BC45-74F0-4D59-A9BB-4E64DD51D440}"/>
    <hyperlink ref="A6" location="'2026.04'!A1" display="'2026.04'!A1" xr:uid="{8915EF6E-CEDF-4D5C-AFAC-A34970BAB0A9}"/>
    <hyperlink ref="A7" location="'2026.05'!A1" display="'2026.05'!A1" xr:uid="{8A258D88-5C1E-4E97-A6D2-2EE26363CAAD}"/>
    <hyperlink ref="F2" location="WEBN!A1" display="WEBN!A1" xr:uid="{499756ED-B1F9-4D05-897B-F69DF5557EF9}"/>
    <hyperlink ref="A8" location="'2026.06'!A1" display="'2026.06'!A1" xr:uid="{EDD493B5-6E5A-4B6F-9C2F-600CF21AFF32}"/>
    <hyperlink ref="A9" location="'2026.07'!A1" display="'2026.07'!A1" xr:uid="{0EA64D34-DE59-4B69-AFFB-31BBE94C6E84}"/>
    <hyperlink ref="A10" location="'2026.08'!A1" display="'2026.08'!A1" xr:uid="{EBA7FF03-B603-4FA0-A3D1-936DE1CCCC75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W16"/>
  <sheetViews>
    <sheetView workbookViewId="0">
      <pane ySplit="7" topLeftCell="A8" activePane="bottomLeft" state="frozen"/>
      <selection activeCell="E29" sqref="E29"/>
      <selection pane="bottomLeft" activeCell="E29" sqref="E29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3" width="10.7109375" customWidth="1"/>
  </cols>
  <sheetData>
    <row r="1" spans="1:23" x14ac:dyDescent="0.25">
      <c r="A1" s="10" t="s">
        <v>15</v>
      </c>
    </row>
    <row r="3" spans="1:23" x14ac:dyDescent="0.25">
      <c r="A3" s="64" t="s">
        <v>32</v>
      </c>
      <c r="B3" s="62" t="s">
        <v>3</v>
      </c>
      <c r="C3" s="66"/>
      <c r="D3" s="63"/>
      <c r="E3" s="62" t="s">
        <v>1</v>
      </c>
      <c r="F3" s="63"/>
      <c r="G3" s="62" t="s">
        <v>36</v>
      </c>
      <c r="H3" s="66"/>
      <c r="I3" s="66"/>
      <c r="J3" s="63"/>
      <c r="K3" s="67" t="s">
        <v>30</v>
      </c>
      <c r="L3" s="67"/>
      <c r="M3" s="64" t="s">
        <v>39</v>
      </c>
      <c r="O3" s="64" t="s">
        <v>14</v>
      </c>
      <c r="P3" s="64" t="s">
        <v>12</v>
      </c>
      <c r="Q3" s="64" t="s">
        <v>1</v>
      </c>
      <c r="R3" s="64" t="s">
        <v>31</v>
      </c>
      <c r="S3" s="64" t="s">
        <v>6</v>
      </c>
      <c r="T3" s="64" t="s">
        <v>5</v>
      </c>
      <c r="U3" s="62" t="s">
        <v>30</v>
      </c>
      <c r="V3" s="63"/>
      <c r="W3" s="64" t="s">
        <v>39</v>
      </c>
    </row>
    <row r="4" spans="1:23" x14ac:dyDescent="0.25">
      <c r="A4" s="65"/>
      <c r="B4" s="3" t="s">
        <v>12</v>
      </c>
      <c r="C4" s="3" t="s">
        <v>38</v>
      </c>
      <c r="D4" s="3" t="s">
        <v>37</v>
      </c>
      <c r="E4" s="3" t="s">
        <v>35</v>
      </c>
      <c r="F4" s="3" t="s">
        <v>34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13</v>
      </c>
      <c r="L4" s="3" t="s">
        <v>28</v>
      </c>
      <c r="M4" s="65"/>
      <c r="O4" s="65"/>
      <c r="P4" s="65"/>
      <c r="Q4" s="65"/>
      <c r="R4" s="65"/>
      <c r="S4" s="65"/>
      <c r="T4" s="65"/>
      <c r="U4" s="3" t="s">
        <v>13</v>
      </c>
      <c r="V4" s="12" t="s">
        <v>28</v>
      </c>
      <c r="W4" s="65"/>
    </row>
    <row r="5" spans="1:23" x14ac:dyDescent="0.25">
      <c r="A5" s="5">
        <f>'2026.01'!Q2</f>
        <v>2026.01</v>
      </c>
      <c r="B5" s="4">
        <f>'2026.01'!B19</f>
        <v>100</v>
      </c>
      <c r="C5" s="4">
        <f>'2026.01'!C19</f>
        <v>100</v>
      </c>
      <c r="D5" s="4">
        <f>C5</f>
        <v>100</v>
      </c>
      <c r="E5" s="13">
        <f>'2026.01'!F19</f>
        <v>8.7351502399999994</v>
      </c>
      <c r="F5" s="13">
        <f>E5</f>
        <v>8.7351502399999994</v>
      </c>
      <c r="G5" s="4">
        <v>216.25</v>
      </c>
      <c r="H5" s="4">
        <f t="shared" ref="H5:H16" si="0">F5*G5</f>
        <v>1888.9762393999999</v>
      </c>
      <c r="I5" s="4">
        <f>H5-D5</f>
        <v>1788.9762393999999</v>
      </c>
      <c r="J5" s="21">
        <f>(H5-D5)/H5</f>
        <v>0.94706127164851828</v>
      </c>
      <c r="K5" s="4">
        <f>'2026.01'!D19</f>
        <v>0</v>
      </c>
      <c r="L5" s="4">
        <f>'2026.01'!J19</f>
        <v>0</v>
      </c>
      <c r="M5" s="4">
        <f>'2026.01'!O19</f>
        <v>0</v>
      </c>
      <c r="O5" s="3" t="s">
        <v>2</v>
      </c>
      <c r="P5" s="4" t="e">
        <f>SUM(B5:B61)</f>
        <v>#REF!</v>
      </c>
      <c r="Q5" s="13" t="e">
        <f>SUM(E5:E61)</f>
        <v>#REF!</v>
      </c>
      <c r="R5" s="4" t="e">
        <f>#REF!-#REF!</f>
        <v>#REF!</v>
      </c>
      <c r="S5" s="4" t="e">
        <f>R5-P5</f>
        <v>#REF!</v>
      </c>
      <c r="T5" s="21" t="e">
        <f>(R5-P5)/P5</f>
        <v>#REF!</v>
      </c>
      <c r="U5" s="4" t="e">
        <f>SUM(K5:K16)</f>
        <v>#REF!</v>
      </c>
      <c r="V5" s="4" t="e">
        <f>SUM(L5:L16)</f>
        <v>#REF!</v>
      </c>
      <c r="W5" s="4" t="e">
        <f>SUM(M5:M16)</f>
        <v>#REF!</v>
      </c>
    </row>
    <row r="6" spans="1:23" x14ac:dyDescent="0.25">
      <c r="A6" s="5" t="e">
        <f>#REF!</f>
        <v>#REF!</v>
      </c>
      <c r="B6" s="4" t="e">
        <f>#REF!</f>
        <v>#REF!</v>
      </c>
      <c r="C6" s="4" t="e">
        <f>#REF!</f>
        <v>#REF!</v>
      </c>
      <c r="D6" s="4" t="e">
        <f>D5+C6</f>
        <v>#REF!</v>
      </c>
      <c r="E6" s="13" t="e">
        <f>#REF!</f>
        <v>#REF!</v>
      </c>
      <c r="F6" s="13" t="e">
        <f t="shared" ref="F6:F12" si="1">F5+E6</f>
        <v>#REF!</v>
      </c>
      <c r="G6" s="4">
        <v>218.85</v>
      </c>
      <c r="H6" s="4" t="e">
        <f t="shared" si="0"/>
        <v>#REF!</v>
      </c>
      <c r="I6" s="4" t="e">
        <f t="shared" ref="I6:I16" si="2">H6-D6</f>
        <v>#REF!</v>
      </c>
      <c r="J6" s="21" t="e">
        <f t="shared" ref="J6:J16" si="3">(H6-D6)/H6</f>
        <v>#REF!</v>
      </c>
      <c r="K6" s="4" t="e">
        <f>#REF!</f>
        <v>#REF!</v>
      </c>
      <c r="L6" s="4" t="e">
        <f>#REF!</f>
        <v>#REF!</v>
      </c>
      <c r="M6" s="4" t="e">
        <f>#REF!</f>
        <v>#REF!</v>
      </c>
    </row>
    <row r="7" spans="1:23" x14ac:dyDescent="0.25">
      <c r="A7" s="5" t="e">
        <f>#REF!</f>
        <v>#REF!</v>
      </c>
      <c r="B7" s="4" t="e">
        <f>#REF!</f>
        <v>#REF!</v>
      </c>
      <c r="C7" s="4" t="e">
        <f>#REF!</f>
        <v>#REF!</v>
      </c>
      <c r="D7" s="4" t="e">
        <f t="shared" ref="D7:D16" si="4">D6+C7</f>
        <v>#REF!</v>
      </c>
      <c r="E7" s="13" t="e">
        <f>#REF!</f>
        <v>#REF!</v>
      </c>
      <c r="F7" s="13" t="e">
        <f t="shared" si="1"/>
        <v>#REF!</v>
      </c>
      <c r="G7" s="4">
        <v>209.96</v>
      </c>
      <c r="H7" s="4" t="e">
        <f t="shared" si="0"/>
        <v>#REF!</v>
      </c>
      <c r="I7" s="4" t="e">
        <f t="shared" si="2"/>
        <v>#REF!</v>
      </c>
      <c r="J7" s="21" t="e">
        <f t="shared" si="3"/>
        <v>#REF!</v>
      </c>
      <c r="K7" s="4" t="e">
        <f>#REF!</f>
        <v>#REF!</v>
      </c>
      <c r="L7" s="4" t="e">
        <f>#REF!</f>
        <v>#REF!</v>
      </c>
      <c r="M7" s="4" t="e">
        <f>#REF!</f>
        <v>#REF!</v>
      </c>
    </row>
    <row r="8" spans="1:23" x14ac:dyDescent="0.25">
      <c r="A8" s="5" t="e">
        <f>#REF!</f>
        <v>#REF!</v>
      </c>
      <c r="B8" s="4" t="e">
        <f>#REF!</f>
        <v>#REF!</v>
      </c>
      <c r="C8" s="4" t="e">
        <f>#REF!</f>
        <v>#REF!</v>
      </c>
      <c r="D8" s="4" t="e">
        <f t="shared" si="4"/>
        <v>#REF!</v>
      </c>
      <c r="E8" s="13" t="e">
        <f>#REF!</f>
        <v>#REF!</v>
      </c>
      <c r="F8" s="13" t="e">
        <f t="shared" si="1"/>
        <v>#REF!</v>
      </c>
      <c r="G8" s="4">
        <v>188.05</v>
      </c>
      <c r="H8" s="4" t="e">
        <f t="shared" si="0"/>
        <v>#REF!</v>
      </c>
      <c r="I8" s="4" t="e">
        <f t="shared" si="2"/>
        <v>#REF!</v>
      </c>
      <c r="J8" s="21" t="e">
        <f t="shared" si="3"/>
        <v>#REF!</v>
      </c>
      <c r="K8" s="4" t="e">
        <f>#REF!</f>
        <v>#REF!</v>
      </c>
      <c r="L8" s="4" t="e">
        <f>#REF!</f>
        <v>#REF!</v>
      </c>
      <c r="M8" s="4" t="e">
        <f>#REF!</f>
        <v>#REF!</v>
      </c>
    </row>
    <row r="9" spans="1:23" x14ac:dyDescent="0.25">
      <c r="A9" s="5" t="e">
        <f>#REF!</f>
        <v>#REF!</v>
      </c>
      <c r="B9" s="4" t="e">
        <f>#REF!</f>
        <v>#REF!</v>
      </c>
      <c r="C9" s="4" t="e">
        <f>#REF!</f>
        <v>#REF!</v>
      </c>
      <c r="D9" s="4" t="e">
        <f t="shared" si="4"/>
        <v>#REF!</v>
      </c>
      <c r="E9" s="13" t="e">
        <f>#REF!</f>
        <v>#REF!</v>
      </c>
      <c r="F9" s="13" t="e">
        <f t="shared" si="1"/>
        <v>#REF!</v>
      </c>
      <c r="G9" s="4">
        <v>182.85</v>
      </c>
      <c r="H9" s="4" t="e">
        <f t="shared" si="0"/>
        <v>#REF!</v>
      </c>
      <c r="I9" s="4" t="e">
        <f t="shared" si="2"/>
        <v>#REF!</v>
      </c>
      <c r="J9" s="21" t="e">
        <f t="shared" si="3"/>
        <v>#REF!</v>
      </c>
      <c r="K9" s="4" t="e">
        <f>#REF!</f>
        <v>#REF!</v>
      </c>
      <c r="L9" s="4" t="e">
        <f>#REF!</f>
        <v>#REF!</v>
      </c>
      <c r="M9" s="4" t="e">
        <f>#REF!</f>
        <v>#REF!</v>
      </c>
    </row>
    <row r="10" spans="1:23" x14ac:dyDescent="0.25">
      <c r="A10" s="5" t="e">
        <f>#REF!</f>
        <v>#REF!</v>
      </c>
      <c r="B10" s="4" t="e">
        <f>#REF!</f>
        <v>#REF!</v>
      </c>
      <c r="C10" s="4" t="e">
        <f>#REF!</f>
        <v>#REF!</v>
      </c>
      <c r="D10" s="4" t="e">
        <f t="shared" si="4"/>
        <v>#REF!</v>
      </c>
      <c r="E10" s="13" t="e">
        <f>#REF!</f>
        <v>#REF!</v>
      </c>
      <c r="F10" s="13" t="e">
        <f t="shared" si="1"/>
        <v>#REF!</v>
      </c>
      <c r="G10" s="4">
        <v>198.25</v>
      </c>
      <c r="H10" s="4" t="e">
        <f t="shared" si="0"/>
        <v>#REF!</v>
      </c>
      <c r="I10" s="4" t="e">
        <f t="shared" si="2"/>
        <v>#REF!</v>
      </c>
      <c r="J10" s="21" t="e">
        <f t="shared" si="3"/>
        <v>#REF!</v>
      </c>
      <c r="K10" s="4" t="e">
        <f>#REF!</f>
        <v>#REF!</v>
      </c>
      <c r="L10" s="4" t="e">
        <f>#REF!</f>
        <v>#REF!</v>
      </c>
      <c r="M10" s="4" t="e">
        <f>#REF!</f>
        <v>#REF!</v>
      </c>
    </row>
    <row r="11" spans="1:23" x14ac:dyDescent="0.25">
      <c r="A11" s="5" t="e">
        <f>#REF!</f>
        <v>#REF!</v>
      </c>
      <c r="B11" s="4" t="e">
        <f>#REF!</f>
        <v>#REF!</v>
      </c>
      <c r="C11" s="4" t="e">
        <f>#REF!</f>
        <v>#REF!</v>
      </c>
      <c r="D11" s="4" t="e">
        <f t="shared" si="4"/>
        <v>#REF!</v>
      </c>
      <c r="E11" s="13" t="e">
        <f>#REF!</f>
        <v>#REF!</v>
      </c>
      <c r="F11" s="13" t="e">
        <f t="shared" si="1"/>
        <v>#REF!</v>
      </c>
      <c r="G11" s="4">
        <v>203.24</v>
      </c>
      <c r="H11" s="4" t="e">
        <f t="shared" si="0"/>
        <v>#REF!</v>
      </c>
      <c r="I11" s="4" t="e">
        <f t="shared" si="2"/>
        <v>#REF!</v>
      </c>
      <c r="J11" s="21" t="e">
        <f t="shared" si="3"/>
        <v>#REF!</v>
      </c>
      <c r="K11" s="4" t="e">
        <f>#REF!</f>
        <v>#REF!</v>
      </c>
      <c r="L11" s="4" t="e">
        <f>#REF!</f>
        <v>#REF!</v>
      </c>
      <c r="M11" s="4" t="e">
        <f>#REF!</f>
        <v>#REF!</v>
      </c>
    </row>
    <row r="12" spans="1:23" x14ac:dyDescent="0.25">
      <c r="A12" s="5" t="e">
        <f>#REF!</f>
        <v>#REF!</v>
      </c>
      <c r="B12" s="4" t="e">
        <f>#REF!</f>
        <v>#REF!</v>
      </c>
      <c r="C12" s="4" t="e">
        <f>#REF!</f>
        <v>#REF!</v>
      </c>
      <c r="D12" s="4" t="e">
        <f t="shared" si="4"/>
        <v>#REF!</v>
      </c>
      <c r="E12" s="13" t="e">
        <f>#REF!</f>
        <v>#REF!</v>
      </c>
      <c r="F12" s="13" t="e">
        <f t="shared" si="1"/>
        <v>#REF!</v>
      </c>
      <c r="G12" s="4">
        <v>215.32</v>
      </c>
      <c r="H12" s="4" t="e">
        <f t="shared" si="0"/>
        <v>#REF!</v>
      </c>
      <c r="I12" s="4" t="e">
        <f t="shared" si="2"/>
        <v>#REF!</v>
      </c>
      <c r="J12" s="21" t="e">
        <f t="shared" si="3"/>
        <v>#REF!</v>
      </c>
      <c r="K12" s="4" t="e">
        <f>#REF!</f>
        <v>#REF!</v>
      </c>
      <c r="L12" s="4" t="e">
        <f>#REF!</f>
        <v>#REF!</v>
      </c>
      <c r="M12" s="4" t="e">
        <f>#REF!</f>
        <v>#REF!</v>
      </c>
    </row>
    <row r="13" spans="1:23" x14ac:dyDescent="0.25">
      <c r="A13" s="5" t="e">
        <f>#REF!</f>
        <v>#REF!</v>
      </c>
      <c r="B13" s="4" t="e">
        <f>#REF!</f>
        <v>#REF!</v>
      </c>
      <c r="C13" s="4" t="e">
        <f>#REF!</f>
        <v>#REF!</v>
      </c>
      <c r="D13" s="4" t="e">
        <f t="shared" si="4"/>
        <v>#REF!</v>
      </c>
      <c r="E13" s="13" t="e">
        <f>#REF!</f>
        <v>#REF!</v>
      </c>
      <c r="F13" s="13" t="e">
        <f t="shared" ref="F13" si="5">F12+E13</f>
        <v>#REF!</v>
      </c>
      <c r="G13" s="4">
        <v>211.45</v>
      </c>
      <c r="H13" s="4" t="e">
        <f t="shared" si="0"/>
        <v>#REF!</v>
      </c>
      <c r="I13" s="4" t="e">
        <f t="shared" si="2"/>
        <v>#REF!</v>
      </c>
      <c r="J13" s="21" t="e">
        <f t="shared" si="3"/>
        <v>#REF!</v>
      </c>
      <c r="K13" s="4" t="e">
        <f>#REF!</f>
        <v>#REF!</v>
      </c>
      <c r="L13" s="4" t="e">
        <f>#REF!</f>
        <v>#REF!</v>
      </c>
      <c r="M13" s="4" t="e">
        <f>#REF!</f>
        <v>#REF!</v>
      </c>
    </row>
    <row r="14" spans="1:23" x14ac:dyDescent="0.25">
      <c r="A14" s="5" t="e">
        <f>#REF!</f>
        <v>#REF!</v>
      </c>
      <c r="B14" s="4" t="e">
        <f>#REF!</f>
        <v>#REF!</v>
      </c>
      <c r="C14" s="4" t="e">
        <f>#REF!</f>
        <v>#REF!</v>
      </c>
      <c r="D14" s="4" t="e">
        <f t="shared" si="4"/>
        <v>#REF!</v>
      </c>
      <c r="E14" s="13" t="e">
        <f>#REF!</f>
        <v>#REF!</v>
      </c>
      <c r="F14" s="13" t="e">
        <f t="shared" ref="F14" si="6">F13+E14</f>
        <v>#REF!</v>
      </c>
      <c r="G14" s="4">
        <v>222</v>
      </c>
      <c r="H14" s="4" t="e">
        <f t="shared" si="0"/>
        <v>#REF!</v>
      </c>
      <c r="I14" s="4" t="e">
        <f t="shared" si="2"/>
        <v>#REF!</v>
      </c>
      <c r="J14" s="21" t="e">
        <f t="shared" si="3"/>
        <v>#REF!</v>
      </c>
      <c r="K14" s="4" t="e">
        <f>#REF!</f>
        <v>#REF!</v>
      </c>
      <c r="L14" s="4" t="e">
        <f>#REF!</f>
        <v>#REF!</v>
      </c>
      <c r="M14" s="4" t="e">
        <f>#REF!</f>
        <v>#REF!</v>
      </c>
    </row>
    <row r="15" spans="1:23" x14ac:dyDescent="0.25">
      <c r="A15" s="5" t="e">
        <f>#REF!</f>
        <v>#REF!</v>
      </c>
      <c r="B15" s="4" t="e">
        <f>#REF!</f>
        <v>#REF!</v>
      </c>
      <c r="C15" s="4" t="e">
        <f>#REF!</f>
        <v>#REF!</v>
      </c>
      <c r="D15" s="4" t="e">
        <f t="shared" si="4"/>
        <v>#REF!</v>
      </c>
      <c r="E15" s="13" t="e">
        <f>#REF!</f>
        <v>#REF!</v>
      </c>
      <c r="F15" s="13" t="e">
        <f t="shared" ref="F15" si="7">F14+E15</f>
        <v>#REF!</v>
      </c>
      <c r="G15" s="4">
        <v>236.84</v>
      </c>
      <c r="H15" s="4" t="e">
        <f t="shared" si="0"/>
        <v>#REF!</v>
      </c>
      <c r="I15" s="4" t="e">
        <f t="shared" si="2"/>
        <v>#REF!</v>
      </c>
      <c r="J15" s="21" t="e">
        <f t="shared" si="3"/>
        <v>#REF!</v>
      </c>
      <c r="K15" s="4" t="e">
        <f>#REF!</f>
        <v>#REF!</v>
      </c>
      <c r="L15" s="4" t="e">
        <f>#REF!</f>
        <v>#REF!</v>
      </c>
      <c r="M15" s="4" t="e">
        <f>#REF!</f>
        <v>#REF!</v>
      </c>
    </row>
    <row r="16" spans="1:23" x14ac:dyDescent="0.25">
      <c r="A16" s="34" t="e">
        <f>#REF!</f>
        <v>#REF!</v>
      </c>
      <c r="B16" s="14" t="e">
        <f>#REF!</f>
        <v>#REF!</v>
      </c>
      <c r="C16" s="14" t="e">
        <f>#REF!</f>
        <v>#REF!</v>
      </c>
      <c r="D16" s="14" t="e">
        <f t="shared" si="4"/>
        <v>#REF!</v>
      </c>
      <c r="E16" s="15" t="e">
        <f>#REF!</f>
        <v>#REF!</v>
      </c>
      <c r="F16" s="15" t="e">
        <f t="shared" ref="F16" si="8">F15+E16</f>
        <v>#REF!</v>
      </c>
      <c r="G16" s="14">
        <v>231.2</v>
      </c>
      <c r="H16" s="14" t="e">
        <f t="shared" si="0"/>
        <v>#REF!</v>
      </c>
      <c r="I16" s="14" t="e">
        <f t="shared" si="2"/>
        <v>#REF!</v>
      </c>
      <c r="J16" s="22" t="e">
        <f t="shared" si="3"/>
        <v>#REF!</v>
      </c>
      <c r="K16" s="14" t="e">
        <f>#REF!</f>
        <v>#REF!</v>
      </c>
      <c r="L16" s="14" t="e">
        <f>#REF!</f>
        <v>#REF!</v>
      </c>
      <c r="M16" s="14" t="e">
        <f>#REF!</f>
        <v>#REF!</v>
      </c>
    </row>
  </sheetData>
  <mergeCells count="14">
    <mergeCell ref="W3:W4"/>
    <mergeCell ref="A3:A4"/>
    <mergeCell ref="E3:F3"/>
    <mergeCell ref="B3:D3"/>
    <mergeCell ref="G3:J3"/>
    <mergeCell ref="M3:M4"/>
    <mergeCell ref="T3:T4"/>
    <mergeCell ref="U3:V3"/>
    <mergeCell ref="K3:L3"/>
    <mergeCell ref="O3:O4"/>
    <mergeCell ref="P3:P4"/>
    <mergeCell ref="Q3:Q4"/>
    <mergeCell ref="R3:R4"/>
    <mergeCell ref="S3:S4"/>
  </mergeCells>
  <pageMargins left="0.7" right="0.7" top="0.75" bottom="0.75" header="0.3" footer="0.3"/>
  <pageSetup orientation="portrait" r:id="rId1"/>
  <ignoredErrors>
    <ignoredError sqref="E5:E16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W12"/>
  <sheetViews>
    <sheetView workbookViewId="0">
      <pane ySplit="12" topLeftCell="A13" activePane="bottomLeft" state="frozen"/>
      <selection activeCell="E29" sqref="E29"/>
      <selection pane="bottomLeft" activeCell="E29" sqref="E29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3" width="10.7109375" customWidth="1"/>
  </cols>
  <sheetData>
    <row r="1" spans="1:23" x14ac:dyDescent="0.25">
      <c r="A1" s="10" t="s">
        <v>17</v>
      </c>
    </row>
    <row r="3" spans="1:23" x14ac:dyDescent="0.25">
      <c r="A3" s="64" t="s">
        <v>32</v>
      </c>
      <c r="B3" s="62" t="s">
        <v>3</v>
      </c>
      <c r="C3" s="66"/>
      <c r="D3" s="63"/>
      <c r="E3" s="62" t="s">
        <v>1</v>
      </c>
      <c r="F3" s="63"/>
      <c r="G3" s="62" t="s">
        <v>36</v>
      </c>
      <c r="H3" s="66"/>
      <c r="I3" s="66"/>
      <c r="J3" s="63"/>
      <c r="K3" s="67" t="s">
        <v>30</v>
      </c>
      <c r="L3" s="67"/>
      <c r="M3" s="64" t="s">
        <v>39</v>
      </c>
      <c r="O3" s="64" t="s">
        <v>16</v>
      </c>
      <c r="P3" s="64" t="s">
        <v>12</v>
      </c>
      <c r="Q3" s="64" t="s">
        <v>1</v>
      </c>
      <c r="R3" s="64" t="s">
        <v>31</v>
      </c>
      <c r="S3" s="64" t="s">
        <v>6</v>
      </c>
      <c r="T3" s="64" t="s">
        <v>5</v>
      </c>
      <c r="U3" s="62" t="s">
        <v>30</v>
      </c>
      <c r="V3" s="63"/>
      <c r="W3" s="64" t="s">
        <v>39</v>
      </c>
    </row>
    <row r="4" spans="1:23" x14ac:dyDescent="0.25">
      <c r="A4" s="65"/>
      <c r="B4" s="3" t="s">
        <v>12</v>
      </c>
      <c r="C4" s="3" t="s">
        <v>38</v>
      </c>
      <c r="D4" s="3" t="s">
        <v>37</v>
      </c>
      <c r="E4" s="3" t="s">
        <v>35</v>
      </c>
      <c r="F4" s="3" t="s">
        <v>34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13</v>
      </c>
      <c r="L4" s="3" t="s">
        <v>28</v>
      </c>
      <c r="M4" s="65"/>
      <c r="O4" s="65"/>
      <c r="P4" s="65"/>
      <c r="Q4" s="65"/>
      <c r="R4" s="65"/>
      <c r="S4" s="65"/>
      <c r="T4" s="65"/>
      <c r="U4" s="3" t="s">
        <v>13</v>
      </c>
      <c r="V4" s="12" t="s">
        <v>28</v>
      </c>
      <c r="W4" s="65"/>
    </row>
    <row r="5" spans="1:23" x14ac:dyDescent="0.25">
      <c r="A5" s="5" t="e">
        <f>#REF!</f>
        <v>#REF!</v>
      </c>
      <c r="B5" s="4" t="e">
        <f>#REF!</f>
        <v>#REF!</v>
      </c>
      <c r="C5" s="4" t="e">
        <f>#REF!</f>
        <v>#REF!</v>
      </c>
      <c r="D5" s="4" t="e">
        <f>C5</f>
        <v>#REF!</v>
      </c>
      <c r="E5" s="13" t="e">
        <f>#REF!</f>
        <v>#REF!</v>
      </c>
      <c r="F5" s="13" t="e">
        <f>E5</f>
        <v>#REF!</v>
      </c>
      <c r="G5" s="4">
        <v>26.77</v>
      </c>
      <c r="H5" s="4" t="e">
        <f t="shared" ref="H5:H10" si="0">F5*G5</f>
        <v>#REF!</v>
      </c>
      <c r="I5" s="4" t="e">
        <f t="shared" ref="I5:I12" si="1">H5-D5</f>
        <v>#REF!</v>
      </c>
      <c r="J5" s="4" t="e">
        <f t="shared" ref="J5:J12" si="2">(H5-D5)*100/D5</f>
        <v>#REF!</v>
      </c>
      <c r="K5" s="4" t="e">
        <f>#REF!</f>
        <v>#REF!</v>
      </c>
      <c r="L5" s="4" t="e">
        <f>#REF!</f>
        <v>#REF!</v>
      </c>
      <c r="M5" s="4" t="e">
        <f>#REF!</f>
        <v>#REF!</v>
      </c>
      <c r="O5" s="3" t="s">
        <v>2</v>
      </c>
      <c r="P5" s="4" t="e">
        <f>SUM(B5:B55)</f>
        <v>#REF!</v>
      </c>
      <c r="Q5" s="13" t="e">
        <f>SUM(E5:E55)</f>
        <v>#REF!</v>
      </c>
      <c r="R5" s="4" t="e">
        <f>#REF!-#REF!</f>
        <v>#REF!</v>
      </c>
      <c r="S5" s="4" t="e">
        <f>R5-P5</f>
        <v>#REF!</v>
      </c>
      <c r="T5" s="21" t="e">
        <f>(R5-P5)/P5</f>
        <v>#REF!</v>
      </c>
      <c r="U5" s="4" t="e">
        <f>SUM(K5:K12)</f>
        <v>#REF!</v>
      </c>
      <c r="V5" s="4" t="e">
        <f>SUM(L5:L12)</f>
        <v>#REF!</v>
      </c>
      <c r="W5" s="4" t="e">
        <f>SUM(M5:M12)</f>
        <v>#REF!</v>
      </c>
    </row>
    <row r="6" spans="1:23" x14ac:dyDescent="0.25">
      <c r="A6" s="5" t="e">
        <f>#REF!</f>
        <v>#REF!</v>
      </c>
      <c r="B6" s="4" t="e">
        <f>#REF!</f>
        <v>#REF!</v>
      </c>
      <c r="C6" s="4" t="e">
        <f>#REF!</f>
        <v>#REF!</v>
      </c>
      <c r="D6" s="4" t="e">
        <f t="shared" ref="D6:D12" si="3">D5+C6</f>
        <v>#REF!</v>
      </c>
      <c r="E6" s="13" t="e">
        <f>#REF!</f>
        <v>#REF!</v>
      </c>
      <c r="F6" s="13" t="e">
        <f t="shared" ref="F6:F11" si="4">F5+E6</f>
        <v>#REF!</v>
      </c>
      <c r="G6" s="4">
        <v>29.25</v>
      </c>
      <c r="H6" s="4" t="e">
        <f t="shared" si="0"/>
        <v>#REF!</v>
      </c>
      <c r="I6" s="4" t="e">
        <f t="shared" si="1"/>
        <v>#REF!</v>
      </c>
      <c r="J6" s="4" t="e">
        <f t="shared" si="2"/>
        <v>#REF!</v>
      </c>
      <c r="K6" s="4" t="e">
        <f>#REF!</f>
        <v>#REF!</v>
      </c>
      <c r="L6" s="4" t="e">
        <f>#REF!</f>
        <v>#REF!</v>
      </c>
      <c r="M6" s="4" t="e">
        <f>#REF!</f>
        <v>#REF!</v>
      </c>
    </row>
    <row r="7" spans="1:23" x14ac:dyDescent="0.25">
      <c r="A7" s="5" t="e">
        <f>#REF!</f>
        <v>#REF!</v>
      </c>
      <c r="B7" s="4" t="e">
        <f>#REF!</f>
        <v>#REF!</v>
      </c>
      <c r="C7" s="4" t="e">
        <f>#REF!</f>
        <v>#REF!</v>
      </c>
      <c r="D7" s="4" t="e">
        <f t="shared" si="3"/>
        <v>#REF!</v>
      </c>
      <c r="E7" s="13" t="e">
        <f>#REF!</f>
        <v>#REF!</v>
      </c>
      <c r="F7" s="13" t="e">
        <f t="shared" si="4"/>
        <v>#REF!</v>
      </c>
      <c r="G7" s="4">
        <v>30.95</v>
      </c>
      <c r="H7" s="4" t="e">
        <f t="shared" si="0"/>
        <v>#REF!</v>
      </c>
      <c r="I7" s="4" t="e">
        <f t="shared" si="1"/>
        <v>#REF!</v>
      </c>
      <c r="J7" s="4" t="e">
        <f t="shared" si="2"/>
        <v>#REF!</v>
      </c>
      <c r="K7" s="4" t="e">
        <f>#REF!</f>
        <v>#REF!</v>
      </c>
      <c r="L7" s="4" t="e">
        <f>#REF!</f>
        <v>#REF!</v>
      </c>
      <c r="M7" s="4" t="e">
        <f>#REF!</f>
        <v>#REF!</v>
      </c>
    </row>
    <row r="8" spans="1:23" x14ac:dyDescent="0.25">
      <c r="A8" s="5" t="e">
        <f>#REF!</f>
        <v>#REF!</v>
      </c>
      <c r="B8" s="4" t="e">
        <f>#REF!</f>
        <v>#REF!</v>
      </c>
      <c r="C8" s="4" t="e">
        <f>#REF!</f>
        <v>#REF!</v>
      </c>
      <c r="D8" s="4" t="e">
        <f t="shared" si="3"/>
        <v>#REF!</v>
      </c>
      <c r="E8" s="13" t="e">
        <f>#REF!</f>
        <v>#REF!</v>
      </c>
      <c r="F8" s="13" t="e">
        <f t="shared" si="4"/>
        <v>#REF!</v>
      </c>
      <c r="G8" s="4">
        <v>33.54</v>
      </c>
      <c r="H8" s="4" t="e">
        <f t="shared" si="0"/>
        <v>#REF!</v>
      </c>
      <c r="I8" s="4" t="e">
        <f t="shared" si="1"/>
        <v>#REF!</v>
      </c>
      <c r="J8" s="4" t="e">
        <f t="shared" si="2"/>
        <v>#REF!</v>
      </c>
      <c r="K8" s="4" t="e">
        <f>#REF!</f>
        <v>#REF!</v>
      </c>
      <c r="L8" s="4" t="e">
        <f>#REF!</f>
        <v>#REF!</v>
      </c>
      <c r="M8" s="4" t="e">
        <f>#REF!</f>
        <v>#REF!</v>
      </c>
    </row>
    <row r="9" spans="1:23" x14ac:dyDescent="0.25">
      <c r="A9" s="5" t="e">
        <f>#REF!</f>
        <v>#REF!</v>
      </c>
      <c r="B9" s="4" t="e">
        <f>#REF!</f>
        <v>#REF!</v>
      </c>
      <c r="C9" s="4" t="e">
        <f>#REF!</f>
        <v>#REF!</v>
      </c>
      <c r="D9" s="4" t="e">
        <f t="shared" si="3"/>
        <v>#REF!</v>
      </c>
      <c r="E9" s="13" t="e">
        <f>#REF!</f>
        <v>#REF!</v>
      </c>
      <c r="F9" s="13" t="e">
        <f t="shared" si="4"/>
        <v>#REF!</v>
      </c>
      <c r="G9" s="4">
        <v>32.729999999999997</v>
      </c>
      <c r="H9" s="4" t="e">
        <f t="shared" si="0"/>
        <v>#REF!</v>
      </c>
      <c r="I9" s="4" t="e">
        <f t="shared" si="1"/>
        <v>#REF!</v>
      </c>
      <c r="J9" s="4" t="e">
        <f t="shared" si="2"/>
        <v>#REF!</v>
      </c>
      <c r="K9" s="4" t="e">
        <f>#REF!</f>
        <v>#REF!</v>
      </c>
      <c r="L9" s="4" t="e">
        <f>#REF!</f>
        <v>#REF!</v>
      </c>
      <c r="M9" s="4" t="e">
        <f>#REF!</f>
        <v>#REF!</v>
      </c>
    </row>
    <row r="10" spans="1:23" x14ac:dyDescent="0.25">
      <c r="A10" s="5" t="e">
        <f>#REF!</f>
        <v>#REF!</v>
      </c>
      <c r="B10" s="4" t="e">
        <f>#REF!</f>
        <v>#REF!</v>
      </c>
      <c r="C10" s="4" t="e">
        <f>#REF!</f>
        <v>#REF!</v>
      </c>
      <c r="D10" s="4" t="e">
        <f t="shared" si="3"/>
        <v>#REF!</v>
      </c>
      <c r="E10" s="13" t="e">
        <f>#REF!</f>
        <v>#REF!</v>
      </c>
      <c r="F10" s="13" t="e">
        <f t="shared" si="4"/>
        <v>#REF!</v>
      </c>
      <c r="G10" s="4">
        <v>35.01</v>
      </c>
      <c r="H10" s="4" t="e">
        <f t="shared" si="0"/>
        <v>#REF!</v>
      </c>
      <c r="I10" s="4" t="e">
        <f t="shared" si="1"/>
        <v>#REF!</v>
      </c>
      <c r="J10" s="4" t="e">
        <f t="shared" si="2"/>
        <v>#REF!</v>
      </c>
      <c r="K10" s="4" t="e">
        <f>#REF!</f>
        <v>#REF!</v>
      </c>
      <c r="L10" s="4" t="e">
        <f>#REF!</f>
        <v>#REF!</v>
      </c>
      <c r="M10" s="4" t="e">
        <f>#REF!</f>
        <v>#REF!</v>
      </c>
    </row>
    <row r="11" spans="1:23" x14ac:dyDescent="0.25">
      <c r="A11" s="5" t="e">
        <f>#REF!</f>
        <v>#REF!</v>
      </c>
      <c r="B11" s="4" t="e">
        <f>#REF!</f>
        <v>#REF!</v>
      </c>
      <c r="C11" s="4" t="e">
        <f>#REF!</f>
        <v>#REF!</v>
      </c>
      <c r="D11" s="4" t="e">
        <f t="shared" si="3"/>
        <v>#REF!</v>
      </c>
      <c r="E11" s="13" t="e">
        <f>#REF!</f>
        <v>#REF!</v>
      </c>
      <c r="F11" s="13" t="e">
        <f t="shared" si="4"/>
        <v>#REF!</v>
      </c>
      <c r="G11" s="4">
        <v>37.97</v>
      </c>
      <c r="H11" s="4" t="e">
        <f t="shared" ref="H11" si="5">F11*G11</f>
        <v>#REF!</v>
      </c>
      <c r="I11" s="4" t="e">
        <f t="shared" si="1"/>
        <v>#REF!</v>
      </c>
      <c r="J11" s="4" t="e">
        <f t="shared" si="2"/>
        <v>#REF!</v>
      </c>
      <c r="K11" s="4" t="e">
        <f>#REF!</f>
        <v>#REF!</v>
      </c>
      <c r="L11" s="4" t="e">
        <f>#REF!</f>
        <v>#REF!</v>
      </c>
      <c r="M11" s="4" t="e">
        <f>#REF!</f>
        <v>#REF!</v>
      </c>
    </row>
    <row r="12" spans="1:23" x14ac:dyDescent="0.25">
      <c r="A12" s="34" t="e">
        <f>#REF!</f>
        <v>#REF!</v>
      </c>
      <c r="B12" s="14" t="e">
        <f>#REF!</f>
        <v>#REF!</v>
      </c>
      <c r="C12" s="14" t="e">
        <f>#REF!</f>
        <v>#REF!</v>
      </c>
      <c r="D12" s="14" t="e">
        <f t="shared" si="3"/>
        <v>#REF!</v>
      </c>
      <c r="E12" s="15" t="e">
        <f>#REF!</f>
        <v>#REF!</v>
      </c>
      <c r="F12" s="15" t="e">
        <f t="shared" ref="F12" si="6">F11+E12</f>
        <v>#REF!</v>
      </c>
      <c r="G12" s="14">
        <v>37.04</v>
      </c>
      <c r="H12" s="14" t="e">
        <f t="shared" ref="H12" si="7">F12*G12</f>
        <v>#REF!</v>
      </c>
      <c r="I12" s="14" t="e">
        <f t="shared" si="1"/>
        <v>#REF!</v>
      </c>
      <c r="J12" s="14" t="e">
        <f t="shared" si="2"/>
        <v>#REF!</v>
      </c>
      <c r="K12" s="14" t="e">
        <f>#REF!</f>
        <v>#REF!</v>
      </c>
      <c r="L12" s="14" t="e">
        <f>#REF!</f>
        <v>#REF!</v>
      </c>
      <c r="M12" s="14" t="e">
        <f>#REF!</f>
        <v>#REF!</v>
      </c>
    </row>
  </sheetData>
  <mergeCells count="14">
    <mergeCell ref="W3:W4"/>
    <mergeCell ref="U3:V3"/>
    <mergeCell ref="A3:A4"/>
    <mergeCell ref="B3:D3"/>
    <mergeCell ref="E3:F3"/>
    <mergeCell ref="G3:J3"/>
    <mergeCell ref="K3:L3"/>
    <mergeCell ref="O3:O4"/>
    <mergeCell ref="M3:M4"/>
    <mergeCell ref="P3:P4"/>
    <mergeCell ref="Q3:Q4"/>
    <mergeCell ref="R3:R4"/>
    <mergeCell ref="S3:S4"/>
    <mergeCell ref="T3:T4"/>
  </mergeCells>
  <pageMargins left="0.7" right="0.7" top="0.75" bottom="0.75" header="0.3" footer="0.3"/>
  <pageSetup orientation="portrait" r:id="rId1"/>
  <ignoredErrors>
    <ignoredError sqref="E5:E12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V10"/>
  <sheetViews>
    <sheetView workbookViewId="0">
      <pane ySplit="10" topLeftCell="A11" activePane="bottomLeft" state="frozen"/>
      <selection activeCell="E29" sqref="E29"/>
      <selection pane="bottomLeft" activeCell="E29" sqref="E29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2" width="10.7109375" customWidth="1"/>
  </cols>
  <sheetData>
    <row r="1" spans="1:22" x14ac:dyDescent="0.25">
      <c r="A1" s="10" t="s">
        <v>18</v>
      </c>
    </row>
    <row r="3" spans="1:22" x14ac:dyDescent="0.25">
      <c r="A3" s="64" t="s">
        <v>32</v>
      </c>
      <c r="B3" s="62" t="s">
        <v>3</v>
      </c>
      <c r="C3" s="66"/>
      <c r="D3" s="63"/>
      <c r="E3" s="62" t="s">
        <v>1</v>
      </c>
      <c r="F3" s="63"/>
      <c r="G3" s="62" t="s">
        <v>36</v>
      </c>
      <c r="H3" s="66"/>
      <c r="I3" s="66"/>
      <c r="J3" s="63"/>
      <c r="K3" s="67" t="s">
        <v>30</v>
      </c>
      <c r="L3" s="67"/>
      <c r="M3" s="64" t="s">
        <v>39</v>
      </c>
      <c r="O3" s="64" t="s">
        <v>19</v>
      </c>
      <c r="P3" s="64" t="s">
        <v>12</v>
      </c>
      <c r="Q3" s="64" t="s">
        <v>1</v>
      </c>
      <c r="R3" s="64" t="s">
        <v>31</v>
      </c>
      <c r="S3" s="64" t="s">
        <v>6</v>
      </c>
      <c r="T3" s="64" t="s">
        <v>5</v>
      </c>
      <c r="U3" s="62" t="s">
        <v>30</v>
      </c>
      <c r="V3" s="63"/>
    </row>
    <row r="4" spans="1:22" x14ac:dyDescent="0.25">
      <c r="A4" s="65"/>
      <c r="B4" s="3" t="s">
        <v>12</v>
      </c>
      <c r="C4" s="3" t="s">
        <v>38</v>
      </c>
      <c r="D4" s="3" t="s">
        <v>37</v>
      </c>
      <c r="E4" s="3" t="s">
        <v>35</v>
      </c>
      <c r="F4" s="3" t="s">
        <v>34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13</v>
      </c>
      <c r="L4" s="3" t="s">
        <v>28</v>
      </c>
      <c r="M4" s="65"/>
      <c r="O4" s="65"/>
      <c r="P4" s="65"/>
      <c r="Q4" s="65"/>
      <c r="R4" s="65"/>
      <c r="S4" s="65"/>
      <c r="T4" s="65"/>
      <c r="U4" s="3" t="s">
        <v>13</v>
      </c>
      <c r="V4" s="12" t="s">
        <v>28</v>
      </c>
    </row>
    <row r="5" spans="1:22" x14ac:dyDescent="0.25">
      <c r="A5" s="5" t="e">
        <f>#REF!</f>
        <v>#REF!</v>
      </c>
      <c r="B5" s="4" t="e">
        <f>#REF!</f>
        <v>#REF!</v>
      </c>
      <c r="C5" s="4" t="e">
        <f>#REF!</f>
        <v>#REF!</v>
      </c>
      <c r="D5" s="4" t="e">
        <f>C5</f>
        <v>#REF!</v>
      </c>
      <c r="E5" s="13" t="e">
        <f>#REF!</f>
        <v>#REF!</v>
      </c>
      <c r="F5" s="13" t="e">
        <f>E5</f>
        <v>#REF!</v>
      </c>
      <c r="G5" s="4">
        <v>129.69</v>
      </c>
      <c r="H5" s="4" t="e">
        <f t="shared" ref="H5:H10" si="0">F5*G5</f>
        <v>#REF!</v>
      </c>
      <c r="I5" s="4" t="e">
        <f t="shared" ref="I5:I10" si="1">H5-D5</f>
        <v>#REF!</v>
      </c>
      <c r="J5" s="4" t="e">
        <f t="shared" ref="J5:J10" si="2">(H5-D5)*100/D5</f>
        <v>#REF!</v>
      </c>
      <c r="K5" s="4" t="e">
        <f>#REF!</f>
        <v>#REF!</v>
      </c>
      <c r="L5" s="4" t="e">
        <f>#REF!</f>
        <v>#REF!</v>
      </c>
      <c r="M5" s="4" t="e">
        <f>#REF!</f>
        <v>#REF!</v>
      </c>
      <c r="O5" s="3" t="s">
        <v>2</v>
      </c>
      <c r="P5" s="4" t="e">
        <f>SUM(B5:B43)</f>
        <v>#REF!</v>
      </c>
      <c r="Q5" s="13" t="e">
        <f>SUM(E5:E43)</f>
        <v>#REF!</v>
      </c>
      <c r="R5" s="4" t="e">
        <f>#REF!-#REF!</f>
        <v>#REF!</v>
      </c>
      <c r="S5" s="4" t="e">
        <f>R5-P5</f>
        <v>#REF!</v>
      </c>
      <c r="T5" s="21" t="e">
        <f>(R5-P5)/P5</f>
        <v>#REF!</v>
      </c>
      <c r="U5" s="4" t="e">
        <f>SUM(K5:K10)</f>
        <v>#REF!</v>
      </c>
      <c r="V5" s="4" t="e">
        <f>SUM(L5:L10)</f>
        <v>#REF!</v>
      </c>
    </row>
    <row r="6" spans="1:22" x14ac:dyDescent="0.25">
      <c r="A6" s="5" t="e">
        <f>#REF!</f>
        <v>#REF!</v>
      </c>
      <c r="B6" s="4" t="e">
        <f>#REF!</f>
        <v>#REF!</v>
      </c>
      <c r="C6" s="4" t="e">
        <f>#REF!</f>
        <v>#REF!</v>
      </c>
      <c r="D6" s="4" t="e">
        <f>D5+C6</f>
        <v>#REF!</v>
      </c>
      <c r="E6" s="13" t="e">
        <f>#REF!</f>
        <v>#REF!</v>
      </c>
      <c r="F6" s="13" t="e">
        <f>F5+E6</f>
        <v>#REF!</v>
      </c>
      <c r="G6" s="4">
        <v>135.38</v>
      </c>
      <c r="H6" s="4" t="e">
        <f t="shared" si="0"/>
        <v>#REF!</v>
      </c>
      <c r="I6" s="4" t="e">
        <f t="shared" si="1"/>
        <v>#REF!</v>
      </c>
      <c r="J6" s="4" t="e">
        <f t="shared" si="2"/>
        <v>#REF!</v>
      </c>
      <c r="K6" s="4" t="e">
        <f>#REF!</f>
        <v>#REF!</v>
      </c>
      <c r="L6" s="4" t="e">
        <f>#REF!</f>
        <v>#REF!</v>
      </c>
      <c r="M6" s="4" t="e">
        <f>#REF!</f>
        <v>#REF!</v>
      </c>
    </row>
    <row r="7" spans="1:22" x14ac:dyDescent="0.25">
      <c r="A7" s="5" t="e">
        <f>#REF!</f>
        <v>#REF!</v>
      </c>
      <c r="B7" s="4" t="e">
        <f>#REF!</f>
        <v>#REF!</v>
      </c>
      <c r="C7" s="4" t="e">
        <f>#REF!</f>
        <v>#REF!</v>
      </c>
      <c r="D7" s="4" t="e">
        <f>D6+C7</f>
        <v>#REF!</v>
      </c>
      <c r="E7" s="13" t="e">
        <f>#REF!</f>
        <v>#REF!</v>
      </c>
      <c r="F7" s="13" t="e">
        <f>F6+E7</f>
        <v>#REF!</v>
      </c>
      <c r="G7" s="4">
        <v>135.63999999999999</v>
      </c>
      <c r="H7" s="4" t="e">
        <f t="shared" si="0"/>
        <v>#REF!</v>
      </c>
      <c r="I7" s="4" t="e">
        <f t="shared" si="1"/>
        <v>#REF!</v>
      </c>
      <c r="J7" s="4" t="e">
        <f t="shared" si="2"/>
        <v>#REF!</v>
      </c>
      <c r="K7" s="4" t="e">
        <f>#REF!</f>
        <v>#REF!</v>
      </c>
      <c r="L7" s="4" t="e">
        <f>#REF!</f>
        <v>#REF!</v>
      </c>
      <c r="M7" s="4" t="e">
        <f>#REF!</f>
        <v>#REF!</v>
      </c>
    </row>
    <row r="8" spans="1:22" x14ac:dyDescent="0.25">
      <c r="A8" s="5" t="e">
        <f>#REF!</f>
        <v>#REF!</v>
      </c>
      <c r="B8" s="4" t="e">
        <f>#REF!</f>
        <v>#REF!</v>
      </c>
      <c r="C8" s="4" t="e">
        <f>#REF!</f>
        <v>#REF!</v>
      </c>
      <c r="D8" s="4" t="e">
        <f>D7+C8</f>
        <v>#REF!</v>
      </c>
      <c r="E8" s="13" t="e">
        <f>#REF!</f>
        <v>#REF!</v>
      </c>
      <c r="F8" s="13" t="e">
        <f>F7+E8</f>
        <v>#REF!</v>
      </c>
      <c r="G8" s="4">
        <v>139.97999999999999</v>
      </c>
      <c r="H8" s="4" t="e">
        <f t="shared" si="0"/>
        <v>#REF!</v>
      </c>
      <c r="I8" s="4" t="e">
        <f t="shared" si="1"/>
        <v>#REF!</v>
      </c>
      <c r="J8" s="4" t="e">
        <f t="shared" si="2"/>
        <v>#REF!</v>
      </c>
      <c r="K8" s="4" t="e">
        <f>#REF!</f>
        <v>#REF!</v>
      </c>
      <c r="L8" s="4" t="e">
        <f>#REF!</f>
        <v>#REF!</v>
      </c>
      <c r="M8" s="4" t="e">
        <f>#REF!</f>
        <v>#REF!</v>
      </c>
    </row>
    <row r="9" spans="1:22" x14ac:dyDescent="0.25">
      <c r="A9" s="5" t="e">
        <f>#REF!</f>
        <v>#REF!</v>
      </c>
      <c r="B9" s="4" t="e">
        <f>#REF!</f>
        <v>#REF!</v>
      </c>
      <c r="C9" s="4" t="e">
        <f>#REF!</f>
        <v>#REF!</v>
      </c>
      <c r="D9" s="4" t="e">
        <f>D8+C9</f>
        <v>#REF!</v>
      </c>
      <c r="E9" s="13" t="e">
        <f>#REF!</f>
        <v>#REF!</v>
      </c>
      <c r="F9" s="13" t="e">
        <f>F8+E9</f>
        <v>#REF!</v>
      </c>
      <c r="G9" s="4">
        <v>145.41999999999999</v>
      </c>
      <c r="H9" s="4" t="e">
        <f t="shared" si="0"/>
        <v>#REF!</v>
      </c>
      <c r="I9" s="4" t="e">
        <f t="shared" si="1"/>
        <v>#REF!</v>
      </c>
      <c r="J9" s="4" t="e">
        <f t="shared" si="2"/>
        <v>#REF!</v>
      </c>
      <c r="K9" s="4" t="e">
        <f>#REF!</f>
        <v>#REF!</v>
      </c>
      <c r="L9" s="4" t="e">
        <f>#REF!</f>
        <v>#REF!</v>
      </c>
      <c r="M9" s="4" t="e">
        <f>#REF!</f>
        <v>#REF!</v>
      </c>
    </row>
    <row r="10" spans="1:22" x14ac:dyDescent="0.25">
      <c r="A10" s="34" t="e">
        <f>#REF!</f>
        <v>#REF!</v>
      </c>
      <c r="B10" s="14" t="e">
        <f>#REF!</f>
        <v>#REF!</v>
      </c>
      <c r="C10" s="14" t="e">
        <f>#REF!</f>
        <v>#REF!</v>
      </c>
      <c r="D10" s="14" t="e">
        <f>D9+C10</f>
        <v>#REF!</v>
      </c>
      <c r="E10" s="15" t="e">
        <f>#REF!</f>
        <v>#REF!</v>
      </c>
      <c r="F10" s="15" t="e">
        <f>F9+E10</f>
        <v>#REF!</v>
      </c>
      <c r="G10" s="14">
        <v>145.9</v>
      </c>
      <c r="H10" s="14" t="e">
        <f t="shared" si="0"/>
        <v>#REF!</v>
      </c>
      <c r="I10" s="14" t="e">
        <f t="shared" si="1"/>
        <v>#REF!</v>
      </c>
      <c r="J10" s="14" t="e">
        <f t="shared" si="2"/>
        <v>#REF!</v>
      </c>
      <c r="K10" s="14" t="e">
        <f>#REF!</f>
        <v>#REF!</v>
      </c>
      <c r="L10" s="14" t="e">
        <f>#REF!</f>
        <v>#REF!</v>
      </c>
      <c r="M10" s="14" t="e">
        <f>#REF!</f>
        <v>#REF!</v>
      </c>
    </row>
  </sheetData>
  <mergeCells count="13">
    <mergeCell ref="U3:V3"/>
    <mergeCell ref="A3:A4"/>
    <mergeCell ref="B3:D3"/>
    <mergeCell ref="E3:F3"/>
    <mergeCell ref="G3:J3"/>
    <mergeCell ref="K3:L3"/>
    <mergeCell ref="O3:O4"/>
    <mergeCell ref="M3:M4"/>
    <mergeCell ref="P3:P4"/>
    <mergeCell ref="Q3:Q4"/>
    <mergeCell ref="R3:R4"/>
    <mergeCell ref="S3:S4"/>
    <mergeCell ref="T3:T4"/>
  </mergeCells>
  <pageMargins left="0.7" right="0.7" top="0.75" bottom="0.75" header="0.3" footer="0.3"/>
  <pageSetup orientation="portrait" r:id="rId1"/>
  <ignoredErrors>
    <ignoredError sqref="E5:E10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V9"/>
  <sheetViews>
    <sheetView workbookViewId="0">
      <pane ySplit="9" topLeftCell="A10" activePane="bottomLeft" state="frozen"/>
      <selection activeCell="E29" sqref="E29"/>
      <selection pane="bottomLeft" activeCell="E29" sqref="E29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2" width="10.7109375" customWidth="1"/>
  </cols>
  <sheetData>
    <row r="1" spans="1:22" x14ac:dyDescent="0.25">
      <c r="A1" s="10" t="s">
        <v>20</v>
      </c>
    </row>
    <row r="3" spans="1:22" x14ac:dyDescent="0.25">
      <c r="A3" s="64" t="s">
        <v>32</v>
      </c>
      <c r="B3" s="62" t="s">
        <v>3</v>
      </c>
      <c r="C3" s="66"/>
      <c r="D3" s="63"/>
      <c r="E3" s="62" t="s">
        <v>1</v>
      </c>
      <c r="F3" s="63"/>
      <c r="G3" s="62" t="s">
        <v>36</v>
      </c>
      <c r="H3" s="66"/>
      <c r="I3" s="66"/>
      <c r="J3" s="63"/>
      <c r="K3" s="67" t="s">
        <v>30</v>
      </c>
      <c r="L3" s="67"/>
      <c r="M3" s="64" t="s">
        <v>39</v>
      </c>
      <c r="O3" s="64" t="s">
        <v>21</v>
      </c>
      <c r="P3" s="64" t="s">
        <v>12</v>
      </c>
      <c r="Q3" s="64" t="s">
        <v>1</v>
      </c>
      <c r="R3" s="64" t="s">
        <v>31</v>
      </c>
      <c r="S3" s="64" t="s">
        <v>6</v>
      </c>
      <c r="T3" s="64" t="s">
        <v>5</v>
      </c>
      <c r="U3" s="62" t="s">
        <v>30</v>
      </c>
      <c r="V3" s="63"/>
    </row>
    <row r="4" spans="1:22" x14ac:dyDescent="0.25">
      <c r="A4" s="65"/>
      <c r="B4" s="3" t="s">
        <v>12</v>
      </c>
      <c r="C4" s="3" t="s">
        <v>38</v>
      </c>
      <c r="D4" s="3" t="s">
        <v>37</v>
      </c>
      <c r="E4" s="3" t="s">
        <v>35</v>
      </c>
      <c r="F4" s="3" t="s">
        <v>34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13</v>
      </c>
      <c r="L4" s="3" t="s">
        <v>28</v>
      </c>
      <c r="M4" s="65"/>
      <c r="O4" s="65"/>
      <c r="P4" s="65"/>
      <c r="Q4" s="65"/>
      <c r="R4" s="65"/>
      <c r="S4" s="65"/>
      <c r="T4" s="65"/>
      <c r="U4" s="3" t="s">
        <v>13</v>
      </c>
      <c r="V4" s="12" t="s">
        <v>28</v>
      </c>
    </row>
    <row r="5" spans="1:22" x14ac:dyDescent="0.25">
      <c r="A5" s="5" t="e">
        <f>#REF!</f>
        <v>#REF!</v>
      </c>
      <c r="B5" s="4" t="e">
        <f>#REF!</f>
        <v>#REF!</v>
      </c>
      <c r="C5" s="4" t="e">
        <f>#REF!</f>
        <v>#REF!</v>
      </c>
      <c r="D5" s="4" t="e">
        <f>C5</f>
        <v>#REF!</v>
      </c>
      <c r="E5" s="13" t="e">
        <f>#REF!</f>
        <v>#REF!</v>
      </c>
      <c r="F5" s="13" t="e">
        <f>E5</f>
        <v>#REF!</v>
      </c>
      <c r="G5" s="4">
        <v>65.25</v>
      </c>
      <c r="H5" s="4" t="e">
        <f>F5*G5</f>
        <v>#REF!</v>
      </c>
      <c r="I5" s="4" t="e">
        <f>H5-D5</f>
        <v>#REF!</v>
      </c>
      <c r="J5" s="4" t="e">
        <f>(H5-D5)*100/D5</f>
        <v>#REF!</v>
      </c>
      <c r="K5" s="4" t="e">
        <f>#REF!</f>
        <v>#REF!</v>
      </c>
      <c r="L5" s="4" t="e">
        <f>#REF!</f>
        <v>#REF!</v>
      </c>
      <c r="M5" s="4" t="e">
        <f>#REF!</f>
        <v>#REF!</v>
      </c>
      <c r="O5" s="3" t="s">
        <v>2</v>
      </c>
      <c r="P5" s="4" t="e">
        <f>SUM(B5:B46)</f>
        <v>#REF!</v>
      </c>
      <c r="Q5" s="13" t="e">
        <f>SUM(E5:E46)</f>
        <v>#REF!</v>
      </c>
      <c r="R5" s="4" t="e">
        <f>#REF!-#REF!</f>
        <v>#REF!</v>
      </c>
      <c r="S5" s="4" t="e">
        <f>R5-P5</f>
        <v>#REF!</v>
      </c>
      <c r="T5" s="21" t="e">
        <f>(R5-P5)/P5</f>
        <v>#REF!</v>
      </c>
      <c r="U5" s="4" t="e">
        <f>SUM(K5:K9)</f>
        <v>#REF!</v>
      </c>
      <c r="V5" s="4" t="e">
        <f>SUM(L5:L9)</f>
        <v>#REF!</v>
      </c>
    </row>
    <row r="6" spans="1:22" x14ac:dyDescent="0.25">
      <c r="A6" s="5" t="e">
        <f>#REF!</f>
        <v>#REF!</v>
      </c>
      <c r="B6" s="4" t="e">
        <f>#REF!</f>
        <v>#REF!</v>
      </c>
      <c r="C6" s="4" t="e">
        <f>#REF!</f>
        <v>#REF!</v>
      </c>
      <c r="D6" s="4" t="e">
        <f>D5+C6</f>
        <v>#REF!</v>
      </c>
      <c r="E6" s="13" t="e">
        <f>#REF!</f>
        <v>#REF!</v>
      </c>
      <c r="F6" s="13" t="e">
        <f>F5+E6</f>
        <v>#REF!</v>
      </c>
      <c r="G6" s="4">
        <v>65.31</v>
      </c>
      <c r="H6" s="4" t="e">
        <f>F6*G6</f>
        <v>#REF!</v>
      </c>
      <c r="I6" s="4" t="e">
        <f>H6-D6</f>
        <v>#REF!</v>
      </c>
      <c r="J6" s="4" t="e">
        <f>(H6-D6)*100/D6</f>
        <v>#REF!</v>
      </c>
      <c r="K6" s="4" t="e">
        <f>#REF!</f>
        <v>#REF!</v>
      </c>
      <c r="L6" s="4" t="e">
        <f>#REF!</f>
        <v>#REF!</v>
      </c>
      <c r="M6" s="4" t="e">
        <f>#REF!</f>
        <v>#REF!</v>
      </c>
    </row>
    <row r="7" spans="1:22" x14ac:dyDescent="0.25">
      <c r="A7" s="5" t="e">
        <f>#REF!</f>
        <v>#REF!</v>
      </c>
      <c r="B7" s="4" t="e">
        <f>#REF!</f>
        <v>#REF!</v>
      </c>
      <c r="C7" s="4" t="e">
        <f>#REF!</f>
        <v>#REF!</v>
      </c>
      <c r="D7" s="4" t="e">
        <f>D6+C7</f>
        <v>#REF!</v>
      </c>
      <c r="E7" s="13" t="e">
        <f>#REF!</f>
        <v>#REF!</v>
      </c>
      <c r="F7" s="13" t="e">
        <f>F6+E7</f>
        <v>#REF!</v>
      </c>
      <c r="G7" s="4">
        <v>66.92</v>
      </c>
      <c r="H7" s="4" t="e">
        <f>F7*G7</f>
        <v>#REF!</v>
      </c>
      <c r="I7" s="4" t="e">
        <f>H7-D7</f>
        <v>#REF!</v>
      </c>
      <c r="J7" s="4" t="e">
        <f>(H7-D7)*100/D7</f>
        <v>#REF!</v>
      </c>
      <c r="K7" s="4" t="e">
        <f>#REF!</f>
        <v>#REF!</v>
      </c>
      <c r="L7" s="4" t="e">
        <f>#REF!</f>
        <v>#REF!</v>
      </c>
      <c r="M7" s="4" t="e">
        <f>#REF!</f>
        <v>#REF!</v>
      </c>
    </row>
    <row r="8" spans="1:22" x14ac:dyDescent="0.25">
      <c r="A8" s="5" t="e">
        <f>#REF!</f>
        <v>#REF!</v>
      </c>
      <c r="B8" s="4" t="e">
        <f>#REF!</f>
        <v>#REF!</v>
      </c>
      <c r="C8" s="4" t="e">
        <f>#REF!</f>
        <v>#REF!</v>
      </c>
      <c r="D8" s="4" t="e">
        <f>D7+C8</f>
        <v>#REF!</v>
      </c>
      <c r="E8" s="13" t="e">
        <f>#REF!</f>
        <v>#REF!</v>
      </c>
      <c r="F8" s="13" t="e">
        <f>F7+E8</f>
        <v>#REF!</v>
      </c>
      <c r="G8" s="4">
        <v>68.78</v>
      </c>
      <c r="H8" s="4" t="e">
        <f>F8*G8</f>
        <v>#REF!</v>
      </c>
      <c r="I8" s="4" t="e">
        <f>H8-D8</f>
        <v>#REF!</v>
      </c>
      <c r="J8" s="4" t="e">
        <f>(H8-D8)*100/D8</f>
        <v>#REF!</v>
      </c>
      <c r="K8" s="4" t="e">
        <f>#REF!</f>
        <v>#REF!</v>
      </c>
      <c r="L8" s="4" t="e">
        <f>#REF!</f>
        <v>#REF!</v>
      </c>
      <c r="M8" s="4" t="e">
        <f>#REF!</f>
        <v>#REF!</v>
      </c>
    </row>
    <row r="9" spans="1:22" x14ac:dyDescent="0.25">
      <c r="A9" s="34" t="e">
        <f>#REF!</f>
        <v>#REF!</v>
      </c>
      <c r="B9" s="14" t="e">
        <f>#REF!</f>
        <v>#REF!</v>
      </c>
      <c r="C9" s="14" t="e">
        <f>#REF!</f>
        <v>#REF!</v>
      </c>
      <c r="D9" s="14" t="e">
        <f>D8+C9</f>
        <v>#REF!</v>
      </c>
      <c r="E9" s="15" t="e">
        <f>#REF!</f>
        <v>#REF!</v>
      </c>
      <c r="F9" s="15" t="e">
        <f>F8+E9</f>
        <v>#REF!</v>
      </c>
      <c r="G9" s="14">
        <v>67.97</v>
      </c>
      <c r="H9" s="14" t="e">
        <f>F9*G9</f>
        <v>#REF!</v>
      </c>
      <c r="I9" s="14" t="e">
        <f>H9-D9</f>
        <v>#REF!</v>
      </c>
      <c r="J9" s="14" t="e">
        <f>(H9-D9)*100/D9</f>
        <v>#REF!</v>
      </c>
      <c r="K9" s="14" t="e">
        <f>#REF!</f>
        <v>#REF!</v>
      </c>
      <c r="L9" s="14" t="e">
        <f>#REF!</f>
        <v>#REF!</v>
      </c>
      <c r="M9" s="14" t="e">
        <f>#REF!</f>
        <v>#REF!</v>
      </c>
    </row>
  </sheetData>
  <mergeCells count="13">
    <mergeCell ref="M3:M4"/>
    <mergeCell ref="A3:A4"/>
    <mergeCell ref="B3:D3"/>
    <mergeCell ref="E3:F3"/>
    <mergeCell ref="G3:J3"/>
    <mergeCell ref="K3:L3"/>
    <mergeCell ref="U3:V3"/>
    <mergeCell ref="O3:O4"/>
    <mergeCell ref="P3:P4"/>
    <mergeCell ref="Q3:Q4"/>
    <mergeCell ref="R3:R4"/>
    <mergeCell ref="S3:S4"/>
    <mergeCell ref="T3:T4"/>
  </mergeCells>
  <pageMargins left="0.7" right="0.7" top="0.75" bottom="0.75" header="0.3" footer="0.3"/>
  <pageSetup orientation="portrait" r:id="rId1"/>
  <ignoredErrors>
    <ignoredError sqref="E5:E9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V9"/>
  <sheetViews>
    <sheetView workbookViewId="0">
      <pane ySplit="9" topLeftCell="A10" activePane="bottomLeft" state="frozen"/>
      <selection activeCell="E29" sqref="E29"/>
      <selection pane="bottomLeft" activeCell="E29" sqref="E29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2" width="10.7109375" customWidth="1"/>
  </cols>
  <sheetData>
    <row r="1" spans="1:22" x14ac:dyDescent="0.25">
      <c r="A1" s="10" t="s">
        <v>22</v>
      </c>
    </row>
    <row r="3" spans="1:22" x14ac:dyDescent="0.25">
      <c r="A3" s="64" t="s">
        <v>32</v>
      </c>
      <c r="B3" s="62" t="s">
        <v>3</v>
      </c>
      <c r="C3" s="66"/>
      <c r="D3" s="63"/>
      <c r="E3" s="62" t="s">
        <v>1</v>
      </c>
      <c r="F3" s="63"/>
      <c r="G3" s="62" t="s">
        <v>36</v>
      </c>
      <c r="H3" s="66"/>
      <c r="I3" s="66"/>
      <c r="J3" s="63"/>
      <c r="K3" s="67" t="s">
        <v>30</v>
      </c>
      <c r="L3" s="67"/>
      <c r="M3" s="64" t="s">
        <v>39</v>
      </c>
      <c r="O3" s="64" t="s">
        <v>23</v>
      </c>
      <c r="P3" s="64" t="s">
        <v>12</v>
      </c>
      <c r="Q3" s="64" t="s">
        <v>1</v>
      </c>
      <c r="R3" s="64" t="s">
        <v>31</v>
      </c>
      <c r="S3" s="64" t="s">
        <v>6</v>
      </c>
      <c r="T3" s="64" t="s">
        <v>5</v>
      </c>
      <c r="U3" s="62" t="s">
        <v>30</v>
      </c>
      <c r="V3" s="63"/>
    </row>
    <row r="4" spans="1:22" x14ac:dyDescent="0.25">
      <c r="A4" s="65"/>
      <c r="B4" s="3" t="s">
        <v>12</v>
      </c>
      <c r="C4" s="3" t="s">
        <v>38</v>
      </c>
      <c r="D4" s="3" t="s">
        <v>37</v>
      </c>
      <c r="E4" s="3" t="s">
        <v>35</v>
      </c>
      <c r="F4" s="3" t="s">
        <v>34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13</v>
      </c>
      <c r="L4" s="3" t="s">
        <v>28</v>
      </c>
      <c r="M4" s="65"/>
      <c r="O4" s="65"/>
      <c r="P4" s="65"/>
      <c r="Q4" s="65"/>
      <c r="R4" s="65"/>
      <c r="S4" s="65"/>
      <c r="T4" s="65"/>
      <c r="U4" s="3" t="s">
        <v>13</v>
      </c>
      <c r="V4" s="12" t="s">
        <v>28</v>
      </c>
    </row>
    <row r="5" spans="1:22" x14ac:dyDescent="0.25">
      <c r="A5" s="5" t="e">
        <f>#REF!</f>
        <v>#REF!</v>
      </c>
      <c r="B5" s="4" t="e">
        <f>#REF!</f>
        <v>#REF!</v>
      </c>
      <c r="C5" s="4" t="e">
        <f>#REF!</f>
        <v>#REF!</v>
      </c>
      <c r="D5" s="4" t="e">
        <f>C5</f>
        <v>#REF!</v>
      </c>
      <c r="E5" s="13" t="e">
        <f>#REF!</f>
        <v>#REF!</v>
      </c>
      <c r="F5" s="13" t="e">
        <f>E5</f>
        <v>#REF!</v>
      </c>
      <c r="G5" s="4">
        <v>106.4</v>
      </c>
      <c r="H5" s="4" t="e">
        <f>F5*G5</f>
        <v>#REF!</v>
      </c>
      <c r="I5" s="4" t="e">
        <f>H5-D5</f>
        <v>#REF!</v>
      </c>
      <c r="J5" s="4" t="e">
        <f>(H5-D5)*100/D5</f>
        <v>#REF!</v>
      </c>
      <c r="K5" s="4" t="e">
        <f>#REF!</f>
        <v>#REF!</v>
      </c>
      <c r="L5" s="4" t="e">
        <f>#REF!</f>
        <v>#REF!</v>
      </c>
      <c r="M5" s="4" t="e">
        <f>#REF!</f>
        <v>#REF!</v>
      </c>
      <c r="O5" s="3" t="s">
        <v>2</v>
      </c>
      <c r="P5" s="4" t="e">
        <f>SUM(B5:B46)</f>
        <v>#REF!</v>
      </c>
      <c r="Q5" s="13" t="e">
        <f>SUM(E5:E46)</f>
        <v>#REF!</v>
      </c>
      <c r="R5" s="4" t="e">
        <f>#REF!-#REF!</f>
        <v>#REF!</v>
      </c>
      <c r="S5" s="4" t="e">
        <f>R5-P5</f>
        <v>#REF!</v>
      </c>
      <c r="T5" s="21" t="e">
        <f>(R5-P5)/P5</f>
        <v>#REF!</v>
      </c>
      <c r="U5" s="4" t="e">
        <f>SUM(K5:K9)</f>
        <v>#REF!</v>
      </c>
      <c r="V5" s="4" t="e">
        <f>SUM(L5:L9)</f>
        <v>#REF!</v>
      </c>
    </row>
    <row r="6" spans="1:22" x14ac:dyDescent="0.25">
      <c r="A6" s="5" t="e">
        <f>#REF!</f>
        <v>#REF!</v>
      </c>
      <c r="B6" s="4" t="e">
        <f>#REF!</f>
        <v>#REF!</v>
      </c>
      <c r="C6" s="4" t="e">
        <f>#REF!</f>
        <v>#REF!</v>
      </c>
      <c r="D6" s="4" t="e">
        <f>D5+C6</f>
        <v>#REF!</v>
      </c>
      <c r="E6" s="13" t="e">
        <f>#REF!</f>
        <v>#REF!</v>
      </c>
      <c r="F6" s="13" t="e">
        <f>F5+E6</f>
        <v>#REF!</v>
      </c>
      <c r="G6" s="4">
        <v>105.77</v>
      </c>
      <c r="H6" s="4" t="e">
        <f>F6*G6</f>
        <v>#REF!</v>
      </c>
      <c r="I6" s="4" t="e">
        <f>H6-D6</f>
        <v>#REF!</v>
      </c>
      <c r="J6" s="4" t="e">
        <f>(H6-D6)*100/D6</f>
        <v>#REF!</v>
      </c>
      <c r="K6" s="4" t="e">
        <f>#REF!</f>
        <v>#REF!</v>
      </c>
      <c r="L6" s="4" t="e">
        <f>#REF!</f>
        <v>#REF!</v>
      </c>
      <c r="M6" s="4" t="e">
        <f>#REF!</f>
        <v>#REF!</v>
      </c>
    </row>
    <row r="7" spans="1:22" x14ac:dyDescent="0.25">
      <c r="A7" s="5" t="e">
        <f>#REF!</f>
        <v>#REF!</v>
      </c>
      <c r="B7" s="4" t="e">
        <f>#REF!</f>
        <v>#REF!</v>
      </c>
      <c r="C7" s="4" t="e">
        <f>#REF!</f>
        <v>#REF!</v>
      </c>
      <c r="D7" s="4" t="e">
        <f>D6+C7</f>
        <v>#REF!</v>
      </c>
      <c r="E7" s="13" t="e">
        <f>#REF!</f>
        <v>#REF!</v>
      </c>
      <c r="F7" s="13" t="e">
        <f>F6+E7</f>
        <v>#REF!</v>
      </c>
      <c r="G7" s="4">
        <v>108.89</v>
      </c>
      <c r="H7" s="4" t="e">
        <f>F7*G7</f>
        <v>#REF!</v>
      </c>
      <c r="I7" s="4" t="e">
        <f>H7-D7</f>
        <v>#REF!</v>
      </c>
      <c r="J7" s="4" t="e">
        <f>(H7-D7)*100/D7</f>
        <v>#REF!</v>
      </c>
      <c r="K7" s="4" t="e">
        <f>#REF!</f>
        <v>#REF!</v>
      </c>
      <c r="L7" s="4" t="e">
        <f>#REF!</f>
        <v>#REF!</v>
      </c>
      <c r="M7" s="4" t="e">
        <f>#REF!</f>
        <v>#REF!</v>
      </c>
    </row>
    <row r="8" spans="1:22" x14ac:dyDescent="0.25">
      <c r="A8" s="5" t="e">
        <f>#REF!</f>
        <v>#REF!</v>
      </c>
      <c r="B8" s="4" t="e">
        <f>#REF!</f>
        <v>#REF!</v>
      </c>
      <c r="C8" s="4" t="e">
        <f>#REF!</f>
        <v>#REF!</v>
      </c>
      <c r="D8" s="4" t="e">
        <f>D7+C8</f>
        <v>#REF!</v>
      </c>
      <c r="E8" s="13" t="e">
        <f>#REF!</f>
        <v>#REF!</v>
      </c>
      <c r="F8" s="13" t="e">
        <f>F7+E8</f>
        <v>#REF!</v>
      </c>
      <c r="G8" s="4">
        <v>113.7</v>
      </c>
      <c r="H8" s="4" t="e">
        <f>F8*G8</f>
        <v>#REF!</v>
      </c>
      <c r="I8" s="4" t="e">
        <f>H8-D8</f>
        <v>#REF!</v>
      </c>
      <c r="J8" s="4" t="e">
        <f>(H8-D8)*100/D8</f>
        <v>#REF!</v>
      </c>
      <c r="K8" s="4" t="e">
        <f>#REF!</f>
        <v>#REF!</v>
      </c>
      <c r="L8" s="4" t="e">
        <f>#REF!</f>
        <v>#REF!</v>
      </c>
      <c r="M8" s="4" t="e">
        <f>#REF!</f>
        <v>#REF!</v>
      </c>
    </row>
    <row r="9" spans="1:22" x14ac:dyDescent="0.25">
      <c r="A9" s="14" t="e">
        <f>#REF!</f>
        <v>#REF!</v>
      </c>
      <c r="B9" s="14" t="e">
        <f>#REF!</f>
        <v>#REF!</v>
      </c>
      <c r="C9" s="14" t="e">
        <f>#REF!</f>
        <v>#REF!</v>
      </c>
      <c r="D9" s="14" t="e">
        <f>D8+C9</f>
        <v>#REF!</v>
      </c>
      <c r="E9" s="15" t="e">
        <f>#REF!</f>
        <v>#REF!</v>
      </c>
      <c r="F9" s="15" t="e">
        <f>F8+E9</f>
        <v>#REF!</v>
      </c>
      <c r="G9" s="14">
        <v>112.91</v>
      </c>
      <c r="H9" s="14" t="e">
        <f>F9*G9</f>
        <v>#REF!</v>
      </c>
      <c r="I9" s="14" t="e">
        <f>H9-D9</f>
        <v>#REF!</v>
      </c>
      <c r="J9" s="14" t="e">
        <f>(H9-D9)*100/D9</f>
        <v>#REF!</v>
      </c>
      <c r="K9" s="14" t="e">
        <f>#REF!</f>
        <v>#REF!</v>
      </c>
      <c r="L9" s="14" t="e">
        <f>#REF!</f>
        <v>#REF!</v>
      </c>
      <c r="M9" s="14" t="e">
        <f>#REF!</f>
        <v>#REF!</v>
      </c>
    </row>
  </sheetData>
  <mergeCells count="13">
    <mergeCell ref="M3:M4"/>
    <mergeCell ref="A3:A4"/>
    <mergeCell ref="B3:D3"/>
    <mergeCell ref="E3:F3"/>
    <mergeCell ref="G3:J3"/>
    <mergeCell ref="K3:L3"/>
    <mergeCell ref="U3:V3"/>
    <mergeCell ref="O3:O4"/>
    <mergeCell ref="P3:P4"/>
    <mergeCell ref="Q3:Q4"/>
    <mergeCell ref="R3:R4"/>
    <mergeCell ref="S3:S4"/>
    <mergeCell ref="T3:T4"/>
  </mergeCells>
  <pageMargins left="0.7" right="0.7" top="0.75" bottom="0.75" header="0.3" footer="0.3"/>
  <pageSetup orientation="portrait" r:id="rId1"/>
  <ignoredErrors>
    <ignoredError sqref="E5:E9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V8"/>
  <sheetViews>
    <sheetView workbookViewId="0">
      <pane ySplit="8" topLeftCell="A9" activePane="bottomLeft" state="frozen"/>
      <selection activeCell="E29" sqref="E29"/>
      <selection pane="bottomLeft" activeCell="E29" sqref="E29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2" width="10.7109375" customWidth="1"/>
  </cols>
  <sheetData>
    <row r="1" spans="1:22" x14ac:dyDescent="0.25">
      <c r="A1" s="10" t="s">
        <v>24</v>
      </c>
    </row>
    <row r="3" spans="1:22" x14ac:dyDescent="0.25">
      <c r="A3" s="64" t="s">
        <v>32</v>
      </c>
      <c r="B3" s="62" t="s">
        <v>3</v>
      </c>
      <c r="C3" s="66"/>
      <c r="D3" s="63"/>
      <c r="E3" s="62" t="s">
        <v>1</v>
      </c>
      <c r="F3" s="63"/>
      <c r="G3" s="62" t="s">
        <v>36</v>
      </c>
      <c r="H3" s="66"/>
      <c r="I3" s="66"/>
      <c r="J3" s="63"/>
      <c r="K3" s="67" t="s">
        <v>30</v>
      </c>
      <c r="L3" s="67"/>
      <c r="M3" s="64" t="s">
        <v>39</v>
      </c>
      <c r="O3" s="64" t="s">
        <v>25</v>
      </c>
      <c r="P3" s="64" t="s">
        <v>12</v>
      </c>
      <c r="Q3" s="64" t="s">
        <v>1</v>
      </c>
      <c r="R3" s="64" t="s">
        <v>31</v>
      </c>
      <c r="S3" s="64" t="s">
        <v>6</v>
      </c>
      <c r="T3" s="64" t="s">
        <v>5</v>
      </c>
      <c r="U3" s="62" t="s">
        <v>30</v>
      </c>
      <c r="V3" s="63"/>
    </row>
    <row r="4" spans="1:22" x14ac:dyDescent="0.25">
      <c r="A4" s="65"/>
      <c r="B4" s="3" t="s">
        <v>12</v>
      </c>
      <c r="C4" s="3" t="s">
        <v>38</v>
      </c>
      <c r="D4" s="3" t="s">
        <v>37</v>
      </c>
      <c r="E4" s="3" t="s">
        <v>35</v>
      </c>
      <c r="F4" s="3" t="s">
        <v>34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13</v>
      </c>
      <c r="L4" s="3" t="s">
        <v>28</v>
      </c>
      <c r="M4" s="65"/>
      <c r="O4" s="65"/>
      <c r="P4" s="65"/>
      <c r="Q4" s="65"/>
      <c r="R4" s="65"/>
      <c r="S4" s="65"/>
      <c r="T4" s="65"/>
      <c r="U4" s="3" t="s">
        <v>13</v>
      </c>
      <c r="V4" s="12" t="s">
        <v>28</v>
      </c>
    </row>
    <row r="5" spans="1:22" x14ac:dyDescent="0.25">
      <c r="A5" s="5" t="e">
        <f>#REF!</f>
        <v>#REF!</v>
      </c>
      <c r="B5" s="4" t="e">
        <f>#REF!</f>
        <v>#REF!</v>
      </c>
      <c r="C5" s="4" t="e">
        <f>#REF!</f>
        <v>#REF!</v>
      </c>
      <c r="D5" s="4" t="e">
        <f>C5</f>
        <v>#REF!</v>
      </c>
      <c r="E5" s="13" t="e">
        <f>#REF!</f>
        <v>#REF!</v>
      </c>
      <c r="F5" s="13" t="e">
        <f>E5</f>
        <v>#REF!</v>
      </c>
      <c r="G5" s="4">
        <v>91.94</v>
      </c>
      <c r="H5" s="4" t="e">
        <f>F5*G5</f>
        <v>#REF!</v>
      </c>
      <c r="I5" s="4" t="e">
        <f>H5-D5</f>
        <v>#REF!</v>
      </c>
      <c r="J5" s="4" t="e">
        <f>(H5-D5)*100/D5</f>
        <v>#REF!</v>
      </c>
      <c r="K5" s="4" t="e">
        <f>#REF!</f>
        <v>#REF!</v>
      </c>
      <c r="L5" s="4" t="e">
        <f>#REF!</f>
        <v>#REF!</v>
      </c>
      <c r="M5" s="4" t="e">
        <f>#REF!</f>
        <v>#REF!</v>
      </c>
      <c r="O5" s="3" t="s">
        <v>2</v>
      </c>
      <c r="P5" s="4" t="e">
        <f>SUM(B5:B44)</f>
        <v>#REF!</v>
      </c>
      <c r="Q5" s="13" t="e">
        <f>SUM(E5:E44)</f>
        <v>#REF!</v>
      </c>
      <c r="R5" s="4" t="e">
        <f>#REF!-#REF!</f>
        <v>#REF!</v>
      </c>
      <c r="S5" s="4" t="e">
        <f>R5-P5</f>
        <v>#REF!</v>
      </c>
      <c r="T5" s="21" t="e">
        <f>(R5-P5)/P5</f>
        <v>#REF!</v>
      </c>
      <c r="U5" s="4" t="e">
        <f>SUM(K5:K8)</f>
        <v>#REF!</v>
      </c>
      <c r="V5" s="4" t="e">
        <f>SUM(L5:L8)</f>
        <v>#REF!</v>
      </c>
    </row>
    <row r="6" spans="1:22" x14ac:dyDescent="0.25">
      <c r="A6" s="5" t="e">
        <f>#REF!</f>
        <v>#REF!</v>
      </c>
      <c r="B6" s="4" t="e">
        <f>#REF!</f>
        <v>#REF!</v>
      </c>
      <c r="C6" s="4" t="e">
        <f>#REF!</f>
        <v>#REF!</v>
      </c>
      <c r="D6" s="4" t="e">
        <f>D5+C6</f>
        <v>#REF!</v>
      </c>
      <c r="E6" s="13" t="e">
        <f>#REF!</f>
        <v>#REF!</v>
      </c>
      <c r="F6" s="13" t="e">
        <f>F5+E6</f>
        <v>#REF!</v>
      </c>
      <c r="G6" s="4">
        <v>97.9</v>
      </c>
      <c r="H6" s="4" t="e">
        <f>F6*G6</f>
        <v>#REF!</v>
      </c>
      <c r="I6" s="4" t="e">
        <f>H6-D6</f>
        <v>#REF!</v>
      </c>
      <c r="J6" s="4" t="e">
        <f>(H6-D6)*100/D6</f>
        <v>#REF!</v>
      </c>
      <c r="K6" s="4" t="e">
        <f>#REF!</f>
        <v>#REF!</v>
      </c>
      <c r="L6" s="4" t="e">
        <f>#REF!</f>
        <v>#REF!</v>
      </c>
      <c r="M6" s="4" t="e">
        <f>#REF!</f>
        <v>#REF!</v>
      </c>
    </row>
    <row r="7" spans="1:22" x14ac:dyDescent="0.25">
      <c r="A7" s="5" t="e">
        <f>#REF!</f>
        <v>#REF!</v>
      </c>
      <c r="B7" s="4" t="e">
        <f>#REF!</f>
        <v>#REF!</v>
      </c>
      <c r="C7" s="4" t="e">
        <f>#REF!</f>
        <v>#REF!</v>
      </c>
      <c r="D7" s="4" t="e">
        <f>D6+C7</f>
        <v>#REF!</v>
      </c>
      <c r="E7" s="13" t="e">
        <f>#REF!</f>
        <v>#REF!</v>
      </c>
      <c r="F7" s="13" t="e">
        <f>F6+E7</f>
        <v>#REF!</v>
      </c>
      <c r="G7" s="4">
        <v>106.65</v>
      </c>
      <c r="H7" s="4" t="e">
        <f>F7*G7</f>
        <v>#REF!</v>
      </c>
      <c r="I7" s="4" t="e">
        <f>H7-D7</f>
        <v>#REF!</v>
      </c>
      <c r="J7" s="4" t="e">
        <f>(H7-D7)*100/D7</f>
        <v>#REF!</v>
      </c>
      <c r="K7" s="4" t="e">
        <f>#REF!</f>
        <v>#REF!</v>
      </c>
      <c r="L7" s="4" t="e">
        <f>#REF!</f>
        <v>#REF!</v>
      </c>
      <c r="M7" s="4" t="e">
        <f>#REF!</f>
        <v>#REF!</v>
      </c>
    </row>
    <row r="8" spans="1:22" x14ac:dyDescent="0.25">
      <c r="A8" s="34" t="e">
        <f>#REF!</f>
        <v>#REF!</v>
      </c>
      <c r="B8" s="14" t="e">
        <f>#REF!</f>
        <v>#REF!</v>
      </c>
      <c r="C8" s="14" t="e">
        <f>#REF!</f>
        <v>#REF!</v>
      </c>
      <c r="D8" s="14" t="e">
        <f>D7+C8</f>
        <v>#REF!</v>
      </c>
      <c r="E8" s="15" t="e">
        <f>#REF!</f>
        <v>#REF!</v>
      </c>
      <c r="F8" s="15" t="e">
        <f>F7+E8</f>
        <v>#REF!</v>
      </c>
      <c r="G8" s="14">
        <v>102.74</v>
      </c>
      <c r="H8" s="14" t="e">
        <f>F8*G8</f>
        <v>#REF!</v>
      </c>
      <c r="I8" s="14" t="e">
        <f>H8-D8</f>
        <v>#REF!</v>
      </c>
      <c r="J8" s="14" t="e">
        <f>(H8-D8)*100/D8</f>
        <v>#REF!</v>
      </c>
      <c r="K8" s="14" t="e">
        <f>#REF!</f>
        <v>#REF!</v>
      </c>
      <c r="L8" s="14" t="e">
        <f>#REF!</f>
        <v>#REF!</v>
      </c>
      <c r="M8" s="14" t="e">
        <f>#REF!</f>
        <v>#REF!</v>
      </c>
    </row>
  </sheetData>
  <mergeCells count="13">
    <mergeCell ref="A3:A4"/>
    <mergeCell ref="B3:D3"/>
    <mergeCell ref="E3:F3"/>
    <mergeCell ref="G3:J3"/>
    <mergeCell ref="U3:V3"/>
    <mergeCell ref="K3:L3"/>
    <mergeCell ref="M3:M4"/>
    <mergeCell ref="O3:O4"/>
    <mergeCell ref="P3:P4"/>
    <mergeCell ref="Q3:Q4"/>
    <mergeCell ref="R3:R4"/>
    <mergeCell ref="S3:S4"/>
    <mergeCell ref="T3:T4"/>
  </mergeCells>
  <pageMargins left="0.7" right="0.7" top="0.75" bottom="0.75" header="0.3" footer="0.3"/>
  <pageSetup orientation="portrait" r:id="rId1"/>
  <ignoredErrors>
    <ignoredError sqref="E5:E8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V8"/>
  <sheetViews>
    <sheetView workbookViewId="0">
      <pane ySplit="8" topLeftCell="A9" activePane="bottomLeft" state="frozen"/>
      <selection activeCell="E29" sqref="E29"/>
      <selection pane="bottomLeft" activeCell="E29" sqref="E29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2" width="10.7109375" customWidth="1"/>
  </cols>
  <sheetData>
    <row r="1" spans="1:22" x14ac:dyDescent="0.25">
      <c r="A1" s="10" t="s">
        <v>26</v>
      </c>
    </row>
    <row r="3" spans="1:22" x14ac:dyDescent="0.25">
      <c r="A3" s="64" t="s">
        <v>32</v>
      </c>
      <c r="B3" s="62" t="s">
        <v>3</v>
      </c>
      <c r="C3" s="66"/>
      <c r="D3" s="63"/>
      <c r="E3" s="62" t="s">
        <v>1</v>
      </c>
      <c r="F3" s="63"/>
      <c r="G3" s="62" t="s">
        <v>36</v>
      </c>
      <c r="H3" s="66"/>
      <c r="I3" s="66"/>
      <c r="J3" s="63"/>
      <c r="K3" s="67" t="s">
        <v>30</v>
      </c>
      <c r="L3" s="67"/>
      <c r="M3" s="64" t="s">
        <v>39</v>
      </c>
      <c r="O3" s="64" t="s">
        <v>27</v>
      </c>
      <c r="P3" s="64" t="s">
        <v>12</v>
      </c>
      <c r="Q3" s="64" t="s">
        <v>1</v>
      </c>
      <c r="R3" s="64" t="s">
        <v>31</v>
      </c>
      <c r="S3" s="64" t="s">
        <v>6</v>
      </c>
      <c r="T3" s="64" t="s">
        <v>5</v>
      </c>
      <c r="U3" s="62" t="s">
        <v>30</v>
      </c>
      <c r="V3" s="63"/>
    </row>
    <row r="4" spans="1:22" x14ac:dyDescent="0.25">
      <c r="A4" s="65"/>
      <c r="B4" s="3" t="s">
        <v>12</v>
      </c>
      <c r="C4" s="3" t="s">
        <v>38</v>
      </c>
      <c r="D4" s="3" t="s">
        <v>37</v>
      </c>
      <c r="E4" s="3" t="s">
        <v>35</v>
      </c>
      <c r="F4" s="3" t="s">
        <v>34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13</v>
      </c>
      <c r="L4" s="3" t="s">
        <v>28</v>
      </c>
      <c r="M4" s="65"/>
      <c r="O4" s="65"/>
      <c r="P4" s="65"/>
      <c r="Q4" s="65"/>
      <c r="R4" s="65"/>
      <c r="S4" s="65"/>
      <c r="T4" s="65"/>
      <c r="U4" s="3" t="s">
        <v>13</v>
      </c>
      <c r="V4" s="12" t="s">
        <v>28</v>
      </c>
    </row>
    <row r="5" spans="1:22" x14ac:dyDescent="0.25">
      <c r="A5" s="5" t="e">
        <f>#REF!</f>
        <v>#REF!</v>
      </c>
      <c r="B5" s="4" t="e">
        <f>#REF!</f>
        <v>#REF!</v>
      </c>
      <c r="C5" s="4" t="e">
        <f>#REF!</f>
        <v>#REF!</v>
      </c>
      <c r="D5" s="4" t="e">
        <f>C5</f>
        <v>#REF!</v>
      </c>
      <c r="E5" s="13" t="e">
        <f>#REF!</f>
        <v>#REF!</v>
      </c>
      <c r="F5" s="13" t="e">
        <f>E5</f>
        <v>#REF!</v>
      </c>
      <c r="G5" s="4">
        <v>139.58000000000001</v>
      </c>
      <c r="H5" s="4" t="e">
        <f>F5*G5</f>
        <v>#REF!</v>
      </c>
      <c r="I5" s="4" t="e">
        <f>H5-D5</f>
        <v>#REF!</v>
      </c>
      <c r="J5" s="4" t="e">
        <f>(H5-D5)*100/D5</f>
        <v>#REF!</v>
      </c>
      <c r="K5" s="4" t="e">
        <f>#REF!</f>
        <v>#REF!</v>
      </c>
      <c r="L5" s="4" t="e">
        <f>#REF!</f>
        <v>#REF!</v>
      </c>
      <c r="M5" s="4" t="e">
        <f>#REF!</f>
        <v>#REF!</v>
      </c>
      <c r="O5" s="3" t="s">
        <v>2</v>
      </c>
      <c r="P5" s="4" t="e">
        <f>SUM(B5:B45)</f>
        <v>#REF!</v>
      </c>
      <c r="Q5" s="13" t="e">
        <f>SUM(E5:E45)</f>
        <v>#REF!</v>
      </c>
      <c r="R5" s="4" t="e">
        <f>#REF!-#REF!</f>
        <v>#REF!</v>
      </c>
      <c r="S5" s="4" t="e">
        <f>R5-P5</f>
        <v>#REF!</v>
      </c>
      <c r="T5" s="21" t="e">
        <f>(R5-P5)/P5</f>
        <v>#REF!</v>
      </c>
      <c r="U5" s="4" t="e">
        <f>SUM(K5:K8)</f>
        <v>#REF!</v>
      </c>
      <c r="V5" s="4" t="e">
        <f>SUM(L5:L8)</f>
        <v>#REF!</v>
      </c>
    </row>
    <row r="6" spans="1:22" x14ac:dyDescent="0.25">
      <c r="A6" s="5" t="e">
        <f>#REF!</f>
        <v>#REF!</v>
      </c>
      <c r="B6" s="4" t="e">
        <f>#REF!</f>
        <v>#REF!</v>
      </c>
      <c r="C6" s="4" t="e">
        <f>#REF!</f>
        <v>#REF!</v>
      </c>
      <c r="D6" s="4" t="e">
        <f>D5+C6</f>
        <v>#REF!</v>
      </c>
      <c r="E6" s="13" t="e">
        <f>#REF!</f>
        <v>#REF!</v>
      </c>
      <c r="F6" s="13" t="e">
        <f>F5+E6</f>
        <v>#REF!</v>
      </c>
      <c r="G6" s="4">
        <v>148.81</v>
      </c>
      <c r="H6" s="4" t="e">
        <f>F6*G6</f>
        <v>#REF!</v>
      </c>
      <c r="I6" s="4" t="e">
        <f>H6-D6</f>
        <v>#REF!</v>
      </c>
      <c r="J6" s="4" t="e">
        <f>(H6-D6)*100/D6</f>
        <v>#REF!</v>
      </c>
      <c r="K6" s="4" t="e">
        <f>#REF!</f>
        <v>#REF!</v>
      </c>
      <c r="L6" s="4" t="e">
        <f>#REF!</f>
        <v>#REF!</v>
      </c>
      <c r="M6" s="4" t="e">
        <f>#REF!</f>
        <v>#REF!</v>
      </c>
    </row>
    <row r="7" spans="1:22" x14ac:dyDescent="0.25">
      <c r="A7" s="5" t="e">
        <f>#REF!</f>
        <v>#REF!</v>
      </c>
      <c r="B7" s="4" t="e">
        <f>#REF!</f>
        <v>#REF!</v>
      </c>
      <c r="C7" s="4" t="e">
        <f>#REF!</f>
        <v>#REF!</v>
      </c>
      <c r="D7" s="4" t="e">
        <f>D6+C7</f>
        <v>#REF!</v>
      </c>
      <c r="E7" s="13" t="e">
        <f>#REF!</f>
        <v>#REF!</v>
      </c>
      <c r="F7" s="13" t="e">
        <f>F6+E7</f>
        <v>#REF!</v>
      </c>
      <c r="G7" s="4">
        <v>160.88</v>
      </c>
      <c r="H7" s="4" t="e">
        <f>F7*G7</f>
        <v>#REF!</v>
      </c>
      <c r="I7" s="4" t="e">
        <f>H7-D7</f>
        <v>#REF!</v>
      </c>
      <c r="J7" s="4" t="e">
        <f>(H7-D7)*100/D7</f>
        <v>#REF!</v>
      </c>
      <c r="K7" s="4" t="e">
        <f>#REF!</f>
        <v>#REF!</v>
      </c>
      <c r="L7" s="4" t="e">
        <f>#REF!</f>
        <v>#REF!</v>
      </c>
      <c r="M7" s="4" t="e">
        <f>#REF!</f>
        <v>#REF!</v>
      </c>
    </row>
    <row r="8" spans="1:22" x14ac:dyDescent="0.25">
      <c r="A8" s="34" t="e">
        <f>#REF!</f>
        <v>#REF!</v>
      </c>
      <c r="B8" s="14" t="e">
        <f>#REF!</f>
        <v>#REF!</v>
      </c>
      <c r="C8" s="14" t="e">
        <f>#REF!</f>
        <v>#REF!</v>
      </c>
      <c r="D8" s="14" t="e">
        <f>D7+C8</f>
        <v>#REF!</v>
      </c>
      <c r="E8" s="15" t="e">
        <f>#REF!</f>
        <v>#REF!</v>
      </c>
      <c r="F8" s="15" t="e">
        <f>F7+E8</f>
        <v>#REF!</v>
      </c>
      <c r="G8" s="14">
        <v>155.77000000000001</v>
      </c>
      <c r="H8" s="14" t="e">
        <f>F8*G8</f>
        <v>#REF!</v>
      </c>
      <c r="I8" s="14" t="e">
        <f>H8-D8</f>
        <v>#REF!</v>
      </c>
      <c r="J8" s="14" t="e">
        <f>(H8-D8)*100/D8</f>
        <v>#REF!</v>
      </c>
      <c r="K8" s="14" t="e">
        <f>#REF!</f>
        <v>#REF!</v>
      </c>
      <c r="L8" s="14" t="e">
        <f>#REF!</f>
        <v>#REF!</v>
      </c>
      <c r="M8" s="14" t="e">
        <f>#REF!</f>
        <v>#REF!</v>
      </c>
    </row>
  </sheetData>
  <mergeCells count="13">
    <mergeCell ref="A3:A4"/>
    <mergeCell ref="B3:D3"/>
    <mergeCell ref="E3:F3"/>
    <mergeCell ref="G3:J3"/>
    <mergeCell ref="S3:S4"/>
    <mergeCell ref="T3:T4"/>
    <mergeCell ref="U3:V3"/>
    <mergeCell ref="K3:L3"/>
    <mergeCell ref="M3:M4"/>
    <mergeCell ref="O3:O4"/>
    <mergeCell ref="P3:P4"/>
    <mergeCell ref="Q3:Q4"/>
    <mergeCell ref="R3:R4"/>
  </mergeCells>
  <pageMargins left="0.7" right="0.7" top="0.75" bottom="0.75" header="0.3" footer="0.3"/>
  <pageSetup orientation="portrait" r:id="rId1"/>
  <ignoredErrors>
    <ignoredError sqref="E5:E8" 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G36"/>
  <sheetViews>
    <sheetView workbookViewId="0">
      <pane ySplit="11" topLeftCell="A12" activePane="bottomLeft" state="frozen"/>
      <selection pane="bottomLeft" activeCell="M13" sqref="M13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5" width="10.7109375" customWidth="1"/>
    <col min="29" max="30" width="10.7109375" customWidth="1"/>
    <col min="31" max="31" width="15.7109375" customWidth="1"/>
    <col min="32" max="32" width="10.7109375" customWidth="1"/>
  </cols>
  <sheetData>
    <row r="1" spans="1:33" x14ac:dyDescent="0.25">
      <c r="A1" s="10" t="s">
        <v>41</v>
      </c>
    </row>
    <row r="3" spans="1:33" x14ac:dyDescent="0.25">
      <c r="A3" s="64" t="s">
        <v>32</v>
      </c>
      <c r="B3" s="62" t="s">
        <v>3</v>
      </c>
      <c r="C3" s="66"/>
      <c r="D3" s="63"/>
      <c r="E3" s="62" t="s">
        <v>1</v>
      </c>
      <c r="F3" s="63"/>
      <c r="G3" s="62" t="s">
        <v>36</v>
      </c>
      <c r="H3" s="66"/>
      <c r="I3" s="66"/>
      <c r="J3" s="63"/>
      <c r="K3" s="67" t="s">
        <v>30</v>
      </c>
      <c r="L3" s="67"/>
      <c r="M3" s="64" t="s">
        <v>39</v>
      </c>
      <c r="O3" s="64" t="s">
        <v>42</v>
      </c>
      <c r="P3" s="64" t="s">
        <v>12</v>
      </c>
      <c r="Q3" s="64" t="s">
        <v>1</v>
      </c>
      <c r="R3" s="64" t="s">
        <v>31</v>
      </c>
      <c r="S3" s="68" t="s">
        <v>6</v>
      </c>
      <c r="T3" s="68"/>
      <c r="U3" s="68"/>
      <c r="V3" s="62" t="s">
        <v>30</v>
      </c>
      <c r="W3" s="63"/>
      <c r="X3" s="64" t="s">
        <v>39</v>
      </c>
      <c r="Y3" s="64" t="s">
        <v>43</v>
      </c>
      <c r="AC3" s="68" t="s">
        <v>44</v>
      </c>
      <c r="AD3" s="68" t="s">
        <v>0</v>
      </c>
      <c r="AE3" s="68" t="s">
        <v>1</v>
      </c>
      <c r="AF3" s="69" t="s">
        <v>47</v>
      </c>
      <c r="AG3" s="70"/>
    </row>
    <row r="4" spans="1:33" x14ac:dyDescent="0.25">
      <c r="A4" s="65"/>
      <c r="B4" s="3" t="s">
        <v>12</v>
      </c>
      <c r="C4" s="3" t="s">
        <v>38</v>
      </c>
      <c r="D4" s="3" t="s">
        <v>37</v>
      </c>
      <c r="E4" s="3" t="s">
        <v>35</v>
      </c>
      <c r="F4" s="3" t="s">
        <v>34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13</v>
      </c>
      <c r="L4" s="3" t="s">
        <v>28</v>
      </c>
      <c r="M4" s="65"/>
      <c r="O4" s="65"/>
      <c r="P4" s="65"/>
      <c r="Q4" s="65"/>
      <c r="R4" s="65"/>
      <c r="S4" s="38" t="s">
        <v>45</v>
      </c>
      <c r="T4" s="38" t="s">
        <v>5</v>
      </c>
      <c r="U4" s="38" t="s">
        <v>46</v>
      </c>
      <c r="V4" s="3" t="s">
        <v>13</v>
      </c>
      <c r="W4" s="12" t="s">
        <v>28</v>
      </c>
      <c r="X4" s="65"/>
      <c r="Y4" s="65"/>
      <c r="AC4" s="68"/>
      <c r="AD4" s="68"/>
      <c r="AE4" s="68"/>
      <c r="AF4" s="45" t="s">
        <v>32</v>
      </c>
      <c r="AG4" s="46" t="s">
        <v>44</v>
      </c>
    </row>
    <row r="5" spans="1:33" x14ac:dyDescent="0.25">
      <c r="A5" s="36">
        <f>'2026.01'!Q2</f>
        <v>2026.01</v>
      </c>
      <c r="B5" s="4">
        <f>'2026.01'!B15</f>
        <v>100</v>
      </c>
      <c r="C5" s="4">
        <f>'2026.01'!C15</f>
        <v>100</v>
      </c>
      <c r="D5" s="4">
        <f>C5</f>
        <v>100</v>
      </c>
      <c r="E5" s="13">
        <f>'2026.01'!F15</f>
        <v>8.7351502399999994</v>
      </c>
      <c r="F5" s="13">
        <f>E5</f>
        <v>8.7351502399999994</v>
      </c>
      <c r="G5" s="7">
        <v>11.34</v>
      </c>
      <c r="H5" s="4">
        <f t="shared" ref="H5:H10" si="0">F5*G5</f>
        <v>99.056603721599998</v>
      </c>
      <c r="I5" s="4">
        <f t="shared" ref="I5:I10" si="1">H5-D5</f>
        <v>-0.94339627840000162</v>
      </c>
      <c r="J5" s="21">
        <f t="shared" ref="J5:J10" si="2">(H5-D5)/D5</f>
        <v>-9.4339627840000165E-3</v>
      </c>
      <c r="K5" s="4">
        <f>'2026.01'!D15</f>
        <v>0</v>
      </c>
      <c r="L5" s="4">
        <f>'2026.01'!J15</f>
        <v>0</v>
      </c>
      <c r="M5" s="4">
        <f>'2026.01'!O15</f>
        <v>0</v>
      </c>
      <c r="O5" s="3" t="s">
        <v>2</v>
      </c>
      <c r="P5" s="4">
        <f>SUM(B5:B200)</f>
        <v>800</v>
      </c>
      <c r="Q5" s="13">
        <f>SUM(E5:E200)</f>
        <v>66.900983819999993</v>
      </c>
      <c r="R5" s="4">
        <v>0</v>
      </c>
      <c r="S5" s="4">
        <f>R5-P5+X5</f>
        <v>-800</v>
      </c>
      <c r="T5" s="21">
        <f>(R5-P5+X5)/P5</f>
        <v>-1</v>
      </c>
      <c r="U5" s="21">
        <f ca="1">XIRR(AG5:AG40,AF5:AF40)</f>
        <v>0.23278971314430238</v>
      </c>
      <c r="V5" s="4">
        <f>SUM(K5:K200)</f>
        <v>0</v>
      </c>
      <c r="W5" s="4">
        <f>SUM(L5:L200)</f>
        <v>0</v>
      </c>
      <c r="X5" s="4">
        <f>SUM(M5:M200)</f>
        <v>0</v>
      </c>
      <c r="Y5" s="4" cm="1">
        <f t="array" ref="Y5">SUMPRODUCT(IFERROR(AD5:AD200,0),IFERROR(AE5:AE200,0))/SUM(IFERROR(AE5:AE200,0))</f>
        <v>11.942568488494429</v>
      </c>
      <c r="AC5" s="4">
        <f>'2026.01'!$C$19</f>
        <v>100</v>
      </c>
      <c r="AD5" s="4">
        <f>'2026.01'!$E$19</f>
        <v>11.448000006007911</v>
      </c>
      <c r="AE5" s="5">
        <f>'2026.01'!$F$19</f>
        <v>8.7351502399999994</v>
      </c>
      <c r="AF5" s="47">
        <f>'2026.01'!$A$15</f>
        <v>46041</v>
      </c>
      <c r="AG5" s="4">
        <f>'2026.01'!$B$15*-1</f>
        <v>-100</v>
      </c>
    </row>
    <row r="6" spans="1:33" x14ac:dyDescent="0.25">
      <c r="A6" s="36">
        <f>'2026.02'!Q2</f>
        <v>2026.02</v>
      </c>
      <c r="B6" s="4">
        <f>'2026.02'!B15</f>
        <v>100</v>
      </c>
      <c r="C6" s="4">
        <f>'2026.02'!C15</f>
        <v>100</v>
      </c>
      <c r="D6" s="4">
        <f t="shared" ref="D6:D11" si="3">C6+D5</f>
        <v>200</v>
      </c>
      <c r="E6" s="13">
        <f>'2026.02'!F15</f>
        <v>8.7032201899999997</v>
      </c>
      <c r="F6" s="13">
        <f t="shared" ref="F6:F11" si="4">E6+F5</f>
        <v>17.438370429999999</v>
      </c>
      <c r="G6" s="7">
        <v>11.53</v>
      </c>
      <c r="H6" s="4">
        <f t="shared" si="0"/>
        <v>201.06441105789997</v>
      </c>
      <c r="I6" s="4">
        <f t="shared" si="1"/>
        <v>1.0644110578999744</v>
      </c>
      <c r="J6" s="21">
        <f t="shared" si="2"/>
        <v>5.322055289499872E-3</v>
      </c>
      <c r="K6" s="4">
        <f>'2026.02'!D15</f>
        <v>0</v>
      </c>
      <c r="L6" s="4">
        <f>'2026.02'!J15</f>
        <v>0</v>
      </c>
      <c r="M6" s="4">
        <f>'2026.02'!O15</f>
        <v>0</v>
      </c>
      <c r="AC6" s="4">
        <f>'2026.02'!$C$19</f>
        <v>100</v>
      </c>
      <c r="AD6" s="4">
        <f>'2026.02'!$E$19</f>
        <v>11.49000000194181</v>
      </c>
      <c r="AE6" s="5">
        <f>'2026.02'!$F$19</f>
        <v>8.7032201899999997</v>
      </c>
      <c r="AF6" s="47">
        <f>'2026.02'!$A$15</f>
        <v>46072</v>
      </c>
      <c r="AG6" s="4">
        <f>'2026.02'!$B$15*-1</f>
        <v>-100</v>
      </c>
    </row>
    <row r="7" spans="1:33" x14ac:dyDescent="0.25">
      <c r="A7" s="36">
        <f>'2026.03'!Q2</f>
        <v>2026.03</v>
      </c>
      <c r="B7" s="4">
        <f>'2026.03'!B15</f>
        <v>100</v>
      </c>
      <c r="C7" s="4">
        <f>'2026.03'!C15</f>
        <v>100</v>
      </c>
      <c r="D7" s="4">
        <f t="shared" si="3"/>
        <v>300</v>
      </c>
      <c r="E7" s="13">
        <f>'2026.03'!F15</f>
        <v>9.0073860499999991</v>
      </c>
      <c r="F7" s="13">
        <f t="shared" si="4"/>
        <v>26.44575648</v>
      </c>
      <c r="G7" s="7">
        <v>11.05</v>
      </c>
      <c r="H7" s="4">
        <f t="shared" si="0"/>
        <v>292.225609104</v>
      </c>
      <c r="I7" s="4">
        <f t="shared" si="1"/>
        <v>-7.7743908959999999</v>
      </c>
      <c r="J7" s="21">
        <f t="shared" si="2"/>
        <v>-2.591463632E-2</v>
      </c>
      <c r="K7" s="4">
        <f>'2026.03'!D15</f>
        <v>0</v>
      </c>
      <c r="L7" s="4">
        <f>'2026.03'!J15</f>
        <v>0</v>
      </c>
      <c r="M7" s="4">
        <f>'2026.03'!O15</f>
        <v>0</v>
      </c>
      <c r="AC7" s="4">
        <f>'2026.03'!$C$19</f>
        <v>100</v>
      </c>
      <c r="AD7" s="4">
        <f>'2026.03'!$E$19</f>
        <v>11.102000008093359</v>
      </c>
      <c r="AE7" s="5">
        <f>'2026.03'!$F$19</f>
        <v>9.0073860499999991</v>
      </c>
      <c r="AF7" s="47">
        <f>'2026.03'!$A$15</f>
        <v>46101</v>
      </c>
      <c r="AG7" s="4">
        <f>'2026.03'!$B$15*-1</f>
        <v>-100</v>
      </c>
    </row>
    <row r="8" spans="1:33" x14ac:dyDescent="0.25">
      <c r="A8" s="36">
        <f>'2026.04'!$Q$2</f>
        <v>2026.04</v>
      </c>
      <c r="B8" s="4">
        <f>'2026.04'!$B$15</f>
        <v>100</v>
      </c>
      <c r="C8" s="4">
        <f>'2026.04'!$C$15</f>
        <v>100</v>
      </c>
      <c r="D8" s="4">
        <f t="shared" si="3"/>
        <v>400</v>
      </c>
      <c r="E8" s="13">
        <f>'2026.04'!$F$15</f>
        <v>8.6236633299999994</v>
      </c>
      <c r="F8" s="13">
        <f t="shared" si="4"/>
        <v>35.069419809999999</v>
      </c>
      <c r="G8" s="7">
        <v>11.92</v>
      </c>
      <c r="H8" s="4">
        <f t="shared" si="0"/>
        <v>418.02748413519998</v>
      </c>
      <c r="I8" s="4">
        <f t="shared" si="1"/>
        <v>18.027484135199984</v>
      </c>
      <c r="J8" s="21">
        <f t="shared" si="2"/>
        <v>4.5068710337999959E-2</v>
      </c>
      <c r="K8" s="4">
        <f>'2026.04'!$D$15</f>
        <v>0</v>
      </c>
      <c r="L8" s="4">
        <f>'2026.04'!$J$15</f>
        <v>0</v>
      </c>
      <c r="M8" s="4">
        <f>'2026.04'!$O$15</f>
        <v>0</v>
      </c>
      <c r="AC8" s="4">
        <f>'2026.04'!$C$19</f>
        <v>100</v>
      </c>
      <c r="AD8" s="4">
        <f>'2026.04'!$E$19</f>
        <v>11.596000002936108</v>
      </c>
      <c r="AE8" s="5">
        <f>'2026.04'!$F$19</f>
        <v>8.6236633299999994</v>
      </c>
      <c r="AF8" s="47">
        <f>'2026.04'!$A$15</f>
        <v>46131</v>
      </c>
      <c r="AG8" s="4">
        <f>'2026.04'!$B$15*-1</f>
        <v>-100</v>
      </c>
    </row>
    <row r="9" spans="1:33" x14ac:dyDescent="0.25">
      <c r="A9" s="36">
        <f>'2026.05'!$Q$2</f>
        <v>2026.05</v>
      </c>
      <c r="B9" s="4">
        <f>'2026.05'!$B$15</f>
        <v>100</v>
      </c>
      <c r="C9" s="4">
        <f>'2026.05'!$C$15</f>
        <v>100</v>
      </c>
      <c r="D9" s="4">
        <f t="shared" si="3"/>
        <v>500</v>
      </c>
      <c r="E9" s="13">
        <f>'2026.05'!$F$15</f>
        <v>8.1859855899999996</v>
      </c>
      <c r="F9" s="13">
        <f t="shared" si="4"/>
        <v>43.255405400000001</v>
      </c>
      <c r="G9" s="7">
        <v>12.584</v>
      </c>
      <c r="H9" s="4">
        <f t="shared" si="0"/>
        <v>544.32602155359996</v>
      </c>
      <c r="I9" s="4">
        <f t="shared" si="1"/>
        <v>44.326021553599958</v>
      </c>
      <c r="J9" s="21">
        <f t="shared" si="2"/>
        <v>8.8652043107199915E-2</v>
      </c>
      <c r="K9" s="4">
        <f>'2026.05'!$D$15</f>
        <v>0</v>
      </c>
      <c r="L9" s="4">
        <f>'2026.05'!$J$15</f>
        <v>0</v>
      </c>
      <c r="M9" s="4">
        <f>'2026.05'!$O$15</f>
        <v>0</v>
      </c>
      <c r="AC9" s="4">
        <f>'2026.05'!$C$19</f>
        <v>100</v>
      </c>
      <c r="AD9" s="4">
        <f>'2026.05'!$E$19</f>
        <v>12.21600000397753</v>
      </c>
      <c r="AE9" s="5">
        <f>'2026.05'!$F$19</f>
        <v>8.1859855899999996</v>
      </c>
      <c r="AF9" s="47">
        <f>'2026.05'!$A$15</f>
        <v>46161</v>
      </c>
      <c r="AG9" s="4">
        <f>'2026.05'!$B$15*-1</f>
        <v>-100</v>
      </c>
    </row>
    <row r="10" spans="1:33" x14ac:dyDescent="0.25">
      <c r="A10" s="36">
        <f>'2026.06'!$Q$2</f>
        <v>2026.06</v>
      </c>
      <c r="B10" s="4">
        <f>'2026.06'!$B$15</f>
        <v>100</v>
      </c>
      <c r="C10" s="4">
        <f>'2026.06'!$C$15</f>
        <v>100</v>
      </c>
      <c r="D10" s="4">
        <f t="shared" si="3"/>
        <v>600</v>
      </c>
      <c r="E10" s="13">
        <f>'2026.06'!$F$15</f>
        <v>8.05542129</v>
      </c>
      <c r="F10" s="13">
        <f t="shared" si="4"/>
        <v>51.310826689999999</v>
      </c>
      <c r="G10" s="53">
        <v>12.78</v>
      </c>
      <c r="H10" s="4">
        <f t="shared" si="0"/>
        <v>655.7523650981999</v>
      </c>
      <c r="I10" s="4">
        <f t="shared" si="1"/>
        <v>55.752365098199903</v>
      </c>
      <c r="J10" s="21">
        <f t="shared" si="2"/>
        <v>9.2920608496999832E-2</v>
      </c>
      <c r="K10" s="4">
        <f>'2026.06'!$D$15</f>
        <v>0</v>
      </c>
      <c r="L10" s="4">
        <f>'2026.06'!$J$15</f>
        <v>0</v>
      </c>
      <c r="M10" s="4">
        <f>'2026.06'!$O$15</f>
        <v>0</v>
      </c>
      <c r="AC10" s="4">
        <f>'2026.06'!$C$19</f>
        <v>100</v>
      </c>
      <c r="AD10" s="4">
        <f>'2026.06'!$E$19</f>
        <v>12.414000013151393</v>
      </c>
      <c r="AE10" s="5">
        <f>'2026.06'!$F$19</f>
        <v>8.05542129</v>
      </c>
      <c r="AF10" s="47">
        <f>'2026.06'!$A$15</f>
        <v>46180</v>
      </c>
      <c r="AG10" s="4">
        <f>'2026.06'!$B$15*-1</f>
        <v>-100</v>
      </c>
    </row>
    <row r="11" spans="1:33" x14ac:dyDescent="0.25">
      <c r="A11" s="36">
        <f>'2026.07'!$Q$2</f>
        <v>2026.07</v>
      </c>
      <c r="B11" s="4">
        <f>'2026.07'!$B$15</f>
        <v>100</v>
      </c>
      <c r="C11" s="4">
        <f>'2026.07'!$C$15</f>
        <v>100</v>
      </c>
      <c r="D11" s="4">
        <f t="shared" si="3"/>
        <v>700</v>
      </c>
      <c r="E11" s="13">
        <f>'2026.07'!$F$15</f>
        <v>7.8382191499999996</v>
      </c>
      <c r="F11" s="13">
        <f t="shared" si="4"/>
        <v>59.149045839999999</v>
      </c>
      <c r="G11" s="53">
        <v>12.592000000000001</v>
      </c>
      <c r="H11" s="4">
        <f t="shared" ref="H11" si="5">F11*G11</f>
        <v>744.80478521728003</v>
      </c>
      <c r="I11" s="4">
        <f t="shared" ref="I11" si="6">H11-D11</f>
        <v>44.804785217280028</v>
      </c>
      <c r="J11" s="21">
        <f t="shared" ref="J11" si="7">(H11-D11)/D11</f>
        <v>6.4006836024685751E-2</v>
      </c>
      <c r="K11" s="4">
        <f>'2026.07'!$D$15</f>
        <v>0</v>
      </c>
      <c r="L11" s="4">
        <f>'2026.07'!$J$15</f>
        <v>0</v>
      </c>
      <c r="M11" s="4">
        <f>'2026.07'!$O$15</f>
        <v>0</v>
      </c>
      <c r="AC11" s="4">
        <f>'2026.07'!$C$19</f>
        <v>100</v>
      </c>
      <c r="AD11" s="4">
        <f>'2026.07'!$E$19</f>
        <v>12.758000010754994</v>
      </c>
      <c r="AE11" s="5">
        <f>'2026.07'!$F$19</f>
        <v>7.8382191499999996</v>
      </c>
      <c r="AF11" s="47">
        <f>'2026.07'!$A$15</f>
        <v>46218</v>
      </c>
      <c r="AG11" s="4">
        <f>'2026.07'!$B$15*-1</f>
        <v>-100</v>
      </c>
    </row>
    <row r="12" spans="1:33" x14ac:dyDescent="0.25">
      <c r="A12" s="36">
        <f>'2026.08'!$Q$2</f>
        <v>2026.08</v>
      </c>
      <c r="B12" s="4">
        <f>'2026.08'!$B$15</f>
        <v>100</v>
      </c>
      <c r="C12" s="4">
        <f>'2026.08'!$C$15</f>
        <v>100</v>
      </c>
      <c r="D12" s="4">
        <f t="shared" ref="D12" si="8">C12+D11</f>
        <v>800</v>
      </c>
      <c r="E12" s="13">
        <f>'2026.08'!$F$15</f>
        <v>7.7519379800000001</v>
      </c>
      <c r="F12" s="13">
        <f t="shared" ref="F12" si="9">E12+F11</f>
        <v>66.900983819999993</v>
      </c>
      <c r="G12" s="53">
        <v>12.86</v>
      </c>
      <c r="H12" s="4">
        <f t="shared" ref="H12" si="10">F12*G12</f>
        <v>860.34665192519992</v>
      </c>
      <c r="I12" s="4">
        <f t="shared" ref="I12" si="11">H12-D12</f>
        <v>60.346651925199922</v>
      </c>
      <c r="J12" s="21">
        <f t="shared" ref="J12" si="12">(H12-D12)/D12</f>
        <v>7.5433314906499904E-2</v>
      </c>
      <c r="K12" s="4">
        <f>'2026.08'!$D$15</f>
        <v>0</v>
      </c>
      <c r="L12" s="4">
        <f>'2026.08'!$J$15</f>
        <v>0</v>
      </c>
      <c r="M12" s="4">
        <f>'2026.08'!$O$15</f>
        <v>0</v>
      </c>
      <c r="AC12" s="4">
        <f>'2026.07'!$C$19</f>
        <v>100</v>
      </c>
      <c r="AD12" s="4">
        <f>'2026.07'!$E$19</f>
        <v>12.758000010754994</v>
      </c>
      <c r="AE12" s="5">
        <f>'2026.07'!$F$19</f>
        <v>7.8382191499999996</v>
      </c>
      <c r="AF12" s="47">
        <f>'2026.07'!$A$15</f>
        <v>46218</v>
      </c>
      <c r="AG12" s="4">
        <f>'2026.07'!$B$15*-1</f>
        <v>-100</v>
      </c>
    </row>
    <row r="13" spans="1:33" x14ac:dyDescent="0.25">
      <c r="A13" s="2"/>
      <c r="B13" s="4"/>
      <c r="C13" s="4"/>
      <c r="D13" s="4"/>
      <c r="E13" s="7"/>
      <c r="F13" s="7"/>
      <c r="G13" s="6"/>
      <c r="H13" s="4"/>
      <c r="I13" s="4"/>
      <c r="J13" s="4"/>
      <c r="K13" s="2"/>
      <c r="L13" s="2"/>
      <c r="M13" s="2"/>
      <c r="AC13" s="4"/>
      <c r="AD13" s="4"/>
      <c r="AE13" s="13"/>
      <c r="AF13" s="47"/>
      <c r="AG13" s="4"/>
    </row>
    <row r="14" spans="1:33" x14ac:dyDescent="0.25">
      <c r="A14" s="2"/>
      <c r="B14" s="4"/>
      <c r="C14" s="4"/>
      <c r="D14" s="4"/>
      <c r="E14" s="7"/>
      <c r="F14" s="7"/>
      <c r="G14" s="6"/>
      <c r="H14" s="4"/>
      <c r="I14" s="4"/>
      <c r="J14" s="4"/>
      <c r="K14" s="2"/>
      <c r="L14" s="2"/>
      <c r="M14" s="2"/>
      <c r="AC14" s="4"/>
      <c r="AD14" s="4"/>
      <c r="AE14" s="5"/>
      <c r="AF14" s="47"/>
      <c r="AG14" s="4"/>
    </row>
    <row r="15" spans="1:33" x14ac:dyDescent="0.25">
      <c r="A15" s="2"/>
      <c r="B15" s="4"/>
      <c r="C15" s="4"/>
      <c r="D15" s="4"/>
      <c r="E15" s="7"/>
      <c r="F15" s="7"/>
      <c r="G15" s="6"/>
      <c r="H15" s="4"/>
      <c r="I15" s="4"/>
      <c r="J15" s="4"/>
      <c r="K15" s="2"/>
      <c r="L15" s="2"/>
      <c r="M15" s="2"/>
      <c r="AC15" s="4"/>
      <c r="AD15" s="4"/>
      <c r="AE15" s="5"/>
      <c r="AF15" s="47"/>
      <c r="AG15" s="4"/>
    </row>
    <row r="16" spans="1:33" x14ac:dyDescent="0.25">
      <c r="A16" s="2"/>
      <c r="B16" s="4"/>
      <c r="C16" s="4"/>
      <c r="D16" s="4"/>
      <c r="E16" s="7"/>
      <c r="F16" s="7"/>
      <c r="G16" s="6"/>
      <c r="H16" s="4"/>
      <c r="I16" s="4"/>
      <c r="J16" s="4"/>
      <c r="K16" s="2"/>
      <c r="L16" s="2"/>
      <c r="M16" s="2"/>
      <c r="AC16" s="5"/>
      <c r="AD16" s="5"/>
      <c r="AE16" s="5"/>
      <c r="AF16" s="47"/>
      <c r="AG16" s="4"/>
    </row>
    <row r="17" spans="1:33" x14ac:dyDescent="0.25">
      <c r="A17" s="2"/>
      <c r="B17" s="4"/>
      <c r="C17" s="4"/>
      <c r="D17" s="4"/>
      <c r="E17" s="7"/>
      <c r="F17" s="7"/>
      <c r="G17" s="6"/>
      <c r="H17" s="4"/>
      <c r="I17" s="4"/>
      <c r="J17" s="4"/>
      <c r="K17" s="2"/>
      <c r="L17" s="2"/>
      <c r="M17" s="2"/>
      <c r="AC17" s="5"/>
      <c r="AD17" s="5"/>
      <c r="AE17" s="5"/>
      <c r="AF17" s="47"/>
      <c r="AG17" s="4"/>
    </row>
    <row r="18" spans="1:33" x14ac:dyDescent="0.25">
      <c r="A18" s="2"/>
      <c r="B18" s="4"/>
      <c r="C18" s="4"/>
      <c r="D18" s="4"/>
      <c r="E18" s="7"/>
      <c r="F18" s="7"/>
      <c r="G18" s="6"/>
      <c r="H18" s="4"/>
      <c r="I18" s="4"/>
      <c r="J18" s="4"/>
      <c r="K18" s="2"/>
      <c r="L18" s="2"/>
      <c r="M18" s="2"/>
      <c r="AC18" s="5"/>
      <c r="AD18" s="5"/>
      <c r="AE18" s="5"/>
      <c r="AF18" s="47"/>
      <c r="AG18" s="4"/>
    </row>
    <row r="19" spans="1:33" x14ac:dyDescent="0.25">
      <c r="A19" s="2"/>
      <c r="B19" s="4"/>
      <c r="C19" s="4"/>
      <c r="D19" s="4"/>
      <c r="E19" s="7"/>
      <c r="F19" s="7"/>
      <c r="G19" s="6"/>
      <c r="H19" s="4"/>
      <c r="I19" s="4"/>
      <c r="J19" s="4"/>
      <c r="K19" s="2"/>
      <c r="L19" s="2"/>
      <c r="M19" s="2"/>
      <c r="AC19" s="5"/>
      <c r="AD19" s="5"/>
      <c r="AE19" s="5"/>
      <c r="AF19" s="47"/>
      <c r="AG19" s="4"/>
    </row>
    <row r="20" spans="1:33" x14ac:dyDescent="0.25">
      <c r="A20" s="2"/>
      <c r="B20" s="4"/>
      <c r="C20" s="4"/>
      <c r="D20" s="4"/>
      <c r="E20" s="7"/>
      <c r="F20" s="7"/>
      <c r="G20" s="6"/>
      <c r="H20" s="4"/>
      <c r="I20" s="4"/>
      <c r="J20" s="4"/>
      <c r="K20" s="2"/>
      <c r="L20" s="2"/>
      <c r="M20" s="2"/>
      <c r="AC20" s="5"/>
      <c r="AD20" s="5"/>
      <c r="AE20" s="5"/>
      <c r="AF20" s="47"/>
      <c r="AG20" s="4"/>
    </row>
    <row r="21" spans="1:33" x14ac:dyDescent="0.25">
      <c r="A21" s="2"/>
      <c r="B21" s="4"/>
      <c r="C21" s="4"/>
      <c r="D21" s="4"/>
      <c r="E21" s="7"/>
      <c r="F21" s="7"/>
      <c r="G21" s="6"/>
      <c r="H21" s="4"/>
      <c r="I21" s="4"/>
      <c r="J21" s="4"/>
      <c r="K21" s="2"/>
      <c r="L21" s="2"/>
      <c r="M21" s="2"/>
      <c r="AC21" s="5"/>
      <c r="AD21" s="5"/>
      <c r="AE21" s="5"/>
      <c r="AF21" s="47"/>
      <c r="AG21" s="4"/>
    </row>
    <row r="22" spans="1:33" x14ac:dyDescent="0.25">
      <c r="AC22" s="5"/>
      <c r="AD22" s="5"/>
      <c r="AE22" s="5"/>
      <c r="AF22" s="47"/>
      <c r="AG22" s="4"/>
    </row>
    <row r="23" spans="1:33" x14ac:dyDescent="0.25">
      <c r="AC23" s="5"/>
      <c r="AD23" s="5"/>
      <c r="AE23" s="5"/>
      <c r="AF23" s="47"/>
      <c r="AG23" s="4"/>
    </row>
    <row r="24" spans="1:33" x14ac:dyDescent="0.25">
      <c r="AC24" s="5"/>
      <c r="AD24" s="5"/>
      <c r="AE24" s="5"/>
      <c r="AF24" s="47"/>
      <c r="AG24" s="4"/>
    </row>
    <row r="25" spans="1:33" x14ac:dyDescent="0.25">
      <c r="AC25" s="5"/>
      <c r="AD25" s="5"/>
      <c r="AE25" s="5"/>
      <c r="AF25" s="47"/>
      <c r="AG25" s="4"/>
    </row>
    <row r="26" spans="1:33" x14ac:dyDescent="0.25">
      <c r="AC26" s="5"/>
      <c r="AD26" s="5"/>
      <c r="AE26" s="5"/>
      <c r="AF26" s="47"/>
      <c r="AG26" s="4"/>
    </row>
    <row r="27" spans="1:33" x14ac:dyDescent="0.25">
      <c r="AC27" s="5"/>
      <c r="AD27" s="5"/>
      <c r="AE27" s="5"/>
      <c r="AF27" s="47"/>
      <c r="AG27" s="4"/>
    </row>
    <row r="28" spans="1:33" x14ac:dyDescent="0.25">
      <c r="AC28" s="5"/>
      <c r="AD28" s="5"/>
      <c r="AE28" s="5"/>
      <c r="AF28" s="47"/>
      <c r="AG28" s="4"/>
    </row>
    <row r="29" spans="1:33" x14ac:dyDescent="0.25">
      <c r="AC29" s="5"/>
      <c r="AD29" s="5"/>
      <c r="AE29" s="5"/>
      <c r="AF29" s="47"/>
      <c r="AG29" s="4"/>
    </row>
    <row r="30" spans="1:33" x14ac:dyDescent="0.25">
      <c r="AC30" s="5"/>
      <c r="AD30" s="5"/>
      <c r="AE30" s="5"/>
      <c r="AF30" s="47"/>
      <c r="AG30" s="4"/>
    </row>
    <row r="31" spans="1:33" x14ac:dyDescent="0.25">
      <c r="AC31" s="5"/>
      <c r="AD31" s="5"/>
      <c r="AE31" s="5"/>
      <c r="AF31" s="47"/>
      <c r="AG31" s="4"/>
    </row>
    <row r="32" spans="1:33" x14ac:dyDescent="0.25">
      <c r="AC32" s="5"/>
      <c r="AD32" s="5"/>
      <c r="AE32" s="5"/>
      <c r="AF32" s="47"/>
      <c r="AG32" s="4"/>
    </row>
    <row r="33" spans="29:33" x14ac:dyDescent="0.25">
      <c r="AC33" s="5"/>
      <c r="AD33" s="5"/>
      <c r="AE33" s="5"/>
      <c r="AF33" s="47"/>
      <c r="AG33" s="4"/>
    </row>
    <row r="34" spans="29:33" x14ac:dyDescent="0.25">
      <c r="AC34" s="5"/>
      <c r="AD34" s="5"/>
      <c r="AE34" s="5"/>
      <c r="AF34" s="47"/>
      <c r="AG34" s="4"/>
    </row>
    <row r="35" spans="29:33" x14ac:dyDescent="0.25">
      <c r="AC35" s="5"/>
      <c r="AD35" s="5"/>
      <c r="AE35" s="5"/>
      <c r="AF35" s="47"/>
      <c r="AG35" s="4"/>
    </row>
    <row r="36" spans="29:33" x14ac:dyDescent="0.25">
      <c r="AC36" s="5"/>
      <c r="AD36" s="5"/>
      <c r="AE36" s="5"/>
      <c r="AF36" s="47">
        <f ca="1">TODAY()</f>
        <v>46266</v>
      </c>
      <c r="AG36" s="4" cm="1">
        <f t="array" ref="AG36">LOOKUP(2,1/(H:H&gt;0),H:H)</f>
        <v>860.34665192519992</v>
      </c>
    </row>
  </sheetData>
  <mergeCells count="18">
    <mergeCell ref="V3:W3"/>
    <mergeCell ref="O3:O4"/>
    <mergeCell ref="P3:P4"/>
    <mergeCell ref="Q3:Q4"/>
    <mergeCell ref="R3:R4"/>
    <mergeCell ref="S3:U3"/>
    <mergeCell ref="M3:M4"/>
    <mergeCell ref="A3:A4"/>
    <mergeCell ref="B3:D3"/>
    <mergeCell ref="E3:F3"/>
    <mergeCell ref="G3:J3"/>
    <mergeCell ref="K3:L3"/>
    <mergeCell ref="AC3:AC4"/>
    <mergeCell ref="AD3:AD4"/>
    <mergeCell ref="AE3:AE4"/>
    <mergeCell ref="X3:X4"/>
    <mergeCell ref="AF3:AG3"/>
    <mergeCell ref="Y3:Y4"/>
  </mergeCells>
  <hyperlinks>
    <hyperlink ref="A5" location="'2026.01'!A1" display="'2026.01'!A1" xr:uid="{BAF6215B-37D5-4AB2-9B9C-F1057A1F97E5}"/>
    <hyperlink ref="A6" location="'2026.02'!A1" display="'2026.02'!A1" xr:uid="{2D8FE545-D9BF-484A-9307-911C90A9ADD6}"/>
    <hyperlink ref="A7" location="'2026.03'!A1" display="'2026.03'!A1" xr:uid="{27C32A66-C9F0-41D4-9F35-344010ADB510}"/>
    <hyperlink ref="A8" location="'2026.04'!A1" display="'2026.04'!A1" xr:uid="{13C873FF-87A6-46B2-8891-6C0574128C07}"/>
    <hyperlink ref="A9" location="'2026.05'!A1" display="'2026.05'!A1" xr:uid="{E2054D31-1D52-46BB-B8EA-FBB4811DE31D}"/>
    <hyperlink ref="A10" location="'2026.06'!A1" display="'2026.06'!A1" xr:uid="{F3608F29-46AC-4471-94DD-E0C306FF3FA3}"/>
    <hyperlink ref="A11" location="'2026.07'!A1" display="'2026.07'!A1" xr:uid="{D0DD87A1-01F2-4AC6-948E-9098F2EEF6C1}"/>
    <hyperlink ref="A12" location="'2026.08'!A1" display="'2026.08'!A1" xr:uid="{08493110-847F-414B-BF99-AD3F9DD09E97}"/>
  </hyperlinks>
  <pageMargins left="0.7" right="0.7" top="0.75" bottom="0.75" header="0.3" footer="0.3"/>
  <pageSetup orientation="portrait" r:id="rId1"/>
  <ignoredErrors>
    <ignoredError sqref="E5:E12" formula="1"/>
  </ignoredError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F0C49-1D2F-4997-8556-A5B08EA369F6}">
  <dimension ref="A2:X27"/>
  <sheetViews>
    <sheetView workbookViewId="0">
      <selection activeCell="G24" sqref="G24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80">
        <v>2026.08</v>
      </c>
      <c r="R2" s="81"/>
      <c r="S2" s="81"/>
      <c r="T2" s="81"/>
      <c r="U2" s="81"/>
      <c r="V2" s="81"/>
      <c r="W2" s="81"/>
      <c r="X2" s="82"/>
    </row>
    <row r="3" spans="1:24" x14ac:dyDescent="0.25">
      <c r="Q3" s="83" t="s">
        <v>12</v>
      </c>
      <c r="R3" s="83" t="s">
        <v>33</v>
      </c>
      <c r="S3" s="83" t="s">
        <v>9</v>
      </c>
      <c r="T3" s="83" t="s">
        <v>31</v>
      </c>
      <c r="U3" s="84" t="s">
        <v>30</v>
      </c>
      <c r="V3" s="85"/>
      <c r="W3" s="68" t="s">
        <v>39</v>
      </c>
      <c r="X3" s="68" t="s">
        <v>40</v>
      </c>
    </row>
    <row r="4" spans="1:24" x14ac:dyDescent="0.25">
      <c r="Q4" s="65"/>
      <c r="R4" s="65"/>
      <c r="S4" s="65"/>
      <c r="T4" s="65"/>
      <c r="U4" s="16" t="s">
        <v>13</v>
      </c>
      <c r="V4" s="12" t="s">
        <v>28</v>
      </c>
      <c r="W4" s="68"/>
      <c r="X4" s="68"/>
    </row>
    <row r="5" spans="1:24" x14ac:dyDescent="0.25">
      <c r="Q5" s="4">
        <v>100</v>
      </c>
      <c r="R5" s="4">
        <v>0</v>
      </c>
      <c r="S5" s="4">
        <f>(C19+C29+C39+C49+C59+C69+C79+C89+C99+C109)</f>
        <v>100</v>
      </c>
      <c r="T5" s="4">
        <f>(I19+I29+I39+I49+I59+I69+I79+I89+I99+I109)-V5</f>
        <v>0</v>
      </c>
      <c r="U5" s="4">
        <f>D19+D29+D39+D49+D59+D69+D79+D89+D99+D109</f>
        <v>0</v>
      </c>
      <c r="V5" s="4">
        <f>J19+J29+J39+J49+J59+J69+J79+J89+J99+J109</f>
        <v>0</v>
      </c>
      <c r="W5" s="4">
        <f>O19+O29+O39+O49+O59+O69+O79+O89+O99+O109</f>
        <v>0</v>
      </c>
      <c r="X5" s="4">
        <f>Q5-S5-U5</f>
        <v>0</v>
      </c>
    </row>
    <row r="12" spans="1:24" x14ac:dyDescent="0.25">
      <c r="A12" s="71" t="s">
        <v>41</v>
      </c>
      <c r="B12" s="72"/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3"/>
      <c r="N12" s="72"/>
      <c r="O12" s="74"/>
    </row>
    <row r="13" spans="1:24" x14ac:dyDescent="0.25">
      <c r="A13" s="62" t="s">
        <v>13</v>
      </c>
      <c r="B13" s="66"/>
      <c r="C13" s="66"/>
      <c r="D13" s="66"/>
      <c r="E13" s="66"/>
      <c r="F13" s="63"/>
      <c r="G13" s="75"/>
      <c r="H13" s="78" t="s">
        <v>28</v>
      </c>
      <c r="I13" s="79"/>
      <c r="J13" s="79"/>
      <c r="K13" s="79"/>
      <c r="L13" s="79"/>
      <c r="M13" s="30"/>
      <c r="N13" s="62" t="s">
        <v>39</v>
      </c>
      <c r="O13" s="63"/>
      <c r="P13" s="20"/>
    </row>
    <row r="14" spans="1:24" x14ac:dyDescent="0.25">
      <c r="A14" s="57" t="s">
        <v>32</v>
      </c>
      <c r="B14" s="56" t="s">
        <v>3</v>
      </c>
      <c r="C14" s="56" t="s">
        <v>8</v>
      </c>
      <c r="D14" s="56" t="s">
        <v>7</v>
      </c>
      <c r="E14" s="56" t="s">
        <v>0</v>
      </c>
      <c r="F14" s="56" t="s">
        <v>1</v>
      </c>
      <c r="G14" s="76"/>
      <c r="H14" s="56" t="s">
        <v>32</v>
      </c>
      <c r="I14" s="56" t="s">
        <v>29</v>
      </c>
      <c r="J14" s="56" t="s">
        <v>7</v>
      </c>
      <c r="K14" s="56" t="s">
        <v>0</v>
      </c>
      <c r="L14" s="54" t="s">
        <v>1</v>
      </c>
      <c r="M14" s="31"/>
      <c r="N14" s="55" t="s">
        <v>32</v>
      </c>
      <c r="O14" s="56" t="s">
        <v>29</v>
      </c>
      <c r="P14" s="20"/>
    </row>
    <row r="15" spans="1:24" x14ac:dyDescent="0.25">
      <c r="A15" s="41">
        <v>46252</v>
      </c>
      <c r="B15" s="11">
        <v>100</v>
      </c>
      <c r="C15" s="4">
        <v>100</v>
      </c>
      <c r="D15" s="4">
        <v>0</v>
      </c>
      <c r="E15" s="11">
        <f>C15/F15</f>
        <v>12.900000007481999</v>
      </c>
      <c r="F15" s="13">
        <v>7.7519379800000001</v>
      </c>
      <c r="G15" s="76"/>
      <c r="H15" s="5"/>
      <c r="I15" s="5"/>
      <c r="J15" s="4"/>
      <c r="K15" s="4"/>
      <c r="L15" s="24"/>
      <c r="M15" s="58"/>
      <c r="N15" s="25"/>
      <c r="O15" s="4"/>
      <c r="P15" s="1"/>
    </row>
    <row r="16" spans="1:24" x14ac:dyDescent="0.25">
      <c r="A16" s="43"/>
      <c r="B16" s="4"/>
      <c r="C16" s="5"/>
      <c r="D16" s="5"/>
      <c r="E16" s="5"/>
      <c r="F16" s="7"/>
      <c r="G16" s="76"/>
      <c r="H16" s="5"/>
      <c r="I16" s="2"/>
      <c r="J16" s="2"/>
      <c r="K16" s="2"/>
      <c r="L16" s="27"/>
      <c r="M16" s="32"/>
      <c r="N16" s="29"/>
      <c r="O16" s="2"/>
    </row>
    <row r="17" spans="1:18" ht="15" customHeight="1" x14ac:dyDescent="0.3">
      <c r="A17" s="44"/>
      <c r="B17" s="4"/>
      <c r="C17" s="5"/>
      <c r="D17" s="5"/>
      <c r="E17" s="5"/>
      <c r="F17" s="7"/>
      <c r="G17" s="76"/>
      <c r="H17" s="5"/>
      <c r="I17" s="2"/>
      <c r="J17" s="2"/>
      <c r="K17" s="2"/>
      <c r="L17" s="27"/>
      <c r="M17" s="32"/>
      <c r="N17" s="29"/>
      <c r="O17" s="2"/>
    </row>
    <row r="18" spans="1:18" ht="15" customHeight="1" x14ac:dyDescent="0.3">
      <c r="A18" s="44"/>
      <c r="B18" s="4"/>
      <c r="C18" s="5"/>
      <c r="D18" s="5"/>
      <c r="E18" s="5"/>
      <c r="F18" s="5"/>
      <c r="G18" s="76"/>
      <c r="H18" s="5"/>
      <c r="I18" s="2"/>
      <c r="J18" s="2"/>
      <c r="K18" s="2"/>
      <c r="L18" s="27"/>
      <c r="M18" s="32"/>
      <c r="N18" s="29"/>
      <c r="O18" s="2"/>
    </row>
    <row r="19" spans="1:18" x14ac:dyDescent="0.25">
      <c r="A19" s="56" t="s">
        <v>2</v>
      </c>
      <c r="B19" s="4">
        <f>SUM(B15:B18)</f>
        <v>100</v>
      </c>
      <c r="C19" s="4">
        <f>SUM(C15:C18)</f>
        <v>100</v>
      </c>
      <c r="D19" s="4">
        <f>SUM(D15:D18)</f>
        <v>0</v>
      </c>
      <c r="E19" s="4">
        <f>IF(B19&gt;0,SUMPRODUCT(E15:E18,F15:F18)/SUM(F15:F18),"0.00")</f>
        <v>12.900000007481999</v>
      </c>
      <c r="F19" s="13">
        <f>SUM(F15:F18)</f>
        <v>7.7519379800000001</v>
      </c>
      <c r="G19" s="77"/>
      <c r="H19" s="56" t="s">
        <v>2</v>
      </c>
      <c r="I19" s="4">
        <f>SUM(I15:I18)</f>
        <v>0</v>
      </c>
      <c r="J19" s="4">
        <f t="shared" ref="J19:L19" si="0">SUM(J15:J18)</f>
        <v>0</v>
      </c>
      <c r="K19" s="5"/>
      <c r="L19" s="28">
        <f t="shared" si="0"/>
        <v>0</v>
      </c>
      <c r="M19" s="33"/>
      <c r="N19" s="56" t="s">
        <v>2</v>
      </c>
      <c r="O19" s="4">
        <f>SUM(O15:O18)</f>
        <v>0</v>
      </c>
      <c r="P19" s="1"/>
    </row>
    <row r="20" spans="1:18" x14ac:dyDescent="0.25">
      <c r="B20" s="8"/>
      <c r="E20" s="1"/>
      <c r="F20" s="9"/>
      <c r="G20" s="9"/>
      <c r="H20" s="9"/>
      <c r="I20" s="9"/>
      <c r="J20" s="9"/>
      <c r="K20" s="9"/>
    </row>
    <row r="25" spans="1:18" x14ac:dyDescent="0.25">
      <c r="R25" s="1"/>
    </row>
    <row r="27" spans="1:18" x14ac:dyDescent="0.25">
      <c r="J27" s="1"/>
    </row>
  </sheetData>
  <mergeCells count="13">
    <mergeCell ref="Q2:X2"/>
    <mergeCell ref="Q3:Q4"/>
    <mergeCell ref="R3:R4"/>
    <mergeCell ref="S3:S4"/>
    <mergeCell ref="T3:T4"/>
    <mergeCell ref="U3:V3"/>
    <mergeCell ref="W3:W4"/>
    <mergeCell ref="X3:X4"/>
    <mergeCell ref="A12:O12"/>
    <mergeCell ref="A13:F13"/>
    <mergeCell ref="G13:G19"/>
    <mergeCell ref="H13:L13"/>
    <mergeCell ref="N13:O13"/>
  </mergeCells>
  <hyperlinks>
    <hyperlink ref="A12:O12" location="WEBN!A1" display="WEBN Amundi Prime ACWI Acc UCITS ETF " xr:uid="{3CE52383-29C5-4497-90B8-DA81B24EC7D1}"/>
  </hyperlinks>
  <pageMargins left="0.7" right="0.7" top="0.75" bottom="0.75" header="0.3" footer="0.3"/>
  <pageSetup orientation="portrait" r:id="rId1"/>
  <ignoredErrors>
    <ignoredError sqref="E19" formula="1"/>
  </ignoredError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76365-31FE-4781-A029-EABEF442854F}">
  <dimension ref="A2:X27"/>
  <sheetViews>
    <sheetView workbookViewId="0"/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80">
        <v>2026.07</v>
      </c>
      <c r="R2" s="81"/>
      <c r="S2" s="81"/>
      <c r="T2" s="81"/>
      <c r="U2" s="81"/>
      <c r="V2" s="81"/>
      <c r="W2" s="81"/>
      <c r="X2" s="82"/>
    </row>
    <row r="3" spans="1:24" x14ac:dyDescent="0.25">
      <c r="Q3" s="83" t="s">
        <v>12</v>
      </c>
      <c r="R3" s="83" t="s">
        <v>33</v>
      </c>
      <c r="S3" s="83" t="s">
        <v>9</v>
      </c>
      <c r="T3" s="83" t="s">
        <v>31</v>
      </c>
      <c r="U3" s="84" t="s">
        <v>30</v>
      </c>
      <c r="V3" s="85"/>
      <c r="W3" s="68" t="s">
        <v>39</v>
      </c>
      <c r="X3" s="68" t="s">
        <v>40</v>
      </c>
    </row>
    <row r="4" spans="1:24" x14ac:dyDescent="0.25">
      <c r="Q4" s="65"/>
      <c r="R4" s="65"/>
      <c r="S4" s="65"/>
      <c r="T4" s="65"/>
      <c r="U4" s="16" t="s">
        <v>13</v>
      </c>
      <c r="V4" s="12" t="s">
        <v>28</v>
      </c>
      <c r="W4" s="68"/>
      <c r="X4" s="68"/>
    </row>
    <row r="5" spans="1:24" x14ac:dyDescent="0.25">
      <c r="Q5" s="4">
        <v>100</v>
      </c>
      <c r="R5" s="4">
        <v>0</v>
      </c>
      <c r="S5" s="4">
        <f>(C19+C29+C39+C49+C59+C69+C79+C89+C99+C109)</f>
        <v>100</v>
      </c>
      <c r="T5" s="4">
        <f>(I19+I29+I39+I49+I59+I69+I79+I89+I99+I109)-V5</f>
        <v>0</v>
      </c>
      <c r="U5" s="4">
        <f>D19+D29+D39+D49+D59+D69+D79+D89+D99+D109</f>
        <v>0</v>
      </c>
      <c r="V5" s="4">
        <f>J19+J29+J39+J49+J59+J69+J79+J89+J99+J109</f>
        <v>0</v>
      </c>
      <c r="W5" s="4">
        <f>O19+O29+O39+O49+O59+O69+O79+O89+O99+O109</f>
        <v>0</v>
      </c>
      <c r="X5" s="4">
        <f>Q5-S5-U5</f>
        <v>0</v>
      </c>
    </row>
    <row r="12" spans="1:24" x14ac:dyDescent="0.25">
      <c r="A12" s="71" t="s">
        <v>41</v>
      </c>
      <c r="B12" s="72"/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3"/>
      <c r="N12" s="72"/>
      <c r="O12" s="74"/>
    </row>
    <row r="13" spans="1:24" x14ac:dyDescent="0.25">
      <c r="A13" s="62" t="s">
        <v>13</v>
      </c>
      <c r="B13" s="66"/>
      <c r="C13" s="66"/>
      <c r="D13" s="66"/>
      <c r="E13" s="66"/>
      <c r="F13" s="63"/>
      <c r="G13" s="75"/>
      <c r="H13" s="78" t="s">
        <v>28</v>
      </c>
      <c r="I13" s="79"/>
      <c r="J13" s="79"/>
      <c r="K13" s="79"/>
      <c r="L13" s="79"/>
      <c r="M13" s="30"/>
      <c r="N13" s="62" t="s">
        <v>39</v>
      </c>
      <c r="O13" s="63"/>
      <c r="P13" s="20"/>
    </row>
    <row r="14" spans="1:24" x14ac:dyDescent="0.25">
      <c r="A14" s="51" t="s">
        <v>32</v>
      </c>
      <c r="B14" s="50" t="s">
        <v>3</v>
      </c>
      <c r="C14" s="50" t="s">
        <v>8</v>
      </c>
      <c r="D14" s="50" t="s">
        <v>7</v>
      </c>
      <c r="E14" s="50" t="s">
        <v>0</v>
      </c>
      <c r="F14" s="50" t="s">
        <v>1</v>
      </c>
      <c r="G14" s="76"/>
      <c r="H14" s="50" t="s">
        <v>32</v>
      </c>
      <c r="I14" s="50" t="s">
        <v>29</v>
      </c>
      <c r="J14" s="50" t="s">
        <v>7</v>
      </c>
      <c r="K14" s="50" t="s">
        <v>0</v>
      </c>
      <c r="L14" s="48" t="s">
        <v>1</v>
      </c>
      <c r="M14" s="31"/>
      <c r="N14" s="49" t="s">
        <v>32</v>
      </c>
      <c r="O14" s="50" t="s">
        <v>29</v>
      </c>
      <c r="P14" s="20"/>
    </row>
    <row r="15" spans="1:24" x14ac:dyDescent="0.25">
      <c r="A15" s="41">
        <v>46218</v>
      </c>
      <c r="B15" s="11">
        <v>100</v>
      </c>
      <c r="C15" s="4">
        <v>100</v>
      </c>
      <c r="D15" s="4">
        <v>0</v>
      </c>
      <c r="E15" s="11">
        <f>C15/F15</f>
        <v>12.758000010754994</v>
      </c>
      <c r="F15" s="13">
        <v>7.8382191499999996</v>
      </c>
      <c r="G15" s="76"/>
      <c r="H15" s="5"/>
      <c r="I15" s="5"/>
      <c r="J15" s="4"/>
      <c r="K15" s="4"/>
      <c r="L15" s="24"/>
      <c r="M15" s="52"/>
      <c r="N15" s="25"/>
      <c r="O15" s="4"/>
      <c r="P15" s="1"/>
    </row>
    <row r="16" spans="1:24" x14ac:dyDescent="0.25">
      <c r="A16" s="43"/>
      <c r="B16" s="4"/>
      <c r="C16" s="5"/>
      <c r="D16" s="5"/>
      <c r="E16" s="5"/>
      <c r="F16" s="7"/>
      <c r="G16" s="76"/>
      <c r="H16" s="5"/>
      <c r="I16" s="2"/>
      <c r="J16" s="2"/>
      <c r="K16" s="2"/>
      <c r="L16" s="27"/>
      <c r="M16" s="32"/>
      <c r="N16" s="29"/>
      <c r="O16" s="2"/>
    </row>
    <row r="17" spans="1:18" ht="15" customHeight="1" x14ac:dyDescent="0.3">
      <c r="A17" s="44"/>
      <c r="B17" s="4"/>
      <c r="C17" s="5"/>
      <c r="D17" s="5"/>
      <c r="E17" s="5"/>
      <c r="F17" s="7"/>
      <c r="G17" s="76"/>
      <c r="H17" s="5"/>
      <c r="I17" s="2"/>
      <c r="J17" s="2"/>
      <c r="K17" s="2"/>
      <c r="L17" s="27"/>
      <c r="M17" s="32"/>
      <c r="N17" s="29"/>
      <c r="O17" s="2"/>
    </row>
    <row r="18" spans="1:18" ht="15" customHeight="1" x14ac:dyDescent="0.3">
      <c r="A18" s="44"/>
      <c r="B18" s="4"/>
      <c r="C18" s="5"/>
      <c r="D18" s="5"/>
      <c r="E18" s="5"/>
      <c r="F18" s="5"/>
      <c r="G18" s="76"/>
      <c r="H18" s="5"/>
      <c r="I18" s="2"/>
      <c r="J18" s="2"/>
      <c r="K18" s="2"/>
      <c r="L18" s="27"/>
      <c r="M18" s="32"/>
      <c r="N18" s="29"/>
      <c r="O18" s="2"/>
    </row>
    <row r="19" spans="1:18" x14ac:dyDescent="0.25">
      <c r="A19" s="50" t="s">
        <v>2</v>
      </c>
      <c r="B19" s="4">
        <f>SUM(B15:B18)</f>
        <v>100</v>
      </c>
      <c r="C19" s="4">
        <f>SUM(C15:C18)</f>
        <v>100</v>
      </c>
      <c r="D19" s="4">
        <f>SUM(D15:D18)</f>
        <v>0</v>
      </c>
      <c r="E19" s="4">
        <f>IF(B19&gt;0,SUMPRODUCT(E15:E18,F15:F18)/SUM(F15:F18),"0.00")</f>
        <v>12.758000010754994</v>
      </c>
      <c r="F19" s="13">
        <f>SUM(F15:F18)</f>
        <v>7.8382191499999996</v>
      </c>
      <c r="G19" s="77"/>
      <c r="H19" s="50" t="s">
        <v>2</v>
      </c>
      <c r="I19" s="4">
        <f>SUM(I15:I18)</f>
        <v>0</v>
      </c>
      <c r="J19" s="4">
        <f t="shared" ref="J19:L19" si="0">SUM(J15:J18)</f>
        <v>0</v>
      </c>
      <c r="K19" s="5"/>
      <c r="L19" s="28">
        <f t="shared" si="0"/>
        <v>0</v>
      </c>
      <c r="M19" s="33"/>
      <c r="N19" s="50" t="s">
        <v>2</v>
      </c>
      <c r="O19" s="4">
        <f>SUM(O15:O18)</f>
        <v>0</v>
      </c>
      <c r="P19" s="1"/>
    </row>
    <row r="20" spans="1:18" x14ac:dyDescent="0.25">
      <c r="B20" s="8"/>
      <c r="E20" s="1"/>
      <c r="F20" s="9"/>
      <c r="G20" s="9"/>
      <c r="H20" s="9"/>
      <c r="I20" s="9"/>
      <c r="J20" s="9"/>
      <c r="K20" s="9"/>
    </row>
    <row r="25" spans="1:18" x14ac:dyDescent="0.25">
      <c r="R25" s="1"/>
    </row>
    <row r="27" spans="1:18" x14ac:dyDescent="0.25">
      <c r="J27" s="1"/>
    </row>
  </sheetData>
  <mergeCells count="13">
    <mergeCell ref="Q2:X2"/>
    <mergeCell ref="Q3:Q4"/>
    <mergeCell ref="R3:R4"/>
    <mergeCell ref="S3:S4"/>
    <mergeCell ref="T3:T4"/>
    <mergeCell ref="U3:V3"/>
    <mergeCell ref="W3:W4"/>
    <mergeCell ref="X3:X4"/>
    <mergeCell ref="A12:O12"/>
    <mergeCell ref="A13:F13"/>
    <mergeCell ref="G13:G19"/>
    <mergeCell ref="H13:L13"/>
    <mergeCell ref="N13:O13"/>
  </mergeCells>
  <hyperlinks>
    <hyperlink ref="A12:O12" location="WEBN!A1" display="WEBN Amundi Prime ACWI Acc UCITS ETF " xr:uid="{DF2B807C-B133-4C46-9D1B-D6B7BEF50215}"/>
  </hyperlinks>
  <pageMargins left="0.7" right="0.7" top="0.75" bottom="0.75" header="0.3" footer="0.3"/>
  <pageSetup orientation="portrait" r:id="rId1"/>
  <ignoredErrors>
    <ignoredError sqref="E19" formula="1"/>
  </ignoredError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AC754-FACE-4B08-A6F5-27BDC7752425}">
  <dimension ref="A2:X27"/>
  <sheetViews>
    <sheetView workbookViewId="0">
      <selection activeCell="G6" sqref="G6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80">
        <v>2026.06</v>
      </c>
      <c r="R2" s="81"/>
      <c r="S2" s="81"/>
      <c r="T2" s="81"/>
      <c r="U2" s="81"/>
      <c r="V2" s="81"/>
      <c r="W2" s="81"/>
      <c r="X2" s="82"/>
    </row>
    <row r="3" spans="1:24" x14ac:dyDescent="0.25">
      <c r="Q3" s="83" t="s">
        <v>12</v>
      </c>
      <c r="R3" s="83" t="s">
        <v>33</v>
      </c>
      <c r="S3" s="83" t="s">
        <v>9</v>
      </c>
      <c r="T3" s="83" t="s">
        <v>31</v>
      </c>
      <c r="U3" s="84" t="s">
        <v>30</v>
      </c>
      <c r="V3" s="85"/>
      <c r="W3" s="68" t="s">
        <v>39</v>
      </c>
      <c r="X3" s="68" t="s">
        <v>40</v>
      </c>
    </row>
    <row r="4" spans="1:24" x14ac:dyDescent="0.25">
      <c r="Q4" s="65"/>
      <c r="R4" s="65"/>
      <c r="S4" s="65"/>
      <c r="T4" s="65"/>
      <c r="U4" s="16" t="s">
        <v>13</v>
      </c>
      <c r="V4" s="12" t="s">
        <v>28</v>
      </c>
      <c r="W4" s="68"/>
      <c r="X4" s="68"/>
    </row>
    <row r="5" spans="1:24" x14ac:dyDescent="0.25">
      <c r="Q5" s="4">
        <v>100</v>
      </c>
      <c r="R5" s="4">
        <v>0</v>
      </c>
      <c r="S5" s="4">
        <f>(C19+C29+C39+C49+C59+C69+C79+C89+C99+C109)</f>
        <v>100</v>
      </c>
      <c r="T5" s="4">
        <f>(I19+I29+I39+I49+I59+I69+I79+I89+I99+I109)-V5</f>
        <v>0</v>
      </c>
      <c r="U5" s="4">
        <f>D19+D29+D39+D49+D59+D69+D79+D89+D99+D109</f>
        <v>0</v>
      </c>
      <c r="V5" s="4">
        <f>J19+J29+J39+J49+J59+J69+J79+J89+J99+J109</f>
        <v>0</v>
      </c>
      <c r="W5" s="4">
        <f>O19+O29+O39+O49+O59+O69+O79+O89+O99+O109</f>
        <v>0</v>
      </c>
      <c r="X5" s="4">
        <f>Q5-S5-U5</f>
        <v>0</v>
      </c>
    </row>
    <row r="12" spans="1:24" x14ac:dyDescent="0.25">
      <c r="A12" s="71" t="s">
        <v>41</v>
      </c>
      <c r="B12" s="72"/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3"/>
      <c r="N12" s="72"/>
      <c r="O12" s="74"/>
    </row>
    <row r="13" spans="1:24" x14ac:dyDescent="0.25">
      <c r="A13" s="62" t="s">
        <v>13</v>
      </c>
      <c r="B13" s="66"/>
      <c r="C13" s="66"/>
      <c r="D13" s="66"/>
      <c r="E13" s="66"/>
      <c r="F13" s="63"/>
      <c r="G13" s="75"/>
      <c r="H13" s="78" t="s">
        <v>28</v>
      </c>
      <c r="I13" s="79"/>
      <c r="J13" s="79"/>
      <c r="K13" s="79"/>
      <c r="L13" s="79"/>
      <c r="M13" s="30"/>
      <c r="N13" s="62" t="s">
        <v>39</v>
      </c>
      <c r="O13" s="63"/>
      <c r="P13" s="20"/>
    </row>
    <row r="14" spans="1:24" x14ac:dyDescent="0.25">
      <c r="A14" s="26" t="s">
        <v>32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76"/>
      <c r="H14" s="3" t="s">
        <v>32</v>
      </c>
      <c r="I14" s="3" t="s">
        <v>29</v>
      </c>
      <c r="J14" s="3" t="s">
        <v>7</v>
      </c>
      <c r="K14" s="3" t="s">
        <v>0</v>
      </c>
      <c r="L14" s="17" t="s">
        <v>1</v>
      </c>
      <c r="M14" s="31"/>
      <c r="N14" s="18" t="s">
        <v>32</v>
      </c>
      <c r="O14" s="3" t="s">
        <v>29</v>
      </c>
      <c r="P14" s="20"/>
    </row>
    <row r="15" spans="1:24" x14ac:dyDescent="0.25">
      <c r="A15" s="41">
        <v>46180</v>
      </c>
      <c r="B15" s="11">
        <v>100</v>
      </c>
      <c r="C15" s="4">
        <v>100</v>
      </c>
      <c r="D15" s="4">
        <v>0</v>
      </c>
      <c r="E15" s="11">
        <f>C15/F15</f>
        <v>12.414000013151393</v>
      </c>
      <c r="F15" s="13">
        <v>8.05542129</v>
      </c>
      <c r="G15" s="76"/>
      <c r="H15" s="5"/>
      <c r="I15" s="5"/>
      <c r="J15" s="4"/>
      <c r="K15" s="4"/>
      <c r="L15" s="24"/>
      <c r="M15" s="19"/>
      <c r="N15" s="25"/>
      <c r="O15" s="4"/>
      <c r="P15" s="1"/>
    </row>
    <row r="16" spans="1:24" x14ac:dyDescent="0.25">
      <c r="A16" s="43"/>
      <c r="B16" s="4"/>
      <c r="C16" s="5"/>
      <c r="D16" s="5"/>
      <c r="E16" s="5"/>
      <c r="F16" s="7"/>
      <c r="G16" s="76"/>
      <c r="H16" s="5"/>
      <c r="I16" s="2"/>
      <c r="J16" s="2"/>
      <c r="K16" s="2"/>
      <c r="L16" s="27"/>
      <c r="M16" s="32"/>
      <c r="N16" s="29"/>
      <c r="O16" s="2"/>
    </row>
    <row r="17" spans="1:18" ht="15" customHeight="1" x14ac:dyDescent="0.3">
      <c r="A17" s="44"/>
      <c r="B17" s="4"/>
      <c r="C17" s="5"/>
      <c r="D17" s="5"/>
      <c r="E17" s="5"/>
      <c r="F17" s="7"/>
      <c r="G17" s="76"/>
      <c r="H17" s="5"/>
      <c r="I17" s="2"/>
      <c r="J17" s="2"/>
      <c r="K17" s="2"/>
      <c r="L17" s="27"/>
      <c r="M17" s="32"/>
      <c r="N17" s="29"/>
      <c r="O17" s="2"/>
    </row>
    <row r="18" spans="1:18" ht="15" customHeight="1" x14ac:dyDescent="0.3">
      <c r="A18" s="44"/>
      <c r="B18" s="4"/>
      <c r="C18" s="5"/>
      <c r="D18" s="5"/>
      <c r="E18" s="5"/>
      <c r="F18" s="5"/>
      <c r="G18" s="76"/>
      <c r="H18" s="5"/>
      <c r="I18" s="2"/>
      <c r="J18" s="2"/>
      <c r="K18" s="2"/>
      <c r="L18" s="27"/>
      <c r="M18" s="32"/>
      <c r="N18" s="29"/>
      <c r="O18" s="2"/>
    </row>
    <row r="19" spans="1:18" x14ac:dyDescent="0.25">
      <c r="A19" s="3" t="s">
        <v>2</v>
      </c>
      <c r="B19" s="4">
        <f>SUM(B15:B18)</f>
        <v>100</v>
      </c>
      <c r="C19" s="4">
        <f>SUM(C15:C18)</f>
        <v>100</v>
      </c>
      <c r="D19" s="4">
        <f>SUM(D15:D18)</f>
        <v>0</v>
      </c>
      <c r="E19" s="4">
        <f>IF(B19&gt;0,SUMPRODUCT(E15:E18,F15:F18)/SUM(F15:F18),"0.00")</f>
        <v>12.414000013151393</v>
      </c>
      <c r="F19" s="13">
        <f>SUM(F15:F18)</f>
        <v>8.05542129</v>
      </c>
      <c r="G19" s="77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28">
        <f t="shared" si="0"/>
        <v>0</v>
      </c>
      <c r="M19" s="33"/>
      <c r="N19" s="3" t="s">
        <v>2</v>
      </c>
      <c r="O19" s="4">
        <f>SUM(O15:O18)</f>
        <v>0</v>
      </c>
      <c r="P19" s="1"/>
    </row>
    <row r="20" spans="1:18" x14ac:dyDescent="0.25">
      <c r="B20" s="8"/>
      <c r="E20" s="1"/>
      <c r="F20" s="9"/>
      <c r="G20" s="9"/>
      <c r="H20" s="9"/>
      <c r="I20" s="9"/>
      <c r="J20" s="9"/>
      <c r="K20" s="9"/>
    </row>
    <row r="25" spans="1:18" x14ac:dyDescent="0.25">
      <c r="R25" s="1"/>
    </row>
    <row r="27" spans="1:18" x14ac:dyDescent="0.25">
      <c r="J27" s="1"/>
    </row>
  </sheetData>
  <mergeCells count="13">
    <mergeCell ref="A13:F13"/>
    <mergeCell ref="G13:G19"/>
    <mergeCell ref="H13:L13"/>
    <mergeCell ref="N13:O13"/>
    <mergeCell ref="Q3:Q4"/>
    <mergeCell ref="U3:V3"/>
    <mergeCell ref="W3:W4"/>
    <mergeCell ref="X3:X4"/>
    <mergeCell ref="A12:O12"/>
    <mergeCell ref="Q2:X2"/>
    <mergeCell ref="R3:R4"/>
    <mergeCell ref="S3:S4"/>
    <mergeCell ref="T3:T4"/>
  </mergeCells>
  <hyperlinks>
    <hyperlink ref="A12:O12" location="WEBN!A1" display="WEBN Amundi Prime ACWI Acc UCITS ETF " xr:uid="{52D9614F-EF79-46CC-8F5E-FBD95649CF20}"/>
  </hyperlinks>
  <pageMargins left="0.7" right="0.7" top="0.75" bottom="0.75" header="0.3" footer="0.3"/>
  <pageSetup orientation="portrait" r:id="rId1"/>
  <ignoredErrors>
    <ignoredError sqref="E19" formula="1"/>
  </ignoredError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A7359C-5285-4575-BB13-921F668F181E}">
  <dimension ref="A2:X27"/>
  <sheetViews>
    <sheetView workbookViewId="0">
      <selection activeCell="E19" sqref="E19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80">
        <v>2026.05</v>
      </c>
      <c r="R2" s="81"/>
      <c r="S2" s="81"/>
      <c r="T2" s="81"/>
      <c r="U2" s="81"/>
      <c r="V2" s="81"/>
      <c r="W2" s="81"/>
      <c r="X2" s="82"/>
    </row>
    <row r="3" spans="1:24" x14ac:dyDescent="0.25">
      <c r="Q3" s="83" t="s">
        <v>12</v>
      </c>
      <c r="R3" s="83" t="s">
        <v>33</v>
      </c>
      <c r="S3" s="83" t="s">
        <v>9</v>
      </c>
      <c r="T3" s="83" t="s">
        <v>31</v>
      </c>
      <c r="U3" s="84" t="s">
        <v>30</v>
      </c>
      <c r="V3" s="85"/>
      <c r="W3" s="68" t="s">
        <v>39</v>
      </c>
      <c r="X3" s="68" t="s">
        <v>40</v>
      </c>
    </row>
    <row r="4" spans="1:24" x14ac:dyDescent="0.25">
      <c r="Q4" s="65"/>
      <c r="R4" s="65"/>
      <c r="S4" s="65"/>
      <c r="T4" s="65"/>
      <c r="U4" s="16" t="s">
        <v>13</v>
      </c>
      <c r="V4" s="12" t="s">
        <v>28</v>
      </c>
      <c r="W4" s="68"/>
      <c r="X4" s="68"/>
    </row>
    <row r="5" spans="1:24" x14ac:dyDescent="0.25">
      <c r="Q5" s="4">
        <v>100</v>
      </c>
      <c r="R5" s="4">
        <v>0</v>
      </c>
      <c r="S5" s="4">
        <f>(C19+C29+C39+C49+C59+C69+C79+C89+C99+C109)</f>
        <v>100</v>
      </c>
      <c r="T5" s="4">
        <f>(I19+I29+I39+I49+I59+I69+I79+I89+I99+I109)-V5</f>
        <v>0</v>
      </c>
      <c r="U5" s="4">
        <f>D19+D29+D39+D49+D59+D69+D79+D89+D99+D109</f>
        <v>0</v>
      </c>
      <c r="V5" s="4">
        <f>J19+J29+J39+J49+J59+J69+J79+J89+J99+J109</f>
        <v>0</v>
      </c>
      <c r="W5" s="4">
        <f>O19+O29+O39+O49+O59+O69+O79+O89+O99+O109</f>
        <v>0</v>
      </c>
      <c r="X5" s="4">
        <f>Q5-S5-U5</f>
        <v>0</v>
      </c>
    </row>
    <row r="12" spans="1:24" x14ac:dyDescent="0.25">
      <c r="A12" s="71" t="s">
        <v>41</v>
      </c>
      <c r="B12" s="72"/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3"/>
      <c r="N12" s="72"/>
      <c r="O12" s="74"/>
    </row>
    <row r="13" spans="1:24" x14ac:dyDescent="0.25">
      <c r="A13" s="62" t="s">
        <v>13</v>
      </c>
      <c r="B13" s="66"/>
      <c r="C13" s="66"/>
      <c r="D13" s="66"/>
      <c r="E13" s="66"/>
      <c r="F13" s="63"/>
      <c r="G13" s="75"/>
      <c r="H13" s="78" t="s">
        <v>28</v>
      </c>
      <c r="I13" s="79"/>
      <c r="J13" s="79"/>
      <c r="K13" s="79"/>
      <c r="L13" s="79"/>
      <c r="M13" s="30"/>
      <c r="N13" s="62" t="s">
        <v>39</v>
      </c>
      <c r="O13" s="63"/>
      <c r="P13" s="20"/>
    </row>
    <row r="14" spans="1:24" x14ac:dyDescent="0.25">
      <c r="A14" s="26" t="s">
        <v>32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76"/>
      <c r="H14" s="3" t="s">
        <v>32</v>
      </c>
      <c r="I14" s="3" t="s">
        <v>29</v>
      </c>
      <c r="J14" s="3" t="s">
        <v>7</v>
      </c>
      <c r="K14" s="3" t="s">
        <v>0</v>
      </c>
      <c r="L14" s="17" t="s">
        <v>1</v>
      </c>
      <c r="M14" s="31"/>
      <c r="N14" s="18" t="s">
        <v>32</v>
      </c>
      <c r="O14" s="3" t="s">
        <v>29</v>
      </c>
      <c r="P14" s="20"/>
    </row>
    <row r="15" spans="1:24" x14ac:dyDescent="0.25">
      <c r="A15" s="35">
        <v>46161</v>
      </c>
      <c r="B15" s="11">
        <v>100</v>
      </c>
      <c r="C15" s="4">
        <v>100</v>
      </c>
      <c r="D15" s="4">
        <v>0</v>
      </c>
      <c r="E15" s="11">
        <f>C15/F15</f>
        <v>12.21600000397753</v>
      </c>
      <c r="F15" s="13">
        <v>8.1859855899999996</v>
      </c>
      <c r="G15" s="76"/>
      <c r="H15" s="5"/>
      <c r="I15" s="5"/>
      <c r="J15" s="4"/>
      <c r="K15" s="4"/>
      <c r="L15" s="24"/>
      <c r="M15" s="19"/>
      <c r="N15" s="25"/>
      <c r="O15" s="4"/>
      <c r="P15" s="1"/>
    </row>
    <row r="16" spans="1:24" x14ac:dyDescent="0.25">
      <c r="A16" s="39"/>
      <c r="B16" s="4"/>
      <c r="C16" s="5"/>
      <c r="D16" s="5"/>
      <c r="E16" s="5"/>
      <c r="F16" s="7"/>
      <c r="G16" s="76"/>
      <c r="H16" s="5"/>
      <c r="I16" s="2"/>
      <c r="J16" s="2"/>
      <c r="K16" s="2"/>
      <c r="L16" s="27"/>
      <c r="M16" s="32"/>
      <c r="N16" s="29"/>
      <c r="O16" s="2"/>
    </row>
    <row r="17" spans="1:18" ht="15" customHeight="1" x14ac:dyDescent="0.3">
      <c r="A17" s="40"/>
      <c r="B17" s="4"/>
      <c r="C17" s="5"/>
      <c r="D17" s="5"/>
      <c r="E17" s="5"/>
      <c r="F17" s="7"/>
      <c r="G17" s="76"/>
      <c r="H17" s="5"/>
      <c r="I17" s="2"/>
      <c r="J17" s="2"/>
      <c r="K17" s="2"/>
      <c r="L17" s="27"/>
      <c r="M17" s="32"/>
      <c r="N17" s="29"/>
      <c r="O17" s="2"/>
    </row>
    <row r="18" spans="1:18" ht="15" customHeight="1" x14ac:dyDescent="0.3">
      <c r="A18" s="40"/>
      <c r="B18" s="4"/>
      <c r="C18" s="5"/>
      <c r="D18" s="5"/>
      <c r="E18" s="5"/>
      <c r="F18" s="5"/>
      <c r="G18" s="76"/>
      <c r="H18" s="5"/>
      <c r="I18" s="2"/>
      <c r="J18" s="2"/>
      <c r="K18" s="2"/>
      <c r="L18" s="27"/>
      <c r="M18" s="32"/>
      <c r="N18" s="29"/>
      <c r="O18" s="2"/>
    </row>
    <row r="19" spans="1:18" x14ac:dyDescent="0.25">
      <c r="A19" s="3" t="s">
        <v>2</v>
      </c>
      <c r="B19" s="4">
        <f>SUM(B15:B18)</f>
        <v>100</v>
      </c>
      <c r="C19" s="4">
        <f>SUM(C15:C18)</f>
        <v>100</v>
      </c>
      <c r="D19" s="4">
        <f>SUM(D15:D18)</f>
        <v>0</v>
      </c>
      <c r="E19" s="4">
        <f>IF(B19&gt;0,SUMPRODUCT(E15:E18,F15:F18)/SUM(F15:F18),"0.00")</f>
        <v>12.21600000397753</v>
      </c>
      <c r="F19" s="13">
        <f>SUM(F15:F18)</f>
        <v>8.1859855899999996</v>
      </c>
      <c r="G19" s="77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28">
        <f t="shared" si="0"/>
        <v>0</v>
      </c>
      <c r="M19" s="33"/>
      <c r="N19" s="3" t="s">
        <v>2</v>
      </c>
      <c r="O19" s="4">
        <f>SUM(O15:O18)</f>
        <v>0</v>
      </c>
      <c r="P19" s="1"/>
    </row>
    <row r="20" spans="1:18" x14ac:dyDescent="0.25">
      <c r="B20" s="8"/>
      <c r="E20" s="1"/>
      <c r="F20" s="9"/>
      <c r="G20" s="9"/>
      <c r="H20" s="9"/>
      <c r="I20" s="9"/>
      <c r="J20" s="9"/>
      <c r="K20" s="9"/>
    </row>
    <row r="25" spans="1:18" x14ac:dyDescent="0.25">
      <c r="R25" s="1"/>
    </row>
    <row r="27" spans="1:18" x14ac:dyDescent="0.25">
      <c r="J27" s="1"/>
    </row>
  </sheetData>
  <mergeCells count="13">
    <mergeCell ref="A13:F13"/>
    <mergeCell ref="G13:G19"/>
    <mergeCell ref="H13:L13"/>
    <mergeCell ref="N13:O13"/>
    <mergeCell ref="Q3:Q4"/>
    <mergeCell ref="U3:V3"/>
    <mergeCell ref="W3:W4"/>
    <mergeCell ref="X3:X4"/>
    <mergeCell ref="A12:O12"/>
    <mergeCell ref="Q2:X2"/>
    <mergeCell ref="R3:R4"/>
    <mergeCell ref="S3:S4"/>
    <mergeCell ref="T3:T4"/>
  </mergeCells>
  <hyperlinks>
    <hyperlink ref="A12:O12" location="WEBN!A1" display="WEBN Amundi Prime ACWI Acc UCITS ETF " xr:uid="{3C02C9E5-EA02-4BDC-91AE-416C94F85838}"/>
  </hyperlinks>
  <pageMargins left="0.7" right="0.7" top="0.75" bottom="0.75" header="0.3" footer="0.3"/>
  <pageSetup orientation="portrait" r:id="rId1"/>
  <ignoredErrors>
    <ignoredError sqref="E19" formula="1"/>
  </ignoredError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7392A-0BC5-4BD7-983E-8A7ED64C1BD7}">
  <dimension ref="A2:X27"/>
  <sheetViews>
    <sheetView workbookViewId="0">
      <selection activeCell="E19" sqref="E19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80">
        <v>2026.04</v>
      </c>
      <c r="R2" s="81"/>
      <c r="S2" s="81"/>
      <c r="T2" s="81"/>
      <c r="U2" s="81"/>
      <c r="V2" s="81"/>
      <c r="W2" s="81"/>
      <c r="X2" s="82"/>
    </row>
    <row r="3" spans="1:24" x14ac:dyDescent="0.25">
      <c r="Q3" s="83" t="s">
        <v>12</v>
      </c>
      <c r="R3" s="83" t="s">
        <v>33</v>
      </c>
      <c r="S3" s="83" t="s">
        <v>9</v>
      </c>
      <c r="T3" s="83" t="s">
        <v>31</v>
      </c>
      <c r="U3" s="84" t="s">
        <v>30</v>
      </c>
      <c r="V3" s="85"/>
      <c r="W3" s="68" t="s">
        <v>39</v>
      </c>
      <c r="X3" s="68" t="s">
        <v>40</v>
      </c>
    </row>
    <row r="4" spans="1:24" x14ac:dyDescent="0.25">
      <c r="Q4" s="65"/>
      <c r="R4" s="65"/>
      <c r="S4" s="65"/>
      <c r="T4" s="65"/>
      <c r="U4" s="16" t="s">
        <v>13</v>
      </c>
      <c r="V4" s="12" t="s">
        <v>28</v>
      </c>
      <c r="W4" s="68"/>
      <c r="X4" s="68"/>
    </row>
    <row r="5" spans="1:24" x14ac:dyDescent="0.25">
      <c r="Q5" s="4">
        <v>100</v>
      </c>
      <c r="R5" s="4">
        <v>0</v>
      </c>
      <c r="S5" s="4">
        <f>(C19+C29+C39+C49+C59+C69+C79+C89+C99+C109)</f>
        <v>100</v>
      </c>
      <c r="T5" s="4">
        <f>(I19+I29+I39+I49+I59+I69+I79+I89+I99+I109)-V5</f>
        <v>0</v>
      </c>
      <c r="U5" s="4">
        <f>D19+D29+D39+D49+D59+D69+D79+D89+D99+D109</f>
        <v>0</v>
      </c>
      <c r="V5" s="4">
        <f>J19+J29+J39+J49+J59+J69+J79+J89+J99+J109</f>
        <v>0</v>
      </c>
      <c r="W5" s="4">
        <f>O19+O29+O39+O49+O59+O69+O79+O89+O99+O109</f>
        <v>0</v>
      </c>
      <c r="X5" s="4">
        <f>Q5-S5-U5</f>
        <v>0</v>
      </c>
    </row>
    <row r="12" spans="1:24" x14ac:dyDescent="0.25">
      <c r="A12" s="71" t="s">
        <v>41</v>
      </c>
      <c r="B12" s="72"/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3"/>
      <c r="N12" s="72"/>
      <c r="O12" s="74"/>
    </row>
    <row r="13" spans="1:24" x14ac:dyDescent="0.25">
      <c r="A13" s="62" t="s">
        <v>13</v>
      </c>
      <c r="B13" s="66"/>
      <c r="C13" s="66"/>
      <c r="D13" s="66"/>
      <c r="E13" s="66"/>
      <c r="F13" s="63"/>
      <c r="G13" s="75"/>
      <c r="H13" s="78" t="s">
        <v>28</v>
      </c>
      <c r="I13" s="79"/>
      <c r="J13" s="79"/>
      <c r="K13" s="79"/>
      <c r="L13" s="79"/>
      <c r="M13" s="30"/>
      <c r="N13" s="62" t="s">
        <v>39</v>
      </c>
      <c r="O13" s="63"/>
      <c r="P13" s="20"/>
    </row>
    <row r="14" spans="1:24" x14ac:dyDescent="0.25">
      <c r="A14" s="26" t="s">
        <v>32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76"/>
      <c r="H14" s="3" t="s">
        <v>32</v>
      </c>
      <c r="I14" s="3" t="s">
        <v>29</v>
      </c>
      <c r="J14" s="3" t="s">
        <v>7</v>
      </c>
      <c r="K14" s="3" t="s">
        <v>0</v>
      </c>
      <c r="L14" s="17" t="s">
        <v>1</v>
      </c>
      <c r="M14" s="31"/>
      <c r="N14" s="18" t="s">
        <v>32</v>
      </c>
      <c r="O14" s="3" t="s">
        <v>29</v>
      </c>
      <c r="P14" s="20"/>
    </row>
    <row r="15" spans="1:24" x14ac:dyDescent="0.25">
      <c r="A15" s="41">
        <v>46131</v>
      </c>
      <c r="B15" s="11">
        <v>100</v>
      </c>
      <c r="C15" s="4">
        <v>100</v>
      </c>
      <c r="D15" s="4">
        <v>0</v>
      </c>
      <c r="E15" s="11">
        <f>C15/F15</f>
        <v>11.596000002936108</v>
      </c>
      <c r="F15" s="13">
        <v>8.6236633299999994</v>
      </c>
      <c r="G15" s="76"/>
      <c r="H15" s="5"/>
      <c r="I15" s="5"/>
      <c r="J15" s="4"/>
      <c r="K15" s="4"/>
      <c r="L15" s="24"/>
      <c r="M15" s="19"/>
      <c r="N15" s="25"/>
      <c r="O15" s="4"/>
      <c r="P15" s="1"/>
    </row>
    <row r="16" spans="1:24" x14ac:dyDescent="0.25">
      <c r="A16" s="43"/>
      <c r="B16" s="4"/>
      <c r="C16" s="5"/>
      <c r="D16" s="5"/>
      <c r="E16" s="5"/>
      <c r="F16" s="7"/>
      <c r="G16" s="76"/>
      <c r="H16" s="5"/>
      <c r="I16" s="2"/>
      <c r="J16" s="2"/>
      <c r="K16" s="2"/>
      <c r="L16" s="27"/>
      <c r="M16" s="32"/>
      <c r="N16" s="29"/>
      <c r="O16" s="2"/>
    </row>
    <row r="17" spans="1:18" ht="15" customHeight="1" x14ac:dyDescent="0.3">
      <c r="A17" s="44"/>
      <c r="B17" s="4"/>
      <c r="C17" s="5"/>
      <c r="D17" s="5"/>
      <c r="E17" s="5"/>
      <c r="F17" s="7"/>
      <c r="G17" s="76"/>
      <c r="H17" s="5"/>
      <c r="I17" s="2"/>
      <c r="J17" s="2"/>
      <c r="K17" s="2"/>
      <c r="L17" s="27"/>
      <c r="M17" s="32"/>
      <c r="N17" s="29"/>
      <c r="O17" s="2"/>
    </row>
    <row r="18" spans="1:18" ht="15" customHeight="1" x14ac:dyDescent="0.3">
      <c r="A18" s="44"/>
      <c r="B18" s="4"/>
      <c r="C18" s="5"/>
      <c r="D18" s="5"/>
      <c r="E18" s="5"/>
      <c r="F18" s="5"/>
      <c r="G18" s="76"/>
      <c r="H18" s="5"/>
      <c r="I18" s="2"/>
      <c r="J18" s="2"/>
      <c r="K18" s="2"/>
      <c r="L18" s="27"/>
      <c r="M18" s="32"/>
      <c r="N18" s="29"/>
      <c r="O18" s="2"/>
    </row>
    <row r="19" spans="1:18" x14ac:dyDescent="0.25">
      <c r="A19" s="3" t="s">
        <v>2</v>
      </c>
      <c r="B19" s="4">
        <f>SUM(B15:B18)</f>
        <v>100</v>
      </c>
      <c r="C19" s="4">
        <f>SUM(C15:C18)</f>
        <v>100</v>
      </c>
      <c r="D19" s="4">
        <f>SUM(D15:D18)</f>
        <v>0</v>
      </c>
      <c r="E19" s="4">
        <f>IF(B19&gt;0,SUMPRODUCT(E15:E18,F15:F18)/SUM(F15:F18),"0.00")</f>
        <v>11.596000002936108</v>
      </c>
      <c r="F19" s="13">
        <f>SUM(F15:F18)</f>
        <v>8.6236633299999994</v>
      </c>
      <c r="G19" s="77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28">
        <f t="shared" si="0"/>
        <v>0</v>
      </c>
      <c r="M19" s="33"/>
      <c r="N19" s="3" t="s">
        <v>2</v>
      </c>
      <c r="O19" s="4">
        <f>SUM(O15:O18)</f>
        <v>0</v>
      </c>
      <c r="P19" s="1"/>
    </row>
    <row r="20" spans="1:18" x14ac:dyDescent="0.25">
      <c r="B20" s="8"/>
      <c r="E20" s="1"/>
      <c r="F20" s="9"/>
      <c r="G20" s="9"/>
      <c r="H20" s="9"/>
      <c r="I20" s="9"/>
      <c r="J20" s="9"/>
      <c r="K20" s="9"/>
    </row>
    <row r="25" spans="1:18" x14ac:dyDescent="0.25">
      <c r="R25" s="1"/>
    </row>
    <row r="27" spans="1:18" x14ac:dyDescent="0.25">
      <c r="J27" s="1"/>
    </row>
  </sheetData>
  <mergeCells count="13">
    <mergeCell ref="A13:F13"/>
    <mergeCell ref="G13:G19"/>
    <mergeCell ref="H13:L13"/>
    <mergeCell ref="N13:O13"/>
    <mergeCell ref="Q3:Q4"/>
    <mergeCell ref="U3:V3"/>
    <mergeCell ref="W3:W4"/>
    <mergeCell ref="X3:X4"/>
    <mergeCell ref="A12:O12"/>
    <mergeCell ref="Q2:X2"/>
    <mergeCell ref="R3:R4"/>
    <mergeCell ref="S3:S4"/>
    <mergeCell ref="T3:T4"/>
  </mergeCells>
  <hyperlinks>
    <hyperlink ref="A12:O12" location="WEBN!A1" display="WEBN Amundi Prime ACWI Acc UCITS ETF " xr:uid="{5E453430-7CF8-4213-8F80-26238D76E7AB}"/>
  </hyperlinks>
  <pageMargins left="0.7" right="0.7" top="0.75" bottom="0.75" header="0.3" footer="0.3"/>
  <pageSetup orientation="portrait" r:id="rId1"/>
  <ignoredErrors>
    <ignoredError sqref="E19" formula="1"/>
  </ignoredErrors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F1ABD-D234-4E53-B90E-0B45F09BE5A5}">
  <dimension ref="A2:X27"/>
  <sheetViews>
    <sheetView workbookViewId="0">
      <selection activeCell="E19" sqref="E19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80">
        <v>2026.03</v>
      </c>
      <c r="R2" s="81"/>
      <c r="S2" s="81"/>
      <c r="T2" s="81"/>
      <c r="U2" s="81"/>
      <c r="V2" s="81"/>
      <c r="W2" s="81"/>
      <c r="X2" s="82"/>
    </row>
    <row r="3" spans="1:24" x14ac:dyDescent="0.25">
      <c r="Q3" s="83" t="s">
        <v>12</v>
      </c>
      <c r="R3" s="83" t="s">
        <v>33</v>
      </c>
      <c r="S3" s="83" t="s">
        <v>9</v>
      </c>
      <c r="T3" s="83" t="s">
        <v>31</v>
      </c>
      <c r="U3" s="84" t="s">
        <v>30</v>
      </c>
      <c r="V3" s="85"/>
      <c r="W3" s="68" t="s">
        <v>39</v>
      </c>
      <c r="X3" s="68" t="s">
        <v>40</v>
      </c>
    </row>
    <row r="4" spans="1:24" x14ac:dyDescent="0.25">
      <c r="Q4" s="65"/>
      <c r="R4" s="65"/>
      <c r="S4" s="65"/>
      <c r="T4" s="65"/>
      <c r="U4" s="16" t="s">
        <v>13</v>
      </c>
      <c r="V4" s="12" t="s">
        <v>28</v>
      </c>
      <c r="W4" s="68"/>
      <c r="X4" s="68"/>
    </row>
    <row r="5" spans="1:24" x14ac:dyDescent="0.25">
      <c r="Q5" s="4">
        <v>100</v>
      </c>
      <c r="R5" s="4">
        <v>0</v>
      </c>
      <c r="S5" s="4">
        <f>(C19+C29+C39+C49+C59+C69+C79+C89+C99+C109)</f>
        <v>100</v>
      </c>
      <c r="T5" s="4">
        <f>(I19+I29+I39+I49+I59+I69+I79+I89+I99+I109)-V5</f>
        <v>0</v>
      </c>
      <c r="U5" s="4">
        <f>D19+D29+D39+D49+D59+D69+D79+D89+D99+D109</f>
        <v>0</v>
      </c>
      <c r="V5" s="4">
        <f>J19+J29+J39+J49+J59+J69+J79+J89+J99+J109</f>
        <v>0</v>
      </c>
      <c r="W5" s="4">
        <f>O19+O29+O39+O49+O59+O69+O79+O89+O99+O109</f>
        <v>0</v>
      </c>
      <c r="X5" s="4">
        <f>Q5-S5-U5</f>
        <v>0</v>
      </c>
    </row>
    <row r="12" spans="1:24" x14ac:dyDescent="0.25">
      <c r="A12" s="71" t="s">
        <v>41</v>
      </c>
      <c r="B12" s="72"/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3"/>
      <c r="N12" s="72"/>
      <c r="O12" s="74"/>
    </row>
    <row r="13" spans="1:24" x14ac:dyDescent="0.25">
      <c r="A13" s="62" t="s">
        <v>13</v>
      </c>
      <c r="B13" s="66"/>
      <c r="C13" s="66"/>
      <c r="D13" s="66"/>
      <c r="E13" s="66"/>
      <c r="F13" s="63"/>
      <c r="G13" s="75"/>
      <c r="H13" s="78" t="s">
        <v>28</v>
      </c>
      <c r="I13" s="79"/>
      <c r="J13" s="79"/>
      <c r="K13" s="79"/>
      <c r="L13" s="79"/>
      <c r="M13" s="30"/>
      <c r="N13" s="62" t="s">
        <v>39</v>
      </c>
      <c r="O13" s="63"/>
      <c r="P13" s="20"/>
    </row>
    <row r="14" spans="1:24" x14ac:dyDescent="0.25">
      <c r="A14" s="26" t="s">
        <v>32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76"/>
      <c r="H14" s="3" t="s">
        <v>32</v>
      </c>
      <c r="I14" s="3" t="s">
        <v>29</v>
      </c>
      <c r="J14" s="3" t="s">
        <v>7</v>
      </c>
      <c r="K14" s="3" t="s">
        <v>0</v>
      </c>
      <c r="L14" s="17" t="s">
        <v>1</v>
      </c>
      <c r="M14" s="31"/>
      <c r="N14" s="18" t="s">
        <v>32</v>
      </c>
      <c r="O14" s="3" t="s">
        <v>29</v>
      </c>
      <c r="P14" s="20"/>
    </row>
    <row r="15" spans="1:24" x14ac:dyDescent="0.25">
      <c r="A15" s="41">
        <v>46101</v>
      </c>
      <c r="B15" s="11">
        <v>100</v>
      </c>
      <c r="C15" s="4">
        <v>100</v>
      </c>
      <c r="D15" s="4">
        <v>0</v>
      </c>
      <c r="E15" s="11">
        <f>C15/F15</f>
        <v>11.102000008093359</v>
      </c>
      <c r="F15" s="13">
        <v>9.0073860499999991</v>
      </c>
      <c r="G15" s="76"/>
      <c r="H15" s="5"/>
      <c r="I15" s="5"/>
      <c r="J15" s="4"/>
      <c r="K15" s="4"/>
      <c r="L15" s="24"/>
      <c r="M15" s="19"/>
      <c r="N15" s="25"/>
      <c r="O15" s="4"/>
      <c r="P15" s="1"/>
    </row>
    <row r="16" spans="1:24" x14ac:dyDescent="0.25">
      <c r="A16" s="39"/>
      <c r="B16" s="4"/>
      <c r="C16" s="5"/>
      <c r="D16" s="5"/>
      <c r="E16" s="5"/>
      <c r="F16" s="7"/>
      <c r="G16" s="76"/>
      <c r="H16" s="5"/>
      <c r="I16" s="2"/>
      <c r="J16" s="2"/>
      <c r="K16" s="2"/>
      <c r="L16" s="27"/>
      <c r="M16" s="32"/>
      <c r="N16" s="29"/>
      <c r="O16" s="2"/>
    </row>
    <row r="17" spans="1:18" ht="15" customHeight="1" x14ac:dyDescent="0.3">
      <c r="A17" s="40"/>
      <c r="B17" s="4"/>
      <c r="C17" s="5"/>
      <c r="D17" s="5"/>
      <c r="E17" s="5"/>
      <c r="F17" s="7"/>
      <c r="G17" s="76"/>
      <c r="H17" s="5"/>
      <c r="I17" s="2"/>
      <c r="J17" s="2"/>
      <c r="K17" s="2"/>
      <c r="L17" s="27"/>
      <c r="M17" s="32"/>
      <c r="N17" s="29"/>
      <c r="O17" s="2"/>
    </row>
    <row r="18" spans="1:18" ht="15" customHeight="1" x14ac:dyDescent="0.3">
      <c r="A18" s="40"/>
      <c r="B18" s="4"/>
      <c r="C18" s="5"/>
      <c r="D18" s="5"/>
      <c r="E18" s="5"/>
      <c r="F18" s="5"/>
      <c r="G18" s="76"/>
      <c r="H18" s="5"/>
      <c r="I18" s="2"/>
      <c r="J18" s="2"/>
      <c r="K18" s="2"/>
      <c r="L18" s="27"/>
      <c r="M18" s="32"/>
      <c r="N18" s="29"/>
      <c r="O18" s="2"/>
    </row>
    <row r="19" spans="1:18" x14ac:dyDescent="0.25">
      <c r="A19" s="3" t="s">
        <v>2</v>
      </c>
      <c r="B19" s="4">
        <f>SUM(B15:B18)</f>
        <v>100</v>
      </c>
      <c r="C19" s="4">
        <f>SUM(C15:C18)</f>
        <v>100</v>
      </c>
      <c r="D19" s="4">
        <f>SUM(D15:D18)</f>
        <v>0</v>
      </c>
      <c r="E19" s="4">
        <f>IF(B19&gt;0,SUMPRODUCT(E15:E18,F15:F18)/SUM(F15:F18),"0.00")</f>
        <v>11.102000008093359</v>
      </c>
      <c r="F19" s="13">
        <f>SUM(F15:F18)</f>
        <v>9.0073860499999991</v>
      </c>
      <c r="G19" s="77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28">
        <f t="shared" si="0"/>
        <v>0</v>
      </c>
      <c r="M19" s="33"/>
      <c r="N19" s="3" t="s">
        <v>2</v>
      </c>
      <c r="O19" s="4">
        <f>SUM(O15:O18)</f>
        <v>0</v>
      </c>
      <c r="P19" s="1"/>
    </row>
    <row r="20" spans="1:18" x14ac:dyDescent="0.25">
      <c r="B20" s="8"/>
      <c r="E20" s="1"/>
      <c r="F20" s="9"/>
      <c r="G20" s="9"/>
      <c r="H20" s="9"/>
      <c r="I20" s="9"/>
      <c r="J20" s="9"/>
      <c r="K20" s="9"/>
    </row>
    <row r="25" spans="1:18" x14ac:dyDescent="0.25">
      <c r="R25" s="1"/>
    </row>
    <row r="27" spans="1:18" x14ac:dyDescent="0.25">
      <c r="J27" s="1"/>
    </row>
  </sheetData>
  <mergeCells count="13">
    <mergeCell ref="A13:F13"/>
    <mergeCell ref="G13:G19"/>
    <mergeCell ref="H13:L13"/>
    <mergeCell ref="N13:O13"/>
    <mergeCell ref="Q3:Q4"/>
    <mergeCell ref="U3:V3"/>
    <mergeCell ref="W3:W4"/>
    <mergeCell ref="X3:X4"/>
    <mergeCell ref="A12:O12"/>
    <mergeCell ref="Q2:X2"/>
    <mergeCell ref="R3:R4"/>
    <mergeCell ref="S3:S4"/>
    <mergeCell ref="T3:T4"/>
  </mergeCells>
  <hyperlinks>
    <hyperlink ref="A12:O12" location="WEBN!A1" display="WEBN Amundi Prime ACWI Acc UCITS ETF " xr:uid="{04427A72-C2D7-400B-ACC4-6F6AA44B6641}"/>
  </hyperlinks>
  <pageMargins left="0.7" right="0.7" top="0.75" bottom="0.75" header="0.3" footer="0.3"/>
  <pageSetup orientation="portrait" r:id="rId1"/>
  <ignoredErrors>
    <ignoredError sqref="E19" formula="1"/>
  </ignoredErrors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X27"/>
  <sheetViews>
    <sheetView workbookViewId="0">
      <selection activeCell="A15" sqref="A15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80">
        <v>2026.02</v>
      </c>
      <c r="R2" s="81"/>
      <c r="S2" s="81"/>
      <c r="T2" s="81"/>
      <c r="U2" s="81"/>
      <c r="V2" s="81"/>
      <c r="W2" s="81"/>
      <c r="X2" s="82"/>
    </row>
    <row r="3" spans="1:24" x14ac:dyDescent="0.25">
      <c r="Q3" s="83" t="s">
        <v>12</v>
      </c>
      <c r="R3" s="83" t="s">
        <v>33</v>
      </c>
      <c r="S3" s="83" t="s">
        <v>9</v>
      </c>
      <c r="T3" s="83" t="s">
        <v>31</v>
      </c>
      <c r="U3" s="84" t="s">
        <v>30</v>
      </c>
      <c r="V3" s="85"/>
      <c r="W3" s="68" t="s">
        <v>39</v>
      </c>
      <c r="X3" s="68" t="s">
        <v>40</v>
      </c>
    </row>
    <row r="4" spans="1:24" x14ac:dyDescent="0.25">
      <c r="Q4" s="65"/>
      <c r="R4" s="65"/>
      <c r="S4" s="65"/>
      <c r="T4" s="65"/>
      <c r="U4" s="16" t="s">
        <v>13</v>
      </c>
      <c r="V4" s="12" t="s">
        <v>28</v>
      </c>
      <c r="W4" s="68"/>
      <c r="X4" s="68"/>
    </row>
    <row r="5" spans="1:24" x14ac:dyDescent="0.25">
      <c r="Q5" s="4">
        <v>100</v>
      </c>
      <c r="R5" s="4">
        <v>0</v>
      </c>
      <c r="S5" s="4">
        <f>(C19+C29+C39+C49+C59+C69+C79+C89+C99+C109)</f>
        <v>100</v>
      </c>
      <c r="T5" s="4">
        <f>(I19+I29+I39+I49+I59+I69+I79+I89+I99+I109)-V5</f>
        <v>0</v>
      </c>
      <c r="U5" s="4">
        <f>D19+D29+D39+D49+D59+D69+D79+D89+D99+D109</f>
        <v>0</v>
      </c>
      <c r="V5" s="4">
        <f>J19+J29+J39+J49+J59+J69+J79+J89+J99+J109</f>
        <v>0</v>
      </c>
      <c r="W5" s="4">
        <f>O19+O29+O39+O49+O59+O69+O79+O89+O99+O109</f>
        <v>0</v>
      </c>
      <c r="X5" s="4">
        <f>Q5-S5-U5</f>
        <v>0</v>
      </c>
    </row>
    <row r="12" spans="1:24" x14ac:dyDescent="0.25">
      <c r="A12" s="71" t="s">
        <v>41</v>
      </c>
      <c r="B12" s="72"/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3"/>
      <c r="N12" s="72"/>
      <c r="O12" s="74"/>
    </row>
    <row r="13" spans="1:24" x14ac:dyDescent="0.25">
      <c r="A13" s="62" t="s">
        <v>13</v>
      </c>
      <c r="B13" s="66"/>
      <c r="C13" s="66"/>
      <c r="D13" s="66"/>
      <c r="E13" s="66"/>
      <c r="F13" s="63"/>
      <c r="G13" s="75"/>
      <c r="H13" s="78" t="s">
        <v>28</v>
      </c>
      <c r="I13" s="79"/>
      <c r="J13" s="79"/>
      <c r="K13" s="79"/>
      <c r="L13" s="79"/>
      <c r="M13" s="30"/>
      <c r="N13" s="62" t="s">
        <v>39</v>
      </c>
      <c r="O13" s="63"/>
      <c r="P13" s="20"/>
    </row>
    <row r="14" spans="1:24" x14ac:dyDescent="0.25">
      <c r="A14" s="26" t="s">
        <v>32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76"/>
      <c r="H14" s="3" t="s">
        <v>32</v>
      </c>
      <c r="I14" s="3" t="s">
        <v>29</v>
      </c>
      <c r="J14" s="3" t="s">
        <v>7</v>
      </c>
      <c r="K14" s="3" t="s">
        <v>0</v>
      </c>
      <c r="L14" s="17" t="s">
        <v>1</v>
      </c>
      <c r="M14" s="31"/>
      <c r="N14" s="18" t="s">
        <v>32</v>
      </c>
      <c r="O14" s="3" t="s">
        <v>29</v>
      </c>
      <c r="P14" s="20"/>
    </row>
    <row r="15" spans="1:24" x14ac:dyDescent="0.25">
      <c r="A15" s="42">
        <v>46072</v>
      </c>
      <c r="B15" s="11">
        <v>100</v>
      </c>
      <c r="C15" s="4">
        <v>100</v>
      </c>
      <c r="D15" s="4">
        <v>0</v>
      </c>
      <c r="E15" s="11">
        <f>C15/F15</f>
        <v>11.49000000194181</v>
      </c>
      <c r="F15" s="13">
        <v>8.7032201899999997</v>
      </c>
      <c r="G15" s="76"/>
      <c r="H15" s="5"/>
      <c r="I15" s="5"/>
      <c r="J15" s="4"/>
      <c r="K15" s="4"/>
      <c r="L15" s="24"/>
      <c r="M15" s="19"/>
      <c r="N15" s="25"/>
      <c r="O15" s="4"/>
      <c r="P15" s="1"/>
    </row>
    <row r="16" spans="1:24" x14ac:dyDescent="0.25">
      <c r="A16" s="39"/>
      <c r="B16" s="4"/>
      <c r="C16" s="5"/>
      <c r="D16" s="5"/>
      <c r="E16" s="5"/>
      <c r="F16" s="7"/>
      <c r="G16" s="76"/>
      <c r="H16" s="5"/>
      <c r="I16" s="2"/>
      <c r="J16" s="2"/>
      <c r="K16" s="2"/>
      <c r="L16" s="27"/>
      <c r="M16" s="32"/>
      <c r="N16" s="29"/>
      <c r="O16" s="2"/>
    </row>
    <row r="17" spans="1:18" ht="15" customHeight="1" x14ac:dyDescent="0.3">
      <c r="A17" s="40"/>
      <c r="B17" s="4"/>
      <c r="C17" s="5"/>
      <c r="D17" s="5"/>
      <c r="E17" s="5"/>
      <c r="F17" s="7"/>
      <c r="G17" s="76"/>
      <c r="H17" s="5"/>
      <c r="I17" s="2"/>
      <c r="J17" s="2"/>
      <c r="K17" s="2"/>
      <c r="L17" s="27"/>
      <c r="M17" s="32"/>
      <c r="N17" s="29"/>
      <c r="O17" s="2"/>
    </row>
    <row r="18" spans="1:18" ht="15" customHeight="1" x14ac:dyDescent="0.3">
      <c r="A18" s="40"/>
      <c r="B18" s="4"/>
      <c r="C18" s="5"/>
      <c r="D18" s="5"/>
      <c r="E18" s="5"/>
      <c r="F18" s="5"/>
      <c r="G18" s="76"/>
      <c r="H18" s="5"/>
      <c r="I18" s="2"/>
      <c r="J18" s="2"/>
      <c r="K18" s="2"/>
      <c r="L18" s="27"/>
      <c r="M18" s="32"/>
      <c r="N18" s="29"/>
      <c r="O18" s="2"/>
    </row>
    <row r="19" spans="1:18" x14ac:dyDescent="0.25">
      <c r="A19" s="3" t="s">
        <v>2</v>
      </c>
      <c r="B19" s="4">
        <f>SUM(B15:B18)</f>
        <v>100</v>
      </c>
      <c r="C19" s="4">
        <f>SUM(C15:C18)</f>
        <v>100</v>
      </c>
      <c r="D19" s="4">
        <f>SUM(D15:D18)</f>
        <v>0</v>
      </c>
      <c r="E19" s="5">
        <f>IF(B19&gt;0,SUMPRODUCT(E15:E18,F15:F18)/SUM(F15:F18),"0.00")</f>
        <v>11.49000000194181</v>
      </c>
      <c r="F19" s="13">
        <f>SUM(F15:F18)</f>
        <v>8.7032201899999997</v>
      </c>
      <c r="G19" s="77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28">
        <f t="shared" si="0"/>
        <v>0</v>
      </c>
      <c r="M19" s="33"/>
      <c r="N19" s="3" t="s">
        <v>2</v>
      </c>
      <c r="O19" s="4">
        <f>SUM(O15:O18)</f>
        <v>0</v>
      </c>
      <c r="P19" s="1"/>
    </row>
    <row r="20" spans="1:18" x14ac:dyDescent="0.25">
      <c r="B20" s="8"/>
      <c r="E20" s="1"/>
      <c r="F20" s="9"/>
      <c r="G20" s="9"/>
      <c r="H20" s="9"/>
      <c r="I20" s="9"/>
      <c r="J20" s="9"/>
      <c r="K20" s="9"/>
    </row>
    <row r="25" spans="1:18" x14ac:dyDescent="0.25">
      <c r="R25" s="1"/>
    </row>
    <row r="27" spans="1:18" x14ac:dyDescent="0.25">
      <c r="J27" s="1"/>
    </row>
  </sheetData>
  <mergeCells count="13">
    <mergeCell ref="A13:F13"/>
    <mergeCell ref="G13:G19"/>
    <mergeCell ref="H13:L13"/>
    <mergeCell ref="N13:O13"/>
    <mergeCell ref="Q3:Q4"/>
    <mergeCell ref="U3:V3"/>
    <mergeCell ref="W3:W4"/>
    <mergeCell ref="X3:X4"/>
    <mergeCell ref="A12:O12"/>
    <mergeCell ref="Q2:X2"/>
    <mergeCell ref="R3:R4"/>
    <mergeCell ref="S3:S4"/>
    <mergeCell ref="T3:T4"/>
  </mergeCells>
  <hyperlinks>
    <hyperlink ref="A12:O12" location="WEBN!A1" display="WEBN Amundi Prime ACWI Acc UCITS ETF " xr:uid="{BF7DD392-2323-41A9-A80E-2E9F0505699A}"/>
  </hyperlinks>
  <pageMargins left="0.7" right="0.7" top="0.75" bottom="0.75" header="0.3" footer="0.3"/>
  <pageSetup orientation="portrait" r:id="rId1"/>
  <ignoredErrors>
    <ignoredError sqref="E19" formula="1"/>
  </ignoredErrors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X27"/>
  <sheetViews>
    <sheetView workbookViewId="0">
      <selection activeCell="A15" sqref="A15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80">
        <v>2026.01</v>
      </c>
      <c r="R2" s="81"/>
      <c r="S2" s="81"/>
      <c r="T2" s="81"/>
      <c r="U2" s="81"/>
      <c r="V2" s="81"/>
      <c r="W2" s="81"/>
      <c r="X2" s="82"/>
    </row>
    <row r="3" spans="1:24" x14ac:dyDescent="0.25">
      <c r="Q3" s="83" t="s">
        <v>12</v>
      </c>
      <c r="R3" s="83" t="s">
        <v>33</v>
      </c>
      <c r="S3" s="83" t="s">
        <v>9</v>
      </c>
      <c r="T3" s="83" t="s">
        <v>31</v>
      </c>
      <c r="U3" s="84" t="s">
        <v>30</v>
      </c>
      <c r="V3" s="85"/>
      <c r="W3" s="68" t="s">
        <v>39</v>
      </c>
      <c r="X3" s="68" t="s">
        <v>40</v>
      </c>
    </row>
    <row r="4" spans="1:24" x14ac:dyDescent="0.25">
      <c r="Q4" s="65"/>
      <c r="R4" s="65"/>
      <c r="S4" s="65"/>
      <c r="T4" s="65"/>
      <c r="U4" s="16" t="s">
        <v>13</v>
      </c>
      <c r="V4" s="12" t="s">
        <v>28</v>
      </c>
      <c r="W4" s="68"/>
      <c r="X4" s="68"/>
    </row>
    <row r="5" spans="1:24" x14ac:dyDescent="0.25">
      <c r="Q5" s="4">
        <v>100</v>
      </c>
      <c r="R5" s="4">
        <v>0</v>
      </c>
      <c r="S5" s="4">
        <f>(C19+C29+C39+C49+C59+C69+C79+C89+C99+C109)</f>
        <v>100</v>
      </c>
      <c r="T5" s="4">
        <f>(I19+I29+I39+I49+I59+I69+I79+I89+I99+I109)-V5</f>
        <v>0</v>
      </c>
      <c r="U5" s="4">
        <f>D19+D29+D39+D49+D59+D69+D79+D89+D99+D109</f>
        <v>0</v>
      </c>
      <c r="V5" s="4">
        <f>J19+J29+J39+J49+J59+J69+J79+J89+J99+J109</f>
        <v>0</v>
      </c>
      <c r="W5" s="4">
        <f>O19+O29+O39+O49+O59+O69+O79+O89+O99+O109</f>
        <v>0</v>
      </c>
      <c r="X5" s="4">
        <f>Q5-S5-U5</f>
        <v>0</v>
      </c>
    </row>
    <row r="12" spans="1:24" x14ac:dyDescent="0.25">
      <c r="A12" s="71" t="s">
        <v>41</v>
      </c>
      <c r="B12" s="72"/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3"/>
      <c r="N12" s="72"/>
      <c r="O12" s="74"/>
    </row>
    <row r="13" spans="1:24" x14ac:dyDescent="0.25">
      <c r="A13" s="62" t="s">
        <v>13</v>
      </c>
      <c r="B13" s="66"/>
      <c r="C13" s="66"/>
      <c r="D13" s="66"/>
      <c r="E13" s="66"/>
      <c r="F13" s="63"/>
      <c r="G13" s="75"/>
      <c r="H13" s="78" t="s">
        <v>28</v>
      </c>
      <c r="I13" s="79"/>
      <c r="J13" s="79"/>
      <c r="K13" s="79"/>
      <c r="L13" s="79"/>
      <c r="M13" s="30"/>
      <c r="N13" s="62" t="s">
        <v>39</v>
      </c>
      <c r="O13" s="63"/>
      <c r="P13" s="20"/>
    </row>
    <row r="14" spans="1:24" x14ac:dyDescent="0.25">
      <c r="A14" s="26" t="s">
        <v>32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76"/>
      <c r="H14" s="3" t="s">
        <v>32</v>
      </c>
      <c r="I14" s="3" t="s">
        <v>29</v>
      </c>
      <c r="J14" s="3" t="s">
        <v>7</v>
      </c>
      <c r="K14" s="3" t="s">
        <v>0</v>
      </c>
      <c r="L14" s="17" t="s">
        <v>1</v>
      </c>
      <c r="M14" s="31"/>
      <c r="N14" s="18" t="s">
        <v>32</v>
      </c>
      <c r="O14" s="3" t="s">
        <v>29</v>
      </c>
      <c r="P14" s="20"/>
    </row>
    <row r="15" spans="1:24" x14ac:dyDescent="0.25">
      <c r="A15" s="42">
        <v>46041</v>
      </c>
      <c r="B15" s="11">
        <v>100</v>
      </c>
      <c r="C15" s="4">
        <v>100</v>
      </c>
      <c r="D15" s="4">
        <v>0</v>
      </c>
      <c r="E15" s="11">
        <f>C15/F15</f>
        <v>11.448000006007911</v>
      </c>
      <c r="F15" s="13">
        <v>8.7351502399999994</v>
      </c>
      <c r="G15" s="76"/>
      <c r="H15" s="5"/>
      <c r="I15" s="5"/>
      <c r="J15" s="4"/>
      <c r="K15" s="4"/>
      <c r="L15" s="24"/>
      <c r="M15" s="19"/>
      <c r="N15" s="25"/>
      <c r="O15" s="4"/>
      <c r="P15" s="1"/>
    </row>
    <row r="16" spans="1:24" x14ac:dyDescent="0.25">
      <c r="A16" s="39"/>
      <c r="B16" s="4"/>
      <c r="C16" s="5"/>
      <c r="D16" s="5"/>
      <c r="E16" s="5"/>
      <c r="F16" s="7"/>
      <c r="G16" s="76"/>
      <c r="H16" s="5"/>
      <c r="I16" s="2"/>
      <c r="J16" s="2"/>
      <c r="K16" s="2"/>
      <c r="L16" s="27"/>
      <c r="M16" s="32"/>
      <c r="N16" s="29"/>
      <c r="O16" s="2"/>
    </row>
    <row r="17" spans="1:18" ht="15" customHeight="1" x14ac:dyDescent="0.3">
      <c r="A17" s="40"/>
      <c r="B17" s="4"/>
      <c r="C17" s="5"/>
      <c r="D17" s="5"/>
      <c r="E17" s="5"/>
      <c r="F17" s="7"/>
      <c r="G17" s="76"/>
      <c r="H17" s="5"/>
      <c r="I17" s="2"/>
      <c r="J17" s="2"/>
      <c r="K17" s="2"/>
      <c r="L17" s="27"/>
      <c r="M17" s="32"/>
      <c r="N17" s="29"/>
      <c r="O17" s="2"/>
    </row>
    <row r="18" spans="1:18" ht="15" customHeight="1" x14ac:dyDescent="0.3">
      <c r="A18" s="40"/>
      <c r="B18" s="4"/>
      <c r="C18" s="5"/>
      <c r="D18" s="5"/>
      <c r="E18" s="5"/>
      <c r="F18" s="5"/>
      <c r="G18" s="76"/>
      <c r="H18" s="5"/>
      <c r="I18" s="2"/>
      <c r="J18" s="2"/>
      <c r="K18" s="2"/>
      <c r="L18" s="27"/>
      <c r="M18" s="32"/>
      <c r="N18" s="29"/>
      <c r="O18" s="2"/>
    </row>
    <row r="19" spans="1:18" x14ac:dyDescent="0.25">
      <c r="A19" s="3" t="s">
        <v>2</v>
      </c>
      <c r="B19" s="4">
        <f>SUM(B15:B18)</f>
        <v>100</v>
      </c>
      <c r="C19" s="4">
        <f>SUM(C15:C18)</f>
        <v>100</v>
      </c>
      <c r="D19" s="4">
        <f>SUM(D15:D18)</f>
        <v>0</v>
      </c>
      <c r="E19" s="4">
        <f>IF(B19&gt;0,SUMPRODUCT(E15:E18,F15:F18)/SUM(F15:F18),"0.00")</f>
        <v>11.448000006007911</v>
      </c>
      <c r="F19" s="13">
        <f>SUM(F15:F18)</f>
        <v>8.7351502399999994</v>
      </c>
      <c r="G19" s="77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28">
        <f t="shared" si="0"/>
        <v>0</v>
      </c>
      <c r="M19" s="33"/>
      <c r="N19" s="3" t="s">
        <v>2</v>
      </c>
      <c r="O19" s="4">
        <f>SUM(O15:O18)</f>
        <v>0</v>
      </c>
      <c r="P19" s="1"/>
    </row>
    <row r="20" spans="1:18" x14ac:dyDescent="0.25">
      <c r="B20" s="8"/>
      <c r="E20" s="1"/>
      <c r="F20" s="9"/>
      <c r="G20" s="9"/>
      <c r="H20" s="9"/>
      <c r="I20" s="9"/>
      <c r="J20" s="9"/>
      <c r="K20" s="9"/>
    </row>
    <row r="25" spans="1:18" x14ac:dyDescent="0.25">
      <c r="R25" s="1"/>
    </row>
    <row r="27" spans="1:18" x14ac:dyDescent="0.25">
      <c r="J27" s="1"/>
    </row>
  </sheetData>
  <mergeCells count="13">
    <mergeCell ref="Q2:X2"/>
    <mergeCell ref="X3:X4"/>
    <mergeCell ref="W3:W4"/>
    <mergeCell ref="A13:F13"/>
    <mergeCell ref="H13:L13"/>
    <mergeCell ref="A12:O12"/>
    <mergeCell ref="N13:O13"/>
    <mergeCell ref="T3:T4"/>
    <mergeCell ref="U3:V3"/>
    <mergeCell ref="R3:R4"/>
    <mergeCell ref="G13:G19"/>
    <mergeCell ref="Q3:Q4"/>
    <mergeCell ref="S3:S4"/>
  </mergeCells>
  <hyperlinks>
    <hyperlink ref="A12:O12" location="WEBN!A1" display="WEBN Amundi Prime ACWI Acc UCITS ETF " xr:uid="{160B363E-58E4-49F0-84BE-E7C80F8C2E97}"/>
  </hyperlinks>
  <pageMargins left="0.7" right="0.7" top="0.75" bottom="0.75" header="0.3" footer="0.3"/>
  <pageSetup orientation="portrait" r:id="rId1"/>
  <ignoredErrors>
    <ignoredError sqref="E19" formula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Apžvalga</vt:lpstr>
      <vt:lpstr>NADQ</vt:lpstr>
      <vt:lpstr>QDVE</vt:lpstr>
      <vt:lpstr>VWCE</vt:lpstr>
      <vt:lpstr>XDEQ</vt:lpstr>
      <vt:lpstr>VUAA</vt:lpstr>
      <vt:lpstr>XDWT</vt:lpstr>
      <vt:lpstr>XAIX</vt:lpstr>
      <vt:lpstr>WEBN</vt:lpstr>
      <vt:lpstr>2026.08</vt:lpstr>
      <vt:lpstr>2026.07</vt:lpstr>
      <vt:lpstr>2026.06</vt:lpstr>
      <vt:lpstr>2026.05</vt:lpstr>
      <vt:lpstr>2026.04</vt:lpstr>
      <vt:lpstr>2026.03</vt:lpstr>
      <vt:lpstr>2026.02</vt:lpstr>
      <vt:lpstr>2026.01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2025-05-27T05:42:47Z</dcterms:created>
  <dcterms:modified xsi:type="dcterms:W3CDTF">2026-09-01T19:36:58Z</dcterms:modified>
</cp:coreProperties>
</file>