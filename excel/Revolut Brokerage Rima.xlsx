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Revolut\Brokerage Account Rima\"/>
    </mc:Choice>
  </mc:AlternateContent>
  <xr:revisionPtr revIDLastSave="0" documentId="13_ncr:1_{C1E59FCE-1FFB-4DCA-808D-C908F70FB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žvalga" sheetId="81" r:id="rId1"/>
    <sheet name="NADQ" sheetId="35" state="hidden" r:id="rId2"/>
    <sheet name="QDVE" sheetId="46" state="hidden" r:id="rId3"/>
    <sheet name="VWCE" sheetId="48" state="hidden" r:id="rId4"/>
    <sheet name="XDEQ" sheetId="83" state="hidden" r:id="rId5"/>
    <sheet name="VUAA" sheetId="84" state="hidden" r:id="rId6"/>
    <sheet name="XDWT" sheetId="86" state="hidden" r:id="rId7"/>
    <sheet name="XAIX" sheetId="87" state="hidden" r:id="rId8"/>
    <sheet name="WEBN" sheetId="90" r:id="rId9"/>
    <sheet name="2026.09" sheetId="104" r:id="rId10"/>
    <sheet name="2026.08" sheetId="103" r:id="rId11"/>
    <sheet name="2026.07" sheetId="102" r:id="rId12"/>
    <sheet name="2026.06" sheetId="101" r:id="rId13"/>
    <sheet name="2026.05" sheetId="100" r:id="rId14"/>
    <sheet name="2026.04" sheetId="99" r:id="rId15"/>
    <sheet name="2026.03" sheetId="98" r:id="rId16"/>
    <sheet name="2026.02" sheetId="97" r:id="rId17"/>
    <sheet name="2026.01" sheetId="6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81" l="1"/>
  <c r="K11" i="81"/>
  <c r="J11" i="81"/>
  <c r="E11" i="81"/>
  <c r="D11" i="81"/>
  <c r="C11" i="81"/>
  <c r="B11" i="81"/>
  <c r="A11" i="81"/>
  <c r="AG13" i="90"/>
  <c r="AF13" i="90"/>
  <c r="AE13" i="90"/>
  <c r="AD13" i="90"/>
  <c r="AC13" i="90"/>
  <c r="M13" i="90"/>
  <c r="L13" i="90"/>
  <c r="K13" i="90"/>
  <c r="E13" i="90"/>
  <c r="F13" i="90" s="1"/>
  <c r="H13" i="90" s="1"/>
  <c r="F11" i="81" s="1"/>
  <c r="G11" i="81" s="1"/>
  <c r="H11" i="81" s="1"/>
  <c r="I11" i="81" s="1"/>
  <c r="C13" i="90"/>
  <c r="B13" i="90"/>
  <c r="A13" i="90"/>
  <c r="D13" i="90"/>
  <c r="E15" i="104"/>
  <c r="O19" i="104"/>
  <c r="L19" i="104"/>
  <c r="J19" i="104"/>
  <c r="V5" i="104" s="1"/>
  <c r="I19" i="104"/>
  <c r="T5" i="104" s="1"/>
  <c r="F19" i="104"/>
  <c r="D19" i="104"/>
  <c r="U5" i="104" s="1"/>
  <c r="C19" i="104"/>
  <c r="B19" i="104"/>
  <c r="E19" i="104" s="1"/>
  <c r="W5" i="104"/>
  <c r="S5" i="104"/>
  <c r="X5" i="104" s="1"/>
  <c r="AF200" i="90"/>
  <c r="AG12" i="90"/>
  <c r="AF12" i="90"/>
  <c r="AE12" i="90"/>
  <c r="AD12" i="90"/>
  <c r="AC12" i="90"/>
  <c r="L10" i="81"/>
  <c r="D10" i="81" s="1"/>
  <c r="K10" i="81"/>
  <c r="J10" i="81"/>
  <c r="E10" i="81"/>
  <c r="G10" i="81" s="1"/>
  <c r="C10" i="81"/>
  <c r="B10" i="81"/>
  <c r="A10" i="81"/>
  <c r="F10" i="81"/>
  <c r="M12" i="90"/>
  <c r="L12" i="90"/>
  <c r="K12" i="90"/>
  <c r="E12" i="90"/>
  <c r="F12" i="90" s="1"/>
  <c r="H12" i="90" s="1"/>
  <c r="C12" i="90"/>
  <c r="D12" i="90" s="1"/>
  <c r="B12" i="90"/>
  <c r="A12" i="90"/>
  <c r="E15" i="103"/>
  <c r="E19" i="103" s="1"/>
  <c r="O19" i="103"/>
  <c r="L19" i="103"/>
  <c r="J19" i="103"/>
  <c r="V5" i="103" s="1"/>
  <c r="T5" i="103" s="1"/>
  <c r="I19" i="103"/>
  <c r="F19" i="103"/>
  <c r="D19" i="103"/>
  <c r="U5" i="103" s="1"/>
  <c r="C19" i="103"/>
  <c r="B19" i="103"/>
  <c r="W5" i="103"/>
  <c r="S5" i="103"/>
  <c r="X5" i="103" s="1"/>
  <c r="L9" i="81"/>
  <c r="K9" i="81"/>
  <c r="J9" i="81"/>
  <c r="E9" i="81"/>
  <c r="D9" i="81"/>
  <c r="C9" i="81"/>
  <c r="B9" i="81"/>
  <c r="A9" i="81"/>
  <c r="AG11" i="90"/>
  <c r="AF11" i="90"/>
  <c r="AE11" i="90"/>
  <c r="AD11" i="90"/>
  <c r="AC11" i="90"/>
  <c r="M11" i="90"/>
  <c r="L11" i="90"/>
  <c r="K11" i="90"/>
  <c r="E11" i="90"/>
  <c r="F11" i="90" s="1"/>
  <c r="H11" i="90" s="1"/>
  <c r="F9" i="81" s="1"/>
  <c r="G9" i="81" s="1"/>
  <c r="H9" i="81" s="1"/>
  <c r="I9" i="81" s="1"/>
  <c r="C11" i="90"/>
  <c r="D11" i="90" s="1"/>
  <c r="B11" i="90"/>
  <c r="A11" i="90"/>
  <c r="E15" i="102"/>
  <c r="O19" i="102"/>
  <c r="W5" i="102" s="1"/>
  <c r="L19" i="102"/>
  <c r="J19" i="102"/>
  <c r="I19" i="102"/>
  <c r="T5" i="102" s="1"/>
  <c r="F19" i="102"/>
  <c r="D19" i="102"/>
  <c r="C19" i="102"/>
  <c r="B19" i="102"/>
  <c r="E19" i="102"/>
  <c r="V5" i="102"/>
  <c r="U5" i="102"/>
  <c r="S5" i="102"/>
  <c r="X5" i="102" s="1"/>
  <c r="I13" i="90" l="1"/>
  <c r="J13" i="90"/>
  <c r="AG200" i="90" a="1"/>
  <c r="AG200" i="90" s="1"/>
  <c r="U5" i="90" s="1"/>
  <c r="H10" i="81"/>
  <c r="I10" i="81" s="1"/>
  <c r="I12" i="90"/>
  <c r="J12" i="90"/>
  <c r="I11" i="90"/>
  <c r="J11" i="90"/>
  <c r="AG10" i="90"/>
  <c r="AG9" i="90"/>
  <c r="AG8" i="90"/>
  <c r="AG7" i="90"/>
  <c r="AG6" i="90"/>
  <c r="AG5" i="90"/>
  <c r="AF5" i="90"/>
  <c r="AF6" i="90"/>
  <c r="AF7" i="90"/>
  <c r="AF8" i="90"/>
  <c r="AF9" i="90"/>
  <c r="AF10" i="90"/>
  <c r="E19" i="101"/>
  <c r="E19" i="100"/>
  <c r="E19" i="99"/>
  <c r="E19" i="98"/>
  <c r="E19" i="97"/>
  <c r="E19" i="69"/>
  <c r="J8" i="81"/>
  <c r="C8" i="81"/>
  <c r="A8" i="81"/>
  <c r="M10" i="90"/>
  <c r="L10" i="90"/>
  <c r="K10" i="90"/>
  <c r="E10" i="90"/>
  <c r="C10" i="90"/>
  <c r="B10" i="90"/>
  <c r="A10" i="90"/>
  <c r="O19" i="101"/>
  <c r="L19" i="101"/>
  <c r="J19" i="101"/>
  <c r="V5" i="101" s="1"/>
  <c r="L8" i="81" s="1"/>
  <c r="I19" i="101"/>
  <c r="F19" i="101"/>
  <c r="AE10" i="90" s="1"/>
  <c r="D19" i="101"/>
  <c r="U5" i="101" s="1"/>
  <c r="K8" i="81" s="1"/>
  <c r="C19" i="101"/>
  <c r="S5" i="101" s="1"/>
  <c r="B19" i="101"/>
  <c r="W5" i="101"/>
  <c r="E15" i="101"/>
  <c r="AS2" i="81" l="1"/>
  <c r="AD10" i="90"/>
  <c r="L7" i="81"/>
  <c r="T5" i="101"/>
  <c r="AC10" i="90"/>
  <c r="X5" i="101"/>
  <c r="E8" i="81" s="1"/>
  <c r="C7" i="81"/>
  <c r="C6" i="81"/>
  <c r="A7" i="81"/>
  <c r="A6" i="81"/>
  <c r="M9" i="90" l="1"/>
  <c r="M8" i="90"/>
  <c r="L9" i="90"/>
  <c r="L8" i="90"/>
  <c r="K9" i="90"/>
  <c r="K8" i="90"/>
  <c r="E9" i="90"/>
  <c r="E8" i="90"/>
  <c r="B9" i="90"/>
  <c r="C9" i="90"/>
  <c r="C8" i="90"/>
  <c r="B8" i="90"/>
  <c r="A9" i="90"/>
  <c r="A8" i="90"/>
  <c r="O19" i="100"/>
  <c r="L19" i="100"/>
  <c r="J19" i="100"/>
  <c r="V5" i="100" s="1"/>
  <c r="I19" i="100"/>
  <c r="F19" i="100"/>
  <c r="AE9" i="90" s="1"/>
  <c r="D19" i="100"/>
  <c r="C19" i="100"/>
  <c r="AC9" i="90" s="1"/>
  <c r="B19" i="100"/>
  <c r="W5" i="100"/>
  <c r="J7" i="81" s="1"/>
  <c r="U5" i="100"/>
  <c r="K7" i="81" s="1"/>
  <c r="S5" i="100"/>
  <c r="E15" i="100"/>
  <c r="AD9" i="90" s="1"/>
  <c r="O19" i="99"/>
  <c r="L19" i="99"/>
  <c r="J19" i="99"/>
  <c r="V5" i="99" s="1"/>
  <c r="L6" i="81" s="1"/>
  <c r="I19" i="99"/>
  <c r="F19" i="99"/>
  <c r="AE8" i="90" s="1"/>
  <c r="D19" i="99"/>
  <c r="U5" i="99" s="1"/>
  <c r="K6" i="81" s="1"/>
  <c r="C19" i="99"/>
  <c r="AC8" i="90" s="1"/>
  <c r="B19" i="99"/>
  <c r="W5" i="99"/>
  <c r="J6" i="81" s="1"/>
  <c r="E15" i="99"/>
  <c r="AD8" i="90" s="1"/>
  <c r="M7" i="90"/>
  <c r="L7" i="90"/>
  <c r="K7" i="90"/>
  <c r="E7" i="90"/>
  <c r="C7" i="90"/>
  <c r="B7" i="90"/>
  <c r="C5" i="81"/>
  <c r="A5" i="81"/>
  <c r="A7" i="90"/>
  <c r="O19" i="98"/>
  <c r="L19" i="98"/>
  <c r="J19" i="98"/>
  <c r="V5" i="98" s="1"/>
  <c r="I19" i="98"/>
  <c r="F19" i="98"/>
  <c r="AE7" i="90" s="1"/>
  <c r="D19" i="98"/>
  <c r="U5" i="98" s="1"/>
  <c r="K5" i="81" s="1"/>
  <c r="C19" i="98"/>
  <c r="AC7" i="90" s="1"/>
  <c r="B19" i="98"/>
  <c r="W5" i="98"/>
  <c r="J5" i="81" s="1"/>
  <c r="S5" i="98"/>
  <c r="E15" i="98"/>
  <c r="AD7" i="90" s="1"/>
  <c r="C4" i="81"/>
  <c r="A4" i="81"/>
  <c r="M6" i="90"/>
  <c r="L6" i="90"/>
  <c r="K6" i="90"/>
  <c r="E6" i="90"/>
  <c r="C6" i="90"/>
  <c r="B6" i="90"/>
  <c r="A6" i="90"/>
  <c r="O19" i="97"/>
  <c r="L19" i="97"/>
  <c r="J19" i="97"/>
  <c r="V5" i="97" s="1"/>
  <c r="L4" i="81" s="1"/>
  <c r="I19" i="97"/>
  <c r="F19" i="97"/>
  <c r="AE6" i="90" s="1"/>
  <c r="D19" i="97"/>
  <c r="U5" i="97" s="1"/>
  <c r="K4" i="81" s="1"/>
  <c r="C19" i="97"/>
  <c r="B19" i="97"/>
  <c r="W5" i="97"/>
  <c r="J4" i="81" s="1"/>
  <c r="E15" i="97"/>
  <c r="AD6" i="90" s="1"/>
  <c r="F2" i="81"/>
  <c r="M5" i="90"/>
  <c r="L5" i="90"/>
  <c r="K5" i="90"/>
  <c r="E5" i="90"/>
  <c r="F5" i="90" s="1"/>
  <c r="H5" i="90" s="1"/>
  <c r="C5" i="90"/>
  <c r="D5" i="90" s="1"/>
  <c r="B5" i="90"/>
  <c r="A5" i="90"/>
  <c r="T5" i="100" l="1"/>
  <c r="X5" i="100"/>
  <c r="E7" i="81" s="1"/>
  <c r="S5" i="99"/>
  <c r="T5" i="99"/>
  <c r="L5" i="81"/>
  <c r="T5" i="98"/>
  <c r="X5" i="98"/>
  <c r="E5" i="81" s="1"/>
  <c r="V5" i="90"/>
  <c r="S5" i="97"/>
  <c r="X5" i="97" s="1"/>
  <c r="E4" i="81" s="1"/>
  <c r="AC6" i="90"/>
  <c r="W5" i="90"/>
  <c r="P5" i="90"/>
  <c r="X5" i="90"/>
  <c r="Q5" i="90"/>
  <c r="X5" i="99"/>
  <c r="E6" i="81" s="1"/>
  <c r="I5" i="90"/>
  <c r="F3" i="81"/>
  <c r="J5" i="90"/>
  <c r="D6" i="90"/>
  <c r="D7" i="90" s="1"/>
  <c r="D8" i="90" s="1"/>
  <c r="D9" i="90" s="1"/>
  <c r="D10" i="90" s="1"/>
  <c r="F6" i="90"/>
  <c r="H6" i="90" s="1"/>
  <c r="F4" i="81" s="1"/>
  <c r="T5" i="97"/>
  <c r="S5" i="90" l="1"/>
  <c r="T5" i="90"/>
  <c r="F7" i="90"/>
  <c r="G4" i="81"/>
  <c r="I6" i="90"/>
  <c r="J6" i="90"/>
  <c r="H7" i="90" l="1"/>
  <c r="F8" i="90"/>
  <c r="O19" i="69"/>
  <c r="W5" i="69" s="1"/>
  <c r="A8" i="87"/>
  <c r="A8" i="86"/>
  <c r="A9" i="84"/>
  <c r="A9" i="83"/>
  <c r="A10" i="48"/>
  <c r="A12" i="46"/>
  <c r="A16" i="35"/>
  <c r="C12" i="46"/>
  <c r="M8" i="87"/>
  <c r="L8" i="87"/>
  <c r="E8" i="87"/>
  <c r="C8" i="87"/>
  <c r="B8" i="87"/>
  <c r="K8" i="87"/>
  <c r="M8" i="86"/>
  <c r="L8" i="86"/>
  <c r="E8" i="86"/>
  <c r="C8" i="86"/>
  <c r="B8" i="86"/>
  <c r="K8" i="86"/>
  <c r="M9" i="84"/>
  <c r="L9" i="84"/>
  <c r="E9" i="84"/>
  <c r="K9" i="84"/>
  <c r="C9" i="84"/>
  <c r="B9" i="84"/>
  <c r="M9" i="83"/>
  <c r="L9" i="83"/>
  <c r="E9" i="83"/>
  <c r="K9" i="83"/>
  <c r="C9" i="83"/>
  <c r="B9" i="83"/>
  <c r="M10" i="48"/>
  <c r="L10" i="48"/>
  <c r="E10" i="48"/>
  <c r="B10" i="48"/>
  <c r="M12" i="46"/>
  <c r="L12" i="46"/>
  <c r="E12" i="46"/>
  <c r="K12" i="46"/>
  <c r="B12" i="46"/>
  <c r="E16" i="35"/>
  <c r="B16" i="35"/>
  <c r="C3" i="81"/>
  <c r="E7" i="87"/>
  <c r="A7" i="87"/>
  <c r="A7" i="86"/>
  <c r="A8" i="84"/>
  <c r="C8" i="83"/>
  <c r="A8" i="83"/>
  <c r="A9" i="48"/>
  <c r="A11" i="46"/>
  <c r="A15" i="35"/>
  <c r="K7" i="87"/>
  <c r="K7" i="86"/>
  <c r="M7" i="87"/>
  <c r="C7" i="87"/>
  <c r="B7" i="87"/>
  <c r="M7" i="86"/>
  <c r="L7" i="86"/>
  <c r="E7" i="86"/>
  <c r="C7" i="86"/>
  <c r="B7" i="86"/>
  <c r="M8" i="84"/>
  <c r="L8" i="84"/>
  <c r="E8" i="84"/>
  <c r="K8" i="84"/>
  <c r="C8" i="84"/>
  <c r="B8" i="84"/>
  <c r="M8" i="83"/>
  <c r="L8" i="83"/>
  <c r="E8" i="83"/>
  <c r="K8" i="83"/>
  <c r="B8" i="83"/>
  <c r="M9" i="48"/>
  <c r="L9" i="48"/>
  <c r="E9" i="48"/>
  <c r="K9" i="48"/>
  <c r="B9" i="48"/>
  <c r="M11" i="46"/>
  <c r="L11" i="46"/>
  <c r="E11" i="46"/>
  <c r="K11" i="46"/>
  <c r="B11" i="46"/>
  <c r="E15" i="35"/>
  <c r="B15" i="35"/>
  <c r="A6" i="87"/>
  <c r="A6" i="86"/>
  <c r="H8" i="90" l="1"/>
  <c r="F9" i="90"/>
  <c r="F5" i="81"/>
  <c r="G5" i="81" s="1"/>
  <c r="I7" i="90"/>
  <c r="J7" i="90"/>
  <c r="K16" i="35"/>
  <c r="M16" i="35"/>
  <c r="C16" i="35"/>
  <c r="C15" i="35"/>
  <c r="L15" i="35"/>
  <c r="L7" i="87"/>
  <c r="L16" i="35"/>
  <c r="K15" i="35"/>
  <c r="R5" i="48"/>
  <c r="M15" i="35"/>
  <c r="C9" i="48"/>
  <c r="R5" i="46"/>
  <c r="R5" i="35"/>
  <c r="C10" i="48"/>
  <c r="R5" i="83"/>
  <c r="R5" i="84"/>
  <c r="R5" i="86"/>
  <c r="R5" i="87"/>
  <c r="K10" i="48"/>
  <c r="C11" i="46"/>
  <c r="A7" i="84"/>
  <c r="A7" i="83"/>
  <c r="A8" i="48"/>
  <c r="A10" i="46"/>
  <c r="E14" i="35"/>
  <c r="A14" i="35"/>
  <c r="M6" i="87"/>
  <c r="L6" i="87"/>
  <c r="E6" i="87"/>
  <c r="K6" i="87"/>
  <c r="C6" i="87"/>
  <c r="B6" i="87"/>
  <c r="M6" i="86"/>
  <c r="L6" i="86"/>
  <c r="E6" i="86"/>
  <c r="K6" i="86"/>
  <c r="C6" i="86"/>
  <c r="B6" i="86"/>
  <c r="M7" i="84"/>
  <c r="L7" i="84"/>
  <c r="E7" i="84"/>
  <c r="K7" i="84"/>
  <c r="C7" i="84"/>
  <c r="B7" i="84"/>
  <c r="M7" i="83"/>
  <c r="L7" i="83"/>
  <c r="E7" i="83"/>
  <c r="K7" i="83"/>
  <c r="C7" i="83"/>
  <c r="B7" i="83"/>
  <c r="M8" i="48"/>
  <c r="L8" i="48"/>
  <c r="E8" i="48"/>
  <c r="K8" i="48"/>
  <c r="C8" i="48"/>
  <c r="B8" i="48"/>
  <c r="M10" i="46"/>
  <c r="L10" i="46"/>
  <c r="E10" i="46"/>
  <c r="K10" i="46"/>
  <c r="C10" i="46"/>
  <c r="B10" i="46"/>
  <c r="B14" i="35"/>
  <c r="A5" i="87"/>
  <c r="A5" i="86"/>
  <c r="A6" i="84"/>
  <c r="A5" i="84"/>
  <c r="A6" i="83"/>
  <c r="A7" i="48"/>
  <c r="A9" i="46"/>
  <c r="A13" i="35"/>
  <c r="M5" i="87"/>
  <c r="L5" i="87"/>
  <c r="M5" i="86"/>
  <c r="L5" i="86"/>
  <c r="V5" i="86" s="1"/>
  <c r="M6" i="84"/>
  <c r="L6" i="84"/>
  <c r="E6" i="84"/>
  <c r="K6" i="84"/>
  <c r="C6" i="84"/>
  <c r="B6" i="84"/>
  <c r="M6" i="83"/>
  <c r="L6" i="83"/>
  <c r="E6" i="83"/>
  <c r="K6" i="83"/>
  <c r="C6" i="83"/>
  <c r="B6" i="83"/>
  <c r="M7" i="48"/>
  <c r="L7" i="48"/>
  <c r="E7" i="48"/>
  <c r="K7" i="48"/>
  <c r="C7" i="48"/>
  <c r="B7" i="48"/>
  <c r="M9" i="46"/>
  <c r="L9" i="46"/>
  <c r="E9" i="46"/>
  <c r="K9" i="46"/>
  <c r="C9" i="46"/>
  <c r="B9" i="46"/>
  <c r="E13" i="35"/>
  <c r="B13" i="35"/>
  <c r="A5" i="83"/>
  <c r="A6" i="48"/>
  <c r="A5" i="48"/>
  <c r="A8" i="46"/>
  <c r="A12" i="35"/>
  <c r="M5" i="84"/>
  <c r="L5" i="84"/>
  <c r="M5" i="83"/>
  <c r="L5" i="83"/>
  <c r="M6" i="48"/>
  <c r="L6" i="48"/>
  <c r="E6" i="48"/>
  <c r="K6" i="48"/>
  <c r="C6" i="48"/>
  <c r="B6" i="48"/>
  <c r="M8" i="46"/>
  <c r="L8" i="46"/>
  <c r="E8" i="46"/>
  <c r="K8" i="46"/>
  <c r="C8" i="46"/>
  <c r="B8" i="46"/>
  <c r="E12" i="35"/>
  <c r="B12" i="35"/>
  <c r="A7" i="46"/>
  <c r="A11" i="35"/>
  <c r="M5" i="48"/>
  <c r="L5" i="48"/>
  <c r="M7" i="46"/>
  <c r="L7" i="46"/>
  <c r="E7" i="46"/>
  <c r="K7" i="46"/>
  <c r="C7" i="46"/>
  <c r="B7" i="46"/>
  <c r="E11" i="35"/>
  <c r="B11" i="35"/>
  <c r="A6" i="46"/>
  <c r="A5" i="46"/>
  <c r="A10" i="35"/>
  <c r="A9" i="35"/>
  <c r="A8" i="35"/>
  <c r="A7" i="35"/>
  <c r="A6" i="35"/>
  <c r="A5" i="35"/>
  <c r="A3" i="81"/>
  <c r="M6" i="46"/>
  <c r="M5" i="46"/>
  <c r="B8" i="35"/>
  <c r="B7" i="35"/>
  <c r="B6" i="35"/>
  <c r="H9" i="90" l="1"/>
  <c r="I9" i="90" s="1"/>
  <c r="F10" i="90"/>
  <c r="H10" i="90" s="1"/>
  <c r="F6" i="81"/>
  <c r="G6" i="81" s="1"/>
  <c r="J8" i="90"/>
  <c r="I8" i="90"/>
  <c r="C14" i="35"/>
  <c r="M14" i="35"/>
  <c r="C13" i="35"/>
  <c r="K13" i="35"/>
  <c r="L12" i="35"/>
  <c r="K12" i="35"/>
  <c r="C12" i="35"/>
  <c r="M12" i="35"/>
  <c r="C11" i="35"/>
  <c r="K11" i="35"/>
  <c r="K8" i="35"/>
  <c r="M8" i="35"/>
  <c r="K7" i="35"/>
  <c r="K6" i="35"/>
  <c r="M9" i="35"/>
  <c r="V5" i="87"/>
  <c r="M7" i="35"/>
  <c r="M10" i="35"/>
  <c r="V5" i="84"/>
  <c r="L11" i="35"/>
  <c r="L7" i="35"/>
  <c r="L6" i="35"/>
  <c r="L8" i="35"/>
  <c r="M11" i="35"/>
  <c r="L13" i="35"/>
  <c r="K14" i="35"/>
  <c r="M13" i="35"/>
  <c r="L14" i="35"/>
  <c r="V5" i="83"/>
  <c r="L6" i="46"/>
  <c r="E6" i="46"/>
  <c r="K6" i="46"/>
  <c r="C6" i="46"/>
  <c r="B6" i="46"/>
  <c r="E10" i="35"/>
  <c r="L5" i="46"/>
  <c r="E9" i="35"/>
  <c r="B9" i="35"/>
  <c r="E8" i="35"/>
  <c r="C8" i="35"/>
  <c r="E7" i="35"/>
  <c r="C7" i="35"/>
  <c r="E6" i="35"/>
  <c r="C6" i="35"/>
  <c r="L19" i="69"/>
  <c r="J19" i="69"/>
  <c r="I19" i="69"/>
  <c r="F7" i="81" l="1"/>
  <c r="G7" i="81" s="1"/>
  <c r="J9" i="90"/>
  <c r="F8" i="81"/>
  <c r="G8" i="81" s="1"/>
  <c r="I10" i="90"/>
  <c r="J10" i="90"/>
  <c r="V5" i="69"/>
  <c r="T5" i="69" s="1"/>
  <c r="C10" i="35"/>
  <c r="C9" i="35"/>
  <c r="K9" i="35"/>
  <c r="B10" i="35"/>
  <c r="L5" i="35"/>
  <c r="L10" i="35"/>
  <c r="L9" i="35"/>
  <c r="K10" i="35"/>
  <c r="V5" i="48"/>
  <c r="V5" i="46"/>
  <c r="L3" i="81" l="1"/>
  <c r="V5" i="35"/>
  <c r="E5" i="87" l="1"/>
  <c r="Q5" i="87" s="1"/>
  <c r="K5" i="87"/>
  <c r="U5" i="87" s="1"/>
  <c r="C5" i="87"/>
  <c r="D5" i="87" s="1"/>
  <c r="D6" i="87" s="1"/>
  <c r="D7" i="87" s="1"/>
  <c r="D8" i="87" s="1"/>
  <c r="B5" i="87"/>
  <c r="P5" i="87" s="1"/>
  <c r="E5" i="86"/>
  <c r="Q5" i="86" s="1"/>
  <c r="E5" i="84"/>
  <c r="Q5" i="84" s="1"/>
  <c r="K5" i="84"/>
  <c r="U5" i="84" s="1"/>
  <c r="C5" i="84"/>
  <c r="D5" i="84" s="1"/>
  <c r="B5" i="84"/>
  <c r="P5" i="84" s="1"/>
  <c r="B5" i="86" l="1"/>
  <c r="P5" i="86" s="1"/>
  <c r="S5" i="86" s="1"/>
  <c r="C5" i="86"/>
  <c r="D5" i="86" s="1"/>
  <c r="D6" i="86" s="1"/>
  <c r="D7" i="86" s="1"/>
  <c r="D8" i="86" s="1"/>
  <c r="K5" i="86"/>
  <c r="U5" i="86" s="1"/>
  <c r="S5" i="87"/>
  <c r="T5" i="87"/>
  <c r="S5" i="84"/>
  <c r="T5" i="84"/>
  <c r="D6" i="84"/>
  <c r="D7" i="84" s="1"/>
  <c r="D8" i="84" s="1"/>
  <c r="D9" i="84" s="1"/>
  <c r="F5" i="87"/>
  <c r="F5" i="86"/>
  <c r="F5" i="84"/>
  <c r="E5" i="83"/>
  <c r="Q5" i="83" s="1"/>
  <c r="T5" i="86" l="1"/>
  <c r="B5" i="83"/>
  <c r="P5" i="83" s="1"/>
  <c r="C5" i="83"/>
  <c r="D5" i="83" s="1"/>
  <c r="D6" i="83" s="1"/>
  <c r="D7" i="83" s="1"/>
  <c r="D8" i="83" s="1"/>
  <c r="D9" i="83" s="1"/>
  <c r="K5" i="83"/>
  <c r="U5" i="83" s="1"/>
  <c r="H5" i="86"/>
  <c r="F6" i="86"/>
  <c r="H5" i="84"/>
  <c r="F6" i="84"/>
  <c r="H5" i="87"/>
  <c r="F6" i="87"/>
  <c r="F5" i="83"/>
  <c r="F6" i="83" s="1"/>
  <c r="S5" i="83" l="1"/>
  <c r="T5" i="83"/>
  <c r="H5" i="83"/>
  <c r="J5" i="84"/>
  <c r="I5" i="86"/>
  <c r="J5" i="86"/>
  <c r="I5" i="84"/>
  <c r="F7" i="84"/>
  <c r="H6" i="84"/>
  <c r="F7" i="87"/>
  <c r="H6" i="87"/>
  <c r="F7" i="86"/>
  <c r="H6" i="86"/>
  <c r="H6" i="83"/>
  <c r="F7" i="83"/>
  <c r="J5" i="87"/>
  <c r="I5" i="87"/>
  <c r="I5" i="83"/>
  <c r="J5" i="83" l="1"/>
  <c r="H7" i="87"/>
  <c r="F8" i="87"/>
  <c r="H8" i="87" s="1"/>
  <c r="H7" i="86"/>
  <c r="F8" i="86"/>
  <c r="H8" i="86" s="1"/>
  <c r="H7" i="83"/>
  <c r="F8" i="83"/>
  <c r="I6" i="86"/>
  <c r="J6" i="86"/>
  <c r="J6" i="84"/>
  <c r="I6" i="84"/>
  <c r="J6" i="87"/>
  <c r="I6" i="87"/>
  <c r="J6" i="83"/>
  <c r="I6" i="83"/>
  <c r="H7" i="84"/>
  <c r="F8" i="84"/>
  <c r="E5" i="48"/>
  <c r="E5" i="46"/>
  <c r="F5" i="46" s="1"/>
  <c r="E15" i="69"/>
  <c r="AD5" i="90" s="1"/>
  <c r="J7" i="87" l="1"/>
  <c r="B5" i="48"/>
  <c r="P5" i="48" s="1"/>
  <c r="C5" i="48"/>
  <c r="D5" i="48" s="1"/>
  <c r="D6" i="48" s="1"/>
  <c r="D7" i="48" s="1"/>
  <c r="D8" i="48" s="1"/>
  <c r="D9" i="48" s="1"/>
  <c r="D10" i="48" s="1"/>
  <c r="K5" i="48"/>
  <c r="U5" i="48" s="1"/>
  <c r="F5" i="48"/>
  <c r="H5" i="48" s="1"/>
  <c r="Q5" i="48"/>
  <c r="K5" i="46"/>
  <c r="U5" i="46" s="1"/>
  <c r="Q5" i="46"/>
  <c r="H5" i="46"/>
  <c r="I7" i="87"/>
  <c r="I8" i="87"/>
  <c r="J8" i="87"/>
  <c r="J8" i="86"/>
  <c r="I8" i="86"/>
  <c r="I7" i="86"/>
  <c r="J7" i="86"/>
  <c r="H8" i="83"/>
  <c r="F9" i="83"/>
  <c r="H9" i="83" s="1"/>
  <c r="H8" i="84"/>
  <c r="F9" i="84"/>
  <c r="H9" i="84" s="1"/>
  <c r="J7" i="84"/>
  <c r="I7" i="84"/>
  <c r="I7" i="83"/>
  <c r="J7" i="83"/>
  <c r="B5" i="46"/>
  <c r="P5" i="46" s="1"/>
  <c r="T5" i="46" s="1"/>
  <c r="C5" i="46"/>
  <c r="D5" i="46" s="1"/>
  <c r="D6" i="46" s="1"/>
  <c r="D7" i="46" s="1"/>
  <c r="D8" i="46" s="1"/>
  <c r="D9" i="46" s="1"/>
  <c r="D10" i="46" s="1"/>
  <c r="D11" i="46" s="1"/>
  <c r="D12" i="46" s="1"/>
  <c r="F6" i="46"/>
  <c r="F6" i="48" l="1"/>
  <c r="F7" i="48" s="1"/>
  <c r="F8" i="48" s="1"/>
  <c r="T5" i="48"/>
  <c r="S5" i="48"/>
  <c r="S5" i="46"/>
  <c r="J8" i="83"/>
  <c r="I8" i="83"/>
  <c r="I9" i="83"/>
  <c r="J9" i="83"/>
  <c r="I9" i="84"/>
  <c r="J9" i="84"/>
  <c r="J8" i="84"/>
  <c r="I8" i="84"/>
  <c r="H7" i="48"/>
  <c r="J5" i="46"/>
  <c r="I5" i="46"/>
  <c r="J5" i="48"/>
  <c r="I5" i="48"/>
  <c r="H6" i="46"/>
  <c r="F7" i="46"/>
  <c r="H6" i="48" l="1"/>
  <c r="H8" i="48"/>
  <c r="F9" i="48"/>
  <c r="J7" i="48"/>
  <c r="I7" i="48"/>
  <c r="F8" i="46"/>
  <c r="H7" i="46"/>
  <c r="I6" i="46"/>
  <c r="J6" i="46"/>
  <c r="J6" i="48" l="1"/>
  <c r="I6" i="48"/>
  <c r="H9" i="48"/>
  <c r="F10" i="48"/>
  <c r="H10" i="48" s="1"/>
  <c r="H8" i="46"/>
  <c r="F9" i="46"/>
  <c r="J8" i="48"/>
  <c r="I8" i="48"/>
  <c r="J7" i="46"/>
  <c r="I7" i="46"/>
  <c r="I9" i="48" l="1"/>
  <c r="J9" i="48"/>
  <c r="J8" i="46"/>
  <c r="I8" i="46"/>
  <c r="J10" i="48"/>
  <c r="I10" i="48"/>
  <c r="H9" i="46"/>
  <c r="F10" i="46"/>
  <c r="F19" i="69"/>
  <c r="AE5" i="90" s="1"/>
  <c r="Y5" i="90" s="1" a="1"/>
  <c r="Y5" i="90" s="1"/>
  <c r="D19" i="69"/>
  <c r="U5" i="69" s="1"/>
  <c r="C19" i="69"/>
  <c r="B19" i="69"/>
  <c r="S5" i="69" l="1"/>
  <c r="D3" i="81" s="1"/>
  <c r="D4" i="81" s="1"/>
  <c r="D5" i="81" s="1"/>
  <c r="D6" i="81" s="1"/>
  <c r="D7" i="81" s="1"/>
  <c r="D8" i="81" s="1"/>
  <c r="AC5" i="90"/>
  <c r="K3" i="81"/>
  <c r="K5" i="35"/>
  <c r="U5" i="35" s="1"/>
  <c r="E5" i="35"/>
  <c r="F5" i="35" s="1"/>
  <c r="H10" i="46"/>
  <c r="F11" i="46"/>
  <c r="J9" i="46"/>
  <c r="I9" i="46"/>
  <c r="B3" i="81"/>
  <c r="B4" i="81" s="1"/>
  <c r="B5" i="35"/>
  <c r="P5" i="35" s="1"/>
  <c r="T5" i="35" s="1"/>
  <c r="C5" i="35"/>
  <c r="D5" i="35" s="1"/>
  <c r="D6" i="35" s="1"/>
  <c r="D7" i="35" s="1"/>
  <c r="D8" i="35" s="1"/>
  <c r="D9" i="35" s="1"/>
  <c r="D10" i="35" s="1"/>
  <c r="D11" i="35" s="1"/>
  <c r="D12" i="35" s="1"/>
  <c r="D13" i="35" s="1"/>
  <c r="D14" i="35" s="1"/>
  <c r="D15" i="35" s="1"/>
  <c r="D16" i="35" s="1"/>
  <c r="H4" i="81" l="1"/>
  <c r="I4" i="81" s="1"/>
  <c r="B5" i="81"/>
  <c r="X5" i="69"/>
  <c r="E3" i="81" s="1"/>
  <c r="Q5" i="35"/>
  <c r="H5" i="35"/>
  <c r="J5" i="35" s="1"/>
  <c r="F6" i="35"/>
  <c r="F7" i="35" s="1"/>
  <c r="H11" i="46"/>
  <c r="F12" i="46"/>
  <c r="S5" i="35"/>
  <c r="J10" i="46"/>
  <c r="I10" i="46"/>
  <c r="B6" i="81" l="1"/>
  <c r="H5" i="81"/>
  <c r="I5" i="81" s="1"/>
  <c r="G3" i="81"/>
  <c r="I5" i="35"/>
  <c r="H6" i="35"/>
  <c r="I6" i="35" s="1"/>
  <c r="I11" i="46"/>
  <c r="J11" i="46"/>
  <c r="H12" i="46"/>
  <c r="H7" i="35"/>
  <c r="F8" i="35"/>
  <c r="B7" i="81" l="1"/>
  <c r="H6" i="81"/>
  <c r="I6" i="81" s="1"/>
  <c r="H3" i="81"/>
  <c r="I3" i="81" s="1"/>
  <c r="J6" i="35"/>
  <c r="I7" i="35"/>
  <c r="J7" i="35"/>
  <c r="I12" i="46"/>
  <c r="J12" i="46"/>
  <c r="H8" i="35"/>
  <c r="F9" i="35"/>
  <c r="B8" i="81" l="1"/>
  <c r="H8" i="81" s="1"/>
  <c r="I8" i="81" s="1"/>
  <c r="H7" i="81"/>
  <c r="I7" i="81" s="1"/>
  <c r="I8" i="35"/>
  <c r="J8" i="35"/>
  <c r="H9" i="35"/>
  <c r="F10" i="35"/>
  <c r="I9" i="35" l="1"/>
  <c r="J9" i="35"/>
  <c r="H10" i="35"/>
  <c r="F11" i="35"/>
  <c r="I10" i="35" l="1"/>
  <c r="J10" i="35"/>
  <c r="H11" i="35"/>
  <c r="F12" i="35"/>
  <c r="I11" i="35" l="1"/>
  <c r="J11" i="35"/>
  <c r="H12" i="35"/>
  <c r="F13" i="35"/>
  <c r="I12" i="35" l="1"/>
  <c r="J12" i="35"/>
  <c r="H13" i="35"/>
  <c r="F14" i="35"/>
  <c r="I13" i="35" l="1"/>
  <c r="J13" i="35"/>
  <c r="H14" i="35"/>
  <c r="F15" i="35"/>
  <c r="I14" i="35" l="1"/>
  <c r="J14" i="35"/>
  <c r="H15" i="35"/>
  <c r="F16" i="35"/>
  <c r="H16" i="35" s="1"/>
  <c r="I16" i="35" l="1"/>
  <c r="J16" i="35"/>
  <c r="I15" i="35"/>
  <c r="J15" i="35"/>
  <c r="W5" i="46"/>
  <c r="M5" i="35" l="1"/>
  <c r="J3" i="81"/>
  <c r="M6" i="35"/>
  <c r="W5" i="3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<sst xmlns="http://schemas.openxmlformats.org/spreadsheetml/2006/main" count="512" uniqueCount="48">
  <si>
    <t>Kaina</t>
  </si>
  <si>
    <t>Kiekis</t>
  </si>
  <si>
    <t>Viso:</t>
  </si>
  <si>
    <t>Suma, EUR</t>
  </si>
  <si>
    <t>Vertė gale</t>
  </si>
  <si>
    <t>%</t>
  </si>
  <si>
    <t>Pelnas</t>
  </si>
  <si>
    <t>Mokestis</t>
  </si>
  <si>
    <t>Invest.</t>
  </si>
  <si>
    <t>Investuota</t>
  </si>
  <si>
    <t>Inešta</t>
  </si>
  <si>
    <t>Vertė</t>
  </si>
  <si>
    <t>Įnešta</t>
  </si>
  <si>
    <t>Pirkimas</t>
  </si>
  <si>
    <t>NADQ</t>
  </si>
  <si>
    <t>NADQ Amundi Nasdaq-100 II UCITS ETF (Dist)</t>
  </si>
  <si>
    <t>QDVE</t>
  </si>
  <si>
    <t>iShares S&amp;P 500 Information Technology Sector UCITS ETF (Acc)</t>
  </si>
  <si>
    <t>Vanguard FTSE All-World UCITS ETF (Acc)</t>
  </si>
  <si>
    <t>VWCE</t>
  </si>
  <si>
    <t>XDEQ Xtarckers MSCI World Quality UCITS ETF (Acc)</t>
  </si>
  <si>
    <t>XDEQ</t>
  </si>
  <si>
    <t>VUAA Vanguard S&amp;P 500 UCITS ETF (Acc)</t>
  </si>
  <si>
    <t>VUAA</t>
  </si>
  <si>
    <t>XDWT Xtrackers MSCI World Information Technology ETF (Acc)</t>
  </si>
  <si>
    <t>XDWT</t>
  </si>
  <si>
    <t>XAIX Xtrackers Artificial Intelligence and Big Data ETF (Acc)</t>
  </si>
  <si>
    <t>XAIX</t>
  </si>
  <si>
    <t>Pardavimas</t>
  </si>
  <si>
    <t>Suma,EUR</t>
  </si>
  <si>
    <t>Mokesčiai</t>
  </si>
  <si>
    <t>Parduota</t>
  </si>
  <si>
    <t>Data</t>
  </si>
  <si>
    <t>Išvesta</t>
  </si>
  <si>
    <t>Viso</t>
  </si>
  <si>
    <t>Mėnesio</t>
  </si>
  <si>
    <t>Mėnesio gale</t>
  </si>
  <si>
    <t>Viso Inv.</t>
  </si>
  <si>
    <t>Mėn. Inv.</t>
  </si>
  <si>
    <t>Dividendai</t>
  </si>
  <si>
    <t>Gryni</t>
  </si>
  <si>
    <t xml:space="preserve">WEBN Amundi Prime ACWI Acc UCITS ETF </t>
  </si>
  <si>
    <t>WEBN</t>
  </si>
  <si>
    <t>Vid. Kaina</t>
  </si>
  <si>
    <t>Suma</t>
  </si>
  <si>
    <t>Eur.</t>
  </si>
  <si>
    <t>XIRR</t>
  </si>
  <si>
    <t>Pirkimas/pardavimas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</si>
</sst>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0"/>
    <numFmt numFmtId="167" formatCode="yyyy\.mm\.dd;@"/>
  </numFmts>
  <fonts count="7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2" fontId="5" fillId="0" borderId="1" xfId="0" applyNumberFormat="1" applyFont="1" applyBorder="1" applyAlignment="1">
      <alignment horizontal="center"/>
    </xf>
    <xf numFmtId="0" fontId="3" fillId="0" borderId="1" xfId="0" applyFont="1" applyBorder="1"/>
    <xf numFmtId="166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166" fontId="0" fillId="0" borderId="2" xfId="0" applyNumberFormat="1" applyBorder="1" applyAlignment="1">
      <alignment horizontal="center"/>
    </xf>
    <xf numFmtId="0" fontId="0" fillId="0" borderId="4" xfId="0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2" borderId="6" xfId="0" applyFill="1" applyBorder="1"/>
    <xf numFmtId="166" fontId="0" fillId="2" borderId="7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7" fontId="1" fillId="0" borderId="1" xfId="0" applyNumberFormat="1" applyFont="1" applyBorder="1"/>
    <xf numFmtId="0" fontId="6" fillId="0" borderId="1" xfId="1" applyBorder="1" applyAlignment="1">
      <alignment horizontal="center"/>
    </xf>
    <xf numFmtId="0" fontId="6" fillId="0" borderId="5" xfId="1" applyBorder="1" applyAlignment="1">
      <alignment horizontal="center" vertical="center"/>
    </xf>
    <xf numFmtId="167" fontId="4" fillId="0" borderId="1" xfId="0" applyNumberFormat="1" applyFont="1" applyBorder="1"/>
    <xf numFmtId="167" fontId="2" fillId="0" borderId="1" xfId="0" applyNumberFormat="1" applyFont="1" applyBorder="1"/>
    <xf numFmtId="167" fontId="1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0" fontId="6" fillId="0" borderId="2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4" xfId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4E4D86-C426-4632-A474-CD66DDAF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A27B87-8B8C-4C4E-89F6-DA710DB39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A6A8BD-52A9-42A5-B9C3-015BF189A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98843-3903-461F-9E13-327F3C68B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88B25-9C26-4790-AA0D-F02DB5455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148C53-3C99-4F68-8D14-4B06E9824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B9DC1-5ABE-492E-B51C-1BBC6BCDC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1C8C2D-D9C2-4BB0-A969-9B021DE9A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E77520-06CC-410E-98DF-D7780C335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8CD4EA-FC4D-4D0C-BD92-E92FEFA18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7"/>
  <sheetViews>
    <sheetView tabSelected="1" workbookViewId="0">
      <pane ySplit="2" topLeftCell="A3" activePane="bottomLeft" state="frozen"/>
      <selection pane="bottomLeft" activeCell="B11" sqref="B11"/>
    </sheetView>
  </sheetViews>
  <sheetFormatPr defaultRowHeight="15" x14ac:dyDescent="0.25"/>
  <cols>
    <col min="1" max="1" width="15.7109375" customWidth="1"/>
    <col min="2" max="13" width="10.7109375" customWidth="1"/>
  </cols>
  <sheetData>
    <row r="1" spans="1:45" x14ac:dyDescent="0.25">
      <c r="A1" s="57" t="s">
        <v>32</v>
      </c>
      <c r="B1" s="52" t="s">
        <v>2</v>
      </c>
      <c r="C1" s="53"/>
      <c r="D1" s="53"/>
      <c r="E1" s="54"/>
      <c r="F1" s="52" t="s">
        <v>36</v>
      </c>
      <c r="G1" s="53"/>
      <c r="H1" s="53"/>
      <c r="I1" s="54"/>
      <c r="J1" s="57" t="s">
        <v>39</v>
      </c>
      <c r="K1" s="55" t="s">
        <v>30</v>
      </c>
      <c r="L1" s="56"/>
      <c r="AS1" s="5" t="s">
        <v>46</v>
      </c>
    </row>
    <row r="2" spans="1:45" x14ac:dyDescent="0.25">
      <c r="A2" s="58"/>
      <c r="B2" s="23" t="s">
        <v>10</v>
      </c>
      <c r="C2" s="23" t="s">
        <v>33</v>
      </c>
      <c r="D2" s="23" t="s">
        <v>9</v>
      </c>
      <c r="E2" s="23" t="s">
        <v>40</v>
      </c>
      <c r="F2" s="37" t="str">
        <f>WEBN!O3</f>
        <v>WEBN</v>
      </c>
      <c r="G2" s="23" t="s">
        <v>11</v>
      </c>
      <c r="H2" s="23" t="s">
        <v>6</v>
      </c>
      <c r="I2" s="23" t="s">
        <v>5</v>
      </c>
      <c r="J2" s="58"/>
      <c r="K2" s="3" t="s">
        <v>13</v>
      </c>
      <c r="L2" s="3" t="s">
        <v>28</v>
      </c>
      <c r="AS2" s="21">
        <f ca="1">XIRR(WEBN!AG5:AG200,WEBN!AF5:AF200)</f>
        <v>0.23258460164070127</v>
      </c>
    </row>
    <row r="3" spans="1:45" x14ac:dyDescent="0.25">
      <c r="A3" s="36">
        <f>'2026.01'!Q2</f>
        <v>2026.01</v>
      </c>
      <c r="B3" s="4">
        <f>'2026.01'!Q5</f>
        <v>100</v>
      </c>
      <c r="C3" s="4">
        <f>'2026.01'!R5</f>
        <v>0</v>
      </c>
      <c r="D3" s="4">
        <f>'2026.01'!S5</f>
        <v>100</v>
      </c>
      <c r="E3" s="4">
        <f>'2026.01'!X5</f>
        <v>0</v>
      </c>
      <c r="F3" s="4">
        <f>WEBN!H5</f>
        <v>99.056603721599998</v>
      </c>
      <c r="G3" s="4">
        <f t="shared" ref="G3:G8" si="0">SUM(F3:F3)+E3</f>
        <v>99.056603721599998</v>
      </c>
      <c r="H3" s="4">
        <f t="shared" ref="H3:H8" si="1">G3-B3</f>
        <v>-0.94339627840000162</v>
      </c>
      <c r="I3" s="21">
        <f t="shared" ref="I3:I8" si="2">H3/B3</f>
        <v>-9.4339627840000165E-3</v>
      </c>
      <c r="J3" s="4">
        <f>'2026.01'!W5</f>
        <v>0</v>
      </c>
      <c r="K3" s="4">
        <f>'2026.01'!U5</f>
        <v>0</v>
      </c>
      <c r="L3" s="4">
        <f>'2026.01'!V5</f>
        <v>0</v>
      </c>
    </row>
    <row r="4" spans="1:45" x14ac:dyDescent="0.25">
      <c r="A4" s="36">
        <f>'2026.02'!Q2</f>
        <v>2026.02</v>
      </c>
      <c r="B4" s="4">
        <f>B3+'2026.02'!Q5</f>
        <v>200</v>
      </c>
      <c r="C4" s="4">
        <f>'2026.02'!R5</f>
        <v>0</v>
      </c>
      <c r="D4" s="4">
        <f>D3+'2026.02'!S5</f>
        <v>200</v>
      </c>
      <c r="E4" s="4">
        <f>'2026.02'!X5</f>
        <v>0</v>
      </c>
      <c r="F4" s="4">
        <f>WEBN!H6</f>
        <v>201.06441105789997</v>
      </c>
      <c r="G4" s="4">
        <f t="shared" si="0"/>
        <v>201.06441105789997</v>
      </c>
      <c r="H4" s="4">
        <f t="shared" si="1"/>
        <v>1.0644110578999744</v>
      </c>
      <c r="I4" s="21">
        <f t="shared" si="2"/>
        <v>5.322055289499872E-3</v>
      </c>
      <c r="J4" s="4">
        <f>'2026.02'!W5</f>
        <v>0</v>
      </c>
      <c r="K4" s="4">
        <f>'2026.02'!U5</f>
        <v>0</v>
      </c>
      <c r="L4" s="4">
        <f>'2026.02'!V5</f>
        <v>0</v>
      </c>
    </row>
    <row r="5" spans="1:45" x14ac:dyDescent="0.25">
      <c r="A5" s="36">
        <f>'2026.03'!Q2</f>
        <v>2026.03</v>
      </c>
      <c r="B5" s="4">
        <f>B4+'2026.03'!Q5</f>
        <v>300</v>
      </c>
      <c r="C5" s="4">
        <f>'2026.03'!R5</f>
        <v>0</v>
      </c>
      <c r="D5" s="4">
        <f>D4+'2026.03'!S5</f>
        <v>300</v>
      </c>
      <c r="E5" s="4">
        <f>'2026.03'!X5</f>
        <v>0</v>
      </c>
      <c r="F5" s="4">
        <f>WEBN!H7</f>
        <v>292.225609104</v>
      </c>
      <c r="G5" s="4">
        <f t="shared" si="0"/>
        <v>292.225609104</v>
      </c>
      <c r="H5" s="4">
        <f t="shared" si="1"/>
        <v>-7.7743908959999999</v>
      </c>
      <c r="I5" s="21">
        <f t="shared" si="2"/>
        <v>-2.591463632E-2</v>
      </c>
      <c r="J5" s="4">
        <f>'2026.03'!W5</f>
        <v>0</v>
      </c>
      <c r="K5" s="4">
        <f>'2026.03'!U5</f>
        <v>0</v>
      </c>
      <c r="L5" s="4">
        <f>'2026.03'!V5</f>
        <v>0</v>
      </c>
    </row>
    <row r="6" spans="1:45" x14ac:dyDescent="0.25">
      <c r="A6" s="36">
        <f>'2026.04'!$Q$2</f>
        <v>2026.04</v>
      </c>
      <c r="B6" s="4">
        <f>B5+'2026.04'!$Q$5</f>
        <v>400</v>
      </c>
      <c r="C6" s="4">
        <f>'2026.04'!$R$5</f>
        <v>0</v>
      </c>
      <c r="D6" s="4">
        <f>D5+'2026.04'!$S$5</f>
        <v>400</v>
      </c>
      <c r="E6" s="4">
        <f>'2026.04'!$X$5</f>
        <v>0</v>
      </c>
      <c r="F6" s="4">
        <f>WEBN!H8</f>
        <v>418.02748413519998</v>
      </c>
      <c r="G6" s="4">
        <f t="shared" si="0"/>
        <v>418.02748413519998</v>
      </c>
      <c r="H6" s="4">
        <f t="shared" si="1"/>
        <v>18.027484135199984</v>
      </c>
      <c r="I6" s="21">
        <f t="shared" si="2"/>
        <v>4.5068710337999959E-2</v>
      </c>
      <c r="J6" s="4">
        <f>'2026.04'!$W$5</f>
        <v>0</v>
      </c>
      <c r="K6" s="4">
        <f>'2026.04'!$U$5</f>
        <v>0</v>
      </c>
      <c r="L6" s="4">
        <f>'2026.04'!$V$5</f>
        <v>0</v>
      </c>
    </row>
    <row r="7" spans="1:45" x14ac:dyDescent="0.25">
      <c r="A7" s="36">
        <f>'2026.05'!$Q$2</f>
        <v>2026.05</v>
      </c>
      <c r="B7" s="4">
        <f>B6+'2026.05'!$Q$5</f>
        <v>500</v>
      </c>
      <c r="C7" s="4">
        <f>'2026.05'!$R$5</f>
        <v>0</v>
      </c>
      <c r="D7" s="4">
        <f>D6+'2026.05'!$S$5-K7-L7</f>
        <v>500</v>
      </c>
      <c r="E7" s="4">
        <f>'2026.05'!$X$5</f>
        <v>0</v>
      </c>
      <c r="F7" s="4">
        <f>WEBN!H9</f>
        <v>544.32602155359996</v>
      </c>
      <c r="G7" s="4">
        <f t="shared" si="0"/>
        <v>544.32602155359996</v>
      </c>
      <c r="H7" s="4">
        <f t="shared" si="1"/>
        <v>44.326021553599958</v>
      </c>
      <c r="I7" s="21">
        <f t="shared" si="2"/>
        <v>8.8652043107199915E-2</v>
      </c>
      <c r="J7" s="4">
        <f>'2026.05'!$W$5</f>
        <v>0</v>
      </c>
      <c r="K7" s="4">
        <f>'2026.05'!$U$5</f>
        <v>0</v>
      </c>
      <c r="L7" s="4">
        <f>'2026.06'!$V$5</f>
        <v>0</v>
      </c>
    </row>
    <row r="8" spans="1:45" x14ac:dyDescent="0.25">
      <c r="A8" s="36">
        <f>'2026.06'!$Q$2</f>
        <v>2026.06</v>
      </c>
      <c r="B8" s="4">
        <f>B7+'2026.06'!$Q$5</f>
        <v>600</v>
      </c>
      <c r="C8" s="4">
        <f>'2026.06'!$R$5</f>
        <v>0</v>
      </c>
      <c r="D8" s="4">
        <f>D7+'2026.06'!$S$5-K8-L8</f>
        <v>600</v>
      </c>
      <c r="E8" s="4">
        <f>'2026.06'!$X$5</f>
        <v>0</v>
      </c>
      <c r="F8" s="4">
        <f>WEBN!H10</f>
        <v>655.7523650981999</v>
      </c>
      <c r="G8" s="4">
        <f t="shared" si="0"/>
        <v>655.7523650981999</v>
      </c>
      <c r="H8" s="4">
        <f t="shared" si="1"/>
        <v>55.752365098199903</v>
      </c>
      <c r="I8" s="21">
        <f t="shared" si="2"/>
        <v>9.2920608496999832E-2</v>
      </c>
      <c r="J8" s="4">
        <f>'2026.06'!$W$5</f>
        <v>0</v>
      </c>
      <c r="K8" s="4">
        <f>'2026.06'!$U$5</f>
        <v>0</v>
      </c>
      <c r="L8" s="4">
        <f>'2026.06'!$V$5</f>
        <v>0</v>
      </c>
    </row>
    <row r="9" spans="1:45" x14ac:dyDescent="0.25">
      <c r="A9" s="36">
        <f>'2026.07'!$Q$2</f>
        <v>2026.07</v>
      </c>
      <c r="B9" s="4">
        <f>B8+'2026.07'!$Q$5</f>
        <v>700</v>
      </c>
      <c r="C9" s="4">
        <f>'2026.07'!$R$5</f>
        <v>0</v>
      </c>
      <c r="D9" s="4">
        <f>D8+'2026.07'!$S$5-K9-L9</f>
        <v>700</v>
      </c>
      <c r="E9" s="4">
        <f>'2026.07'!$X$5</f>
        <v>0</v>
      </c>
      <c r="F9" s="4">
        <f>WEBN!H11</f>
        <v>744.80478521728003</v>
      </c>
      <c r="G9" s="4">
        <f t="shared" ref="G9" si="3">SUM(F9:F9)+E9</f>
        <v>744.80478521728003</v>
      </c>
      <c r="H9" s="4">
        <f t="shared" ref="H9" si="4">G9-B9</f>
        <v>44.804785217280028</v>
      </c>
      <c r="I9" s="21">
        <f t="shared" ref="I9" si="5">H9/B9</f>
        <v>6.4006836024685751E-2</v>
      </c>
      <c r="J9" s="4">
        <f>'2026.07'!$W$5</f>
        <v>0</v>
      </c>
      <c r="K9" s="4">
        <f>'2026.07'!$U$5</f>
        <v>0</v>
      </c>
      <c r="L9" s="4">
        <f>'2026.07'!$V$5</f>
        <v>0</v>
      </c>
    </row>
    <row r="10" spans="1:45" x14ac:dyDescent="0.25">
      <c r="A10" s="36">
        <f>'2026.08'!$Q$2</f>
        <v>2026.08</v>
      </c>
      <c r="B10" s="4">
        <f>B9+'2026.08'!$Q$5</f>
        <v>800</v>
      </c>
      <c r="C10" s="4">
        <f>'2026.08'!$R$5</f>
        <v>0</v>
      </c>
      <c r="D10" s="4">
        <f>D9+'2026.08'!$S$5-K10-L10</f>
        <v>800</v>
      </c>
      <c r="E10" s="4">
        <f>'2026.08'!$X$5</f>
        <v>0</v>
      </c>
      <c r="F10" s="4">
        <f>WEBN!H12</f>
        <v>860.34665192519992</v>
      </c>
      <c r="G10" s="4">
        <f t="shared" ref="G10" si="6">SUM(F10:F10)+E10</f>
        <v>860.34665192519992</v>
      </c>
      <c r="H10" s="4">
        <f t="shared" ref="H10" si="7">G10-B10</f>
        <v>60.346651925199922</v>
      </c>
      <c r="I10" s="21">
        <f t="shared" ref="I10" si="8">H10/B10</f>
        <v>7.5433314906499904E-2</v>
      </c>
      <c r="J10" s="4">
        <f>'2026.08'!$W$5</f>
        <v>0</v>
      </c>
      <c r="K10" s="4">
        <f>'2026.08'!$U$5</f>
        <v>0</v>
      </c>
      <c r="L10" s="4">
        <f>'2026.08'!$V$5</f>
        <v>0</v>
      </c>
    </row>
    <row r="11" spans="1:45" x14ac:dyDescent="0.25">
      <c r="A11" s="36">
        <f>'2026.09'!$Q$2</f>
        <v>2026.09</v>
      </c>
      <c r="B11" s="4">
        <f>B10+'2026.09'!$Q$5</f>
        <v>900</v>
      </c>
      <c r="C11" s="4">
        <f>'2026.09'!$R$5</f>
        <v>0</v>
      </c>
      <c r="D11" s="4">
        <f>D10+'2026.09'!$S$5-K11-L11</f>
        <v>900</v>
      </c>
      <c r="E11" s="4">
        <f>'2026.09'!$X$5</f>
        <v>0</v>
      </c>
      <c r="F11" s="4">
        <f>WEBN!H13</f>
        <v>974.40370280651996</v>
      </c>
      <c r="G11" s="4">
        <f t="shared" ref="G11" si="9">SUM(F11:F11)+E11</f>
        <v>974.40370280651996</v>
      </c>
      <c r="H11" s="4">
        <f t="shared" ref="H11" si="10">G11-B11</f>
        <v>74.403702806519959</v>
      </c>
      <c r="I11" s="21">
        <f t="shared" ref="I11" si="11">H11/B11</f>
        <v>8.2670780896133292E-2</v>
      </c>
      <c r="J11" s="4">
        <f>'2026.09'!$W$5</f>
        <v>0</v>
      </c>
      <c r="K11" s="4">
        <f>'2026.09'!$U$5</f>
        <v>0</v>
      </c>
      <c r="L11" s="4">
        <f>'2026.09'!$V$5</f>
        <v>0</v>
      </c>
    </row>
    <row r="12" spans="1:45" x14ac:dyDescent="0.25">
      <c r="A12" s="5"/>
      <c r="B12" s="4"/>
      <c r="C12" s="4"/>
      <c r="D12" s="4"/>
      <c r="E12" s="4"/>
      <c r="F12" s="4"/>
      <c r="G12" s="4"/>
      <c r="H12" s="4"/>
      <c r="I12" s="21"/>
      <c r="J12" s="4"/>
      <c r="K12" s="4"/>
      <c r="L12" s="4"/>
    </row>
    <row r="13" spans="1:45" x14ac:dyDescent="0.25">
      <c r="A13" s="5"/>
      <c r="B13" s="4"/>
      <c r="C13" s="4"/>
      <c r="D13" s="4"/>
      <c r="E13" s="4"/>
      <c r="F13" s="4"/>
      <c r="G13" s="4"/>
      <c r="H13" s="4"/>
      <c r="I13" s="21"/>
      <c r="J13" s="4"/>
      <c r="K13" s="4"/>
      <c r="L13" s="4"/>
    </row>
    <row r="14" spans="1:45" x14ac:dyDescent="0.25">
      <c r="A14" s="5"/>
      <c r="B14" s="4"/>
      <c r="C14" s="4"/>
      <c r="D14" s="4"/>
      <c r="E14" s="4"/>
      <c r="F14" s="4"/>
      <c r="G14" s="4"/>
      <c r="H14" s="4"/>
      <c r="I14" s="21"/>
      <c r="J14" s="4"/>
      <c r="K14" s="4"/>
      <c r="L14" s="4"/>
    </row>
    <row r="15" spans="1:45" x14ac:dyDescent="0.25">
      <c r="A15" s="5"/>
      <c r="B15" s="4"/>
      <c r="C15" s="4"/>
      <c r="D15" s="4"/>
      <c r="E15" s="4"/>
      <c r="F15" s="4"/>
      <c r="G15" s="4"/>
      <c r="H15" s="4"/>
      <c r="I15" s="21"/>
      <c r="J15" s="4"/>
      <c r="K15" s="4"/>
      <c r="L15" s="4"/>
    </row>
    <row r="16" spans="1:45" x14ac:dyDescent="0.25">
      <c r="A16" s="5"/>
      <c r="B16" s="4"/>
      <c r="C16" s="4"/>
      <c r="D16" s="4"/>
      <c r="E16" s="4"/>
      <c r="F16" s="4"/>
      <c r="G16" s="4"/>
      <c r="H16" s="4"/>
      <c r="I16" s="21"/>
      <c r="J16" s="4"/>
      <c r="K16" s="4"/>
      <c r="L16" s="4"/>
    </row>
    <row r="17" spans="1:12" x14ac:dyDescent="0.25">
      <c r="A17" s="5"/>
      <c r="B17" s="4"/>
      <c r="C17" s="4"/>
      <c r="D17" s="4"/>
      <c r="E17" s="4"/>
      <c r="F17" s="4"/>
      <c r="G17" s="4"/>
      <c r="H17" s="4"/>
      <c r="I17" s="21"/>
      <c r="J17" s="4"/>
      <c r="K17" s="4"/>
      <c r="L17" s="4"/>
    </row>
  </sheetData>
  <mergeCells count="5">
    <mergeCell ref="F1:I1"/>
    <mergeCell ref="B1:E1"/>
    <mergeCell ref="K1:L1"/>
    <mergeCell ref="A1:A2"/>
    <mergeCell ref="J1:J2"/>
  </mergeCells>
  <hyperlinks>
    <hyperlink ref="A3" location="'2026.01'!A1" display="'2026.01'!A1" xr:uid="{433E9D29-69A2-402B-B7FC-623D8369235B}"/>
    <hyperlink ref="A4" location="'2026.02'!A1" display="'2026.02'!A1" xr:uid="{88481852-F152-417B-A111-B021723978B9}"/>
    <hyperlink ref="A5" location="'2026.03'!A1" display="'2026.03'!A1" xr:uid="{3A82BC45-74F0-4D59-A9BB-4E64DD51D440}"/>
    <hyperlink ref="A6" location="'2026.04'!A1" display="'2026.04'!A1" xr:uid="{8915EF6E-CEDF-4D5C-AFAC-A34970BAB0A9}"/>
    <hyperlink ref="A7" location="'2026.05'!A1" display="'2026.05'!A1" xr:uid="{8A258D88-5C1E-4E97-A6D2-2EE26363CAAD}"/>
    <hyperlink ref="F2" location="WEBN!A1" display="WEBN!A1" xr:uid="{499756ED-B1F9-4D05-897B-F69DF5557EF9}"/>
    <hyperlink ref="A8" location="'2026.06'!A1" display="'2026.06'!A1" xr:uid="{EDD493B5-6E5A-4B6F-9C2F-600CF21AFF32}"/>
    <hyperlink ref="A9" location="'2026.07'!A1" display="'2026.07'!A1" xr:uid="{0EA64D34-DE59-4B69-AFFB-31BBE94C6E84}"/>
    <hyperlink ref="A10" location="'2026.08'!A1" display="'2026.08'!A1" xr:uid="{C639A19F-ADDC-466B-866D-98C0CF46D416}"/>
    <hyperlink ref="A11" location="'2026.09'!A1" display="'2026.09'!A1" xr:uid="{266A05DA-DB58-4AB4-988A-01080B59A77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W16"/>
  <sheetViews>
    <sheetView workbookViewId="0">
      <pane ySplit="7" topLeftCell="A8" activePane="bottomLeft" state="frozen"/>
      <selection activeCell="E29" sqref="E29"/>
      <selection pane="bottomLeft" activeCell="E29" sqref="E29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3" width="10.7109375" customWidth="1"/>
  </cols>
  <sheetData>
    <row r="1" spans="1:23" x14ac:dyDescent="0.25">
      <c r="A1" s="10" t="s">
        <v>15</v>
      </c>
    </row>
    <row r="3" spans="1:23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14</v>
      </c>
      <c r="P3" s="57" t="s">
        <v>12</v>
      </c>
      <c r="Q3" s="57" t="s">
        <v>1</v>
      </c>
      <c r="R3" s="57" t="s">
        <v>31</v>
      </c>
      <c r="S3" s="57" t="s">
        <v>6</v>
      </c>
      <c r="T3" s="57" t="s">
        <v>5</v>
      </c>
      <c r="U3" s="55" t="s">
        <v>30</v>
      </c>
      <c r="V3" s="56"/>
      <c r="W3" s="57" t="s">
        <v>39</v>
      </c>
    </row>
    <row r="4" spans="1:23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58"/>
      <c r="T4" s="58"/>
      <c r="U4" s="3" t="s">
        <v>13</v>
      </c>
      <c r="V4" s="12" t="s">
        <v>28</v>
      </c>
      <c r="W4" s="58"/>
    </row>
    <row r="5" spans="1:23" x14ac:dyDescent="0.25">
      <c r="A5" s="5">
        <f>'2026.01'!Q2</f>
        <v>2026.01</v>
      </c>
      <c r="B5" s="4">
        <f>'2026.01'!B19</f>
        <v>100</v>
      </c>
      <c r="C5" s="4">
        <f>'2026.01'!C19</f>
        <v>100</v>
      </c>
      <c r="D5" s="4">
        <f>C5</f>
        <v>100</v>
      </c>
      <c r="E5" s="13">
        <f>'2026.01'!F19</f>
        <v>8.7351502399999994</v>
      </c>
      <c r="F5" s="13">
        <f>E5</f>
        <v>8.7351502399999994</v>
      </c>
      <c r="G5" s="4">
        <v>216.25</v>
      </c>
      <c r="H5" s="4">
        <f t="shared" ref="H5:H16" si="0">F5*G5</f>
        <v>1888.9762393999999</v>
      </c>
      <c r="I5" s="4">
        <f>H5-D5</f>
        <v>1788.9762393999999</v>
      </c>
      <c r="J5" s="21">
        <f>(H5-D5)/H5</f>
        <v>0.94706127164851828</v>
      </c>
      <c r="K5" s="4">
        <f>'2026.01'!D19</f>
        <v>0</v>
      </c>
      <c r="L5" s="4">
        <f>'2026.01'!J19</f>
        <v>0</v>
      </c>
      <c r="M5" s="4">
        <f>'2026.01'!O19</f>
        <v>0</v>
      </c>
      <c r="O5" s="3" t="s">
        <v>2</v>
      </c>
      <c r="P5" s="4" t="e">
        <f>SUM(B5:B61)</f>
        <v>#REF!</v>
      </c>
      <c r="Q5" s="13" t="e">
        <f>SUM(E5:E61)</f>
        <v>#REF!</v>
      </c>
      <c r="R5" s="4" t="e">
        <f>#REF!-#REF!</f>
        <v>#REF!</v>
      </c>
      <c r="S5" s="4" t="e">
        <f>R5-P5</f>
        <v>#REF!</v>
      </c>
      <c r="T5" s="21" t="e">
        <f>(R5-P5)/P5</f>
        <v>#REF!</v>
      </c>
      <c r="U5" s="4" t="e">
        <f>SUM(K5:K16)</f>
        <v>#REF!</v>
      </c>
      <c r="V5" s="4" t="e">
        <f>SUM(L5:L16)</f>
        <v>#REF!</v>
      </c>
      <c r="W5" s="4" t="e">
        <f>SUM(M5:M16)</f>
        <v>#REF!</v>
      </c>
    </row>
    <row r="6" spans="1:23" x14ac:dyDescent="0.25">
      <c r="A6" s="5" t="e">
        <f>#REF!</f>
        <v>#REF!</v>
      </c>
      <c r="B6" s="4" t="e">
        <f>#REF!</f>
        <v>#REF!</v>
      </c>
      <c r="C6" s="4" t="e">
        <f>#REF!</f>
        <v>#REF!</v>
      </c>
      <c r="D6" s="4" t="e">
        <f>D5+C6</f>
        <v>#REF!</v>
      </c>
      <c r="E6" s="13" t="e">
        <f>#REF!</f>
        <v>#REF!</v>
      </c>
      <c r="F6" s="13" t="e">
        <f t="shared" ref="F6:F12" si="1">F5+E6</f>
        <v>#REF!</v>
      </c>
      <c r="G6" s="4">
        <v>218.85</v>
      </c>
      <c r="H6" s="4" t="e">
        <f t="shared" si="0"/>
        <v>#REF!</v>
      </c>
      <c r="I6" s="4" t="e">
        <f t="shared" ref="I6:I16" si="2">H6-D6</f>
        <v>#REF!</v>
      </c>
      <c r="J6" s="21" t="e">
        <f t="shared" ref="J6:J16" si="3">(H6-D6)/H6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3" x14ac:dyDescent="0.25">
      <c r="A7" s="5" t="e">
        <f>#REF!</f>
        <v>#REF!</v>
      </c>
      <c r="B7" s="4" t="e">
        <f>#REF!</f>
        <v>#REF!</v>
      </c>
      <c r="C7" s="4" t="e">
        <f>#REF!</f>
        <v>#REF!</v>
      </c>
      <c r="D7" s="4" t="e">
        <f t="shared" ref="D7:D16" si="4">D6+C7</f>
        <v>#REF!</v>
      </c>
      <c r="E7" s="13" t="e">
        <f>#REF!</f>
        <v>#REF!</v>
      </c>
      <c r="F7" s="13" t="e">
        <f t="shared" si="1"/>
        <v>#REF!</v>
      </c>
      <c r="G7" s="4">
        <v>209.96</v>
      </c>
      <c r="H7" s="4" t="e">
        <f t="shared" si="0"/>
        <v>#REF!</v>
      </c>
      <c r="I7" s="4" t="e">
        <f t="shared" si="2"/>
        <v>#REF!</v>
      </c>
      <c r="J7" s="21" t="e">
        <f t="shared" si="3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3" x14ac:dyDescent="0.25">
      <c r="A8" s="5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4"/>
        <v>#REF!</v>
      </c>
      <c r="E8" s="13" t="e">
        <f>#REF!</f>
        <v>#REF!</v>
      </c>
      <c r="F8" s="13" t="e">
        <f t="shared" si="1"/>
        <v>#REF!</v>
      </c>
      <c r="G8" s="4">
        <v>188.05</v>
      </c>
      <c r="H8" s="4" t="e">
        <f t="shared" si="0"/>
        <v>#REF!</v>
      </c>
      <c r="I8" s="4" t="e">
        <f t="shared" si="2"/>
        <v>#REF!</v>
      </c>
      <c r="J8" s="21" t="e">
        <f t="shared" si="3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3" x14ac:dyDescent="0.25">
      <c r="A9" s="5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4"/>
        <v>#REF!</v>
      </c>
      <c r="E9" s="13" t="e">
        <f>#REF!</f>
        <v>#REF!</v>
      </c>
      <c r="F9" s="13" t="e">
        <f t="shared" si="1"/>
        <v>#REF!</v>
      </c>
      <c r="G9" s="4">
        <v>182.85</v>
      </c>
      <c r="H9" s="4" t="e">
        <f t="shared" si="0"/>
        <v>#REF!</v>
      </c>
      <c r="I9" s="4" t="e">
        <f t="shared" si="2"/>
        <v>#REF!</v>
      </c>
      <c r="J9" s="21" t="e">
        <f t="shared" si="3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3" x14ac:dyDescent="0.25">
      <c r="A10" s="5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4"/>
        <v>#REF!</v>
      </c>
      <c r="E10" s="13" t="e">
        <f>#REF!</f>
        <v>#REF!</v>
      </c>
      <c r="F10" s="13" t="e">
        <f t="shared" si="1"/>
        <v>#REF!</v>
      </c>
      <c r="G10" s="4">
        <v>198.25</v>
      </c>
      <c r="H10" s="4" t="e">
        <f t="shared" si="0"/>
        <v>#REF!</v>
      </c>
      <c r="I10" s="4" t="e">
        <f t="shared" si="2"/>
        <v>#REF!</v>
      </c>
      <c r="J10" s="21" t="e">
        <f t="shared" si="3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</row>
    <row r="11" spans="1:23" x14ac:dyDescent="0.25">
      <c r="A11" s="5" t="e">
        <f>#REF!</f>
        <v>#REF!</v>
      </c>
      <c r="B11" s="4" t="e">
        <f>#REF!</f>
        <v>#REF!</v>
      </c>
      <c r="C11" s="4" t="e">
        <f>#REF!</f>
        <v>#REF!</v>
      </c>
      <c r="D11" s="4" t="e">
        <f t="shared" si="4"/>
        <v>#REF!</v>
      </c>
      <c r="E11" s="13" t="e">
        <f>#REF!</f>
        <v>#REF!</v>
      </c>
      <c r="F11" s="13" t="e">
        <f t="shared" si="1"/>
        <v>#REF!</v>
      </c>
      <c r="G11" s="4">
        <v>203.24</v>
      </c>
      <c r="H11" s="4" t="e">
        <f t="shared" si="0"/>
        <v>#REF!</v>
      </c>
      <c r="I11" s="4" t="e">
        <f t="shared" si="2"/>
        <v>#REF!</v>
      </c>
      <c r="J11" s="21" t="e">
        <f t="shared" si="3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</row>
    <row r="12" spans="1:23" x14ac:dyDescent="0.25">
      <c r="A12" s="5" t="e">
        <f>#REF!</f>
        <v>#REF!</v>
      </c>
      <c r="B12" s="4" t="e">
        <f>#REF!</f>
        <v>#REF!</v>
      </c>
      <c r="C12" s="4" t="e">
        <f>#REF!</f>
        <v>#REF!</v>
      </c>
      <c r="D12" s="4" t="e">
        <f t="shared" si="4"/>
        <v>#REF!</v>
      </c>
      <c r="E12" s="13" t="e">
        <f>#REF!</f>
        <v>#REF!</v>
      </c>
      <c r="F12" s="13" t="e">
        <f t="shared" si="1"/>
        <v>#REF!</v>
      </c>
      <c r="G12" s="4">
        <v>215.32</v>
      </c>
      <c r="H12" s="4" t="e">
        <f t="shared" si="0"/>
        <v>#REF!</v>
      </c>
      <c r="I12" s="4" t="e">
        <f t="shared" si="2"/>
        <v>#REF!</v>
      </c>
      <c r="J12" s="21" t="e">
        <f t="shared" si="3"/>
        <v>#REF!</v>
      </c>
      <c r="K12" s="4" t="e">
        <f>#REF!</f>
        <v>#REF!</v>
      </c>
      <c r="L12" s="4" t="e">
        <f>#REF!</f>
        <v>#REF!</v>
      </c>
      <c r="M12" s="4" t="e">
        <f>#REF!</f>
        <v>#REF!</v>
      </c>
    </row>
    <row r="13" spans="1:23" x14ac:dyDescent="0.25">
      <c r="A13" s="5" t="e">
        <f>#REF!</f>
        <v>#REF!</v>
      </c>
      <c r="B13" s="4" t="e">
        <f>#REF!</f>
        <v>#REF!</v>
      </c>
      <c r="C13" s="4" t="e">
        <f>#REF!</f>
        <v>#REF!</v>
      </c>
      <c r="D13" s="4" t="e">
        <f t="shared" si="4"/>
        <v>#REF!</v>
      </c>
      <c r="E13" s="13" t="e">
        <f>#REF!</f>
        <v>#REF!</v>
      </c>
      <c r="F13" s="13" t="e">
        <f t="shared" ref="F13" si="5">F12+E13</f>
        <v>#REF!</v>
      </c>
      <c r="G13" s="4">
        <v>211.45</v>
      </c>
      <c r="H13" s="4" t="e">
        <f t="shared" si="0"/>
        <v>#REF!</v>
      </c>
      <c r="I13" s="4" t="e">
        <f t="shared" si="2"/>
        <v>#REF!</v>
      </c>
      <c r="J13" s="21" t="e">
        <f t="shared" si="3"/>
        <v>#REF!</v>
      </c>
      <c r="K13" s="4" t="e">
        <f>#REF!</f>
        <v>#REF!</v>
      </c>
      <c r="L13" s="4" t="e">
        <f>#REF!</f>
        <v>#REF!</v>
      </c>
      <c r="M13" s="4" t="e">
        <f>#REF!</f>
        <v>#REF!</v>
      </c>
    </row>
    <row r="14" spans="1:23" x14ac:dyDescent="0.25">
      <c r="A14" s="5" t="e">
        <f>#REF!</f>
        <v>#REF!</v>
      </c>
      <c r="B14" s="4" t="e">
        <f>#REF!</f>
        <v>#REF!</v>
      </c>
      <c r="C14" s="4" t="e">
        <f>#REF!</f>
        <v>#REF!</v>
      </c>
      <c r="D14" s="4" t="e">
        <f t="shared" si="4"/>
        <v>#REF!</v>
      </c>
      <c r="E14" s="13" t="e">
        <f>#REF!</f>
        <v>#REF!</v>
      </c>
      <c r="F14" s="13" t="e">
        <f t="shared" ref="F14" si="6">F13+E14</f>
        <v>#REF!</v>
      </c>
      <c r="G14" s="4">
        <v>222</v>
      </c>
      <c r="H14" s="4" t="e">
        <f t="shared" si="0"/>
        <v>#REF!</v>
      </c>
      <c r="I14" s="4" t="e">
        <f t="shared" si="2"/>
        <v>#REF!</v>
      </c>
      <c r="J14" s="21" t="e">
        <f t="shared" si="3"/>
        <v>#REF!</v>
      </c>
      <c r="K14" s="4" t="e">
        <f>#REF!</f>
        <v>#REF!</v>
      </c>
      <c r="L14" s="4" t="e">
        <f>#REF!</f>
        <v>#REF!</v>
      </c>
      <c r="M14" s="4" t="e">
        <f>#REF!</f>
        <v>#REF!</v>
      </c>
    </row>
    <row r="15" spans="1:23" x14ac:dyDescent="0.25">
      <c r="A15" s="5" t="e">
        <f>#REF!</f>
        <v>#REF!</v>
      </c>
      <c r="B15" s="4" t="e">
        <f>#REF!</f>
        <v>#REF!</v>
      </c>
      <c r="C15" s="4" t="e">
        <f>#REF!</f>
        <v>#REF!</v>
      </c>
      <c r="D15" s="4" t="e">
        <f t="shared" si="4"/>
        <v>#REF!</v>
      </c>
      <c r="E15" s="13" t="e">
        <f>#REF!</f>
        <v>#REF!</v>
      </c>
      <c r="F15" s="13" t="e">
        <f t="shared" ref="F15" si="7">F14+E15</f>
        <v>#REF!</v>
      </c>
      <c r="G15" s="4">
        <v>236.84</v>
      </c>
      <c r="H15" s="4" t="e">
        <f t="shared" si="0"/>
        <v>#REF!</v>
      </c>
      <c r="I15" s="4" t="e">
        <f t="shared" si="2"/>
        <v>#REF!</v>
      </c>
      <c r="J15" s="21" t="e">
        <f t="shared" si="3"/>
        <v>#REF!</v>
      </c>
      <c r="K15" s="4" t="e">
        <f>#REF!</f>
        <v>#REF!</v>
      </c>
      <c r="L15" s="4" t="e">
        <f>#REF!</f>
        <v>#REF!</v>
      </c>
      <c r="M15" s="4" t="e">
        <f>#REF!</f>
        <v>#REF!</v>
      </c>
    </row>
    <row r="16" spans="1:23" x14ac:dyDescent="0.25">
      <c r="A16" s="34" t="e">
        <f>#REF!</f>
        <v>#REF!</v>
      </c>
      <c r="B16" s="14" t="e">
        <f>#REF!</f>
        <v>#REF!</v>
      </c>
      <c r="C16" s="14" t="e">
        <f>#REF!</f>
        <v>#REF!</v>
      </c>
      <c r="D16" s="14" t="e">
        <f t="shared" si="4"/>
        <v>#REF!</v>
      </c>
      <c r="E16" s="15" t="e">
        <f>#REF!</f>
        <v>#REF!</v>
      </c>
      <c r="F16" s="15" t="e">
        <f t="shared" ref="F16" si="8">F15+E16</f>
        <v>#REF!</v>
      </c>
      <c r="G16" s="14">
        <v>231.2</v>
      </c>
      <c r="H16" s="14" t="e">
        <f t="shared" si="0"/>
        <v>#REF!</v>
      </c>
      <c r="I16" s="14" t="e">
        <f t="shared" si="2"/>
        <v>#REF!</v>
      </c>
      <c r="J16" s="22" t="e">
        <f t="shared" si="3"/>
        <v>#REF!</v>
      </c>
      <c r="K16" s="14" t="e">
        <f>#REF!</f>
        <v>#REF!</v>
      </c>
      <c r="L16" s="14" t="e">
        <f>#REF!</f>
        <v>#REF!</v>
      </c>
      <c r="M16" s="14" t="e">
        <f>#REF!</f>
        <v>#REF!</v>
      </c>
    </row>
  </sheetData>
  <mergeCells count="14">
    <mergeCell ref="W3:W4"/>
    <mergeCell ref="A3:A4"/>
    <mergeCell ref="E3:F3"/>
    <mergeCell ref="B3:D3"/>
    <mergeCell ref="G3:J3"/>
    <mergeCell ref="M3:M4"/>
    <mergeCell ref="T3:T4"/>
    <mergeCell ref="U3:V3"/>
    <mergeCell ref="K3:L3"/>
    <mergeCell ref="O3:O4"/>
    <mergeCell ref="P3:P4"/>
    <mergeCell ref="Q3:Q4"/>
    <mergeCell ref="R3:R4"/>
    <mergeCell ref="S3:S4"/>
  </mergeCells>
  <pageMargins left="0.7" right="0.7" top="0.75" bottom="0.75" header="0.3" footer="0.3"/>
  <pageSetup orientation="portrait" r:id="rId1"/>
  <ignoredErrors>
    <ignoredError sqref="E5:E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12"/>
  <sheetViews>
    <sheetView workbookViewId="0">
      <pane ySplit="12" topLeftCell="A13" activePane="bottomLeft" state="frozen"/>
      <selection activeCell="E29" sqref="E29"/>
      <selection pane="bottomLeft" activeCell="E29" sqref="E29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3" width="10.7109375" customWidth="1"/>
  </cols>
  <sheetData>
    <row r="1" spans="1:23" x14ac:dyDescent="0.25">
      <c r="A1" s="10" t="s">
        <v>17</v>
      </c>
    </row>
    <row r="3" spans="1:23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16</v>
      </c>
      <c r="P3" s="57" t="s">
        <v>12</v>
      </c>
      <c r="Q3" s="57" t="s">
        <v>1</v>
      </c>
      <c r="R3" s="57" t="s">
        <v>31</v>
      </c>
      <c r="S3" s="57" t="s">
        <v>6</v>
      </c>
      <c r="T3" s="57" t="s">
        <v>5</v>
      </c>
      <c r="U3" s="55" t="s">
        <v>30</v>
      </c>
      <c r="V3" s="56"/>
      <c r="W3" s="57" t="s">
        <v>39</v>
      </c>
    </row>
    <row r="4" spans="1:23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58"/>
      <c r="T4" s="58"/>
      <c r="U4" s="3" t="s">
        <v>13</v>
      </c>
      <c r="V4" s="12" t="s">
        <v>28</v>
      </c>
      <c r="W4" s="58"/>
    </row>
    <row r="5" spans="1:23" x14ac:dyDescent="0.25">
      <c r="A5" s="5" t="e">
        <f>#REF!</f>
        <v>#REF!</v>
      </c>
      <c r="B5" s="4" t="e">
        <f>#REF!</f>
        <v>#REF!</v>
      </c>
      <c r="C5" s="4" t="e">
        <f>#REF!</f>
        <v>#REF!</v>
      </c>
      <c r="D5" s="4" t="e">
        <f>C5</f>
        <v>#REF!</v>
      </c>
      <c r="E5" s="13" t="e">
        <f>#REF!</f>
        <v>#REF!</v>
      </c>
      <c r="F5" s="13" t="e">
        <f>E5</f>
        <v>#REF!</v>
      </c>
      <c r="G5" s="4">
        <v>26.77</v>
      </c>
      <c r="H5" s="4" t="e">
        <f t="shared" ref="H5:H10" si="0">F5*G5</f>
        <v>#REF!</v>
      </c>
      <c r="I5" s="4" t="e">
        <f t="shared" ref="I5:I12" si="1">H5-D5</f>
        <v>#REF!</v>
      </c>
      <c r="J5" s="4" t="e">
        <f t="shared" ref="J5:J12" si="2">(H5-D5)*100/D5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SUM(B5:B55)</f>
        <v>#REF!</v>
      </c>
      <c r="Q5" s="13" t="e">
        <f>SUM(E5:E55)</f>
        <v>#REF!</v>
      </c>
      <c r="R5" s="4" t="e">
        <f>#REF!-#REF!</f>
        <v>#REF!</v>
      </c>
      <c r="S5" s="4" t="e">
        <f>R5-P5</f>
        <v>#REF!</v>
      </c>
      <c r="T5" s="21" t="e">
        <f>(R5-P5)/P5</f>
        <v>#REF!</v>
      </c>
      <c r="U5" s="4" t="e">
        <f>SUM(K5:K12)</f>
        <v>#REF!</v>
      </c>
      <c r="V5" s="4" t="e">
        <f>SUM(L5:L12)</f>
        <v>#REF!</v>
      </c>
      <c r="W5" s="4" t="e">
        <f>SUM(M5:M12)</f>
        <v>#REF!</v>
      </c>
    </row>
    <row r="6" spans="1:23" x14ac:dyDescent="0.25">
      <c r="A6" s="5" t="e">
        <f>#REF!</f>
        <v>#REF!</v>
      </c>
      <c r="B6" s="4" t="e">
        <f>#REF!</f>
        <v>#REF!</v>
      </c>
      <c r="C6" s="4" t="e">
        <f>#REF!</f>
        <v>#REF!</v>
      </c>
      <c r="D6" s="4" t="e">
        <f t="shared" ref="D6:D12" si="3">D5+C6</f>
        <v>#REF!</v>
      </c>
      <c r="E6" s="13" t="e">
        <f>#REF!</f>
        <v>#REF!</v>
      </c>
      <c r="F6" s="13" t="e">
        <f t="shared" ref="F6:F11" si="4">F5+E6</f>
        <v>#REF!</v>
      </c>
      <c r="G6" s="4">
        <v>29.25</v>
      </c>
      <c r="H6" s="4" t="e">
        <f t="shared" si="0"/>
        <v>#REF!</v>
      </c>
      <c r="I6" s="4" t="e">
        <f t="shared" si="1"/>
        <v>#REF!</v>
      </c>
      <c r="J6" s="4" t="e">
        <f t="shared" si="2"/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3" x14ac:dyDescent="0.25">
      <c r="A7" s="5" t="e">
        <f>#REF!</f>
        <v>#REF!</v>
      </c>
      <c r="B7" s="4" t="e">
        <f>#REF!</f>
        <v>#REF!</v>
      </c>
      <c r="C7" s="4" t="e">
        <f>#REF!</f>
        <v>#REF!</v>
      </c>
      <c r="D7" s="4" t="e">
        <f t="shared" si="3"/>
        <v>#REF!</v>
      </c>
      <c r="E7" s="13" t="e">
        <f>#REF!</f>
        <v>#REF!</v>
      </c>
      <c r="F7" s="13" t="e">
        <f t="shared" si="4"/>
        <v>#REF!</v>
      </c>
      <c r="G7" s="4">
        <v>30.95</v>
      </c>
      <c r="H7" s="4" t="e">
        <f t="shared" si="0"/>
        <v>#REF!</v>
      </c>
      <c r="I7" s="4" t="e">
        <f t="shared" si="1"/>
        <v>#REF!</v>
      </c>
      <c r="J7" s="4" t="e">
        <f t="shared" si="2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3" x14ac:dyDescent="0.25">
      <c r="A8" s="5" t="e">
        <f>#REF!</f>
        <v>#REF!</v>
      </c>
      <c r="B8" s="4" t="e">
        <f>#REF!</f>
        <v>#REF!</v>
      </c>
      <c r="C8" s="4" t="e">
        <f>#REF!</f>
        <v>#REF!</v>
      </c>
      <c r="D8" s="4" t="e">
        <f t="shared" si="3"/>
        <v>#REF!</v>
      </c>
      <c r="E8" s="13" t="e">
        <f>#REF!</f>
        <v>#REF!</v>
      </c>
      <c r="F8" s="13" t="e">
        <f t="shared" si="4"/>
        <v>#REF!</v>
      </c>
      <c r="G8" s="4">
        <v>33.54</v>
      </c>
      <c r="H8" s="4" t="e">
        <f t="shared" si="0"/>
        <v>#REF!</v>
      </c>
      <c r="I8" s="4" t="e">
        <f t="shared" si="1"/>
        <v>#REF!</v>
      </c>
      <c r="J8" s="4" t="e">
        <f t="shared" si="2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3" x14ac:dyDescent="0.25">
      <c r="A9" s="5" t="e">
        <f>#REF!</f>
        <v>#REF!</v>
      </c>
      <c r="B9" s="4" t="e">
        <f>#REF!</f>
        <v>#REF!</v>
      </c>
      <c r="C9" s="4" t="e">
        <f>#REF!</f>
        <v>#REF!</v>
      </c>
      <c r="D9" s="4" t="e">
        <f t="shared" si="3"/>
        <v>#REF!</v>
      </c>
      <c r="E9" s="13" t="e">
        <f>#REF!</f>
        <v>#REF!</v>
      </c>
      <c r="F9" s="13" t="e">
        <f t="shared" si="4"/>
        <v>#REF!</v>
      </c>
      <c r="G9" s="4">
        <v>32.729999999999997</v>
      </c>
      <c r="H9" s="4" t="e">
        <f t="shared" si="0"/>
        <v>#REF!</v>
      </c>
      <c r="I9" s="4" t="e">
        <f t="shared" si="1"/>
        <v>#REF!</v>
      </c>
      <c r="J9" s="4" t="e">
        <f t="shared" si="2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3" x14ac:dyDescent="0.25">
      <c r="A10" s="5" t="e">
        <f>#REF!</f>
        <v>#REF!</v>
      </c>
      <c r="B10" s="4" t="e">
        <f>#REF!</f>
        <v>#REF!</v>
      </c>
      <c r="C10" s="4" t="e">
        <f>#REF!</f>
        <v>#REF!</v>
      </c>
      <c r="D10" s="4" t="e">
        <f t="shared" si="3"/>
        <v>#REF!</v>
      </c>
      <c r="E10" s="13" t="e">
        <f>#REF!</f>
        <v>#REF!</v>
      </c>
      <c r="F10" s="13" t="e">
        <f t="shared" si="4"/>
        <v>#REF!</v>
      </c>
      <c r="G10" s="4">
        <v>35.01</v>
      </c>
      <c r="H10" s="4" t="e">
        <f t="shared" si="0"/>
        <v>#REF!</v>
      </c>
      <c r="I10" s="4" t="e">
        <f t="shared" si="1"/>
        <v>#REF!</v>
      </c>
      <c r="J10" s="4" t="e">
        <f t="shared" si="2"/>
        <v>#REF!</v>
      </c>
      <c r="K10" s="4" t="e">
        <f>#REF!</f>
        <v>#REF!</v>
      </c>
      <c r="L10" s="4" t="e">
        <f>#REF!</f>
        <v>#REF!</v>
      </c>
      <c r="M10" s="4" t="e">
        <f>#REF!</f>
        <v>#REF!</v>
      </c>
    </row>
    <row r="11" spans="1:23" x14ac:dyDescent="0.25">
      <c r="A11" s="5" t="e">
        <f>#REF!</f>
        <v>#REF!</v>
      </c>
      <c r="B11" s="4" t="e">
        <f>#REF!</f>
        <v>#REF!</v>
      </c>
      <c r="C11" s="4" t="e">
        <f>#REF!</f>
        <v>#REF!</v>
      </c>
      <c r="D11" s="4" t="e">
        <f t="shared" si="3"/>
        <v>#REF!</v>
      </c>
      <c r="E11" s="13" t="e">
        <f>#REF!</f>
        <v>#REF!</v>
      </c>
      <c r="F11" s="13" t="e">
        <f t="shared" si="4"/>
        <v>#REF!</v>
      </c>
      <c r="G11" s="4">
        <v>37.97</v>
      </c>
      <c r="H11" s="4" t="e">
        <f t="shared" ref="H11" si="5">F11*G11</f>
        <v>#REF!</v>
      </c>
      <c r="I11" s="4" t="e">
        <f t="shared" si="1"/>
        <v>#REF!</v>
      </c>
      <c r="J11" s="4" t="e">
        <f t="shared" si="2"/>
        <v>#REF!</v>
      </c>
      <c r="K11" s="4" t="e">
        <f>#REF!</f>
        <v>#REF!</v>
      </c>
      <c r="L11" s="4" t="e">
        <f>#REF!</f>
        <v>#REF!</v>
      </c>
      <c r="M11" s="4" t="e">
        <f>#REF!</f>
        <v>#REF!</v>
      </c>
    </row>
    <row r="12" spans="1:23" x14ac:dyDescent="0.25">
      <c r="A12" s="34" t="e">
        <f>#REF!</f>
        <v>#REF!</v>
      </c>
      <c r="B12" s="14" t="e">
        <f>#REF!</f>
        <v>#REF!</v>
      </c>
      <c r="C12" s="14" t="e">
        <f>#REF!</f>
        <v>#REF!</v>
      </c>
      <c r="D12" s="14" t="e">
        <f t="shared" si="3"/>
        <v>#REF!</v>
      </c>
      <c r="E12" s="15" t="e">
        <f>#REF!</f>
        <v>#REF!</v>
      </c>
      <c r="F12" s="15" t="e">
        <f t="shared" ref="F12" si="6">F11+E12</f>
        <v>#REF!</v>
      </c>
      <c r="G12" s="14">
        <v>37.04</v>
      </c>
      <c r="H12" s="14" t="e">
        <f t="shared" ref="H12" si="7">F12*G12</f>
        <v>#REF!</v>
      </c>
      <c r="I12" s="14" t="e">
        <f t="shared" si="1"/>
        <v>#REF!</v>
      </c>
      <c r="J12" s="14" t="e">
        <f t="shared" si="2"/>
        <v>#REF!</v>
      </c>
      <c r="K12" s="14" t="e">
        <f>#REF!</f>
        <v>#REF!</v>
      </c>
      <c r="L12" s="14" t="e">
        <f>#REF!</f>
        <v>#REF!</v>
      </c>
      <c r="M12" s="14" t="e">
        <f>#REF!</f>
        <v>#REF!</v>
      </c>
    </row>
  </sheetData>
  <mergeCells count="14">
    <mergeCell ref="W3:W4"/>
    <mergeCell ref="U3:V3"/>
    <mergeCell ref="A3:A4"/>
    <mergeCell ref="B3:D3"/>
    <mergeCell ref="E3:F3"/>
    <mergeCell ref="G3:J3"/>
    <mergeCell ref="K3:L3"/>
    <mergeCell ref="O3:O4"/>
    <mergeCell ref="M3:M4"/>
    <mergeCell ref="P3:P4"/>
    <mergeCell ref="Q3:Q4"/>
    <mergeCell ref="R3:R4"/>
    <mergeCell ref="S3:S4"/>
    <mergeCell ref="T3:T4"/>
  </mergeCells>
  <pageMargins left="0.7" right="0.7" top="0.75" bottom="0.75" header="0.3" footer="0.3"/>
  <pageSetup orientation="portrait" r:id="rId1"/>
  <ignoredErrors>
    <ignoredError sqref="E5:E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V10"/>
  <sheetViews>
    <sheetView workbookViewId="0">
      <pane ySplit="10" topLeftCell="A11" activePane="bottomLeft" state="frozen"/>
      <selection activeCell="E29" sqref="E29"/>
      <selection pane="bottomLeft" activeCell="E29" sqref="E29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2" width="10.7109375" customWidth="1"/>
  </cols>
  <sheetData>
    <row r="1" spans="1:22" x14ac:dyDescent="0.25">
      <c r="A1" s="10" t="s">
        <v>18</v>
      </c>
    </row>
    <row r="3" spans="1:22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19</v>
      </c>
      <c r="P3" s="57" t="s">
        <v>12</v>
      </c>
      <c r="Q3" s="57" t="s">
        <v>1</v>
      </c>
      <c r="R3" s="57" t="s">
        <v>31</v>
      </c>
      <c r="S3" s="57" t="s">
        <v>6</v>
      </c>
      <c r="T3" s="57" t="s">
        <v>5</v>
      </c>
      <c r="U3" s="55" t="s">
        <v>30</v>
      </c>
      <c r="V3" s="56"/>
    </row>
    <row r="4" spans="1:22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58"/>
      <c r="T4" s="58"/>
      <c r="U4" s="3" t="s">
        <v>13</v>
      </c>
      <c r="V4" s="12" t="s">
        <v>28</v>
      </c>
    </row>
    <row r="5" spans="1:22" x14ac:dyDescent="0.25">
      <c r="A5" s="5" t="e">
        <f>#REF!</f>
        <v>#REF!</v>
      </c>
      <c r="B5" s="4" t="e">
        <f>#REF!</f>
        <v>#REF!</v>
      </c>
      <c r="C5" s="4" t="e">
        <f>#REF!</f>
        <v>#REF!</v>
      </c>
      <c r="D5" s="4" t="e">
        <f>C5</f>
        <v>#REF!</v>
      </c>
      <c r="E5" s="13" t="e">
        <f>#REF!</f>
        <v>#REF!</v>
      </c>
      <c r="F5" s="13" t="e">
        <f>E5</f>
        <v>#REF!</v>
      </c>
      <c r="G5" s="4">
        <v>129.69</v>
      </c>
      <c r="H5" s="4" t="e">
        <f t="shared" ref="H5:H10" si="0">F5*G5</f>
        <v>#REF!</v>
      </c>
      <c r="I5" s="4" t="e">
        <f t="shared" ref="I5:I10" si="1">H5-D5</f>
        <v>#REF!</v>
      </c>
      <c r="J5" s="4" t="e">
        <f t="shared" ref="J5:J10" si="2">(H5-D5)*100/D5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SUM(B5:B43)</f>
        <v>#REF!</v>
      </c>
      <c r="Q5" s="13" t="e">
        <f>SUM(E5:E43)</f>
        <v>#REF!</v>
      </c>
      <c r="R5" s="4" t="e">
        <f>#REF!-#REF!</f>
        <v>#REF!</v>
      </c>
      <c r="S5" s="4" t="e">
        <f>R5-P5</f>
        <v>#REF!</v>
      </c>
      <c r="T5" s="21" t="e">
        <f>(R5-P5)/P5</f>
        <v>#REF!</v>
      </c>
      <c r="U5" s="4" t="e">
        <f>SUM(K5:K10)</f>
        <v>#REF!</v>
      </c>
      <c r="V5" s="4" t="e">
        <f>SUM(L5:L10)</f>
        <v>#REF!</v>
      </c>
    </row>
    <row r="6" spans="1:22" x14ac:dyDescent="0.25">
      <c r="A6" s="5" t="e">
        <f>#REF!</f>
        <v>#REF!</v>
      </c>
      <c r="B6" s="4" t="e">
        <f>#REF!</f>
        <v>#REF!</v>
      </c>
      <c r="C6" s="4" t="e">
        <f>#REF!</f>
        <v>#REF!</v>
      </c>
      <c r="D6" s="4" t="e">
        <f>D5+C6</f>
        <v>#REF!</v>
      </c>
      <c r="E6" s="13" t="e">
        <f>#REF!</f>
        <v>#REF!</v>
      </c>
      <c r="F6" s="13" t="e">
        <f>F5+E6</f>
        <v>#REF!</v>
      </c>
      <c r="G6" s="4">
        <v>135.38</v>
      </c>
      <c r="H6" s="4" t="e">
        <f t="shared" si="0"/>
        <v>#REF!</v>
      </c>
      <c r="I6" s="4" t="e">
        <f t="shared" si="1"/>
        <v>#REF!</v>
      </c>
      <c r="J6" s="4" t="e">
        <f t="shared" si="2"/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2" x14ac:dyDescent="0.25">
      <c r="A7" s="5" t="e">
        <f>#REF!</f>
        <v>#REF!</v>
      </c>
      <c r="B7" s="4" t="e">
        <f>#REF!</f>
        <v>#REF!</v>
      </c>
      <c r="C7" s="4" t="e">
        <f>#REF!</f>
        <v>#REF!</v>
      </c>
      <c r="D7" s="4" t="e">
        <f>D6+C7</f>
        <v>#REF!</v>
      </c>
      <c r="E7" s="13" t="e">
        <f>#REF!</f>
        <v>#REF!</v>
      </c>
      <c r="F7" s="13" t="e">
        <f>F6+E7</f>
        <v>#REF!</v>
      </c>
      <c r="G7" s="4">
        <v>135.63999999999999</v>
      </c>
      <c r="H7" s="4" t="e">
        <f t="shared" si="0"/>
        <v>#REF!</v>
      </c>
      <c r="I7" s="4" t="e">
        <f t="shared" si="1"/>
        <v>#REF!</v>
      </c>
      <c r="J7" s="4" t="e">
        <f t="shared" si="2"/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2" x14ac:dyDescent="0.25">
      <c r="A8" s="5" t="e">
        <f>#REF!</f>
        <v>#REF!</v>
      </c>
      <c r="B8" s="4" t="e">
        <f>#REF!</f>
        <v>#REF!</v>
      </c>
      <c r="C8" s="4" t="e">
        <f>#REF!</f>
        <v>#REF!</v>
      </c>
      <c r="D8" s="4" t="e">
        <f>D7+C8</f>
        <v>#REF!</v>
      </c>
      <c r="E8" s="13" t="e">
        <f>#REF!</f>
        <v>#REF!</v>
      </c>
      <c r="F8" s="13" t="e">
        <f>F7+E8</f>
        <v>#REF!</v>
      </c>
      <c r="G8" s="4">
        <v>139.97999999999999</v>
      </c>
      <c r="H8" s="4" t="e">
        <f t="shared" si="0"/>
        <v>#REF!</v>
      </c>
      <c r="I8" s="4" t="e">
        <f t="shared" si="1"/>
        <v>#REF!</v>
      </c>
      <c r="J8" s="4" t="e">
        <f t="shared" si="2"/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2" x14ac:dyDescent="0.25">
      <c r="A9" s="5" t="e">
        <f>#REF!</f>
        <v>#REF!</v>
      </c>
      <c r="B9" s="4" t="e">
        <f>#REF!</f>
        <v>#REF!</v>
      </c>
      <c r="C9" s="4" t="e">
        <f>#REF!</f>
        <v>#REF!</v>
      </c>
      <c r="D9" s="4" t="e">
        <f>D8+C9</f>
        <v>#REF!</v>
      </c>
      <c r="E9" s="13" t="e">
        <f>#REF!</f>
        <v>#REF!</v>
      </c>
      <c r="F9" s="13" t="e">
        <f>F8+E9</f>
        <v>#REF!</v>
      </c>
      <c r="G9" s="4">
        <v>145.41999999999999</v>
      </c>
      <c r="H9" s="4" t="e">
        <f t="shared" si="0"/>
        <v>#REF!</v>
      </c>
      <c r="I9" s="4" t="e">
        <f t="shared" si="1"/>
        <v>#REF!</v>
      </c>
      <c r="J9" s="4" t="e">
        <f t="shared" si="2"/>
        <v>#REF!</v>
      </c>
      <c r="K9" s="4" t="e">
        <f>#REF!</f>
        <v>#REF!</v>
      </c>
      <c r="L9" s="4" t="e">
        <f>#REF!</f>
        <v>#REF!</v>
      </c>
      <c r="M9" s="4" t="e">
        <f>#REF!</f>
        <v>#REF!</v>
      </c>
    </row>
    <row r="10" spans="1:22" x14ac:dyDescent="0.25">
      <c r="A10" s="34" t="e">
        <f>#REF!</f>
        <v>#REF!</v>
      </c>
      <c r="B10" s="14" t="e">
        <f>#REF!</f>
        <v>#REF!</v>
      </c>
      <c r="C10" s="14" t="e">
        <f>#REF!</f>
        <v>#REF!</v>
      </c>
      <c r="D10" s="14" t="e">
        <f>D9+C10</f>
        <v>#REF!</v>
      </c>
      <c r="E10" s="15" t="e">
        <f>#REF!</f>
        <v>#REF!</v>
      </c>
      <c r="F10" s="15" t="e">
        <f>F9+E10</f>
        <v>#REF!</v>
      </c>
      <c r="G10" s="14">
        <v>145.9</v>
      </c>
      <c r="H10" s="14" t="e">
        <f t="shared" si="0"/>
        <v>#REF!</v>
      </c>
      <c r="I10" s="14" t="e">
        <f t="shared" si="1"/>
        <v>#REF!</v>
      </c>
      <c r="J10" s="14" t="e">
        <f t="shared" si="2"/>
        <v>#REF!</v>
      </c>
      <c r="K10" s="14" t="e">
        <f>#REF!</f>
        <v>#REF!</v>
      </c>
      <c r="L10" s="14" t="e">
        <f>#REF!</f>
        <v>#REF!</v>
      </c>
      <c r="M10" s="14" t="e">
        <f>#REF!</f>
        <v>#REF!</v>
      </c>
    </row>
  </sheetData>
  <mergeCells count="13">
    <mergeCell ref="U3:V3"/>
    <mergeCell ref="A3:A4"/>
    <mergeCell ref="B3:D3"/>
    <mergeCell ref="E3:F3"/>
    <mergeCell ref="G3:J3"/>
    <mergeCell ref="K3:L3"/>
    <mergeCell ref="O3:O4"/>
    <mergeCell ref="M3:M4"/>
    <mergeCell ref="P3:P4"/>
    <mergeCell ref="Q3:Q4"/>
    <mergeCell ref="R3:R4"/>
    <mergeCell ref="S3:S4"/>
    <mergeCell ref="T3:T4"/>
  </mergeCells>
  <pageMargins left="0.7" right="0.7" top="0.75" bottom="0.75" header="0.3" footer="0.3"/>
  <pageSetup orientation="portrait" r:id="rId1"/>
  <ignoredErrors>
    <ignoredError sqref="E5:E1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V9"/>
  <sheetViews>
    <sheetView workbookViewId="0">
      <pane ySplit="9" topLeftCell="A10" activePane="bottomLeft" state="frozen"/>
      <selection activeCell="E29" sqref="E29"/>
      <selection pane="bottomLeft" activeCell="E29" sqref="E29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2" width="10.7109375" customWidth="1"/>
  </cols>
  <sheetData>
    <row r="1" spans="1:22" x14ac:dyDescent="0.25">
      <c r="A1" s="10" t="s">
        <v>20</v>
      </c>
    </row>
    <row r="3" spans="1:22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21</v>
      </c>
      <c r="P3" s="57" t="s">
        <v>12</v>
      </c>
      <c r="Q3" s="57" t="s">
        <v>1</v>
      </c>
      <c r="R3" s="57" t="s">
        <v>31</v>
      </c>
      <c r="S3" s="57" t="s">
        <v>6</v>
      </c>
      <c r="T3" s="57" t="s">
        <v>5</v>
      </c>
      <c r="U3" s="55" t="s">
        <v>30</v>
      </c>
      <c r="V3" s="56"/>
    </row>
    <row r="4" spans="1:22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58"/>
      <c r="T4" s="58"/>
      <c r="U4" s="3" t="s">
        <v>13</v>
      </c>
      <c r="V4" s="12" t="s">
        <v>28</v>
      </c>
    </row>
    <row r="5" spans="1:22" x14ac:dyDescent="0.25">
      <c r="A5" s="5" t="e">
        <f>#REF!</f>
        <v>#REF!</v>
      </c>
      <c r="B5" s="4" t="e">
        <f>#REF!</f>
        <v>#REF!</v>
      </c>
      <c r="C5" s="4" t="e">
        <f>#REF!</f>
        <v>#REF!</v>
      </c>
      <c r="D5" s="4" t="e">
        <f>C5</f>
        <v>#REF!</v>
      </c>
      <c r="E5" s="13" t="e">
        <f>#REF!</f>
        <v>#REF!</v>
      </c>
      <c r="F5" s="13" t="e">
        <f>E5</f>
        <v>#REF!</v>
      </c>
      <c r="G5" s="4">
        <v>65.25</v>
      </c>
      <c r="H5" s="4" t="e">
        <f>F5*G5</f>
        <v>#REF!</v>
      </c>
      <c r="I5" s="4" t="e">
        <f>H5-D5</f>
        <v>#REF!</v>
      </c>
      <c r="J5" s="4" t="e">
        <f>(H5-D5)*100/D5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SUM(B5:B46)</f>
        <v>#REF!</v>
      </c>
      <c r="Q5" s="13" t="e">
        <f>SUM(E5:E46)</f>
        <v>#REF!</v>
      </c>
      <c r="R5" s="4" t="e">
        <f>#REF!-#REF!</f>
        <v>#REF!</v>
      </c>
      <c r="S5" s="4" t="e">
        <f>R5-P5</f>
        <v>#REF!</v>
      </c>
      <c r="T5" s="21" t="e">
        <f>(R5-P5)/P5</f>
        <v>#REF!</v>
      </c>
      <c r="U5" s="4" t="e">
        <f>SUM(K5:K9)</f>
        <v>#REF!</v>
      </c>
      <c r="V5" s="4" t="e">
        <f>SUM(L5:L9)</f>
        <v>#REF!</v>
      </c>
    </row>
    <row r="6" spans="1:22" x14ac:dyDescent="0.25">
      <c r="A6" s="5" t="e">
        <f>#REF!</f>
        <v>#REF!</v>
      </c>
      <c r="B6" s="4" t="e">
        <f>#REF!</f>
        <v>#REF!</v>
      </c>
      <c r="C6" s="4" t="e">
        <f>#REF!</f>
        <v>#REF!</v>
      </c>
      <c r="D6" s="4" t="e">
        <f>D5+C6</f>
        <v>#REF!</v>
      </c>
      <c r="E6" s="13" t="e">
        <f>#REF!</f>
        <v>#REF!</v>
      </c>
      <c r="F6" s="13" t="e">
        <f>F5+E6</f>
        <v>#REF!</v>
      </c>
      <c r="G6" s="4">
        <v>65.31</v>
      </c>
      <c r="H6" s="4" t="e">
        <f>F6*G6</f>
        <v>#REF!</v>
      </c>
      <c r="I6" s="4" t="e">
        <f>H6-D6</f>
        <v>#REF!</v>
      </c>
      <c r="J6" s="4" t="e">
        <f>(H6-D6)*100/D6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2" x14ac:dyDescent="0.25">
      <c r="A7" s="5" t="e">
        <f>#REF!</f>
        <v>#REF!</v>
      </c>
      <c r="B7" s="4" t="e">
        <f>#REF!</f>
        <v>#REF!</v>
      </c>
      <c r="C7" s="4" t="e">
        <f>#REF!</f>
        <v>#REF!</v>
      </c>
      <c r="D7" s="4" t="e">
        <f>D6+C7</f>
        <v>#REF!</v>
      </c>
      <c r="E7" s="13" t="e">
        <f>#REF!</f>
        <v>#REF!</v>
      </c>
      <c r="F7" s="13" t="e">
        <f>F6+E7</f>
        <v>#REF!</v>
      </c>
      <c r="G7" s="4">
        <v>66.92</v>
      </c>
      <c r="H7" s="4" t="e">
        <f>F7*G7</f>
        <v>#REF!</v>
      </c>
      <c r="I7" s="4" t="e">
        <f>H7-D7</f>
        <v>#REF!</v>
      </c>
      <c r="J7" s="4" t="e">
        <f>(H7-D7)*100/D7</f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2" x14ac:dyDescent="0.25">
      <c r="A8" s="5" t="e">
        <f>#REF!</f>
        <v>#REF!</v>
      </c>
      <c r="B8" s="4" t="e">
        <f>#REF!</f>
        <v>#REF!</v>
      </c>
      <c r="C8" s="4" t="e">
        <f>#REF!</f>
        <v>#REF!</v>
      </c>
      <c r="D8" s="4" t="e">
        <f>D7+C8</f>
        <v>#REF!</v>
      </c>
      <c r="E8" s="13" t="e">
        <f>#REF!</f>
        <v>#REF!</v>
      </c>
      <c r="F8" s="13" t="e">
        <f>F7+E8</f>
        <v>#REF!</v>
      </c>
      <c r="G8" s="4">
        <v>68.78</v>
      </c>
      <c r="H8" s="4" t="e">
        <f>F8*G8</f>
        <v>#REF!</v>
      </c>
      <c r="I8" s="4" t="e">
        <f>H8-D8</f>
        <v>#REF!</v>
      </c>
      <c r="J8" s="4" t="e">
        <f>(H8-D8)*100/D8</f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2" x14ac:dyDescent="0.25">
      <c r="A9" s="34" t="e">
        <f>#REF!</f>
        <v>#REF!</v>
      </c>
      <c r="B9" s="14" t="e">
        <f>#REF!</f>
        <v>#REF!</v>
      </c>
      <c r="C9" s="14" t="e">
        <f>#REF!</f>
        <v>#REF!</v>
      </c>
      <c r="D9" s="14" t="e">
        <f>D8+C9</f>
        <v>#REF!</v>
      </c>
      <c r="E9" s="15" t="e">
        <f>#REF!</f>
        <v>#REF!</v>
      </c>
      <c r="F9" s="15" t="e">
        <f>F8+E9</f>
        <v>#REF!</v>
      </c>
      <c r="G9" s="14">
        <v>67.97</v>
      </c>
      <c r="H9" s="14" t="e">
        <f>F9*G9</f>
        <v>#REF!</v>
      </c>
      <c r="I9" s="14" t="e">
        <f>H9-D9</f>
        <v>#REF!</v>
      </c>
      <c r="J9" s="14" t="e">
        <f>(H9-D9)*100/D9</f>
        <v>#REF!</v>
      </c>
      <c r="K9" s="14" t="e">
        <f>#REF!</f>
        <v>#REF!</v>
      </c>
      <c r="L9" s="14" t="e">
        <f>#REF!</f>
        <v>#REF!</v>
      </c>
      <c r="M9" s="14" t="e">
        <f>#REF!</f>
        <v>#REF!</v>
      </c>
    </row>
  </sheetData>
  <mergeCells count="13">
    <mergeCell ref="U3:V3"/>
    <mergeCell ref="O3:O4"/>
    <mergeCell ref="P3:P4"/>
    <mergeCell ref="Q3:Q4"/>
    <mergeCell ref="R3:R4"/>
    <mergeCell ref="S3:S4"/>
    <mergeCell ref="T3:T4"/>
    <mergeCell ref="M3:M4"/>
    <mergeCell ref="A3:A4"/>
    <mergeCell ref="B3:D3"/>
    <mergeCell ref="E3:F3"/>
    <mergeCell ref="G3:J3"/>
    <mergeCell ref="K3:L3"/>
  </mergeCells>
  <pageMargins left="0.7" right="0.7" top="0.75" bottom="0.75" header="0.3" footer="0.3"/>
  <pageSetup orientation="portrait" r:id="rId1"/>
  <ignoredErrors>
    <ignoredError sqref="E5:E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V9"/>
  <sheetViews>
    <sheetView workbookViewId="0">
      <pane ySplit="9" topLeftCell="A10" activePane="bottomLeft" state="frozen"/>
      <selection activeCell="E29" sqref="E29"/>
      <selection pane="bottomLeft" activeCell="E29" sqref="E29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2" width="10.7109375" customWidth="1"/>
  </cols>
  <sheetData>
    <row r="1" spans="1:22" x14ac:dyDescent="0.25">
      <c r="A1" s="10" t="s">
        <v>22</v>
      </c>
    </row>
    <row r="3" spans="1:22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23</v>
      </c>
      <c r="P3" s="57" t="s">
        <v>12</v>
      </c>
      <c r="Q3" s="57" t="s">
        <v>1</v>
      </c>
      <c r="R3" s="57" t="s">
        <v>31</v>
      </c>
      <c r="S3" s="57" t="s">
        <v>6</v>
      </c>
      <c r="T3" s="57" t="s">
        <v>5</v>
      </c>
      <c r="U3" s="55" t="s">
        <v>30</v>
      </c>
      <c r="V3" s="56"/>
    </row>
    <row r="4" spans="1:22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58"/>
      <c r="T4" s="58"/>
      <c r="U4" s="3" t="s">
        <v>13</v>
      </c>
      <c r="V4" s="12" t="s">
        <v>28</v>
      </c>
    </row>
    <row r="5" spans="1:22" x14ac:dyDescent="0.25">
      <c r="A5" s="5" t="e">
        <f>#REF!</f>
        <v>#REF!</v>
      </c>
      <c r="B5" s="4" t="e">
        <f>#REF!</f>
        <v>#REF!</v>
      </c>
      <c r="C5" s="4" t="e">
        <f>#REF!</f>
        <v>#REF!</v>
      </c>
      <c r="D5" s="4" t="e">
        <f>C5</f>
        <v>#REF!</v>
      </c>
      <c r="E5" s="13" t="e">
        <f>#REF!</f>
        <v>#REF!</v>
      </c>
      <c r="F5" s="13" t="e">
        <f>E5</f>
        <v>#REF!</v>
      </c>
      <c r="G5" s="4">
        <v>106.4</v>
      </c>
      <c r="H5" s="4" t="e">
        <f>F5*G5</f>
        <v>#REF!</v>
      </c>
      <c r="I5" s="4" t="e">
        <f>H5-D5</f>
        <v>#REF!</v>
      </c>
      <c r="J5" s="4" t="e">
        <f>(H5-D5)*100/D5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SUM(B5:B46)</f>
        <v>#REF!</v>
      </c>
      <c r="Q5" s="13" t="e">
        <f>SUM(E5:E46)</f>
        <v>#REF!</v>
      </c>
      <c r="R5" s="4" t="e">
        <f>#REF!-#REF!</f>
        <v>#REF!</v>
      </c>
      <c r="S5" s="4" t="e">
        <f>R5-P5</f>
        <v>#REF!</v>
      </c>
      <c r="T5" s="21" t="e">
        <f>(R5-P5)/P5</f>
        <v>#REF!</v>
      </c>
      <c r="U5" s="4" t="e">
        <f>SUM(K5:K9)</f>
        <v>#REF!</v>
      </c>
      <c r="V5" s="4" t="e">
        <f>SUM(L5:L9)</f>
        <v>#REF!</v>
      </c>
    </row>
    <row r="6" spans="1:22" x14ac:dyDescent="0.25">
      <c r="A6" s="5" t="e">
        <f>#REF!</f>
        <v>#REF!</v>
      </c>
      <c r="B6" s="4" t="e">
        <f>#REF!</f>
        <v>#REF!</v>
      </c>
      <c r="C6" s="4" t="e">
        <f>#REF!</f>
        <v>#REF!</v>
      </c>
      <c r="D6" s="4" t="e">
        <f>D5+C6</f>
        <v>#REF!</v>
      </c>
      <c r="E6" s="13" t="e">
        <f>#REF!</f>
        <v>#REF!</v>
      </c>
      <c r="F6" s="13" t="e">
        <f>F5+E6</f>
        <v>#REF!</v>
      </c>
      <c r="G6" s="4">
        <v>105.77</v>
      </c>
      <c r="H6" s="4" t="e">
        <f>F6*G6</f>
        <v>#REF!</v>
      </c>
      <c r="I6" s="4" t="e">
        <f>H6-D6</f>
        <v>#REF!</v>
      </c>
      <c r="J6" s="4" t="e">
        <f>(H6-D6)*100/D6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2" x14ac:dyDescent="0.25">
      <c r="A7" s="5" t="e">
        <f>#REF!</f>
        <v>#REF!</v>
      </c>
      <c r="B7" s="4" t="e">
        <f>#REF!</f>
        <v>#REF!</v>
      </c>
      <c r="C7" s="4" t="e">
        <f>#REF!</f>
        <v>#REF!</v>
      </c>
      <c r="D7" s="4" t="e">
        <f>D6+C7</f>
        <v>#REF!</v>
      </c>
      <c r="E7" s="13" t="e">
        <f>#REF!</f>
        <v>#REF!</v>
      </c>
      <c r="F7" s="13" t="e">
        <f>F6+E7</f>
        <v>#REF!</v>
      </c>
      <c r="G7" s="4">
        <v>108.89</v>
      </c>
      <c r="H7" s="4" t="e">
        <f>F7*G7</f>
        <v>#REF!</v>
      </c>
      <c r="I7" s="4" t="e">
        <f>H7-D7</f>
        <v>#REF!</v>
      </c>
      <c r="J7" s="4" t="e">
        <f>(H7-D7)*100/D7</f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2" x14ac:dyDescent="0.25">
      <c r="A8" s="5" t="e">
        <f>#REF!</f>
        <v>#REF!</v>
      </c>
      <c r="B8" s="4" t="e">
        <f>#REF!</f>
        <v>#REF!</v>
      </c>
      <c r="C8" s="4" t="e">
        <f>#REF!</f>
        <v>#REF!</v>
      </c>
      <c r="D8" s="4" t="e">
        <f>D7+C8</f>
        <v>#REF!</v>
      </c>
      <c r="E8" s="13" t="e">
        <f>#REF!</f>
        <v>#REF!</v>
      </c>
      <c r="F8" s="13" t="e">
        <f>F7+E8</f>
        <v>#REF!</v>
      </c>
      <c r="G8" s="4">
        <v>113.7</v>
      </c>
      <c r="H8" s="4" t="e">
        <f>F8*G8</f>
        <v>#REF!</v>
      </c>
      <c r="I8" s="4" t="e">
        <f>H8-D8</f>
        <v>#REF!</v>
      </c>
      <c r="J8" s="4" t="e">
        <f>(H8-D8)*100/D8</f>
        <v>#REF!</v>
      </c>
      <c r="K8" s="4" t="e">
        <f>#REF!</f>
        <v>#REF!</v>
      </c>
      <c r="L8" s="4" t="e">
        <f>#REF!</f>
        <v>#REF!</v>
      </c>
      <c r="M8" s="4" t="e">
        <f>#REF!</f>
        <v>#REF!</v>
      </c>
    </row>
    <row r="9" spans="1:22" x14ac:dyDescent="0.25">
      <c r="A9" s="14" t="e">
        <f>#REF!</f>
        <v>#REF!</v>
      </c>
      <c r="B9" s="14" t="e">
        <f>#REF!</f>
        <v>#REF!</v>
      </c>
      <c r="C9" s="14" t="e">
        <f>#REF!</f>
        <v>#REF!</v>
      </c>
      <c r="D9" s="14" t="e">
        <f>D8+C9</f>
        <v>#REF!</v>
      </c>
      <c r="E9" s="15" t="e">
        <f>#REF!</f>
        <v>#REF!</v>
      </c>
      <c r="F9" s="15" t="e">
        <f>F8+E9</f>
        <v>#REF!</v>
      </c>
      <c r="G9" s="14">
        <v>112.91</v>
      </c>
      <c r="H9" s="14" t="e">
        <f>F9*G9</f>
        <v>#REF!</v>
      </c>
      <c r="I9" s="14" t="e">
        <f>H9-D9</f>
        <v>#REF!</v>
      </c>
      <c r="J9" s="14" t="e">
        <f>(H9-D9)*100/D9</f>
        <v>#REF!</v>
      </c>
      <c r="K9" s="14" t="e">
        <f>#REF!</f>
        <v>#REF!</v>
      </c>
      <c r="L9" s="14" t="e">
        <f>#REF!</f>
        <v>#REF!</v>
      </c>
      <c r="M9" s="14" t="e">
        <f>#REF!</f>
        <v>#REF!</v>
      </c>
    </row>
  </sheetData>
  <mergeCells count="13">
    <mergeCell ref="U3:V3"/>
    <mergeCell ref="O3:O4"/>
    <mergeCell ref="P3:P4"/>
    <mergeCell ref="Q3:Q4"/>
    <mergeCell ref="R3:R4"/>
    <mergeCell ref="S3:S4"/>
    <mergeCell ref="T3:T4"/>
    <mergeCell ref="M3:M4"/>
    <mergeCell ref="A3:A4"/>
    <mergeCell ref="B3:D3"/>
    <mergeCell ref="E3:F3"/>
    <mergeCell ref="G3:J3"/>
    <mergeCell ref="K3:L3"/>
  </mergeCells>
  <pageMargins left="0.7" right="0.7" top="0.75" bottom="0.75" header="0.3" footer="0.3"/>
  <pageSetup orientation="portrait" r:id="rId1"/>
  <ignoredErrors>
    <ignoredError sqref="E5:E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V8"/>
  <sheetViews>
    <sheetView workbookViewId="0">
      <pane ySplit="8" topLeftCell="A9" activePane="bottomLeft" state="frozen"/>
      <selection activeCell="E29" sqref="E29"/>
      <selection pane="bottomLeft" activeCell="E29" sqref="E29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2" width="10.7109375" customWidth="1"/>
  </cols>
  <sheetData>
    <row r="1" spans="1:22" x14ac:dyDescent="0.25">
      <c r="A1" s="10" t="s">
        <v>24</v>
      </c>
    </row>
    <row r="3" spans="1:22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25</v>
      </c>
      <c r="P3" s="57" t="s">
        <v>12</v>
      </c>
      <c r="Q3" s="57" t="s">
        <v>1</v>
      </c>
      <c r="R3" s="57" t="s">
        <v>31</v>
      </c>
      <c r="S3" s="57" t="s">
        <v>6</v>
      </c>
      <c r="T3" s="57" t="s">
        <v>5</v>
      </c>
      <c r="U3" s="55" t="s">
        <v>30</v>
      </c>
      <c r="V3" s="56"/>
    </row>
    <row r="4" spans="1:22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58"/>
      <c r="T4" s="58"/>
      <c r="U4" s="3" t="s">
        <v>13</v>
      </c>
      <c r="V4" s="12" t="s">
        <v>28</v>
      </c>
    </row>
    <row r="5" spans="1:22" x14ac:dyDescent="0.25">
      <c r="A5" s="5" t="e">
        <f>#REF!</f>
        <v>#REF!</v>
      </c>
      <c r="B5" s="4" t="e">
        <f>#REF!</f>
        <v>#REF!</v>
      </c>
      <c r="C5" s="4" t="e">
        <f>#REF!</f>
        <v>#REF!</v>
      </c>
      <c r="D5" s="4" t="e">
        <f>C5</f>
        <v>#REF!</v>
      </c>
      <c r="E5" s="13" t="e">
        <f>#REF!</f>
        <v>#REF!</v>
      </c>
      <c r="F5" s="13" t="e">
        <f>E5</f>
        <v>#REF!</v>
      </c>
      <c r="G5" s="4">
        <v>91.94</v>
      </c>
      <c r="H5" s="4" t="e">
        <f>F5*G5</f>
        <v>#REF!</v>
      </c>
      <c r="I5" s="4" t="e">
        <f>H5-D5</f>
        <v>#REF!</v>
      </c>
      <c r="J5" s="4" t="e">
        <f>(H5-D5)*100/D5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SUM(B5:B44)</f>
        <v>#REF!</v>
      </c>
      <c r="Q5" s="13" t="e">
        <f>SUM(E5:E44)</f>
        <v>#REF!</v>
      </c>
      <c r="R5" s="4" t="e">
        <f>#REF!-#REF!</f>
        <v>#REF!</v>
      </c>
      <c r="S5" s="4" t="e">
        <f>R5-P5</f>
        <v>#REF!</v>
      </c>
      <c r="T5" s="21" t="e">
        <f>(R5-P5)/P5</f>
        <v>#REF!</v>
      </c>
      <c r="U5" s="4" t="e">
        <f>SUM(K5:K8)</f>
        <v>#REF!</v>
      </c>
      <c r="V5" s="4" t="e">
        <f>SUM(L5:L8)</f>
        <v>#REF!</v>
      </c>
    </row>
    <row r="6" spans="1:22" x14ac:dyDescent="0.25">
      <c r="A6" s="5" t="e">
        <f>#REF!</f>
        <v>#REF!</v>
      </c>
      <c r="B6" s="4" t="e">
        <f>#REF!</f>
        <v>#REF!</v>
      </c>
      <c r="C6" s="4" t="e">
        <f>#REF!</f>
        <v>#REF!</v>
      </c>
      <c r="D6" s="4" t="e">
        <f>D5+C6</f>
        <v>#REF!</v>
      </c>
      <c r="E6" s="13" t="e">
        <f>#REF!</f>
        <v>#REF!</v>
      </c>
      <c r="F6" s="13" t="e">
        <f>F5+E6</f>
        <v>#REF!</v>
      </c>
      <c r="G6" s="4">
        <v>97.9</v>
      </c>
      <c r="H6" s="4" t="e">
        <f>F6*G6</f>
        <v>#REF!</v>
      </c>
      <c r="I6" s="4" t="e">
        <f>H6-D6</f>
        <v>#REF!</v>
      </c>
      <c r="J6" s="4" t="e">
        <f>(H6-D6)*100/D6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2" x14ac:dyDescent="0.25">
      <c r="A7" s="5" t="e">
        <f>#REF!</f>
        <v>#REF!</v>
      </c>
      <c r="B7" s="4" t="e">
        <f>#REF!</f>
        <v>#REF!</v>
      </c>
      <c r="C7" s="4" t="e">
        <f>#REF!</f>
        <v>#REF!</v>
      </c>
      <c r="D7" s="4" t="e">
        <f>D6+C7</f>
        <v>#REF!</v>
      </c>
      <c r="E7" s="13" t="e">
        <f>#REF!</f>
        <v>#REF!</v>
      </c>
      <c r="F7" s="13" t="e">
        <f>F6+E7</f>
        <v>#REF!</v>
      </c>
      <c r="G7" s="4">
        <v>106.65</v>
      </c>
      <c r="H7" s="4" t="e">
        <f>F7*G7</f>
        <v>#REF!</v>
      </c>
      <c r="I7" s="4" t="e">
        <f>H7-D7</f>
        <v>#REF!</v>
      </c>
      <c r="J7" s="4" t="e">
        <f>(H7-D7)*100/D7</f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2" x14ac:dyDescent="0.25">
      <c r="A8" s="34" t="e">
        <f>#REF!</f>
        <v>#REF!</v>
      </c>
      <c r="B8" s="14" t="e">
        <f>#REF!</f>
        <v>#REF!</v>
      </c>
      <c r="C8" s="14" t="e">
        <f>#REF!</f>
        <v>#REF!</v>
      </c>
      <c r="D8" s="14" t="e">
        <f>D7+C8</f>
        <v>#REF!</v>
      </c>
      <c r="E8" s="15" t="e">
        <f>#REF!</f>
        <v>#REF!</v>
      </c>
      <c r="F8" s="15" t="e">
        <f>F7+E8</f>
        <v>#REF!</v>
      </c>
      <c r="G8" s="14">
        <v>102.74</v>
      </c>
      <c r="H8" s="14" t="e">
        <f>F8*G8</f>
        <v>#REF!</v>
      </c>
      <c r="I8" s="14" t="e">
        <f>H8-D8</f>
        <v>#REF!</v>
      </c>
      <c r="J8" s="14" t="e">
        <f>(H8-D8)*100/D8</f>
        <v>#REF!</v>
      </c>
      <c r="K8" s="14" t="e">
        <f>#REF!</f>
        <v>#REF!</v>
      </c>
      <c r="L8" s="14" t="e">
        <f>#REF!</f>
        <v>#REF!</v>
      </c>
      <c r="M8" s="14" t="e">
        <f>#REF!</f>
        <v>#REF!</v>
      </c>
    </row>
  </sheetData>
  <mergeCells count="13">
    <mergeCell ref="A3:A4"/>
    <mergeCell ref="B3:D3"/>
    <mergeCell ref="E3:F3"/>
    <mergeCell ref="G3:J3"/>
    <mergeCell ref="U3:V3"/>
    <mergeCell ref="K3:L3"/>
    <mergeCell ref="M3:M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  <pageSetup orientation="portrait" r:id="rId1"/>
  <ignoredErrors>
    <ignoredError sqref="E5:E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V8"/>
  <sheetViews>
    <sheetView workbookViewId="0">
      <pane ySplit="8" topLeftCell="A9" activePane="bottomLeft" state="frozen"/>
      <selection activeCell="E29" sqref="E29"/>
      <selection pane="bottomLeft" activeCell="E29" sqref="E29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2" width="10.7109375" customWidth="1"/>
  </cols>
  <sheetData>
    <row r="1" spans="1:22" x14ac:dyDescent="0.25">
      <c r="A1" s="10" t="s">
        <v>26</v>
      </c>
    </row>
    <row r="3" spans="1:22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27</v>
      </c>
      <c r="P3" s="57" t="s">
        <v>12</v>
      </c>
      <c r="Q3" s="57" t="s">
        <v>1</v>
      </c>
      <c r="R3" s="57" t="s">
        <v>31</v>
      </c>
      <c r="S3" s="57" t="s">
        <v>6</v>
      </c>
      <c r="T3" s="57" t="s">
        <v>5</v>
      </c>
      <c r="U3" s="55" t="s">
        <v>30</v>
      </c>
      <c r="V3" s="56"/>
    </row>
    <row r="4" spans="1:22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58"/>
      <c r="T4" s="58"/>
      <c r="U4" s="3" t="s">
        <v>13</v>
      </c>
      <c r="V4" s="12" t="s">
        <v>28</v>
      </c>
    </row>
    <row r="5" spans="1:22" x14ac:dyDescent="0.25">
      <c r="A5" s="5" t="e">
        <f>#REF!</f>
        <v>#REF!</v>
      </c>
      <c r="B5" s="4" t="e">
        <f>#REF!</f>
        <v>#REF!</v>
      </c>
      <c r="C5" s="4" t="e">
        <f>#REF!</f>
        <v>#REF!</v>
      </c>
      <c r="D5" s="4" t="e">
        <f>C5</f>
        <v>#REF!</v>
      </c>
      <c r="E5" s="13" t="e">
        <f>#REF!</f>
        <v>#REF!</v>
      </c>
      <c r="F5" s="13" t="e">
        <f>E5</f>
        <v>#REF!</v>
      </c>
      <c r="G5" s="4">
        <v>139.58000000000001</v>
      </c>
      <c r="H5" s="4" t="e">
        <f>F5*G5</f>
        <v>#REF!</v>
      </c>
      <c r="I5" s="4" t="e">
        <f>H5-D5</f>
        <v>#REF!</v>
      </c>
      <c r="J5" s="4" t="e">
        <f>(H5-D5)*100/D5</f>
        <v>#REF!</v>
      </c>
      <c r="K5" s="4" t="e">
        <f>#REF!</f>
        <v>#REF!</v>
      </c>
      <c r="L5" s="4" t="e">
        <f>#REF!</f>
        <v>#REF!</v>
      </c>
      <c r="M5" s="4" t="e">
        <f>#REF!</f>
        <v>#REF!</v>
      </c>
      <c r="O5" s="3" t="s">
        <v>2</v>
      </c>
      <c r="P5" s="4" t="e">
        <f>SUM(B5:B45)</f>
        <v>#REF!</v>
      </c>
      <c r="Q5" s="13" t="e">
        <f>SUM(E5:E45)</f>
        <v>#REF!</v>
      </c>
      <c r="R5" s="4" t="e">
        <f>#REF!-#REF!</f>
        <v>#REF!</v>
      </c>
      <c r="S5" s="4" t="e">
        <f>R5-P5</f>
        <v>#REF!</v>
      </c>
      <c r="T5" s="21" t="e">
        <f>(R5-P5)/P5</f>
        <v>#REF!</v>
      </c>
      <c r="U5" s="4" t="e">
        <f>SUM(K5:K8)</f>
        <v>#REF!</v>
      </c>
      <c r="V5" s="4" t="e">
        <f>SUM(L5:L8)</f>
        <v>#REF!</v>
      </c>
    </row>
    <row r="6" spans="1:22" x14ac:dyDescent="0.25">
      <c r="A6" s="5" t="e">
        <f>#REF!</f>
        <v>#REF!</v>
      </c>
      <c r="B6" s="4" t="e">
        <f>#REF!</f>
        <v>#REF!</v>
      </c>
      <c r="C6" s="4" t="e">
        <f>#REF!</f>
        <v>#REF!</v>
      </c>
      <c r="D6" s="4" t="e">
        <f>D5+C6</f>
        <v>#REF!</v>
      </c>
      <c r="E6" s="13" t="e">
        <f>#REF!</f>
        <v>#REF!</v>
      </c>
      <c r="F6" s="13" t="e">
        <f>F5+E6</f>
        <v>#REF!</v>
      </c>
      <c r="G6" s="4">
        <v>148.81</v>
      </c>
      <c r="H6" s="4" t="e">
        <f>F6*G6</f>
        <v>#REF!</v>
      </c>
      <c r="I6" s="4" t="e">
        <f>H6-D6</f>
        <v>#REF!</v>
      </c>
      <c r="J6" s="4" t="e">
        <f>(H6-D6)*100/D6</f>
        <v>#REF!</v>
      </c>
      <c r="K6" s="4" t="e">
        <f>#REF!</f>
        <v>#REF!</v>
      </c>
      <c r="L6" s="4" t="e">
        <f>#REF!</f>
        <v>#REF!</v>
      </c>
      <c r="M6" s="4" t="e">
        <f>#REF!</f>
        <v>#REF!</v>
      </c>
    </row>
    <row r="7" spans="1:22" x14ac:dyDescent="0.25">
      <c r="A7" s="5" t="e">
        <f>#REF!</f>
        <v>#REF!</v>
      </c>
      <c r="B7" s="4" t="e">
        <f>#REF!</f>
        <v>#REF!</v>
      </c>
      <c r="C7" s="4" t="e">
        <f>#REF!</f>
        <v>#REF!</v>
      </c>
      <c r="D7" s="4" t="e">
        <f>D6+C7</f>
        <v>#REF!</v>
      </c>
      <c r="E7" s="13" t="e">
        <f>#REF!</f>
        <v>#REF!</v>
      </c>
      <c r="F7" s="13" t="e">
        <f>F6+E7</f>
        <v>#REF!</v>
      </c>
      <c r="G7" s="4">
        <v>160.88</v>
      </c>
      <c r="H7" s="4" t="e">
        <f>F7*G7</f>
        <v>#REF!</v>
      </c>
      <c r="I7" s="4" t="e">
        <f>H7-D7</f>
        <v>#REF!</v>
      </c>
      <c r="J7" s="4" t="e">
        <f>(H7-D7)*100/D7</f>
        <v>#REF!</v>
      </c>
      <c r="K7" s="4" t="e">
        <f>#REF!</f>
        <v>#REF!</v>
      </c>
      <c r="L7" s="4" t="e">
        <f>#REF!</f>
        <v>#REF!</v>
      </c>
      <c r="M7" s="4" t="e">
        <f>#REF!</f>
        <v>#REF!</v>
      </c>
    </row>
    <row r="8" spans="1:22" x14ac:dyDescent="0.25">
      <c r="A8" s="34" t="e">
        <f>#REF!</f>
        <v>#REF!</v>
      </c>
      <c r="B8" s="14" t="e">
        <f>#REF!</f>
        <v>#REF!</v>
      </c>
      <c r="C8" s="14" t="e">
        <f>#REF!</f>
        <v>#REF!</v>
      </c>
      <c r="D8" s="14" t="e">
        <f>D7+C8</f>
        <v>#REF!</v>
      </c>
      <c r="E8" s="15" t="e">
        <f>#REF!</f>
        <v>#REF!</v>
      </c>
      <c r="F8" s="15" t="e">
        <f>F7+E8</f>
        <v>#REF!</v>
      </c>
      <c r="G8" s="14">
        <v>155.77000000000001</v>
      </c>
      <c r="H8" s="14" t="e">
        <f>F8*G8</f>
        <v>#REF!</v>
      </c>
      <c r="I8" s="14" t="e">
        <f>H8-D8</f>
        <v>#REF!</v>
      </c>
      <c r="J8" s="14" t="e">
        <f>(H8-D8)*100/D8</f>
        <v>#REF!</v>
      </c>
      <c r="K8" s="14" t="e">
        <f>#REF!</f>
        <v>#REF!</v>
      </c>
      <c r="L8" s="14" t="e">
        <f>#REF!</f>
        <v>#REF!</v>
      </c>
      <c r="M8" s="14" t="e">
        <f>#REF!</f>
        <v>#REF!</v>
      </c>
    </row>
  </sheetData>
  <mergeCells count="13">
    <mergeCell ref="T3:T4"/>
    <mergeCell ref="U3:V3"/>
    <mergeCell ref="K3:L3"/>
    <mergeCell ref="M3:M4"/>
    <mergeCell ref="O3:O4"/>
    <mergeCell ref="P3:P4"/>
    <mergeCell ref="Q3:Q4"/>
    <mergeCell ref="R3:R4"/>
    <mergeCell ref="A3:A4"/>
    <mergeCell ref="B3:D3"/>
    <mergeCell ref="E3:F3"/>
    <mergeCell ref="G3:J3"/>
    <mergeCell ref="S3:S4"/>
  </mergeCells>
  <pageMargins left="0.7" right="0.7" top="0.75" bottom="0.75" header="0.3" footer="0.3"/>
  <pageSetup orientation="portrait" r:id="rId1"/>
  <ignoredErrors>
    <ignoredError sqref="E5:E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00"/>
  <sheetViews>
    <sheetView workbookViewId="0">
      <pane ySplit="11" topLeftCell="A12" activePane="bottomLeft" state="frozen"/>
      <selection pane="bottomLeft" activeCell="G14" sqref="G14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1" width="15.7109375" customWidth="1"/>
    <col min="32" max="32" width="10.7109375" customWidth="1"/>
  </cols>
  <sheetData>
    <row r="1" spans="1:33" x14ac:dyDescent="0.25">
      <c r="A1" s="10" t="s">
        <v>41</v>
      </c>
    </row>
    <row r="3" spans="1:33" x14ac:dyDescent="0.25">
      <c r="A3" s="57" t="s">
        <v>32</v>
      </c>
      <c r="B3" s="55" t="s">
        <v>3</v>
      </c>
      <c r="C3" s="59"/>
      <c r="D3" s="56"/>
      <c r="E3" s="55" t="s">
        <v>1</v>
      </c>
      <c r="F3" s="56"/>
      <c r="G3" s="55" t="s">
        <v>36</v>
      </c>
      <c r="H3" s="59"/>
      <c r="I3" s="59"/>
      <c r="J3" s="56"/>
      <c r="K3" s="60" t="s">
        <v>30</v>
      </c>
      <c r="L3" s="60"/>
      <c r="M3" s="57" t="s">
        <v>39</v>
      </c>
      <c r="O3" s="57" t="s">
        <v>42</v>
      </c>
      <c r="P3" s="57" t="s">
        <v>12</v>
      </c>
      <c r="Q3" s="57" t="s">
        <v>1</v>
      </c>
      <c r="R3" s="57" t="s">
        <v>31</v>
      </c>
      <c r="S3" s="61" t="s">
        <v>6</v>
      </c>
      <c r="T3" s="61"/>
      <c r="U3" s="61"/>
      <c r="V3" s="55" t="s">
        <v>30</v>
      </c>
      <c r="W3" s="56"/>
      <c r="X3" s="57" t="s">
        <v>39</v>
      </c>
      <c r="Y3" s="57" t="s">
        <v>43</v>
      </c>
      <c r="AC3" s="61" t="s">
        <v>44</v>
      </c>
      <c r="AD3" s="61" t="s">
        <v>0</v>
      </c>
      <c r="AE3" s="61" t="s">
        <v>1</v>
      </c>
      <c r="AF3" s="62" t="s">
        <v>47</v>
      </c>
      <c r="AG3" s="63"/>
    </row>
    <row r="4" spans="1:33" x14ac:dyDescent="0.25">
      <c r="A4" s="58"/>
      <c r="B4" s="3" t="s">
        <v>12</v>
      </c>
      <c r="C4" s="3" t="s">
        <v>38</v>
      </c>
      <c r="D4" s="3" t="s">
        <v>37</v>
      </c>
      <c r="E4" s="3" t="s">
        <v>35</v>
      </c>
      <c r="F4" s="3" t="s">
        <v>34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13</v>
      </c>
      <c r="L4" s="3" t="s">
        <v>28</v>
      </c>
      <c r="M4" s="58"/>
      <c r="O4" s="58"/>
      <c r="P4" s="58"/>
      <c r="Q4" s="58"/>
      <c r="R4" s="58"/>
      <c r="S4" s="23" t="s">
        <v>45</v>
      </c>
      <c r="T4" s="23" t="s">
        <v>5</v>
      </c>
      <c r="U4" s="23" t="s">
        <v>46</v>
      </c>
      <c r="V4" s="3" t="s">
        <v>13</v>
      </c>
      <c r="W4" s="12" t="s">
        <v>28</v>
      </c>
      <c r="X4" s="58"/>
      <c r="Y4" s="58"/>
      <c r="AC4" s="61"/>
      <c r="AD4" s="61"/>
      <c r="AE4" s="61"/>
      <c r="AF4" s="44" t="s">
        <v>32</v>
      </c>
      <c r="AG4" s="45" t="s">
        <v>44</v>
      </c>
    </row>
    <row r="5" spans="1:33" x14ac:dyDescent="0.25">
      <c r="A5" s="36">
        <f>'2026.01'!Q2</f>
        <v>2026.01</v>
      </c>
      <c r="B5" s="4">
        <f>'2026.01'!B15</f>
        <v>100</v>
      </c>
      <c r="C5" s="4">
        <f>'2026.01'!C15</f>
        <v>100</v>
      </c>
      <c r="D5" s="4">
        <f>C5</f>
        <v>100</v>
      </c>
      <c r="E5" s="13">
        <f>'2026.01'!F15</f>
        <v>8.7351502399999994</v>
      </c>
      <c r="F5" s="13">
        <f>E5</f>
        <v>8.7351502399999994</v>
      </c>
      <c r="G5" s="7">
        <v>11.34</v>
      </c>
      <c r="H5" s="4">
        <f t="shared" ref="H5:H10" si="0">F5*G5</f>
        <v>99.056603721599998</v>
      </c>
      <c r="I5" s="4">
        <f t="shared" ref="I5:I10" si="1">H5-D5</f>
        <v>-0.94339627840000162</v>
      </c>
      <c r="J5" s="21">
        <f t="shared" ref="J5:J10" si="2">(H5-D5)/D5</f>
        <v>-9.4339627840000165E-3</v>
      </c>
      <c r="K5" s="4">
        <f>'2026.01'!D15</f>
        <v>0</v>
      </c>
      <c r="L5" s="4">
        <f>'2026.01'!J15</f>
        <v>0</v>
      </c>
      <c r="M5" s="4">
        <f>'2026.01'!O15</f>
        <v>0</v>
      </c>
      <c r="O5" s="3" t="s">
        <v>2</v>
      </c>
      <c r="P5" s="4">
        <f>SUM(B5:B200)</f>
        <v>900</v>
      </c>
      <c r="Q5" s="13">
        <f>SUM(E5:E200)</f>
        <v>74.701295829999992</v>
      </c>
      <c r="R5" s="4">
        <v>0</v>
      </c>
      <c r="S5" s="4">
        <f>R5-P5+X5</f>
        <v>-900</v>
      </c>
      <c r="T5" s="21">
        <f>(R5-P5+X5)/P5</f>
        <v>-1</v>
      </c>
      <c r="U5" s="21">
        <f ca="1">XIRR(AG5:AG200,AF5:AF200)</f>
        <v>0.23258460164070127</v>
      </c>
      <c r="V5" s="4">
        <f>SUM(K5:K200)</f>
        <v>0</v>
      </c>
      <c r="W5" s="4">
        <f>SUM(L5:L200)</f>
        <v>0</v>
      </c>
      <c r="X5" s="4">
        <f>SUM(M5:M200)</f>
        <v>0</v>
      </c>
      <c r="Y5" s="4" cm="1">
        <f t="array" ref="Y5">SUMPRODUCT(IFERROR(AD5:AD200,0),IFERROR(AE5:AE200,0))/SUM(IFERROR(AE5:AE200,0))</f>
        <v>12.047983773242132</v>
      </c>
      <c r="AC5" s="4">
        <f>'2026.01'!$C$19</f>
        <v>100</v>
      </c>
      <c r="AD5" s="4">
        <f>'2026.01'!$E$19</f>
        <v>11.448000006007911</v>
      </c>
      <c r="AE5" s="5">
        <f>'2026.01'!$F$19</f>
        <v>8.7351502399999994</v>
      </c>
      <c r="AF5" s="46">
        <f>'2026.01'!$A$15</f>
        <v>46041</v>
      </c>
      <c r="AG5" s="4">
        <f>'2026.01'!$B$15*-1</f>
        <v>-100</v>
      </c>
    </row>
    <row r="6" spans="1:33" x14ac:dyDescent="0.25">
      <c r="A6" s="36">
        <f>'2026.02'!Q2</f>
        <v>2026.02</v>
      </c>
      <c r="B6" s="4">
        <f>'2026.02'!B15</f>
        <v>100</v>
      </c>
      <c r="C6" s="4">
        <f>'2026.02'!C15</f>
        <v>100</v>
      </c>
      <c r="D6" s="4">
        <f t="shared" ref="D6:D11" si="3">C6+D5</f>
        <v>200</v>
      </c>
      <c r="E6" s="13">
        <f>'2026.02'!F15</f>
        <v>8.7032201899999997</v>
      </c>
      <c r="F6" s="13">
        <f t="shared" ref="F6:F11" si="4">E6+F5</f>
        <v>17.438370429999999</v>
      </c>
      <c r="G6" s="7">
        <v>11.53</v>
      </c>
      <c r="H6" s="4">
        <f t="shared" si="0"/>
        <v>201.06441105789997</v>
      </c>
      <c r="I6" s="4">
        <f t="shared" si="1"/>
        <v>1.0644110578999744</v>
      </c>
      <c r="J6" s="21">
        <f t="shared" si="2"/>
        <v>5.322055289499872E-3</v>
      </c>
      <c r="K6" s="4">
        <f>'2026.02'!D15</f>
        <v>0</v>
      </c>
      <c r="L6" s="4">
        <f>'2026.02'!J15</f>
        <v>0</v>
      </c>
      <c r="M6" s="4">
        <f>'2026.02'!O15</f>
        <v>0</v>
      </c>
      <c r="AC6" s="4">
        <f>'2026.02'!$C$19</f>
        <v>100</v>
      </c>
      <c r="AD6" s="4">
        <f>'2026.02'!$E$19</f>
        <v>11.49000000194181</v>
      </c>
      <c r="AE6" s="5">
        <f>'2026.02'!$F$19</f>
        <v>8.7032201899999997</v>
      </c>
      <c r="AF6" s="46">
        <f>'2026.02'!$A$15</f>
        <v>46072</v>
      </c>
      <c r="AG6" s="4">
        <f>'2026.02'!$B$15*-1</f>
        <v>-100</v>
      </c>
    </row>
    <row r="7" spans="1:33" x14ac:dyDescent="0.25">
      <c r="A7" s="36">
        <f>'2026.03'!Q2</f>
        <v>2026.03</v>
      </c>
      <c r="B7" s="4">
        <f>'2026.03'!B15</f>
        <v>100</v>
      </c>
      <c r="C7" s="4">
        <f>'2026.03'!C15</f>
        <v>100</v>
      </c>
      <c r="D7" s="4">
        <f t="shared" si="3"/>
        <v>300</v>
      </c>
      <c r="E7" s="13">
        <f>'2026.03'!F15</f>
        <v>9.0073860499999991</v>
      </c>
      <c r="F7" s="13">
        <f t="shared" si="4"/>
        <v>26.44575648</v>
      </c>
      <c r="G7" s="7">
        <v>11.05</v>
      </c>
      <c r="H7" s="4">
        <f t="shared" si="0"/>
        <v>292.225609104</v>
      </c>
      <c r="I7" s="4">
        <f t="shared" si="1"/>
        <v>-7.7743908959999999</v>
      </c>
      <c r="J7" s="21">
        <f t="shared" si="2"/>
        <v>-2.591463632E-2</v>
      </c>
      <c r="K7" s="4">
        <f>'2026.03'!D15</f>
        <v>0</v>
      </c>
      <c r="L7" s="4">
        <f>'2026.03'!J15</f>
        <v>0</v>
      </c>
      <c r="M7" s="4">
        <f>'2026.03'!O15</f>
        <v>0</v>
      </c>
      <c r="AC7" s="4">
        <f>'2026.03'!$C$19</f>
        <v>100</v>
      </c>
      <c r="AD7" s="4">
        <f>'2026.03'!$E$19</f>
        <v>11.102000008093359</v>
      </c>
      <c r="AE7" s="5">
        <f>'2026.03'!$F$19</f>
        <v>9.0073860499999991</v>
      </c>
      <c r="AF7" s="46">
        <f>'2026.03'!$A$15</f>
        <v>46101</v>
      </c>
      <c r="AG7" s="4">
        <f>'2026.03'!$B$15*-1</f>
        <v>-100</v>
      </c>
    </row>
    <row r="8" spans="1:33" x14ac:dyDescent="0.25">
      <c r="A8" s="36">
        <f>'2026.04'!$Q$2</f>
        <v>2026.04</v>
      </c>
      <c r="B8" s="4">
        <f>'2026.04'!$B$15</f>
        <v>100</v>
      </c>
      <c r="C8" s="4">
        <f>'2026.04'!$C$15</f>
        <v>100</v>
      </c>
      <c r="D8" s="4">
        <f t="shared" si="3"/>
        <v>400</v>
      </c>
      <c r="E8" s="13">
        <f>'2026.04'!$F$15</f>
        <v>8.6236633299999994</v>
      </c>
      <c r="F8" s="13">
        <f t="shared" si="4"/>
        <v>35.069419809999999</v>
      </c>
      <c r="G8" s="7">
        <v>11.92</v>
      </c>
      <c r="H8" s="4">
        <f t="shared" si="0"/>
        <v>418.02748413519998</v>
      </c>
      <c r="I8" s="4">
        <f t="shared" si="1"/>
        <v>18.027484135199984</v>
      </c>
      <c r="J8" s="21">
        <f t="shared" si="2"/>
        <v>4.5068710337999959E-2</v>
      </c>
      <c r="K8" s="4">
        <f>'2026.04'!$D$15</f>
        <v>0</v>
      </c>
      <c r="L8" s="4">
        <f>'2026.04'!$J$15</f>
        <v>0</v>
      </c>
      <c r="M8" s="4">
        <f>'2026.04'!$O$15</f>
        <v>0</v>
      </c>
      <c r="AC8" s="4">
        <f>'2026.04'!$C$19</f>
        <v>100</v>
      </c>
      <c r="AD8" s="4">
        <f>'2026.04'!$E$19</f>
        <v>11.596000002936108</v>
      </c>
      <c r="AE8" s="5">
        <f>'2026.04'!$F$19</f>
        <v>8.6236633299999994</v>
      </c>
      <c r="AF8" s="46">
        <f>'2026.04'!$A$15</f>
        <v>46131</v>
      </c>
      <c r="AG8" s="4">
        <f>'2026.04'!$B$15*-1</f>
        <v>-100</v>
      </c>
    </row>
    <row r="9" spans="1:33" x14ac:dyDescent="0.25">
      <c r="A9" s="36">
        <f>'2026.05'!$Q$2</f>
        <v>2026.05</v>
      </c>
      <c r="B9" s="4">
        <f>'2026.05'!$B$15</f>
        <v>100</v>
      </c>
      <c r="C9" s="4">
        <f>'2026.05'!$C$15</f>
        <v>100</v>
      </c>
      <c r="D9" s="4">
        <f t="shared" si="3"/>
        <v>500</v>
      </c>
      <c r="E9" s="13">
        <f>'2026.05'!$F$15</f>
        <v>8.1859855899999996</v>
      </c>
      <c r="F9" s="13">
        <f t="shared" si="4"/>
        <v>43.255405400000001</v>
      </c>
      <c r="G9" s="7">
        <v>12.584</v>
      </c>
      <c r="H9" s="4">
        <f t="shared" si="0"/>
        <v>544.32602155359996</v>
      </c>
      <c r="I9" s="4">
        <f t="shared" si="1"/>
        <v>44.326021553599958</v>
      </c>
      <c r="J9" s="21">
        <f t="shared" si="2"/>
        <v>8.8652043107199915E-2</v>
      </c>
      <c r="K9" s="4">
        <f>'2026.05'!$D$15</f>
        <v>0</v>
      </c>
      <c r="L9" s="4">
        <f>'2026.05'!$J$15</f>
        <v>0</v>
      </c>
      <c r="M9" s="4">
        <f>'2026.05'!$O$15</f>
        <v>0</v>
      </c>
      <c r="AC9" s="4">
        <f>'2026.05'!$C$19</f>
        <v>100</v>
      </c>
      <c r="AD9" s="4">
        <f>'2026.05'!$E$19</f>
        <v>12.21600000397753</v>
      </c>
      <c r="AE9" s="5">
        <f>'2026.05'!$F$19</f>
        <v>8.1859855899999996</v>
      </c>
      <c r="AF9" s="46">
        <f>'2026.05'!$A$15</f>
        <v>46161</v>
      </c>
      <c r="AG9" s="4">
        <f>'2026.05'!$B$15*-1</f>
        <v>-100</v>
      </c>
    </row>
    <row r="10" spans="1:33" x14ac:dyDescent="0.25">
      <c r="A10" s="36">
        <f>'2026.06'!$Q$2</f>
        <v>2026.06</v>
      </c>
      <c r="B10" s="4">
        <f>'2026.06'!$B$15</f>
        <v>100</v>
      </c>
      <c r="C10" s="4">
        <f>'2026.06'!$C$15</f>
        <v>100</v>
      </c>
      <c r="D10" s="4">
        <f t="shared" si="3"/>
        <v>600</v>
      </c>
      <c r="E10" s="13">
        <f>'2026.06'!$F$15</f>
        <v>8.05542129</v>
      </c>
      <c r="F10" s="13">
        <f t="shared" si="4"/>
        <v>51.310826689999999</v>
      </c>
      <c r="G10" s="7">
        <v>12.78</v>
      </c>
      <c r="H10" s="4">
        <f t="shared" si="0"/>
        <v>655.7523650981999</v>
      </c>
      <c r="I10" s="4">
        <f t="shared" si="1"/>
        <v>55.752365098199903</v>
      </c>
      <c r="J10" s="21">
        <f t="shared" si="2"/>
        <v>9.2920608496999832E-2</v>
      </c>
      <c r="K10" s="4">
        <f>'2026.06'!$D$15</f>
        <v>0</v>
      </c>
      <c r="L10" s="4">
        <f>'2026.06'!$J$15</f>
        <v>0</v>
      </c>
      <c r="M10" s="4">
        <f>'2026.06'!$O$15</f>
        <v>0</v>
      </c>
      <c r="AC10" s="4">
        <f>'2026.06'!$C$19</f>
        <v>100</v>
      </c>
      <c r="AD10" s="4">
        <f>'2026.06'!$E$19</f>
        <v>12.414000013151393</v>
      </c>
      <c r="AE10" s="5">
        <f>'2026.06'!$F$19</f>
        <v>8.05542129</v>
      </c>
      <c r="AF10" s="46">
        <f>'2026.06'!$A$15</f>
        <v>46180</v>
      </c>
      <c r="AG10" s="4">
        <f>'2026.06'!$B$15*-1</f>
        <v>-100</v>
      </c>
    </row>
    <row r="11" spans="1:33" x14ac:dyDescent="0.25">
      <c r="A11" s="36">
        <f>'2026.07'!$Q$2</f>
        <v>2026.07</v>
      </c>
      <c r="B11" s="4">
        <f>'2026.07'!$B$15</f>
        <v>100</v>
      </c>
      <c r="C11" s="4">
        <f>'2026.07'!$C$15</f>
        <v>100</v>
      </c>
      <c r="D11" s="4">
        <f t="shared" si="3"/>
        <v>700</v>
      </c>
      <c r="E11" s="13">
        <f>'2026.07'!$F$15</f>
        <v>7.8382191499999996</v>
      </c>
      <c r="F11" s="13">
        <f t="shared" si="4"/>
        <v>59.149045839999999</v>
      </c>
      <c r="G11" s="7">
        <v>12.592000000000001</v>
      </c>
      <c r="H11" s="4">
        <f t="shared" ref="H11" si="5">F11*G11</f>
        <v>744.80478521728003</v>
      </c>
      <c r="I11" s="4">
        <f t="shared" ref="I11" si="6">H11-D11</f>
        <v>44.804785217280028</v>
      </c>
      <c r="J11" s="21">
        <f t="shared" ref="J11" si="7">(H11-D11)/D11</f>
        <v>6.4006836024685751E-2</v>
      </c>
      <c r="K11" s="4">
        <f>'2026.07'!$D$15</f>
        <v>0</v>
      </c>
      <c r="L11" s="4">
        <f>'2026.07'!$J$15</f>
        <v>0</v>
      </c>
      <c r="M11" s="4">
        <f>'2026.07'!$O$15</f>
        <v>0</v>
      </c>
      <c r="AC11" s="4">
        <f>'2026.07'!$C$19</f>
        <v>100</v>
      </c>
      <c r="AD11" s="4">
        <f>'2026.07'!$E$19</f>
        <v>12.758000010754994</v>
      </c>
      <c r="AE11" s="5">
        <f>'2026.07'!$F$19</f>
        <v>7.8382191499999996</v>
      </c>
      <c r="AF11" s="46">
        <f>'2026.07'!$A$15</f>
        <v>46218</v>
      </c>
      <c r="AG11" s="4">
        <f>'2026.07'!$B$15*-1</f>
        <v>-100</v>
      </c>
    </row>
    <row r="12" spans="1:33" x14ac:dyDescent="0.25">
      <c r="A12" s="36">
        <f>'2026.08'!$Q$2</f>
        <v>2026.08</v>
      </c>
      <c r="B12" s="4">
        <f>'2026.08'!$B$15</f>
        <v>100</v>
      </c>
      <c r="C12" s="4">
        <f>'2026.08'!$C$15</f>
        <v>100</v>
      </c>
      <c r="D12" s="4">
        <f t="shared" ref="D12" si="8">C12+D11</f>
        <v>800</v>
      </c>
      <c r="E12" s="13">
        <f>'2026.08'!$F$15</f>
        <v>7.7519379800000001</v>
      </c>
      <c r="F12" s="13">
        <f t="shared" ref="F12" si="9">E12+F11</f>
        <v>66.900983819999993</v>
      </c>
      <c r="G12" s="7">
        <v>12.86</v>
      </c>
      <c r="H12" s="4">
        <f t="shared" ref="H12" si="10">F12*G12</f>
        <v>860.34665192519992</v>
      </c>
      <c r="I12" s="4">
        <f t="shared" ref="I12" si="11">H12-D12</f>
        <v>60.346651925199922</v>
      </c>
      <c r="J12" s="21">
        <f t="shared" ref="J12" si="12">(H12-D12)/D12</f>
        <v>7.5433314906499904E-2</v>
      </c>
      <c r="K12" s="4">
        <f>'2026.08'!$D$15</f>
        <v>0</v>
      </c>
      <c r="L12" s="4">
        <f>'2026.08'!$J$15</f>
        <v>0</v>
      </c>
      <c r="M12" s="4">
        <f>'2026.08'!$O$15</f>
        <v>0</v>
      </c>
      <c r="AC12" s="4">
        <f>'2026.08'!$C$19</f>
        <v>100</v>
      </c>
      <c r="AD12" s="4">
        <f>'2026.08'!$E$19</f>
        <v>12.900000007481999</v>
      </c>
      <c r="AE12" s="5">
        <f>'2026.08'!$F$19</f>
        <v>7.7519379800000001</v>
      </c>
      <c r="AF12" s="46">
        <f>'2026.08'!$A$15</f>
        <v>46252</v>
      </c>
      <c r="AG12" s="4">
        <f>'2026.08'!$B$15*-1</f>
        <v>-100</v>
      </c>
    </row>
    <row r="13" spans="1:33" x14ac:dyDescent="0.25">
      <c r="A13" s="36">
        <f>'2026.09'!$Q$2</f>
        <v>2026.09</v>
      </c>
      <c r="B13" s="4">
        <f>'2026.09'!$B$15</f>
        <v>100</v>
      </c>
      <c r="C13" s="4">
        <f>'2026.09'!$C$15</f>
        <v>100</v>
      </c>
      <c r="D13" s="4">
        <f t="shared" ref="D13" si="13">C13+D12</f>
        <v>900</v>
      </c>
      <c r="E13" s="13">
        <f>'2026.09'!$F$15</f>
        <v>7.8003120099999999</v>
      </c>
      <c r="F13" s="13">
        <f t="shared" ref="F13" si="14">E13+F12</f>
        <v>74.701295829999992</v>
      </c>
      <c r="G13" s="79">
        <v>13.044</v>
      </c>
      <c r="H13" s="4">
        <f t="shared" ref="H13" si="15">F13*G13</f>
        <v>974.40370280651996</v>
      </c>
      <c r="I13" s="4">
        <f t="shared" ref="I13" si="16">H13-D13</f>
        <v>74.403702806519959</v>
      </c>
      <c r="J13" s="21">
        <f t="shared" ref="J13" si="17">(H13-D13)/D13</f>
        <v>8.2670780896133292E-2</v>
      </c>
      <c r="K13" s="4">
        <f>'2026.09'!$D$15</f>
        <v>0</v>
      </c>
      <c r="L13" s="4">
        <f>'2026.09'!$J$15</f>
        <v>0</v>
      </c>
      <c r="M13" s="4">
        <f>'2026.09'!$O$15</f>
        <v>0</v>
      </c>
      <c r="AC13" s="4">
        <f>'2026.09'!$C$19</f>
        <v>100</v>
      </c>
      <c r="AD13" s="4">
        <f>'2026.09'!$E$19</f>
        <v>12.820000004076761</v>
      </c>
      <c r="AE13" s="5">
        <f>'2026.09'!$F$19</f>
        <v>7.8003120099999999</v>
      </c>
      <c r="AF13" s="46">
        <f>'2026.09'!$A$15</f>
        <v>46275</v>
      </c>
      <c r="AG13" s="4">
        <f>'2026.09'!$B$15*-1</f>
        <v>-100</v>
      </c>
    </row>
    <row r="14" spans="1:33" x14ac:dyDescent="0.25">
      <c r="A14" s="2"/>
      <c r="B14" s="4"/>
      <c r="C14" s="4"/>
      <c r="D14" s="4"/>
      <c r="E14" s="7"/>
      <c r="F14" s="7"/>
      <c r="G14" s="6"/>
      <c r="H14" s="4"/>
      <c r="I14" s="4"/>
      <c r="J14" s="4"/>
      <c r="K14" s="2"/>
      <c r="L14" s="2"/>
      <c r="M14" s="2"/>
      <c r="AC14" s="4"/>
      <c r="AD14" s="4"/>
      <c r="AE14" s="5"/>
      <c r="AF14" s="46"/>
      <c r="AG14" s="4"/>
    </row>
    <row r="15" spans="1:33" x14ac:dyDescent="0.25">
      <c r="A15" s="2"/>
      <c r="B15" s="4"/>
      <c r="C15" s="4"/>
      <c r="D15" s="4"/>
      <c r="E15" s="7"/>
      <c r="F15" s="7"/>
      <c r="G15" s="6"/>
      <c r="H15" s="4"/>
      <c r="I15" s="4"/>
      <c r="J15" s="4"/>
      <c r="K15" s="2"/>
      <c r="L15" s="2"/>
      <c r="M15" s="2"/>
      <c r="AC15" s="4"/>
      <c r="AD15" s="4"/>
      <c r="AE15" s="5"/>
      <c r="AF15" s="46"/>
      <c r="AG15" s="4"/>
    </row>
    <row r="16" spans="1:33" x14ac:dyDescent="0.25">
      <c r="A16" s="2"/>
      <c r="B16" s="4"/>
      <c r="C16" s="4"/>
      <c r="D16" s="4"/>
      <c r="E16" s="7"/>
      <c r="F16" s="7"/>
      <c r="G16" s="6"/>
      <c r="H16" s="4"/>
      <c r="I16" s="4"/>
      <c r="J16" s="4"/>
      <c r="K16" s="2"/>
      <c r="L16" s="2"/>
      <c r="M16" s="2"/>
      <c r="AC16" s="5"/>
      <c r="AD16" s="5"/>
      <c r="AE16" s="5"/>
      <c r="AF16" s="46"/>
      <c r="AG16" s="4"/>
    </row>
    <row r="17" spans="1:33" x14ac:dyDescent="0.25">
      <c r="A17" s="2"/>
      <c r="B17" s="4"/>
      <c r="C17" s="4"/>
      <c r="D17" s="4"/>
      <c r="E17" s="7"/>
      <c r="F17" s="7"/>
      <c r="G17" s="6"/>
      <c r="H17" s="4"/>
      <c r="I17" s="4"/>
      <c r="J17" s="4"/>
      <c r="K17" s="2"/>
      <c r="L17" s="2"/>
      <c r="M17" s="2"/>
      <c r="AC17" s="5"/>
      <c r="AD17" s="5"/>
      <c r="AE17" s="5"/>
      <c r="AF17" s="46"/>
      <c r="AG17" s="4"/>
    </row>
    <row r="18" spans="1:33" x14ac:dyDescent="0.25">
      <c r="A18" s="2"/>
      <c r="B18" s="4"/>
      <c r="C18" s="4"/>
      <c r="D18" s="4"/>
      <c r="E18" s="7"/>
      <c r="F18" s="7"/>
      <c r="G18" s="6"/>
      <c r="H18" s="4"/>
      <c r="I18" s="4"/>
      <c r="J18" s="4"/>
      <c r="K18" s="2"/>
      <c r="L18" s="2"/>
      <c r="M18" s="2"/>
      <c r="AC18" s="5"/>
      <c r="AD18" s="5"/>
      <c r="AE18" s="5"/>
      <c r="AF18" s="46"/>
      <c r="AG18" s="4"/>
    </row>
    <row r="19" spans="1:33" x14ac:dyDescent="0.25">
      <c r="A19" s="2"/>
      <c r="B19" s="4"/>
      <c r="C19" s="4"/>
      <c r="D19" s="4"/>
      <c r="E19" s="7"/>
      <c r="F19" s="7"/>
      <c r="G19" s="6"/>
      <c r="H19" s="4"/>
      <c r="I19" s="4"/>
      <c r="J19" s="4"/>
      <c r="K19" s="2"/>
      <c r="L19" s="2"/>
      <c r="M19" s="2"/>
      <c r="AC19" s="5"/>
      <c r="AD19" s="5"/>
      <c r="AE19" s="5"/>
      <c r="AF19" s="46"/>
      <c r="AG19" s="4"/>
    </row>
    <row r="20" spans="1:33" x14ac:dyDescent="0.25">
      <c r="A20" s="2"/>
      <c r="B20" s="4"/>
      <c r="C20" s="4"/>
      <c r="D20" s="4"/>
      <c r="E20" s="7"/>
      <c r="F20" s="7"/>
      <c r="G20" s="6"/>
      <c r="H20" s="4"/>
      <c r="I20" s="4"/>
      <c r="J20" s="4"/>
      <c r="K20" s="2"/>
      <c r="L20" s="2"/>
      <c r="M20" s="2"/>
      <c r="AC20" s="5"/>
      <c r="AD20" s="5"/>
      <c r="AE20" s="5"/>
      <c r="AF20" s="46"/>
      <c r="AG20" s="4"/>
    </row>
    <row r="21" spans="1:33" x14ac:dyDescent="0.25">
      <c r="A21" s="2"/>
      <c r="B21" s="4"/>
      <c r="C21" s="4"/>
      <c r="D21" s="4"/>
      <c r="E21" s="7"/>
      <c r="F21" s="7"/>
      <c r="G21" s="6"/>
      <c r="H21" s="4"/>
      <c r="I21" s="4"/>
      <c r="J21" s="4"/>
      <c r="K21" s="2"/>
      <c r="L21" s="2"/>
      <c r="M21" s="2"/>
      <c r="AC21" s="5"/>
      <c r="AD21" s="5"/>
      <c r="AE21" s="5"/>
      <c r="AF21" s="46"/>
      <c r="AG21" s="4"/>
    </row>
    <row r="22" spans="1:33" x14ac:dyDescent="0.25">
      <c r="AC22" s="5"/>
      <c r="AD22" s="5"/>
      <c r="AE22" s="5"/>
      <c r="AF22" s="46"/>
      <c r="AG22" s="4"/>
    </row>
    <row r="23" spans="1:33" x14ac:dyDescent="0.25">
      <c r="AC23" s="5"/>
      <c r="AD23" s="5"/>
      <c r="AE23" s="5"/>
      <c r="AF23" s="46"/>
      <c r="AG23" s="4"/>
    </row>
    <row r="24" spans="1:33" x14ac:dyDescent="0.25">
      <c r="AC24" s="5"/>
      <c r="AD24" s="5"/>
      <c r="AE24" s="5"/>
      <c r="AF24" s="46"/>
      <c r="AG24" s="4"/>
    </row>
    <row r="25" spans="1:33" x14ac:dyDescent="0.25">
      <c r="AC25" s="5"/>
      <c r="AD25" s="5"/>
      <c r="AE25" s="5"/>
      <c r="AF25" s="46"/>
      <c r="AG25" s="4"/>
    </row>
    <row r="26" spans="1:33" x14ac:dyDescent="0.25">
      <c r="AC26" s="5"/>
      <c r="AD26" s="5"/>
      <c r="AE26" s="5"/>
      <c r="AF26" s="46"/>
      <c r="AG26" s="4"/>
    </row>
    <row r="27" spans="1:33" x14ac:dyDescent="0.25">
      <c r="AC27" s="5"/>
      <c r="AD27" s="5"/>
      <c r="AE27" s="5"/>
      <c r="AF27" s="46"/>
      <c r="AG27" s="4"/>
    </row>
    <row r="28" spans="1:33" x14ac:dyDescent="0.25">
      <c r="AC28" s="5"/>
      <c r="AD28" s="5"/>
      <c r="AE28" s="5"/>
      <c r="AF28" s="46"/>
      <c r="AG28" s="4"/>
    </row>
    <row r="29" spans="1:33" x14ac:dyDescent="0.25">
      <c r="AC29" s="5"/>
      <c r="AD29" s="5"/>
      <c r="AE29" s="5"/>
      <c r="AF29" s="46"/>
      <c r="AG29" s="4"/>
    </row>
    <row r="30" spans="1:33" x14ac:dyDescent="0.25">
      <c r="AC30" s="5"/>
      <c r="AD30" s="5"/>
      <c r="AE30" s="5"/>
      <c r="AF30" s="46"/>
      <c r="AG30" s="4"/>
    </row>
    <row r="31" spans="1:33" x14ac:dyDescent="0.25">
      <c r="AC31" s="5"/>
      <c r="AD31" s="5"/>
      <c r="AE31" s="5"/>
      <c r="AF31" s="46"/>
      <c r="AG31" s="4"/>
    </row>
    <row r="32" spans="1:33" x14ac:dyDescent="0.25">
      <c r="AC32" s="5"/>
      <c r="AD32" s="5"/>
      <c r="AE32" s="5"/>
      <c r="AF32" s="46"/>
      <c r="AG32" s="4"/>
    </row>
    <row r="33" spans="29:33" x14ac:dyDescent="0.25">
      <c r="AC33" s="5"/>
      <c r="AD33" s="5"/>
      <c r="AE33" s="5"/>
      <c r="AF33" s="46"/>
      <c r="AG33" s="4"/>
    </row>
    <row r="34" spans="29:33" x14ac:dyDescent="0.25">
      <c r="AC34" s="5"/>
      <c r="AD34" s="5"/>
      <c r="AE34" s="5"/>
      <c r="AF34" s="46"/>
      <c r="AG34" s="4"/>
    </row>
    <row r="35" spans="29:33" x14ac:dyDescent="0.25">
      <c r="AC35" s="5"/>
      <c r="AD35" s="5"/>
      <c r="AE35" s="5"/>
      <c r="AF35" s="46"/>
      <c r="AG35" s="4"/>
    </row>
    <row r="36" spans="29:33" x14ac:dyDescent="0.25">
      <c r="AC36" s="5"/>
      <c r="AD36" s="5"/>
      <c r="AE36" s="5"/>
      <c r="AF36" s="46"/>
      <c r="AG36" s="4"/>
    </row>
    <row r="37" spans="29:33" x14ac:dyDescent="0.25">
      <c r="AC37" s="2"/>
      <c r="AD37" s="2"/>
      <c r="AE37" s="2"/>
      <c r="AF37" s="2"/>
      <c r="AG37" s="2"/>
    </row>
    <row r="38" spans="29:33" x14ac:dyDescent="0.25">
      <c r="AC38" s="2"/>
      <c r="AD38" s="2"/>
      <c r="AE38" s="2"/>
      <c r="AF38" s="2"/>
      <c r="AG38" s="2"/>
    </row>
    <row r="39" spans="29:33" x14ac:dyDescent="0.25">
      <c r="AC39" s="2"/>
      <c r="AD39" s="2"/>
      <c r="AE39" s="2"/>
      <c r="AF39" s="2"/>
      <c r="AG39" s="2"/>
    </row>
    <row r="40" spans="29:33" x14ac:dyDescent="0.25">
      <c r="AC40" s="2"/>
      <c r="AD40" s="2"/>
      <c r="AE40" s="2"/>
      <c r="AF40" s="2"/>
      <c r="AG40" s="2"/>
    </row>
    <row r="41" spans="29:33" x14ac:dyDescent="0.25">
      <c r="AC41" s="2"/>
      <c r="AD41" s="2"/>
      <c r="AE41" s="2"/>
      <c r="AF41" s="2"/>
      <c r="AG41" s="2"/>
    </row>
    <row r="42" spans="29:33" x14ac:dyDescent="0.25">
      <c r="AC42" s="2"/>
      <c r="AD42" s="2"/>
      <c r="AE42" s="2"/>
      <c r="AF42" s="2"/>
      <c r="AG42" s="2"/>
    </row>
    <row r="43" spans="29:33" x14ac:dyDescent="0.25">
      <c r="AC43" s="2"/>
      <c r="AD43" s="2"/>
      <c r="AE43" s="2"/>
      <c r="AF43" s="2"/>
      <c r="AG43" s="2"/>
    </row>
    <row r="44" spans="29:33" x14ac:dyDescent="0.25">
      <c r="AC44" s="2"/>
      <c r="AD44" s="2"/>
      <c r="AE44" s="2"/>
      <c r="AF44" s="2"/>
      <c r="AG44" s="2"/>
    </row>
    <row r="45" spans="29:33" x14ac:dyDescent="0.25">
      <c r="AC45" s="2"/>
      <c r="AD45" s="2"/>
      <c r="AE45" s="2"/>
      <c r="AF45" s="2"/>
      <c r="AG45" s="2"/>
    </row>
    <row r="46" spans="29:33" x14ac:dyDescent="0.25">
      <c r="AC46" s="2"/>
      <c r="AD46" s="2"/>
      <c r="AE46" s="2"/>
      <c r="AF46" s="2"/>
      <c r="AG46" s="2"/>
    </row>
    <row r="47" spans="29:33" x14ac:dyDescent="0.25">
      <c r="AC47" s="2"/>
      <c r="AD47" s="2"/>
      <c r="AE47" s="2"/>
      <c r="AF47" s="2"/>
      <c r="AG47" s="2"/>
    </row>
    <row r="48" spans="29:33" x14ac:dyDescent="0.25">
      <c r="AC48" s="2"/>
      <c r="AD48" s="2"/>
      <c r="AE48" s="2"/>
      <c r="AF48" s="2"/>
      <c r="AG48" s="2"/>
    </row>
    <row r="49" spans="29:33" x14ac:dyDescent="0.25">
      <c r="AC49" s="2"/>
      <c r="AD49" s="2"/>
      <c r="AE49" s="2"/>
      <c r="AF49" s="2"/>
      <c r="AG49" s="2"/>
    </row>
    <row r="50" spans="29:33" x14ac:dyDescent="0.25">
      <c r="AC50" s="2"/>
      <c r="AD50" s="2"/>
      <c r="AE50" s="2"/>
      <c r="AF50" s="2"/>
      <c r="AG50" s="2"/>
    </row>
    <row r="51" spans="29:33" x14ac:dyDescent="0.25">
      <c r="AC51" s="2"/>
      <c r="AD51" s="2"/>
      <c r="AE51" s="2"/>
      <c r="AF51" s="2"/>
      <c r="AG51" s="2"/>
    </row>
    <row r="52" spans="29:33" x14ac:dyDescent="0.25">
      <c r="AC52" s="2"/>
      <c r="AD52" s="2"/>
      <c r="AE52" s="2"/>
      <c r="AF52" s="2"/>
      <c r="AG52" s="2"/>
    </row>
    <row r="53" spans="29:33" x14ac:dyDescent="0.25">
      <c r="AC53" s="2"/>
      <c r="AD53" s="2"/>
      <c r="AE53" s="2"/>
      <c r="AF53" s="2"/>
      <c r="AG53" s="2"/>
    </row>
    <row r="54" spans="29:33" x14ac:dyDescent="0.25">
      <c r="AC54" s="2"/>
      <c r="AD54" s="2"/>
      <c r="AE54" s="2"/>
      <c r="AF54" s="2"/>
      <c r="AG54" s="2"/>
    </row>
    <row r="55" spans="29:33" x14ac:dyDescent="0.25">
      <c r="AC55" s="2"/>
      <c r="AD55" s="2"/>
      <c r="AE55" s="2"/>
      <c r="AF55" s="2"/>
      <c r="AG55" s="2"/>
    </row>
    <row r="56" spans="29:33" x14ac:dyDescent="0.25">
      <c r="AC56" s="2"/>
      <c r="AD56" s="2"/>
      <c r="AE56" s="2"/>
      <c r="AF56" s="2"/>
      <c r="AG56" s="2"/>
    </row>
    <row r="57" spans="29:33" x14ac:dyDescent="0.25">
      <c r="AC57" s="2"/>
      <c r="AD57" s="2"/>
      <c r="AE57" s="2"/>
      <c r="AF57" s="2"/>
      <c r="AG57" s="2"/>
    </row>
    <row r="58" spans="29:33" x14ac:dyDescent="0.25">
      <c r="AC58" s="2"/>
      <c r="AD58" s="2"/>
      <c r="AE58" s="2"/>
      <c r="AF58" s="2"/>
      <c r="AG58" s="2"/>
    </row>
    <row r="59" spans="29:33" x14ac:dyDescent="0.25">
      <c r="AC59" s="2"/>
      <c r="AD59" s="2"/>
      <c r="AE59" s="2"/>
      <c r="AF59" s="2"/>
      <c r="AG59" s="2"/>
    </row>
    <row r="60" spans="29:33" x14ac:dyDescent="0.25">
      <c r="AC60" s="2"/>
      <c r="AD60" s="2"/>
      <c r="AE60" s="2"/>
      <c r="AF60" s="2"/>
      <c r="AG60" s="2"/>
    </row>
    <row r="61" spans="29:33" x14ac:dyDescent="0.25">
      <c r="AC61" s="2"/>
      <c r="AD61" s="2"/>
      <c r="AE61" s="2"/>
      <c r="AF61" s="2"/>
      <c r="AG61" s="2"/>
    </row>
    <row r="62" spans="29:33" x14ac:dyDescent="0.25">
      <c r="AC62" s="2"/>
      <c r="AD62" s="2"/>
      <c r="AE62" s="2"/>
      <c r="AF62" s="2"/>
      <c r="AG62" s="2"/>
    </row>
    <row r="63" spans="29:33" x14ac:dyDescent="0.25">
      <c r="AC63" s="2"/>
      <c r="AD63" s="2"/>
      <c r="AE63" s="2"/>
      <c r="AF63" s="2"/>
      <c r="AG63" s="2"/>
    </row>
    <row r="64" spans="29:33" x14ac:dyDescent="0.25">
      <c r="AC64" s="2"/>
      <c r="AD64" s="2"/>
      <c r="AE64" s="2"/>
      <c r="AF64" s="2"/>
      <c r="AG64" s="2"/>
    </row>
    <row r="65" spans="29:33" x14ac:dyDescent="0.25">
      <c r="AC65" s="2"/>
      <c r="AD65" s="2"/>
      <c r="AE65" s="2"/>
      <c r="AF65" s="2"/>
      <c r="AG65" s="2"/>
    </row>
    <row r="66" spans="29:33" x14ac:dyDescent="0.25">
      <c r="AC66" s="2"/>
      <c r="AD66" s="2"/>
      <c r="AE66" s="2"/>
      <c r="AF66" s="2"/>
      <c r="AG66" s="2"/>
    </row>
    <row r="67" spans="29:33" x14ac:dyDescent="0.25">
      <c r="AC67" s="2"/>
      <c r="AD67" s="2"/>
      <c r="AE67" s="2"/>
      <c r="AF67" s="2"/>
      <c r="AG67" s="2"/>
    </row>
    <row r="68" spans="29:33" x14ac:dyDescent="0.25">
      <c r="AC68" s="2"/>
      <c r="AD68" s="2"/>
      <c r="AE68" s="2"/>
      <c r="AF68" s="2"/>
      <c r="AG68" s="2"/>
    </row>
    <row r="69" spans="29:33" x14ac:dyDescent="0.25">
      <c r="AC69" s="2"/>
      <c r="AD69" s="2"/>
      <c r="AE69" s="2"/>
      <c r="AF69" s="2"/>
      <c r="AG69" s="2"/>
    </row>
    <row r="70" spans="29:33" x14ac:dyDescent="0.25">
      <c r="AC70" s="2"/>
      <c r="AD70" s="2"/>
      <c r="AE70" s="2"/>
      <c r="AF70" s="2"/>
      <c r="AG70" s="2"/>
    </row>
    <row r="71" spans="29:33" x14ac:dyDescent="0.25">
      <c r="AC71" s="2"/>
      <c r="AD71" s="2"/>
      <c r="AE71" s="2"/>
      <c r="AF71" s="2"/>
      <c r="AG71" s="2"/>
    </row>
    <row r="72" spans="29:33" x14ac:dyDescent="0.25">
      <c r="AC72" s="2"/>
      <c r="AD72" s="2"/>
      <c r="AE72" s="2"/>
      <c r="AF72" s="2"/>
      <c r="AG72" s="2"/>
    </row>
    <row r="73" spans="29:33" x14ac:dyDescent="0.25">
      <c r="AC73" s="2"/>
      <c r="AD73" s="2"/>
      <c r="AE73" s="2"/>
      <c r="AF73" s="2"/>
      <c r="AG73" s="2"/>
    </row>
    <row r="74" spans="29:33" x14ac:dyDescent="0.25">
      <c r="AC74" s="2"/>
      <c r="AD74" s="2"/>
      <c r="AE74" s="2"/>
      <c r="AF74" s="2"/>
      <c r="AG74" s="2"/>
    </row>
    <row r="75" spans="29:33" x14ac:dyDescent="0.25">
      <c r="AC75" s="2"/>
      <c r="AD75" s="2"/>
      <c r="AE75" s="2"/>
      <c r="AF75" s="2"/>
      <c r="AG75" s="2"/>
    </row>
    <row r="76" spans="29:33" x14ac:dyDescent="0.25">
      <c r="AC76" s="2"/>
      <c r="AD76" s="2"/>
      <c r="AE76" s="2"/>
      <c r="AF76" s="2"/>
      <c r="AG76" s="2"/>
    </row>
    <row r="77" spans="29:33" x14ac:dyDescent="0.25">
      <c r="AC77" s="2"/>
      <c r="AD77" s="2"/>
      <c r="AE77" s="2"/>
      <c r="AF77" s="2"/>
      <c r="AG77" s="2"/>
    </row>
    <row r="78" spans="29:33" x14ac:dyDescent="0.25">
      <c r="AC78" s="2"/>
      <c r="AD78" s="2"/>
      <c r="AE78" s="2"/>
      <c r="AF78" s="2"/>
      <c r="AG78" s="2"/>
    </row>
    <row r="79" spans="29:33" x14ac:dyDescent="0.25">
      <c r="AC79" s="2"/>
      <c r="AD79" s="2"/>
      <c r="AE79" s="2"/>
      <c r="AF79" s="2"/>
      <c r="AG79" s="2"/>
    </row>
    <row r="80" spans="29:33" x14ac:dyDescent="0.25">
      <c r="AC80" s="2"/>
      <c r="AD80" s="2"/>
      <c r="AE80" s="2"/>
      <c r="AF80" s="2"/>
      <c r="AG80" s="2"/>
    </row>
    <row r="81" spans="29:33" x14ac:dyDescent="0.25">
      <c r="AC81" s="2"/>
      <c r="AD81" s="2"/>
      <c r="AE81" s="2"/>
      <c r="AF81" s="2"/>
      <c r="AG81" s="2"/>
    </row>
    <row r="82" spans="29:33" x14ac:dyDescent="0.25">
      <c r="AC82" s="2"/>
      <c r="AD82" s="2"/>
      <c r="AE82" s="2"/>
      <c r="AF82" s="2"/>
      <c r="AG82" s="2"/>
    </row>
    <row r="83" spans="29:33" x14ac:dyDescent="0.25">
      <c r="AC83" s="2"/>
      <c r="AD83" s="2"/>
      <c r="AE83" s="2"/>
      <c r="AF83" s="2"/>
      <c r="AG83" s="2"/>
    </row>
    <row r="84" spans="29:33" x14ac:dyDescent="0.25">
      <c r="AC84" s="2"/>
      <c r="AD84" s="2"/>
      <c r="AE84" s="2"/>
      <c r="AF84" s="2"/>
      <c r="AG84" s="2"/>
    </row>
    <row r="85" spans="29:33" x14ac:dyDescent="0.25">
      <c r="AC85" s="2"/>
      <c r="AD85" s="2"/>
      <c r="AE85" s="2"/>
      <c r="AF85" s="2"/>
      <c r="AG85" s="2"/>
    </row>
    <row r="86" spans="29:33" x14ac:dyDescent="0.25">
      <c r="AC86" s="2"/>
      <c r="AD86" s="2"/>
      <c r="AE86" s="2"/>
      <c r="AF86" s="2"/>
      <c r="AG86" s="2"/>
    </row>
    <row r="87" spans="29:33" x14ac:dyDescent="0.25">
      <c r="AC87" s="2"/>
      <c r="AD87" s="2"/>
      <c r="AE87" s="2"/>
      <c r="AF87" s="2"/>
      <c r="AG87" s="2"/>
    </row>
    <row r="88" spans="29:33" x14ac:dyDescent="0.25">
      <c r="AC88" s="2"/>
      <c r="AD88" s="2"/>
      <c r="AE88" s="2"/>
      <c r="AF88" s="2"/>
      <c r="AG88" s="2"/>
    </row>
    <row r="89" spans="29:33" x14ac:dyDescent="0.25">
      <c r="AC89" s="2"/>
      <c r="AD89" s="2"/>
      <c r="AE89" s="2"/>
      <c r="AF89" s="2"/>
      <c r="AG89" s="2"/>
    </row>
    <row r="90" spans="29:33" x14ac:dyDescent="0.25">
      <c r="AC90" s="2"/>
      <c r="AD90" s="2"/>
      <c r="AE90" s="2"/>
      <c r="AF90" s="2"/>
      <c r="AG90" s="2"/>
    </row>
    <row r="91" spans="29:33" x14ac:dyDescent="0.25">
      <c r="AC91" s="2"/>
      <c r="AD91" s="2"/>
      <c r="AE91" s="2"/>
      <c r="AF91" s="2"/>
      <c r="AG91" s="2"/>
    </row>
    <row r="92" spans="29:33" x14ac:dyDescent="0.25">
      <c r="AC92" s="2"/>
      <c r="AD92" s="2"/>
      <c r="AE92" s="2"/>
      <c r="AF92" s="2"/>
      <c r="AG92" s="2"/>
    </row>
    <row r="93" spans="29:33" x14ac:dyDescent="0.25">
      <c r="AC93" s="2"/>
      <c r="AD93" s="2"/>
      <c r="AE93" s="2"/>
      <c r="AF93" s="2"/>
      <c r="AG93" s="2"/>
    </row>
    <row r="94" spans="29:33" x14ac:dyDescent="0.25">
      <c r="AC94" s="2"/>
      <c r="AD94" s="2"/>
      <c r="AE94" s="2"/>
      <c r="AF94" s="2"/>
      <c r="AG94" s="2"/>
    </row>
    <row r="95" spans="29:33" x14ac:dyDescent="0.25">
      <c r="AC95" s="2"/>
      <c r="AD95" s="2"/>
      <c r="AE95" s="2"/>
      <c r="AF95" s="2"/>
      <c r="AG95" s="2"/>
    </row>
    <row r="96" spans="29:33" x14ac:dyDescent="0.25">
      <c r="AC96" s="2"/>
      <c r="AD96" s="2"/>
      <c r="AE96" s="2"/>
      <c r="AF96" s="2"/>
      <c r="AG96" s="2"/>
    </row>
    <row r="97" spans="29:33" x14ac:dyDescent="0.25">
      <c r="AC97" s="2"/>
      <c r="AD97" s="2"/>
      <c r="AE97" s="2"/>
      <c r="AF97" s="2"/>
      <c r="AG97" s="2"/>
    </row>
    <row r="98" spans="29:33" x14ac:dyDescent="0.25">
      <c r="AC98" s="2"/>
      <c r="AD98" s="2"/>
      <c r="AE98" s="2"/>
      <c r="AF98" s="2"/>
      <c r="AG98" s="2"/>
    </row>
    <row r="99" spans="29:33" x14ac:dyDescent="0.25">
      <c r="AC99" s="2"/>
      <c r="AD99" s="2"/>
      <c r="AE99" s="2"/>
      <c r="AF99" s="2"/>
      <c r="AG99" s="2"/>
    </row>
    <row r="100" spans="29:33" x14ac:dyDescent="0.25">
      <c r="AC100" s="2"/>
      <c r="AD100" s="2"/>
      <c r="AE100" s="2"/>
      <c r="AF100" s="2"/>
      <c r="AG100" s="2"/>
    </row>
    <row r="101" spans="29:33" x14ac:dyDescent="0.25">
      <c r="AC101" s="2"/>
      <c r="AD101" s="2"/>
      <c r="AE101" s="2"/>
      <c r="AF101" s="2"/>
      <c r="AG101" s="2"/>
    </row>
    <row r="102" spans="29:33" x14ac:dyDescent="0.25">
      <c r="AC102" s="2"/>
      <c r="AD102" s="2"/>
      <c r="AE102" s="2"/>
      <c r="AF102" s="2"/>
      <c r="AG102" s="2"/>
    </row>
    <row r="103" spans="29:33" x14ac:dyDescent="0.25">
      <c r="AC103" s="2"/>
      <c r="AD103" s="2"/>
      <c r="AE103" s="2"/>
      <c r="AF103" s="2"/>
      <c r="AG103" s="2"/>
    </row>
    <row r="104" spans="29:33" x14ac:dyDescent="0.25">
      <c r="AC104" s="2"/>
      <c r="AD104" s="2"/>
      <c r="AE104" s="2"/>
      <c r="AF104" s="2"/>
      <c r="AG104" s="2"/>
    </row>
    <row r="105" spans="29:33" x14ac:dyDescent="0.25">
      <c r="AC105" s="2"/>
      <c r="AD105" s="2"/>
      <c r="AE105" s="2"/>
      <c r="AF105" s="2"/>
      <c r="AG105" s="2"/>
    </row>
    <row r="106" spans="29:33" x14ac:dyDescent="0.25">
      <c r="AC106" s="2"/>
      <c r="AD106" s="2"/>
      <c r="AE106" s="2"/>
      <c r="AF106" s="2"/>
      <c r="AG106" s="2"/>
    </row>
    <row r="107" spans="29:33" x14ac:dyDescent="0.25">
      <c r="AC107" s="2"/>
      <c r="AD107" s="2"/>
      <c r="AE107" s="2"/>
      <c r="AF107" s="2"/>
      <c r="AG107" s="2"/>
    </row>
    <row r="108" spans="29:33" x14ac:dyDescent="0.25">
      <c r="AC108" s="2"/>
      <c r="AD108" s="2"/>
      <c r="AE108" s="2"/>
      <c r="AF108" s="2"/>
      <c r="AG108" s="2"/>
    </row>
    <row r="109" spans="29:33" x14ac:dyDescent="0.25">
      <c r="AC109" s="2"/>
      <c r="AD109" s="2"/>
      <c r="AE109" s="2"/>
      <c r="AF109" s="2"/>
      <c r="AG109" s="2"/>
    </row>
    <row r="110" spans="29:33" x14ac:dyDescent="0.25">
      <c r="AC110" s="2"/>
      <c r="AD110" s="2"/>
      <c r="AE110" s="2"/>
      <c r="AF110" s="2"/>
      <c r="AG110" s="2"/>
    </row>
    <row r="111" spans="29:33" x14ac:dyDescent="0.25">
      <c r="AC111" s="2"/>
      <c r="AD111" s="2"/>
      <c r="AE111" s="2"/>
      <c r="AF111" s="2"/>
      <c r="AG111" s="2"/>
    </row>
    <row r="112" spans="29:33" x14ac:dyDescent="0.25">
      <c r="AC112" s="2"/>
      <c r="AD112" s="2"/>
      <c r="AE112" s="2"/>
      <c r="AF112" s="2"/>
      <c r="AG112" s="2"/>
    </row>
    <row r="113" spans="29:33" x14ac:dyDescent="0.25">
      <c r="AC113" s="2"/>
      <c r="AD113" s="2"/>
      <c r="AE113" s="2"/>
      <c r="AF113" s="2"/>
      <c r="AG113" s="2"/>
    </row>
    <row r="114" spans="29:33" x14ac:dyDescent="0.25">
      <c r="AC114" s="2"/>
      <c r="AD114" s="2"/>
      <c r="AE114" s="2"/>
      <c r="AF114" s="2"/>
      <c r="AG114" s="2"/>
    </row>
    <row r="115" spans="29:33" x14ac:dyDescent="0.25">
      <c r="AC115" s="2"/>
      <c r="AD115" s="2"/>
      <c r="AE115" s="2"/>
      <c r="AF115" s="2"/>
      <c r="AG115" s="2"/>
    </row>
    <row r="116" spans="29:33" x14ac:dyDescent="0.25">
      <c r="AC116" s="2"/>
      <c r="AD116" s="2"/>
      <c r="AE116" s="2"/>
      <c r="AF116" s="2"/>
      <c r="AG116" s="2"/>
    </row>
    <row r="117" spans="29:33" x14ac:dyDescent="0.25">
      <c r="AC117" s="2"/>
      <c r="AD117" s="2"/>
      <c r="AE117" s="2"/>
      <c r="AF117" s="2"/>
      <c r="AG117" s="2"/>
    </row>
    <row r="118" spans="29:33" x14ac:dyDescent="0.25">
      <c r="AC118" s="2"/>
      <c r="AD118" s="2"/>
      <c r="AE118" s="2"/>
      <c r="AF118" s="2"/>
      <c r="AG118" s="2"/>
    </row>
    <row r="119" spans="29:33" x14ac:dyDescent="0.25">
      <c r="AC119" s="2"/>
      <c r="AD119" s="2"/>
      <c r="AE119" s="2"/>
      <c r="AF119" s="2"/>
      <c r="AG119" s="2"/>
    </row>
    <row r="120" spans="29:33" x14ac:dyDescent="0.25">
      <c r="AC120" s="2"/>
      <c r="AD120" s="2"/>
      <c r="AE120" s="2"/>
      <c r="AF120" s="2"/>
      <c r="AG120" s="2"/>
    </row>
    <row r="121" spans="29:33" x14ac:dyDescent="0.25">
      <c r="AC121" s="2"/>
      <c r="AD121" s="2"/>
      <c r="AE121" s="2"/>
      <c r="AF121" s="2"/>
      <c r="AG121" s="2"/>
    </row>
    <row r="122" spans="29:33" x14ac:dyDescent="0.25">
      <c r="AC122" s="2"/>
      <c r="AD122" s="2"/>
      <c r="AE122" s="2"/>
      <c r="AF122" s="2"/>
      <c r="AG122" s="2"/>
    </row>
    <row r="123" spans="29:33" x14ac:dyDescent="0.25">
      <c r="AC123" s="2"/>
      <c r="AD123" s="2"/>
      <c r="AE123" s="2"/>
      <c r="AF123" s="2"/>
      <c r="AG123" s="2"/>
    </row>
    <row r="124" spans="29:33" x14ac:dyDescent="0.25">
      <c r="AC124" s="2"/>
      <c r="AD124" s="2"/>
      <c r="AE124" s="2"/>
      <c r="AF124" s="2"/>
      <c r="AG124" s="2"/>
    </row>
    <row r="125" spans="29:33" x14ac:dyDescent="0.25">
      <c r="AC125" s="2"/>
      <c r="AD125" s="2"/>
      <c r="AE125" s="2"/>
      <c r="AF125" s="2"/>
      <c r="AG125" s="2"/>
    </row>
    <row r="126" spans="29:33" x14ac:dyDescent="0.25">
      <c r="AC126" s="2"/>
      <c r="AD126" s="2"/>
      <c r="AE126" s="2"/>
      <c r="AF126" s="2"/>
      <c r="AG126" s="2"/>
    </row>
    <row r="127" spans="29:33" x14ac:dyDescent="0.25">
      <c r="AC127" s="2"/>
      <c r="AD127" s="2"/>
      <c r="AE127" s="2"/>
      <c r="AF127" s="2"/>
      <c r="AG127" s="2"/>
    </row>
    <row r="128" spans="29:33" x14ac:dyDescent="0.25">
      <c r="AC128" s="2"/>
      <c r="AD128" s="2"/>
      <c r="AE128" s="2"/>
      <c r="AF128" s="2"/>
      <c r="AG128" s="2"/>
    </row>
    <row r="129" spans="29:33" x14ac:dyDescent="0.25">
      <c r="AC129" s="2"/>
      <c r="AD129" s="2"/>
      <c r="AE129" s="2"/>
      <c r="AF129" s="2"/>
      <c r="AG129" s="2"/>
    </row>
    <row r="130" spans="29:33" x14ac:dyDescent="0.25">
      <c r="AC130" s="2"/>
      <c r="AD130" s="2"/>
      <c r="AE130" s="2"/>
      <c r="AF130" s="2"/>
      <c r="AG130" s="2"/>
    </row>
    <row r="131" spans="29:33" x14ac:dyDescent="0.25">
      <c r="AC131" s="2"/>
      <c r="AD131" s="2"/>
      <c r="AE131" s="2"/>
      <c r="AF131" s="2"/>
      <c r="AG131" s="2"/>
    </row>
    <row r="132" spans="29:33" x14ac:dyDescent="0.25">
      <c r="AC132" s="2"/>
      <c r="AD132" s="2"/>
      <c r="AE132" s="2"/>
      <c r="AF132" s="2"/>
      <c r="AG132" s="2"/>
    </row>
    <row r="133" spans="29:33" x14ac:dyDescent="0.25">
      <c r="AC133" s="2"/>
      <c r="AD133" s="2"/>
      <c r="AE133" s="2"/>
      <c r="AF133" s="2"/>
      <c r="AG133" s="2"/>
    </row>
    <row r="134" spans="29:33" x14ac:dyDescent="0.25">
      <c r="AC134" s="2"/>
      <c r="AD134" s="2"/>
      <c r="AE134" s="2"/>
      <c r="AF134" s="2"/>
      <c r="AG134" s="2"/>
    </row>
    <row r="135" spans="29:33" x14ac:dyDescent="0.25">
      <c r="AC135" s="2"/>
      <c r="AD135" s="2"/>
      <c r="AE135" s="2"/>
      <c r="AF135" s="2"/>
      <c r="AG135" s="2"/>
    </row>
    <row r="136" spans="29:33" x14ac:dyDescent="0.25">
      <c r="AC136" s="2"/>
      <c r="AD136" s="2"/>
      <c r="AE136" s="2"/>
      <c r="AF136" s="2"/>
      <c r="AG136" s="2"/>
    </row>
    <row r="137" spans="29:33" x14ac:dyDescent="0.25">
      <c r="AC137" s="2"/>
      <c r="AD137" s="2"/>
      <c r="AE137" s="2"/>
      <c r="AF137" s="2"/>
      <c r="AG137" s="2"/>
    </row>
    <row r="138" spans="29:33" x14ac:dyDescent="0.25">
      <c r="AC138" s="2"/>
      <c r="AD138" s="2"/>
      <c r="AE138" s="2"/>
      <c r="AF138" s="2"/>
      <c r="AG138" s="2"/>
    </row>
    <row r="139" spans="29:33" x14ac:dyDescent="0.25">
      <c r="AC139" s="2"/>
      <c r="AD139" s="2"/>
      <c r="AE139" s="2"/>
      <c r="AF139" s="2"/>
      <c r="AG139" s="2"/>
    </row>
    <row r="140" spans="29:33" x14ac:dyDescent="0.25">
      <c r="AC140" s="2"/>
      <c r="AD140" s="2"/>
      <c r="AE140" s="2"/>
      <c r="AF140" s="2"/>
      <c r="AG140" s="2"/>
    </row>
    <row r="141" spans="29:33" x14ac:dyDescent="0.25">
      <c r="AC141" s="2"/>
      <c r="AD141" s="2"/>
      <c r="AE141" s="2"/>
      <c r="AF141" s="2"/>
      <c r="AG141" s="2"/>
    </row>
    <row r="142" spans="29:33" x14ac:dyDescent="0.25">
      <c r="AC142" s="2"/>
      <c r="AD142" s="2"/>
      <c r="AE142" s="2"/>
      <c r="AF142" s="2"/>
      <c r="AG142" s="2"/>
    </row>
    <row r="143" spans="29:33" x14ac:dyDescent="0.25">
      <c r="AC143" s="2"/>
      <c r="AD143" s="2"/>
      <c r="AE143" s="2"/>
      <c r="AF143" s="2"/>
      <c r="AG143" s="2"/>
    </row>
    <row r="144" spans="29:33" x14ac:dyDescent="0.25">
      <c r="AC144" s="2"/>
      <c r="AD144" s="2"/>
      <c r="AE144" s="2"/>
      <c r="AF144" s="2"/>
      <c r="AG144" s="2"/>
    </row>
    <row r="145" spans="29:33" x14ac:dyDescent="0.25">
      <c r="AC145" s="2"/>
      <c r="AD145" s="2"/>
      <c r="AE145" s="2"/>
      <c r="AF145" s="2"/>
      <c r="AG145" s="2"/>
    </row>
    <row r="146" spans="29:33" x14ac:dyDescent="0.25">
      <c r="AC146" s="2"/>
      <c r="AD146" s="2"/>
      <c r="AE146" s="2"/>
      <c r="AF146" s="2"/>
      <c r="AG146" s="2"/>
    </row>
    <row r="147" spans="29:33" x14ac:dyDescent="0.25">
      <c r="AC147" s="2"/>
      <c r="AD147" s="2"/>
      <c r="AE147" s="2"/>
      <c r="AF147" s="2"/>
      <c r="AG147" s="2"/>
    </row>
    <row r="148" spans="29:33" x14ac:dyDescent="0.25">
      <c r="AC148" s="2"/>
      <c r="AD148" s="2"/>
      <c r="AE148" s="2"/>
      <c r="AF148" s="2"/>
      <c r="AG148" s="2"/>
    </row>
    <row r="149" spans="29:33" x14ac:dyDescent="0.25">
      <c r="AC149" s="2"/>
      <c r="AD149" s="2"/>
      <c r="AE149" s="2"/>
      <c r="AF149" s="2"/>
      <c r="AG149" s="2"/>
    </row>
    <row r="150" spans="29:33" x14ac:dyDescent="0.25">
      <c r="AC150" s="2"/>
      <c r="AD150" s="2"/>
      <c r="AE150" s="2"/>
      <c r="AF150" s="2"/>
      <c r="AG150" s="2"/>
    </row>
    <row r="151" spans="29:33" x14ac:dyDescent="0.25">
      <c r="AC151" s="2"/>
      <c r="AD151" s="2"/>
      <c r="AE151" s="2"/>
      <c r="AF151" s="2"/>
      <c r="AG151" s="2"/>
    </row>
    <row r="152" spans="29:33" x14ac:dyDescent="0.25">
      <c r="AC152" s="2"/>
      <c r="AD152" s="2"/>
      <c r="AE152" s="2"/>
      <c r="AF152" s="2"/>
      <c r="AG152" s="2"/>
    </row>
    <row r="153" spans="29:33" x14ac:dyDescent="0.25">
      <c r="AC153" s="2"/>
      <c r="AD153" s="2"/>
      <c r="AE153" s="2"/>
      <c r="AF153" s="2"/>
      <c r="AG153" s="2"/>
    </row>
    <row r="154" spans="29:33" x14ac:dyDescent="0.25">
      <c r="AC154" s="2"/>
      <c r="AD154" s="2"/>
      <c r="AE154" s="2"/>
      <c r="AF154" s="2"/>
      <c r="AG154" s="2"/>
    </row>
    <row r="155" spans="29:33" x14ac:dyDescent="0.25">
      <c r="AC155" s="2"/>
      <c r="AD155" s="2"/>
      <c r="AE155" s="2"/>
      <c r="AF155" s="2"/>
      <c r="AG155" s="2"/>
    </row>
    <row r="156" spans="29:33" x14ac:dyDescent="0.25">
      <c r="AC156" s="2"/>
      <c r="AD156" s="2"/>
      <c r="AE156" s="2"/>
      <c r="AF156" s="2"/>
      <c r="AG156" s="2"/>
    </row>
    <row r="157" spans="29:33" x14ac:dyDescent="0.25">
      <c r="AC157" s="2"/>
      <c r="AD157" s="2"/>
      <c r="AE157" s="2"/>
      <c r="AF157" s="2"/>
      <c r="AG157" s="2"/>
    </row>
    <row r="158" spans="29:33" x14ac:dyDescent="0.25">
      <c r="AC158" s="2"/>
      <c r="AD158" s="2"/>
      <c r="AE158" s="2"/>
      <c r="AF158" s="2"/>
      <c r="AG158" s="2"/>
    </row>
    <row r="159" spans="29:33" x14ac:dyDescent="0.25">
      <c r="AC159" s="2"/>
      <c r="AD159" s="2"/>
      <c r="AE159" s="2"/>
      <c r="AF159" s="2"/>
      <c r="AG159" s="2"/>
    </row>
    <row r="160" spans="29:33" x14ac:dyDescent="0.25">
      <c r="AC160" s="2"/>
      <c r="AD160" s="2"/>
      <c r="AE160" s="2"/>
      <c r="AF160" s="2"/>
      <c r="AG160" s="2"/>
    </row>
    <row r="161" spans="29:33" x14ac:dyDescent="0.25">
      <c r="AC161" s="2"/>
      <c r="AD161" s="2"/>
      <c r="AE161" s="2"/>
      <c r="AF161" s="2"/>
      <c r="AG161" s="2"/>
    </row>
    <row r="162" spans="29:33" x14ac:dyDescent="0.25">
      <c r="AC162" s="2"/>
      <c r="AD162" s="2"/>
      <c r="AE162" s="2"/>
      <c r="AF162" s="2"/>
      <c r="AG162" s="2"/>
    </row>
    <row r="163" spans="29:33" x14ac:dyDescent="0.25">
      <c r="AC163" s="2"/>
      <c r="AD163" s="2"/>
      <c r="AE163" s="2"/>
      <c r="AF163" s="2"/>
      <c r="AG163" s="2"/>
    </row>
    <row r="164" spans="29:33" x14ac:dyDescent="0.25">
      <c r="AC164" s="2"/>
      <c r="AD164" s="2"/>
      <c r="AE164" s="2"/>
      <c r="AF164" s="2"/>
      <c r="AG164" s="2"/>
    </row>
    <row r="165" spans="29:33" x14ac:dyDescent="0.25">
      <c r="AC165" s="2"/>
      <c r="AD165" s="2"/>
      <c r="AE165" s="2"/>
      <c r="AF165" s="2"/>
      <c r="AG165" s="2"/>
    </row>
    <row r="166" spans="29:33" x14ac:dyDescent="0.25">
      <c r="AC166" s="2"/>
      <c r="AD166" s="2"/>
      <c r="AE166" s="2"/>
      <c r="AF166" s="2"/>
      <c r="AG166" s="2"/>
    </row>
    <row r="167" spans="29:33" x14ac:dyDescent="0.25">
      <c r="AC167" s="2"/>
      <c r="AD167" s="2"/>
      <c r="AE167" s="2"/>
      <c r="AF167" s="2"/>
      <c r="AG167" s="2"/>
    </row>
    <row r="168" spans="29:33" x14ac:dyDescent="0.25">
      <c r="AC168" s="2"/>
      <c r="AD168" s="2"/>
      <c r="AE168" s="2"/>
      <c r="AF168" s="2"/>
      <c r="AG168" s="2"/>
    </row>
    <row r="169" spans="29:33" x14ac:dyDescent="0.25">
      <c r="AC169" s="2"/>
      <c r="AD169" s="2"/>
      <c r="AE169" s="2"/>
      <c r="AF169" s="2"/>
      <c r="AG169" s="2"/>
    </row>
    <row r="170" spans="29:33" x14ac:dyDescent="0.25">
      <c r="AC170" s="2"/>
      <c r="AD170" s="2"/>
      <c r="AE170" s="2"/>
      <c r="AF170" s="2"/>
      <c r="AG170" s="2"/>
    </row>
    <row r="171" spans="29:33" x14ac:dyDescent="0.25">
      <c r="AC171" s="2"/>
      <c r="AD171" s="2"/>
      <c r="AE171" s="2"/>
      <c r="AF171" s="2"/>
      <c r="AG171" s="2"/>
    </row>
    <row r="172" spans="29:33" x14ac:dyDescent="0.25">
      <c r="AC172" s="2"/>
      <c r="AD172" s="2"/>
      <c r="AE172" s="2"/>
      <c r="AF172" s="2"/>
      <c r="AG172" s="2"/>
    </row>
    <row r="173" spans="29:33" x14ac:dyDescent="0.25">
      <c r="AC173" s="2"/>
      <c r="AD173" s="2"/>
      <c r="AE173" s="2"/>
      <c r="AF173" s="2"/>
      <c r="AG173" s="2"/>
    </row>
    <row r="174" spans="29:33" x14ac:dyDescent="0.25">
      <c r="AC174" s="2"/>
      <c r="AD174" s="2"/>
      <c r="AE174" s="2"/>
      <c r="AF174" s="2"/>
      <c r="AG174" s="2"/>
    </row>
    <row r="175" spans="29:33" x14ac:dyDescent="0.25">
      <c r="AC175" s="2"/>
      <c r="AD175" s="2"/>
      <c r="AE175" s="2"/>
      <c r="AF175" s="2"/>
      <c r="AG175" s="2"/>
    </row>
    <row r="176" spans="29:33" x14ac:dyDescent="0.25">
      <c r="AC176" s="2"/>
      <c r="AD176" s="2"/>
      <c r="AE176" s="2"/>
      <c r="AF176" s="2"/>
      <c r="AG176" s="2"/>
    </row>
    <row r="177" spans="29:33" x14ac:dyDescent="0.25">
      <c r="AC177" s="2"/>
      <c r="AD177" s="2"/>
      <c r="AE177" s="2"/>
      <c r="AF177" s="2"/>
      <c r="AG177" s="2"/>
    </row>
    <row r="178" spans="29:33" x14ac:dyDescent="0.25">
      <c r="AC178" s="2"/>
      <c r="AD178" s="2"/>
      <c r="AE178" s="2"/>
      <c r="AF178" s="2"/>
      <c r="AG178" s="2"/>
    </row>
    <row r="179" spans="29:33" x14ac:dyDescent="0.25">
      <c r="AC179" s="2"/>
      <c r="AD179" s="2"/>
      <c r="AE179" s="2"/>
      <c r="AF179" s="2"/>
      <c r="AG179" s="2"/>
    </row>
    <row r="180" spans="29:33" x14ac:dyDescent="0.25">
      <c r="AC180" s="2"/>
      <c r="AD180" s="2"/>
      <c r="AE180" s="2"/>
      <c r="AF180" s="2"/>
      <c r="AG180" s="2"/>
    </row>
    <row r="181" spans="29:33" x14ac:dyDescent="0.25">
      <c r="AC181" s="2"/>
      <c r="AD181" s="2"/>
      <c r="AE181" s="2"/>
      <c r="AF181" s="2"/>
      <c r="AG181" s="2"/>
    </row>
    <row r="182" spans="29:33" x14ac:dyDescent="0.25">
      <c r="AC182" s="2"/>
      <c r="AD182" s="2"/>
      <c r="AE182" s="2"/>
      <c r="AF182" s="2"/>
      <c r="AG182" s="2"/>
    </row>
    <row r="183" spans="29:33" x14ac:dyDescent="0.25">
      <c r="AC183" s="2"/>
      <c r="AD183" s="2"/>
      <c r="AE183" s="2"/>
      <c r="AF183" s="2"/>
      <c r="AG183" s="2"/>
    </row>
    <row r="184" spans="29:33" x14ac:dyDescent="0.25">
      <c r="AC184" s="2"/>
      <c r="AD184" s="2"/>
      <c r="AE184" s="2"/>
      <c r="AF184" s="2"/>
      <c r="AG184" s="2"/>
    </row>
    <row r="185" spans="29:33" x14ac:dyDescent="0.25">
      <c r="AC185" s="2"/>
      <c r="AD185" s="2"/>
      <c r="AE185" s="2"/>
      <c r="AF185" s="2"/>
      <c r="AG185" s="2"/>
    </row>
    <row r="186" spans="29:33" x14ac:dyDescent="0.25">
      <c r="AC186" s="2"/>
      <c r="AD186" s="2"/>
      <c r="AE186" s="2"/>
      <c r="AF186" s="2"/>
      <c r="AG186" s="2"/>
    </row>
    <row r="187" spans="29:33" x14ac:dyDescent="0.25">
      <c r="AC187" s="2"/>
      <c r="AD187" s="2"/>
      <c r="AE187" s="2"/>
      <c r="AF187" s="2"/>
      <c r="AG187" s="2"/>
    </row>
    <row r="188" spans="29:33" x14ac:dyDescent="0.25">
      <c r="AC188" s="2"/>
      <c r="AD188" s="2"/>
      <c r="AE188" s="2"/>
      <c r="AF188" s="2"/>
      <c r="AG188" s="2"/>
    </row>
    <row r="189" spans="29:33" x14ac:dyDescent="0.25">
      <c r="AC189" s="2"/>
      <c r="AD189" s="2"/>
      <c r="AE189" s="2"/>
      <c r="AF189" s="2"/>
      <c r="AG189" s="2"/>
    </row>
    <row r="190" spans="29:33" x14ac:dyDescent="0.25">
      <c r="AC190" s="2"/>
      <c r="AD190" s="2"/>
      <c r="AE190" s="2"/>
      <c r="AF190" s="2"/>
      <c r="AG190" s="2"/>
    </row>
    <row r="191" spans="29:33" x14ac:dyDescent="0.25">
      <c r="AC191" s="2"/>
      <c r="AD191" s="2"/>
      <c r="AE191" s="2"/>
      <c r="AF191" s="2"/>
      <c r="AG191" s="2"/>
    </row>
    <row r="192" spans="29:33" x14ac:dyDescent="0.25">
      <c r="AC192" s="2"/>
      <c r="AD192" s="2"/>
      <c r="AE192" s="2"/>
      <c r="AF192" s="2"/>
      <c r="AG192" s="2"/>
    </row>
    <row r="193" spans="29:33" x14ac:dyDescent="0.25">
      <c r="AC193" s="2"/>
      <c r="AD193" s="2"/>
      <c r="AE193" s="2"/>
      <c r="AF193" s="2"/>
      <c r="AG193" s="2"/>
    </row>
    <row r="194" spans="29:33" x14ac:dyDescent="0.25">
      <c r="AC194" s="2"/>
      <c r="AD194" s="2"/>
      <c r="AE194" s="2"/>
      <c r="AF194" s="2"/>
      <c r="AG194" s="2"/>
    </row>
    <row r="195" spans="29:33" x14ac:dyDescent="0.25">
      <c r="AC195" s="2"/>
      <c r="AD195" s="2"/>
      <c r="AE195" s="2"/>
      <c r="AF195" s="2"/>
      <c r="AG195" s="2"/>
    </row>
    <row r="196" spans="29:33" x14ac:dyDescent="0.25">
      <c r="AC196" s="2"/>
      <c r="AD196" s="2"/>
      <c r="AE196" s="2"/>
      <c r="AF196" s="2"/>
      <c r="AG196" s="2"/>
    </row>
    <row r="197" spans="29:33" x14ac:dyDescent="0.25">
      <c r="AC197" s="2"/>
      <c r="AD197" s="2"/>
      <c r="AE197" s="2"/>
      <c r="AF197" s="2"/>
      <c r="AG197" s="2"/>
    </row>
    <row r="198" spans="29:33" x14ac:dyDescent="0.25">
      <c r="AC198" s="2"/>
      <c r="AD198" s="2"/>
      <c r="AE198" s="2"/>
      <c r="AF198" s="2"/>
      <c r="AG198" s="2"/>
    </row>
    <row r="199" spans="29:33" x14ac:dyDescent="0.25">
      <c r="AC199" s="2"/>
      <c r="AD199" s="2"/>
      <c r="AE199" s="2"/>
      <c r="AF199" s="2"/>
      <c r="AG199" s="2"/>
    </row>
    <row r="200" spans="29:33" x14ac:dyDescent="0.25">
      <c r="AC200" s="5"/>
      <c r="AD200" s="5"/>
      <c r="AE200" s="5"/>
      <c r="AF200" s="46">
        <f ca="1">TODAY()</f>
        <v>46296</v>
      </c>
      <c r="AG200" s="4" cm="1">
        <f t="array" ref="AG200">LOOKUP(2,1/(H:H&gt;0),H:H)</f>
        <v>974.40370280651996</v>
      </c>
    </row>
  </sheetData>
  <mergeCells count="18">
    <mergeCell ref="AC3:AC4"/>
    <mergeCell ref="AD3:AD4"/>
    <mergeCell ref="AE3:AE4"/>
    <mergeCell ref="X3:X4"/>
    <mergeCell ref="AF3:AG3"/>
    <mergeCell ref="Y3:Y4"/>
    <mergeCell ref="M3:M4"/>
    <mergeCell ref="A3:A4"/>
    <mergeCell ref="B3:D3"/>
    <mergeCell ref="E3:F3"/>
    <mergeCell ref="G3:J3"/>
    <mergeCell ref="K3:L3"/>
    <mergeCell ref="V3:W3"/>
    <mergeCell ref="O3:O4"/>
    <mergeCell ref="P3:P4"/>
    <mergeCell ref="Q3:Q4"/>
    <mergeCell ref="R3:R4"/>
    <mergeCell ref="S3:U3"/>
  </mergeCells>
  <hyperlinks>
    <hyperlink ref="A5" location="'2026.01'!A1" display="'2026.01'!A1" xr:uid="{BAF6215B-37D5-4AB2-9B9C-F1057A1F97E5}"/>
    <hyperlink ref="A6" location="'2026.02'!A1" display="'2026.02'!A1" xr:uid="{2D8FE545-D9BF-484A-9307-911C90A9ADD6}"/>
    <hyperlink ref="A7" location="'2026.03'!A1" display="'2026.03'!A1" xr:uid="{27C32A66-C9F0-41D4-9F35-344010ADB510}"/>
    <hyperlink ref="A8" location="'2026.04'!A1" display="'2026.04'!A1" xr:uid="{13C873FF-87A6-46B2-8891-6C0574128C07}"/>
    <hyperlink ref="A9" location="'2026.05'!A1" display="'2026.05'!A1" xr:uid="{E2054D31-1D52-46BB-B8EA-FBB4811DE31D}"/>
    <hyperlink ref="A10" location="'2026.06'!A1" display="'2026.06'!A1" xr:uid="{F3608F29-46AC-4471-94DD-E0C306FF3FA3}"/>
    <hyperlink ref="A11" location="'2026.07'!A1" display="'2026.07'!A1" xr:uid="{D0DD87A1-01F2-4AC6-948E-9098F2EEF6C1}"/>
    <hyperlink ref="A12" location="'2026.08'!A1" display="'2026.08'!A1" xr:uid="{08493110-847F-414B-BF99-AD3F9DD09E97}"/>
    <hyperlink ref="A13" location="'2026.09'!A1" display="'2026.09'!A1" xr:uid="{24B4C2ED-990E-4DD1-9E08-53E92C7856AE}"/>
  </hyperlinks>
  <pageMargins left="0.7" right="0.7" top="0.75" bottom="0.75" header="0.3" footer="0.3"/>
  <pageSetup orientation="portrait" r:id="rId1"/>
  <ignoredErrors>
    <ignoredError sqref="E5:E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E6DF-DFE1-49B3-A2B6-A2C307187AC4}">
  <dimension ref="A2:X27"/>
  <sheetViews>
    <sheetView workbookViewId="0">
      <selection activeCell="H25" sqref="H25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2026.09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50" t="s">
        <v>32</v>
      </c>
      <c r="B14" s="49" t="s">
        <v>3</v>
      </c>
      <c r="C14" s="49" t="s">
        <v>8</v>
      </c>
      <c r="D14" s="49" t="s">
        <v>7</v>
      </c>
      <c r="E14" s="49" t="s">
        <v>0</v>
      </c>
      <c r="F14" s="49" t="s">
        <v>1</v>
      </c>
      <c r="G14" s="69"/>
      <c r="H14" s="49" t="s">
        <v>32</v>
      </c>
      <c r="I14" s="49" t="s">
        <v>29</v>
      </c>
      <c r="J14" s="49" t="s">
        <v>7</v>
      </c>
      <c r="K14" s="49" t="s">
        <v>0</v>
      </c>
      <c r="L14" s="47" t="s">
        <v>1</v>
      </c>
      <c r="M14" s="31"/>
      <c r="N14" s="48" t="s">
        <v>32</v>
      </c>
      <c r="O14" s="49" t="s">
        <v>29</v>
      </c>
      <c r="P14" s="20"/>
    </row>
    <row r="15" spans="1:24" x14ac:dyDescent="0.25">
      <c r="A15" s="40">
        <v>46275</v>
      </c>
      <c r="B15" s="11">
        <v>100</v>
      </c>
      <c r="C15" s="4">
        <v>100</v>
      </c>
      <c r="D15" s="4">
        <v>0</v>
      </c>
      <c r="E15" s="11">
        <f>C15/F15</f>
        <v>12.820000004076761</v>
      </c>
      <c r="F15" s="13">
        <v>7.8003120099999999</v>
      </c>
      <c r="G15" s="69"/>
      <c r="H15" s="5"/>
      <c r="I15" s="5"/>
      <c r="J15" s="4"/>
      <c r="K15" s="4"/>
      <c r="L15" s="24"/>
      <c r="M15" s="51"/>
      <c r="N15" s="25"/>
      <c r="O15" s="4"/>
      <c r="P15" s="1"/>
    </row>
    <row r="16" spans="1:24" x14ac:dyDescent="0.25">
      <c r="A16" s="42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43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43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49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12.820000004076761</v>
      </c>
      <c r="F19" s="13">
        <f>SUM(F15:F18)</f>
        <v>7.8003120099999999</v>
      </c>
      <c r="G19" s="70"/>
      <c r="H19" s="49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49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Q2:X2"/>
    <mergeCell ref="Q3:Q4"/>
    <mergeCell ref="R3:R4"/>
    <mergeCell ref="S3:S4"/>
    <mergeCell ref="T3:T4"/>
    <mergeCell ref="U3:V3"/>
    <mergeCell ref="W3:W4"/>
    <mergeCell ref="X3:X4"/>
    <mergeCell ref="A12:O12"/>
    <mergeCell ref="A13:F13"/>
    <mergeCell ref="G13:G19"/>
    <mergeCell ref="H13:L13"/>
    <mergeCell ref="N13:O13"/>
  </mergeCells>
  <hyperlinks>
    <hyperlink ref="A12:O12" location="WEBN!A1" display="WEBN Amundi Prime ACWI Acc UCITS ETF " xr:uid="{C0EE0919-08E9-4673-80F9-057FCDF56DCE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0C49-1D2F-4997-8556-A5B08EA369F6}">
  <dimension ref="A2:X27"/>
  <sheetViews>
    <sheetView workbookViewId="0">
      <selection activeCell="G24" sqref="G24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2026.08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40">
        <v>46252</v>
      </c>
      <c r="B15" s="11">
        <v>100</v>
      </c>
      <c r="C15" s="4">
        <v>100</v>
      </c>
      <c r="D15" s="4">
        <v>0</v>
      </c>
      <c r="E15" s="11">
        <f>C15/F15</f>
        <v>12.900000007481999</v>
      </c>
      <c r="F15" s="13">
        <v>7.7519379800000001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42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43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43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12.900000007481999</v>
      </c>
      <c r="F19" s="13">
        <f>SUM(F15:F18)</f>
        <v>7.7519379800000001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A12:O12"/>
    <mergeCell ref="A13:F13"/>
    <mergeCell ref="G13:G19"/>
    <mergeCell ref="H13:L13"/>
    <mergeCell ref="N13:O13"/>
    <mergeCell ref="Q2:X2"/>
    <mergeCell ref="Q3:Q4"/>
    <mergeCell ref="R3:R4"/>
    <mergeCell ref="S3:S4"/>
    <mergeCell ref="T3:T4"/>
    <mergeCell ref="U3:V3"/>
    <mergeCell ref="W3:W4"/>
    <mergeCell ref="X3:X4"/>
  </mergeCells>
  <hyperlinks>
    <hyperlink ref="A12:O12" location="WEBN!A1" display="WEBN Amundi Prime ACWI Acc UCITS ETF " xr:uid="{3CE52383-29C5-4497-90B8-DA81B24EC7D1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6365-31FE-4781-A029-EABEF442854F}">
  <dimension ref="A2:X27"/>
  <sheetViews>
    <sheetView workbookViewId="0"/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2026.07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40">
        <v>46218</v>
      </c>
      <c r="B15" s="11">
        <v>100</v>
      </c>
      <c r="C15" s="4">
        <v>100</v>
      </c>
      <c r="D15" s="4">
        <v>0</v>
      </c>
      <c r="E15" s="11">
        <f>C15/F15</f>
        <v>12.758000010754994</v>
      </c>
      <c r="F15" s="13">
        <v>7.8382191499999996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42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43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43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12.758000010754994</v>
      </c>
      <c r="F19" s="13">
        <f>SUM(F15:F18)</f>
        <v>7.8382191499999996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A12:O12"/>
    <mergeCell ref="A13:F13"/>
    <mergeCell ref="G13:G19"/>
    <mergeCell ref="H13:L13"/>
    <mergeCell ref="N13:O13"/>
    <mergeCell ref="Q2:X2"/>
    <mergeCell ref="Q3:Q4"/>
    <mergeCell ref="R3:R4"/>
    <mergeCell ref="S3:S4"/>
    <mergeCell ref="T3:T4"/>
    <mergeCell ref="U3:V3"/>
    <mergeCell ref="W3:W4"/>
    <mergeCell ref="X3:X4"/>
  </mergeCells>
  <hyperlinks>
    <hyperlink ref="A12:O12" location="WEBN!A1" display="WEBN Amundi Prime ACWI Acc UCITS ETF " xr:uid="{DF2B807C-B133-4C46-9D1B-D6B7BEF50215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C754-FACE-4B08-A6F5-27BDC7752425}">
  <dimension ref="A2:X27"/>
  <sheetViews>
    <sheetView workbookViewId="0">
      <selection activeCell="G6" sqref="G6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2026.06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40">
        <v>46180</v>
      </c>
      <c r="B15" s="11">
        <v>100</v>
      </c>
      <c r="C15" s="4">
        <v>100</v>
      </c>
      <c r="D15" s="4">
        <v>0</v>
      </c>
      <c r="E15" s="11">
        <f>C15/F15</f>
        <v>12.414000013151393</v>
      </c>
      <c r="F15" s="13">
        <v>8.05542129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42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43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43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12.414000013151393</v>
      </c>
      <c r="F19" s="13">
        <f>SUM(F15:F18)</f>
        <v>8.05542129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U3:V3"/>
    <mergeCell ref="W3:W4"/>
    <mergeCell ref="X3:X4"/>
    <mergeCell ref="A12:O12"/>
    <mergeCell ref="Q2:X2"/>
    <mergeCell ref="R3:R4"/>
    <mergeCell ref="S3:S4"/>
    <mergeCell ref="T3:T4"/>
    <mergeCell ref="A13:F13"/>
    <mergeCell ref="G13:G19"/>
    <mergeCell ref="H13:L13"/>
    <mergeCell ref="N13:O13"/>
    <mergeCell ref="Q3:Q4"/>
  </mergeCells>
  <hyperlinks>
    <hyperlink ref="A12:O12" location="WEBN!A1" display="WEBN Amundi Prime ACWI Acc UCITS ETF " xr:uid="{52D9614F-EF79-46CC-8F5E-FBD95649CF20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359C-5285-4575-BB13-921F668F181E}">
  <dimension ref="A2:X27"/>
  <sheetViews>
    <sheetView workbookViewId="0">
      <selection activeCell="E19" sqref="E19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2026.05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35">
        <v>46161</v>
      </c>
      <c r="B15" s="11">
        <v>100</v>
      </c>
      <c r="C15" s="4">
        <v>100</v>
      </c>
      <c r="D15" s="4">
        <v>0</v>
      </c>
      <c r="E15" s="11">
        <f>C15/F15</f>
        <v>12.21600000397753</v>
      </c>
      <c r="F15" s="13">
        <v>8.1859855899999996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38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39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39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12.21600000397753</v>
      </c>
      <c r="F19" s="13">
        <f>SUM(F15:F18)</f>
        <v>8.1859855899999996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U3:V3"/>
    <mergeCell ref="W3:W4"/>
    <mergeCell ref="X3:X4"/>
    <mergeCell ref="A12:O12"/>
    <mergeCell ref="Q2:X2"/>
    <mergeCell ref="R3:R4"/>
    <mergeCell ref="S3:S4"/>
    <mergeCell ref="T3:T4"/>
    <mergeCell ref="A13:F13"/>
    <mergeCell ref="G13:G19"/>
    <mergeCell ref="H13:L13"/>
    <mergeCell ref="N13:O13"/>
    <mergeCell ref="Q3:Q4"/>
  </mergeCells>
  <hyperlinks>
    <hyperlink ref="A12:O12" location="WEBN!A1" display="WEBN Amundi Prime ACWI Acc UCITS ETF " xr:uid="{3C02C9E5-EA02-4BDC-91AE-416C94F85838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392A-0BC5-4BD7-983E-8A7ED64C1BD7}">
  <dimension ref="A2:X27"/>
  <sheetViews>
    <sheetView workbookViewId="0">
      <selection activeCell="E19" sqref="E19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2026.04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40">
        <v>46131</v>
      </c>
      <c r="B15" s="11">
        <v>100</v>
      </c>
      <c r="C15" s="4">
        <v>100</v>
      </c>
      <c r="D15" s="4">
        <v>0</v>
      </c>
      <c r="E15" s="11">
        <f>C15/F15</f>
        <v>11.596000002936108</v>
      </c>
      <c r="F15" s="13">
        <v>8.6236633299999994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42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43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43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11.596000002936108</v>
      </c>
      <c r="F19" s="13">
        <f>SUM(F15:F18)</f>
        <v>8.6236633299999994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U3:V3"/>
    <mergeCell ref="W3:W4"/>
    <mergeCell ref="X3:X4"/>
    <mergeCell ref="A12:O12"/>
    <mergeCell ref="Q2:X2"/>
    <mergeCell ref="R3:R4"/>
    <mergeCell ref="S3:S4"/>
    <mergeCell ref="T3:T4"/>
    <mergeCell ref="A13:F13"/>
    <mergeCell ref="G13:G19"/>
    <mergeCell ref="H13:L13"/>
    <mergeCell ref="N13:O13"/>
    <mergeCell ref="Q3:Q4"/>
  </mergeCells>
  <hyperlinks>
    <hyperlink ref="A12:O12" location="WEBN!A1" display="WEBN Amundi Prime ACWI Acc UCITS ETF " xr:uid="{5E453430-7CF8-4213-8F80-26238D76E7AB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1ABD-D234-4E53-B90E-0B45F09BE5A5}">
  <dimension ref="A2:X27"/>
  <sheetViews>
    <sheetView workbookViewId="0">
      <selection activeCell="E19" sqref="E19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2026.03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40">
        <v>46101</v>
      </c>
      <c r="B15" s="11">
        <v>100</v>
      </c>
      <c r="C15" s="4">
        <v>100</v>
      </c>
      <c r="D15" s="4">
        <v>0</v>
      </c>
      <c r="E15" s="11">
        <f>C15/F15</f>
        <v>11.102000008093359</v>
      </c>
      <c r="F15" s="13">
        <v>9.0073860499999991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38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39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39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11.102000008093359</v>
      </c>
      <c r="F19" s="13">
        <f>SUM(F15:F18)</f>
        <v>9.0073860499999991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U3:V3"/>
    <mergeCell ref="W3:W4"/>
    <mergeCell ref="X3:X4"/>
    <mergeCell ref="A12:O12"/>
    <mergeCell ref="Q2:X2"/>
    <mergeCell ref="R3:R4"/>
    <mergeCell ref="S3:S4"/>
    <mergeCell ref="T3:T4"/>
    <mergeCell ref="A13:F13"/>
    <mergeCell ref="G13:G19"/>
    <mergeCell ref="H13:L13"/>
    <mergeCell ref="N13:O13"/>
    <mergeCell ref="Q3:Q4"/>
  </mergeCells>
  <hyperlinks>
    <hyperlink ref="A12:O12" location="WEBN!A1" display="WEBN Amundi Prime ACWI Acc UCITS ETF " xr:uid="{04427A72-C2D7-400B-ACC4-6F6AA44B6641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27"/>
  <sheetViews>
    <sheetView workbookViewId="0">
      <selection activeCell="A15" sqref="A15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2026.02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41">
        <v>46072</v>
      </c>
      <c r="B15" s="11">
        <v>100</v>
      </c>
      <c r="C15" s="4">
        <v>100</v>
      </c>
      <c r="D15" s="4">
        <v>0</v>
      </c>
      <c r="E15" s="11">
        <f>C15/F15</f>
        <v>11.49000000194181</v>
      </c>
      <c r="F15" s="13">
        <v>8.7032201899999997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38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39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39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5">
        <f>IF(B19&gt;0,SUMPRODUCT(E15:E18,F15:F18)/SUM(F15:F18),"0.00")</f>
        <v>11.49000000194181</v>
      </c>
      <c r="F19" s="13">
        <f>SUM(F15:F18)</f>
        <v>8.7032201899999997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U3:V3"/>
    <mergeCell ref="W3:W4"/>
    <mergeCell ref="X3:X4"/>
    <mergeCell ref="A12:O12"/>
    <mergeCell ref="Q2:X2"/>
    <mergeCell ref="R3:R4"/>
    <mergeCell ref="S3:S4"/>
    <mergeCell ref="T3:T4"/>
    <mergeCell ref="A13:F13"/>
    <mergeCell ref="G13:G19"/>
    <mergeCell ref="H13:L13"/>
    <mergeCell ref="N13:O13"/>
    <mergeCell ref="Q3:Q4"/>
  </mergeCells>
  <hyperlinks>
    <hyperlink ref="A12:O12" location="WEBN!A1" display="WEBN Amundi Prime ACWI Acc UCITS ETF " xr:uid="{BF7DD392-2323-41A9-A80E-2E9F0505699A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27"/>
  <sheetViews>
    <sheetView workbookViewId="0">
      <selection activeCell="A15" sqref="A15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3">
        <v>2026.01</v>
      </c>
      <c r="R2" s="74"/>
      <c r="S2" s="74"/>
      <c r="T2" s="74"/>
      <c r="U2" s="74"/>
      <c r="V2" s="74"/>
      <c r="W2" s="74"/>
      <c r="X2" s="75"/>
    </row>
    <row r="3" spans="1:24" x14ac:dyDescent="0.25">
      <c r="Q3" s="76" t="s">
        <v>12</v>
      </c>
      <c r="R3" s="76" t="s">
        <v>33</v>
      </c>
      <c r="S3" s="76" t="s">
        <v>9</v>
      </c>
      <c r="T3" s="76" t="s">
        <v>31</v>
      </c>
      <c r="U3" s="77" t="s">
        <v>30</v>
      </c>
      <c r="V3" s="78"/>
      <c r="W3" s="61" t="s">
        <v>39</v>
      </c>
      <c r="X3" s="61" t="s">
        <v>40</v>
      </c>
    </row>
    <row r="4" spans="1:24" x14ac:dyDescent="0.25">
      <c r="Q4" s="58"/>
      <c r="R4" s="58"/>
      <c r="S4" s="58"/>
      <c r="T4" s="58"/>
      <c r="U4" s="16" t="s">
        <v>13</v>
      </c>
      <c r="V4" s="12" t="s">
        <v>28</v>
      </c>
      <c r="W4" s="61"/>
      <c r="X4" s="61"/>
    </row>
    <row r="5" spans="1:24" x14ac:dyDescent="0.25">
      <c r="Q5" s="4">
        <v>100</v>
      </c>
      <c r="R5" s="4">
        <v>0</v>
      </c>
      <c r="S5" s="4">
        <f>(C19+C29+C39+C49+C59+C69+C79+C89+C99+C109)</f>
        <v>100</v>
      </c>
      <c r="T5" s="4">
        <f>(I19+I29+I39+I49+I59+I69+I79+I89+I99+I109)-V5</f>
        <v>0</v>
      </c>
      <c r="U5" s="4">
        <f>D19+D29+D39+D49+D59+D69+D79+D89+D99+D109</f>
        <v>0</v>
      </c>
      <c r="V5" s="4">
        <f>J19+J29+J39+J49+J59+J69+J79+J89+J99+J109</f>
        <v>0</v>
      </c>
      <c r="W5" s="4">
        <f>O19+O29+O39+O49+O59+O69+O79+O89+O99+O109</f>
        <v>0</v>
      </c>
      <c r="X5" s="4">
        <f>Q5-S5-U5</f>
        <v>0</v>
      </c>
    </row>
    <row r="12" spans="1:24" x14ac:dyDescent="0.25">
      <c r="A12" s="64" t="s">
        <v>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5"/>
      <c r="O12" s="67"/>
    </row>
    <row r="13" spans="1:24" x14ac:dyDescent="0.25">
      <c r="A13" s="55" t="s">
        <v>13</v>
      </c>
      <c r="B13" s="59"/>
      <c r="C13" s="59"/>
      <c r="D13" s="59"/>
      <c r="E13" s="59"/>
      <c r="F13" s="56"/>
      <c r="G13" s="68"/>
      <c r="H13" s="71" t="s">
        <v>28</v>
      </c>
      <c r="I13" s="72"/>
      <c r="J13" s="72"/>
      <c r="K13" s="72"/>
      <c r="L13" s="72"/>
      <c r="M13" s="30"/>
      <c r="N13" s="55" t="s">
        <v>39</v>
      </c>
      <c r="O13" s="56"/>
      <c r="P13" s="20"/>
    </row>
    <row r="14" spans="1:24" x14ac:dyDescent="0.25">
      <c r="A14" s="26" t="s">
        <v>32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69"/>
      <c r="H14" s="3" t="s">
        <v>32</v>
      </c>
      <c r="I14" s="3" t="s">
        <v>29</v>
      </c>
      <c r="J14" s="3" t="s">
        <v>7</v>
      </c>
      <c r="K14" s="3" t="s">
        <v>0</v>
      </c>
      <c r="L14" s="17" t="s">
        <v>1</v>
      </c>
      <c r="M14" s="31"/>
      <c r="N14" s="18" t="s">
        <v>32</v>
      </c>
      <c r="O14" s="3" t="s">
        <v>29</v>
      </c>
      <c r="P14" s="20"/>
    </row>
    <row r="15" spans="1:24" x14ac:dyDescent="0.25">
      <c r="A15" s="41">
        <v>46041</v>
      </c>
      <c r="B15" s="11">
        <v>100</v>
      </c>
      <c r="C15" s="4">
        <v>100</v>
      </c>
      <c r="D15" s="4">
        <v>0</v>
      </c>
      <c r="E15" s="11">
        <f>C15/F15</f>
        <v>11.448000006007911</v>
      </c>
      <c r="F15" s="13">
        <v>8.7351502399999994</v>
      </c>
      <c r="G15" s="69"/>
      <c r="H15" s="5"/>
      <c r="I15" s="5"/>
      <c r="J15" s="4"/>
      <c r="K15" s="4"/>
      <c r="L15" s="24"/>
      <c r="M15" s="19"/>
      <c r="N15" s="25"/>
      <c r="O15" s="4"/>
      <c r="P15" s="1"/>
    </row>
    <row r="16" spans="1:24" x14ac:dyDescent="0.25">
      <c r="A16" s="38"/>
      <c r="B16" s="4"/>
      <c r="C16" s="5"/>
      <c r="D16" s="5"/>
      <c r="E16" s="5"/>
      <c r="F16" s="7"/>
      <c r="G16" s="69"/>
      <c r="H16" s="5"/>
      <c r="I16" s="2"/>
      <c r="J16" s="2"/>
      <c r="K16" s="2"/>
      <c r="L16" s="27"/>
      <c r="M16" s="32"/>
      <c r="N16" s="29"/>
      <c r="O16" s="2"/>
    </row>
    <row r="17" spans="1:18" ht="15" customHeight="1" x14ac:dyDescent="0.3">
      <c r="A17" s="39"/>
      <c r="B17" s="4"/>
      <c r="C17" s="5"/>
      <c r="D17" s="5"/>
      <c r="E17" s="5"/>
      <c r="F17" s="7"/>
      <c r="G17" s="69"/>
      <c r="H17" s="5"/>
      <c r="I17" s="2"/>
      <c r="J17" s="2"/>
      <c r="K17" s="2"/>
      <c r="L17" s="27"/>
      <c r="M17" s="32"/>
      <c r="N17" s="29"/>
      <c r="O17" s="2"/>
    </row>
    <row r="18" spans="1:18" ht="15" customHeight="1" x14ac:dyDescent="0.3">
      <c r="A18" s="39"/>
      <c r="B18" s="4"/>
      <c r="C18" s="5"/>
      <c r="D18" s="5"/>
      <c r="E18" s="5"/>
      <c r="F18" s="5"/>
      <c r="G18" s="69"/>
      <c r="H18" s="5"/>
      <c r="I18" s="2"/>
      <c r="J18" s="2"/>
      <c r="K18" s="2"/>
      <c r="L18" s="27"/>
      <c r="M18" s="32"/>
      <c r="N18" s="29"/>
      <c r="O18" s="2"/>
    </row>
    <row r="19" spans="1:18" x14ac:dyDescent="0.25">
      <c r="A19" s="3" t="s">
        <v>2</v>
      </c>
      <c r="B19" s="4">
        <f>SUM(B15:B18)</f>
        <v>100</v>
      </c>
      <c r="C19" s="4">
        <f>SUM(C15:C18)</f>
        <v>100</v>
      </c>
      <c r="D19" s="4">
        <f>SUM(D15:D18)</f>
        <v>0</v>
      </c>
      <c r="E19" s="4">
        <f>IF(B19&gt;0,SUMPRODUCT(E15:E18,F15:F18)/SUM(F15:F18),"0.00")</f>
        <v>11.448000006007911</v>
      </c>
      <c r="F19" s="13">
        <f>SUM(F15:F18)</f>
        <v>8.7351502399999994</v>
      </c>
      <c r="G19" s="70"/>
      <c r="H19" s="3" t="s">
        <v>2</v>
      </c>
      <c r="I19" s="4">
        <f>SUM(I15:I18)</f>
        <v>0</v>
      </c>
      <c r="J19" s="4">
        <f t="shared" ref="J19:L19" si="0">SUM(J15:J18)</f>
        <v>0</v>
      </c>
      <c r="K19" s="5"/>
      <c r="L19" s="28">
        <f t="shared" si="0"/>
        <v>0</v>
      </c>
      <c r="M19" s="33"/>
      <c r="N19" s="3" t="s">
        <v>2</v>
      </c>
      <c r="O19" s="4">
        <f>SUM(O15:O18)</f>
        <v>0</v>
      </c>
      <c r="P19" s="1"/>
    </row>
    <row r="20" spans="1:18" x14ac:dyDescent="0.25">
      <c r="B20" s="8"/>
      <c r="E20" s="1"/>
      <c r="F20" s="9"/>
      <c r="G20" s="9"/>
      <c r="H20" s="9"/>
      <c r="I20" s="9"/>
      <c r="J20" s="9"/>
      <c r="K20" s="9"/>
    </row>
    <row r="25" spans="1:18" x14ac:dyDescent="0.25">
      <c r="R25" s="1"/>
    </row>
    <row r="27" spans="1:18" x14ac:dyDescent="0.25">
      <c r="J27" s="1"/>
    </row>
  </sheetData>
  <mergeCells count="13">
    <mergeCell ref="Q2:X2"/>
    <mergeCell ref="X3:X4"/>
    <mergeCell ref="W3:W4"/>
    <mergeCell ref="A13:F13"/>
    <mergeCell ref="H13:L13"/>
    <mergeCell ref="A12:O12"/>
    <mergeCell ref="N13:O13"/>
    <mergeCell ref="T3:T4"/>
    <mergeCell ref="U3:V3"/>
    <mergeCell ref="R3:R4"/>
    <mergeCell ref="G13:G19"/>
    <mergeCell ref="Q3:Q4"/>
    <mergeCell ref="S3:S4"/>
  </mergeCells>
  <hyperlinks>
    <hyperlink ref="A12:O12" location="WEBN!A1" display="WEBN Amundi Prime ACWI Acc UCITS ETF " xr:uid="{160B363E-58E4-49F0-84BE-E7C80F8C2E97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Apžvalga</vt:lpstr>
      <vt:lpstr>NADQ</vt:lpstr>
      <vt:lpstr>QDVE</vt:lpstr>
      <vt:lpstr>VWCE</vt:lpstr>
      <vt:lpstr>XDEQ</vt:lpstr>
      <vt:lpstr>VUAA</vt:lpstr>
      <vt:lpstr>XDWT</vt:lpstr>
      <vt:lpstr>XAIX</vt:lpstr>
      <vt:lpstr>WEBN</vt:lpstr>
      <vt:lpstr>2026.09</vt:lpstr>
      <vt:lpstr>2026.08</vt:lpstr>
      <vt:lpstr>2026.07</vt:lpstr>
      <vt:lpstr>2026.06</vt:lpstr>
      <vt:lpstr>2026.05</vt:lpstr>
      <vt:lpstr>2026.04</vt:lpstr>
      <vt:lpstr>2026.03</vt:lpstr>
      <vt:lpstr>2026.02</vt:lpstr>
      <vt:lpstr>2026.01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2026-10-01T18:25:12Z</dcterms:modified>
</cp:coreProperties>
</file>