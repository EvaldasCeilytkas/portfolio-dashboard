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vg" ContentType="image/svg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drawings/drawing14.xml" ContentType="application/vnd.openxmlformats-officedocument.drawing+xml"/>
  <Override PartName="/xl/drawings/drawing15.xml" ContentType="application/vnd.openxmlformats-officedocument.drawing+xml"/>
  <Override PartName="/xl/drawings/drawing16.xml" ContentType="application/vnd.openxmlformats-officedocument.drawing+xml"/>
  <Override PartName="/xl/drawings/drawing17.xml" ContentType="application/vnd.openxmlformats-officedocument.drawing+xml"/>
  <Override PartName="/xl/drawings/drawing18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E:\Investavimas 2026.08.08\SEB\Fondai\"/>
    </mc:Choice>
  </mc:AlternateContent>
  <xr:revisionPtr revIDLastSave="0" documentId="13_ncr:1_{457DA877-BF67-4C36-A812-EEEA75D29EFD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Apžvalga" sheetId="58" r:id="rId1"/>
    <sheet name="SEB Active 55" sheetId="8" r:id="rId2"/>
    <sheet name="SEB Active 80" sheetId="2" r:id="rId3"/>
    <sheet name="SEB Artificial Intelligence Fun" sheetId="35" state="hidden" r:id="rId4"/>
    <sheet name="SEB Global High Yield Fund" sheetId="46" state="hidden" r:id="rId5"/>
    <sheet name="SEB Global Exposure fund UD" sheetId="48" state="hidden" r:id="rId6"/>
    <sheet name="SEB Europe Exposure Fund UC" sheetId="52" state="hidden" r:id="rId7"/>
    <sheet name="SEB US Exposure Fund UD" sheetId="54" state="hidden" r:id="rId8"/>
    <sheet name="SEB Europe Exposure Fund UD" sheetId="55" state="hidden" r:id="rId9"/>
    <sheet name="2026.09" sheetId="65" r:id="rId10"/>
    <sheet name="2026.08" sheetId="64" r:id="rId11"/>
    <sheet name="2026.07" sheetId="63" r:id="rId12"/>
    <sheet name="2026.06" sheetId="62" r:id="rId13"/>
    <sheet name="2026.05" sheetId="61" r:id="rId14"/>
    <sheet name="2026.04" sheetId="60" r:id="rId15"/>
    <sheet name="2026.03" sheetId="59" r:id="rId16"/>
    <sheet name="2026.02" sheetId="14" r:id="rId17"/>
    <sheet name="2026.01" sheetId="13" r:id="rId18"/>
    <sheet name="2025.12" sheetId="12" r:id="rId19"/>
    <sheet name="2025.11" sheetId="11" r:id="rId20"/>
    <sheet name="2025.10" sheetId="10" r:id="rId21"/>
    <sheet name="2025.09" sheetId="9" r:id="rId22"/>
    <sheet name="2025.08" sheetId="7" r:id="rId23"/>
    <sheet name="2025.07" sheetId="6" r:id="rId24"/>
    <sheet name="2025.06" sheetId="5" r:id="rId25"/>
    <sheet name="2025.05" sheetId="4" r:id="rId26"/>
    <sheet name="2025.04" sheetId="3" r:id="rId27"/>
    <sheet name="2025.03" sheetId="1" r:id="rId28"/>
  </sheets>
  <calcPr calcId="191029" fullPrecision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S21" i="58" l="1"/>
  <c r="R21" i="58"/>
  <c r="Q21" i="58"/>
  <c r="P21" i="58"/>
  <c r="D21" i="58"/>
  <c r="C21" i="58"/>
  <c r="B21" i="58"/>
  <c r="A21" i="58"/>
  <c r="E21" i="58"/>
  <c r="M21" i="58" s="1"/>
  <c r="N21" i="58" s="1"/>
  <c r="O21" i="58" s="1"/>
  <c r="F21" i="58"/>
  <c r="M23" i="2"/>
  <c r="L23" i="2"/>
  <c r="K23" i="2"/>
  <c r="E23" i="2"/>
  <c r="C23" i="2"/>
  <c r="B23" i="2"/>
  <c r="D23" i="2" s="1"/>
  <c r="A23" i="2"/>
  <c r="F23" i="2"/>
  <c r="H23" i="2" s="1"/>
  <c r="AC23" i="2"/>
  <c r="AD23" i="2"/>
  <c r="AE23" i="2"/>
  <c r="AF23" i="2"/>
  <c r="AG23" i="2"/>
  <c r="M23" i="8"/>
  <c r="L23" i="8"/>
  <c r="K23" i="8"/>
  <c r="E23" i="8"/>
  <c r="F23" i="8" s="1"/>
  <c r="H23" i="8" s="1"/>
  <c r="C23" i="8"/>
  <c r="B23" i="8"/>
  <c r="A23" i="8"/>
  <c r="D23" i="8"/>
  <c r="AC23" i="8"/>
  <c r="AD23" i="8"/>
  <c r="AE23" i="8"/>
  <c r="AF23" i="8"/>
  <c r="AG23" i="8"/>
  <c r="O29" i="65"/>
  <c r="L29" i="65"/>
  <c r="J29" i="65"/>
  <c r="I29" i="65"/>
  <c r="F29" i="65"/>
  <c r="C29" i="65"/>
  <c r="B29" i="65"/>
  <c r="F25" i="65"/>
  <c r="D25" i="65"/>
  <c r="D29" i="65" s="1"/>
  <c r="O19" i="65"/>
  <c r="X5" i="65" s="1"/>
  <c r="L19" i="65"/>
  <c r="J19" i="65"/>
  <c r="I19" i="65"/>
  <c r="T5" i="65" s="1"/>
  <c r="C19" i="65"/>
  <c r="B19" i="65"/>
  <c r="F15" i="65"/>
  <c r="F19" i="65" s="1"/>
  <c r="D15" i="65"/>
  <c r="D19" i="65" s="1"/>
  <c r="U5" i="65" s="1"/>
  <c r="W5" i="65"/>
  <c r="S20" i="58"/>
  <c r="R20" i="58"/>
  <c r="Q20" i="58"/>
  <c r="P20" i="58"/>
  <c r="D20" i="58"/>
  <c r="C20" i="58"/>
  <c r="B20" i="58"/>
  <c r="A20" i="58"/>
  <c r="E20" i="58"/>
  <c r="M20" i="58" s="1"/>
  <c r="N20" i="58" s="1"/>
  <c r="O20" i="58" s="1"/>
  <c r="F20" i="58"/>
  <c r="M22" i="2"/>
  <c r="L22" i="2"/>
  <c r="K22" i="2"/>
  <c r="E22" i="2"/>
  <c r="F22" i="2" s="1"/>
  <c r="H22" i="2" s="1"/>
  <c r="C22" i="2"/>
  <c r="B22" i="2"/>
  <c r="D22" i="2" s="1"/>
  <c r="A22" i="2"/>
  <c r="AC22" i="2"/>
  <c r="AD22" i="2"/>
  <c r="AE22" i="2"/>
  <c r="AF22" i="2"/>
  <c r="AG22" i="2"/>
  <c r="M22" i="8"/>
  <c r="L22" i="8"/>
  <c r="K22" i="8"/>
  <c r="E22" i="8"/>
  <c r="C22" i="8"/>
  <c r="B22" i="8"/>
  <c r="D22" i="8" s="1"/>
  <c r="A22" i="8"/>
  <c r="F22" i="8"/>
  <c r="H22" i="8" s="1"/>
  <c r="AC22" i="8"/>
  <c r="AD22" i="8"/>
  <c r="AE22" i="8"/>
  <c r="AF22" i="8"/>
  <c r="AG22" i="8"/>
  <c r="O29" i="64"/>
  <c r="L29" i="64"/>
  <c r="J29" i="64"/>
  <c r="I29" i="64"/>
  <c r="C29" i="64"/>
  <c r="S5" i="64" s="1"/>
  <c r="B29" i="64"/>
  <c r="F25" i="64"/>
  <c r="F29" i="64" s="1"/>
  <c r="D25" i="64"/>
  <c r="D29" i="64" s="1"/>
  <c r="O19" i="64"/>
  <c r="X5" i="64" s="1"/>
  <c r="L19" i="64"/>
  <c r="J19" i="64"/>
  <c r="I19" i="64"/>
  <c r="T5" i="64" s="1"/>
  <c r="Q5" i="64" s="1"/>
  <c r="C19" i="64"/>
  <c r="B19" i="64"/>
  <c r="E19" i="64" s="1"/>
  <c r="F15" i="64"/>
  <c r="F19" i="64" s="1"/>
  <c r="D15" i="64"/>
  <c r="D19" i="64" s="1"/>
  <c r="U5" i="64" s="1"/>
  <c r="W5" i="64"/>
  <c r="S19" i="58"/>
  <c r="R19" i="58"/>
  <c r="Q19" i="58"/>
  <c r="P19" i="58"/>
  <c r="D19" i="58"/>
  <c r="C19" i="58"/>
  <c r="B19" i="58"/>
  <c r="A19" i="58"/>
  <c r="E19" i="58"/>
  <c r="M19" i="58" s="1"/>
  <c r="N19" i="58" s="1"/>
  <c r="O19" i="58" s="1"/>
  <c r="F19" i="58"/>
  <c r="M21" i="2"/>
  <c r="L21" i="2"/>
  <c r="K21" i="2"/>
  <c r="E21" i="2"/>
  <c r="C21" i="2"/>
  <c r="B21" i="2"/>
  <c r="D21" i="2" s="1"/>
  <c r="A21" i="2"/>
  <c r="F21" i="2"/>
  <c r="H21" i="2" s="1"/>
  <c r="AC21" i="2"/>
  <c r="AD21" i="2"/>
  <c r="AE21" i="2"/>
  <c r="AF21" i="2"/>
  <c r="AG21" i="2"/>
  <c r="M21" i="8"/>
  <c r="L21" i="8"/>
  <c r="K21" i="8"/>
  <c r="E21" i="8"/>
  <c r="C21" i="8"/>
  <c r="B21" i="8"/>
  <c r="D21" i="8" s="1"/>
  <c r="A21" i="8"/>
  <c r="F21" i="8"/>
  <c r="H21" i="8" s="1"/>
  <c r="AC21" i="8"/>
  <c r="AD21" i="8"/>
  <c r="AE21" i="8"/>
  <c r="AF21" i="8"/>
  <c r="AG21" i="8"/>
  <c r="I23" i="2" l="1"/>
  <c r="J23" i="2"/>
  <c r="I23" i="8"/>
  <c r="J23" i="8"/>
  <c r="E29" i="65"/>
  <c r="S5" i="65"/>
  <c r="E19" i="65"/>
  <c r="Q5" i="65"/>
  <c r="I22" i="2"/>
  <c r="J22" i="2"/>
  <c r="I22" i="8"/>
  <c r="J22" i="8"/>
  <c r="E29" i="64"/>
  <c r="I21" i="2"/>
  <c r="J21" i="2"/>
  <c r="I21" i="8"/>
  <c r="J21" i="8"/>
  <c r="O29" i="63"/>
  <c r="L29" i="63"/>
  <c r="J29" i="63"/>
  <c r="I29" i="63"/>
  <c r="C29" i="63"/>
  <c r="S5" i="63" s="1"/>
  <c r="B29" i="63"/>
  <c r="F25" i="63"/>
  <c r="F29" i="63" s="1"/>
  <c r="D25" i="63"/>
  <c r="D29" i="63" s="1"/>
  <c r="O19" i="63"/>
  <c r="X5" i="63" s="1"/>
  <c r="L19" i="63"/>
  <c r="J19" i="63"/>
  <c r="W5" i="63" s="1"/>
  <c r="T5" i="63" s="1"/>
  <c r="Q5" i="63" s="1"/>
  <c r="I19" i="63"/>
  <c r="C19" i="63"/>
  <c r="B19" i="63"/>
  <c r="F15" i="63"/>
  <c r="F19" i="63" s="1"/>
  <c r="D15" i="63"/>
  <c r="D19" i="63" s="1"/>
  <c r="U5" i="63" s="1"/>
  <c r="AG20" i="2"/>
  <c r="AG19" i="2"/>
  <c r="AG18" i="2"/>
  <c r="AG17" i="2"/>
  <c r="AF20" i="2"/>
  <c r="AF19" i="2"/>
  <c r="AF18" i="2"/>
  <c r="AF17" i="2"/>
  <c r="AG16" i="2"/>
  <c r="AG15" i="2"/>
  <c r="AF16" i="2"/>
  <c r="AF15" i="2"/>
  <c r="AG14" i="2"/>
  <c r="AG13" i="2"/>
  <c r="AG12" i="2"/>
  <c r="AG11" i="2"/>
  <c r="AG10" i="2"/>
  <c r="AG9" i="2"/>
  <c r="AG8" i="2"/>
  <c r="AG7" i="2"/>
  <c r="AF14" i="2"/>
  <c r="AF13" i="2"/>
  <c r="AF12" i="2"/>
  <c r="AF11" i="2"/>
  <c r="AF10" i="2"/>
  <c r="AF9" i="2"/>
  <c r="AF8" i="2"/>
  <c r="AF7" i="2"/>
  <c r="AG6" i="2"/>
  <c r="AF6" i="2"/>
  <c r="AG5" i="2"/>
  <c r="AF5" i="2"/>
  <c r="AF69" i="2"/>
  <c r="AG20" i="8"/>
  <c r="AG19" i="8"/>
  <c r="AG18" i="8"/>
  <c r="AF20" i="8"/>
  <c r="AF19" i="8"/>
  <c r="AF18" i="8"/>
  <c r="AG17" i="8"/>
  <c r="AF17" i="8"/>
  <c r="AG16" i="8"/>
  <c r="AF16" i="8"/>
  <c r="AG15" i="8"/>
  <c r="AF15" i="8"/>
  <c r="AG14" i="8"/>
  <c r="AG13" i="8"/>
  <c r="AG12" i="8"/>
  <c r="AG11" i="8"/>
  <c r="AG10" i="8"/>
  <c r="AG9" i="8"/>
  <c r="AG8" i="8"/>
  <c r="AG7" i="8"/>
  <c r="AF14" i="8"/>
  <c r="AF13" i="8"/>
  <c r="AF12" i="8"/>
  <c r="AF11" i="8"/>
  <c r="AF10" i="8"/>
  <c r="AF9" i="8"/>
  <c r="AF8" i="8"/>
  <c r="AF7" i="8"/>
  <c r="AF69" i="8"/>
  <c r="AG6" i="8"/>
  <c r="AF6" i="8"/>
  <c r="AG5" i="8"/>
  <c r="AF5" i="8"/>
  <c r="S18" i="58"/>
  <c r="R18" i="58"/>
  <c r="P18" i="58"/>
  <c r="C18" i="58"/>
  <c r="A18" i="58"/>
  <c r="AE19" i="2"/>
  <c r="AE18" i="2"/>
  <c r="AD19" i="2"/>
  <c r="AD18" i="2"/>
  <c r="AC20" i="2"/>
  <c r="AC19" i="2"/>
  <c r="AC18" i="2"/>
  <c r="M20" i="2"/>
  <c r="L20" i="2"/>
  <c r="A20" i="2"/>
  <c r="AE19" i="8"/>
  <c r="AE18" i="8"/>
  <c r="AD19" i="8"/>
  <c r="AD18" i="8"/>
  <c r="AC19" i="8"/>
  <c r="AC18" i="8"/>
  <c r="M20" i="8"/>
  <c r="L20" i="8"/>
  <c r="A20" i="8"/>
  <c r="O29" i="62"/>
  <c r="L29" i="62"/>
  <c r="J29" i="62"/>
  <c r="I29" i="62"/>
  <c r="C29" i="62"/>
  <c r="C20" i="2" s="1"/>
  <c r="B29" i="62"/>
  <c r="F25" i="62"/>
  <c r="F29" i="62" s="1"/>
  <c r="E20" i="2" s="1"/>
  <c r="D25" i="62"/>
  <c r="D29" i="62" s="1"/>
  <c r="K20" i="2" s="1"/>
  <c r="O19" i="62"/>
  <c r="X5" i="62" s="1"/>
  <c r="L19" i="62"/>
  <c r="J19" i="62"/>
  <c r="I19" i="62"/>
  <c r="C19" i="62"/>
  <c r="C20" i="8" s="1"/>
  <c r="B19" i="62"/>
  <c r="B20" i="8" s="1"/>
  <c r="F15" i="62"/>
  <c r="F19" i="62" s="1"/>
  <c r="AE20" i="8" s="1"/>
  <c r="D15" i="62"/>
  <c r="D19" i="62" s="1"/>
  <c r="K20" i="8" s="1"/>
  <c r="W5" i="62"/>
  <c r="T5" i="62" s="1"/>
  <c r="E29" i="61"/>
  <c r="E29" i="60"/>
  <c r="E19" i="61"/>
  <c r="E19" i="60"/>
  <c r="AE17" i="2"/>
  <c r="AE16" i="2"/>
  <c r="AD17" i="2"/>
  <c r="AD16" i="2"/>
  <c r="AC17" i="2"/>
  <c r="AC16" i="2"/>
  <c r="AE15" i="2"/>
  <c r="AD15" i="2"/>
  <c r="AC15" i="2"/>
  <c r="AE17" i="8"/>
  <c r="AE16" i="8"/>
  <c r="AD17" i="8"/>
  <c r="AD16" i="8"/>
  <c r="AC17" i="8"/>
  <c r="AC16" i="8"/>
  <c r="AE15" i="8"/>
  <c r="AD15" i="8"/>
  <c r="AC15" i="8"/>
  <c r="E29" i="59"/>
  <c r="E29" i="14"/>
  <c r="E19" i="59"/>
  <c r="E19" i="14"/>
  <c r="E29" i="13"/>
  <c r="E19" i="13"/>
  <c r="A19" i="8"/>
  <c r="A18" i="8"/>
  <c r="A17" i="8"/>
  <c r="A16" i="8"/>
  <c r="A15" i="8"/>
  <c r="AE14" i="2"/>
  <c r="AE13" i="2"/>
  <c r="AD14" i="2"/>
  <c r="AD13" i="2"/>
  <c r="AC14" i="2"/>
  <c r="AC13" i="2"/>
  <c r="AE12" i="2"/>
  <c r="AE11" i="2"/>
  <c r="AD12" i="2"/>
  <c r="AD11" i="2"/>
  <c r="AC12" i="2"/>
  <c r="AC11" i="2"/>
  <c r="AE14" i="8"/>
  <c r="AE13" i="8"/>
  <c r="AD14" i="8"/>
  <c r="AD13" i="8"/>
  <c r="AC14" i="8"/>
  <c r="AC13" i="8"/>
  <c r="AE12" i="8"/>
  <c r="AD12" i="8"/>
  <c r="AC12" i="8"/>
  <c r="AE11" i="8"/>
  <c r="AD11" i="8"/>
  <c r="AC11" i="8"/>
  <c r="E29" i="12"/>
  <c r="E29" i="11"/>
  <c r="E19" i="12"/>
  <c r="E19" i="11"/>
  <c r="E29" i="10"/>
  <c r="E19" i="10"/>
  <c r="E29" i="9"/>
  <c r="E19" i="9"/>
  <c r="A14" i="8"/>
  <c r="A13" i="8"/>
  <c r="A12" i="8"/>
  <c r="A11" i="8"/>
  <c r="AE10" i="2"/>
  <c r="AE9" i="2"/>
  <c r="AE8" i="2"/>
  <c r="AE7" i="2"/>
  <c r="AD10" i="2"/>
  <c r="AD9" i="2"/>
  <c r="AD8" i="2"/>
  <c r="AD7" i="2"/>
  <c r="AC10" i="2"/>
  <c r="AC9" i="2"/>
  <c r="AC8" i="2"/>
  <c r="AC7" i="2"/>
  <c r="AE6" i="2"/>
  <c r="AD6" i="2"/>
  <c r="AC6" i="2"/>
  <c r="AE5" i="2"/>
  <c r="AD5" i="2"/>
  <c r="AC5" i="2"/>
  <c r="A3" i="58"/>
  <c r="A4" i="58"/>
  <c r="A5" i="58"/>
  <c r="A6" i="58"/>
  <c r="A7" i="58"/>
  <c r="A8" i="58"/>
  <c r="A9" i="58"/>
  <c r="A11" i="2"/>
  <c r="A10" i="2"/>
  <c r="A9" i="2"/>
  <c r="A8" i="2"/>
  <c r="A7" i="2"/>
  <c r="A6" i="2"/>
  <c r="A5" i="2"/>
  <c r="AE10" i="8"/>
  <c r="AE9" i="8"/>
  <c r="AE8" i="8"/>
  <c r="AE7" i="8"/>
  <c r="AD10" i="8"/>
  <c r="AD9" i="8"/>
  <c r="AD8" i="8"/>
  <c r="AD7" i="8"/>
  <c r="AC10" i="8"/>
  <c r="AC9" i="8"/>
  <c r="AC8" i="8"/>
  <c r="AC7" i="8"/>
  <c r="AE6" i="8"/>
  <c r="AD6" i="8"/>
  <c r="AC6" i="8"/>
  <c r="AE5" i="8"/>
  <c r="AD5" i="8"/>
  <c r="AC5" i="8"/>
  <c r="E29" i="7"/>
  <c r="E19" i="7"/>
  <c r="E29" i="6"/>
  <c r="E19" i="6"/>
  <c r="E29" i="5"/>
  <c r="E19" i="5"/>
  <c r="E29" i="4"/>
  <c r="E19" i="4"/>
  <c r="E29" i="3"/>
  <c r="E19" i="3"/>
  <c r="E29" i="1"/>
  <c r="E19" i="1"/>
  <c r="S17" i="58"/>
  <c r="S16" i="58"/>
  <c r="C17" i="58"/>
  <c r="A17" i="58"/>
  <c r="C16" i="58"/>
  <c r="A16" i="58"/>
  <c r="L18" i="2"/>
  <c r="A19" i="2"/>
  <c r="A18" i="2"/>
  <c r="O29" i="61"/>
  <c r="M19" i="2" s="1"/>
  <c r="L29" i="61"/>
  <c r="J29" i="61"/>
  <c r="L19" i="2" s="1"/>
  <c r="I29" i="61"/>
  <c r="D29" i="61"/>
  <c r="K19" i="2" s="1"/>
  <c r="C29" i="61"/>
  <c r="C19" i="2" s="1"/>
  <c r="B29" i="61"/>
  <c r="B19" i="2" s="1"/>
  <c r="F25" i="61"/>
  <c r="F29" i="61" s="1"/>
  <c r="E19" i="2" s="1"/>
  <c r="D25" i="61"/>
  <c r="O19" i="61"/>
  <c r="L19" i="61"/>
  <c r="J19" i="61"/>
  <c r="I19" i="61"/>
  <c r="C19" i="61"/>
  <c r="C19" i="8" s="1"/>
  <c r="B19" i="61"/>
  <c r="B19" i="8" s="1"/>
  <c r="F15" i="61"/>
  <c r="F19" i="61" s="1"/>
  <c r="E19" i="8" s="1"/>
  <c r="D15" i="61"/>
  <c r="D19" i="61" s="1"/>
  <c r="K19" i="8" s="1"/>
  <c r="O29" i="60"/>
  <c r="M18" i="2" s="1"/>
  <c r="L29" i="60"/>
  <c r="J29" i="60"/>
  <c r="I29" i="60"/>
  <c r="C29" i="60"/>
  <c r="C18" i="2" s="1"/>
  <c r="B29" i="60"/>
  <c r="B18" i="2" s="1"/>
  <c r="F25" i="60"/>
  <c r="F29" i="60" s="1"/>
  <c r="E18" i="2" s="1"/>
  <c r="D25" i="60"/>
  <c r="D29" i="60" s="1"/>
  <c r="K18" i="2" s="1"/>
  <c r="O19" i="60"/>
  <c r="M18" i="8" s="1"/>
  <c r="L19" i="60"/>
  <c r="J19" i="60"/>
  <c r="W5" i="60" s="1"/>
  <c r="R16" i="58" s="1"/>
  <c r="I19" i="60"/>
  <c r="C19" i="60"/>
  <c r="C18" i="8" s="1"/>
  <c r="B19" i="60"/>
  <c r="B18" i="8" s="1"/>
  <c r="F15" i="60"/>
  <c r="F19" i="60" s="1"/>
  <c r="E18" i="8" s="1"/>
  <c r="D15" i="60"/>
  <c r="D19" i="60" s="1"/>
  <c r="S15" i="58"/>
  <c r="C15" i="58"/>
  <c r="A15" i="58"/>
  <c r="A17" i="2"/>
  <c r="E19" i="63" l="1"/>
  <c r="E29" i="63"/>
  <c r="E29" i="62"/>
  <c r="AD20" i="2" s="1"/>
  <c r="Y5" i="2" s="1" a="1"/>
  <c r="Y5" i="2" s="1"/>
  <c r="B20" i="2"/>
  <c r="E20" i="8"/>
  <c r="AE20" i="2"/>
  <c r="AC20" i="8"/>
  <c r="U5" i="62"/>
  <c r="Q18" i="58" s="1"/>
  <c r="Q5" i="62"/>
  <c r="B18" i="58" s="1"/>
  <c r="S5" i="62"/>
  <c r="D18" i="58" s="1"/>
  <c r="E19" i="62"/>
  <c r="AD20" i="8" s="1"/>
  <c r="Y5" i="8" s="1" a="1"/>
  <c r="Y5" i="8" s="1"/>
  <c r="X5" i="61"/>
  <c r="P17" i="58" s="1"/>
  <c r="U5" i="61"/>
  <c r="Q17" i="58" s="1"/>
  <c r="W5" i="61"/>
  <c r="R17" i="58" s="1"/>
  <c r="L19" i="8"/>
  <c r="M19" i="8"/>
  <c r="U5" i="60"/>
  <c r="Q16" i="58" s="1"/>
  <c r="T5" i="60"/>
  <c r="Q5" i="60" s="1"/>
  <c r="K18" i="8"/>
  <c r="S5" i="60"/>
  <c r="X5" i="60"/>
  <c r="P16" i="58" s="1"/>
  <c r="L18" i="8"/>
  <c r="O29" i="59"/>
  <c r="M17" i="2" s="1"/>
  <c r="L29" i="59"/>
  <c r="J29" i="59"/>
  <c r="L17" i="2" s="1"/>
  <c r="I29" i="59"/>
  <c r="C29" i="59"/>
  <c r="C17" i="2" s="1"/>
  <c r="B29" i="59"/>
  <c r="B17" i="2" s="1"/>
  <c r="F25" i="59"/>
  <c r="F29" i="59" s="1"/>
  <c r="E17" i="2" s="1"/>
  <c r="D25" i="59"/>
  <c r="D29" i="59" s="1"/>
  <c r="K17" i="2" s="1"/>
  <c r="O19" i="59"/>
  <c r="M17" i="8" s="1"/>
  <c r="L19" i="59"/>
  <c r="J19" i="59"/>
  <c r="I19" i="59"/>
  <c r="C19" i="59"/>
  <c r="C17" i="8" s="1"/>
  <c r="B19" i="59"/>
  <c r="F15" i="59"/>
  <c r="F19" i="59" s="1"/>
  <c r="E17" i="8" s="1"/>
  <c r="D15" i="59"/>
  <c r="D19" i="59" s="1"/>
  <c r="K17" i="8" s="1"/>
  <c r="O29" i="14"/>
  <c r="L29" i="14"/>
  <c r="J29" i="14"/>
  <c r="I29" i="14"/>
  <c r="C29" i="14"/>
  <c r="B29" i="14"/>
  <c r="F25" i="14"/>
  <c r="D25" i="14"/>
  <c r="O19" i="14"/>
  <c r="L19" i="14"/>
  <c r="J19" i="14"/>
  <c r="I19" i="14"/>
  <c r="C19" i="14"/>
  <c r="B19" i="14"/>
  <c r="F15" i="14"/>
  <c r="D15" i="14"/>
  <c r="D19" i="14" s="1"/>
  <c r="O29" i="13"/>
  <c r="L29" i="13"/>
  <c r="J29" i="13"/>
  <c r="I29" i="13"/>
  <c r="C29" i="13"/>
  <c r="B29" i="13"/>
  <c r="F26" i="13"/>
  <c r="D26" i="13"/>
  <c r="F25" i="13"/>
  <c r="D25" i="13"/>
  <c r="O19" i="13"/>
  <c r="L19" i="13"/>
  <c r="J19" i="13"/>
  <c r="I19" i="13"/>
  <c r="C19" i="13"/>
  <c r="B19" i="13"/>
  <c r="F16" i="13"/>
  <c r="D16" i="13"/>
  <c r="F15" i="13"/>
  <c r="D15" i="13"/>
  <c r="D19" i="13" s="1"/>
  <c r="O29" i="11"/>
  <c r="L29" i="11"/>
  <c r="J29" i="11"/>
  <c r="I29" i="11"/>
  <c r="C29" i="11"/>
  <c r="B29" i="11"/>
  <c r="F25" i="11"/>
  <c r="F29" i="11" s="1"/>
  <c r="D25" i="11"/>
  <c r="D29" i="11" s="1"/>
  <c r="O19" i="11"/>
  <c r="L19" i="11"/>
  <c r="J19" i="11"/>
  <c r="I19" i="11"/>
  <c r="C19" i="11"/>
  <c r="B19" i="11"/>
  <c r="F15" i="11"/>
  <c r="F19" i="11" s="1"/>
  <c r="D15" i="11"/>
  <c r="D19" i="11" s="1"/>
  <c r="O29" i="10"/>
  <c r="L29" i="10"/>
  <c r="J29" i="10"/>
  <c r="I29" i="10"/>
  <c r="C29" i="10"/>
  <c r="B29" i="10"/>
  <c r="F25" i="10"/>
  <c r="F29" i="10" s="1"/>
  <c r="D25" i="10"/>
  <c r="D29" i="10" s="1"/>
  <c r="O19" i="10"/>
  <c r="L19" i="10"/>
  <c r="J19" i="10"/>
  <c r="I19" i="10"/>
  <c r="C19" i="10"/>
  <c r="B19" i="10"/>
  <c r="F15" i="10"/>
  <c r="F19" i="10" s="1"/>
  <c r="D15" i="10"/>
  <c r="D19" i="10" s="1"/>
  <c r="O29" i="9"/>
  <c r="L29" i="9"/>
  <c r="J29" i="9"/>
  <c r="I29" i="9"/>
  <c r="C29" i="9"/>
  <c r="B29" i="9"/>
  <c r="F25" i="9"/>
  <c r="F29" i="9" s="1"/>
  <c r="D25" i="9"/>
  <c r="D29" i="9" s="1"/>
  <c r="O19" i="9"/>
  <c r="L19" i="9"/>
  <c r="J19" i="9"/>
  <c r="I19" i="9"/>
  <c r="C19" i="9"/>
  <c r="B19" i="9"/>
  <c r="F15" i="9"/>
  <c r="F19" i="9" s="1"/>
  <c r="D15" i="9"/>
  <c r="D19" i="9" s="1"/>
  <c r="O29" i="7"/>
  <c r="L29" i="7"/>
  <c r="J29" i="7"/>
  <c r="I29" i="7"/>
  <c r="C29" i="7"/>
  <c r="B29" i="7"/>
  <c r="F25" i="7"/>
  <c r="F29" i="7" s="1"/>
  <c r="D25" i="7"/>
  <c r="D29" i="7" s="1"/>
  <c r="O19" i="7"/>
  <c r="L19" i="7"/>
  <c r="J19" i="7"/>
  <c r="I19" i="7"/>
  <c r="C19" i="7"/>
  <c r="B19" i="7"/>
  <c r="F15" i="7"/>
  <c r="F19" i="7" s="1"/>
  <c r="D15" i="7"/>
  <c r="D19" i="7" s="1"/>
  <c r="O29" i="6"/>
  <c r="L29" i="6"/>
  <c r="J29" i="6"/>
  <c r="I29" i="6"/>
  <c r="C29" i="6"/>
  <c r="B29" i="6"/>
  <c r="F25" i="6"/>
  <c r="F29" i="6" s="1"/>
  <c r="D25" i="6"/>
  <c r="D29" i="6" s="1"/>
  <c r="O19" i="6"/>
  <c r="L19" i="6"/>
  <c r="J19" i="6"/>
  <c r="I19" i="6"/>
  <c r="C19" i="6"/>
  <c r="B19" i="6"/>
  <c r="F15" i="6"/>
  <c r="F19" i="6" s="1"/>
  <c r="D15" i="6"/>
  <c r="D19" i="6" s="1"/>
  <c r="O29" i="5"/>
  <c r="L29" i="5"/>
  <c r="J29" i="5"/>
  <c r="I29" i="5"/>
  <c r="C29" i="5"/>
  <c r="B29" i="5"/>
  <c r="F25" i="5"/>
  <c r="F29" i="5" s="1"/>
  <c r="D25" i="5"/>
  <c r="D29" i="5" s="1"/>
  <c r="O19" i="5"/>
  <c r="L19" i="5"/>
  <c r="J19" i="5"/>
  <c r="I19" i="5"/>
  <c r="C19" i="5"/>
  <c r="B19" i="5"/>
  <c r="F15" i="5"/>
  <c r="F19" i="5" s="1"/>
  <c r="D15" i="5"/>
  <c r="D19" i="5" s="1"/>
  <c r="O29" i="4"/>
  <c r="L29" i="4"/>
  <c r="J29" i="4"/>
  <c r="I29" i="4"/>
  <c r="C29" i="4"/>
  <c r="B29" i="4"/>
  <c r="F25" i="4"/>
  <c r="F29" i="4" s="1"/>
  <c r="D25" i="4"/>
  <c r="D29" i="4" s="1"/>
  <c r="O19" i="4"/>
  <c r="L19" i="4"/>
  <c r="J19" i="4"/>
  <c r="I19" i="4"/>
  <c r="C19" i="4"/>
  <c r="B19" i="4"/>
  <c r="F15" i="4"/>
  <c r="F19" i="4" s="1"/>
  <c r="D15" i="4"/>
  <c r="D19" i="4" s="1"/>
  <c r="F26" i="1"/>
  <c r="D26" i="1"/>
  <c r="T5" i="61" l="1"/>
  <c r="S5" i="61" s="1"/>
  <c r="B17" i="8"/>
  <c r="W5" i="59"/>
  <c r="L17" i="8"/>
  <c r="X5" i="59"/>
  <c r="P15" i="58" s="1"/>
  <c r="D29" i="13"/>
  <c r="F29" i="13"/>
  <c r="U5" i="59"/>
  <c r="Q15" i="58" s="1"/>
  <c r="F29" i="14"/>
  <c r="D29" i="14"/>
  <c r="F19" i="14"/>
  <c r="F19" i="13"/>
  <c r="Q5" i="61" l="1"/>
  <c r="T5" i="59"/>
  <c r="R15" i="58"/>
  <c r="M11" i="55"/>
  <c r="A11" i="55"/>
  <c r="A12" i="54"/>
  <c r="K12" i="54"/>
  <c r="L12" i="54"/>
  <c r="M12" i="54"/>
  <c r="A13" i="52"/>
  <c r="M15" i="48"/>
  <c r="A15" i="48"/>
  <c r="A17" i="46"/>
  <c r="S5" i="59" l="1"/>
  <c r="Q5" i="59"/>
  <c r="K17" i="46"/>
  <c r="L17" i="46"/>
  <c r="M17" i="46"/>
  <c r="M27" i="35"/>
  <c r="L27" i="35"/>
  <c r="K27" i="35"/>
  <c r="C27" i="35"/>
  <c r="B27" i="35"/>
  <c r="A27" i="35"/>
  <c r="L11" i="55"/>
  <c r="E11" i="55"/>
  <c r="K11" i="55"/>
  <c r="C11" i="55"/>
  <c r="B11" i="55"/>
  <c r="E12" i="54"/>
  <c r="C12" i="54"/>
  <c r="B12" i="54"/>
  <c r="M13" i="52"/>
  <c r="L13" i="52"/>
  <c r="E13" i="52"/>
  <c r="K13" i="52"/>
  <c r="C13" i="52"/>
  <c r="B13" i="52"/>
  <c r="L15" i="48"/>
  <c r="E15" i="48"/>
  <c r="K15" i="48"/>
  <c r="C15" i="48"/>
  <c r="B15" i="48"/>
  <c r="E17" i="46"/>
  <c r="C17" i="46"/>
  <c r="B17" i="46"/>
  <c r="E27" i="35"/>
  <c r="M10" i="55"/>
  <c r="A10" i="55"/>
  <c r="M11" i="54"/>
  <c r="A11" i="54"/>
  <c r="A12" i="52"/>
  <c r="M14" i="48"/>
  <c r="A14" i="48"/>
  <c r="L16" i="46"/>
  <c r="A16" i="46"/>
  <c r="M26" i="35"/>
  <c r="K26" i="35"/>
  <c r="C26" i="35"/>
  <c r="B26" i="35"/>
  <c r="A26" i="35"/>
  <c r="L10" i="55"/>
  <c r="E10" i="55"/>
  <c r="K10" i="55"/>
  <c r="C10" i="55"/>
  <c r="B10" i="55"/>
  <c r="L11" i="54"/>
  <c r="E11" i="54"/>
  <c r="K11" i="54"/>
  <c r="C11" i="54"/>
  <c r="B11" i="54"/>
  <c r="L12" i="52"/>
  <c r="E12" i="52"/>
  <c r="K12" i="52"/>
  <c r="C12" i="52"/>
  <c r="B12" i="52"/>
  <c r="L14" i="48"/>
  <c r="E14" i="48"/>
  <c r="K14" i="48"/>
  <c r="C14" i="48"/>
  <c r="B14" i="48"/>
  <c r="M16" i="46"/>
  <c r="E16" i="46"/>
  <c r="K16" i="46"/>
  <c r="C16" i="46"/>
  <c r="B16" i="46"/>
  <c r="L26" i="35"/>
  <c r="E26" i="35"/>
  <c r="M9" i="55"/>
  <c r="A9" i="55"/>
  <c r="M10" i="54"/>
  <c r="A10" i="54"/>
  <c r="A11" i="52"/>
  <c r="M13" i="48"/>
  <c r="A13" i="48"/>
  <c r="A15" i="46"/>
  <c r="M25" i="35"/>
  <c r="K25" i="35"/>
  <c r="C25" i="35"/>
  <c r="B25" i="35"/>
  <c r="A25" i="35"/>
  <c r="L9" i="55"/>
  <c r="E9" i="55"/>
  <c r="K9" i="55"/>
  <c r="C9" i="55"/>
  <c r="B9" i="55"/>
  <c r="L10" i="54"/>
  <c r="E10" i="54"/>
  <c r="K10" i="54"/>
  <c r="C10" i="54"/>
  <c r="B10" i="54"/>
  <c r="M11" i="52"/>
  <c r="L11" i="52"/>
  <c r="E11" i="52"/>
  <c r="K11" i="52"/>
  <c r="C11" i="52"/>
  <c r="B11" i="52"/>
  <c r="L13" i="48"/>
  <c r="E13" i="48"/>
  <c r="K13" i="48"/>
  <c r="C13" i="48"/>
  <c r="B13" i="48"/>
  <c r="M15" i="46"/>
  <c r="L15" i="46"/>
  <c r="E15" i="46"/>
  <c r="K15" i="46"/>
  <c r="C15" i="46"/>
  <c r="B15" i="46"/>
  <c r="L25" i="35"/>
  <c r="E25" i="35"/>
  <c r="M8" i="55"/>
  <c r="A8" i="55"/>
  <c r="M9" i="54"/>
  <c r="A9" i="54"/>
  <c r="A10" i="52"/>
  <c r="M12" i="48"/>
  <c r="A12" i="48"/>
  <c r="A14" i="46"/>
  <c r="M24" i="35"/>
  <c r="K24" i="35"/>
  <c r="C24" i="35"/>
  <c r="B24" i="35"/>
  <c r="A24" i="35"/>
  <c r="L8" i="55"/>
  <c r="E8" i="55"/>
  <c r="K8" i="55"/>
  <c r="C8" i="55"/>
  <c r="B8" i="55"/>
  <c r="L9" i="54"/>
  <c r="E9" i="54"/>
  <c r="K9" i="54"/>
  <c r="C9" i="54"/>
  <c r="B9" i="54"/>
  <c r="M10" i="52"/>
  <c r="L10" i="52"/>
  <c r="E10" i="52"/>
  <c r="K10" i="52"/>
  <c r="C10" i="52"/>
  <c r="B10" i="52"/>
  <c r="L12" i="48"/>
  <c r="E12" i="48"/>
  <c r="K12" i="48"/>
  <c r="C12" i="48"/>
  <c r="B12" i="48"/>
  <c r="M14" i="46"/>
  <c r="L14" i="46"/>
  <c r="E14" i="46"/>
  <c r="K14" i="46"/>
  <c r="C14" i="46"/>
  <c r="B14" i="46"/>
  <c r="L24" i="35"/>
  <c r="E24" i="35"/>
  <c r="M7" i="55"/>
  <c r="A7" i="55"/>
  <c r="M8" i="54"/>
  <c r="A8" i="54"/>
  <c r="B9" i="52"/>
  <c r="A9" i="52"/>
  <c r="M11" i="48"/>
  <c r="A11" i="48"/>
  <c r="A13" i="46"/>
  <c r="M23" i="35"/>
  <c r="K23" i="35"/>
  <c r="C23" i="35"/>
  <c r="B23" i="35"/>
  <c r="A23" i="35"/>
  <c r="L7" i="55"/>
  <c r="E7" i="55"/>
  <c r="K7" i="55"/>
  <c r="C7" i="55"/>
  <c r="B7" i="55"/>
  <c r="L8" i="54"/>
  <c r="E8" i="54"/>
  <c r="K8" i="54"/>
  <c r="C8" i="54"/>
  <c r="B8" i="54"/>
  <c r="M9" i="52"/>
  <c r="E9" i="52"/>
  <c r="K9" i="52"/>
  <c r="C9" i="52"/>
  <c r="L11" i="48"/>
  <c r="E11" i="48"/>
  <c r="K11" i="48"/>
  <c r="C11" i="48"/>
  <c r="B11" i="48"/>
  <c r="M13" i="46"/>
  <c r="L13" i="46"/>
  <c r="E13" i="46"/>
  <c r="K13" i="46"/>
  <c r="C13" i="46"/>
  <c r="B13" i="46"/>
  <c r="L23" i="35"/>
  <c r="E23" i="35"/>
  <c r="M6" i="55"/>
  <c r="A6" i="55"/>
  <c r="M7" i="54"/>
  <c r="A7" i="54"/>
  <c r="A8" i="52"/>
  <c r="M10" i="48"/>
  <c r="A10" i="48"/>
  <c r="A12" i="46"/>
  <c r="M22" i="35"/>
  <c r="K22" i="35"/>
  <c r="C22" i="35"/>
  <c r="B22" i="35"/>
  <c r="A22" i="35"/>
  <c r="L6" i="55"/>
  <c r="K6" i="55"/>
  <c r="C6" i="55"/>
  <c r="B6" i="55"/>
  <c r="E6" i="55"/>
  <c r="L7" i="54"/>
  <c r="E7" i="54"/>
  <c r="K7" i="54"/>
  <c r="C7" i="54"/>
  <c r="B7" i="54"/>
  <c r="M8" i="52"/>
  <c r="L8" i="52"/>
  <c r="E8" i="52"/>
  <c r="K8" i="52"/>
  <c r="C8" i="52"/>
  <c r="B8" i="52"/>
  <c r="L10" i="48"/>
  <c r="E10" i="48"/>
  <c r="K10" i="48"/>
  <c r="C10" i="48"/>
  <c r="B10" i="48"/>
  <c r="M12" i="46"/>
  <c r="L12" i="46"/>
  <c r="E12" i="46"/>
  <c r="K12" i="46"/>
  <c r="C12" i="46"/>
  <c r="B12" i="46"/>
  <c r="L22" i="35"/>
  <c r="E22" i="35"/>
  <c r="A5" i="55"/>
  <c r="A6" i="54"/>
  <c r="A7" i="52"/>
  <c r="A9" i="48"/>
  <c r="A11" i="46"/>
  <c r="K21" i="35"/>
  <c r="C21" i="35"/>
  <c r="B21" i="35"/>
  <c r="A21" i="35"/>
  <c r="E5" i="55"/>
  <c r="M5" i="55"/>
  <c r="L5" i="55"/>
  <c r="K5" i="55"/>
  <c r="C5" i="55"/>
  <c r="B5" i="55"/>
  <c r="M6" i="54"/>
  <c r="L6" i="54"/>
  <c r="K6" i="54"/>
  <c r="C6" i="54"/>
  <c r="B6" i="54"/>
  <c r="E6" i="54"/>
  <c r="M7" i="52"/>
  <c r="L7" i="52"/>
  <c r="E7" i="52"/>
  <c r="K7" i="52"/>
  <c r="C7" i="52"/>
  <c r="B7" i="52"/>
  <c r="M9" i="48"/>
  <c r="L9" i="48"/>
  <c r="E9" i="48"/>
  <c r="K9" i="48"/>
  <c r="C9" i="48"/>
  <c r="B9" i="48"/>
  <c r="M11" i="46"/>
  <c r="L11" i="46"/>
  <c r="E11" i="46"/>
  <c r="K11" i="46"/>
  <c r="C11" i="46"/>
  <c r="B11" i="46"/>
  <c r="M21" i="35"/>
  <c r="L21" i="35"/>
  <c r="E21" i="35"/>
  <c r="A5" i="54"/>
  <c r="A6" i="52"/>
  <c r="B8" i="48"/>
  <c r="A8" i="48"/>
  <c r="A10" i="46"/>
  <c r="K20" i="35"/>
  <c r="C20" i="35"/>
  <c r="B20" i="35"/>
  <c r="A20" i="35"/>
  <c r="E5" i="54"/>
  <c r="M5" i="54"/>
  <c r="L5" i="54"/>
  <c r="K5" i="54"/>
  <c r="C5" i="54"/>
  <c r="B5" i="54"/>
  <c r="M6" i="52"/>
  <c r="L6" i="52"/>
  <c r="K6" i="52"/>
  <c r="C6" i="52"/>
  <c r="B6" i="52"/>
  <c r="E6" i="52"/>
  <c r="M8" i="48"/>
  <c r="L8" i="48"/>
  <c r="E8" i="48"/>
  <c r="K8" i="48"/>
  <c r="C8" i="48"/>
  <c r="M10" i="46"/>
  <c r="L10" i="46"/>
  <c r="E10" i="46"/>
  <c r="K10" i="46"/>
  <c r="C10" i="46"/>
  <c r="B10" i="46"/>
  <c r="M20" i="35"/>
  <c r="L20" i="35"/>
  <c r="E20" i="35"/>
  <c r="A5" i="52"/>
  <c r="E7" i="48"/>
  <c r="A7" i="48"/>
  <c r="B9" i="46"/>
  <c r="A9" i="46"/>
  <c r="K19" i="35"/>
  <c r="C19" i="35"/>
  <c r="B19" i="35"/>
  <c r="A19" i="35"/>
  <c r="M5" i="52"/>
  <c r="L5" i="52"/>
  <c r="E5" i="52"/>
  <c r="K5" i="52"/>
  <c r="C5" i="52"/>
  <c r="B5" i="52"/>
  <c r="M7" i="48"/>
  <c r="L7" i="48"/>
  <c r="K7" i="48"/>
  <c r="C7" i="48"/>
  <c r="B7" i="48"/>
  <c r="M9" i="46"/>
  <c r="L9" i="46"/>
  <c r="E9" i="46"/>
  <c r="K9" i="46"/>
  <c r="C9" i="46"/>
  <c r="M19" i="35"/>
  <c r="L19" i="35"/>
  <c r="E19" i="35"/>
  <c r="A6" i="48"/>
  <c r="A8" i="46"/>
  <c r="K18" i="35"/>
  <c r="C18" i="35"/>
  <c r="B18" i="35"/>
  <c r="A18" i="35"/>
  <c r="M6" i="48"/>
  <c r="L6" i="48"/>
  <c r="K6" i="48"/>
  <c r="C6" i="48"/>
  <c r="B6" i="48"/>
  <c r="E6" i="48"/>
  <c r="M8" i="46"/>
  <c r="E8" i="46"/>
  <c r="K8" i="46"/>
  <c r="C8" i="46"/>
  <c r="B8" i="46"/>
  <c r="M18" i="35"/>
  <c r="L18" i="35"/>
  <c r="M5" i="48"/>
  <c r="A5" i="48"/>
  <c r="A7" i="46"/>
  <c r="K17" i="35"/>
  <c r="C17" i="35"/>
  <c r="B17" i="35"/>
  <c r="A17" i="35"/>
  <c r="E5" i="48"/>
  <c r="L5" i="48"/>
  <c r="K5" i="48"/>
  <c r="C5" i="48"/>
  <c r="B5" i="48"/>
  <c r="M7" i="46"/>
  <c r="L7" i="46"/>
  <c r="E7" i="46"/>
  <c r="K7" i="46"/>
  <c r="C7" i="46"/>
  <c r="B7" i="46"/>
  <c r="M17" i="35"/>
  <c r="L17" i="35"/>
  <c r="E17" i="35"/>
  <c r="A6" i="46"/>
  <c r="K16" i="35"/>
  <c r="C16" i="35"/>
  <c r="B16" i="35"/>
  <c r="A16" i="35"/>
  <c r="M6" i="46"/>
  <c r="L6" i="46"/>
  <c r="K6" i="46"/>
  <c r="C6" i="46"/>
  <c r="B6" i="46"/>
  <c r="E6" i="46"/>
  <c r="M16" i="35"/>
  <c r="L16" i="35"/>
  <c r="E16" i="35"/>
  <c r="L8" i="46" l="1"/>
  <c r="M12" i="52"/>
  <c r="W5" i="52" s="1"/>
  <c r="L9" i="52"/>
  <c r="W5" i="55"/>
  <c r="V5" i="52"/>
  <c r="U5" i="54"/>
  <c r="V5" i="54"/>
  <c r="U5" i="55"/>
  <c r="V5" i="55"/>
  <c r="W5" i="54"/>
  <c r="U5" i="52"/>
  <c r="U5" i="48"/>
  <c r="V5" i="48"/>
  <c r="W5" i="48"/>
  <c r="C5" i="46"/>
  <c r="A5" i="46"/>
  <c r="K15" i="35"/>
  <c r="C15" i="35"/>
  <c r="B15" i="35"/>
  <c r="A15" i="35"/>
  <c r="M5" i="46"/>
  <c r="W5" i="46" s="1"/>
  <c r="K5" i="46"/>
  <c r="B5" i="46"/>
  <c r="E5" i="46"/>
  <c r="M15" i="35"/>
  <c r="L15" i="35"/>
  <c r="E15" i="35"/>
  <c r="M14" i="35"/>
  <c r="K14" i="35"/>
  <c r="E14" i="35"/>
  <c r="C14" i="35"/>
  <c r="B14" i="35"/>
  <c r="A14" i="35"/>
  <c r="L14" i="35"/>
  <c r="L13" i="35"/>
  <c r="K13" i="35"/>
  <c r="C13" i="35"/>
  <c r="B13" i="35"/>
  <c r="A13" i="35"/>
  <c r="M13" i="35"/>
  <c r="E13" i="35"/>
  <c r="K12" i="35"/>
  <c r="C12" i="35"/>
  <c r="B12" i="35"/>
  <c r="A12" i="35"/>
  <c r="M12" i="35"/>
  <c r="L12" i="35"/>
  <c r="E12" i="35"/>
  <c r="L11" i="35"/>
  <c r="K11" i="35"/>
  <c r="C11" i="35"/>
  <c r="B11" i="35"/>
  <c r="A11" i="35"/>
  <c r="M11" i="35"/>
  <c r="E11" i="35"/>
  <c r="M10" i="35"/>
  <c r="K10" i="35"/>
  <c r="E10" i="35"/>
  <c r="C10" i="35"/>
  <c r="B10" i="35"/>
  <c r="A10" i="35"/>
  <c r="L10" i="35"/>
  <c r="K9" i="35"/>
  <c r="A9" i="35"/>
  <c r="M9" i="35"/>
  <c r="L9" i="35"/>
  <c r="C9" i="35"/>
  <c r="B9" i="35"/>
  <c r="E9" i="35"/>
  <c r="K8" i="35"/>
  <c r="C8" i="35"/>
  <c r="B8" i="35"/>
  <c r="A8" i="35"/>
  <c r="L8" i="35"/>
  <c r="E8" i="35"/>
  <c r="K7" i="35"/>
  <c r="C7" i="35"/>
  <c r="B7" i="35"/>
  <c r="A7" i="35"/>
  <c r="M7" i="35"/>
  <c r="L7" i="35"/>
  <c r="E7" i="35"/>
  <c r="K6" i="35"/>
  <c r="C6" i="35"/>
  <c r="B6" i="35"/>
  <c r="A6" i="35"/>
  <c r="M6" i="35"/>
  <c r="L6" i="35"/>
  <c r="E6" i="35"/>
  <c r="K5" i="35"/>
  <c r="A5" i="35"/>
  <c r="C5" i="35"/>
  <c r="B5" i="35"/>
  <c r="M5" i="35"/>
  <c r="L5" i="35"/>
  <c r="E5" i="35"/>
  <c r="M8" i="35" l="1"/>
  <c r="W5" i="35" s="1"/>
  <c r="L5" i="46"/>
  <c r="V5" i="46" s="1"/>
  <c r="U5" i="46"/>
  <c r="U5" i="35"/>
  <c r="V5" i="35"/>
  <c r="S14" i="58"/>
  <c r="C14" i="58"/>
  <c r="A14" i="58"/>
  <c r="A16" i="2"/>
  <c r="M16" i="2"/>
  <c r="L16" i="2"/>
  <c r="E16" i="2"/>
  <c r="K16" i="2"/>
  <c r="C16" i="2"/>
  <c r="B16" i="2"/>
  <c r="L16" i="8"/>
  <c r="C16" i="8"/>
  <c r="B16" i="8"/>
  <c r="W5" i="14"/>
  <c r="R14" i="58" s="1"/>
  <c r="E16" i="8"/>
  <c r="S13" i="58"/>
  <c r="C13" i="58"/>
  <c r="A13" i="58"/>
  <c r="A15" i="2"/>
  <c r="M15" i="2"/>
  <c r="L15" i="2"/>
  <c r="E15" i="2"/>
  <c r="K15" i="2"/>
  <c r="C15" i="2"/>
  <c r="B15" i="2"/>
  <c r="X5" i="13"/>
  <c r="P13" i="58" s="1"/>
  <c r="L15" i="8"/>
  <c r="C15" i="8"/>
  <c r="B15" i="8"/>
  <c r="W5" i="13"/>
  <c r="R13" i="58" s="1"/>
  <c r="E15" i="8"/>
  <c r="X5" i="14" l="1"/>
  <c r="P14" i="58" s="1"/>
  <c r="M16" i="8"/>
  <c r="M15" i="8"/>
  <c r="U5" i="13"/>
  <c r="Q13" i="58" s="1"/>
  <c r="U5" i="14"/>
  <c r="Q14" i="58" s="1"/>
  <c r="K15" i="8"/>
  <c r="T5" i="14"/>
  <c r="S5" i="14" s="1"/>
  <c r="K16" i="8"/>
  <c r="T5" i="13"/>
  <c r="S5" i="13" s="1"/>
  <c r="S12" i="58"/>
  <c r="C12" i="58"/>
  <c r="A12" i="58"/>
  <c r="A14" i="2"/>
  <c r="O29" i="12"/>
  <c r="M14" i="2" s="1"/>
  <c r="L29" i="12"/>
  <c r="J29" i="12"/>
  <c r="L14" i="2" s="1"/>
  <c r="I29" i="12"/>
  <c r="F29" i="12"/>
  <c r="E14" i="2" s="1"/>
  <c r="D29" i="12"/>
  <c r="K14" i="2" s="1"/>
  <c r="C29" i="12"/>
  <c r="C14" i="2" s="1"/>
  <c r="B29" i="12"/>
  <c r="B14" i="2" s="1"/>
  <c r="O19" i="12"/>
  <c r="M14" i="8" s="1"/>
  <c r="L19" i="12"/>
  <c r="J19" i="12"/>
  <c r="W5" i="12" s="1"/>
  <c r="I19" i="12"/>
  <c r="C19" i="12"/>
  <c r="C14" i="8" s="1"/>
  <c r="B19" i="12"/>
  <c r="B14" i="8" s="1"/>
  <c r="F19" i="12"/>
  <c r="E14" i="8" s="1"/>
  <c r="D19" i="12"/>
  <c r="S11" i="58"/>
  <c r="C11" i="58"/>
  <c r="A11" i="58"/>
  <c r="A13" i="2"/>
  <c r="M13" i="2"/>
  <c r="L13" i="2"/>
  <c r="E13" i="2"/>
  <c r="K13" i="2"/>
  <c r="C13" i="2"/>
  <c r="B13" i="2"/>
  <c r="M13" i="8"/>
  <c r="L13" i="8"/>
  <c r="C13" i="8"/>
  <c r="B13" i="8"/>
  <c r="E13" i="8"/>
  <c r="K13" i="8"/>
  <c r="S10" i="58"/>
  <c r="C10" i="58"/>
  <c r="A10" i="58"/>
  <c r="A12" i="2"/>
  <c r="M12" i="2"/>
  <c r="L12" i="2"/>
  <c r="C12" i="2"/>
  <c r="B12" i="2"/>
  <c r="E12" i="2"/>
  <c r="K12" i="2"/>
  <c r="M12" i="8"/>
  <c r="L12" i="8"/>
  <c r="C12" i="8"/>
  <c r="B12" i="8"/>
  <c r="S9" i="58"/>
  <c r="C9" i="58"/>
  <c r="M11" i="2"/>
  <c r="L11" i="2"/>
  <c r="C11" i="2"/>
  <c r="B11" i="2"/>
  <c r="E11" i="2"/>
  <c r="K11" i="2"/>
  <c r="M11" i="8"/>
  <c r="L11" i="8"/>
  <c r="C11" i="8"/>
  <c r="B11" i="8"/>
  <c r="S8" i="58"/>
  <c r="C8" i="58"/>
  <c r="A10" i="8"/>
  <c r="M10" i="2"/>
  <c r="L10" i="2"/>
  <c r="C10" i="2"/>
  <c r="B10" i="2"/>
  <c r="M10" i="8"/>
  <c r="L10" i="8"/>
  <c r="C10" i="8"/>
  <c r="B10" i="8"/>
  <c r="E10" i="8"/>
  <c r="S7" i="58"/>
  <c r="C7" i="58"/>
  <c r="A9" i="8"/>
  <c r="M9" i="2"/>
  <c r="L9" i="2"/>
  <c r="C9" i="2"/>
  <c r="B9" i="2"/>
  <c r="L9" i="8"/>
  <c r="C9" i="8"/>
  <c r="B9" i="8"/>
  <c r="E9" i="8"/>
  <c r="S6" i="58"/>
  <c r="C6" i="58"/>
  <c r="A8" i="8"/>
  <c r="M8" i="2"/>
  <c r="L8" i="2"/>
  <c r="C8" i="2"/>
  <c r="B8" i="2"/>
  <c r="M8" i="8"/>
  <c r="C8" i="8"/>
  <c r="B8" i="8"/>
  <c r="E8" i="8"/>
  <c r="S5" i="58"/>
  <c r="C5" i="58"/>
  <c r="S4" i="58"/>
  <c r="W5" i="10" l="1"/>
  <c r="W5" i="7"/>
  <c r="R8" i="58" s="1"/>
  <c r="K12" i="8"/>
  <c r="W5" i="5"/>
  <c r="R6" i="58" s="1"/>
  <c r="X5" i="6"/>
  <c r="P7" i="58" s="1"/>
  <c r="W5" i="9"/>
  <c r="R9" i="58" s="1"/>
  <c r="U5" i="11"/>
  <c r="Q11" i="58" s="1"/>
  <c r="X5" i="12"/>
  <c r="P12" i="58" s="1"/>
  <c r="U5" i="12"/>
  <c r="Q12" i="58" s="1"/>
  <c r="K14" i="8"/>
  <c r="T5" i="12"/>
  <c r="S5" i="12" s="1"/>
  <c r="R12" i="58"/>
  <c r="K8" i="8"/>
  <c r="X5" i="5"/>
  <c r="P6" i="58" s="1"/>
  <c r="W5" i="6"/>
  <c r="X5" i="7"/>
  <c r="P8" i="58" s="1"/>
  <c r="U5" i="10"/>
  <c r="Q10" i="58" s="1"/>
  <c r="W5" i="11"/>
  <c r="R11" i="58" s="1"/>
  <c r="Q5" i="13"/>
  <c r="L8" i="8"/>
  <c r="K9" i="8"/>
  <c r="K10" i="8"/>
  <c r="X5" i="9"/>
  <c r="P9" i="58" s="1"/>
  <c r="X5" i="10"/>
  <c r="P10" i="58" s="1"/>
  <c r="X5" i="11"/>
  <c r="P11" i="58" s="1"/>
  <c r="L14" i="8"/>
  <c r="M9" i="8"/>
  <c r="T5" i="10"/>
  <c r="S5" i="10" s="1"/>
  <c r="R10" i="58"/>
  <c r="Q5" i="14"/>
  <c r="E10" i="2"/>
  <c r="E12" i="8"/>
  <c r="E11" i="8"/>
  <c r="K10" i="2"/>
  <c r="K9" i="2"/>
  <c r="E9" i="2"/>
  <c r="K8" i="2"/>
  <c r="E8" i="2"/>
  <c r="C4" i="58"/>
  <c r="A7" i="8"/>
  <c r="M7" i="2"/>
  <c r="L7" i="2"/>
  <c r="C7" i="2"/>
  <c r="B7" i="2"/>
  <c r="M7" i="8"/>
  <c r="W5" i="4"/>
  <c r="R5" i="58" s="1"/>
  <c r="C7" i="8"/>
  <c r="B7" i="8"/>
  <c r="E7" i="8"/>
  <c r="K7" i="8"/>
  <c r="A6" i="8"/>
  <c r="O29" i="3"/>
  <c r="M6" i="2" s="1"/>
  <c r="L29" i="3"/>
  <c r="J29" i="3"/>
  <c r="L6" i="2" s="1"/>
  <c r="I29" i="3"/>
  <c r="C29" i="3"/>
  <c r="C6" i="2" s="1"/>
  <c r="B29" i="3"/>
  <c r="B6" i="2" s="1"/>
  <c r="F25" i="3"/>
  <c r="D25" i="3"/>
  <c r="O19" i="3"/>
  <c r="M6" i="8" s="1"/>
  <c r="L19" i="3"/>
  <c r="J19" i="3"/>
  <c r="I19" i="3"/>
  <c r="C19" i="3"/>
  <c r="C6" i="8" s="1"/>
  <c r="B19" i="3"/>
  <c r="B6" i="8" s="1"/>
  <c r="F15" i="3"/>
  <c r="F19" i="3" s="1"/>
  <c r="E6" i="8" s="1"/>
  <c r="D15" i="3"/>
  <c r="D19" i="3" s="1"/>
  <c r="K6" i="8" s="1"/>
  <c r="S3" i="58"/>
  <c r="C3" i="58"/>
  <c r="A5" i="8"/>
  <c r="D16" i="1"/>
  <c r="F16" i="1"/>
  <c r="F15" i="1"/>
  <c r="O29" i="1"/>
  <c r="M5" i="2" s="1"/>
  <c r="L29" i="1"/>
  <c r="J29" i="1"/>
  <c r="L5" i="2" s="1"/>
  <c r="I29" i="1"/>
  <c r="C29" i="1"/>
  <c r="C5" i="2" s="1"/>
  <c r="D5" i="2" s="1"/>
  <c r="B29" i="1"/>
  <c r="B5" i="2" s="1"/>
  <c r="F25" i="1"/>
  <c r="F29" i="1" s="1"/>
  <c r="E5" i="2" s="1"/>
  <c r="F5" i="2" s="1"/>
  <c r="D25" i="1"/>
  <c r="D29" i="1" s="1"/>
  <c r="K5" i="2" s="1"/>
  <c r="O19" i="1"/>
  <c r="L19" i="1"/>
  <c r="J19" i="1"/>
  <c r="I19" i="1"/>
  <c r="C19" i="1"/>
  <c r="C5" i="8" s="1"/>
  <c r="D5" i="8" s="1"/>
  <c r="B19" i="1"/>
  <c r="B5" i="8" s="1"/>
  <c r="D15" i="1"/>
  <c r="W5" i="3" l="1"/>
  <c r="R4" i="58" s="1"/>
  <c r="W5" i="1"/>
  <c r="R3" i="58" s="1"/>
  <c r="X5" i="1"/>
  <c r="P3" i="58" s="1"/>
  <c r="D19" i="1"/>
  <c r="U5" i="1" s="1"/>
  <c r="Q3" i="58" s="1"/>
  <c r="Q5" i="12"/>
  <c r="T5" i="4"/>
  <c r="U5" i="6"/>
  <c r="Q7" i="58" s="1"/>
  <c r="L6" i="8"/>
  <c r="L5" i="8"/>
  <c r="T5" i="5"/>
  <c r="T5" i="9"/>
  <c r="T5" i="3"/>
  <c r="S5" i="3" s="1"/>
  <c r="Q5" i="10"/>
  <c r="T5" i="7"/>
  <c r="H5" i="2"/>
  <c r="I5" i="2" s="1"/>
  <c r="D6" i="2"/>
  <c r="D7" i="2" s="1"/>
  <c r="M5" i="8"/>
  <c r="X5" i="8" s="1"/>
  <c r="X5" i="3"/>
  <c r="P4" i="58" s="1"/>
  <c r="L7" i="8"/>
  <c r="K11" i="8"/>
  <c r="U5" i="9"/>
  <c r="Q9" i="58" s="1"/>
  <c r="U5" i="7"/>
  <c r="Q8" i="58" s="1"/>
  <c r="X5" i="4"/>
  <c r="P5" i="58" s="1"/>
  <c r="T5" i="6"/>
  <c r="R7" i="58"/>
  <c r="K5" i="8"/>
  <c r="K7" i="2"/>
  <c r="U5" i="5"/>
  <c r="Q6" i="58" s="1"/>
  <c r="T5" i="11"/>
  <c r="W5" i="2"/>
  <c r="X5" i="2"/>
  <c r="S5" i="4"/>
  <c r="Q5" i="4"/>
  <c r="E7" i="2"/>
  <c r="F29" i="3"/>
  <c r="E6" i="2" s="1"/>
  <c r="F6" i="2" s="1"/>
  <c r="D29" i="3"/>
  <c r="F19" i="1"/>
  <c r="E5" i="8" s="1"/>
  <c r="W5" i="8" l="1"/>
  <c r="T5" i="1"/>
  <c r="V5" i="8"/>
  <c r="Q5" i="3"/>
  <c r="S5" i="7"/>
  <c r="Q5" i="7"/>
  <c r="S5" i="9"/>
  <c r="Q5" i="9"/>
  <c r="U5" i="4"/>
  <c r="Q5" i="58" s="1"/>
  <c r="S5" i="5"/>
  <c r="Q5" i="5"/>
  <c r="F7" i="2"/>
  <c r="H6" i="2"/>
  <c r="S5" i="11"/>
  <c r="Q5" i="11"/>
  <c r="K6" i="2"/>
  <c r="V5" i="2" s="1"/>
  <c r="U5" i="3"/>
  <c r="Q4" i="58" s="1"/>
  <c r="S5" i="6"/>
  <c r="Q5" i="6"/>
  <c r="J5" i="2"/>
  <c r="Q5" i="1" l="1"/>
  <c r="B3" i="58" s="1"/>
  <c r="B4" i="58" s="1"/>
  <c r="B5" i="58" s="1"/>
  <c r="B6" i="58" s="1"/>
  <c r="B7" i="58" s="1"/>
  <c r="B8" i="58" s="1"/>
  <c r="B9" i="58" s="1"/>
  <c r="B10" i="58" s="1"/>
  <c r="B11" i="58" s="1"/>
  <c r="B12" i="58" s="1"/>
  <c r="B13" i="58" s="1"/>
  <c r="B14" i="58" s="1"/>
  <c r="B15" i="58" s="1"/>
  <c r="B16" i="58" s="1"/>
  <c r="B17" i="58" s="1"/>
  <c r="S5" i="1"/>
  <c r="D3" i="58" s="1"/>
  <c r="D4" i="58" s="1"/>
  <c r="D5" i="58" s="1"/>
  <c r="D6" i="58" s="1"/>
  <c r="D7" i="58" s="1"/>
  <c r="D8" i="58" s="1"/>
  <c r="D9" i="58" s="1"/>
  <c r="D10" i="58" s="1"/>
  <c r="D11" i="58" s="1"/>
  <c r="D12" i="58" s="1"/>
  <c r="D13" i="58" s="1"/>
  <c r="D14" i="58" s="1"/>
  <c r="D15" i="58" s="1"/>
  <c r="D16" i="58" s="1"/>
  <c r="D17" i="58" s="1"/>
  <c r="F4" i="58"/>
  <c r="J6" i="2"/>
  <c r="I6" i="2"/>
  <c r="F8" i="2"/>
  <c r="H7" i="2"/>
  <c r="F5" i="58" l="1"/>
  <c r="I7" i="2"/>
  <c r="J7" i="2"/>
  <c r="F9" i="2"/>
  <c r="H8" i="2"/>
  <c r="H9" i="2" l="1"/>
  <c r="F10" i="2"/>
  <c r="H10" i="2" l="1"/>
  <c r="F11" i="2"/>
  <c r="H11" i="2" l="1"/>
  <c r="F12" i="2"/>
  <c r="H12" i="2" l="1"/>
  <c r="F13" i="2"/>
  <c r="F14" i="2" l="1"/>
  <c r="H13" i="2"/>
  <c r="F15" i="2" l="1"/>
  <c r="H15" i="2" s="1"/>
  <c r="H14" i="2"/>
  <c r="F16" i="2" l="1"/>
  <c r="H16" i="2" l="1"/>
  <c r="F17" i="2"/>
  <c r="P5" i="55"/>
  <c r="Q5" i="55"/>
  <c r="H17" i="2" l="1"/>
  <c r="F18" i="2"/>
  <c r="T5" i="55"/>
  <c r="S5" i="55"/>
  <c r="H18" i="2" l="1"/>
  <c r="F19" i="2"/>
  <c r="F15" i="58"/>
  <c r="Z5" i="35"/>
  <c r="H19" i="2" l="1"/>
  <c r="F17" i="58" s="1"/>
  <c r="F20" i="2"/>
  <c r="H20" i="2" s="1"/>
  <c r="AG69" i="2" s="1" a="1"/>
  <c r="AG69" i="2" s="1"/>
  <c r="U5" i="2" s="1"/>
  <c r="F16" i="58"/>
  <c r="AA5" i="35"/>
  <c r="D5" i="35"/>
  <c r="F18" i="58" l="1"/>
  <c r="AA6" i="35"/>
  <c r="AA7" i="35" l="1"/>
  <c r="F5" i="55"/>
  <c r="P5" i="54"/>
  <c r="Q5" i="54"/>
  <c r="Q5" i="48"/>
  <c r="D5" i="54"/>
  <c r="F5" i="54"/>
  <c r="P5" i="52"/>
  <c r="Q5" i="52"/>
  <c r="D5" i="52"/>
  <c r="F5" i="52"/>
  <c r="H5" i="52" s="1"/>
  <c r="P5" i="48"/>
  <c r="E18" i="35"/>
  <c r="F5" i="48"/>
  <c r="D5" i="48"/>
  <c r="J5" i="52" l="1"/>
  <c r="I5" i="52"/>
  <c r="S5" i="54"/>
  <c r="T5" i="54"/>
  <c r="D6" i="54"/>
  <c r="D7" i="54" s="1"/>
  <c r="D8" i="54" s="1"/>
  <c r="D9" i="54" s="1"/>
  <c r="D10" i="54" s="1"/>
  <c r="D11" i="54" s="1"/>
  <c r="D12" i="54" s="1"/>
  <c r="T5" i="52"/>
  <c r="S5" i="52"/>
  <c r="T5" i="48"/>
  <c r="S5" i="48"/>
  <c r="F5" i="46"/>
  <c r="F6" i="46" s="1"/>
  <c r="Q5" i="46"/>
  <c r="P5" i="46"/>
  <c r="D5" i="55"/>
  <c r="D6" i="55" s="1"/>
  <c r="D7" i="55" s="1"/>
  <c r="D8" i="55" s="1"/>
  <c r="D9" i="55" s="1"/>
  <c r="D10" i="55" s="1"/>
  <c r="D11" i="55" s="1"/>
  <c r="D6" i="48"/>
  <c r="D7" i="48" s="1"/>
  <c r="D8" i="48" s="1"/>
  <c r="D5" i="46"/>
  <c r="D6" i="46" s="1"/>
  <c r="D7" i="46" s="1"/>
  <c r="D8" i="46" s="1"/>
  <c r="D9" i="46" s="1"/>
  <c r="D10" i="46" s="1"/>
  <c r="D11" i="46" s="1"/>
  <c r="D12" i="46" s="1"/>
  <c r="D13" i="46" s="1"/>
  <c r="D14" i="46" s="1"/>
  <c r="D15" i="46" s="1"/>
  <c r="D16" i="46" s="1"/>
  <c r="D17" i="46" s="1"/>
  <c r="F6" i="52"/>
  <c r="H6" i="52" s="1"/>
  <c r="D6" i="35"/>
  <c r="D7" i="35" s="1"/>
  <c r="D8" i="35" s="1"/>
  <c r="Z9" i="35"/>
  <c r="H5" i="48"/>
  <c r="F6" i="48"/>
  <c r="D6" i="52"/>
  <c r="D7" i="52" s="1"/>
  <c r="D8" i="52" s="1"/>
  <c r="D9" i="52" s="1"/>
  <c r="D10" i="52" s="1"/>
  <c r="D11" i="52" s="1"/>
  <c r="D12" i="52" s="1"/>
  <c r="D13" i="52" s="1"/>
  <c r="H5" i="54"/>
  <c r="F6" i="54"/>
  <c r="F6" i="55"/>
  <c r="H5" i="55"/>
  <c r="AA8" i="35"/>
  <c r="P5" i="2"/>
  <c r="D8" i="2"/>
  <c r="F3" i="58"/>
  <c r="T5" i="2" l="1"/>
  <c r="S5" i="2"/>
  <c r="I6" i="52"/>
  <c r="J6" i="52"/>
  <c r="I5" i="48"/>
  <c r="J5" i="48"/>
  <c r="I5" i="54"/>
  <c r="J5" i="54"/>
  <c r="J5" i="55"/>
  <c r="I5" i="55"/>
  <c r="D9" i="48"/>
  <c r="H5" i="46"/>
  <c r="T5" i="46"/>
  <c r="S5" i="46"/>
  <c r="F5" i="35"/>
  <c r="Q5" i="35"/>
  <c r="P5" i="35"/>
  <c r="I8" i="2"/>
  <c r="J8" i="2"/>
  <c r="D9" i="35"/>
  <c r="D10" i="35" s="1"/>
  <c r="D11" i="35" s="1"/>
  <c r="D9" i="2"/>
  <c r="F7" i="52"/>
  <c r="H7" i="52" s="1"/>
  <c r="P5" i="8"/>
  <c r="H5" i="35"/>
  <c r="F6" i="35"/>
  <c r="F7" i="55"/>
  <c r="H6" i="55"/>
  <c r="I6" i="55" s="1"/>
  <c r="F7" i="48"/>
  <c r="H6" i="48"/>
  <c r="H6" i="54"/>
  <c r="F7" i="54"/>
  <c r="AA9" i="35"/>
  <c r="Q5" i="8"/>
  <c r="T5" i="8" l="1"/>
  <c r="S5" i="8"/>
  <c r="J5" i="35"/>
  <c r="I5" i="35"/>
  <c r="I5" i="46"/>
  <c r="J5" i="46"/>
  <c r="J6" i="48"/>
  <c r="I6" i="48"/>
  <c r="J6" i="55"/>
  <c r="J6" i="54"/>
  <c r="I6" i="54"/>
  <c r="J7" i="52"/>
  <c r="I7" i="52"/>
  <c r="D10" i="48"/>
  <c r="T5" i="35"/>
  <c r="S5" i="35"/>
  <c r="F8" i="52"/>
  <c r="H8" i="52" s="1"/>
  <c r="D10" i="2"/>
  <c r="I9" i="2"/>
  <c r="J9" i="2"/>
  <c r="D6" i="8"/>
  <c r="F5" i="8"/>
  <c r="H5" i="8" s="1"/>
  <c r="E3" i="58" s="1"/>
  <c r="M3" i="58" s="1"/>
  <c r="N3" i="58" s="1"/>
  <c r="O3" i="58" s="1"/>
  <c r="H7" i="55"/>
  <c r="I7" i="55" s="1"/>
  <c r="F8" i="55"/>
  <c r="F7" i="35"/>
  <c r="H6" i="35"/>
  <c r="F8" i="48"/>
  <c r="H7" i="48"/>
  <c r="AC5" i="35"/>
  <c r="H7" i="54"/>
  <c r="F8" i="54"/>
  <c r="AA10" i="35"/>
  <c r="D12" i="35"/>
  <c r="J6" i="35" l="1"/>
  <c r="I6" i="35"/>
  <c r="I7" i="48"/>
  <c r="J7" i="48"/>
  <c r="J7" i="55"/>
  <c r="J7" i="54"/>
  <c r="I7" i="54"/>
  <c r="J8" i="52"/>
  <c r="I8" i="52"/>
  <c r="D11" i="48"/>
  <c r="F9" i="52"/>
  <c r="F10" i="52" s="1"/>
  <c r="D11" i="2"/>
  <c r="I10" i="2"/>
  <c r="J10" i="2"/>
  <c r="J5" i="8"/>
  <c r="I5" i="8"/>
  <c r="D7" i="8"/>
  <c r="D8" i="8" s="1"/>
  <c r="F6" i="8"/>
  <c r="H6" i="8" s="1"/>
  <c r="E4" i="58" s="1"/>
  <c r="M4" i="58" s="1"/>
  <c r="N4" i="58" s="1"/>
  <c r="O4" i="58" s="1"/>
  <c r="H8" i="55"/>
  <c r="F9" i="55"/>
  <c r="H8" i="54"/>
  <c r="F9" i="54"/>
  <c r="F9" i="48"/>
  <c r="H8" i="48"/>
  <c r="AC6" i="35"/>
  <c r="H7" i="35"/>
  <c r="F8" i="35"/>
  <c r="AD5" i="35"/>
  <c r="AA11" i="35"/>
  <c r="AA12" i="35" s="1"/>
  <c r="AA13" i="35" s="1"/>
  <c r="AA14" i="35" s="1"/>
  <c r="AA15" i="35" s="1"/>
  <c r="AA16" i="35" s="1"/>
  <c r="AA17" i="35" s="1"/>
  <c r="D13" i="35"/>
  <c r="J7" i="35" l="1"/>
  <c r="I7" i="35"/>
  <c r="J8" i="55"/>
  <c r="I8" i="55"/>
  <c r="H9" i="52"/>
  <c r="J8" i="54"/>
  <c r="I8" i="54"/>
  <c r="I8" i="48"/>
  <c r="J8" i="48"/>
  <c r="D12" i="48"/>
  <c r="D12" i="2"/>
  <c r="J11" i="2"/>
  <c r="I11" i="2"/>
  <c r="I6" i="8"/>
  <c r="J6" i="8"/>
  <c r="F7" i="8"/>
  <c r="H7" i="8" s="1"/>
  <c r="H10" i="52"/>
  <c r="F11" i="52"/>
  <c r="H9" i="54"/>
  <c r="F10" i="54"/>
  <c r="H9" i="55"/>
  <c r="F10" i="55"/>
  <c r="H8" i="35"/>
  <c r="F9" i="35"/>
  <c r="AC7" i="35"/>
  <c r="H9" i="48"/>
  <c r="F10" i="48"/>
  <c r="AD6" i="35"/>
  <c r="AA18" i="35"/>
  <c r="D14" i="35"/>
  <c r="D9" i="8"/>
  <c r="J8" i="35" l="1"/>
  <c r="I8" i="35"/>
  <c r="I9" i="52"/>
  <c r="J9" i="55"/>
  <c r="I9" i="55"/>
  <c r="J9" i="52"/>
  <c r="J10" i="52"/>
  <c r="I10" i="52"/>
  <c r="J9" i="54"/>
  <c r="I9" i="54"/>
  <c r="I9" i="48"/>
  <c r="J9" i="48"/>
  <c r="D13" i="48"/>
  <c r="J12" i="2"/>
  <c r="I12" i="2"/>
  <c r="D13" i="2"/>
  <c r="I7" i="8"/>
  <c r="E5" i="58"/>
  <c r="M5" i="58" s="1"/>
  <c r="N5" i="58" s="1"/>
  <c r="O5" i="58" s="1"/>
  <c r="F8" i="8"/>
  <c r="H8" i="8" s="1"/>
  <c r="J7" i="8"/>
  <c r="H10" i="55"/>
  <c r="I10" i="55" s="1"/>
  <c r="F11" i="55"/>
  <c r="H11" i="52"/>
  <c r="F12" i="52"/>
  <c r="H10" i="54"/>
  <c r="F11" i="54"/>
  <c r="AD7" i="35"/>
  <c r="F6" i="58"/>
  <c r="H10" i="48"/>
  <c r="F11" i="48"/>
  <c r="H9" i="35"/>
  <c r="F10" i="35"/>
  <c r="AC8" i="35"/>
  <c r="AA19" i="35"/>
  <c r="D15" i="35"/>
  <c r="D10" i="8"/>
  <c r="H11" i="54" l="1"/>
  <c r="F12" i="54"/>
  <c r="H12" i="54" s="1"/>
  <c r="J9" i="35"/>
  <c r="I9" i="35"/>
  <c r="H12" i="52"/>
  <c r="F13" i="52"/>
  <c r="H13" i="52" s="1"/>
  <c r="J10" i="55"/>
  <c r="J11" i="54"/>
  <c r="I11" i="54"/>
  <c r="J10" i="54"/>
  <c r="I10" i="54"/>
  <c r="J12" i="52"/>
  <c r="J11" i="52"/>
  <c r="I11" i="52"/>
  <c r="I10" i="48"/>
  <c r="J10" i="48"/>
  <c r="D14" i="48"/>
  <c r="D15" i="48" s="1"/>
  <c r="E6" i="58"/>
  <c r="M6" i="58" s="1"/>
  <c r="N6" i="58" s="1"/>
  <c r="O6" i="58" s="1"/>
  <c r="I8" i="8"/>
  <c r="D14" i="2"/>
  <c r="I13" i="2"/>
  <c r="J13" i="2"/>
  <c r="F9" i="8"/>
  <c r="H9" i="8" s="1"/>
  <c r="I9" i="8" s="1"/>
  <c r="J8" i="8"/>
  <c r="H11" i="55"/>
  <c r="H11" i="48"/>
  <c r="J11" i="48" s="1"/>
  <c r="F12" i="48"/>
  <c r="F7" i="58"/>
  <c r="AD8" i="35"/>
  <c r="F11" i="35"/>
  <c r="H10" i="35"/>
  <c r="AC9" i="35"/>
  <c r="AA20" i="35"/>
  <c r="D16" i="35"/>
  <c r="D11" i="8"/>
  <c r="J10" i="35" l="1"/>
  <c r="I10" i="35"/>
  <c r="I12" i="52"/>
  <c r="I13" i="52"/>
  <c r="J13" i="52"/>
  <c r="J12" i="54"/>
  <c r="I12" i="54"/>
  <c r="J11" i="55"/>
  <c r="I11" i="55"/>
  <c r="I11" i="48"/>
  <c r="D15" i="2"/>
  <c r="J14" i="2"/>
  <c r="I14" i="2"/>
  <c r="E7" i="58"/>
  <c r="M7" i="58" s="1"/>
  <c r="N7" i="58" s="1"/>
  <c r="O7" i="58" s="1"/>
  <c r="F10" i="8"/>
  <c r="H10" i="8" s="1"/>
  <c r="I10" i="8" s="1"/>
  <c r="J9" i="8"/>
  <c r="H12" i="48"/>
  <c r="F13" i="48"/>
  <c r="AC10" i="35"/>
  <c r="F8" i="58"/>
  <c r="F12" i="35"/>
  <c r="H11" i="35"/>
  <c r="AD9" i="35"/>
  <c r="AA21" i="35"/>
  <c r="H6" i="46"/>
  <c r="F7" i="46"/>
  <c r="D17" i="35"/>
  <c r="D12" i="8"/>
  <c r="J6" i="46" l="1"/>
  <c r="I6" i="46"/>
  <c r="J11" i="35"/>
  <c r="I11" i="35"/>
  <c r="I15" i="2"/>
  <c r="J15" i="2"/>
  <c r="I12" i="48"/>
  <c r="J12" i="48"/>
  <c r="D16" i="2"/>
  <c r="D17" i="2" s="1"/>
  <c r="E8" i="58"/>
  <c r="M8" i="58" s="1"/>
  <c r="N8" i="58" s="1"/>
  <c r="O8" i="58" s="1"/>
  <c r="F11" i="8"/>
  <c r="H11" i="8" s="1"/>
  <c r="J10" i="8"/>
  <c r="H13" i="48"/>
  <c r="F14" i="48"/>
  <c r="AC11" i="35"/>
  <c r="AD10" i="35"/>
  <c r="F9" i="58"/>
  <c r="H12" i="35"/>
  <c r="F13" i="35"/>
  <c r="AA22" i="35"/>
  <c r="AA23" i="35" s="1"/>
  <c r="AA24" i="35" s="1"/>
  <c r="AA25" i="35" s="1"/>
  <c r="AA26" i="35" s="1"/>
  <c r="AA27" i="35" s="1"/>
  <c r="F8" i="46"/>
  <c r="H7" i="46"/>
  <c r="D18" i="35"/>
  <c r="D13" i="8"/>
  <c r="D18" i="2" l="1"/>
  <c r="J17" i="2"/>
  <c r="I17" i="2"/>
  <c r="I16" i="2"/>
  <c r="J16" i="2"/>
  <c r="I7" i="46"/>
  <c r="J7" i="46"/>
  <c r="H14" i="48"/>
  <c r="F15" i="48"/>
  <c r="H15" i="48" s="1"/>
  <c r="J12" i="35"/>
  <c r="I12" i="35"/>
  <c r="I14" i="48"/>
  <c r="J14" i="48"/>
  <c r="I13" i="48"/>
  <c r="J13" i="48"/>
  <c r="J11" i="8"/>
  <c r="I11" i="8"/>
  <c r="F12" i="8"/>
  <c r="H12" i="8" s="1"/>
  <c r="E9" i="58"/>
  <c r="M9" i="58" s="1"/>
  <c r="N9" i="58" s="1"/>
  <c r="O9" i="58" s="1"/>
  <c r="F10" i="58"/>
  <c r="AD11" i="35"/>
  <c r="AC12" i="35"/>
  <c r="H13" i="35"/>
  <c r="F14" i="35"/>
  <c r="F9" i="46"/>
  <c r="H8" i="46"/>
  <c r="D19" i="35"/>
  <c r="D14" i="8"/>
  <c r="D19" i="2" l="1"/>
  <c r="D20" i="2" s="1"/>
  <c r="J18" i="2"/>
  <c r="I18" i="2"/>
  <c r="I8" i="46"/>
  <c r="J8" i="46"/>
  <c r="I15" i="48"/>
  <c r="J15" i="48"/>
  <c r="J13" i="35"/>
  <c r="I13" i="35"/>
  <c r="E10" i="58"/>
  <c r="M10" i="58" s="1"/>
  <c r="N10" i="58" s="1"/>
  <c r="O10" i="58" s="1"/>
  <c r="I12" i="8"/>
  <c r="F13" i="8"/>
  <c r="H13" i="8" s="1"/>
  <c r="J12" i="8"/>
  <c r="AD12" i="35"/>
  <c r="AC13" i="35"/>
  <c r="F11" i="58"/>
  <c r="H14" i="35"/>
  <c r="F15" i="35"/>
  <c r="F10" i="46"/>
  <c r="H9" i="46"/>
  <c r="D20" i="35"/>
  <c r="D15" i="8"/>
  <c r="I20" i="2" l="1"/>
  <c r="J20" i="2"/>
  <c r="J19" i="2"/>
  <c r="I19" i="2"/>
  <c r="J14" i="35"/>
  <c r="I14" i="35"/>
  <c r="I9" i="46"/>
  <c r="J9" i="46"/>
  <c r="J13" i="8"/>
  <c r="I13" i="8"/>
  <c r="E11" i="58"/>
  <c r="M11" i="58" s="1"/>
  <c r="N11" i="58" s="1"/>
  <c r="O11" i="58" s="1"/>
  <c r="F14" i="8"/>
  <c r="H14" i="8" s="1"/>
  <c r="AC14" i="35"/>
  <c r="F12" i="58"/>
  <c r="AD13" i="35"/>
  <c r="H15" i="35"/>
  <c r="F16" i="35"/>
  <c r="H10" i="46"/>
  <c r="F11" i="46"/>
  <c r="D21" i="35"/>
  <c r="D22" i="35" s="1"/>
  <c r="D23" i="35" s="1"/>
  <c r="D24" i="35" s="1"/>
  <c r="D25" i="35" s="1"/>
  <c r="D26" i="35" s="1"/>
  <c r="D27" i="35" s="1"/>
  <c r="D16" i="8"/>
  <c r="D17" i="8" s="1"/>
  <c r="D18" i="8" s="1"/>
  <c r="D19" i="8" s="1"/>
  <c r="D20" i="8" s="1"/>
  <c r="I10" i="46" l="1"/>
  <c r="J10" i="46"/>
  <c r="J15" i="35"/>
  <c r="I15" i="35"/>
  <c r="E12" i="58"/>
  <c r="M12" i="58" s="1"/>
  <c r="N12" i="58" s="1"/>
  <c r="O12" i="58" s="1"/>
  <c r="I14" i="8"/>
  <c r="J14" i="8"/>
  <c r="F15" i="8"/>
  <c r="H15" i="8" s="1"/>
  <c r="I15" i="8" s="1"/>
  <c r="AD14" i="35"/>
  <c r="F13" i="58"/>
  <c r="H16" i="35"/>
  <c r="F17" i="35"/>
  <c r="AC15" i="35"/>
  <c r="H11" i="46"/>
  <c r="F12" i="46"/>
  <c r="I16" i="35" l="1"/>
  <c r="J16" i="35"/>
  <c r="I11" i="46"/>
  <c r="J11" i="46"/>
  <c r="E13" i="58"/>
  <c r="M13" i="58" s="1"/>
  <c r="N13" i="58" s="1"/>
  <c r="O13" i="58" s="1"/>
  <c r="F16" i="8"/>
  <c r="J15" i="8"/>
  <c r="H12" i="46"/>
  <c r="J12" i="46" s="1"/>
  <c r="F13" i="46"/>
  <c r="F14" i="58"/>
  <c r="F18" i="35"/>
  <c r="H17" i="35"/>
  <c r="AD15" i="35"/>
  <c r="AC16" i="35"/>
  <c r="H16" i="8" l="1"/>
  <c r="F17" i="8"/>
  <c r="I17" i="35"/>
  <c r="J17" i="35"/>
  <c r="I12" i="46"/>
  <c r="H13" i="46"/>
  <c r="J13" i="46" s="1"/>
  <c r="F14" i="46"/>
  <c r="F19" i="35"/>
  <c r="H18" i="35"/>
  <c r="AD16" i="35"/>
  <c r="AC17" i="35"/>
  <c r="I16" i="8" l="1"/>
  <c r="J16" i="8"/>
  <c r="E14" i="58"/>
  <c r="M14" i="58" s="1"/>
  <c r="N14" i="58" s="1"/>
  <c r="O14" i="58" s="1"/>
  <c r="H17" i="8"/>
  <c r="F18" i="8"/>
  <c r="I18" i="35"/>
  <c r="J18" i="35"/>
  <c r="I13" i="46"/>
  <c r="H14" i="46"/>
  <c r="F15" i="46"/>
  <c r="AC18" i="35"/>
  <c r="AD17" i="35"/>
  <c r="H19" i="35"/>
  <c r="F20" i="35"/>
  <c r="H18" i="8" l="1"/>
  <c r="F19" i="8"/>
  <c r="E15" i="58"/>
  <c r="M15" i="58" s="1"/>
  <c r="N15" i="58" s="1"/>
  <c r="O15" i="58" s="1"/>
  <c r="I17" i="8"/>
  <c r="J17" i="8"/>
  <c r="I19" i="35"/>
  <c r="J19" i="35"/>
  <c r="I14" i="46"/>
  <c r="J14" i="46"/>
  <c r="H15" i="46"/>
  <c r="F16" i="46"/>
  <c r="AD18" i="35"/>
  <c r="H20" i="35"/>
  <c r="F21" i="35"/>
  <c r="AC19" i="35"/>
  <c r="H19" i="8" l="1"/>
  <c r="I19" i="8" s="1"/>
  <c r="F20" i="8"/>
  <c r="H20" i="8" s="1"/>
  <c r="AG69" i="8" s="1" a="1"/>
  <c r="AG69" i="8" s="1"/>
  <c r="E17" i="58"/>
  <c r="M17" i="58" s="1"/>
  <c r="N17" i="58" s="1"/>
  <c r="O17" i="58" s="1"/>
  <c r="E16" i="58"/>
  <c r="M16" i="58" s="1"/>
  <c r="N16" i="58" s="1"/>
  <c r="O16" i="58" s="1"/>
  <c r="J18" i="8"/>
  <c r="I18" i="8"/>
  <c r="H16" i="46"/>
  <c r="F17" i="46"/>
  <c r="H17" i="46" s="1"/>
  <c r="I20" i="35"/>
  <c r="J20" i="35"/>
  <c r="I16" i="46"/>
  <c r="J16" i="46"/>
  <c r="I15" i="46"/>
  <c r="J15" i="46"/>
  <c r="AC20" i="35"/>
  <c r="AD19" i="35"/>
  <c r="H21" i="35"/>
  <c r="F22" i="35"/>
  <c r="U5" i="8" l="1"/>
  <c r="AS2" i="58"/>
  <c r="AA2" i="58"/>
  <c r="J19" i="8"/>
  <c r="E18" i="58"/>
  <c r="M18" i="58" s="1"/>
  <c r="N18" i="58" s="1"/>
  <c r="O18" i="58" s="1"/>
  <c r="I20" i="8"/>
  <c r="J20" i="8"/>
  <c r="I17" i="46"/>
  <c r="J17" i="46"/>
  <c r="I21" i="35"/>
  <c r="J21" i="35"/>
  <c r="H22" i="35"/>
  <c r="F23" i="35"/>
  <c r="AC21" i="35"/>
  <c r="AD20" i="35"/>
  <c r="I22" i="35" l="1"/>
  <c r="J22" i="35"/>
  <c r="H23" i="35"/>
  <c r="F24" i="35"/>
  <c r="AC22" i="35"/>
  <c r="AD21" i="35"/>
  <c r="I23" i="35" l="1"/>
  <c r="J23" i="35"/>
  <c r="AC23" i="35"/>
  <c r="AD23" i="35" s="1"/>
  <c r="H24" i="35"/>
  <c r="F25" i="35"/>
  <c r="AD22" i="35"/>
  <c r="I24" i="35" l="1"/>
  <c r="J24" i="35"/>
  <c r="H25" i="35"/>
  <c r="F26" i="35"/>
  <c r="AC24" i="35"/>
  <c r="H26" i="35" l="1"/>
  <c r="I26" i="35" s="1"/>
  <c r="F27" i="35"/>
  <c r="H27" i="35" s="1"/>
  <c r="I25" i="35"/>
  <c r="J25" i="35"/>
  <c r="AD24" i="35"/>
  <c r="AC25" i="35"/>
  <c r="AC26" i="35" l="1"/>
  <c r="AC27" i="35"/>
  <c r="AD27" i="35" s="1"/>
  <c r="J27" i="35"/>
  <c r="I27" i="35"/>
  <c r="J26" i="35"/>
  <c r="AD26" i="35"/>
  <c r="AD25" i="35"/>
  <c r="Q5" i="2" l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<sst xmlns="http://schemas.openxmlformats.org/spreadsheetml/2006/main" count="1212" uniqueCount="54">
  <si>
    <t>Kaina</t>
  </si>
  <si>
    <t>Kiekis</t>
  </si>
  <si>
    <t>Viso:</t>
  </si>
  <si>
    <t>Suma, EUR</t>
  </si>
  <si>
    <t>Dividendai</t>
  </si>
  <si>
    <t>Vertė gale</t>
  </si>
  <si>
    <t>Viso suma</t>
  </si>
  <si>
    <t>%</t>
  </si>
  <si>
    <t>Inešta</t>
  </si>
  <si>
    <t>Pelnas</t>
  </si>
  <si>
    <t>Mokestis</t>
  </si>
  <si>
    <t>Įnešta</t>
  </si>
  <si>
    <t>Active 55</t>
  </si>
  <si>
    <t>Active 80</t>
  </si>
  <si>
    <t>Artificial</t>
  </si>
  <si>
    <t>Glob. Yield</t>
  </si>
  <si>
    <t>Glob.Ex.UD</t>
  </si>
  <si>
    <t>Eur.Ex.UC</t>
  </si>
  <si>
    <t>US.Ex.UD</t>
  </si>
  <si>
    <t>Eur.Ex.UD</t>
  </si>
  <si>
    <t>Kursas</t>
  </si>
  <si>
    <t>Pirkimas</t>
  </si>
  <si>
    <t>Pardavimas</t>
  </si>
  <si>
    <t>Suma,EUR</t>
  </si>
  <si>
    <t>Investuota</t>
  </si>
  <si>
    <t>Parduota</t>
  </si>
  <si>
    <t>Mokesčiai</t>
  </si>
  <si>
    <t>Saugojimas</t>
  </si>
  <si>
    <t>Išvesta</t>
  </si>
  <si>
    <t>Data</t>
  </si>
  <si>
    <t>Viso</t>
  </si>
  <si>
    <t>Invest.</t>
  </si>
  <si>
    <t>Mėnesio gale</t>
  </si>
  <si>
    <t>Mėn. Inv.</t>
  </si>
  <si>
    <t>Viso Inv.</t>
  </si>
  <si>
    <t>Mėnesio</t>
  </si>
  <si>
    <t>Vertė</t>
  </si>
  <si>
    <t>Laikymas</t>
  </si>
  <si>
    <t>SESA8FE SS „SEB Active 80“ SE0016076111</t>
  </si>
  <si>
    <t>SESA5FE SS „SEB Active 55“ SE0016076046</t>
  </si>
  <si>
    <t>Valiutos keitimas</t>
  </si>
  <si>
    <t>SESTUDI LX „SEB Artificial Intelligence Fund" LU2249630257</t>
  </si>
  <si>
    <t>SEHYUCE LX „SEB Global High Yield Fund" LY1791749010</t>
  </si>
  <si>
    <t>SEBGEUD "SEB Global Exposure fund" UD-mok. LU2625197160</t>
  </si>
  <si>
    <t>Global</t>
  </si>
  <si>
    <t>SEBEEUD "SEB Europe Exposure fund" LU2625195974</t>
  </si>
  <si>
    <t>Europe</t>
  </si>
  <si>
    <t>SE3UUDE "SEB US Exposure fund" UD-mok. LU2625197327</t>
  </si>
  <si>
    <t>SEBEUDI "SEB Europe Exposure Fund" UD-mok. LU2625196196</t>
  </si>
  <si>
    <t>Vid. Kaina</t>
  </si>
  <si>
    <t>Suma</t>
  </si>
  <si>
    <t>Eur.</t>
  </si>
  <si>
    <t>XIRR</t>
  </si>
  <si>
    <t>Pirkimas/pardavimas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</si>
</sst>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164" formatCode="0.0000"/>
    <numFmt numFmtId="165" formatCode="0.00000"/>
    <numFmt numFmtId="166" formatCode="0.000"/>
    <numFmt numFmtId="167" formatCode="0.0000000"/>
    <numFmt numFmtId="168" formatCode="yyyy\.mm\.dd;@"/>
    <numFmt numFmtId="169" formatCode="0.00000000"/>
    <numFmt numFmtId="170" formatCode="#,##0.000000"/>
    <numFmt numFmtId="171" formatCode="0.000000"/>
  </numFmts>
  <fonts count="6" x14ac:knownFonts="1">
    <font>
      <sz val="11"/>
      <color theme="1"/>
      <name val="Calibri"/>
      <family val="2"/>
      <charset val="186"/>
      <scheme val="minor"/>
    </font>
    <font>
      <sz val="11"/>
      <color theme="1"/>
      <name val="Calibri"/>
      <family val="2"/>
      <scheme val="minor"/>
    </font>
    <font>
      <b/>
      <i/>
      <sz val="11"/>
      <color theme="1"/>
      <name val="Arial Narrow"/>
      <family val="2"/>
    </font>
    <font>
      <b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u/>
      <sz val="11"/>
      <color theme="10"/>
      <name val="Calibri"/>
      <family val="2"/>
      <charset val="186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34998626667073579"/>
        <bgColor indexed="64"/>
      </patternFill>
    </fill>
    <fill>
      <patternFill patternType="solid">
        <fgColor rgb="FF92D050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5" fillId="0" borderId="0" applyNumberFormat="0" applyFill="0" applyBorder="0" applyAlignment="0" applyProtection="0"/>
  </cellStyleXfs>
  <cellXfs count="84">
    <xf numFmtId="0" fontId="0" fillId="0" borderId="0" xfId="0"/>
    <xf numFmtId="0" fontId="0" fillId="0" borderId="0" xfId="0" applyAlignment="1">
      <alignment horizontal="center"/>
    </xf>
    <xf numFmtId="0" fontId="0" fillId="0" borderId="1" xfId="0" applyBorder="1"/>
    <xf numFmtId="0" fontId="3" fillId="0" borderId="1" xfId="0" applyFont="1" applyBorder="1" applyAlignment="1">
      <alignment horizontal="center"/>
    </xf>
    <xf numFmtId="2" fontId="0" fillId="0" borderId="1" xfId="0" applyNumberFormat="1" applyBorder="1" applyAlignment="1">
      <alignment horizontal="center"/>
    </xf>
    <xf numFmtId="0" fontId="0" fillId="0" borderId="1" xfId="0" applyBorder="1" applyAlignment="1">
      <alignment horizontal="center"/>
    </xf>
    <xf numFmtId="164" fontId="0" fillId="0" borderId="1" xfId="0" applyNumberFormat="1" applyBorder="1" applyAlignment="1">
      <alignment horizontal="center"/>
    </xf>
    <xf numFmtId="166" fontId="0" fillId="0" borderId="1" xfId="0" applyNumberFormat="1" applyBorder="1" applyAlignment="1">
      <alignment horizontal="center"/>
    </xf>
    <xf numFmtId="164" fontId="0" fillId="0" borderId="0" xfId="0" applyNumberFormat="1"/>
    <xf numFmtId="165" fontId="0" fillId="0" borderId="0" xfId="0" applyNumberFormat="1"/>
    <xf numFmtId="167" fontId="0" fillId="0" borderId="0" xfId="0" applyNumberFormat="1"/>
    <xf numFmtId="164" fontId="0" fillId="0" borderId="0" xfId="0" applyNumberFormat="1" applyAlignment="1">
      <alignment horizontal="center"/>
    </xf>
    <xf numFmtId="2" fontId="3" fillId="0" borderId="1" xfId="0" applyNumberFormat="1" applyFont="1" applyBorder="1" applyAlignment="1">
      <alignment horizontal="center"/>
    </xf>
    <xf numFmtId="0" fontId="3" fillId="0" borderId="1" xfId="0" applyFont="1" applyBorder="1"/>
    <xf numFmtId="0" fontId="4" fillId="0" borderId="0" xfId="0" applyFont="1"/>
    <xf numFmtId="0" fontId="0" fillId="2" borderId="5" xfId="0" applyFill="1" applyBorder="1"/>
    <xf numFmtId="2" fontId="0" fillId="3" borderId="1" xfId="0" applyNumberFormat="1" applyFill="1" applyBorder="1" applyAlignment="1">
      <alignment horizontal="center"/>
    </xf>
    <xf numFmtId="164" fontId="0" fillId="3" borderId="1" xfId="0" applyNumberFormat="1" applyFill="1" applyBorder="1" applyAlignment="1">
      <alignment horizontal="center"/>
    </xf>
    <xf numFmtId="10" fontId="0" fillId="0" borderId="1" xfId="0" applyNumberFormat="1" applyBorder="1" applyAlignment="1">
      <alignment horizontal="center"/>
    </xf>
    <xf numFmtId="0" fontId="3" fillId="0" borderId="7" xfId="0" applyFont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0" fontId="3" fillId="0" borderId="0" xfId="0" applyFont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3" fillId="2" borderId="5" xfId="0" applyFont="1" applyFill="1" applyBorder="1" applyAlignment="1">
      <alignment horizontal="center"/>
    </xf>
    <xf numFmtId="2" fontId="1" fillId="0" borderId="1" xfId="0" applyNumberFormat="1" applyFont="1" applyBorder="1" applyAlignment="1">
      <alignment horizontal="center"/>
    </xf>
    <xf numFmtId="0" fontId="0" fillId="2" borderId="5" xfId="0" applyFill="1" applyBorder="1" applyAlignment="1">
      <alignment horizontal="center"/>
    </xf>
    <xf numFmtId="169" fontId="0" fillId="2" borderId="2" xfId="0" applyNumberFormat="1" applyFill="1" applyBorder="1" applyAlignment="1">
      <alignment horizontal="center"/>
    </xf>
    <xf numFmtId="2" fontId="0" fillId="0" borderId="0" xfId="0" applyNumberFormat="1" applyAlignment="1">
      <alignment horizontal="center"/>
    </xf>
    <xf numFmtId="166" fontId="1" fillId="0" borderId="1" xfId="0" applyNumberFormat="1" applyFont="1" applyBorder="1" applyAlignment="1">
      <alignment horizontal="center"/>
    </xf>
    <xf numFmtId="168" fontId="1" fillId="0" borderId="1" xfId="0" applyNumberFormat="1" applyFont="1" applyBorder="1" applyAlignment="1">
      <alignment horizontal="center"/>
    </xf>
    <xf numFmtId="168" fontId="2" fillId="0" borderId="1" xfId="0" applyNumberFormat="1" applyFont="1" applyBorder="1" applyAlignment="1">
      <alignment horizontal="center"/>
    </xf>
    <xf numFmtId="0" fontId="4" fillId="0" borderId="0" xfId="0" applyFont="1" applyAlignment="1">
      <alignment horizontal="left"/>
    </xf>
    <xf numFmtId="164" fontId="1" fillId="0" borderId="1" xfId="0" applyNumberFormat="1" applyFont="1" applyBorder="1" applyAlignment="1">
      <alignment horizontal="center"/>
    </xf>
    <xf numFmtId="165" fontId="0" fillId="0" borderId="1" xfId="0" applyNumberFormat="1" applyBorder="1" applyAlignment="1">
      <alignment horizontal="center"/>
    </xf>
    <xf numFmtId="10" fontId="0" fillId="3" borderId="1" xfId="0" applyNumberFormat="1" applyFill="1" applyBorder="1" applyAlignment="1">
      <alignment horizontal="center"/>
    </xf>
    <xf numFmtId="0" fontId="3" fillId="3" borderId="1" xfId="0" applyFont="1" applyFill="1" applyBorder="1" applyAlignment="1">
      <alignment horizontal="center"/>
    </xf>
    <xf numFmtId="2" fontId="3" fillId="3" borderId="1" xfId="0" applyNumberFormat="1" applyFont="1" applyFill="1" applyBorder="1" applyAlignment="1">
      <alignment horizontal="center"/>
    </xf>
    <xf numFmtId="170" fontId="0" fillId="0" borderId="1" xfId="0" applyNumberFormat="1" applyBorder="1" applyAlignment="1">
      <alignment horizontal="center"/>
    </xf>
    <xf numFmtId="171" fontId="0" fillId="0" borderId="1" xfId="0" applyNumberFormat="1" applyBorder="1" applyAlignment="1">
      <alignment horizontal="center"/>
    </xf>
    <xf numFmtId="0" fontId="3" fillId="0" borderId="4" xfId="0" applyFont="1" applyBorder="1" applyAlignment="1">
      <alignment horizontal="center" vertical="center"/>
    </xf>
    <xf numFmtId="0" fontId="5" fillId="0" borderId="1" xfId="1" applyBorder="1" applyAlignment="1">
      <alignment horizontal="center"/>
    </xf>
    <xf numFmtId="2" fontId="5" fillId="0" borderId="1" xfId="1" applyNumberFormat="1" applyBorder="1" applyAlignment="1">
      <alignment horizontal="center"/>
    </xf>
    <xf numFmtId="168" fontId="3" fillId="0" borderId="1" xfId="0" applyNumberFormat="1" applyFont="1" applyBorder="1" applyAlignment="1">
      <alignment horizontal="center"/>
    </xf>
    <xf numFmtId="0" fontId="3" fillId="0" borderId="4" xfId="0" applyFont="1" applyBorder="1" applyAlignment="1">
      <alignment horizontal="center"/>
    </xf>
    <xf numFmtId="168" fontId="0" fillId="0" borderId="1" xfId="0" applyNumberFormat="1" applyBorder="1" applyAlignment="1">
      <alignment horizontal="center"/>
    </xf>
    <xf numFmtId="168" fontId="0" fillId="0" borderId="4" xfId="0" applyNumberFormat="1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9" xfId="0" applyBorder="1"/>
    <xf numFmtId="14" fontId="0" fillId="0" borderId="0" xfId="0" applyNumberFormat="1"/>
    <xf numFmtId="0" fontId="3" fillId="0" borderId="1" xfId="0" applyFont="1" applyBorder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3" fillId="0" borderId="7" xfId="0" applyFont="1" applyBorder="1" applyAlignment="1">
      <alignment horizontal="center"/>
    </xf>
    <xf numFmtId="0" fontId="0" fillId="2" borderId="5" xfId="0" applyFill="1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3" fillId="0" borderId="4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0" borderId="3" xfId="0" applyFont="1" applyBorder="1" applyAlignment="1">
      <alignment horizontal="center"/>
    </xf>
    <xf numFmtId="0" fontId="3" fillId="0" borderId="6" xfId="0" applyFont="1" applyBorder="1" applyAlignment="1">
      <alignment horizontal="center"/>
    </xf>
    <xf numFmtId="0" fontId="3" fillId="0" borderId="7" xfId="0" applyFont="1" applyBorder="1" applyAlignment="1">
      <alignment horizontal="center"/>
    </xf>
    <xf numFmtId="168" fontId="3" fillId="0" borderId="3" xfId="0" applyNumberFormat="1" applyFont="1" applyBorder="1" applyAlignment="1">
      <alignment horizontal="center"/>
    </xf>
    <xf numFmtId="168" fontId="3" fillId="0" borderId="7" xfId="0" applyNumberFormat="1" applyFont="1" applyBorder="1" applyAlignment="1">
      <alignment horizontal="center"/>
    </xf>
    <xf numFmtId="0" fontId="4" fillId="0" borderId="4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4" fillId="0" borderId="3" xfId="0" applyFont="1" applyBorder="1" applyAlignment="1">
      <alignment horizontal="center"/>
    </xf>
    <xf numFmtId="0" fontId="4" fillId="0" borderId="6" xfId="0" applyFont="1" applyBorder="1" applyAlignment="1">
      <alignment horizontal="center"/>
    </xf>
    <xf numFmtId="0" fontId="4" fillId="0" borderId="7" xfId="0" applyFont="1" applyBorder="1" applyAlignment="1">
      <alignment horizontal="center"/>
    </xf>
    <xf numFmtId="2" fontId="4" fillId="0" borderId="3" xfId="0" applyNumberFormat="1" applyFont="1" applyBorder="1" applyAlignment="1">
      <alignment horizontal="center"/>
    </xf>
    <xf numFmtId="2" fontId="4" fillId="0" borderId="6" xfId="0" applyNumberFormat="1" applyFont="1" applyBorder="1" applyAlignment="1">
      <alignment horizontal="center"/>
    </xf>
    <xf numFmtId="2" fontId="4" fillId="0" borderId="7" xfId="0" applyNumberFormat="1" applyFont="1" applyBorder="1" applyAlignment="1">
      <alignment horizontal="center"/>
    </xf>
    <xf numFmtId="0" fontId="3" fillId="0" borderId="5" xfId="0" applyFont="1" applyBorder="1" applyAlignment="1">
      <alignment horizontal="center" vertical="center"/>
    </xf>
    <xf numFmtId="0" fontId="3" fillId="0" borderId="11" xfId="0" applyFont="1" applyBorder="1" applyAlignment="1">
      <alignment horizontal="center"/>
    </xf>
    <xf numFmtId="0" fontId="3" fillId="0" borderId="12" xfId="0" applyFont="1" applyBorder="1" applyAlignment="1">
      <alignment horizontal="center"/>
    </xf>
    <xf numFmtId="0" fontId="3" fillId="0" borderId="13" xfId="0" applyFont="1" applyBorder="1" applyAlignment="1">
      <alignment horizontal="center"/>
    </xf>
    <xf numFmtId="0" fontId="0" fillId="2" borderId="4" xfId="0" applyFill="1" applyBorder="1" applyAlignment="1">
      <alignment horizontal="center"/>
    </xf>
    <xf numFmtId="0" fontId="0" fillId="2" borderId="5" xfId="0" applyFill="1" applyBorder="1" applyAlignment="1">
      <alignment horizontal="center"/>
    </xf>
    <xf numFmtId="0" fontId="0" fillId="2" borderId="2" xfId="0" applyFill="1" applyBorder="1" applyAlignment="1">
      <alignment horizontal="center"/>
    </xf>
    <xf numFmtId="0" fontId="3" fillId="0" borderId="8" xfId="0" applyFont="1" applyBorder="1" applyAlignment="1">
      <alignment horizontal="center"/>
    </xf>
    <xf numFmtId="0" fontId="3" fillId="0" borderId="9" xfId="0" applyFont="1" applyBorder="1" applyAlignment="1">
      <alignment horizontal="center"/>
    </xf>
    <xf numFmtId="0" fontId="3" fillId="0" borderId="10" xfId="0" applyFont="1" applyBorder="1" applyAlignment="1">
      <alignment horizontal="center"/>
    </xf>
    <xf numFmtId="0" fontId="5" fillId="0" borderId="3" xfId="1" applyBorder="1" applyAlignment="1">
      <alignment horizontal="center" vertical="center"/>
    </xf>
    <xf numFmtId="0" fontId="5" fillId="0" borderId="6" xfId="1" applyBorder="1" applyAlignment="1">
      <alignment horizontal="center" vertical="center"/>
    </xf>
    <xf numFmtId="0" fontId="5" fillId="0" borderId="7" xfId="1" applyBorder="1" applyAlignment="1">
      <alignment horizontal="center" vertical="center"/>
    </xf>
    <xf numFmtId="2" fontId="4" fillId="0" borderId="3" xfId="0" quotePrefix="1" applyNumberFormat="1" applyFont="1" applyBorder="1" applyAlignment="1">
      <alignment horizont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sheetMetadata" Target="metadata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styles" Target="styles.xml"/><Relationship Id="rId8" Type="http://schemas.openxmlformats.org/officeDocument/2006/relationships/worksheet" Target="worksheets/sheet8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svg"/><Relationship Id="rId2" Type="http://schemas.openxmlformats.org/officeDocument/2006/relationships/image" Target="../media/image1.png"/><Relationship Id="rId1" Type="http://schemas.openxmlformats.org/officeDocument/2006/relationships/hyperlink" Target="#Ap&#382;valga!A1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svg"/><Relationship Id="rId2" Type="http://schemas.openxmlformats.org/officeDocument/2006/relationships/image" Target="../media/image1.png"/><Relationship Id="rId1" Type="http://schemas.openxmlformats.org/officeDocument/2006/relationships/hyperlink" Target="#Ap&#382;valga!A1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svg"/><Relationship Id="rId2" Type="http://schemas.openxmlformats.org/officeDocument/2006/relationships/image" Target="../media/image1.png"/><Relationship Id="rId1" Type="http://schemas.openxmlformats.org/officeDocument/2006/relationships/hyperlink" Target="#Ap&#382;valga!A1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svg"/><Relationship Id="rId2" Type="http://schemas.openxmlformats.org/officeDocument/2006/relationships/image" Target="../media/image1.png"/><Relationship Id="rId1" Type="http://schemas.openxmlformats.org/officeDocument/2006/relationships/hyperlink" Target="#Ap&#382;valga!A1"/></Relationships>
</file>

<file path=xl/drawings/_rels/drawing5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svg"/><Relationship Id="rId2" Type="http://schemas.openxmlformats.org/officeDocument/2006/relationships/image" Target="../media/image1.png"/><Relationship Id="rId1" Type="http://schemas.openxmlformats.org/officeDocument/2006/relationships/hyperlink" Target="#Ap&#382;valga!A1"/></Relationships>
</file>

<file path=xl/drawings/_rels/drawing6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svg"/><Relationship Id="rId2" Type="http://schemas.openxmlformats.org/officeDocument/2006/relationships/image" Target="../media/image1.png"/><Relationship Id="rId1" Type="http://schemas.openxmlformats.org/officeDocument/2006/relationships/hyperlink" Target="#Ap&#382;valga!A1"/></Relationships>
</file>

<file path=xl/drawings/_rels/drawing7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svg"/><Relationship Id="rId2" Type="http://schemas.openxmlformats.org/officeDocument/2006/relationships/image" Target="../media/image1.png"/><Relationship Id="rId1" Type="http://schemas.openxmlformats.org/officeDocument/2006/relationships/hyperlink" Target="#Ap&#382;valga!A1"/></Relationships>
</file>

<file path=xl/drawings/_rels/drawing8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svg"/><Relationship Id="rId2" Type="http://schemas.openxmlformats.org/officeDocument/2006/relationships/image" Target="../media/image1.png"/><Relationship Id="rId1" Type="http://schemas.openxmlformats.org/officeDocument/2006/relationships/hyperlink" Target="#Ap&#382;valga!A1"/></Relationships>
</file>

<file path=xl/drawings/_rels/drawing9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svg"/><Relationship Id="rId2" Type="http://schemas.openxmlformats.org/officeDocument/2006/relationships/image" Target="../media/image1.png"/><Relationship Id="rId1" Type="http://schemas.openxmlformats.org/officeDocument/2006/relationships/hyperlink" Target="#Ap&#382;valga!A1"/></Relationships>
</file>

<file path=xl/drawings/_rels/drawing10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svg"/><Relationship Id="rId2" Type="http://schemas.openxmlformats.org/officeDocument/2006/relationships/image" Target="../media/image1.png"/><Relationship Id="rId1" Type="http://schemas.openxmlformats.org/officeDocument/2006/relationships/hyperlink" Target="#Ap&#382;valga!A1"/></Relationships>
</file>

<file path=xl/drawings/_rels/drawing1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svg"/><Relationship Id="rId2" Type="http://schemas.openxmlformats.org/officeDocument/2006/relationships/image" Target="../media/image1.png"/><Relationship Id="rId1" Type="http://schemas.openxmlformats.org/officeDocument/2006/relationships/hyperlink" Target="#Ap&#382;valga!A1"/></Relationships>
</file>

<file path=xl/drawings/_rels/drawing12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svg"/><Relationship Id="rId2" Type="http://schemas.openxmlformats.org/officeDocument/2006/relationships/image" Target="../media/image1.png"/><Relationship Id="rId1" Type="http://schemas.openxmlformats.org/officeDocument/2006/relationships/hyperlink" Target="#Ap&#382;valga!A1"/></Relationships>
</file>

<file path=xl/drawings/_rels/drawing13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svg"/><Relationship Id="rId2" Type="http://schemas.openxmlformats.org/officeDocument/2006/relationships/image" Target="../media/image1.png"/><Relationship Id="rId1" Type="http://schemas.openxmlformats.org/officeDocument/2006/relationships/hyperlink" Target="#Ap&#382;valga!A1"/></Relationships>
</file>

<file path=xl/drawings/_rels/drawing14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svg"/><Relationship Id="rId2" Type="http://schemas.openxmlformats.org/officeDocument/2006/relationships/image" Target="../media/image1.png"/><Relationship Id="rId1" Type="http://schemas.openxmlformats.org/officeDocument/2006/relationships/hyperlink" Target="#Ap&#382;valga!A1"/></Relationships>
</file>

<file path=xl/drawings/_rels/drawing15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svg"/><Relationship Id="rId2" Type="http://schemas.openxmlformats.org/officeDocument/2006/relationships/image" Target="../media/image1.png"/><Relationship Id="rId1" Type="http://schemas.openxmlformats.org/officeDocument/2006/relationships/hyperlink" Target="#Ap&#382;valga!A1"/></Relationships>
</file>

<file path=xl/drawings/_rels/drawing16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svg"/><Relationship Id="rId2" Type="http://schemas.openxmlformats.org/officeDocument/2006/relationships/image" Target="../media/image1.png"/><Relationship Id="rId1" Type="http://schemas.openxmlformats.org/officeDocument/2006/relationships/hyperlink" Target="#Ap&#382;valga!A1"/></Relationships>
</file>

<file path=xl/drawings/_rels/drawing17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svg"/><Relationship Id="rId2" Type="http://schemas.openxmlformats.org/officeDocument/2006/relationships/image" Target="../media/image1.png"/><Relationship Id="rId1" Type="http://schemas.openxmlformats.org/officeDocument/2006/relationships/hyperlink" Target="#Ap&#382;valga!A1"/></Relationships>
</file>

<file path=xl/drawings/_rels/drawing18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svg"/><Relationship Id="rId2" Type="http://schemas.openxmlformats.org/officeDocument/2006/relationships/image" Target="../media/image1.png"/><Relationship Id="rId1" Type="http://schemas.openxmlformats.org/officeDocument/2006/relationships/hyperlink" Target="#Ap&#382;valga!A1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16</xdr:col>
      <xdr:colOff>0</xdr:colOff>
      <xdr:row>6</xdr:row>
      <xdr:rowOff>0</xdr:rowOff>
    </xdr:from>
    <xdr:to>
      <xdr:col>17</xdr:col>
      <xdr:colOff>304800</xdr:colOff>
      <xdr:row>10</xdr:row>
      <xdr:rowOff>152400</xdr:rowOff>
    </xdr:to>
    <xdr:pic>
      <xdr:nvPicPr>
        <xdr:cNvPr id="2" name="Graphic 1" descr="Arrow: Rotate left with solid fill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1D55AFE2-410C-4CA1-8FEF-BF0992E17F5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96DAC541-7B7A-43D3-8B79-37D633B846F1}">
              <asvg:svgBlip xmlns:asvg="http://schemas.microsoft.com/office/drawing/2016/SVG/main" r:embed="rId3"/>
            </a:ext>
          </a:extLst>
        </a:blip>
        <a:stretch>
          <a:fillRect/>
        </a:stretch>
      </xdr:blipFill>
      <xdr:spPr>
        <a:xfrm>
          <a:off x="10029825" y="1143000"/>
          <a:ext cx="1019175" cy="91440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16</xdr:col>
      <xdr:colOff>0</xdr:colOff>
      <xdr:row>6</xdr:row>
      <xdr:rowOff>0</xdr:rowOff>
    </xdr:from>
    <xdr:to>
      <xdr:col>17</xdr:col>
      <xdr:colOff>304800</xdr:colOff>
      <xdr:row>10</xdr:row>
      <xdr:rowOff>152400</xdr:rowOff>
    </xdr:to>
    <xdr:pic>
      <xdr:nvPicPr>
        <xdr:cNvPr id="2" name="Graphic 1" descr="Arrow: Rotate left with solid fill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FE1DC8A6-0FD6-4E87-8680-ED4055BA030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96DAC541-7B7A-43D3-8B79-37D633B846F1}">
              <asvg:svgBlip xmlns:asvg="http://schemas.microsoft.com/office/drawing/2016/SVG/main" r:embed="rId3"/>
            </a:ext>
          </a:extLst>
        </a:blip>
        <a:stretch>
          <a:fillRect/>
        </a:stretch>
      </xdr:blipFill>
      <xdr:spPr>
        <a:xfrm>
          <a:off x="10029825" y="1143000"/>
          <a:ext cx="1019175" cy="91440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16</xdr:col>
      <xdr:colOff>0</xdr:colOff>
      <xdr:row>6</xdr:row>
      <xdr:rowOff>0</xdr:rowOff>
    </xdr:from>
    <xdr:to>
      <xdr:col>17</xdr:col>
      <xdr:colOff>304800</xdr:colOff>
      <xdr:row>10</xdr:row>
      <xdr:rowOff>152400</xdr:rowOff>
    </xdr:to>
    <xdr:pic>
      <xdr:nvPicPr>
        <xdr:cNvPr id="2" name="Graphic 1" descr="Arrow: Rotate left with solid fill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5DBB0479-CA64-41EF-8AA1-566D45C00DD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96DAC541-7B7A-43D3-8B79-37D633B846F1}">
              <asvg:svgBlip xmlns:asvg="http://schemas.microsoft.com/office/drawing/2016/SVG/main" r:embed="rId3"/>
            </a:ext>
          </a:extLst>
        </a:blip>
        <a:stretch>
          <a:fillRect/>
        </a:stretch>
      </xdr:blipFill>
      <xdr:spPr>
        <a:xfrm>
          <a:off x="10029825" y="1143000"/>
          <a:ext cx="1019175" cy="91440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16</xdr:col>
      <xdr:colOff>0</xdr:colOff>
      <xdr:row>6</xdr:row>
      <xdr:rowOff>0</xdr:rowOff>
    </xdr:from>
    <xdr:to>
      <xdr:col>17</xdr:col>
      <xdr:colOff>304800</xdr:colOff>
      <xdr:row>10</xdr:row>
      <xdr:rowOff>152400</xdr:rowOff>
    </xdr:to>
    <xdr:pic>
      <xdr:nvPicPr>
        <xdr:cNvPr id="2" name="Graphic 1" descr="Arrow: Rotate left with solid fill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79E30BA5-65D1-4D35-BCFB-5BD58C6063F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96DAC541-7B7A-43D3-8B79-37D633B846F1}">
              <asvg:svgBlip xmlns:asvg="http://schemas.microsoft.com/office/drawing/2016/SVG/main" r:embed="rId3"/>
            </a:ext>
          </a:extLst>
        </a:blip>
        <a:stretch>
          <a:fillRect/>
        </a:stretch>
      </xdr:blipFill>
      <xdr:spPr>
        <a:xfrm>
          <a:off x="10029825" y="1143000"/>
          <a:ext cx="1019175" cy="914400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16</xdr:col>
      <xdr:colOff>0</xdr:colOff>
      <xdr:row>6</xdr:row>
      <xdr:rowOff>0</xdr:rowOff>
    </xdr:from>
    <xdr:to>
      <xdr:col>17</xdr:col>
      <xdr:colOff>304800</xdr:colOff>
      <xdr:row>10</xdr:row>
      <xdr:rowOff>152400</xdr:rowOff>
    </xdr:to>
    <xdr:pic>
      <xdr:nvPicPr>
        <xdr:cNvPr id="2" name="Graphic 1" descr="Arrow: Rotate left with solid fill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16E4B190-2A0C-4B58-A4DE-320ADA7C2F0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96DAC541-7B7A-43D3-8B79-37D633B846F1}">
              <asvg:svgBlip xmlns:asvg="http://schemas.microsoft.com/office/drawing/2016/SVG/main" r:embed="rId3"/>
            </a:ext>
          </a:extLst>
        </a:blip>
        <a:stretch>
          <a:fillRect/>
        </a:stretch>
      </xdr:blipFill>
      <xdr:spPr>
        <a:xfrm>
          <a:off x="10029825" y="1143000"/>
          <a:ext cx="1019175" cy="914400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16</xdr:col>
      <xdr:colOff>0</xdr:colOff>
      <xdr:row>6</xdr:row>
      <xdr:rowOff>0</xdr:rowOff>
    </xdr:from>
    <xdr:to>
      <xdr:col>17</xdr:col>
      <xdr:colOff>304800</xdr:colOff>
      <xdr:row>10</xdr:row>
      <xdr:rowOff>152400</xdr:rowOff>
    </xdr:to>
    <xdr:pic>
      <xdr:nvPicPr>
        <xdr:cNvPr id="2" name="Graphic 1" descr="Arrow: Rotate left with solid fill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4AD7780B-3385-4B13-9383-EAB6DEB03D6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96DAC541-7B7A-43D3-8B79-37D633B846F1}">
              <asvg:svgBlip xmlns:asvg="http://schemas.microsoft.com/office/drawing/2016/SVG/main" r:embed="rId3"/>
            </a:ext>
          </a:extLst>
        </a:blip>
        <a:stretch>
          <a:fillRect/>
        </a:stretch>
      </xdr:blipFill>
      <xdr:spPr>
        <a:xfrm>
          <a:off x="10029825" y="1143000"/>
          <a:ext cx="1019175" cy="914400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16</xdr:col>
      <xdr:colOff>0</xdr:colOff>
      <xdr:row>6</xdr:row>
      <xdr:rowOff>0</xdr:rowOff>
    </xdr:from>
    <xdr:to>
      <xdr:col>17</xdr:col>
      <xdr:colOff>304800</xdr:colOff>
      <xdr:row>10</xdr:row>
      <xdr:rowOff>152400</xdr:rowOff>
    </xdr:to>
    <xdr:pic>
      <xdr:nvPicPr>
        <xdr:cNvPr id="2" name="Graphic 1" descr="Arrow: Rotate left with solid fill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BE351048-5B8A-481E-8F4F-3C7ABDA4F77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96DAC541-7B7A-43D3-8B79-37D633B846F1}">
              <asvg:svgBlip xmlns:asvg="http://schemas.microsoft.com/office/drawing/2016/SVG/main" r:embed="rId3"/>
            </a:ext>
          </a:extLst>
        </a:blip>
        <a:stretch>
          <a:fillRect/>
        </a:stretch>
      </xdr:blipFill>
      <xdr:spPr>
        <a:xfrm>
          <a:off x="10029825" y="1143000"/>
          <a:ext cx="1019175" cy="914400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16</xdr:col>
      <xdr:colOff>0</xdr:colOff>
      <xdr:row>6</xdr:row>
      <xdr:rowOff>0</xdr:rowOff>
    </xdr:from>
    <xdr:to>
      <xdr:col>17</xdr:col>
      <xdr:colOff>304800</xdr:colOff>
      <xdr:row>10</xdr:row>
      <xdr:rowOff>152400</xdr:rowOff>
    </xdr:to>
    <xdr:pic>
      <xdr:nvPicPr>
        <xdr:cNvPr id="2" name="Graphic 1" descr="Arrow: Rotate left with solid fill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EAF40554-2415-4454-86D5-57E70A54DD6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96DAC541-7B7A-43D3-8B79-37D633B846F1}">
              <asvg:svgBlip xmlns:asvg="http://schemas.microsoft.com/office/drawing/2016/SVG/main" r:embed="rId3"/>
            </a:ext>
          </a:extLst>
        </a:blip>
        <a:stretch>
          <a:fillRect/>
        </a:stretch>
      </xdr:blipFill>
      <xdr:spPr>
        <a:xfrm>
          <a:off x="10029825" y="1143000"/>
          <a:ext cx="1019175" cy="914400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16</xdr:col>
      <xdr:colOff>0</xdr:colOff>
      <xdr:row>6</xdr:row>
      <xdr:rowOff>0</xdr:rowOff>
    </xdr:from>
    <xdr:to>
      <xdr:col>17</xdr:col>
      <xdr:colOff>304800</xdr:colOff>
      <xdr:row>10</xdr:row>
      <xdr:rowOff>152400</xdr:rowOff>
    </xdr:to>
    <xdr:pic>
      <xdr:nvPicPr>
        <xdr:cNvPr id="2" name="Graphic 1" descr="Arrow: Rotate left with solid fill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206AC591-F0BA-438B-BCC9-0AE3269D435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96DAC541-7B7A-43D3-8B79-37D633B846F1}">
              <asvg:svgBlip xmlns:asvg="http://schemas.microsoft.com/office/drawing/2016/SVG/main" r:embed="rId3"/>
            </a:ext>
          </a:extLst>
        </a:blip>
        <a:stretch>
          <a:fillRect/>
        </a:stretch>
      </xdr:blipFill>
      <xdr:spPr>
        <a:xfrm>
          <a:off x="10029825" y="1143000"/>
          <a:ext cx="1019175" cy="914400"/>
        </a:xfrm>
        <a:prstGeom prst="rect">
          <a:avLst/>
        </a:prstGeom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16</xdr:col>
      <xdr:colOff>0</xdr:colOff>
      <xdr:row>6</xdr:row>
      <xdr:rowOff>0</xdr:rowOff>
    </xdr:from>
    <xdr:to>
      <xdr:col>17</xdr:col>
      <xdr:colOff>304800</xdr:colOff>
      <xdr:row>10</xdr:row>
      <xdr:rowOff>152400</xdr:rowOff>
    </xdr:to>
    <xdr:pic>
      <xdr:nvPicPr>
        <xdr:cNvPr id="2" name="Graphic 1" descr="Arrow: Rotate left with solid fill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A9652F1E-5C05-4819-88F2-E8B4987B865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96DAC541-7B7A-43D3-8B79-37D633B846F1}">
              <asvg:svgBlip xmlns:asvg="http://schemas.microsoft.com/office/drawing/2016/SVG/main" r:embed="rId3"/>
            </a:ext>
          </a:extLst>
        </a:blip>
        <a:stretch>
          <a:fillRect/>
        </a:stretch>
      </xdr:blipFill>
      <xdr:spPr>
        <a:xfrm>
          <a:off x="10029825" y="1143000"/>
          <a:ext cx="1019175" cy="914400"/>
        </a:xfrm>
        <a:prstGeom prst="rect">
          <a:avLst/>
        </a:prstGeom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oneCell">
    <xdr:from>
      <xdr:col>16</xdr:col>
      <xdr:colOff>0</xdr:colOff>
      <xdr:row>6</xdr:row>
      <xdr:rowOff>0</xdr:rowOff>
    </xdr:from>
    <xdr:to>
      <xdr:col>17</xdr:col>
      <xdr:colOff>304800</xdr:colOff>
      <xdr:row>10</xdr:row>
      <xdr:rowOff>152400</xdr:rowOff>
    </xdr:to>
    <xdr:pic>
      <xdr:nvPicPr>
        <xdr:cNvPr id="2" name="Graphic 1" descr="Arrow: Rotate left with solid fill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494007F5-092E-4C06-934C-0D069787BC2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96DAC541-7B7A-43D3-8B79-37D633B846F1}">
              <asvg:svgBlip xmlns:asvg="http://schemas.microsoft.com/office/drawing/2016/SVG/main" r:embed="rId3"/>
            </a:ext>
          </a:extLst>
        </a:blip>
        <a:stretch>
          <a:fillRect/>
        </a:stretch>
      </xdr:blipFill>
      <xdr:spPr>
        <a:xfrm>
          <a:off x="10029825" y="1143000"/>
          <a:ext cx="1019175" cy="914400"/>
        </a:xfrm>
        <a:prstGeom prst="rect">
          <a:avLst/>
        </a:prstGeom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 editAs="oneCell">
    <xdr:from>
      <xdr:col>16</xdr:col>
      <xdr:colOff>0</xdr:colOff>
      <xdr:row>6</xdr:row>
      <xdr:rowOff>0</xdr:rowOff>
    </xdr:from>
    <xdr:to>
      <xdr:col>17</xdr:col>
      <xdr:colOff>304800</xdr:colOff>
      <xdr:row>10</xdr:row>
      <xdr:rowOff>152400</xdr:rowOff>
    </xdr:to>
    <xdr:pic>
      <xdr:nvPicPr>
        <xdr:cNvPr id="3" name="Graphic 2" descr="Arrow: Rotate left with solid fill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E5A820DB-8090-420E-AA9B-A5D8E2933B7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96DAC541-7B7A-43D3-8B79-37D633B846F1}">
              <asvg:svgBlip xmlns:asvg="http://schemas.microsoft.com/office/drawing/2016/SVG/main" r:embed="rId3"/>
            </a:ext>
          </a:extLst>
        </a:blip>
        <a:stretch>
          <a:fillRect/>
        </a:stretch>
      </xdr:blipFill>
      <xdr:spPr>
        <a:xfrm>
          <a:off x="10029825" y="1143000"/>
          <a:ext cx="1019175" cy="914400"/>
        </a:xfrm>
        <a:prstGeom prst="rect">
          <a:avLst/>
        </a:prstGeom>
      </xdr:spPr>
    </xdr:pic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 editAs="oneCell">
    <xdr:from>
      <xdr:col>16</xdr:col>
      <xdr:colOff>0</xdr:colOff>
      <xdr:row>6</xdr:row>
      <xdr:rowOff>0</xdr:rowOff>
    </xdr:from>
    <xdr:to>
      <xdr:col>17</xdr:col>
      <xdr:colOff>304800</xdr:colOff>
      <xdr:row>10</xdr:row>
      <xdr:rowOff>152400</xdr:rowOff>
    </xdr:to>
    <xdr:pic>
      <xdr:nvPicPr>
        <xdr:cNvPr id="2" name="Graphic 1" descr="Arrow: Rotate left with solid fill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7C4D549F-563F-4AE7-8EBC-B5DFDA9C60C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96DAC541-7B7A-43D3-8B79-37D633B846F1}">
              <asvg:svgBlip xmlns:asvg="http://schemas.microsoft.com/office/drawing/2016/SVG/main" r:embed="rId3"/>
            </a:ext>
          </a:extLst>
        </a:blip>
        <a:stretch>
          <a:fillRect/>
        </a:stretch>
      </xdr:blipFill>
      <xdr:spPr>
        <a:xfrm>
          <a:off x="10029825" y="1143000"/>
          <a:ext cx="1019175" cy="914400"/>
        </a:xfrm>
        <a:prstGeom prst="rect">
          <a:avLst/>
        </a:prstGeom>
      </xdr:spPr>
    </xdr:pic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 editAs="oneCell">
    <xdr:from>
      <xdr:col>16</xdr:col>
      <xdr:colOff>0</xdr:colOff>
      <xdr:row>6</xdr:row>
      <xdr:rowOff>0</xdr:rowOff>
    </xdr:from>
    <xdr:to>
      <xdr:col>17</xdr:col>
      <xdr:colOff>304800</xdr:colOff>
      <xdr:row>10</xdr:row>
      <xdr:rowOff>152400</xdr:rowOff>
    </xdr:to>
    <xdr:pic>
      <xdr:nvPicPr>
        <xdr:cNvPr id="2" name="Graphic 1" descr="Arrow: Rotate left with solid fill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25A3DDF7-6852-425A-8E47-DC027B1FE15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96DAC541-7B7A-43D3-8B79-37D633B846F1}">
              <asvg:svgBlip xmlns:asvg="http://schemas.microsoft.com/office/drawing/2016/SVG/main" r:embed="rId3"/>
            </a:ext>
          </a:extLst>
        </a:blip>
        <a:stretch>
          <a:fillRect/>
        </a:stretch>
      </xdr:blipFill>
      <xdr:spPr>
        <a:xfrm>
          <a:off x="10029825" y="1143000"/>
          <a:ext cx="1019175" cy="914400"/>
        </a:xfrm>
        <a:prstGeom prst="rect">
          <a:avLst/>
        </a:prstGeom>
      </xdr:spPr>
    </xdr:pic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>
  <xdr:twoCellAnchor editAs="oneCell">
    <xdr:from>
      <xdr:col>16</xdr:col>
      <xdr:colOff>0</xdr:colOff>
      <xdr:row>6</xdr:row>
      <xdr:rowOff>0</xdr:rowOff>
    </xdr:from>
    <xdr:to>
      <xdr:col>17</xdr:col>
      <xdr:colOff>304800</xdr:colOff>
      <xdr:row>10</xdr:row>
      <xdr:rowOff>152400</xdr:rowOff>
    </xdr:to>
    <xdr:pic>
      <xdr:nvPicPr>
        <xdr:cNvPr id="2" name="Graphic 1" descr="Arrow: Rotate left with solid fill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BAD4F9BB-108B-4B59-BCED-8BBD86F29AF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96DAC541-7B7A-43D3-8B79-37D633B846F1}">
              <asvg:svgBlip xmlns:asvg="http://schemas.microsoft.com/office/drawing/2016/SVG/main" r:embed="rId3"/>
            </a:ext>
          </a:extLst>
        </a:blip>
        <a:stretch>
          <a:fillRect/>
        </a:stretch>
      </xdr:blipFill>
      <xdr:spPr>
        <a:xfrm>
          <a:off x="10029825" y="1143000"/>
          <a:ext cx="1019175" cy="914400"/>
        </a:xfrm>
        <a:prstGeom prst="rect">
          <a:avLst/>
        </a:prstGeom>
      </xdr:spPr>
    </xdr:pic>
    <xdr:clientData/>
  </xdr:twoCellAnchor>
</xdr:wsDr>
</file>

<file path=xl/drawings/drawing16.xml><?xml version="1.0" encoding="utf-8"?>
<xdr:wsDr xmlns:xdr="http://schemas.openxmlformats.org/drawingml/2006/spreadsheetDrawing" xmlns:a="http://schemas.openxmlformats.org/drawingml/2006/main">
  <xdr:twoCellAnchor editAs="oneCell">
    <xdr:from>
      <xdr:col>16</xdr:col>
      <xdr:colOff>0</xdr:colOff>
      <xdr:row>6</xdr:row>
      <xdr:rowOff>0</xdr:rowOff>
    </xdr:from>
    <xdr:to>
      <xdr:col>17</xdr:col>
      <xdr:colOff>304800</xdr:colOff>
      <xdr:row>10</xdr:row>
      <xdr:rowOff>152400</xdr:rowOff>
    </xdr:to>
    <xdr:pic>
      <xdr:nvPicPr>
        <xdr:cNvPr id="3" name="Graphic 2" descr="Arrow: Rotate left with solid fill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19A73C8-07DA-4F54-8329-01969364132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96DAC541-7B7A-43D3-8B79-37D633B846F1}">
              <asvg:svgBlip xmlns:asvg="http://schemas.microsoft.com/office/drawing/2016/SVG/main" r:embed="rId3"/>
            </a:ext>
          </a:extLst>
        </a:blip>
        <a:stretch>
          <a:fillRect/>
        </a:stretch>
      </xdr:blipFill>
      <xdr:spPr>
        <a:xfrm>
          <a:off x="10029825" y="1143000"/>
          <a:ext cx="1019175" cy="914400"/>
        </a:xfrm>
        <a:prstGeom prst="rect">
          <a:avLst/>
        </a:prstGeom>
      </xdr:spPr>
    </xdr:pic>
    <xdr:clientData/>
  </xdr:twoCellAnchor>
</xdr:wsDr>
</file>

<file path=xl/drawings/drawing17.xml><?xml version="1.0" encoding="utf-8"?>
<xdr:wsDr xmlns:xdr="http://schemas.openxmlformats.org/drawingml/2006/spreadsheetDrawing" xmlns:a="http://schemas.openxmlformats.org/drawingml/2006/main">
  <xdr:twoCellAnchor editAs="oneCell">
    <xdr:from>
      <xdr:col>16</xdr:col>
      <xdr:colOff>0</xdr:colOff>
      <xdr:row>6</xdr:row>
      <xdr:rowOff>0</xdr:rowOff>
    </xdr:from>
    <xdr:to>
      <xdr:col>17</xdr:col>
      <xdr:colOff>304800</xdr:colOff>
      <xdr:row>10</xdr:row>
      <xdr:rowOff>152400</xdr:rowOff>
    </xdr:to>
    <xdr:pic>
      <xdr:nvPicPr>
        <xdr:cNvPr id="2" name="Graphic 1" descr="Arrow: Rotate left with solid fill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DD9C08E0-0A53-4099-AAD2-C19E833865F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96DAC541-7B7A-43D3-8B79-37D633B846F1}">
              <asvg:svgBlip xmlns:asvg="http://schemas.microsoft.com/office/drawing/2016/SVG/main" r:embed="rId3"/>
            </a:ext>
          </a:extLst>
        </a:blip>
        <a:stretch>
          <a:fillRect/>
        </a:stretch>
      </xdr:blipFill>
      <xdr:spPr>
        <a:xfrm>
          <a:off x="10029825" y="1143000"/>
          <a:ext cx="1019175" cy="914400"/>
        </a:xfrm>
        <a:prstGeom prst="rect">
          <a:avLst/>
        </a:prstGeom>
      </xdr:spPr>
    </xdr:pic>
    <xdr:clientData/>
  </xdr:twoCellAnchor>
</xdr:wsDr>
</file>

<file path=xl/drawings/drawing18.xml><?xml version="1.0" encoding="utf-8"?>
<xdr:wsDr xmlns:xdr="http://schemas.openxmlformats.org/drawingml/2006/spreadsheetDrawing" xmlns:a="http://schemas.openxmlformats.org/drawingml/2006/main">
  <xdr:twoCellAnchor editAs="oneCell">
    <xdr:from>
      <xdr:col>16</xdr:col>
      <xdr:colOff>0</xdr:colOff>
      <xdr:row>6</xdr:row>
      <xdr:rowOff>0</xdr:rowOff>
    </xdr:from>
    <xdr:to>
      <xdr:col>17</xdr:col>
      <xdr:colOff>304800</xdr:colOff>
      <xdr:row>10</xdr:row>
      <xdr:rowOff>152400</xdr:rowOff>
    </xdr:to>
    <xdr:pic>
      <xdr:nvPicPr>
        <xdr:cNvPr id="2" name="Graphic 1" descr="Arrow: Rotate left with solid fill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926E9B3D-D7F3-4E35-80E4-BB9ED30F003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96DAC541-7B7A-43D3-8B79-37D633B846F1}">
              <asvg:svgBlip xmlns:asvg="http://schemas.microsoft.com/office/drawing/2016/SVG/main" r:embed="rId3"/>
            </a:ext>
          </a:extLst>
        </a:blip>
        <a:stretch>
          <a:fillRect/>
        </a:stretch>
      </xdr:blipFill>
      <xdr:spPr>
        <a:xfrm>
          <a:off x="10029825" y="1143000"/>
          <a:ext cx="1019175" cy="9144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2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5.xml"/><Relationship Id="rId1" Type="http://schemas.openxmlformats.org/officeDocument/2006/relationships/printerSettings" Target="../printerSettings/printerSettings9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2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8.xml"/><Relationship Id="rId1" Type="http://schemas.openxmlformats.org/officeDocument/2006/relationships/printerSettings" Target="../printerSettings/printerSettings10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S21"/>
  <sheetViews>
    <sheetView tabSelected="1" workbookViewId="0">
      <pane ySplit="2" topLeftCell="A3" activePane="bottomLeft" state="frozen"/>
      <selection activeCell="D58" sqref="D58"/>
      <selection pane="bottomLeft" activeCell="S22" sqref="S22"/>
    </sheetView>
  </sheetViews>
  <sheetFormatPr defaultRowHeight="15" x14ac:dyDescent="0.25"/>
  <cols>
    <col min="1" max="1" width="15.7109375" customWidth="1"/>
    <col min="2" max="6" width="10.7109375" customWidth="1"/>
    <col min="7" max="12" width="10.7109375" hidden="1" customWidth="1"/>
    <col min="13" max="19" width="10.7109375" customWidth="1"/>
  </cols>
  <sheetData>
    <row r="1" spans="1:45" x14ac:dyDescent="0.25">
      <c r="A1" s="54" t="s">
        <v>29</v>
      </c>
      <c r="B1" s="56" t="s">
        <v>2</v>
      </c>
      <c r="C1" s="56"/>
      <c r="D1" s="56"/>
      <c r="E1" s="57" t="s">
        <v>32</v>
      </c>
      <c r="F1" s="58"/>
      <c r="G1" s="58"/>
      <c r="H1" s="58"/>
      <c r="I1" s="58"/>
      <c r="J1" s="58"/>
      <c r="K1" s="58"/>
      <c r="L1" s="58"/>
      <c r="M1" s="58"/>
      <c r="N1" s="58"/>
      <c r="O1" s="59"/>
      <c r="P1" s="56" t="s">
        <v>4</v>
      </c>
      <c r="Q1" s="53" t="s">
        <v>26</v>
      </c>
      <c r="R1" s="53"/>
      <c r="S1" s="53"/>
      <c r="AA1" s="3" t="s">
        <v>52</v>
      </c>
      <c r="AS1" s="3" t="s">
        <v>52</v>
      </c>
    </row>
    <row r="2" spans="1:45" x14ac:dyDescent="0.25">
      <c r="A2" s="55"/>
      <c r="B2" s="3" t="s">
        <v>8</v>
      </c>
      <c r="C2" s="3" t="s">
        <v>28</v>
      </c>
      <c r="D2" s="3" t="s">
        <v>24</v>
      </c>
      <c r="E2" s="40" t="s">
        <v>12</v>
      </c>
      <c r="F2" s="40" t="s">
        <v>13</v>
      </c>
      <c r="G2" s="35" t="s">
        <v>14</v>
      </c>
      <c r="H2" s="36" t="s">
        <v>15</v>
      </c>
      <c r="I2" s="35" t="s">
        <v>16</v>
      </c>
      <c r="J2" s="35" t="s">
        <v>17</v>
      </c>
      <c r="K2" s="35" t="s">
        <v>18</v>
      </c>
      <c r="L2" s="35" t="s">
        <v>19</v>
      </c>
      <c r="M2" s="3" t="s">
        <v>36</v>
      </c>
      <c r="N2" s="3" t="s">
        <v>9</v>
      </c>
      <c r="O2" s="3" t="s">
        <v>7</v>
      </c>
      <c r="P2" s="56"/>
      <c r="Q2" s="3" t="s">
        <v>21</v>
      </c>
      <c r="R2" s="3" t="s">
        <v>22</v>
      </c>
      <c r="S2" s="3" t="s">
        <v>37</v>
      </c>
      <c r="AA2" s="18">
        <f ca="1">XIRR(_xlfn.VSTACK('SEB Active 55'!AG5:AG200,'SEB Active 80'!AG5:AG200),_xlfn.VSTACK('SEB Active 55'!AF5:AF200,'SEB Active 80'!AF5:AF200))</f>
        <v>0.182</v>
      </c>
      <c r="AS2" s="18">
        <f ca="1">XIRR(_xlfn.VSTACK('SEB Active 55'!AG5:AG200,'SEB Active 80'!AG5:AG200),_xlfn.VSTACK('SEB Active 55'!AF5:AF200,'SEB Active 80'!AF5:AF200))</f>
        <v>0.182</v>
      </c>
    </row>
    <row r="3" spans="1:45" x14ac:dyDescent="0.25">
      <c r="A3" s="41">
        <f>'2025.03'!Q2</f>
        <v>2025.03</v>
      </c>
      <c r="B3" s="4">
        <f>'2025.03'!Q5</f>
        <v>60</v>
      </c>
      <c r="C3" s="4">
        <f>'2025.03'!R5</f>
        <v>0</v>
      </c>
      <c r="D3" s="4">
        <f>'2025.03'!S5</f>
        <v>60</v>
      </c>
      <c r="E3" s="4">
        <f>'SEB Active 55'!H5</f>
        <v>29.58</v>
      </c>
      <c r="F3" s="4">
        <f>'SEB Active 80'!H5</f>
        <v>29.36</v>
      </c>
      <c r="G3" s="16">
        <v>0</v>
      </c>
      <c r="H3" s="16">
        <v>0</v>
      </c>
      <c r="I3" s="16">
        <v>0</v>
      </c>
      <c r="J3" s="16">
        <v>0</v>
      </c>
      <c r="K3" s="16">
        <v>0</v>
      </c>
      <c r="L3" s="16">
        <v>0</v>
      </c>
      <c r="M3" s="4">
        <f t="shared" ref="M3:M9" si="0">SUM(E3:L3)</f>
        <v>58.94</v>
      </c>
      <c r="N3" s="4">
        <f t="shared" ref="N3:N9" si="1">M3-B3</f>
        <v>-1.06</v>
      </c>
      <c r="O3" s="18">
        <f t="shared" ref="O3:O9" si="2">N3/B3</f>
        <v>-1.77E-2</v>
      </c>
      <c r="P3" s="4">
        <f>'2025.03'!X5</f>
        <v>0</v>
      </c>
      <c r="Q3" s="4">
        <f>'2025.03'!U5</f>
        <v>0</v>
      </c>
      <c r="R3" s="4">
        <f>'2025.03'!W5</f>
        <v>0</v>
      </c>
      <c r="S3" s="4">
        <f>'2025.03'!V5</f>
        <v>0</v>
      </c>
    </row>
    <row r="4" spans="1:45" x14ac:dyDescent="0.25">
      <c r="A4" s="41">
        <f>'2025.04'!Q2</f>
        <v>2025.04</v>
      </c>
      <c r="B4" s="4">
        <f>B3+'2025.04'!Q5</f>
        <v>90</v>
      </c>
      <c r="C4" s="4">
        <f>'2025.04'!R5</f>
        <v>0</v>
      </c>
      <c r="D4" s="4">
        <f>D3+'2025.04'!S5</f>
        <v>90</v>
      </c>
      <c r="E4" s="4">
        <f>'SEB Active 55'!H6</f>
        <v>43.89</v>
      </c>
      <c r="F4" s="4">
        <f>'SEB Active 80'!H6</f>
        <v>43.37</v>
      </c>
      <c r="G4" s="16">
        <v>0</v>
      </c>
      <c r="H4" s="16">
        <v>0</v>
      </c>
      <c r="I4" s="16">
        <v>0</v>
      </c>
      <c r="J4" s="16">
        <v>0</v>
      </c>
      <c r="K4" s="16">
        <v>0</v>
      </c>
      <c r="L4" s="16">
        <v>0</v>
      </c>
      <c r="M4" s="4">
        <f t="shared" si="0"/>
        <v>87.26</v>
      </c>
      <c r="N4" s="4">
        <f t="shared" si="1"/>
        <v>-2.74</v>
      </c>
      <c r="O4" s="18">
        <f t="shared" si="2"/>
        <v>-3.04E-2</v>
      </c>
      <c r="P4" s="4">
        <f>'2025.04'!X5</f>
        <v>0</v>
      </c>
      <c r="Q4" s="4">
        <f>'2025.04'!U5</f>
        <v>0</v>
      </c>
      <c r="R4" s="4">
        <f>'2025.04'!W5</f>
        <v>0</v>
      </c>
      <c r="S4" s="4">
        <f>'2025.04'!V5</f>
        <v>0</v>
      </c>
    </row>
    <row r="5" spans="1:45" x14ac:dyDescent="0.25">
      <c r="A5" s="41">
        <f>'2025.05'!Q2</f>
        <v>2025.05</v>
      </c>
      <c r="B5" s="4">
        <f>B4+'2025.05'!Q5</f>
        <v>120</v>
      </c>
      <c r="C5" s="4">
        <f>'2025.05'!R5</f>
        <v>0</v>
      </c>
      <c r="D5" s="4">
        <f>D4+'2025.05'!S5</f>
        <v>120</v>
      </c>
      <c r="E5" s="4">
        <f>'SEB Active 55'!H7</f>
        <v>60.69</v>
      </c>
      <c r="F5" s="4">
        <f>'SEB Active 80'!H7</f>
        <v>61.01</v>
      </c>
      <c r="G5" s="16">
        <v>0</v>
      </c>
      <c r="H5" s="16">
        <v>0</v>
      </c>
      <c r="I5" s="16">
        <v>0</v>
      </c>
      <c r="J5" s="16">
        <v>0</v>
      </c>
      <c r="K5" s="16">
        <v>0</v>
      </c>
      <c r="L5" s="16">
        <v>0</v>
      </c>
      <c r="M5" s="4">
        <f t="shared" si="0"/>
        <v>121.7</v>
      </c>
      <c r="N5" s="4">
        <f t="shared" si="1"/>
        <v>1.7</v>
      </c>
      <c r="O5" s="18">
        <f t="shared" si="2"/>
        <v>1.4200000000000001E-2</v>
      </c>
      <c r="P5" s="4">
        <f>'2025.05'!X5</f>
        <v>0</v>
      </c>
      <c r="Q5" s="4">
        <f>'2025.05'!U5</f>
        <v>0</v>
      </c>
      <c r="R5" s="4">
        <f>'2025.05'!W5</f>
        <v>0</v>
      </c>
      <c r="S5" s="4">
        <f>'2025.05'!V5</f>
        <v>0.02</v>
      </c>
    </row>
    <row r="6" spans="1:45" x14ac:dyDescent="0.25">
      <c r="A6" s="41">
        <f>'2025.06'!Q2</f>
        <v>2025.06</v>
      </c>
      <c r="B6" s="4">
        <f>B5+'2025.06'!Q5</f>
        <v>150</v>
      </c>
      <c r="C6" s="4">
        <f>'2025.06'!R5</f>
        <v>0</v>
      </c>
      <c r="D6" s="4">
        <f>D5+'2025.06'!S5</f>
        <v>150</v>
      </c>
      <c r="E6" s="4">
        <f>'SEB Active 55'!H8</f>
        <v>75.84</v>
      </c>
      <c r="F6" s="4">
        <f>'SEB Active 80'!H8</f>
        <v>75.81</v>
      </c>
      <c r="G6" s="16">
        <v>0</v>
      </c>
      <c r="H6" s="16">
        <v>0</v>
      </c>
      <c r="I6" s="16">
        <v>0</v>
      </c>
      <c r="J6" s="16">
        <v>0</v>
      </c>
      <c r="K6" s="16">
        <v>0</v>
      </c>
      <c r="L6" s="16">
        <v>0</v>
      </c>
      <c r="M6" s="4">
        <f t="shared" si="0"/>
        <v>151.65</v>
      </c>
      <c r="N6" s="4">
        <f t="shared" si="1"/>
        <v>1.65</v>
      </c>
      <c r="O6" s="18">
        <f t="shared" si="2"/>
        <v>1.0999999999999999E-2</v>
      </c>
      <c r="P6" s="4">
        <f>'2025.06'!X5</f>
        <v>0</v>
      </c>
      <c r="Q6" s="4">
        <f>'2025.06'!U5</f>
        <v>0</v>
      </c>
      <c r="R6" s="4">
        <f>'2025.06'!W5</f>
        <v>0</v>
      </c>
      <c r="S6" s="4">
        <f>'2025.06'!V5</f>
        <v>0.04</v>
      </c>
    </row>
    <row r="7" spans="1:45" x14ac:dyDescent="0.25">
      <c r="A7" s="41">
        <f>'2025.07'!Q2</f>
        <v>2025.07</v>
      </c>
      <c r="B7" s="4">
        <f>B6+'2025.07'!Q5</f>
        <v>180</v>
      </c>
      <c r="C7" s="4">
        <f>'2025.07'!R5</f>
        <v>0</v>
      </c>
      <c r="D7" s="4">
        <f>D6+'2025.07'!S5</f>
        <v>180</v>
      </c>
      <c r="E7" s="4">
        <f>'SEB Active 55'!H9</f>
        <v>91.88</v>
      </c>
      <c r="F7" s="4">
        <f>'SEB Active 80'!H9</f>
        <v>92.22</v>
      </c>
      <c r="G7" s="16">
        <v>0</v>
      </c>
      <c r="H7" s="16">
        <v>0</v>
      </c>
      <c r="I7" s="16">
        <v>0</v>
      </c>
      <c r="J7" s="16">
        <v>0</v>
      </c>
      <c r="K7" s="16">
        <v>0</v>
      </c>
      <c r="L7" s="16">
        <v>0</v>
      </c>
      <c r="M7" s="4">
        <f t="shared" si="0"/>
        <v>184.1</v>
      </c>
      <c r="N7" s="4">
        <f t="shared" si="1"/>
        <v>4.0999999999999996</v>
      </c>
      <c r="O7" s="18">
        <f t="shared" si="2"/>
        <v>2.2800000000000001E-2</v>
      </c>
      <c r="P7" s="4">
        <f>'2025.07'!X5</f>
        <v>0</v>
      </c>
      <c r="Q7" s="4">
        <f>'2025.07'!U5</f>
        <v>0</v>
      </c>
      <c r="R7" s="4">
        <f>'2025.07'!W5</f>
        <v>0</v>
      </c>
      <c r="S7" s="4">
        <f>'2025.07'!V5</f>
        <v>0.04</v>
      </c>
    </row>
    <row r="8" spans="1:45" x14ac:dyDescent="0.25">
      <c r="A8" s="41">
        <f>'2025.08'!Q2</f>
        <v>2025.08</v>
      </c>
      <c r="B8" s="4">
        <f>B7+'2025.08'!Q5</f>
        <v>210</v>
      </c>
      <c r="C8" s="4">
        <f>'2025.08'!R5</f>
        <v>0</v>
      </c>
      <c r="D8" s="4">
        <f>D7+'2025.08'!S5</f>
        <v>210</v>
      </c>
      <c r="E8" s="4">
        <f>'SEB Active 55'!H10</f>
        <v>107.17</v>
      </c>
      <c r="F8" s="4">
        <f>'SEB Active 80'!H10</f>
        <v>107.46</v>
      </c>
      <c r="G8" s="16">
        <v>0</v>
      </c>
      <c r="H8" s="16">
        <v>0</v>
      </c>
      <c r="I8" s="16">
        <v>0</v>
      </c>
      <c r="J8" s="16">
        <v>0</v>
      </c>
      <c r="K8" s="16">
        <v>0</v>
      </c>
      <c r="L8" s="16">
        <v>0</v>
      </c>
      <c r="M8" s="4">
        <f t="shared" si="0"/>
        <v>214.63</v>
      </c>
      <c r="N8" s="4">
        <f t="shared" si="1"/>
        <v>4.63</v>
      </c>
      <c r="O8" s="18">
        <f t="shared" si="2"/>
        <v>2.1999999999999999E-2</v>
      </c>
      <c r="P8" s="4">
        <f>'2025.08'!X5</f>
        <v>0</v>
      </c>
      <c r="Q8" s="4">
        <f>'2025.08'!U5</f>
        <v>0</v>
      </c>
      <c r="R8" s="4">
        <f>'2025.08'!W5</f>
        <v>0</v>
      </c>
      <c r="S8" s="4">
        <f>'2025.08'!V5</f>
        <v>0.06</v>
      </c>
    </row>
    <row r="9" spans="1:45" x14ac:dyDescent="0.25">
      <c r="A9" s="41">
        <f>'2025.09'!Q2</f>
        <v>2025.09</v>
      </c>
      <c r="B9" s="4">
        <f>B8+'2025.09'!Q5</f>
        <v>240</v>
      </c>
      <c r="C9" s="4">
        <f>'2025.09'!R5</f>
        <v>0</v>
      </c>
      <c r="D9" s="4">
        <f>D8+'2025.09'!S5</f>
        <v>240</v>
      </c>
      <c r="E9" s="4">
        <f>'SEB Active 55'!H11</f>
        <v>122.91</v>
      </c>
      <c r="F9" s="4">
        <f>'SEB Active 80'!H11</f>
        <v>123.1</v>
      </c>
      <c r="G9" s="16">
        <v>0</v>
      </c>
      <c r="H9" s="16">
        <v>0</v>
      </c>
      <c r="I9" s="16">
        <v>0</v>
      </c>
      <c r="J9" s="16">
        <v>0</v>
      </c>
      <c r="K9" s="16">
        <v>0</v>
      </c>
      <c r="L9" s="16">
        <v>0</v>
      </c>
      <c r="M9" s="4">
        <f t="shared" si="0"/>
        <v>246.01</v>
      </c>
      <c r="N9" s="4">
        <f t="shared" si="1"/>
        <v>6.01</v>
      </c>
      <c r="O9" s="18">
        <f t="shared" si="2"/>
        <v>2.5000000000000001E-2</v>
      </c>
      <c r="P9" s="4">
        <f>'2025.09'!X5</f>
        <v>0</v>
      </c>
      <c r="Q9" s="4">
        <f>'2025.09'!U5</f>
        <v>0</v>
      </c>
      <c r="R9" s="4">
        <f>'2025.09'!W5</f>
        <v>0</v>
      </c>
      <c r="S9" s="4">
        <f>'2025.09'!V5</f>
        <v>0.06</v>
      </c>
    </row>
    <row r="10" spans="1:45" x14ac:dyDescent="0.25">
      <c r="A10" s="41">
        <f>'2025.10'!Q2</f>
        <v>2025.1</v>
      </c>
      <c r="B10" s="4">
        <f>B9+'2025.10'!Q5</f>
        <v>270</v>
      </c>
      <c r="C10" s="4">
        <f>'2025.10'!R5</f>
        <v>0</v>
      </c>
      <c r="D10" s="4">
        <f>D9+'2025.10'!S5</f>
        <v>270</v>
      </c>
      <c r="E10" s="4">
        <f>'SEB Active 55'!H12</f>
        <v>141.52000000000001</v>
      </c>
      <c r="F10" s="4">
        <f>'SEB Active 80'!H12</f>
        <v>143.22</v>
      </c>
      <c r="G10" s="16">
        <v>0</v>
      </c>
      <c r="H10" s="16">
        <v>0</v>
      </c>
      <c r="I10" s="16">
        <v>0</v>
      </c>
      <c r="J10" s="16">
        <v>0</v>
      </c>
      <c r="K10" s="16">
        <v>0</v>
      </c>
      <c r="L10" s="16">
        <v>0</v>
      </c>
      <c r="M10" s="4">
        <f t="shared" ref="M10" si="3">SUM(E10:L10)</f>
        <v>284.74</v>
      </c>
      <c r="N10" s="4">
        <f t="shared" ref="N10" si="4">M10-B10</f>
        <v>14.74</v>
      </c>
      <c r="O10" s="18">
        <f t="shared" ref="O10" si="5">N10/B10</f>
        <v>5.4600000000000003E-2</v>
      </c>
      <c r="P10" s="4">
        <f>'2025.10'!X5</f>
        <v>0</v>
      </c>
      <c r="Q10" s="4">
        <f>'2025.10'!U5</f>
        <v>0</v>
      </c>
      <c r="R10" s="4">
        <f>'2025.10'!W5</f>
        <v>0</v>
      </c>
      <c r="S10" s="4">
        <f>'2025.10'!V5</f>
        <v>0</v>
      </c>
    </row>
    <row r="11" spans="1:45" x14ac:dyDescent="0.25">
      <c r="A11" s="41">
        <f>'2025.11'!Q2</f>
        <v>2025.11</v>
      </c>
      <c r="B11" s="4">
        <f>B10+'2025.11'!Q5</f>
        <v>300</v>
      </c>
      <c r="C11" s="4">
        <f>'2025.11'!R5</f>
        <v>0</v>
      </c>
      <c r="D11" s="4">
        <f>D10+'2025.11'!S5</f>
        <v>300</v>
      </c>
      <c r="E11" s="4">
        <f>'SEB Active 55'!H13</f>
        <v>155.82</v>
      </c>
      <c r="F11" s="4">
        <f>'SEB Active 80'!H13</f>
        <v>157.29</v>
      </c>
      <c r="G11" s="16">
        <v>0</v>
      </c>
      <c r="H11" s="16">
        <v>0</v>
      </c>
      <c r="I11" s="16">
        <v>0</v>
      </c>
      <c r="J11" s="16">
        <v>0</v>
      </c>
      <c r="K11" s="16">
        <v>0</v>
      </c>
      <c r="L11" s="16">
        <v>0</v>
      </c>
      <c r="M11" s="4">
        <f t="shared" ref="M11" si="6">SUM(E11:L11)</f>
        <v>313.11</v>
      </c>
      <c r="N11" s="4">
        <f t="shared" ref="N11" si="7">M11-B11</f>
        <v>13.11</v>
      </c>
      <c r="O11" s="18">
        <f t="shared" ref="O11" si="8">N11/B11</f>
        <v>4.3700000000000003E-2</v>
      </c>
      <c r="P11" s="4">
        <f>'2025.11'!X5</f>
        <v>0</v>
      </c>
      <c r="Q11" s="4">
        <f>'2025.11'!U5</f>
        <v>0</v>
      </c>
      <c r="R11" s="4">
        <f>'2025.11'!W5</f>
        <v>0</v>
      </c>
      <c r="S11" s="4">
        <f>'2025.11'!V5</f>
        <v>0.16</v>
      </c>
    </row>
    <row r="12" spans="1:45" x14ac:dyDescent="0.25">
      <c r="A12" s="41">
        <f>'2025.12'!Q2</f>
        <v>2025.12</v>
      </c>
      <c r="B12" s="4">
        <f>B11+'2025.12'!Q5</f>
        <v>300</v>
      </c>
      <c r="C12" s="4">
        <f>'2025.12'!R5</f>
        <v>0</v>
      </c>
      <c r="D12" s="4">
        <f>D11+'2025.12'!S5</f>
        <v>300</v>
      </c>
      <c r="E12" s="4">
        <f>'SEB Active 55'!H14</f>
        <v>157.80000000000001</v>
      </c>
      <c r="F12" s="4">
        <f>'SEB Active 80'!H14</f>
        <v>160.05000000000001</v>
      </c>
      <c r="G12" s="16">
        <v>0</v>
      </c>
      <c r="H12" s="16">
        <v>0</v>
      </c>
      <c r="I12" s="16">
        <v>0</v>
      </c>
      <c r="J12" s="16">
        <v>0</v>
      </c>
      <c r="K12" s="16">
        <v>0</v>
      </c>
      <c r="L12" s="16">
        <v>0</v>
      </c>
      <c r="M12" s="4">
        <f t="shared" ref="M12" si="9">SUM(E12:L12)</f>
        <v>317.85000000000002</v>
      </c>
      <c r="N12" s="4">
        <f t="shared" ref="N12" si="10">M12-B12</f>
        <v>17.850000000000001</v>
      </c>
      <c r="O12" s="18">
        <f t="shared" ref="O12" si="11">N12/B12</f>
        <v>5.9499999999999997E-2</v>
      </c>
      <c r="P12" s="4">
        <f>'2025.12'!X5</f>
        <v>0</v>
      </c>
      <c r="Q12" s="4">
        <f>'2025.12'!U5</f>
        <v>0</v>
      </c>
      <c r="R12" s="4">
        <f>'2025.12'!W5</f>
        <v>0</v>
      </c>
      <c r="S12" s="4">
        <f>'2025.12'!V5</f>
        <v>0.1</v>
      </c>
    </row>
    <row r="13" spans="1:45" x14ac:dyDescent="0.25">
      <c r="A13" s="41">
        <f>'2026.01'!Q2</f>
        <v>2026.01</v>
      </c>
      <c r="B13" s="4">
        <f>B12+'2026.01'!Q5</f>
        <v>360</v>
      </c>
      <c r="C13" s="4">
        <f>'2026.01'!R5</f>
        <v>0</v>
      </c>
      <c r="D13" s="4">
        <f>D12+'2026.01'!S5</f>
        <v>360</v>
      </c>
      <c r="E13" s="4">
        <f>'SEB Active 55'!H15</f>
        <v>191.65</v>
      </c>
      <c r="F13" s="4">
        <f>'SEB Active 80'!H15</f>
        <v>194.74</v>
      </c>
      <c r="G13" s="16">
        <v>0</v>
      </c>
      <c r="H13" s="16">
        <v>0</v>
      </c>
      <c r="I13" s="16">
        <v>0</v>
      </c>
      <c r="J13" s="16">
        <v>0</v>
      </c>
      <c r="K13" s="16">
        <v>0</v>
      </c>
      <c r="L13" s="16">
        <v>0</v>
      </c>
      <c r="M13" s="4">
        <f t="shared" ref="M13" si="12">SUM(E13:L13)</f>
        <v>386.39</v>
      </c>
      <c r="N13" s="4">
        <f t="shared" ref="N13" si="13">M13-B13</f>
        <v>26.39</v>
      </c>
      <c r="O13" s="18">
        <f t="shared" ref="O13" si="14">N13/B13</f>
        <v>7.3300000000000004E-2</v>
      </c>
      <c r="P13" s="4">
        <f>'2026.01'!X5</f>
        <v>0</v>
      </c>
      <c r="Q13" s="4">
        <f>'2026.01'!U5</f>
        <v>0</v>
      </c>
      <c r="R13" s="4">
        <f>'2026.01'!W5</f>
        <v>0</v>
      </c>
      <c r="S13" s="4">
        <f>'2026.01'!V5</f>
        <v>0.11</v>
      </c>
    </row>
    <row r="14" spans="1:45" x14ac:dyDescent="0.25">
      <c r="A14" s="41">
        <f>'2026.02'!Q2</f>
        <v>2026.02</v>
      </c>
      <c r="B14" s="4">
        <f>B13+'2026.02'!Q5</f>
        <v>390</v>
      </c>
      <c r="C14" s="4">
        <f>'2026.02'!R5</f>
        <v>0</v>
      </c>
      <c r="D14" s="4">
        <f>D13+'2026.02'!S5</f>
        <v>390</v>
      </c>
      <c r="E14" s="4">
        <f>'SEB Active 55'!H16</f>
        <v>208.94</v>
      </c>
      <c r="F14" s="4">
        <f>'SEB Active 80'!H16</f>
        <v>212.48</v>
      </c>
      <c r="G14" s="16">
        <v>0</v>
      </c>
      <c r="H14" s="16">
        <v>0</v>
      </c>
      <c r="I14" s="16">
        <v>0</v>
      </c>
      <c r="J14" s="16">
        <v>0</v>
      </c>
      <c r="K14" s="16">
        <v>0</v>
      </c>
      <c r="L14" s="16">
        <v>0</v>
      </c>
      <c r="M14" s="4">
        <f t="shared" ref="M14" si="15">SUM(E14:L14)</f>
        <v>421.42</v>
      </c>
      <c r="N14" s="4">
        <f t="shared" ref="N14" si="16">M14-B14</f>
        <v>31.42</v>
      </c>
      <c r="O14" s="18">
        <f t="shared" ref="O14" si="17">N14/B14</f>
        <v>8.0600000000000005E-2</v>
      </c>
      <c r="P14" s="4">
        <f>'2026.02'!X5</f>
        <v>0</v>
      </c>
      <c r="Q14" s="4">
        <f>'2026.02'!U5</f>
        <v>0</v>
      </c>
      <c r="R14" s="4">
        <f>'2026.02'!W5</f>
        <v>0</v>
      </c>
      <c r="S14" s="4">
        <f>'2026.02'!V5</f>
        <v>0.12</v>
      </c>
    </row>
    <row r="15" spans="1:45" x14ac:dyDescent="0.25">
      <c r="A15" s="41">
        <f>'2026.03'!Q2</f>
        <v>2026.03</v>
      </c>
      <c r="B15" s="4">
        <f>B14+'2026.03'!Q5</f>
        <v>420</v>
      </c>
      <c r="C15" s="4">
        <f>'2026.03'!R5</f>
        <v>0</v>
      </c>
      <c r="D15" s="4">
        <f>D14+'2026.03'!S5</f>
        <v>420</v>
      </c>
      <c r="E15" s="4">
        <f>'SEB Active 55'!H17</f>
        <v>209.2</v>
      </c>
      <c r="F15" s="4">
        <f>'SEB Active 80'!H17</f>
        <v>209.48</v>
      </c>
      <c r="G15" s="16">
        <v>0</v>
      </c>
      <c r="H15" s="16">
        <v>0</v>
      </c>
      <c r="I15" s="16">
        <v>0</v>
      </c>
      <c r="J15" s="16">
        <v>0</v>
      </c>
      <c r="K15" s="16">
        <v>0</v>
      </c>
      <c r="L15" s="16">
        <v>0</v>
      </c>
      <c r="M15" s="4">
        <f t="shared" ref="M15" si="18">SUM(E15:L15)</f>
        <v>418.68</v>
      </c>
      <c r="N15" s="4">
        <f t="shared" ref="N15" si="19">M15-B15</f>
        <v>-1.32</v>
      </c>
      <c r="O15" s="18">
        <f t="shared" ref="O15" si="20">N15/B15</f>
        <v>-3.0999999999999999E-3</v>
      </c>
      <c r="P15" s="4">
        <f>'2026.03'!X5</f>
        <v>0</v>
      </c>
      <c r="Q15" s="4">
        <f>'2026.03'!U5</f>
        <v>0</v>
      </c>
      <c r="R15" s="4">
        <f>'2026.03'!W5</f>
        <v>0</v>
      </c>
      <c r="S15" s="4">
        <f>'2026.03'!V5</f>
        <v>0.14000000000000001</v>
      </c>
    </row>
    <row r="16" spans="1:45" x14ac:dyDescent="0.25">
      <c r="A16" s="41">
        <f>'2026.04'!$Q$2</f>
        <v>2026.04</v>
      </c>
      <c r="B16" s="4">
        <f>B15+'2026.04'!$Q$5</f>
        <v>450</v>
      </c>
      <c r="C16" s="4">
        <f>'2026.04'!$R$5</f>
        <v>0</v>
      </c>
      <c r="D16" s="4">
        <f>D15+'2026.04'!$S$5</f>
        <v>450</v>
      </c>
      <c r="E16" s="4">
        <f>'SEB Active 55'!H18</f>
        <v>236.3</v>
      </c>
      <c r="F16" s="4">
        <f>'SEB Active 80'!H18</f>
        <v>240.29</v>
      </c>
      <c r="G16" s="16">
        <v>0</v>
      </c>
      <c r="H16" s="16">
        <v>0</v>
      </c>
      <c r="I16" s="16">
        <v>0</v>
      </c>
      <c r="J16" s="16">
        <v>0</v>
      </c>
      <c r="K16" s="16">
        <v>0</v>
      </c>
      <c r="L16" s="16">
        <v>0</v>
      </c>
      <c r="M16" s="4">
        <f t="shared" ref="M16" si="21">SUM(E16:L16)</f>
        <v>476.59</v>
      </c>
      <c r="N16" s="4">
        <f t="shared" ref="N16" si="22">M16-B16</f>
        <v>26.59</v>
      </c>
      <c r="O16" s="18">
        <f t="shared" ref="O16" si="23">N16/B16</f>
        <v>5.91E-2</v>
      </c>
      <c r="P16" s="4">
        <f>'2026.04'!$X$5</f>
        <v>0</v>
      </c>
      <c r="Q16" s="4">
        <f>'2026.04'!$U$5</f>
        <v>0</v>
      </c>
      <c r="R16" s="4">
        <f>'2026.04'!$W$5</f>
        <v>0</v>
      </c>
      <c r="S16" s="4">
        <f>'2026.04'!$V$5</f>
        <v>0.14000000000000001</v>
      </c>
    </row>
    <row r="17" spans="1:19" x14ac:dyDescent="0.25">
      <c r="A17" s="41">
        <f>'2026.05'!$Q$2</f>
        <v>2026.05</v>
      </c>
      <c r="B17" s="4">
        <f>B16+'2026.05'!$Q$5</f>
        <v>480</v>
      </c>
      <c r="C17" s="4">
        <f>'2026.05'!$R$5</f>
        <v>0</v>
      </c>
      <c r="D17" s="4">
        <f>D16+'2026.05'!$S$5</f>
        <v>480</v>
      </c>
      <c r="E17" s="4">
        <f>'SEB Active 55'!H19</f>
        <v>260.44</v>
      </c>
      <c r="F17" s="4">
        <f>'SEB Active 80'!H19</f>
        <v>266.63</v>
      </c>
      <c r="G17" s="16">
        <v>0</v>
      </c>
      <c r="H17" s="16">
        <v>0</v>
      </c>
      <c r="I17" s="16">
        <v>0</v>
      </c>
      <c r="J17" s="16">
        <v>0</v>
      </c>
      <c r="K17" s="16">
        <v>0</v>
      </c>
      <c r="L17" s="16">
        <v>0</v>
      </c>
      <c r="M17" s="4">
        <f t="shared" ref="M17" si="24">SUM(E17:L17)</f>
        <v>527.07000000000005</v>
      </c>
      <c r="N17" s="4">
        <f t="shared" ref="N17" si="25">M17-B17</f>
        <v>47.07</v>
      </c>
      <c r="O17" s="18">
        <f t="shared" ref="O17" si="26">N17/B17</f>
        <v>9.8100000000000007E-2</v>
      </c>
      <c r="P17" s="4">
        <f>'2026.05'!$X$5</f>
        <v>0</v>
      </c>
      <c r="Q17" s="4">
        <f>'2026.05'!$U$5</f>
        <v>0</v>
      </c>
      <c r="R17" s="4">
        <f>'2026.05'!$W$5</f>
        <v>0</v>
      </c>
      <c r="S17" s="4">
        <f>'2026.05'!$V$5</f>
        <v>0.16</v>
      </c>
    </row>
    <row r="18" spans="1:19" x14ac:dyDescent="0.25">
      <c r="A18" s="41">
        <f>'2026.06'!$Q$2</f>
        <v>2026.06</v>
      </c>
      <c r="B18" s="4">
        <f>B17+'2026.06'!$Q$5</f>
        <v>510</v>
      </c>
      <c r="C18" s="4">
        <f>'2026.06'!$R$5</f>
        <v>0</v>
      </c>
      <c r="D18" s="4">
        <f>D17+'2026.06'!$S$5</f>
        <v>510</v>
      </c>
      <c r="E18" s="4">
        <f>'SEB Active 55'!H20</f>
        <v>277.18</v>
      </c>
      <c r="F18" s="4">
        <f>'SEB Active 80'!H20</f>
        <v>283.62</v>
      </c>
      <c r="G18" s="16">
        <v>0</v>
      </c>
      <c r="H18" s="16">
        <v>0</v>
      </c>
      <c r="I18" s="16">
        <v>0</v>
      </c>
      <c r="J18" s="16">
        <v>0</v>
      </c>
      <c r="K18" s="16">
        <v>0</v>
      </c>
      <c r="L18" s="16">
        <v>0</v>
      </c>
      <c r="M18" s="4">
        <f t="shared" ref="M18" si="27">SUM(E18:L18)</f>
        <v>560.79999999999995</v>
      </c>
      <c r="N18" s="4">
        <f t="shared" ref="N18" si="28">M18-B18</f>
        <v>50.8</v>
      </c>
      <c r="O18" s="18">
        <f t="shared" ref="O18" si="29">N18/B18</f>
        <v>9.9599999999999994E-2</v>
      </c>
      <c r="P18" s="4">
        <f>'2026.06'!$X$5</f>
        <v>0</v>
      </c>
      <c r="Q18" s="4">
        <f>'2026.06'!$U$5</f>
        <v>0</v>
      </c>
      <c r="R18" s="4">
        <f>'2026.06'!$W$5</f>
        <v>0</v>
      </c>
      <c r="S18" s="4">
        <f>'2026.06'!$V$5</f>
        <v>0.18</v>
      </c>
    </row>
    <row r="19" spans="1:19" x14ac:dyDescent="0.25">
      <c r="A19" s="41">
        <f>'2026.07'!$Q$2</f>
        <v>2026.07</v>
      </c>
      <c r="B19" s="4">
        <f>B18+'2026.07'!$Q$5</f>
        <v>540</v>
      </c>
      <c r="C19" s="4">
        <f>'2026.07'!$R$5</f>
        <v>0</v>
      </c>
      <c r="D19" s="4">
        <f>D18+'2026.07'!$S$5</f>
        <v>540</v>
      </c>
      <c r="E19" s="4">
        <f>'SEB Active 55'!H21</f>
        <v>292.58999999999997</v>
      </c>
      <c r="F19" s="4">
        <f>'SEB Active 80'!H21</f>
        <v>300.48</v>
      </c>
      <c r="G19" s="16">
        <v>0</v>
      </c>
      <c r="H19" s="16">
        <v>0</v>
      </c>
      <c r="I19" s="16">
        <v>0</v>
      </c>
      <c r="J19" s="16">
        <v>0</v>
      </c>
      <c r="K19" s="16">
        <v>0</v>
      </c>
      <c r="L19" s="16">
        <v>0</v>
      </c>
      <c r="M19" s="4">
        <f t="shared" ref="M19" si="30">SUM(E19:L19)</f>
        <v>593.07000000000005</v>
      </c>
      <c r="N19" s="4">
        <f t="shared" ref="N19" si="31">M19-B19</f>
        <v>53.07</v>
      </c>
      <c r="O19" s="18">
        <f t="shared" ref="O19" si="32">N19/B19</f>
        <v>9.8299999999999998E-2</v>
      </c>
      <c r="P19" s="4">
        <f>'2026.07'!$X$5</f>
        <v>0</v>
      </c>
      <c r="Q19" s="4">
        <f>'2026.07'!$U$5</f>
        <v>0</v>
      </c>
      <c r="R19" s="4">
        <f>'2026.07'!$W$5</f>
        <v>0</v>
      </c>
      <c r="S19" s="4">
        <f>'2026.07'!$V$5</f>
        <v>0.18</v>
      </c>
    </row>
    <row r="20" spans="1:19" x14ac:dyDescent="0.25">
      <c r="A20" s="41">
        <f>'2026.08'!$Q$2</f>
        <v>2026.08</v>
      </c>
      <c r="B20" s="4">
        <f>B19+'2026.08'!$Q$5</f>
        <v>570</v>
      </c>
      <c r="C20" s="4">
        <f>'2026.08'!$R$5</f>
        <v>0</v>
      </c>
      <c r="D20" s="4">
        <f>D19+'2026.08'!$S$5</f>
        <v>570</v>
      </c>
      <c r="E20" s="4">
        <f>'SEB Active 55'!H22</f>
        <v>313.74</v>
      </c>
      <c r="F20" s="4">
        <f>'SEB Active 80'!H22</f>
        <v>323.61</v>
      </c>
      <c r="G20" s="16">
        <v>0</v>
      </c>
      <c r="H20" s="16">
        <v>0</v>
      </c>
      <c r="I20" s="16">
        <v>0</v>
      </c>
      <c r="J20" s="16">
        <v>0</v>
      </c>
      <c r="K20" s="16">
        <v>0</v>
      </c>
      <c r="L20" s="16">
        <v>0</v>
      </c>
      <c r="M20" s="4">
        <f t="shared" ref="M20" si="33">SUM(E20:L20)</f>
        <v>637.35</v>
      </c>
      <c r="N20" s="4">
        <f t="shared" ref="N20" si="34">M20-B20</f>
        <v>67.349999999999994</v>
      </c>
      <c r="O20" s="18">
        <f t="shared" ref="O20" si="35">N20/B20</f>
        <v>0.1182</v>
      </c>
      <c r="P20" s="4">
        <f>'2026.08'!$X$5</f>
        <v>0</v>
      </c>
      <c r="Q20" s="4">
        <f>'2026.08'!$U$5</f>
        <v>0</v>
      </c>
      <c r="R20" s="4">
        <f>'2026.08'!$W$5</f>
        <v>0</v>
      </c>
      <c r="S20" s="4">
        <f>'2026.08'!$V$5</f>
        <v>0.2</v>
      </c>
    </row>
    <row r="21" spans="1:19" x14ac:dyDescent="0.25">
      <c r="A21" s="41">
        <f>'2026.09'!$Q$2</f>
        <v>2026.09</v>
      </c>
      <c r="B21" s="4">
        <f>B20+'2026.09'!$Q$5</f>
        <v>600</v>
      </c>
      <c r="C21" s="4">
        <f>'2026.09'!$R$5</f>
        <v>0</v>
      </c>
      <c r="D21" s="4">
        <f>D20+'2026.09'!$S$5</f>
        <v>600</v>
      </c>
      <c r="E21" s="4">
        <f>'SEB Active 55'!H23</f>
        <v>325.17</v>
      </c>
      <c r="F21" s="4">
        <f>'SEB Active 80'!H23</f>
        <v>335.05</v>
      </c>
      <c r="G21" s="16">
        <v>0</v>
      </c>
      <c r="H21" s="16">
        <v>0</v>
      </c>
      <c r="I21" s="16">
        <v>0</v>
      </c>
      <c r="J21" s="16">
        <v>0</v>
      </c>
      <c r="K21" s="16">
        <v>0</v>
      </c>
      <c r="L21" s="16">
        <v>0</v>
      </c>
      <c r="M21" s="4">
        <f t="shared" ref="M21" si="36">SUM(E21:L21)</f>
        <v>660.22</v>
      </c>
      <c r="N21" s="4">
        <f t="shared" ref="N21" si="37">M21-B21</f>
        <v>60.22</v>
      </c>
      <c r="O21" s="18">
        <f t="shared" ref="O21" si="38">N21/B21</f>
        <v>0.1004</v>
      </c>
      <c r="P21" s="4">
        <f>'2026.09'!$X$5</f>
        <v>0</v>
      </c>
      <c r="Q21" s="4">
        <f>'2026.09'!$U$5</f>
        <v>0</v>
      </c>
      <c r="R21" s="4">
        <f>'2026.09'!$W$5</f>
        <v>0</v>
      </c>
      <c r="S21" s="4">
        <f>'2026.09'!$V$5</f>
        <v>0.21</v>
      </c>
    </row>
  </sheetData>
  <mergeCells count="5">
    <mergeCell ref="Q1:S1"/>
    <mergeCell ref="A1:A2"/>
    <mergeCell ref="B1:D1"/>
    <mergeCell ref="P1:P2"/>
    <mergeCell ref="E1:O1"/>
  </mergeCells>
  <hyperlinks>
    <hyperlink ref="E2" location="'SEB Active 55'!A1" display="Active 55" xr:uid="{17710A65-39A3-462A-8151-B230AFC04B41}"/>
    <hyperlink ref="F2" location="'SEB Active 80'!A1" display="Active 80" xr:uid="{728ED040-F952-4870-8C8C-DFD0D1A9B336}"/>
    <hyperlink ref="A3" location="'2025.03'!A1" display="'2025.03'!A1" xr:uid="{54C3983B-8BE5-48AC-85F7-5DDC5B69C56C}"/>
    <hyperlink ref="A4" location="'2025.04'!A1" display="'2025.04'!A1" xr:uid="{983CD445-A955-4218-B5C8-B8F9AEFA6F73}"/>
    <hyperlink ref="A5" location="'2025.05'!A1" display="'2025.05'!A1" xr:uid="{F4ED8CB5-186F-491F-B266-8A1DA067FB8D}"/>
    <hyperlink ref="A6" location="'2025.06'!A1" display="'2025.06'!A1" xr:uid="{B89A7DA3-EE5F-4FF5-BAFA-4B98174AD637}"/>
    <hyperlink ref="A7" location="'2025.07'!A1" display="'2025.07'!A1" xr:uid="{380434A3-0779-476B-96CF-B787587E9FD1}"/>
    <hyperlink ref="A8" location="'2025.08'!A1" display="'2025.08'!A1" xr:uid="{B8D9F635-822F-4113-9927-771C7D5682AC}"/>
    <hyperlink ref="A9" location="'2025.09'!A1" display="'2025.09'!A1" xr:uid="{8E433E67-5955-446A-9527-E8FFF30F6D23}"/>
    <hyperlink ref="A10" location="'2025.09'!A1" display="'2025.09'!A1" xr:uid="{144975F5-CE3D-4A62-978C-E4AD03D1A6E4}"/>
    <hyperlink ref="A11" location="'2025.11'!A1" display="'2025.11'!A1" xr:uid="{580E0E2C-FE89-42D6-91D3-B796D7629BD2}"/>
    <hyperlink ref="A12" location="'2025.12'!A1" display="'2025.12'!A1" xr:uid="{BCDF58B0-4D6C-4E93-A444-B6CAF7841A1E}"/>
    <hyperlink ref="A13" location="'2026.01'!A1" display="'2026.01'!A1" xr:uid="{15A7E638-686C-458C-9D66-7187C745D24E}"/>
    <hyperlink ref="A14" location="'2026.02'!A1" display="'2026.02'!A1" xr:uid="{C2A0D766-E324-4743-9326-D6B59C2362C0}"/>
    <hyperlink ref="A15" location="'2026.03'!A1" display="'2026.03'!A1" xr:uid="{414E4600-1220-467B-B289-0284DF243B91}"/>
    <hyperlink ref="A16" location="'2026.04'!A1" display="'2026.04'!A1" xr:uid="{38957499-8C9F-43B5-89C7-0729E1CE78ED}"/>
    <hyperlink ref="A17" location="'2026.05'!A1" display="'2026.05'!A1" xr:uid="{2DC7FE81-8705-4AA7-A7A9-A810DC467292}"/>
    <hyperlink ref="A18" location="'2026.06'!A1" display="'2026.06'!A1" xr:uid="{0C2612B3-7E7A-48E4-8A96-DB902BE773FB}"/>
    <hyperlink ref="A19" location="'2026.07'!A1" display="'2026.07'!A1" xr:uid="{F85B65FD-A301-49AA-BBB4-B29CEB0A42F7}"/>
    <hyperlink ref="A20" location="'2026.08'!A1" display="'2026.08'!A1" xr:uid="{6724D2B8-1329-4ABB-B9E5-2A9ABF3F3753}"/>
    <hyperlink ref="A21" location="'2026.08'!A1" display="'2026.08'!A1" xr:uid="{A2692618-7260-4A32-B677-610C8E22B2BB}"/>
  </hyperlink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G80"/>
  <sheetViews>
    <sheetView workbookViewId="0">
      <pane xSplit="1" ySplit="5" topLeftCell="B6" activePane="bottomRight" state="frozen"/>
      <selection pane="topRight" activeCell="B1" sqref="B1"/>
      <selection pane="bottomLeft" activeCell="A6" sqref="A6"/>
      <selection pane="bottomRight" activeCell="M24" sqref="M24"/>
    </sheetView>
  </sheetViews>
  <sheetFormatPr defaultRowHeight="15" x14ac:dyDescent="0.25"/>
  <cols>
    <col min="1" max="1" width="15.7109375" style="1" customWidth="1"/>
    <col min="2" max="13" width="10.7109375" customWidth="1"/>
    <col min="14" max="14" width="5.7109375" customWidth="1"/>
    <col min="15" max="25" width="10.7109375" customWidth="1"/>
    <col min="29" max="31" width="10.7109375" customWidth="1"/>
    <col min="32" max="32" width="15.7109375" customWidth="1"/>
    <col min="33" max="33" width="10.7109375" customWidth="1"/>
  </cols>
  <sheetData>
    <row r="1" spans="1:33" x14ac:dyDescent="0.25">
      <c r="A1" s="31" t="s">
        <v>39</v>
      </c>
    </row>
    <row r="3" spans="1:33" x14ac:dyDescent="0.25">
      <c r="A3" s="54" t="s">
        <v>29</v>
      </c>
      <c r="B3" s="57" t="s">
        <v>3</v>
      </c>
      <c r="C3" s="58"/>
      <c r="D3" s="59"/>
      <c r="E3" s="57" t="s">
        <v>1</v>
      </c>
      <c r="F3" s="59"/>
      <c r="G3" s="57" t="s">
        <v>32</v>
      </c>
      <c r="H3" s="58"/>
      <c r="I3" s="58"/>
      <c r="J3" s="59"/>
      <c r="K3" s="53" t="s">
        <v>26</v>
      </c>
      <c r="L3" s="53"/>
      <c r="M3" s="54" t="s">
        <v>4</v>
      </c>
      <c r="O3" s="62" t="s">
        <v>12</v>
      </c>
      <c r="P3" s="54" t="s">
        <v>11</v>
      </c>
      <c r="Q3" s="54" t="s">
        <v>1</v>
      </c>
      <c r="R3" s="54" t="s">
        <v>25</v>
      </c>
      <c r="S3" s="56" t="s">
        <v>9</v>
      </c>
      <c r="T3" s="56"/>
      <c r="U3" s="56"/>
      <c r="V3" s="57" t="s">
        <v>26</v>
      </c>
      <c r="W3" s="59"/>
      <c r="X3" s="54" t="s">
        <v>4</v>
      </c>
      <c r="Y3" s="54" t="s">
        <v>49</v>
      </c>
      <c r="AC3" s="56" t="s">
        <v>50</v>
      </c>
      <c r="AD3" s="56" t="s">
        <v>0</v>
      </c>
      <c r="AE3" s="56" t="s">
        <v>1</v>
      </c>
      <c r="AF3" s="60" t="s">
        <v>53</v>
      </c>
      <c r="AG3" s="61"/>
    </row>
    <row r="4" spans="1:33" x14ac:dyDescent="0.25">
      <c r="A4" s="55"/>
      <c r="B4" s="3" t="s">
        <v>11</v>
      </c>
      <c r="C4" s="3" t="s">
        <v>33</v>
      </c>
      <c r="D4" s="3" t="s">
        <v>34</v>
      </c>
      <c r="E4" s="3" t="s">
        <v>35</v>
      </c>
      <c r="F4" s="3" t="s">
        <v>30</v>
      </c>
      <c r="G4" s="3" t="s">
        <v>0</v>
      </c>
      <c r="H4" s="3" t="s">
        <v>5</v>
      </c>
      <c r="I4" s="3" t="s">
        <v>9</v>
      </c>
      <c r="J4" s="3" t="s">
        <v>7</v>
      </c>
      <c r="K4" s="3" t="s">
        <v>21</v>
      </c>
      <c r="L4" s="3" t="s">
        <v>22</v>
      </c>
      <c r="M4" s="55"/>
      <c r="O4" s="63"/>
      <c r="P4" s="55"/>
      <c r="Q4" s="55"/>
      <c r="R4" s="55"/>
      <c r="S4" s="39" t="s">
        <v>51</v>
      </c>
      <c r="T4" s="39" t="s">
        <v>7</v>
      </c>
      <c r="U4" s="39" t="s">
        <v>52</v>
      </c>
      <c r="V4" s="3" t="s">
        <v>21</v>
      </c>
      <c r="W4" s="13" t="s">
        <v>22</v>
      </c>
      <c r="X4" s="55"/>
      <c r="Y4" s="55"/>
      <c r="AC4" s="56"/>
      <c r="AD4" s="56"/>
      <c r="AE4" s="56"/>
      <c r="AF4" s="42" t="s">
        <v>29</v>
      </c>
      <c r="AG4" s="43" t="s">
        <v>50</v>
      </c>
    </row>
    <row r="5" spans="1:33" x14ac:dyDescent="0.25">
      <c r="A5" s="40">
        <f>'2025.03'!Q2</f>
        <v>2025.03</v>
      </c>
      <c r="B5" s="4">
        <f>'2025.03'!B19</f>
        <v>30</v>
      </c>
      <c r="C5" s="4">
        <f>'2025.03'!C19</f>
        <v>30</v>
      </c>
      <c r="D5" s="4">
        <f>C5</f>
        <v>30</v>
      </c>
      <c r="E5" s="6">
        <f>'2025.03'!F19</f>
        <v>0.2276</v>
      </c>
      <c r="F5" s="6">
        <f>E5</f>
        <v>0.2276</v>
      </c>
      <c r="G5" s="6">
        <v>129.9751</v>
      </c>
      <c r="H5" s="4">
        <f>F5*G5</f>
        <v>29.58</v>
      </c>
      <c r="I5" s="4">
        <f>H5-D5</f>
        <v>-0.42</v>
      </c>
      <c r="J5" s="18">
        <f>(H5-D5)/D5</f>
        <v>-1.4E-2</v>
      </c>
      <c r="K5" s="4">
        <f>'2025.03'!D19</f>
        <v>0</v>
      </c>
      <c r="L5" s="4">
        <f>'2025.03'!J19</f>
        <v>0</v>
      </c>
      <c r="M5" s="4">
        <f>'2025.03'!O19</f>
        <v>0</v>
      </c>
      <c r="O5" s="3" t="s">
        <v>2</v>
      </c>
      <c r="P5" s="4">
        <f>SUM(B5:B100)</f>
        <v>300</v>
      </c>
      <c r="Q5" s="7">
        <f>SUM(E5:E100)</f>
        <v>2.1589999999999998</v>
      </c>
      <c r="R5" s="4"/>
      <c r="S5" s="4">
        <f>R5-P5+X5</f>
        <v>-300</v>
      </c>
      <c r="T5" s="18">
        <f>(R5-P5+X5)/P5</f>
        <v>-1</v>
      </c>
      <c r="U5" s="18">
        <f ca="1">XIRR(AG5:AG85,AF5:AF85)</f>
        <v>0.16239999999999999</v>
      </c>
      <c r="V5" s="4">
        <f>SUM(K5:K100)</f>
        <v>0</v>
      </c>
      <c r="W5" s="4">
        <f>SUM(L5:L100)</f>
        <v>0</v>
      </c>
      <c r="X5" s="4">
        <f>SUM(M5:M100)</f>
        <v>0</v>
      </c>
      <c r="Y5" s="4" cm="1">
        <f t="array" ref="Y5">SUMPRODUCT(IFERROR(AD5:AD200,0),IFERROR(AE5:AE200,0))/SUM(IFERROR(AE5:AE200,0))</f>
        <v>138.68</v>
      </c>
      <c r="AC5" s="4">
        <f>'2025.03'!$C$19</f>
        <v>30</v>
      </c>
      <c r="AD5" s="4">
        <f>'2025.03'!$E$19</f>
        <v>131.81</v>
      </c>
      <c r="AE5" s="7">
        <f>'2025.03'!$F$19</f>
        <v>0.22800000000000001</v>
      </c>
      <c r="AF5" s="44">
        <f>'2025.03'!$A$15</f>
        <v>45743</v>
      </c>
      <c r="AG5" s="4">
        <f>'2025.03'!$B$15*-1</f>
        <v>-15</v>
      </c>
    </row>
    <row r="6" spans="1:33" x14ac:dyDescent="0.25">
      <c r="A6" s="41">
        <f>'2025.04'!Q2</f>
        <v>2025.04</v>
      </c>
      <c r="B6" s="4">
        <f>'2025.04'!B19</f>
        <v>15</v>
      </c>
      <c r="C6" s="4">
        <f>'2025.04'!C19</f>
        <v>15</v>
      </c>
      <c r="D6" s="4">
        <f t="shared" ref="D6:D16" si="0">D5+B6</f>
        <v>45</v>
      </c>
      <c r="E6" s="6">
        <f>'2025.04'!F19</f>
        <v>0.1192</v>
      </c>
      <c r="F6" s="6">
        <f t="shared" ref="F6:F16" si="1">F5+E6</f>
        <v>0.3468</v>
      </c>
      <c r="G6" s="6">
        <v>126.5641</v>
      </c>
      <c r="H6" s="4">
        <f t="shared" ref="H6:H16" si="2">F6*G6</f>
        <v>43.89</v>
      </c>
      <c r="I6" s="4">
        <f>H6-D6</f>
        <v>-1.1100000000000001</v>
      </c>
      <c r="J6" s="18">
        <f t="shared" ref="J6:J16" si="3">(H6-D6)/D6</f>
        <v>-2.47E-2</v>
      </c>
      <c r="K6" s="4">
        <f>'2025.04'!D19</f>
        <v>0</v>
      </c>
      <c r="L6" s="4">
        <f>'2025.04'!J19</f>
        <v>0</v>
      </c>
      <c r="M6" s="4">
        <f>'2025.04'!O19</f>
        <v>0</v>
      </c>
      <c r="AC6" s="4">
        <f>'2025.04'!$C$19</f>
        <v>15</v>
      </c>
      <c r="AD6" s="4">
        <f>'2025.04'!$E$19</f>
        <v>125.84</v>
      </c>
      <c r="AE6" s="7">
        <f>'2025.04'!$F$19</f>
        <v>0.11899999999999999</v>
      </c>
      <c r="AF6" s="44">
        <f>'2025.03'!$A$16</f>
        <v>45743</v>
      </c>
      <c r="AG6" s="4">
        <f>'2025.03'!$B$16*-1</f>
        <v>-15</v>
      </c>
    </row>
    <row r="7" spans="1:33" x14ac:dyDescent="0.25">
      <c r="A7" s="40">
        <f>'2025.05'!Q2</f>
        <v>2025.05</v>
      </c>
      <c r="B7" s="4">
        <f>'2025.05'!B19</f>
        <v>15</v>
      </c>
      <c r="C7" s="4">
        <f>'2025.05'!C19</f>
        <v>15</v>
      </c>
      <c r="D7" s="4">
        <f t="shared" si="0"/>
        <v>60</v>
      </c>
      <c r="E7" s="6">
        <f>'2025.05'!F19</f>
        <v>0.1143</v>
      </c>
      <c r="F7" s="6">
        <f t="shared" si="1"/>
        <v>0.46110000000000001</v>
      </c>
      <c r="G7" s="6">
        <v>131.62469999999999</v>
      </c>
      <c r="H7" s="4">
        <f t="shared" si="2"/>
        <v>60.69</v>
      </c>
      <c r="I7" s="4">
        <f t="shared" ref="I7:I16" si="4">H7-D7</f>
        <v>0.69</v>
      </c>
      <c r="J7" s="18">
        <f t="shared" si="3"/>
        <v>1.15E-2</v>
      </c>
      <c r="K7" s="4">
        <f>'2025.05'!D19</f>
        <v>0</v>
      </c>
      <c r="L7" s="4">
        <f>'2025.05'!J19</f>
        <v>0</v>
      </c>
      <c r="M7" s="4">
        <f>'2025.05'!O19</f>
        <v>0</v>
      </c>
      <c r="AC7" s="4">
        <f>'2025.05'!$C$19</f>
        <v>15</v>
      </c>
      <c r="AD7" s="4">
        <f>'2025.05'!$E$19</f>
        <v>131.22999999999999</v>
      </c>
      <c r="AE7" s="7">
        <f>'2025.05'!$F$19</f>
        <v>0.114</v>
      </c>
      <c r="AF7" s="44">
        <f>'2025.04'!$A$15</f>
        <v>45776</v>
      </c>
      <c r="AG7" s="4">
        <f>'2025.04'!$B$15*-1</f>
        <v>-15</v>
      </c>
    </row>
    <row r="8" spans="1:33" x14ac:dyDescent="0.25">
      <c r="A8" s="40">
        <f>'2025.06'!Q2</f>
        <v>2025.06</v>
      </c>
      <c r="B8" s="4">
        <f>'2025.06'!B19</f>
        <v>15</v>
      </c>
      <c r="C8" s="4">
        <f>'2025.06'!C19</f>
        <v>15</v>
      </c>
      <c r="D8" s="4">
        <f t="shared" si="0"/>
        <v>75</v>
      </c>
      <c r="E8" s="6">
        <f>'2025.06'!F19</f>
        <v>0.1147</v>
      </c>
      <c r="F8" s="6">
        <f t="shared" si="1"/>
        <v>0.57579999999999998</v>
      </c>
      <c r="G8" s="6">
        <v>131.7073</v>
      </c>
      <c r="H8" s="4">
        <f t="shared" si="2"/>
        <v>75.84</v>
      </c>
      <c r="I8" s="4">
        <f t="shared" si="4"/>
        <v>0.84</v>
      </c>
      <c r="J8" s="18">
        <f t="shared" si="3"/>
        <v>1.12E-2</v>
      </c>
      <c r="K8" s="4">
        <f>'2025.06'!D19</f>
        <v>0</v>
      </c>
      <c r="L8" s="4">
        <f>'2025.06'!J19</f>
        <v>0</v>
      </c>
      <c r="M8" s="4">
        <f>'2025.06'!O19</f>
        <v>0</v>
      </c>
      <c r="AC8" s="4">
        <f>'2025.06'!$C$19</f>
        <v>15</v>
      </c>
      <c r="AD8" s="4">
        <f>'2025.06'!$E$19</f>
        <v>130.78</v>
      </c>
      <c r="AE8" s="7">
        <f>'2025.06'!$F$19</f>
        <v>0.115</v>
      </c>
      <c r="AF8" s="44">
        <f>'2025.05'!$A$15</f>
        <v>45807</v>
      </c>
      <c r="AG8" s="4">
        <f>'2025.05'!$B$15*-1</f>
        <v>-15</v>
      </c>
    </row>
    <row r="9" spans="1:33" x14ac:dyDescent="0.25">
      <c r="A9" s="41">
        <f>'2025.07'!Q2</f>
        <v>2025.07</v>
      </c>
      <c r="B9" s="4">
        <f>'2025.07'!B19</f>
        <v>15</v>
      </c>
      <c r="C9" s="4">
        <f>'2025.07'!C19</f>
        <v>15</v>
      </c>
      <c r="D9" s="4">
        <f t="shared" si="0"/>
        <v>90</v>
      </c>
      <c r="E9" s="6">
        <f>'2025.07'!F19</f>
        <v>0.1125</v>
      </c>
      <c r="F9" s="6">
        <f t="shared" si="1"/>
        <v>0.68830000000000002</v>
      </c>
      <c r="G9" s="6">
        <v>133.48570000000001</v>
      </c>
      <c r="H9" s="4">
        <f t="shared" si="2"/>
        <v>91.88</v>
      </c>
      <c r="I9" s="4">
        <f t="shared" si="4"/>
        <v>1.88</v>
      </c>
      <c r="J9" s="18">
        <f t="shared" si="3"/>
        <v>2.0899999999999998E-2</v>
      </c>
      <c r="K9" s="4">
        <f>'2025.07'!D19</f>
        <v>0</v>
      </c>
      <c r="L9" s="4">
        <f>'2025.07'!J19</f>
        <v>0</v>
      </c>
      <c r="M9" s="4">
        <f>'2025.07'!O19</f>
        <v>0</v>
      </c>
      <c r="AC9" s="4">
        <f>'2025.07'!$C$19</f>
        <v>15</v>
      </c>
      <c r="AD9" s="4">
        <f>'2025.07'!$E$19</f>
        <v>133.33000000000001</v>
      </c>
      <c r="AE9" s="7">
        <f>'2025.07'!$F$19</f>
        <v>0.113</v>
      </c>
      <c r="AF9" s="44">
        <f>'2025.06'!$A$15</f>
        <v>45838</v>
      </c>
      <c r="AG9" s="4">
        <f>'2025.06'!$B$15*-1</f>
        <v>-15</v>
      </c>
    </row>
    <row r="10" spans="1:33" x14ac:dyDescent="0.25">
      <c r="A10" s="41">
        <f>'2025.08'!Q2</f>
        <v>2025.08</v>
      </c>
      <c r="B10" s="4">
        <f>'2025.08'!B19</f>
        <v>15</v>
      </c>
      <c r="C10" s="4">
        <f>'2025.08'!C19</f>
        <v>15</v>
      </c>
      <c r="D10" s="4">
        <f t="shared" si="0"/>
        <v>105</v>
      </c>
      <c r="E10" s="6">
        <f>'2025.08'!F19</f>
        <v>0.1118</v>
      </c>
      <c r="F10" s="6">
        <f t="shared" si="1"/>
        <v>0.80010000000000003</v>
      </c>
      <c r="G10" s="6">
        <v>133.95089999999999</v>
      </c>
      <c r="H10" s="4">
        <f t="shared" si="2"/>
        <v>107.17</v>
      </c>
      <c r="I10" s="4">
        <f t="shared" si="4"/>
        <v>2.17</v>
      </c>
      <c r="J10" s="18">
        <f t="shared" si="3"/>
        <v>2.07E-2</v>
      </c>
      <c r="K10" s="4">
        <f>'2025.08'!D19</f>
        <v>0</v>
      </c>
      <c r="L10" s="4">
        <f>'2025.08'!J19</f>
        <v>0</v>
      </c>
      <c r="M10" s="4">
        <f>'2025.08'!O19</f>
        <v>0</v>
      </c>
      <c r="AC10" s="4">
        <f>'2025.08'!$C$19</f>
        <v>15</v>
      </c>
      <c r="AD10" s="4">
        <f>'2025.08'!$E$19</f>
        <v>134.16999999999999</v>
      </c>
      <c r="AE10" s="7">
        <f>'2025.08'!$F$19</f>
        <v>0.112</v>
      </c>
      <c r="AF10" s="44">
        <f>'2025.07'!$A$15</f>
        <v>45867</v>
      </c>
      <c r="AG10" s="4">
        <f>'2025.07'!$B$15*-1</f>
        <v>-15</v>
      </c>
    </row>
    <row r="11" spans="1:33" x14ac:dyDescent="0.25">
      <c r="A11" s="41">
        <f>'2025.09'!Q2</f>
        <v>2025.09</v>
      </c>
      <c r="B11" s="4">
        <f>'2025.09'!B19</f>
        <v>15</v>
      </c>
      <c r="C11" s="4">
        <f>'2025.09'!C19</f>
        <v>15</v>
      </c>
      <c r="D11" s="4">
        <f t="shared" si="0"/>
        <v>120</v>
      </c>
      <c r="E11" s="6">
        <f>'2025.09'!F19</f>
        <v>0.1116</v>
      </c>
      <c r="F11" s="6">
        <f t="shared" si="1"/>
        <v>0.91169999999999995</v>
      </c>
      <c r="G11" s="6">
        <v>134.81649999999999</v>
      </c>
      <c r="H11" s="4">
        <f t="shared" si="2"/>
        <v>122.91</v>
      </c>
      <c r="I11" s="4">
        <f t="shared" si="4"/>
        <v>2.91</v>
      </c>
      <c r="J11" s="18">
        <f t="shared" si="3"/>
        <v>2.4299999999999999E-2</v>
      </c>
      <c r="K11" s="4">
        <f>'2025.09'!D19</f>
        <v>0</v>
      </c>
      <c r="L11" s="4">
        <f>'2025.09'!J19</f>
        <v>0</v>
      </c>
      <c r="M11" s="4">
        <f>'2025.09'!O19</f>
        <v>0</v>
      </c>
      <c r="AC11" s="4">
        <f>'2025.09'!$C$19</f>
        <v>15</v>
      </c>
      <c r="AD11" s="4">
        <f>'2025.09'!$E$19</f>
        <v>134.41</v>
      </c>
      <c r="AE11" s="7">
        <f>'2025.09'!$F$19</f>
        <v>0.112</v>
      </c>
      <c r="AF11" s="44">
        <f>'2025.08'!$A$15</f>
        <v>45897</v>
      </c>
      <c r="AG11" s="4">
        <f>'2025.08'!$B$15*-1</f>
        <v>-15</v>
      </c>
    </row>
    <row r="12" spans="1:33" x14ac:dyDescent="0.25">
      <c r="A12" s="41">
        <f>'2025.10'!Q2</f>
        <v>2025.1</v>
      </c>
      <c r="B12" s="4">
        <f>'2025.10'!B19</f>
        <v>15</v>
      </c>
      <c r="C12" s="4">
        <f>'2025.10'!C19</f>
        <v>15</v>
      </c>
      <c r="D12" s="4">
        <f t="shared" si="0"/>
        <v>135</v>
      </c>
      <c r="E12" s="6">
        <f>'2025.10'!F19</f>
        <v>0.1081</v>
      </c>
      <c r="F12" s="6">
        <f t="shared" si="1"/>
        <v>1.0198</v>
      </c>
      <c r="G12" s="6">
        <v>138.76929999999999</v>
      </c>
      <c r="H12" s="4">
        <f t="shared" si="2"/>
        <v>141.52000000000001</v>
      </c>
      <c r="I12" s="4">
        <f t="shared" si="4"/>
        <v>6.52</v>
      </c>
      <c r="J12" s="18">
        <f t="shared" si="3"/>
        <v>4.8300000000000003E-2</v>
      </c>
      <c r="K12" s="4">
        <f>'2025.10'!D19</f>
        <v>0</v>
      </c>
      <c r="L12" s="4">
        <f>'2025.10'!J19</f>
        <v>0</v>
      </c>
      <c r="M12" s="4">
        <f>'2025.10'!O19</f>
        <v>0</v>
      </c>
      <c r="AC12" s="4">
        <f>'2025.10'!$C$19</f>
        <v>15</v>
      </c>
      <c r="AD12" s="4">
        <f>'2025.10'!$E$19</f>
        <v>138.76</v>
      </c>
      <c r="AE12" s="7">
        <f>'2025.10'!$F$19</f>
        <v>0.108</v>
      </c>
      <c r="AF12" s="44">
        <f>'2025.09'!$A$15</f>
        <v>45929</v>
      </c>
      <c r="AG12" s="4">
        <f>'2025.09'!$B$15*-1</f>
        <v>-15</v>
      </c>
    </row>
    <row r="13" spans="1:33" x14ac:dyDescent="0.25">
      <c r="A13" s="41">
        <f>'2025.11'!Q2</f>
        <v>2025.11</v>
      </c>
      <c r="B13" s="4">
        <f>'2025.11'!B19</f>
        <v>15</v>
      </c>
      <c r="C13" s="4">
        <f>'2025.11'!C19</f>
        <v>15</v>
      </c>
      <c r="D13" s="4">
        <f t="shared" si="0"/>
        <v>150</v>
      </c>
      <c r="E13" s="6">
        <f>'2025.11'!F19</f>
        <v>0.1096</v>
      </c>
      <c r="F13" s="6">
        <f t="shared" si="1"/>
        <v>1.1294</v>
      </c>
      <c r="G13" s="6">
        <v>137.96870000000001</v>
      </c>
      <c r="H13" s="4">
        <f t="shared" si="2"/>
        <v>155.82</v>
      </c>
      <c r="I13" s="4">
        <f t="shared" si="4"/>
        <v>5.82</v>
      </c>
      <c r="J13" s="18">
        <f t="shared" si="3"/>
        <v>3.8800000000000001E-2</v>
      </c>
      <c r="K13" s="4">
        <f>'2025.11'!D19</f>
        <v>0</v>
      </c>
      <c r="L13" s="4">
        <f>'2025.11'!J19</f>
        <v>0</v>
      </c>
      <c r="M13" s="4">
        <f>'2025.11'!O19</f>
        <v>0</v>
      </c>
      <c r="AC13" s="4">
        <f>'2025.11'!$C$19</f>
        <v>15</v>
      </c>
      <c r="AD13" s="4">
        <f>'2025.11'!$E$19</f>
        <v>136.86000000000001</v>
      </c>
      <c r="AE13" s="7">
        <f>'2025.11'!$F$19</f>
        <v>0.11</v>
      </c>
      <c r="AF13" s="44">
        <f>'2025.10'!$A$15</f>
        <v>45959</v>
      </c>
      <c r="AG13" s="4">
        <f>'2025.10'!$B$15*-1</f>
        <v>-15</v>
      </c>
    </row>
    <row r="14" spans="1:33" x14ac:dyDescent="0.25">
      <c r="A14" s="41">
        <f>'2025.12'!Q2</f>
        <v>2025.12</v>
      </c>
      <c r="B14" s="4">
        <f>'2025.12'!B19</f>
        <v>0</v>
      </c>
      <c r="C14" s="4">
        <f>'2025.12'!C19</f>
        <v>0</v>
      </c>
      <c r="D14" s="4">
        <f t="shared" si="0"/>
        <v>150</v>
      </c>
      <c r="E14" s="6">
        <f>'2025.12'!F19</f>
        <v>0</v>
      </c>
      <c r="F14" s="6">
        <f t="shared" si="1"/>
        <v>1.1294</v>
      </c>
      <c r="G14" s="6">
        <v>139.71870000000001</v>
      </c>
      <c r="H14" s="4">
        <f t="shared" si="2"/>
        <v>157.80000000000001</v>
      </c>
      <c r="I14" s="4">
        <f t="shared" si="4"/>
        <v>7.8</v>
      </c>
      <c r="J14" s="18">
        <f t="shared" si="3"/>
        <v>5.1999999999999998E-2</v>
      </c>
      <c r="K14" s="4">
        <f>'2025.12'!D19</f>
        <v>0</v>
      </c>
      <c r="L14" s="4">
        <f>'2025.12'!J19</f>
        <v>0</v>
      </c>
      <c r="M14" s="4">
        <f>'2025.12'!O19</f>
        <v>0</v>
      </c>
      <c r="AC14" s="4">
        <f>'2025.12'!$C$19</f>
        <v>0</v>
      </c>
      <c r="AD14" s="4" t="str">
        <f>'2025.12'!$E$19</f>
        <v>0.00</v>
      </c>
      <c r="AE14" s="7">
        <f>'2025.12'!$F$19</f>
        <v>0</v>
      </c>
      <c r="AF14" s="44">
        <f>'2025.11'!$A$15</f>
        <v>45988</v>
      </c>
      <c r="AG14" s="4">
        <f>'2025.11'!$B$15*-1</f>
        <v>-15</v>
      </c>
    </row>
    <row r="15" spans="1:33" x14ac:dyDescent="0.25">
      <c r="A15" s="41">
        <f>'2026.01'!Q2</f>
        <v>2026.01</v>
      </c>
      <c r="B15" s="4">
        <f>'2026.01'!B19</f>
        <v>30</v>
      </c>
      <c r="C15" s="4">
        <f>'2026.01'!C19</f>
        <v>30</v>
      </c>
      <c r="D15" s="4">
        <f t="shared" si="0"/>
        <v>180</v>
      </c>
      <c r="E15" s="6">
        <f>'2026.01'!F19</f>
        <v>0.21190000000000001</v>
      </c>
      <c r="F15" s="6">
        <f t="shared" si="1"/>
        <v>1.3412999999999999</v>
      </c>
      <c r="G15" s="6">
        <v>142.88669999999999</v>
      </c>
      <c r="H15" s="4">
        <f t="shared" si="2"/>
        <v>191.65</v>
      </c>
      <c r="I15" s="4">
        <f t="shared" si="4"/>
        <v>11.65</v>
      </c>
      <c r="J15" s="18">
        <f t="shared" si="3"/>
        <v>6.4699999999999994E-2</v>
      </c>
      <c r="K15" s="4">
        <f>'2026.01'!D19</f>
        <v>0</v>
      </c>
      <c r="L15" s="4">
        <f>'2026.01'!J19</f>
        <v>0</v>
      </c>
      <c r="M15" s="4">
        <f>'2026.01'!O19</f>
        <v>0</v>
      </c>
      <c r="AC15" s="4">
        <f>'2026.01'!$C$19</f>
        <v>30</v>
      </c>
      <c r="AD15" s="4">
        <f>'2026.01'!$E$19</f>
        <v>141.58000000000001</v>
      </c>
      <c r="AE15" s="7">
        <f>'2026.01'!$F$19</f>
        <v>0.21199999999999999</v>
      </c>
      <c r="AF15" s="44">
        <f>'2026.01'!$A$15</f>
        <v>46027</v>
      </c>
      <c r="AG15" s="4">
        <f>'2026.01'!$B$15*-1</f>
        <v>-15</v>
      </c>
    </row>
    <row r="16" spans="1:33" x14ac:dyDescent="0.25">
      <c r="A16" s="41">
        <f>'2026.02'!Q2</f>
        <v>2026.02</v>
      </c>
      <c r="B16" s="4">
        <f>'2026.02'!B19</f>
        <v>15</v>
      </c>
      <c r="C16" s="4">
        <f>'2026.02'!C19</f>
        <v>15</v>
      </c>
      <c r="D16" s="4">
        <f t="shared" si="0"/>
        <v>195</v>
      </c>
      <c r="E16" s="6">
        <f>'2026.02'!F19</f>
        <v>0.1037</v>
      </c>
      <c r="F16" s="6">
        <f t="shared" si="1"/>
        <v>1.4450000000000001</v>
      </c>
      <c r="G16" s="6">
        <v>144.59280000000001</v>
      </c>
      <c r="H16" s="4">
        <f t="shared" si="2"/>
        <v>208.94</v>
      </c>
      <c r="I16" s="4">
        <f t="shared" si="4"/>
        <v>13.94</v>
      </c>
      <c r="J16" s="18">
        <f t="shared" si="3"/>
        <v>7.1499999999999994E-2</v>
      </c>
      <c r="K16" s="4">
        <f>'2026.02'!D19</f>
        <v>0</v>
      </c>
      <c r="L16" s="4">
        <f>'2026.02'!J19</f>
        <v>0</v>
      </c>
      <c r="M16" s="4">
        <f>'2026.02'!O19</f>
        <v>0</v>
      </c>
      <c r="AC16" s="4">
        <f>'2026.02'!$C$19</f>
        <v>15</v>
      </c>
      <c r="AD16" s="4">
        <f>'2026.02'!$E$19</f>
        <v>144.65</v>
      </c>
      <c r="AE16" s="7">
        <f>'2026.02'!$F$19</f>
        <v>0.104</v>
      </c>
      <c r="AF16" s="44">
        <f>'2026.01'!$A$16</f>
        <v>46051</v>
      </c>
      <c r="AG16" s="4">
        <f>'2026.01'!$B$16*-1</f>
        <v>-15</v>
      </c>
    </row>
    <row r="17" spans="1:33" x14ac:dyDescent="0.25">
      <c r="A17" s="41">
        <f>'2026.03'!Q2</f>
        <v>2026.03</v>
      </c>
      <c r="B17" s="4">
        <f>'2026.03'!B19</f>
        <v>15</v>
      </c>
      <c r="C17" s="4">
        <f>'2026.03'!C19</f>
        <v>15</v>
      </c>
      <c r="D17" s="4">
        <f t="shared" ref="D17" si="5">D16+B17</f>
        <v>210</v>
      </c>
      <c r="E17" s="6">
        <f>'2026.03'!F19</f>
        <v>0.1096</v>
      </c>
      <c r="F17" s="6">
        <f t="shared" ref="F17" si="6">F16+E17</f>
        <v>1.5546</v>
      </c>
      <c r="G17" s="6">
        <v>134.56979999999999</v>
      </c>
      <c r="H17" s="4">
        <f t="shared" ref="H17" si="7">F17*G17</f>
        <v>209.2</v>
      </c>
      <c r="I17" s="4">
        <f t="shared" ref="I17" si="8">H17-D17</f>
        <v>-0.8</v>
      </c>
      <c r="J17" s="18">
        <f t="shared" ref="J17" si="9">(H17-D17)/D17</f>
        <v>-3.8E-3</v>
      </c>
      <c r="K17" s="4">
        <f>'2026.03'!D19</f>
        <v>0</v>
      </c>
      <c r="L17" s="4">
        <f>'2026.03'!J19</f>
        <v>0</v>
      </c>
      <c r="M17" s="4">
        <f>'2026.03'!O19</f>
        <v>0</v>
      </c>
      <c r="AC17" s="4">
        <f>'2026.03'!$C$19</f>
        <v>15</v>
      </c>
      <c r="AD17" s="4">
        <f>'2026.03'!$E$19</f>
        <v>136.86000000000001</v>
      </c>
      <c r="AE17" s="7">
        <f>'2026.03'!$F$19</f>
        <v>0.11</v>
      </c>
      <c r="AF17" s="44">
        <f>'2026.02'!$A$15</f>
        <v>46080</v>
      </c>
      <c r="AG17" s="4">
        <f>'2026.02'!$B$15*-1</f>
        <v>-15</v>
      </c>
    </row>
    <row r="18" spans="1:33" x14ac:dyDescent="0.25">
      <c r="A18" s="41">
        <f>'2026.04'!$Q$2</f>
        <v>2026.04</v>
      </c>
      <c r="B18" s="4">
        <f>'2026.04'!$B$19</f>
        <v>15</v>
      </c>
      <c r="C18" s="4">
        <f>'2026.04'!$C$19</f>
        <v>15</v>
      </c>
      <c r="D18" s="4">
        <f t="shared" ref="D18:D19" si="10">D17+B18</f>
        <v>225</v>
      </c>
      <c r="E18" s="6">
        <f>'2026.04'!$F$19</f>
        <v>0.1046</v>
      </c>
      <c r="F18" s="6">
        <f t="shared" ref="F18:F19" si="11">F17+E18</f>
        <v>1.6592</v>
      </c>
      <c r="G18" s="6">
        <v>142.41550000000001</v>
      </c>
      <c r="H18" s="4">
        <f t="shared" ref="H18" si="12">F18*G18</f>
        <v>236.3</v>
      </c>
      <c r="I18" s="4">
        <f t="shared" ref="I18" si="13">H18-D18</f>
        <v>11.3</v>
      </c>
      <c r="J18" s="18">
        <f t="shared" ref="J18" si="14">(H18-D18)/D18</f>
        <v>5.0200000000000002E-2</v>
      </c>
      <c r="K18" s="4">
        <f>'2026.04'!$D$19</f>
        <v>0</v>
      </c>
      <c r="L18" s="4">
        <f>'2026.04'!$J$19</f>
        <v>0</v>
      </c>
      <c r="M18" s="4">
        <f>'2026.04'!$O$19</f>
        <v>0</v>
      </c>
      <c r="AC18" s="4">
        <f>'2026.04'!$C$19</f>
        <v>15</v>
      </c>
      <c r="AD18" s="4">
        <f>'2026.04'!$E$19</f>
        <v>143.4</v>
      </c>
      <c r="AE18" s="7">
        <f>'2026.04'!$F$19</f>
        <v>0.105</v>
      </c>
      <c r="AF18" s="44">
        <f>'2026.03'!$A$15</f>
        <v>46108</v>
      </c>
      <c r="AG18" s="4">
        <f>'2026.03'!$B$15*-1</f>
        <v>-15</v>
      </c>
    </row>
    <row r="19" spans="1:33" x14ac:dyDescent="0.25">
      <c r="A19" s="41">
        <f>'2026.05'!$Q$2</f>
        <v>2026.05</v>
      </c>
      <c r="B19" s="4">
        <f>'2026.05'!$B$19</f>
        <v>15</v>
      </c>
      <c r="C19" s="4">
        <f>'2026.05'!$C$19</f>
        <v>15</v>
      </c>
      <c r="D19" s="4">
        <f t="shared" si="10"/>
        <v>240</v>
      </c>
      <c r="E19" s="6">
        <f>'2026.05'!$F$19</f>
        <v>0.1009</v>
      </c>
      <c r="F19" s="6">
        <f t="shared" si="11"/>
        <v>1.7601</v>
      </c>
      <c r="G19" s="6">
        <v>147.96789999999999</v>
      </c>
      <c r="H19" s="4">
        <f t="shared" ref="H19" si="15">F19*G19</f>
        <v>260.44</v>
      </c>
      <c r="I19" s="4">
        <f t="shared" ref="I19" si="16">H19-D19</f>
        <v>20.440000000000001</v>
      </c>
      <c r="J19" s="18">
        <f t="shared" ref="J19" si="17">(H19-D19)/D19</f>
        <v>8.5199999999999998E-2</v>
      </c>
      <c r="K19" s="4">
        <f>'2026.05'!$D$19</f>
        <v>0</v>
      </c>
      <c r="L19" s="4">
        <f>'2026.05'!$J$19</f>
        <v>0</v>
      </c>
      <c r="M19" s="4">
        <f>'2026.05'!$O$19</f>
        <v>0</v>
      </c>
      <c r="AC19" s="4">
        <f>'2026.05'!$C$19</f>
        <v>15</v>
      </c>
      <c r="AD19" s="4">
        <f>'2026.05'!$E$19</f>
        <v>148.66</v>
      </c>
      <c r="AE19" s="7">
        <f>'2026.05'!$F$19</f>
        <v>0.10100000000000001</v>
      </c>
      <c r="AF19" s="44">
        <f>'2026.04'!$A$15</f>
        <v>46141</v>
      </c>
      <c r="AG19" s="4">
        <f>'2026.04'!$B$15*-1</f>
        <v>-15</v>
      </c>
    </row>
    <row r="20" spans="1:33" x14ac:dyDescent="0.25">
      <c r="A20" s="41">
        <f>'2026.06'!$Q$2</f>
        <v>2026.06</v>
      </c>
      <c r="B20" s="4">
        <f>'2026.06'!$B$19</f>
        <v>15</v>
      </c>
      <c r="C20" s="4">
        <f>'2026.06'!$C$19</f>
        <v>15</v>
      </c>
      <c r="D20" s="4">
        <f t="shared" ref="D20" si="18">D19+B20</f>
        <v>255</v>
      </c>
      <c r="E20" s="6">
        <f>'2026.06'!$F$19</f>
        <v>0.1008</v>
      </c>
      <c r="F20" s="6">
        <f t="shared" ref="F20" si="19">F19+E20</f>
        <v>1.8609</v>
      </c>
      <c r="G20" s="6">
        <v>148.9513</v>
      </c>
      <c r="H20" s="4">
        <f t="shared" ref="H20" si="20">F20*G20</f>
        <v>277.18</v>
      </c>
      <c r="I20" s="4">
        <f t="shared" ref="I20" si="21">H20-D20</f>
        <v>22.18</v>
      </c>
      <c r="J20" s="18">
        <f t="shared" ref="J20" si="22">(H20-D20)/D20</f>
        <v>8.6999999999999994E-2</v>
      </c>
      <c r="K20" s="4">
        <f>'2026.06'!$D$19</f>
        <v>0</v>
      </c>
      <c r="L20" s="4">
        <f>'2026.06'!$J$19</f>
        <v>0</v>
      </c>
      <c r="M20" s="4">
        <f>'2026.06'!$O$19</f>
        <v>0</v>
      </c>
      <c r="AC20" s="4">
        <f>'2026.06'!$C$19</f>
        <v>15</v>
      </c>
      <c r="AD20" s="4">
        <f>'2026.06'!$E$19</f>
        <v>148.81</v>
      </c>
      <c r="AE20" s="7">
        <f>'2026.06'!$F$19</f>
        <v>0.10100000000000001</v>
      </c>
      <c r="AF20" s="44">
        <f>'2026.05'!$A$15</f>
        <v>46171</v>
      </c>
      <c r="AG20" s="4">
        <f>'2026.05'!$B$15*-1</f>
        <v>-15</v>
      </c>
    </row>
    <row r="21" spans="1:33" x14ac:dyDescent="0.25">
      <c r="A21" s="41">
        <f>'2026.07'!$Q$2</f>
        <v>2026.07</v>
      </c>
      <c r="B21" s="4">
        <f>'2026.07'!$B$19</f>
        <v>15</v>
      </c>
      <c r="C21" s="4">
        <f>'2026.07'!$C$19</f>
        <v>15</v>
      </c>
      <c r="D21" s="4">
        <f t="shared" ref="D21" si="23">D20+B21</f>
        <v>270</v>
      </c>
      <c r="E21" s="6">
        <f>'2026.07'!$F$19</f>
        <v>0.1002</v>
      </c>
      <c r="F21" s="6">
        <f t="shared" ref="F21" si="24">F20+E21</f>
        <v>1.9611000000000001</v>
      </c>
      <c r="G21" s="6">
        <v>149.19890000000001</v>
      </c>
      <c r="H21" s="4">
        <f t="shared" ref="H21" si="25">F21*G21</f>
        <v>292.58999999999997</v>
      </c>
      <c r="I21" s="4">
        <f t="shared" ref="I21" si="26">H21-D21</f>
        <v>22.59</v>
      </c>
      <c r="J21" s="18">
        <f t="shared" ref="J21" si="27">(H21-D21)/D21</f>
        <v>8.3699999999999997E-2</v>
      </c>
      <c r="K21" s="4">
        <f>'2026.07'!$D$19</f>
        <v>0</v>
      </c>
      <c r="L21" s="4">
        <f>'2026.07'!$J$19</f>
        <v>0</v>
      </c>
      <c r="M21" s="4">
        <f>'2026.07'!$O$19</f>
        <v>0</v>
      </c>
      <c r="AC21" s="4">
        <f>'2026.06'!$C$19</f>
        <v>15</v>
      </c>
      <c r="AD21" s="4">
        <f>'2026.06'!$E$19</f>
        <v>148.81</v>
      </c>
      <c r="AE21" s="7">
        <f>'2026.06'!$F$19</f>
        <v>0.10100000000000001</v>
      </c>
      <c r="AF21" s="44">
        <f>'2026.05'!$A$15</f>
        <v>46171</v>
      </c>
      <c r="AG21" s="4">
        <f>'2026.05'!$B$15*-1</f>
        <v>-15</v>
      </c>
    </row>
    <row r="22" spans="1:33" x14ac:dyDescent="0.25">
      <c r="A22" s="41">
        <f>'2026.08'!$Q$2</f>
        <v>2026.08</v>
      </c>
      <c r="B22" s="4">
        <f>'2026.08'!$B$19</f>
        <v>15</v>
      </c>
      <c r="C22" s="4">
        <f>'2026.08'!$C$19</f>
        <v>15</v>
      </c>
      <c r="D22" s="4">
        <f t="shared" ref="D22" si="28">D21+B22</f>
        <v>285</v>
      </c>
      <c r="E22" s="6">
        <f>'2026.08'!$F$19</f>
        <v>9.8599999999999993E-2</v>
      </c>
      <c r="F22" s="6">
        <f t="shared" ref="F22" si="29">F21+E22</f>
        <v>2.0596999999999999</v>
      </c>
      <c r="G22" s="6">
        <v>152.32159999999999</v>
      </c>
      <c r="H22" s="4">
        <f t="shared" ref="H22" si="30">F22*G22</f>
        <v>313.74</v>
      </c>
      <c r="I22" s="4">
        <f t="shared" ref="I22" si="31">H22-D22</f>
        <v>28.74</v>
      </c>
      <c r="J22" s="18">
        <f t="shared" ref="J22" si="32">(H22-D22)/D22</f>
        <v>0.1008</v>
      </c>
      <c r="K22" s="4">
        <f>'2026.08'!$D$19</f>
        <v>0</v>
      </c>
      <c r="L22" s="4">
        <f>'2026.08'!$J$19</f>
        <v>0</v>
      </c>
      <c r="M22" s="4">
        <f>'2026.08'!$O$19</f>
        <v>0</v>
      </c>
      <c r="AC22" s="4">
        <f>'2026.06'!$C$19</f>
        <v>15</v>
      </c>
      <c r="AD22" s="4">
        <f>'2026.06'!$E$19</f>
        <v>148.81</v>
      </c>
      <c r="AE22" s="7">
        <f>'2026.06'!$F$19</f>
        <v>0.10100000000000001</v>
      </c>
      <c r="AF22" s="44">
        <f>'2026.05'!$A$15</f>
        <v>46171</v>
      </c>
      <c r="AG22" s="4">
        <f>'2026.05'!$B$15*-1</f>
        <v>-15</v>
      </c>
    </row>
    <row r="23" spans="1:33" x14ac:dyDescent="0.25">
      <c r="A23" s="41">
        <f>'2026.09'!$Q$2</f>
        <v>2026.09</v>
      </c>
      <c r="B23" s="4">
        <f>'2026.09'!$B$19</f>
        <v>15</v>
      </c>
      <c r="C23" s="4">
        <f>'2026.09'!$C$19</f>
        <v>15</v>
      </c>
      <c r="D23" s="4">
        <f t="shared" ref="D23" si="33">D22+B23</f>
        <v>300</v>
      </c>
      <c r="E23" s="6">
        <f>'2026.09'!$F$19</f>
        <v>9.9199999999999997E-2</v>
      </c>
      <c r="F23" s="6">
        <f t="shared" ref="F23" si="34">F22+E23</f>
        <v>2.1589</v>
      </c>
      <c r="G23" s="6">
        <v>150.61920000000001</v>
      </c>
      <c r="H23" s="4">
        <f t="shared" ref="H23" si="35">F23*G23</f>
        <v>325.17</v>
      </c>
      <c r="I23" s="4">
        <f t="shared" ref="I23" si="36">H23-D23</f>
        <v>25.17</v>
      </c>
      <c r="J23" s="18">
        <f t="shared" ref="J23" si="37">(H23-D23)/D23</f>
        <v>8.3900000000000002E-2</v>
      </c>
      <c r="K23" s="4">
        <f>'2026.09'!$D$19</f>
        <v>0</v>
      </c>
      <c r="L23" s="4">
        <f>'2026.09'!$J$19</f>
        <v>0</v>
      </c>
      <c r="M23" s="4">
        <f>'2026.09'!$O$19</f>
        <v>0</v>
      </c>
      <c r="AC23" s="4">
        <f>'2026.06'!$C$19</f>
        <v>15</v>
      </c>
      <c r="AD23" s="4">
        <f>'2026.06'!$E$19</f>
        <v>148.81</v>
      </c>
      <c r="AE23" s="7">
        <f>'2026.06'!$F$19</f>
        <v>0.10100000000000001</v>
      </c>
      <c r="AF23" s="44">
        <f>'2026.05'!$A$15</f>
        <v>46171</v>
      </c>
      <c r="AG23" s="4">
        <f>'2026.05'!$B$15*-1</f>
        <v>-15</v>
      </c>
    </row>
    <row r="24" spans="1:33" x14ac:dyDescent="0.25">
      <c r="A24" s="4"/>
      <c r="B24" s="4"/>
      <c r="C24" s="4"/>
      <c r="D24" s="4"/>
      <c r="E24" s="6"/>
      <c r="F24" s="6"/>
      <c r="G24" s="6"/>
      <c r="H24" s="4"/>
      <c r="I24" s="4"/>
      <c r="J24" s="18"/>
      <c r="K24" s="4"/>
      <c r="L24" s="4"/>
      <c r="M24" s="4"/>
      <c r="AC24" s="4"/>
      <c r="AD24" s="4"/>
      <c r="AE24" s="7"/>
      <c r="AF24" s="44"/>
      <c r="AG24" s="4"/>
    </row>
    <row r="25" spans="1:33" x14ac:dyDescent="0.25">
      <c r="A25" s="4"/>
      <c r="B25" s="4"/>
      <c r="C25" s="4"/>
      <c r="D25" s="4"/>
      <c r="E25" s="6"/>
      <c r="F25" s="6"/>
      <c r="G25" s="6"/>
      <c r="H25" s="4"/>
      <c r="I25" s="4"/>
      <c r="J25" s="18"/>
      <c r="K25" s="4"/>
      <c r="L25" s="4"/>
      <c r="M25" s="4"/>
      <c r="AC25" s="4"/>
      <c r="AD25" s="4"/>
      <c r="AE25" s="7"/>
      <c r="AF25" s="44"/>
      <c r="AG25" s="4"/>
    </row>
    <row r="26" spans="1:33" x14ac:dyDescent="0.25">
      <c r="A26" s="4"/>
      <c r="B26" s="4"/>
      <c r="C26" s="4"/>
      <c r="D26" s="4"/>
      <c r="E26" s="6"/>
      <c r="F26" s="6"/>
      <c r="G26" s="6"/>
      <c r="H26" s="4"/>
      <c r="I26" s="4"/>
      <c r="J26" s="18"/>
      <c r="K26" s="4"/>
      <c r="L26" s="4"/>
      <c r="M26" s="4"/>
      <c r="AC26" s="4"/>
      <c r="AD26" s="4"/>
      <c r="AE26" s="7"/>
      <c r="AF26" s="44"/>
      <c r="AG26" s="4"/>
    </row>
    <row r="27" spans="1:33" x14ac:dyDescent="0.25">
      <c r="A27" s="4"/>
      <c r="B27" s="4"/>
      <c r="C27" s="4"/>
      <c r="D27" s="4"/>
      <c r="E27" s="6"/>
      <c r="F27" s="6"/>
      <c r="G27" s="6"/>
      <c r="H27" s="4"/>
      <c r="I27" s="4"/>
      <c r="J27" s="18"/>
      <c r="K27" s="4"/>
      <c r="L27" s="4"/>
      <c r="M27" s="4"/>
      <c r="AC27" s="4"/>
      <c r="AD27" s="4"/>
      <c r="AE27" s="7"/>
      <c r="AF27" s="44"/>
      <c r="AG27" s="4"/>
    </row>
    <row r="28" spans="1:33" x14ac:dyDescent="0.25">
      <c r="A28" s="4"/>
      <c r="B28" s="4"/>
      <c r="C28" s="4"/>
      <c r="D28" s="4"/>
      <c r="E28" s="6"/>
      <c r="F28" s="6"/>
      <c r="G28" s="6"/>
      <c r="H28" s="4"/>
      <c r="I28" s="4"/>
      <c r="J28" s="18"/>
      <c r="K28" s="4"/>
      <c r="L28" s="4"/>
      <c r="M28" s="4"/>
      <c r="AC28" s="4"/>
      <c r="AD28" s="4"/>
      <c r="AE28" s="7"/>
      <c r="AF28" s="44"/>
      <c r="AG28" s="4"/>
    </row>
    <row r="29" spans="1:33" x14ac:dyDescent="0.25">
      <c r="A29" s="4"/>
      <c r="B29" s="4"/>
      <c r="C29" s="4"/>
      <c r="D29" s="4"/>
      <c r="E29" s="6"/>
      <c r="F29" s="6"/>
      <c r="G29" s="6"/>
      <c r="H29" s="4"/>
      <c r="I29" s="4"/>
      <c r="J29" s="18"/>
      <c r="K29" s="4"/>
      <c r="L29" s="4"/>
      <c r="M29" s="4"/>
      <c r="AC29" s="4"/>
      <c r="AD29" s="4"/>
      <c r="AE29" s="7"/>
      <c r="AF29" s="44"/>
      <c r="AG29" s="4"/>
    </row>
    <row r="30" spans="1:33" x14ac:dyDescent="0.25">
      <c r="A30" s="4"/>
      <c r="B30" s="4"/>
      <c r="C30" s="4"/>
      <c r="D30" s="4"/>
      <c r="E30" s="6"/>
      <c r="F30" s="6"/>
      <c r="G30" s="6"/>
      <c r="H30" s="4"/>
      <c r="I30" s="4"/>
      <c r="J30" s="18"/>
      <c r="K30" s="4"/>
      <c r="L30" s="4"/>
      <c r="M30" s="4"/>
      <c r="AC30" s="4"/>
      <c r="AD30" s="4"/>
      <c r="AE30" s="7"/>
      <c r="AF30" s="44"/>
      <c r="AG30" s="4"/>
    </row>
    <row r="31" spans="1:33" x14ac:dyDescent="0.25">
      <c r="A31" s="4"/>
      <c r="B31" s="4"/>
      <c r="C31" s="4"/>
      <c r="D31" s="4"/>
      <c r="E31" s="6"/>
      <c r="F31" s="6"/>
      <c r="G31" s="6"/>
      <c r="H31" s="4"/>
      <c r="I31" s="4"/>
      <c r="J31" s="18"/>
      <c r="K31" s="4"/>
      <c r="L31" s="4"/>
      <c r="M31" s="4"/>
      <c r="AC31" s="4"/>
      <c r="AD31" s="4"/>
      <c r="AE31" s="7"/>
      <c r="AF31" s="44"/>
      <c r="AG31" s="4"/>
    </row>
    <row r="32" spans="1:33" x14ac:dyDescent="0.25">
      <c r="A32" s="4"/>
      <c r="B32" s="4"/>
      <c r="C32" s="4"/>
      <c r="D32" s="4"/>
      <c r="E32" s="6"/>
      <c r="F32" s="6"/>
      <c r="G32" s="6"/>
      <c r="H32" s="4"/>
      <c r="I32" s="4"/>
      <c r="J32" s="18"/>
      <c r="K32" s="4"/>
      <c r="L32" s="4"/>
      <c r="M32" s="4"/>
      <c r="AC32" s="4"/>
      <c r="AD32" s="4"/>
      <c r="AE32" s="7"/>
      <c r="AF32" s="44"/>
      <c r="AG32" s="4"/>
    </row>
    <row r="33" spans="1:33" x14ac:dyDescent="0.25">
      <c r="A33" s="4"/>
      <c r="B33" s="4"/>
      <c r="C33" s="4"/>
      <c r="D33" s="4"/>
      <c r="E33" s="6"/>
      <c r="F33" s="6"/>
      <c r="G33" s="6"/>
      <c r="H33" s="4"/>
      <c r="I33" s="4"/>
      <c r="J33" s="18"/>
      <c r="K33" s="4"/>
      <c r="L33" s="4"/>
      <c r="M33" s="4"/>
      <c r="AC33" s="4"/>
      <c r="AD33" s="4"/>
      <c r="AE33" s="7"/>
      <c r="AF33" s="44"/>
      <c r="AG33" s="4"/>
    </row>
    <row r="34" spans="1:33" x14ac:dyDescent="0.25">
      <c r="A34" s="4"/>
      <c r="B34" s="4"/>
      <c r="C34" s="4"/>
      <c r="D34" s="4"/>
      <c r="E34" s="6"/>
      <c r="F34" s="6"/>
      <c r="G34" s="6"/>
      <c r="H34" s="4"/>
      <c r="I34" s="4"/>
      <c r="J34" s="18"/>
      <c r="K34" s="4"/>
      <c r="L34" s="4"/>
      <c r="M34" s="4"/>
      <c r="AC34" s="4"/>
      <c r="AD34" s="4"/>
      <c r="AE34" s="7"/>
      <c r="AF34" s="44"/>
      <c r="AG34" s="4"/>
    </row>
    <row r="35" spans="1:33" x14ac:dyDescent="0.25">
      <c r="A35" s="4"/>
      <c r="B35" s="4"/>
      <c r="C35" s="4"/>
      <c r="D35" s="4"/>
      <c r="E35" s="6"/>
      <c r="F35" s="6"/>
      <c r="G35" s="6"/>
      <c r="H35" s="4"/>
      <c r="I35" s="4"/>
      <c r="J35" s="18"/>
      <c r="K35" s="4"/>
      <c r="L35" s="4"/>
      <c r="M35" s="4"/>
      <c r="AC35" s="4"/>
      <c r="AD35" s="4"/>
      <c r="AE35" s="7"/>
      <c r="AF35" s="44"/>
      <c r="AG35" s="4"/>
    </row>
    <row r="36" spans="1:33" x14ac:dyDescent="0.25">
      <c r="A36" s="4"/>
      <c r="B36" s="4"/>
      <c r="C36" s="4"/>
      <c r="D36" s="4"/>
      <c r="E36" s="6"/>
      <c r="F36" s="6"/>
      <c r="G36" s="6"/>
      <c r="H36" s="4"/>
      <c r="I36" s="4"/>
      <c r="J36" s="18"/>
      <c r="K36" s="4"/>
      <c r="L36" s="4"/>
      <c r="M36" s="4"/>
      <c r="AC36" s="4"/>
      <c r="AD36" s="4"/>
      <c r="AE36" s="7"/>
      <c r="AF36" s="44"/>
      <c r="AG36" s="4"/>
    </row>
    <row r="37" spans="1:33" x14ac:dyDescent="0.25">
      <c r="A37" s="4"/>
      <c r="B37" s="4"/>
      <c r="C37" s="4"/>
      <c r="D37" s="4"/>
      <c r="E37" s="6"/>
      <c r="F37" s="6"/>
      <c r="G37" s="6"/>
      <c r="H37" s="4"/>
      <c r="I37" s="4"/>
      <c r="J37" s="18"/>
      <c r="K37" s="4"/>
      <c r="L37" s="4"/>
      <c r="M37" s="4"/>
      <c r="AC37" s="4"/>
      <c r="AD37" s="4"/>
      <c r="AE37" s="7"/>
      <c r="AF37" s="44"/>
      <c r="AG37" s="4"/>
    </row>
    <row r="38" spans="1:33" x14ac:dyDescent="0.25">
      <c r="A38" s="4"/>
      <c r="B38" s="4"/>
      <c r="C38" s="4"/>
      <c r="D38" s="4"/>
      <c r="E38" s="6"/>
      <c r="F38" s="6"/>
      <c r="G38" s="6"/>
      <c r="H38" s="4"/>
      <c r="I38" s="4"/>
      <c r="J38" s="18"/>
      <c r="K38" s="4"/>
      <c r="L38" s="4"/>
      <c r="M38" s="4"/>
      <c r="AC38" s="4"/>
      <c r="AD38" s="4"/>
      <c r="AE38" s="7"/>
      <c r="AF38" s="44"/>
      <c r="AG38" s="4"/>
    </row>
    <row r="39" spans="1:33" x14ac:dyDescent="0.25">
      <c r="A39" s="4"/>
      <c r="B39" s="4"/>
      <c r="C39" s="4"/>
      <c r="D39" s="4"/>
      <c r="E39" s="6"/>
      <c r="F39" s="6"/>
      <c r="G39" s="6"/>
      <c r="H39" s="4"/>
      <c r="I39" s="4"/>
      <c r="J39" s="18"/>
      <c r="K39" s="4"/>
      <c r="L39" s="4"/>
      <c r="M39" s="4"/>
      <c r="AC39" s="4"/>
      <c r="AD39" s="4"/>
      <c r="AE39" s="7"/>
      <c r="AF39" s="44"/>
      <c r="AG39" s="4"/>
    </row>
    <row r="40" spans="1:33" x14ac:dyDescent="0.25">
      <c r="A40" s="4"/>
      <c r="B40" s="4"/>
      <c r="C40" s="4"/>
      <c r="D40" s="4"/>
      <c r="E40" s="6"/>
      <c r="F40" s="6"/>
      <c r="G40" s="6"/>
      <c r="H40" s="4"/>
      <c r="I40" s="4"/>
      <c r="J40" s="18"/>
      <c r="K40" s="4"/>
      <c r="L40" s="4"/>
      <c r="M40" s="4"/>
      <c r="AC40" s="4"/>
      <c r="AD40" s="4"/>
      <c r="AE40" s="7"/>
      <c r="AF40" s="44"/>
      <c r="AG40" s="4"/>
    </row>
    <row r="41" spans="1:33" x14ac:dyDescent="0.25">
      <c r="A41" s="4"/>
      <c r="B41" s="4"/>
      <c r="C41" s="4"/>
      <c r="D41" s="4"/>
      <c r="E41" s="6"/>
      <c r="F41" s="6"/>
      <c r="G41" s="6"/>
      <c r="H41" s="4"/>
      <c r="I41" s="4"/>
      <c r="J41" s="18"/>
      <c r="K41" s="4"/>
      <c r="L41" s="4"/>
      <c r="M41" s="4"/>
      <c r="AC41" s="4"/>
      <c r="AD41" s="4"/>
      <c r="AE41" s="7"/>
      <c r="AF41" s="44"/>
      <c r="AG41" s="4"/>
    </row>
    <row r="42" spans="1:33" x14ac:dyDescent="0.25">
      <c r="A42" s="4"/>
      <c r="B42" s="4"/>
      <c r="C42" s="4"/>
      <c r="D42" s="4"/>
      <c r="E42" s="6"/>
      <c r="F42" s="6"/>
      <c r="G42" s="6"/>
      <c r="H42" s="4"/>
      <c r="I42" s="4"/>
      <c r="J42" s="18"/>
      <c r="K42" s="4"/>
      <c r="L42" s="4"/>
      <c r="M42" s="4"/>
      <c r="AC42" s="4"/>
      <c r="AD42" s="4"/>
      <c r="AE42" s="7"/>
      <c r="AF42" s="44"/>
      <c r="AG42" s="4"/>
    </row>
    <row r="43" spans="1:33" x14ac:dyDescent="0.25">
      <c r="A43" s="4"/>
      <c r="B43" s="4"/>
      <c r="C43" s="4"/>
      <c r="D43" s="4"/>
      <c r="E43" s="6"/>
      <c r="F43" s="6"/>
      <c r="G43" s="6"/>
      <c r="H43" s="4"/>
      <c r="I43" s="4"/>
      <c r="J43" s="18"/>
      <c r="K43" s="4"/>
      <c r="L43" s="4"/>
      <c r="M43" s="4"/>
      <c r="AC43" s="4"/>
      <c r="AD43" s="4"/>
      <c r="AE43" s="7"/>
      <c r="AF43" s="44"/>
      <c r="AG43" s="4"/>
    </row>
    <row r="44" spans="1:33" x14ac:dyDescent="0.25">
      <c r="A44" s="4"/>
      <c r="B44" s="4"/>
      <c r="C44" s="4"/>
      <c r="D44" s="4"/>
      <c r="E44" s="6"/>
      <c r="F44" s="6"/>
      <c r="G44" s="6"/>
      <c r="H44" s="4"/>
      <c r="I44" s="4"/>
      <c r="J44" s="18"/>
      <c r="K44" s="4"/>
      <c r="L44" s="4"/>
      <c r="M44" s="4"/>
      <c r="AC44" s="4"/>
      <c r="AD44" s="4"/>
      <c r="AE44" s="7"/>
      <c r="AF44" s="44"/>
      <c r="AG44" s="4"/>
    </row>
    <row r="45" spans="1:33" x14ac:dyDescent="0.25">
      <c r="A45" s="4"/>
      <c r="B45" s="4"/>
      <c r="C45" s="4"/>
      <c r="D45" s="4"/>
      <c r="E45" s="6"/>
      <c r="F45" s="6"/>
      <c r="G45" s="6"/>
      <c r="H45" s="4"/>
      <c r="I45" s="4"/>
      <c r="J45" s="18"/>
      <c r="K45" s="4"/>
      <c r="L45" s="4"/>
      <c r="M45" s="4"/>
      <c r="AC45" s="4"/>
      <c r="AD45" s="4"/>
      <c r="AE45" s="7"/>
      <c r="AF45" s="44"/>
      <c r="AG45" s="4"/>
    </row>
    <row r="46" spans="1:33" x14ac:dyDescent="0.25">
      <c r="A46" s="4"/>
      <c r="B46" s="4"/>
      <c r="C46" s="4"/>
      <c r="D46" s="4"/>
      <c r="E46" s="6"/>
      <c r="F46" s="6"/>
      <c r="G46" s="6"/>
      <c r="H46" s="4"/>
      <c r="I46" s="4"/>
      <c r="J46" s="18"/>
      <c r="K46" s="4"/>
      <c r="L46" s="4"/>
      <c r="M46" s="4"/>
      <c r="AC46" s="4"/>
      <c r="AD46" s="4"/>
      <c r="AE46" s="7"/>
      <c r="AF46" s="44"/>
      <c r="AG46" s="4"/>
    </row>
    <row r="47" spans="1:33" x14ac:dyDescent="0.25">
      <c r="A47" s="4"/>
      <c r="B47" s="4"/>
      <c r="C47" s="4"/>
      <c r="D47" s="4"/>
      <c r="E47" s="6"/>
      <c r="F47" s="6"/>
      <c r="G47" s="6"/>
      <c r="H47" s="4"/>
      <c r="I47" s="4"/>
      <c r="J47" s="18"/>
      <c r="K47" s="4"/>
      <c r="L47" s="4"/>
      <c r="M47" s="4"/>
      <c r="AC47" s="4"/>
      <c r="AD47" s="4"/>
      <c r="AE47" s="7"/>
      <c r="AF47" s="44"/>
      <c r="AG47" s="4"/>
    </row>
    <row r="48" spans="1:33" x14ac:dyDescent="0.25">
      <c r="A48" s="4"/>
      <c r="B48" s="4"/>
      <c r="C48" s="4"/>
      <c r="D48" s="4"/>
      <c r="E48" s="6"/>
      <c r="F48" s="6"/>
      <c r="G48" s="6"/>
      <c r="H48" s="4"/>
      <c r="I48" s="4"/>
      <c r="J48" s="18"/>
      <c r="K48" s="4"/>
      <c r="L48" s="4"/>
      <c r="M48" s="4"/>
      <c r="AC48" s="4"/>
      <c r="AD48" s="4"/>
      <c r="AE48" s="7"/>
      <c r="AF48" s="44"/>
      <c r="AG48" s="4"/>
    </row>
    <row r="49" spans="1:33" x14ac:dyDescent="0.25">
      <c r="A49" s="4"/>
      <c r="B49" s="4"/>
      <c r="C49" s="4"/>
      <c r="D49" s="4"/>
      <c r="E49" s="6"/>
      <c r="F49" s="6"/>
      <c r="G49" s="6"/>
      <c r="H49" s="4"/>
      <c r="I49" s="4"/>
      <c r="J49" s="18"/>
      <c r="K49" s="4"/>
      <c r="L49" s="4"/>
      <c r="M49" s="4"/>
      <c r="AC49" s="4"/>
      <c r="AD49" s="4"/>
      <c r="AE49" s="7"/>
      <c r="AF49" s="44"/>
      <c r="AG49" s="4"/>
    </row>
    <row r="50" spans="1:33" x14ac:dyDescent="0.25">
      <c r="A50" s="4"/>
      <c r="B50" s="4"/>
      <c r="C50" s="4"/>
      <c r="D50" s="4"/>
      <c r="E50" s="6"/>
      <c r="F50" s="6"/>
      <c r="G50" s="6"/>
      <c r="H50" s="4"/>
      <c r="I50" s="4"/>
      <c r="J50" s="18"/>
      <c r="K50" s="4"/>
      <c r="L50" s="4"/>
      <c r="M50" s="4"/>
      <c r="AC50" s="4"/>
      <c r="AD50" s="4"/>
      <c r="AE50" s="7"/>
      <c r="AF50" s="44"/>
      <c r="AG50" s="4"/>
    </row>
    <row r="51" spans="1:33" x14ac:dyDescent="0.25">
      <c r="A51" s="4"/>
      <c r="B51" s="4"/>
      <c r="C51" s="4"/>
      <c r="D51" s="4"/>
      <c r="E51" s="6"/>
      <c r="F51" s="6"/>
      <c r="G51" s="6"/>
      <c r="H51" s="4"/>
      <c r="I51" s="4"/>
      <c r="J51" s="18"/>
      <c r="K51" s="4"/>
      <c r="L51" s="4"/>
      <c r="M51" s="4"/>
      <c r="AC51" s="4"/>
      <c r="AD51" s="4"/>
      <c r="AE51" s="7"/>
      <c r="AF51" s="44"/>
      <c r="AG51" s="4"/>
    </row>
    <row r="52" spans="1:33" x14ac:dyDescent="0.25">
      <c r="A52" s="4"/>
      <c r="B52" s="4"/>
      <c r="C52" s="4"/>
      <c r="D52" s="4"/>
      <c r="E52" s="6"/>
      <c r="F52" s="6"/>
      <c r="G52" s="6"/>
      <c r="H52" s="4"/>
      <c r="I52" s="4"/>
      <c r="J52" s="18"/>
      <c r="K52" s="4"/>
      <c r="L52" s="4"/>
      <c r="M52" s="4"/>
      <c r="AC52" s="4"/>
      <c r="AD52" s="4"/>
      <c r="AE52" s="7"/>
      <c r="AF52" s="44"/>
      <c r="AG52" s="4"/>
    </row>
    <row r="53" spans="1:33" x14ac:dyDescent="0.25">
      <c r="A53" s="4"/>
      <c r="B53" s="4"/>
      <c r="C53" s="4"/>
      <c r="D53" s="4"/>
      <c r="E53" s="6"/>
      <c r="F53" s="6"/>
      <c r="G53" s="6"/>
      <c r="H53" s="4"/>
      <c r="I53" s="4"/>
      <c r="J53" s="18"/>
      <c r="K53" s="4"/>
      <c r="L53" s="4"/>
      <c r="M53" s="4"/>
      <c r="AC53" s="4"/>
      <c r="AD53" s="4"/>
      <c r="AE53" s="7"/>
      <c r="AF53" s="44"/>
      <c r="AG53" s="4"/>
    </row>
    <row r="54" spans="1:33" x14ac:dyDescent="0.25">
      <c r="A54" s="4"/>
      <c r="B54" s="4"/>
      <c r="C54" s="4"/>
      <c r="D54" s="4"/>
      <c r="E54" s="6"/>
      <c r="F54" s="6"/>
      <c r="G54" s="6"/>
      <c r="H54" s="4"/>
      <c r="I54" s="4"/>
      <c r="J54" s="18"/>
      <c r="K54" s="4"/>
      <c r="L54" s="4"/>
      <c r="M54" s="4"/>
      <c r="AC54" s="4"/>
      <c r="AD54" s="4"/>
      <c r="AE54" s="7"/>
      <c r="AF54" s="44"/>
      <c r="AG54" s="4"/>
    </row>
    <row r="55" spans="1:33" x14ac:dyDescent="0.25">
      <c r="A55" s="4"/>
      <c r="B55" s="4"/>
      <c r="C55" s="4"/>
      <c r="D55" s="4"/>
      <c r="E55" s="6"/>
      <c r="F55" s="6"/>
      <c r="G55" s="6"/>
      <c r="H55" s="4"/>
      <c r="I55" s="4"/>
      <c r="J55" s="18"/>
      <c r="K55" s="4"/>
      <c r="L55" s="4"/>
      <c r="M55" s="4"/>
      <c r="AC55" s="4"/>
      <c r="AD55" s="4"/>
      <c r="AE55" s="7"/>
      <c r="AF55" s="44"/>
      <c r="AG55" s="4"/>
    </row>
    <row r="56" spans="1:33" x14ac:dyDescent="0.25">
      <c r="A56" s="4"/>
      <c r="B56" s="4"/>
      <c r="C56" s="4"/>
      <c r="D56" s="4"/>
      <c r="E56" s="6"/>
      <c r="F56" s="6"/>
      <c r="G56" s="6"/>
      <c r="H56" s="4"/>
      <c r="I56" s="4"/>
      <c r="J56" s="18"/>
      <c r="K56" s="4"/>
      <c r="L56" s="4"/>
      <c r="M56" s="4"/>
      <c r="AC56" s="4"/>
      <c r="AD56" s="4"/>
      <c r="AE56" s="7"/>
      <c r="AF56" s="44"/>
      <c r="AG56" s="4"/>
    </row>
    <row r="57" spans="1:33" x14ac:dyDescent="0.25">
      <c r="A57" s="4"/>
      <c r="B57" s="4"/>
      <c r="C57" s="4"/>
      <c r="D57" s="4"/>
      <c r="E57" s="6"/>
      <c r="F57" s="6"/>
      <c r="G57" s="6"/>
      <c r="H57" s="4"/>
      <c r="I57" s="4"/>
      <c r="J57" s="18"/>
      <c r="K57" s="4"/>
      <c r="L57" s="4"/>
      <c r="M57" s="4"/>
      <c r="AC57" s="4"/>
      <c r="AD57" s="4"/>
      <c r="AE57" s="7"/>
      <c r="AF57" s="44"/>
      <c r="AG57" s="4"/>
    </row>
    <row r="58" spans="1:33" x14ac:dyDescent="0.25">
      <c r="A58" s="4"/>
      <c r="B58" s="4"/>
      <c r="C58" s="4"/>
      <c r="D58" s="4"/>
      <c r="E58" s="6"/>
      <c r="F58" s="6"/>
      <c r="G58" s="6"/>
      <c r="H58" s="4"/>
      <c r="I58" s="4"/>
      <c r="J58" s="18"/>
      <c r="K58" s="4"/>
      <c r="L58" s="4"/>
      <c r="M58" s="4"/>
      <c r="AC58" s="4"/>
      <c r="AD58" s="4"/>
      <c r="AE58" s="7"/>
      <c r="AF58" s="44"/>
      <c r="AG58" s="4"/>
    </row>
    <row r="59" spans="1:33" x14ac:dyDescent="0.25">
      <c r="A59" s="4"/>
      <c r="B59" s="4"/>
      <c r="C59" s="4"/>
      <c r="D59" s="4"/>
      <c r="E59" s="6"/>
      <c r="F59" s="6"/>
      <c r="G59" s="6"/>
      <c r="H59" s="4"/>
      <c r="I59" s="4"/>
      <c r="J59" s="18"/>
      <c r="K59" s="4"/>
      <c r="L59" s="4"/>
      <c r="M59" s="4"/>
      <c r="AC59" s="4"/>
      <c r="AD59" s="4"/>
      <c r="AE59" s="7"/>
      <c r="AF59" s="44"/>
      <c r="AG59" s="4"/>
    </row>
    <row r="60" spans="1:33" x14ac:dyDescent="0.25">
      <c r="A60" s="4"/>
      <c r="B60" s="4"/>
      <c r="C60" s="4"/>
      <c r="D60" s="4"/>
      <c r="E60" s="6"/>
      <c r="F60" s="6"/>
      <c r="G60" s="6"/>
      <c r="H60" s="4"/>
      <c r="I60" s="4"/>
      <c r="J60" s="18"/>
      <c r="K60" s="4"/>
      <c r="L60" s="4"/>
      <c r="M60" s="4"/>
      <c r="AC60" s="4"/>
      <c r="AD60" s="4"/>
      <c r="AE60" s="7"/>
      <c r="AF60" s="44"/>
      <c r="AG60" s="4"/>
    </row>
    <row r="61" spans="1:33" x14ac:dyDescent="0.25">
      <c r="A61" s="4"/>
      <c r="B61" s="4"/>
      <c r="C61" s="4"/>
      <c r="D61" s="4"/>
      <c r="E61" s="6"/>
      <c r="F61" s="6"/>
      <c r="G61" s="6"/>
      <c r="H61" s="4"/>
      <c r="I61" s="4"/>
      <c r="J61" s="18"/>
      <c r="K61" s="4"/>
      <c r="L61" s="4"/>
      <c r="M61" s="4"/>
      <c r="AC61" s="4"/>
      <c r="AD61" s="4"/>
      <c r="AE61" s="7"/>
      <c r="AF61" s="44"/>
      <c r="AG61" s="4"/>
    </row>
    <row r="62" spans="1:33" x14ac:dyDescent="0.25">
      <c r="AC62" s="4"/>
      <c r="AD62" s="4"/>
      <c r="AE62" s="7"/>
      <c r="AF62" s="44"/>
      <c r="AG62" s="4"/>
    </row>
    <row r="63" spans="1:33" x14ac:dyDescent="0.25">
      <c r="AC63" s="4"/>
      <c r="AD63" s="4"/>
      <c r="AE63" s="7"/>
      <c r="AF63" s="44"/>
      <c r="AG63" s="4"/>
    </row>
    <row r="64" spans="1:33" x14ac:dyDescent="0.25">
      <c r="AC64" s="4"/>
      <c r="AD64" s="4"/>
      <c r="AE64" s="7"/>
      <c r="AF64" s="44"/>
      <c r="AG64" s="4"/>
    </row>
    <row r="65" spans="32:33" x14ac:dyDescent="0.25">
      <c r="AF65" s="44"/>
      <c r="AG65" s="4"/>
    </row>
    <row r="66" spans="32:33" x14ac:dyDescent="0.25">
      <c r="AF66" s="44"/>
      <c r="AG66" s="4"/>
    </row>
    <row r="67" spans="32:33" x14ac:dyDescent="0.25">
      <c r="AF67" s="44"/>
      <c r="AG67" s="4"/>
    </row>
    <row r="68" spans="32:33" x14ac:dyDescent="0.25">
      <c r="AF68" s="44"/>
      <c r="AG68" s="4"/>
    </row>
    <row r="69" spans="32:33" x14ac:dyDescent="0.25">
      <c r="AF69" s="45">
        <f ca="1">TODAY()</f>
        <v>46296</v>
      </c>
      <c r="AG69" s="46" cm="1">
        <f t="array" ref="AG69">LOOKUP(2,1/(H:H&gt;0),H:H)</f>
        <v>325.17</v>
      </c>
    </row>
    <row r="70" spans="32:33" x14ac:dyDescent="0.25">
      <c r="AF70" s="47"/>
      <c r="AG70" s="47"/>
    </row>
    <row r="80" spans="32:33" x14ac:dyDescent="0.25">
      <c r="AF80" s="48"/>
    </row>
  </sheetData>
  <mergeCells count="18">
    <mergeCell ref="M3:M4"/>
    <mergeCell ref="V3:W3"/>
    <mergeCell ref="X3:X4"/>
    <mergeCell ref="O3:O4"/>
    <mergeCell ref="A3:A4"/>
    <mergeCell ref="B3:D3"/>
    <mergeCell ref="E3:F3"/>
    <mergeCell ref="G3:J3"/>
    <mergeCell ref="K3:L3"/>
    <mergeCell ref="P3:P4"/>
    <mergeCell ref="Q3:Q4"/>
    <mergeCell ref="R3:R4"/>
    <mergeCell ref="S3:U3"/>
    <mergeCell ref="AF3:AG3"/>
    <mergeCell ref="Y3:Y4"/>
    <mergeCell ref="AC3:AC4"/>
    <mergeCell ref="AD3:AD4"/>
    <mergeCell ref="AE3:AE4"/>
  </mergeCells>
  <hyperlinks>
    <hyperlink ref="A5" location="'2025.03'!A1" display="'2025.03'!A1" xr:uid="{8D59E250-8703-4382-8EFB-87661B774CCC}"/>
    <hyperlink ref="A6" location="'2025.04'!A1" display="'2025.04'!A1" xr:uid="{CB28ACF7-E156-4484-9822-4472BE50D6CC}"/>
    <hyperlink ref="A7" location="'2025.05'!A1" display="'2025.05'!A1" xr:uid="{2A78A4DD-00D0-42FC-9BA3-44F4671CAB7E}"/>
    <hyperlink ref="A8" location="'2025.06'!A1" display="'2025.06'!A1" xr:uid="{B84BD17F-7F00-4C46-A538-441655A0BC13}"/>
    <hyperlink ref="A9" location="'2025.07'!A1" display="'2025.07'!A1" xr:uid="{B3129C39-45EE-4971-BCCA-BD6A143A9CE3}"/>
    <hyperlink ref="A10" location="'2025.08'!A1" display="'2025.08'!A1" xr:uid="{5756C09B-9E8F-4C73-9925-ED7EE7B00DC4}"/>
    <hyperlink ref="A11" location="'2025.09'!A1" display="'2025.09'!A1" xr:uid="{FDA32FAE-C33C-4CA8-A1F4-FCFFAA28A012}"/>
    <hyperlink ref="A12" location="'2025.10'!A1" display="'2025.10'!A1" xr:uid="{C7C3BDDC-D8AA-4AC7-827B-604A73218BD0}"/>
    <hyperlink ref="A13" location="'2025.11'!A1" display="'2025.11'!A1" xr:uid="{9BA34D90-0D9B-49DD-9C7C-BEAE934FBF9F}"/>
    <hyperlink ref="A14" location="'2025.12'!A1" display="'2025.12'!A1" xr:uid="{650CD76F-46CB-453E-AE2E-D4368D01C368}"/>
    <hyperlink ref="A15" location="'2026.01'!A1" display="'2026.01'!A1" xr:uid="{2DF7A431-FDFC-46C9-A3BC-19A7963EAB7B}"/>
    <hyperlink ref="A16" location="'2026.02'!A1" display="'2026.02'!A1" xr:uid="{9603DA73-4686-4652-BEC8-1DD0990F69F4}"/>
    <hyperlink ref="A17" location="'2026.03'!A1" display="'2026.03'!A1" xr:uid="{CA0D9575-0635-4664-A4FE-D39CC5AEA158}"/>
    <hyperlink ref="A18" location="'2026.04'!A1" display="'2026.04'!A1" xr:uid="{19EBBF12-E0A3-45D7-8021-5EE20984D2E3}"/>
    <hyperlink ref="A19" location="'2026.05'!A1" display="'2026.05'!A1" xr:uid="{6748C452-D2D1-4B11-8306-C696B88929FA}"/>
    <hyperlink ref="A20" location="'2026.06'!A1" display="'2026.06'!A1" xr:uid="{BE103EEC-319F-435F-B6EE-BE5BCA403838}"/>
    <hyperlink ref="A21" location="'2026.07'!A1" display="'2026.07'!A1" xr:uid="{2DA10CED-20D9-47AA-97B3-3F75EE9223C1}"/>
    <hyperlink ref="A22" location="'2026.08'!A1" display="'2026.08'!A1" xr:uid="{9B34EF3D-A018-4E80-B904-C278F06C406E}"/>
    <hyperlink ref="A23" location="'2026.09'!A1" display="'2026.09'!A1" xr:uid="{20B04AFB-F38A-4FCA-B6E4-DC70E4E0C4C3}"/>
  </hyperlinks>
  <pageMargins left="0.7" right="0.7" top="0.75" bottom="0.75" header="0.3" footer="0.3"/>
  <pageSetup orientation="portrait" r:id="rId1"/>
  <ignoredErrors>
    <ignoredError sqref="E5" formula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G80"/>
  <sheetViews>
    <sheetView workbookViewId="0">
      <pane xSplit="1" ySplit="5" topLeftCell="B6" activePane="bottomRight" state="frozen"/>
      <selection pane="topRight" activeCell="B1" sqref="B1"/>
      <selection pane="bottomLeft" activeCell="A6" sqref="A6"/>
      <selection pane="bottomRight" activeCell="M24" sqref="M24"/>
    </sheetView>
  </sheetViews>
  <sheetFormatPr defaultRowHeight="15" x14ac:dyDescent="0.25"/>
  <cols>
    <col min="1" max="1" width="15.7109375" style="1" customWidth="1"/>
    <col min="2" max="13" width="10.7109375" customWidth="1"/>
    <col min="14" max="14" width="5.7109375" customWidth="1"/>
    <col min="15" max="25" width="10.7109375" customWidth="1"/>
    <col min="29" max="31" width="10.7109375" customWidth="1"/>
    <col min="32" max="32" width="15.7109375" customWidth="1"/>
    <col min="33" max="33" width="10.7109375" customWidth="1"/>
  </cols>
  <sheetData>
    <row r="1" spans="1:33" x14ac:dyDescent="0.25">
      <c r="A1" s="31" t="s">
        <v>38</v>
      </c>
    </row>
    <row r="3" spans="1:33" x14ac:dyDescent="0.25">
      <c r="A3" s="54" t="s">
        <v>29</v>
      </c>
      <c r="B3" s="57" t="s">
        <v>3</v>
      </c>
      <c r="C3" s="58"/>
      <c r="D3" s="59"/>
      <c r="E3" s="57" t="s">
        <v>1</v>
      </c>
      <c r="F3" s="59"/>
      <c r="G3" s="57" t="s">
        <v>32</v>
      </c>
      <c r="H3" s="58"/>
      <c r="I3" s="58"/>
      <c r="J3" s="59"/>
      <c r="K3" s="53" t="s">
        <v>26</v>
      </c>
      <c r="L3" s="53"/>
      <c r="M3" s="54" t="s">
        <v>4</v>
      </c>
      <c r="O3" s="62" t="s">
        <v>13</v>
      </c>
      <c r="P3" s="54" t="s">
        <v>11</v>
      </c>
      <c r="Q3" s="54" t="s">
        <v>1</v>
      </c>
      <c r="R3" s="54" t="s">
        <v>25</v>
      </c>
      <c r="S3" s="56" t="s">
        <v>9</v>
      </c>
      <c r="T3" s="56"/>
      <c r="U3" s="56"/>
      <c r="V3" s="57" t="s">
        <v>26</v>
      </c>
      <c r="W3" s="59"/>
      <c r="X3" s="54" t="s">
        <v>4</v>
      </c>
      <c r="Y3" s="54" t="s">
        <v>49</v>
      </c>
      <c r="AC3" s="56" t="s">
        <v>50</v>
      </c>
      <c r="AD3" s="56" t="s">
        <v>0</v>
      </c>
      <c r="AE3" s="56" t="s">
        <v>1</v>
      </c>
      <c r="AF3" s="60" t="s">
        <v>53</v>
      </c>
      <c r="AG3" s="61"/>
    </row>
    <row r="4" spans="1:33" x14ac:dyDescent="0.25">
      <c r="A4" s="55"/>
      <c r="B4" s="3" t="s">
        <v>11</v>
      </c>
      <c r="C4" s="3" t="s">
        <v>33</v>
      </c>
      <c r="D4" s="3" t="s">
        <v>34</v>
      </c>
      <c r="E4" s="3" t="s">
        <v>35</v>
      </c>
      <c r="F4" s="3" t="s">
        <v>30</v>
      </c>
      <c r="G4" s="3" t="s">
        <v>0</v>
      </c>
      <c r="H4" s="3" t="s">
        <v>5</v>
      </c>
      <c r="I4" s="3" t="s">
        <v>9</v>
      </c>
      <c r="J4" s="3" t="s">
        <v>7</v>
      </c>
      <c r="K4" s="3" t="s">
        <v>21</v>
      </c>
      <c r="L4" s="3" t="s">
        <v>22</v>
      </c>
      <c r="M4" s="55"/>
      <c r="O4" s="63"/>
      <c r="P4" s="55"/>
      <c r="Q4" s="55"/>
      <c r="R4" s="55"/>
      <c r="S4" s="39" t="s">
        <v>51</v>
      </c>
      <c r="T4" s="39" t="s">
        <v>7</v>
      </c>
      <c r="U4" s="39" t="s">
        <v>52</v>
      </c>
      <c r="V4" s="3" t="s">
        <v>21</v>
      </c>
      <c r="W4" s="13" t="s">
        <v>22</v>
      </c>
      <c r="X4" s="55"/>
      <c r="Y4" s="55"/>
      <c r="AC4" s="56"/>
      <c r="AD4" s="56"/>
      <c r="AE4" s="56"/>
      <c r="AF4" s="42" t="s">
        <v>29</v>
      </c>
      <c r="AG4" s="43" t="s">
        <v>50</v>
      </c>
    </row>
    <row r="5" spans="1:33" x14ac:dyDescent="0.25">
      <c r="A5" s="40">
        <f>'2025.03'!Q2</f>
        <v>2025.03</v>
      </c>
      <c r="B5" s="4">
        <f>'2025.03'!B29</f>
        <v>30</v>
      </c>
      <c r="C5" s="4">
        <f>'2025.03'!C29</f>
        <v>30</v>
      </c>
      <c r="D5" s="4">
        <f>C5</f>
        <v>30</v>
      </c>
      <c r="E5" s="33">
        <f>'2025.03'!F29</f>
        <v>0.20219999999999999</v>
      </c>
      <c r="F5" s="6">
        <f>E5</f>
        <v>0.20219999999999999</v>
      </c>
      <c r="G5" s="6">
        <v>145.18530000000001</v>
      </c>
      <c r="H5" s="4">
        <f t="shared" ref="H5:H11" si="0">F5*G5</f>
        <v>29.36</v>
      </c>
      <c r="I5" s="4">
        <f>H5-D5</f>
        <v>-0.64</v>
      </c>
      <c r="J5" s="18">
        <f t="shared" ref="J5:J11" si="1">(H5-D5)/D5</f>
        <v>-2.1299999999999999E-2</v>
      </c>
      <c r="K5" s="4">
        <f>'2025.03'!D29</f>
        <v>0</v>
      </c>
      <c r="L5" s="4">
        <f>'2025.03'!J29</f>
        <v>0</v>
      </c>
      <c r="M5" s="4">
        <f>'2025.03'!O29</f>
        <v>0</v>
      </c>
      <c r="O5" s="3" t="s">
        <v>2</v>
      </c>
      <c r="P5" s="4">
        <f>SUM(B5:B54)</f>
        <v>300</v>
      </c>
      <c r="Q5" s="7">
        <f>SUM(E5:E54)</f>
        <v>1.91</v>
      </c>
      <c r="R5" s="4"/>
      <c r="S5" s="4">
        <f>R5-P5+X5</f>
        <v>-300</v>
      </c>
      <c r="T5" s="18">
        <f>(R5-P5+X5)/P5</f>
        <v>-1</v>
      </c>
      <c r="U5" s="18">
        <f ca="1">XIRR(AG5:AG85,AF5:AF85)</f>
        <v>0.20150000000000001</v>
      </c>
      <c r="V5" s="4">
        <f>SUM(K5:K54)</f>
        <v>0</v>
      </c>
      <c r="W5" s="4">
        <f>SUM(L5:L54)</f>
        <v>0</v>
      </c>
      <c r="X5" s="4">
        <f>SUM(M5:M54)</f>
        <v>0</v>
      </c>
      <c r="Y5" s="4" cm="1">
        <f t="array" ref="Y5">SUMPRODUCT(IFERROR(AD5:AD200,0),IFERROR(AE5:AE200,0))/SUM(IFERROR(AE5:AE200,0))</f>
        <v>156.72999999999999</v>
      </c>
      <c r="AC5" s="4">
        <f>'2025.03'!$C$29</f>
        <v>30</v>
      </c>
      <c r="AD5" s="4">
        <f>'2025.03'!$E$29</f>
        <v>148.37</v>
      </c>
      <c r="AE5" s="7">
        <f>'2025.03'!$F$29</f>
        <v>0.20200000000000001</v>
      </c>
      <c r="AF5" s="44">
        <f>'2025.03'!$A$25</f>
        <v>45743</v>
      </c>
      <c r="AG5" s="4">
        <f>'2025.03'!$B$25*-1</f>
        <v>-15</v>
      </c>
    </row>
    <row r="6" spans="1:33" x14ac:dyDescent="0.25">
      <c r="A6" s="41">
        <f>'2025.04'!Q2</f>
        <v>2025.04</v>
      </c>
      <c r="B6" s="4">
        <f>'2025.04'!B29</f>
        <v>15</v>
      </c>
      <c r="C6" s="4">
        <f>'2025.04'!C29</f>
        <v>15</v>
      </c>
      <c r="D6" s="4">
        <f>D5+B6</f>
        <v>45</v>
      </c>
      <c r="E6" s="33">
        <f>'2025.04'!F29</f>
        <v>0.10929999999999999</v>
      </c>
      <c r="F6" s="6">
        <f t="shared" ref="F6:F16" si="2">F5+E6</f>
        <v>0.3115</v>
      </c>
      <c r="G6" s="6">
        <v>139.227</v>
      </c>
      <c r="H6" s="4">
        <f t="shared" si="0"/>
        <v>43.37</v>
      </c>
      <c r="I6" s="4">
        <f t="shared" ref="I6:I11" si="3">H6-D6</f>
        <v>-1.63</v>
      </c>
      <c r="J6" s="18">
        <f t="shared" si="1"/>
        <v>-3.6200000000000003E-2</v>
      </c>
      <c r="K6" s="4">
        <f>'2025.04'!D29</f>
        <v>0</v>
      </c>
      <c r="L6" s="4">
        <f>'2025.04'!J29</f>
        <v>0</v>
      </c>
      <c r="M6" s="4">
        <f>'2025.04'!O29</f>
        <v>0</v>
      </c>
      <c r="AC6" s="4">
        <f>'2025.04'!$C$29</f>
        <v>15</v>
      </c>
      <c r="AD6" s="4">
        <f>'2025.04'!$E$29</f>
        <v>137.27000000000001</v>
      </c>
      <c r="AE6" s="7">
        <f>'2025.04'!$F$29</f>
        <v>0.109</v>
      </c>
      <c r="AF6" s="44">
        <f>'2025.03'!$A$26</f>
        <v>45743</v>
      </c>
      <c r="AG6" s="4">
        <f>'2025.03'!$B$26*-1</f>
        <v>-15</v>
      </c>
    </row>
    <row r="7" spans="1:33" x14ac:dyDescent="0.25">
      <c r="A7" s="40">
        <f>'2025.05'!Q2</f>
        <v>2025.05</v>
      </c>
      <c r="B7" s="4">
        <f>'2025.05'!B29</f>
        <v>15</v>
      </c>
      <c r="C7" s="4">
        <f>'2025.05'!C29</f>
        <v>15</v>
      </c>
      <c r="D7" s="4">
        <f>D6+B7</f>
        <v>60</v>
      </c>
      <c r="E7" s="33">
        <f>'2025.05'!F29</f>
        <v>0.10249999999999999</v>
      </c>
      <c r="F7" s="6">
        <f t="shared" si="2"/>
        <v>0.41399999999999998</v>
      </c>
      <c r="G7" s="6">
        <v>147.3631</v>
      </c>
      <c r="H7" s="4">
        <f t="shared" si="0"/>
        <v>61.01</v>
      </c>
      <c r="I7" s="4">
        <f t="shared" si="3"/>
        <v>1.01</v>
      </c>
      <c r="J7" s="18">
        <f t="shared" si="1"/>
        <v>1.6799999999999999E-2</v>
      </c>
      <c r="K7" s="4">
        <f>'2025.05'!D29</f>
        <v>0</v>
      </c>
      <c r="L7" s="4">
        <f>'2025.05'!J29</f>
        <v>0</v>
      </c>
      <c r="M7" s="4">
        <f>'2025.05'!O29</f>
        <v>0</v>
      </c>
      <c r="AC7" s="4">
        <f>'2025.05'!$C$29</f>
        <v>15</v>
      </c>
      <c r="AD7" s="4">
        <f>'2025.05'!$E$29</f>
        <v>146.34</v>
      </c>
      <c r="AE7" s="7">
        <f>'2025.05'!$F$29</f>
        <v>0.10299999999999999</v>
      </c>
      <c r="AF7" s="44">
        <f>'2025.04'!$A$25</f>
        <v>45775</v>
      </c>
      <c r="AG7" s="4">
        <f>'2025.04'!$B$25*-1</f>
        <v>-15</v>
      </c>
    </row>
    <row r="8" spans="1:33" x14ac:dyDescent="0.25">
      <c r="A8" s="40">
        <f>'2025.06'!Q2</f>
        <v>2025.06</v>
      </c>
      <c r="B8" s="4">
        <f>'2025.06'!B29</f>
        <v>15</v>
      </c>
      <c r="C8" s="4">
        <f>'2025.06'!C29</f>
        <v>15</v>
      </c>
      <c r="D8" s="4">
        <f t="shared" ref="D8:D16" si="4">D7+B8</f>
        <v>75</v>
      </c>
      <c r="E8" s="33">
        <f>'2025.06'!F29</f>
        <v>0.1026</v>
      </c>
      <c r="F8" s="6">
        <f t="shared" si="2"/>
        <v>0.51659999999999995</v>
      </c>
      <c r="G8" s="6">
        <v>146.74539999999999</v>
      </c>
      <c r="H8" s="4">
        <f t="shared" si="0"/>
        <v>75.81</v>
      </c>
      <c r="I8" s="4">
        <f t="shared" si="3"/>
        <v>0.81</v>
      </c>
      <c r="J8" s="18">
        <f t="shared" si="1"/>
        <v>1.0800000000000001E-2</v>
      </c>
      <c r="K8" s="4">
        <f>'2025.06'!D29</f>
        <v>0</v>
      </c>
      <c r="L8" s="4">
        <f>'2025.06'!J29</f>
        <v>0</v>
      </c>
      <c r="M8" s="4">
        <f>'2025.06'!O29</f>
        <v>0</v>
      </c>
      <c r="AC8" s="4">
        <f>'2025.06'!$C$29</f>
        <v>15</v>
      </c>
      <c r="AD8" s="4">
        <f>'2025.06'!$E$29</f>
        <v>146.19999999999999</v>
      </c>
      <c r="AE8" s="7">
        <f>'2025.06'!$F$29</f>
        <v>0.10299999999999999</v>
      </c>
      <c r="AF8" s="44">
        <f>'2025.05'!$A$25</f>
        <v>45805</v>
      </c>
      <c r="AG8" s="4">
        <f>'2025.05'!$B$25*-1</f>
        <v>-15</v>
      </c>
    </row>
    <row r="9" spans="1:33" x14ac:dyDescent="0.25">
      <c r="A9" s="41">
        <f>'2025.07'!Q2</f>
        <v>2025.07</v>
      </c>
      <c r="B9" s="4">
        <f>'2025.07'!B29</f>
        <v>15</v>
      </c>
      <c r="C9" s="4">
        <f>'2025.07'!C29</f>
        <v>15</v>
      </c>
      <c r="D9" s="4">
        <f t="shared" si="4"/>
        <v>90</v>
      </c>
      <c r="E9" s="33">
        <f>'2025.07'!F29</f>
        <v>0.1004</v>
      </c>
      <c r="F9" s="6">
        <f t="shared" si="2"/>
        <v>0.61699999999999999</v>
      </c>
      <c r="G9" s="6">
        <v>149.4614</v>
      </c>
      <c r="H9" s="4">
        <f t="shared" si="0"/>
        <v>92.22</v>
      </c>
      <c r="I9" s="4">
        <f t="shared" si="3"/>
        <v>2.2200000000000002</v>
      </c>
      <c r="J9" s="18">
        <f t="shared" si="1"/>
        <v>2.47E-2</v>
      </c>
      <c r="K9" s="4">
        <f>'2025.07'!D29</f>
        <v>0</v>
      </c>
      <c r="L9" s="4">
        <f>'2025.07'!J29</f>
        <v>0</v>
      </c>
      <c r="M9" s="4">
        <f>'2025.07'!O29</f>
        <v>0</v>
      </c>
      <c r="AC9" s="4">
        <f>'2025.07'!$C$29</f>
        <v>15</v>
      </c>
      <c r="AD9" s="4">
        <f>'2025.07'!$E$29</f>
        <v>149.4</v>
      </c>
      <c r="AE9" s="7">
        <f>'2025.07'!$F$29</f>
        <v>0.1</v>
      </c>
      <c r="AF9" s="44">
        <f>'2025.06'!$A$25</f>
        <v>45835</v>
      </c>
      <c r="AG9" s="4">
        <f>'2025.06'!$B$25*-1</f>
        <v>-15</v>
      </c>
    </row>
    <row r="10" spans="1:33" x14ac:dyDescent="0.25">
      <c r="A10" s="41">
        <f>'2025.08'!Q2</f>
        <v>2025.08</v>
      </c>
      <c r="B10" s="4">
        <f>'2025.08'!B29</f>
        <v>15</v>
      </c>
      <c r="C10" s="4">
        <f>'2025.08'!C29</f>
        <v>15</v>
      </c>
      <c r="D10" s="4">
        <f t="shared" si="4"/>
        <v>105</v>
      </c>
      <c r="E10" s="33">
        <f>'2025.08'!F29</f>
        <v>9.98E-2</v>
      </c>
      <c r="F10" s="6">
        <f t="shared" si="2"/>
        <v>0.71679999999999999</v>
      </c>
      <c r="G10" s="6">
        <v>149.91679999999999</v>
      </c>
      <c r="H10" s="4">
        <f t="shared" si="0"/>
        <v>107.46</v>
      </c>
      <c r="I10" s="4">
        <f t="shared" si="3"/>
        <v>2.46</v>
      </c>
      <c r="J10" s="18">
        <f t="shared" si="1"/>
        <v>2.3400000000000001E-2</v>
      </c>
      <c r="K10" s="4">
        <f>'2025.08'!D29</f>
        <v>0</v>
      </c>
      <c r="L10" s="4">
        <f>'2025.08'!J29</f>
        <v>0</v>
      </c>
      <c r="M10" s="4">
        <f>'2025.08'!O29</f>
        <v>0</v>
      </c>
      <c r="AC10" s="4">
        <f>'2025.08'!$C$29</f>
        <v>15</v>
      </c>
      <c r="AD10" s="4">
        <f>'2025.08'!$E$29</f>
        <v>150.30000000000001</v>
      </c>
      <c r="AE10" s="7">
        <f>'2025.08'!$F$29</f>
        <v>0.1</v>
      </c>
      <c r="AF10" s="44">
        <f>'2025.07'!$A$25</f>
        <v>45866</v>
      </c>
      <c r="AG10" s="4">
        <f>'2025.07'!$B$25*-1</f>
        <v>-15</v>
      </c>
    </row>
    <row r="11" spans="1:33" x14ac:dyDescent="0.25">
      <c r="A11" s="41">
        <f>'2025.09'!Q2</f>
        <v>2025.09</v>
      </c>
      <c r="B11" s="4">
        <f>'2025.09'!B29</f>
        <v>15</v>
      </c>
      <c r="C11" s="4">
        <f>'2025.09'!C29</f>
        <v>15</v>
      </c>
      <c r="D11" s="4">
        <f t="shared" si="4"/>
        <v>120</v>
      </c>
      <c r="E11" s="33">
        <f>'2025.09'!F29</f>
        <v>9.9199999999999997E-2</v>
      </c>
      <c r="F11" s="6">
        <f t="shared" si="2"/>
        <v>0.81599999999999995</v>
      </c>
      <c r="G11" s="6">
        <v>150.8638</v>
      </c>
      <c r="H11" s="4">
        <f t="shared" si="0"/>
        <v>123.1</v>
      </c>
      <c r="I11" s="4">
        <f t="shared" si="3"/>
        <v>3.1</v>
      </c>
      <c r="J11" s="18">
        <f t="shared" si="1"/>
        <v>2.58E-2</v>
      </c>
      <c r="K11" s="4">
        <f>'2025.09'!D29</f>
        <v>0</v>
      </c>
      <c r="L11" s="4">
        <f>'2025.09'!J29</f>
        <v>0</v>
      </c>
      <c r="M11" s="4">
        <f>'2025.09'!O29</f>
        <v>0</v>
      </c>
      <c r="AC11" s="4">
        <f>'2025.09'!$C$29</f>
        <v>15</v>
      </c>
      <c r="AD11" s="4">
        <f>'2025.09'!$E$29</f>
        <v>151.21</v>
      </c>
      <c r="AE11" s="7">
        <f>'2025.09'!$F$29</f>
        <v>9.9000000000000005E-2</v>
      </c>
      <c r="AF11" s="44">
        <f>'2025.08'!$A$25</f>
        <v>45897</v>
      </c>
      <c r="AG11" s="4">
        <f>'2025.08'!$B$25*-1</f>
        <v>-15</v>
      </c>
    </row>
    <row r="12" spans="1:33" x14ac:dyDescent="0.25">
      <c r="A12" s="41">
        <f>'2025.10'!Q2</f>
        <v>2025.1</v>
      </c>
      <c r="B12" s="4">
        <f>'2025.10'!B29</f>
        <v>15</v>
      </c>
      <c r="C12" s="4">
        <f>'2025.10'!C29</f>
        <v>15</v>
      </c>
      <c r="D12" s="4">
        <f t="shared" si="4"/>
        <v>135</v>
      </c>
      <c r="E12" s="33">
        <f>'2025.10'!F29</f>
        <v>9.6100000000000005E-2</v>
      </c>
      <c r="F12" s="6">
        <f t="shared" si="2"/>
        <v>0.91210000000000002</v>
      </c>
      <c r="G12" s="6">
        <v>157.024</v>
      </c>
      <c r="H12" s="4">
        <f t="shared" ref="H12:H13" si="5">F12*G12</f>
        <v>143.22</v>
      </c>
      <c r="I12" s="4">
        <f t="shared" ref="I12" si="6">H12-D12</f>
        <v>8.2200000000000006</v>
      </c>
      <c r="J12" s="18">
        <f t="shared" ref="J12" si="7">(H12-D12)/D12</f>
        <v>6.0900000000000003E-2</v>
      </c>
      <c r="K12" s="4">
        <f>'2025.10'!D29</f>
        <v>0</v>
      </c>
      <c r="L12" s="4">
        <f>'2025.10'!J29</f>
        <v>0</v>
      </c>
      <c r="M12" s="4">
        <f>'2025.10'!O29</f>
        <v>0</v>
      </c>
      <c r="AC12" s="4">
        <f>'2025.10'!$C$29</f>
        <v>15</v>
      </c>
      <c r="AD12" s="4">
        <f>'2025.10'!$E$29</f>
        <v>156.09</v>
      </c>
      <c r="AE12" s="7">
        <f>'2025.10'!$F$29</f>
        <v>9.6000000000000002E-2</v>
      </c>
      <c r="AF12" s="44">
        <f>'2025.09'!$A$25</f>
        <v>45926</v>
      </c>
      <c r="AG12" s="4">
        <f>'2025.09'!$B$25*-1</f>
        <v>-15</v>
      </c>
    </row>
    <row r="13" spans="1:33" x14ac:dyDescent="0.25">
      <c r="A13" s="41">
        <f>'2025.11'!Q2</f>
        <v>2025.11</v>
      </c>
      <c r="B13" s="4">
        <f>'2025.11'!B29</f>
        <v>15</v>
      </c>
      <c r="C13" s="4">
        <f>'2025.11'!C29</f>
        <v>15</v>
      </c>
      <c r="D13" s="4">
        <f t="shared" si="4"/>
        <v>150</v>
      </c>
      <c r="E13" s="33">
        <f>'2025.11'!F29</f>
        <v>9.74E-2</v>
      </c>
      <c r="F13" s="6">
        <f t="shared" si="2"/>
        <v>1.0095000000000001</v>
      </c>
      <c r="G13" s="6">
        <v>155.81139999999999</v>
      </c>
      <c r="H13" s="4">
        <f t="shared" si="5"/>
        <v>157.29</v>
      </c>
      <c r="I13" s="4">
        <f t="shared" ref="I13" si="8">H13-D13</f>
        <v>7.29</v>
      </c>
      <c r="J13" s="18">
        <f t="shared" ref="J13" si="9">(H13-D13)/D13</f>
        <v>4.8599999999999997E-2</v>
      </c>
      <c r="K13" s="4">
        <f>'2025.11'!D29</f>
        <v>0</v>
      </c>
      <c r="L13" s="4">
        <f>'2025.11'!J29</f>
        <v>0</v>
      </c>
      <c r="M13" s="4">
        <f>'2025.11'!O29</f>
        <v>0</v>
      </c>
      <c r="AC13" s="4">
        <f>'2025.11'!$C$29</f>
        <v>15</v>
      </c>
      <c r="AD13" s="4">
        <f>'2025.11'!$E$29</f>
        <v>154</v>
      </c>
      <c r="AE13" s="7">
        <f>'2025.11'!$F$29</f>
        <v>9.7000000000000003E-2</v>
      </c>
      <c r="AF13" s="44">
        <f>'2025.10'!$A$25</f>
        <v>45958</v>
      </c>
      <c r="AG13" s="4">
        <f>'2025.10'!$B$25*-1</f>
        <v>-15</v>
      </c>
    </row>
    <row r="14" spans="1:33" x14ac:dyDescent="0.25">
      <c r="A14" s="41">
        <f>'2025.12'!Q2</f>
        <v>2025.12</v>
      </c>
      <c r="B14" s="4">
        <f>'2025.12'!B29</f>
        <v>0</v>
      </c>
      <c r="C14" s="4">
        <f>'2025.12'!C29</f>
        <v>0</v>
      </c>
      <c r="D14" s="4">
        <f t="shared" si="4"/>
        <v>150</v>
      </c>
      <c r="E14" s="33">
        <f>'2025.12'!F29</f>
        <v>0</v>
      </c>
      <c r="F14" s="6">
        <f t="shared" si="2"/>
        <v>1.0095000000000001</v>
      </c>
      <c r="G14" s="6">
        <v>158.54560000000001</v>
      </c>
      <c r="H14" s="4">
        <f t="shared" ref="H14" si="10">F14*G14</f>
        <v>160.05000000000001</v>
      </c>
      <c r="I14" s="4">
        <f t="shared" ref="I14" si="11">H14-D14</f>
        <v>10.050000000000001</v>
      </c>
      <c r="J14" s="18">
        <f t="shared" ref="J14" si="12">(H14-D14)/D14</f>
        <v>6.7000000000000004E-2</v>
      </c>
      <c r="K14" s="4">
        <f>'2025.12'!D29</f>
        <v>0</v>
      </c>
      <c r="L14" s="4">
        <f>'2025.12'!J29</f>
        <v>0</v>
      </c>
      <c r="M14" s="4">
        <f>'2025.12'!O29</f>
        <v>0</v>
      </c>
      <c r="AC14" s="4">
        <f>'2025.12'!$C$29</f>
        <v>0</v>
      </c>
      <c r="AD14" s="4" t="str">
        <f>'2025.12'!$E$29</f>
        <v>0.00</v>
      </c>
      <c r="AE14" s="7">
        <f>'2025.12'!$F$29</f>
        <v>0</v>
      </c>
      <c r="AF14" s="44">
        <f>'2025.11'!$A$25</f>
        <v>45988</v>
      </c>
      <c r="AG14" s="4">
        <f>'2025.11'!$B$25*-1</f>
        <v>-15</v>
      </c>
    </row>
    <row r="15" spans="1:33" x14ac:dyDescent="0.25">
      <c r="A15" s="41">
        <f>'2026.01'!Q2</f>
        <v>2026.01</v>
      </c>
      <c r="B15" s="4">
        <f>'2026.01'!B29</f>
        <v>30</v>
      </c>
      <c r="C15" s="4">
        <f>'2026.01'!C29</f>
        <v>30</v>
      </c>
      <c r="D15" s="4">
        <f t="shared" si="4"/>
        <v>180</v>
      </c>
      <c r="E15" s="33">
        <f>'2026.01'!F29</f>
        <v>0.18690000000000001</v>
      </c>
      <c r="F15" s="6">
        <f t="shared" si="2"/>
        <v>1.1963999999999999</v>
      </c>
      <c r="G15" s="6">
        <v>162.77199999999999</v>
      </c>
      <c r="H15" s="4">
        <f t="shared" ref="H15" si="13">F15*G15</f>
        <v>194.74</v>
      </c>
      <c r="I15" s="4">
        <f t="shared" ref="I15" si="14">H15-D15</f>
        <v>14.74</v>
      </c>
      <c r="J15" s="18">
        <f t="shared" ref="J15" si="15">(H15-D15)/D15</f>
        <v>8.1900000000000001E-2</v>
      </c>
      <c r="K15" s="4">
        <f>'2026.01'!D29</f>
        <v>0</v>
      </c>
      <c r="L15" s="4">
        <f>'2026.01'!J29</f>
        <v>0</v>
      </c>
      <c r="M15" s="4">
        <f>'2026.01'!O29</f>
        <v>0</v>
      </c>
      <c r="AC15" s="4">
        <f>'2026.01'!$C$29</f>
        <v>30</v>
      </c>
      <c r="AD15" s="4">
        <f>'2026.01'!$E$29</f>
        <v>160.51</v>
      </c>
      <c r="AE15" s="7">
        <f>'2026.01'!$F$29</f>
        <v>0.187</v>
      </c>
      <c r="AF15" s="44">
        <f>'2026.01'!$A$25</f>
        <v>46024</v>
      </c>
      <c r="AG15" s="4">
        <f>'2026.01'!$B$25*-1</f>
        <v>-15</v>
      </c>
    </row>
    <row r="16" spans="1:33" x14ac:dyDescent="0.25">
      <c r="A16" s="41">
        <f>'2026.02'!Q2</f>
        <v>2026.02</v>
      </c>
      <c r="B16" s="4">
        <f>'2026.02'!B29</f>
        <v>15</v>
      </c>
      <c r="C16" s="4">
        <f>'2026.02'!C29</f>
        <v>15</v>
      </c>
      <c r="D16" s="4">
        <f t="shared" si="4"/>
        <v>195</v>
      </c>
      <c r="E16" s="33">
        <f>'2026.02'!F29</f>
        <v>9.1499999999999998E-2</v>
      </c>
      <c r="F16" s="6">
        <f t="shared" si="2"/>
        <v>1.2879</v>
      </c>
      <c r="G16" s="6">
        <v>164.98429999999999</v>
      </c>
      <c r="H16" s="4">
        <f t="shared" ref="H16" si="16">F16*G16</f>
        <v>212.48</v>
      </c>
      <c r="I16" s="4">
        <f t="shared" ref="I16" si="17">H16-D16</f>
        <v>17.48</v>
      </c>
      <c r="J16" s="18">
        <f t="shared" ref="J16" si="18">(H16-D16)/D16</f>
        <v>8.9599999999999999E-2</v>
      </c>
      <c r="K16" s="4">
        <f>'2026.02'!D29</f>
        <v>0</v>
      </c>
      <c r="L16" s="4">
        <f>'2026.02'!J29</f>
        <v>0</v>
      </c>
      <c r="M16" s="4">
        <f>'2026.02'!O29</f>
        <v>0</v>
      </c>
      <c r="AC16" s="4">
        <f>'2026.02'!$C$29</f>
        <v>15</v>
      </c>
      <c r="AD16" s="4">
        <f>'2026.02'!$E$29</f>
        <v>163.93</v>
      </c>
      <c r="AE16" s="7">
        <f>'2026.02'!$F$29</f>
        <v>9.1999999999999998E-2</v>
      </c>
      <c r="AF16" s="44">
        <f>'2026.01'!$A$26</f>
        <v>46050</v>
      </c>
      <c r="AG16" s="4">
        <f>'2026.01'!$B$26*-1</f>
        <v>-15</v>
      </c>
    </row>
    <row r="17" spans="1:33" x14ac:dyDescent="0.25">
      <c r="A17" s="41">
        <f>'2026.03'!Q2</f>
        <v>2026.03</v>
      </c>
      <c r="B17" s="4">
        <f>'2026.03'!B29</f>
        <v>15</v>
      </c>
      <c r="C17" s="4">
        <f>'2026.03'!C29</f>
        <v>15</v>
      </c>
      <c r="D17" s="4">
        <f t="shared" ref="D17" si="19">D16+B17</f>
        <v>210</v>
      </c>
      <c r="E17" s="33">
        <f>'2026.03'!F29</f>
        <v>9.8400000000000001E-2</v>
      </c>
      <c r="F17" s="6">
        <f t="shared" ref="F17" si="20">F16+E17</f>
        <v>1.3863000000000001</v>
      </c>
      <c r="G17" s="6">
        <v>151.1097</v>
      </c>
      <c r="H17" s="4">
        <f t="shared" ref="H17" si="21">F17*G17</f>
        <v>209.48</v>
      </c>
      <c r="I17" s="4">
        <f t="shared" ref="I17" si="22">H17-D17</f>
        <v>-0.52</v>
      </c>
      <c r="J17" s="18">
        <f t="shared" ref="J17" si="23">(H17-D17)/D17</f>
        <v>-2.5000000000000001E-3</v>
      </c>
      <c r="K17" s="4">
        <f>'2026.03'!D29</f>
        <v>0</v>
      </c>
      <c r="L17" s="4">
        <f>'2026.03'!J29</f>
        <v>0</v>
      </c>
      <c r="M17" s="4">
        <f>'2026.03'!O29</f>
        <v>0</v>
      </c>
      <c r="AC17" s="4">
        <f>'2026.03'!$C$29</f>
        <v>15</v>
      </c>
      <c r="AD17" s="4">
        <f>'2026.03'!$E$29</f>
        <v>152.44</v>
      </c>
      <c r="AE17" s="7">
        <f>'2026.03'!$F$29</f>
        <v>9.8000000000000004E-2</v>
      </c>
      <c r="AF17" s="44">
        <f>'2026.02'!$A$25</f>
        <v>46079</v>
      </c>
      <c r="AG17" s="4">
        <f>'2026.02'!$B$25*-1</f>
        <v>-15</v>
      </c>
    </row>
    <row r="18" spans="1:33" x14ac:dyDescent="0.25">
      <c r="A18" s="41">
        <f>'2026.04'!$Q$2</f>
        <v>2026.04</v>
      </c>
      <c r="B18" s="4">
        <f>'2026.04'!$B$29</f>
        <v>15</v>
      </c>
      <c r="C18" s="4">
        <f>'2026.04'!$C$29</f>
        <v>15</v>
      </c>
      <c r="D18" s="4">
        <f t="shared" ref="D18" si="24">D17+B18</f>
        <v>225</v>
      </c>
      <c r="E18" s="33">
        <f>'2026.04'!$F$29</f>
        <v>9.1600000000000001E-2</v>
      </c>
      <c r="F18" s="6">
        <f t="shared" ref="F18" si="25">F17+E18</f>
        <v>1.4779</v>
      </c>
      <c r="G18" s="6">
        <v>162.5891</v>
      </c>
      <c r="H18" s="4">
        <f t="shared" ref="H18" si="26">F18*G18</f>
        <v>240.29</v>
      </c>
      <c r="I18" s="4">
        <f t="shared" ref="I18" si="27">H18-D18</f>
        <v>15.29</v>
      </c>
      <c r="J18" s="18">
        <f t="shared" ref="J18" si="28">(H18-D18)/D18</f>
        <v>6.8000000000000005E-2</v>
      </c>
      <c r="K18" s="4">
        <f>'2026.04'!$D$29</f>
        <v>0</v>
      </c>
      <c r="L18" s="4">
        <f>'2026.04'!$J$29</f>
        <v>0</v>
      </c>
      <c r="M18" s="4">
        <f>'2026.04'!$O$29</f>
        <v>0</v>
      </c>
      <c r="AC18" s="4">
        <f>'2026.04'!$C$29</f>
        <v>15</v>
      </c>
      <c r="AD18" s="4">
        <f>'2026.04'!$E$29</f>
        <v>163.76</v>
      </c>
      <c r="AE18" s="7">
        <f>'2026.04'!$F$29</f>
        <v>9.1999999999999998E-2</v>
      </c>
      <c r="AF18" s="44">
        <f>'2026.03'!$A$25</f>
        <v>46107</v>
      </c>
      <c r="AG18" s="4">
        <f>'2026.03'!$B$25*-1</f>
        <v>-15</v>
      </c>
    </row>
    <row r="19" spans="1:33" x14ac:dyDescent="0.25">
      <c r="A19" s="41">
        <f>'2026.05'!$Q$2</f>
        <v>2026.05</v>
      </c>
      <c r="B19" s="4">
        <f>'2026.05'!$B$29</f>
        <v>15</v>
      </c>
      <c r="C19" s="4">
        <f>'2026.05'!$C$29</f>
        <v>15</v>
      </c>
      <c r="D19" s="4">
        <f t="shared" ref="D19" si="29">D18+B19</f>
        <v>240</v>
      </c>
      <c r="E19" s="33">
        <f>'2026.05'!$F$29</f>
        <v>8.7499999999999994E-2</v>
      </c>
      <c r="F19" s="6">
        <f t="shared" ref="F19" si="30">F18+E19</f>
        <v>1.5653999999999999</v>
      </c>
      <c r="G19" s="6">
        <v>170.3272</v>
      </c>
      <c r="H19" s="4">
        <f t="shared" ref="H19" si="31">F19*G19</f>
        <v>266.63</v>
      </c>
      <c r="I19" s="4">
        <f t="shared" ref="I19" si="32">H19-D19</f>
        <v>26.63</v>
      </c>
      <c r="J19" s="18">
        <f t="shared" ref="J19" si="33">(H19-D19)/D19</f>
        <v>0.111</v>
      </c>
      <c r="K19" s="4">
        <f>'2026.05'!$D$29</f>
        <v>0</v>
      </c>
      <c r="L19" s="4">
        <f>'2026.05'!$J$29</f>
        <v>0</v>
      </c>
      <c r="M19" s="4">
        <f>'2026.05'!$O$29</f>
        <v>0</v>
      </c>
      <c r="AC19" s="4">
        <f>'2026.05'!$C$29</f>
        <v>15</v>
      </c>
      <c r="AD19" s="4">
        <f>'2026.05'!$E$29</f>
        <v>171.43</v>
      </c>
      <c r="AE19" s="7">
        <f>'2026.05'!$F$29</f>
        <v>8.7999999999999995E-2</v>
      </c>
      <c r="AF19" s="44">
        <f>'2026.04'!$A$25</f>
        <v>46140</v>
      </c>
      <c r="AG19" s="4">
        <f>'2026.04'!$B$25*-1</f>
        <v>-15</v>
      </c>
    </row>
    <row r="20" spans="1:33" x14ac:dyDescent="0.25">
      <c r="A20" s="41">
        <f>'2026.06'!$Q$2</f>
        <v>2026.06</v>
      </c>
      <c r="B20" s="4">
        <f>'2026.06'!$B$29</f>
        <v>15</v>
      </c>
      <c r="C20" s="4">
        <f>'2026.06'!$C$29</f>
        <v>15</v>
      </c>
      <c r="D20" s="4">
        <f t="shared" ref="D20" si="34">D19+B20</f>
        <v>255</v>
      </c>
      <c r="E20" s="33">
        <f>'2026.06'!$F$29</f>
        <v>8.72E-2</v>
      </c>
      <c r="F20" s="6">
        <f t="shared" ref="F20" si="35">F19+E20</f>
        <v>1.6526000000000001</v>
      </c>
      <c r="G20" s="6">
        <v>171.6225</v>
      </c>
      <c r="H20" s="4">
        <f t="shared" ref="H20" si="36">F20*G20</f>
        <v>283.62</v>
      </c>
      <c r="I20" s="4">
        <f t="shared" ref="I20" si="37">H20-D20</f>
        <v>28.62</v>
      </c>
      <c r="J20" s="18">
        <f t="shared" ref="J20" si="38">(H20-D20)/D20</f>
        <v>0.11219999999999999</v>
      </c>
      <c r="K20" s="4">
        <f>'2026.06'!$D$29</f>
        <v>0</v>
      </c>
      <c r="L20" s="4">
        <f>'2026.06'!$J$29</f>
        <v>0</v>
      </c>
      <c r="M20" s="4">
        <f>'2026.06'!$O$29</f>
        <v>0</v>
      </c>
      <c r="AC20" s="4">
        <f>'2026.06'!$C$29</f>
        <v>15</v>
      </c>
      <c r="AD20" s="4">
        <f>'2026.06'!$E$29</f>
        <v>172.02</v>
      </c>
      <c r="AE20" s="7">
        <f>'2026.06'!$F$29</f>
        <v>8.6999999999999994E-2</v>
      </c>
      <c r="AF20" s="44">
        <f>'2026.05'!$A$25</f>
        <v>46171</v>
      </c>
      <c r="AG20" s="4">
        <f>'2026.05'!$B$25*-1</f>
        <v>-15</v>
      </c>
    </row>
    <row r="21" spans="1:33" x14ac:dyDescent="0.25">
      <c r="A21" s="41">
        <f>'2026.07'!$Q$2</f>
        <v>2026.07</v>
      </c>
      <c r="B21" s="4">
        <f>'2026.07'!$B$29</f>
        <v>15</v>
      </c>
      <c r="C21" s="4">
        <f>'2026.07'!$C$29</f>
        <v>15</v>
      </c>
      <c r="D21" s="4">
        <f t="shared" ref="D21" si="39">D20+B21</f>
        <v>270</v>
      </c>
      <c r="E21" s="33">
        <f>'2026.07'!$F$29</f>
        <v>8.6999999999999994E-2</v>
      </c>
      <c r="F21" s="6">
        <f t="shared" ref="F21" si="40">F20+E21</f>
        <v>1.7396</v>
      </c>
      <c r="G21" s="6">
        <v>172.7268</v>
      </c>
      <c r="H21" s="4">
        <f t="shared" ref="H21" si="41">F21*G21</f>
        <v>300.48</v>
      </c>
      <c r="I21" s="4">
        <f t="shared" ref="I21" si="42">H21-D21</f>
        <v>30.48</v>
      </c>
      <c r="J21" s="18">
        <f t="shared" ref="J21" si="43">(H21-D21)/D21</f>
        <v>0.1129</v>
      </c>
      <c r="K21" s="4">
        <f>'2026.07'!$D$29</f>
        <v>0</v>
      </c>
      <c r="L21" s="4">
        <f>'2026.07'!$J$29</f>
        <v>0</v>
      </c>
      <c r="M21" s="4">
        <f>'2026.07'!$O$29</f>
        <v>0</v>
      </c>
      <c r="AC21" s="4">
        <f>'2026.06'!$C$29</f>
        <v>15</v>
      </c>
      <c r="AD21" s="4">
        <f>'2026.06'!$E$29</f>
        <v>172.02</v>
      </c>
      <c r="AE21" s="7">
        <f>'2026.06'!$F$29</f>
        <v>8.6999999999999994E-2</v>
      </c>
      <c r="AF21" s="44">
        <f>'2026.05'!$A$25</f>
        <v>46171</v>
      </c>
      <c r="AG21" s="4">
        <f>'2026.05'!$B$25*-1</f>
        <v>-15</v>
      </c>
    </row>
    <row r="22" spans="1:33" x14ac:dyDescent="0.25">
      <c r="A22" s="41">
        <f>'2026.08'!$Q$2</f>
        <v>2026.08</v>
      </c>
      <c r="B22" s="4">
        <f>'2026.08'!$B$29</f>
        <v>15</v>
      </c>
      <c r="C22" s="4">
        <f>'2026.08'!$C$29</f>
        <v>15</v>
      </c>
      <c r="D22" s="4">
        <f t="shared" ref="D22" si="44">D21+B22</f>
        <v>285</v>
      </c>
      <c r="E22" s="33">
        <f>'2026.08'!$F$29</f>
        <v>8.48E-2</v>
      </c>
      <c r="F22" s="6">
        <f t="shared" ref="F22" si="45">F21+E22</f>
        <v>1.8244</v>
      </c>
      <c r="G22" s="6">
        <v>177.37809999999999</v>
      </c>
      <c r="H22" s="4">
        <f t="shared" ref="H22" si="46">F22*G22</f>
        <v>323.61</v>
      </c>
      <c r="I22" s="4">
        <f t="shared" ref="I22" si="47">H22-D22</f>
        <v>38.61</v>
      </c>
      <c r="J22" s="18">
        <f t="shared" ref="J22" si="48">(H22-D22)/D22</f>
        <v>0.13550000000000001</v>
      </c>
      <c r="K22" s="4">
        <f>'2026.08'!$D$29</f>
        <v>0</v>
      </c>
      <c r="L22" s="4">
        <f>'2026.08'!$J$29</f>
        <v>0</v>
      </c>
      <c r="M22" s="4">
        <f>'2026.08'!$O$29</f>
        <v>0</v>
      </c>
      <c r="AC22" s="4">
        <f>'2026.06'!$C$29</f>
        <v>15</v>
      </c>
      <c r="AD22" s="4">
        <f>'2026.06'!$E$29</f>
        <v>172.02</v>
      </c>
      <c r="AE22" s="7">
        <f>'2026.06'!$F$29</f>
        <v>8.6999999999999994E-2</v>
      </c>
      <c r="AF22" s="44">
        <f>'2026.05'!$A$25</f>
        <v>46171</v>
      </c>
      <c r="AG22" s="4">
        <f>'2026.05'!$B$25*-1</f>
        <v>-15</v>
      </c>
    </row>
    <row r="23" spans="1:33" x14ac:dyDescent="0.25">
      <c r="A23" s="41">
        <f>'2026.09'!$Q$2</f>
        <v>2026.09</v>
      </c>
      <c r="B23" s="4">
        <f>'2026.09'!$B$29</f>
        <v>15</v>
      </c>
      <c r="C23" s="4">
        <f>'2026.09'!$C$29</f>
        <v>15</v>
      </c>
      <c r="D23" s="4">
        <f t="shared" ref="D23" si="49">D22+B23</f>
        <v>300</v>
      </c>
      <c r="E23" s="33">
        <f>'2026.09'!$F$29</f>
        <v>8.5500000000000007E-2</v>
      </c>
      <c r="F23" s="6">
        <f t="shared" ref="F23" si="50">F22+E23</f>
        <v>1.9098999999999999</v>
      </c>
      <c r="G23" s="6">
        <v>175.42660000000001</v>
      </c>
      <c r="H23" s="4">
        <f t="shared" ref="H23" si="51">F23*G23</f>
        <v>335.05</v>
      </c>
      <c r="I23" s="4">
        <f t="shared" ref="I23" si="52">H23-D23</f>
        <v>35.049999999999997</v>
      </c>
      <c r="J23" s="18">
        <f t="shared" ref="J23" si="53">(H23-D23)/D23</f>
        <v>0.1168</v>
      </c>
      <c r="K23" s="4">
        <f>'2026.09'!$D$29</f>
        <v>0</v>
      </c>
      <c r="L23" s="4">
        <f>'2026.09'!$J$29</f>
        <v>0</v>
      </c>
      <c r="M23" s="4">
        <f>'2026.09'!$O$29</f>
        <v>0</v>
      </c>
      <c r="AC23" s="4">
        <f>'2026.06'!$C$29</f>
        <v>15</v>
      </c>
      <c r="AD23" s="4">
        <f>'2026.06'!$E$29</f>
        <v>172.02</v>
      </c>
      <c r="AE23" s="7">
        <f>'2026.06'!$F$29</f>
        <v>8.6999999999999994E-2</v>
      </c>
      <c r="AF23" s="44">
        <f>'2026.05'!$A$25</f>
        <v>46171</v>
      </c>
      <c r="AG23" s="4">
        <f>'2026.05'!$B$25*-1</f>
        <v>-15</v>
      </c>
    </row>
    <row r="24" spans="1:33" x14ac:dyDescent="0.25">
      <c r="AC24" s="4"/>
      <c r="AD24" s="4"/>
      <c r="AE24" s="7"/>
      <c r="AF24" s="44"/>
      <c r="AG24" s="4"/>
    </row>
    <row r="25" spans="1:33" x14ac:dyDescent="0.25">
      <c r="AC25" s="4"/>
      <c r="AD25" s="4"/>
      <c r="AE25" s="7"/>
      <c r="AF25" s="44"/>
      <c r="AG25" s="4"/>
    </row>
    <row r="26" spans="1:33" x14ac:dyDescent="0.25">
      <c r="AC26" s="4"/>
      <c r="AD26" s="4"/>
      <c r="AE26" s="7"/>
      <c r="AF26" s="44"/>
      <c r="AG26" s="4"/>
    </row>
    <row r="27" spans="1:33" x14ac:dyDescent="0.25">
      <c r="AC27" s="4"/>
      <c r="AD27" s="4"/>
      <c r="AE27" s="7"/>
      <c r="AF27" s="44"/>
      <c r="AG27" s="4"/>
    </row>
    <row r="28" spans="1:33" x14ac:dyDescent="0.25">
      <c r="AC28" s="4"/>
      <c r="AD28" s="4"/>
      <c r="AE28" s="7"/>
      <c r="AF28" s="44"/>
      <c r="AG28" s="4"/>
    </row>
    <row r="29" spans="1:33" x14ac:dyDescent="0.25">
      <c r="AC29" s="4"/>
      <c r="AD29" s="4"/>
      <c r="AE29" s="7"/>
      <c r="AF29" s="44"/>
      <c r="AG29" s="4"/>
    </row>
    <row r="30" spans="1:33" x14ac:dyDescent="0.25">
      <c r="AC30" s="4"/>
      <c r="AD30" s="4"/>
      <c r="AE30" s="7"/>
      <c r="AF30" s="44"/>
      <c r="AG30" s="4"/>
    </row>
    <row r="31" spans="1:33" x14ac:dyDescent="0.25">
      <c r="AC31" s="4"/>
      <c r="AD31" s="4"/>
      <c r="AE31" s="7"/>
      <c r="AF31" s="44"/>
      <c r="AG31" s="4"/>
    </row>
    <row r="32" spans="1:33" x14ac:dyDescent="0.25">
      <c r="AC32" s="4"/>
      <c r="AD32" s="4"/>
      <c r="AE32" s="7"/>
      <c r="AF32" s="44"/>
      <c r="AG32" s="4"/>
    </row>
    <row r="33" spans="29:33" x14ac:dyDescent="0.25">
      <c r="AC33" s="4"/>
      <c r="AD33" s="4"/>
      <c r="AE33" s="7"/>
      <c r="AF33" s="44"/>
      <c r="AG33" s="4"/>
    </row>
    <row r="34" spans="29:33" x14ac:dyDescent="0.25">
      <c r="AC34" s="4"/>
      <c r="AD34" s="4"/>
      <c r="AE34" s="7"/>
      <c r="AF34" s="44"/>
      <c r="AG34" s="4"/>
    </row>
    <row r="35" spans="29:33" x14ac:dyDescent="0.25">
      <c r="AC35" s="4"/>
      <c r="AD35" s="4"/>
      <c r="AE35" s="7"/>
      <c r="AF35" s="44"/>
      <c r="AG35" s="4"/>
    </row>
    <row r="36" spans="29:33" x14ac:dyDescent="0.25">
      <c r="AC36" s="4"/>
      <c r="AD36" s="4"/>
      <c r="AE36" s="7"/>
      <c r="AF36" s="44"/>
      <c r="AG36" s="4"/>
    </row>
    <row r="37" spans="29:33" x14ac:dyDescent="0.25">
      <c r="AC37" s="4"/>
      <c r="AD37" s="4"/>
      <c r="AE37" s="7"/>
      <c r="AF37" s="44"/>
      <c r="AG37" s="4"/>
    </row>
    <row r="38" spans="29:33" x14ac:dyDescent="0.25">
      <c r="AC38" s="4"/>
      <c r="AD38" s="4"/>
      <c r="AE38" s="7"/>
      <c r="AF38" s="44"/>
      <c r="AG38" s="4"/>
    </row>
    <row r="39" spans="29:33" x14ac:dyDescent="0.25">
      <c r="AC39" s="4"/>
      <c r="AD39" s="4"/>
      <c r="AE39" s="7"/>
      <c r="AF39" s="44"/>
      <c r="AG39" s="4"/>
    </row>
    <row r="40" spans="29:33" x14ac:dyDescent="0.25">
      <c r="AC40" s="4"/>
      <c r="AD40" s="4"/>
      <c r="AE40" s="7"/>
      <c r="AF40" s="44"/>
      <c r="AG40" s="4"/>
    </row>
    <row r="41" spans="29:33" x14ac:dyDescent="0.25">
      <c r="AC41" s="4"/>
      <c r="AD41" s="4"/>
      <c r="AE41" s="7"/>
      <c r="AF41" s="44"/>
      <c r="AG41" s="4"/>
    </row>
    <row r="42" spans="29:33" x14ac:dyDescent="0.25">
      <c r="AC42" s="4"/>
      <c r="AD42" s="4"/>
      <c r="AE42" s="7"/>
      <c r="AF42" s="44"/>
      <c r="AG42" s="4"/>
    </row>
    <row r="43" spans="29:33" x14ac:dyDescent="0.25">
      <c r="AC43" s="4"/>
      <c r="AD43" s="4"/>
      <c r="AE43" s="7"/>
      <c r="AF43" s="44"/>
      <c r="AG43" s="4"/>
    </row>
    <row r="44" spans="29:33" x14ac:dyDescent="0.25">
      <c r="AC44" s="4"/>
      <c r="AD44" s="4"/>
      <c r="AE44" s="7"/>
      <c r="AF44" s="44"/>
      <c r="AG44" s="4"/>
    </row>
    <row r="45" spans="29:33" x14ac:dyDescent="0.25">
      <c r="AC45" s="4"/>
      <c r="AD45" s="4"/>
      <c r="AE45" s="7"/>
      <c r="AF45" s="44"/>
      <c r="AG45" s="4"/>
    </row>
    <row r="46" spans="29:33" x14ac:dyDescent="0.25">
      <c r="AC46" s="4"/>
      <c r="AD46" s="4"/>
      <c r="AE46" s="7"/>
      <c r="AF46" s="44"/>
      <c r="AG46" s="4"/>
    </row>
    <row r="47" spans="29:33" x14ac:dyDescent="0.25">
      <c r="AC47" s="4"/>
      <c r="AD47" s="4"/>
      <c r="AE47" s="7"/>
      <c r="AF47" s="44"/>
      <c r="AG47" s="4"/>
    </row>
    <row r="48" spans="29:33" x14ac:dyDescent="0.25">
      <c r="AC48" s="4"/>
      <c r="AD48" s="4"/>
      <c r="AE48" s="7"/>
      <c r="AF48" s="44"/>
      <c r="AG48" s="4"/>
    </row>
    <row r="49" spans="29:33" x14ac:dyDescent="0.25">
      <c r="AC49" s="4"/>
      <c r="AD49" s="4"/>
      <c r="AE49" s="7"/>
      <c r="AF49" s="44"/>
      <c r="AG49" s="4"/>
    </row>
    <row r="50" spans="29:33" x14ac:dyDescent="0.25">
      <c r="AC50" s="4"/>
      <c r="AD50" s="4"/>
      <c r="AE50" s="7"/>
      <c r="AF50" s="44"/>
      <c r="AG50" s="4"/>
    </row>
    <row r="51" spans="29:33" x14ac:dyDescent="0.25">
      <c r="AC51" s="4"/>
      <c r="AD51" s="4"/>
      <c r="AE51" s="7"/>
      <c r="AF51" s="44"/>
      <c r="AG51" s="4"/>
    </row>
    <row r="52" spans="29:33" x14ac:dyDescent="0.25">
      <c r="AC52" s="4"/>
      <c r="AD52" s="4"/>
      <c r="AE52" s="7"/>
      <c r="AF52" s="44"/>
      <c r="AG52" s="4"/>
    </row>
    <row r="53" spans="29:33" x14ac:dyDescent="0.25">
      <c r="AC53" s="4"/>
      <c r="AD53" s="4"/>
      <c r="AE53" s="7"/>
      <c r="AF53" s="44"/>
      <c r="AG53" s="4"/>
    </row>
    <row r="54" spans="29:33" x14ac:dyDescent="0.25">
      <c r="AC54" s="4"/>
      <c r="AD54" s="4"/>
      <c r="AE54" s="7"/>
      <c r="AF54" s="44"/>
      <c r="AG54" s="4"/>
    </row>
    <row r="55" spans="29:33" x14ac:dyDescent="0.25">
      <c r="AC55" s="4"/>
      <c r="AD55" s="4"/>
      <c r="AE55" s="7"/>
      <c r="AF55" s="44"/>
      <c r="AG55" s="4"/>
    </row>
    <row r="56" spans="29:33" x14ac:dyDescent="0.25">
      <c r="AC56" s="4"/>
      <c r="AD56" s="4"/>
      <c r="AE56" s="7"/>
      <c r="AF56" s="44"/>
      <c r="AG56" s="4"/>
    </row>
    <row r="57" spans="29:33" x14ac:dyDescent="0.25">
      <c r="AC57" s="4"/>
      <c r="AD57" s="4"/>
      <c r="AE57" s="7"/>
      <c r="AF57" s="44"/>
      <c r="AG57" s="4"/>
    </row>
    <row r="58" spans="29:33" x14ac:dyDescent="0.25">
      <c r="AC58" s="4"/>
      <c r="AD58" s="4"/>
      <c r="AE58" s="7"/>
      <c r="AF58" s="44"/>
      <c r="AG58" s="4"/>
    </row>
    <row r="59" spans="29:33" x14ac:dyDescent="0.25">
      <c r="AC59" s="4"/>
      <c r="AD59" s="4"/>
      <c r="AE59" s="7"/>
      <c r="AF59" s="44"/>
      <c r="AG59" s="4"/>
    </row>
    <row r="60" spans="29:33" x14ac:dyDescent="0.25">
      <c r="AC60" s="4"/>
      <c r="AD60" s="4"/>
      <c r="AE60" s="7"/>
      <c r="AF60" s="44"/>
      <c r="AG60" s="4"/>
    </row>
    <row r="61" spans="29:33" x14ac:dyDescent="0.25">
      <c r="AC61" s="4"/>
      <c r="AD61" s="4"/>
      <c r="AE61" s="7"/>
      <c r="AF61" s="44"/>
      <c r="AG61" s="4"/>
    </row>
    <row r="62" spans="29:33" x14ac:dyDescent="0.25">
      <c r="AC62" s="4"/>
      <c r="AD62" s="4"/>
      <c r="AE62" s="7"/>
      <c r="AF62" s="44"/>
      <c r="AG62" s="4"/>
    </row>
    <row r="63" spans="29:33" x14ac:dyDescent="0.25">
      <c r="AC63" s="4"/>
      <c r="AD63" s="4"/>
      <c r="AE63" s="7"/>
      <c r="AF63" s="44"/>
      <c r="AG63" s="4"/>
    </row>
    <row r="64" spans="29:33" x14ac:dyDescent="0.25">
      <c r="AC64" s="4"/>
      <c r="AD64" s="4"/>
      <c r="AE64" s="7"/>
      <c r="AF64" s="44"/>
      <c r="AG64" s="4"/>
    </row>
    <row r="65" spans="32:33" x14ac:dyDescent="0.25">
      <c r="AF65" s="44"/>
      <c r="AG65" s="4"/>
    </row>
    <row r="66" spans="32:33" x14ac:dyDescent="0.25">
      <c r="AF66" s="44"/>
      <c r="AG66" s="4"/>
    </row>
    <row r="67" spans="32:33" x14ac:dyDescent="0.25">
      <c r="AF67" s="44"/>
      <c r="AG67" s="4"/>
    </row>
    <row r="68" spans="32:33" x14ac:dyDescent="0.25">
      <c r="AF68" s="44"/>
      <c r="AG68" s="4"/>
    </row>
    <row r="69" spans="32:33" x14ac:dyDescent="0.25">
      <c r="AF69" s="45">
        <f ca="1">TODAY()</f>
        <v>46296</v>
      </c>
      <c r="AG69" s="46" cm="1">
        <f t="array" ref="AG69">LOOKUP(2,1/(H:H&gt;0),H:H)</f>
        <v>335.05</v>
      </c>
    </row>
    <row r="70" spans="32:33" x14ac:dyDescent="0.25">
      <c r="AF70" s="47"/>
      <c r="AG70" s="47"/>
    </row>
    <row r="80" spans="32:33" x14ac:dyDescent="0.25">
      <c r="AF80" s="48"/>
    </row>
  </sheetData>
  <mergeCells count="18">
    <mergeCell ref="A3:A4"/>
    <mergeCell ref="B3:D3"/>
    <mergeCell ref="E3:F3"/>
    <mergeCell ref="G3:J3"/>
    <mergeCell ref="V3:W3"/>
    <mergeCell ref="K3:L3"/>
    <mergeCell ref="M3:M4"/>
    <mergeCell ref="O3:O4"/>
    <mergeCell ref="P3:P4"/>
    <mergeCell ref="Q3:Q4"/>
    <mergeCell ref="R3:R4"/>
    <mergeCell ref="S3:U3"/>
    <mergeCell ref="X3:X4"/>
    <mergeCell ref="AF3:AG3"/>
    <mergeCell ref="Y3:Y4"/>
    <mergeCell ref="AC3:AC4"/>
    <mergeCell ref="AD3:AD4"/>
    <mergeCell ref="AE3:AE4"/>
  </mergeCells>
  <hyperlinks>
    <hyperlink ref="A5" location="'2025.03'!A1" display="'2025.03'!A1" xr:uid="{3B7DCBE4-9293-426C-BABA-7EC83B0B259E}"/>
    <hyperlink ref="A6" location="'2025.04'!A1" display="'2025.04'!A1" xr:uid="{91B8DEDE-2221-4F77-B892-B49F2359B696}"/>
    <hyperlink ref="A7" location="'2025.05'!A1" display="'2025.05'!A1" xr:uid="{E8E22A92-2933-4C96-9511-5C23EE593D8B}"/>
    <hyperlink ref="A8" location="'2025.06'!A1" display="'2025.06'!A1" xr:uid="{97F2EF1B-7459-4896-A6BF-DEF8B2F45C31}"/>
    <hyperlink ref="A9" location="'2025.07'!A1" display="'2025.07'!A1" xr:uid="{5413D794-29BE-4724-B56F-61F2E31AAB82}"/>
    <hyperlink ref="A10" location="'2025.08'!A1" display="'2025.08'!A1" xr:uid="{25C7285B-99EF-46A6-9E8C-CBAFB95BE897}"/>
    <hyperlink ref="A11" location="'2025.09'!A1" display="'2025.09'!A1" xr:uid="{88AF388C-4859-48C5-A6E7-0ED918841874}"/>
    <hyperlink ref="A12" location="'2025.10'!A1" display="'2025.10'!A1" xr:uid="{216F78EF-E0B3-40FB-BF8D-00AB60623D1A}"/>
    <hyperlink ref="A13" location="'2025.11'!A1" display="'2025.11'!A1" xr:uid="{33A4C084-126A-4024-A7CA-71D7BEA0DEE0}"/>
    <hyperlink ref="A14" location="'2025.12'!A1" display="'2025.12'!A1" xr:uid="{24BA569D-5363-4202-8DA7-CEA3CF887A5E}"/>
    <hyperlink ref="A15" location="'2026.01'!A1" display="'2026.01'!A1" xr:uid="{C2B44DB0-C483-4133-889F-4F97CC87F170}"/>
    <hyperlink ref="A16" location="'2026.02'!A1" display="'2026.02'!A1" xr:uid="{C1DBEDAD-8687-46E2-B772-269A1592104D}"/>
    <hyperlink ref="A17" location="'2026.03'!A1" display="'2026.03'!A1" xr:uid="{6AA8D106-DF23-49FB-A38E-D153D29C1796}"/>
    <hyperlink ref="A18" location="'2026.04'!A1" display="'2026.04'!A1" xr:uid="{F52CADDB-C7DB-4F88-8A89-B20EB9B067F0}"/>
    <hyperlink ref="A19" location="'2026.05'!A1" display="'2026.05'!A1" xr:uid="{4F17CA6C-F65E-4F54-A884-9C3D3C375DFD}"/>
    <hyperlink ref="A20" location="'2026.06'!A1" display="'2026.06'!A1" xr:uid="{26C7D6DD-D94E-4123-A635-357985911B50}"/>
    <hyperlink ref="A21" location="'2026.07'!A1" display="'2026.07'!A1" xr:uid="{834E26CA-8085-4108-A0A1-1003E5846C39}"/>
    <hyperlink ref="A22" location="'2026.08'!A1" display="'2026.08'!A1" xr:uid="{AE62A152-3E43-46AF-8C95-8B2731EC1E3C}"/>
    <hyperlink ref="A23" location="'2026.09'!A1" display="'2026.09'!A1" xr:uid="{ADCDE254-578E-484B-87A8-D471AF9503DB}"/>
  </hyperlinks>
  <pageMargins left="0.7" right="0.7" top="0.75" bottom="0.75" header="0.3" footer="0.3"/>
  <ignoredErrors>
    <ignoredError sqref="E5" formula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92D050"/>
  </sheetPr>
  <dimension ref="A1:AD27"/>
  <sheetViews>
    <sheetView workbookViewId="0">
      <pane ySplit="14" topLeftCell="A15" activePane="bottomLeft" state="frozen"/>
      <selection activeCell="T15" sqref="T15"/>
      <selection pane="bottomLeft" activeCell="H38" sqref="H38"/>
    </sheetView>
  </sheetViews>
  <sheetFormatPr defaultRowHeight="15" x14ac:dyDescent="0.25"/>
  <cols>
    <col min="1" max="1" width="10.7109375" style="1" customWidth="1"/>
    <col min="2" max="13" width="10.7109375" customWidth="1"/>
    <col min="14" max="14" width="5.7109375" customWidth="1"/>
    <col min="15" max="23" width="10.7109375" customWidth="1"/>
    <col min="25" max="25" width="10.7109375" style="1" customWidth="1"/>
    <col min="26" max="27" width="10.7109375" customWidth="1"/>
    <col min="28" max="28" width="10.7109375" style="1" customWidth="1"/>
    <col min="29" max="30" width="10.7109375" customWidth="1"/>
  </cols>
  <sheetData>
    <row r="1" spans="1:30" x14ac:dyDescent="0.25">
      <c r="A1" s="31" t="s">
        <v>41</v>
      </c>
    </row>
    <row r="3" spans="1:30" x14ac:dyDescent="0.25">
      <c r="A3" s="54" t="s">
        <v>29</v>
      </c>
      <c r="B3" s="57" t="s">
        <v>3</v>
      </c>
      <c r="C3" s="58"/>
      <c r="D3" s="59"/>
      <c r="E3" s="57" t="s">
        <v>1</v>
      </c>
      <c r="F3" s="59"/>
      <c r="G3" s="57" t="s">
        <v>32</v>
      </c>
      <c r="H3" s="58"/>
      <c r="I3" s="58"/>
      <c r="J3" s="59"/>
      <c r="K3" s="53" t="s">
        <v>26</v>
      </c>
      <c r="L3" s="53"/>
      <c r="M3" s="54" t="s">
        <v>4</v>
      </c>
      <c r="O3" s="62" t="s">
        <v>14</v>
      </c>
      <c r="P3" s="54" t="s">
        <v>11</v>
      </c>
      <c r="Q3" s="54" t="s">
        <v>1</v>
      </c>
      <c r="R3" s="54" t="s">
        <v>25</v>
      </c>
      <c r="S3" s="54" t="s">
        <v>9</v>
      </c>
      <c r="T3" s="54" t="s">
        <v>7</v>
      </c>
      <c r="U3" s="57" t="s">
        <v>26</v>
      </c>
      <c r="V3" s="59"/>
      <c r="W3" s="54" t="s">
        <v>4</v>
      </c>
      <c r="Y3" s="64" t="s">
        <v>40</v>
      </c>
      <c r="Z3" s="65"/>
      <c r="AA3" s="65"/>
      <c r="AB3" s="65"/>
      <c r="AC3" s="65"/>
      <c r="AD3" s="66"/>
    </row>
    <row r="4" spans="1:30" x14ac:dyDescent="0.25">
      <c r="A4" s="55"/>
      <c r="B4" s="3" t="s">
        <v>11</v>
      </c>
      <c r="C4" s="3" t="s">
        <v>33</v>
      </c>
      <c r="D4" s="3" t="s">
        <v>34</v>
      </c>
      <c r="E4" s="3" t="s">
        <v>35</v>
      </c>
      <c r="F4" s="3" t="s">
        <v>30</v>
      </c>
      <c r="G4" s="3" t="s">
        <v>0</v>
      </c>
      <c r="H4" s="3" t="s">
        <v>5</v>
      </c>
      <c r="I4" s="3" t="s">
        <v>9</v>
      </c>
      <c r="J4" s="3" t="s">
        <v>7</v>
      </c>
      <c r="K4" s="3" t="s">
        <v>21</v>
      </c>
      <c r="L4" s="3" t="s">
        <v>22</v>
      </c>
      <c r="M4" s="55"/>
      <c r="O4" s="63"/>
      <c r="P4" s="55"/>
      <c r="Q4" s="55"/>
      <c r="R4" s="55"/>
      <c r="S4" s="55"/>
      <c r="T4" s="55"/>
      <c r="U4" s="3" t="s">
        <v>21</v>
      </c>
      <c r="V4" s="13" t="s">
        <v>22</v>
      </c>
      <c r="W4" s="55"/>
      <c r="Y4" s="3" t="s">
        <v>20</v>
      </c>
      <c r="Z4" s="3" t="s">
        <v>3</v>
      </c>
      <c r="AA4" s="3" t="s">
        <v>6</v>
      </c>
      <c r="AB4" s="3" t="s">
        <v>20</v>
      </c>
      <c r="AC4" s="3" t="s">
        <v>5</v>
      </c>
      <c r="AD4" s="3" t="s">
        <v>7</v>
      </c>
    </row>
    <row r="5" spans="1:30" x14ac:dyDescent="0.25">
      <c r="A5" s="4" t="e">
        <f>#REF!</f>
        <v>#REF!</v>
      </c>
      <c r="B5" s="4" t="e">
        <f>#REF!</f>
        <v>#REF!</v>
      </c>
      <c r="C5" s="4" t="e">
        <f>#REF!</f>
        <v>#REF!</v>
      </c>
      <c r="D5" s="4" t="e">
        <f>B5</f>
        <v>#REF!</v>
      </c>
      <c r="E5" s="6" t="e">
        <f>#REF!</f>
        <v>#REF!</v>
      </c>
      <c r="F5" s="6" t="e">
        <f>E5</f>
        <v>#REF!</v>
      </c>
      <c r="G5" s="6">
        <v>106.242</v>
      </c>
      <c r="H5" s="4" t="e">
        <f>F5*G5</f>
        <v>#REF!</v>
      </c>
      <c r="I5" s="4" t="e">
        <f>H5-D5</f>
        <v>#REF!</v>
      </c>
      <c r="J5" s="18" t="e">
        <f>(H5-D5)/D5</f>
        <v>#REF!</v>
      </c>
      <c r="K5" s="4" t="e">
        <f>#REF!</f>
        <v>#REF!</v>
      </c>
      <c r="L5" s="4" t="e">
        <f>#REF!</f>
        <v>#REF!</v>
      </c>
      <c r="M5" s="4" t="e">
        <f>#REF!</f>
        <v>#REF!</v>
      </c>
      <c r="O5" s="3" t="s">
        <v>2</v>
      </c>
      <c r="P5" s="4" t="e">
        <f>SUM(B5:B69)</f>
        <v>#REF!</v>
      </c>
      <c r="Q5" s="7" t="e">
        <f>SUM(E5:E69)</f>
        <v>#REF!</v>
      </c>
      <c r="R5" s="4">
        <v>45.63</v>
      </c>
      <c r="S5" s="4" t="e">
        <f>R5-P5</f>
        <v>#REF!</v>
      </c>
      <c r="T5" s="18" t="e">
        <f>(R5-P5)/P5</f>
        <v>#REF!</v>
      </c>
      <c r="U5" s="4" t="e">
        <f>SUM(K5:K69)</f>
        <v>#REF!</v>
      </c>
      <c r="V5" s="4" t="e">
        <f t="shared" ref="V5:W5" si="0">SUM(L5:L69)</f>
        <v>#REF!</v>
      </c>
      <c r="W5" s="4" t="e">
        <f t="shared" si="0"/>
        <v>#REF!</v>
      </c>
      <c r="Y5" s="5">
        <v>1.0562</v>
      </c>
      <c r="Z5" s="4" t="e">
        <f>B5/Y5</f>
        <v>#REF!</v>
      </c>
      <c r="AA5" s="4" t="e">
        <f>Z5</f>
        <v>#REF!</v>
      </c>
      <c r="AB5" s="5">
        <v>1.0572999999999999</v>
      </c>
      <c r="AC5" s="4" t="e">
        <f t="shared" ref="AC5:AC27" si="1">H5/AB5</f>
        <v>#REF!</v>
      </c>
      <c r="AD5" s="4" t="e">
        <f>(AC5-AA5)*100/AA5</f>
        <v>#REF!</v>
      </c>
    </row>
    <row r="6" spans="1:30" x14ac:dyDescent="0.25">
      <c r="A6" s="4" t="e">
        <f>#REF!</f>
        <v>#REF!</v>
      </c>
      <c r="B6" s="4" t="e">
        <f>#REF!</f>
        <v>#REF!</v>
      </c>
      <c r="C6" s="4" t="e">
        <f>#REF!</f>
        <v>#REF!</v>
      </c>
      <c r="D6" s="4" t="e">
        <f t="shared" ref="D6:D26" si="2">D5+B6</f>
        <v>#REF!</v>
      </c>
      <c r="E6" s="6" t="e">
        <f>#REF!</f>
        <v>#REF!</v>
      </c>
      <c r="F6" s="6" t="e">
        <f t="shared" ref="F6:F12" si="3">F5+E6</f>
        <v>#REF!</v>
      </c>
      <c r="G6" s="6">
        <v>111.01600000000001</v>
      </c>
      <c r="H6" s="4" t="e">
        <f>F6*G6</f>
        <v>#REF!</v>
      </c>
      <c r="I6" s="4" t="e">
        <f t="shared" ref="I6:I26" si="4">H6-D6</f>
        <v>#REF!</v>
      </c>
      <c r="J6" s="18" t="e">
        <f t="shared" ref="J6:J26" si="5">(H6-D6)/D6</f>
        <v>#REF!</v>
      </c>
      <c r="K6" s="4" t="e">
        <f>#REF!</f>
        <v>#REF!</v>
      </c>
      <c r="L6" s="4" t="e">
        <f>#REF!</f>
        <v>#REF!</v>
      </c>
      <c r="M6" s="4" t="e">
        <f>#REF!</f>
        <v>#REF!</v>
      </c>
      <c r="Y6" s="5"/>
      <c r="Z6" s="4">
        <v>0</v>
      </c>
      <c r="AA6" s="4" t="e">
        <f>AA5+Z6</f>
        <v>#REF!</v>
      </c>
      <c r="AB6" s="5">
        <v>1.0548999999999999</v>
      </c>
      <c r="AC6" s="4" t="e">
        <f t="shared" si="1"/>
        <v>#REF!</v>
      </c>
      <c r="AD6" s="4" t="e">
        <f t="shared" ref="AD6:AD27" si="6">(AC6-AA6)*100/AA6</f>
        <v>#REF!</v>
      </c>
    </row>
    <row r="7" spans="1:30" x14ac:dyDescent="0.25">
      <c r="A7" s="4" t="e">
        <f>#REF!</f>
        <v>#REF!</v>
      </c>
      <c r="B7" s="4" t="e">
        <f>#REF!</f>
        <v>#REF!</v>
      </c>
      <c r="C7" s="4" t="e">
        <f>#REF!</f>
        <v>#REF!</v>
      </c>
      <c r="D7" s="4" t="e">
        <f t="shared" si="2"/>
        <v>#REF!</v>
      </c>
      <c r="E7" s="6" t="e">
        <f>#REF!</f>
        <v>#REF!</v>
      </c>
      <c r="F7" s="6" t="e">
        <f t="shared" si="3"/>
        <v>#REF!</v>
      </c>
      <c r="G7" s="6">
        <v>114.92700000000001</v>
      </c>
      <c r="H7" s="4" t="e">
        <f>F7*G7</f>
        <v>#REF!</v>
      </c>
      <c r="I7" s="4" t="e">
        <f t="shared" si="4"/>
        <v>#REF!</v>
      </c>
      <c r="J7" s="18" t="e">
        <f t="shared" si="5"/>
        <v>#REF!</v>
      </c>
      <c r="K7" s="4" t="e">
        <f>#REF!</f>
        <v>#REF!</v>
      </c>
      <c r="L7" s="4" t="e">
        <f>#REF!</f>
        <v>#REF!</v>
      </c>
      <c r="M7" s="4" t="e">
        <f>#REF!</f>
        <v>#REF!</v>
      </c>
      <c r="Y7" s="5"/>
      <c r="Z7" s="4">
        <v>0</v>
      </c>
      <c r="AA7" s="4" t="e">
        <f t="shared" ref="AA7:AA27" si="7">AA6+Z7</f>
        <v>#REF!</v>
      </c>
      <c r="AB7" s="5">
        <v>1.0498000000000001</v>
      </c>
      <c r="AC7" s="4" t="e">
        <f t="shared" si="1"/>
        <v>#REF!</v>
      </c>
      <c r="AD7" s="4" t="e">
        <f t="shared" si="6"/>
        <v>#REF!</v>
      </c>
    </row>
    <row r="8" spans="1:30" x14ac:dyDescent="0.25">
      <c r="A8" s="4" t="e">
        <f>#REF!</f>
        <v>#REF!</v>
      </c>
      <c r="B8" s="4" t="e">
        <f>#REF!</f>
        <v>#REF!</v>
      </c>
      <c r="C8" s="4" t="e">
        <f>#REF!</f>
        <v>#REF!</v>
      </c>
      <c r="D8" s="4" t="e">
        <f t="shared" si="2"/>
        <v>#REF!</v>
      </c>
      <c r="E8" s="6" t="e">
        <f>#REF!</f>
        <v>#REF!</v>
      </c>
      <c r="F8" s="6" t="e">
        <f t="shared" si="3"/>
        <v>#REF!</v>
      </c>
      <c r="G8" s="6">
        <v>110.498</v>
      </c>
      <c r="H8" s="4" t="e">
        <f t="shared" ref="H8" si="8">F8*G8</f>
        <v>#REF!</v>
      </c>
      <c r="I8" s="4" t="e">
        <f t="shared" si="4"/>
        <v>#REF!</v>
      </c>
      <c r="J8" s="18" t="e">
        <f t="shared" si="5"/>
        <v>#REF!</v>
      </c>
      <c r="K8" s="4" t="e">
        <f>#REF!</f>
        <v>#REF!</v>
      </c>
      <c r="L8" s="4" t="e">
        <f>#REF!</f>
        <v>#REF!</v>
      </c>
      <c r="M8" s="4" t="e">
        <f>#REF!</f>
        <v>#REF!</v>
      </c>
      <c r="Y8" s="5"/>
      <c r="Z8" s="4">
        <v>0</v>
      </c>
      <c r="AA8" s="4" t="e">
        <f t="shared" si="7"/>
        <v>#REF!</v>
      </c>
      <c r="AB8" s="5">
        <v>1.0411999999999999</v>
      </c>
      <c r="AC8" s="4" t="e">
        <f t="shared" si="1"/>
        <v>#REF!</v>
      </c>
      <c r="AD8" s="4" t="e">
        <f t="shared" si="6"/>
        <v>#REF!</v>
      </c>
    </row>
    <row r="9" spans="1:30" x14ac:dyDescent="0.25">
      <c r="A9" s="4" t="e">
        <f>#REF!</f>
        <v>#REF!</v>
      </c>
      <c r="B9" s="4" t="e">
        <f>#REF!</f>
        <v>#REF!</v>
      </c>
      <c r="C9" s="4" t="e">
        <f>#REF!</f>
        <v>#REF!</v>
      </c>
      <c r="D9" s="4" t="e">
        <f t="shared" si="2"/>
        <v>#REF!</v>
      </c>
      <c r="E9" s="6" t="e">
        <f>#REF!</f>
        <v>#REF!</v>
      </c>
      <c r="F9" s="6" t="e">
        <f t="shared" si="3"/>
        <v>#REF!</v>
      </c>
      <c r="G9" s="6">
        <v>114.82</v>
      </c>
      <c r="H9" s="4" t="e">
        <f t="shared" ref="H9" si="9">F9*G9</f>
        <v>#REF!</v>
      </c>
      <c r="I9" s="4" t="e">
        <f t="shared" si="4"/>
        <v>#REF!</v>
      </c>
      <c r="J9" s="18" t="e">
        <f t="shared" si="5"/>
        <v>#REF!</v>
      </c>
      <c r="K9" s="4" t="e">
        <f>#REF!</f>
        <v>#REF!</v>
      </c>
      <c r="L9" s="4" t="e">
        <f>#REF!</f>
        <v>#REF!</v>
      </c>
      <c r="M9" s="4" t="e">
        <f>#REF!</f>
        <v>#REF!</v>
      </c>
      <c r="Y9" s="5">
        <v>1.0535000000000001</v>
      </c>
      <c r="Z9" s="4" t="e">
        <f>B9/Y9</f>
        <v>#REF!</v>
      </c>
      <c r="AA9" s="4" t="e">
        <f t="shared" si="7"/>
        <v>#REF!</v>
      </c>
      <c r="AB9" s="5">
        <v>1.0577000000000001</v>
      </c>
      <c r="AC9" s="4" t="e">
        <f t="shared" si="1"/>
        <v>#REF!</v>
      </c>
      <c r="AD9" s="4" t="e">
        <f t="shared" si="6"/>
        <v>#REF!</v>
      </c>
    </row>
    <row r="10" spans="1:30" x14ac:dyDescent="0.25">
      <c r="A10" s="4" t="e">
        <f>#REF!</f>
        <v>#REF!</v>
      </c>
      <c r="B10" s="4" t="e">
        <f>#REF!</f>
        <v>#REF!</v>
      </c>
      <c r="C10" s="4" t="e">
        <f>#REF!</f>
        <v>#REF!</v>
      </c>
      <c r="D10" s="4" t="e">
        <f t="shared" si="2"/>
        <v>#REF!</v>
      </c>
      <c r="E10" s="6" t="e">
        <f>#REF!+#REF!</f>
        <v>#REF!</v>
      </c>
      <c r="F10" s="6" t="e">
        <f t="shared" si="3"/>
        <v>#REF!</v>
      </c>
      <c r="G10" s="6">
        <v>125.88500000000001</v>
      </c>
      <c r="H10" s="4" t="e">
        <f t="shared" ref="H10" si="10">F10*G10</f>
        <v>#REF!</v>
      </c>
      <c r="I10" s="4" t="e">
        <f t="shared" si="4"/>
        <v>#REF!</v>
      </c>
      <c r="J10" s="18" t="e">
        <f t="shared" si="5"/>
        <v>#REF!</v>
      </c>
      <c r="K10" s="4" t="e">
        <f>#REF!</f>
        <v>#REF!</v>
      </c>
      <c r="L10" s="4" t="e">
        <f>#REF!</f>
        <v>#REF!</v>
      </c>
      <c r="M10" s="4" t="e">
        <f>#REF!</f>
        <v>#REF!</v>
      </c>
      <c r="Y10" s="5"/>
      <c r="Z10" s="4">
        <v>0</v>
      </c>
      <c r="AA10" s="4" t="e">
        <f t="shared" si="7"/>
        <v>#REF!</v>
      </c>
      <c r="AB10" s="5">
        <v>1.0404</v>
      </c>
      <c r="AC10" s="4" t="e">
        <f t="shared" si="1"/>
        <v>#REF!</v>
      </c>
      <c r="AD10" s="4" t="e">
        <f t="shared" si="6"/>
        <v>#REF!</v>
      </c>
    </row>
    <row r="11" spans="1:30" x14ac:dyDescent="0.25">
      <c r="A11" s="4" t="e">
        <f>#REF!</f>
        <v>#REF!</v>
      </c>
      <c r="B11" s="4" t="e">
        <f>#REF!</f>
        <v>#REF!</v>
      </c>
      <c r="C11" s="4" t="e">
        <f>#REF!</f>
        <v>#REF!</v>
      </c>
      <c r="D11" s="4" t="e">
        <f t="shared" si="2"/>
        <v>#REF!</v>
      </c>
      <c r="E11" s="6" t="e">
        <f>#REF!</f>
        <v>#REF!</v>
      </c>
      <c r="F11" s="6" t="e">
        <f t="shared" si="3"/>
        <v>#REF!</v>
      </c>
      <c r="G11" s="6">
        <v>117.77500000000001</v>
      </c>
      <c r="H11" s="4" t="e">
        <f t="shared" ref="H11" si="11">F11*G11</f>
        <v>#REF!</v>
      </c>
      <c r="I11" s="4" t="e">
        <f t="shared" si="4"/>
        <v>#REF!</v>
      </c>
      <c r="J11" s="18" t="e">
        <f t="shared" si="5"/>
        <v>#REF!</v>
      </c>
      <c r="K11" s="4" t="e">
        <f>#REF!</f>
        <v>#REF!</v>
      </c>
      <c r="L11" s="4" t="e">
        <f>#REF!</f>
        <v>#REF!</v>
      </c>
      <c r="M11" s="4" t="e">
        <f>#REF!</f>
        <v>#REF!</v>
      </c>
      <c r="Y11" s="5"/>
      <c r="Z11" s="4">
        <v>0</v>
      </c>
      <c r="AA11" s="4" t="e">
        <f t="shared" si="7"/>
        <v>#REF!</v>
      </c>
      <c r="AB11" s="5">
        <v>1.0543</v>
      </c>
      <c r="AC11" s="4" t="e">
        <f t="shared" si="1"/>
        <v>#REF!</v>
      </c>
      <c r="AD11" s="4" t="e">
        <f t="shared" si="6"/>
        <v>#REF!</v>
      </c>
    </row>
    <row r="12" spans="1:30" x14ac:dyDescent="0.25">
      <c r="A12" s="4" t="e">
        <f>#REF!</f>
        <v>#REF!</v>
      </c>
      <c r="B12" s="4" t="e">
        <f>#REF!</f>
        <v>#REF!</v>
      </c>
      <c r="C12" s="4" t="e">
        <f>#REF!</f>
        <v>#REF!</v>
      </c>
      <c r="D12" s="4" t="e">
        <f t="shared" si="2"/>
        <v>#REF!</v>
      </c>
      <c r="E12" s="6" t="e">
        <f>#REF!</f>
        <v>#REF!</v>
      </c>
      <c r="F12" s="6" t="e">
        <f t="shared" si="3"/>
        <v>#REF!</v>
      </c>
      <c r="G12" s="6">
        <v>121.56</v>
      </c>
      <c r="H12" s="4" t="e">
        <f t="shared" ref="H12" si="12">F12*G12</f>
        <v>#REF!</v>
      </c>
      <c r="I12" s="4" t="e">
        <f t="shared" si="4"/>
        <v>#REF!</v>
      </c>
      <c r="J12" s="18" t="e">
        <f t="shared" si="5"/>
        <v>#REF!</v>
      </c>
      <c r="K12" s="4" t="e">
        <f>#REF!</f>
        <v>#REF!</v>
      </c>
      <c r="L12" s="4" t="e">
        <f>#REF!</f>
        <v>#REF!</v>
      </c>
      <c r="M12" s="4" t="e">
        <f>#REF!</f>
        <v>#REF!</v>
      </c>
      <c r="Y12" s="5"/>
      <c r="Z12" s="4">
        <v>0</v>
      </c>
      <c r="AA12" s="4" t="e">
        <f t="shared" si="7"/>
        <v>#REF!</v>
      </c>
      <c r="AB12" s="5">
        <v>1.0762</v>
      </c>
      <c r="AC12" s="4" t="e">
        <f t="shared" si="1"/>
        <v>#REF!</v>
      </c>
      <c r="AD12" s="4" t="e">
        <f t="shared" si="6"/>
        <v>#REF!</v>
      </c>
    </row>
    <row r="13" spans="1:30" x14ac:dyDescent="0.25">
      <c r="A13" s="4" t="e">
        <f>#REF!</f>
        <v>#REF!</v>
      </c>
      <c r="B13" s="4" t="e">
        <f>#REF!</f>
        <v>#REF!</v>
      </c>
      <c r="C13" s="4" t="e">
        <f>#REF!</f>
        <v>#REF!</v>
      </c>
      <c r="D13" s="4" t="e">
        <f t="shared" si="2"/>
        <v>#REF!</v>
      </c>
      <c r="E13" s="6" t="e">
        <f>#REF!</f>
        <v>#REF!</v>
      </c>
      <c r="F13" s="6" t="e">
        <f t="shared" ref="F13" si="13">F12+E13</f>
        <v>#REF!</v>
      </c>
      <c r="G13" s="6">
        <v>127.17400000000001</v>
      </c>
      <c r="H13" s="4" t="e">
        <f t="shared" ref="H13" si="14">F13*G13</f>
        <v>#REF!</v>
      </c>
      <c r="I13" s="4" t="e">
        <f t="shared" si="4"/>
        <v>#REF!</v>
      </c>
      <c r="J13" s="18" t="e">
        <f t="shared" si="5"/>
        <v>#REF!</v>
      </c>
      <c r="K13" s="4" t="e">
        <f>#REF!</f>
        <v>#REF!</v>
      </c>
      <c r="L13" s="4" t="e">
        <f>#REF!</f>
        <v>#REF!</v>
      </c>
      <c r="M13" s="4" t="e">
        <f>#REF!</f>
        <v>#REF!</v>
      </c>
      <c r="Y13" s="5"/>
      <c r="Z13" s="4">
        <v>0</v>
      </c>
      <c r="AA13" s="4" t="e">
        <f t="shared" si="7"/>
        <v>#REF!</v>
      </c>
      <c r="AB13" s="5">
        <v>1.0861000000000001</v>
      </c>
      <c r="AC13" s="4" t="e">
        <f t="shared" si="1"/>
        <v>#REF!</v>
      </c>
      <c r="AD13" s="4" t="e">
        <f t="shared" si="6"/>
        <v>#REF!</v>
      </c>
    </row>
    <row r="14" spans="1:30" x14ac:dyDescent="0.25">
      <c r="A14" s="4" t="e">
        <f>#REF!</f>
        <v>#REF!</v>
      </c>
      <c r="B14" s="4" t="e">
        <f>#REF!</f>
        <v>#REF!</v>
      </c>
      <c r="C14" s="4" t="e">
        <f>#REF!</f>
        <v>#REF!</v>
      </c>
      <c r="D14" s="4" t="e">
        <f t="shared" si="2"/>
        <v>#REF!</v>
      </c>
      <c r="E14" s="6" t="e">
        <f>#REF!</f>
        <v>#REF!</v>
      </c>
      <c r="F14" s="6" t="e">
        <f t="shared" ref="F14" si="15">F13+E14</f>
        <v>#REF!</v>
      </c>
      <c r="G14" s="6">
        <v>130.37700000000001</v>
      </c>
      <c r="H14" s="4" t="e">
        <f t="shared" ref="H14" si="16">F14*G14</f>
        <v>#REF!</v>
      </c>
      <c r="I14" s="4" t="e">
        <f t="shared" si="4"/>
        <v>#REF!</v>
      </c>
      <c r="J14" s="18" t="e">
        <f t="shared" si="5"/>
        <v>#REF!</v>
      </c>
      <c r="K14" s="4" t="e">
        <f>#REF!</f>
        <v>#REF!</v>
      </c>
      <c r="L14" s="4" t="e">
        <f>#REF!</f>
        <v>#REF!</v>
      </c>
      <c r="M14" s="4" t="e">
        <f>#REF!</f>
        <v>#REF!</v>
      </c>
      <c r="Y14" s="5"/>
      <c r="Z14" s="4">
        <v>0</v>
      </c>
      <c r="AA14" s="4" t="e">
        <f t="shared" si="7"/>
        <v>#REF!</v>
      </c>
      <c r="AB14" s="5">
        <v>1.0563</v>
      </c>
      <c r="AC14" s="4" t="e">
        <f t="shared" si="1"/>
        <v>#REF!</v>
      </c>
      <c r="AD14" s="4" t="e">
        <f t="shared" si="6"/>
        <v>#REF!</v>
      </c>
    </row>
    <row r="15" spans="1:30" x14ac:dyDescent="0.25">
      <c r="A15" s="4" t="e">
        <f>#REF!</f>
        <v>#REF!</v>
      </c>
      <c r="B15" s="4" t="e">
        <f>#REF!</f>
        <v>#REF!</v>
      </c>
      <c r="C15" s="4" t="e">
        <f>#REF!</f>
        <v>#REF!</v>
      </c>
      <c r="D15" s="4" t="e">
        <f t="shared" si="2"/>
        <v>#REF!</v>
      </c>
      <c r="E15" s="6" t="e">
        <f>#REF!</f>
        <v>#REF!</v>
      </c>
      <c r="F15" s="6" t="e">
        <f t="shared" ref="F15" si="17">F14+E15</f>
        <v>#REF!</v>
      </c>
      <c r="G15" s="6">
        <v>130.64099999999999</v>
      </c>
      <c r="H15" s="4" t="e">
        <f t="shared" ref="H15" si="18">F15*G15</f>
        <v>#REF!</v>
      </c>
      <c r="I15" s="4" t="e">
        <f t="shared" si="4"/>
        <v>#REF!</v>
      </c>
      <c r="J15" s="18" t="e">
        <f t="shared" si="5"/>
        <v>#REF!</v>
      </c>
      <c r="K15" s="4" t="e">
        <f>#REF!</f>
        <v>#REF!</v>
      </c>
      <c r="L15" s="4" t="e">
        <f>#REF!</f>
        <v>#REF!</v>
      </c>
      <c r="M15" s="4" t="e">
        <f>#REF!</f>
        <v>#REF!</v>
      </c>
      <c r="Y15" s="5"/>
      <c r="Z15" s="4">
        <v>0</v>
      </c>
      <c r="AA15" s="4" t="e">
        <f t="shared" si="7"/>
        <v>#REF!</v>
      </c>
      <c r="AB15" s="5">
        <v>1.0268999999999999</v>
      </c>
      <c r="AC15" s="4" t="e">
        <f t="shared" si="1"/>
        <v>#REF!</v>
      </c>
      <c r="AD15" s="4" t="e">
        <f t="shared" si="6"/>
        <v>#REF!</v>
      </c>
    </row>
    <row r="16" spans="1:30" x14ac:dyDescent="0.25">
      <c r="A16" s="4" t="e">
        <f>#REF!</f>
        <v>#REF!</v>
      </c>
      <c r="B16" s="4" t="e">
        <f>#REF!</f>
        <v>#REF!</v>
      </c>
      <c r="C16" s="4" t="e">
        <f>#REF!</f>
        <v>#REF!</v>
      </c>
      <c r="D16" s="4" t="e">
        <f t="shared" si="2"/>
        <v>#REF!</v>
      </c>
      <c r="E16" s="6" t="e">
        <f>#REF!</f>
        <v>#REF!</v>
      </c>
      <c r="F16" s="6" t="e">
        <f t="shared" ref="F16" si="19">F15+E16</f>
        <v>#REF!</v>
      </c>
      <c r="G16" s="6">
        <v>136.173</v>
      </c>
      <c r="H16" s="4" t="e">
        <f t="shared" ref="H16" si="20">F16*G16</f>
        <v>#REF!</v>
      </c>
      <c r="I16" s="4" t="e">
        <f t="shared" si="4"/>
        <v>#REF!</v>
      </c>
      <c r="J16" s="18" t="e">
        <f t="shared" si="5"/>
        <v>#REF!</v>
      </c>
      <c r="K16" s="4" t="e">
        <f>#REF!</f>
        <v>#REF!</v>
      </c>
      <c r="L16" s="4" t="e">
        <f>#REF!</f>
        <v>#REF!</v>
      </c>
      <c r="M16" s="4" t="e">
        <f>#REF!</f>
        <v>#REF!</v>
      </c>
      <c r="Y16" s="5"/>
      <c r="Z16" s="4">
        <v>0</v>
      </c>
      <c r="AA16" s="4" t="e">
        <f t="shared" si="7"/>
        <v>#REF!</v>
      </c>
      <c r="AB16" s="5">
        <v>1.0104</v>
      </c>
      <c r="AC16" s="4" t="e">
        <f t="shared" si="1"/>
        <v>#REF!</v>
      </c>
      <c r="AD16" s="4" t="e">
        <f t="shared" si="6"/>
        <v>#REF!</v>
      </c>
    </row>
    <row r="17" spans="1:30" x14ac:dyDescent="0.25">
      <c r="A17" s="4" t="e">
        <f>#REF!</f>
        <v>#REF!</v>
      </c>
      <c r="B17" s="4" t="e">
        <f>#REF!</f>
        <v>#REF!</v>
      </c>
      <c r="C17" s="4" t="e">
        <f>#REF!</f>
        <v>#REF!</v>
      </c>
      <c r="D17" s="4" t="e">
        <f t="shared" si="2"/>
        <v>#REF!</v>
      </c>
      <c r="E17" s="6" t="e">
        <f>#REF!</f>
        <v>#REF!</v>
      </c>
      <c r="F17" s="6" t="e">
        <f t="shared" ref="F17" si="21">F16+E17</f>
        <v>#REF!</v>
      </c>
      <c r="G17" s="6">
        <v>137.07400000000001</v>
      </c>
      <c r="H17" s="4" t="e">
        <f t="shared" ref="H17" si="22">F17*G17</f>
        <v>#REF!</v>
      </c>
      <c r="I17" s="4" t="e">
        <f t="shared" si="4"/>
        <v>#REF!</v>
      </c>
      <c r="J17" s="18" t="e">
        <f t="shared" si="5"/>
        <v>#REF!</v>
      </c>
      <c r="K17" s="4" t="e">
        <f>#REF!</f>
        <v>#REF!</v>
      </c>
      <c r="L17" s="4" t="e">
        <f>#REF!</f>
        <v>#REF!</v>
      </c>
      <c r="M17" s="4" t="e">
        <f>#REF!</f>
        <v>#REF!</v>
      </c>
      <c r="Y17" s="5"/>
      <c r="Z17" s="4">
        <v>0</v>
      </c>
      <c r="AA17" s="4" t="e">
        <f t="shared" si="7"/>
        <v>#REF!</v>
      </c>
      <c r="AB17" s="6">
        <v>1.01</v>
      </c>
      <c r="AC17" s="4" t="e">
        <f t="shared" si="1"/>
        <v>#REF!</v>
      </c>
      <c r="AD17" s="4" t="e">
        <f t="shared" si="6"/>
        <v>#REF!</v>
      </c>
    </row>
    <row r="18" spans="1:30" x14ac:dyDescent="0.25">
      <c r="A18" s="4" t="e">
        <f>#REF!</f>
        <v>#REF!</v>
      </c>
      <c r="B18" s="4" t="e">
        <f>#REF!</f>
        <v>#REF!</v>
      </c>
      <c r="C18" s="4" t="e">
        <f>#REF!</f>
        <v>#REF!</v>
      </c>
      <c r="D18" s="4" t="e">
        <f t="shared" si="2"/>
        <v>#REF!</v>
      </c>
      <c r="E18" s="6" t="e">
        <f>#REF!</f>
        <v>#REF!</v>
      </c>
      <c r="F18" s="6" t="e">
        <f t="shared" ref="F18" si="23">F17+E18</f>
        <v>#REF!</v>
      </c>
      <c r="G18" s="6">
        <v>127.60299999999999</v>
      </c>
      <c r="H18" s="4" t="e">
        <f t="shared" ref="H18" si="24">F18*G18</f>
        <v>#REF!</v>
      </c>
      <c r="I18" s="4" t="e">
        <f t="shared" si="4"/>
        <v>#REF!</v>
      </c>
      <c r="J18" s="18" t="e">
        <f t="shared" si="5"/>
        <v>#REF!</v>
      </c>
      <c r="K18" s="4" t="e">
        <f>#REF!</f>
        <v>#REF!</v>
      </c>
      <c r="L18" s="4" t="e">
        <f>#REF!</f>
        <v>#REF!</v>
      </c>
      <c r="M18" s="4" t="e">
        <f>#REF!</f>
        <v>#REF!</v>
      </c>
      <c r="Y18" s="5"/>
      <c r="Z18" s="4">
        <v>0</v>
      </c>
      <c r="AA18" s="4" t="e">
        <f t="shared" si="7"/>
        <v>#REF!</v>
      </c>
      <c r="AB18" s="5">
        <v>1.0123</v>
      </c>
      <c r="AC18" s="4" t="e">
        <f t="shared" si="1"/>
        <v>#REF!</v>
      </c>
      <c r="AD18" s="4" t="e">
        <f t="shared" si="6"/>
        <v>#REF!</v>
      </c>
    </row>
    <row r="19" spans="1:30" x14ac:dyDescent="0.25">
      <c r="A19" s="4" t="e">
        <f>#REF!</f>
        <v>#REF!</v>
      </c>
      <c r="B19" s="4" t="e">
        <f>#REF!</f>
        <v>#REF!</v>
      </c>
      <c r="C19" s="4" t="e">
        <f>#REF!</f>
        <v>#REF!</v>
      </c>
      <c r="D19" s="4" t="e">
        <f t="shared" si="2"/>
        <v>#REF!</v>
      </c>
      <c r="E19" s="6" t="e">
        <f>#REF!</f>
        <v>#REF!</v>
      </c>
      <c r="F19" s="6" t="e">
        <f t="shared" ref="F19" si="25">F18+E19</f>
        <v>#REF!</v>
      </c>
      <c r="G19" s="6">
        <v>117.657</v>
      </c>
      <c r="H19" s="4" t="e">
        <f t="shared" ref="H19" si="26">F19*G19</f>
        <v>#REF!</v>
      </c>
      <c r="I19" s="4" t="e">
        <f t="shared" si="4"/>
        <v>#REF!</v>
      </c>
      <c r="J19" s="18" t="e">
        <f t="shared" si="5"/>
        <v>#REF!</v>
      </c>
      <c r="K19" s="4" t="e">
        <f>#REF!</f>
        <v>#REF!</v>
      </c>
      <c r="L19" s="4" t="e">
        <f>#REF!</f>
        <v>#REF!</v>
      </c>
      <c r="M19" s="4" t="e">
        <f>#REF!</f>
        <v>#REF!</v>
      </c>
      <c r="Y19" s="5"/>
      <c r="Z19" s="4">
        <v>0</v>
      </c>
      <c r="AA19" s="4" t="e">
        <f t="shared" si="7"/>
        <v>#REF!</v>
      </c>
      <c r="AB19" s="6">
        <v>1.0509999999999999</v>
      </c>
      <c r="AC19" s="4" t="e">
        <f t="shared" si="1"/>
        <v>#REF!</v>
      </c>
      <c r="AD19" s="4" t="e">
        <f t="shared" si="6"/>
        <v>#REF!</v>
      </c>
    </row>
    <row r="20" spans="1:30" x14ac:dyDescent="0.25">
      <c r="A20" s="4" t="e">
        <f>#REF!</f>
        <v>#REF!</v>
      </c>
      <c r="B20" s="4" t="e">
        <f>#REF!</f>
        <v>#REF!</v>
      </c>
      <c r="C20" s="4" t="e">
        <f>#REF!</f>
        <v>#REF!</v>
      </c>
      <c r="D20" s="4" t="e">
        <f t="shared" si="2"/>
        <v>#REF!</v>
      </c>
      <c r="E20" s="6" t="e">
        <f>#REF!</f>
        <v>#REF!</v>
      </c>
      <c r="F20" s="6" t="e">
        <f t="shared" ref="F20" si="27">F19+E20</f>
        <v>#REF!</v>
      </c>
      <c r="G20" s="6">
        <v>122.41</v>
      </c>
      <c r="H20" s="4" t="e">
        <f t="shared" ref="H20" si="28">F20*G20</f>
        <v>#REF!</v>
      </c>
      <c r="I20" s="4" t="e">
        <f t="shared" si="4"/>
        <v>#REF!</v>
      </c>
      <c r="J20" s="18" t="e">
        <f t="shared" si="5"/>
        <v>#REF!</v>
      </c>
      <c r="K20" s="4" t="e">
        <f>#REF!</f>
        <v>#REF!</v>
      </c>
      <c r="L20" s="4" t="e">
        <f>#REF!</f>
        <v>#REF!</v>
      </c>
      <c r="M20" s="4" t="e">
        <f>#REF!</f>
        <v>#REF!</v>
      </c>
      <c r="Y20" s="5"/>
      <c r="Z20" s="4">
        <v>0</v>
      </c>
      <c r="AA20" s="4" t="e">
        <f t="shared" si="7"/>
        <v>#REF!</v>
      </c>
      <c r="AB20" s="5">
        <v>1.1061000000000001</v>
      </c>
      <c r="AC20" s="4" t="e">
        <f t="shared" si="1"/>
        <v>#REF!</v>
      </c>
      <c r="AD20" s="4" t="e">
        <f t="shared" si="6"/>
        <v>#REF!</v>
      </c>
    </row>
    <row r="21" spans="1:30" x14ac:dyDescent="0.25">
      <c r="A21" s="4" t="e">
        <f>#REF!</f>
        <v>#REF!</v>
      </c>
      <c r="B21" s="4" t="e">
        <f>#REF!</f>
        <v>#REF!</v>
      </c>
      <c r="C21" s="4" t="e">
        <f>#REF!</f>
        <v>#REF!</v>
      </c>
      <c r="D21" s="4" t="e">
        <f t="shared" si="2"/>
        <v>#REF!</v>
      </c>
      <c r="E21" s="6" t="e">
        <f>#REF!</f>
        <v>#REF!</v>
      </c>
      <c r="F21" s="6" t="e">
        <f t="shared" ref="F21" si="29">F20+E21</f>
        <v>#REF!</v>
      </c>
      <c r="G21" s="6">
        <v>133.58799999999999</v>
      </c>
      <c r="H21" s="4" t="e">
        <f t="shared" ref="H21" si="30">F21*G21</f>
        <v>#REF!</v>
      </c>
      <c r="I21" s="4" t="e">
        <f t="shared" si="4"/>
        <v>#REF!</v>
      </c>
      <c r="J21" s="18" t="e">
        <f t="shared" si="5"/>
        <v>#REF!</v>
      </c>
      <c r="K21" s="4" t="e">
        <f>#REF!</f>
        <v>#REF!</v>
      </c>
      <c r="L21" s="4" t="e">
        <f>#REF!</f>
        <v>#REF!</v>
      </c>
      <c r="M21" s="4" t="e">
        <f>#REF!</f>
        <v>#REF!</v>
      </c>
      <c r="Y21" s="5"/>
      <c r="Z21" s="4">
        <v>0</v>
      </c>
      <c r="AA21" s="4" t="e">
        <f t="shared" si="7"/>
        <v>#REF!</v>
      </c>
      <c r="AB21" s="5">
        <v>1.1041000000000001</v>
      </c>
      <c r="AC21" s="4" t="e">
        <f t="shared" si="1"/>
        <v>#REF!</v>
      </c>
      <c r="AD21" s="4" t="e">
        <f t="shared" si="6"/>
        <v>#REF!</v>
      </c>
    </row>
    <row r="22" spans="1:30" x14ac:dyDescent="0.25">
      <c r="A22" s="4" t="e">
        <f>#REF!</f>
        <v>#REF!</v>
      </c>
      <c r="B22" s="4" t="e">
        <f>#REF!</f>
        <v>#REF!</v>
      </c>
      <c r="C22" s="4" t="e">
        <f>#REF!</f>
        <v>#REF!</v>
      </c>
      <c r="D22" s="4" t="e">
        <f t="shared" si="2"/>
        <v>#REF!</v>
      </c>
      <c r="E22" s="6" t="e">
        <f>#REF!+#REF!</f>
        <v>#REF!</v>
      </c>
      <c r="F22" s="6" t="e">
        <f t="shared" ref="F22" si="31">F21+E22</f>
        <v>#REF!</v>
      </c>
      <c r="G22" s="6">
        <v>142.79900000000001</v>
      </c>
      <c r="H22" s="4" t="e">
        <f t="shared" ref="H22" si="32">F22*G22</f>
        <v>#REF!</v>
      </c>
      <c r="I22" s="4" t="e">
        <f t="shared" si="4"/>
        <v>#REF!</v>
      </c>
      <c r="J22" s="18" t="e">
        <f t="shared" si="5"/>
        <v>#REF!</v>
      </c>
      <c r="K22" s="4" t="e">
        <f>#REF!</f>
        <v>#REF!</v>
      </c>
      <c r="L22" s="4" t="e">
        <f>#REF!</f>
        <v>#REF!</v>
      </c>
      <c r="M22" s="4" t="e">
        <f>#REF!</f>
        <v>#REF!</v>
      </c>
      <c r="Y22" s="5"/>
      <c r="Z22" s="4">
        <v>0</v>
      </c>
      <c r="AA22" s="4" t="e">
        <f t="shared" si="7"/>
        <v>#REF!</v>
      </c>
      <c r="AB22" s="5">
        <v>1.2038</v>
      </c>
      <c r="AC22" s="4" t="e">
        <f t="shared" si="1"/>
        <v>#REF!</v>
      </c>
      <c r="AD22" s="4" t="e">
        <f t="shared" si="6"/>
        <v>#REF!</v>
      </c>
    </row>
    <row r="23" spans="1:30" x14ac:dyDescent="0.25">
      <c r="A23" s="4" t="e">
        <f>#REF!</f>
        <v>#REF!</v>
      </c>
      <c r="B23" s="4" t="e">
        <f>#REF!</f>
        <v>#REF!</v>
      </c>
      <c r="C23" s="4" t="e">
        <f>#REF!</f>
        <v>#REF!</v>
      </c>
      <c r="D23" s="4" t="e">
        <f t="shared" si="2"/>
        <v>#REF!</v>
      </c>
      <c r="E23" s="6" t="e">
        <f>#REF!</f>
        <v>#REF!</v>
      </c>
      <c r="F23" s="6" t="e">
        <f t="shared" ref="F23" si="33">F22+E23</f>
        <v>#REF!</v>
      </c>
      <c r="G23" s="6">
        <v>149.327</v>
      </c>
      <c r="H23" s="4" t="e">
        <f t="shared" ref="H23" si="34">F23*G23</f>
        <v>#REF!</v>
      </c>
      <c r="I23" s="4" t="e">
        <f t="shared" si="4"/>
        <v>#REF!</v>
      </c>
      <c r="J23" s="18" t="e">
        <f t="shared" si="5"/>
        <v>#REF!</v>
      </c>
      <c r="K23" s="4" t="e">
        <f>#REF!</f>
        <v>#REF!</v>
      </c>
      <c r="L23" s="4" t="e">
        <f>#REF!</f>
        <v>#REF!</v>
      </c>
      <c r="M23" s="4" t="e">
        <f>#REF!</f>
        <v>#REF!</v>
      </c>
      <c r="Y23" s="5"/>
      <c r="Z23" s="4">
        <v>0</v>
      </c>
      <c r="AA23" s="4" t="e">
        <f t="shared" si="7"/>
        <v>#REF!</v>
      </c>
      <c r="AB23" s="5">
        <v>1.1727000000000001</v>
      </c>
      <c r="AC23" s="4" t="e">
        <f t="shared" si="1"/>
        <v>#REF!</v>
      </c>
      <c r="AD23" s="4" t="e">
        <f t="shared" si="6"/>
        <v>#REF!</v>
      </c>
    </row>
    <row r="24" spans="1:30" x14ac:dyDescent="0.25">
      <c r="A24" s="4" t="e">
        <f>#REF!</f>
        <v>#REF!</v>
      </c>
      <c r="B24" s="4" t="e">
        <f>#REF!</f>
        <v>#REF!</v>
      </c>
      <c r="C24" s="4" t="e">
        <f>#REF!</f>
        <v>#REF!</v>
      </c>
      <c r="D24" s="4" t="e">
        <f t="shared" si="2"/>
        <v>#REF!</v>
      </c>
      <c r="E24" s="6" t="e">
        <f>#REF!</f>
        <v>#REF!</v>
      </c>
      <c r="F24" s="6" t="e">
        <f t="shared" ref="F24" si="35">F23+E24</f>
        <v>#REF!</v>
      </c>
      <c r="G24" s="6">
        <v>145.91900000000001</v>
      </c>
      <c r="H24" s="4" t="e">
        <f t="shared" ref="H24" si="36">F24*G24</f>
        <v>#REF!</v>
      </c>
      <c r="I24" s="4" t="e">
        <f t="shared" si="4"/>
        <v>#REF!</v>
      </c>
      <c r="J24" s="18" t="e">
        <f t="shared" si="5"/>
        <v>#REF!</v>
      </c>
      <c r="K24" s="4" t="e">
        <f>#REF!</f>
        <v>#REF!</v>
      </c>
      <c r="L24" s="4" t="e">
        <f>#REF!</f>
        <v>#REF!</v>
      </c>
      <c r="M24" s="4" t="e">
        <f>#REF!</f>
        <v>#REF!</v>
      </c>
      <c r="Y24" s="5"/>
      <c r="Z24" s="4">
        <v>0</v>
      </c>
      <c r="AA24" s="4" t="e">
        <f t="shared" si="7"/>
        <v>#REF!</v>
      </c>
      <c r="AB24" s="5">
        <v>1.1657999999999999</v>
      </c>
      <c r="AC24" s="4" t="e">
        <f t="shared" si="1"/>
        <v>#REF!</v>
      </c>
      <c r="AD24" s="4" t="e">
        <f t="shared" si="6"/>
        <v>#REF!</v>
      </c>
    </row>
    <row r="25" spans="1:30" x14ac:dyDescent="0.25">
      <c r="A25" s="4" t="e">
        <f>#REF!</f>
        <v>#REF!</v>
      </c>
      <c r="B25" s="4" t="e">
        <f>#REF!</f>
        <v>#REF!</v>
      </c>
      <c r="C25" s="4" t="e">
        <f>#REF!</f>
        <v>#REF!</v>
      </c>
      <c r="D25" s="4" t="e">
        <f t="shared" si="2"/>
        <v>#REF!</v>
      </c>
      <c r="E25" s="6" t="e">
        <f>#REF!</f>
        <v>#REF!</v>
      </c>
      <c r="F25" s="6" t="e">
        <f t="shared" ref="F25" si="37">F24+E25</f>
        <v>#REF!</v>
      </c>
      <c r="G25" s="6">
        <v>150.13</v>
      </c>
      <c r="H25" s="4" t="e">
        <f t="shared" ref="H25" si="38">F25*G25</f>
        <v>#REF!</v>
      </c>
      <c r="I25" s="4" t="e">
        <f t="shared" si="4"/>
        <v>#REF!</v>
      </c>
      <c r="J25" s="18" t="e">
        <f t="shared" si="5"/>
        <v>#REF!</v>
      </c>
      <c r="K25" s="4" t="e">
        <f>#REF!</f>
        <v>#REF!</v>
      </c>
      <c r="L25" s="4" t="e">
        <f>#REF!</f>
        <v>#REF!</v>
      </c>
      <c r="M25" s="4" t="e">
        <f>#REF!</f>
        <v>#REF!</v>
      </c>
      <c r="Y25" s="5"/>
      <c r="Z25" s="4">
        <v>0</v>
      </c>
      <c r="AA25" s="4" t="e">
        <f t="shared" si="7"/>
        <v>#REF!</v>
      </c>
      <c r="AB25" s="5">
        <v>1.1740999999999999</v>
      </c>
      <c r="AC25" s="4" t="e">
        <f t="shared" si="1"/>
        <v>#REF!</v>
      </c>
      <c r="AD25" s="4" t="e">
        <f t="shared" si="6"/>
        <v>#REF!</v>
      </c>
    </row>
    <row r="26" spans="1:30" x14ac:dyDescent="0.25">
      <c r="A26" s="4" t="e">
        <f>#REF!</f>
        <v>#REF!</v>
      </c>
      <c r="B26" s="4" t="e">
        <f>#REF!</f>
        <v>#REF!</v>
      </c>
      <c r="C26" s="4" t="e">
        <f>#REF!</f>
        <v>#REF!</v>
      </c>
      <c r="D26" s="4" t="e">
        <f t="shared" si="2"/>
        <v>#REF!</v>
      </c>
      <c r="E26" s="6" t="e">
        <f>#REF!</f>
        <v>#REF!</v>
      </c>
      <c r="F26" s="6" t="e">
        <f t="shared" ref="F26" si="39">F25+E26</f>
        <v>#REF!</v>
      </c>
      <c r="G26" s="6">
        <v>160.23699999999999</v>
      </c>
      <c r="H26" s="4" t="e">
        <f t="shared" ref="H26" si="40">F26*G26</f>
        <v>#REF!</v>
      </c>
      <c r="I26" s="4" t="e">
        <f t="shared" si="4"/>
        <v>#REF!</v>
      </c>
      <c r="J26" s="18" t="e">
        <f t="shared" si="5"/>
        <v>#REF!</v>
      </c>
      <c r="K26" s="4" t="e">
        <f>#REF!</f>
        <v>#REF!</v>
      </c>
      <c r="L26" s="4" t="e">
        <f>#REF!</f>
        <v>#REF!</v>
      </c>
      <c r="M26" s="4" t="e">
        <f>#REF!</f>
        <v>#REF!</v>
      </c>
      <c r="Y26" s="5"/>
      <c r="Z26" s="4">
        <v>0</v>
      </c>
      <c r="AA26" s="4" t="e">
        <f t="shared" si="7"/>
        <v>#REF!</v>
      </c>
      <c r="AB26" s="6">
        <v>1.155</v>
      </c>
      <c r="AC26" s="4" t="e">
        <f t="shared" si="1"/>
        <v>#REF!</v>
      </c>
      <c r="AD26" s="4" t="e">
        <f t="shared" si="6"/>
        <v>#REF!</v>
      </c>
    </row>
    <row r="27" spans="1:30" x14ac:dyDescent="0.25">
      <c r="A27" s="4" t="e">
        <f>#REF!</f>
        <v>#REF!</v>
      </c>
      <c r="B27" s="4" t="e">
        <f>#REF!</f>
        <v>#REF!</v>
      </c>
      <c r="C27" s="4" t="e">
        <f>#REF!</f>
        <v>#REF!</v>
      </c>
      <c r="D27" s="4" t="e">
        <f t="shared" ref="D27" si="41">D26+B27</f>
        <v>#REF!</v>
      </c>
      <c r="E27" s="6" t="e">
        <f>#REF!</f>
        <v>#REF!</v>
      </c>
      <c r="F27" s="6" t="e">
        <f t="shared" ref="F27" si="42">F26+E27</f>
        <v>#REF!</v>
      </c>
      <c r="G27" s="6">
        <v>145.667</v>
      </c>
      <c r="H27" s="4" t="e">
        <f t="shared" ref="H27" si="43">F27*G27</f>
        <v>#REF!</v>
      </c>
      <c r="I27" s="4" t="e">
        <f t="shared" ref="I27" si="44">H27-D27</f>
        <v>#REF!</v>
      </c>
      <c r="J27" s="18" t="e">
        <f t="shared" ref="J27" si="45">(H27-D27)/D27</f>
        <v>#REF!</v>
      </c>
      <c r="K27" s="4" t="e">
        <f>#REF!</f>
        <v>#REF!</v>
      </c>
      <c r="L27" s="4" t="e">
        <f>#REF!</f>
        <v>#REF!</v>
      </c>
      <c r="M27" s="4" t="e">
        <f>#REF!</f>
        <v>#REF!</v>
      </c>
      <c r="Y27" s="5"/>
      <c r="Z27" s="4">
        <v>0</v>
      </c>
      <c r="AA27" s="4" t="e">
        <f t="shared" si="7"/>
        <v>#REF!</v>
      </c>
      <c r="AB27" s="5">
        <v>1.1842999999999999</v>
      </c>
      <c r="AC27" s="4" t="e">
        <f t="shared" si="1"/>
        <v>#REF!</v>
      </c>
      <c r="AD27" s="4" t="e">
        <f t="shared" si="6"/>
        <v>#REF!</v>
      </c>
    </row>
  </sheetData>
  <mergeCells count="15">
    <mergeCell ref="U3:V3"/>
    <mergeCell ref="W3:W4"/>
    <mergeCell ref="Y3:AD3"/>
    <mergeCell ref="O3:O4"/>
    <mergeCell ref="P3:P4"/>
    <mergeCell ref="Q3:Q4"/>
    <mergeCell ref="R3:R4"/>
    <mergeCell ref="S3:S4"/>
    <mergeCell ref="T3:T4"/>
    <mergeCell ref="M3:M4"/>
    <mergeCell ref="A3:A4"/>
    <mergeCell ref="B3:D3"/>
    <mergeCell ref="E3:F3"/>
    <mergeCell ref="G3:J3"/>
    <mergeCell ref="K3:L3"/>
  </mergeCells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92D050"/>
  </sheetPr>
  <dimension ref="A1:W17"/>
  <sheetViews>
    <sheetView workbookViewId="0">
      <pane ySplit="5" topLeftCell="A6" activePane="bottomLeft" state="frozen"/>
      <selection activeCell="T15" sqref="T15"/>
      <selection pane="bottomLeft" activeCell="T15" sqref="T15"/>
    </sheetView>
  </sheetViews>
  <sheetFormatPr defaultRowHeight="15" x14ac:dyDescent="0.25"/>
  <cols>
    <col min="1" max="1" width="10.7109375" style="1" customWidth="1"/>
    <col min="2" max="13" width="10.7109375" customWidth="1"/>
    <col min="14" max="14" width="5.7109375" customWidth="1"/>
    <col min="15" max="23" width="10.7109375" customWidth="1"/>
  </cols>
  <sheetData>
    <row r="1" spans="1:23" x14ac:dyDescent="0.25">
      <c r="A1" s="31" t="s">
        <v>42</v>
      </c>
    </row>
    <row r="3" spans="1:23" x14ac:dyDescent="0.25">
      <c r="A3" s="54" t="s">
        <v>29</v>
      </c>
      <c r="B3" s="57" t="s">
        <v>3</v>
      </c>
      <c r="C3" s="58"/>
      <c r="D3" s="59"/>
      <c r="E3" s="57" t="s">
        <v>1</v>
      </c>
      <c r="F3" s="59"/>
      <c r="G3" s="57" t="s">
        <v>32</v>
      </c>
      <c r="H3" s="58"/>
      <c r="I3" s="58"/>
      <c r="J3" s="59"/>
      <c r="K3" s="53" t="s">
        <v>26</v>
      </c>
      <c r="L3" s="53"/>
      <c r="M3" s="54" t="s">
        <v>4</v>
      </c>
      <c r="O3" s="62" t="s">
        <v>44</v>
      </c>
      <c r="P3" s="54" t="s">
        <v>11</v>
      </c>
      <c r="Q3" s="54" t="s">
        <v>1</v>
      </c>
      <c r="R3" s="54" t="s">
        <v>25</v>
      </c>
      <c r="S3" s="54" t="s">
        <v>9</v>
      </c>
      <c r="T3" s="54" t="s">
        <v>7</v>
      </c>
      <c r="U3" s="57" t="s">
        <v>26</v>
      </c>
      <c r="V3" s="59"/>
      <c r="W3" s="54" t="s">
        <v>4</v>
      </c>
    </row>
    <row r="4" spans="1:23" x14ac:dyDescent="0.25">
      <c r="A4" s="55"/>
      <c r="B4" s="3" t="s">
        <v>11</v>
      </c>
      <c r="C4" s="3" t="s">
        <v>33</v>
      </c>
      <c r="D4" s="3" t="s">
        <v>34</v>
      </c>
      <c r="E4" s="3" t="s">
        <v>35</v>
      </c>
      <c r="F4" s="3" t="s">
        <v>30</v>
      </c>
      <c r="G4" s="3" t="s">
        <v>0</v>
      </c>
      <c r="H4" s="3" t="s">
        <v>5</v>
      </c>
      <c r="I4" s="3" t="s">
        <v>9</v>
      </c>
      <c r="J4" s="3" t="s">
        <v>7</v>
      </c>
      <c r="K4" s="3" t="s">
        <v>21</v>
      </c>
      <c r="L4" s="3" t="s">
        <v>22</v>
      </c>
      <c r="M4" s="55"/>
      <c r="O4" s="63"/>
      <c r="P4" s="55"/>
      <c r="Q4" s="55"/>
      <c r="R4" s="55"/>
      <c r="S4" s="55"/>
      <c r="T4" s="55"/>
      <c r="U4" s="3" t="s">
        <v>21</v>
      </c>
      <c r="V4" s="13" t="s">
        <v>22</v>
      </c>
      <c r="W4" s="55"/>
    </row>
    <row r="5" spans="1:23" x14ac:dyDescent="0.25">
      <c r="A5" s="4" t="e">
        <f>#REF!</f>
        <v>#REF!</v>
      </c>
      <c r="B5" s="4" t="e">
        <f>#REF!</f>
        <v>#REF!</v>
      </c>
      <c r="C5" s="4" t="e">
        <f>#REF!</f>
        <v>#REF!</v>
      </c>
      <c r="D5" s="4" t="e">
        <f>B5</f>
        <v>#REF!</v>
      </c>
      <c r="E5" s="6" t="e">
        <f>#REF!</f>
        <v>#REF!</v>
      </c>
      <c r="F5" s="6" t="e">
        <f>E5</f>
        <v>#REF!</v>
      </c>
      <c r="G5" s="6">
        <v>1110.6089999999999</v>
      </c>
      <c r="H5" s="4" t="e">
        <f>F5*G5</f>
        <v>#REF!</v>
      </c>
      <c r="I5" s="4" t="e">
        <f>H5-D5</f>
        <v>#REF!</v>
      </c>
      <c r="J5" s="18" t="e">
        <f>(H5-D5)/D5</f>
        <v>#REF!</v>
      </c>
      <c r="K5" s="4" t="e">
        <f>#REF!</f>
        <v>#REF!</v>
      </c>
      <c r="L5" s="4" t="e">
        <f>#REF!</f>
        <v>#REF!</v>
      </c>
      <c r="M5" s="4" t="e">
        <f>#REF!</f>
        <v>#REF!</v>
      </c>
      <c r="O5" s="3" t="s">
        <v>2</v>
      </c>
      <c r="P5" s="4" t="e">
        <f>SUM(B5:B42)</f>
        <v>#REF!</v>
      </c>
      <c r="Q5" s="7" t="e">
        <f>SUM(E5:E42)</f>
        <v>#REF!</v>
      </c>
      <c r="R5" s="4">
        <v>21.1</v>
      </c>
      <c r="S5" s="4" t="e">
        <f>R5-P5</f>
        <v>#REF!</v>
      </c>
      <c r="T5" s="18" t="e">
        <f>(R5-P5)/P5</f>
        <v>#REF!</v>
      </c>
      <c r="U5" s="4" t="e">
        <f>SUM(K5:K42)</f>
        <v>#REF!</v>
      </c>
      <c r="V5" s="4" t="e">
        <f t="shared" ref="V5:W5" si="0">SUM(L5:L42)</f>
        <v>#REF!</v>
      </c>
      <c r="W5" s="4" t="e">
        <f t="shared" si="0"/>
        <v>#REF!</v>
      </c>
    </row>
    <row r="6" spans="1:23" x14ac:dyDescent="0.25">
      <c r="A6" s="4" t="e">
        <f>#REF!</f>
        <v>#REF!</v>
      </c>
      <c r="B6" s="4" t="e">
        <f>#REF!</f>
        <v>#REF!</v>
      </c>
      <c r="C6" s="4" t="e">
        <f>#REF!</f>
        <v>#REF!</v>
      </c>
      <c r="D6" s="4" t="e">
        <f t="shared" ref="D6:D16" si="1">D5+B6</f>
        <v>#REF!</v>
      </c>
      <c r="E6" s="6" t="e">
        <f>#REF!</f>
        <v>#REF!</v>
      </c>
      <c r="F6" s="6" t="e">
        <f>F5+E6</f>
        <v>#REF!</v>
      </c>
      <c r="G6" s="6">
        <v>1110.242</v>
      </c>
      <c r="H6" s="4" t="e">
        <f t="shared" ref="H6:H11" si="2">F6*G6</f>
        <v>#REF!</v>
      </c>
      <c r="I6" s="4" t="e">
        <f>H6-D6</f>
        <v>#REF!</v>
      </c>
      <c r="J6" s="18" t="e">
        <f t="shared" ref="J6:J16" si="3">(H6-D6)/D6</f>
        <v>#REF!</v>
      </c>
      <c r="K6" s="4" t="e">
        <f>#REF!</f>
        <v>#REF!</v>
      </c>
      <c r="L6" s="4" t="e">
        <f>#REF!</f>
        <v>#REF!</v>
      </c>
      <c r="M6" s="4" t="e">
        <f>#REF!</f>
        <v>#REF!</v>
      </c>
    </row>
    <row r="7" spans="1:23" x14ac:dyDescent="0.25">
      <c r="A7" s="4" t="e">
        <f>#REF!</f>
        <v>#REF!</v>
      </c>
      <c r="B7" s="4" t="e">
        <f>#REF!</f>
        <v>#REF!</v>
      </c>
      <c r="C7" s="4" t="e">
        <f>#REF!</f>
        <v>#REF!</v>
      </c>
      <c r="D7" s="4" t="e">
        <f t="shared" si="1"/>
        <v>#REF!</v>
      </c>
      <c r="E7" s="6" t="e">
        <f>#REF!</f>
        <v>#REF!</v>
      </c>
      <c r="F7" s="6" t="e">
        <f t="shared" ref="F7:F11" si="4">F6+E7</f>
        <v>#REF!</v>
      </c>
      <c r="G7" s="6">
        <v>1121.548</v>
      </c>
      <c r="H7" s="4" t="e">
        <f t="shared" si="2"/>
        <v>#REF!</v>
      </c>
      <c r="I7" s="4" t="e">
        <f t="shared" ref="I7:I16" si="5">H7-D7</f>
        <v>#REF!</v>
      </c>
      <c r="J7" s="18" t="e">
        <f t="shared" si="3"/>
        <v>#REF!</v>
      </c>
      <c r="K7" s="4" t="e">
        <f>#REF!</f>
        <v>#REF!</v>
      </c>
      <c r="L7" s="4" t="e">
        <f>#REF!</f>
        <v>#REF!</v>
      </c>
      <c r="M7" s="4" t="e">
        <f>#REF!</f>
        <v>#REF!</v>
      </c>
    </row>
    <row r="8" spans="1:23" x14ac:dyDescent="0.25">
      <c r="A8" s="4" t="e">
        <f>#REF!</f>
        <v>#REF!</v>
      </c>
      <c r="B8" s="4" t="e">
        <f>#REF!</f>
        <v>#REF!</v>
      </c>
      <c r="C8" s="4" t="e">
        <f>#REF!</f>
        <v>#REF!</v>
      </c>
      <c r="D8" s="4" t="e">
        <f t="shared" si="1"/>
        <v>#REF!</v>
      </c>
      <c r="E8" s="6" t="e">
        <f>#REF!</f>
        <v>#REF!</v>
      </c>
      <c r="F8" s="6" t="e">
        <f t="shared" si="4"/>
        <v>#REF!</v>
      </c>
      <c r="G8" s="6">
        <v>1128.577</v>
      </c>
      <c r="H8" s="4" t="e">
        <f t="shared" si="2"/>
        <v>#REF!</v>
      </c>
      <c r="I8" s="4" t="e">
        <f t="shared" si="5"/>
        <v>#REF!</v>
      </c>
      <c r="J8" s="18" t="e">
        <f t="shared" si="3"/>
        <v>#REF!</v>
      </c>
      <c r="K8" s="4" t="e">
        <f>#REF!</f>
        <v>#REF!</v>
      </c>
      <c r="L8" s="4" t="e">
        <f>#REF!</f>
        <v>#REF!</v>
      </c>
      <c r="M8" s="4" t="e">
        <f>#REF!</f>
        <v>#REF!</v>
      </c>
    </row>
    <row r="9" spans="1:23" x14ac:dyDescent="0.25">
      <c r="A9" s="4" t="e">
        <f>#REF!</f>
        <v>#REF!</v>
      </c>
      <c r="B9" s="4" t="e">
        <f>#REF!</f>
        <v>#REF!</v>
      </c>
      <c r="C9" s="4" t="e">
        <f>#REF!</f>
        <v>#REF!</v>
      </c>
      <c r="D9" s="4" t="e">
        <f t="shared" si="1"/>
        <v>#REF!</v>
      </c>
      <c r="E9" s="6" t="e">
        <f>#REF!</f>
        <v>#REF!</v>
      </c>
      <c r="F9" s="6" t="e">
        <f t="shared" si="4"/>
        <v>#REF!</v>
      </c>
      <c r="G9" s="6">
        <v>1118.9739999999999</v>
      </c>
      <c r="H9" s="4" t="e">
        <f t="shared" si="2"/>
        <v>#REF!</v>
      </c>
      <c r="I9" s="4" t="e">
        <f t="shared" si="5"/>
        <v>#REF!</v>
      </c>
      <c r="J9" s="18" t="e">
        <f t="shared" si="3"/>
        <v>#REF!</v>
      </c>
      <c r="K9" s="4" t="e">
        <f>#REF!</f>
        <v>#REF!</v>
      </c>
      <c r="L9" s="4" t="e">
        <f>#REF!</f>
        <v>#REF!</v>
      </c>
      <c r="M9" s="4" t="e">
        <f>#REF!</f>
        <v>#REF!</v>
      </c>
    </row>
    <row r="10" spans="1:23" x14ac:dyDescent="0.25">
      <c r="A10" s="4" t="e">
        <f>#REF!</f>
        <v>#REF!</v>
      </c>
      <c r="B10" s="4" t="e">
        <f>#REF!</f>
        <v>#REF!</v>
      </c>
      <c r="C10" s="4" t="e">
        <f>#REF!</f>
        <v>#REF!</v>
      </c>
      <c r="D10" s="4" t="e">
        <f t="shared" si="1"/>
        <v>#REF!</v>
      </c>
      <c r="E10" s="6" t="e">
        <f>#REF!</f>
        <v>#REF!</v>
      </c>
      <c r="F10" s="6" t="e">
        <f t="shared" si="4"/>
        <v>#REF!</v>
      </c>
      <c r="G10" s="6">
        <v>1123.0329999999999</v>
      </c>
      <c r="H10" s="4" t="e">
        <f t="shared" si="2"/>
        <v>#REF!</v>
      </c>
      <c r="I10" s="4" t="e">
        <f t="shared" si="5"/>
        <v>#REF!</v>
      </c>
      <c r="J10" s="18" t="e">
        <f t="shared" si="3"/>
        <v>#REF!</v>
      </c>
      <c r="K10" s="4" t="e">
        <f>#REF!</f>
        <v>#REF!</v>
      </c>
      <c r="L10" s="4" t="e">
        <f>#REF!</f>
        <v>#REF!</v>
      </c>
      <c r="M10" s="4" t="e">
        <f>#REF!</f>
        <v>#REF!</v>
      </c>
    </row>
    <row r="11" spans="1:23" x14ac:dyDescent="0.25">
      <c r="A11" s="4" t="e">
        <f>#REF!</f>
        <v>#REF!</v>
      </c>
      <c r="B11" s="4" t="e">
        <f>#REF!</f>
        <v>#REF!</v>
      </c>
      <c r="C11" s="4" t="e">
        <f>#REF!</f>
        <v>#REF!</v>
      </c>
      <c r="D11" s="4" t="e">
        <f t="shared" si="1"/>
        <v>#REF!</v>
      </c>
      <c r="E11" s="6" t="e">
        <f>#REF!</f>
        <v>#REF!</v>
      </c>
      <c r="F11" s="6" t="e">
        <f t="shared" si="4"/>
        <v>#REF!</v>
      </c>
      <c r="G11" s="6">
        <v>1133.5319999999999</v>
      </c>
      <c r="H11" s="4" t="e">
        <f t="shared" si="2"/>
        <v>#REF!</v>
      </c>
      <c r="I11" s="4" t="e">
        <f t="shared" si="5"/>
        <v>#REF!</v>
      </c>
      <c r="J11" s="18" t="e">
        <f t="shared" si="3"/>
        <v>#REF!</v>
      </c>
      <c r="K11" s="4" t="e">
        <f>#REF!</f>
        <v>#REF!</v>
      </c>
      <c r="L11" s="4" t="e">
        <f>#REF!</f>
        <v>#REF!</v>
      </c>
      <c r="M11" s="4" t="e">
        <f>#REF!</f>
        <v>#REF!</v>
      </c>
    </row>
    <row r="12" spans="1:23" x14ac:dyDescent="0.25">
      <c r="A12" s="4" t="e">
        <f>#REF!</f>
        <v>#REF!</v>
      </c>
      <c r="B12" s="4" t="e">
        <f>#REF!</f>
        <v>#REF!</v>
      </c>
      <c r="C12" s="4" t="e">
        <f>#REF!</f>
        <v>#REF!</v>
      </c>
      <c r="D12" s="4" t="e">
        <f t="shared" si="1"/>
        <v>#REF!</v>
      </c>
      <c r="E12" s="6" t="e">
        <f>#REF!</f>
        <v>#REF!</v>
      </c>
      <c r="F12" s="6" t="e">
        <f t="shared" ref="F12" si="6">F11+E12</f>
        <v>#REF!</v>
      </c>
      <c r="G12" s="6">
        <v>1147.2570000000001</v>
      </c>
      <c r="H12" s="4" t="e">
        <f t="shared" ref="H12" si="7">F12*G12</f>
        <v>#REF!</v>
      </c>
      <c r="I12" s="4" t="e">
        <f t="shared" si="5"/>
        <v>#REF!</v>
      </c>
      <c r="J12" s="18" t="e">
        <f t="shared" si="3"/>
        <v>#REF!</v>
      </c>
      <c r="K12" s="4" t="e">
        <f>#REF!</f>
        <v>#REF!</v>
      </c>
      <c r="L12" s="4" t="e">
        <f>#REF!</f>
        <v>#REF!</v>
      </c>
      <c r="M12" s="4" t="e">
        <f>#REF!</f>
        <v>#REF!</v>
      </c>
    </row>
    <row r="13" spans="1:23" x14ac:dyDescent="0.25">
      <c r="A13" s="4" t="e">
        <f>#REF!</f>
        <v>#REF!</v>
      </c>
      <c r="B13" s="4" t="e">
        <f>#REF!</f>
        <v>#REF!</v>
      </c>
      <c r="C13" s="4" t="e">
        <f>#REF!</f>
        <v>#REF!</v>
      </c>
      <c r="D13" s="4" t="e">
        <f t="shared" si="1"/>
        <v>#REF!</v>
      </c>
      <c r="E13" s="6" t="e">
        <f>#REF!</f>
        <v>#REF!</v>
      </c>
      <c r="F13" s="6" t="e">
        <f t="shared" ref="F13" si="8">F12+E13</f>
        <v>#REF!</v>
      </c>
      <c r="G13" s="6">
        <v>1155.3309999999999</v>
      </c>
      <c r="H13" s="4" t="e">
        <f t="shared" ref="H13" si="9">F13*G13</f>
        <v>#REF!</v>
      </c>
      <c r="I13" s="4" t="e">
        <f t="shared" si="5"/>
        <v>#REF!</v>
      </c>
      <c r="J13" s="18" t="e">
        <f t="shared" si="3"/>
        <v>#REF!</v>
      </c>
      <c r="K13" s="4" t="e">
        <f>#REF!</f>
        <v>#REF!</v>
      </c>
      <c r="L13" s="4" t="e">
        <f>#REF!</f>
        <v>#REF!</v>
      </c>
      <c r="M13" s="4" t="e">
        <f>#REF!</f>
        <v>#REF!</v>
      </c>
    </row>
    <row r="14" spans="1:23" x14ac:dyDescent="0.25">
      <c r="A14" s="4" t="e">
        <f>#REF!</f>
        <v>#REF!</v>
      </c>
      <c r="B14" s="4" t="e">
        <f>#REF!</f>
        <v>#REF!</v>
      </c>
      <c r="C14" s="4" t="e">
        <f>#REF!</f>
        <v>#REF!</v>
      </c>
      <c r="D14" s="4" t="e">
        <f t="shared" si="1"/>
        <v>#REF!</v>
      </c>
      <c r="E14" s="6" t="e">
        <f>#REF!</f>
        <v>#REF!</v>
      </c>
      <c r="F14" s="6" t="e">
        <f t="shared" ref="F14" si="10">F13+E14</f>
        <v>#REF!</v>
      </c>
      <c r="G14" s="6">
        <v>1162.2539999999999</v>
      </c>
      <c r="H14" s="4" t="e">
        <f t="shared" ref="H14" si="11">F14*G14</f>
        <v>#REF!</v>
      </c>
      <c r="I14" s="4" t="e">
        <f t="shared" si="5"/>
        <v>#REF!</v>
      </c>
      <c r="J14" s="18" t="e">
        <f t="shared" si="3"/>
        <v>#REF!</v>
      </c>
      <c r="K14" s="4" t="e">
        <f>#REF!</f>
        <v>#REF!</v>
      </c>
      <c r="L14" s="4" t="e">
        <f>#REF!</f>
        <v>#REF!</v>
      </c>
      <c r="M14" s="4" t="e">
        <f>#REF!</f>
        <v>#REF!</v>
      </c>
    </row>
    <row r="15" spans="1:23" x14ac:dyDescent="0.25">
      <c r="A15" s="4" t="e">
        <f>#REF!</f>
        <v>#REF!</v>
      </c>
      <c r="B15" s="4" t="e">
        <f>#REF!</f>
        <v>#REF!</v>
      </c>
      <c r="C15" s="4" t="e">
        <f>#REF!</f>
        <v>#REF!</v>
      </c>
      <c r="D15" s="4" t="e">
        <f t="shared" si="1"/>
        <v>#REF!</v>
      </c>
      <c r="E15" s="6" t="e">
        <f>#REF!</f>
        <v>#REF!</v>
      </c>
      <c r="F15" s="6" t="e">
        <f t="shared" ref="F15" si="12">F14+E15</f>
        <v>#REF!</v>
      </c>
      <c r="G15" s="6">
        <v>1167.0740000000001</v>
      </c>
      <c r="H15" s="4" t="e">
        <f t="shared" ref="H15" si="13">F15*G15</f>
        <v>#REF!</v>
      </c>
      <c r="I15" s="4" t="e">
        <f t="shared" si="5"/>
        <v>#REF!</v>
      </c>
      <c r="J15" s="18" t="e">
        <f t="shared" si="3"/>
        <v>#REF!</v>
      </c>
      <c r="K15" s="4" t="e">
        <f>#REF!</f>
        <v>#REF!</v>
      </c>
      <c r="L15" s="4" t="e">
        <f>#REF!</f>
        <v>#REF!</v>
      </c>
      <c r="M15" s="4" t="e">
        <f>#REF!</f>
        <v>#REF!</v>
      </c>
    </row>
    <row r="16" spans="1:23" x14ac:dyDescent="0.25">
      <c r="A16" s="4" t="e">
        <f>#REF!</f>
        <v>#REF!</v>
      </c>
      <c r="B16" s="4" t="e">
        <f>#REF!</f>
        <v>#REF!</v>
      </c>
      <c r="C16" s="4" t="e">
        <f>#REF!</f>
        <v>#REF!</v>
      </c>
      <c r="D16" s="4" t="e">
        <f t="shared" si="1"/>
        <v>#REF!</v>
      </c>
      <c r="E16" s="6" t="e">
        <f>#REF!</f>
        <v>#REF!</v>
      </c>
      <c r="F16" s="6" t="e">
        <f t="shared" ref="F16" si="14">F15+E16</f>
        <v>#REF!</v>
      </c>
      <c r="G16" s="6">
        <v>1173.674</v>
      </c>
      <c r="H16" s="4" t="e">
        <f t="shared" ref="H16" si="15">F16*G16</f>
        <v>#REF!</v>
      </c>
      <c r="I16" s="4" t="e">
        <f t="shared" si="5"/>
        <v>#REF!</v>
      </c>
      <c r="J16" s="18" t="e">
        <f t="shared" si="3"/>
        <v>#REF!</v>
      </c>
      <c r="K16" s="4" t="e">
        <f>#REF!</f>
        <v>#REF!</v>
      </c>
      <c r="L16" s="4" t="e">
        <f>#REF!</f>
        <v>#REF!</v>
      </c>
      <c r="M16" s="4" t="e">
        <f>#REF!</f>
        <v>#REF!</v>
      </c>
    </row>
    <row r="17" spans="1:13" x14ac:dyDescent="0.25">
      <c r="A17" s="16" t="e">
        <f>#REF!</f>
        <v>#REF!</v>
      </c>
      <c r="B17" s="16" t="e">
        <f>#REF!</f>
        <v>#REF!</v>
      </c>
      <c r="C17" s="16" t="e">
        <f>#REF!</f>
        <v>#REF!</v>
      </c>
      <c r="D17" s="16" t="e">
        <f t="shared" ref="D17" si="16">D16+B17</f>
        <v>#REF!</v>
      </c>
      <c r="E17" s="17" t="e">
        <f>#REF!</f>
        <v>#REF!</v>
      </c>
      <c r="F17" s="17" t="e">
        <f t="shared" ref="F17" si="17">F16+E17</f>
        <v>#REF!</v>
      </c>
      <c r="G17" s="17">
        <v>1172.3810000000001</v>
      </c>
      <c r="H17" s="16" t="e">
        <f t="shared" ref="H17" si="18">F17*G17</f>
        <v>#REF!</v>
      </c>
      <c r="I17" s="16" t="e">
        <f t="shared" ref="I17" si="19">H17-D17</f>
        <v>#REF!</v>
      </c>
      <c r="J17" s="34" t="e">
        <f t="shared" ref="J17" si="20">(H17-D17)/D17</f>
        <v>#REF!</v>
      </c>
      <c r="K17" s="16" t="e">
        <f>#REF!</f>
        <v>#REF!</v>
      </c>
      <c r="L17" s="16" t="e">
        <f>#REF!</f>
        <v>#REF!</v>
      </c>
      <c r="M17" s="16" t="e">
        <f>#REF!</f>
        <v>#REF!</v>
      </c>
    </row>
  </sheetData>
  <mergeCells count="14">
    <mergeCell ref="U3:V3"/>
    <mergeCell ref="W3:W4"/>
    <mergeCell ref="O3:O4"/>
    <mergeCell ref="P3:P4"/>
    <mergeCell ref="Q3:Q4"/>
    <mergeCell ref="R3:R4"/>
    <mergeCell ref="S3:S4"/>
    <mergeCell ref="T3:T4"/>
    <mergeCell ref="M3:M4"/>
    <mergeCell ref="A3:A4"/>
    <mergeCell ref="B3:D3"/>
    <mergeCell ref="E3:F3"/>
    <mergeCell ref="G3:J3"/>
    <mergeCell ref="K3:L3"/>
  </mergeCells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92D050"/>
  </sheetPr>
  <dimension ref="A1:W15"/>
  <sheetViews>
    <sheetView workbookViewId="0">
      <pane ySplit="12" topLeftCell="A13" activePane="bottomLeft" state="frozen"/>
      <selection activeCell="T15" sqref="T15"/>
      <selection pane="bottomLeft" activeCell="T15" sqref="T15"/>
    </sheetView>
  </sheetViews>
  <sheetFormatPr defaultRowHeight="15" x14ac:dyDescent="0.25"/>
  <cols>
    <col min="1" max="1" width="10.7109375" style="1" customWidth="1"/>
    <col min="2" max="13" width="10.7109375" customWidth="1"/>
    <col min="14" max="14" width="5.7109375" customWidth="1"/>
    <col min="15" max="23" width="10.7109375" customWidth="1"/>
  </cols>
  <sheetData>
    <row r="1" spans="1:23" x14ac:dyDescent="0.25">
      <c r="A1" s="31" t="s">
        <v>43</v>
      </c>
    </row>
    <row r="3" spans="1:23" x14ac:dyDescent="0.25">
      <c r="A3" s="54" t="s">
        <v>29</v>
      </c>
      <c r="B3" s="57" t="s">
        <v>3</v>
      </c>
      <c r="C3" s="58"/>
      <c r="D3" s="59"/>
      <c r="E3" s="57" t="s">
        <v>1</v>
      </c>
      <c r="F3" s="59"/>
      <c r="G3" s="57" t="s">
        <v>32</v>
      </c>
      <c r="H3" s="58"/>
      <c r="I3" s="58"/>
      <c r="J3" s="59"/>
      <c r="K3" s="53" t="s">
        <v>26</v>
      </c>
      <c r="L3" s="53"/>
      <c r="M3" s="54" t="s">
        <v>4</v>
      </c>
      <c r="O3" s="62" t="s">
        <v>44</v>
      </c>
      <c r="P3" s="54" t="s">
        <v>11</v>
      </c>
      <c r="Q3" s="54" t="s">
        <v>1</v>
      </c>
      <c r="R3" s="54" t="s">
        <v>25</v>
      </c>
      <c r="S3" s="54" t="s">
        <v>9</v>
      </c>
      <c r="T3" s="54" t="s">
        <v>7</v>
      </c>
      <c r="U3" s="57" t="s">
        <v>26</v>
      </c>
      <c r="V3" s="59"/>
      <c r="W3" s="54" t="s">
        <v>4</v>
      </c>
    </row>
    <row r="4" spans="1:23" x14ac:dyDescent="0.25">
      <c r="A4" s="55"/>
      <c r="B4" s="3" t="s">
        <v>11</v>
      </c>
      <c r="C4" s="3" t="s">
        <v>33</v>
      </c>
      <c r="D4" s="3" t="s">
        <v>34</v>
      </c>
      <c r="E4" s="3" t="s">
        <v>35</v>
      </c>
      <c r="F4" s="3" t="s">
        <v>30</v>
      </c>
      <c r="G4" s="3" t="s">
        <v>0</v>
      </c>
      <c r="H4" s="3" t="s">
        <v>5</v>
      </c>
      <c r="I4" s="3" t="s">
        <v>9</v>
      </c>
      <c r="J4" s="3" t="s">
        <v>7</v>
      </c>
      <c r="K4" s="3" t="s">
        <v>21</v>
      </c>
      <c r="L4" s="3" t="s">
        <v>22</v>
      </c>
      <c r="M4" s="55"/>
      <c r="O4" s="63"/>
      <c r="P4" s="55"/>
      <c r="Q4" s="55"/>
      <c r="R4" s="55"/>
      <c r="S4" s="55"/>
      <c r="T4" s="55"/>
      <c r="U4" s="3" t="s">
        <v>21</v>
      </c>
      <c r="V4" s="13" t="s">
        <v>22</v>
      </c>
      <c r="W4" s="55"/>
    </row>
    <row r="5" spans="1:23" x14ac:dyDescent="0.25">
      <c r="A5" s="4" t="e">
        <f>#REF!</f>
        <v>#REF!</v>
      </c>
      <c r="B5" s="4" t="e">
        <f>#REF!</f>
        <v>#REF!</v>
      </c>
      <c r="C5" s="4" t="e">
        <f>#REF!</f>
        <v>#REF!</v>
      </c>
      <c r="D5" s="4" t="e">
        <f>B5</f>
        <v>#REF!</v>
      </c>
      <c r="E5" s="6" t="e">
        <f>#REF!</f>
        <v>#REF!</v>
      </c>
      <c r="F5" s="6" t="e">
        <f>E5</f>
        <v>#REF!</v>
      </c>
      <c r="G5" s="6">
        <v>140.27600000000001</v>
      </c>
      <c r="H5" s="4" t="e">
        <f t="shared" ref="H5:H9" si="0">F5*G5</f>
        <v>#REF!</v>
      </c>
      <c r="I5" s="4" t="e">
        <f>H5-D5</f>
        <v>#REF!</v>
      </c>
      <c r="J5" s="18" t="e">
        <f>(H5-D5)/D5</f>
        <v>#REF!</v>
      </c>
      <c r="K5" s="4" t="e">
        <f>#REF!</f>
        <v>#REF!</v>
      </c>
      <c r="L5" s="4" t="e">
        <f>#REF!</f>
        <v>#REF!</v>
      </c>
      <c r="M5" s="4" t="e">
        <f>#REF!</f>
        <v>#REF!</v>
      </c>
      <c r="O5" s="3" t="s">
        <v>2</v>
      </c>
      <c r="P5" s="4" t="e">
        <f>SUM(B5:B15)</f>
        <v>#REF!</v>
      </c>
      <c r="Q5" s="7" t="e">
        <f>SUM(E5:E15)</f>
        <v>#REF!</v>
      </c>
      <c r="R5" s="4">
        <v>31.26</v>
      </c>
      <c r="S5" s="4" t="e">
        <f>R5-P5</f>
        <v>#REF!</v>
      </c>
      <c r="T5" s="18" t="e">
        <f>(R5-P5)/P5</f>
        <v>#REF!</v>
      </c>
      <c r="U5" s="4" t="e">
        <f>SUM(K5:K15)</f>
        <v>#REF!</v>
      </c>
      <c r="V5" s="4" t="e">
        <f>SUM(L5:L15)</f>
        <v>#REF!</v>
      </c>
      <c r="W5" s="4" t="e">
        <f>SUM(M5:M15)</f>
        <v>#REF!</v>
      </c>
    </row>
    <row r="6" spans="1:23" x14ac:dyDescent="0.25">
      <c r="A6" s="4" t="e">
        <f>#REF!</f>
        <v>#REF!</v>
      </c>
      <c r="B6" s="4" t="e">
        <f>#REF!</f>
        <v>#REF!</v>
      </c>
      <c r="C6" s="4" t="e">
        <f>#REF!</f>
        <v>#REF!</v>
      </c>
      <c r="D6" s="4" t="e">
        <f t="shared" ref="D6:D14" si="1">D5+B6</f>
        <v>#REF!</v>
      </c>
      <c r="E6" s="6" t="e">
        <f>#REF!</f>
        <v>#REF!</v>
      </c>
      <c r="F6" s="6" t="e">
        <f t="shared" ref="F6:F9" si="2">F5+E6</f>
        <v>#REF!</v>
      </c>
      <c r="G6" s="6">
        <v>137.489</v>
      </c>
      <c r="H6" s="4" t="e">
        <f t="shared" si="0"/>
        <v>#REF!</v>
      </c>
      <c r="I6" s="4" t="e">
        <f t="shared" ref="I6:I14" si="3">H6-D6</f>
        <v>#REF!</v>
      </c>
      <c r="J6" s="18" t="e">
        <f t="shared" ref="J6:J14" si="4">(H6-D6)/D6</f>
        <v>#REF!</v>
      </c>
      <c r="K6" s="4" t="e">
        <f>#REF!</f>
        <v>#REF!</v>
      </c>
      <c r="L6" s="4" t="e">
        <f>#REF!</f>
        <v>#REF!</v>
      </c>
      <c r="M6" s="4" t="e">
        <f>#REF!</f>
        <v>#REF!</v>
      </c>
    </row>
    <row r="7" spans="1:23" x14ac:dyDescent="0.25">
      <c r="A7" s="4" t="e">
        <f>#REF!</f>
        <v>#REF!</v>
      </c>
      <c r="B7" s="4" t="e">
        <f>#REF!</f>
        <v>#REF!</v>
      </c>
      <c r="C7" s="4" t="e">
        <f>#REF!</f>
        <v>#REF!</v>
      </c>
      <c r="D7" s="4" t="e">
        <f t="shared" si="1"/>
        <v>#REF!</v>
      </c>
      <c r="E7" s="6" t="e">
        <f>#REF!</f>
        <v>#REF!</v>
      </c>
      <c r="F7" s="6" t="e">
        <f t="shared" si="2"/>
        <v>#REF!</v>
      </c>
      <c r="G7" s="6">
        <v>127.217</v>
      </c>
      <c r="H7" s="4" t="e">
        <f t="shared" si="0"/>
        <v>#REF!</v>
      </c>
      <c r="I7" s="4" t="e">
        <f t="shared" si="3"/>
        <v>#REF!</v>
      </c>
      <c r="J7" s="18" t="e">
        <f t="shared" si="4"/>
        <v>#REF!</v>
      </c>
      <c r="K7" s="4" t="e">
        <f>#REF!</f>
        <v>#REF!</v>
      </c>
      <c r="L7" s="4" t="e">
        <f>#REF!</f>
        <v>#REF!</v>
      </c>
      <c r="M7" s="4" t="e">
        <f>#REF!</f>
        <v>#REF!</v>
      </c>
    </row>
    <row r="8" spans="1:23" x14ac:dyDescent="0.25">
      <c r="A8" s="4" t="e">
        <f>#REF!</f>
        <v>#REF!</v>
      </c>
      <c r="B8" s="4" t="e">
        <f>#REF!</f>
        <v>#REF!</v>
      </c>
      <c r="C8" s="4" t="e">
        <f>#REF!</f>
        <v>#REF!</v>
      </c>
      <c r="D8" s="4" t="e">
        <f t="shared" si="1"/>
        <v>#REF!</v>
      </c>
      <c r="E8" s="6" t="e">
        <f>#REF!</f>
        <v>#REF!</v>
      </c>
      <c r="F8" s="6" t="e">
        <f t="shared" si="2"/>
        <v>#REF!</v>
      </c>
      <c r="G8" s="6">
        <v>121.389</v>
      </c>
      <c r="H8" s="4" t="e">
        <f t="shared" si="0"/>
        <v>#REF!</v>
      </c>
      <c r="I8" s="4" t="e">
        <f t="shared" si="3"/>
        <v>#REF!</v>
      </c>
      <c r="J8" s="18" t="e">
        <f t="shared" si="4"/>
        <v>#REF!</v>
      </c>
      <c r="K8" s="4" t="e">
        <f>#REF!</f>
        <v>#REF!</v>
      </c>
      <c r="L8" s="4" t="e">
        <f>#REF!</f>
        <v>#REF!</v>
      </c>
      <c r="M8" s="4" t="e">
        <f>#REF!</f>
        <v>#REF!</v>
      </c>
    </row>
    <row r="9" spans="1:23" x14ac:dyDescent="0.25">
      <c r="A9" s="4" t="e">
        <f>#REF!</f>
        <v>#REF!</v>
      </c>
      <c r="B9" s="4" t="e">
        <f>#REF!</f>
        <v>#REF!</v>
      </c>
      <c r="C9" s="4" t="e">
        <f>#REF!</f>
        <v>#REF!</v>
      </c>
      <c r="D9" s="4" t="e">
        <f t="shared" si="1"/>
        <v>#REF!</v>
      </c>
      <c r="E9" s="6" t="e">
        <f>#REF!</f>
        <v>#REF!</v>
      </c>
      <c r="F9" s="6" t="e">
        <f t="shared" si="2"/>
        <v>#REF!</v>
      </c>
      <c r="G9" s="6">
        <v>122.663</v>
      </c>
      <c r="H9" s="4" t="e">
        <f t="shared" si="0"/>
        <v>#REF!</v>
      </c>
      <c r="I9" s="4" t="e">
        <f t="shared" si="3"/>
        <v>#REF!</v>
      </c>
      <c r="J9" s="18" t="e">
        <f t="shared" si="4"/>
        <v>#REF!</v>
      </c>
      <c r="K9" s="4" t="e">
        <f>#REF!</f>
        <v>#REF!</v>
      </c>
      <c r="L9" s="4" t="e">
        <f>#REF!</f>
        <v>#REF!</v>
      </c>
      <c r="M9" s="4" t="e">
        <f>#REF!</f>
        <v>#REF!</v>
      </c>
    </row>
    <row r="10" spans="1:23" x14ac:dyDescent="0.25">
      <c r="A10" s="4" t="e">
        <f>#REF!</f>
        <v>#REF!</v>
      </c>
      <c r="B10" s="4" t="e">
        <f>#REF!</f>
        <v>#REF!</v>
      </c>
      <c r="C10" s="4" t="e">
        <f>#REF!</f>
        <v>#REF!</v>
      </c>
      <c r="D10" s="4" t="e">
        <f t="shared" si="1"/>
        <v>#REF!</v>
      </c>
      <c r="E10" s="6" t="e">
        <f>#REF!+#REF!</f>
        <v>#REF!</v>
      </c>
      <c r="F10" s="6" t="e">
        <f t="shared" ref="F10" si="5">F9+E10</f>
        <v>#REF!</v>
      </c>
      <c r="G10" s="6">
        <v>123.142</v>
      </c>
      <c r="H10" s="4" t="e">
        <f t="shared" ref="H10" si="6">F10*G10</f>
        <v>#REF!</v>
      </c>
      <c r="I10" s="4" t="e">
        <f t="shared" si="3"/>
        <v>#REF!</v>
      </c>
      <c r="J10" s="18" t="e">
        <f t="shared" si="4"/>
        <v>#REF!</v>
      </c>
      <c r="K10" s="4" t="e">
        <f>#REF!</f>
        <v>#REF!</v>
      </c>
      <c r="L10" s="4" t="e">
        <f>#REF!</f>
        <v>#REF!</v>
      </c>
      <c r="M10" s="4" t="e">
        <f>#REF!</f>
        <v>#REF!</v>
      </c>
    </row>
    <row r="11" spans="1:23" x14ac:dyDescent="0.25">
      <c r="A11" s="4" t="e">
        <f>#REF!</f>
        <v>#REF!</v>
      </c>
      <c r="B11" s="4" t="e">
        <f>#REF!</f>
        <v>#REF!</v>
      </c>
      <c r="C11" s="4" t="e">
        <f>#REF!</f>
        <v>#REF!</v>
      </c>
      <c r="D11" s="4" t="e">
        <f t="shared" si="1"/>
        <v>#REF!</v>
      </c>
      <c r="E11" s="6" t="e">
        <f>#REF!</f>
        <v>#REF!</v>
      </c>
      <c r="F11" s="6" t="e">
        <f t="shared" ref="F11" si="7">F10+E11</f>
        <v>#REF!</v>
      </c>
      <c r="G11" s="6">
        <v>128.97300000000001</v>
      </c>
      <c r="H11" s="4" t="e">
        <f t="shared" ref="H11" si="8">F11*G11</f>
        <v>#REF!</v>
      </c>
      <c r="I11" s="4" t="e">
        <f t="shared" si="3"/>
        <v>#REF!</v>
      </c>
      <c r="J11" s="18" t="e">
        <f t="shared" si="4"/>
        <v>#REF!</v>
      </c>
      <c r="K11" s="4" t="e">
        <f>#REF!</f>
        <v>#REF!</v>
      </c>
      <c r="L11" s="4" t="e">
        <f>#REF!</f>
        <v>#REF!</v>
      </c>
      <c r="M11" s="4" t="e">
        <f>#REF!</f>
        <v>#REF!</v>
      </c>
    </row>
    <row r="12" spans="1:23" x14ac:dyDescent="0.25">
      <c r="A12" s="4" t="e">
        <f>#REF!</f>
        <v>#REF!</v>
      </c>
      <c r="B12" s="4" t="e">
        <f>#REF!</f>
        <v>#REF!</v>
      </c>
      <c r="C12" s="4" t="e">
        <f>#REF!</f>
        <v>#REF!</v>
      </c>
      <c r="D12" s="4" t="e">
        <f t="shared" si="1"/>
        <v>#REF!</v>
      </c>
      <c r="E12" s="6" t="e">
        <f>#REF!</f>
        <v>#REF!</v>
      </c>
      <c r="F12" s="6" t="e">
        <f t="shared" ref="F12" si="9">F11+E12</f>
        <v>#REF!</v>
      </c>
      <c r="G12" s="6">
        <v>130.77500000000001</v>
      </c>
      <c r="H12" s="4" t="e">
        <f t="shared" ref="H12" si="10">F12*G12</f>
        <v>#REF!</v>
      </c>
      <c r="I12" s="4" t="e">
        <f t="shared" si="3"/>
        <v>#REF!</v>
      </c>
      <c r="J12" s="18" t="e">
        <f t="shared" si="4"/>
        <v>#REF!</v>
      </c>
      <c r="K12" s="4" t="e">
        <f>#REF!</f>
        <v>#REF!</v>
      </c>
      <c r="L12" s="4" t="e">
        <f>#REF!</f>
        <v>#REF!</v>
      </c>
      <c r="M12" s="4" t="e">
        <f>#REF!</f>
        <v>#REF!</v>
      </c>
    </row>
    <row r="13" spans="1:23" x14ac:dyDescent="0.25">
      <c r="A13" s="4" t="e">
        <f>#REF!</f>
        <v>#REF!</v>
      </c>
      <c r="B13" s="4" t="e">
        <f>#REF!</f>
        <v>#REF!</v>
      </c>
      <c r="C13" s="4" t="e">
        <f>#REF!</f>
        <v>#REF!</v>
      </c>
      <c r="D13" s="4" t="e">
        <f t="shared" si="1"/>
        <v>#REF!</v>
      </c>
      <c r="E13" s="6" t="e">
        <f>#REF!</f>
        <v>#REF!</v>
      </c>
      <c r="F13" s="6" t="e">
        <f t="shared" ref="F13" si="11">F12+E13</f>
        <v>#REF!</v>
      </c>
      <c r="G13" s="6">
        <v>132.90600000000001</v>
      </c>
      <c r="H13" s="4" t="e">
        <f t="shared" ref="H13" si="12">F13*G13</f>
        <v>#REF!</v>
      </c>
      <c r="I13" s="4" t="e">
        <f t="shared" si="3"/>
        <v>#REF!</v>
      </c>
      <c r="J13" s="18" t="e">
        <f t="shared" si="4"/>
        <v>#REF!</v>
      </c>
      <c r="K13" s="4" t="e">
        <f>#REF!</f>
        <v>#REF!</v>
      </c>
      <c r="L13" s="4" t="e">
        <f>#REF!</f>
        <v>#REF!</v>
      </c>
      <c r="M13" s="4" t="e">
        <f>#REF!</f>
        <v>#REF!</v>
      </c>
    </row>
    <row r="14" spans="1:23" x14ac:dyDescent="0.25">
      <c r="A14" s="4" t="e">
        <f>#REF!</f>
        <v>#REF!</v>
      </c>
      <c r="B14" s="4" t="e">
        <f>#REF!</f>
        <v>#REF!</v>
      </c>
      <c r="C14" s="4" t="e">
        <f>#REF!</f>
        <v>#REF!</v>
      </c>
      <c r="D14" s="4" t="e">
        <f t="shared" si="1"/>
        <v>#REF!</v>
      </c>
      <c r="E14" s="6" t="e">
        <f>#REF!</f>
        <v>#REF!</v>
      </c>
      <c r="F14" s="6" t="e">
        <f t="shared" ref="F14" si="13">F13+E14</f>
        <v>#REF!</v>
      </c>
      <c r="G14" s="6">
        <v>138.82499999999999</v>
      </c>
      <c r="H14" s="4" t="e">
        <f t="shared" ref="H14" si="14">F14*G14</f>
        <v>#REF!</v>
      </c>
      <c r="I14" s="4" t="e">
        <f t="shared" si="3"/>
        <v>#REF!</v>
      </c>
      <c r="J14" s="18" t="e">
        <f t="shared" si="4"/>
        <v>#REF!</v>
      </c>
      <c r="K14" s="4" t="e">
        <f>#REF!</f>
        <v>#REF!</v>
      </c>
      <c r="L14" s="4" t="e">
        <f>#REF!</f>
        <v>#REF!</v>
      </c>
      <c r="M14" s="4" t="e">
        <f>#REF!</f>
        <v>#REF!</v>
      </c>
    </row>
    <row r="15" spans="1:23" x14ac:dyDescent="0.25">
      <c r="A15" s="16" t="e">
        <f>#REF!</f>
        <v>#REF!</v>
      </c>
      <c r="B15" s="16" t="e">
        <f>#REF!</f>
        <v>#REF!</v>
      </c>
      <c r="C15" s="16" t="e">
        <f>#REF!</f>
        <v>#REF!</v>
      </c>
      <c r="D15" s="16" t="e">
        <f t="shared" ref="D15" si="15">D14+B15</f>
        <v>#REF!</v>
      </c>
      <c r="E15" s="17" t="e">
        <f>#REF!</f>
        <v>#REF!</v>
      </c>
      <c r="F15" s="17" t="e">
        <f t="shared" ref="F15" si="16">F14+E15</f>
        <v>#REF!</v>
      </c>
      <c r="G15" s="17">
        <v>136.499</v>
      </c>
      <c r="H15" s="16" t="e">
        <f t="shared" ref="H15" si="17">F15*G15</f>
        <v>#REF!</v>
      </c>
      <c r="I15" s="16" t="e">
        <f t="shared" ref="I15" si="18">H15-D15</f>
        <v>#REF!</v>
      </c>
      <c r="J15" s="34" t="e">
        <f t="shared" ref="J15" si="19">(H15-D15)/D15</f>
        <v>#REF!</v>
      </c>
      <c r="K15" s="16" t="e">
        <f>#REF!</f>
        <v>#REF!</v>
      </c>
      <c r="L15" s="16" t="e">
        <f>#REF!</f>
        <v>#REF!</v>
      </c>
      <c r="M15" s="16" t="e">
        <f>#REF!</f>
        <v>#REF!</v>
      </c>
    </row>
  </sheetData>
  <mergeCells count="14">
    <mergeCell ref="U3:V3"/>
    <mergeCell ref="W3:W4"/>
    <mergeCell ref="O3:O4"/>
    <mergeCell ref="P3:P4"/>
    <mergeCell ref="Q3:Q4"/>
    <mergeCell ref="R3:R4"/>
    <mergeCell ref="S3:S4"/>
    <mergeCell ref="T3:T4"/>
    <mergeCell ref="M3:M4"/>
    <mergeCell ref="A3:A4"/>
    <mergeCell ref="B3:D3"/>
    <mergeCell ref="E3:F3"/>
    <mergeCell ref="G3:J3"/>
    <mergeCell ref="K3:L3"/>
  </mergeCells>
  <pageMargins left="0.7" right="0.7" top="0.75" bottom="0.75" header="0.3" footer="0.3"/>
  <pageSetup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92D050"/>
  </sheetPr>
  <dimension ref="A1:W13"/>
  <sheetViews>
    <sheetView workbookViewId="0">
      <pane ySplit="12" topLeftCell="A13" activePane="bottomLeft" state="frozen"/>
      <selection activeCell="T15" sqref="T15"/>
      <selection pane="bottomLeft" activeCell="T15" sqref="T15"/>
    </sheetView>
  </sheetViews>
  <sheetFormatPr defaultRowHeight="15" x14ac:dyDescent="0.25"/>
  <cols>
    <col min="1" max="1" width="10.7109375" style="1" customWidth="1"/>
    <col min="2" max="13" width="10.7109375" customWidth="1"/>
    <col min="14" max="14" width="5.7109375" customWidth="1"/>
    <col min="15" max="23" width="10.7109375" customWidth="1"/>
  </cols>
  <sheetData>
    <row r="1" spans="1:23" x14ac:dyDescent="0.25">
      <c r="A1" s="31" t="s">
        <v>45</v>
      </c>
    </row>
    <row r="3" spans="1:23" x14ac:dyDescent="0.25">
      <c r="A3" s="54" t="s">
        <v>29</v>
      </c>
      <c r="B3" s="57" t="s">
        <v>3</v>
      </c>
      <c r="C3" s="58"/>
      <c r="D3" s="59"/>
      <c r="E3" s="57" t="s">
        <v>1</v>
      </c>
      <c r="F3" s="59"/>
      <c r="G3" s="57" t="s">
        <v>32</v>
      </c>
      <c r="H3" s="58"/>
      <c r="I3" s="58"/>
      <c r="J3" s="59"/>
      <c r="K3" s="53" t="s">
        <v>26</v>
      </c>
      <c r="L3" s="53"/>
      <c r="M3" s="54" t="s">
        <v>4</v>
      </c>
      <c r="O3" s="62" t="s">
        <v>46</v>
      </c>
      <c r="P3" s="54" t="s">
        <v>11</v>
      </c>
      <c r="Q3" s="54" t="s">
        <v>1</v>
      </c>
      <c r="R3" s="54" t="s">
        <v>25</v>
      </c>
      <c r="S3" s="54" t="s">
        <v>9</v>
      </c>
      <c r="T3" s="54" t="s">
        <v>7</v>
      </c>
      <c r="U3" s="57" t="s">
        <v>26</v>
      </c>
      <c r="V3" s="59"/>
      <c r="W3" s="54" t="s">
        <v>4</v>
      </c>
    </row>
    <row r="4" spans="1:23" x14ac:dyDescent="0.25">
      <c r="A4" s="55"/>
      <c r="B4" s="3" t="s">
        <v>11</v>
      </c>
      <c r="C4" s="3" t="s">
        <v>33</v>
      </c>
      <c r="D4" s="3" t="s">
        <v>34</v>
      </c>
      <c r="E4" s="3" t="s">
        <v>35</v>
      </c>
      <c r="F4" s="3" t="s">
        <v>30</v>
      </c>
      <c r="G4" s="3" t="s">
        <v>0</v>
      </c>
      <c r="H4" s="3" t="s">
        <v>5</v>
      </c>
      <c r="I4" s="3" t="s">
        <v>9</v>
      </c>
      <c r="J4" s="3" t="s">
        <v>7</v>
      </c>
      <c r="K4" s="3" t="s">
        <v>21</v>
      </c>
      <c r="L4" s="3" t="s">
        <v>22</v>
      </c>
      <c r="M4" s="55"/>
      <c r="O4" s="63"/>
      <c r="P4" s="55"/>
      <c r="Q4" s="55"/>
      <c r="R4" s="55"/>
      <c r="S4" s="55"/>
      <c r="T4" s="55"/>
      <c r="U4" s="3" t="s">
        <v>21</v>
      </c>
      <c r="V4" s="13" t="s">
        <v>22</v>
      </c>
      <c r="W4" s="55"/>
    </row>
    <row r="5" spans="1:23" x14ac:dyDescent="0.25">
      <c r="A5" s="4" t="e">
        <f>#REF!</f>
        <v>#REF!</v>
      </c>
      <c r="B5" s="4" t="e">
        <f>#REF!</f>
        <v>#REF!</v>
      </c>
      <c r="C5" s="4" t="e">
        <f>#REF!</f>
        <v>#REF!</v>
      </c>
      <c r="D5" s="4" t="e">
        <f>B5</f>
        <v>#REF!</v>
      </c>
      <c r="E5" s="6" t="e">
        <f>#REF!</f>
        <v>#REF!</v>
      </c>
      <c r="F5" s="6" t="e">
        <f>E5</f>
        <v>#REF!</v>
      </c>
      <c r="G5" s="6">
        <v>125.816</v>
      </c>
      <c r="H5" s="4" t="e">
        <f t="shared" ref="H5:H7" si="0">F5*G5</f>
        <v>#REF!</v>
      </c>
      <c r="I5" s="4" t="e">
        <f>H5-D5</f>
        <v>#REF!</v>
      </c>
      <c r="J5" s="18" t="e">
        <f>(H5-D5)/D5</f>
        <v>#REF!</v>
      </c>
      <c r="K5" s="4" t="e">
        <f>#REF!</f>
        <v>#REF!</v>
      </c>
      <c r="L5" s="4" t="e">
        <f>#REF!</f>
        <v>#REF!</v>
      </c>
      <c r="M5" s="4" t="e">
        <f>#REF!</f>
        <v>#REF!</v>
      </c>
      <c r="O5" s="3" t="s">
        <v>2</v>
      </c>
      <c r="P5" s="4" t="e">
        <f>SUM(B5:B13)</f>
        <v>#REF!</v>
      </c>
      <c r="Q5" s="7" t="e">
        <f>SUM(E5:E13)</f>
        <v>#REF!</v>
      </c>
      <c r="R5" s="4">
        <v>53.24</v>
      </c>
      <c r="S5" s="4" t="e">
        <f>R5-P5</f>
        <v>#REF!</v>
      </c>
      <c r="T5" s="18" t="e">
        <f>(R5-P5)/P5</f>
        <v>#REF!</v>
      </c>
      <c r="U5" s="4" t="e">
        <f>SUM(K5:K13)</f>
        <v>#REF!</v>
      </c>
      <c r="V5" s="4" t="e">
        <f>SUM(L5:L13)</f>
        <v>#REF!</v>
      </c>
      <c r="W5" s="4" t="e">
        <f>SUM(M5:M13)</f>
        <v>#REF!</v>
      </c>
    </row>
    <row r="6" spans="1:23" x14ac:dyDescent="0.25">
      <c r="A6" s="4" t="e">
        <f>#REF!</f>
        <v>#REF!</v>
      </c>
      <c r="B6" s="4" t="e">
        <f>#REF!</f>
        <v>#REF!</v>
      </c>
      <c r="C6" s="4" t="e">
        <f>#REF!</f>
        <v>#REF!</v>
      </c>
      <c r="D6" s="4" t="e">
        <f t="shared" ref="D6:D13" si="1">D5+B6</f>
        <v>#REF!</v>
      </c>
      <c r="E6" s="6" t="e">
        <f>#REF!</f>
        <v>#REF!</v>
      </c>
      <c r="F6" s="6" t="e">
        <f t="shared" ref="F6:F7" si="2">F5+E6</f>
        <v>#REF!</v>
      </c>
      <c r="G6" s="6">
        <v>122.913</v>
      </c>
      <c r="H6" s="4" t="e">
        <f t="shared" si="0"/>
        <v>#REF!</v>
      </c>
      <c r="I6" s="4" t="e">
        <f t="shared" ref="I6:I12" si="3">H6-D6</f>
        <v>#REF!</v>
      </c>
      <c r="J6" s="18" t="e">
        <f t="shared" ref="J6:J12" si="4">(H6-D6)/D6</f>
        <v>#REF!</v>
      </c>
      <c r="K6" s="4" t="e">
        <f>#REF!</f>
        <v>#REF!</v>
      </c>
      <c r="L6" s="4" t="e">
        <f>#REF!</f>
        <v>#REF!</v>
      </c>
      <c r="M6" s="4" t="e">
        <f>#REF!</f>
        <v>#REF!</v>
      </c>
    </row>
    <row r="7" spans="1:23" x14ac:dyDescent="0.25">
      <c r="A7" s="4" t="e">
        <f>#REF!</f>
        <v>#REF!</v>
      </c>
      <c r="B7" s="4" t="e">
        <f>#REF!</f>
        <v>#REF!</v>
      </c>
      <c r="C7" s="4" t="e">
        <f>#REF!</f>
        <v>#REF!</v>
      </c>
      <c r="D7" s="4" t="e">
        <f t="shared" si="1"/>
        <v>#REF!</v>
      </c>
      <c r="E7" s="6" t="e">
        <f>#REF!</f>
        <v>#REF!</v>
      </c>
      <c r="F7" s="6" t="e">
        <f t="shared" si="2"/>
        <v>#REF!</v>
      </c>
      <c r="G7" s="6">
        <v>129.37200000000001</v>
      </c>
      <c r="H7" s="4" t="e">
        <f t="shared" si="0"/>
        <v>#REF!</v>
      </c>
      <c r="I7" s="4" t="e">
        <f t="shared" si="3"/>
        <v>#REF!</v>
      </c>
      <c r="J7" s="18" t="e">
        <f t="shared" si="4"/>
        <v>#REF!</v>
      </c>
      <c r="K7" s="4" t="e">
        <f>#REF!</f>
        <v>#REF!</v>
      </c>
      <c r="L7" s="4" t="e">
        <f>#REF!</f>
        <v>#REF!</v>
      </c>
      <c r="M7" s="4" t="e">
        <f>#REF!</f>
        <v>#REF!</v>
      </c>
    </row>
    <row r="8" spans="1:23" x14ac:dyDescent="0.25">
      <c r="A8" s="4" t="e">
        <f>#REF!</f>
        <v>#REF!</v>
      </c>
      <c r="B8" s="4" t="e">
        <f>#REF!</f>
        <v>#REF!</v>
      </c>
      <c r="C8" s="4" t="e">
        <f>#REF!</f>
        <v>#REF!</v>
      </c>
      <c r="D8" s="4" t="e">
        <f t="shared" si="1"/>
        <v>#REF!</v>
      </c>
      <c r="E8" s="6" t="e">
        <f>#REF!</f>
        <v>#REF!</v>
      </c>
      <c r="F8" s="6" t="e">
        <f t="shared" ref="F8" si="5">F7+E8</f>
        <v>#REF!</v>
      </c>
      <c r="G8" s="6">
        <v>126.086</v>
      </c>
      <c r="H8" s="4" t="e">
        <f t="shared" ref="H8" si="6">F8*G8</f>
        <v>#REF!</v>
      </c>
      <c r="I8" s="4" t="e">
        <f t="shared" si="3"/>
        <v>#REF!</v>
      </c>
      <c r="J8" s="18" t="e">
        <f t="shared" si="4"/>
        <v>#REF!</v>
      </c>
      <c r="K8" s="4" t="e">
        <f>#REF!</f>
        <v>#REF!</v>
      </c>
      <c r="L8" s="4" t="e">
        <f>#REF!</f>
        <v>#REF!</v>
      </c>
      <c r="M8" s="4" t="e">
        <f>#REF!</f>
        <v>#REF!</v>
      </c>
    </row>
    <row r="9" spans="1:23" x14ac:dyDescent="0.25">
      <c r="A9" s="4" t="e">
        <f>#REF!</f>
        <v>#REF!</v>
      </c>
      <c r="B9" s="4" t="e">
        <f>#REF!</f>
        <v>#REF!</v>
      </c>
      <c r="C9" s="4" t="e">
        <f>#REF!</f>
        <v>#REF!</v>
      </c>
      <c r="D9" s="4" t="e">
        <f t="shared" si="1"/>
        <v>#REF!</v>
      </c>
      <c r="E9" s="6" t="e">
        <f>#REF!</f>
        <v>#REF!</v>
      </c>
      <c r="F9" s="6" t="e">
        <f t="shared" ref="F9" si="7">F8+E9</f>
        <v>#REF!</v>
      </c>
      <c r="G9" s="6">
        <v>128.82400000000001</v>
      </c>
      <c r="H9" s="4" t="e">
        <f t="shared" ref="H9" si="8">F9*G9</f>
        <v>#REF!</v>
      </c>
      <c r="I9" s="4" t="e">
        <f t="shared" si="3"/>
        <v>#REF!</v>
      </c>
      <c r="J9" s="18" t="e">
        <f t="shared" si="4"/>
        <v>#REF!</v>
      </c>
      <c r="K9" s="4" t="e">
        <f>#REF!</f>
        <v>#REF!</v>
      </c>
      <c r="L9" s="4" t="e">
        <f>#REF!</f>
        <v>#REF!</v>
      </c>
      <c r="M9" s="4" t="e">
        <f>#REF!</f>
        <v>#REF!</v>
      </c>
    </row>
    <row r="10" spans="1:23" x14ac:dyDescent="0.25">
      <c r="A10" s="4" t="e">
        <f>#REF!</f>
        <v>#REF!</v>
      </c>
      <c r="B10" s="4" t="e">
        <f>#REF!</f>
        <v>#REF!</v>
      </c>
      <c r="C10" s="4" t="e">
        <f>#REF!</f>
        <v>#REF!</v>
      </c>
      <c r="D10" s="4" t="e">
        <f t="shared" si="1"/>
        <v>#REF!</v>
      </c>
      <c r="E10" s="6" t="e">
        <f>#REF!</f>
        <v>#REF!</v>
      </c>
      <c r="F10" s="6" t="e">
        <f t="shared" ref="F10" si="9">F9+E10</f>
        <v>#REF!</v>
      </c>
      <c r="G10" s="6">
        <v>130.19399999999999</v>
      </c>
      <c r="H10" s="4" t="e">
        <f t="shared" ref="H10" si="10">F10*G10</f>
        <v>#REF!</v>
      </c>
      <c r="I10" s="4" t="e">
        <f t="shared" si="3"/>
        <v>#REF!</v>
      </c>
      <c r="J10" s="18" t="e">
        <f t="shared" si="4"/>
        <v>#REF!</v>
      </c>
      <c r="K10" s="4" t="e">
        <f>#REF!</f>
        <v>#REF!</v>
      </c>
      <c r="L10" s="4" t="e">
        <f>#REF!</f>
        <v>#REF!</v>
      </c>
      <c r="M10" s="4" t="e">
        <f>#REF!</f>
        <v>#REF!</v>
      </c>
    </row>
    <row r="11" spans="1:23" x14ac:dyDescent="0.25">
      <c r="A11" s="4" t="e">
        <f>#REF!</f>
        <v>#REF!</v>
      </c>
      <c r="B11" s="4" t="e">
        <f>#REF!</f>
        <v>#REF!</v>
      </c>
      <c r="C11" s="4" t="e">
        <f>#REF!</f>
        <v>#REF!</v>
      </c>
      <c r="D11" s="4" t="e">
        <f t="shared" si="1"/>
        <v>#REF!</v>
      </c>
      <c r="E11" s="6" t="e">
        <f>#REF!</f>
        <v>#REF!</v>
      </c>
      <c r="F11" s="6" t="e">
        <f t="shared" ref="F11" si="11">F10+E11</f>
        <v>#REF!</v>
      </c>
      <c r="G11" s="6">
        <v>129.69999999999999</v>
      </c>
      <c r="H11" s="4" t="e">
        <f t="shared" ref="H11" si="12">F11*G11</f>
        <v>#REF!</v>
      </c>
      <c r="I11" s="4" t="e">
        <f t="shared" si="3"/>
        <v>#REF!</v>
      </c>
      <c r="J11" s="18" t="e">
        <f t="shared" si="4"/>
        <v>#REF!</v>
      </c>
      <c r="K11" s="4" t="e">
        <f>#REF!</f>
        <v>#REF!</v>
      </c>
      <c r="L11" s="4" t="e">
        <f>#REF!</f>
        <v>#REF!</v>
      </c>
      <c r="M11" s="4" t="e">
        <f>#REF!</f>
        <v>#REF!</v>
      </c>
    </row>
    <row r="12" spans="1:23" x14ac:dyDescent="0.25">
      <c r="A12" s="4" t="e">
        <f>#REF!</f>
        <v>#REF!</v>
      </c>
      <c r="B12" s="4" t="e">
        <f>#REF!</f>
        <v>#REF!</v>
      </c>
      <c r="C12" s="4" t="e">
        <f>#REF!</f>
        <v>#REF!</v>
      </c>
      <c r="D12" s="4" t="e">
        <f t="shared" si="1"/>
        <v>#REF!</v>
      </c>
      <c r="E12" s="6" t="e">
        <f>#REF!</f>
        <v>#REF!</v>
      </c>
      <c r="F12" s="6" t="e">
        <f t="shared" ref="F12" si="13">F11+E12</f>
        <v>#REF!</v>
      </c>
      <c r="G12" s="6">
        <v>134.83000000000001</v>
      </c>
      <c r="H12" s="4" t="e">
        <f t="shared" ref="H12" si="14">F12*G12</f>
        <v>#REF!</v>
      </c>
      <c r="I12" s="4" t="e">
        <f t="shared" si="3"/>
        <v>#REF!</v>
      </c>
      <c r="J12" s="18" t="e">
        <f t="shared" si="4"/>
        <v>#REF!</v>
      </c>
      <c r="K12" s="4" t="e">
        <f>#REF!</f>
        <v>#REF!</v>
      </c>
      <c r="L12" s="4" t="e">
        <f>#REF!</f>
        <v>#REF!</v>
      </c>
      <c r="M12" s="4" t="e">
        <f>#REF!</f>
        <v>#REF!</v>
      </c>
    </row>
    <row r="13" spans="1:23" x14ac:dyDescent="0.25">
      <c r="A13" s="16" t="e">
        <f>#REF!</f>
        <v>#REF!</v>
      </c>
      <c r="B13" s="16" t="e">
        <f>#REF!</f>
        <v>#REF!</v>
      </c>
      <c r="C13" s="16" t="e">
        <f>#REF!</f>
        <v>#REF!</v>
      </c>
      <c r="D13" s="16" t="e">
        <f t="shared" si="1"/>
        <v>#REF!</v>
      </c>
      <c r="E13" s="17" t="e">
        <f>#REF!</f>
        <v>#REF!</v>
      </c>
      <c r="F13" s="17" t="e">
        <f t="shared" ref="F13" si="15">F12+E13</f>
        <v>#REF!</v>
      </c>
      <c r="G13" s="17">
        <v>136.16999999999999</v>
      </c>
      <c r="H13" s="16" t="e">
        <f t="shared" ref="H13" si="16">F13*G13</f>
        <v>#REF!</v>
      </c>
      <c r="I13" s="16" t="e">
        <f t="shared" ref="I13" si="17">H13-D13</f>
        <v>#REF!</v>
      </c>
      <c r="J13" s="34" t="e">
        <f t="shared" ref="J13" si="18">(H13-D13)/D13</f>
        <v>#REF!</v>
      </c>
      <c r="K13" s="16" t="e">
        <f>#REF!</f>
        <v>#REF!</v>
      </c>
      <c r="L13" s="16" t="e">
        <f>#REF!</f>
        <v>#REF!</v>
      </c>
      <c r="M13" s="16" t="e">
        <f>#REF!</f>
        <v>#REF!</v>
      </c>
    </row>
  </sheetData>
  <mergeCells count="14">
    <mergeCell ref="M3:M4"/>
    <mergeCell ref="A3:A4"/>
    <mergeCell ref="B3:D3"/>
    <mergeCell ref="E3:F3"/>
    <mergeCell ref="G3:J3"/>
    <mergeCell ref="K3:L3"/>
    <mergeCell ref="U3:V3"/>
    <mergeCell ref="W3:W4"/>
    <mergeCell ref="O3:O4"/>
    <mergeCell ref="P3:P4"/>
    <mergeCell ref="Q3:Q4"/>
    <mergeCell ref="R3:R4"/>
    <mergeCell ref="S3:S4"/>
    <mergeCell ref="T3:T4"/>
  </mergeCells>
  <pageMargins left="0.7" right="0.7" top="0.75" bottom="0.75" header="0.3" footer="0.3"/>
  <pageSetup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92D050"/>
  </sheetPr>
  <dimension ref="A1:W12"/>
  <sheetViews>
    <sheetView workbookViewId="0">
      <pane ySplit="12" topLeftCell="A13" activePane="bottomLeft" state="frozen"/>
      <selection activeCell="T15" sqref="T15"/>
      <selection pane="bottomLeft" activeCell="T15" sqref="T15"/>
    </sheetView>
  </sheetViews>
  <sheetFormatPr defaultRowHeight="15" x14ac:dyDescent="0.25"/>
  <cols>
    <col min="1" max="1" width="10.7109375" style="1" customWidth="1"/>
    <col min="2" max="13" width="10.7109375" customWidth="1"/>
    <col min="14" max="14" width="5.7109375" customWidth="1"/>
    <col min="15" max="23" width="10.7109375" customWidth="1"/>
  </cols>
  <sheetData>
    <row r="1" spans="1:23" x14ac:dyDescent="0.25">
      <c r="A1" s="31" t="s">
        <v>47</v>
      </c>
    </row>
    <row r="3" spans="1:23" x14ac:dyDescent="0.25">
      <c r="A3" s="54" t="s">
        <v>29</v>
      </c>
      <c r="B3" s="57" t="s">
        <v>3</v>
      </c>
      <c r="C3" s="58"/>
      <c r="D3" s="59"/>
      <c r="E3" s="57" t="s">
        <v>1</v>
      </c>
      <c r="F3" s="59"/>
      <c r="G3" s="57" t="s">
        <v>32</v>
      </c>
      <c r="H3" s="58"/>
      <c r="I3" s="58"/>
      <c r="J3" s="59"/>
      <c r="K3" s="53" t="s">
        <v>26</v>
      </c>
      <c r="L3" s="53"/>
      <c r="M3" s="54" t="s">
        <v>4</v>
      </c>
      <c r="O3" s="62" t="s">
        <v>46</v>
      </c>
      <c r="P3" s="54" t="s">
        <v>11</v>
      </c>
      <c r="Q3" s="54" t="s">
        <v>1</v>
      </c>
      <c r="R3" s="54" t="s">
        <v>25</v>
      </c>
      <c r="S3" s="54" t="s">
        <v>9</v>
      </c>
      <c r="T3" s="54" t="s">
        <v>7</v>
      </c>
      <c r="U3" s="57" t="s">
        <v>26</v>
      </c>
      <c r="V3" s="59"/>
      <c r="W3" s="54" t="s">
        <v>4</v>
      </c>
    </row>
    <row r="4" spans="1:23" x14ac:dyDescent="0.25">
      <c r="A4" s="55"/>
      <c r="B4" s="3" t="s">
        <v>11</v>
      </c>
      <c r="C4" s="3" t="s">
        <v>33</v>
      </c>
      <c r="D4" s="3" t="s">
        <v>34</v>
      </c>
      <c r="E4" s="3" t="s">
        <v>35</v>
      </c>
      <c r="F4" s="3" t="s">
        <v>30</v>
      </c>
      <c r="G4" s="3" t="s">
        <v>0</v>
      </c>
      <c r="H4" s="3" t="s">
        <v>5</v>
      </c>
      <c r="I4" s="3" t="s">
        <v>9</v>
      </c>
      <c r="J4" s="3" t="s">
        <v>7</v>
      </c>
      <c r="K4" s="3" t="s">
        <v>21</v>
      </c>
      <c r="L4" s="3" t="s">
        <v>22</v>
      </c>
      <c r="M4" s="55"/>
      <c r="O4" s="63"/>
      <c r="P4" s="55"/>
      <c r="Q4" s="55"/>
      <c r="R4" s="55"/>
      <c r="S4" s="55"/>
      <c r="T4" s="55"/>
      <c r="U4" s="3" t="s">
        <v>21</v>
      </c>
      <c r="V4" s="13" t="s">
        <v>22</v>
      </c>
      <c r="W4" s="55"/>
    </row>
    <row r="5" spans="1:23" x14ac:dyDescent="0.25">
      <c r="A5" s="4" t="e">
        <f>#REF!</f>
        <v>#REF!</v>
      </c>
      <c r="B5" s="4" t="e">
        <f>#REF!</f>
        <v>#REF!</v>
      </c>
      <c r="C5" s="4" t="e">
        <f>#REF!</f>
        <v>#REF!</v>
      </c>
      <c r="D5" s="4" t="e">
        <f>B5</f>
        <v>#REF!</v>
      </c>
      <c r="E5" s="6" t="e">
        <f>#REF!</f>
        <v>#REF!</v>
      </c>
      <c r="F5" s="6" t="e">
        <f>E5</f>
        <v>#REF!</v>
      </c>
      <c r="G5" s="6">
        <v>120.238</v>
      </c>
      <c r="H5" s="4" t="e">
        <f t="shared" ref="H5:H6" si="0">F5*G5</f>
        <v>#REF!</v>
      </c>
      <c r="I5" s="4" t="e">
        <f>H5-D5</f>
        <v>#REF!</v>
      </c>
      <c r="J5" s="18" t="e">
        <f>(H5-D5)/D5</f>
        <v>#REF!</v>
      </c>
      <c r="K5" s="4" t="e">
        <f>#REF!</f>
        <v>#REF!</v>
      </c>
      <c r="L5" s="4" t="e">
        <f>#REF!</f>
        <v>#REF!</v>
      </c>
      <c r="M5" s="4" t="e">
        <f>#REF!</f>
        <v>#REF!</v>
      </c>
      <c r="O5" s="3" t="s">
        <v>2</v>
      </c>
      <c r="P5" s="4" t="e">
        <f>SUM(B5:B12)</f>
        <v>#REF!</v>
      </c>
      <c r="Q5" s="7" t="e">
        <f>SUM(E5:E12)</f>
        <v>#REF!</v>
      </c>
      <c r="R5" s="4">
        <v>24.86</v>
      </c>
      <c r="S5" s="4" t="e">
        <f>R5-P5</f>
        <v>#REF!</v>
      </c>
      <c r="T5" s="18" t="e">
        <f>(R5-P5)/P5</f>
        <v>#REF!</v>
      </c>
      <c r="U5" s="4" t="e">
        <f>SUM(K5:K12)</f>
        <v>#REF!</v>
      </c>
      <c r="V5" s="4" t="e">
        <f>SUM(L5:L12)</f>
        <v>#REF!</v>
      </c>
      <c r="W5" s="4" t="e">
        <f>SUM(M5:M12)</f>
        <v>#REF!</v>
      </c>
    </row>
    <row r="6" spans="1:23" x14ac:dyDescent="0.25">
      <c r="A6" s="4" t="e">
        <f>#REF!</f>
        <v>#REF!</v>
      </c>
      <c r="B6" s="4" t="e">
        <f>#REF!</f>
        <v>#REF!</v>
      </c>
      <c r="C6" s="4" t="e">
        <f>#REF!</f>
        <v>#REF!</v>
      </c>
      <c r="D6" s="4" t="e">
        <f t="shared" ref="D6:D12" si="1">D5+B6</f>
        <v>#REF!</v>
      </c>
      <c r="E6" s="6" t="e">
        <f>#REF!</f>
        <v>#REF!</v>
      </c>
      <c r="F6" s="6" t="e">
        <f t="shared" ref="F6" si="2">F5+E6</f>
        <v>#REF!</v>
      </c>
      <c r="G6" s="6">
        <v>125.99299999999999</v>
      </c>
      <c r="H6" s="4" t="e">
        <f t="shared" si="0"/>
        <v>#REF!</v>
      </c>
      <c r="I6" s="4" t="e">
        <f t="shared" ref="I6:I11" si="3">H6-D6</f>
        <v>#REF!</v>
      </c>
      <c r="J6" s="18" t="e">
        <f t="shared" ref="J6:J11" si="4">(H6-D6)/D6</f>
        <v>#REF!</v>
      </c>
      <c r="K6" s="4" t="e">
        <f>#REF!</f>
        <v>#REF!</v>
      </c>
      <c r="L6" s="4" t="e">
        <f>#REF!</f>
        <v>#REF!</v>
      </c>
      <c r="M6" s="4" t="e">
        <f>#REF!</f>
        <v>#REF!</v>
      </c>
    </row>
    <row r="7" spans="1:23" x14ac:dyDescent="0.25">
      <c r="A7" s="4" t="e">
        <f>#REF!</f>
        <v>#REF!</v>
      </c>
      <c r="B7" s="4" t="e">
        <f>#REF!</f>
        <v>#REF!</v>
      </c>
      <c r="C7" s="4" t="e">
        <f>#REF!</f>
        <v>#REF!</v>
      </c>
      <c r="D7" s="4" t="e">
        <f t="shared" si="1"/>
        <v>#REF!</v>
      </c>
      <c r="E7" s="6" t="e">
        <f>#REF!+#REF!</f>
        <v>#REF!</v>
      </c>
      <c r="F7" s="6" t="e">
        <f t="shared" ref="F7" si="5">F6+E7</f>
        <v>#REF!</v>
      </c>
      <c r="G7" s="6">
        <v>127.18899999999999</v>
      </c>
      <c r="H7" s="4" t="e">
        <f t="shared" ref="H7" si="6">F7*G7</f>
        <v>#REF!</v>
      </c>
      <c r="I7" s="4" t="e">
        <f t="shared" si="3"/>
        <v>#REF!</v>
      </c>
      <c r="J7" s="18" t="e">
        <f t="shared" si="4"/>
        <v>#REF!</v>
      </c>
      <c r="K7" s="4" t="e">
        <f>#REF!</f>
        <v>#REF!</v>
      </c>
      <c r="L7" s="4" t="e">
        <f>#REF!</f>
        <v>#REF!</v>
      </c>
      <c r="M7" s="4" t="e">
        <f>#REF!</f>
        <v>#REF!</v>
      </c>
    </row>
    <row r="8" spans="1:23" x14ac:dyDescent="0.25">
      <c r="A8" s="4" t="e">
        <f>#REF!</f>
        <v>#REF!</v>
      </c>
      <c r="B8" s="4" t="e">
        <f>#REF!</f>
        <v>#REF!</v>
      </c>
      <c r="C8" s="4" t="e">
        <f>#REF!</f>
        <v>#REF!</v>
      </c>
      <c r="D8" s="4" t="e">
        <f t="shared" si="1"/>
        <v>#REF!</v>
      </c>
      <c r="E8" s="6" t="e">
        <f>#REF!</f>
        <v>#REF!</v>
      </c>
      <c r="F8" s="6" t="e">
        <f t="shared" ref="F8" si="7">F7+E8</f>
        <v>#REF!</v>
      </c>
      <c r="G8" s="6">
        <v>134.321</v>
      </c>
      <c r="H8" s="4" t="e">
        <f t="shared" ref="H8" si="8">F8*G8</f>
        <v>#REF!</v>
      </c>
      <c r="I8" s="4" t="e">
        <f t="shared" si="3"/>
        <v>#REF!</v>
      </c>
      <c r="J8" s="18" t="e">
        <f t="shared" si="4"/>
        <v>#REF!</v>
      </c>
      <c r="K8" s="4" t="e">
        <f>#REF!</f>
        <v>#REF!</v>
      </c>
      <c r="L8" s="4" t="e">
        <f>#REF!</f>
        <v>#REF!</v>
      </c>
      <c r="M8" s="4" t="e">
        <f>#REF!</f>
        <v>#REF!</v>
      </c>
    </row>
    <row r="9" spans="1:23" x14ac:dyDescent="0.25">
      <c r="A9" s="4" t="e">
        <f>#REF!</f>
        <v>#REF!</v>
      </c>
      <c r="B9" s="4" t="e">
        <f>#REF!</f>
        <v>#REF!</v>
      </c>
      <c r="C9" s="4" t="e">
        <f>#REF!</f>
        <v>#REF!</v>
      </c>
      <c r="D9" s="4" t="e">
        <f t="shared" si="1"/>
        <v>#REF!</v>
      </c>
      <c r="E9" s="6" t="e">
        <f>#REF!</f>
        <v>#REF!</v>
      </c>
      <c r="F9" s="6" t="e">
        <f t="shared" ref="F9" si="9">F8+E9</f>
        <v>#REF!</v>
      </c>
      <c r="G9" s="6">
        <v>135.98500000000001</v>
      </c>
      <c r="H9" s="4" t="e">
        <f t="shared" ref="H9" si="10">F9*G9</f>
        <v>#REF!</v>
      </c>
      <c r="I9" s="4" t="e">
        <f t="shared" si="3"/>
        <v>#REF!</v>
      </c>
      <c r="J9" s="18" t="e">
        <f t="shared" si="4"/>
        <v>#REF!</v>
      </c>
      <c r="K9" s="4" t="e">
        <f>#REF!</f>
        <v>#REF!</v>
      </c>
      <c r="L9" s="4" t="e">
        <f>#REF!</f>
        <v>#REF!</v>
      </c>
      <c r="M9" s="4" t="e">
        <f>#REF!</f>
        <v>#REF!</v>
      </c>
    </row>
    <row r="10" spans="1:23" x14ac:dyDescent="0.25">
      <c r="A10" s="4" t="e">
        <f>#REF!</f>
        <v>#REF!</v>
      </c>
      <c r="B10" s="4" t="e">
        <f>#REF!</f>
        <v>#REF!</v>
      </c>
      <c r="C10" s="4" t="e">
        <f>#REF!</f>
        <v>#REF!</v>
      </c>
      <c r="D10" s="4" t="e">
        <f t="shared" si="1"/>
        <v>#REF!</v>
      </c>
      <c r="E10" s="6" t="e">
        <f>#REF!</f>
        <v>#REF!</v>
      </c>
      <c r="F10" s="6" t="e">
        <f t="shared" ref="F10" si="11">F9+E10</f>
        <v>#REF!</v>
      </c>
      <c r="G10" s="6">
        <v>138.511</v>
      </c>
      <c r="H10" s="4" t="e">
        <f t="shared" ref="H10" si="12">F10*G10</f>
        <v>#REF!</v>
      </c>
      <c r="I10" s="4" t="e">
        <f t="shared" si="3"/>
        <v>#REF!</v>
      </c>
      <c r="J10" s="18" t="e">
        <f t="shared" si="4"/>
        <v>#REF!</v>
      </c>
      <c r="K10" s="4" t="e">
        <f>#REF!</f>
        <v>#REF!</v>
      </c>
      <c r="L10" s="4" t="e">
        <f>#REF!</f>
        <v>#REF!</v>
      </c>
      <c r="M10" s="4" t="e">
        <f>#REF!</f>
        <v>#REF!</v>
      </c>
    </row>
    <row r="11" spans="1:23" x14ac:dyDescent="0.25">
      <c r="A11" s="4" t="e">
        <f>#REF!</f>
        <v>#REF!</v>
      </c>
      <c r="B11" s="4" t="e">
        <f>#REF!</f>
        <v>#REF!</v>
      </c>
      <c r="C11" s="4" t="e">
        <f>#REF!</f>
        <v>#REF!</v>
      </c>
      <c r="D11" s="4" t="e">
        <f t="shared" si="1"/>
        <v>#REF!</v>
      </c>
      <c r="E11" s="6" t="e">
        <f>#REF!</f>
        <v>#REF!</v>
      </c>
      <c r="F11" s="6" t="e">
        <f t="shared" ref="F11" si="13">F10+E11</f>
        <v>#REF!</v>
      </c>
      <c r="G11" s="6">
        <v>144.61199999999999</v>
      </c>
      <c r="H11" s="4" t="e">
        <f t="shared" ref="H11" si="14">F11*G11</f>
        <v>#REF!</v>
      </c>
      <c r="I11" s="4" t="e">
        <f t="shared" si="3"/>
        <v>#REF!</v>
      </c>
      <c r="J11" s="18" t="e">
        <f t="shared" si="4"/>
        <v>#REF!</v>
      </c>
      <c r="K11" s="4" t="e">
        <f>#REF!</f>
        <v>#REF!</v>
      </c>
      <c r="L11" s="4" t="e">
        <f>#REF!</f>
        <v>#REF!</v>
      </c>
      <c r="M11" s="4" t="e">
        <f>#REF!</f>
        <v>#REF!</v>
      </c>
    </row>
    <row r="12" spans="1:23" x14ac:dyDescent="0.25">
      <c r="A12" s="4" t="e">
        <f>#REF!</f>
        <v>#REF!</v>
      </c>
      <c r="B12" s="4" t="e">
        <f>#REF!</f>
        <v>#REF!</v>
      </c>
      <c r="C12" s="4" t="e">
        <f>#REF!</f>
        <v>#REF!</v>
      </c>
      <c r="D12" s="4" t="e">
        <f t="shared" si="1"/>
        <v>#REF!</v>
      </c>
      <c r="E12" s="6" t="e">
        <f>#REF!</f>
        <v>#REF!</v>
      </c>
      <c r="F12" s="6" t="e">
        <f t="shared" ref="F12" si="15">F11+E12</f>
        <v>#REF!</v>
      </c>
      <c r="G12" s="6">
        <v>141.227</v>
      </c>
      <c r="H12" s="4" t="e">
        <f t="shared" ref="H12" si="16">F12*G12</f>
        <v>#REF!</v>
      </c>
      <c r="I12" s="4" t="e">
        <f t="shared" ref="I12" si="17">H12-D12</f>
        <v>#REF!</v>
      </c>
      <c r="J12" s="18" t="e">
        <f t="shared" ref="J12" si="18">(H12-D12)/D12</f>
        <v>#REF!</v>
      </c>
      <c r="K12" s="4" t="e">
        <f>#REF!</f>
        <v>#REF!</v>
      </c>
      <c r="L12" s="4" t="e">
        <f>#REF!</f>
        <v>#REF!</v>
      </c>
      <c r="M12" s="4" t="e">
        <f>#REF!</f>
        <v>#REF!</v>
      </c>
    </row>
  </sheetData>
  <mergeCells count="14">
    <mergeCell ref="M3:M4"/>
    <mergeCell ref="A3:A4"/>
    <mergeCell ref="B3:D3"/>
    <mergeCell ref="E3:F3"/>
    <mergeCell ref="G3:J3"/>
    <mergeCell ref="K3:L3"/>
    <mergeCell ref="U3:V3"/>
    <mergeCell ref="W3:W4"/>
    <mergeCell ref="O3:O4"/>
    <mergeCell ref="P3:P4"/>
    <mergeCell ref="Q3:Q4"/>
    <mergeCell ref="R3:R4"/>
    <mergeCell ref="S3:S4"/>
    <mergeCell ref="T3:T4"/>
  </mergeCells>
  <pageMargins left="0.7" right="0.7" top="0.75" bottom="0.75" header="0.3" footer="0.3"/>
  <pageSetup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rgb="FF92D050"/>
  </sheetPr>
  <dimension ref="A1:W11"/>
  <sheetViews>
    <sheetView workbookViewId="0">
      <pane ySplit="11" topLeftCell="A12" activePane="bottomLeft" state="frozen"/>
      <selection activeCell="T15" sqref="T15"/>
      <selection pane="bottomLeft" activeCell="T15" sqref="T15"/>
    </sheetView>
  </sheetViews>
  <sheetFormatPr defaultRowHeight="15" x14ac:dyDescent="0.25"/>
  <cols>
    <col min="1" max="13" width="10.7109375" customWidth="1"/>
    <col min="14" max="14" width="5.7109375" customWidth="1"/>
    <col min="15" max="23" width="10.7109375" customWidth="1"/>
  </cols>
  <sheetData>
    <row r="1" spans="1:23" x14ac:dyDescent="0.25">
      <c r="A1" s="14" t="s">
        <v>48</v>
      </c>
    </row>
    <row r="2" spans="1:23" x14ac:dyDescent="0.25">
      <c r="A2" s="14"/>
    </row>
    <row r="3" spans="1:23" x14ac:dyDescent="0.25">
      <c r="A3" s="54" t="s">
        <v>29</v>
      </c>
      <c r="B3" s="57" t="s">
        <v>3</v>
      </c>
      <c r="C3" s="58"/>
      <c r="D3" s="59"/>
      <c r="E3" s="57" t="s">
        <v>1</v>
      </c>
      <c r="F3" s="59"/>
      <c r="G3" s="57" t="s">
        <v>32</v>
      </c>
      <c r="H3" s="58"/>
      <c r="I3" s="58"/>
      <c r="J3" s="59"/>
      <c r="K3" s="53" t="s">
        <v>26</v>
      </c>
      <c r="L3" s="53"/>
      <c r="M3" s="54" t="s">
        <v>4</v>
      </c>
      <c r="O3" s="62" t="s">
        <v>46</v>
      </c>
      <c r="P3" s="54" t="s">
        <v>11</v>
      </c>
      <c r="Q3" s="54" t="s">
        <v>1</v>
      </c>
      <c r="R3" s="54" t="s">
        <v>25</v>
      </c>
      <c r="S3" s="54" t="s">
        <v>9</v>
      </c>
      <c r="T3" s="54" t="s">
        <v>7</v>
      </c>
      <c r="U3" s="57" t="s">
        <v>26</v>
      </c>
      <c r="V3" s="59"/>
      <c r="W3" s="54" t="s">
        <v>4</v>
      </c>
    </row>
    <row r="4" spans="1:23" x14ac:dyDescent="0.25">
      <c r="A4" s="55"/>
      <c r="B4" s="3" t="s">
        <v>11</v>
      </c>
      <c r="C4" s="3" t="s">
        <v>33</v>
      </c>
      <c r="D4" s="3" t="s">
        <v>34</v>
      </c>
      <c r="E4" s="3" t="s">
        <v>35</v>
      </c>
      <c r="F4" s="3" t="s">
        <v>30</v>
      </c>
      <c r="G4" s="3" t="s">
        <v>0</v>
      </c>
      <c r="H4" s="3" t="s">
        <v>5</v>
      </c>
      <c r="I4" s="3" t="s">
        <v>9</v>
      </c>
      <c r="J4" s="3" t="s">
        <v>7</v>
      </c>
      <c r="K4" s="3" t="s">
        <v>21</v>
      </c>
      <c r="L4" s="3" t="s">
        <v>22</v>
      </c>
      <c r="M4" s="55"/>
      <c r="O4" s="63"/>
      <c r="P4" s="55"/>
      <c r="Q4" s="55"/>
      <c r="R4" s="55"/>
      <c r="S4" s="55"/>
      <c r="T4" s="55"/>
      <c r="U4" s="3" t="s">
        <v>21</v>
      </c>
      <c r="V4" s="13" t="s">
        <v>22</v>
      </c>
      <c r="W4" s="55"/>
    </row>
    <row r="5" spans="1:23" x14ac:dyDescent="0.25">
      <c r="A5" s="4" t="e">
        <f>#REF!</f>
        <v>#REF!</v>
      </c>
      <c r="B5" s="4" t="e">
        <f>#REF!</f>
        <v>#REF!</v>
      </c>
      <c r="C5" s="4" t="e">
        <f>#REF!</f>
        <v>#REF!</v>
      </c>
      <c r="D5" s="4" t="e">
        <f>B5</f>
        <v>#REF!</v>
      </c>
      <c r="E5" s="6" t="e">
        <f>#REF!</f>
        <v>#REF!</v>
      </c>
      <c r="F5" s="6" t="e">
        <f>E5</f>
        <v>#REF!</v>
      </c>
      <c r="G5" s="6">
        <v>121.49</v>
      </c>
      <c r="H5" s="4" t="e">
        <f t="shared" ref="H5" si="0">F5*G5</f>
        <v>#REF!</v>
      </c>
      <c r="I5" s="4" t="e">
        <f>H5-D5</f>
        <v>#REF!</v>
      </c>
      <c r="J5" s="18" t="e">
        <f>(H5-D5)/D5</f>
        <v>#REF!</v>
      </c>
      <c r="K5" s="4" t="e">
        <f>#REF!</f>
        <v>#REF!</v>
      </c>
      <c r="L5" s="4" t="e">
        <f>#REF!</f>
        <v>#REF!</v>
      </c>
      <c r="M5" s="4" t="e">
        <f>#REF!</f>
        <v>#REF!</v>
      </c>
      <c r="O5" s="3" t="s">
        <v>2</v>
      </c>
      <c r="P5" s="4" t="e">
        <f>SUM(B5:B32)</f>
        <v>#REF!</v>
      </c>
      <c r="Q5" s="7" t="e">
        <f>SUM(E5:E32)</f>
        <v>#REF!</v>
      </c>
      <c r="R5" s="4">
        <v>10.73</v>
      </c>
      <c r="S5" s="4" t="e">
        <f>R5-P5</f>
        <v>#REF!</v>
      </c>
      <c r="T5" s="18" t="e">
        <f>(R5-P5)/P5</f>
        <v>#REF!</v>
      </c>
      <c r="U5" s="4" t="e">
        <f>SUM(K5:K32)</f>
        <v>#REF!</v>
      </c>
      <c r="V5" s="4" t="e">
        <f t="shared" ref="V5:W5" si="1">SUM(L5:L32)</f>
        <v>#REF!</v>
      </c>
      <c r="W5" s="4" t="e">
        <f t="shared" si="1"/>
        <v>#REF!</v>
      </c>
    </row>
    <row r="6" spans="1:23" x14ac:dyDescent="0.25">
      <c r="A6" s="4" t="e">
        <f>#REF!</f>
        <v>#REF!</v>
      </c>
      <c r="B6" s="4" t="e">
        <f>#REF!</f>
        <v>#REF!</v>
      </c>
      <c r="C6" s="4" t="e">
        <f>#REF!</f>
        <v>#REF!</v>
      </c>
      <c r="D6" s="4" t="e">
        <f t="shared" ref="D6:D11" si="2">D5+B6</f>
        <v>#REF!</v>
      </c>
      <c r="E6" s="6" t="e">
        <f>#REF!+#REF!</f>
        <v>#REF!</v>
      </c>
      <c r="F6" s="6" t="e">
        <f t="shared" ref="F6:F11" si="3">F5+E6</f>
        <v>#REF!</v>
      </c>
      <c r="G6" s="6">
        <v>118.405</v>
      </c>
      <c r="H6" s="4" t="e">
        <f t="shared" ref="H6" si="4">F6*G6</f>
        <v>#REF!</v>
      </c>
      <c r="I6" s="4" t="e">
        <f t="shared" ref="I6:I11" si="5">H6-D6</f>
        <v>#REF!</v>
      </c>
      <c r="J6" s="18" t="e">
        <f t="shared" ref="J6:J11" si="6">(H6-D6)/D6</f>
        <v>#REF!</v>
      </c>
      <c r="K6" s="4" t="e">
        <f>#REF!</f>
        <v>#REF!</v>
      </c>
      <c r="L6" s="4" t="e">
        <f>#REF!</f>
        <v>#REF!</v>
      </c>
      <c r="M6" s="4" t="e">
        <f>#REF!</f>
        <v>#REF!</v>
      </c>
    </row>
    <row r="7" spans="1:23" x14ac:dyDescent="0.25">
      <c r="A7" s="4" t="e">
        <f>#REF!</f>
        <v>#REF!</v>
      </c>
      <c r="B7" s="4" t="e">
        <f>#REF!</f>
        <v>#REF!</v>
      </c>
      <c r="C7" s="4" t="e">
        <f>#REF!</f>
        <v>#REF!</v>
      </c>
      <c r="D7" s="4" t="e">
        <f t="shared" si="2"/>
        <v>#REF!</v>
      </c>
      <c r="E7" s="6" t="e">
        <f>#REF!</f>
        <v>#REF!</v>
      </c>
      <c r="F7" s="6" t="e">
        <f t="shared" si="3"/>
        <v>#REF!</v>
      </c>
      <c r="G7" s="6">
        <v>120.976</v>
      </c>
      <c r="H7" s="4" t="e">
        <f t="shared" ref="H7" si="7">F7*G7</f>
        <v>#REF!</v>
      </c>
      <c r="I7" s="4" t="e">
        <f t="shared" si="5"/>
        <v>#REF!</v>
      </c>
      <c r="J7" s="18" t="e">
        <f t="shared" si="6"/>
        <v>#REF!</v>
      </c>
      <c r="K7" s="4" t="e">
        <f>#REF!</f>
        <v>#REF!</v>
      </c>
      <c r="L7" s="4" t="e">
        <f>#REF!</f>
        <v>#REF!</v>
      </c>
      <c r="M7" s="4" t="e">
        <f>#REF!</f>
        <v>#REF!</v>
      </c>
    </row>
    <row r="8" spans="1:23" x14ac:dyDescent="0.25">
      <c r="A8" s="4" t="e">
        <f>#REF!</f>
        <v>#REF!</v>
      </c>
      <c r="B8" s="4" t="e">
        <f>#REF!</f>
        <v>#REF!</v>
      </c>
      <c r="C8" s="4" t="e">
        <f>#REF!</f>
        <v>#REF!</v>
      </c>
      <c r="D8" s="4" t="e">
        <f t="shared" si="2"/>
        <v>#REF!</v>
      </c>
      <c r="E8" s="6" t="e">
        <f>#REF!</f>
        <v>#REF!</v>
      </c>
      <c r="F8" s="6" t="e">
        <f t="shared" si="3"/>
        <v>#REF!</v>
      </c>
      <c r="G8" s="6">
        <v>122.26300000000001</v>
      </c>
      <c r="H8" s="4" t="e">
        <f t="shared" ref="H8" si="8">F8*G8</f>
        <v>#REF!</v>
      </c>
      <c r="I8" s="4" t="e">
        <f t="shared" si="5"/>
        <v>#REF!</v>
      </c>
      <c r="J8" s="18" t="e">
        <f t="shared" si="6"/>
        <v>#REF!</v>
      </c>
      <c r="K8" s="4" t="e">
        <f>#REF!</f>
        <v>#REF!</v>
      </c>
      <c r="L8" s="4" t="e">
        <f>#REF!</f>
        <v>#REF!</v>
      </c>
      <c r="M8" s="4" t="e">
        <f>#REF!</f>
        <v>#REF!</v>
      </c>
    </row>
    <row r="9" spans="1:23" x14ac:dyDescent="0.25">
      <c r="A9" s="4" t="e">
        <f>#REF!</f>
        <v>#REF!</v>
      </c>
      <c r="B9" s="4" t="e">
        <f>#REF!</f>
        <v>#REF!</v>
      </c>
      <c r="C9" s="4" t="e">
        <f>#REF!</f>
        <v>#REF!</v>
      </c>
      <c r="D9" s="4" t="e">
        <f t="shared" si="2"/>
        <v>#REF!</v>
      </c>
      <c r="E9" s="6" t="e">
        <f>#REF!</f>
        <v>#REF!</v>
      </c>
      <c r="F9" s="6" t="e">
        <f t="shared" si="3"/>
        <v>#REF!</v>
      </c>
      <c r="G9" s="6">
        <v>121.79900000000001</v>
      </c>
      <c r="H9" s="4" t="e">
        <f t="shared" ref="H9" si="9">F9*G9</f>
        <v>#REF!</v>
      </c>
      <c r="I9" s="4" t="e">
        <f t="shared" si="5"/>
        <v>#REF!</v>
      </c>
      <c r="J9" s="18" t="e">
        <f t="shared" si="6"/>
        <v>#REF!</v>
      </c>
      <c r="K9" s="4" t="e">
        <f>#REF!</f>
        <v>#REF!</v>
      </c>
      <c r="L9" s="4" t="e">
        <f>#REF!</f>
        <v>#REF!</v>
      </c>
      <c r="M9" s="4" t="e">
        <f>#REF!</f>
        <v>#REF!</v>
      </c>
    </row>
    <row r="10" spans="1:23" x14ac:dyDescent="0.25">
      <c r="A10" s="4" t="e">
        <f>#REF!</f>
        <v>#REF!</v>
      </c>
      <c r="B10" s="4" t="e">
        <f>#REF!</f>
        <v>#REF!</v>
      </c>
      <c r="C10" s="4" t="e">
        <f>#REF!</f>
        <v>#REF!</v>
      </c>
      <c r="D10" s="4" t="e">
        <f t="shared" si="2"/>
        <v>#REF!</v>
      </c>
      <c r="E10" s="6" t="e">
        <f>#REF!</f>
        <v>#REF!</v>
      </c>
      <c r="F10" s="6" t="e">
        <f t="shared" si="3"/>
        <v>#REF!</v>
      </c>
      <c r="G10" s="6">
        <v>126.616</v>
      </c>
      <c r="H10" s="4" t="e">
        <f t="shared" ref="H10" si="10">F10*G10</f>
        <v>#REF!</v>
      </c>
      <c r="I10" s="4" t="e">
        <f t="shared" si="5"/>
        <v>#REF!</v>
      </c>
      <c r="J10" s="18" t="e">
        <f t="shared" si="6"/>
        <v>#REF!</v>
      </c>
      <c r="K10" s="4" t="e">
        <f>#REF!</f>
        <v>#REF!</v>
      </c>
      <c r="L10" s="4" t="e">
        <f>#REF!</f>
        <v>#REF!</v>
      </c>
      <c r="M10" s="4" t="e">
        <f>#REF!</f>
        <v>#REF!</v>
      </c>
    </row>
    <row r="11" spans="1:23" x14ac:dyDescent="0.25">
      <c r="A11" s="16" t="e">
        <f>#REF!</f>
        <v>#REF!</v>
      </c>
      <c r="B11" s="16" t="e">
        <f>#REF!</f>
        <v>#REF!</v>
      </c>
      <c r="C11" s="16" t="e">
        <f>#REF!</f>
        <v>#REF!</v>
      </c>
      <c r="D11" s="16" t="e">
        <f t="shared" si="2"/>
        <v>#REF!</v>
      </c>
      <c r="E11" s="17" t="e">
        <f>#REF!</f>
        <v>#REF!</v>
      </c>
      <c r="F11" s="17" t="e">
        <f t="shared" si="3"/>
        <v>#REF!</v>
      </c>
      <c r="G11" s="17">
        <v>127.756</v>
      </c>
      <c r="H11" s="16" t="e">
        <f t="shared" ref="H11" si="11">F11*G11</f>
        <v>#REF!</v>
      </c>
      <c r="I11" s="4" t="e">
        <f t="shared" si="5"/>
        <v>#REF!</v>
      </c>
      <c r="J11" s="18" t="e">
        <f t="shared" si="6"/>
        <v>#REF!</v>
      </c>
      <c r="K11" s="4" t="e">
        <f>#REF!</f>
        <v>#REF!</v>
      </c>
      <c r="L11" s="4" t="e">
        <f>#REF!</f>
        <v>#REF!</v>
      </c>
      <c r="M11" s="4" t="e">
        <f>#REF!</f>
        <v>#REF!</v>
      </c>
    </row>
  </sheetData>
  <mergeCells count="14">
    <mergeCell ref="M3:M4"/>
    <mergeCell ref="A3:A4"/>
    <mergeCell ref="B3:D3"/>
    <mergeCell ref="E3:F3"/>
    <mergeCell ref="G3:J3"/>
    <mergeCell ref="K3:L3"/>
    <mergeCell ref="U3:V3"/>
    <mergeCell ref="W3:W4"/>
    <mergeCell ref="O3:O4"/>
    <mergeCell ref="P3:P4"/>
    <mergeCell ref="Q3:Q4"/>
    <mergeCell ref="R3:R4"/>
    <mergeCell ref="S3:S4"/>
    <mergeCell ref="T3:T4"/>
  </mergeCells>
  <pageMargins left="0.7" right="0.7" top="0.75" bottom="0.75" header="0.3" footer="0.3"/>
  <pageSetup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9DB003-999D-4D47-887A-62FE1DB81F88}">
  <dimension ref="A2:X31"/>
  <sheetViews>
    <sheetView workbookViewId="0">
      <selection activeCell="V6" sqref="V6"/>
    </sheetView>
  </sheetViews>
  <sheetFormatPr defaultRowHeight="15" x14ac:dyDescent="0.25"/>
  <cols>
    <col min="1" max="6" width="10.7109375" customWidth="1"/>
    <col min="7" max="7" width="2.7109375" customWidth="1"/>
    <col min="8" max="9" width="10.7109375" customWidth="1"/>
    <col min="10" max="10" width="10.7109375" style="1" customWidth="1"/>
    <col min="11" max="12" width="10.7109375" customWidth="1"/>
    <col min="13" max="13" width="2.7109375" customWidth="1"/>
    <col min="14" max="15" width="10.7109375" customWidth="1"/>
    <col min="16" max="16" width="5.7109375" customWidth="1"/>
    <col min="17" max="24" width="10.7109375" customWidth="1"/>
  </cols>
  <sheetData>
    <row r="2" spans="1:24" x14ac:dyDescent="0.25">
      <c r="Q2" s="67">
        <v>2026.09</v>
      </c>
      <c r="R2" s="68"/>
      <c r="S2" s="68"/>
      <c r="T2" s="68"/>
      <c r="U2" s="68"/>
      <c r="V2" s="68"/>
      <c r="W2" s="68"/>
      <c r="X2" s="69"/>
    </row>
    <row r="3" spans="1:24" x14ac:dyDescent="0.25">
      <c r="Q3" s="70" t="s">
        <v>11</v>
      </c>
      <c r="R3" s="70" t="s">
        <v>28</v>
      </c>
      <c r="S3" s="70" t="s">
        <v>24</v>
      </c>
      <c r="T3" s="70" t="s">
        <v>25</v>
      </c>
      <c r="U3" s="71" t="s">
        <v>26</v>
      </c>
      <c r="V3" s="72"/>
      <c r="W3" s="73"/>
      <c r="X3" s="56" t="s">
        <v>4</v>
      </c>
    </row>
    <row r="4" spans="1:24" x14ac:dyDescent="0.25">
      <c r="Q4" s="55"/>
      <c r="R4" s="55"/>
      <c r="S4" s="55"/>
      <c r="T4" s="55"/>
      <c r="U4" s="12" t="s">
        <v>21</v>
      </c>
      <c r="V4" s="12" t="s">
        <v>27</v>
      </c>
      <c r="W4" s="13" t="s">
        <v>22</v>
      </c>
      <c r="X4" s="56"/>
    </row>
    <row r="5" spans="1:24" x14ac:dyDescent="0.25">
      <c r="Q5" s="4">
        <f>(B19+B29+B39+B49+B59+B69+B79+B89+B99+B109)-T5</f>
        <v>30</v>
      </c>
      <c r="R5" s="4">
        <v>0</v>
      </c>
      <c r="S5" s="4">
        <f>(C19+C29+C39+C49+C59+C69+C79+C89+C99+C109)-T5</f>
        <v>30</v>
      </c>
      <c r="T5" s="4">
        <f>(I19+I29+I39+I49+I59+I69+I79+I89+I99+I109)-W5</f>
        <v>0</v>
      </c>
      <c r="U5" s="4">
        <f>D19+D29+D39+D49+D59+D69+D79+D89+D99+D109</f>
        <v>0</v>
      </c>
      <c r="V5" s="4">
        <v>0.21</v>
      </c>
      <c r="W5" s="4">
        <f>J19+J29+J39+J49+J59+J69+J79+J89+J99+J109</f>
        <v>0</v>
      </c>
      <c r="X5" s="4">
        <f>O19+O29+O39+O49+O59+O69+O79+O89+O99+O109</f>
        <v>0</v>
      </c>
    </row>
    <row r="11" spans="1:24" ht="15" customHeight="1" x14ac:dyDescent="0.25">
      <c r="J11"/>
    </row>
    <row r="12" spans="1:24" ht="15" customHeight="1" x14ac:dyDescent="0.25">
      <c r="A12" s="80" t="s">
        <v>39</v>
      </c>
      <c r="B12" s="81"/>
      <c r="C12" s="81"/>
      <c r="D12" s="81"/>
      <c r="E12" s="81"/>
      <c r="F12" s="81"/>
      <c r="G12" s="81"/>
      <c r="H12" s="81"/>
      <c r="I12" s="81"/>
      <c r="J12" s="81"/>
      <c r="K12" s="81"/>
      <c r="L12" s="81"/>
      <c r="M12" s="81"/>
      <c r="N12" s="81"/>
      <c r="O12" s="82"/>
    </row>
    <row r="13" spans="1:24" ht="15" customHeight="1" x14ac:dyDescent="0.25">
      <c r="A13" s="57" t="s">
        <v>21</v>
      </c>
      <c r="B13" s="58"/>
      <c r="C13" s="58"/>
      <c r="D13" s="58"/>
      <c r="E13" s="58"/>
      <c r="F13" s="59"/>
      <c r="G13" s="74"/>
      <c r="H13" s="77" t="s">
        <v>22</v>
      </c>
      <c r="I13" s="78"/>
      <c r="J13" s="78"/>
      <c r="K13" s="78"/>
      <c r="L13" s="79"/>
      <c r="M13" s="20"/>
      <c r="N13" s="57" t="s">
        <v>4</v>
      </c>
      <c r="O13" s="59"/>
      <c r="P13" s="21"/>
    </row>
    <row r="14" spans="1:24" ht="15" customHeight="1" x14ac:dyDescent="0.25">
      <c r="A14" s="50" t="s">
        <v>29</v>
      </c>
      <c r="B14" s="49" t="s">
        <v>3</v>
      </c>
      <c r="C14" s="49" t="s">
        <v>31</v>
      </c>
      <c r="D14" s="49" t="s">
        <v>10</v>
      </c>
      <c r="E14" s="49" t="s">
        <v>0</v>
      </c>
      <c r="F14" s="49" t="s">
        <v>1</v>
      </c>
      <c r="G14" s="75"/>
      <c r="H14" s="50" t="s">
        <v>29</v>
      </c>
      <c r="I14" s="49" t="s">
        <v>23</v>
      </c>
      <c r="J14" s="49" t="s">
        <v>10</v>
      </c>
      <c r="K14" s="49" t="s">
        <v>0</v>
      </c>
      <c r="L14" s="49" t="s">
        <v>1</v>
      </c>
      <c r="M14" s="23"/>
      <c r="N14" s="51" t="s">
        <v>29</v>
      </c>
      <c r="O14" s="49" t="s">
        <v>23</v>
      </c>
      <c r="P14" s="21"/>
    </row>
    <row r="15" spans="1:24" ht="15" customHeight="1" x14ac:dyDescent="0.25">
      <c r="A15" s="29">
        <v>46294</v>
      </c>
      <c r="B15" s="24">
        <v>15</v>
      </c>
      <c r="C15" s="4">
        <v>15</v>
      </c>
      <c r="D15" s="4">
        <f>B15-C15</f>
        <v>0</v>
      </c>
      <c r="E15" s="37">
        <v>151.209677</v>
      </c>
      <c r="F15" s="6">
        <f>B15/E15</f>
        <v>9.9199999999999997E-2</v>
      </c>
      <c r="G15" s="75"/>
      <c r="H15" s="29"/>
      <c r="I15" s="5"/>
      <c r="J15" s="4"/>
      <c r="K15" s="4"/>
      <c r="L15" s="5"/>
      <c r="M15" s="52"/>
      <c r="N15" s="29"/>
      <c r="O15" s="4"/>
      <c r="P15" s="1"/>
    </row>
    <row r="16" spans="1:24" ht="15" customHeight="1" x14ac:dyDescent="0.25">
      <c r="A16" s="29"/>
      <c r="B16" s="4"/>
      <c r="C16" s="4"/>
      <c r="D16" s="4"/>
      <c r="E16" s="37"/>
      <c r="F16" s="6"/>
      <c r="G16" s="75"/>
      <c r="H16" s="29"/>
      <c r="I16" s="2"/>
      <c r="J16" s="2"/>
      <c r="K16" s="2"/>
      <c r="L16" s="2"/>
      <c r="M16" s="15"/>
      <c r="N16" s="29"/>
      <c r="O16" s="2"/>
    </row>
    <row r="17" spans="1:18" ht="15" customHeight="1" x14ac:dyDescent="0.3">
      <c r="A17" s="30"/>
      <c r="B17" s="4"/>
      <c r="C17" s="5"/>
      <c r="D17" s="5"/>
      <c r="E17" s="5"/>
      <c r="F17" s="7"/>
      <c r="G17" s="75"/>
      <c r="H17" s="30"/>
      <c r="I17" s="2"/>
      <c r="J17" s="2"/>
      <c r="K17" s="2"/>
      <c r="L17" s="2"/>
      <c r="M17" s="15"/>
      <c r="N17" s="30"/>
      <c r="O17" s="2"/>
    </row>
    <row r="18" spans="1:18" ht="15" customHeight="1" x14ac:dyDescent="0.3">
      <c r="A18" s="30"/>
      <c r="B18" s="4"/>
      <c r="C18" s="5"/>
      <c r="D18" s="5"/>
      <c r="E18" s="5"/>
      <c r="F18" s="7"/>
      <c r="G18" s="75"/>
      <c r="H18" s="30"/>
      <c r="I18" s="2"/>
      <c r="J18" s="2"/>
      <c r="K18" s="2"/>
      <c r="L18" s="2"/>
      <c r="M18" s="15"/>
      <c r="N18" s="30"/>
      <c r="O18" s="2"/>
    </row>
    <row r="19" spans="1:18" ht="15" customHeight="1" x14ac:dyDescent="0.25">
      <c r="A19" s="49" t="s">
        <v>2</v>
      </c>
      <c r="B19" s="4">
        <f>SUM(B15:B18)</f>
        <v>15</v>
      </c>
      <c r="C19" s="4">
        <f>SUM(C15:C18)</f>
        <v>15</v>
      </c>
      <c r="D19" s="4">
        <f>SUM(D15:D18)</f>
        <v>0</v>
      </c>
      <c r="E19" s="5">
        <f>IF(B19&gt;0,SUMPRODUCT(E15:E18,F15:F18)/SUM(F15:F18),"0.00")</f>
        <v>151.209677</v>
      </c>
      <c r="F19" s="6">
        <f>SUM(F15:F18)</f>
        <v>9.9199999999999997E-2</v>
      </c>
      <c r="G19" s="76"/>
      <c r="H19" s="49" t="s">
        <v>2</v>
      </c>
      <c r="I19" s="4">
        <f>SUM(I15:I18)</f>
        <v>0</v>
      </c>
      <c r="J19" s="4">
        <f t="shared" ref="J19:L19" si="0">SUM(J15:J18)</f>
        <v>0</v>
      </c>
      <c r="K19" s="5"/>
      <c r="L19" s="7">
        <f t="shared" si="0"/>
        <v>0</v>
      </c>
      <c r="M19" s="26"/>
      <c r="N19" s="49" t="s">
        <v>2</v>
      </c>
      <c r="O19" s="4">
        <f>SUM(O15:O18)</f>
        <v>0</v>
      </c>
      <c r="P19" s="1"/>
    </row>
    <row r="20" spans="1:18" ht="15" customHeight="1" x14ac:dyDescent="0.25">
      <c r="B20" s="27"/>
      <c r="E20" s="1"/>
      <c r="F20" s="11"/>
      <c r="J20"/>
    </row>
    <row r="21" spans="1:18" ht="15" customHeight="1" x14ac:dyDescent="0.25">
      <c r="B21" s="1"/>
      <c r="E21" s="1"/>
      <c r="F21" s="1"/>
      <c r="J21"/>
    </row>
    <row r="22" spans="1:18" ht="15" customHeight="1" x14ac:dyDescent="0.25">
      <c r="A22" s="80" t="s">
        <v>38</v>
      </c>
      <c r="B22" s="81"/>
      <c r="C22" s="81"/>
      <c r="D22" s="81"/>
      <c r="E22" s="81"/>
      <c r="F22" s="81"/>
      <c r="G22" s="81"/>
      <c r="H22" s="81"/>
      <c r="I22" s="81"/>
      <c r="J22" s="81"/>
      <c r="K22" s="81"/>
      <c r="L22" s="81"/>
      <c r="M22" s="81"/>
      <c r="N22" s="81"/>
      <c r="O22" s="82"/>
    </row>
    <row r="23" spans="1:18" ht="15" customHeight="1" x14ac:dyDescent="0.25">
      <c r="A23" s="57" t="s">
        <v>21</v>
      </c>
      <c r="B23" s="58"/>
      <c r="C23" s="58"/>
      <c r="D23" s="58"/>
      <c r="E23" s="58"/>
      <c r="F23" s="59"/>
      <c r="G23" s="74"/>
      <c r="H23" s="77" t="s">
        <v>22</v>
      </c>
      <c r="I23" s="78"/>
      <c r="J23" s="78"/>
      <c r="K23" s="78"/>
      <c r="L23" s="79"/>
      <c r="M23" s="20"/>
      <c r="N23" s="57" t="s">
        <v>4</v>
      </c>
      <c r="O23" s="59"/>
      <c r="P23" s="21"/>
    </row>
    <row r="24" spans="1:18" ht="15" customHeight="1" x14ac:dyDescent="0.25">
      <c r="A24" s="50" t="s">
        <v>29</v>
      </c>
      <c r="B24" s="49" t="s">
        <v>3</v>
      </c>
      <c r="C24" s="49" t="s">
        <v>31</v>
      </c>
      <c r="D24" s="49" t="s">
        <v>10</v>
      </c>
      <c r="E24" s="49" t="s">
        <v>0</v>
      </c>
      <c r="F24" s="49" t="s">
        <v>1</v>
      </c>
      <c r="G24" s="75"/>
      <c r="H24" s="50" t="s">
        <v>29</v>
      </c>
      <c r="I24" s="49" t="s">
        <v>23</v>
      </c>
      <c r="J24" s="49" t="s">
        <v>10</v>
      </c>
      <c r="K24" s="49" t="s">
        <v>0</v>
      </c>
      <c r="L24" s="49" t="s">
        <v>1</v>
      </c>
      <c r="M24" s="23"/>
      <c r="N24" s="51" t="s">
        <v>29</v>
      </c>
      <c r="O24" s="49" t="s">
        <v>23</v>
      </c>
      <c r="P24" s="21"/>
    </row>
    <row r="25" spans="1:18" ht="15" customHeight="1" x14ac:dyDescent="0.25">
      <c r="A25" s="29">
        <v>46293</v>
      </c>
      <c r="B25" s="24">
        <v>15</v>
      </c>
      <c r="C25" s="4">
        <v>15</v>
      </c>
      <c r="D25" s="4">
        <f>B25-C25</f>
        <v>0</v>
      </c>
      <c r="E25" s="5">
        <v>175.43859599999999</v>
      </c>
      <c r="F25" s="32">
        <f>C25/E25</f>
        <v>8.5500000000000007E-2</v>
      </c>
      <c r="G25" s="75"/>
      <c r="H25" s="29"/>
      <c r="I25" s="5"/>
      <c r="J25" s="4"/>
      <c r="K25" s="4"/>
      <c r="L25" s="5"/>
      <c r="M25" s="52"/>
      <c r="N25" s="29"/>
      <c r="O25" s="4"/>
      <c r="P25" s="1"/>
      <c r="R25" s="1"/>
    </row>
    <row r="26" spans="1:18" ht="15" customHeight="1" x14ac:dyDescent="0.25">
      <c r="A26" s="29"/>
      <c r="B26" s="4"/>
      <c r="C26" s="4"/>
      <c r="D26" s="4"/>
      <c r="E26" s="5"/>
      <c r="F26" s="32"/>
      <c r="G26" s="75"/>
      <c r="H26" s="29"/>
      <c r="I26" s="2"/>
      <c r="J26" s="2"/>
      <c r="K26" s="2"/>
      <c r="L26" s="2"/>
      <c r="M26" s="15"/>
      <c r="N26" s="29"/>
      <c r="O26" s="2"/>
    </row>
    <row r="27" spans="1:18" ht="15" customHeight="1" x14ac:dyDescent="0.3">
      <c r="A27" s="30"/>
      <c r="B27" s="4"/>
      <c r="C27" s="5"/>
      <c r="D27" s="5"/>
      <c r="E27" s="5"/>
      <c r="F27" s="7"/>
      <c r="G27" s="75"/>
      <c r="H27" s="30"/>
      <c r="I27" s="2"/>
      <c r="J27" s="2"/>
      <c r="K27" s="2"/>
      <c r="L27" s="2"/>
      <c r="M27" s="15"/>
      <c r="N27" s="30"/>
      <c r="O27" s="2"/>
    </row>
    <row r="28" spans="1:18" ht="15" customHeight="1" x14ac:dyDescent="0.3">
      <c r="A28" s="30"/>
      <c r="B28" s="4"/>
      <c r="C28" s="5"/>
      <c r="D28" s="5"/>
      <c r="E28" s="5"/>
      <c r="F28" s="5"/>
      <c r="G28" s="75"/>
      <c r="H28" s="30"/>
      <c r="I28" s="2"/>
      <c r="J28" s="2"/>
      <c r="K28" s="2"/>
      <c r="L28" s="2"/>
      <c r="M28" s="15"/>
      <c r="N28" s="30"/>
      <c r="O28" s="2"/>
    </row>
    <row r="29" spans="1:18" ht="15" customHeight="1" x14ac:dyDescent="0.25">
      <c r="A29" s="49" t="s">
        <v>2</v>
      </c>
      <c r="B29" s="4">
        <f>SUM(B25:B28)</f>
        <v>15</v>
      </c>
      <c r="C29" s="4">
        <f>SUM(C25:C28)</f>
        <v>15</v>
      </c>
      <c r="D29" s="4">
        <f>SUM(D25:D28)</f>
        <v>0</v>
      </c>
      <c r="E29" s="5">
        <f>IF(B29&gt;0,SUMPRODUCT(E25:E28,F25:F28)/SUM(F25:F28),"0.00")</f>
        <v>175.43859599999999</v>
      </c>
      <c r="F29" s="6">
        <f>SUM(F25:F28)</f>
        <v>8.5500000000000007E-2</v>
      </c>
      <c r="G29" s="76"/>
      <c r="H29" s="49" t="s">
        <v>2</v>
      </c>
      <c r="I29" s="4">
        <f>SUM(I25:I28)</f>
        <v>0</v>
      </c>
      <c r="J29" s="4">
        <f t="shared" ref="J29" si="1">SUM(J25:J28)</f>
        <v>0</v>
      </c>
      <c r="K29" s="5"/>
      <c r="L29" s="7">
        <f t="shared" ref="L29" si="2">SUM(L25:L28)</f>
        <v>0</v>
      </c>
      <c r="M29" s="26"/>
      <c r="N29" s="49" t="s">
        <v>2</v>
      </c>
      <c r="O29" s="4">
        <f>SUM(O25:O28)</f>
        <v>0</v>
      </c>
      <c r="P29" s="1"/>
    </row>
    <row r="30" spans="1:18" x14ac:dyDescent="0.25">
      <c r="J30"/>
    </row>
    <row r="31" spans="1:18" x14ac:dyDescent="0.25">
      <c r="D31" s="10"/>
    </row>
  </sheetData>
  <mergeCells count="17">
    <mergeCell ref="A23:F23"/>
    <mergeCell ref="G23:G29"/>
    <mergeCell ref="H23:L23"/>
    <mergeCell ref="N23:O23"/>
    <mergeCell ref="A12:O12"/>
    <mergeCell ref="A13:F13"/>
    <mergeCell ref="G13:G19"/>
    <mergeCell ref="H13:L13"/>
    <mergeCell ref="N13:O13"/>
    <mergeCell ref="A22:O22"/>
    <mergeCell ref="Q2:X2"/>
    <mergeCell ref="Q3:Q4"/>
    <mergeCell ref="R3:R4"/>
    <mergeCell ref="S3:S4"/>
    <mergeCell ref="T3:T4"/>
    <mergeCell ref="U3:W3"/>
    <mergeCell ref="X3:X4"/>
  </mergeCells>
  <hyperlinks>
    <hyperlink ref="A12:O12" location="'SEB Active 55'!A1" display="SESA5FE SS „SEB Active 55“ SE0016076046" xr:uid="{771088DF-9E3D-4EDD-B358-CC1E5E608F90}"/>
    <hyperlink ref="A22:O22" location="'SEB Active 80'!A1" display="SESA8FE SS „SEB Active 80“ SE0016076111" xr:uid="{B7B764A9-72F9-451A-9B7B-B04BCFA1C852}"/>
  </hyperlinks>
  <pageMargins left="0.7" right="0.7" top="0.75" bottom="0.75" header="0.3" footer="0.3"/>
  <ignoredErrors>
    <ignoredError sqref="E19 E29" formula="1"/>
  </ignoredError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2EB861-4D35-433C-A515-5F8ECEEC149B}">
  <dimension ref="A2:X31"/>
  <sheetViews>
    <sheetView workbookViewId="0">
      <selection activeCell="V15" sqref="V15"/>
    </sheetView>
  </sheetViews>
  <sheetFormatPr defaultRowHeight="15" x14ac:dyDescent="0.25"/>
  <cols>
    <col min="1" max="6" width="10.7109375" customWidth="1"/>
    <col min="7" max="7" width="2.7109375" customWidth="1"/>
    <col min="8" max="9" width="10.7109375" customWidth="1"/>
    <col min="10" max="10" width="10.7109375" style="1" customWidth="1"/>
    <col min="11" max="12" width="10.7109375" customWidth="1"/>
    <col min="13" max="13" width="2.7109375" customWidth="1"/>
    <col min="14" max="15" width="10.7109375" customWidth="1"/>
    <col min="16" max="16" width="5.7109375" customWidth="1"/>
    <col min="17" max="24" width="10.7109375" customWidth="1"/>
  </cols>
  <sheetData>
    <row r="2" spans="1:24" x14ac:dyDescent="0.25">
      <c r="Q2" s="67">
        <v>2026.08</v>
      </c>
      <c r="R2" s="68"/>
      <c r="S2" s="68"/>
      <c r="T2" s="68"/>
      <c r="U2" s="68"/>
      <c r="V2" s="68"/>
      <c r="W2" s="68"/>
      <c r="X2" s="69"/>
    </row>
    <row r="3" spans="1:24" x14ac:dyDescent="0.25">
      <c r="Q3" s="70" t="s">
        <v>11</v>
      </c>
      <c r="R3" s="70" t="s">
        <v>28</v>
      </c>
      <c r="S3" s="70" t="s">
        <v>24</v>
      </c>
      <c r="T3" s="70" t="s">
        <v>25</v>
      </c>
      <c r="U3" s="71" t="s">
        <v>26</v>
      </c>
      <c r="V3" s="72"/>
      <c r="W3" s="73"/>
      <c r="X3" s="56" t="s">
        <v>4</v>
      </c>
    </row>
    <row r="4" spans="1:24" x14ac:dyDescent="0.25">
      <c r="Q4" s="55"/>
      <c r="R4" s="55"/>
      <c r="S4" s="55"/>
      <c r="T4" s="55"/>
      <c r="U4" s="12" t="s">
        <v>21</v>
      </c>
      <c r="V4" s="12" t="s">
        <v>27</v>
      </c>
      <c r="W4" s="13" t="s">
        <v>22</v>
      </c>
      <c r="X4" s="56"/>
    </row>
    <row r="5" spans="1:24" x14ac:dyDescent="0.25">
      <c r="Q5" s="4">
        <f>(B19+B29+B39+B49+B59+B69+B79+B89+B99+B109)-T5</f>
        <v>30</v>
      </c>
      <c r="R5" s="4">
        <v>0</v>
      </c>
      <c r="S5" s="4">
        <f>(C19+C29+C39+C49+C59+C69+C79+C89+C99+C109)-T5</f>
        <v>30</v>
      </c>
      <c r="T5" s="4">
        <f>(I19+I29+I39+I49+I59+I69+I79+I89+I99+I109)-W5</f>
        <v>0</v>
      </c>
      <c r="U5" s="4">
        <f>D19+D29+D39+D49+D59+D69+D79+D89+D99+D109</f>
        <v>0</v>
      </c>
      <c r="V5" s="4">
        <v>0.2</v>
      </c>
      <c r="W5" s="4">
        <f>J19+J29+J39+J49+J59+J69+J79+J89+J99+J109</f>
        <v>0</v>
      </c>
      <c r="X5" s="4">
        <f>O19+O29+O39+O49+O59+O69+O79+O89+O99+O109</f>
        <v>0</v>
      </c>
    </row>
    <row r="11" spans="1:24" ht="15" customHeight="1" x14ac:dyDescent="0.25">
      <c r="J11"/>
    </row>
    <row r="12" spans="1:24" ht="15" customHeight="1" x14ac:dyDescent="0.25">
      <c r="A12" s="80" t="s">
        <v>39</v>
      </c>
      <c r="B12" s="81"/>
      <c r="C12" s="81"/>
      <c r="D12" s="81"/>
      <c r="E12" s="81"/>
      <c r="F12" s="81"/>
      <c r="G12" s="81"/>
      <c r="H12" s="81"/>
      <c r="I12" s="81"/>
      <c r="J12" s="81"/>
      <c r="K12" s="81"/>
      <c r="L12" s="81"/>
      <c r="M12" s="81"/>
      <c r="N12" s="81"/>
      <c r="O12" s="82"/>
    </row>
    <row r="13" spans="1:24" ht="15" customHeight="1" x14ac:dyDescent="0.25">
      <c r="A13" s="57" t="s">
        <v>21</v>
      </c>
      <c r="B13" s="58"/>
      <c r="C13" s="58"/>
      <c r="D13" s="58"/>
      <c r="E13" s="58"/>
      <c r="F13" s="59"/>
      <c r="G13" s="74"/>
      <c r="H13" s="77" t="s">
        <v>22</v>
      </c>
      <c r="I13" s="78"/>
      <c r="J13" s="78"/>
      <c r="K13" s="78"/>
      <c r="L13" s="79"/>
      <c r="M13" s="20"/>
      <c r="N13" s="57" t="s">
        <v>4</v>
      </c>
      <c r="O13" s="59"/>
      <c r="P13" s="21"/>
    </row>
    <row r="14" spans="1:24" ht="15" customHeight="1" x14ac:dyDescent="0.25">
      <c r="A14" s="22" t="s">
        <v>29</v>
      </c>
      <c r="B14" s="3" t="s">
        <v>3</v>
      </c>
      <c r="C14" s="3" t="s">
        <v>31</v>
      </c>
      <c r="D14" s="3" t="s">
        <v>10</v>
      </c>
      <c r="E14" s="3" t="s">
        <v>0</v>
      </c>
      <c r="F14" s="3" t="s">
        <v>1</v>
      </c>
      <c r="G14" s="75"/>
      <c r="H14" s="22" t="s">
        <v>29</v>
      </c>
      <c r="I14" s="3" t="s">
        <v>23</v>
      </c>
      <c r="J14" s="3" t="s">
        <v>10</v>
      </c>
      <c r="K14" s="3" t="s">
        <v>0</v>
      </c>
      <c r="L14" s="3" t="s">
        <v>1</v>
      </c>
      <c r="M14" s="23"/>
      <c r="N14" s="19" t="s">
        <v>29</v>
      </c>
      <c r="O14" s="3" t="s">
        <v>23</v>
      </c>
      <c r="P14" s="21"/>
    </row>
    <row r="15" spans="1:24" ht="15" customHeight="1" x14ac:dyDescent="0.25">
      <c r="A15" s="29">
        <v>46261</v>
      </c>
      <c r="B15" s="24">
        <v>15</v>
      </c>
      <c r="C15" s="4">
        <v>15</v>
      </c>
      <c r="D15" s="4">
        <f>B15-C15</f>
        <v>0</v>
      </c>
      <c r="E15" s="37">
        <v>152.129817</v>
      </c>
      <c r="F15" s="6">
        <f>B15/E15</f>
        <v>9.8599999999999993E-2</v>
      </c>
      <c r="G15" s="75"/>
      <c r="H15" s="29"/>
      <c r="I15" s="5"/>
      <c r="J15" s="4"/>
      <c r="K15" s="4"/>
      <c r="L15" s="5"/>
      <c r="M15" s="25"/>
      <c r="N15" s="29"/>
      <c r="O15" s="4"/>
      <c r="P15" s="1"/>
    </row>
    <row r="16" spans="1:24" ht="15" customHeight="1" x14ac:dyDescent="0.25">
      <c r="A16" s="29"/>
      <c r="B16" s="4"/>
      <c r="C16" s="4"/>
      <c r="D16" s="4"/>
      <c r="E16" s="37"/>
      <c r="F16" s="6"/>
      <c r="G16" s="75"/>
      <c r="H16" s="29"/>
      <c r="I16" s="2"/>
      <c r="J16" s="2"/>
      <c r="K16" s="2"/>
      <c r="L16" s="2"/>
      <c r="M16" s="15"/>
      <c r="N16" s="29"/>
      <c r="O16" s="2"/>
    </row>
    <row r="17" spans="1:18" ht="15" customHeight="1" x14ac:dyDescent="0.3">
      <c r="A17" s="30"/>
      <c r="B17" s="4"/>
      <c r="C17" s="5"/>
      <c r="D17" s="5"/>
      <c r="E17" s="5"/>
      <c r="F17" s="7"/>
      <c r="G17" s="75"/>
      <c r="H17" s="30"/>
      <c r="I17" s="2"/>
      <c r="J17" s="2"/>
      <c r="K17" s="2"/>
      <c r="L17" s="2"/>
      <c r="M17" s="15"/>
      <c r="N17" s="30"/>
      <c r="O17" s="2"/>
    </row>
    <row r="18" spans="1:18" ht="15" customHeight="1" x14ac:dyDescent="0.3">
      <c r="A18" s="30"/>
      <c r="B18" s="4"/>
      <c r="C18" s="5"/>
      <c r="D18" s="5"/>
      <c r="E18" s="5"/>
      <c r="F18" s="7"/>
      <c r="G18" s="75"/>
      <c r="H18" s="30"/>
      <c r="I18" s="2"/>
      <c r="J18" s="2"/>
      <c r="K18" s="2"/>
      <c r="L18" s="2"/>
      <c r="M18" s="15"/>
      <c r="N18" s="30"/>
      <c r="O18" s="2"/>
    </row>
    <row r="19" spans="1:18" ht="15" customHeight="1" x14ac:dyDescent="0.25">
      <c r="A19" s="3" t="s">
        <v>2</v>
      </c>
      <c r="B19" s="4">
        <f>SUM(B15:B18)</f>
        <v>15</v>
      </c>
      <c r="C19" s="4">
        <f>SUM(C15:C18)</f>
        <v>15</v>
      </c>
      <c r="D19" s="4">
        <f>SUM(D15:D18)</f>
        <v>0</v>
      </c>
      <c r="E19" s="5">
        <f>IF(B19&gt;0,SUMPRODUCT(E15:E18,F15:F18)/SUM(F15:F18),"0.00")</f>
        <v>152.129817</v>
      </c>
      <c r="F19" s="6">
        <f>SUM(F15:F18)</f>
        <v>9.8599999999999993E-2</v>
      </c>
      <c r="G19" s="76"/>
      <c r="H19" s="3" t="s">
        <v>2</v>
      </c>
      <c r="I19" s="4">
        <f>SUM(I15:I18)</f>
        <v>0</v>
      </c>
      <c r="J19" s="4">
        <f t="shared" ref="J19:L19" si="0">SUM(J15:J18)</f>
        <v>0</v>
      </c>
      <c r="K19" s="5"/>
      <c r="L19" s="7">
        <f t="shared" si="0"/>
        <v>0</v>
      </c>
      <c r="M19" s="26"/>
      <c r="N19" s="3" t="s">
        <v>2</v>
      </c>
      <c r="O19" s="4">
        <f>SUM(O15:O18)</f>
        <v>0</v>
      </c>
      <c r="P19" s="1"/>
    </row>
    <row r="20" spans="1:18" ht="15" customHeight="1" x14ac:dyDescent="0.25">
      <c r="B20" s="27"/>
      <c r="E20" s="1"/>
      <c r="F20" s="11"/>
      <c r="J20"/>
    </row>
    <row r="21" spans="1:18" ht="15" customHeight="1" x14ac:dyDescent="0.25">
      <c r="B21" s="1"/>
      <c r="E21" s="1"/>
      <c r="F21" s="1"/>
      <c r="J21"/>
    </row>
    <row r="22" spans="1:18" ht="15" customHeight="1" x14ac:dyDescent="0.25">
      <c r="A22" s="80" t="s">
        <v>38</v>
      </c>
      <c r="B22" s="81"/>
      <c r="C22" s="81"/>
      <c r="D22" s="81"/>
      <c r="E22" s="81"/>
      <c r="F22" s="81"/>
      <c r="G22" s="81"/>
      <c r="H22" s="81"/>
      <c r="I22" s="81"/>
      <c r="J22" s="81"/>
      <c r="K22" s="81"/>
      <c r="L22" s="81"/>
      <c r="M22" s="81"/>
      <c r="N22" s="81"/>
      <c r="O22" s="82"/>
    </row>
    <row r="23" spans="1:18" ht="15" customHeight="1" x14ac:dyDescent="0.25">
      <c r="A23" s="57" t="s">
        <v>21</v>
      </c>
      <c r="B23" s="58"/>
      <c r="C23" s="58"/>
      <c r="D23" s="58"/>
      <c r="E23" s="58"/>
      <c r="F23" s="59"/>
      <c r="G23" s="74"/>
      <c r="H23" s="77" t="s">
        <v>22</v>
      </c>
      <c r="I23" s="78"/>
      <c r="J23" s="78"/>
      <c r="K23" s="78"/>
      <c r="L23" s="79"/>
      <c r="M23" s="20"/>
      <c r="N23" s="57" t="s">
        <v>4</v>
      </c>
      <c r="O23" s="59"/>
      <c r="P23" s="21"/>
    </row>
    <row r="24" spans="1:18" ht="15" customHeight="1" x14ac:dyDescent="0.25">
      <c r="A24" s="22" t="s">
        <v>29</v>
      </c>
      <c r="B24" s="3" t="s">
        <v>3</v>
      </c>
      <c r="C24" s="3" t="s">
        <v>31</v>
      </c>
      <c r="D24" s="3" t="s">
        <v>10</v>
      </c>
      <c r="E24" s="3" t="s">
        <v>0</v>
      </c>
      <c r="F24" s="3" t="s">
        <v>1</v>
      </c>
      <c r="G24" s="75"/>
      <c r="H24" s="22" t="s">
        <v>29</v>
      </c>
      <c r="I24" s="3" t="s">
        <v>23</v>
      </c>
      <c r="J24" s="3" t="s">
        <v>10</v>
      </c>
      <c r="K24" s="3" t="s">
        <v>0</v>
      </c>
      <c r="L24" s="3" t="s">
        <v>1</v>
      </c>
      <c r="M24" s="23"/>
      <c r="N24" s="19" t="s">
        <v>29</v>
      </c>
      <c r="O24" s="3" t="s">
        <v>23</v>
      </c>
      <c r="P24" s="21"/>
    </row>
    <row r="25" spans="1:18" ht="15" customHeight="1" x14ac:dyDescent="0.25">
      <c r="A25" s="29">
        <v>46261</v>
      </c>
      <c r="B25" s="24">
        <v>15</v>
      </c>
      <c r="C25" s="4">
        <v>15</v>
      </c>
      <c r="D25" s="4">
        <f>B25-C25</f>
        <v>0</v>
      </c>
      <c r="E25" s="5">
        <v>176.88679200000001</v>
      </c>
      <c r="F25" s="32">
        <f>C25/E25</f>
        <v>8.48E-2</v>
      </c>
      <c r="G25" s="75"/>
      <c r="H25" s="29"/>
      <c r="I25" s="5"/>
      <c r="J25" s="4"/>
      <c r="K25" s="4"/>
      <c r="L25" s="5"/>
      <c r="M25" s="25"/>
      <c r="N25" s="29"/>
      <c r="O25" s="4"/>
      <c r="P25" s="1"/>
      <c r="R25" s="1"/>
    </row>
    <row r="26" spans="1:18" ht="15" customHeight="1" x14ac:dyDescent="0.25">
      <c r="A26" s="29"/>
      <c r="B26" s="4"/>
      <c r="C26" s="4"/>
      <c r="D26" s="4"/>
      <c r="E26" s="5"/>
      <c r="F26" s="32"/>
      <c r="G26" s="75"/>
      <c r="H26" s="29"/>
      <c r="I26" s="2"/>
      <c r="J26" s="2"/>
      <c r="K26" s="2"/>
      <c r="L26" s="2"/>
      <c r="M26" s="15"/>
      <c r="N26" s="29"/>
      <c r="O26" s="2"/>
    </row>
    <row r="27" spans="1:18" ht="15" customHeight="1" x14ac:dyDescent="0.3">
      <c r="A27" s="30"/>
      <c r="B27" s="4"/>
      <c r="C27" s="5"/>
      <c r="D27" s="5"/>
      <c r="E27" s="5"/>
      <c r="F27" s="7"/>
      <c r="G27" s="75"/>
      <c r="H27" s="30"/>
      <c r="I27" s="2"/>
      <c r="J27" s="2"/>
      <c r="K27" s="2"/>
      <c r="L27" s="2"/>
      <c r="M27" s="15"/>
      <c r="N27" s="30"/>
      <c r="O27" s="2"/>
    </row>
    <row r="28" spans="1:18" ht="15" customHeight="1" x14ac:dyDescent="0.3">
      <c r="A28" s="30"/>
      <c r="B28" s="4"/>
      <c r="C28" s="5"/>
      <c r="D28" s="5"/>
      <c r="E28" s="5"/>
      <c r="F28" s="5"/>
      <c r="G28" s="75"/>
      <c r="H28" s="30"/>
      <c r="I28" s="2"/>
      <c r="J28" s="2"/>
      <c r="K28" s="2"/>
      <c r="L28" s="2"/>
      <c r="M28" s="15"/>
      <c r="N28" s="30"/>
      <c r="O28" s="2"/>
    </row>
    <row r="29" spans="1:18" ht="15" customHeight="1" x14ac:dyDescent="0.25">
      <c r="A29" s="3" t="s">
        <v>2</v>
      </c>
      <c r="B29" s="4">
        <f>SUM(B25:B28)</f>
        <v>15</v>
      </c>
      <c r="C29" s="4">
        <f>SUM(C25:C28)</f>
        <v>15</v>
      </c>
      <c r="D29" s="4">
        <f>SUM(D25:D28)</f>
        <v>0</v>
      </c>
      <c r="E29" s="5">
        <f>IF(B29&gt;0,SUMPRODUCT(E25:E28,F25:F28)/SUM(F25:F28),"0.00")</f>
        <v>176.88679200000001</v>
      </c>
      <c r="F29" s="6">
        <f>SUM(F25:F28)</f>
        <v>8.48E-2</v>
      </c>
      <c r="G29" s="76"/>
      <c r="H29" s="3" t="s">
        <v>2</v>
      </c>
      <c r="I29" s="4">
        <f>SUM(I25:I28)</f>
        <v>0</v>
      </c>
      <c r="J29" s="4">
        <f t="shared" ref="J29" si="1">SUM(J25:J28)</f>
        <v>0</v>
      </c>
      <c r="K29" s="5"/>
      <c r="L29" s="7">
        <f t="shared" ref="L29" si="2">SUM(L25:L28)</f>
        <v>0</v>
      </c>
      <c r="M29" s="26"/>
      <c r="N29" s="3" t="s">
        <v>2</v>
      </c>
      <c r="O29" s="4">
        <f>SUM(O25:O28)</f>
        <v>0</v>
      </c>
      <c r="P29" s="1"/>
    </row>
    <row r="30" spans="1:18" x14ac:dyDescent="0.25">
      <c r="J30"/>
    </row>
    <row r="31" spans="1:18" x14ac:dyDescent="0.25">
      <c r="D31" s="10"/>
    </row>
  </sheetData>
  <mergeCells count="17">
    <mergeCell ref="A23:F23"/>
    <mergeCell ref="G23:G29"/>
    <mergeCell ref="H23:L23"/>
    <mergeCell ref="N23:O23"/>
    <mergeCell ref="A12:O12"/>
    <mergeCell ref="A13:F13"/>
    <mergeCell ref="G13:G19"/>
    <mergeCell ref="H13:L13"/>
    <mergeCell ref="N13:O13"/>
    <mergeCell ref="A22:O22"/>
    <mergeCell ref="Q2:X2"/>
    <mergeCell ref="Q3:Q4"/>
    <mergeCell ref="R3:R4"/>
    <mergeCell ref="S3:S4"/>
    <mergeCell ref="T3:T4"/>
    <mergeCell ref="U3:W3"/>
    <mergeCell ref="X3:X4"/>
  </mergeCells>
  <hyperlinks>
    <hyperlink ref="A12:O12" location="'SEB Active 55'!A1" display="SESA5FE SS „SEB Active 55“ SE0016076046" xr:uid="{6C1F48AE-24E9-41A7-9352-0A81FC55DF8B}"/>
    <hyperlink ref="A22:O22" location="'SEB Active 80'!A1" display="SESA8FE SS „SEB Active 80“ SE0016076111" xr:uid="{AF20DCCA-441E-4FF6-8C9B-EBDABAA8B3E4}"/>
  </hyperlinks>
  <pageMargins left="0.7" right="0.7" top="0.75" bottom="0.75" header="0.3" footer="0.3"/>
  <ignoredErrors>
    <ignoredError sqref="E19 E29" formula="1"/>
  </ignoredError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013076-3ED7-45AA-85AC-D47F10699C27}">
  <dimension ref="A2:X31"/>
  <sheetViews>
    <sheetView workbookViewId="0">
      <selection activeCell="D31" sqref="D31"/>
    </sheetView>
  </sheetViews>
  <sheetFormatPr defaultRowHeight="15" x14ac:dyDescent="0.25"/>
  <cols>
    <col min="1" max="6" width="10.7109375" customWidth="1"/>
    <col min="7" max="7" width="2.7109375" customWidth="1"/>
    <col min="8" max="9" width="10.7109375" customWidth="1"/>
    <col min="10" max="10" width="10.7109375" style="1" customWidth="1"/>
    <col min="11" max="12" width="10.7109375" customWidth="1"/>
    <col min="13" max="13" width="2.7109375" customWidth="1"/>
    <col min="14" max="15" width="10.7109375" customWidth="1"/>
    <col min="16" max="16" width="5.7109375" customWidth="1"/>
    <col min="17" max="24" width="10.7109375" customWidth="1"/>
  </cols>
  <sheetData>
    <row r="2" spans="1:24" x14ac:dyDescent="0.25">
      <c r="Q2" s="67">
        <v>2026.07</v>
      </c>
      <c r="R2" s="68"/>
      <c r="S2" s="68"/>
      <c r="T2" s="68"/>
      <c r="U2" s="68"/>
      <c r="V2" s="68"/>
      <c r="W2" s="68"/>
      <c r="X2" s="69"/>
    </row>
    <row r="3" spans="1:24" x14ac:dyDescent="0.25">
      <c r="Q3" s="70" t="s">
        <v>11</v>
      </c>
      <c r="R3" s="70" t="s">
        <v>28</v>
      </c>
      <c r="S3" s="70" t="s">
        <v>24</v>
      </c>
      <c r="T3" s="70" t="s">
        <v>25</v>
      </c>
      <c r="U3" s="71" t="s">
        <v>26</v>
      </c>
      <c r="V3" s="72"/>
      <c r="W3" s="73"/>
      <c r="X3" s="56" t="s">
        <v>4</v>
      </c>
    </row>
    <row r="4" spans="1:24" x14ac:dyDescent="0.25">
      <c r="Q4" s="55"/>
      <c r="R4" s="55"/>
      <c r="S4" s="55"/>
      <c r="T4" s="55"/>
      <c r="U4" s="12" t="s">
        <v>21</v>
      </c>
      <c r="V4" s="12" t="s">
        <v>27</v>
      </c>
      <c r="W4" s="13" t="s">
        <v>22</v>
      </c>
      <c r="X4" s="56"/>
    </row>
    <row r="5" spans="1:24" x14ac:dyDescent="0.25">
      <c r="Q5" s="4">
        <f>(B19+B29+B39+B49+B59+B69+B79+B89+B99+B109)-T5</f>
        <v>30</v>
      </c>
      <c r="R5" s="4">
        <v>0</v>
      </c>
      <c r="S5" s="4">
        <f>(C19+C29+C39+C49+C59+C69+C79+C89+C99+C109)-T5</f>
        <v>30</v>
      </c>
      <c r="T5" s="4">
        <f>(I19+I29+I39+I49+I59+I69+I79+I89+I99+I109)-W5</f>
        <v>0</v>
      </c>
      <c r="U5" s="4">
        <f>D19+D29+D39+D49+D59+D69+D79+D89+D99+D109</f>
        <v>0</v>
      </c>
      <c r="V5" s="4">
        <v>0.18</v>
      </c>
      <c r="W5" s="4">
        <f>J19+J29+J39+J49+J59+J69+J79+J89+J99+J109</f>
        <v>0</v>
      </c>
      <c r="X5" s="4">
        <f>O19+O29+O39+O49+O59+O69+O79+O89+O99+O109</f>
        <v>0</v>
      </c>
    </row>
    <row r="11" spans="1:24" ht="15" customHeight="1" x14ac:dyDescent="0.25">
      <c r="J11"/>
    </row>
    <row r="12" spans="1:24" ht="15" customHeight="1" x14ac:dyDescent="0.25">
      <c r="A12" s="80" t="s">
        <v>39</v>
      </c>
      <c r="B12" s="81"/>
      <c r="C12" s="81"/>
      <c r="D12" s="81"/>
      <c r="E12" s="81"/>
      <c r="F12" s="81"/>
      <c r="G12" s="81"/>
      <c r="H12" s="81"/>
      <c r="I12" s="81"/>
      <c r="J12" s="81"/>
      <c r="K12" s="81"/>
      <c r="L12" s="81"/>
      <c r="M12" s="81"/>
      <c r="N12" s="81"/>
      <c r="O12" s="82"/>
    </row>
    <row r="13" spans="1:24" ht="15" customHeight="1" x14ac:dyDescent="0.25">
      <c r="A13" s="57" t="s">
        <v>21</v>
      </c>
      <c r="B13" s="58"/>
      <c r="C13" s="58"/>
      <c r="D13" s="58"/>
      <c r="E13" s="58"/>
      <c r="F13" s="59"/>
      <c r="G13" s="74"/>
      <c r="H13" s="77" t="s">
        <v>22</v>
      </c>
      <c r="I13" s="78"/>
      <c r="J13" s="78"/>
      <c r="K13" s="78"/>
      <c r="L13" s="79"/>
      <c r="M13" s="20"/>
      <c r="N13" s="57" t="s">
        <v>4</v>
      </c>
      <c r="O13" s="59"/>
      <c r="P13" s="21"/>
    </row>
    <row r="14" spans="1:24" ht="15" customHeight="1" x14ac:dyDescent="0.25">
      <c r="A14" s="22" t="s">
        <v>29</v>
      </c>
      <c r="B14" s="3" t="s">
        <v>3</v>
      </c>
      <c r="C14" s="3" t="s">
        <v>31</v>
      </c>
      <c r="D14" s="3" t="s">
        <v>10</v>
      </c>
      <c r="E14" s="3" t="s">
        <v>0</v>
      </c>
      <c r="F14" s="3" t="s">
        <v>1</v>
      </c>
      <c r="G14" s="75"/>
      <c r="H14" s="22" t="s">
        <v>29</v>
      </c>
      <c r="I14" s="3" t="s">
        <v>23</v>
      </c>
      <c r="J14" s="3" t="s">
        <v>10</v>
      </c>
      <c r="K14" s="3" t="s">
        <v>0</v>
      </c>
      <c r="L14" s="3" t="s">
        <v>1</v>
      </c>
      <c r="M14" s="23"/>
      <c r="N14" s="19" t="s">
        <v>29</v>
      </c>
      <c r="O14" s="3" t="s">
        <v>23</v>
      </c>
      <c r="P14" s="21"/>
    </row>
    <row r="15" spans="1:24" ht="15" customHeight="1" x14ac:dyDescent="0.25">
      <c r="A15" s="29">
        <v>46232</v>
      </c>
      <c r="B15" s="24">
        <v>15</v>
      </c>
      <c r="C15" s="4">
        <v>15</v>
      </c>
      <c r="D15" s="4">
        <f>B15-C15</f>
        <v>0</v>
      </c>
      <c r="E15" s="37">
        <v>149.70059900000001</v>
      </c>
      <c r="F15" s="6">
        <f>B15/E15</f>
        <v>0.1002</v>
      </c>
      <c r="G15" s="75"/>
      <c r="H15" s="29"/>
      <c r="I15" s="5"/>
      <c r="J15" s="4"/>
      <c r="K15" s="4"/>
      <c r="L15" s="5"/>
      <c r="M15" s="25"/>
      <c r="N15" s="29"/>
      <c r="O15" s="4"/>
      <c r="P15" s="1"/>
    </row>
    <row r="16" spans="1:24" ht="15" customHeight="1" x14ac:dyDescent="0.25">
      <c r="A16" s="29"/>
      <c r="B16" s="4"/>
      <c r="C16" s="4"/>
      <c r="D16" s="4"/>
      <c r="E16" s="37"/>
      <c r="F16" s="6"/>
      <c r="G16" s="75"/>
      <c r="H16" s="29"/>
      <c r="I16" s="2"/>
      <c r="J16" s="2"/>
      <c r="K16" s="2"/>
      <c r="L16" s="2"/>
      <c r="M16" s="15"/>
      <c r="N16" s="29"/>
      <c r="O16" s="2"/>
    </row>
    <row r="17" spans="1:18" ht="15" customHeight="1" x14ac:dyDescent="0.3">
      <c r="A17" s="30"/>
      <c r="B17" s="4"/>
      <c r="C17" s="5"/>
      <c r="D17" s="5"/>
      <c r="E17" s="5"/>
      <c r="F17" s="7"/>
      <c r="G17" s="75"/>
      <c r="H17" s="30"/>
      <c r="I17" s="2"/>
      <c r="J17" s="2"/>
      <c r="K17" s="2"/>
      <c r="L17" s="2"/>
      <c r="M17" s="15"/>
      <c r="N17" s="30"/>
      <c r="O17" s="2"/>
    </row>
    <row r="18" spans="1:18" ht="15" customHeight="1" x14ac:dyDescent="0.3">
      <c r="A18" s="30"/>
      <c r="B18" s="4"/>
      <c r="C18" s="5"/>
      <c r="D18" s="5"/>
      <c r="E18" s="5"/>
      <c r="F18" s="7"/>
      <c r="G18" s="75"/>
      <c r="H18" s="30"/>
      <c r="I18" s="2"/>
      <c r="J18" s="2"/>
      <c r="K18" s="2"/>
      <c r="L18" s="2"/>
      <c r="M18" s="15"/>
      <c r="N18" s="30"/>
      <c r="O18" s="2"/>
    </row>
    <row r="19" spans="1:18" ht="15" customHeight="1" x14ac:dyDescent="0.25">
      <c r="A19" s="3" t="s">
        <v>2</v>
      </c>
      <c r="B19" s="4">
        <f>SUM(B15:B18)</f>
        <v>15</v>
      </c>
      <c r="C19" s="4">
        <f>SUM(C15:C18)</f>
        <v>15</v>
      </c>
      <c r="D19" s="4">
        <f>SUM(D15:D18)</f>
        <v>0</v>
      </c>
      <c r="E19" s="5">
        <f>IF(B19&gt;0,SUMPRODUCT(E15:E18,F15:F18)/SUM(F15:F18),"0.00")</f>
        <v>149.70059900000001</v>
      </c>
      <c r="F19" s="6">
        <f>SUM(F15:F18)</f>
        <v>0.1002</v>
      </c>
      <c r="G19" s="76"/>
      <c r="H19" s="3" t="s">
        <v>2</v>
      </c>
      <c r="I19" s="4">
        <f>SUM(I15:I18)</f>
        <v>0</v>
      </c>
      <c r="J19" s="4">
        <f t="shared" ref="J19:L19" si="0">SUM(J15:J18)</f>
        <v>0</v>
      </c>
      <c r="K19" s="5"/>
      <c r="L19" s="7">
        <f t="shared" si="0"/>
        <v>0</v>
      </c>
      <c r="M19" s="26"/>
      <c r="N19" s="3" t="s">
        <v>2</v>
      </c>
      <c r="O19" s="4">
        <f>SUM(O15:O18)</f>
        <v>0</v>
      </c>
      <c r="P19" s="1"/>
    </row>
    <row r="20" spans="1:18" ht="15" customHeight="1" x14ac:dyDescent="0.25">
      <c r="B20" s="27"/>
      <c r="E20" s="1"/>
      <c r="F20" s="11"/>
      <c r="J20"/>
    </row>
    <row r="21" spans="1:18" ht="15" customHeight="1" x14ac:dyDescent="0.25">
      <c r="B21" s="1"/>
      <c r="E21" s="1"/>
      <c r="F21" s="1"/>
      <c r="J21"/>
    </row>
    <row r="22" spans="1:18" ht="15" customHeight="1" x14ac:dyDescent="0.25">
      <c r="A22" s="80" t="s">
        <v>38</v>
      </c>
      <c r="B22" s="81"/>
      <c r="C22" s="81"/>
      <c r="D22" s="81"/>
      <c r="E22" s="81"/>
      <c r="F22" s="81"/>
      <c r="G22" s="81"/>
      <c r="H22" s="81"/>
      <c r="I22" s="81"/>
      <c r="J22" s="81"/>
      <c r="K22" s="81"/>
      <c r="L22" s="81"/>
      <c r="M22" s="81"/>
      <c r="N22" s="81"/>
      <c r="O22" s="82"/>
    </row>
    <row r="23" spans="1:18" ht="15" customHeight="1" x14ac:dyDescent="0.25">
      <c r="A23" s="57" t="s">
        <v>21</v>
      </c>
      <c r="B23" s="58"/>
      <c r="C23" s="58"/>
      <c r="D23" s="58"/>
      <c r="E23" s="58"/>
      <c r="F23" s="59"/>
      <c r="G23" s="74"/>
      <c r="H23" s="77" t="s">
        <v>22</v>
      </c>
      <c r="I23" s="78"/>
      <c r="J23" s="78"/>
      <c r="K23" s="78"/>
      <c r="L23" s="79"/>
      <c r="M23" s="20"/>
      <c r="N23" s="57" t="s">
        <v>4</v>
      </c>
      <c r="O23" s="59"/>
      <c r="P23" s="21"/>
    </row>
    <row r="24" spans="1:18" ht="15" customHeight="1" x14ac:dyDescent="0.25">
      <c r="A24" s="22" t="s">
        <v>29</v>
      </c>
      <c r="B24" s="3" t="s">
        <v>3</v>
      </c>
      <c r="C24" s="3" t="s">
        <v>31</v>
      </c>
      <c r="D24" s="3" t="s">
        <v>10</v>
      </c>
      <c r="E24" s="3" t="s">
        <v>0</v>
      </c>
      <c r="F24" s="3" t="s">
        <v>1</v>
      </c>
      <c r="G24" s="75"/>
      <c r="H24" s="22" t="s">
        <v>29</v>
      </c>
      <c r="I24" s="3" t="s">
        <v>23</v>
      </c>
      <c r="J24" s="3" t="s">
        <v>10</v>
      </c>
      <c r="K24" s="3" t="s">
        <v>0</v>
      </c>
      <c r="L24" s="3" t="s">
        <v>1</v>
      </c>
      <c r="M24" s="23"/>
      <c r="N24" s="19" t="s">
        <v>29</v>
      </c>
      <c r="O24" s="3" t="s">
        <v>23</v>
      </c>
      <c r="P24" s="21"/>
    </row>
    <row r="25" spans="1:18" ht="15" customHeight="1" x14ac:dyDescent="0.25">
      <c r="A25" s="29">
        <v>46232</v>
      </c>
      <c r="B25" s="24">
        <v>15</v>
      </c>
      <c r="C25" s="4">
        <v>15</v>
      </c>
      <c r="D25" s="4">
        <f>B25-C25</f>
        <v>0</v>
      </c>
      <c r="E25" s="5">
        <v>172.413793</v>
      </c>
      <c r="F25" s="32">
        <f>C25/E25</f>
        <v>8.6999999999999994E-2</v>
      </c>
      <c r="G25" s="75"/>
      <c r="H25" s="29"/>
      <c r="I25" s="5"/>
      <c r="J25" s="4"/>
      <c r="K25" s="4"/>
      <c r="L25" s="5"/>
      <c r="M25" s="25"/>
      <c r="N25" s="29"/>
      <c r="O25" s="4"/>
      <c r="P25" s="1"/>
      <c r="R25" s="1"/>
    </row>
    <row r="26" spans="1:18" ht="15" customHeight="1" x14ac:dyDescent="0.25">
      <c r="A26" s="29"/>
      <c r="B26" s="4"/>
      <c r="C26" s="4"/>
      <c r="D26" s="4"/>
      <c r="E26" s="5"/>
      <c r="F26" s="32"/>
      <c r="G26" s="75"/>
      <c r="H26" s="29"/>
      <c r="I26" s="2"/>
      <c r="J26" s="2"/>
      <c r="K26" s="2"/>
      <c r="L26" s="2"/>
      <c r="M26" s="15"/>
      <c r="N26" s="29"/>
      <c r="O26" s="2"/>
    </row>
    <row r="27" spans="1:18" ht="15" customHeight="1" x14ac:dyDescent="0.3">
      <c r="A27" s="30"/>
      <c r="B27" s="4"/>
      <c r="C27" s="5"/>
      <c r="D27" s="5"/>
      <c r="E27" s="5"/>
      <c r="F27" s="7"/>
      <c r="G27" s="75"/>
      <c r="H27" s="30"/>
      <c r="I27" s="2"/>
      <c r="J27" s="2"/>
      <c r="K27" s="2"/>
      <c r="L27" s="2"/>
      <c r="M27" s="15"/>
      <c r="N27" s="30"/>
      <c r="O27" s="2"/>
    </row>
    <row r="28" spans="1:18" ht="15" customHeight="1" x14ac:dyDescent="0.3">
      <c r="A28" s="30"/>
      <c r="B28" s="4"/>
      <c r="C28" s="5"/>
      <c r="D28" s="5"/>
      <c r="E28" s="5"/>
      <c r="F28" s="5"/>
      <c r="G28" s="75"/>
      <c r="H28" s="30"/>
      <c r="I28" s="2"/>
      <c r="J28" s="2"/>
      <c r="K28" s="2"/>
      <c r="L28" s="2"/>
      <c r="M28" s="15"/>
      <c r="N28" s="30"/>
      <c r="O28" s="2"/>
    </row>
    <row r="29" spans="1:18" ht="15" customHeight="1" x14ac:dyDescent="0.25">
      <c r="A29" s="3" t="s">
        <v>2</v>
      </c>
      <c r="B29" s="4">
        <f>SUM(B25:B28)</f>
        <v>15</v>
      </c>
      <c r="C29" s="4">
        <f>SUM(C25:C28)</f>
        <v>15</v>
      </c>
      <c r="D29" s="4">
        <f>SUM(D25:D28)</f>
        <v>0</v>
      </c>
      <c r="E29" s="5">
        <f>IF(B29&gt;0,SUMPRODUCT(E25:E28,F25:F28)/SUM(F25:F28),"0.00")</f>
        <v>172.413793</v>
      </c>
      <c r="F29" s="6">
        <f>SUM(F25:F28)</f>
        <v>8.6999999999999994E-2</v>
      </c>
      <c r="G29" s="76"/>
      <c r="H29" s="3" t="s">
        <v>2</v>
      </c>
      <c r="I29" s="4">
        <f>SUM(I25:I28)</f>
        <v>0</v>
      </c>
      <c r="J29" s="4">
        <f t="shared" ref="J29" si="1">SUM(J25:J28)</f>
        <v>0</v>
      </c>
      <c r="K29" s="5"/>
      <c r="L29" s="7">
        <f t="shared" ref="L29" si="2">SUM(L25:L28)</f>
        <v>0</v>
      </c>
      <c r="M29" s="26"/>
      <c r="N29" s="3" t="s">
        <v>2</v>
      </c>
      <c r="O29" s="4">
        <f>SUM(O25:O28)</f>
        <v>0</v>
      </c>
      <c r="P29" s="1"/>
    </row>
    <row r="30" spans="1:18" x14ac:dyDescent="0.25">
      <c r="J30"/>
    </row>
    <row r="31" spans="1:18" x14ac:dyDescent="0.25">
      <c r="D31" s="10"/>
    </row>
  </sheetData>
  <mergeCells count="17">
    <mergeCell ref="A23:F23"/>
    <mergeCell ref="G23:G29"/>
    <mergeCell ref="H23:L23"/>
    <mergeCell ref="N23:O23"/>
    <mergeCell ref="A12:O12"/>
    <mergeCell ref="A13:F13"/>
    <mergeCell ref="G13:G19"/>
    <mergeCell ref="H13:L13"/>
    <mergeCell ref="N13:O13"/>
    <mergeCell ref="A22:O22"/>
    <mergeCell ref="Q2:X2"/>
    <mergeCell ref="Q3:Q4"/>
    <mergeCell ref="R3:R4"/>
    <mergeCell ref="S3:S4"/>
    <mergeCell ref="T3:T4"/>
    <mergeCell ref="U3:W3"/>
    <mergeCell ref="X3:X4"/>
  </mergeCells>
  <hyperlinks>
    <hyperlink ref="A12:O12" location="'SEB Active 55'!A1" display="SESA5FE SS „SEB Active 55“ SE0016076046" xr:uid="{B8BF3D55-D0EA-4C96-AD88-ADFB2A92C4AF}"/>
    <hyperlink ref="A22:O22" location="'SEB Active 80'!A1" display="SESA8FE SS „SEB Active 80“ SE0016076111" xr:uid="{CE524EDD-A2EA-4B5A-920B-23BAD642A6BE}"/>
  </hyperlinks>
  <pageMargins left="0.7" right="0.7" top="0.75" bottom="0.75" header="0.3" footer="0.3"/>
  <ignoredErrors>
    <ignoredError sqref="E19 E29" formula="1"/>
  </ignoredError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9532E6-CAE8-4337-A6B6-CDD4D6970AB7}">
  <dimension ref="A2:X31"/>
  <sheetViews>
    <sheetView workbookViewId="0">
      <selection activeCell="V6" sqref="V6"/>
    </sheetView>
  </sheetViews>
  <sheetFormatPr defaultRowHeight="15" x14ac:dyDescent="0.25"/>
  <cols>
    <col min="1" max="6" width="10.7109375" customWidth="1"/>
    <col min="7" max="7" width="2.7109375" customWidth="1"/>
    <col min="8" max="9" width="10.7109375" customWidth="1"/>
    <col min="10" max="10" width="10.7109375" style="1" customWidth="1"/>
    <col min="11" max="12" width="10.7109375" customWidth="1"/>
    <col min="13" max="13" width="2.7109375" customWidth="1"/>
    <col min="14" max="15" width="10.7109375" customWidth="1"/>
    <col min="16" max="16" width="5.7109375" customWidth="1"/>
    <col min="17" max="24" width="10.7109375" customWidth="1"/>
  </cols>
  <sheetData>
    <row r="2" spans="1:24" x14ac:dyDescent="0.25">
      <c r="Q2" s="67">
        <v>2026.06</v>
      </c>
      <c r="R2" s="68"/>
      <c r="S2" s="68"/>
      <c r="T2" s="68"/>
      <c r="U2" s="68"/>
      <c r="V2" s="68"/>
      <c r="W2" s="68"/>
      <c r="X2" s="69"/>
    </row>
    <row r="3" spans="1:24" x14ac:dyDescent="0.25">
      <c r="Q3" s="70" t="s">
        <v>11</v>
      </c>
      <c r="R3" s="70" t="s">
        <v>28</v>
      </c>
      <c r="S3" s="70" t="s">
        <v>24</v>
      </c>
      <c r="T3" s="70" t="s">
        <v>25</v>
      </c>
      <c r="U3" s="71" t="s">
        <v>26</v>
      </c>
      <c r="V3" s="72"/>
      <c r="W3" s="73"/>
      <c r="X3" s="56" t="s">
        <v>4</v>
      </c>
    </row>
    <row r="4" spans="1:24" x14ac:dyDescent="0.25">
      <c r="Q4" s="55"/>
      <c r="R4" s="55"/>
      <c r="S4" s="55"/>
      <c r="T4" s="55"/>
      <c r="U4" s="12" t="s">
        <v>21</v>
      </c>
      <c r="V4" s="12" t="s">
        <v>27</v>
      </c>
      <c r="W4" s="13" t="s">
        <v>22</v>
      </c>
      <c r="X4" s="56"/>
    </row>
    <row r="5" spans="1:24" x14ac:dyDescent="0.25">
      <c r="Q5" s="4">
        <f>(B19+B29+B39+B49+B59+B69+B79+B89+B99+B109)-T5</f>
        <v>30</v>
      </c>
      <c r="R5" s="4">
        <v>0</v>
      </c>
      <c r="S5" s="4">
        <f>(C19+C29+C39+C49+C59+C69+C79+C89+C99+C109)-T5</f>
        <v>30</v>
      </c>
      <c r="T5" s="4">
        <f>(I19+I29+I39+I49+I59+I69+I79+I89+I99+I109)-W5</f>
        <v>0</v>
      </c>
      <c r="U5" s="4">
        <f>D19+D29+D39+D49+D59+D69+D79+D89+D99+D109</f>
        <v>0</v>
      </c>
      <c r="V5" s="4">
        <v>0.18</v>
      </c>
      <c r="W5" s="4">
        <f>J19+J29+J39+J49+J59+J69+J79+J89+J99+J109</f>
        <v>0</v>
      </c>
      <c r="X5" s="4">
        <f>O19+O29+O39+O49+O59+O69+O79+O89+O99+O109</f>
        <v>0</v>
      </c>
    </row>
    <row r="11" spans="1:24" ht="15" customHeight="1" x14ac:dyDescent="0.25">
      <c r="J11"/>
    </row>
    <row r="12" spans="1:24" ht="15" customHeight="1" x14ac:dyDescent="0.25">
      <c r="A12" s="80" t="s">
        <v>39</v>
      </c>
      <c r="B12" s="81"/>
      <c r="C12" s="81"/>
      <c r="D12" s="81"/>
      <c r="E12" s="81"/>
      <c r="F12" s="81"/>
      <c r="G12" s="81"/>
      <c r="H12" s="81"/>
      <c r="I12" s="81"/>
      <c r="J12" s="81"/>
      <c r="K12" s="81"/>
      <c r="L12" s="81"/>
      <c r="M12" s="81"/>
      <c r="N12" s="81"/>
      <c r="O12" s="82"/>
    </row>
    <row r="13" spans="1:24" ht="15" customHeight="1" x14ac:dyDescent="0.25">
      <c r="A13" s="57" t="s">
        <v>21</v>
      </c>
      <c r="B13" s="58"/>
      <c r="C13" s="58"/>
      <c r="D13" s="58"/>
      <c r="E13" s="58"/>
      <c r="F13" s="59"/>
      <c r="G13" s="74"/>
      <c r="H13" s="77" t="s">
        <v>22</v>
      </c>
      <c r="I13" s="78"/>
      <c r="J13" s="78"/>
      <c r="K13" s="78"/>
      <c r="L13" s="79"/>
      <c r="M13" s="20"/>
      <c r="N13" s="57" t="s">
        <v>4</v>
      </c>
      <c r="O13" s="59"/>
      <c r="P13" s="21"/>
    </row>
    <row r="14" spans="1:24" ht="15" customHeight="1" x14ac:dyDescent="0.25">
      <c r="A14" s="22" t="s">
        <v>29</v>
      </c>
      <c r="B14" s="3" t="s">
        <v>3</v>
      </c>
      <c r="C14" s="3" t="s">
        <v>31</v>
      </c>
      <c r="D14" s="3" t="s">
        <v>10</v>
      </c>
      <c r="E14" s="3" t="s">
        <v>0</v>
      </c>
      <c r="F14" s="3" t="s">
        <v>1</v>
      </c>
      <c r="G14" s="75"/>
      <c r="H14" s="22" t="s">
        <v>29</v>
      </c>
      <c r="I14" s="3" t="s">
        <v>23</v>
      </c>
      <c r="J14" s="3" t="s">
        <v>10</v>
      </c>
      <c r="K14" s="3" t="s">
        <v>0</v>
      </c>
      <c r="L14" s="3" t="s">
        <v>1</v>
      </c>
      <c r="M14" s="23"/>
      <c r="N14" s="19" t="s">
        <v>29</v>
      </c>
      <c r="O14" s="3" t="s">
        <v>23</v>
      </c>
      <c r="P14" s="21"/>
    </row>
    <row r="15" spans="1:24" ht="15" customHeight="1" x14ac:dyDescent="0.25">
      <c r="A15" s="29">
        <v>46203</v>
      </c>
      <c r="B15" s="24">
        <v>15</v>
      </c>
      <c r="C15" s="4">
        <v>15</v>
      </c>
      <c r="D15" s="4">
        <f>B15-C15</f>
        <v>0</v>
      </c>
      <c r="E15" s="37">
        <v>148.80952400000001</v>
      </c>
      <c r="F15" s="6">
        <f>B15/E15</f>
        <v>0.1008</v>
      </c>
      <c r="G15" s="75"/>
      <c r="H15" s="29"/>
      <c r="I15" s="5"/>
      <c r="J15" s="4"/>
      <c r="K15" s="4"/>
      <c r="L15" s="5"/>
      <c r="M15" s="25"/>
      <c r="N15" s="29"/>
      <c r="O15" s="4"/>
      <c r="P15" s="1"/>
    </row>
    <row r="16" spans="1:24" ht="15" customHeight="1" x14ac:dyDescent="0.25">
      <c r="A16" s="29"/>
      <c r="B16" s="4"/>
      <c r="C16" s="4"/>
      <c r="D16" s="4"/>
      <c r="E16" s="37"/>
      <c r="F16" s="6"/>
      <c r="G16" s="75"/>
      <c r="H16" s="29"/>
      <c r="I16" s="2"/>
      <c r="J16" s="2"/>
      <c r="K16" s="2"/>
      <c r="L16" s="2"/>
      <c r="M16" s="15"/>
      <c r="N16" s="29"/>
      <c r="O16" s="2"/>
    </row>
    <row r="17" spans="1:18" ht="15" customHeight="1" x14ac:dyDescent="0.3">
      <c r="A17" s="30"/>
      <c r="B17" s="4"/>
      <c r="C17" s="5"/>
      <c r="D17" s="5"/>
      <c r="E17" s="5"/>
      <c r="F17" s="7"/>
      <c r="G17" s="75"/>
      <c r="H17" s="30"/>
      <c r="I17" s="2"/>
      <c r="J17" s="2"/>
      <c r="K17" s="2"/>
      <c r="L17" s="2"/>
      <c r="M17" s="15"/>
      <c r="N17" s="30"/>
      <c r="O17" s="2"/>
    </row>
    <row r="18" spans="1:18" ht="15" customHeight="1" x14ac:dyDescent="0.3">
      <c r="A18" s="30"/>
      <c r="B18" s="4"/>
      <c r="C18" s="5"/>
      <c r="D18" s="5"/>
      <c r="E18" s="5"/>
      <c r="F18" s="7"/>
      <c r="G18" s="75"/>
      <c r="H18" s="30"/>
      <c r="I18" s="2"/>
      <c r="J18" s="2"/>
      <c r="K18" s="2"/>
      <c r="L18" s="2"/>
      <c r="M18" s="15"/>
      <c r="N18" s="30"/>
      <c r="O18" s="2"/>
    </row>
    <row r="19" spans="1:18" ht="15" customHeight="1" x14ac:dyDescent="0.25">
      <c r="A19" s="3" t="s">
        <v>2</v>
      </c>
      <c r="B19" s="4">
        <f>SUM(B15:B18)</f>
        <v>15</v>
      </c>
      <c r="C19" s="4">
        <f>SUM(C15:C18)</f>
        <v>15</v>
      </c>
      <c r="D19" s="4">
        <f>SUM(D15:D18)</f>
        <v>0</v>
      </c>
      <c r="E19" s="5">
        <f>IF(B19&gt;0,SUMPRODUCT(E15:E18,F15:F18)/SUM(F15:F18),"0.00")</f>
        <v>148.80952400000001</v>
      </c>
      <c r="F19" s="6">
        <f>SUM(F15:F18)</f>
        <v>0.1008</v>
      </c>
      <c r="G19" s="76"/>
      <c r="H19" s="3" t="s">
        <v>2</v>
      </c>
      <c r="I19" s="4">
        <f>SUM(I15:I18)</f>
        <v>0</v>
      </c>
      <c r="J19" s="4">
        <f t="shared" ref="J19:L19" si="0">SUM(J15:J18)</f>
        <v>0</v>
      </c>
      <c r="K19" s="5"/>
      <c r="L19" s="7">
        <f t="shared" si="0"/>
        <v>0</v>
      </c>
      <c r="M19" s="26"/>
      <c r="N19" s="3" t="s">
        <v>2</v>
      </c>
      <c r="O19" s="4">
        <f>SUM(O15:O18)</f>
        <v>0</v>
      </c>
      <c r="P19" s="1"/>
    </row>
    <row r="20" spans="1:18" ht="15" customHeight="1" x14ac:dyDescent="0.25">
      <c r="B20" s="27"/>
      <c r="E20" s="1"/>
      <c r="F20" s="11"/>
      <c r="J20"/>
    </row>
    <row r="21" spans="1:18" ht="15" customHeight="1" x14ac:dyDescent="0.25">
      <c r="B21" s="1"/>
      <c r="E21" s="1"/>
      <c r="F21" s="1"/>
      <c r="J21"/>
    </row>
    <row r="22" spans="1:18" ht="15" customHeight="1" x14ac:dyDescent="0.25">
      <c r="A22" s="80" t="s">
        <v>38</v>
      </c>
      <c r="B22" s="81"/>
      <c r="C22" s="81"/>
      <c r="D22" s="81"/>
      <c r="E22" s="81"/>
      <c r="F22" s="81"/>
      <c r="G22" s="81"/>
      <c r="H22" s="81"/>
      <c r="I22" s="81"/>
      <c r="J22" s="81"/>
      <c r="K22" s="81"/>
      <c r="L22" s="81"/>
      <c r="M22" s="81"/>
      <c r="N22" s="81"/>
      <c r="O22" s="82"/>
    </row>
    <row r="23" spans="1:18" ht="15" customHeight="1" x14ac:dyDescent="0.25">
      <c r="A23" s="57" t="s">
        <v>21</v>
      </c>
      <c r="B23" s="58"/>
      <c r="C23" s="58"/>
      <c r="D23" s="58"/>
      <c r="E23" s="58"/>
      <c r="F23" s="59"/>
      <c r="G23" s="74"/>
      <c r="H23" s="77" t="s">
        <v>22</v>
      </c>
      <c r="I23" s="78"/>
      <c r="J23" s="78"/>
      <c r="K23" s="78"/>
      <c r="L23" s="79"/>
      <c r="M23" s="20"/>
      <c r="N23" s="57" t="s">
        <v>4</v>
      </c>
      <c r="O23" s="59"/>
      <c r="P23" s="21"/>
    </row>
    <row r="24" spans="1:18" ht="15" customHeight="1" x14ac:dyDescent="0.25">
      <c r="A24" s="22" t="s">
        <v>29</v>
      </c>
      <c r="B24" s="3" t="s">
        <v>3</v>
      </c>
      <c r="C24" s="3" t="s">
        <v>31</v>
      </c>
      <c r="D24" s="3" t="s">
        <v>10</v>
      </c>
      <c r="E24" s="3" t="s">
        <v>0</v>
      </c>
      <c r="F24" s="3" t="s">
        <v>1</v>
      </c>
      <c r="G24" s="75"/>
      <c r="H24" s="22" t="s">
        <v>29</v>
      </c>
      <c r="I24" s="3" t="s">
        <v>23</v>
      </c>
      <c r="J24" s="3" t="s">
        <v>10</v>
      </c>
      <c r="K24" s="3" t="s">
        <v>0</v>
      </c>
      <c r="L24" s="3" t="s">
        <v>1</v>
      </c>
      <c r="M24" s="23"/>
      <c r="N24" s="19" t="s">
        <v>29</v>
      </c>
      <c r="O24" s="3" t="s">
        <v>23</v>
      </c>
      <c r="P24" s="21"/>
    </row>
    <row r="25" spans="1:18" ht="15" customHeight="1" x14ac:dyDescent="0.25">
      <c r="A25" s="29">
        <v>46202</v>
      </c>
      <c r="B25" s="24">
        <v>15</v>
      </c>
      <c r="C25" s="4">
        <v>15</v>
      </c>
      <c r="D25" s="4">
        <f>B25-C25</f>
        <v>0</v>
      </c>
      <c r="E25" s="5">
        <v>172.018349</v>
      </c>
      <c r="F25" s="32">
        <f>C25/E25</f>
        <v>8.72E-2</v>
      </c>
      <c r="G25" s="75"/>
      <c r="H25" s="29"/>
      <c r="I25" s="5"/>
      <c r="J25" s="4"/>
      <c r="K25" s="4"/>
      <c r="L25" s="5"/>
      <c r="M25" s="25"/>
      <c r="N25" s="29"/>
      <c r="O25" s="4"/>
      <c r="P25" s="1"/>
      <c r="R25" s="1"/>
    </row>
    <row r="26" spans="1:18" ht="15" customHeight="1" x14ac:dyDescent="0.25">
      <c r="A26" s="29"/>
      <c r="B26" s="4"/>
      <c r="C26" s="4"/>
      <c r="D26" s="4"/>
      <c r="E26" s="5"/>
      <c r="F26" s="32"/>
      <c r="G26" s="75"/>
      <c r="H26" s="29"/>
      <c r="I26" s="2"/>
      <c r="J26" s="2"/>
      <c r="K26" s="2"/>
      <c r="L26" s="2"/>
      <c r="M26" s="15"/>
      <c r="N26" s="29"/>
      <c r="O26" s="2"/>
    </row>
    <row r="27" spans="1:18" ht="15" customHeight="1" x14ac:dyDescent="0.3">
      <c r="A27" s="30"/>
      <c r="B27" s="4"/>
      <c r="C27" s="5"/>
      <c r="D27" s="5"/>
      <c r="E27" s="5"/>
      <c r="F27" s="7"/>
      <c r="G27" s="75"/>
      <c r="H27" s="30"/>
      <c r="I27" s="2"/>
      <c r="J27" s="2"/>
      <c r="K27" s="2"/>
      <c r="L27" s="2"/>
      <c r="M27" s="15"/>
      <c r="N27" s="30"/>
      <c r="O27" s="2"/>
    </row>
    <row r="28" spans="1:18" ht="15" customHeight="1" x14ac:dyDescent="0.3">
      <c r="A28" s="30"/>
      <c r="B28" s="4"/>
      <c r="C28" s="5"/>
      <c r="D28" s="5"/>
      <c r="E28" s="5"/>
      <c r="F28" s="5"/>
      <c r="G28" s="75"/>
      <c r="H28" s="30"/>
      <c r="I28" s="2"/>
      <c r="J28" s="2"/>
      <c r="K28" s="2"/>
      <c r="L28" s="2"/>
      <c r="M28" s="15"/>
      <c r="N28" s="30"/>
      <c r="O28" s="2"/>
    </row>
    <row r="29" spans="1:18" ht="15" customHeight="1" x14ac:dyDescent="0.25">
      <c r="A29" s="3" t="s">
        <v>2</v>
      </c>
      <c r="B29" s="4">
        <f>SUM(B25:B28)</f>
        <v>15</v>
      </c>
      <c r="C29" s="4">
        <f>SUM(C25:C28)</f>
        <v>15</v>
      </c>
      <c r="D29" s="4">
        <f>SUM(D25:D28)</f>
        <v>0</v>
      </c>
      <c r="E29" s="5">
        <f>IF(B29&gt;0,SUMPRODUCT(E25:E28,F25:F28)/SUM(F25:F28),"0.00")</f>
        <v>172.018349</v>
      </c>
      <c r="F29" s="6">
        <f>SUM(F25:F28)</f>
        <v>8.72E-2</v>
      </c>
      <c r="G29" s="76"/>
      <c r="H29" s="3" t="s">
        <v>2</v>
      </c>
      <c r="I29" s="4">
        <f>SUM(I25:I28)</f>
        <v>0</v>
      </c>
      <c r="J29" s="4">
        <f t="shared" ref="J29" si="1">SUM(J25:J28)</f>
        <v>0</v>
      </c>
      <c r="K29" s="5"/>
      <c r="L29" s="7">
        <f t="shared" ref="L29" si="2">SUM(L25:L28)</f>
        <v>0</v>
      </c>
      <c r="M29" s="26"/>
      <c r="N29" s="3" t="s">
        <v>2</v>
      </c>
      <c r="O29" s="4">
        <f>SUM(O25:O28)</f>
        <v>0</v>
      </c>
      <c r="P29" s="1"/>
    </row>
    <row r="30" spans="1:18" x14ac:dyDescent="0.25">
      <c r="J30"/>
    </row>
    <row r="31" spans="1:18" x14ac:dyDescent="0.25">
      <c r="D31" s="10"/>
    </row>
  </sheetData>
  <mergeCells count="17">
    <mergeCell ref="A23:F23"/>
    <mergeCell ref="G23:G29"/>
    <mergeCell ref="H23:L23"/>
    <mergeCell ref="N23:O23"/>
    <mergeCell ref="A12:O12"/>
    <mergeCell ref="A13:F13"/>
    <mergeCell ref="G13:G19"/>
    <mergeCell ref="H13:L13"/>
    <mergeCell ref="N13:O13"/>
    <mergeCell ref="A22:O22"/>
    <mergeCell ref="Q2:X2"/>
    <mergeCell ref="Q3:Q4"/>
    <mergeCell ref="R3:R4"/>
    <mergeCell ref="S3:S4"/>
    <mergeCell ref="T3:T4"/>
    <mergeCell ref="U3:W3"/>
    <mergeCell ref="X3:X4"/>
  </mergeCells>
  <hyperlinks>
    <hyperlink ref="A12:O12" location="'SEB Active 55'!A1" display="SESA5FE SS „SEB Active 55“ SE0016076046" xr:uid="{68A17978-0B83-49DF-A0FD-E4379C008654}"/>
    <hyperlink ref="A22:O22" location="'SEB Active 80'!A1" display="SESA8FE SS „SEB Active 80“ SE0016076111" xr:uid="{81F9576F-CC8F-4179-9783-737F0A47B943}"/>
  </hyperlinks>
  <pageMargins left="0.7" right="0.7" top="0.75" bottom="0.75" header="0.3" footer="0.3"/>
  <ignoredErrors>
    <ignoredError sqref="E19 E29" formula="1"/>
  </ignoredError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F02FC3-5557-4B30-BFCC-8FB3067A2A40}">
  <dimension ref="A2:X31"/>
  <sheetViews>
    <sheetView workbookViewId="0">
      <selection activeCell="A22" sqref="A22:O22"/>
    </sheetView>
  </sheetViews>
  <sheetFormatPr defaultRowHeight="15" x14ac:dyDescent="0.25"/>
  <cols>
    <col min="1" max="6" width="10.7109375" customWidth="1"/>
    <col min="7" max="7" width="2.7109375" customWidth="1"/>
    <col min="8" max="9" width="10.7109375" customWidth="1"/>
    <col min="10" max="10" width="10.7109375" style="1" customWidth="1"/>
    <col min="11" max="12" width="10.7109375" customWidth="1"/>
    <col min="13" max="13" width="2.7109375" customWidth="1"/>
    <col min="14" max="15" width="10.7109375" customWidth="1"/>
    <col min="16" max="16" width="5.7109375" customWidth="1"/>
    <col min="17" max="24" width="10.7109375" customWidth="1"/>
  </cols>
  <sheetData>
    <row r="2" spans="1:24" x14ac:dyDescent="0.25">
      <c r="Q2" s="67">
        <v>2026.05</v>
      </c>
      <c r="R2" s="68"/>
      <c r="S2" s="68"/>
      <c r="T2" s="68"/>
      <c r="U2" s="68"/>
      <c r="V2" s="68"/>
      <c r="W2" s="68"/>
      <c r="X2" s="69"/>
    </row>
    <row r="3" spans="1:24" x14ac:dyDescent="0.25">
      <c r="Q3" s="70" t="s">
        <v>11</v>
      </c>
      <c r="R3" s="70" t="s">
        <v>28</v>
      </c>
      <c r="S3" s="70" t="s">
        <v>24</v>
      </c>
      <c r="T3" s="70" t="s">
        <v>25</v>
      </c>
      <c r="U3" s="71" t="s">
        <v>26</v>
      </c>
      <c r="V3" s="72"/>
      <c r="W3" s="73"/>
      <c r="X3" s="56" t="s">
        <v>4</v>
      </c>
    </row>
    <row r="4" spans="1:24" x14ac:dyDescent="0.25">
      <c r="Q4" s="55"/>
      <c r="R4" s="55"/>
      <c r="S4" s="55"/>
      <c r="T4" s="55"/>
      <c r="U4" s="12" t="s">
        <v>21</v>
      </c>
      <c r="V4" s="12" t="s">
        <v>27</v>
      </c>
      <c r="W4" s="13" t="s">
        <v>22</v>
      </c>
      <c r="X4" s="56"/>
    </row>
    <row r="5" spans="1:24" x14ac:dyDescent="0.25">
      <c r="Q5" s="4">
        <f>(B19+B29+B39+B49+B59+B69+B79+B89+B99+B109)-T5</f>
        <v>30</v>
      </c>
      <c r="R5" s="4">
        <v>0</v>
      </c>
      <c r="S5" s="4">
        <f>(C19+C29+C39+C49+C59+C69+C79+C89+C99+C109)-T5</f>
        <v>30</v>
      </c>
      <c r="T5" s="4">
        <f>(I19+I29+I39+I49+I59+I69+I79+I89+I99+I109)-W5</f>
        <v>0</v>
      </c>
      <c r="U5" s="4">
        <f>D19+D29+D39+D49+D59+D69+D79+D89+D99+D109</f>
        <v>0</v>
      </c>
      <c r="V5" s="4">
        <v>0.16</v>
      </c>
      <c r="W5" s="4">
        <f>J19+J29+J39+J49+J59+J69+J79+J89+J99+J109</f>
        <v>0</v>
      </c>
      <c r="X5" s="4">
        <f>O19+O29+O39+O49+O59+O69+O79+O89+O99+O109</f>
        <v>0</v>
      </c>
    </row>
    <row r="11" spans="1:24" ht="15" customHeight="1" x14ac:dyDescent="0.25">
      <c r="J11"/>
    </row>
    <row r="12" spans="1:24" ht="15" customHeight="1" x14ac:dyDescent="0.25">
      <c r="A12" s="80" t="s">
        <v>39</v>
      </c>
      <c r="B12" s="81"/>
      <c r="C12" s="81"/>
      <c r="D12" s="81"/>
      <c r="E12" s="81"/>
      <c r="F12" s="81"/>
      <c r="G12" s="81"/>
      <c r="H12" s="81"/>
      <c r="I12" s="81"/>
      <c r="J12" s="81"/>
      <c r="K12" s="81"/>
      <c r="L12" s="81"/>
      <c r="M12" s="81"/>
      <c r="N12" s="81"/>
      <c r="O12" s="82"/>
    </row>
    <row r="13" spans="1:24" ht="15" customHeight="1" x14ac:dyDescent="0.25">
      <c r="A13" s="57" t="s">
        <v>21</v>
      </c>
      <c r="B13" s="58"/>
      <c r="C13" s="58"/>
      <c r="D13" s="58"/>
      <c r="E13" s="58"/>
      <c r="F13" s="59"/>
      <c r="G13" s="74"/>
      <c r="H13" s="77" t="s">
        <v>22</v>
      </c>
      <c r="I13" s="78"/>
      <c r="J13" s="78"/>
      <c r="K13" s="78"/>
      <c r="L13" s="79"/>
      <c r="M13" s="20"/>
      <c r="N13" s="57" t="s">
        <v>4</v>
      </c>
      <c r="O13" s="59"/>
      <c r="P13" s="21"/>
    </row>
    <row r="14" spans="1:24" ht="15" customHeight="1" x14ac:dyDescent="0.25">
      <c r="A14" s="22" t="s">
        <v>29</v>
      </c>
      <c r="B14" s="3" t="s">
        <v>3</v>
      </c>
      <c r="C14" s="3" t="s">
        <v>31</v>
      </c>
      <c r="D14" s="3" t="s">
        <v>10</v>
      </c>
      <c r="E14" s="3" t="s">
        <v>0</v>
      </c>
      <c r="F14" s="3" t="s">
        <v>1</v>
      </c>
      <c r="G14" s="75"/>
      <c r="H14" s="22" t="s">
        <v>29</v>
      </c>
      <c r="I14" s="3" t="s">
        <v>23</v>
      </c>
      <c r="J14" s="3" t="s">
        <v>10</v>
      </c>
      <c r="K14" s="3" t="s">
        <v>0</v>
      </c>
      <c r="L14" s="3" t="s">
        <v>1</v>
      </c>
      <c r="M14" s="23"/>
      <c r="N14" s="19" t="s">
        <v>29</v>
      </c>
      <c r="O14" s="3" t="s">
        <v>23</v>
      </c>
      <c r="P14" s="21"/>
    </row>
    <row r="15" spans="1:24" ht="15" customHeight="1" x14ac:dyDescent="0.25">
      <c r="A15" s="29">
        <v>46171</v>
      </c>
      <c r="B15" s="24">
        <v>15</v>
      </c>
      <c r="C15" s="4">
        <v>15</v>
      </c>
      <c r="D15" s="4">
        <f>B15-C15</f>
        <v>0</v>
      </c>
      <c r="E15" s="37">
        <v>148.66204200000001</v>
      </c>
      <c r="F15" s="6">
        <f>B15/E15</f>
        <v>0.1009</v>
      </c>
      <c r="G15" s="75"/>
      <c r="H15" s="29"/>
      <c r="I15" s="5"/>
      <c r="J15" s="4"/>
      <c r="K15" s="4"/>
      <c r="L15" s="5"/>
      <c r="M15" s="25"/>
      <c r="N15" s="29"/>
      <c r="O15" s="4"/>
      <c r="P15" s="1"/>
    </row>
    <row r="16" spans="1:24" ht="15" customHeight="1" x14ac:dyDescent="0.25">
      <c r="A16" s="29"/>
      <c r="B16" s="4"/>
      <c r="C16" s="4"/>
      <c r="D16" s="4"/>
      <c r="E16" s="37"/>
      <c r="F16" s="6"/>
      <c r="G16" s="75"/>
      <c r="H16" s="29"/>
      <c r="I16" s="2"/>
      <c r="J16" s="2"/>
      <c r="K16" s="2"/>
      <c r="L16" s="2"/>
      <c r="M16" s="15"/>
      <c r="N16" s="29"/>
      <c r="O16" s="2"/>
    </row>
    <row r="17" spans="1:18" ht="15" customHeight="1" x14ac:dyDescent="0.3">
      <c r="A17" s="30"/>
      <c r="B17" s="4"/>
      <c r="C17" s="5"/>
      <c r="D17" s="5"/>
      <c r="E17" s="5"/>
      <c r="F17" s="7"/>
      <c r="G17" s="75"/>
      <c r="H17" s="30"/>
      <c r="I17" s="2"/>
      <c r="J17" s="2"/>
      <c r="K17" s="2"/>
      <c r="L17" s="2"/>
      <c r="M17" s="15"/>
      <c r="N17" s="30"/>
      <c r="O17" s="2"/>
    </row>
    <row r="18" spans="1:18" ht="15" customHeight="1" x14ac:dyDescent="0.3">
      <c r="A18" s="30"/>
      <c r="B18" s="4"/>
      <c r="C18" s="5"/>
      <c r="D18" s="5"/>
      <c r="E18" s="5"/>
      <c r="F18" s="7"/>
      <c r="G18" s="75"/>
      <c r="H18" s="30"/>
      <c r="I18" s="2"/>
      <c r="J18" s="2"/>
      <c r="K18" s="2"/>
      <c r="L18" s="2"/>
      <c r="M18" s="15"/>
      <c r="N18" s="30"/>
      <c r="O18" s="2"/>
    </row>
    <row r="19" spans="1:18" ht="15" customHeight="1" x14ac:dyDescent="0.25">
      <c r="A19" s="3" t="s">
        <v>2</v>
      </c>
      <c r="B19" s="4">
        <f>SUM(B15:B18)</f>
        <v>15</v>
      </c>
      <c r="C19" s="4">
        <f>SUM(C15:C18)</f>
        <v>15</v>
      </c>
      <c r="D19" s="4">
        <f>SUM(D15:D18)</f>
        <v>0</v>
      </c>
      <c r="E19" s="5">
        <f>IF(B19&gt;0,SUMPRODUCT(E15:E18,F15:F18)/SUM(F15:F18),"0.00")</f>
        <v>148.66204200000001</v>
      </c>
      <c r="F19" s="6">
        <f>SUM(F15:F18)</f>
        <v>0.1009</v>
      </c>
      <c r="G19" s="76"/>
      <c r="H19" s="3" t="s">
        <v>2</v>
      </c>
      <c r="I19" s="4">
        <f>SUM(I15:I18)</f>
        <v>0</v>
      </c>
      <c r="J19" s="4">
        <f t="shared" ref="J19:L19" si="0">SUM(J15:J18)</f>
        <v>0</v>
      </c>
      <c r="K19" s="5"/>
      <c r="L19" s="7">
        <f t="shared" si="0"/>
        <v>0</v>
      </c>
      <c r="M19" s="26"/>
      <c r="N19" s="3" t="s">
        <v>2</v>
      </c>
      <c r="O19" s="4">
        <f>SUM(O15:O18)</f>
        <v>0</v>
      </c>
      <c r="P19" s="1"/>
    </row>
    <row r="20" spans="1:18" ht="15" customHeight="1" x14ac:dyDescent="0.25">
      <c r="B20" s="27"/>
      <c r="E20" s="1"/>
      <c r="F20" s="11"/>
      <c r="J20"/>
    </row>
    <row r="21" spans="1:18" ht="15" customHeight="1" x14ac:dyDescent="0.25">
      <c r="B21" s="1"/>
      <c r="E21" s="1"/>
      <c r="F21" s="1"/>
      <c r="J21"/>
    </row>
    <row r="22" spans="1:18" ht="15" customHeight="1" x14ac:dyDescent="0.25">
      <c r="A22" s="80" t="s">
        <v>38</v>
      </c>
      <c r="B22" s="81"/>
      <c r="C22" s="81"/>
      <c r="D22" s="81"/>
      <c r="E22" s="81"/>
      <c r="F22" s="81"/>
      <c r="G22" s="81"/>
      <c r="H22" s="81"/>
      <c r="I22" s="81"/>
      <c r="J22" s="81"/>
      <c r="K22" s="81"/>
      <c r="L22" s="81"/>
      <c r="M22" s="81"/>
      <c r="N22" s="81"/>
      <c r="O22" s="82"/>
    </row>
    <row r="23" spans="1:18" ht="15" customHeight="1" x14ac:dyDescent="0.25">
      <c r="A23" s="57" t="s">
        <v>21</v>
      </c>
      <c r="B23" s="58"/>
      <c r="C23" s="58"/>
      <c r="D23" s="58"/>
      <c r="E23" s="58"/>
      <c r="F23" s="59"/>
      <c r="G23" s="74"/>
      <c r="H23" s="77" t="s">
        <v>22</v>
      </c>
      <c r="I23" s="78"/>
      <c r="J23" s="78"/>
      <c r="K23" s="78"/>
      <c r="L23" s="79"/>
      <c r="M23" s="20"/>
      <c r="N23" s="57" t="s">
        <v>4</v>
      </c>
      <c r="O23" s="59"/>
      <c r="P23" s="21"/>
    </row>
    <row r="24" spans="1:18" ht="15" customHeight="1" x14ac:dyDescent="0.25">
      <c r="A24" s="22" t="s">
        <v>29</v>
      </c>
      <c r="B24" s="3" t="s">
        <v>3</v>
      </c>
      <c r="C24" s="3" t="s">
        <v>31</v>
      </c>
      <c r="D24" s="3" t="s">
        <v>10</v>
      </c>
      <c r="E24" s="3" t="s">
        <v>0</v>
      </c>
      <c r="F24" s="3" t="s">
        <v>1</v>
      </c>
      <c r="G24" s="75"/>
      <c r="H24" s="22" t="s">
        <v>29</v>
      </c>
      <c r="I24" s="3" t="s">
        <v>23</v>
      </c>
      <c r="J24" s="3" t="s">
        <v>10</v>
      </c>
      <c r="K24" s="3" t="s">
        <v>0</v>
      </c>
      <c r="L24" s="3" t="s">
        <v>1</v>
      </c>
      <c r="M24" s="23"/>
      <c r="N24" s="19" t="s">
        <v>29</v>
      </c>
      <c r="O24" s="3" t="s">
        <v>23</v>
      </c>
      <c r="P24" s="21"/>
    </row>
    <row r="25" spans="1:18" ht="15" customHeight="1" x14ac:dyDescent="0.25">
      <c r="A25" s="29">
        <v>46171</v>
      </c>
      <c r="B25" s="24">
        <v>15</v>
      </c>
      <c r="C25" s="4">
        <v>15</v>
      </c>
      <c r="D25" s="4">
        <f>B25-C25</f>
        <v>0</v>
      </c>
      <c r="E25" s="5">
        <v>171.42857100000001</v>
      </c>
      <c r="F25" s="32">
        <f>C25/E25</f>
        <v>8.7499999999999994E-2</v>
      </c>
      <c r="G25" s="75"/>
      <c r="H25" s="29"/>
      <c r="I25" s="5"/>
      <c r="J25" s="4"/>
      <c r="K25" s="4"/>
      <c r="L25" s="5"/>
      <c r="M25" s="25"/>
      <c r="N25" s="29"/>
      <c r="O25" s="4"/>
      <c r="P25" s="1"/>
      <c r="R25" s="1"/>
    </row>
    <row r="26" spans="1:18" ht="15" customHeight="1" x14ac:dyDescent="0.25">
      <c r="A26" s="29"/>
      <c r="B26" s="4"/>
      <c r="C26" s="4"/>
      <c r="D26" s="4"/>
      <c r="E26" s="5"/>
      <c r="F26" s="32"/>
      <c r="G26" s="75"/>
      <c r="H26" s="29"/>
      <c r="I26" s="2"/>
      <c r="J26" s="2"/>
      <c r="K26" s="2"/>
      <c r="L26" s="2"/>
      <c r="M26" s="15"/>
      <c r="N26" s="29"/>
      <c r="O26" s="2"/>
    </row>
    <row r="27" spans="1:18" ht="15" customHeight="1" x14ac:dyDescent="0.3">
      <c r="A27" s="30"/>
      <c r="B27" s="4"/>
      <c r="C27" s="5"/>
      <c r="D27" s="5"/>
      <c r="E27" s="5"/>
      <c r="F27" s="7"/>
      <c r="G27" s="75"/>
      <c r="H27" s="30"/>
      <c r="I27" s="2"/>
      <c r="J27" s="2"/>
      <c r="K27" s="2"/>
      <c r="L27" s="2"/>
      <c r="M27" s="15"/>
      <c r="N27" s="30"/>
      <c r="O27" s="2"/>
    </row>
    <row r="28" spans="1:18" ht="15" customHeight="1" x14ac:dyDescent="0.3">
      <c r="A28" s="30"/>
      <c r="B28" s="4"/>
      <c r="C28" s="5"/>
      <c r="D28" s="5"/>
      <c r="E28" s="5"/>
      <c r="F28" s="5"/>
      <c r="G28" s="75"/>
      <c r="H28" s="30"/>
      <c r="I28" s="2"/>
      <c r="J28" s="2"/>
      <c r="K28" s="2"/>
      <c r="L28" s="2"/>
      <c r="M28" s="15"/>
      <c r="N28" s="30"/>
      <c r="O28" s="2"/>
    </row>
    <row r="29" spans="1:18" ht="15" customHeight="1" x14ac:dyDescent="0.25">
      <c r="A29" s="3" t="s">
        <v>2</v>
      </c>
      <c r="B29" s="4">
        <f>SUM(B25:B28)</f>
        <v>15</v>
      </c>
      <c r="C29" s="4">
        <f>SUM(C25:C28)</f>
        <v>15</v>
      </c>
      <c r="D29" s="4">
        <f>SUM(D25:D28)</f>
        <v>0</v>
      </c>
      <c r="E29" s="5">
        <f>IF(B29&gt;0,SUMPRODUCT(E25:E28,F25:F28)/SUM(F25:F28),"0.00")</f>
        <v>171.42857100000001</v>
      </c>
      <c r="F29" s="6">
        <f>SUM(F25:F28)</f>
        <v>8.7499999999999994E-2</v>
      </c>
      <c r="G29" s="76"/>
      <c r="H29" s="3" t="s">
        <v>2</v>
      </c>
      <c r="I29" s="4">
        <f>SUM(I25:I28)</f>
        <v>0</v>
      </c>
      <c r="J29" s="4">
        <f t="shared" ref="J29" si="1">SUM(J25:J28)</f>
        <v>0</v>
      </c>
      <c r="K29" s="5"/>
      <c r="L29" s="7">
        <f t="shared" ref="L29" si="2">SUM(L25:L28)</f>
        <v>0</v>
      </c>
      <c r="M29" s="26"/>
      <c r="N29" s="3" t="s">
        <v>2</v>
      </c>
      <c r="O29" s="4">
        <f>SUM(O25:O28)</f>
        <v>0</v>
      </c>
      <c r="P29" s="1"/>
    </row>
    <row r="30" spans="1:18" x14ac:dyDescent="0.25">
      <c r="J30"/>
    </row>
    <row r="31" spans="1:18" x14ac:dyDescent="0.25">
      <c r="D31" s="10"/>
    </row>
  </sheetData>
  <mergeCells count="17">
    <mergeCell ref="A12:O12"/>
    <mergeCell ref="Q2:X2"/>
    <mergeCell ref="A13:F13"/>
    <mergeCell ref="G13:G19"/>
    <mergeCell ref="H13:L13"/>
    <mergeCell ref="N13:O13"/>
    <mergeCell ref="Q3:Q4"/>
    <mergeCell ref="R3:R4"/>
    <mergeCell ref="S3:S4"/>
    <mergeCell ref="T3:T4"/>
    <mergeCell ref="U3:W3"/>
    <mergeCell ref="X3:X4"/>
    <mergeCell ref="A22:O22"/>
    <mergeCell ref="A23:F23"/>
    <mergeCell ref="G23:G29"/>
    <mergeCell ref="H23:L23"/>
    <mergeCell ref="N23:O23"/>
  </mergeCells>
  <hyperlinks>
    <hyperlink ref="A12:O12" location="'SEB Active 55'!A1" display="SESA5FE SS „SEB Active 55“ SE0016076046" xr:uid="{11312E22-EC81-4E68-8709-F701C9D93100}"/>
    <hyperlink ref="A22:O22" location="'SEB Active 80'!A1" display="SESA8FE SS „SEB Active 80“ SE0016076111" xr:uid="{751E9A4D-89F5-4568-8811-B1DA0641EAA0}"/>
  </hyperlinks>
  <pageMargins left="0.7" right="0.7" top="0.75" bottom="0.75" header="0.3" footer="0.3"/>
  <ignoredErrors>
    <ignoredError sqref="E19 E29" formula="1"/>
  </ignoredError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D9FE1A-4A16-41AE-9FEA-920E0E70561D}">
  <dimension ref="A2:X31"/>
  <sheetViews>
    <sheetView workbookViewId="0">
      <selection activeCell="A22" sqref="A22:O22"/>
    </sheetView>
  </sheetViews>
  <sheetFormatPr defaultRowHeight="15" x14ac:dyDescent="0.25"/>
  <cols>
    <col min="1" max="6" width="10.7109375" customWidth="1"/>
    <col min="7" max="7" width="2.7109375" customWidth="1"/>
    <col min="8" max="9" width="10.7109375" customWidth="1"/>
    <col min="10" max="10" width="10.7109375" style="1" customWidth="1"/>
    <col min="11" max="12" width="10.7109375" customWidth="1"/>
    <col min="13" max="13" width="2.7109375" customWidth="1"/>
    <col min="14" max="15" width="10.7109375" customWidth="1"/>
    <col min="16" max="16" width="5.7109375" customWidth="1"/>
    <col min="17" max="24" width="10.7109375" customWidth="1"/>
  </cols>
  <sheetData>
    <row r="2" spans="1:24" x14ac:dyDescent="0.25">
      <c r="Q2" s="67">
        <v>2026.04</v>
      </c>
      <c r="R2" s="68"/>
      <c r="S2" s="68"/>
      <c r="T2" s="68"/>
      <c r="U2" s="68"/>
      <c r="V2" s="68"/>
      <c r="W2" s="68"/>
      <c r="X2" s="69"/>
    </row>
    <row r="3" spans="1:24" x14ac:dyDescent="0.25">
      <c r="Q3" s="70" t="s">
        <v>11</v>
      </c>
      <c r="R3" s="70" t="s">
        <v>28</v>
      </c>
      <c r="S3" s="70" t="s">
        <v>24</v>
      </c>
      <c r="T3" s="70" t="s">
        <v>25</v>
      </c>
      <c r="U3" s="71" t="s">
        <v>26</v>
      </c>
      <c r="V3" s="72"/>
      <c r="W3" s="73"/>
      <c r="X3" s="56" t="s">
        <v>4</v>
      </c>
    </row>
    <row r="4" spans="1:24" x14ac:dyDescent="0.25">
      <c r="Q4" s="55"/>
      <c r="R4" s="55"/>
      <c r="S4" s="55"/>
      <c r="T4" s="55"/>
      <c r="U4" s="12" t="s">
        <v>21</v>
      </c>
      <c r="V4" s="12" t="s">
        <v>27</v>
      </c>
      <c r="W4" s="13" t="s">
        <v>22</v>
      </c>
      <c r="X4" s="56"/>
    </row>
    <row r="5" spans="1:24" x14ac:dyDescent="0.25">
      <c r="Q5" s="4">
        <f>(B19+B29+B39+B49+B59+B69+B79+B89+B99+B109)-T5</f>
        <v>30</v>
      </c>
      <c r="R5" s="4">
        <v>0</v>
      </c>
      <c r="S5" s="4">
        <f>(C19+C29+C39+C49+C59+C69+C79+C89+C99+C109)-T5</f>
        <v>30</v>
      </c>
      <c r="T5" s="4">
        <f>(I19+I29+I39+I49+I59+I69+I79+I89+I99+I109)-W5</f>
        <v>0</v>
      </c>
      <c r="U5" s="4">
        <f>D19+D29+D39+D49+D59+D69+D79+D89+D99+D109</f>
        <v>0</v>
      </c>
      <c r="V5" s="4">
        <v>0.14000000000000001</v>
      </c>
      <c r="W5" s="4">
        <f>J19+J29+J39+J49+J59+J69+J79+J89+J99+J109</f>
        <v>0</v>
      </c>
      <c r="X5" s="4">
        <f>O19+O29+O39+O49+O59+O69+O79+O89+O99+O109</f>
        <v>0</v>
      </c>
    </row>
    <row r="11" spans="1:24" ht="15" customHeight="1" x14ac:dyDescent="0.25">
      <c r="J11"/>
    </row>
    <row r="12" spans="1:24" ht="15" customHeight="1" x14ac:dyDescent="0.25">
      <c r="A12" s="80" t="s">
        <v>39</v>
      </c>
      <c r="B12" s="81"/>
      <c r="C12" s="81"/>
      <c r="D12" s="81"/>
      <c r="E12" s="81"/>
      <c r="F12" s="81"/>
      <c r="G12" s="81"/>
      <c r="H12" s="81"/>
      <c r="I12" s="81"/>
      <c r="J12" s="81"/>
      <c r="K12" s="81"/>
      <c r="L12" s="81"/>
      <c r="M12" s="81"/>
      <c r="N12" s="81"/>
      <c r="O12" s="82"/>
    </row>
    <row r="13" spans="1:24" ht="15" customHeight="1" x14ac:dyDescent="0.25">
      <c r="A13" s="57" t="s">
        <v>21</v>
      </c>
      <c r="B13" s="58"/>
      <c r="C13" s="58"/>
      <c r="D13" s="58"/>
      <c r="E13" s="58"/>
      <c r="F13" s="59"/>
      <c r="G13" s="74"/>
      <c r="H13" s="77" t="s">
        <v>22</v>
      </c>
      <c r="I13" s="78"/>
      <c r="J13" s="78"/>
      <c r="K13" s="78"/>
      <c r="L13" s="79"/>
      <c r="M13" s="20"/>
      <c r="N13" s="57" t="s">
        <v>4</v>
      </c>
      <c r="O13" s="59"/>
      <c r="P13" s="21"/>
    </row>
    <row r="14" spans="1:24" ht="15" customHeight="1" x14ac:dyDescent="0.25">
      <c r="A14" s="22" t="s">
        <v>29</v>
      </c>
      <c r="B14" s="3" t="s">
        <v>3</v>
      </c>
      <c r="C14" s="3" t="s">
        <v>31</v>
      </c>
      <c r="D14" s="3" t="s">
        <v>10</v>
      </c>
      <c r="E14" s="3" t="s">
        <v>0</v>
      </c>
      <c r="F14" s="3" t="s">
        <v>1</v>
      </c>
      <c r="G14" s="75"/>
      <c r="H14" s="22" t="s">
        <v>29</v>
      </c>
      <c r="I14" s="3" t="s">
        <v>23</v>
      </c>
      <c r="J14" s="3" t="s">
        <v>10</v>
      </c>
      <c r="K14" s="3" t="s">
        <v>0</v>
      </c>
      <c r="L14" s="3" t="s">
        <v>1</v>
      </c>
      <c r="M14" s="23"/>
      <c r="N14" s="19" t="s">
        <v>29</v>
      </c>
      <c r="O14" s="3" t="s">
        <v>23</v>
      </c>
      <c r="P14" s="21"/>
    </row>
    <row r="15" spans="1:24" ht="15" customHeight="1" x14ac:dyDescent="0.25">
      <c r="A15" s="29">
        <v>46141</v>
      </c>
      <c r="B15" s="24">
        <v>15</v>
      </c>
      <c r="C15" s="4">
        <v>15</v>
      </c>
      <c r="D15" s="4">
        <f>B15-C15</f>
        <v>0</v>
      </c>
      <c r="E15" s="37">
        <v>143.40344200000001</v>
      </c>
      <c r="F15" s="6">
        <f>B15/E15</f>
        <v>0.1046</v>
      </c>
      <c r="G15" s="75"/>
      <c r="H15" s="29"/>
      <c r="I15" s="5"/>
      <c r="J15" s="4"/>
      <c r="K15" s="4"/>
      <c r="L15" s="5"/>
      <c r="M15" s="25"/>
      <c r="N15" s="29"/>
      <c r="O15" s="4"/>
      <c r="P15" s="1"/>
    </row>
    <row r="16" spans="1:24" ht="15" customHeight="1" x14ac:dyDescent="0.25">
      <c r="A16" s="29"/>
      <c r="B16" s="4"/>
      <c r="C16" s="4"/>
      <c r="D16" s="4"/>
      <c r="E16" s="37"/>
      <c r="F16" s="6"/>
      <c r="G16" s="75"/>
      <c r="H16" s="29"/>
      <c r="I16" s="2"/>
      <c r="J16" s="2"/>
      <c r="K16" s="2"/>
      <c r="L16" s="2"/>
      <c r="M16" s="15"/>
      <c r="N16" s="29"/>
      <c r="O16" s="2"/>
    </row>
    <row r="17" spans="1:18" ht="15" customHeight="1" x14ac:dyDescent="0.3">
      <c r="A17" s="30"/>
      <c r="B17" s="4"/>
      <c r="C17" s="5"/>
      <c r="D17" s="5"/>
      <c r="E17" s="5"/>
      <c r="F17" s="7"/>
      <c r="G17" s="75"/>
      <c r="H17" s="30"/>
      <c r="I17" s="2"/>
      <c r="J17" s="2"/>
      <c r="K17" s="2"/>
      <c r="L17" s="2"/>
      <c r="M17" s="15"/>
      <c r="N17" s="30"/>
      <c r="O17" s="2"/>
    </row>
    <row r="18" spans="1:18" ht="15" customHeight="1" x14ac:dyDescent="0.3">
      <c r="A18" s="30"/>
      <c r="B18" s="4"/>
      <c r="C18" s="5"/>
      <c r="D18" s="5"/>
      <c r="E18" s="5"/>
      <c r="F18" s="7"/>
      <c r="G18" s="75"/>
      <c r="H18" s="30"/>
      <c r="I18" s="2"/>
      <c r="J18" s="2"/>
      <c r="K18" s="2"/>
      <c r="L18" s="2"/>
      <c r="M18" s="15"/>
      <c r="N18" s="30"/>
      <c r="O18" s="2"/>
    </row>
    <row r="19" spans="1:18" ht="15" customHeight="1" x14ac:dyDescent="0.25">
      <c r="A19" s="3" t="s">
        <v>2</v>
      </c>
      <c r="B19" s="4">
        <f>SUM(B15:B18)</f>
        <v>15</v>
      </c>
      <c r="C19" s="4">
        <f>SUM(C15:C18)</f>
        <v>15</v>
      </c>
      <c r="D19" s="4">
        <f>SUM(D15:D18)</f>
        <v>0</v>
      </c>
      <c r="E19" s="5">
        <f>IF(B19&gt;0,SUMPRODUCT(E15:E18,F15:F18)/SUM(F15:F18),"0.00")</f>
        <v>143.40344200000001</v>
      </c>
      <c r="F19" s="6">
        <f>SUM(F15:F18)</f>
        <v>0.1046</v>
      </c>
      <c r="G19" s="76"/>
      <c r="H19" s="3" t="s">
        <v>2</v>
      </c>
      <c r="I19" s="4">
        <f>SUM(I15:I18)</f>
        <v>0</v>
      </c>
      <c r="J19" s="4">
        <f t="shared" ref="J19:L19" si="0">SUM(J15:J18)</f>
        <v>0</v>
      </c>
      <c r="K19" s="5"/>
      <c r="L19" s="7">
        <f t="shared" si="0"/>
        <v>0</v>
      </c>
      <c r="M19" s="26"/>
      <c r="N19" s="3" t="s">
        <v>2</v>
      </c>
      <c r="O19" s="4">
        <f>SUM(O15:O18)</f>
        <v>0</v>
      </c>
      <c r="P19" s="1"/>
    </row>
    <row r="20" spans="1:18" ht="15" customHeight="1" x14ac:dyDescent="0.25">
      <c r="B20" s="27"/>
      <c r="E20" s="1"/>
      <c r="F20" s="11"/>
      <c r="J20"/>
    </row>
    <row r="21" spans="1:18" ht="15" customHeight="1" x14ac:dyDescent="0.25">
      <c r="B21" s="1"/>
      <c r="E21" s="1"/>
      <c r="F21" s="1"/>
      <c r="J21"/>
    </row>
    <row r="22" spans="1:18" ht="15" customHeight="1" x14ac:dyDescent="0.25">
      <c r="A22" s="80" t="s">
        <v>38</v>
      </c>
      <c r="B22" s="81"/>
      <c r="C22" s="81"/>
      <c r="D22" s="81"/>
      <c r="E22" s="81"/>
      <c r="F22" s="81"/>
      <c r="G22" s="81"/>
      <c r="H22" s="81"/>
      <c r="I22" s="81"/>
      <c r="J22" s="81"/>
      <c r="K22" s="81"/>
      <c r="L22" s="81"/>
      <c r="M22" s="81"/>
      <c r="N22" s="81"/>
      <c r="O22" s="82"/>
    </row>
    <row r="23" spans="1:18" ht="15" customHeight="1" x14ac:dyDescent="0.25">
      <c r="A23" s="57" t="s">
        <v>21</v>
      </c>
      <c r="B23" s="58"/>
      <c r="C23" s="58"/>
      <c r="D23" s="58"/>
      <c r="E23" s="58"/>
      <c r="F23" s="59"/>
      <c r="G23" s="74"/>
      <c r="H23" s="77" t="s">
        <v>22</v>
      </c>
      <c r="I23" s="78"/>
      <c r="J23" s="78"/>
      <c r="K23" s="78"/>
      <c r="L23" s="79"/>
      <c r="M23" s="20"/>
      <c r="N23" s="57" t="s">
        <v>4</v>
      </c>
      <c r="O23" s="59"/>
      <c r="P23" s="21"/>
    </row>
    <row r="24" spans="1:18" ht="15" customHeight="1" x14ac:dyDescent="0.25">
      <c r="A24" s="22" t="s">
        <v>29</v>
      </c>
      <c r="B24" s="3" t="s">
        <v>3</v>
      </c>
      <c r="C24" s="3" t="s">
        <v>31</v>
      </c>
      <c r="D24" s="3" t="s">
        <v>10</v>
      </c>
      <c r="E24" s="3" t="s">
        <v>0</v>
      </c>
      <c r="F24" s="3" t="s">
        <v>1</v>
      </c>
      <c r="G24" s="75"/>
      <c r="H24" s="22" t="s">
        <v>29</v>
      </c>
      <c r="I24" s="3" t="s">
        <v>23</v>
      </c>
      <c r="J24" s="3" t="s">
        <v>10</v>
      </c>
      <c r="K24" s="3" t="s">
        <v>0</v>
      </c>
      <c r="L24" s="3" t="s">
        <v>1</v>
      </c>
      <c r="M24" s="23"/>
      <c r="N24" s="19" t="s">
        <v>29</v>
      </c>
      <c r="O24" s="3" t="s">
        <v>23</v>
      </c>
      <c r="P24" s="21"/>
    </row>
    <row r="25" spans="1:18" ht="15" customHeight="1" x14ac:dyDescent="0.25">
      <c r="A25" s="29">
        <v>46140</v>
      </c>
      <c r="B25" s="24">
        <v>15</v>
      </c>
      <c r="C25" s="4">
        <v>15</v>
      </c>
      <c r="D25" s="4">
        <f>B25-C25</f>
        <v>0</v>
      </c>
      <c r="E25" s="5">
        <v>163.755459</v>
      </c>
      <c r="F25" s="32">
        <f>C25/E25</f>
        <v>9.1600000000000001E-2</v>
      </c>
      <c r="G25" s="75"/>
      <c r="H25" s="29"/>
      <c r="I25" s="5"/>
      <c r="J25" s="4"/>
      <c r="K25" s="4"/>
      <c r="L25" s="5"/>
      <c r="M25" s="25"/>
      <c r="N25" s="29"/>
      <c r="O25" s="4"/>
      <c r="P25" s="1"/>
      <c r="R25" s="1"/>
    </row>
    <row r="26" spans="1:18" ht="15" customHeight="1" x14ac:dyDescent="0.25">
      <c r="A26" s="29"/>
      <c r="B26" s="4"/>
      <c r="C26" s="4"/>
      <c r="D26" s="4"/>
      <c r="E26" s="5"/>
      <c r="F26" s="32"/>
      <c r="G26" s="75"/>
      <c r="H26" s="29"/>
      <c r="I26" s="2"/>
      <c r="J26" s="2"/>
      <c r="K26" s="2"/>
      <c r="L26" s="2"/>
      <c r="M26" s="15"/>
      <c r="N26" s="29"/>
      <c r="O26" s="2"/>
    </row>
    <row r="27" spans="1:18" ht="15" customHeight="1" x14ac:dyDescent="0.3">
      <c r="A27" s="30"/>
      <c r="B27" s="4"/>
      <c r="C27" s="5"/>
      <c r="D27" s="5"/>
      <c r="E27" s="5"/>
      <c r="F27" s="7"/>
      <c r="G27" s="75"/>
      <c r="H27" s="30"/>
      <c r="I27" s="2"/>
      <c r="J27" s="2"/>
      <c r="K27" s="2"/>
      <c r="L27" s="2"/>
      <c r="M27" s="15"/>
      <c r="N27" s="30"/>
      <c r="O27" s="2"/>
    </row>
    <row r="28" spans="1:18" ht="15" customHeight="1" x14ac:dyDescent="0.3">
      <c r="A28" s="30"/>
      <c r="B28" s="4"/>
      <c r="C28" s="5"/>
      <c r="D28" s="5"/>
      <c r="E28" s="5"/>
      <c r="F28" s="5"/>
      <c r="G28" s="75"/>
      <c r="H28" s="30"/>
      <c r="I28" s="2"/>
      <c r="J28" s="2"/>
      <c r="K28" s="2"/>
      <c r="L28" s="2"/>
      <c r="M28" s="15"/>
      <c r="N28" s="30"/>
      <c r="O28" s="2"/>
    </row>
    <row r="29" spans="1:18" ht="15" customHeight="1" x14ac:dyDescent="0.25">
      <c r="A29" s="3" t="s">
        <v>2</v>
      </c>
      <c r="B29" s="4">
        <f>SUM(B25:B28)</f>
        <v>15</v>
      </c>
      <c r="C29" s="4">
        <f>SUM(C25:C28)</f>
        <v>15</v>
      </c>
      <c r="D29" s="4">
        <f>SUM(D25:D28)</f>
        <v>0</v>
      </c>
      <c r="E29" s="5">
        <f>IF(B29&gt;0,SUMPRODUCT(E25:E28,F25:F28)/SUM(F25:F28),"0.00")</f>
        <v>163.755459</v>
      </c>
      <c r="F29" s="6">
        <f>SUM(F25:F28)</f>
        <v>9.1600000000000001E-2</v>
      </c>
      <c r="G29" s="76"/>
      <c r="H29" s="3" t="s">
        <v>2</v>
      </c>
      <c r="I29" s="4">
        <f>SUM(I25:I28)</f>
        <v>0</v>
      </c>
      <c r="J29" s="4">
        <f t="shared" ref="J29" si="1">SUM(J25:J28)</f>
        <v>0</v>
      </c>
      <c r="K29" s="5"/>
      <c r="L29" s="7">
        <f t="shared" ref="L29" si="2">SUM(L25:L28)</f>
        <v>0</v>
      </c>
      <c r="M29" s="26"/>
      <c r="N29" s="3" t="s">
        <v>2</v>
      </c>
      <c r="O29" s="4">
        <f>SUM(O25:O28)</f>
        <v>0</v>
      </c>
      <c r="P29" s="1"/>
    </row>
    <row r="30" spans="1:18" x14ac:dyDescent="0.25">
      <c r="J30"/>
    </row>
    <row r="31" spans="1:18" x14ac:dyDescent="0.25">
      <c r="D31" s="10"/>
    </row>
  </sheetData>
  <mergeCells count="17">
    <mergeCell ref="A22:O22"/>
    <mergeCell ref="A23:F23"/>
    <mergeCell ref="G23:G29"/>
    <mergeCell ref="H23:L23"/>
    <mergeCell ref="N23:O23"/>
    <mergeCell ref="A12:O12"/>
    <mergeCell ref="Q2:X2"/>
    <mergeCell ref="A13:F13"/>
    <mergeCell ref="G13:G19"/>
    <mergeCell ref="H13:L13"/>
    <mergeCell ref="N13:O13"/>
    <mergeCell ref="Q3:Q4"/>
    <mergeCell ref="R3:R4"/>
    <mergeCell ref="S3:S4"/>
    <mergeCell ref="T3:T4"/>
    <mergeCell ref="U3:W3"/>
    <mergeCell ref="X3:X4"/>
  </mergeCells>
  <hyperlinks>
    <hyperlink ref="A12:O12" location="'SEB Active 55'!A1" display="SESA5FE SS „SEB Active 55“ SE0016076046" xr:uid="{3719F386-14FF-4C02-B0C6-80912EB0817D}"/>
    <hyperlink ref="A22:O22" location="'SEB Active 80'!A1" display="SESA8FE SS „SEB Active 80“ SE0016076111" xr:uid="{61F289AD-5B25-43BF-9190-77120FE8B0CF}"/>
  </hyperlinks>
  <pageMargins left="0.7" right="0.7" top="0.75" bottom="0.75" header="0.3" footer="0.3"/>
  <ignoredErrors>
    <ignoredError sqref="E19 E29" formula="1"/>
  </ignoredErrors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4230F4-5F81-4D42-A7A8-F849995B17F7}">
  <dimension ref="A2:X31"/>
  <sheetViews>
    <sheetView workbookViewId="0">
      <selection activeCell="A22" sqref="A22:O22"/>
    </sheetView>
  </sheetViews>
  <sheetFormatPr defaultRowHeight="15" x14ac:dyDescent="0.25"/>
  <cols>
    <col min="1" max="6" width="10.7109375" customWidth="1"/>
    <col min="7" max="7" width="2.7109375" customWidth="1"/>
    <col min="8" max="9" width="10.7109375" customWidth="1"/>
    <col min="10" max="10" width="10.7109375" style="1" customWidth="1"/>
    <col min="11" max="12" width="10.7109375" customWidth="1"/>
    <col min="13" max="13" width="2.7109375" customWidth="1"/>
    <col min="14" max="15" width="10.7109375" customWidth="1"/>
    <col min="16" max="16" width="5.7109375" customWidth="1"/>
    <col min="17" max="24" width="10.7109375" customWidth="1"/>
  </cols>
  <sheetData>
    <row r="2" spans="1:24" x14ac:dyDescent="0.25">
      <c r="Q2" s="67">
        <v>2026.03</v>
      </c>
      <c r="R2" s="68"/>
      <c r="S2" s="68"/>
      <c r="T2" s="68"/>
      <c r="U2" s="68"/>
      <c r="V2" s="68"/>
      <c r="W2" s="68"/>
      <c r="X2" s="69"/>
    </row>
    <row r="3" spans="1:24" x14ac:dyDescent="0.25">
      <c r="Q3" s="70" t="s">
        <v>11</v>
      </c>
      <c r="R3" s="70" t="s">
        <v>28</v>
      </c>
      <c r="S3" s="70" t="s">
        <v>24</v>
      </c>
      <c r="T3" s="70" t="s">
        <v>25</v>
      </c>
      <c r="U3" s="71" t="s">
        <v>26</v>
      </c>
      <c r="V3" s="72"/>
      <c r="W3" s="73"/>
      <c r="X3" s="56" t="s">
        <v>4</v>
      </c>
    </row>
    <row r="4" spans="1:24" x14ac:dyDescent="0.25">
      <c r="Q4" s="55"/>
      <c r="R4" s="55"/>
      <c r="S4" s="55"/>
      <c r="T4" s="55"/>
      <c r="U4" s="12" t="s">
        <v>21</v>
      </c>
      <c r="V4" s="12" t="s">
        <v>27</v>
      </c>
      <c r="W4" s="13" t="s">
        <v>22</v>
      </c>
      <c r="X4" s="56"/>
    </row>
    <row r="5" spans="1:24" x14ac:dyDescent="0.25">
      <c r="Q5" s="4">
        <f>(B19+B29+B39+B49+B59+B69+B79+B89+B99+B109)-T5</f>
        <v>30</v>
      </c>
      <c r="R5" s="4">
        <v>0</v>
      </c>
      <c r="S5" s="4">
        <f>(C19+C29+C39+C49+C59+C69+C79+C89+C99+C109)-T5</f>
        <v>30</v>
      </c>
      <c r="T5" s="4">
        <f>(I19+I29+I39+I49+I59+I69+I79+I89+I99+I109)-W5</f>
        <v>0</v>
      </c>
      <c r="U5" s="4">
        <f>D19+D29+D39+D49+D59+D69+D79+D89+D99+D109</f>
        <v>0</v>
      </c>
      <c r="V5" s="4">
        <v>0.14000000000000001</v>
      </c>
      <c r="W5" s="4">
        <f>J19+J29+J39+J49+J59+J69+J79+J89+J99+J109</f>
        <v>0</v>
      </c>
      <c r="X5" s="4">
        <f>O19+O29+O39+O49+O59+O69+O79+O89+O99+O109</f>
        <v>0</v>
      </c>
    </row>
    <row r="11" spans="1:24" ht="15" customHeight="1" x14ac:dyDescent="0.25">
      <c r="J11"/>
    </row>
    <row r="12" spans="1:24" ht="15" customHeight="1" x14ac:dyDescent="0.25">
      <c r="A12" s="80" t="s">
        <v>39</v>
      </c>
      <c r="B12" s="81"/>
      <c r="C12" s="81"/>
      <c r="D12" s="81"/>
      <c r="E12" s="81"/>
      <c r="F12" s="81"/>
      <c r="G12" s="81"/>
      <c r="H12" s="81"/>
      <c r="I12" s="81"/>
      <c r="J12" s="81"/>
      <c r="K12" s="81"/>
      <c r="L12" s="81"/>
      <c r="M12" s="81"/>
      <c r="N12" s="81"/>
      <c r="O12" s="82"/>
    </row>
    <row r="13" spans="1:24" ht="15" customHeight="1" x14ac:dyDescent="0.25">
      <c r="A13" s="57" t="s">
        <v>21</v>
      </c>
      <c r="B13" s="58"/>
      <c r="C13" s="58"/>
      <c r="D13" s="58"/>
      <c r="E13" s="58"/>
      <c r="F13" s="59"/>
      <c r="G13" s="74"/>
      <c r="H13" s="77" t="s">
        <v>22</v>
      </c>
      <c r="I13" s="78"/>
      <c r="J13" s="78"/>
      <c r="K13" s="78"/>
      <c r="L13" s="79"/>
      <c r="M13" s="20"/>
      <c r="N13" s="57" t="s">
        <v>4</v>
      </c>
      <c r="O13" s="59"/>
      <c r="P13" s="21"/>
    </row>
    <row r="14" spans="1:24" ht="15" customHeight="1" x14ac:dyDescent="0.25">
      <c r="A14" s="22" t="s">
        <v>29</v>
      </c>
      <c r="B14" s="3" t="s">
        <v>3</v>
      </c>
      <c r="C14" s="3" t="s">
        <v>31</v>
      </c>
      <c r="D14" s="3" t="s">
        <v>10</v>
      </c>
      <c r="E14" s="3" t="s">
        <v>0</v>
      </c>
      <c r="F14" s="3" t="s">
        <v>1</v>
      </c>
      <c r="G14" s="75"/>
      <c r="H14" s="22" t="s">
        <v>29</v>
      </c>
      <c r="I14" s="3" t="s">
        <v>23</v>
      </c>
      <c r="J14" s="3" t="s">
        <v>10</v>
      </c>
      <c r="K14" s="3" t="s">
        <v>0</v>
      </c>
      <c r="L14" s="3" t="s">
        <v>1</v>
      </c>
      <c r="M14" s="23"/>
      <c r="N14" s="19" t="s">
        <v>29</v>
      </c>
      <c r="O14" s="3" t="s">
        <v>23</v>
      </c>
      <c r="P14" s="21"/>
    </row>
    <row r="15" spans="1:24" ht="15" customHeight="1" x14ac:dyDescent="0.25">
      <c r="A15" s="29">
        <v>46108</v>
      </c>
      <c r="B15" s="24">
        <v>15</v>
      </c>
      <c r="C15" s="4">
        <v>15</v>
      </c>
      <c r="D15" s="4">
        <f>B15-C15</f>
        <v>0</v>
      </c>
      <c r="E15" s="37">
        <v>136.86131399999999</v>
      </c>
      <c r="F15" s="6">
        <f>B15/E15</f>
        <v>0.1096</v>
      </c>
      <c r="G15" s="75"/>
      <c r="H15" s="29"/>
      <c r="I15" s="5"/>
      <c r="J15" s="4"/>
      <c r="K15" s="4"/>
      <c r="L15" s="5"/>
      <c r="M15" s="25"/>
      <c r="N15" s="29"/>
      <c r="O15" s="4"/>
      <c r="P15" s="1"/>
    </row>
    <row r="16" spans="1:24" ht="15" customHeight="1" x14ac:dyDescent="0.25">
      <c r="A16" s="29"/>
      <c r="B16" s="4"/>
      <c r="C16" s="4"/>
      <c r="D16" s="4"/>
      <c r="E16" s="37"/>
      <c r="F16" s="6"/>
      <c r="G16" s="75"/>
      <c r="H16" s="29"/>
      <c r="I16" s="2"/>
      <c r="J16" s="2"/>
      <c r="K16" s="2"/>
      <c r="L16" s="2"/>
      <c r="M16" s="15"/>
      <c r="N16" s="29"/>
      <c r="O16" s="2"/>
    </row>
    <row r="17" spans="1:18" ht="15" customHeight="1" x14ac:dyDescent="0.3">
      <c r="A17" s="30"/>
      <c r="B17" s="4"/>
      <c r="C17" s="5"/>
      <c r="D17" s="5"/>
      <c r="E17" s="5"/>
      <c r="F17" s="7"/>
      <c r="G17" s="75"/>
      <c r="H17" s="30"/>
      <c r="I17" s="2"/>
      <c r="J17" s="2"/>
      <c r="K17" s="2"/>
      <c r="L17" s="2"/>
      <c r="M17" s="15"/>
      <c r="N17" s="30"/>
      <c r="O17" s="2"/>
    </row>
    <row r="18" spans="1:18" ht="15" customHeight="1" x14ac:dyDescent="0.3">
      <c r="A18" s="30"/>
      <c r="B18" s="4"/>
      <c r="C18" s="5"/>
      <c r="D18" s="5"/>
      <c r="E18" s="5"/>
      <c r="F18" s="7"/>
      <c r="G18" s="75"/>
      <c r="H18" s="30"/>
      <c r="I18" s="2"/>
      <c r="J18" s="2"/>
      <c r="K18" s="2"/>
      <c r="L18" s="2"/>
      <c r="M18" s="15"/>
      <c r="N18" s="30"/>
      <c r="O18" s="2"/>
    </row>
    <row r="19" spans="1:18" ht="15" customHeight="1" x14ac:dyDescent="0.25">
      <c r="A19" s="3" t="s">
        <v>2</v>
      </c>
      <c r="B19" s="4">
        <f>SUM(B15:B18)</f>
        <v>15</v>
      </c>
      <c r="C19" s="4">
        <f>SUM(C15:C18)</f>
        <v>15</v>
      </c>
      <c r="D19" s="4">
        <f>SUM(D15:D18)</f>
        <v>0</v>
      </c>
      <c r="E19" s="5">
        <f>IF(B19&gt;0,SUMPRODUCT(E15:E18,F15:F18)/SUM(F15:F18),"0.00")</f>
        <v>136.86131399999999</v>
      </c>
      <c r="F19" s="6">
        <f>SUM(F15:F18)</f>
        <v>0.1096</v>
      </c>
      <c r="G19" s="76"/>
      <c r="H19" s="3" t="s">
        <v>2</v>
      </c>
      <c r="I19" s="4">
        <f>SUM(I15:I18)</f>
        <v>0</v>
      </c>
      <c r="J19" s="4">
        <f t="shared" ref="J19:L19" si="0">SUM(J15:J18)</f>
        <v>0</v>
      </c>
      <c r="K19" s="5"/>
      <c r="L19" s="7">
        <f t="shared" si="0"/>
        <v>0</v>
      </c>
      <c r="M19" s="26"/>
      <c r="N19" s="3" t="s">
        <v>2</v>
      </c>
      <c r="O19" s="4">
        <f>SUM(O15:O18)</f>
        <v>0</v>
      </c>
      <c r="P19" s="1"/>
    </row>
    <row r="20" spans="1:18" ht="15" customHeight="1" x14ac:dyDescent="0.25">
      <c r="B20" s="27"/>
      <c r="E20" s="1"/>
      <c r="F20" s="11"/>
      <c r="J20"/>
    </row>
    <row r="21" spans="1:18" ht="15" customHeight="1" x14ac:dyDescent="0.25">
      <c r="B21" s="1"/>
      <c r="E21" s="1"/>
      <c r="F21" s="1"/>
      <c r="J21"/>
    </row>
    <row r="22" spans="1:18" ht="15" customHeight="1" x14ac:dyDescent="0.25">
      <c r="A22" s="80" t="s">
        <v>38</v>
      </c>
      <c r="B22" s="81"/>
      <c r="C22" s="81"/>
      <c r="D22" s="81"/>
      <c r="E22" s="81"/>
      <c r="F22" s="81"/>
      <c r="G22" s="81"/>
      <c r="H22" s="81"/>
      <c r="I22" s="81"/>
      <c r="J22" s="81"/>
      <c r="K22" s="81"/>
      <c r="L22" s="81"/>
      <c r="M22" s="81"/>
      <c r="N22" s="81"/>
      <c r="O22" s="82"/>
    </row>
    <row r="23" spans="1:18" ht="15" customHeight="1" x14ac:dyDescent="0.25">
      <c r="A23" s="57" t="s">
        <v>21</v>
      </c>
      <c r="B23" s="58"/>
      <c r="C23" s="58"/>
      <c r="D23" s="58"/>
      <c r="E23" s="58"/>
      <c r="F23" s="59"/>
      <c r="G23" s="74"/>
      <c r="H23" s="77" t="s">
        <v>22</v>
      </c>
      <c r="I23" s="78"/>
      <c r="J23" s="78"/>
      <c r="K23" s="78"/>
      <c r="L23" s="79"/>
      <c r="M23" s="20"/>
      <c r="N23" s="57" t="s">
        <v>4</v>
      </c>
      <c r="O23" s="59"/>
      <c r="P23" s="21"/>
    </row>
    <row r="24" spans="1:18" ht="15" customHeight="1" x14ac:dyDescent="0.25">
      <c r="A24" s="22" t="s">
        <v>29</v>
      </c>
      <c r="B24" s="3" t="s">
        <v>3</v>
      </c>
      <c r="C24" s="3" t="s">
        <v>31</v>
      </c>
      <c r="D24" s="3" t="s">
        <v>10</v>
      </c>
      <c r="E24" s="3" t="s">
        <v>0</v>
      </c>
      <c r="F24" s="3" t="s">
        <v>1</v>
      </c>
      <c r="G24" s="75"/>
      <c r="H24" s="22" t="s">
        <v>29</v>
      </c>
      <c r="I24" s="3" t="s">
        <v>23</v>
      </c>
      <c r="J24" s="3" t="s">
        <v>10</v>
      </c>
      <c r="K24" s="3" t="s">
        <v>0</v>
      </c>
      <c r="L24" s="3" t="s">
        <v>1</v>
      </c>
      <c r="M24" s="23"/>
      <c r="N24" s="19" t="s">
        <v>29</v>
      </c>
      <c r="O24" s="3" t="s">
        <v>23</v>
      </c>
      <c r="P24" s="21"/>
    </row>
    <row r="25" spans="1:18" ht="15" customHeight="1" x14ac:dyDescent="0.25">
      <c r="A25" s="29">
        <v>46107</v>
      </c>
      <c r="B25" s="24">
        <v>15</v>
      </c>
      <c r="C25" s="4">
        <v>15</v>
      </c>
      <c r="D25" s="4">
        <f>B25-C25</f>
        <v>0</v>
      </c>
      <c r="E25" s="5">
        <v>152.43902399999999</v>
      </c>
      <c r="F25" s="32">
        <f>C25/E25</f>
        <v>9.8400000000000001E-2</v>
      </c>
      <c r="G25" s="75"/>
      <c r="H25" s="29"/>
      <c r="I25" s="5"/>
      <c r="J25" s="4"/>
      <c r="K25" s="4"/>
      <c r="L25" s="5"/>
      <c r="M25" s="25"/>
      <c r="N25" s="29"/>
      <c r="O25" s="4"/>
      <c r="P25" s="1"/>
      <c r="R25" s="1"/>
    </row>
    <row r="26" spans="1:18" ht="15" customHeight="1" x14ac:dyDescent="0.25">
      <c r="A26" s="29"/>
      <c r="B26" s="4"/>
      <c r="C26" s="4"/>
      <c r="D26" s="4"/>
      <c r="E26" s="5"/>
      <c r="F26" s="32"/>
      <c r="G26" s="75"/>
      <c r="H26" s="29"/>
      <c r="I26" s="2"/>
      <c r="J26" s="2"/>
      <c r="K26" s="2"/>
      <c r="L26" s="2"/>
      <c r="M26" s="15"/>
      <c r="N26" s="29"/>
      <c r="O26" s="2"/>
    </row>
    <row r="27" spans="1:18" ht="15" customHeight="1" x14ac:dyDescent="0.3">
      <c r="A27" s="30"/>
      <c r="B27" s="4"/>
      <c r="C27" s="5"/>
      <c r="D27" s="5"/>
      <c r="E27" s="5"/>
      <c r="F27" s="7"/>
      <c r="G27" s="75"/>
      <c r="H27" s="30"/>
      <c r="I27" s="2"/>
      <c r="J27" s="2"/>
      <c r="K27" s="2"/>
      <c r="L27" s="2"/>
      <c r="M27" s="15"/>
      <c r="N27" s="30"/>
      <c r="O27" s="2"/>
    </row>
    <row r="28" spans="1:18" ht="15" customHeight="1" x14ac:dyDescent="0.3">
      <c r="A28" s="30"/>
      <c r="B28" s="4"/>
      <c r="C28" s="5"/>
      <c r="D28" s="5"/>
      <c r="E28" s="5"/>
      <c r="F28" s="5"/>
      <c r="G28" s="75"/>
      <c r="H28" s="30"/>
      <c r="I28" s="2"/>
      <c r="J28" s="2"/>
      <c r="K28" s="2"/>
      <c r="L28" s="2"/>
      <c r="M28" s="15"/>
      <c r="N28" s="30"/>
      <c r="O28" s="2"/>
    </row>
    <row r="29" spans="1:18" ht="15" customHeight="1" x14ac:dyDescent="0.25">
      <c r="A29" s="3" t="s">
        <v>2</v>
      </c>
      <c r="B29" s="4">
        <f>SUM(B25:B28)</f>
        <v>15</v>
      </c>
      <c r="C29" s="4">
        <f>SUM(C25:C28)</f>
        <v>15</v>
      </c>
      <c r="D29" s="4">
        <f>SUM(D25:D28)</f>
        <v>0</v>
      </c>
      <c r="E29" s="5">
        <f>IF(B29&gt;0,SUMPRODUCT(E25:E28,F25:F28)/SUM(F25:F28),"0.00")</f>
        <v>152.43902399999999</v>
      </c>
      <c r="F29" s="6">
        <f>SUM(F25:F28)</f>
        <v>9.8400000000000001E-2</v>
      </c>
      <c r="G29" s="76"/>
      <c r="H29" s="3" t="s">
        <v>2</v>
      </c>
      <c r="I29" s="4">
        <f>SUM(I25:I28)</f>
        <v>0</v>
      </c>
      <c r="J29" s="4">
        <f t="shared" ref="J29" si="1">SUM(J25:J28)</f>
        <v>0</v>
      </c>
      <c r="K29" s="5"/>
      <c r="L29" s="7">
        <f t="shared" ref="L29" si="2">SUM(L25:L28)</f>
        <v>0</v>
      </c>
      <c r="M29" s="26"/>
      <c r="N29" s="3" t="s">
        <v>2</v>
      </c>
      <c r="O29" s="4">
        <f>SUM(O25:O28)</f>
        <v>0</v>
      </c>
      <c r="P29" s="1"/>
    </row>
    <row r="30" spans="1:18" x14ac:dyDescent="0.25">
      <c r="J30"/>
    </row>
    <row r="31" spans="1:18" x14ac:dyDescent="0.25">
      <c r="D31" s="10"/>
    </row>
  </sheetData>
  <mergeCells count="17">
    <mergeCell ref="A12:O12"/>
    <mergeCell ref="Q2:X2"/>
    <mergeCell ref="A13:F13"/>
    <mergeCell ref="G13:G19"/>
    <mergeCell ref="H13:L13"/>
    <mergeCell ref="N13:O13"/>
    <mergeCell ref="Q3:Q4"/>
    <mergeCell ref="R3:R4"/>
    <mergeCell ref="S3:S4"/>
    <mergeCell ref="T3:T4"/>
    <mergeCell ref="U3:W3"/>
    <mergeCell ref="X3:X4"/>
    <mergeCell ref="A22:O22"/>
    <mergeCell ref="A23:F23"/>
    <mergeCell ref="G23:G29"/>
    <mergeCell ref="H23:L23"/>
    <mergeCell ref="N23:O23"/>
  </mergeCells>
  <hyperlinks>
    <hyperlink ref="A12:O12" location="'SEB Active 55'!A1" display="SESA5FE SS „SEB Active 55“ SE0016076046" xr:uid="{B6EB26BD-87CF-4752-9D7D-43BADCB806E1}"/>
    <hyperlink ref="A22:O22" location="'SEB Active 80'!A1" display="SESA8FE SS „SEB Active 80“ SE0016076111" xr:uid="{4BFC5B4C-8E56-44B6-BEF7-AFB74F78C28A}"/>
  </hyperlinks>
  <pageMargins left="0.7" right="0.7" top="0.75" bottom="0.75" header="0.3" footer="0.3"/>
  <ignoredErrors>
    <ignoredError sqref="E19 E29" formula="1"/>
  </ignoredErrors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600-000000000000}">
  <dimension ref="A2:X31"/>
  <sheetViews>
    <sheetView workbookViewId="0">
      <selection activeCell="A22" sqref="A22:O22"/>
    </sheetView>
  </sheetViews>
  <sheetFormatPr defaultRowHeight="15" x14ac:dyDescent="0.25"/>
  <cols>
    <col min="1" max="6" width="10.7109375" customWidth="1"/>
    <col min="7" max="7" width="2.7109375" customWidth="1"/>
    <col min="8" max="9" width="10.7109375" customWidth="1"/>
    <col min="10" max="10" width="10.7109375" style="1" customWidth="1"/>
    <col min="11" max="12" width="10.7109375" customWidth="1"/>
    <col min="13" max="13" width="2.7109375" customWidth="1"/>
    <col min="14" max="15" width="10.7109375" customWidth="1"/>
    <col min="16" max="16" width="5.7109375" customWidth="1"/>
    <col min="17" max="24" width="10.7109375" customWidth="1"/>
  </cols>
  <sheetData>
    <row r="2" spans="1:24" x14ac:dyDescent="0.25">
      <c r="Q2" s="67">
        <v>2026.02</v>
      </c>
      <c r="R2" s="68"/>
      <c r="S2" s="68"/>
      <c r="T2" s="68"/>
      <c r="U2" s="68"/>
      <c r="V2" s="68"/>
      <c r="W2" s="68"/>
      <c r="X2" s="69"/>
    </row>
    <row r="3" spans="1:24" x14ac:dyDescent="0.25">
      <c r="Q3" s="70" t="s">
        <v>11</v>
      </c>
      <c r="R3" s="70" t="s">
        <v>28</v>
      </c>
      <c r="S3" s="70" t="s">
        <v>24</v>
      </c>
      <c r="T3" s="70" t="s">
        <v>25</v>
      </c>
      <c r="U3" s="71" t="s">
        <v>26</v>
      </c>
      <c r="V3" s="72"/>
      <c r="W3" s="73"/>
      <c r="X3" s="56" t="s">
        <v>4</v>
      </c>
    </row>
    <row r="4" spans="1:24" x14ac:dyDescent="0.25">
      <c r="Q4" s="55"/>
      <c r="R4" s="55"/>
      <c r="S4" s="55"/>
      <c r="T4" s="55"/>
      <c r="U4" s="12" t="s">
        <v>21</v>
      </c>
      <c r="V4" s="12" t="s">
        <v>27</v>
      </c>
      <c r="W4" s="13" t="s">
        <v>22</v>
      </c>
      <c r="X4" s="56"/>
    </row>
    <row r="5" spans="1:24" x14ac:dyDescent="0.25">
      <c r="Q5" s="4">
        <f>(B19+B29+B39+B49+B59+B69+B79+B89+B99+B109)-T5</f>
        <v>30</v>
      </c>
      <c r="R5" s="4">
        <v>0</v>
      </c>
      <c r="S5" s="4">
        <f>(C19+C29+C39+C49+C59+C69+C79+C89+C99+C109)-T5</f>
        <v>30</v>
      </c>
      <c r="T5" s="4">
        <f>(I19+I29+I39+I49+I59+I69+I79+I89+I99+I109)-W5</f>
        <v>0</v>
      </c>
      <c r="U5" s="4">
        <f>D19+D29+D39+D49+D59+D69+D79+D89+D99+D109</f>
        <v>0</v>
      </c>
      <c r="V5" s="4">
        <v>0.12</v>
      </c>
      <c r="W5" s="4">
        <f>J19+J29+J39+J49+J59+J69+J79+J89+J99+J109</f>
        <v>0</v>
      </c>
      <c r="X5" s="4">
        <f>O19+O29+O39+O49+O59+O69+O79+O89+O99+O109</f>
        <v>0</v>
      </c>
    </row>
    <row r="11" spans="1:24" ht="15" customHeight="1" x14ac:dyDescent="0.25">
      <c r="J11"/>
    </row>
    <row r="12" spans="1:24" ht="15" customHeight="1" x14ac:dyDescent="0.25">
      <c r="A12" s="80" t="s">
        <v>39</v>
      </c>
      <c r="B12" s="81"/>
      <c r="C12" s="81"/>
      <c r="D12" s="81"/>
      <c r="E12" s="81"/>
      <c r="F12" s="81"/>
      <c r="G12" s="81"/>
      <c r="H12" s="81"/>
      <c r="I12" s="81"/>
      <c r="J12" s="81"/>
      <c r="K12" s="81"/>
      <c r="L12" s="81"/>
      <c r="M12" s="81"/>
      <c r="N12" s="81"/>
      <c r="O12" s="82"/>
    </row>
    <row r="13" spans="1:24" ht="15" customHeight="1" x14ac:dyDescent="0.25">
      <c r="A13" s="57" t="s">
        <v>21</v>
      </c>
      <c r="B13" s="58"/>
      <c r="C13" s="58"/>
      <c r="D13" s="58"/>
      <c r="E13" s="58"/>
      <c r="F13" s="59"/>
      <c r="G13" s="74"/>
      <c r="H13" s="77" t="s">
        <v>22</v>
      </c>
      <c r="I13" s="78"/>
      <c r="J13" s="78"/>
      <c r="K13" s="78"/>
      <c r="L13" s="79"/>
      <c r="M13" s="20"/>
      <c r="N13" s="57" t="s">
        <v>4</v>
      </c>
      <c r="O13" s="59"/>
      <c r="P13" s="21"/>
    </row>
    <row r="14" spans="1:24" ht="15" customHeight="1" x14ac:dyDescent="0.25">
      <c r="A14" s="22" t="s">
        <v>29</v>
      </c>
      <c r="B14" s="3" t="s">
        <v>3</v>
      </c>
      <c r="C14" s="3" t="s">
        <v>31</v>
      </c>
      <c r="D14" s="3" t="s">
        <v>10</v>
      </c>
      <c r="E14" s="3" t="s">
        <v>0</v>
      </c>
      <c r="F14" s="3" t="s">
        <v>1</v>
      </c>
      <c r="G14" s="75"/>
      <c r="H14" s="22" t="s">
        <v>29</v>
      </c>
      <c r="I14" s="3" t="s">
        <v>23</v>
      </c>
      <c r="J14" s="3" t="s">
        <v>10</v>
      </c>
      <c r="K14" s="3" t="s">
        <v>0</v>
      </c>
      <c r="L14" s="3" t="s">
        <v>1</v>
      </c>
      <c r="M14" s="23"/>
      <c r="N14" s="19" t="s">
        <v>29</v>
      </c>
      <c r="O14" s="3" t="s">
        <v>23</v>
      </c>
      <c r="P14" s="21"/>
    </row>
    <row r="15" spans="1:24" ht="15" customHeight="1" x14ac:dyDescent="0.25">
      <c r="A15" s="29">
        <v>46080</v>
      </c>
      <c r="B15" s="24">
        <v>15</v>
      </c>
      <c r="C15" s="4">
        <v>15</v>
      </c>
      <c r="D15" s="4">
        <f>B15-C15</f>
        <v>0</v>
      </c>
      <c r="E15" s="37">
        <v>144.64802299999999</v>
      </c>
      <c r="F15" s="6">
        <f>B15/E15</f>
        <v>0.1037</v>
      </c>
      <c r="G15" s="75"/>
      <c r="H15" s="29"/>
      <c r="I15" s="5"/>
      <c r="J15" s="4"/>
      <c r="K15" s="4"/>
      <c r="L15" s="5"/>
      <c r="M15" s="25"/>
      <c r="N15" s="29"/>
      <c r="O15" s="4"/>
      <c r="P15" s="1"/>
    </row>
    <row r="16" spans="1:24" ht="15" customHeight="1" x14ac:dyDescent="0.25">
      <c r="A16" s="29"/>
      <c r="B16" s="4"/>
      <c r="C16" s="4"/>
      <c r="D16" s="4"/>
      <c r="E16" s="37"/>
      <c r="F16" s="6"/>
      <c r="G16" s="75"/>
      <c r="H16" s="29"/>
      <c r="I16" s="2"/>
      <c r="J16" s="2"/>
      <c r="K16" s="2"/>
      <c r="L16" s="2"/>
      <c r="M16" s="15"/>
      <c r="N16" s="29"/>
      <c r="O16" s="2"/>
    </row>
    <row r="17" spans="1:18" ht="15" customHeight="1" x14ac:dyDescent="0.3">
      <c r="A17" s="30"/>
      <c r="B17" s="4"/>
      <c r="C17" s="5"/>
      <c r="D17" s="5"/>
      <c r="E17" s="5"/>
      <c r="F17" s="7"/>
      <c r="G17" s="75"/>
      <c r="H17" s="30"/>
      <c r="I17" s="2"/>
      <c r="J17" s="2"/>
      <c r="K17" s="2"/>
      <c r="L17" s="2"/>
      <c r="M17" s="15"/>
      <c r="N17" s="30"/>
      <c r="O17" s="2"/>
    </row>
    <row r="18" spans="1:18" ht="15" customHeight="1" x14ac:dyDescent="0.3">
      <c r="A18" s="30"/>
      <c r="B18" s="4"/>
      <c r="C18" s="5"/>
      <c r="D18" s="5"/>
      <c r="E18" s="5"/>
      <c r="F18" s="7"/>
      <c r="G18" s="75"/>
      <c r="H18" s="30"/>
      <c r="I18" s="2"/>
      <c r="J18" s="2"/>
      <c r="K18" s="2"/>
      <c r="L18" s="2"/>
      <c r="M18" s="15"/>
      <c r="N18" s="30"/>
      <c r="O18" s="2"/>
    </row>
    <row r="19" spans="1:18" ht="15" customHeight="1" x14ac:dyDescent="0.25">
      <c r="A19" s="3" t="s">
        <v>2</v>
      </c>
      <c r="B19" s="4">
        <f>SUM(B15:B18)</f>
        <v>15</v>
      </c>
      <c r="C19" s="4">
        <f>SUM(C15:C18)</f>
        <v>15</v>
      </c>
      <c r="D19" s="4">
        <f>SUM(D15:D18)</f>
        <v>0</v>
      </c>
      <c r="E19" s="5">
        <f>IF(B19&gt;0,SUMPRODUCT(E15:E18,F15:F18)/SUM(F15:F18),"0.00")</f>
        <v>144.64802299999999</v>
      </c>
      <c r="F19" s="6">
        <f>SUM(F15:F18)</f>
        <v>0.1037</v>
      </c>
      <c r="G19" s="76"/>
      <c r="H19" s="3" t="s">
        <v>2</v>
      </c>
      <c r="I19" s="4">
        <f>SUM(I15:I18)</f>
        <v>0</v>
      </c>
      <c r="J19" s="4">
        <f t="shared" ref="J19:L19" si="0">SUM(J15:J18)</f>
        <v>0</v>
      </c>
      <c r="K19" s="5"/>
      <c r="L19" s="7">
        <f t="shared" si="0"/>
        <v>0</v>
      </c>
      <c r="M19" s="26"/>
      <c r="N19" s="3" t="s">
        <v>2</v>
      </c>
      <c r="O19" s="4">
        <f>SUM(O15:O18)</f>
        <v>0</v>
      </c>
      <c r="P19" s="1"/>
    </row>
    <row r="20" spans="1:18" ht="15" customHeight="1" x14ac:dyDescent="0.25">
      <c r="B20" s="27"/>
      <c r="E20" s="1"/>
      <c r="F20" s="11"/>
      <c r="J20"/>
    </row>
    <row r="21" spans="1:18" ht="15" customHeight="1" x14ac:dyDescent="0.25">
      <c r="B21" s="1"/>
      <c r="E21" s="1"/>
      <c r="F21" s="1"/>
      <c r="J21"/>
    </row>
    <row r="22" spans="1:18" ht="15" customHeight="1" x14ac:dyDescent="0.25">
      <c r="A22" s="80" t="s">
        <v>38</v>
      </c>
      <c r="B22" s="81"/>
      <c r="C22" s="81"/>
      <c r="D22" s="81"/>
      <c r="E22" s="81"/>
      <c r="F22" s="81"/>
      <c r="G22" s="81"/>
      <c r="H22" s="81"/>
      <c r="I22" s="81"/>
      <c r="J22" s="81"/>
      <c r="K22" s="81"/>
      <c r="L22" s="81"/>
      <c r="M22" s="81"/>
      <c r="N22" s="81"/>
      <c r="O22" s="82"/>
    </row>
    <row r="23" spans="1:18" ht="15" customHeight="1" x14ac:dyDescent="0.25">
      <c r="A23" s="57" t="s">
        <v>21</v>
      </c>
      <c r="B23" s="58"/>
      <c r="C23" s="58"/>
      <c r="D23" s="58"/>
      <c r="E23" s="58"/>
      <c r="F23" s="59"/>
      <c r="G23" s="74"/>
      <c r="H23" s="77" t="s">
        <v>22</v>
      </c>
      <c r="I23" s="78"/>
      <c r="J23" s="78"/>
      <c r="K23" s="78"/>
      <c r="L23" s="79"/>
      <c r="M23" s="20"/>
      <c r="N23" s="57" t="s">
        <v>4</v>
      </c>
      <c r="O23" s="59"/>
      <c r="P23" s="21"/>
    </row>
    <row r="24" spans="1:18" ht="15" customHeight="1" x14ac:dyDescent="0.25">
      <c r="A24" s="22" t="s">
        <v>29</v>
      </c>
      <c r="B24" s="3" t="s">
        <v>3</v>
      </c>
      <c r="C24" s="3" t="s">
        <v>31</v>
      </c>
      <c r="D24" s="3" t="s">
        <v>10</v>
      </c>
      <c r="E24" s="3" t="s">
        <v>0</v>
      </c>
      <c r="F24" s="3" t="s">
        <v>1</v>
      </c>
      <c r="G24" s="75"/>
      <c r="H24" s="22" t="s">
        <v>29</v>
      </c>
      <c r="I24" s="3" t="s">
        <v>23</v>
      </c>
      <c r="J24" s="3" t="s">
        <v>10</v>
      </c>
      <c r="K24" s="3" t="s">
        <v>0</v>
      </c>
      <c r="L24" s="3" t="s">
        <v>1</v>
      </c>
      <c r="M24" s="23"/>
      <c r="N24" s="19" t="s">
        <v>29</v>
      </c>
      <c r="O24" s="3" t="s">
        <v>23</v>
      </c>
      <c r="P24" s="21"/>
    </row>
    <row r="25" spans="1:18" ht="15" customHeight="1" x14ac:dyDescent="0.25">
      <c r="A25" s="29">
        <v>46079</v>
      </c>
      <c r="B25" s="24">
        <v>15</v>
      </c>
      <c r="C25" s="4">
        <v>15</v>
      </c>
      <c r="D25" s="4">
        <f>B25-C25</f>
        <v>0</v>
      </c>
      <c r="E25" s="5">
        <v>163.934426</v>
      </c>
      <c r="F25" s="32">
        <f>C25/E25</f>
        <v>9.1499999999999998E-2</v>
      </c>
      <c r="G25" s="75"/>
      <c r="H25" s="29"/>
      <c r="I25" s="5"/>
      <c r="J25" s="4"/>
      <c r="K25" s="4"/>
      <c r="L25" s="5"/>
      <c r="M25" s="25"/>
      <c r="N25" s="29"/>
      <c r="O25" s="4"/>
      <c r="P25" s="1"/>
      <c r="R25" s="1"/>
    </row>
    <row r="26" spans="1:18" ht="15" customHeight="1" x14ac:dyDescent="0.25">
      <c r="A26" s="29"/>
      <c r="B26" s="4"/>
      <c r="C26" s="4"/>
      <c r="D26" s="4"/>
      <c r="E26" s="5"/>
      <c r="F26" s="32"/>
      <c r="G26" s="75"/>
      <c r="H26" s="29"/>
      <c r="I26" s="2"/>
      <c r="J26" s="2"/>
      <c r="K26" s="2"/>
      <c r="L26" s="2"/>
      <c r="M26" s="15"/>
      <c r="N26" s="29"/>
      <c r="O26" s="2"/>
    </row>
    <row r="27" spans="1:18" ht="15" customHeight="1" x14ac:dyDescent="0.3">
      <c r="A27" s="30"/>
      <c r="B27" s="4"/>
      <c r="C27" s="5"/>
      <c r="D27" s="5"/>
      <c r="E27" s="5"/>
      <c r="F27" s="7"/>
      <c r="G27" s="75"/>
      <c r="H27" s="30"/>
      <c r="I27" s="2"/>
      <c r="J27" s="2"/>
      <c r="K27" s="2"/>
      <c r="L27" s="2"/>
      <c r="M27" s="15"/>
      <c r="N27" s="30"/>
      <c r="O27" s="2"/>
    </row>
    <row r="28" spans="1:18" ht="15" customHeight="1" x14ac:dyDescent="0.3">
      <c r="A28" s="30"/>
      <c r="B28" s="4"/>
      <c r="C28" s="5"/>
      <c r="D28" s="5"/>
      <c r="E28" s="5"/>
      <c r="F28" s="5"/>
      <c r="G28" s="75"/>
      <c r="H28" s="30"/>
      <c r="I28" s="2"/>
      <c r="J28" s="2"/>
      <c r="K28" s="2"/>
      <c r="L28" s="2"/>
      <c r="M28" s="15"/>
      <c r="N28" s="30"/>
      <c r="O28" s="2"/>
    </row>
    <row r="29" spans="1:18" ht="15" customHeight="1" x14ac:dyDescent="0.25">
      <c r="A29" s="3" t="s">
        <v>2</v>
      </c>
      <c r="B29" s="4">
        <f>SUM(B25:B28)</f>
        <v>15</v>
      </c>
      <c r="C29" s="4">
        <f>SUM(C25:C28)</f>
        <v>15</v>
      </c>
      <c r="D29" s="4">
        <f>SUM(D25:D28)</f>
        <v>0</v>
      </c>
      <c r="E29" s="5">
        <f>IF(B29&gt;0,SUMPRODUCT(E25:E28,F25:F28)/SUM(F25:F28),"0.00")</f>
        <v>163.934426</v>
      </c>
      <c r="F29" s="6">
        <f>SUM(F25:F28)</f>
        <v>9.1499999999999998E-2</v>
      </c>
      <c r="G29" s="76"/>
      <c r="H29" s="3" t="s">
        <v>2</v>
      </c>
      <c r="I29" s="4">
        <f>SUM(I25:I28)</f>
        <v>0</v>
      </c>
      <c r="J29" s="4">
        <f t="shared" ref="J29" si="1">SUM(J25:J28)</f>
        <v>0</v>
      </c>
      <c r="K29" s="5"/>
      <c r="L29" s="7">
        <f t="shared" ref="L29" si="2">SUM(L25:L28)</f>
        <v>0</v>
      </c>
      <c r="M29" s="26"/>
      <c r="N29" s="3" t="s">
        <v>2</v>
      </c>
      <c r="O29" s="4">
        <f>SUM(O25:O28)</f>
        <v>0</v>
      </c>
      <c r="P29" s="1"/>
    </row>
    <row r="30" spans="1:18" x14ac:dyDescent="0.25">
      <c r="J30"/>
    </row>
    <row r="31" spans="1:18" x14ac:dyDescent="0.25">
      <c r="D31" s="10"/>
    </row>
  </sheetData>
  <mergeCells count="17">
    <mergeCell ref="A12:O12"/>
    <mergeCell ref="Q2:X2"/>
    <mergeCell ref="A13:F13"/>
    <mergeCell ref="G13:G19"/>
    <mergeCell ref="H13:L13"/>
    <mergeCell ref="N13:O13"/>
    <mergeCell ref="Q3:Q4"/>
    <mergeCell ref="R3:R4"/>
    <mergeCell ref="S3:S4"/>
    <mergeCell ref="T3:T4"/>
    <mergeCell ref="U3:W3"/>
    <mergeCell ref="X3:X4"/>
    <mergeCell ref="A22:O22"/>
    <mergeCell ref="A23:F23"/>
    <mergeCell ref="G23:G29"/>
    <mergeCell ref="H23:L23"/>
    <mergeCell ref="N23:O23"/>
  </mergeCells>
  <hyperlinks>
    <hyperlink ref="A12:O12" location="'SEB Active 55'!A1" display="SESA5FE SS „SEB Active 55“ SE0016076046" xr:uid="{16695EDB-3DA5-4FA4-A17C-7DE4918A8A4C}"/>
    <hyperlink ref="A22:O22" location="'SEB Active 80'!A1" display="SESA8FE SS „SEB Active 80“ SE0016076111" xr:uid="{3A940FE3-19F0-4336-BC62-0E3C92E6A474}"/>
  </hyperlinks>
  <pageMargins left="0.7" right="0.7" top="0.75" bottom="0.75" header="0.3" footer="0.3"/>
  <ignoredErrors>
    <ignoredError sqref="E19 E29" formula="1"/>
  </ignoredErrors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700-000000000000}">
  <dimension ref="A2:X31"/>
  <sheetViews>
    <sheetView workbookViewId="0">
      <selection activeCell="A22" sqref="A22:O22"/>
    </sheetView>
  </sheetViews>
  <sheetFormatPr defaultRowHeight="15" x14ac:dyDescent="0.25"/>
  <cols>
    <col min="1" max="6" width="10.7109375" customWidth="1"/>
    <col min="7" max="7" width="2.7109375" customWidth="1"/>
    <col min="8" max="9" width="10.7109375" customWidth="1"/>
    <col min="10" max="10" width="10.7109375" style="1" customWidth="1"/>
    <col min="11" max="12" width="10.7109375" customWidth="1"/>
    <col min="13" max="13" width="2.7109375" customWidth="1"/>
    <col min="14" max="15" width="10.7109375" customWidth="1"/>
    <col min="16" max="16" width="5.7109375" customWidth="1"/>
    <col min="17" max="24" width="10.7109375" customWidth="1"/>
  </cols>
  <sheetData>
    <row r="2" spans="1:24" x14ac:dyDescent="0.25">
      <c r="Q2" s="67">
        <v>2026.01</v>
      </c>
      <c r="R2" s="68"/>
      <c r="S2" s="68"/>
      <c r="T2" s="68"/>
      <c r="U2" s="68"/>
      <c r="V2" s="68"/>
      <c r="W2" s="68"/>
      <c r="X2" s="69"/>
    </row>
    <row r="3" spans="1:24" x14ac:dyDescent="0.25">
      <c r="Q3" s="70" t="s">
        <v>11</v>
      </c>
      <c r="R3" s="70" t="s">
        <v>28</v>
      </c>
      <c r="S3" s="70" t="s">
        <v>24</v>
      </c>
      <c r="T3" s="70" t="s">
        <v>25</v>
      </c>
      <c r="U3" s="71" t="s">
        <v>26</v>
      </c>
      <c r="V3" s="72"/>
      <c r="W3" s="73"/>
      <c r="X3" s="56" t="s">
        <v>4</v>
      </c>
    </row>
    <row r="4" spans="1:24" x14ac:dyDescent="0.25">
      <c r="Q4" s="55"/>
      <c r="R4" s="55"/>
      <c r="S4" s="55"/>
      <c r="T4" s="55"/>
      <c r="U4" s="12" t="s">
        <v>21</v>
      </c>
      <c r="V4" s="12" t="s">
        <v>27</v>
      </c>
      <c r="W4" s="13" t="s">
        <v>22</v>
      </c>
      <c r="X4" s="56"/>
    </row>
    <row r="5" spans="1:24" x14ac:dyDescent="0.25">
      <c r="Q5" s="4">
        <f>(B19+B29+B39+B49+B59+B69+B79+B89+B99+B109)-T5</f>
        <v>60</v>
      </c>
      <c r="R5" s="4">
        <v>0</v>
      </c>
      <c r="S5" s="4">
        <f>(C19+C29+C39+C49+C59+C69+C79+C89+C99+C109)-T5</f>
        <v>60</v>
      </c>
      <c r="T5" s="4">
        <f>(I19+I29+I39+I49+I59+I69+I79+I89+I99+I109)-W5</f>
        <v>0</v>
      </c>
      <c r="U5" s="4">
        <f>D19+D29+D39+D49+D59+D69+D79+D89+D99+D109</f>
        <v>0</v>
      </c>
      <c r="V5" s="4">
        <v>0.11</v>
      </c>
      <c r="W5" s="4">
        <f>J19+J29+J39+J49+J59+J69+J79+J89+J99+J109</f>
        <v>0</v>
      </c>
      <c r="X5" s="4">
        <f>O19+O29+O39+O49+O59+O69+O79+O89+O99+O109</f>
        <v>0</v>
      </c>
    </row>
    <row r="11" spans="1:24" ht="15" customHeight="1" x14ac:dyDescent="0.25">
      <c r="J11"/>
    </row>
    <row r="12" spans="1:24" ht="15" customHeight="1" x14ac:dyDescent="0.25">
      <c r="A12" s="80" t="s">
        <v>39</v>
      </c>
      <c r="B12" s="81"/>
      <c r="C12" s="81"/>
      <c r="D12" s="81"/>
      <c r="E12" s="81"/>
      <c r="F12" s="81"/>
      <c r="G12" s="81"/>
      <c r="H12" s="81"/>
      <c r="I12" s="81"/>
      <c r="J12" s="81"/>
      <c r="K12" s="81"/>
      <c r="L12" s="81"/>
      <c r="M12" s="81"/>
      <c r="N12" s="81"/>
      <c r="O12" s="82"/>
    </row>
    <row r="13" spans="1:24" ht="15" customHeight="1" x14ac:dyDescent="0.25">
      <c r="A13" s="57" t="s">
        <v>21</v>
      </c>
      <c r="B13" s="58"/>
      <c r="C13" s="58"/>
      <c r="D13" s="58"/>
      <c r="E13" s="58"/>
      <c r="F13" s="59"/>
      <c r="G13" s="74"/>
      <c r="H13" s="77" t="s">
        <v>22</v>
      </c>
      <c r="I13" s="78"/>
      <c r="J13" s="78"/>
      <c r="K13" s="78"/>
      <c r="L13" s="79"/>
      <c r="M13" s="20"/>
      <c r="N13" s="57" t="s">
        <v>4</v>
      </c>
      <c r="O13" s="59"/>
      <c r="P13" s="21"/>
    </row>
    <row r="14" spans="1:24" ht="15" customHeight="1" x14ac:dyDescent="0.25">
      <c r="A14" s="22" t="s">
        <v>29</v>
      </c>
      <c r="B14" s="3" t="s">
        <v>3</v>
      </c>
      <c r="C14" s="3" t="s">
        <v>31</v>
      </c>
      <c r="D14" s="3" t="s">
        <v>10</v>
      </c>
      <c r="E14" s="3" t="s">
        <v>0</v>
      </c>
      <c r="F14" s="3" t="s">
        <v>1</v>
      </c>
      <c r="G14" s="75"/>
      <c r="H14" s="22" t="s">
        <v>29</v>
      </c>
      <c r="I14" s="3" t="s">
        <v>23</v>
      </c>
      <c r="J14" s="3" t="s">
        <v>10</v>
      </c>
      <c r="K14" s="3" t="s">
        <v>0</v>
      </c>
      <c r="L14" s="3" t="s">
        <v>1</v>
      </c>
      <c r="M14" s="23"/>
      <c r="N14" s="19" t="s">
        <v>29</v>
      </c>
      <c r="O14" s="3" t="s">
        <v>23</v>
      </c>
      <c r="P14" s="21"/>
    </row>
    <row r="15" spans="1:24" ht="15" customHeight="1" x14ac:dyDescent="0.25">
      <c r="A15" s="29">
        <v>46027</v>
      </c>
      <c r="B15" s="24">
        <v>15</v>
      </c>
      <c r="C15" s="4">
        <v>15</v>
      </c>
      <c r="D15" s="4">
        <f>B15-C15</f>
        <v>0</v>
      </c>
      <c r="E15" s="37">
        <v>140.05602200000001</v>
      </c>
      <c r="F15" s="6">
        <f>B15/E15</f>
        <v>0.1071</v>
      </c>
      <c r="G15" s="75"/>
      <c r="H15" s="29"/>
      <c r="I15" s="5"/>
      <c r="J15" s="4"/>
      <c r="K15" s="4"/>
      <c r="L15" s="5"/>
      <c r="M15" s="25"/>
      <c r="N15" s="29"/>
      <c r="O15" s="4"/>
      <c r="P15" s="1"/>
    </row>
    <row r="16" spans="1:24" ht="15" customHeight="1" x14ac:dyDescent="0.25">
      <c r="A16" s="29">
        <v>46051</v>
      </c>
      <c r="B16" s="4">
        <v>15</v>
      </c>
      <c r="C16" s="4">
        <v>15</v>
      </c>
      <c r="D16" s="4">
        <f>B16-C16</f>
        <v>0</v>
      </c>
      <c r="E16" s="37">
        <v>143.12977100000001</v>
      </c>
      <c r="F16" s="6">
        <f>B16/E16</f>
        <v>0.1048</v>
      </c>
      <c r="G16" s="75"/>
      <c r="H16" s="29"/>
      <c r="I16" s="2"/>
      <c r="J16" s="2"/>
      <c r="K16" s="2"/>
      <c r="L16" s="2"/>
      <c r="M16" s="15"/>
      <c r="N16" s="29"/>
      <c r="O16" s="2"/>
    </row>
    <row r="17" spans="1:18" ht="15" customHeight="1" x14ac:dyDescent="0.3">
      <c r="A17" s="30"/>
      <c r="B17" s="4"/>
      <c r="C17" s="5"/>
      <c r="D17" s="5"/>
      <c r="E17" s="5"/>
      <c r="F17" s="7"/>
      <c r="G17" s="75"/>
      <c r="H17" s="30"/>
      <c r="I17" s="2"/>
      <c r="J17" s="2"/>
      <c r="K17" s="2"/>
      <c r="L17" s="2"/>
      <c r="M17" s="15"/>
      <c r="N17" s="30"/>
      <c r="O17" s="2"/>
    </row>
    <row r="18" spans="1:18" ht="15" customHeight="1" x14ac:dyDescent="0.3">
      <c r="A18" s="30"/>
      <c r="B18" s="4"/>
      <c r="C18" s="5"/>
      <c r="D18" s="5"/>
      <c r="E18" s="5"/>
      <c r="F18" s="7"/>
      <c r="G18" s="75"/>
      <c r="H18" s="30"/>
      <c r="I18" s="2"/>
      <c r="J18" s="2"/>
      <c r="K18" s="2"/>
      <c r="L18" s="2"/>
      <c r="M18" s="15"/>
      <c r="N18" s="30"/>
      <c r="O18" s="2"/>
    </row>
    <row r="19" spans="1:18" ht="15" customHeight="1" x14ac:dyDescent="0.25">
      <c r="A19" s="3" t="s">
        <v>2</v>
      </c>
      <c r="B19" s="4">
        <f>SUM(B15:B18)</f>
        <v>30</v>
      </c>
      <c r="C19" s="4">
        <f>SUM(C15:C18)</f>
        <v>30</v>
      </c>
      <c r="D19" s="4">
        <f>SUM(D15:D18)</f>
        <v>0</v>
      </c>
      <c r="E19" s="5">
        <f>IF(B19&gt;0,SUMPRODUCT(E15:E18,F15:F18)/SUM(F15:F18),"0.00")</f>
        <v>141.576214992921</v>
      </c>
      <c r="F19" s="6">
        <f>SUM(F15:F18)</f>
        <v>0.21190000000000001</v>
      </c>
      <c r="G19" s="76"/>
      <c r="H19" s="3" t="s">
        <v>2</v>
      </c>
      <c r="I19" s="4">
        <f>SUM(I15:I18)</f>
        <v>0</v>
      </c>
      <c r="J19" s="4">
        <f t="shared" ref="J19:L19" si="0">SUM(J15:J18)</f>
        <v>0</v>
      </c>
      <c r="K19" s="5"/>
      <c r="L19" s="7">
        <f t="shared" si="0"/>
        <v>0</v>
      </c>
      <c r="M19" s="26"/>
      <c r="N19" s="3" t="s">
        <v>2</v>
      </c>
      <c r="O19" s="4">
        <f>SUM(O15:O18)</f>
        <v>0</v>
      </c>
      <c r="P19" s="1"/>
    </row>
    <row r="20" spans="1:18" ht="15" customHeight="1" x14ac:dyDescent="0.25">
      <c r="B20" s="27"/>
      <c r="E20" s="1"/>
      <c r="F20" s="11"/>
      <c r="J20"/>
    </row>
    <row r="21" spans="1:18" ht="15" customHeight="1" x14ac:dyDescent="0.25">
      <c r="B21" s="1"/>
      <c r="E21" s="1"/>
      <c r="F21" s="1"/>
      <c r="J21"/>
    </row>
    <row r="22" spans="1:18" ht="15" customHeight="1" x14ac:dyDescent="0.25">
      <c r="A22" s="80" t="s">
        <v>38</v>
      </c>
      <c r="B22" s="81"/>
      <c r="C22" s="81"/>
      <c r="D22" s="81"/>
      <c r="E22" s="81"/>
      <c r="F22" s="81"/>
      <c r="G22" s="81"/>
      <c r="H22" s="81"/>
      <c r="I22" s="81"/>
      <c r="J22" s="81"/>
      <c r="K22" s="81"/>
      <c r="L22" s="81"/>
      <c r="M22" s="81"/>
      <c r="N22" s="81"/>
      <c r="O22" s="82"/>
    </row>
    <row r="23" spans="1:18" ht="15" customHeight="1" x14ac:dyDescent="0.25">
      <c r="A23" s="57" t="s">
        <v>21</v>
      </c>
      <c r="B23" s="58"/>
      <c r="C23" s="58"/>
      <c r="D23" s="58"/>
      <c r="E23" s="58"/>
      <c r="F23" s="59"/>
      <c r="G23" s="74"/>
      <c r="H23" s="77" t="s">
        <v>22</v>
      </c>
      <c r="I23" s="78"/>
      <c r="J23" s="78"/>
      <c r="K23" s="78"/>
      <c r="L23" s="79"/>
      <c r="M23" s="20"/>
      <c r="N23" s="57" t="s">
        <v>4</v>
      </c>
      <c r="O23" s="59"/>
      <c r="P23" s="21"/>
    </row>
    <row r="24" spans="1:18" ht="15" customHeight="1" x14ac:dyDescent="0.25">
      <c r="A24" s="22" t="s">
        <v>29</v>
      </c>
      <c r="B24" s="3" t="s">
        <v>3</v>
      </c>
      <c r="C24" s="3" t="s">
        <v>31</v>
      </c>
      <c r="D24" s="3" t="s">
        <v>10</v>
      </c>
      <c r="E24" s="3" t="s">
        <v>0</v>
      </c>
      <c r="F24" s="3" t="s">
        <v>1</v>
      </c>
      <c r="G24" s="75"/>
      <c r="H24" s="22" t="s">
        <v>29</v>
      </c>
      <c r="I24" s="3" t="s">
        <v>23</v>
      </c>
      <c r="J24" s="3" t="s">
        <v>10</v>
      </c>
      <c r="K24" s="3" t="s">
        <v>0</v>
      </c>
      <c r="L24" s="3" t="s">
        <v>1</v>
      </c>
      <c r="M24" s="23"/>
      <c r="N24" s="19" t="s">
        <v>29</v>
      </c>
      <c r="O24" s="3" t="s">
        <v>23</v>
      </c>
      <c r="P24" s="21"/>
    </row>
    <row r="25" spans="1:18" ht="15" customHeight="1" x14ac:dyDescent="0.25">
      <c r="A25" s="29">
        <v>46024</v>
      </c>
      <c r="B25" s="24">
        <v>15</v>
      </c>
      <c r="C25" s="4">
        <v>15</v>
      </c>
      <c r="D25" s="4">
        <f>B25-C25</f>
        <v>0</v>
      </c>
      <c r="E25" s="5">
        <v>158.56236799999999</v>
      </c>
      <c r="F25" s="32">
        <f>C25/E25</f>
        <v>9.4600000000000004E-2</v>
      </c>
      <c r="G25" s="75"/>
      <c r="H25" s="29"/>
      <c r="I25" s="5"/>
      <c r="J25" s="4"/>
      <c r="K25" s="4"/>
      <c r="L25" s="5"/>
      <c r="M25" s="25"/>
      <c r="N25" s="29"/>
      <c r="O25" s="4"/>
      <c r="P25" s="1"/>
      <c r="R25" s="1"/>
    </row>
    <row r="26" spans="1:18" ht="15" customHeight="1" x14ac:dyDescent="0.25">
      <c r="A26" s="29">
        <v>46050</v>
      </c>
      <c r="B26" s="4">
        <v>15</v>
      </c>
      <c r="C26" s="4">
        <v>15</v>
      </c>
      <c r="D26" s="4">
        <f>B26-C26</f>
        <v>0</v>
      </c>
      <c r="E26" s="5">
        <v>162.513543</v>
      </c>
      <c r="F26" s="32">
        <f>C26/E26</f>
        <v>9.2299999999999993E-2</v>
      </c>
      <c r="G26" s="75"/>
      <c r="H26" s="29"/>
      <c r="I26" s="2"/>
      <c r="J26" s="2"/>
      <c r="K26" s="2"/>
      <c r="L26" s="2"/>
      <c r="M26" s="15"/>
      <c r="N26" s="29"/>
      <c r="O26" s="2"/>
    </row>
    <row r="27" spans="1:18" ht="15" customHeight="1" x14ac:dyDescent="0.3">
      <c r="A27" s="30"/>
      <c r="B27" s="4"/>
      <c r="C27" s="5"/>
      <c r="D27" s="5"/>
      <c r="E27" s="5"/>
      <c r="F27" s="7"/>
      <c r="G27" s="75"/>
      <c r="H27" s="30"/>
      <c r="I27" s="2"/>
      <c r="J27" s="2"/>
      <c r="K27" s="2"/>
      <c r="L27" s="2"/>
      <c r="M27" s="15"/>
      <c r="N27" s="30"/>
      <c r="O27" s="2"/>
    </row>
    <row r="28" spans="1:18" ht="15" customHeight="1" x14ac:dyDescent="0.3">
      <c r="A28" s="30"/>
      <c r="B28" s="4"/>
      <c r="C28" s="5"/>
      <c r="D28" s="5"/>
      <c r="E28" s="5"/>
      <c r="F28" s="5"/>
      <c r="G28" s="75"/>
      <c r="H28" s="30"/>
      <c r="I28" s="2"/>
      <c r="J28" s="2"/>
      <c r="K28" s="2"/>
      <c r="L28" s="2"/>
      <c r="M28" s="15"/>
      <c r="N28" s="30"/>
      <c r="O28" s="2"/>
    </row>
    <row r="29" spans="1:18" ht="15" customHeight="1" x14ac:dyDescent="0.25">
      <c r="A29" s="3" t="s">
        <v>2</v>
      </c>
      <c r="B29" s="4">
        <f>SUM(B25:B28)</f>
        <v>30</v>
      </c>
      <c r="C29" s="4">
        <f>SUM(C25:C28)</f>
        <v>30</v>
      </c>
      <c r="D29" s="4">
        <f>SUM(D25:D28)</f>
        <v>0</v>
      </c>
      <c r="E29" s="5">
        <f>IF(B29&gt;0,SUMPRODUCT(E25:E28,F25:F28)/SUM(F25:F28),"0.00")</f>
        <v>160.51364382931999</v>
      </c>
      <c r="F29" s="6">
        <f>SUM(F25:F28)</f>
        <v>0.18690000000000001</v>
      </c>
      <c r="G29" s="76"/>
      <c r="H29" s="3" t="s">
        <v>2</v>
      </c>
      <c r="I29" s="4">
        <f>SUM(I25:I28)</f>
        <v>0</v>
      </c>
      <c r="J29" s="4">
        <f t="shared" ref="J29" si="1">SUM(J25:J28)</f>
        <v>0</v>
      </c>
      <c r="K29" s="5"/>
      <c r="L29" s="7">
        <f t="shared" ref="L29" si="2">SUM(L25:L28)</f>
        <v>0</v>
      </c>
      <c r="M29" s="26"/>
      <c r="N29" s="3" t="s">
        <v>2</v>
      </c>
      <c r="O29" s="4">
        <f>SUM(O25:O28)</f>
        <v>0</v>
      </c>
      <c r="P29" s="1"/>
    </row>
    <row r="30" spans="1:18" x14ac:dyDescent="0.25">
      <c r="J30"/>
    </row>
    <row r="31" spans="1:18" x14ac:dyDescent="0.25">
      <c r="D31" s="10"/>
    </row>
  </sheetData>
  <mergeCells count="17">
    <mergeCell ref="A12:O12"/>
    <mergeCell ref="Q2:X2"/>
    <mergeCell ref="A13:F13"/>
    <mergeCell ref="G13:G19"/>
    <mergeCell ref="H13:L13"/>
    <mergeCell ref="N13:O13"/>
    <mergeCell ref="Q3:Q4"/>
    <mergeCell ref="R3:R4"/>
    <mergeCell ref="S3:S4"/>
    <mergeCell ref="T3:T4"/>
    <mergeCell ref="U3:W3"/>
    <mergeCell ref="X3:X4"/>
    <mergeCell ref="A22:O22"/>
    <mergeCell ref="A23:F23"/>
    <mergeCell ref="G23:G29"/>
    <mergeCell ref="H23:L23"/>
    <mergeCell ref="N23:O23"/>
  </mergeCells>
  <hyperlinks>
    <hyperlink ref="A12:O12" location="'SEB Active 55'!A1" display="SESA5FE SS „SEB Active 55“ SE0016076046" xr:uid="{27EB37AB-11C3-44E4-911F-4E3B3FA50246}"/>
    <hyperlink ref="A22:O22" location="'SEB Active 80'!A1" display="SESA8FE SS „SEB Active 80“ SE0016076111" xr:uid="{2F562214-9F12-4874-8BE4-2F5E7752ADC7}"/>
  </hyperlinks>
  <pageMargins left="0.7" right="0.7" top="0.75" bottom="0.75" header="0.3" footer="0.3"/>
  <ignoredErrors>
    <ignoredError sqref="E19 E29" formula="1"/>
  </ignoredErrors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800-000000000000}">
  <dimension ref="A2:X30"/>
  <sheetViews>
    <sheetView workbookViewId="0">
      <selection activeCell="A22" sqref="A22:O22"/>
    </sheetView>
  </sheetViews>
  <sheetFormatPr defaultRowHeight="15" x14ac:dyDescent="0.25"/>
  <cols>
    <col min="1" max="6" width="10.7109375" customWidth="1"/>
    <col min="7" max="7" width="2.7109375" customWidth="1"/>
    <col min="8" max="9" width="10.7109375" customWidth="1"/>
    <col min="10" max="10" width="10.7109375" style="1" customWidth="1"/>
    <col min="11" max="12" width="10.7109375" customWidth="1"/>
    <col min="13" max="13" width="2.7109375" customWidth="1"/>
    <col min="14" max="15" width="10.7109375" customWidth="1"/>
    <col min="16" max="16" width="5.7109375" customWidth="1"/>
    <col min="17" max="24" width="10.7109375" customWidth="1"/>
  </cols>
  <sheetData>
    <row r="2" spans="1:24" x14ac:dyDescent="0.25">
      <c r="Q2" s="67">
        <v>2025.12</v>
      </c>
      <c r="R2" s="68"/>
      <c r="S2" s="68"/>
      <c r="T2" s="68"/>
      <c r="U2" s="68"/>
      <c r="V2" s="68"/>
      <c r="W2" s="68"/>
      <c r="X2" s="69"/>
    </row>
    <row r="3" spans="1:24" x14ac:dyDescent="0.25">
      <c r="Q3" s="70" t="s">
        <v>11</v>
      </c>
      <c r="R3" s="70" t="s">
        <v>28</v>
      </c>
      <c r="S3" s="70" t="s">
        <v>24</v>
      </c>
      <c r="T3" s="70" t="s">
        <v>25</v>
      </c>
      <c r="U3" s="71" t="s">
        <v>26</v>
      </c>
      <c r="V3" s="72"/>
      <c r="W3" s="73"/>
      <c r="X3" s="56" t="s">
        <v>4</v>
      </c>
    </row>
    <row r="4" spans="1:24" x14ac:dyDescent="0.25">
      <c r="Q4" s="55"/>
      <c r="R4" s="55"/>
      <c r="S4" s="55"/>
      <c r="T4" s="55"/>
      <c r="U4" s="12" t="s">
        <v>21</v>
      </c>
      <c r="V4" s="12" t="s">
        <v>27</v>
      </c>
      <c r="W4" s="13" t="s">
        <v>22</v>
      </c>
      <c r="X4" s="56"/>
    </row>
    <row r="5" spans="1:24" x14ac:dyDescent="0.25">
      <c r="Q5" s="4">
        <f>(B19+B29+B39+B49+B59+B69+B79+B89+B99+B109)-T5</f>
        <v>0</v>
      </c>
      <c r="R5" s="4">
        <v>0</v>
      </c>
      <c r="S5" s="4">
        <f>(C19+C29+C39+C49+C59+C69+C79+C89+C99+C109)-T5</f>
        <v>0</v>
      </c>
      <c r="T5" s="4">
        <f>(I19+I29+I39+I49+I59+I69+I79+I89+I99+I109)-W5</f>
        <v>0</v>
      </c>
      <c r="U5" s="4">
        <f>D19+D29+D39+D49+D59+D69+D79+D89+D99+D109</f>
        <v>0</v>
      </c>
      <c r="V5" s="4">
        <v>0.1</v>
      </c>
      <c r="W5" s="4">
        <f>J19+J29+J39+J49+J59+J69+J79+J89+J99+J109</f>
        <v>0</v>
      </c>
      <c r="X5" s="4">
        <f>O19+O29+O39+O49+O59+O69+O79+O89+O99+O109</f>
        <v>0</v>
      </c>
    </row>
    <row r="11" spans="1:24" ht="15" customHeight="1" x14ac:dyDescent="0.25">
      <c r="J11"/>
    </row>
    <row r="12" spans="1:24" ht="15" customHeight="1" x14ac:dyDescent="0.25">
      <c r="A12" s="80" t="s">
        <v>39</v>
      </c>
      <c r="B12" s="81"/>
      <c r="C12" s="81"/>
      <c r="D12" s="81"/>
      <c r="E12" s="81"/>
      <c r="F12" s="81"/>
      <c r="G12" s="81"/>
      <c r="H12" s="81"/>
      <c r="I12" s="81"/>
      <c r="J12" s="81"/>
      <c r="K12" s="81"/>
      <c r="L12" s="81"/>
      <c r="M12" s="81"/>
      <c r="N12" s="81"/>
      <c r="O12" s="82"/>
    </row>
    <row r="13" spans="1:24" ht="15" customHeight="1" x14ac:dyDescent="0.25">
      <c r="A13" s="57" t="s">
        <v>21</v>
      </c>
      <c r="B13" s="58"/>
      <c r="C13" s="58"/>
      <c r="D13" s="58"/>
      <c r="E13" s="58"/>
      <c r="F13" s="59"/>
      <c r="G13" s="74"/>
      <c r="H13" s="77" t="s">
        <v>22</v>
      </c>
      <c r="I13" s="78"/>
      <c r="J13" s="78"/>
      <c r="K13" s="78"/>
      <c r="L13" s="79"/>
      <c r="M13" s="20"/>
      <c r="N13" s="57" t="s">
        <v>4</v>
      </c>
      <c r="O13" s="59"/>
      <c r="P13" s="21"/>
    </row>
    <row r="14" spans="1:24" ht="15" customHeight="1" x14ac:dyDescent="0.25">
      <c r="A14" s="22" t="s">
        <v>29</v>
      </c>
      <c r="B14" s="3" t="s">
        <v>3</v>
      </c>
      <c r="C14" s="3" t="s">
        <v>31</v>
      </c>
      <c r="D14" s="3" t="s">
        <v>10</v>
      </c>
      <c r="E14" s="3" t="s">
        <v>0</v>
      </c>
      <c r="F14" s="3" t="s">
        <v>1</v>
      </c>
      <c r="G14" s="75"/>
      <c r="H14" s="22" t="s">
        <v>29</v>
      </c>
      <c r="I14" s="3" t="s">
        <v>23</v>
      </c>
      <c r="J14" s="3" t="s">
        <v>10</v>
      </c>
      <c r="K14" s="3" t="s">
        <v>0</v>
      </c>
      <c r="L14" s="3" t="s">
        <v>1</v>
      </c>
      <c r="M14" s="23"/>
      <c r="N14" s="19" t="s">
        <v>29</v>
      </c>
      <c r="O14" s="3" t="s">
        <v>23</v>
      </c>
      <c r="P14" s="21"/>
    </row>
    <row r="15" spans="1:24" ht="15" customHeight="1" x14ac:dyDescent="0.25">
      <c r="A15" s="29"/>
      <c r="B15" s="24"/>
      <c r="C15" s="4"/>
      <c r="D15" s="4"/>
      <c r="E15" s="5"/>
      <c r="F15" s="32"/>
      <c r="G15" s="75"/>
      <c r="H15" s="29"/>
      <c r="I15" s="5"/>
      <c r="J15" s="4"/>
      <c r="K15" s="4"/>
      <c r="L15" s="5"/>
      <c r="M15" s="25"/>
      <c r="N15" s="29"/>
      <c r="O15" s="4"/>
      <c r="P15" s="1"/>
    </row>
    <row r="16" spans="1:24" ht="15" customHeight="1" x14ac:dyDescent="0.25">
      <c r="A16" s="29"/>
      <c r="B16" s="4"/>
      <c r="C16" s="4"/>
      <c r="D16" s="4"/>
      <c r="E16" s="5"/>
      <c r="F16" s="28"/>
      <c r="G16" s="75"/>
      <c r="H16" s="29"/>
      <c r="I16" s="2"/>
      <c r="J16" s="2"/>
      <c r="K16" s="2"/>
      <c r="L16" s="2"/>
      <c r="M16" s="15"/>
      <c r="N16" s="29"/>
      <c r="O16" s="2"/>
    </row>
    <row r="17" spans="1:18" ht="15" customHeight="1" x14ac:dyDescent="0.3">
      <c r="A17" s="29"/>
      <c r="B17" s="4"/>
      <c r="C17" s="4"/>
      <c r="D17" s="4"/>
      <c r="E17" s="5"/>
      <c r="F17" s="28"/>
      <c r="G17" s="75"/>
      <c r="H17" s="30"/>
      <c r="I17" s="2"/>
      <c r="J17" s="2"/>
      <c r="K17" s="2"/>
      <c r="L17" s="2"/>
      <c r="M17" s="15"/>
      <c r="N17" s="30"/>
      <c r="O17" s="2"/>
    </row>
    <row r="18" spans="1:18" ht="15" customHeight="1" x14ac:dyDescent="0.3">
      <c r="A18" s="30"/>
      <c r="B18" s="4"/>
      <c r="C18" s="5"/>
      <c r="D18" s="5"/>
      <c r="E18" s="5"/>
      <c r="F18" s="7"/>
      <c r="G18" s="75"/>
      <c r="H18" s="30"/>
      <c r="I18" s="2"/>
      <c r="J18" s="2"/>
      <c r="K18" s="2"/>
      <c r="L18" s="2"/>
      <c r="M18" s="15"/>
      <c r="N18" s="30"/>
      <c r="O18" s="2"/>
    </row>
    <row r="19" spans="1:18" ht="15" customHeight="1" x14ac:dyDescent="0.25">
      <c r="A19" s="3" t="s">
        <v>2</v>
      </c>
      <c r="B19" s="4">
        <f>SUM(B15:B18)</f>
        <v>0</v>
      </c>
      <c r="C19" s="4">
        <f>SUM(C15:C18)</f>
        <v>0</v>
      </c>
      <c r="D19" s="4">
        <f>SUM(D15:D18)</f>
        <v>0</v>
      </c>
      <c r="E19" s="5" t="str">
        <f>IF(B19&gt;0,SUMPRODUCT(E15:E18,F15:F18)/SUM(F15:F18),"0.00")</f>
        <v>0.00</v>
      </c>
      <c r="F19" s="6">
        <f>SUM(F15:F18)</f>
        <v>0</v>
      </c>
      <c r="G19" s="76"/>
      <c r="H19" s="3" t="s">
        <v>2</v>
      </c>
      <c r="I19" s="4">
        <f>SUM(I15:I18)</f>
        <v>0</v>
      </c>
      <c r="J19" s="4">
        <f t="shared" ref="J19:L19" si="0">SUM(J15:J18)</f>
        <v>0</v>
      </c>
      <c r="K19" s="5"/>
      <c r="L19" s="6">
        <f t="shared" si="0"/>
        <v>0</v>
      </c>
      <c r="M19" s="26"/>
      <c r="N19" s="3" t="s">
        <v>2</v>
      </c>
      <c r="O19" s="4">
        <f>SUM(O15:O18)</f>
        <v>0</v>
      </c>
      <c r="P19" s="1"/>
    </row>
    <row r="20" spans="1:18" ht="15" customHeight="1" x14ac:dyDescent="0.25">
      <c r="B20" s="27"/>
      <c r="E20" s="1"/>
      <c r="F20" s="11"/>
      <c r="J20"/>
    </row>
    <row r="21" spans="1:18" ht="15" customHeight="1" x14ac:dyDescent="0.25">
      <c r="B21" s="1"/>
      <c r="E21" s="1"/>
      <c r="F21" s="1"/>
      <c r="J21"/>
    </row>
    <row r="22" spans="1:18" ht="15" customHeight="1" x14ac:dyDescent="0.25">
      <c r="A22" s="80" t="s">
        <v>38</v>
      </c>
      <c r="B22" s="81"/>
      <c r="C22" s="81"/>
      <c r="D22" s="81"/>
      <c r="E22" s="81"/>
      <c r="F22" s="81"/>
      <c r="G22" s="81"/>
      <c r="H22" s="81"/>
      <c r="I22" s="81"/>
      <c r="J22" s="81"/>
      <c r="K22" s="81"/>
      <c r="L22" s="81"/>
      <c r="M22" s="81"/>
      <c r="N22" s="81"/>
      <c r="O22" s="82"/>
    </row>
    <row r="23" spans="1:18" ht="15" customHeight="1" x14ac:dyDescent="0.25">
      <c r="A23" s="57" t="s">
        <v>21</v>
      </c>
      <c r="B23" s="58"/>
      <c r="C23" s="58"/>
      <c r="D23" s="58"/>
      <c r="E23" s="58"/>
      <c r="F23" s="59"/>
      <c r="G23" s="74"/>
      <c r="H23" s="77" t="s">
        <v>22</v>
      </c>
      <c r="I23" s="78"/>
      <c r="J23" s="78"/>
      <c r="K23" s="78"/>
      <c r="L23" s="79"/>
      <c r="M23" s="20"/>
      <c r="N23" s="57" t="s">
        <v>4</v>
      </c>
      <c r="O23" s="59"/>
      <c r="P23" s="21"/>
    </row>
    <row r="24" spans="1:18" ht="15" customHeight="1" x14ac:dyDescent="0.25">
      <c r="A24" s="22" t="s">
        <v>29</v>
      </c>
      <c r="B24" s="3" t="s">
        <v>3</v>
      </c>
      <c r="C24" s="3" t="s">
        <v>31</v>
      </c>
      <c r="D24" s="3" t="s">
        <v>10</v>
      </c>
      <c r="E24" s="3" t="s">
        <v>0</v>
      </c>
      <c r="F24" s="3" t="s">
        <v>1</v>
      </c>
      <c r="G24" s="75"/>
      <c r="H24" s="22" t="s">
        <v>29</v>
      </c>
      <c r="I24" s="3" t="s">
        <v>23</v>
      </c>
      <c r="J24" s="3" t="s">
        <v>10</v>
      </c>
      <c r="K24" s="3" t="s">
        <v>0</v>
      </c>
      <c r="L24" s="3" t="s">
        <v>1</v>
      </c>
      <c r="M24" s="23"/>
      <c r="N24" s="19" t="s">
        <v>29</v>
      </c>
      <c r="O24" s="3" t="s">
        <v>23</v>
      </c>
      <c r="P24" s="21"/>
    </row>
    <row r="25" spans="1:18" ht="15" customHeight="1" x14ac:dyDescent="0.25">
      <c r="A25" s="29"/>
      <c r="B25" s="24"/>
      <c r="C25" s="4"/>
      <c r="D25" s="4"/>
      <c r="E25" s="5"/>
      <c r="F25" s="28"/>
      <c r="G25" s="75"/>
      <c r="H25" s="29"/>
      <c r="I25" s="5"/>
      <c r="J25" s="4"/>
      <c r="K25" s="4"/>
      <c r="L25" s="5"/>
      <c r="M25" s="25"/>
      <c r="N25" s="29"/>
      <c r="O25" s="4"/>
      <c r="P25" s="1"/>
      <c r="R25" s="1"/>
    </row>
    <row r="26" spans="1:18" ht="15" customHeight="1" x14ac:dyDescent="0.25">
      <c r="A26" s="29"/>
      <c r="B26" s="4"/>
      <c r="C26" s="4"/>
      <c r="D26" s="4"/>
      <c r="E26" s="5"/>
      <c r="F26" s="28"/>
      <c r="G26" s="75"/>
      <c r="H26" s="29"/>
      <c r="I26" s="2"/>
      <c r="J26" s="2"/>
      <c r="K26" s="2"/>
      <c r="L26" s="2"/>
      <c r="M26" s="15"/>
      <c r="N26" s="29"/>
      <c r="O26" s="2"/>
    </row>
    <row r="27" spans="1:18" ht="15" customHeight="1" x14ac:dyDescent="0.3">
      <c r="A27" s="29"/>
      <c r="B27" s="4"/>
      <c r="C27" s="4"/>
      <c r="D27" s="4"/>
      <c r="E27" s="5"/>
      <c r="F27" s="28"/>
      <c r="G27" s="75"/>
      <c r="H27" s="30"/>
      <c r="I27" s="2"/>
      <c r="J27" s="2"/>
      <c r="K27" s="2"/>
      <c r="L27" s="2"/>
      <c r="M27" s="15"/>
      <c r="N27" s="30"/>
      <c r="O27" s="2"/>
    </row>
    <row r="28" spans="1:18" ht="15" customHeight="1" x14ac:dyDescent="0.3">
      <c r="A28" s="29"/>
      <c r="B28" s="4"/>
      <c r="C28" s="4"/>
      <c r="D28" s="4"/>
      <c r="E28" s="5"/>
      <c r="F28" s="28"/>
      <c r="G28" s="75"/>
      <c r="H28" s="30"/>
      <c r="I28" s="2"/>
      <c r="J28" s="2"/>
      <c r="K28" s="2"/>
      <c r="L28" s="2"/>
      <c r="M28" s="15"/>
      <c r="N28" s="30"/>
      <c r="O28" s="2"/>
    </row>
    <row r="29" spans="1:18" ht="15" customHeight="1" x14ac:dyDescent="0.25">
      <c r="A29" s="3" t="s">
        <v>2</v>
      </c>
      <c r="B29" s="4">
        <f>SUM(B25:B28)</f>
        <v>0</v>
      </c>
      <c r="C29" s="4">
        <f>SUM(C25:C28)</f>
        <v>0</v>
      </c>
      <c r="D29" s="4">
        <f>SUM(D25:D28)</f>
        <v>0</v>
      </c>
      <c r="E29" s="5" t="str">
        <f>IF(B29&gt;0,SUMPRODUCT(E25:E28,F25:F28)/SUM(F25:F28),"0.00")</f>
        <v>0.00</v>
      </c>
      <c r="F29" s="6">
        <f>SUM(F25:F28)</f>
        <v>0</v>
      </c>
      <c r="G29" s="76"/>
      <c r="H29" s="3" t="s">
        <v>2</v>
      </c>
      <c r="I29" s="4">
        <f>SUM(I25:I28)</f>
        <v>0</v>
      </c>
      <c r="J29" s="4">
        <f t="shared" ref="J29" si="1">SUM(J25:J28)</f>
        <v>0</v>
      </c>
      <c r="K29" s="5"/>
      <c r="L29" s="6">
        <f t="shared" ref="L29" si="2">SUM(L25:L28)</f>
        <v>0</v>
      </c>
      <c r="M29" s="26"/>
      <c r="N29" s="3" t="s">
        <v>2</v>
      </c>
      <c r="O29" s="4">
        <f>SUM(O25:O28)</f>
        <v>0</v>
      </c>
      <c r="P29" s="1"/>
    </row>
    <row r="30" spans="1:18" x14ac:dyDescent="0.25">
      <c r="B30" s="1"/>
      <c r="C30" s="1"/>
      <c r="D30" s="1"/>
    </row>
  </sheetData>
  <mergeCells count="17">
    <mergeCell ref="A22:O22"/>
    <mergeCell ref="A23:F23"/>
    <mergeCell ref="G23:G29"/>
    <mergeCell ref="H23:L23"/>
    <mergeCell ref="N23:O23"/>
    <mergeCell ref="A12:O12"/>
    <mergeCell ref="Q2:X2"/>
    <mergeCell ref="A13:F13"/>
    <mergeCell ref="G13:G19"/>
    <mergeCell ref="H13:L13"/>
    <mergeCell ref="N13:O13"/>
    <mergeCell ref="Q3:Q4"/>
    <mergeCell ref="R3:R4"/>
    <mergeCell ref="S3:S4"/>
    <mergeCell ref="T3:T4"/>
    <mergeCell ref="U3:W3"/>
    <mergeCell ref="X3:X4"/>
  </mergeCells>
  <hyperlinks>
    <hyperlink ref="A12:O12" location="'SEB Active 55'!A1" display="SESA5FE SS „SEB Active 55“ SE0016076046" xr:uid="{F1052C90-8672-4186-A117-EBEDDBE19811}"/>
    <hyperlink ref="A22:O22" location="'SEB Active 80'!A1" display="SESA8FE SS „SEB Active 80“ SE0016076111" xr:uid="{C0C281A7-7D5E-4ACB-BE2C-75208C66D865}"/>
  </hyperlinks>
  <pageMargins left="0.7" right="0.7" top="0.75" bottom="0.75" header="0.3" footer="0.3"/>
  <ignoredErrors>
    <ignoredError sqref="E19 E29" formula="1"/>
  </ignoredErrors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900-000000000000}">
  <dimension ref="A2:X30"/>
  <sheetViews>
    <sheetView workbookViewId="0">
      <selection activeCell="A22" sqref="A22:O22"/>
    </sheetView>
  </sheetViews>
  <sheetFormatPr defaultRowHeight="15" x14ac:dyDescent="0.25"/>
  <cols>
    <col min="1" max="6" width="10.7109375" customWidth="1"/>
    <col min="7" max="7" width="2.7109375" customWidth="1"/>
    <col min="8" max="9" width="10.7109375" customWidth="1"/>
    <col min="10" max="10" width="10.7109375" style="1" customWidth="1"/>
    <col min="11" max="12" width="10.7109375" customWidth="1"/>
    <col min="13" max="13" width="2.7109375" customWidth="1"/>
    <col min="14" max="15" width="10.7109375" customWidth="1"/>
    <col min="16" max="16" width="5.7109375" customWidth="1"/>
    <col min="17" max="24" width="10.7109375" customWidth="1"/>
  </cols>
  <sheetData>
    <row r="2" spans="1:24" x14ac:dyDescent="0.25">
      <c r="Q2" s="67">
        <v>2025.11</v>
      </c>
      <c r="R2" s="68"/>
      <c r="S2" s="68"/>
      <c r="T2" s="68"/>
      <c r="U2" s="68"/>
      <c r="V2" s="68"/>
      <c r="W2" s="68"/>
      <c r="X2" s="69"/>
    </row>
    <row r="3" spans="1:24" x14ac:dyDescent="0.25">
      <c r="Q3" s="70" t="s">
        <v>11</v>
      </c>
      <c r="R3" s="70" t="s">
        <v>28</v>
      </c>
      <c r="S3" s="70" t="s">
        <v>24</v>
      </c>
      <c r="T3" s="70" t="s">
        <v>25</v>
      </c>
      <c r="U3" s="71" t="s">
        <v>26</v>
      </c>
      <c r="V3" s="72"/>
      <c r="W3" s="73"/>
      <c r="X3" s="56" t="s">
        <v>4</v>
      </c>
    </row>
    <row r="4" spans="1:24" x14ac:dyDescent="0.25">
      <c r="Q4" s="55"/>
      <c r="R4" s="55"/>
      <c r="S4" s="55"/>
      <c r="T4" s="55"/>
      <c r="U4" s="12" t="s">
        <v>21</v>
      </c>
      <c r="V4" s="12" t="s">
        <v>27</v>
      </c>
      <c r="W4" s="13" t="s">
        <v>22</v>
      </c>
      <c r="X4" s="56"/>
    </row>
    <row r="5" spans="1:24" x14ac:dyDescent="0.25">
      <c r="Q5" s="4">
        <f>(B19+B29+B39+B49+B59+B69+B79+B89+B99+B109)-T5</f>
        <v>30</v>
      </c>
      <c r="R5" s="4">
        <v>0</v>
      </c>
      <c r="S5" s="4">
        <f>(C19+C29+C39+C49+C59+C69+C79+C89+C99+C109)-T5</f>
        <v>30</v>
      </c>
      <c r="T5" s="4">
        <f>(I19+I29+I39+I49+I59+I69+I79+I89+I99+I109)-W5</f>
        <v>0</v>
      </c>
      <c r="U5" s="4">
        <f>D19+D29+D39+D49+D59+D69+D79+D89+D99+D109</f>
        <v>0</v>
      </c>
      <c r="V5" s="4">
        <v>0.16</v>
      </c>
      <c r="W5" s="4">
        <f>J19+J29+J39+J49+J59+J69+J79+J89+J99+J109</f>
        <v>0</v>
      </c>
      <c r="X5" s="4">
        <f>O19+O29+O39+O49+O59+O69+O79+O89+O99+O109</f>
        <v>0</v>
      </c>
    </row>
    <row r="11" spans="1:24" ht="15" customHeight="1" x14ac:dyDescent="0.25">
      <c r="J11"/>
    </row>
    <row r="12" spans="1:24" ht="15" customHeight="1" x14ac:dyDescent="0.25">
      <c r="A12" s="80" t="s">
        <v>39</v>
      </c>
      <c r="B12" s="81"/>
      <c r="C12" s="81"/>
      <c r="D12" s="81"/>
      <c r="E12" s="81"/>
      <c r="F12" s="81"/>
      <c r="G12" s="81"/>
      <c r="H12" s="81"/>
      <c r="I12" s="81"/>
      <c r="J12" s="81"/>
      <c r="K12" s="81"/>
      <c r="L12" s="81"/>
      <c r="M12" s="81"/>
      <c r="N12" s="81"/>
      <c r="O12" s="82"/>
    </row>
    <row r="13" spans="1:24" ht="15" customHeight="1" x14ac:dyDescent="0.25">
      <c r="A13" s="57" t="s">
        <v>21</v>
      </c>
      <c r="B13" s="58"/>
      <c r="C13" s="58"/>
      <c r="D13" s="58"/>
      <c r="E13" s="58"/>
      <c r="F13" s="59"/>
      <c r="G13" s="74"/>
      <c r="H13" s="77" t="s">
        <v>22</v>
      </c>
      <c r="I13" s="78"/>
      <c r="J13" s="78"/>
      <c r="K13" s="78"/>
      <c r="L13" s="79"/>
      <c r="M13" s="20"/>
      <c r="N13" s="57" t="s">
        <v>4</v>
      </c>
      <c r="O13" s="59"/>
      <c r="P13" s="21"/>
    </row>
    <row r="14" spans="1:24" ht="15" customHeight="1" x14ac:dyDescent="0.25">
      <c r="A14" s="22" t="s">
        <v>29</v>
      </c>
      <c r="B14" s="3" t="s">
        <v>3</v>
      </c>
      <c r="C14" s="3" t="s">
        <v>31</v>
      </c>
      <c r="D14" s="3" t="s">
        <v>10</v>
      </c>
      <c r="E14" s="3" t="s">
        <v>0</v>
      </c>
      <c r="F14" s="3" t="s">
        <v>1</v>
      </c>
      <c r="G14" s="75"/>
      <c r="H14" s="22" t="s">
        <v>29</v>
      </c>
      <c r="I14" s="3" t="s">
        <v>23</v>
      </c>
      <c r="J14" s="3" t="s">
        <v>10</v>
      </c>
      <c r="K14" s="3" t="s">
        <v>0</v>
      </c>
      <c r="L14" s="3" t="s">
        <v>1</v>
      </c>
      <c r="M14" s="23"/>
      <c r="N14" s="19" t="s">
        <v>29</v>
      </c>
      <c r="O14" s="3" t="s">
        <v>23</v>
      </c>
      <c r="P14" s="21"/>
    </row>
    <row r="15" spans="1:24" ht="15" customHeight="1" x14ac:dyDescent="0.25">
      <c r="A15" s="29">
        <v>45988</v>
      </c>
      <c r="B15" s="24">
        <v>15</v>
      </c>
      <c r="C15" s="4">
        <v>15</v>
      </c>
      <c r="D15" s="4">
        <f>B15-C15</f>
        <v>0</v>
      </c>
      <c r="E15" s="37">
        <v>136.86131399999999</v>
      </c>
      <c r="F15" s="6">
        <f>B15/E15</f>
        <v>0.1096</v>
      </c>
      <c r="G15" s="75"/>
      <c r="H15" s="29"/>
      <c r="I15" s="5"/>
      <c r="J15" s="4"/>
      <c r="K15" s="4"/>
      <c r="L15" s="5"/>
      <c r="M15" s="25"/>
      <c r="N15" s="29"/>
      <c r="O15" s="4"/>
      <c r="P15" s="1"/>
    </row>
    <row r="16" spans="1:24" ht="15" customHeight="1" x14ac:dyDescent="0.25">
      <c r="A16" s="29"/>
      <c r="B16" s="4"/>
      <c r="C16" s="4"/>
      <c r="D16" s="4"/>
      <c r="E16" s="5"/>
      <c r="F16" s="7"/>
      <c r="G16" s="75"/>
      <c r="H16" s="29"/>
      <c r="I16" s="2"/>
      <c r="J16" s="2"/>
      <c r="K16" s="2"/>
      <c r="L16" s="2"/>
      <c r="M16" s="15"/>
      <c r="N16" s="29"/>
      <c r="O16" s="2"/>
    </row>
    <row r="17" spans="1:18" ht="15" customHeight="1" x14ac:dyDescent="0.3">
      <c r="A17" s="30"/>
      <c r="B17" s="4"/>
      <c r="C17" s="5"/>
      <c r="D17" s="5"/>
      <c r="E17" s="5"/>
      <c r="F17" s="7"/>
      <c r="G17" s="75"/>
      <c r="H17" s="30"/>
      <c r="I17" s="2"/>
      <c r="J17" s="2"/>
      <c r="K17" s="2"/>
      <c r="L17" s="2"/>
      <c r="M17" s="15"/>
      <c r="N17" s="30"/>
      <c r="O17" s="2"/>
    </row>
    <row r="18" spans="1:18" ht="15" customHeight="1" x14ac:dyDescent="0.3">
      <c r="A18" s="30"/>
      <c r="B18" s="4"/>
      <c r="C18" s="5"/>
      <c r="D18" s="5"/>
      <c r="E18" s="5"/>
      <c r="F18" s="7"/>
      <c r="G18" s="75"/>
      <c r="H18" s="30"/>
      <c r="I18" s="2"/>
      <c r="J18" s="2"/>
      <c r="K18" s="2"/>
      <c r="L18" s="2"/>
      <c r="M18" s="15"/>
      <c r="N18" s="30"/>
      <c r="O18" s="2"/>
    </row>
    <row r="19" spans="1:18" ht="15" customHeight="1" x14ac:dyDescent="0.25">
      <c r="A19" s="3" t="s">
        <v>2</v>
      </c>
      <c r="B19" s="4">
        <f>SUM(B15:B18)</f>
        <v>15</v>
      </c>
      <c r="C19" s="4">
        <f>SUM(C15:C18)</f>
        <v>15</v>
      </c>
      <c r="D19" s="4">
        <f>SUM(D15:D18)</f>
        <v>0</v>
      </c>
      <c r="E19" s="5">
        <f>IF(B19&gt;0,SUMPRODUCT(E15:E18,F15:F18)/SUM(F15:F18),"0.00")</f>
        <v>136.86131399999999</v>
      </c>
      <c r="F19" s="6">
        <f>SUM(F15:F18)</f>
        <v>0.1096</v>
      </c>
      <c r="G19" s="76"/>
      <c r="H19" s="3" t="s">
        <v>2</v>
      </c>
      <c r="I19" s="4">
        <f>SUM(I15:I18)</f>
        <v>0</v>
      </c>
      <c r="J19" s="4">
        <f t="shared" ref="J19:L19" si="0">SUM(J15:J18)</f>
        <v>0</v>
      </c>
      <c r="K19" s="5"/>
      <c r="L19" s="7">
        <f t="shared" si="0"/>
        <v>0</v>
      </c>
      <c r="M19" s="26"/>
      <c r="N19" s="3" t="s">
        <v>2</v>
      </c>
      <c r="O19" s="4">
        <f>SUM(O15:O18)</f>
        <v>0</v>
      </c>
      <c r="P19" s="1"/>
    </row>
    <row r="20" spans="1:18" ht="15" customHeight="1" x14ac:dyDescent="0.25">
      <c r="B20" s="27"/>
      <c r="E20" s="1"/>
      <c r="F20" s="11"/>
      <c r="J20"/>
    </row>
    <row r="21" spans="1:18" ht="15" customHeight="1" x14ac:dyDescent="0.25">
      <c r="B21" s="1"/>
      <c r="E21" s="1"/>
      <c r="F21" s="1"/>
      <c r="J21"/>
    </row>
    <row r="22" spans="1:18" ht="15" customHeight="1" x14ac:dyDescent="0.25">
      <c r="A22" s="80" t="s">
        <v>38</v>
      </c>
      <c r="B22" s="81"/>
      <c r="C22" s="81"/>
      <c r="D22" s="81"/>
      <c r="E22" s="81"/>
      <c r="F22" s="81"/>
      <c r="G22" s="81"/>
      <c r="H22" s="81"/>
      <c r="I22" s="81"/>
      <c r="J22" s="81"/>
      <c r="K22" s="81"/>
      <c r="L22" s="81"/>
      <c r="M22" s="81"/>
      <c r="N22" s="81"/>
      <c r="O22" s="82"/>
    </row>
    <row r="23" spans="1:18" ht="15" customHeight="1" x14ac:dyDescent="0.25">
      <c r="A23" s="57" t="s">
        <v>21</v>
      </c>
      <c r="B23" s="58"/>
      <c r="C23" s="58"/>
      <c r="D23" s="58"/>
      <c r="E23" s="58"/>
      <c r="F23" s="59"/>
      <c r="G23" s="74"/>
      <c r="H23" s="77" t="s">
        <v>22</v>
      </c>
      <c r="I23" s="78"/>
      <c r="J23" s="78"/>
      <c r="K23" s="78"/>
      <c r="L23" s="79"/>
      <c r="M23" s="20"/>
      <c r="N23" s="57" t="s">
        <v>4</v>
      </c>
      <c r="O23" s="59"/>
      <c r="P23" s="21"/>
    </row>
    <row r="24" spans="1:18" ht="15" customHeight="1" x14ac:dyDescent="0.25">
      <c r="A24" s="22" t="s">
        <v>29</v>
      </c>
      <c r="B24" s="3" t="s">
        <v>3</v>
      </c>
      <c r="C24" s="3" t="s">
        <v>31</v>
      </c>
      <c r="D24" s="3" t="s">
        <v>10</v>
      </c>
      <c r="E24" s="3" t="s">
        <v>0</v>
      </c>
      <c r="F24" s="3" t="s">
        <v>1</v>
      </c>
      <c r="G24" s="75"/>
      <c r="H24" s="22" t="s">
        <v>29</v>
      </c>
      <c r="I24" s="3" t="s">
        <v>23</v>
      </c>
      <c r="J24" s="3" t="s">
        <v>10</v>
      </c>
      <c r="K24" s="3" t="s">
        <v>0</v>
      </c>
      <c r="L24" s="3" t="s">
        <v>1</v>
      </c>
      <c r="M24" s="23"/>
      <c r="N24" s="19" t="s">
        <v>29</v>
      </c>
      <c r="O24" s="3" t="s">
        <v>23</v>
      </c>
      <c r="P24" s="21"/>
    </row>
    <row r="25" spans="1:18" ht="15" customHeight="1" x14ac:dyDescent="0.25">
      <c r="A25" s="29">
        <v>45988</v>
      </c>
      <c r="B25" s="24">
        <v>15</v>
      </c>
      <c r="C25" s="4">
        <v>15</v>
      </c>
      <c r="D25" s="4">
        <f>B25-C25</f>
        <v>0</v>
      </c>
      <c r="E25" s="38">
        <v>154.004107</v>
      </c>
      <c r="F25" s="32">
        <f>C25/E25</f>
        <v>9.74E-2</v>
      </c>
      <c r="G25" s="75"/>
      <c r="H25" s="29"/>
      <c r="I25" s="5"/>
      <c r="J25" s="4"/>
      <c r="K25" s="4"/>
      <c r="L25" s="5"/>
      <c r="M25" s="25"/>
      <c r="N25" s="29"/>
      <c r="O25" s="4"/>
      <c r="P25" s="1"/>
      <c r="R25" s="1"/>
    </row>
    <row r="26" spans="1:18" ht="15" customHeight="1" x14ac:dyDescent="0.25">
      <c r="A26" s="29"/>
      <c r="B26" s="4"/>
      <c r="C26" s="4"/>
      <c r="D26" s="4"/>
      <c r="E26" s="5"/>
      <c r="F26" s="28"/>
      <c r="G26" s="75"/>
      <c r="H26" s="29"/>
      <c r="I26" s="2"/>
      <c r="J26" s="2"/>
      <c r="K26" s="2"/>
      <c r="L26" s="2"/>
      <c r="M26" s="15"/>
      <c r="N26" s="29"/>
      <c r="O26" s="2"/>
    </row>
    <row r="27" spans="1:18" ht="15" customHeight="1" x14ac:dyDescent="0.3">
      <c r="A27" s="30"/>
      <c r="B27" s="4"/>
      <c r="C27" s="5"/>
      <c r="D27" s="5"/>
      <c r="E27" s="5"/>
      <c r="F27" s="7"/>
      <c r="G27" s="75"/>
      <c r="H27" s="30"/>
      <c r="I27" s="2"/>
      <c r="J27" s="2"/>
      <c r="K27" s="2"/>
      <c r="L27" s="2"/>
      <c r="M27" s="15"/>
      <c r="N27" s="30"/>
      <c r="O27" s="2"/>
    </row>
    <row r="28" spans="1:18" ht="15" customHeight="1" x14ac:dyDescent="0.3">
      <c r="A28" s="30"/>
      <c r="B28" s="4"/>
      <c r="C28" s="5"/>
      <c r="D28" s="5"/>
      <c r="E28" s="5"/>
      <c r="F28" s="5"/>
      <c r="G28" s="75"/>
      <c r="H28" s="30"/>
      <c r="I28" s="2"/>
      <c r="J28" s="2"/>
      <c r="K28" s="2"/>
      <c r="L28" s="2"/>
      <c r="M28" s="15"/>
      <c r="N28" s="30"/>
      <c r="O28" s="2"/>
    </row>
    <row r="29" spans="1:18" ht="15" customHeight="1" x14ac:dyDescent="0.25">
      <c r="A29" s="3" t="s">
        <v>2</v>
      </c>
      <c r="B29" s="4">
        <f>SUM(B25:B28)</f>
        <v>15</v>
      </c>
      <c r="C29" s="4">
        <f>SUM(C25:C28)</f>
        <v>15</v>
      </c>
      <c r="D29" s="4">
        <f>SUM(D25:D28)</f>
        <v>0</v>
      </c>
      <c r="E29" s="5">
        <f>IF(B29&gt;0,SUMPRODUCT(E25:E28,F25:F28)/SUM(F25:F28),"0.00")</f>
        <v>154.004107</v>
      </c>
      <c r="F29" s="6">
        <f>SUM(F25:F28)</f>
        <v>9.74E-2</v>
      </c>
      <c r="G29" s="76"/>
      <c r="H29" s="3" t="s">
        <v>2</v>
      </c>
      <c r="I29" s="4">
        <f>SUM(I25:I28)</f>
        <v>0</v>
      </c>
      <c r="J29" s="4">
        <f t="shared" ref="J29" si="1">SUM(J25:J28)</f>
        <v>0</v>
      </c>
      <c r="K29" s="5"/>
      <c r="L29" s="7">
        <f t="shared" ref="L29" si="2">SUM(L25:L28)</f>
        <v>0</v>
      </c>
      <c r="M29" s="26"/>
      <c r="N29" s="3" t="s">
        <v>2</v>
      </c>
      <c r="O29" s="4">
        <f>SUM(O25:O28)</f>
        <v>0</v>
      </c>
      <c r="P29" s="1"/>
    </row>
    <row r="30" spans="1:18" x14ac:dyDescent="0.25">
      <c r="B30" s="1"/>
      <c r="C30" s="1"/>
      <c r="D30" s="1"/>
    </row>
  </sheetData>
  <mergeCells count="17">
    <mergeCell ref="A22:O22"/>
    <mergeCell ref="A23:F23"/>
    <mergeCell ref="G23:G29"/>
    <mergeCell ref="H23:L23"/>
    <mergeCell ref="N23:O23"/>
    <mergeCell ref="A12:O12"/>
    <mergeCell ref="Q2:X2"/>
    <mergeCell ref="A13:F13"/>
    <mergeCell ref="G13:G19"/>
    <mergeCell ref="H13:L13"/>
    <mergeCell ref="N13:O13"/>
    <mergeCell ref="Q3:Q4"/>
    <mergeCell ref="R3:R4"/>
    <mergeCell ref="S3:S4"/>
    <mergeCell ref="T3:T4"/>
    <mergeCell ref="U3:W3"/>
    <mergeCell ref="X3:X4"/>
  </mergeCells>
  <hyperlinks>
    <hyperlink ref="A12:O12" location="'SEB Active 55'!A1" display="SESA5FE SS „SEB Active 55“ SE0016076046" xr:uid="{3CE0063C-A76A-4D45-AE19-00D90A4FD258}"/>
    <hyperlink ref="A22:O22" location="'SEB Active 80'!A1" display="SESA8FE SS „SEB Active 80“ SE0016076111" xr:uid="{DB45091B-0460-46B7-99FF-99FB3F1FDEE6}"/>
  </hyperlinks>
  <pageMargins left="0.7" right="0.7" top="0.75" bottom="0.75" header="0.3" footer="0.3"/>
  <ignoredErrors>
    <ignoredError sqref="E19 E29" formula="1"/>
  </ignoredErrors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A00-000000000000}">
  <dimension ref="A2:X30"/>
  <sheetViews>
    <sheetView workbookViewId="0">
      <selection activeCell="A22" sqref="A22:O22"/>
    </sheetView>
  </sheetViews>
  <sheetFormatPr defaultRowHeight="15" x14ac:dyDescent="0.25"/>
  <cols>
    <col min="1" max="6" width="10.7109375" customWidth="1"/>
    <col min="7" max="7" width="2.7109375" customWidth="1"/>
    <col min="8" max="9" width="10.7109375" customWidth="1"/>
    <col min="10" max="10" width="10.7109375" style="1" customWidth="1"/>
    <col min="11" max="12" width="10.7109375" customWidth="1"/>
    <col min="13" max="13" width="2.7109375" customWidth="1"/>
    <col min="14" max="15" width="10.7109375" customWidth="1"/>
    <col min="16" max="16" width="5.7109375" customWidth="1"/>
    <col min="17" max="24" width="10.7109375" customWidth="1"/>
  </cols>
  <sheetData>
    <row r="2" spans="1:24" x14ac:dyDescent="0.25">
      <c r="Q2" s="67">
        <v>2025.1</v>
      </c>
      <c r="R2" s="68"/>
      <c r="S2" s="68"/>
      <c r="T2" s="68"/>
      <c r="U2" s="68"/>
      <c r="V2" s="68"/>
      <c r="W2" s="68"/>
      <c r="X2" s="69"/>
    </row>
    <row r="3" spans="1:24" x14ac:dyDescent="0.25">
      <c r="Q3" s="70" t="s">
        <v>11</v>
      </c>
      <c r="R3" s="70" t="s">
        <v>28</v>
      </c>
      <c r="S3" s="70" t="s">
        <v>24</v>
      </c>
      <c r="T3" s="70" t="s">
        <v>25</v>
      </c>
      <c r="U3" s="71" t="s">
        <v>26</v>
      </c>
      <c r="V3" s="72"/>
      <c r="W3" s="73"/>
      <c r="X3" s="56" t="s">
        <v>4</v>
      </c>
    </row>
    <row r="4" spans="1:24" x14ac:dyDescent="0.25">
      <c r="Q4" s="55"/>
      <c r="R4" s="55"/>
      <c r="S4" s="55"/>
      <c r="T4" s="55"/>
      <c r="U4" s="12" t="s">
        <v>21</v>
      </c>
      <c r="V4" s="12" t="s">
        <v>27</v>
      </c>
      <c r="W4" s="13" t="s">
        <v>22</v>
      </c>
      <c r="X4" s="56"/>
    </row>
    <row r="5" spans="1:24" x14ac:dyDescent="0.25">
      <c r="Q5" s="4">
        <f>(B19+B29+B39+B49+B59+B69+B79+B89+B99+B109)-T5</f>
        <v>30</v>
      </c>
      <c r="R5" s="4">
        <v>0</v>
      </c>
      <c r="S5" s="4">
        <f>(C19+C29+C39+C49+C59+C69+C79+C89+C99+C109)-T5</f>
        <v>30</v>
      </c>
      <c r="T5" s="4">
        <f>(I19+I29+I39+I49+I59+I69+I79+I89+I99+I109)-W5</f>
        <v>0</v>
      </c>
      <c r="U5" s="4">
        <f>D19+D29+D39+D49+D59+D69+D79+D89+D99+D109</f>
        <v>0</v>
      </c>
      <c r="V5" s="4">
        <v>0</v>
      </c>
      <c r="W5" s="4">
        <f>J19+J29+J39+J49+J59+J69+J79+J89+J99+J109</f>
        <v>0</v>
      </c>
      <c r="X5" s="4">
        <f>O19+O29+O39+O49+O59+O69+O79+O89+O99+O109</f>
        <v>0</v>
      </c>
    </row>
    <row r="11" spans="1:24" ht="15" customHeight="1" x14ac:dyDescent="0.25">
      <c r="J11"/>
    </row>
    <row r="12" spans="1:24" ht="15" customHeight="1" x14ac:dyDescent="0.25">
      <c r="A12" s="80" t="s">
        <v>39</v>
      </c>
      <c r="B12" s="81"/>
      <c r="C12" s="81"/>
      <c r="D12" s="81"/>
      <c r="E12" s="81"/>
      <c r="F12" s="81"/>
      <c r="G12" s="81"/>
      <c r="H12" s="81"/>
      <c r="I12" s="81"/>
      <c r="J12" s="81"/>
      <c r="K12" s="81"/>
      <c r="L12" s="81"/>
      <c r="M12" s="81"/>
      <c r="N12" s="81"/>
      <c r="O12" s="82"/>
    </row>
    <row r="13" spans="1:24" ht="15" customHeight="1" x14ac:dyDescent="0.25">
      <c r="A13" s="57" t="s">
        <v>21</v>
      </c>
      <c r="B13" s="58"/>
      <c r="C13" s="58"/>
      <c r="D13" s="58"/>
      <c r="E13" s="58"/>
      <c r="F13" s="59"/>
      <c r="G13" s="74"/>
      <c r="H13" s="77" t="s">
        <v>22</v>
      </c>
      <c r="I13" s="78"/>
      <c r="J13" s="78"/>
      <c r="K13" s="78"/>
      <c r="L13" s="79"/>
      <c r="M13" s="20"/>
      <c r="N13" s="57" t="s">
        <v>4</v>
      </c>
      <c r="O13" s="59"/>
      <c r="P13" s="21"/>
    </row>
    <row r="14" spans="1:24" ht="15" customHeight="1" x14ac:dyDescent="0.25">
      <c r="A14" s="22" t="s">
        <v>29</v>
      </c>
      <c r="B14" s="3" t="s">
        <v>3</v>
      </c>
      <c r="C14" s="3" t="s">
        <v>31</v>
      </c>
      <c r="D14" s="3" t="s">
        <v>10</v>
      </c>
      <c r="E14" s="3" t="s">
        <v>0</v>
      </c>
      <c r="F14" s="3" t="s">
        <v>1</v>
      </c>
      <c r="G14" s="75"/>
      <c r="H14" s="22" t="s">
        <v>29</v>
      </c>
      <c r="I14" s="3" t="s">
        <v>23</v>
      </c>
      <c r="J14" s="3" t="s">
        <v>10</v>
      </c>
      <c r="K14" s="3" t="s">
        <v>0</v>
      </c>
      <c r="L14" s="3" t="s">
        <v>1</v>
      </c>
      <c r="M14" s="23"/>
      <c r="N14" s="19" t="s">
        <v>29</v>
      </c>
      <c r="O14" s="3" t="s">
        <v>23</v>
      </c>
      <c r="P14" s="21"/>
    </row>
    <row r="15" spans="1:24" ht="15" customHeight="1" x14ac:dyDescent="0.25">
      <c r="A15" s="29">
        <v>45959</v>
      </c>
      <c r="B15" s="24">
        <v>15</v>
      </c>
      <c r="C15" s="4">
        <v>15</v>
      </c>
      <c r="D15" s="4">
        <f>B15-C15</f>
        <v>0</v>
      </c>
      <c r="E15" s="37">
        <v>138.76040699999999</v>
      </c>
      <c r="F15" s="6">
        <f>B15/E15</f>
        <v>0.1081</v>
      </c>
      <c r="G15" s="75"/>
      <c r="H15" s="29"/>
      <c r="I15" s="5"/>
      <c r="J15" s="4"/>
      <c r="K15" s="4"/>
      <c r="L15" s="5"/>
      <c r="M15" s="25"/>
      <c r="N15" s="29"/>
      <c r="O15" s="4"/>
      <c r="P15" s="1"/>
    </row>
    <row r="16" spans="1:24" ht="15" customHeight="1" x14ac:dyDescent="0.25">
      <c r="A16" s="29"/>
      <c r="B16" s="4"/>
      <c r="C16" s="4"/>
      <c r="D16" s="4"/>
      <c r="E16" s="5"/>
      <c r="F16" s="7"/>
      <c r="G16" s="75"/>
      <c r="H16" s="29"/>
      <c r="I16" s="2"/>
      <c r="J16" s="2"/>
      <c r="K16" s="2"/>
      <c r="L16" s="2"/>
      <c r="M16" s="15"/>
      <c r="N16" s="29"/>
      <c r="O16" s="2"/>
    </row>
    <row r="17" spans="1:18" ht="15" customHeight="1" x14ac:dyDescent="0.3">
      <c r="A17" s="30"/>
      <c r="B17" s="4"/>
      <c r="C17" s="5"/>
      <c r="D17" s="5"/>
      <c r="E17" s="5"/>
      <c r="F17" s="7"/>
      <c r="G17" s="75"/>
      <c r="H17" s="30"/>
      <c r="I17" s="2"/>
      <c r="J17" s="2"/>
      <c r="K17" s="2"/>
      <c r="L17" s="2"/>
      <c r="M17" s="15"/>
      <c r="N17" s="30"/>
      <c r="O17" s="2"/>
    </row>
    <row r="18" spans="1:18" ht="15" customHeight="1" x14ac:dyDescent="0.3">
      <c r="A18" s="30"/>
      <c r="B18" s="4"/>
      <c r="C18" s="5"/>
      <c r="D18" s="5"/>
      <c r="E18" s="5"/>
      <c r="F18" s="7"/>
      <c r="G18" s="75"/>
      <c r="H18" s="30"/>
      <c r="I18" s="2"/>
      <c r="J18" s="2"/>
      <c r="K18" s="2"/>
      <c r="L18" s="2"/>
      <c r="M18" s="15"/>
      <c r="N18" s="30"/>
      <c r="O18" s="2"/>
    </row>
    <row r="19" spans="1:18" ht="15" customHeight="1" x14ac:dyDescent="0.25">
      <c r="A19" s="3" t="s">
        <v>2</v>
      </c>
      <c r="B19" s="4">
        <f>SUM(B15:B18)</f>
        <v>15</v>
      </c>
      <c r="C19" s="4">
        <f>SUM(C15:C18)</f>
        <v>15</v>
      </c>
      <c r="D19" s="4">
        <f>SUM(D15:D18)</f>
        <v>0</v>
      </c>
      <c r="E19" s="5">
        <f>IF(B19&gt;0,SUMPRODUCT(E15:E18,F15:F18)/SUM(F15:F18),"0.00")</f>
        <v>138.76040699999999</v>
      </c>
      <c r="F19" s="6">
        <f>SUM(F15:F18)</f>
        <v>0.1081</v>
      </c>
      <c r="G19" s="76"/>
      <c r="H19" s="3" t="s">
        <v>2</v>
      </c>
      <c r="I19" s="4">
        <f>SUM(I15:I18)</f>
        <v>0</v>
      </c>
      <c r="J19" s="4">
        <f t="shared" ref="J19:L19" si="0">SUM(J15:J18)</f>
        <v>0</v>
      </c>
      <c r="K19" s="5"/>
      <c r="L19" s="7">
        <f t="shared" si="0"/>
        <v>0</v>
      </c>
      <c r="M19" s="26"/>
      <c r="N19" s="3" t="s">
        <v>2</v>
      </c>
      <c r="O19" s="4">
        <f>SUM(O15:O18)</f>
        <v>0</v>
      </c>
      <c r="P19" s="1"/>
    </row>
    <row r="20" spans="1:18" ht="15" customHeight="1" x14ac:dyDescent="0.25">
      <c r="B20" s="27"/>
      <c r="E20" s="1"/>
      <c r="F20" s="11"/>
      <c r="J20"/>
    </row>
    <row r="21" spans="1:18" ht="15" customHeight="1" x14ac:dyDescent="0.25">
      <c r="B21" s="1"/>
      <c r="E21" s="1"/>
      <c r="F21" s="1"/>
      <c r="J21"/>
    </row>
    <row r="22" spans="1:18" ht="15" customHeight="1" x14ac:dyDescent="0.25">
      <c r="A22" s="80" t="s">
        <v>38</v>
      </c>
      <c r="B22" s="81"/>
      <c r="C22" s="81"/>
      <c r="D22" s="81"/>
      <c r="E22" s="81"/>
      <c r="F22" s="81"/>
      <c r="G22" s="81"/>
      <c r="H22" s="81"/>
      <c r="I22" s="81"/>
      <c r="J22" s="81"/>
      <c r="K22" s="81"/>
      <c r="L22" s="81"/>
      <c r="M22" s="81"/>
      <c r="N22" s="81"/>
      <c r="O22" s="82"/>
    </row>
    <row r="23" spans="1:18" ht="15" customHeight="1" x14ac:dyDescent="0.25">
      <c r="A23" s="57" t="s">
        <v>21</v>
      </c>
      <c r="B23" s="58"/>
      <c r="C23" s="58"/>
      <c r="D23" s="58"/>
      <c r="E23" s="58"/>
      <c r="F23" s="59"/>
      <c r="G23" s="74"/>
      <c r="H23" s="77" t="s">
        <v>22</v>
      </c>
      <c r="I23" s="78"/>
      <c r="J23" s="78"/>
      <c r="K23" s="78"/>
      <c r="L23" s="79"/>
      <c r="M23" s="20"/>
      <c r="N23" s="57" t="s">
        <v>4</v>
      </c>
      <c r="O23" s="59"/>
      <c r="P23" s="21"/>
    </row>
    <row r="24" spans="1:18" ht="15" customHeight="1" x14ac:dyDescent="0.25">
      <c r="A24" s="22" t="s">
        <v>29</v>
      </c>
      <c r="B24" s="3" t="s">
        <v>3</v>
      </c>
      <c r="C24" s="3" t="s">
        <v>31</v>
      </c>
      <c r="D24" s="3" t="s">
        <v>10</v>
      </c>
      <c r="E24" s="3" t="s">
        <v>0</v>
      </c>
      <c r="F24" s="3" t="s">
        <v>1</v>
      </c>
      <c r="G24" s="75"/>
      <c r="H24" s="22" t="s">
        <v>29</v>
      </c>
      <c r="I24" s="3" t="s">
        <v>23</v>
      </c>
      <c r="J24" s="3" t="s">
        <v>10</v>
      </c>
      <c r="K24" s="3" t="s">
        <v>0</v>
      </c>
      <c r="L24" s="3" t="s">
        <v>1</v>
      </c>
      <c r="M24" s="23"/>
      <c r="N24" s="19" t="s">
        <v>29</v>
      </c>
      <c r="O24" s="3" t="s">
        <v>23</v>
      </c>
      <c r="P24" s="21"/>
    </row>
    <row r="25" spans="1:18" ht="15" customHeight="1" x14ac:dyDescent="0.25">
      <c r="A25" s="29">
        <v>45958</v>
      </c>
      <c r="B25" s="24">
        <v>15</v>
      </c>
      <c r="C25" s="4">
        <v>15</v>
      </c>
      <c r="D25" s="4">
        <f>B25-C25</f>
        <v>0</v>
      </c>
      <c r="E25" s="38">
        <v>156.08740900000001</v>
      </c>
      <c r="F25" s="32">
        <f>C25/E25</f>
        <v>9.6100000000000005E-2</v>
      </c>
      <c r="G25" s="75"/>
      <c r="H25" s="29"/>
      <c r="I25" s="5"/>
      <c r="J25" s="4"/>
      <c r="K25" s="4"/>
      <c r="L25" s="5"/>
      <c r="M25" s="25"/>
      <c r="N25" s="29"/>
      <c r="O25" s="4"/>
      <c r="P25" s="1"/>
      <c r="R25" s="1"/>
    </row>
    <row r="26" spans="1:18" ht="15" customHeight="1" x14ac:dyDescent="0.25">
      <c r="A26" s="29"/>
      <c r="B26" s="4"/>
      <c r="C26" s="4"/>
      <c r="D26" s="4"/>
      <c r="E26" s="5"/>
      <c r="F26" s="28"/>
      <c r="G26" s="75"/>
      <c r="H26" s="29"/>
      <c r="I26" s="2"/>
      <c r="J26" s="2"/>
      <c r="K26" s="2"/>
      <c r="L26" s="2"/>
      <c r="M26" s="15"/>
      <c r="N26" s="29"/>
      <c r="O26" s="2"/>
    </row>
    <row r="27" spans="1:18" ht="15" customHeight="1" x14ac:dyDescent="0.3">
      <c r="A27" s="30"/>
      <c r="B27" s="4"/>
      <c r="C27" s="5"/>
      <c r="D27" s="5"/>
      <c r="E27" s="5"/>
      <c r="F27" s="7"/>
      <c r="G27" s="75"/>
      <c r="H27" s="30"/>
      <c r="I27" s="2"/>
      <c r="J27" s="2"/>
      <c r="K27" s="2"/>
      <c r="L27" s="2"/>
      <c r="M27" s="15"/>
      <c r="N27" s="30"/>
      <c r="O27" s="2"/>
    </row>
    <row r="28" spans="1:18" ht="15" customHeight="1" x14ac:dyDescent="0.3">
      <c r="A28" s="30"/>
      <c r="B28" s="4"/>
      <c r="C28" s="5"/>
      <c r="D28" s="5"/>
      <c r="E28" s="5"/>
      <c r="F28" s="5"/>
      <c r="G28" s="75"/>
      <c r="H28" s="30"/>
      <c r="I28" s="2"/>
      <c r="J28" s="2"/>
      <c r="K28" s="2"/>
      <c r="L28" s="2"/>
      <c r="M28" s="15"/>
      <c r="N28" s="30"/>
      <c r="O28" s="2"/>
    </row>
    <row r="29" spans="1:18" ht="15" customHeight="1" x14ac:dyDescent="0.25">
      <c r="A29" s="3" t="s">
        <v>2</v>
      </c>
      <c r="B29" s="4">
        <f>SUM(B25:B28)</f>
        <v>15</v>
      </c>
      <c r="C29" s="4">
        <f>SUM(C25:C28)</f>
        <v>15</v>
      </c>
      <c r="D29" s="4">
        <f>SUM(D25:D28)</f>
        <v>0</v>
      </c>
      <c r="E29" s="5">
        <f>IF(B29&gt;0,SUMPRODUCT(E25:E28,F25:F28)/SUM(F25:F28),"0.00")</f>
        <v>156.08740900000001</v>
      </c>
      <c r="F29" s="6">
        <f>SUM(F25:F28)</f>
        <v>9.6100000000000005E-2</v>
      </c>
      <c r="G29" s="76"/>
      <c r="H29" s="3" t="s">
        <v>2</v>
      </c>
      <c r="I29" s="4">
        <f>SUM(I25:I28)</f>
        <v>0</v>
      </c>
      <c r="J29" s="4">
        <f t="shared" ref="J29" si="1">SUM(J25:J28)</f>
        <v>0</v>
      </c>
      <c r="K29" s="5"/>
      <c r="L29" s="7">
        <f t="shared" ref="L29" si="2">SUM(L25:L28)</f>
        <v>0</v>
      </c>
      <c r="M29" s="26"/>
      <c r="N29" s="3" t="s">
        <v>2</v>
      </c>
      <c r="O29" s="4">
        <f>SUM(O25:O28)</f>
        <v>0</v>
      </c>
      <c r="P29" s="1"/>
    </row>
    <row r="30" spans="1:18" x14ac:dyDescent="0.25">
      <c r="B30" s="1"/>
      <c r="C30" s="1"/>
      <c r="D30" s="1"/>
    </row>
  </sheetData>
  <mergeCells count="17">
    <mergeCell ref="A22:O22"/>
    <mergeCell ref="A23:F23"/>
    <mergeCell ref="G23:G29"/>
    <mergeCell ref="H23:L23"/>
    <mergeCell ref="N23:O23"/>
    <mergeCell ref="A12:O12"/>
    <mergeCell ref="Q2:X2"/>
    <mergeCell ref="A13:F13"/>
    <mergeCell ref="G13:G19"/>
    <mergeCell ref="H13:L13"/>
    <mergeCell ref="N13:O13"/>
    <mergeCell ref="Q3:Q4"/>
    <mergeCell ref="R3:R4"/>
    <mergeCell ref="S3:S4"/>
    <mergeCell ref="T3:T4"/>
    <mergeCell ref="U3:W3"/>
    <mergeCell ref="X3:X4"/>
  </mergeCells>
  <hyperlinks>
    <hyperlink ref="A12:O12" location="'SEB Active 55'!A1" display="SESA5FE SS „SEB Active 55“ SE0016076046" xr:uid="{DA057B1B-C1E7-410D-BFA5-9AB94420EC77}"/>
    <hyperlink ref="A22:O22" location="'SEB Active 80'!A1" display="SESA8FE SS „SEB Active 80“ SE0016076111" xr:uid="{24D591D0-FD04-4422-81C2-5DE2052F5B93}"/>
  </hyperlinks>
  <pageMargins left="0.7" right="0.7" top="0.75" bottom="0.75" header="0.3" footer="0.3"/>
  <ignoredErrors>
    <ignoredError sqref="E19 E29" formula="1"/>
  </ignoredErrors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B00-000000000000}">
  <dimension ref="A2:X30"/>
  <sheetViews>
    <sheetView workbookViewId="0">
      <selection activeCell="A22" sqref="A22:O22"/>
    </sheetView>
  </sheetViews>
  <sheetFormatPr defaultRowHeight="15" x14ac:dyDescent="0.25"/>
  <cols>
    <col min="1" max="6" width="10.7109375" customWidth="1"/>
    <col min="7" max="7" width="2.7109375" customWidth="1"/>
    <col min="8" max="9" width="10.7109375" customWidth="1"/>
    <col min="10" max="10" width="10.7109375" style="1" customWidth="1"/>
    <col min="11" max="12" width="10.7109375" customWidth="1"/>
    <col min="13" max="13" width="2.7109375" customWidth="1"/>
    <col min="14" max="15" width="10.7109375" customWidth="1"/>
    <col min="16" max="16" width="5.7109375" customWidth="1"/>
    <col min="17" max="24" width="10.7109375" customWidth="1"/>
  </cols>
  <sheetData>
    <row r="2" spans="1:24" x14ac:dyDescent="0.25">
      <c r="Q2" s="67">
        <v>2025.09</v>
      </c>
      <c r="R2" s="68"/>
      <c r="S2" s="68"/>
      <c r="T2" s="68"/>
      <c r="U2" s="68"/>
      <c r="V2" s="68"/>
      <c r="W2" s="68"/>
      <c r="X2" s="69"/>
    </row>
    <row r="3" spans="1:24" x14ac:dyDescent="0.25">
      <c r="Q3" s="70" t="s">
        <v>11</v>
      </c>
      <c r="R3" s="70" t="s">
        <v>28</v>
      </c>
      <c r="S3" s="70" t="s">
        <v>24</v>
      </c>
      <c r="T3" s="70" t="s">
        <v>25</v>
      </c>
      <c r="U3" s="71" t="s">
        <v>26</v>
      </c>
      <c r="V3" s="72"/>
      <c r="W3" s="73"/>
      <c r="X3" s="56" t="s">
        <v>4</v>
      </c>
    </row>
    <row r="4" spans="1:24" x14ac:dyDescent="0.25">
      <c r="Q4" s="55"/>
      <c r="R4" s="55"/>
      <c r="S4" s="55"/>
      <c r="T4" s="55"/>
      <c r="U4" s="12" t="s">
        <v>21</v>
      </c>
      <c r="V4" s="12" t="s">
        <v>27</v>
      </c>
      <c r="W4" s="13" t="s">
        <v>22</v>
      </c>
      <c r="X4" s="56"/>
    </row>
    <row r="5" spans="1:24" x14ac:dyDescent="0.25">
      <c r="Q5" s="4">
        <f>(B19+B29+B39+B49+B59+B69+B79+B89+B99+B109)-T5</f>
        <v>30</v>
      </c>
      <c r="R5" s="4">
        <v>0</v>
      </c>
      <c r="S5" s="4">
        <f>(C19+C29+C39+C49+C59+C69+C79+C89+C99+C109)-T5</f>
        <v>30</v>
      </c>
      <c r="T5" s="4">
        <f>(I19+I29+I39+I49+I59+I69+I79+I89+I99+I109)-W5</f>
        <v>0</v>
      </c>
      <c r="U5" s="4">
        <f>D19+D29+D39+D49+D59+D69+D79+D89+D99+D109</f>
        <v>0</v>
      </c>
      <c r="V5" s="4">
        <v>0.06</v>
      </c>
      <c r="W5" s="4">
        <f>J19+J29+J39+J49+J59+J69+J79+J89+J99+J109</f>
        <v>0</v>
      </c>
      <c r="X5" s="4">
        <f>O19+O29+O39+O49+O59+O69+O79+O89+O99+O109</f>
        <v>0</v>
      </c>
    </row>
    <row r="11" spans="1:24" ht="15" customHeight="1" x14ac:dyDescent="0.25">
      <c r="J11"/>
    </row>
    <row r="12" spans="1:24" ht="15" customHeight="1" x14ac:dyDescent="0.25">
      <c r="A12" s="80" t="s">
        <v>39</v>
      </c>
      <c r="B12" s="81"/>
      <c r="C12" s="81"/>
      <c r="D12" s="81"/>
      <c r="E12" s="81"/>
      <c r="F12" s="81"/>
      <c r="G12" s="81"/>
      <c r="H12" s="81"/>
      <c r="I12" s="81"/>
      <c r="J12" s="81"/>
      <c r="K12" s="81"/>
      <c r="L12" s="81"/>
      <c r="M12" s="81"/>
      <c r="N12" s="81"/>
      <c r="O12" s="82"/>
    </row>
    <row r="13" spans="1:24" ht="15" customHeight="1" x14ac:dyDescent="0.25">
      <c r="A13" s="57" t="s">
        <v>21</v>
      </c>
      <c r="B13" s="58"/>
      <c r="C13" s="58"/>
      <c r="D13" s="58"/>
      <c r="E13" s="58"/>
      <c r="F13" s="59"/>
      <c r="G13" s="74"/>
      <c r="H13" s="77" t="s">
        <v>22</v>
      </c>
      <c r="I13" s="78"/>
      <c r="J13" s="78"/>
      <c r="K13" s="78"/>
      <c r="L13" s="79"/>
      <c r="M13" s="20"/>
      <c r="N13" s="57" t="s">
        <v>4</v>
      </c>
      <c r="O13" s="59"/>
      <c r="P13" s="21"/>
    </row>
    <row r="14" spans="1:24" ht="15" customHeight="1" x14ac:dyDescent="0.25">
      <c r="A14" s="22" t="s">
        <v>29</v>
      </c>
      <c r="B14" s="3" t="s">
        <v>3</v>
      </c>
      <c r="C14" s="3" t="s">
        <v>31</v>
      </c>
      <c r="D14" s="3" t="s">
        <v>10</v>
      </c>
      <c r="E14" s="3" t="s">
        <v>0</v>
      </c>
      <c r="F14" s="3" t="s">
        <v>1</v>
      </c>
      <c r="G14" s="75"/>
      <c r="H14" s="22" t="s">
        <v>29</v>
      </c>
      <c r="I14" s="3" t="s">
        <v>23</v>
      </c>
      <c r="J14" s="3" t="s">
        <v>10</v>
      </c>
      <c r="K14" s="3" t="s">
        <v>0</v>
      </c>
      <c r="L14" s="3" t="s">
        <v>1</v>
      </c>
      <c r="M14" s="23"/>
      <c r="N14" s="19" t="s">
        <v>29</v>
      </c>
      <c r="O14" s="3" t="s">
        <v>23</v>
      </c>
      <c r="P14" s="21"/>
    </row>
    <row r="15" spans="1:24" ht="15" customHeight="1" x14ac:dyDescent="0.25">
      <c r="A15" s="29">
        <v>45929</v>
      </c>
      <c r="B15" s="24">
        <v>15</v>
      </c>
      <c r="C15" s="4">
        <v>15</v>
      </c>
      <c r="D15" s="4">
        <f>B15-C15</f>
        <v>0</v>
      </c>
      <c r="E15" s="37">
        <v>134.408602</v>
      </c>
      <c r="F15" s="6">
        <f>B15/E15</f>
        <v>0.1116</v>
      </c>
      <c r="G15" s="75"/>
      <c r="H15" s="29"/>
      <c r="I15" s="5"/>
      <c r="J15" s="4"/>
      <c r="K15" s="4"/>
      <c r="L15" s="5"/>
      <c r="M15" s="25"/>
      <c r="N15" s="29"/>
      <c r="O15" s="4"/>
      <c r="P15" s="1"/>
    </row>
    <row r="16" spans="1:24" ht="15" customHeight="1" x14ac:dyDescent="0.25">
      <c r="A16" s="29"/>
      <c r="B16" s="4"/>
      <c r="C16" s="4"/>
      <c r="D16" s="4"/>
      <c r="E16" s="5"/>
      <c r="F16" s="7"/>
      <c r="G16" s="75"/>
      <c r="H16" s="29"/>
      <c r="I16" s="2"/>
      <c r="J16" s="2"/>
      <c r="K16" s="2"/>
      <c r="L16" s="2"/>
      <c r="M16" s="15"/>
      <c r="N16" s="29"/>
      <c r="O16" s="2"/>
    </row>
    <row r="17" spans="1:18" ht="15" customHeight="1" x14ac:dyDescent="0.3">
      <c r="A17" s="30"/>
      <c r="B17" s="4"/>
      <c r="C17" s="5"/>
      <c r="D17" s="5"/>
      <c r="E17" s="5"/>
      <c r="F17" s="7"/>
      <c r="G17" s="75"/>
      <c r="H17" s="30"/>
      <c r="I17" s="2"/>
      <c r="J17" s="2"/>
      <c r="K17" s="2"/>
      <c r="L17" s="2"/>
      <c r="M17" s="15"/>
      <c r="N17" s="30"/>
      <c r="O17" s="2"/>
    </row>
    <row r="18" spans="1:18" ht="15" customHeight="1" x14ac:dyDescent="0.3">
      <c r="A18" s="30"/>
      <c r="B18" s="4"/>
      <c r="C18" s="5"/>
      <c r="D18" s="5"/>
      <c r="E18" s="5"/>
      <c r="F18" s="7"/>
      <c r="G18" s="75"/>
      <c r="H18" s="30"/>
      <c r="I18" s="2"/>
      <c r="J18" s="2"/>
      <c r="K18" s="2"/>
      <c r="L18" s="2"/>
      <c r="M18" s="15"/>
      <c r="N18" s="30"/>
      <c r="O18" s="2"/>
    </row>
    <row r="19" spans="1:18" ht="15" customHeight="1" x14ac:dyDescent="0.25">
      <c r="A19" s="3" t="s">
        <v>2</v>
      </c>
      <c r="B19" s="4">
        <f>SUM(B15:B18)</f>
        <v>15</v>
      </c>
      <c r="C19" s="4">
        <f>SUM(C15:C18)</f>
        <v>15</v>
      </c>
      <c r="D19" s="4">
        <f>SUM(D15:D18)</f>
        <v>0</v>
      </c>
      <c r="E19" s="5">
        <f>IF(B19&gt;0,SUMPRODUCT(E15:E18,F15:F18)/SUM(F15:F18),"0.00")</f>
        <v>134.408602</v>
      </c>
      <c r="F19" s="6">
        <f>SUM(F15:F18)</f>
        <v>0.1116</v>
      </c>
      <c r="G19" s="76"/>
      <c r="H19" s="3" t="s">
        <v>2</v>
      </c>
      <c r="I19" s="4">
        <f>SUM(I15:I18)</f>
        <v>0</v>
      </c>
      <c r="J19" s="4">
        <f t="shared" ref="J19:L19" si="0">SUM(J15:J18)</f>
        <v>0</v>
      </c>
      <c r="K19" s="5"/>
      <c r="L19" s="7">
        <f t="shared" si="0"/>
        <v>0</v>
      </c>
      <c r="M19" s="26"/>
      <c r="N19" s="3" t="s">
        <v>2</v>
      </c>
      <c r="O19" s="4">
        <f>SUM(O15:O18)</f>
        <v>0</v>
      </c>
      <c r="P19" s="1"/>
    </row>
    <row r="20" spans="1:18" ht="15" customHeight="1" x14ac:dyDescent="0.25">
      <c r="B20" s="27"/>
      <c r="E20" s="1"/>
      <c r="F20" s="11"/>
      <c r="J20"/>
    </row>
    <row r="21" spans="1:18" ht="15" customHeight="1" x14ac:dyDescent="0.25">
      <c r="B21" s="1"/>
      <c r="E21" s="1"/>
      <c r="F21" s="1"/>
      <c r="J21"/>
    </row>
    <row r="22" spans="1:18" ht="15" customHeight="1" x14ac:dyDescent="0.25">
      <c r="A22" s="80" t="s">
        <v>38</v>
      </c>
      <c r="B22" s="81"/>
      <c r="C22" s="81"/>
      <c r="D22" s="81"/>
      <c r="E22" s="81"/>
      <c r="F22" s="81"/>
      <c r="G22" s="81"/>
      <c r="H22" s="81"/>
      <c r="I22" s="81"/>
      <c r="J22" s="81"/>
      <c r="K22" s="81"/>
      <c r="L22" s="81"/>
      <c r="M22" s="81"/>
      <c r="N22" s="81"/>
      <c r="O22" s="82"/>
    </row>
    <row r="23" spans="1:18" ht="15" customHeight="1" x14ac:dyDescent="0.25">
      <c r="A23" s="57" t="s">
        <v>21</v>
      </c>
      <c r="B23" s="58"/>
      <c r="C23" s="58"/>
      <c r="D23" s="58"/>
      <c r="E23" s="58"/>
      <c r="F23" s="59"/>
      <c r="G23" s="74"/>
      <c r="H23" s="77" t="s">
        <v>22</v>
      </c>
      <c r="I23" s="78"/>
      <c r="J23" s="78"/>
      <c r="K23" s="78"/>
      <c r="L23" s="79"/>
      <c r="M23" s="20"/>
      <c r="N23" s="57" t="s">
        <v>4</v>
      </c>
      <c r="O23" s="59"/>
      <c r="P23" s="21"/>
    </row>
    <row r="24" spans="1:18" ht="15" customHeight="1" x14ac:dyDescent="0.25">
      <c r="A24" s="22" t="s">
        <v>29</v>
      </c>
      <c r="B24" s="3" t="s">
        <v>3</v>
      </c>
      <c r="C24" s="3" t="s">
        <v>31</v>
      </c>
      <c r="D24" s="3" t="s">
        <v>10</v>
      </c>
      <c r="E24" s="3" t="s">
        <v>0</v>
      </c>
      <c r="F24" s="3" t="s">
        <v>1</v>
      </c>
      <c r="G24" s="75"/>
      <c r="H24" s="22" t="s">
        <v>29</v>
      </c>
      <c r="I24" s="3" t="s">
        <v>23</v>
      </c>
      <c r="J24" s="3" t="s">
        <v>10</v>
      </c>
      <c r="K24" s="3" t="s">
        <v>0</v>
      </c>
      <c r="L24" s="3" t="s">
        <v>1</v>
      </c>
      <c r="M24" s="23"/>
      <c r="N24" s="19" t="s">
        <v>29</v>
      </c>
      <c r="O24" s="3" t="s">
        <v>23</v>
      </c>
      <c r="P24" s="21"/>
    </row>
    <row r="25" spans="1:18" ht="15" customHeight="1" x14ac:dyDescent="0.25">
      <c r="A25" s="29">
        <v>45926</v>
      </c>
      <c r="B25" s="24">
        <v>15</v>
      </c>
      <c r="C25" s="4">
        <v>15</v>
      </c>
      <c r="D25" s="4">
        <f>B25-C25</f>
        <v>0</v>
      </c>
      <c r="E25" s="38">
        <v>151.209677</v>
      </c>
      <c r="F25" s="32">
        <f>C25/E25</f>
        <v>9.9199999999999997E-2</v>
      </c>
      <c r="G25" s="75"/>
      <c r="H25" s="29"/>
      <c r="I25" s="5"/>
      <c r="J25" s="4"/>
      <c r="K25" s="4"/>
      <c r="L25" s="5"/>
      <c r="M25" s="25"/>
      <c r="N25" s="29"/>
      <c r="O25" s="4"/>
      <c r="P25" s="1"/>
      <c r="R25" s="1"/>
    </row>
    <row r="26" spans="1:18" ht="15" customHeight="1" x14ac:dyDescent="0.25">
      <c r="A26" s="29"/>
      <c r="B26" s="4"/>
      <c r="C26" s="4"/>
      <c r="D26" s="4"/>
      <c r="E26" s="5"/>
      <c r="F26" s="28"/>
      <c r="G26" s="75"/>
      <c r="H26" s="29"/>
      <c r="I26" s="2"/>
      <c r="J26" s="2"/>
      <c r="K26" s="2"/>
      <c r="L26" s="2"/>
      <c r="M26" s="15"/>
      <c r="N26" s="29"/>
      <c r="O26" s="2"/>
    </row>
    <row r="27" spans="1:18" ht="15" customHeight="1" x14ac:dyDescent="0.3">
      <c r="A27" s="30"/>
      <c r="B27" s="4"/>
      <c r="C27" s="5"/>
      <c r="D27" s="5"/>
      <c r="E27" s="5"/>
      <c r="F27" s="7"/>
      <c r="G27" s="75"/>
      <c r="H27" s="30"/>
      <c r="I27" s="2"/>
      <c r="J27" s="2"/>
      <c r="K27" s="2"/>
      <c r="L27" s="2"/>
      <c r="M27" s="15"/>
      <c r="N27" s="30"/>
      <c r="O27" s="2"/>
    </row>
    <row r="28" spans="1:18" ht="15" customHeight="1" x14ac:dyDescent="0.3">
      <c r="A28" s="30"/>
      <c r="B28" s="4"/>
      <c r="C28" s="5"/>
      <c r="D28" s="5"/>
      <c r="E28" s="5"/>
      <c r="F28" s="5"/>
      <c r="G28" s="75"/>
      <c r="H28" s="30"/>
      <c r="I28" s="2"/>
      <c r="J28" s="2"/>
      <c r="K28" s="2"/>
      <c r="L28" s="2"/>
      <c r="M28" s="15"/>
      <c r="N28" s="30"/>
      <c r="O28" s="2"/>
    </row>
    <row r="29" spans="1:18" ht="15" customHeight="1" x14ac:dyDescent="0.25">
      <c r="A29" s="3" t="s">
        <v>2</v>
      </c>
      <c r="B29" s="4">
        <f>SUM(B25:B28)</f>
        <v>15</v>
      </c>
      <c r="C29" s="4">
        <f>SUM(C25:C28)</f>
        <v>15</v>
      </c>
      <c r="D29" s="4">
        <f>SUM(D25:D28)</f>
        <v>0</v>
      </c>
      <c r="E29" s="5">
        <f>IF(B29&gt;0,SUMPRODUCT(E25:E28,F25:F28)/SUM(F25:F28),"0.00")</f>
        <v>151.209677</v>
      </c>
      <c r="F29" s="6">
        <f>SUM(F25:F28)</f>
        <v>9.9199999999999997E-2</v>
      </c>
      <c r="G29" s="76"/>
      <c r="H29" s="3" t="s">
        <v>2</v>
      </c>
      <c r="I29" s="4">
        <f>SUM(I25:I28)</f>
        <v>0</v>
      </c>
      <c r="J29" s="4">
        <f t="shared" ref="J29" si="1">SUM(J25:J28)</f>
        <v>0</v>
      </c>
      <c r="K29" s="5"/>
      <c r="L29" s="7">
        <f t="shared" ref="L29" si="2">SUM(L25:L28)</f>
        <v>0</v>
      </c>
      <c r="M29" s="26"/>
      <c r="N29" s="3" t="s">
        <v>2</v>
      </c>
      <c r="O29" s="4">
        <f>SUM(O25:O28)</f>
        <v>0</v>
      </c>
      <c r="P29" s="1"/>
    </row>
    <row r="30" spans="1:18" x14ac:dyDescent="0.25">
      <c r="B30" s="1"/>
      <c r="C30" s="1"/>
      <c r="D30" s="1"/>
    </row>
  </sheetData>
  <mergeCells count="17">
    <mergeCell ref="A12:O12"/>
    <mergeCell ref="Q2:X2"/>
    <mergeCell ref="A13:F13"/>
    <mergeCell ref="G13:G19"/>
    <mergeCell ref="H13:L13"/>
    <mergeCell ref="N13:O13"/>
    <mergeCell ref="Q3:Q4"/>
    <mergeCell ref="R3:R4"/>
    <mergeCell ref="S3:S4"/>
    <mergeCell ref="T3:T4"/>
    <mergeCell ref="U3:W3"/>
    <mergeCell ref="X3:X4"/>
    <mergeCell ref="A22:O22"/>
    <mergeCell ref="A23:F23"/>
    <mergeCell ref="G23:G29"/>
    <mergeCell ref="H23:L23"/>
    <mergeCell ref="N23:O23"/>
  </mergeCells>
  <hyperlinks>
    <hyperlink ref="A12:O12" location="'SEB Active 55'!A1" display="SESA5FE SS „SEB Active 55“ SE0016076046" xr:uid="{6E380218-04CB-46DE-AF4C-19B4E77D403B}"/>
    <hyperlink ref="A22:O22" location="'SEB Active 80'!A1" display="SESA8FE SS „SEB Active 80“ SE0016076111" xr:uid="{63450DB7-1AB8-48D7-9CAB-881C6F5701E7}"/>
  </hyperlinks>
  <pageMargins left="0.7" right="0.7" top="0.75" bottom="0.75" header="0.3" footer="0.3"/>
  <ignoredErrors>
    <ignoredError sqref="E19 E29" formula="1"/>
  </ignoredErrors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C00-000000000000}">
  <dimension ref="A2:X30"/>
  <sheetViews>
    <sheetView workbookViewId="0">
      <selection activeCell="A22" sqref="A22:O22"/>
    </sheetView>
  </sheetViews>
  <sheetFormatPr defaultRowHeight="15" x14ac:dyDescent="0.25"/>
  <cols>
    <col min="1" max="6" width="10.7109375" customWidth="1"/>
    <col min="7" max="7" width="2.7109375" customWidth="1"/>
    <col min="8" max="9" width="10.7109375" customWidth="1"/>
    <col min="10" max="10" width="10.7109375" style="1" customWidth="1"/>
    <col min="11" max="12" width="10.7109375" customWidth="1"/>
    <col min="13" max="13" width="2.7109375" customWidth="1"/>
    <col min="14" max="15" width="10.7109375" customWidth="1"/>
    <col min="16" max="16" width="5.7109375" customWidth="1"/>
    <col min="17" max="24" width="10.7109375" customWidth="1"/>
  </cols>
  <sheetData>
    <row r="2" spans="1:24" x14ac:dyDescent="0.25">
      <c r="Q2" s="67">
        <v>2025.08</v>
      </c>
      <c r="R2" s="68"/>
      <c r="S2" s="68"/>
      <c r="T2" s="68"/>
      <c r="U2" s="68"/>
      <c r="V2" s="68"/>
      <c r="W2" s="68"/>
      <c r="X2" s="69"/>
    </row>
    <row r="3" spans="1:24" x14ac:dyDescent="0.25">
      <c r="Q3" s="70" t="s">
        <v>11</v>
      </c>
      <c r="R3" s="70" t="s">
        <v>28</v>
      </c>
      <c r="S3" s="70" t="s">
        <v>24</v>
      </c>
      <c r="T3" s="70" t="s">
        <v>25</v>
      </c>
      <c r="U3" s="71" t="s">
        <v>26</v>
      </c>
      <c r="V3" s="72"/>
      <c r="W3" s="73"/>
      <c r="X3" s="56" t="s">
        <v>4</v>
      </c>
    </row>
    <row r="4" spans="1:24" x14ac:dyDescent="0.25">
      <c r="Q4" s="55"/>
      <c r="R4" s="55"/>
      <c r="S4" s="55"/>
      <c r="T4" s="55"/>
      <c r="U4" s="12" t="s">
        <v>21</v>
      </c>
      <c r="V4" s="12" t="s">
        <v>27</v>
      </c>
      <c r="W4" s="13" t="s">
        <v>22</v>
      </c>
      <c r="X4" s="56"/>
    </row>
    <row r="5" spans="1:24" x14ac:dyDescent="0.25">
      <c r="Q5" s="4">
        <f>(B19+B29+B39+B49+B59+B69+B79+B89+B99+B109)-T5</f>
        <v>30</v>
      </c>
      <c r="R5" s="4">
        <v>0</v>
      </c>
      <c r="S5" s="4">
        <f>(C19+C29+C39+C49+C59+C69+C79+C89+C99+C109)-T5</f>
        <v>30</v>
      </c>
      <c r="T5" s="4">
        <f>(I19+I29+I39+I49+I59+I69+I79+I89+I99+I109)-W5</f>
        <v>0</v>
      </c>
      <c r="U5" s="4">
        <f>D19+D29+D39+D49+D59+D69+D79+D89+D99+D109</f>
        <v>0</v>
      </c>
      <c r="V5" s="4">
        <v>0.06</v>
      </c>
      <c r="W5" s="4">
        <f>J19+J29+J39+J49+J59+J69+J79+J89+J99+J109</f>
        <v>0</v>
      </c>
      <c r="X5" s="4">
        <f>O19+O29+O39+O49+O59+O69+O79+O89+O99+O109</f>
        <v>0</v>
      </c>
    </row>
    <row r="11" spans="1:24" ht="15" customHeight="1" x14ac:dyDescent="0.25">
      <c r="J11"/>
    </row>
    <row r="12" spans="1:24" ht="15" customHeight="1" x14ac:dyDescent="0.25">
      <c r="A12" s="80" t="s">
        <v>39</v>
      </c>
      <c r="B12" s="81"/>
      <c r="C12" s="81"/>
      <c r="D12" s="81"/>
      <c r="E12" s="81"/>
      <c r="F12" s="81"/>
      <c r="G12" s="81"/>
      <c r="H12" s="81"/>
      <c r="I12" s="81"/>
      <c r="J12" s="81"/>
      <c r="K12" s="81"/>
      <c r="L12" s="81"/>
      <c r="M12" s="81"/>
      <c r="N12" s="81"/>
      <c r="O12" s="82"/>
    </row>
    <row r="13" spans="1:24" ht="15" customHeight="1" x14ac:dyDescent="0.25">
      <c r="A13" s="57" t="s">
        <v>21</v>
      </c>
      <c r="B13" s="58"/>
      <c r="C13" s="58"/>
      <c r="D13" s="58"/>
      <c r="E13" s="58"/>
      <c r="F13" s="59"/>
      <c r="G13" s="74"/>
      <c r="H13" s="77" t="s">
        <v>22</v>
      </c>
      <c r="I13" s="78"/>
      <c r="J13" s="78"/>
      <c r="K13" s="78"/>
      <c r="L13" s="79"/>
      <c r="M13" s="20"/>
      <c r="N13" s="57" t="s">
        <v>4</v>
      </c>
      <c r="O13" s="59"/>
      <c r="P13" s="21"/>
    </row>
    <row r="14" spans="1:24" ht="15" customHeight="1" x14ac:dyDescent="0.25">
      <c r="A14" s="22" t="s">
        <v>29</v>
      </c>
      <c r="B14" s="3" t="s">
        <v>3</v>
      </c>
      <c r="C14" s="3" t="s">
        <v>31</v>
      </c>
      <c r="D14" s="3" t="s">
        <v>10</v>
      </c>
      <c r="E14" s="3" t="s">
        <v>0</v>
      </c>
      <c r="F14" s="3" t="s">
        <v>1</v>
      </c>
      <c r="G14" s="75"/>
      <c r="H14" s="22" t="s">
        <v>29</v>
      </c>
      <c r="I14" s="3" t="s">
        <v>23</v>
      </c>
      <c r="J14" s="3" t="s">
        <v>10</v>
      </c>
      <c r="K14" s="3" t="s">
        <v>0</v>
      </c>
      <c r="L14" s="3" t="s">
        <v>1</v>
      </c>
      <c r="M14" s="23"/>
      <c r="N14" s="19" t="s">
        <v>29</v>
      </c>
      <c r="O14" s="3" t="s">
        <v>23</v>
      </c>
      <c r="P14" s="21"/>
    </row>
    <row r="15" spans="1:24" ht="15" customHeight="1" x14ac:dyDescent="0.25">
      <c r="A15" s="29">
        <v>45897</v>
      </c>
      <c r="B15" s="24">
        <v>15</v>
      </c>
      <c r="C15" s="4">
        <v>15</v>
      </c>
      <c r="D15" s="4">
        <f>B15-C15</f>
        <v>0</v>
      </c>
      <c r="E15" s="37">
        <v>134.16815700000001</v>
      </c>
      <c r="F15" s="6">
        <f>B15/E15</f>
        <v>0.1118</v>
      </c>
      <c r="G15" s="75"/>
      <c r="H15" s="29"/>
      <c r="I15" s="5"/>
      <c r="J15" s="4"/>
      <c r="K15" s="4"/>
      <c r="L15" s="5"/>
      <c r="M15" s="25"/>
      <c r="N15" s="29"/>
      <c r="O15" s="4"/>
      <c r="P15" s="1"/>
    </row>
    <row r="16" spans="1:24" ht="15" customHeight="1" x14ac:dyDescent="0.25">
      <c r="A16" s="29"/>
      <c r="B16" s="4"/>
      <c r="C16" s="4"/>
      <c r="D16" s="4"/>
      <c r="E16" s="5"/>
      <c r="F16" s="7"/>
      <c r="G16" s="75"/>
      <c r="H16" s="29"/>
      <c r="I16" s="2"/>
      <c r="J16" s="2"/>
      <c r="K16" s="2"/>
      <c r="L16" s="2"/>
      <c r="M16" s="15"/>
      <c r="N16" s="29"/>
      <c r="O16" s="2"/>
    </row>
    <row r="17" spans="1:18" ht="15" customHeight="1" x14ac:dyDescent="0.3">
      <c r="A17" s="30"/>
      <c r="B17" s="4"/>
      <c r="C17" s="5"/>
      <c r="D17" s="5"/>
      <c r="E17" s="5"/>
      <c r="F17" s="7"/>
      <c r="G17" s="75"/>
      <c r="H17" s="30"/>
      <c r="I17" s="2"/>
      <c r="J17" s="2"/>
      <c r="K17" s="2"/>
      <c r="L17" s="2"/>
      <c r="M17" s="15"/>
      <c r="N17" s="30"/>
      <c r="O17" s="2"/>
    </row>
    <row r="18" spans="1:18" ht="15" customHeight="1" x14ac:dyDescent="0.3">
      <c r="A18" s="30"/>
      <c r="B18" s="4"/>
      <c r="C18" s="5"/>
      <c r="D18" s="5"/>
      <c r="E18" s="5"/>
      <c r="F18" s="7"/>
      <c r="G18" s="75"/>
      <c r="H18" s="30"/>
      <c r="I18" s="2"/>
      <c r="J18" s="2"/>
      <c r="K18" s="2"/>
      <c r="L18" s="2"/>
      <c r="M18" s="15"/>
      <c r="N18" s="30"/>
      <c r="O18" s="2"/>
    </row>
    <row r="19" spans="1:18" ht="15" customHeight="1" x14ac:dyDescent="0.25">
      <c r="A19" s="3" t="s">
        <v>2</v>
      </c>
      <c r="B19" s="4">
        <f>SUM(B15:B18)</f>
        <v>15</v>
      </c>
      <c r="C19" s="4">
        <f>SUM(C15:C18)</f>
        <v>15</v>
      </c>
      <c r="D19" s="4">
        <f>SUM(D15:D18)</f>
        <v>0</v>
      </c>
      <c r="E19" s="5">
        <f>IF(B19&gt;0,SUMPRODUCT(E15:E18,F15:F18)/SUM(F15:F18),"0.00")</f>
        <v>134.16815700000001</v>
      </c>
      <c r="F19" s="6">
        <f>SUM(F15:F18)</f>
        <v>0.1118</v>
      </c>
      <c r="G19" s="76"/>
      <c r="H19" s="3" t="s">
        <v>2</v>
      </c>
      <c r="I19" s="4">
        <f>SUM(I15:I18)</f>
        <v>0</v>
      </c>
      <c r="J19" s="4">
        <f t="shared" ref="J19:L19" si="0">SUM(J15:J18)</f>
        <v>0</v>
      </c>
      <c r="K19" s="5"/>
      <c r="L19" s="7">
        <f t="shared" si="0"/>
        <v>0</v>
      </c>
      <c r="M19" s="26"/>
      <c r="N19" s="3" t="s">
        <v>2</v>
      </c>
      <c r="O19" s="4">
        <f>SUM(O15:O18)</f>
        <v>0</v>
      </c>
      <c r="P19" s="1"/>
    </row>
    <row r="20" spans="1:18" ht="15" customHeight="1" x14ac:dyDescent="0.25">
      <c r="B20" s="27"/>
      <c r="E20" s="1"/>
      <c r="F20" s="11"/>
      <c r="J20"/>
    </row>
    <row r="21" spans="1:18" ht="15" customHeight="1" x14ac:dyDescent="0.25">
      <c r="B21" s="1"/>
      <c r="E21" s="1"/>
      <c r="F21" s="1"/>
      <c r="J21"/>
    </row>
    <row r="22" spans="1:18" ht="15" customHeight="1" x14ac:dyDescent="0.25">
      <c r="A22" s="80" t="s">
        <v>38</v>
      </c>
      <c r="B22" s="81"/>
      <c r="C22" s="81"/>
      <c r="D22" s="81"/>
      <c r="E22" s="81"/>
      <c r="F22" s="81"/>
      <c r="G22" s="81"/>
      <c r="H22" s="81"/>
      <c r="I22" s="81"/>
      <c r="J22" s="81"/>
      <c r="K22" s="81"/>
      <c r="L22" s="81"/>
      <c r="M22" s="81"/>
      <c r="N22" s="81"/>
      <c r="O22" s="82"/>
    </row>
    <row r="23" spans="1:18" ht="15" customHeight="1" x14ac:dyDescent="0.25">
      <c r="A23" s="57" t="s">
        <v>21</v>
      </c>
      <c r="B23" s="58"/>
      <c r="C23" s="58"/>
      <c r="D23" s="58"/>
      <c r="E23" s="58"/>
      <c r="F23" s="59"/>
      <c r="G23" s="74"/>
      <c r="H23" s="77" t="s">
        <v>22</v>
      </c>
      <c r="I23" s="78"/>
      <c r="J23" s="78"/>
      <c r="K23" s="78"/>
      <c r="L23" s="79"/>
      <c r="M23" s="20"/>
      <c r="N23" s="57" t="s">
        <v>4</v>
      </c>
      <c r="O23" s="59"/>
      <c r="P23" s="21"/>
    </row>
    <row r="24" spans="1:18" ht="15" customHeight="1" x14ac:dyDescent="0.25">
      <c r="A24" s="22" t="s">
        <v>29</v>
      </c>
      <c r="B24" s="3" t="s">
        <v>3</v>
      </c>
      <c r="C24" s="3" t="s">
        <v>31</v>
      </c>
      <c r="D24" s="3" t="s">
        <v>10</v>
      </c>
      <c r="E24" s="3" t="s">
        <v>0</v>
      </c>
      <c r="F24" s="3" t="s">
        <v>1</v>
      </c>
      <c r="G24" s="75"/>
      <c r="H24" s="22" t="s">
        <v>29</v>
      </c>
      <c r="I24" s="3" t="s">
        <v>23</v>
      </c>
      <c r="J24" s="3" t="s">
        <v>10</v>
      </c>
      <c r="K24" s="3" t="s">
        <v>0</v>
      </c>
      <c r="L24" s="3" t="s">
        <v>1</v>
      </c>
      <c r="M24" s="23"/>
      <c r="N24" s="19" t="s">
        <v>29</v>
      </c>
      <c r="O24" s="3" t="s">
        <v>23</v>
      </c>
      <c r="P24" s="21"/>
    </row>
    <row r="25" spans="1:18" ht="15" customHeight="1" x14ac:dyDescent="0.25">
      <c r="A25" s="29">
        <v>45897</v>
      </c>
      <c r="B25" s="24">
        <v>15</v>
      </c>
      <c r="C25" s="4">
        <v>15</v>
      </c>
      <c r="D25" s="4">
        <f>B25-C25</f>
        <v>0</v>
      </c>
      <c r="E25" s="38">
        <v>150.300601</v>
      </c>
      <c r="F25" s="32">
        <f>C25/E25</f>
        <v>9.98E-2</v>
      </c>
      <c r="G25" s="75"/>
      <c r="H25" s="29"/>
      <c r="I25" s="5"/>
      <c r="J25" s="4"/>
      <c r="K25" s="4"/>
      <c r="L25" s="5"/>
      <c r="M25" s="25"/>
      <c r="N25" s="29"/>
      <c r="O25" s="4"/>
      <c r="P25" s="1"/>
      <c r="R25" s="1"/>
    </row>
    <row r="26" spans="1:18" ht="15" customHeight="1" x14ac:dyDescent="0.25">
      <c r="A26" s="29"/>
      <c r="B26" s="4"/>
      <c r="C26" s="4"/>
      <c r="D26" s="4"/>
      <c r="E26" s="5"/>
      <c r="F26" s="28"/>
      <c r="G26" s="75"/>
      <c r="H26" s="29"/>
      <c r="I26" s="2"/>
      <c r="J26" s="2"/>
      <c r="K26" s="2"/>
      <c r="L26" s="2"/>
      <c r="M26" s="15"/>
      <c r="N26" s="29"/>
      <c r="O26" s="2"/>
    </row>
    <row r="27" spans="1:18" ht="15" customHeight="1" x14ac:dyDescent="0.3">
      <c r="A27" s="30"/>
      <c r="B27" s="4"/>
      <c r="C27" s="5"/>
      <c r="D27" s="5"/>
      <c r="E27" s="5"/>
      <c r="F27" s="7"/>
      <c r="G27" s="75"/>
      <c r="H27" s="30"/>
      <c r="I27" s="2"/>
      <c r="J27" s="2"/>
      <c r="K27" s="2"/>
      <c r="L27" s="2"/>
      <c r="M27" s="15"/>
      <c r="N27" s="30"/>
      <c r="O27" s="2"/>
    </row>
    <row r="28" spans="1:18" ht="15" customHeight="1" x14ac:dyDescent="0.3">
      <c r="A28" s="30"/>
      <c r="B28" s="4"/>
      <c r="C28" s="5"/>
      <c r="D28" s="5"/>
      <c r="E28" s="5"/>
      <c r="F28" s="5"/>
      <c r="G28" s="75"/>
      <c r="H28" s="30"/>
      <c r="I28" s="2"/>
      <c r="J28" s="2"/>
      <c r="K28" s="2"/>
      <c r="L28" s="2"/>
      <c r="M28" s="15"/>
      <c r="N28" s="30"/>
      <c r="O28" s="2"/>
    </row>
    <row r="29" spans="1:18" ht="15" customHeight="1" x14ac:dyDescent="0.25">
      <c r="A29" s="3" t="s">
        <v>2</v>
      </c>
      <c r="B29" s="4">
        <f>SUM(B25:B28)</f>
        <v>15</v>
      </c>
      <c r="C29" s="4">
        <f>SUM(C25:C28)</f>
        <v>15</v>
      </c>
      <c r="D29" s="4">
        <f>SUM(D25:D28)</f>
        <v>0</v>
      </c>
      <c r="E29" s="5">
        <f>IF(B29&gt;0,SUMPRODUCT(E25:E28,F25:F28)/SUM(F25:F28),"0.00")</f>
        <v>150.300601</v>
      </c>
      <c r="F29" s="6">
        <f>SUM(F25:F28)</f>
        <v>9.98E-2</v>
      </c>
      <c r="G29" s="76"/>
      <c r="H29" s="3" t="s">
        <v>2</v>
      </c>
      <c r="I29" s="4">
        <f>SUM(I25:I28)</f>
        <v>0</v>
      </c>
      <c r="J29" s="4">
        <f t="shared" ref="J29" si="1">SUM(J25:J28)</f>
        <v>0</v>
      </c>
      <c r="K29" s="5"/>
      <c r="L29" s="7">
        <f t="shared" ref="L29" si="2">SUM(L25:L28)</f>
        <v>0</v>
      </c>
      <c r="M29" s="26"/>
      <c r="N29" s="3" t="s">
        <v>2</v>
      </c>
      <c r="O29" s="4">
        <f>SUM(O25:O28)</f>
        <v>0</v>
      </c>
      <c r="P29" s="1"/>
    </row>
    <row r="30" spans="1:18" x14ac:dyDescent="0.25">
      <c r="B30" s="1"/>
      <c r="C30" s="1"/>
      <c r="D30" s="1"/>
    </row>
  </sheetData>
  <mergeCells count="17">
    <mergeCell ref="A12:O12"/>
    <mergeCell ref="Q2:X2"/>
    <mergeCell ref="A13:F13"/>
    <mergeCell ref="G13:G19"/>
    <mergeCell ref="H13:L13"/>
    <mergeCell ref="N13:O13"/>
    <mergeCell ref="Q3:Q4"/>
    <mergeCell ref="R3:R4"/>
    <mergeCell ref="S3:S4"/>
    <mergeCell ref="T3:T4"/>
    <mergeCell ref="U3:W3"/>
    <mergeCell ref="X3:X4"/>
    <mergeCell ref="A22:O22"/>
    <mergeCell ref="A23:F23"/>
    <mergeCell ref="G23:G29"/>
    <mergeCell ref="H23:L23"/>
    <mergeCell ref="N23:O23"/>
  </mergeCells>
  <hyperlinks>
    <hyperlink ref="A12:O12" location="'SEB Active 55'!A1" display="SESA5FE SS „SEB Active 55“ SE0016076046" xr:uid="{CBF8DB44-37DA-494C-A9CB-DC128CE35836}"/>
    <hyperlink ref="A22:O22" location="'SEB Active 80'!A1" display="SESA8FE SS „SEB Active 80“ SE0016076111" xr:uid="{7D705C48-2A65-4FAD-9891-114FF1F41C26}"/>
  </hyperlinks>
  <pageMargins left="0.7" right="0.7" top="0.75" bottom="0.75" header="0.3" footer="0.3"/>
  <ignoredErrors>
    <ignoredError sqref="E19 E29" formula="1"/>
  </ignoredErrors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D00-000000000000}">
  <dimension ref="A2:X30"/>
  <sheetViews>
    <sheetView workbookViewId="0">
      <selection activeCell="A22" sqref="A22:O22"/>
    </sheetView>
  </sheetViews>
  <sheetFormatPr defaultRowHeight="15" x14ac:dyDescent="0.25"/>
  <cols>
    <col min="1" max="6" width="10.7109375" customWidth="1"/>
    <col min="7" max="7" width="2.7109375" customWidth="1"/>
    <col min="8" max="9" width="10.7109375" customWidth="1"/>
    <col min="10" max="10" width="10.7109375" style="1" customWidth="1"/>
    <col min="11" max="12" width="10.7109375" customWidth="1"/>
    <col min="13" max="13" width="2.7109375" customWidth="1"/>
    <col min="14" max="15" width="10.7109375" customWidth="1"/>
    <col min="16" max="16" width="5.7109375" customWidth="1"/>
    <col min="17" max="24" width="10.7109375" customWidth="1"/>
  </cols>
  <sheetData>
    <row r="2" spans="1:24" x14ac:dyDescent="0.25">
      <c r="Q2" s="83">
        <v>2025.07</v>
      </c>
      <c r="R2" s="68"/>
      <c r="S2" s="68"/>
      <c r="T2" s="68"/>
      <c r="U2" s="68"/>
      <c r="V2" s="68"/>
      <c r="W2" s="68"/>
      <c r="X2" s="69"/>
    </row>
    <row r="3" spans="1:24" x14ac:dyDescent="0.25">
      <c r="Q3" s="70" t="s">
        <v>11</v>
      </c>
      <c r="R3" s="70" t="s">
        <v>28</v>
      </c>
      <c r="S3" s="70" t="s">
        <v>24</v>
      </c>
      <c r="T3" s="70" t="s">
        <v>25</v>
      </c>
      <c r="U3" s="71" t="s">
        <v>26</v>
      </c>
      <c r="V3" s="72"/>
      <c r="W3" s="73"/>
      <c r="X3" s="56" t="s">
        <v>4</v>
      </c>
    </row>
    <row r="4" spans="1:24" x14ac:dyDescent="0.25">
      <c r="Q4" s="55"/>
      <c r="R4" s="55"/>
      <c r="S4" s="55"/>
      <c r="T4" s="55"/>
      <c r="U4" s="12" t="s">
        <v>21</v>
      </c>
      <c r="V4" s="12" t="s">
        <v>27</v>
      </c>
      <c r="W4" s="13" t="s">
        <v>22</v>
      </c>
      <c r="X4" s="56"/>
    </row>
    <row r="5" spans="1:24" x14ac:dyDescent="0.25">
      <c r="Q5" s="4">
        <f>(B19+B29+B39+B49+B59+B69+B79+B89+B99+B109)-T5</f>
        <v>30</v>
      </c>
      <c r="R5" s="4">
        <v>0</v>
      </c>
      <c r="S5" s="4">
        <f>(C19+C29+C39+C49+C59+C69+C79+C89+C99+C109)-T5</f>
        <v>30</v>
      </c>
      <c r="T5" s="4">
        <f>(I19+I29+I39+I49+I59+I69+I79+I89+I99+I109)-W5</f>
        <v>0</v>
      </c>
      <c r="U5" s="4">
        <f>D19+D29+D39+D49+D59+D69+D79+D89+D99+D109</f>
        <v>0</v>
      </c>
      <c r="V5" s="4">
        <v>0.04</v>
      </c>
      <c r="W5" s="4">
        <f>J19+J29+J39+J49+J59+J69+J79+J89+J99+J109</f>
        <v>0</v>
      </c>
      <c r="X5" s="4">
        <f>O19+O29+O39+O49+O59+O69+O79+O89+O99+O109</f>
        <v>0</v>
      </c>
    </row>
    <row r="11" spans="1:24" ht="15" customHeight="1" x14ac:dyDescent="0.25">
      <c r="J11"/>
    </row>
    <row r="12" spans="1:24" ht="15" customHeight="1" x14ac:dyDescent="0.25">
      <c r="A12" s="80" t="s">
        <v>39</v>
      </c>
      <c r="B12" s="81"/>
      <c r="C12" s="81"/>
      <c r="D12" s="81"/>
      <c r="E12" s="81"/>
      <c r="F12" s="81"/>
      <c r="G12" s="81"/>
      <c r="H12" s="81"/>
      <c r="I12" s="81"/>
      <c r="J12" s="81"/>
      <c r="K12" s="81"/>
      <c r="L12" s="81"/>
      <c r="M12" s="81"/>
      <c r="N12" s="81"/>
      <c r="O12" s="82"/>
    </row>
    <row r="13" spans="1:24" ht="15" customHeight="1" x14ac:dyDescent="0.25">
      <c r="A13" s="57" t="s">
        <v>21</v>
      </c>
      <c r="B13" s="58"/>
      <c r="C13" s="58"/>
      <c r="D13" s="58"/>
      <c r="E13" s="58"/>
      <c r="F13" s="59"/>
      <c r="G13" s="74"/>
      <c r="H13" s="77" t="s">
        <v>22</v>
      </c>
      <c r="I13" s="78"/>
      <c r="J13" s="78"/>
      <c r="K13" s="78"/>
      <c r="L13" s="79"/>
      <c r="M13" s="20"/>
      <c r="N13" s="57" t="s">
        <v>4</v>
      </c>
      <c r="O13" s="59"/>
      <c r="P13" s="21"/>
    </row>
    <row r="14" spans="1:24" ht="15" customHeight="1" x14ac:dyDescent="0.25">
      <c r="A14" s="22" t="s">
        <v>29</v>
      </c>
      <c r="B14" s="3" t="s">
        <v>3</v>
      </c>
      <c r="C14" s="3" t="s">
        <v>31</v>
      </c>
      <c r="D14" s="3" t="s">
        <v>10</v>
      </c>
      <c r="E14" s="3" t="s">
        <v>0</v>
      </c>
      <c r="F14" s="3" t="s">
        <v>1</v>
      </c>
      <c r="G14" s="75"/>
      <c r="H14" s="22" t="s">
        <v>29</v>
      </c>
      <c r="I14" s="3" t="s">
        <v>23</v>
      </c>
      <c r="J14" s="3" t="s">
        <v>10</v>
      </c>
      <c r="K14" s="3" t="s">
        <v>0</v>
      </c>
      <c r="L14" s="3" t="s">
        <v>1</v>
      </c>
      <c r="M14" s="23"/>
      <c r="N14" s="19" t="s">
        <v>29</v>
      </c>
      <c r="O14" s="3" t="s">
        <v>23</v>
      </c>
      <c r="P14" s="21"/>
    </row>
    <row r="15" spans="1:24" ht="15" customHeight="1" x14ac:dyDescent="0.25">
      <c r="A15" s="29">
        <v>45867</v>
      </c>
      <c r="B15" s="24">
        <v>15</v>
      </c>
      <c r="C15" s="4">
        <v>15</v>
      </c>
      <c r="D15" s="4">
        <f>B15-C15</f>
        <v>0</v>
      </c>
      <c r="E15" s="37">
        <v>133.33333300000001</v>
      </c>
      <c r="F15" s="6">
        <f>B15/E15</f>
        <v>0.1125</v>
      </c>
      <c r="G15" s="75"/>
      <c r="H15" s="29"/>
      <c r="I15" s="5"/>
      <c r="J15" s="4"/>
      <c r="K15" s="4"/>
      <c r="L15" s="5"/>
      <c r="M15" s="25"/>
      <c r="N15" s="29"/>
      <c r="O15" s="4"/>
      <c r="P15" s="1"/>
    </row>
    <row r="16" spans="1:24" ht="15" customHeight="1" x14ac:dyDescent="0.25">
      <c r="A16" s="29"/>
      <c r="B16" s="4"/>
      <c r="C16" s="4"/>
      <c r="D16" s="4"/>
      <c r="E16" s="5"/>
      <c r="F16" s="7"/>
      <c r="G16" s="75"/>
      <c r="H16" s="29"/>
      <c r="I16" s="2"/>
      <c r="J16" s="2"/>
      <c r="K16" s="2"/>
      <c r="L16" s="2"/>
      <c r="M16" s="15"/>
      <c r="N16" s="29"/>
      <c r="O16" s="2"/>
    </row>
    <row r="17" spans="1:18" ht="15" customHeight="1" x14ac:dyDescent="0.3">
      <c r="A17" s="30"/>
      <c r="B17" s="4"/>
      <c r="C17" s="5"/>
      <c r="D17" s="5"/>
      <c r="E17" s="5"/>
      <c r="F17" s="7"/>
      <c r="G17" s="75"/>
      <c r="H17" s="30"/>
      <c r="I17" s="2"/>
      <c r="J17" s="2"/>
      <c r="K17" s="2"/>
      <c r="L17" s="2"/>
      <c r="M17" s="15"/>
      <c r="N17" s="30"/>
      <c r="O17" s="2"/>
    </row>
    <row r="18" spans="1:18" ht="15" customHeight="1" x14ac:dyDescent="0.3">
      <c r="A18" s="30"/>
      <c r="B18" s="4"/>
      <c r="C18" s="5"/>
      <c r="D18" s="5"/>
      <c r="E18" s="5"/>
      <c r="F18" s="7"/>
      <c r="G18" s="75"/>
      <c r="H18" s="30"/>
      <c r="I18" s="2"/>
      <c r="J18" s="2"/>
      <c r="K18" s="2"/>
      <c r="L18" s="2"/>
      <c r="M18" s="15"/>
      <c r="N18" s="30"/>
      <c r="O18" s="2"/>
    </row>
    <row r="19" spans="1:18" ht="15" customHeight="1" x14ac:dyDescent="0.25">
      <c r="A19" s="3" t="s">
        <v>2</v>
      </c>
      <c r="B19" s="4">
        <f>SUM(B15:B18)</f>
        <v>15</v>
      </c>
      <c r="C19" s="4">
        <f>SUM(C15:C18)</f>
        <v>15</v>
      </c>
      <c r="D19" s="4">
        <f>SUM(D15:D18)</f>
        <v>0</v>
      </c>
      <c r="E19" s="5">
        <f>IF(B19&gt;0,SUMPRODUCT(E15:E18,F15:F18)/SUM(F15:F18),"0.00")</f>
        <v>133.33333300000001</v>
      </c>
      <c r="F19" s="6">
        <f>SUM(F15:F18)</f>
        <v>0.1125</v>
      </c>
      <c r="G19" s="76"/>
      <c r="H19" s="3" t="s">
        <v>2</v>
      </c>
      <c r="I19" s="4">
        <f>SUM(I15:I18)</f>
        <v>0</v>
      </c>
      <c r="J19" s="4">
        <f t="shared" ref="J19:L19" si="0">SUM(J15:J18)</f>
        <v>0</v>
      </c>
      <c r="K19" s="5"/>
      <c r="L19" s="7">
        <f t="shared" si="0"/>
        <v>0</v>
      </c>
      <c r="M19" s="26"/>
      <c r="N19" s="3" t="s">
        <v>2</v>
      </c>
      <c r="O19" s="4">
        <f>SUM(O15:O18)</f>
        <v>0</v>
      </c>
      <c r="P19" s="1"/>
    </row>
    <row r="20" spans="1:18" ht="15" customHeight="1" x14ac:dyDescent="0.25">
      <c r="B20" s="27"/>
      <c r="E20" s="1"/>
      <c r="F20" s="11"/>
      <c r="J20"/>
    </row>
    <row r="21" spans="1:18" ht="15" customHeight="1" x14ac:dyDescent="0.25">
      <c r="B21" s="1"/>
      <c r="E21" s="1"/>
      <c r="F21" s="1"/>
      <c r="J21"/>
    </row>
    <row r="22" spans="1:18" ht="15" customHeight="1" x14ac:dyDescent="0.25">
      <c r="A22" s="80" t="s">
        <v>38</v>
      </c>
      <c r="B22" s="81"/>
      <c r="C22" s="81"/>
      <c r="D22" s="81"/>
      <c r="E22" s="81"/>
      <c r="F22" s="81"/>
      <c r="G22" s="81"/>
      <c r="H22" s="81"/>
      <c r="I22" s="81"/>
      <c r="J22" s="81"/>
      <c r="K22" s="81"/>
      <c r="L22" s="81"/>
      <c r="M22" s="81"/>
      <c r="N22" s="81"/>
      <c r="O22" s="82"/>
    </row>
    <row r="23" spans="1:18" ht="15" customHeight="1" x14ac:dyDescent="0.25">
      <c r="A23" s="57" t="s">
        <v>21</v>
      </c>
      <c r="B23" s="58"/>
      <c r="C23" s="58"/>
      <c r="D23" s="58"/>
      <c r="E23" s="58"/>
      <c r="F23" s="59"/>
      <c r="G23" s="74"/>
      <c r="H23" s="77" t="s">
        <v>22</v>
      </c>
      <c r="I23" s="78"/>
      <c r="J23" s="78"/>
      <c r="K23" s="78"/>
      <c r="L23" s="79"/>
      <c r="M23" s="20"/>
      <c r="N23" s="57" t="s">
        <v>4</v>
      </c>
      <c r="O23" s="59"/>
      <c r="P23" s="21"/>
    </row>
    <row r="24" spans="1:18" ht="15" customHeight="1" x14ac:dyDescent="0.25">
      <c r="A24" s="22" t="s">
        <v>29</v>
      </c>
      <c r="B24" s="3" t="s">
        <v>3</v>
      </c>
      <c r="C24" s="3" t="s">
        <v>31</v>
      </c>
      <c r="D24" s="3" t="s">
        <v>10</v>
      </c>
      <c r="E24" s="3" t="s">
        <v>0</v>
      </c>
      <c r="F24" s="3" t="s">
        <v>1</v>
      </c>
      <c r="G24" s="75"/>
      <c r="H24" s="22" t="s">
        <v>29</v>
      </c>
      <c r="I24" s="3" t="s">
        <v>23</v>
      </c>
      <c r="J24" s="3" t="s">
        <v>10</v>
      </c>
      <c r="K24" s="3" t="s">
        <v>0</v>
      </c>
      <c r="L24" s="3" t="s">
        <v>1</v>
      </c>
      <c r="M24" s="23"/>
      <c r="N24" s="19" t="s">
        <v>29</v>
      </c>
      <c r="O24" s="3" t="s">
        <v>23</v>
      </c>
      <c r="P24" s="21"/>
    </row>
    <row r="25" spans="1:18" ht="15" customHeight="1" x14ac:dyDescent="0.25">
      <c r="A25" s="29">
        <v>45866</v>
      </c>
      <c r="B25" s="24">
        <v>15</v>
      </c>
      <c r="C25" s="4">
        <v>15</v>
      </c>
      <c r="D25" s="4">
        <f>B25-C25</f>
        <v>0</v>
      </c>
      <c r="E25" s="38">
        <v>149.40239</v>
      </c>
      <c r="F25" s="32">
        <f>C25/E25</f>
        <v>0.1004</v>
      </c>
      <c r="G25" s="75"/>
      <c r="H25" s="29"/>
      <c r="I25" s="5"/>
      <c r="J25" s="4"/>
      <c r="K25" s="4"/>
      <c r="L25" s="5"/>
      <c r="M25" s="25"/>
      <c r="N25" s="29"/>
      <c r="O25" s="4"/>
      <c r="P25" s="1"/>
      <c r="R25" s="1"/>
    </row>
    <row r="26" spans="1:18" ht="15" customHeight="1" x14ac:dyDescent="0.25">
      <c r="A26" s="29"/>
      <c r="B26" s="4"/>
      <c r="C26" s="4"/>
      <c r="D26" s="4"/>
      <c r="E26" s="5"/>
      <c r="F26" s="28"/>
      <c r="G26" s="75"/>
      <c r="H26" s="29"/>
      <c r="I26" s="2"/>
      <c r="J26" s="2"/>
      <c r="K26" s="2"/>
      <c r="L26" s="2"/>
      <c r="M26" s="15"/>
      <c r="N26" s="29"/>
      <c r="O26" s="2"/>
    </row>
    <row r="27" spans="1:18" ht="15" customHeight="1" x14ac:dyDescent="0.3">
      <c r="A27" s="30"/>
      <c r="B27" s="4"/>
      <c r="C27" s="5"/>
      <c r="D27" s="5"/>
      <c r="E27" s="5"/>
      <c r="F27" s="7"/>
      <c r="G27" s="75"/>
      <c r="H27" s="30"/>
      <c r="I27" s="2"/>
      <c r="J27" s="2"/>
      <c r="K27" s="2"/>
      <c r="L27" s="2"/>
      <c r="M27" s="15"/>
      <c r="N27" s="30"/>
      <c r="O27" s="2"/>
    </row>
    <row r="28" spans="1:18" ht="15" customHeight="1" x14ac:dyDescent="0.3">
      <c r="A28" s="30"/>
      <c r="B28" s="4"/>
      <c r="C28" s="5"/>
      <c r="D28" s="5"/>
      <c r="E28" s="5"/>
      <c r="F28" s="5"/>
      <c r="G28" s="75"/>
      <c r="H28" s="30"/>
      <c r="I28" s="2"/>
      <c r="J28" s="2"/>
      <c r="K28" s="2"/>
      <c r="L28" s="2"/>
      <c r="M28" s="15"/>
      <c r="N28" s="30"/>
      <c r="O28" s="2"/>
    </row>
    <row r="29" spans="1:18" ht="15" customHeight="1" x14ac:dyDescent="0.25">
      <c r="A29" s="3" t="s">
        <v>2</v>
      </c>
      <c r="B29" s="4">
        <f>SUM(B25:B28)</f>
        <v>15</v>
      </c>
      <c r="C29" s="4">
        <f>SUM(C25:C28)</f>
        <v>15</v>
      </c>
      <c r="D29" s="4">
        <f>SUM(D25:D28)</f>
        <v>0</v>
      </c>
      <c r="E29" s="5">
        <f>IF(B29&gt;0,SUMPRODUCT(E25:E28,F25:F28)/SUM(F25:F28),"0.00")</f>
        <v>149.40239</v>
      </c>
      <c r="F29" s="6">
        <f>SUM(F25:F28)</f>
        <v>0.1004</v>
      </c>
      <c r="G29" s="76"/>
      <c r="H29" s="3" t="s">
        <v>2</v>
      </c>
      <c r="I29" s="4">
        <f>SUM(I25:I28)</f>
        <v>0</v>
      </c>
      <c r="J29" s="4">
        <f t="shared" ref="J29" si="1">SUM(J25:J28)</f>
        <v>0</v>
      </c>
      <c r="K29" s="5"/>
      <c r="L29" s="7">
        <f t="shared" ref="L29" si="2">SUM(L25:L28)</f>
        <v>0</v>
      </c>
      <c r="M29" s="26"/>
      <c r="N29" s="3" t="s">
        <v>2</v>
      </c>
      <c r="O29" s="4">
        <f>SUM(O25:O28)</f>
        <v>0</v>
      </c>
      <c r="P29" s="1"/>
    </row>
    <row r="30" spans="1:18" x14ac:dyDescent="0.25">
      <c r="B30" s="1"/>
      <c r="C30" s="1"/>
      <c r="D30" s="1"/>
    </row>
  </sheetData>
  <mergeCells count="17">
    <mergeCell ref="A12:O12"/>
    <mergeCell ref="Q2:X2"/>
    <mergeCell ref="A13:F13"/>
    <mergeCell ref="G13:G19"/>
    <mergeCell ref="H13:L13"/>
    <mergeCell ref="N13:O13"/>
    <mergeCell ref="Q3:Q4"/>
    <mergeCell ref="R3:R4"/>
    <mergeCell ref="S3:S4"/>
    <mergeCell ref="T3:T4"/>
    <mergeCell ref="U3:W3"/>
    <mergeCell ref="X3:X4"/>
    <mergeCell ref="A22:O22"/>
    <mergeCell ref="A23:F23"/>
    <mergeCell ref="G23:G29"/>
    <mergeCell ref="H23:L23"/>
    <mergeCell ref="N23:O23"/>
  </mergeCells>
  <hyperlinks>
    <hyperlink ref="A12:O12" location="'SEB Active 55'!A1" display="SESA5FE SS „SEB Active 55“ SE0016076046" xr:uid="{D26E761B-F745-4101-837C-FB3B662FB393}"/>
    <hyperlink ref="A22:O22" location="'SEB Active 80'!A1" display="SESA8FE SS „SEB Active 80“ SE0016076111" xr:uid="{A6BC894E-3D8D-4202-9F47-BE5BAC4AFD45}"/>
  </hyperlinks>
  <pageMargins left="0.7" right="0.7" top="0.75" bottom="0.75" header="0.3" footer="0.3"/>
  <ignoredErrors>
    <ignoredError sqref="E19 E29" formula="1"/>
  </ignoredErrors>
  <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E00-000000000000}">
  <dimension ref="A2:X39"/>
  <sheetViews>
    <sheetView workbookViewId="0">
      <selection activeCell="A22" sqref="A22:O22"/>
    </sheetView>
  </sheetViews>
  <sheetFormatPr defaultRowHeight="15" x14ac:dyDescent="0.25"/>
  <cols>
    <col min="1" max="3" width="10.7109375" customWidth="1"/>
    <col min="4" max="4" width="10.7109375" style="8" customWidth="1"/>
    <col min="5" max="6" width="10.7109375" customWidth="1"/>
    <col min="7" max="7" width="2.7109375" customWidth="1"/>
    <col min="8" max="9" width="10.7109375" customWidth="1"/>
    <col min="10" max="10" width="10.7109375" style="1" customWidth="1"/>
    <col min="11" max="12" width="10.7109375" customWidth="1"/>
    <col min="13" max="13" width="2.7109375" customWidth="1"/>
    <col min="14" max="15" width="10.7109375" customWidth="1"/>
    <col min="16" max="16" width="5.7109375" customWidth="1"/>
    <col min="17" max="24" width="10.7109375" customWidth="1"/>
  </cols>
  <sheetData>
    <row r="2" spans="1:24" x14ac:dyDescent="0.25">
      <c r="Q2" s="64">
        <v>2025.06</v>
      </c>
      <c r="R2" s="65"/>
      <c r="S2" s="65"/>
      <c r="T2" s="65"/>
      <c r="U2" s="65"/>
      <c r="V2" s="65"/>
      <c r="W2" s="65"/>
      <c r="X2" s="66"/>
    </row>
    <row r="3" spans="1:24" x14ac:dyDescent="0.25">
      <c r="Q3" s="70" t="s">
        <v>11</v>
      </c>
      <c r="R3" s="70" t="s">
        <v>28</v>
      </c>
      <c r="S3" s="70" t="s">
        <v>24</v>
      </c>
      <c r="T3" s="70" t="s">
        <v>25</v>
      </c>
      <c r="U3" s="71" t="s">
        <v>26</v>
      </c>
      <c r="V3" s="72"/>
      <c r="W3" s="73"/>
      <c r="X3" s="56" t="s">
        <v>4</v>
      </c>
    </row>
    <row r="4" spans="1:24" x14ac:dyDescent="0.25">
      <c r="Q4" s="55"/>
      <c r="R4" s="55"/>
      <c r="S4" s="55"/>
      <c r="T4" s="55"/>
      <c r="U4" s="12" t="s">
        <v>21</v>
      </c>
      <c r="V4" s="12" t="s">
        <v>27</v>
      </c>
      <c r="W4" s="13" t="s">
        <v>22</v>
      </c>
      <c r="X4" s="56"/>
    </row>
    <row r="5" spans="1:24" x14ac:dyDescent="0.25">
      <c r="Q5" s="4">
        <f>(B19+B29+B39+B49+B59+B69+B79+B89+B99+B109)-T5</f>
        <v>30</v>
      </c>
      <c r="R5" s="4">
        <v>0</v>
      </c>
      <c r="S5" s="4">
        <f>(C19+C29+C39+C49+C59+C69+C79+C89+C99+C109)-T5</f>
        <v>30</v>
      </c>
      <c r="T5" s="4">
        <f>(I19+I29+I39+I49+I59+I69+I79+I89+I99+I109)-W5</f>
        <v>0</v>
      </c>
      <c r="U5" s="4">
        <f>D19+D29+D39+D49+D59+D69+D79+D89+D99+D109</f>
        <v>0</v>
      </c>
      <c r="V5" s="4">
        <v>0.04</v>
      </c>
      <c r="W5" s="4">
        <f>J19+J29+J39+J49+J59+J69+J79+J89+J99+J109</f>
        <v>0</v>
      </c>
      <c r="X5" s="4">
        <f>O19+O29+O39+O49+O59+O69+O79+O89+O99+O109</f>
        <v>0</v>
      </c>
    </row>
    <row r="11" spans="1:24" ht="15" customHeight="1" x14ac:dyDescent="0.25">
      <c r="D11"/>
      <c r="J11"/>
    </row>
    <row r="12" spans="1:24" ht="15" customHeight="1" x14ac:dyDescent="0.25">
      <c r="A12" s="80" t="s">
        <v>39</v>
      </c>
      <c r="B12" s="81"/>
      <c r="C12" s="81"/>
      <c r="D12" s="81"/>
      <c r="E12" s="81"/>
      <c r="F12" s="81"/>
      <c r="G12" s="81"/>
      <c r="H12" s="81"/>
      <c r="I12" s="81"/>
      <c r="J12" s="81"/>
      <c r="K12" s="81"/>
      <c r="L12" s="81"/>
      <c r="M12" s="81"/>
      <c r="N12" s="81"/>
      <c r="O12" s="82"/>
    </row>
    <row r="13" spans="1:24" ht="15" customHeight="1" x14ac:dyDescent="0.25">
      <c r="A13" s="57" t="s">
        <v>21</v>
      </c>
      <c r="B13" s="58"/>
      <c r="C13" s="58"/>
      <c r="D13" s="58"/>
      <c r="E13" s="58"/>
      <c r="F13" s="59"/>
      <c r="G13" s="74"/>
      <c r="H13" s="77" t="s">
        <v>22</v>
      </c>
      <c r="I13" s="78"/>
      <c r="J13" s="78"/>
      <c r="K13" s="78"/>
      <c r="L13" s="79"/>
      <c r="M13" s="20"/>
      <c r="N13" s="57" t="s">
        <v>4</v>
      </c>
      <c r="O13" s="59"/>
      <c r="P13" s="21"/>
    </row>
    <row r="14" spans="1:24" ht="15" customHeight="1" x14ac:dyDescent="0.25">
      <c r="A14" s="22" t="s">
        <v>29</v>
      </c>
      <c r="B14" s="3" t="s">
        <v>3</v>
      </c>
      <c r="C14" s="3" t="s">
        <v>31</v>
      </c>
      <c r="D14" s="3" t="s">
        <v>10</v>
      </c>
      <c r="E14" s="3" t="s">
        <v>0</v>
      </c>
      <c r="F14" s="3" t="s">
        <v>1</v>
      </c>
      <c r="G14" s="75"/>
      <c r="H14" s="22" t="s">
        <v>29</v>
      </c>
      <c r="I14" s="3" t="s">
        <v>23</v>
      </c>
      <c r="J14" s="3" t="s">
        <v>10</v>
      </c>
      <c r="K14" s="3" t="s">
        <v>0</v>
      </c>
      <c r="L14" s="3" t="s">
        <v>1</v>
      </c>
      <c r="M14" s="23"/>
      <c r="N14" s="19" t="s">
        <v>29</v>
      </c>
      <c r="O14" s="3" t="s">
        <v>23</v>
      </c>
      <c r="P14" s="21"/>
    </row>
    <row r="15" spans="1:24" ht="15" customHeight="1" x14ac:dyDescent="0.25">
      <c r="A15" s="29">
        <v>45838</v>
      </c>
      <c r="B15" s="24">
        <v>15</v>
      </c>
      <c r="C15" s="4">
        <v>15</v>
      </c>
      <c r="D15" s="4">
        <f>B15-C15</f>
        <v>0</v>
      </c>
      <c r="E15" s="37">
        <v>130.775937</v>
      </c>
      <c r="F15" s="6">
        <f>B15/E15</f>
        <v>0.1147</v>
      </c>
      <c r="G15" s="75"/>
      <c r="H15" s="29"/>
      <c r="I15" s="5"/>
      <c r="J15" s="4"/>
      <c r="K15" s="4"/>
      <c r="L15" s="5"/>
      <c r="M15" s="25"/>
      <c r="N15" s="29"/>
      <c r="O15" s="4"/>
      <c r="P15" s="1"/>
    </row>
    <row r="16" spans="1:24" ht="15" customHeight="1" x14ac:dyDescent="0.25">
      <c r="A16" s="29"/>
      <c r="B16" s="4"/>
      <c r="C16" s="4"/>
      <c r="D16" s="4"/>
      <c r="E16" s="5"/>
      <c r="F16" s="7"/>
      <c r="G16" s="75"/>
      <c r="H16" s="29"/>
      <c r="I16" s="2"/>
      <c r="J16" s="2"/>
      <c r="K16" s="2"/>
      <c r="L16" s="2"/>
      <c r="M16" s="15"/>
      <c r="N16" s="29"/>
      <c r="O16" s="2"/>
    </row>
    <row r="17" spans="1:18" ht="15" customHeight="1" x14ac:dyDescent="0.3">
      <c r="A17" s="30"/>
      <c r="B17" s="4"/>
      <c r="C17" s="5"/>
      <c r="D17" s="5"/>
      <c r="E17" s="5"/>
      <c r="F17" s="7"/>
      <c r="G17" s="75"/>
      <c r="H17" s="30"/>
      <c r="I17" s="2"/>
      <c r="J17" s="2"/>
      <c r="K17" s="2"/>
      <c r="L17" s="2"/>
      <c r="M17" s="15"/>
      <c r="N17" s="30"/>
      <c r="O17" s="2"/>
    </row>
    <row r="18" spans="1:18" ht="15" customHeight="1" x14ac:dyDescent="0.3">
      <c r="A18" s="30"/>
      <c r="B18" s="4"/>
      <c r="C18" s="5"/>
      <c r="D18" s="5"/>
      <c r="E18" s="5"/>
      <c r="F18" s="7"/>
      <c r="G18" s="75"/>
      <c r="H18" s="30"/>
      <c r="I18" s="2"/>
      <c r="J18" s="2"/>
      <c r="K18" s="2"/>
      <c r="L18" s="2"/>
      <c r="M18" s="15"/>
      <c r="N18" s="30"/>
      <c r="O18" s="2"/>
    </row>
    <row r="19" spans="1:18" ht="15" customHeight="1" x14ac:dyDescent="0.25">
      <c r="A19" s="3" t="s">
        <v>2</v>
      </c>
      <c r="B19" s="4">
        <f>SUM(B15:B18)</f>
        <v>15</v>
      </c>
      <c r="C19" s="4">
        <f>SUM(C15:C18)</f>
        <v>15</v>
      </c>
      <c r="D19" s="4">
        <f>SUM(D15:D18)</f>
        <v>0</v>
      </c>
      <c r="E19" s="5">
        <f>IF(B19&gt;0,SUMPRODUCT(E15:E18,F15:F18)/SUM(F15:F18),"0.00")</f>
        <v>130.775937</v>
      </c>
      <c r="F19" s="6">
        <f>SUM(F15:F18)</f>
        <v>0.1147</v>
      </c>
      <c r="G19" s="76"/>
      <c r="H19" s="3" t="s">
        <v>2</v>
      </c>
      <c r="I19" s="4">
        <f>SUM(I15:I18)</f>
        <v>0</v>
      </c>
      <c r="J19" s="4">
        <f t="shared" ref="J19:L19" si="0">SUM(J15:J18)</f>
        <v>0</v>
      </c>
      <c r="K19" s="5"/>
      <c r="L19" s="7">
        <f t="shared" si="0"/>
        <v>0</v>
      </c>
      <c r="M19" s="26"/>
      <c r="N19" s="3" t="s">
        <v>2</v>
      </c>
      <c r="O19" s="4">
        <f>SUM(O15:O18)</f>
        <v>0</v>
      </c>
      <c r="P19" s="1"/>
    </row>
    <row r="20" spans="1:18" ht="15" customHeight="1" x14ac:dyDescent="0.25">
      <c r="B20" s="27"/>
      <c r="D20"/>
      <c r="E20" s="1"/>
      <c r="F20" s="11"/>
      <c r="J20"/>
    </row>
    <row r="21" spans="1:18" ht="15" customHeight="1" x14ac:dyDescent="0.25">
      <c r="B21" s="1"/>
      <c r="D21"/>
      <c r="E21" s="1"/>
      <c r="F21" s="1"/>
      <c r="J21"/>
    </row>
    <row r="22" spans="1:18" ht="15" customHeight="1" x14ac:dyDescent="0.25">
      <c r="A22" s="80" t="s">
        <v>38</v>
      </c>
      <c r="B22" s="81"/>
      <c r="C22" s="81"/>
      <c r="D22" s="81"/>
      <c r="E22" s="81"/>
      <c r="F22" s="81"/>
      <c r="G22" s="81"/>
      <c r="H22" s="81"/>
      <c r="I22" s="81"/>
      <c r="J22" s="81"/>
      <c r="K22" s="81"/>
      <c r="L22" s="81"/>
      <c r="M22" s="81"/>
      <c r="N22" s="81"/>
      <c r="O22" s="82"/>
    </row>
    <row r="23" spans="1:18" ht="15" customHeight="1" x14ac:dyDescent="0.25">
      <c r="A23" s="57" t="s">
        <v>21</v>
      </c>
      <c r="B23" s="58"/>
      <c r="C23" s="58"/>
      <c r="D23" s="58"/>
      <c r="E23" s="58"/>
      <c r="F23" s="59"/>
      <c r="G23" s="74"/>
      <c r="H23" s="77" t="s">
        <v>22</v>
      </c>
      <c r="I23" s="78"/>
      <c r="J23" s="78"/>
      <c r="K23" s="78"/>
      <c r="L23" s="79"/>
      <c r="M23" s="20"/>
      <c r="N23" s="57" t="s">
        <v>4</v>
      </c>
      <c r="O23" s="59"/>
      <c r="P23" s="21"/>
    </row>
    <row r="24" spans="1:18" ht="15" customHeight="1" x14ac:dyDescent="0.25">
      <c r="A24" s="22" t="s">
        <v>29</v>
      </c>
      <c r="B24" s="3" t="s">
        <v>3</v>
      </c>
      <c r="C24" s="3" t="s">
        <v>31</v>
      </c>
      <c r="D24" s="3" t="s">
        <v>10</v>
      </c>
      <c r="E24" s="3" t="s">
        <v>0</v>
      </c>
      <c r="F24" s="3" t="s">
        <v>1</v>
      </c>
      <c r="G24" s="75"/>
      <c r="H24" s="22" t="s">
        <v>29</v>
      </c>
      <c r="I24" s="3" t="s">
        <v>23</v>
      </c>
      <c r="J24" s="3" t="s">
        <v>10</v>
      </c>
      <c r="K24" s="3" t="s">
        <v>0</v>
      </c>
      <c r="L24" s="3" t="s">
        <v>1</v>
      </c>
      <c r="M24" s="23"/>
      <c r="N24" s="19" t="s">
        <v>29</v>
      </c>
      <c r="O24" s="3" t="s">
        <v>23</v>
      </c>
      <c r="P24" s="21"/>
    </row>
    <row r="25" spans="1:18" ht="15" customHeight="1" x14ac:dyDescent="0.25">
      <c r="A25" s="29">
        <v>45835</v>
      </c>
      <c r="B25" s="24">
        <v>15</v>
      </c>
      <c r="C25" s="4">
        <v>15</v>
      </c>
      <c r="D25" s="4">
        <f>B25-C25</f>
        <v>0</v>
      </c>
      <c r="E25" s="38">
        <v>146.19882999999999</v>
      </c>
      <c r="F25" s="32">
        <f>C25/E25</f>
        <v>0.1026</v>
      </c>
      <c r="G25" s="75"/>
      <c r="H25" s="29"/>
      <c r="I25" s="5"/>
      <c r="J25" s="4"/>
      <c r="K25" s="4"/>
      <c r="L25" s="5"/>
      <c r="M25" s="25"/>
      <c r="N25" s="29"/>
      <c r="O25" s="4"/>
      <c r="P25" s="1"/>
      <c r="R25" s="1"/>
    </row>
    <row r="26" spans="1:18" ht="15" customHeight="1" x14ac:dyDescent="0.25">
      <c r="A26" s="29"/>
      <c r="B26" s="4"/>
      <c r="C26" s="4"/>
      <c r="D26" s="4"/>
      <c r="E26" s="5"/>
      <c r="F26" s="28"/>
      <c r="G26" s="75"/>
      <c r="H26" s="29"/>
      <c r="I26" s="2"/>
      <c r="J26" s="2"/>
      <c r="K26" s="2"/>
      <c r="L26" s="2"/>
      <c r="M26" s="15"/>
      <c r="N26" s="29"/>
      <c r="O26" s="2"/>
    </row>
    <row r="27" spans="1:18" ht="15" customHeight="1" x14ac:dyDescent="0.3">
      <c r="A27" s="30"/>
      <c r="B27" s="4"/>
      <c r="C27" s="5"/>
      <c r="D27" s="5"/>
      <c r="E27" s="5"/>
      <c r="F27" s="7"/>
      <c r="G27" s="75"/>
      <c r="H27" s="30"/>
      <c r="I27" s="2"/>
      <c r="J27" s="2"/>
      <c r="K27" s="2"/>
      <c r="L27" s="2"/>
      <c r="M27" s="15"/>
      <c r="N27" s="30"/>
      <c r="O27" s="2"/>
    </row>
    <row r="28" spans="1:18" ht="15" customHeight="1" x14ac:dyDescent="0.3">
      <c r="A28" s="30"/>
      <c r="B28" s="4"/>
      <c r="C28" s="5"/>
      <c r="D28" s="5"/>
      <c r="E28" s="5"/>
      <c r="F28" s="5"/>
      <c r="G28" s="75"/>
      <c r="H28" s="30"/>
      <c r="I28" s="2"/>
      <c r="J28" s="2"/>
      <c r="K28" s="2"/>
      <c r="L28" s="2"/>
      <c r="M28" s="15"/>
      <c r="N28" s="30"/>
      <c r="O28" s="2"/>
    </row>
    <row r="29" spans="1:18" ht="15" customHeight="1" x14ac:dyDescent="0.25">
      <c r="A29" s="3" t="s">
        <v>2</v>
      </c>
      <c r="B29" s="4">
        <f>SUM(B25:B28)</f>
        <v>15</v>
      </c>
      <c r="C29" s="4">
        <f>SUM(C25:C28)</f>
        <v>15</v>
      </c>
      <c r="D29" s="4">
        <f>SUM(D25:D28)</f>
        <v>0</v>
      </c>
      <c r="E29" s="5">
        <f>IF(B29&gt;0,SUMPRODUCT(E25:E28,F25:F28)/SUM(F25:F28),"0.00")</f>
        <v>146.19882999999999</v>
      </c>
      <c r="F29" s="6">
        <f>SUM(F25:F28)</f>
        <v>0.1026</v>
      </c>
      <c r="G29" s="76"/>
      <c r="H29" s="3" t="s">
        <v>2</v>
      </c>
      <c r="I29" s="4">
        <f>SUM(I25:I28)</f>
        <v>0</v>
      </c>
      <c r="J29" s="4">
        <f t="shared" ref="J29" si="1">SUM(J25:J28)</f>
        <v>0</v>
      </c>
      <c r="K29" s="5"/>
      <c r="L29" s="7">
        <f t="shared" ref="L29" si="2">SUM(L25:L28)</f>
        <v>0</v>
      </c>
      <c r="M29" s="26"/>
      <c r="N29" s="3" t="s">
        <v>2</v>
      </c>
      <c r="O29" s="4">
        <f>SUM(O25:O28)</f>
        <v>0</v>
      </c>
      <c r="P29" s="1"/>
    </row>
    <row r="30" spans="1:18" x14ac:dyDescent="0.25">
      <c r="B30" s="1"/>
      <c r="C30" s="1"/>
      <c r="D30" s="11"/>
    </row>
    <row r="31" spans="1:18" x14ac:dyDescent="0.25">
      <c r="B31" s="1"/>
      <c r="C31" s="1"/>
      <c r="D31" s="11"/>
    </row>
    <row r="39" spans="4:4" x14ac:dyDescent="0.25">
      <c r="D39" s="9"/>
    </row>
  </sheetData>
  <mergeCells count="17">
    <mergeCell ref="A12:O12"/>
    <mergeCell ref="Q2:X2"/>
    <mergeCell ref="A13:F13"/>
    <mergeCell ref="G13:G19"/>
    <mergeCell ref="H13:L13"/>
    <mergeCell ref="N13:O13"/>
    <mergeCell ref="Q3:Q4"/>
    <mergeCell ref="R3:R4"/>
    <mergeCell ref="S3:S4"/>
    <mergeCell ref="T3:T4"/>
    <mergeCell ref="U3:W3"/>
    <mergeCell ref="X3:X4"/>
    <mergeCell ref="A22:O22"/>
    <mergeCell ref="A23:F23"/>
    <mergeCell ref="G23:G29"/>
    <mergeCell ref="H23:L23"/>
    <mergeCell ref="N23:O23"/>
  </mergeCells>
  <hyperlinks>
    <hyperlink ref="A12:O12" location="'SEB Active 55'!A1" display="SESA5FE SS „SEB Active 55“ SE0016076046" xr:uid="{BBDA1E8C-B549-468F-845A-592E53B2D9DE}"/>
    <hyperlink ref="A22:O22" location="'SEB Active 80'!A1" display="SESA8FE SS „SEB Active 80“ SE0016076111" xr:uid="{7A46249C-6118-4966-BD5E-3F29F71616C7}"/>
  </hyperlinks>
  <pageMargins left="0.7" right="0.7" top="0.75" bottom="0.75" header="0.3" footer="0.3"/>
  <pageSetup orientation="portrait" r:id="rId1"/>
  <ignoredErrors>
    <ignoredError sqref="E19 E29" formula="1"/>
  </ignoredErrors>
  <drawing r:id="rId2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F00-000000000000}">
  <dimension ref="A2:X31"/>
  <sheetViews>
    <sheetView workbookViewId="0">
      <selection activeCell="A22" sqref="A22:O22"/>
    </sheetView>
  </sheetViews>
  <sheetFormatPr defaultRowHeight="15" x14ac:dyDescent="0.25"/>
  <cols>
    <col min="1" max="6" width="10.7109375" customWidth="1"/>
    <col min="7" max="7" width="2.7109375" customWidth="1"/>
    <col min="8" max="9" width="10.7109375" customWidth="1"/>
    <col min="10" max="10" width="10.7109375" style="1" customWidth="1"/>
    <col min="11" max="12" width="10.7109375" customWidth="1"/>
    <col min="13" max="13" width="2.7109375" customWidth="1"/>
    <col min="14" max="15" width="10.7109375" customWidth="1"/>
    <col min="16" max="16" width="5.7109375" customWidth="1"/>
    <col min="17" max="24" width="10.7109375" customWidth="1"/>
  </cols>
  <sheetData>
    <row r="2" spans="1:24" x14ac:dyDescent="0.25">
      <c r="Q2" s="64">
        <v>2025.05</v>
      </c>
      <c r="R2" s="65"/>
      <c r="S2" s="65"/>
      <c r="T2" s="65"/>
      <c r="U2" s="65"/>
      <c r="V2" s="65"/>
      <c r="W2" s="65"/>
      <c r="X2" s="66"/>
    </row>
    <row r="3" spans="1:24" x14ac:dyDescent="0.25">
      <c r="Q3" s="70" t="s">
        <v>11</v>
      </c>
      <c r="R3" s="70" t="s">
        <v>28</v>
      </c>
      <c r="S3" s="70" t="s">
        <v>24</v>
      </c>
      <c r="T3" s="70" t="s">
        <v>25</v>
      </c>
      <c r="U3" s="71" t="s">
        <v>26</v>
      </c>
      <c r="V3" s="72"/>
      <c r="W3" s="73"/>
      <c r="X3" s="56" t="s">
        <v>4</v>
      </c>
    </row>
    <row r="4" spans="1:24" x14ac:dyDescent="0.25">
      <c r="Q4" s="55"/>
      <c r="R4" s="55"/>
      <c r="S4" s="55"/>
      <c r="T4" s="55"/>
      <c r="U4" s="12" t="s">
        <v>21</v>
      </c>
      <c r="V4" s="12" t="s">
        <v>27</v>
      </c>
      <c r="W4" s="13" t="s">
        <v>22</v>
      </c>
      <c r="X4" s="56"/>
    </row>
    <row r="5" spans="1:24" x14ac:dyDescent="0.25">
      <c r="Q5" s="4">
        <f>(B19+B29+B39+B49+B59+B69+B79+B89+B99+B109)-T5</f>
        <v>30</v>
      </c>
      <c r="R5" s="4">
        <v>0</v>
      </c>
      <c r="S5" s="4">
        <f>(C19+C29+C39+C49+C59+C69+C79+C89+C99+C109)-T5</f>
        <v>30</v>
      </c>
      <c r="T5" s="4">
        <f>(I19+I29+I39+I49+I59+I69+I79+I89+I99+I109)-W5</f>
        <v>0</v>
      </c>
      <c r="U5" s="4">
        <f>D19+D29+D39+D49+D59+D69+D79+D89+D99+D109</f>
        <v>0</v>
      </c>
      <c r="V5" s="4">
        <v>0.02</v>
      </c>
      <c r="W5" s="4">
        <f>J19+J29+J39+J49+J59+J69+J79+J89+J99+J109</f>
        <v>0</v>
      </c>
      <c r="X5" s="4">
        <f>O19+O29+O39+O49+O59+O69+O79+O89+O99+O109</f>
        <v>0</v>
      </c>
    </row>
    <row r="11" spans="1:24" ht="15" customHeight="1" x14ac:dyDescent="0.25">
      <c r="J11"/>
    </row>
    <row r="12" spans="1:24" ht="15" customHeight="1" x14ac:dyDescent="0.25">
      <c r="A12" s="80" t="s">
        <v>39</v>
      </c>
      <c r="B12" s="81"/>
      <c r="C12" s="81"/>
      <c r="D12" s="81"/>
      <c r="E12" s="81"/>
      <c r="F12" s="81"/>
      <c r="G12" s="81"/>
      <c r="H12" s="81"/>
      <c r="I12" s="81"/>
      <c r="J12" s="81"/>
      <c r="K12" s="81"/>
      <c r="L12" s="81"/>
      <c r="M12" s="81"/>
      <c r="N12" s="81"/>
      <c r="O12" s="82"/>
    </row>
    <row r="13" spans="1:24" ht="15" customHeight="1" x14ac:dyDescent="0.25">
      <c r="A13" s="57" t="s">
        <v>21</v>
      </c>
      <c r="B13" s="58"/>
      <c r="C13" s="58"/>
      <c r="D13" s="58"/>
      <c r="E13" s="58"/>
      <c r="F13" s="59"/>
      <c r="G13" s="74"/>
      <c r="H13" s="77" t="s">
        <v>22</v>
      </c>
      <c r="I13" s="78"/>
      <c r="J13" s="78"/>
      <c r="K13" s="78"/>
      <c r="L13" s="79"/>
      <c r="M13" s="20"/>
      <c r="N13" s="57" t="s">
        <v>4</v>
      </c>
      <c r="O13" s="59"/>
      <c r="P13" s="21"/>
    </row>
    <row r="14" spans="1:24" ht="15" customHeight="1" x14ac:dyDescent="0.25">
      <c r="A14" s="22" t="s">
        <v>29</v>
      </c>
      <c r="B14" s="3" t="s">
        <v>3</v>
      </c>
      <c r="C14" s="3" t="s">
        <v>31</v>
      </c>
      <c r="D14" s="3" t="s">
        <v>10</v>
      </c>
      <c r="E14" s="3" t="s">
        <v>0</v>
      </c>
      <c r="F14" s="3" t="s">
        <v>1</v>
      </c>
      <c r="G14" s="75"/>
      <c r="H14" s="22" t="s">
        <v>29</v>
      </c>
      <c r="I14" s="3" t="s">
        <v>23</v>
      </c>
      <c r="J14" s="3" t="s">
        <v>10</v>
      </c>
      <c r="K14" s="3" t="s">
        <v>0</v>
      </c>
      <c r="L14" s="3" t="s">
        <v>1</v>
      </c>
      <c r="M14" s="23"/>
      <c r="N14" s="19" t="s">
        <v>29</v>
      </c>
      <c r="O14" s="3" t="s">
        <v>23</v>
      </c>
      <c r="P14" s="21"/>
    </row>
    <row r="15" spans="1:24" ht="15" customHeight="1" x14ac:dyDescent="0.25">
      <c r="A15" s="29">
        <v>45807</v>
      </c>
      <c r="B15" s="24">
        <v>15</v>
      </c>
      <c r="C15" s="4">
        <v>15</v>
      </c>
      <c r="D15" s="4">
        <f>B15-C15</f>
        <v>0</v>
      </c>
      <c r="E15" s="37">
        <v>131.23359600000001</v>
      </c>
      <c r="F15" s="6">
        <f>B15/E15</f>
        <v>0.1143</v>
      </c>
      <c r="G15" s="75"/>
      <c r="H15" s="29"/>
      <c r="I15" s="5"/>
      <c r="J15" s="4"/>
      <c r="K15" s="4"/>
      <c r="L15" s="5"/>
      <c r="M15" s="25"/>
      <c r="N15" s="29"/>
      <c r="O15" s="4"/>
      <c r="P15" s="1"/>
    </row>
    <row r="16" spans="1:24" ht="15" customHeight="1" x14ac:dyDescent="0.25">
      <c r="A16" s="29"/>
      <c r="B16" s="4"/>
      <c r="C16" s="4"/>
      <c r="D16" s="4"/>
      <c r="E16" s="5"/>
      <c r="F16" s="7"/>
      <c r="G16" s="75"/>
      <c r="H16" s="29"/>
      <c r="I16" s="2"/>
      <c r="J16" s="2"/>
      <c r="K16" s="2"/>
      <c r="L16" s="2"/>
      <c r="M16" s="15"/>
      <c r="N16" s="29"/>
      <c r="O16" s="2"/>
    </row>
    <row r="17" spans="1:18" ht="15" customHeight="1" x14ac:dyDescent="0.3">
      <c r="A17" s="30"/>
      <c r="B17" s="4"/>
      <c r="C17" s="5"/>
      <c r="D17" s="5"/>
      <c r="E17" s="5"/>
      <c r="F17" s="7"/>
      <c r="G17" s="75"/>
      <c r="H17" s="30"/>
      <c r="I17" s="2"/>
      <c r="J17" s="2"/>
      <c r="K17" s="2"/>
      <c r="L17" s="2"/>
      <c r="M17" s="15"/>
      <c r="N17" s="30"/>
      <c r="O17" s="2"/>
    </row>
    <row r="18" spans="1:18" ht="15" customHeight="1" x14ac:dyDescent="0.3">
      <c r="A18" s="30"/>
      <c r="B18" s="4"/>
      <c r="C18" s="5"/>
      <c r="D18" s="5"/>
      <c r="E18" s="5"/>
      <c r="F18" s="7"/>
      <c r="G18" s="75"/>
      <c r="H18" s="30"/>
      <c r="I18" s="2"/>
      <c r="J18" s="2"/>
      <c r="K18" s="2"/>
      <c r="L18" s="2"/>
      <c r="M18" s="15"/>
      <c r="N18" s="30"/>
      <c r="O18" s="2"/>
    </row>
    <row r="19" spans="1:18" ht="15" customHeight="1" x14ac:dyDescent="0.25">
      <c r="A19" s="3" t="s">
        <v>2</v>
      </c>
      <c r="B19" s="4">
        <f>SUM(B15:B18)</f>
        <v>15</v>
      </c>
      <c r="C19" s="4">
        <f>SUM(C15:C18)</f>
        <v>15</v>
      </c>
      <c r="D19" s="4">
        <f>SUM(D15:D18)</f>
        <v>0</v>
      </c>
      <c r="E19" s="5">
        <f>IF(B19&gt;0,SUMPRODUCT(E15:E18,F15:F18)/SUM(F15:F18),"0.00")</f>
        <v>131.23359600000001</v>
      </c>
      <c r="F19" s="6">
        <f>SUM(F15:F18)</f>
        <v>0.1143</v>
      </c>
      <c r="G19" s="76"/>
      <c r="H19" s="3" t="s">
        <v>2</v>
      </c>
      <c r="I19" s="4">
        <f>SUM(I15:I18)</f>
        <v>0</v>
      </c>
      <c r="J19" s="4">
        <f t="shared" ref="J19:L19" si="0">SUM(J15:J18)</f>
        <v>0</v>
      </c>
      <c r="K19" s="5"/>
      <c r="L19" s="7">
        <f t="shared" si="0"/>
        <v>0</v>
      </c>
      <c r="M19" s="26"/>
      <c r="N19" s="3" t="s">
        <v>2</v>
      </c>
      <c r="O19" s="4">
        <f>SUM(O15:O18)</f>
        <v>0</v>
      </c>
      <c r="P19" s="1"/>
    </row>
    <row r="20" spans="1:18" ht="15" customHeight="1" x14ac:dyDescent="0.25">
      <c r="B20" s="27"/>
      <c r="E20" s="1"/>
      <c r="F20" s="11"/>
      <c r="J20"/>
    </row>
    <row r="21" spans="1:18" ht="15" customHeight="1" x14ac:dyDescent="0.25">
      <c r="B21" s="1"/>
      <c r="E21" s="1"/>
      <c r="F21" s="1"/>
      <c r="J21"/>
    </row>
    <row r="22" spans="1:18" ht="15" customHeight="1" x14ac:dyDescent="0.25">
      <c r="A22" s="80" t="s">
        <v>38</v>
      </c>
      <c r="B22" s="81"/>
      <c r="C22" s="81"/>
      <c r="D22" s="81"/>
      <c r="E22" s="81"/>
      <c r="F22" s="81"/>
      <c r="G22" s="81"/>
      <c r="H22" s="81"/>
      <c r="I22" s="81"/>
      <c r="J22" s="81"/>
      <c r="K22" s="81"/>
      <c r="L22" s="81"/>
      <c r="M22" s="81"/>
      <c r="N22" s="81"/>
      <c r="O22" s="82"/>
    </row>
    <row r="23" spans="1:18" ht="15" customHeight="1" x14ac:dyDescent="0.25">
      <c r="A23" s="57" t="s">
        <v>21</v>
      </c>
      <c r="B23" s="58"/>
      <c r="C23" s="58"/>
      <c r="D23" s="58"/>
      <c r="E23" s="58"/>
      <c r="F23" s="59"/>
      <c r="G23" s="74"/>
      <c r="H23" s="77" t="s">
        <v>22</v>
      </c>
      <c r="I23" s="78"/>
      <c r="J23" s="78"/>
      <c r="K23" s="78"/>
      <c r="L23" s="79"/>
      <c r="M23" s="20"/>
      <c r="N23" s="57" t="s">
        <v>4</v>
      </c>
      <c r="O23" s="59"/>
      <c r="P23" s="21"/>
    </row>
    <row r="24" spans="1:18" ht="15" customHeight="1" x14ac:dyDescent="0.25">
      <c r="A24" s="22" t="s">
        <v>29</v>
      </c>
      <c r="B24" s="3" t="s">
        <v>3</v>
      </c>
      <c r="C24" s="3" t="s">
        <v>31</v>
      </c>
      <c r="D24" s="3" t="s">
        <v>10</v>
      </c>
      <c r="E24" s="3" t="s">
        <v>0</v>
      </c>
      <c r="F24" s="3" t="s">
        <v>1</v>
      </c>
      <c r="G24" s="75"/>
      <c r="H24" s="22" t="s">
        <v>29</v>
      </c>
      <c r="I24" s="3" t="s">
        <v>23</v>
      </c>
      <c r="J24" s="3" t="s">
        <v>10</v>
      </c>
      <c r="K24" s="3" t="s">
        <v>0</v>
      </c>
      <c r="L24" s="3" t="s">
        <v>1</v>
      </c>
      <c r="M24" s="23"/>
      <c r="N24" s="19" t="s">
        <v>29</v>
      </c>
      <c r="O24" s="3" t="s">
        <v>23</v>
      </c>
      <c r="P24" s="21"/>
    </row>
    <row r="25" spans="1:18" ht="15" customHeight="1" x14ac:dyDescent="0.25">
      <c r="A25" s="29">
        <v>45805</v>
      </c>
      <c r="B25" s="24">
        <v>15</v>
      </c>
      <c r="C25" s="4">
        <v>15</v>
      </c>
      <c r="D25" s="4">
        <f>B25-C25</f>
        <v>0</v>
      </c>
      <c r="E25" s="5">
        <v>146.341463</v>
      </c>
      <c r="F25" s="32">
        <f>C25/E25</f>
        <v>0.10249999999999999</v>
      </c>
      <c r="G25" s="75"/>
      <c r="H25" s="29"/>
      <c r="I25" s="5"/>
      <c r="J25" s="4"/>
      <c r="K25" s="4"/>
      <c r="L25" s="5"/>
      <c r="M25" s="25"/>
      <c r="N25" s="29"/>
      <c r="O25" s="4"/>
      <c r="P25" s="1"/>
      <c r="R25" s="1"/>
    </row>
    <row r="26" spans="1:18" ht="15" customHeight="1" x14ac:dyDescent="0.25">
      <c r="A26" s="29"/>
      <c r="B26" s="4"/>
      <c r="C26" s="4"/>
      <c r="D26" s="4"/>
      <c r="E26" s="5"/>
      <c r="F26" s="28"/>
      <c r="G26" s="75"/>
      <c r="H26" s="29"/>
      <c r="I26" s="2"/>
      <c r="J26" s="2"/>
      <c r="K26" s="2"/>
      <c r="L26" s="2"/>
      <c r="M26" s="15"/>
      <c r="N26" s="29"/>
      <c r="O26" s="2"/>
    </row>
    <row r="27" spans="1:18" ht="15" customHeight="1" x14ac:dyDescent="0.3">
      <c r="A27" s="30"/>
      <c r="B27" s="4"/>
      <c r="C27" s="5"/>
      <c r="D27" s="5"/>
      <c r="E27" s="5"/>
      <c r="F27" s="7"/>
      <c r="G27" s="75"/>
      <c r="H27" s="30"/>
      <c r="I27" s="2"/>
      <c r="J27" s="2"/>
      <c r="K27" s="2"/>
      <c r="L27" s="2"/>
      <c r="M27" s="15"/>
      <c r="N27" s="30"/>
      <c r="O27" s="2"/>
    </row>
    <row r="28" spans="1:18" ht="15" customHeight="1" x14ac:dyDescent="0.3">
      <c r="A28" s="30"/>
      <c r="B28" s="4"/>
      <c r="C28" s="5"/>
      <c r="D28" s="5"/>
      <c r="E28" s="5"/>
      <c r="F28" s="5"/>
      <c r="G28" s="75"/>
      <c r="H28" s="30"/>
      <c r="I28" s="2"/>
      <c r="J28" s="2"/>
      <c r="K28" s="2"/>
      <c r="L28" s="2"/>
      <c r="M28" s="15"/>
      <c r="N28" s="30"/>
      <c r="O28" s="2"/>
    </row>
    <row r="29" spans="1:18" ht="15" customHeight="1" x14ac:dyDescent="0.25">
      <c r="A29" s="3" t="s">
        <v>2</v>
      </c>
      <c r="B29" s="4">
        <f>SUM(B25:B28)</f>
        <v>15</v>
      </c>
      <c r="C29" s="4">
        <f>SUM(C25:C28)</f>
        <v>15</v>
      </c>
      <c r="D29" s="4">
        <f>SUM(D25:D28)</f>
        <v>0</v>
      </c>
      <c r="E29" s="5">
        <f>IF(B29&gt;0,SUMPRODUCT(E25:E28,F25:F28)/SUM(F25:F28),"0.00")</f>
        <v>146.341463</v>
      </c>
      <c r="F29" s="6">
        <f>SUM(F25:F28)</f>
        <v>0.10249999999999999</v>
      </c>
      <c r="G29" s="76"/>
      <c r="H29" s="3" t="s">
        <v>2</v>
      </c>
      <c r="I29" s="4">
        <f>SUM(I25:I28)</f>
        <v>0</v>
      </c>
      <c r="J29" s="4">
        <f t="shared" ref="J29" si="1">SUM(J25:J28)</f>
        <v>0</v>
      </c>
      <c r="K29" s="5"/>
      <c r="L29" s="7">
        <f t="shared" ref="L29" si="2">SUM(L25:L28)</f>
        <v>0</v>
      </c>
      <c r="M29" s="26"/>
      <c r="N29" s="3" t="s">
        <v>2</v>
      </c>
      <c r="O29" s="4">
        <f>SUM(O25:O28)</f>
        <v>0</v>
      </c>
      <c r="P29" s="1"/>
    </row>
    <row r="31" spans="1:18" x14ac:dyDescent="0.25">
      <c r="B31" s="1"/>
      <c r="C31" s="1"/>
      <c r="D31" s="1"/>
    </row>
  </sheetData>
  <mergeCells count="17">
    <mergeCell ref="A12:O12"/>
    <mergeCell ref="Q2:X2"/>
    <mergeCell ref="A13:F13"/>
    <mergeCell ref="G13:G19"/>
    <mergeCell ref="H13:L13"/>
    <mergeCell ref="N13:O13"/>
    <mergeCell ref="Q3:Q4"/>
    <mergeCell ref="R3:R4"/>
    <mergeCell ref="S3:S4"/>
    <mergeCell ref="T3:T4"/>
    <mergeCell ref="U3:W3"/>
    <mergeCell ref="X3:X4"/>
    <mergeCell ref="A22:O22"/>
    <mergeCell ref="A23:F23"/>
    <mergeCell ref="G23:G29"/>
    <mergeCell ref="H23:L23"/>
    <mergeCell ref="N23:O23"/>
  </mergeCells>
  <hyperlinks>
    <hyperlink ref="A12:O12" location="'SEB Active 55'!A1" display="SESA5FE SS „SEB Active 55“ SE0016076046" xr:uid="{0E1D32C9-7308-42EA-988B-8EB35E2A06D3}"/>
    <hyperlink ref="A22:O22" location="'SEB Active 80'!A1" display="SESA8FE SS „SEB Active 80“ SE0016076111" xr:uid="{CDD48A66-B52B-4134-971F-E90FAB7BA5D2}"/>
  </hyperlinks>
  <pageMargins left="0.7" right="0.7" top="0.75" bottom="0.75" header="0.3" footer="0.3"/>
  <ignoredErrors>
    <ignoredError sqref="E19 E29" formula="1"/>
  </ignoredErrors>
  <drawing r:id="rId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000-000000000000}">
  <dimension ref="A2:X29"/>
  <sheetViews>
    <sheetView workbookViewId="0">
      <selection activeCell="A22" sqref="A22:O22"/>
    </sheetView>
  </sheetViews>
  <sheetFormatPr defaultRowHeight="15" x14ac:dyDescent="0.25"/>
  <cols>
    <col min="1" max="6" width="10.7109375" customWidth="1"/>
    <col min="7" max="7" width="2.7109375" customWidth="1"/>
    <col min="8" max="9" width="10.7109375" customWidth="1"/>
    <col min="10" max="10" width="10.7109375" style="1" customWidth="1"/>
    <col min="11" max="12" width="10.7109375" customWidth="1"/>
    <col min="13" max="13" width="2.7109375" customWidth="1"/>
    <col min="14" max="15" width="10.7109375" customWidth="1"/>
    <col min="16" max="16" width="5.7109375" customWidth="1"/>
    <col min="17" max="24" width="10.7109375" customWidth="1"/>
  </cols>
  <sheetData>
    <row r="2" spans="1:24" x14ac:dyDescent="0.25">
      <c r="Q2" s="64">
        <v>2025.04</v>
      </c>
      <c r="R2" s="65"/>
      <c r="S2" s="65"/>
      <c r="T2" s="65"/>
      <c r="U2" s="65"/>
      <c r="V2" s="65"/>
      <c r="W2" s="65"/>
      <c r="X2" s="66"/>
    </row>
    <row r="3" spans="1:24" x14ac:dyDescent="0.25">
      <c r="Q3" s="70" t="s">
        <v>11</v>
      </c>
      <c r="R3" s="70" t="s">
        <v>28</v>
      </c>
      <c r="S3" s="70" t="s">
        <v>24</v>
      </c>
      <c r="T3" s="70" t="s">
        <v>25</v>
      </c>
      <c r="U3" s="71" t="s">
        <v>26</v>
      </c>
      <c r="V3" s="72"/>
      <c r="W3" s="73"/>
      <c r="X3" s="56" t="s">
        <v>4</v>
      </c>
    </row>
    <row r="4" spans="1:24" x14ac:dyDescent="0.25">
      <c r="Q4" s="55"/>
      <c r="R4" s="55"/>
      <c r="S4" s="55"/>
      <c r="T4" s="55"/>
      <c r="U4" s="12" t="s">
        <v>21</v>
      </c>
      <c r="V4" s="12" t="s">
        <v>27</v>
      </c>
      <c r="W4" s="13" t="s">
        <v>22</v>
      </c>
      <c r="X4" s="56"/>
    </row>
    <row r="5" spans="1:24" x14ac:dyDescent="0.25">
      <c r="Q5" s="4">
        <f>(B19+B29+B39+B49+B59+B69+B79+B89+B99+B109)-T5</f>
        <v>30</v>
      </c>
      <c r="R5" s="4">
        <v>0</v>
      </c>
      <c r="S5" s="4">
        <f>(C19+C29+C39+C49+C59+C69+C79+C89+C99+C109)-T5</f>
        <v>30</v>
      </c>
      <c r="T5" s="4">
        <f>(I19+I29+I39+I49+I59+I69+I79+I89+I99+I109)-W5</f>
        <v>0</v>
      </c>
      <c r="U5" s="4">
        <f>D19+D29+D39+D49+D59+D69+D79+D89+D99+D109</f>
        <v>0</v>
      </c>
      <c r="V5" s="4">
        <v>0</v>
      </c>
      <c r="W5" s="4">
        <f>J19+J29+J39+J49+J59+J69+J79+J89+J99+J109</f>
        <v>0</v>
      </c>
      <c r="X5" s="4">
        <f>O19+O29+O39+O49+O59+O69+O79+O89+O99+O109</f>
        <v>0</v>
      </c>
    </row>
    <row r="11" spans="1:24" ht="15" customHeight="1" x14ac:dyDescent="0.25">
      <c r="J11"/>
    </row>
    <row r="12" spans="1:24" ht="15" customHeight="1" x14ac:dyDescent="0.25">
      <c r="A12" s="80" t="s">
        <v>39</v>
      </c>
      <c r="B12" s="81"/>
      <c r="C12" s="81"/>
      <c r="D12" s="81"/>
      <c r="E12" s="81"/>
      <c r="F12" s="81"/>
      <c r="G12" s="81"/>
      <c r="H12" s="81"/>
      <c r="I12" s="81"/>
      <c r="J12" s="81"/>
      <c r="K12" s="81"/>
      <c r="L12" s="81"/>
      <c r="M12" s="81"/>
      <c r="N12" s="81"/>
      <c r="O12" s="82"/>
    </row>
    <row r="13" spans="1:24" ht="15" customHeight="1" x14ac:dyDescent="0.25">
      <c r="A13" s="57" t="s">
        <v>21</v>
      </c>
      <c r="B13" s="58"/>
      <c r="C13" s="58"/>
      <c r="D13" s="58"/>
      <c r="E13" s="58"/>
      <c r="F13" s="59"/>
      <c r="G13" s="74"/>
      <c r="H13" s="77" t="s">
        <v>22</v>
      </c>
      <c r="I13" s="78"/>
      <c r="J13" s="78"/>
      <c r="K13" s="78"/>
      <c r="L13" s="79"/>
      <c r="M13" s="20"/>
      <c r="N13" s="57" t="s">
        <v>4</v>
      </c>
      <c r="O13" s="59"/>
      <c r="P13" s="21"/>
    </row>
    <row r="14" spans="1:24" ht="15" customHeight="1" x14ac:dyDescent="0.25">
      <c r="A14" s="22" t="s">
        <v>29</v>
      </c>
      <c r="B14" s="3" t="s">
        <v>3</v>
      </c>
      <c r="C14" s="3" t="s">
        <v>31</v>
      </c>
      <c r="D14" s="3" t="s">
        <v>10</v>
      </c>
      <c r="E14" s="3" t="s">
        <v>0</v>
      </c>
      <c r="F14" s="3" t="s">
        <v>1</v>
      </c>
      <c r="G14" s="75"/>
      <c r="H14" s="22" t="s">
        <v>29</v>
      </c>
      <c r="I14" s="3" t="s">
        <v>23</v>
      </c>
      <c r="J14" s="3" t="s">
        <v>10</v>
      </c>
      <c r="K14" s="3" t="s">
        <v>0</v>
      </c>
      <c r="L14" s="3" t="s">
        <v>1</v>
      </c>
      <c r="M14" s="23"/>
      <c r="N14" s="19" t="s">
        <v>29</v>
      </c>
      <c r="O14" s="3" t="s">
        <v>23</v>
      </c>
      <c r="P14" s="21"/>
    </row>
    <row r="15" spans="1:24" ht="15" customHeight="1" x14ac:dyDescent="0.25">
      <c r="A15" s="29">
        <v>45776</v>
      </c>
      <c r="B15" s="24">
        <v>15</v>
      </c>
      <c r="C15" s="4">
        <v>15</v>
      </c>
      <c r="D15" s="4">
        <f>B15-C15</f>
        <v>0</v>
      </c>
      <c r="E15" s="37">
        <v>125.838926</v>
      </c>
      <c r="F15" s="6">
        <f>B15/E15</f>
        <v>0.1192</v>
      </c>
      <c r="G15" s="75"/>
      <c r="H15" s="29"/>
      <c r="I15" s="5"/>
      <c r="J15" s="4"/>
      <c r="K15" s="4"/>
      <c r="L15" s="5"/>
      <c r="M15" s="25"/>
      <c r="N15" s="29"/>
      <c r="O15" s="4"/>
      <c r="P15" s="1"/>
    </row>
    <row r="16" spans="1:24" ht="15" customHeight="1" x14ac:dyDescent="0.25">
      <c r="A16" s="29"/>
      <c r="B16" s="4"/>
      <c r="C16" s="4"/>
      <c r="D16" s="4"/>
      <c r="E16" s="5"/>
      <c r="F16" s="7"/>
      <c r="G16" s="75"/>
      <c r="H16" s="29"/>
      <c r="I16" s="2"/>
      <c r="J16" s="2"/>
      <c r="K16" s="2"/>
      <c r="L16" s="2"/>
      <c r="M16" s="15"/>
      <c r="N16" s="29"/>
      <c r="O16" s="2"/>
    </row>
    <row r="17" spans="1:18" ht="15" customHeight="1" x14ac:dyDescent="0.3">
      <c r="A17" s="30"/>
      <c r="B17" s="4"/>
      <c r="C17" s="5"/>
      <c r="D17" s="5"/>
      <c r="E17" s="5"/>
      <c r="F17" s="7"/>
      <c r="G17" s="75"/>
      <c r="H17" s="30"/>
      <c r="I17" s="2"/>
      <c r="J17" s="2"/>
      <c r="K17" s="2"/>
      <c r="L17" s="2"/>
      <c r="M17" s="15"/>
      <c r="N17" s="30"/>
      <c r="O17" s="2"/>
    </row>
    <row r="18" spans="1:18" ht="15" customHeight="1" x14ac:dyDescent="0.3">
      <c r="A18" s="30"/>
      <c r="B18" s="4"/>
      <c r="C18" s="5"/>
      <c r="D18" s="5"/>
      <c r="E18" s="5"/>
      <c r="F18" s="7"/>
      <c r="G18" s="75"/>
      <c r="H18" s="30"/>
      <c r="I18" s="2"/>
      <c r="J18" s="2"/>
      <c r="K18" s="2"/>
      <c r="L18" s="2"/>
      <c r="M18" s="15"/>
      <c r="N18" s="30"/>
      <c r="O18" s="2"/>
    </row>
    <row r="19" spans="1:18" ht="15" customHeight="1" x14ac:dyDescent="0.25">
      <c r="A19" s="3" t="s">
        <v>2</v>
      </c>
      <c r="B19" s="4">
        <f>SUM(B15:B18)</f>
        <v>15</v>
      </c>
      <c r="C19" s="4">
        <f>SUM(C15:C18)</f>
        <v>15</v>
      </c>
      <c r="D19" s="4">
        <f>SUM(D15:D18)</f>
        <v>0</v>
      </c>
      <c r="E19" s="5">
        <f>IF(B19&gt;0,SUMPRODUCT(E15:E18,F15:F18)/SUM(F15:F18),"0.00")</f>
        <v>125.838926</v>
      </c>
      <c r="F19" s="6">
        <f>SUM(F15:F18)</f>
        <v>0.1192</v>
      </c>
      <c r="G19" s="76"/>
      <c r="H19" s="3" t="s">
        <v>2</v>
      </c>
      <c r="I19" s="4">
        <f>SUM(I15:I18)</f>
        <v>0</v>
      </c>
      <c r="J19" s="4">
        <f t="shared" ref="J19:L19" si="0">SUM(J15:J18)</f>
        <v>0</v>
      </c>
      <c r="K19" s="5"/>
      <c r="L19" s="7">
        <f t="shared" si="0"/>
        <v>0</v>
      </c>
      <c r="M19" s="26"/>
      <c r="N19" s="3" t="s">
        <v>2</v>
      </c>
      <c r="O19" s="4">
        <f>SUM(O15:O18)</f>
        <v>0</v>
      </c>
      <c r="P19" s="1"/>
    </row>
    <row r="20" spans="1:18" ht="15" customHeight="1" x14ac:dyDescent="0.25">
      <c r="B20" s="27"/>
      <c r="E20" s="1"/>
      <c r="F20" s="11"/>
      <c r="J20"/>
    </row>
    <row r="21" spans="1:18" ht="15" customHeight="1" x14ac:dyDescent="0.25">
      <c r="B21" s="1"/>
      <c r="E21" s="1"/>
      <c r="F21" s="1"/>
      <c r="J21"/>
    </row>
    <row r="22" spans="1:18" ht="15" customHeight="1" x14ac:dyDescent="0.25">
      <c r="A22" s="80" t="s">
        <v>38</v>
      </c>
      <c r="B22" s="81"/>
      <c r="C22" s="81"/>
      <c r="D22" s="81"/>
      <c r="E22" s="81"/>
      <c r="F22" s="81"/>
      <c r="G22" s="81"/>
      <c r="H22" s="81"/>
      <c r="I22" s="81"/>
      <c r="J22" s="81"/>
      <c r="K22" s="81"/>
      <c r="L22" s="81"/>
      <c r="M22" s="81"/>
      <c r="N22" s="81"/>
      <c r="O22" s="82"/>
    </row>
    <row r="23" spans="1:18" ht="15" customHeight="1" x14ac:dyDescent="0.25">
      <c r="A23" s="57" t="s">
        <v>21</v>
      </c>
      <c r="B23" s="58"/>
      <c r="C23" s="58"/>
      <c r="D23" s="58"/>
      <c r="E23" s="58"/>
      <c r="F23" s="59"/>
      <c r="G23" s="74"/>
      <c r="H23" s="77" t="s">
        <v>22</v>
      </c>
      <c r="I23" s="78"/>
      <c r="J23" s="78"/>
      <c r="K23" s="78"/>
      <c r="L23" s="79"/>
      <c r="M23" s="20"/>
      <c r="N23" s="57" t="s">
        <v>4</v>
      </c>
      <c r="O23" s="59"/>
      <c r="P23" s="21"/>
    </row>
    <row r="24" spans="1:18" ht="15" customHeight="1" x14ac:dyDescent="0.25">
      <c r="A24" s="22" t="s">
        <v>29</v>
      </c>
      <c r="B24" s="3" t="s">
        <v>3</v>
      </c>
      <c r="C24" s="3" t="s">
        <v>31</v>
      </c>
      <c r="D24" s="3" t="s">
        <v>10</v>
      </c>
      <c r="E24" s="3" t="s">
        <v>0</v>
      </c>
      <c r="F24" s="3" t="s">
        <v>1</v>
      </c>
      <c r="G24" s="75"/>
      <c r="H24" s="22" t="s">
        <v>29</v>
      </c>
      <c r="I24" s="3" t="s">
        <v>23</v>
      </c>
      <c r="J24" s="3" t="s">
        <v>10</v>
      </c>
      <c r="K24" s="3" t="s">
        <v>0</v>
      </c>
      <c r="L24" s="3" t="s">
        <v>1</v>
      </c>
      <c r="M24" s="23"/>
      <c r="N24" s="19" t="s">
        <v>29</v>
      </c>
      <c r="O24" s="3" t="s">
        <v>23</v>
      </c>
      <c r="P24" s="21"/>
    </row>
    <row r="25" spans="1:18" ht="15" customHeight="1" x14ac:dyDescent="0.25">
      <c r="A25" s="29">
        <v>45775</v>
      </c>
      <c r="B25" s="24">
        <v>15</v>
      </c>
      <c r="C25" s="4">
        <v>15</v>
      </c>
      <c r="D25" s="4">
        <f>B25-C25</f>
        <v>0</v>
      </c>
      <c r="E25" s="5">
        <v>137.26696200000001</v>
      </c>
      <c r="F25" s="32">
        <f>C25/E25</f>
        <v>0.10929999999999999</v>
      </c>
      <c r="G25" s="75"/>
      <c r="H25" s="29"/>
      <c r="I25" s="5"/>
      <c r="J25" s="4"/>
      <c r="K25" s="4"/>
      <c r="L25" s="5"/>
      <c r="M25" s="25"/>
      <c r="N25" s="29"/>
      <c r="O25" s="4"/>
      <c r="P25" s="1"/>
      <c r="R25" s="1"/>
    </row>
    <row r="26" spans="1:18" ht="15" customHeight="1" x14ac:dyDescent="0.25">
      <c r="A26" s="29"/>
      <c r="B26" s="4"/>
      <c r="C26" s="4"/>
      <c r="D26" s="4"/>
      <c r="E26" s="5"/>
      <c r="F26" s="28"/>
      <c r="G26" s="75"/>
      <c r="H26" s="29"/>
      <c r="I26" s="2"/>
      <c r="J26" s="2"/>
      <c r="K26" s="2"/>
      <c r="L26" s="2"/>
      <c r="M26" s="15"/>
      <c r="N26" s="29"/>
      <c r="O26" s="2"/>
    </row>
    <row r="27" spans="1:18" ht="15" customHeight="1" x14ac:dyDescent="0.3">
      <c r="A27" s="30"/>
      <c r="B27" s="4"/>
      <c r="C27" s="5"/>
      <c r="D27" s="5"/>
      <c r="E27" s="5"/>
      <c r="F27" s="7"/>
      <c r="G27" s="75"/>
      <c r="H27" s="30"/>
      <c r="I27" s="2"/>
      <c r="J27" s="2"/>
      <c r="K27" s="2"/>
      <c r="L27" s="2"/>
      <c r="M27" s="15"/>
      <c r="N27" s="30"/>
      <c r="O27" s="2"/>
    </row>
    <row r="28" spans="1:18" ht="15" customHeight="1" x14ac:dyDescent="0.3">
      <c r="A28" s="30"/>
      <c r="B28" s="4"/>
      <c r="C28" s="5"/>
      <c r="D28" s="5"/>
      <c r="E28" s="5"/>
      <c r="F28" s="5"/>
      <c r="G28" s="75"/>
      <c r="H28" s="30"/>
      <c r="I28" s="2"/>
      <c r="J28" s="2"/>
      <c r="K28" s="2"/>
      <c r="L28" s="2"/>
      <c r="M28" s="15"/>
      <c r="N28" s="30"/>
      <c r="O28" s="2"/>
    </row>
    <row r="29" spans="1:18" ht="15" customHeight="1" x14ac:dyDescent="0.25">
      <c r="A29" s="3" t="s">
        <v>2</v>
      </c>
      <c r="B29" s="4">
        <f>SUM(B25:B28)</f>
        <v>15</v>
      </c>
      <c r="C29" s="4">
        <f>SUM(C25:C28)</f>
        <v>15</v>
      </c>
      <c r="D29" s="4">
        <f>SUM(D25:D28)</f>
        <v>0</v>
      </c>
      <c r="E29" s="5">
        <f>IF(B29&gt;0,SUMPRODUCT(E25:E28,F25:F28)/SUM(F25:F28),"0.00")</f>
        <v>137.26696200000001</v>
      </c>
      <c r="F29" s="6">
        <f>SUM(F25:F28)</f>
        <v>0.10929999999999999</v>
      </c>
      <c r="G29" s="76"/>
      <c r="H29" s="3" t="s">
        <v>2</v>
      </c>
      <c r="I29" s="4">
        <f>SUM(I25:I28)</f>
        <v>0</v>
      </c>
      <c r="J29" s="4">
        <f t="shared" ref="J29" si="1">SUM(J25:J28)</f>
        <v>0</v>
      </c>
      <c r="K29" s="5"/>
      <c r="L29" s="7">
        <f t="shared" ref="L29" si="2">SUM(L25:L28)</f>
        <v>0</v>
      </c>
      <c r="M29" s="26"/>
      <c r="N29" s="3" t="s">
        <v>2</v>
      </c>
      <c r="O29" s="4">
        <f>SUM(O25:O28)</f>
        <v>0</v>
      </c>
      <c r="P29" s="1"/>
    </row>
  </sheetData>
  <mergeCells count="17">
    <mergeCell ref="A12:O12"/>
    <mergeCell ref="Q2:X2"/>
    <mergeCell ref="A13:F13"/>
    <mergeCell ref="G13:G19"/>
    <mergeCell ref="H13:L13"/>
    <mergeCell ref="N13:O13"/>
    <mergeCell ref="Q3:Q4"/>
    <mergeCell ref="R3:R4"/>
    <mergeCell ref="S3:S4"/>
    <mergeCell ref="T3:T4"/>
    <mergeCell ref="U3:W3"/>
    <mergeCell ref="X3:X4"/>
    <mergeCell ref="A22:O22"/>
    <mergeCell ref="A23:F23"/>
    <mergeCell ref="G23:G29"/>
    <mergeCell ref="H23:L23"/>
    <mergeCell ref="N23:O23"/>
  </mergeCells>
  <hyperlinks>
    <hyperlink ref="A12:O12" location="'SEB Active 55'!A1" display="SESA5FE SS „SEB Active 55“ SE0016076046" xr:uid="{25F3F6FE-889E-4423-8A24-262167C133DF}"/>
    <hyperlink ref="A22:O22" location="'SEB Active 80'!A1" display="SESA8FE SS „SEB Active 80“ SE0016076111" xr:uid="{46100B0B-43ED-4EA4-9CF2-20542B75E819}"/>
  </hyperlinks>
  <pageMargins left="0.7" right="0.7" top="0.75" bottom="0.75" header="0.3" footer="0.3"/>
  <ignoredErrors>
    <ignoredError sqref="E19 E29" formula="1"/>
  </ignoredErrors>
  <drawing r:id="rId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100-000000000000}">
  <dimension ref="A2:X31"/>
  <sheetViews>
    <sheetView workbookViewId="0">
      <selection activeCell="A22" sqref="A22:O22"/>
    </sheetView>
  </sheetViews>
  <sheetFormatPr defaultRowHeight="15" customHeight="1" x14ac:dyDescent="0.25"/>
  <cols>
    <col min="1" max="6" width="10.7109375" customWidth="1"/>
    <col min="7" max="7" width="2.7109375" customWidth="1"/>
    <col min="8" max="9" width="10.7109375" customWidth="1"/>
    <col min="10" max="10" width="10.7109375" style="1" customWidth="1"/>
    <col min="11" max="12" width="10.7109375" customWidth="1"/>
    <col min="13" max="13" width="2.7109375" customWidth="1"/>
    <col min="14" max="15" width="10.7109375" customWidth="1"/>
    <col min="16" max="16" width="5.7109375" customWidth="1"/>
    <col min="17" max="24" width="10.7109375" customWidth="1"/>
  </cols>
  <sheetData>
    <row r="2" spans="1:24" ht="15" customHeight="1" x14ac:dyDescent="0.25">
      <c r="Q2" s="64">
        <v>2025.03</v>
      </c>
      <c r="R2" s="65"/>
      <c r="S2" s="65"/>
      <c r="T2" s="65"/>
      <c r="U2" s="65"/>
      <c r="V2" s="65"/>
      <c r="W2" s="65"/>
      <c r="X2" s="66"/>
    </row>
    <row r="3" spans="1:24" ht="15" customHeight="1" x14ac:dyDescent="0.25">
      <c r="Q3" s="70" t="s">
        <v>11</v>
      </c>
      <c r="R3" s="70" t="s">
        <v>28</v>
      </c>
      <c r="S3" s="70" t="s">
        <v>24</v>
      </c>
      <c r="T3" s="70" t="s">
        <v>25</v>
      </c>
      <c r="U3" s="71" t="s">
        <v>26</v>
      </c>
      <c r="V3" s="72"/>
      <c r="W3" s="73"/>
      <c r="X3" s="56" t="s">
        <v>4</v>
      </c>
    </row>
    <row r="4" spans="1:24" ht="15" customHeight="1" x14ac:dyDescent="0.25">
      <c r="Q4" s="55"/>
      <c r="R4" s="55"/>
      <c r="S4" s="55"/>
      <c r="T4" s="55"/>
      <c r="U4" s="12" t="s">
        <v>21</v>
      </c>
      <c r="V4" s="12" t="s">
        <v>27</v>
      </c>
      <c r="W4" s="13" t="s">
        <v>22</v>
      </c>
      <c r="X4" s="56"/>
    </row>
    <row r="5" spans="1:24" ht="15" customHeight="1" x14ac:dyDescent="0.25">
      <c r="Q5" s="4">
        <f>(B19+B29+B39+B49+B59+B69+B79+B89+B99+B109)-T5</f>
        <v>60</v>
      </c>
      <c r="R5" s="4">
        <v>0</v>
      </c>
      <c r="S5" s="4">
        <f>(C19+C29+C39+C49+C59+C69+C79+C89+C99+C109)-T5</f>
        <v>60</v>
      </c>
      <c r="T5" s="4">
        <f>(I19+I29+I39+I49+I59+I69+I79+I89+I99+I109)-W5</f>
        <v>0</v>
      </c>
      <c r="U5" s="4">
        <f>D19+D29+D39+D49+D59+D69+D79+D89+D99+D109</f>
        <v>0</v>
      </c>
      <c r="V5" s="4">
        <v>0</v>
      </c>
      <c r="W5" s="4">
        <f>J19+J29+J39+J49+J59+J69+J79+J89+J99+J109</f>
        <v>0</v>
      </c>
      <c r="X5" s="4">
        <f>O19+O29+O39+O49+O59+O69+O79+O89+O99+O109</f>
        <v>0</v>
      </c>
    </row>
    <row r="11" spans="1:24" ht="15" customHeight="1" x14ac:dyDescent="0.25">
      <c r="J11"/>
    </row>
    <row r="12" spans="1:24" ht="15" customHeight="1" x14ac:dyDescent="0.25">
      <c r="A12" s="80" t="s">
        <v>39</v>
      </c>
      <c r="B12" s="81"/>
      <c r="C12" s="81"/>
      <c r="D12" s="81"/>
      <c r="E12" s="81"/>
      <c r="F12" s="81"/>
      <c r="G12" s="81"/>
      <c r="H12" s="81"/>
      <c r="I12" s="81"/>
      <c r="J12" s="81"/>
      <c r="K12" s="81"/>
      <c r="L12" s="81"/>
      <c r="M12" s="81"/>
      <c r="N12" s="81"/>
      <c r="O12" s="82"/>
    </row>
    <row r="13" spans="1:24" ht="15" customHeight="1" x14ac:dyDescent="0.25">
      <c r="A13" s="57" t="s">
        <v>21</v>
      </c>
      <c r="B13" s="58"/>
      <c r="C13" s="58"/>
      <c r="D13" s="58"/>
      <c r="E13" s="58"/>
      <c r="F13" s="59"/>
      <c r="G13" s="74"/>
      <c r="H13" s="77" t="s">
        <v>22</v>
      </c>
      <c r="I13" s="78"/>
      <c r="J13" s="78"/>
      <c r="K13" s="78"/>
      <c r="L13" s="79"/>
      <c r="M13" s="20"/>
      <c r="N13" s="57" t="s">
        <v>4</v>
      </c>
      <c r="O13" s="59"/>
      <c r="P13" s="21"/>
    </row>
    <row r="14" spans="1:24" ht="15" customHeight="1" x14ac:dyDescent="0.25">
      <c r="A14" s="22" t="s">
        <v>29</v>
      </c>
      <c r="B14" s="3" t="s">
        <v>3</v>
      </c>
      <c r="C14" s="3" t="s">
        <v>31</v>
      </c>
      <c r="D14" s="3" t="s">
        <v>10</v>
      </c>
      <c r="E14" s="3" t="s">
        <v>0</v>
      </c>
      <c r="F14" s="3" t="s">
        <v>1</v>
      </c>
      <c r="G14" s="75"/>
      <c r="H14" s="22" t="s">
        <v>29</v>
      </c>
      <c r="I14" s="3" t="s">
        <v>23</v>
      </c>
      <c r="J14" s="3" t="s">
        <v>10</v>
      </c>
      <c r="K14" s="3" t="s">
        <v>0</v>
      </c>
      <c r="L14" s="3" t="s">
        <v>1</v>
      </c>
      <c r="M14" s="23"/>
      <c r="N14" s="19" t="s">
        <v>29</v>
      </c>
      <c r="O14" s="3" t="s">
        <v>23</v>
      </c>
      <c r="P14" s="21"/>
    </row>
    <row r="15" spans="1:24" ht="15" customHeight="1" x14ac:dyDescent="0.25">
      <c r="A15" s="29">
        <v>45743</v>
      </c>
      <c r="B15" s="24">
        <v>15</v>
      </c>
      <c r="C15" s="4">
        <v>15</v>
      </c>
      <c r="D15" s="4">
        <f>B15-C15</f>
        <v>0</v>
      </c>
      <c r="E15" s="37">
        <v>131.810193</v>
      </c>
      <c r="F15" s="6">
        <f>B15/E15</f>
        <v>0.1138</v>
      </c>
      <c r="G15" s="75"/>
      <c r="H15" s="29"/>
      <c r="I15" s="5"/>
      <c r="J15" s="4"/>
      <c r="K15" s="4"/>
      <c r="L15" s="5"/>
      <c r="M15" s="25"/>
      <c r="N15" s="29"/>
      <c r="O15" s="4"/>
      <c r="P15" s="1"/>
    </row>
    <row r="16" spans="1:24" ht="15" customHeight="1" x14ac:dyDescent="0.25">
      <c r="A16" s="29">
        <v>45743</v>
      </c>
      <c r="B16" s="4">
        <v>15</v>
      </c>
      <c r="C16" s="4">
        <v>15</v>
      </c>
      <c r="D16" s="4">
        <f>B16-C16</f>
        <v>0</v>
      </c>
      <c r="E16" s="37">
        <v>131.810193</v>
      </c>
      <c r="F16" s="6">
        <f>B16/E16</f>
        <v>0.1138</v>
      </c>
      <c r="G16" s="75"/>
      <c r="H16" s="29"/>
      <c r="I16" s="2"/>
      <c r="J16" s="2"/>
      <c r="K16" s="2"/>
      <c r="L16" s="2"/>
      <c r="M16" s="15"/>
      <c r="N16" s="29"/>
      <c r="O16" s="2"/>
    </row>
    <row r="17" spans="1:18" ht="15" customHeight="1" x14ac:dyDescent="0.3">
      <c r="A17" s="30"/>
      <c r="B17" s="4"/>
      <c r="C17" s="5"/>
      <c r="D17" s="5"/>
      <c r="E17" s="5"/>
      <c r="F17" s="7"/>
      <c r="G17" s="75"/>
      <c r="H17" s="30"/>
      <c r="I17" s="2"/>
      <c r="J17" s="2"/>
      <c r="K17" s="2"/>
      <c r="L17" s="2"/>
      <c r="M17" s="15"/>
      <c r="N17" s="30"/>
      <c r="O17" s="2"/>
    </row>
    <row r="18" spans="1:18" ht="15" customHeight="1" x14ac:dyDescent="0.3">
      <c r="A18" s="30"/>
      <c r="B18" s="4"/>
      <c r="C18" s="5"/>
      <c r="D18" s="5"/>
      <c r="E18" s="5"/>
      <c r="F18" s="7"/>
      <c r="G18" s="75"/>
      <c r="H18" s="30"/>
      <c r="I18" s="2"/>
      <c r="J18" s="2"/>
      <c r="K18" s="2"/>
      <c r="L18" s="2"/>
      <c r="M18" s="15"/>
      <c r="N18" s="30"/>
      <c r="O18" s="2"/>
    </row>
    <row r="19" spans="1:18" ht="15" customHeight="1" x14ac:dyDescent="0.25">
      <c r="A19" s="3" t="s">
        <v>2</v>
      </c>
      <c r="B19" s="4">
        <f>SUM(B15:B18)</f>
        <v>30</v>
      </c>
      <c r="C19" s="4">
        <f>SUM(C15:C18)</f>
        <v>30</v>
      </c>
      <c r="D19" s="4">
        <f>SUM(D15:D18)</f>
        <v>0</v>
      </c>
      <c r="E19" s="5">
        <f>IF(B19&gt;0,SUMPRODUCT(E15:E18,F15:F18)/SUM(F15:F18),"0.00")</f>
        <v>131.810193</v>
      </c>
      <c r="F19" s="6">
        <f>SUM(F15:F18)</f>
        <v>0.2276</v>
      </c>
      <c r="G19" s="76"/>
      <c r="H19" s="3" t="s">
        <v>2</v>
      </c>
      <c r="I19" s="4">
        <f>SUM(I15:I18)</f>
        <v>0</v>
      </c>
      <c r="J19" s="4">
        <f t="shared" ref="J19:L19" si="0">SUM(J15:J18)</f>
        <v>0</v>
      </c>
      <c r="K19" s="5"/>
      <c r="L19" s="7">
        <f t="shared" si="0"/>
        <v>0</v>
      </c>
      <c r="M19" s="26"/>
      <c r="N19" s="3" t="s">
        <v>2</v>
      </c>
      <c r="O19" s="4">
        <f>SUM(O15:O18)</f>
        <v>0</v>
      </c>
      <c r="P19" s="1"/>
    </row>
    <row r="20" spans="1:18" ht="15" customHeight="1" x14ac:dyDescent="0.25">
      <c r="B20" s="27"/>
      <c r="E20" s="1"/>
      <c r="F20" s="11"/>
      <c r="J20"/>
    </row>
    <row r="21" spans="1:18" ht="15" customHeight="1" x14ac:dyDescent="0.25">
      <c r="B21" s="1"/>
      <c r="E21" s="1"/>
      <c r="F21" s="1"/>
      <c r="J21"/>
    </row>
    <row r="22" spans="1:18" ht="15" customHeight="1" x14ac:dyDescent="0.25">
      <c r="A22" s="80" t="s">
        <v>38</v>
      </c>
      <c r="B22" s="81"/>
      <c r="C22" s="81"/>
      <c r="D22" s="81"/>
      <c r="E22" s="81"/>
      <c r="F22" s="81"/>
      <c r="G22" s="81"/>
      <c r="H22" s="81"/>
      <c r="I22" s="81"/>
      <c r="J22" s="81"/>
      <c r="K22" s="81"/>
      <c r="L22" s="81"/>
      <c r="M22" s="81"/>
      <c r="N22" s="81"/>
      <c r="O22" s="82"/>
    </row>
    <row r="23" spans="1:18" ht="15" customHeight="1" x14ac:dyDescent="0.25">
      <c r="A23" s="57" t="s">
        <v>21</v>
      </c>
      <c r="B23" s="58"/>
      <c r="C23" s="58"/>
      <c r="D23" s="58"/>
      <c r="E23" s="58"/>
      <c r="F23" s="59"/>
      <c r="G23" s="74"/>
      <c r="H23" s="77" t="s">
        <v>22</v>
      </c>
      <c r="I23" s="78"/>
      <c r="J23" s="78"/>
      <c r="K23" s="78"/>
      <c r="L23" s="79"/>
      <c r="M23" s="20"/>
      <c r="N23" s="57" t="s">
        <v>4</v>
      </c>
      <c r="O23" s="59"/>
      <c r="P23" s="21"/>
    </row>
    <row r="24" spans="1:18" ht="15" customHeight="1" x14ac:dyDescent="0.25">
      <c r="A24" s="22" t="s">
        <v>29</v>
      </c>
      <c r="B24" s="3" t="s">
        <v>3</v>
      </c>
      <c r="C24" s="3" t="s">
        <v>31</v>
      </c>
      <c r="D24" s="3" t="s">
        <v>10</v>
      </c>
      <c r="E24" s="3" t="s">
        <v>0</v>
      </c>
      <c r="F24" s="3" t="s">
        <v>1</v>
      </c>
      <c r="G24" s="75"/>
      <c r="H24" s="22" t="s">
        <v>29</v>
      </c>
      <c r="I24" s="3" t="s">
        <v>23</v>
      </c>
      <c r="J24" s="3" t="s">
        <v>10</v>
      </c>
      <c r="K24" s="3" t="s">
        <v>0</v>
      </c>
      <c r="L24" s="3" t="s">
        <v>1</v>
      </c>
      <c r="M24" s="23"/>
      <c r="N24" s="19" t="s">
        <v>29</v>
      </c>
      <c r="O24" s="3" t="s">
        <v>23</v>
      </c>
      <c r="P24" s="21"/>
    </row>
    <row r="25" spans="1:18" ht="15" customHeight="1" x14ac:dyDescent="0.25">
      <c r="A25" s="29">
        <v>45743</v>
      </c>
      <c r="B25" s="24">
        <v>15</v>
      </c>
      <c r="C25" s="4">
        <v>15</v>
      </c>
      <c r="D25" s="4">
        <f>B25-C25</f>
        <v>0</v>
      </c>
      <c r="E25" s="5">
        <v>148.367953</v>
      </c>
      <c r="F25" s="32">
        <f>C25/E25</f>
        <v>0.1011</v>
      </c>
      <c r="G25" s="75"/>
      <c r="H25" s="29"/>
      <c r="I25" s="5"/>
      <c r="J25" s="4"/>
      <c r="K25" s="4"/>
      <c r="L25" s="5"/>
      <c r="M25" s="25"/>
      <c r="N25" s="29"/>
      <c r="O25" s="4"/>
      <c r="P25" s="1"/>
      <c r="R25" s="1"/>
    </row>
    <row r="26" spans="1:18" ht="15" customHeight="1" x14ac:dyDescent="0.25">
      <c r="A26" s="29">
        <v>45743</v>
      </c>
      <c r="B26" s="4">
        <v>15</v>
      </c>
      <c r="C26" s="4">
        <v>15</v>
      </c>
      <c r="D26" s="4">
        <f>B26-C26</f>
        <v>0</v>
      </c>
      <c r="E26" s="5">
        <v>148.367953</v>
      </c>
      <c r="F26" s="32">
        <f>C26/E26</f>
        <v>0.1011</v>
      </c>
      <c r="G26" s="75"/>
      <c r="H26" s="29"/>
      <c r="I26" s="2"/>
      <c r="J26" s="2"/>
      <c r="K26" s="2"/>
      <c r="L26" s="2"/>
      <c r="M26" s="15"/>
      <c r="N26" s="29"/>
      <c r="O26" s="2"/>
    </row>
    <row r="27" spans="1:18" ht="15" customHeight="1" x14ac:dyDescent="0.3">
      <c r="A27" s="30"/>
      <c r="B27" s="4"/>
      <c r="C27" s="5"/>
      <c r="D27" s="5"/>
      <c r="E27" s="5"/>
      <c r="F27" s="7"/>
      <c r="G27" s="75"/>
      <c r="H27" s="30"/>
      <c r="I27" s="2"/>
      <c r="J27" s="2"/>
      <c r="K27" s="2"/>
      <c r="L27" s="2"/>
      <c r="M27" s="15"/>
      <c r="N27" s="30"/>
      <c r="O27" s="2"/>
    </row>
    <row r="28" spans="1:18" ht="15" customHeight="1" x14ac:dyDescent="0.3">
      <c r="A28" s="30"/>
      <c r="B28" s="4"/>
      <c r="C28" s="5"/>
      <c r="D28" s="5"/>
      <c r="E28" s="5"/>
      <c r="F28" s="5"/>
      <c r="G28" s="75"/>
      <c r="H28" s="30"/>
      <c r="I28" s="2"/>
      <c r="J28" s="2"/>
      <c r="K28" s="2"/>
      <c r="L28" s="2"/>
      <c r="M28" s="15"/>
      <c r="N28" s="30"/>
      <c r="O28" s="2"/>
    </row>
    <row r="29" spans="1:18" ht="15" customHeight="1" x14ac:dyDescent="0.25">
      <c r="A29" s="3" t="s">
        <v>2</v>
      </c>
      <c r="B29" s="4">
        <f>SUM(B25:B28)</f>
        <v>30</v>
      </c>
      <c r="C29" s="4">
        <f>SUM(C25:C28)</f>
        <v>30</v>
      </c>
      <c r="D29" s="4">
        <f>SUM(D25:D28)</f>
        <v>0</v>
      </c>
      <c r="E29" s="5">
        <f>IF(B29&gt;0,SUMPRODUCT(E25:E28,F25:F28)/SUM(F25:F28),"0.00")</f>
        <v>148.367953</v>
      </c>
      <c r="F29" s="6">
        <f>SUM(F25:F28)</f>
        <v>0.20219999999999999</v>
      </c>
      <c r="G29" s="76"/>
      <c r="H29" s="3" t="s">
        <v>2</v>
      </c>
      <c r="I29" s="4">
        <f>SUM(I25:I28)</f>
        <v>0</v>
      </c>
      <c r="J29" s="4">
        <f t="shared" ref="J29" si="1">SUM(J25:J28)</f>
        <v>0</v>
      </c>
      <c r="K29" s="5"/>
      <c r="L29" s="7">
        <f t="shared" ref="L29" si="2">SUM(L25:L28)</f>
        <v>0</v>
      </c>
      <c r="M29" s="26"/>
      <c r="N29" s="3" t="s">
        <v>2</v>
      </c>
      <c r="O29" s="4">
        <f>SUM(O25:O28)</f>
        <v>0</v>
      </c>
      <c r="P29" s="1"/>
    </row>
    <row r="30" spans="1:18" ht="15" customHeight="1" x14ac:dyDescent="0.25">
      <c r="J30"/>
    </row>
    <row r="31" spans="1:18" ht="15" customHeight="1" x14ac:dyDescent="0.25">
      <c r="D31" s="10"/>
    </row>
  </sheetData>
  <mergeCells count="17">
    <mergeCell ref="T3:T4"/>
    <mergeCell ref="Q2:X2"/>
    <mergeCell ref="U3:W3"/>
    <mergeCell ref="X3:X4"/>
    <mergeCell ref="A22:O22"/>
    <mergeCell ref="Q3:Q4"/>
    <mergeCell ref="R3:R4"/>
    <mergeCell ref="S3:S4"/>
    <mergeCell ref="A23:F23"/>
    <mergeCell ref="G23:G29"/>
    <mergeCell ref="H23:L23"/>
    <mergeCell ref="N23:O23"/>
    <mergeCell ref="A12:O12"/>
    <mergeCell ref="A13:F13"/>
    <mergeCell ref="G13:G19"/>
    <mergeCell ref="H13:L13"/>
    <mergeCell ref="N13:O13"/>
  </mergeCells>
  <hyperlinks>
    <hyperlink ref="A12:O12" location="'SEB Active 55'!A1" display="SESA5FE SS „SEB Active 55“ SE0016076046" xr:uid="{4A902663-8BE7-4F38-9328-1AD2B2928002}"/>
    <hyperlink ref="A22:O22" location="'SEB Active 80'!A1" display="SESA8FE SS „SEB Active 80“ SE0016076111" xr:uid="{523D212C-14B4-4B94-8940-FF6266DAEA21}"/>
  </hyperlinks>
  <pageMargins left="0.7" right="0.7" top="0.75" bottom="0.75" header="0.3" footer="0.3"/>
  <pageSetup orientation="portrait" r:id="rId1"/>
  <ignoredErrors>
    <ignoredError sqref="E19 E29" formula="1"/>
  </ignoredError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28</vt:i4>
      </vt:variant>
    </vt:vector>
  </HeadingPairs>
  <TitlesOfParts>
    <vt:vector size="28" baseType="lpstr">
      <vt:lpstr>Apžvalga</vt:lpstr>
      <vt:lpstr>SEB Active 55</vt:lpstr>
      <vt:lpstr>SEB Active 80</vt:lpstr>
      <vt:lpstr>SEB Artificial Intelligence Fun</vt:lpstr>
      <vt:lpstr>SEB Global High Yield Fund</vt:lpstr>
      <vt:lpstr>SEB Global Exposure fund UD</vt:lpstr>
      <vt:lpstr>SEB Europe Exposure Fund UC</vt:lpstr>
      <vt:lpstr>SEB US Exposure Fund UD</vt:lpstr>
      <vt:lpstr>SEB Europe Exposure Fund UD</vt:lpstr>
      <vt:lpstr>2026.09</vt:lpstr>
      <vt:lpstr>2026.08</vt:lpstr>
      <vt:lpstr>2026.07</vt:lpstr>
      <vt:lpstr>2026.06</vt:lpstr>
      <vt:lpstr>2026.05</vt:lpstr>
      <vt:lpstr>2026.04</vt:lpstr>
      <vt:lpstr>2026.03</vt:lpstr>
      <vt:lpstr>2026.02</vt:lpstr>
      <vt:lpstr>2026.01</vt:lpstr>
      <vt:lpstr>2025.12</vt:lpstr>
      <vt:lpstr>2025.11</vt:lpstr>
      <vt:lpstr>2025.10</vt:lpstr>
      <vt:lpstr>2025.09</vt:lpstr>
      <vt:lpstr>2025.08</vt:lpstr>
      <vt:lpstr>2025.07</vt:lpstr>
      <vt:lpstr>2025.06</vt:lpstr>
      <vt:lpstr>2025.05</vt:lpstr>
      <vt:lpstr>2025.04</vt:lpstr>
      <vt:lpstr>2025.03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Evaldas</dc:creator>
  <cp:lastModifiedBy>Evaldas Čeilytkas</cp:lastModifiedBy>
  <dcterms:created xsi:type="dcterms:W3CDTF">2025-05-27T05:42:47Z</dcterms:created>
  <dcterms:modified xsi:type="dcterms:W3CDTF">2026-10-01T18:33:41Z</dcterms:modified>
</cp:coreProperties>
</file>